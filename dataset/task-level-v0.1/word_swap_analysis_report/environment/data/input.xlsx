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x" sheetId="1" state="visible" r:id="rId3"/>
    <sheet name="ex2" sheetId="2" state="visible" r:id="rId4"/>
    <sheet name="furtherex1" sheetId="3" state="visible" r:id="rId5"/>
    <sheet name="furtherex2-1" sheetId="4" state="visible" r:id="rId6"/>
    <sheet name="furtherex2-2" sheetId="5" state="visible" r:id="rId7"/>
  </sheets>
  <externalReferences>
    <externalReference r:id="rId8"/>
  </externalReferences>
  <definedNames>
    <definedName function="false" hidden="false" localSheetId="0" name="solver_adj" vbProcedure="false">numex!$B$103</definedName>
    <definedName function="false" hidden="false" localSheetId="0" name="solver_cvg" vbProcedure="false">0.000000000001</definedName>
    <definedName function="false" hidden="false" localSheetId="0" name="solver_drv" vbProcedure="false">1</definedName>
    <definedName function="false" hidden="false" localSheetId="0" name="solver_est" vbProcedure="false">1</definedName>
    <definedName function="false" hidden="false" localSheetId="0" name="solver_itr" vbProcedure="false">300</definedName>
    <definedName function="false" hidden="false" localSheetId="0" name="solver_lin" vbProcedure="false">2</definedName>
    <definedName function="false" hidden="false" localSheetId="0" name="solver_neg" vbProcedure="false">2</definedName>
    <definedName function="false" hidden="false" localSheetId="0" name="solver_num" vbProcedure="false">0</definedName>
    <definedName function="false" hidden="false" localSheetId="0" name="solver_nwt" vbProcedure="false">1</definedName>
    <definedName function="false" hidden="false" localSheetId="0" name="solver_opt" vbProcedure="false">numex!$B$110</definedName>
    <definedName function="false" hidden="false" localSheetId="0" name="solver_pre" vbProcedure="false">0.00000000000001</definedName>
    <definedName function="false" hidden="false" localSheetId="0" name="solver_scl" vbProcedure="false">2</definedName>
    <definedName function="false" hidden="false" localSheetId="0" name="solver_sho" vbProcedure="false">2</definedName>
    <definedName function="false" hidden="false" localSheetId="0" name="solver_tim" vbProcedure="false">100</definedName>
    <definedName function="false" hidden="false" localSheetId="0" name="solver_tol" vbProcedure="false">0.001</definedName>
    <definedName function="false" hidden="false" localSheetId="0" name="solver_typ" vbProcedure="false">2</definedName>
    <definedName function="false" hidden="false" localSheetId="0" name="solver_val" vbProcedure="false">0</definedName>
    <definedName function="false" hidden="false" localSheetId="1" name="solver_adj" vbProcedure="false">ex2!$B$130</definedName>
    <definedName function="false" hidden="false" localSheetId="1" name="solver_cvg" vbProcedure="false">0.0001</definedName>
    <definedName function="false" hidden="false" localSheetId="1" name="solver_drv" vbProcedure="false">1</definedName>
    <definedName function="false" hidden="false" localSheetId="1" name="solver_est" vbProcedure="false">1</definedName>
    <definedName function="false" hidden="false" localSheetId="1" name="solver_itr" vbProcedure="false">100</definedName>
    <definedName function="false" hidden="false" localSheetId="1" name="solver_lin" vbProcedure="false">2</definedName>
    <definedName function="false" hidden="false" localSheetId="1" name="solver_neg" vbProcedure="false">2</definedName>
    <definedName function="false" hidden="false" localSheetId="1" name="solver_num" vbProcedure="false">0</definedName>
    <definedName function="false" hidden="false" localSheetId="1" name="solver_nwt" vbProcedure="false">1</definedName>
    <definedName function="false" hidden="false" localSheetId="1" name="solver_opt" vbProcedure="false">ex2!$C$142</definedName>
    <definedName function="false" hidden="false" localSheetId="1" name="solver_pre" vbProcedure="false">0.000001</definedName>
    <definedName function="false" hidden="false" localSheetId="1" name="solver_scl" vbProcedure="false">2</definedName>
    <definedName function="false" hidden="false" localSheetId="1" name="solver_sho" vbProcedure="false">2</definedName>
    <definedName function="false" hidden="false" localSheetId="1" name="solver_tim" vbProcedure="false">100</definedName>
    <definedName function="false" hidden="false" localSheetId="1" name="solver_tol" vbProcedure="false">0.05</definedName>
    <definedName function="false" hidden="false" localSheetId="1" name="solver_typ" vbProcedure="false">2</definedName>
    <definedName function="false" hidden="false" localSheetId="1" name="solver_val" vbProcedure="false">0</definedName>
    <definedName function="false" hidden="false" localSheetId="2" name="solver_adj" vbProcedure="false">furtherex1!$B$101</definedName>
    <definedName function="false" hidden="false" localSheetId="2" name="solver_cvg" vbProcedure="false">0.000000000001</definedName>
    <definedName function="false" hidden="false" localSheetId="2" name="solver_drv" vbProcedure="false">1</definedName>
    <definedName function="false" hidden="false" localSheetId="2" name="solver_est" vbProcedure="false">1</definedName>
    <definedName function="false" hidden="false" localSheetId="2" name="solver_itr" vbProcedure="false">300</definedName>
    <definedName function="false" hidden="false" localSheetId="2" name="solver_lin" vbProcedure="false">2</definedName>
    <definedName function="false" hidden="false" localSheetId="2" name="solver_neg" vbProcedure="false">2</definedName>
    <definedName function="false" hidden="false" localSheetId="2" name="solver_num" vbProcedure="false">0</definedName>
    <definedName function="false" hidden="false" localSheetId="2" name="solver_nwt" vbProcedure="false">1</definedName>
    <definedName function="false" hidden="false" localSheetId="2" name="solver_opt" vbProcedure="false">furtherex1!$B$110</definedName>
    <definedName function="false" hidden="false" localSheetId="2" name="solver_pre" vbProcedure="false">0.00000000000001</definedName>
    <definedName function="false" hidden="false" localSheetId="2" name="solver_scl" vbProcedure="false">2</definedName>
    <definedName function="false" hidden="false" localSheetId="2" name="solver_sho" vbProcedure="false">2</definedName>
    <definedName function="false" hidden="false" localSheetId="2" name="solver_tim" vbProcedure="false">100</definedName>
    <definedName function="false" hidden="false" localSheetId="2" name="solver_tol" vbProcedure="false">0.001</definedName>
    <definedName function="false" hidden="false" localSheetId="2" name="solver_typ" vbProcedure="false">2</definedName>
    <definedName function="false" hidden="false" localSheetId="2" name="solver_val" vbProcedure="false">0</definedName>
    <definedName function="false" hidden="false" localSheetId="3" name="solver_adj" vbProcedure="false">'furtherex2-1'!$B$107</definedName>
    <definedName function="false" hidden="false" localSheetId="3" name="solver_cvg" vbProcedure="false">0.000000000001</definedName>
    <definedName function="false" hidden="false" localSheetId="3" name="solver_drv" vbProcedure="false">1</definedName>
    <definedName function="false" hidden="false" localSheetId="3" name="solver_est" vbProcedure="false">1</definedName>
    <definedName function="false" hidden="false" localSheetId="3" name="solver_itr" vbProcedure="false">300</definedName>
    <definedName function="false" hidden="false" localSheetId="3" name="solver_lin" vbProcedure="false">2</definedName>
    <definedName function="false" hidden="false" localSheetId="3" name="solver_neg" vbProcedure="false">2</definedName>
    <definedName function="false" hidden="false" localSheetId="3" name="solver_num" vbProcedure="false">0</definedName>
    <definedName function="false" hidden="false" localSheetId="3" name="solver_nwt" vbProcedure="false">1</definedName>
    <definedName function="false" hidden="false" localSheetId="3" name="solver_opt" vbProcedure="false">'furtherex2-1'!$B$116</definedName>
    <definedName function="false" hidden="false" localSheetId="3" name="solver_pre" vbProcedure="false">0.00000000000001</definedName>
    <definedName function="false" hidden="false" localSheetId="3" name="solver_scl" vbProcedure="false">2</definedName>
    <definedName function="false" hidden="false" localSheetId="3" name="solver_sho" vbProcedure="false">2</definedName>
    <definedName function="false" hidden="false" localSheetId="3" name="solver_tim" vbProcedure="false">100</definedName>
    <definedName function="false" hidden="false" localSheetId="3" name="solver_tol" vbProcedure="false">0.001</definedName>
    <definedName function="false" hidden="false" localSheetId="3" name="solver_typ" vbProcedure="false">2</definedName>
    <definedName function="false" hidden="false" localSheetId="3" name="solver_val" vbProcedure="false">0</definedName>
    <definedName function="false" hidden="false" localSheetId="4" name="solver_adj" vbProcedure="false">'furtherex2-2'!$B$107</definedName>
    <definedName function="false" hidden="false" localSheetId="4" name="solver_cvg" vbProcedure="false">0.000000000001</definedName>
    <definedName function="false" hidden="false" localSheetId="4" name="solver_drv" vbProcedure="false">1</definedName>
    <definedName function="false" hidden="false" localSheetId="4" name="solver_est" vbProcedure="false">1</definedName>
    <definedName function="false" hidden="false" localSheetId="4" name="solver_itr" vbProcedure="false">300</definedName>
    <definedName function="false" hidden="false" localSheetId="4" name="solver_lin" vbProcedure="false">2</definedName>
    <definedName function="false" hidden="false" localSheetId="4" name="solver_neg" vbProcedure="false">2</definedName>
    <definedName function="false" hidden="false" localSheetId="4" name="solver_num" vbProcedure="false">0</definedName>
    <definedName function="false" hidden="false" localSheetId="4" name="solver_nwt" vbProcedure="false">1</definedName>
    <definedName function="false" hidden="false" localSheetId="4" name="solver_opt" vbProcedure="false">'furtherex2-2'!$B$116</definedName>
    <definedName function="false" hidden="false" localSheetId="4" name="solver_pre" vbProcedure="false">0.00000000000001</definedName>
    <definedName function="false" hidden="false" localSheetId="4" name="solver_scl" vbProcedure="false">2</definedName>
    <definedName function="false" hidden="false" localSheetId="4" name="solver_sho" vbProcedure="false">2</definedName>
    <definedName function="false" hidden="false" localSheetId="4" name="solver_tim" vbProcedure="false">100</definedName>
    <definedName function="false" hidden="false" localSheetId="4" name="solver_tol" vbProcedure="false">0.001</definedName>
    <definedName function="false" hidden="false" localSheetId="4" name="solver_typ" vbProcedure="false">2</definedName>
    <definedName function="false" hidden="false" localSheetId="4" name="solver_val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86" authorId="0">
      <text>
        <r>
          <rPr>
            <sz val="9"/>
            <color rgb="FF000000"/>
            <rFont val="굴림"/>
            <family val="3"/>
            <charset val="129"/>
          </rPr>
          <t xml:space="preserve">checking model consistency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C29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 r(1)</t>
        </r>
      </text>
    </comment>
    <comment ref="C30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p(t)=exp(-r(t)*t)</t>
        </r>
      </text>
    </comment>
    <comment ref="C3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notation:f(0)=r(1)</t>
        </r>
      </text>
    </comment>
    <comment ref="C33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5" authorId="0">
      <text>
        <r>
          <rPr>
            <sz val="9"/>
            <color rgb="FF000000"/>
            <rFont val="Arial"/>
            <family val="2"/>
          </rPr>
          <t xml:space="preserve">XNUMBERS 3.1 - Multi Precision Floating Point Computing for EXCEL</t>
        </r>
      </text>
    </comment>
    <comment ref="A34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
Extended Ho-Lee  model assumes </t>
        </r>
        <r>
          <rPr>
            <b val="true"/>
            <sz val="9"/>
            <color rgb="FF000000"/>
            <rFont val="굴림"/>
            <family val="3"/>
            <charset val="129"/>
          </rPr>
          <t xml:space="preserve">time-varying volatility</t>
        </r>
        <r>
          <rPr>
            <sz val="9"/>
            <color rgb="FF000000"/>
            <rFont val="굴림"/>
            <family val="3"/>
            <charset val="129"/>
          </rPr>
          <t xml:space="preserve">.</t>
        </r>
      </text>
    </comment>
    <comment ref="A52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D5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f(0)</t>
        </r>
      </text>
    </comment>
    <comment ref="D52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88" authorId="0">
      <text>
        <r>
          <rPr>
            <sz val="9"/>
            <color rgb="FF000000"/>
            <rFont val="굴림"/>
            <family val="3"/>
            <charset val="129"/>
          </rPr>
          <t xml:space="preserve">checking model consistency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C29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 r(1)</t>
        </r>
      </text>
    </comment>
    <comment ref="C30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p(t)=exp(-r(t)*t)</t>
        </r>
      </text>
    </comment>
    <comment ref="C3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notation:f(0)=r(1)</t>
        </r>
      </text>
    </comment>
    <comment ref="C33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88" authorId="0">
      <text>
        <r>
          <rPr>
            <sz val="9"/>
            <color rgb="FF000000"/>
            <rFont val="굴림"/>
            <family val="3"/>
            <charset val="129"/>
          </rPr>
          <t xml:space="preserve">checking model consistency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C29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 r(1)</t>
        </r>
      </text>
    </comment>
    <comment ref="C30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p(t)=exp(-r(t)*t)</t>
        </r>
      </text>
    </comment>
    <comment ref="C3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notation:f(0)=r(1)</t>
        </r>
      </text>
    </comment>
    <comment ref="C33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88" authorId="0">
      <text>
        <r>
          <rPr>
            <sz val="9"/>
            <color rgb="FF000000"/>
            <rFont val="굴림"/>
            <family val="3"/>
            <charset val="129"/>
          </rPr>
          <t xml:space="preserve">checking model consistency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C29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 r(1)</t>
        </r>
      </text>
    </comment>
    <comment ref="C30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p(t)=exp(-r(t)*t)</t>
        </r>
      </text>
    </comment>
    <comment ref="C31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notation:f(0)=r(1)</t>
        </r>
      </text>
    </comment>
    <comment ref="C33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σf(1)=σs(1)</t>
        </r>
      </text>
    </comment>
  </commentList>
</comments>
</file>

<file path=xl/sharedStrings.xml><?xml version="1.0" encoding="utf-8"?>
<sst xmlns="http://schemas.openxmlformats.org/spreadsheetml/2006/main" count="429" uniqueCount="120">
  <si>
    <t xml:space="preserve">Swap Model</t>
  </si>
  <si>
    <t xml:space="preserve">© copyright THC 2003. All rights reserved by Thomas Ho Company, New York, NY. USA      www. thomasho.com       tom.ho@thomasho.com</t>
  </si>
  <si>
    <t xml:space="preserve">reference number</t>
  </si>
  <si>
    <t xml:space="preserve">classification#</t>
  </si>
  <si>
    <t xml:space="preserve">Version</t>
  </si>
  <si>
    <t xml:space="preserve">level</t>
  </si>
  <si>
    <t xml:space="preserve">basic</t>
  </si>
  <si>
    <t xml:space="preserve">Instructions</t>
  </si>
  <si>
    <t xml:space="preserve">publication date</t>
  </si>
  <si>
    <t xml:space="preserve">The cash flow of the 3-year swap contract occurs at the end of 3rd year which is decided at the end of 2nd year.</t>
  </si>
  <si>
    <t xml:space="preserve">author</t>
  </si>
  <si>
    <t xml:space="preserve">Hanyang Financial Engineering Lab.</t>
  </si>
  <si>
    <t xml:space="preserve">affiliation</t>
  </si>
  <si>
    <t xml:space="preserve">Hanyang University</t>
  </si>
  <si>
    <t xml:space="preserve">email address</t>
  </si>
  <si>
    <t xml:space="preserve">leesb@hanyang.ac.kr</t>
  </si>
  <si>
    <t xml:space="preserve">input</t>
  </si>
  <si>
    <t xml:space="preserve">initial yield curve, lognormal spot volatility of interest rate, notional amount</t>
  </si>
  <si>
    <t xml:space="preserve">last revised date</t>
  </si>
  <si>
    <t xml:space="preserve">output</t>
  </si>
  <si>
    <t xml:space="preserve">swap lattice</t>
  </si>
  <si>
    <t xml:space="preserve">references</t>
  </si>
  <si>
    <r>
      <rPr>
        <sz val="10"/>
        <rFont val="Arial"/>
        <family val="2"/>
      </rPr>
      <t xml:space="preserve">Ch.7 of "</t>
    </r>
    <r>
      <rPr>
        <i val="true"/>
        <sz val="10"/>
        <rFont val="Arial"/>
        <family val="2"/>
      </rPr>
      <t xml:space="preserve">The Oxford Guide to Financial Modeling</t>
    </r>
    <r>
      <rPr>
        <sz val="10"/>
        <rFont val="Arial"/>
        <family val="2"/>
      </rPr>
      <t xml:space="preserve">" by Thomas S.Y. Ho and Sang Bin Lee, 2004, Oxford University Press.</t>
    </r>
  </si>
  <si>
    <t xml:space="preserve">Descriptions</t>
  </si>
  <si>
    <t xml:space="preserve">financial model class</t>
  </si>
  <si>
    <t xml:space="preserve">Exotic options</t>
  </si>
  <si>
    <t xml:space="preserve">issuer/modeler</t>
  </si>
  <si>
    <t xml:space="preserve">practitioner</t>
  </si>
  <si>
    <t xml:space="preserve">model type</t>
  </si>
  <si>
    <t xml:space="preserve">constant maturity swaps</t>
  </si>
  <si>
    <t xml:space="preserve">risk sources</t>
  </si>
  <si>
    <t xml:space="preserve">interest rate</t>
  </si>
  <si>
    <t xml:space="preserve">risk distribution</t>
  </si>
  <si>
    <t xml:space="preserve">normal</t>
  </si>
  <si>
    <t xml:space="preserve">economic assumptions</t>
  </si>
  <si>
    <t xml:space="preserve">contingent claim model</t>
  </si>
  <si>
    <t xml:space="preserve">technical assumptions</t>
  </si>
  <si>
    <t xml:space="preserve">m=1</t>
  </si>
  <si>
    <t xml:space="preserve">continuous compounding</t>
  </si>
  <si>
    <t xml:space="preserve">key words</t>
  </si>
  <si>
    <t xml:space="preserve">arbitrage-free interest rate model</t>
  </si>
  <si>
    <t xml:space="preserve">Links</t>
  </si>
  <si>
    <t xml:space="preserve">data</t>
  </si>
  <si>
    <t xml:space="preserve">http://www.federalreserve.gov/</t>
  </si>
  <si>
    <t xml:space="preserve">financial models</t>
  </si>
  <si>
    <t xml:space="preserve">7. Bond Arithmetic, 8. Bond Model, 20. Ho-Lee Model, 21. Extended Ho-Lee Model, </t>
  </si>
  <si>
    <t xml:space="preserve">Inputs</t>
  </si>
  <si>
    <t xml:space="preserve">year</t>
  </si>
  <si>
    <t xml:space="preserve">initial yield curve</t>
  </si>
  <si>
    <t xml:space="preserve">initial discount function p(n)</t>
  </si>
  <si>
    <t xml:space="preserve">1-year forward curve </t>
  </si>
  <si>
    <r>
      <rPr>
        <sz val="10"/>
        <rFont val="Arial"/>
        <family val="2"/>
      </rPr>
      <t xml:space="preserve">lognormal spot volatility (σ</t>
    </r>
    <r>
      <rPr>
        <vertAlign val="superscript"/>
        <sz val="10"/>
        <rFont val="Arial"/>
        <family val="2"/>
      </rPr>
      <t xml:space="preserve">S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</si>
  <si>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lognormal forward volatility (σ</t>
    </r>
    <r>
      <rPr>
        <vertAlign val="superscript"/>
        <sz val="10"/>
        <rFont val="Arial"/>
        <family val="2"/>
      </rPr>
      <t xml:space="preserve">f</t>
    </r>
    <r>
      <rPr>
        <sz val="10"/>
        <rFont val="Arial"/>
        <family val="2"/>
      </rPr>
      <t xml:space="preserve">)</t>
    </r>
  </si>
  <si>
    <t xml:space="preserve">the number of partitions (m)</t>
  </si>
  <si>
    <r>
      <rPr>
        <sz val="10"/>
        <rFont val="Arial"/>
        <family val="2"/>
      </rPr>
      <t xml:space="preserve">f(n)·σ</t>
    </r>
    <r>
      <rPr>
        <vertAlign val="superscript"/>
        <sz val="10"/>
        <rFont val="Arial"/>
        <family val="2"/>
      </rPr>
      <t xml:space="preserve">f</t>
    </r>
    <r>
      <rPr>
        <sz val="10"/>
        <rFont val="Arial"/>
        <family val="2"/>
      </rPr>
      <t xml:space="preserve">(n+1)=(n+1)·r(n+1)·σ</t>
    </r>
    <r>
      <rPr>
        <vertAlign val="superscript"/>
        <sz val="10"/>
        <rFont val="Arial"/>
        <family val="2"/>
      </rPr>
      <t xml:space="preserve">S</t>
    </r>
    <r>
      <rPr>
        <sz val="10"/>
        <rFont val="Arial"/>
        <family val="2"/>
      </rPr>
      <t xml:space="preserve">(n+1)-n·r(n)·σ</t>
    </r>
    <r>
      <rPr>
        <vertAlign val="superscript"/>
        <sz val="10"/>
        <rFont val="Arial"/>
        <family val="2"/>
      </rPr>
      <t xml:space="preserve">S</t>
    </r>
    <r>
      <rPr>
        <sz val="10"/>
        <rFont val="Arial"/>
        <family val="2"/>
      </rPr>
      <t xml:space="preserve">(n)</t>
    </r>
  </si>
  <si>
    <t xml:space="preserve">forward price</t>
  </si>
  <si>
    <t xml:space="preserve">delta (δ)</t>
  </si>
  <si>
    <t xml:space="preserve">notional amount</t>
  </si>
  <si>
    <t xml:space="preserve">Outputs</t>
  </si>
  <si>
    <t xml:space="preserve">Interim Calculations</t>
  </si>
  <si>
    <t xml:space="preserve">convexity adjustment of 1-year bond</t>
  </si>
  <si>
    <t xml:space="preserve">numerator of convexity adjustment at time n</t>
  </si>
  <si>
    <t xml:space="preserve">denominator of convexity adjustment at time n</t>
  </si>
  <si>
    <t xml:space="preserve">1-year discount function lattice</t>
  </si>
  <si>
    <t xml:space="preserve">        </t>
  </si>
  <si>
    <t xml:space="preserve">1-year interest rate lattice</t>
  </si>
  <si>
    <t xml:space="preserve">Time-varying forward volatility lattice</t>
  </si>
  <si>
    <t xml:space="preserve">1 year LIBOR rate (annual compounding)</t>
  </si>
  <si>
    <t xml:space="preserve">floating rate bond price</t>
  </si>
  <si>
    <t xml:space="preserve">swap rate calculation</t>
  </si>
  <si>
    <t xml:space="preserve">3 year swap rate (annual compounding)</t>
  </si>
  <si>
    <t xml:space="preserve">changing cell for solver</t>
  </si>
  <si>
    <t xml:space="preserve">par value</t>
  </si>
  <si>
    <t xml:space="preserve">target cell for solver</t>
  </si>
  <si>
    <t xml:space="preserve">The underlying asset of the bond option is 3-year zero-coupon bond at option maturity.</t>
  </si>
  <si>
    <t xml:space="preserve">Use "cspline_interp" function of Xnumbers freeware package to interpolate the yield curve and volatility curve.</t>
  </si>
  <si>
    <t xml:space="preserve">initial yield curve, lognormal spot volatility of interest rate, the number of partitions, time to maturity at each node, bond maturity, bond face value, </t>
  </si>
  <si>
    <t xml:space="preserve">option maturity, exercise price</t>
  </si>
  <si>
    <r>
      <rPr>
        <sz val="10"/>
        <rFont val="Arial"/>
        <family val="2"/>
      </rPr>
      <t xml:space="preserve">Ch.7 of "</t>
    </r>
    <r>
      <rPr>
        <i val="true"/>
        <sz val="10"/>
        <rFont val="Arial"/>
        <family val="2"/>
      </rPr>
      <t xml:space="preserve">The Oxford Guide to Financial Modeling</t>
    </r>
    <r>
      <rPr>
        <sz val="10"/>
        <rFont val="Arial"/>
        <family val="2"/>
      </rPr>
      <t xml:space="preserve">" by Thomas S.Y. Ho and Sang Bin Lee, 2004, Oxford University Press</t>
    </r>
  </si>
  <si>
    <t xml:space="preserve">7. Bond Arithmetic, 8. Bond Model, 20. Ho-Lee Model, 21. Extended Ho-Lee Model</t>
  </si>
  <si>
    <t xml:space="preserve">freeware</t>
  </si>
  <si>
    <t xml:space="preserve">http://digilander.libero.it/foxes/</t>
  </si>
  <si>
    <t xml:space="preserve">Nominal Principal</t>
  </si>
  <si>
    <t xml:space="preserve">F</t>
  </si>
  <si>
    <t xml:space="preserve">swap maturity (year)</t>
  </si>
  <si>
    <t xml:space="preserve">ST</t>
  </si>
  <si>
    <t xml:space="preserve">0 &lt; T</t>
  </si>
  <si>
    <t xml:space="preserve">the number of periods</t>
  </si>
  <si>
    <t xml:space="preserve">n</t>
  </si>
  <si>
    <r>
      <rPr>
        <sz val="10"/>
        <rFont val="Arial"/>
        <family val="2"/>
      </rPr>
      <t xml:space="preserve">0 &lt; n </t>
    </r>
    <r>
      <rPr>
        <sz val="10"/>
        <rFont val="돋움"/>
        <family val="3"/>
        <charset val="129"/>
      </rPr>
      <t xml:space="preserve">≤</t>
    </r>
    <r>
      <rPr>
        <sz val="10"/>
        <rFont val="Arial"/>
        <family val="2"/>
      </rPr>
      <t xml:space="preserve"> 10</t>
    </r>
  </si>
  <si>
    <t xml:space="preserve">dt = T/n</t>
  </si>
  <si>
    <t xml:space="preserve">time period (year)</t>
  </si>
  <si>
    <t xml:space="preserve">yield curve</t>
  </si>
  <si>
    <t xml:space="preserve">adjusted time period (year)</t>
  </si>
  <si>
    <t xml:space="preserve">interpolated yield curve</t>
  </si>
  <si>
    <t xml:space="preserve">interpolated spot volatility</t>
  </si>
  <si>
    <t xml:space="preserve">discount function</t>
  </si>
  <si>
    <t xml:space="preserve">one period forward rate f(n)</t>
  </si>
  <si>
    <t xml:space="preserve">volatility conversion formula</t>
  </si>
  <si>
    <t xml:space="preserve">one period forward price</t>
  </si>
  <si>
    <t xml:space="preserve">convexity adjustment</t>
  </si>
  <si>
    <t xml:space="preserve">one period discount function</t>
  </si>
  <si>
    <t xml:space="preserve">short rate lattice</t>
  </si>
  <si>
    <t xml:space="preserve">zero coupon bond price</t>
  </si>
  <si>
    <t xml:space="preserve">current bond price with each maturity</t>
  </si>
  <si>
    <t xml:space="preserve">forward volatility*forward rate</t>
  </si>
  <si>
    <t xml:space="preserve">spot volatility by conversion formula</t>
  </si>
  <si>
    <t xml:space="preserve">swap rate</t>
  </si>
  <si>
    <t xml:space="preserve">(semi-annual compounding)</t>
  </si>
  <si>
    <r>
      <rPr>
        <sz val="10"/>
        <rFont val="Arial"/>
        <family val="2"/>
      </rPr>
      <t xml:space="preserve">= (1+swap rate)</t>
    </r>
    <r>
      <rPr>
        <vertAlign val="superscript"/>
        <sz val="10"/>
        <rFont val="Arial"/>
        <family val="2"/>
      </rPr>
      <t xml:space="preserve">2</t>
    </r>
  </si>
  <si>
    <t xml:space="preserve">= exp(0.1)</t>
  </si>
  <si>
    <t xml:space="preserve">squared error</t>
  </si>
  <si>
    <t xml:space="preserve">LIBOR rate calculation</t>
  </si>
  <si>
    <t xml:space="preserve">exp{r(n,i,1)/2}-1</t>
  </si>
  <si>
    <t xml:space="preserve">LIBOR lattice</t>
  </si>
  <si>
    <t xml:space="preserve">initial yield curve, lognormal spot volatility of interest rate, the number of partitions, notional amount</t>
  </si>
  <si>
    <t xml:space="preserve">constant maturity swap lattice</t>
  </si>
  <si>
    <t xml:space="preserve">5 year swap rate (annual compounding)</t>
  </si>
  <si>
    <t xml:space="preserve">fixed rate bond price</t>
  </si>
  <si>
    <t xml:space="preserve">NPV of floating rate's receiver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</si>
</sst>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"/>
    <numFmt numFmtId="166" formatCode="mmm\-yy"/>
    <numFmt numFmtId="167" formatCode="[$-409]mmm\-yy"/>
    <numFmt numFmtId="168" formatCode="0_ "/>
    <numFmt numFmtId="169" formatCode="General"/>
    <numFmt numFmtId="170" formatCode="0.0000"/>
    <numFmt numFmtId="171" formatCode="0.000"/>
    <numFmt numFmtId="172" formatCode="0.00000"/>
    <numFmt numFmtId="173" formatCode="0.000000_ "/>
    <numFmt numFmtId="174" formatCode="0.0000_ "/>
    <numFmt numFmtId="175" formatCode="0.00000_ "/>
    <numFmt numFmtId="176" formatCode="0.0000_);[RED]\(0.0000\)"/>
  </numFmts>
  <fonts count="17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FF"/>
      <name val="Arial"/>
      <family val="2"/>
    </font>
    <font>
      <u val="single"/>
      <sz val="10"/>
      <color rgb="FF0000FF"/>
      <name val="Arial"/>
      <family val="2"/>
    </font>
    <font>
      <u val="single"/>
      <sz val="11"/>
      <color rgb="FF0000FF"/>
      <name val="돋움"/>
      <family val="3"/>
      <charset val="129"/>
    </font>
    <font>
      <i val="true"/>
      <sz val="10"/>
      <name val="Arial"/>
      <family val="2"/>
    </font>
    <font>
      <vertAlign val="superscript"/>
      <sz val="10"/>
      <name val="Arial"/>
      <family val="2"/>
    </font>
    <font>
      <sz val="10"/>
      <name val="돋움"/>
      <family val="3"/>
      <charset val="129"/>
    </font>
    <font>
      <b val="true"/>
      <sz val="10"/>
      <name val="Arial"/>
      <family val="2"/>
    </font>
    <font>
      <sz val="9"/>
      <color rgb="FF000000"/>
      <name val="굴림"/>
      <family val="3"/>
      <charset val="129"/>
    </font>
    <font>
      <b val="true"/>
      <sz val="9"/>
      <color rgb="FF000000"/>
      <name val="굴림"/>
      <family val="3"/>
      <charset val="129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://www.thomasho.com/xnumb31%5Cxfunct.xla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funct"/>
    </sheetNames>
    <definedNames>
      <definedName name="cspline_interp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hyperlink" Target="http://digilander.libero.it/foxes/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4375" defaultRowHeight="12.75" zeroHeight="false" outlineLevelRow="0" outlineLevelCol="0"/>
  <cols>
    <col collapsed="false" customWidth="true" hidden="false" outlineLevel="0" max="1" min="1" style="1" width="30.55"/>
    <col collapsed="false" customWidth="false" hidden="false" outlineLevel="0" max="257" min="2" style="1" width="7.43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</row>
    <row r="3" customFormat="fals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customFormat="false" ht="12.75" hidden="false" customHeight="true" outlineLevel="0" collapsed="false">
      <c r="A4" s="5" t="s">
        <v>8</v>
      </c>
      <c r="B4" s="14" t="n">
        <v>37803</v>
      </c>
      <c r="F4" s="15" t="s">
        <v>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customFormat="fals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customFormat="false" ht="12.75" hidden="false" customHeight="true" outlineLevel="0" collapsed="false">
      <c r="A6" s="5" t="s">
        <v>12</v>
      </c>
      <c r="B6" s="18" t="s">
        <v>13</v>
      </c>
      <c r="C6" s="18"/>
      <c r="D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customFormat="fals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24" t="s">
        <v>16</v>
      </c>
      <c r="G7" s="25" t="s">
        <v>17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</row>
    <row r="8" customFormat="false" ht="12.75" hidden="false" customHeight="true" outlineLevel="0" collapsed="false">
      <c r="A8" s="5" t="s">
        <v>18</v>
      </c>
      <c r="B8" s="28" t="n">
        <v>37958</v>
      </c>
      <c r="C8" s="23"/>
      <c r="D8" s="23"/>
      <c r="E8" s="23"/>
      <c r="F8" s="29" t="s">
        <v>19</v>
      </c>
      <c r="G8" s="30" t="s">
        <v>20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customFormat="false" ht="12.75" hidden="false" customHeight="true" outlineLevel="0" collapsed="false">
      <c r="A9" s="5" t="s">
        <v>21</v>
      </c>
      <c r="B9" s="23" t="s">
        <v>22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customFormat="fals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customFormat="fals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1"/>
      <c r="G13" s="42"/>
      <c r="H13" s="6"/>
      <c r="I13" s="6"/>
      <c r="J13" s="6"/>
      <c r="K13" s="6"/>
      <c r="L13" s="6"/>
      <c r="M13" s="6"/>
      <c r="N13" s="6"/>
      <c r="O13" s="6"/>
      <c r="Q13" s="6"/>
      <c r="R13" s="6"/>
      <c r="S13" s="6"/>
    </row>
    <row r="14" customFormat="fals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39"/>
      <c r="G14" s="44"/>
      <c r="Q14" s="6"/>
      <c r="R14" s="6"/>
      <c r="S14" s="6"/>
    </row>
    <row r="15" customFormat="fals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39"/>
      <c r="G15" s="44"/>
      <c r="Q15" s="6"/>
      <c r="R15" s="6"/>
      <c r="S15" s="6"/>
    </row>
    <row r="16" customFormat="fals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39"/>
      <c r="G16" s="44"/>
      <c r="I16" s="45"/>
      <c r="J16" s="45"/>
      <c r="Q16" s="6"/>
      <c r="R16" s="6"/>
      <c r="S16" s="6"/>
    </row>
    <row r="17" customFormat="fals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39"/>
      <c r="G17" s="44"/>
      <c r="I17" s="46"/>
      <c r="J17" s="45"/>
      <c r="Q17" s="6"/>
      <c r="R17" s="6"/>
      <c r="S17" s="6"/>
    </row>
    <row r="18" customFormat="fals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39"/>
      <c r="G18" s="44"/>
      <c r="Q18" s="6"/>
      <c r="R18" s="6"/>
      <c r="S18" s="6"/>
    </row>
    <row r="19" customFormat="fals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49"/>
      <c r="G19" s="50"/>
      <c r="Q19" s="6"/>
      <c r="R19" s="6"/>
      <c r="S19" s="6"/>
    </row>
    <row r="20" customFormat="fals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customFormat="fals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customFormat="fals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44</v>
      </c>
      <c r="B24" s="54" t="s">
        <v>45</v>
      </c>
      <c r="C24" s="28"/>
      <c r="D24" s="28"/>
      <c r="E24" s="28"/>
      <c r="F24" s="1"/>
      <c r="G24" s="1"/>
    </row>
    <row r="25" s="6" customFormat="true" ht="12.75" hidden="false" customHeight="false" outlineLevel="0" collapsed="false">
      <c r="A25" s="5"/>
      <c r="B25" s="55"/>
      <c r="C25" s="1"/>
      <c r="D25" s="1"/>
      <c r="E25" s="1"/>
      <c r="F25" s="1"/>
      <c r="G25" s="1"/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7" s="58" customFormat="true" ht="12.75" hidden="false" customHeight="false" outlineLevel="0" collapsed="false">
      <c r="A27" s="57"/>
      <c r="B27" s="57"/>
      <c r="N27" s="59"/>
      <c r="O27" s="59"/>
      <c r="P27" s="59"/>
      <c r="Q27" s="59"/>
      <c r="R27" s="59"/>
      <c r="S27" s="59"/>
      <c r="T27" s="59"/>
    </row>
    <row r="28" customFormat="false" ht="12.75" hidden="false" customHeight="false" outlineLevel="0" collapsed="false">
      <c r="A28" s="60" t="s">
        <v>47</v>
      </c>
      <c r="B28" s="60" t="n">
        <v>0</v>
      </c>
      <c r="C28" s="60" t="n">
        <v>1</v>
      </c>
      <c r="D28" s="60" t="n">
        <v>2</v>
      </c>
      <c r="E28" s="60" t="n">
        <v>3</v>
      </c>
      <c r="F28" s="60" t="n">
        <v>4</v>
      </c>
      <c r="G28" s="60" t="n">
        <v>5</v>
      </c>
      <c r="H28" s="60" t="n">
        <v>6</v>
      </c>
      <c r="I28" s="60" t="n">
        <v>7</v>
      </c>
      <c r="J28" s="60" t="n">
        <v>8</v>
      </c>
      <c r="K28" s="60" t="n">
        <v>9</v>
      </c>
      <c r="L28" s="60" t="n">
        <v>10</v>
      </c>
      <c r="M28" s="60" t="n">
        <v>11</v>
      </c>
      <c r="N28" s="60" t="n">
        <v>12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="6" customFormat="true" ht="12.75" hidden="false" customHeight="false" outlineLevel="0" collapsed="false">
      <c r="A29" s="61" t="s">
        <v>48</v>
      </c>
      <c r="B29" s="62" t="n">
        <v>0.1</v>
      </c>
      <c r="C29" s="63" t="n">
        <f aca="false">B29</f>
        <v>0.1</v>
      </c>
      <c r="D29" s="62" t="n">
        <v>0.1</v>
      </c>
      <c r="E29" s="62" t="n">
        <v>0.1</v>
      </c>
      <c r="F29" s="62" t="n">
        <v>0.1</v>
      </c>
      <c r="G29" s="62" t="n">
        <v>0.1</v>
      </c>
      <c r="H29" s="62" t="n">
        <v>0.1</v>
      </c>
      <c r="I29" s="62" t="n">
        <v>0.1</v>
      </c>
      <c r="J29" s="62" t="n">
        <v>0.1</v>
      </c>
      <c r="K29" s="62" t="n">
        <v>0.1</v>
      </c>
      <c r="L29" s="62" t="n">
        <v>0.1</v>
      </c>
      <c r="M29" s="62" t="n">
        <v>0.1</v>
      </c>
      <c r="N29" s="62" t="n">
        <v>0.1</v>
      </c>
    </row>
    <row r="30" s="58" customFormat="true" ht="12.75" hidden="false" customHeight="false" outlineLevel="0" collapsed="false">
      <c r="A30" s="61" t="s">
        <v>49</v>
      </c>
      <c r="B30" s="64" t="n">
        <f aca="false">EXP(-B29*B28)</f>
        <v>1</v>
      </c>
      <c r="C30" s="65" t="n">
        <f aca="false">EXP(-C29*C28)</f>
        <v>0.90483741803596</v>
      </c>
      <c r="D30" s="64" t="n">
        <f aca="false">EXP(-D29*D28)</f>
        <v>0.818730753077982</v>
      </c>
      <c r="E30" s="64" t="n">
        <f aca="false">EXP(-E29*E28)</f>
        <v>0.740818220681718</v>
      </c>
      <c r="F30" s="64" t="n">
        <f aca="false">EXP(-F29*F28)</f>
        <v>0.670320046035639</v>
      </c>
      <c r="G30" s="64" t="n">
        <f aca="false">EXP(-G29*G28)</f>
        <v>0.606530659712633</v>
      </c>
      <c r="H30" s="64" t="n">
        <f aca="false">EXP(-H29*H28)</f>
        <v>0.548811636094026</v>
      </c>
      <c r="I30" s="64" t="n">
        <f aca="false">EXP(-I29*I28)</f>
        <v>0.496585303791409</v>
      </c>
      <c r="J30" s="64" t="n">
        <f aca="false">EXP(-J29*J28)</f>
        <v>0.449328964117222</v>
      </c>
      <c r="K30" s="64" t="n">
        <f aca="false">EXP(-K29*K28)</f>
        <v>0.406569659740599</v>
      </c>
      <c r="L30" s="64" t="n">
        <f aca="false">EXP(-L29*L28)</f>
        <v>0.367879441171442</v>
      </c>
      <c r="M30" s="64" t="n">
        <f aca="false">EXP(-M29*M28)</f>
        <v>0.33287108369808</v>
      </c>
      <c r="N30" s="64" t="n">
        <f aca="false">EXP(-N29*N28)</f>
        <v>0.301194211912202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</row>
    <row r="31" s="6" customFormat="true" ht="12.75" hidden="false" customHeight="false" outlineLevel="0" collapsed="false">
      <c r="A31" s="61" t="s">
        <v>50</v>
      </c>
      <c r="B31" s="64" t="n">
        <f aca="false">-LN(C30/B30)</f>
        <v>0.1</v>
      </c>
      <c r="C31" s="64" t="n">
        <f aca="false">-LN(C30/B30)</f>
        <v>0.1</v>
      </c>
      <c r="D31" s="64" t="n">
        <f aca="false">-LN(D30/C30)</f>
        <v>0.0999999999999999</v>
      </c>
      <c r="E31" s="64" t="n">
        <f aca="false">-LN(E30/D30)</f>
        <v>0.0999999999999999</v>
      </c>
      <c r="F31" s="64" t="n">
        <f aca="false">-LN(F30/E30)</f>
        <v>0.0999999999999999</v>
      </c>
      <c r="G31" s="64" t="n">
        <f aca="false">-LN(G30/F30)</f>
        <v>0.1</v>
      </c>
      <c r="H31" s="64" t="n">
        <f aca="false">-LN(H30/G30)</f>
        <v>0.1</v>
      </c>
      <c r="I31" s="64" t="n">
        <f aca="false">-LN(I30/H30)</f>
        <v>0.1</v>
      </c>
      <c r="J31" s="64" t="n">
        <f aca="false">-LN(J30/I30)</f>
        <v>0.0999999999999999</v>
      </c>
      <c r="K31" s="64" t="n">
        <f aca="false">-LN(K30/J30)</f>
        <v>0.0999999999999999</v>
      </c>
      <c r="L31" s="64" t="n">
        <f aca="false">-LN(L30/K30)</f>
        <v>0.0999999999999999</v>
      </c>
      <c r="M31" s="64" t="n">
        <f aca="false">-LN(M30/L30)</f>
        <v>0.1</v>
      </c>
      <c r="N31" s="64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s="6" customFormat="true" ht="14.25" hidden="false" customHeight="false" outlineLevel="0" collapsed="false">
      <c r="A32" s="6" t="s">
        <v>51</v>
      </c>
      <c r="B32" s="68" t="n">
        <v>0</v>
      </c>
      <c r="C32" s="68" t="n">
        <v>0.12</v>
      </c>
      <c r="D32" s="68" t="n">
        <v>0.12</v>
      </c>
      <c r="E32" s="68" t="n">
        <v>0.12</v>
      </c>
      <c r="F32" s="68" t="n">
        <v>0.12</v>
      </c>
      <c r="G32" s="68" t="n">
        <v>0.12</v>
      </c>
      <c r="H32" s="68" t="n">
        <v>0.12</v>
      </c>
      <c r="I32" s="68" t="n">
        <v>0.12</v>
      </c>
      <c r="J32" s="68" t="n">
        <v>0.12</v>
      </c>
      <c r="K32" s="68" t="n">
        <v>0.12</v>
      </c>
      <c r="L32" s="68" t="n">
        <v>0.12</v>
      </c>
      <c r="M32" s="68" t="n">
        <v>0.12</v>
      </c>
      <c r="N32" s="68" t="n">
        <v>0.12</v>
      </c>
    </row>
    <row r="33" s="6" customFormat="true" ht="14.25" hidden="false" customHeight="false" outlineLevel="0" collapsed="false">
      <c r="A33" s="6" t="s">
        <v>52</v>
      </c>
      <c r="B33" s="8" t="n">
        <v>0</v>
      </c>
      <c r="C33" s="69" t="n">
        <f aca="false">(C28*C29*C32-B28*B29*B32)/C31</f>
        <v>0.12</v>
      </c>
      <c r="D33" s="8" t="n">
        <f aca="false">(D28*D29*D32-C28*C29*C32)/D31</f>
        <v>0.12</v>
      </c>
      <c r="E33" s="8" t="n">
        <f aca="false">(E28*E29*E32-D28*D29*D32)/E31</f>
        <v>0.12</v>
      </c>
      <c r="F33" s="8" t="n">
        <f aca="false">(F28*F29*F32-E28*E29*E32)/F31</f>
        <v>0.12</v>
      </c>
      <c r="G33" s="8" t="n">
        <f aca="false">(G28*G29*G32-F28*F29*F32)/G31</f>
        <v>0.12</v>
      </c>
      <c r="H33" s="8" t="n">
        <f aca="false">(H28*H29*H32-G28*G29*G32)/H31</f>
        <v>0.12</v>
      </c>
      <c r="I33" s="8" t="n">
        <f aca="false">(I28*I29*I32-H28*H29*H32)/I31</f>
        <v>0.12</v>
      </c>
      <c r="J33" s="8" t="n">
        <f aca="false">(J28*J29*J32-I28*I29*I32)/J31</f>
        <v>0.12</v>
      </c>
      <c r="K33" s="8" t="n">
        <f aca="false">(K28*K29*K32-J28*J29*J32)/K31</f>
        <v>0.12</v>
      </c>
      <c r="L33" s="8" t="n">
        <f aca="false">(L28*L29*L32-K28*K29*K32)/L31</f>
        <v>0.12</v>
      </c>
      <c r="M33" s="8" t="n">
        <f aca="false">(M28*M29*M32-L28*L29*L32)/M31</f>
        <v>0.12</v>
      </c>
      <c r="N33" s="8"/>
    </row>
    <row r="34" s="6" customFormat="true" ht="14.25" hidden="false" customHeight="false" outlineLevel="0" collapsed="false">
      <c r="A34" s="6" t="s">
        <v>53</v>
      </c>
      <c r="B34" s="6" t="n">
        <v>1</v>
      </c>
      <c r="C34" s="18" t="s">
        <v>54</v>
      </c>
      <c r="N34" s="45"/>
      <c r="O34" s="45"/>
      <c r="P34" s="45"/>
      <c r="Q34" s="45"/>
      <c r="R34" s="45"/>
      <c r="S34" s="45"/>
      <c r="T34" s="45"/>
    </row>
    <row r="35" s="6" customFormat="true" ht="12.75" hidden="false" customHeight="false" outlineLevel="0" collapsed="false">
      <c r="N35" s="45"/>
      <c r="O35" s="45"/>
      <c r="P35" s="45"/>
      <c r="Q35" s="45"/>
      <c r="R35" s="45"/>
      <c r="S35" s="45"/>
      <c r="T35" s="45"/>
    </row>
    <row r="36" s="6" customFormat="true" ht="12.75" hidden="false" customHeight="false" outlineLevel="0" collapsed="false">
      <c r="A36" s="6" t="s">
        <v>55</v>
      </c>
      <c r="B36" s="66" t="n">
        <f aca="false">C30/B30</f>
        <v>0.90483741803596</v>
      </c>
      <c r="C36" s="66" t="n">
        <f aca="false">D30/C30</f>
        <v>0.90483741803596</v>
      </c>
      <c r="D36" s="66" t="n">
        <f aca="false">E30/D30</f>
        <v>0.90483741803596</v>
      </c>
      <c r="E36" s="66" t="n">
        <f aca="false">F30/E30</f>
        <v>0.90483741803596</v>
      </c>
      <c r="F36" s="66" t="n">
        <f aca="false">G30/F30</f>
        <v>0.90483741803596</v>
      </c>
      <c r="G36" s="66" t="n">
        <f aca="false">H30/G30</f>
        <v>0.90483741803596</v>
      </c>
      <c r="H36" s="66" t="n">
        <f aca="false">I30/H30</f>
        <v>0.90483741803596</v>
      </c>
      <c r="I36" s="66" t="n">
        <f aca="false">J30/I30</f>
        <v>0.90483741803596</v>
      </c>
      <c r="J36" s="66" t="n">
        <f aca="false">K30/J30</f>
        <v>0.90483741803596</v>
      </c>
      <c r="K36" s="66" t="n">
        <f aca="false">L30/K30</f>
        <v>0.90483741803596</v>
      </c>
      <c r="L36" s="66" t="n">
        <f aca="false">M30/L30</f>
        <v>0.90483741803596</v>
      </c>
      <c r="M36" s="66" t="n">
        <f aca="false">N30/M30</f>
        <v>0.904837418035959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="6" customFormat="true" ht="12.75" hidden="false" customHeight="false" outlineLevel="0" collapsed="false">
      <c r="A37" s="6" t="s">
        <v>56</v>
      </c>
      <c r="B37" s="70" t="n">
        <f aca="false">EXP(-2*B31*B33/SQRT($B$34))</f>
        <v>1</v>
      </c>
      <c r="C37" s="70" t="n">
        <f aca="false">EXP(-2*C31*C33/SQRT($B$34))</f>
        <v>0.976285709757909</v>
      </c>
      <c r="D37" s="70" t="n">
        <f aca="false">EXP(-2*D31*D33/SQRT($B$34))</f>
        <v>0.976285709757909</v>
      </c>
      <c r="E37" s="70" t="n">
        <f aca="false">EXP(-2*E31*E33/SQRT($B$34))</f>
        <v>0.976285709757909</v>
      </c>
      <c r="F37" s="70" t="n">
        <f aca="false">EXP(-2*F31*F33/SQRT($B$34))</f>
        <v>0.976285709757909</v>
      </c>
      <c r="G37" s="70" t="n">
        <f aca="false">EXP(-2*G31*G33/SQRT($B$34))</f>
        <v>0.976285709757909</v>
      </c>
      <c r="H37" s="70" t="n">
        <f aca="false">EXP(-2*H31*H33/SQRT($B$34))</f>
        <v>0.976285709757909</v>
      </c>
      <c r="I37" s="70" t="n">
        <f aca="false">EXP(-2*I31*I33/SQRT($B$34))</f>
        <v>0.976285709757909</v>
      </c>
      <c r="J37" s="70" t="n">
        <f aca="false">EXP(-2*J31*J33/SQRT($B$34))</f>
        <v>0.976285709757909</v>
      </c>
      <c r="K37" s="70" t="n">
        <f aca="false">EXP(-2*K31*K33/SQRT($B$34))</f>
        <v>0.976285709757909</v>
      </c>
      <c r="L37" s="70" t="n">
        <f aca="false">EXP(-2*L31*L33/SQRT($B$34))</f>
        <v>0.976285709757909</v>
      </c>
      <c r="M37" s="70" t="n">
        <f aca="false">EXP(-2*M31*M33/SQRT($B$34))</f>
        <v>0.976285709757909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s="6" customFormat="true" ht="12.75" hidden="false" customHeight="false" outlineLevel="0" collapsed="false">
      <c r="N38" s="45"/>
      <c r="O38" s="45"/>
      <c r="P38" s="45"/>
      <c r="Q38" s="45"/>
      <c r="R38" s="45"/>
      <c r="S38" s="45"/>
      <c r="T38" s="45"/>
    </row>
    <row r="39" s="6" customFormat="true" ht="12.75" hidden="false" customHeight="false" outlineLevel="0" collapsed="false">
      <c r="A39" s="6" t="s">
        <v>57</v>
      </c>
      <c r="B39" s="71" t="n">
        <v>100</v>
      </c>
      <c r="N39" s="45"/>
      <c r="O39" s="45"/>
      <c r="P39" s="45"/>
      <c r="Q39" s="45"/>
      <c r="R39" s="45"/>
      <c r="S39" s="45"/>
      <c r="T39" s="45"/>
    </row>
    <row r="40" s="6" customFormat="true" ht="12.75" hidden="false" customHeight="false" outlineLevel="0" collapsed="false">
      <c r="N40" s="45"/>
      <c r="O40" s="45"/>
      <c r="P40" s="45"/>
      <c r="Q40" s="45"/>
      <c r="R40" s="45"/>
      <c r="S40" s="45"/>
      <c r="T40" s="45"/>
    </row>
    <row r="41" s="3" customFormat="true" ht="12.75" hidden="false" customHeight="false" outlineLevel="0" collapsed="false">
      <c r="A41" s="2" t="s">
        <v>58</v>
      </c>
      <c r="B41" s="2"/>
      <c r="N41" s="56"/>
      <c r="O41" s="56"/>
      <c r="P41" s="56"/>
      <c r="Q41" s="56"/>
      <c r="R41" s="56"/>
      <c r="S41" s="56"/>
      <c r="T41" s="56"/>
    </row>
    <row r="42" s="6" customFormat="true" ht="12.75" hidden="false" customHeight="false" outlineLevel="0" collapsed="false">
      <c r="G42" s="72"/>
      <c r="N42" s="45"/>
      <c r="O42" s="45"/>
      <c r="P42" s="45"/>
      <c r="Q42" s="45"/>
      <c r="R42" s="45"/>
      <c r="S42" s="45"/>
      <c r="T42" s="45"/>
    </row>
    <row r="43" s="6" customFormat="true" ht="12.75" hidden="false" customHeight="false" outlineLevel="0" collapsed="false">
      <c r="B43" s="73"/>
      <c r="C43" s="73"/>
      <c r="D43" s="74" t="n">
        <f aca="false">$B$39*(D90-$B$103)*D67</f>
        <v>2.39953930614358</v>
      </c>
      <c r="E43" s="64"/>
      <c r="G43" s="72"/>
      <c r="N43" s="45"/>
      <c r="O43" s="45"/>
      <c r="P43" s="45"/>
      <c r="Q43" s="45"/>
      <c r="R43" s="45"/>
      <c r="S43" s="45"/>
      <c r="T43" s="45"/>
    </row>
    <row r="44" s="6" customFormat="true" ht="12.75" hidden="false" customHeight="false" outlineLevel="0" collapsed="false">
      <c r="B44" s="73"/>
      <c r="C44" s="74" t="n">
        <f aca="false">0.5*(D43+D44)*C68+$B$39*(C91-$B$103)*C68</f>
        <v>2.28538256755457</v>
      </c>
      <c r="D44" s="74" t="n">
        <f aca="false">$B$39*(D91-$B$103)*D68</f>
        <v>0.0287930896186978</v>
      </c>
      <c r="E44" s="64"/>
      <c r="G44" s="72"/>
      <c r="N44" s="45"/>
      <c r="O44" s="45"/>
      <c r="P44" s="45"/>
      <c r="Q44" s="45"/>
      <c r="R44" s="45"/>
      <c r="S44" s="45"/>
      <c r="T44" s="45"/>
    </row>
    <row r="45" s="6" customFormat="true" ht="12.75" hidden="false" customHeight="false" outlineLevel="0" collapsed="false">
      <c r="A45" s="6" t="s">
        <v>20</v>
      </c>
      <c r="B45" s="74" t="n">
        <f aca="false">0.5*(C44+C45)*B69+$B$39*(B92-$B$103)*B69</f>
        <v>-1.28585130885875E-014</v>
      </c>
      <c r="C45" s="74" t="n">
        <f aca="false">0.5*(D44+D45)*C69+$B$39*(C92-$B$103)*C69</f>
        <v>-2.2853825675546</v>
      </c>
      <c r="D45" s="74" t="n">
        <f aca="false">$B$39*(D92-$B$103)*D69</f>
        <v>-2.39953930614358</v>
      </c>
      <c r="E45" s="64"/>
      <c r="F45" s="75"/>
      <c r="G45" s="75"/>
      <c r="H45" s="76"/>
      <c r="I45" s="76"/>
      <c r="J45" s="76"/>
      <c r="K45" s="76"/>
      <c r="L45" s="76"/>
      <c r="M45" s="76"/>
      <c r="N45" s="45"/>
      <c r="O45" s="45"/>
      <c r="P45" s="45"/>
      <c r="Q45" s="45"/>
      <c r="R45" s="45"/>
      <c r="S45" s="45"/>
      <c r="T45" s="45"/>
    </row>
    <row r="46" s="6" customFormat="true" ht="12.75" hidden="false" customHeight="false" outlineLevel="0" collapsed="false">
      <c r="A46" s="60" t="s">
        <v>47</v>
      </c>
      <c r="B46" s="60" t="n">
        <v>0</v>
      </c>
      <c r="C46" s="60" t="n">
        <v>1</v>
      </c>
      <c r="D46" s="60" t="n">
        <v>2</v>
      </c>
      <c r="E46" s="60" t="n">
        <v>3</v>
      </c>
      <c r="N46" s="45"/>
      <c r="O46" s="45"/>
      <c r="P46" s="45"/>
      <c r="Q46" s="45"/>
      <c r="R46" s="45"/>
      <c r="S46" s="45"/>
      <c r="T46" s="45"/>
    </row>
    <row r="47" s="6" customFormat="true" ht="12.75" hidden="false" customHeight="false" outlineLevel="0" collapsed="false">
      <c r="G47" s="72"/>
      <c r="N47" s="45"/>
      <c r="O47" s="45"/>
      <c r="P47" s="45"/>
      <c r="Q47" s="45"/>
      <c r="R47" s="45"/>
      <c r="S47" s="45"/>
      <c r="T47" s="45"/>
    </row>
    <row r="48" s="3" customFormat="true" ht="12.75" hidden="false" customHeight="false" outlineLevel="0" collapsed="false">
      <c r="A48" s="2" t="s">
        <v>59</v>
      </c>
      <c r="B48" s="2"/>
      <c r="N48" s="56"/>
      <c r="O48" s="56"/>
      <c r="P48" s="56"/>
      <c r="Q48" s="56"/>
      <c r="R48" s="56"/>
      <c r="S48" s="56"/>
      <c r="T48" s="56"/>
    </row>
    <row r="49" s="6" customFormat="true" ht="12.75" hidden="false" customHeight="false" outlineLevel="0" collapsed="false">
      <c r="G49" s="72"/>
      <c r="N49" s="45"/>
      <c r="O49" s="45"/>
      <c r="P49" s="45"/>
      <c r="Q49" s="45"/>
      <c r="R49" s="45"/>
      <c r="S49" s="45"/>
      <c r="T49" s="45"/>
    </row>
    <row r="50" s="6" customFormat="true" ht="12.75" hidden="false" customHeight="false" outlineLevel="0" collapsed="false">
      <c r="A50" s="77" t="s">
        <v>60</v>
      </c>
      <c r="B50" s="78" t="n">
        <f aca="false">B37</f>
        <v>1</v>
      </c>
      <c r="C50" s="78" t="n">
        <f aca="false">1+PRODUCT($C37:C37)</f>
        <v>1.97628570975791</v>
      </c>
      <c r="D50" s="78" t="n">
        <f aca="false">1+PRODUCT($C37:D37)</f>
        <v>1.9531337870775</v>
      </c>
      <c r="E50" s="78" t="n">
        <f aca="false">1+PRODUCT($C37:E37)</f>
        <v>1.93053089581121</v>
      </c>
      <c r="F50" s="78" t="n">
        <f aca="false">1+PRODUCT($C37:F37)</f>
        <v>1.90846401606871</v>
      </c>
      <c r="G50" s="78" t="n">
        <f aca="false">1+PRODUCT($C37:G37)</f>
        <v>1.88692043671716</v>
      </c>
      <c r="H50" s="79" t="n">
        <f aca="false">1+PRODUCT($C37:H37)</f>
        <v>1.86588774805921</v>
      </c>
      <c r="I50" s="72"/>
      <c r="J50" s="72"/>
      <c r="K50" s="72"/>
      <c r="L50" s="72"/>
      <c r="M50" s="72"/>
      <c r="N50" s="45"/>
      <c r="O50" s="45"/>
      <c r="P50" s="45"/>
      <c r="Q50" s="45"/>
      <c r="R50" s="45"/>
      <c r="S50" s="45"/>
      <c r="T50" s="45"/>
    </row>
    <row r="51" s="6" customFormat="true" ht="12.75" hidden="false" customHeight="false" outlineLevel="0" collapsed="false">
      <c r="A51" s="80"/>
      <c r="B51" s="69"/>
      <c r="C51" s="65"/>
      <c r="D51" s="65" t="n">
        <f aca="false">1+PRODUCT($D37:D37)</f>
        <v>1.97628570975791</v>
      </c>
      <c r="E51" s="65" t="n">
        <f aca="false">1+PRODUCT($D37:E37)</f>
        <v>1.9531337870775</v>
      </c>
      <c r="F51" s="65" t="n">
        <f aca="false">1+PRODUCT($D37:F37)</f>
        <v>1.93053089581121</v>
      </c>
      <c r="G51" s="65" t="n">
        <f aca="false">1+PRODUCT($D37:G37)</f>
        <v>1.90846401606871</v>
      </c>
      <c r="H51" s="81" t="n">
        <f aca="false">1+PRODUCT($D37:H37)</f>
        <v>1.88692043671716</v>
      </c>
      <c r="I51" s="72"/>
      <c r="J51" s="72"/>
      <c r="K51" s="72"/>
      <c r="L51" s="72"/>
      <c r="M51" s="72"/>
      <c r="N51" s="45"/>
      <c r="O51" s="45"/>
      <c r="P51" s="45"/>
      <c r="Q51" s="45"/>
      <c r="R51" s="45"/>
      <c r="S51" s="45"/>
      <c r="T51" s="45"/>
    </row>
    <row r="52" s="6" customFormat="true" ht="12.75" hidden="false" customHeight="false" outlineLevel="0" collapsed="false">
      <c r="A52" s="80"/>
      <c r="B52" s="69"/>
      <c r="C52" s="69"/>
      <c r="D52" s="69"/>
      <c r="E52" s="65" t="n">
        <f aca="false">1+PRODUCT($E37:E37)</f>
        <v>1.97628570975791</v>
      </c>
      <c r="F52" s="65" t="n">
        <f aca="false">1+PRODUCT($E37:F37)</f>
        <v>1.9531337870775</v>
      </c>
      <c r="G52" s="65" t="n">
        <f aca="false">1+PRODUCT($E37:G37)</f>
        <v>1.93053089581121</v>
      </c>
      <c r="H52" s="81" t="n">
        <f aca="false">1+PRODUCT($E37:H37)</f>
        <v>1.90846401606871</v>
      </c>
      <c r="I52" s="72"/>
      <c r="J52" s="72"/>
      <c r="K52" s="72"/>
      <c r="L52" s="72"/>
      <c r="M52" s="72"/>
      <c r="N52" s="45"/>
      <c r="O52" s="45"/>
      <c r="P52" s="45"/>
      <c r="Q52" s="45"/>
      <c r="R52" s="45"/>
      <c r="S52" s="45"/>
      <c r="T52" s="45"/>
    </row>
    <row r="53" s="6" customFormat="true" ht="12.75" hidden="false" customHeight="false" outlineLevel="0" collapsed="false">
      <c r="A53" s="80"/>
      <c r="B53" s="69"/>
      <c r="C53" s="69"/>
      <c r="D53" s="69"/>
      <c r="E53" s="69"/>
      <c r="F53" s="65" t="n">
        <f aca="false">1+PRODUCT($F37:F37)</f>
        <v>1.97628570975791</v>
      </c>
      <c r="G53" s="65" t="n">
        <f aca="false">1+PRODUCT($F37:G37)</f>
        <v>1.9531337870775</v>
      </c>
      <c r="H53" s="81" t="n">
        <f aca="false">1+PRODUCT($F37:H37)</f>
        <v>1.93053089581121</v>
      </c>
      <c r="I53" s="72"/>
      <c r="J53" s="72"/>
      <c r="K53" s="72"/>
      <c r="L53" s="72"/>
      <c r="M53" s="72"/>
      <c r="N53" s="45"/>
      <c r="O53" s="45"/>
      <c r="P53" s="45"/>
      <c r="Q53" s="45"/>
      <c r="R53" s="45"/>
      <c r="S53" s="45"/>
      <c r="T53" s="45"/>
    </row>
    <row r="54" s="6" customFormat="true" ht="12.75" hidden="false" customHeight="false" outlineLevel="0" collapsed="false">
      <c r="A54" s="80"/>
      <c r="B54" s="69"/>
      <c r="C54" s="69"/>
      <c r="D54" s="69"/>
      <c r="E54" s="69"/>
      <c r="F54" s="69"/>
      <c r="G54" s="65" t="n">
        <f aca="false">1+PRODUCT($G37:G37)</f>
        <v>1.97628570975791</v>
      </c>
      <c r="H54" s="81" t="n">
        <f aca="false">1+PRODUCT($G37:H37)</f>
        <v>1.9531337870775</v>
      </c>
      <c r="I54" s="72"/>
      <c r="J54" s="72"/>
      <c r="K54" s="72"/>
      <c r="L54" s="72"/>
      <c r="M54" s="72"/>
      <c r="N54" s="45"/>
      <c r="O54" s="45"/>
      <c r="P54" s="45"/>
      <c r="Q54" s="45"/>
      <c r="R54" s="45"/>
      <c r="S54" s="45"/>
      <c r="T54" s="45"/>
    </row>
    <row r="55" s="6" customFormat="true" ht="12.75" hidden="false" customHeight="false" outlineLevel="0" collapsed="false">
      <c r="A55" s="80"/>
      <c r="B55" s="69"/>
      <c r="C55" s="69"/>
      <c r="D55" s="69"/>
      <c r="E55" s="69"/>
      <c r="F55" s="69"/>
      <c r="G55" s="65"/>
      <c r="H55" s="81" t="n">
        <f aca="false">1+PRODUCT($H37:H37)</f>
        <v>1.97628570975791</v>
      </c>
      <c r="I55" s="72"/>
      <c r="J55" s="72"/>
      <c r="K55" s="72"/>
      <c r="L55" s="72"/>
      <c r="M55" s="72"/>
      <c r="N55" s="45"/>
      <c r="O55" s="45"/>
      <c r="P55" s="45"/>
      <c r="Q55" s="45"/>
      <c r="R55" s="45"/>
      <c r="S55" s="45"/>
      <c r="T55" s="45"/>
    </row>
    <row r="56" s="6" customFormat="true" ht="12.75" hidden="false" customHeight="false" outlineLevel="0" collapsed="false">
      <c r="A56" s="80"/>
      <c r="B56" s="69"/>
      <c r="C56" s="69"/>
      <c r="D56" s="69"/>
      <c r="E56" s="69"/>
      <c r="F56" s="69"/>
      <c r="G56" s="65"/>
      <c r="H56" s="82"/>
      <c r="I56" s="72"/>
      <c r="J56" s="72"/>
      <c r="K56" s="72"/>
      <c r="L56" s="72"/>
      <c r="M56" s="72"/>
      <c r="N56" s="45"/>
      <c r="O56" s="45"/>
      <c r="P56" s="45"/>
      <c r="Q56" s="45"/>
      <c r="R56" s="45"/>
      <c r="S56" s="45"/>
      <c r="T56" s="45"/>
    </row>
    <row r="57" s="6" customFormat="true" ht="12.75" hidden="false" customHeight="false" outlineLevel="0" collapsed="false">
      <c r="A57" s="80" t="s">
        <v>61</v>
      </c>
      <c r="B57" s="69"/>
      <c r="C57" s="65" t="n">
        <f aca="false">PRODUCT(B50:B56)</f>
        <v>1</v>
      </c>
      <c r="D57" s="65" t="n">
        <f aca="false">PRODUCT(C50:C56)</f>
        <v>1.97628570975791</v>
      </c>
      <c r="E57" s="65" t="n">
        <f aca="false">PRODUCT(D50:D56)</f>
        <v>3.85995039264662</v>
      </c>
      <c r="F57" s="65" t="n">
        <f aca="false">PRODUCT(E50:E56)</f>
        <v>7.45175348930289</v>
      </c>
      <c r="G57" s="65" t="n">
        <f aca="false">PRODUCT(F50:F56)</f>
        <v>14.221403390949</v>
      </c>
      <c r="H57" s="81" t="n">
        <f aca="false">PRODUCT(G50:G56)</f>
        <v>26.8346566971803</v>
      </c>
      <c r="I57" s="83"/>
      <c r="J57" s="83"/>
      <c r="K57" s="83"/>
      <c r="L57" s="83"/>
      <c r="M57" s="83"/>
      <c r="N57" s="45"/>
      <c r="O57" s="45"/>
      <c r="P57" s="45"/>
      <c r="Q57" s="45"/>
      <c r="R57" s="45"/>
      <c r="S57" s="45"/>
      <c r="T57" s="45"/>
    </row>
    <row r="58" s="6" customFormat="true" ht="12.75" hidden="false" customHeight="false" outlineLevel="0" collapsed="false">
      <c r="A58" s="80" t="s">
        <v>62</v>
      </c>
      <c r="B58" s="69"/>
      <c r="C58" s="65" t="n">
        <f aca="false">PRODUCT(C50:C56)</f>
        <v>1.97628570975791</v>
      </c>
      <c r="D58" s="65" t="n">
        <f aca="false">PRODUCT(D50:D56)</f>
        <v>3.85995039264662</v>
      </c>
      <c r="E58" s="65" t="n">
        <f aca="false">PRODUCT(E50:E56)</f>
        <v>7.45175348930289</v>
      </c>
      <c r="F58" s="65" t="n">
        <f aca="false">PRODUCT(F50:F56)</f>
        <v>14.221403390949</v>
      </c>
      <c r="G58" s="65" t="n">
        <f aca="false">PRODUCT(G50:G56)</f>
        <v>26.8346566971803</v>
      </c>
      <c r="H58" s="81" t="n">
        <f aca="false">PRODUCT(H50:H56)</f>
        <v>50.0704571546437</v>
      </c>
      <c r="I58" s="83"/>
      <c r="J58" s="83"/>
      <c r="K58" s="83"/>
      <c r="L58" s="83"/>
      <c r="M58" s="83"/>
      <c r="N58" s="45"/>
      <c r="O58" s="45"/>
      <c r="P58" s="45"/>
      <c r="Q58" s="45"/>
      <c r="R58" s="45"/>
      <c r="S58" s="45"/>
      <c r="T58" s="45"/>
    </row>
    <row r="59" s="6" customFormat="true" ht="12.75" hidden="false" customHeight="false" outlineLevel="0" collapsed="false">
      <c r="A59" s="80"/>
      <c r="B59" s="45"/>
      <c r="C59" s="45"/>
      <c r="D59" s="45"/>
      <c r="E59" s="45"/>
      <c r="F59" s="45"/>
      <c r="G59" s="45"/>
      <c r="H59" s="84"/>
      <c r="N59" s="45"/>
      <c r="O59" s="45"/>
      <c r="P59" s="45"/>
      <c r="Q59" s="45"/>
      <c r="R59" s="45"/>
      <c r="S59" s="45"/>
      <c r="T59" s="45"/>
    </row>
    <row r="60" customFormat="false" ht="12.75" hidden="false" customHeight="false" outlineLevel="0" collapsed="false">
      <c r="A60" s="85" t="s">
        <v>47</v>
      </c>
      <c r="B60" s="86" t="n">
        <v>0</v>
      </c>
      <c r="C60" s="86" t="n">
        <v>1</v>
      </c>
      <c r="D60" s="86" t="n">
        <v>2</v>
      </c>
      <c r="E60" s="86" t="n">
        <v>3</v>
      </c>
      <c r="F60" s="86" t="n">
        <v>4</v>
      </c>
      <c r="G60" s="86" t="n">
        <v>5</v>
      </c>
      <c r="H60" s="87" t="n">
        <v>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="6" customFormat="true" ht="12.75" hidden="false" customHeight="false" outlineLevel="0" collapsed="false">
      <c r="N61" s="45"/>
      <c r="O61" s="45"/>
      <c r="P61" s="45"/>
      <c r="Q61" s="45"/>
      <c r="R61" s="45"/>
      <c r="S61" s="45"/>
      <c r="T61" s="45"/>
    </row>
    <row r="62" s="6" customFormat="true" ht="12.75" hidden="false" customHeight="false" outlineLevel="0" collapsed="false">
      <c r="G62" s="72"/>
      <c r="M62" s="83"/>
      <c r="N62" s="45"/>
      <c r="O62" s="45"/>
      <c r="P62" s="45"/>
      <c r="Q62" s="45"/>
      <c r="R62" s="45"/>
      <c r="S62" s="45"/>
      <c r="T62" s="45"/>
    </row>
    <row r="63" s="6" customFormat="true" ht="12.75" hidden="false" customHeight="false" outlineLevel="0" collapsed="false">
      <c r="B63" s="8"/>
      <c r="C63" s="8"/>
      <c r="D63" s="8"/>
      <c r="E63" s="8"/>
      <c r="F63" s="8"/>
      <c r="G63" s="64"/>
      <c r="H63" s="64" t="n">
        <f aca="false">H64*H$37</f>
        <v>0.839801467240249</v>
      </c>
      <c r="I63" s="83"/>
      <c r="J63" s="83"/>
      <c r="K63" s="83"/>
      <c r="L63" s="83"/>
      <c r="M63" s="83"/>
      <c r="N63" s="45"/>
      <c r="O63" s="45"/>
      <c r="P63" s="45"/>
      <c r="Q63" s="45"/>
      <c r="R63" s="45"/>
      <c r="S63" s="45"/>
      <c r="T63" s="45"/>
    </row>
    <row r="64" s="6" customFormat="true" ht="12.75" hidden="false" customHeight="false" outlineLevel="0" collapsed="false">
      <c r="B64" s="64"/>
      <c r="C64" s="64"/>
      <c r="D64" s="64"/>
      <c r="E64" s="64"/>
      <c r="F64" s="64"/>
      <c r="G64" s="64" t="n">
        <f aca="false">G65*G$37</f>
        <v>0.850612227570858</v>
      </c>
      <c r="H64" s="64" t="n">
        <f aca="false">H65*H$37</f>
        <v>0.860200511844525</v>
      </c>
      <c r="I64" s="83"/>
      <c r="J64" s="83"/>
      <c r="K64" s="83"/>
      <c r="L64" s="83"/>
      <c r="M64" s="83"/>
      <c r="N64" s="45"/>
      <c r="O64" s="45"/>
      <c r="P64" s="45"/>
      <c r="Q64" s="45"/>
      <c r="R64" s="45"/>
      <c r="S64" s="45"/>
      <c r="T64" s="45"/>
    </row>
    <row r="65" s="6" customFormat="true" ht="12.75" hidden="false" customHeight="false" outlineLevel="0" collapsed="false">
      <c r="B65" s="64"/>
      <c r="C65" s="64"/>
      <c r="D65" s="64"/>
      <c r="E65" s="64"/>
      <c r="F65" s="64" t="n">
        <f aca="false">F66*F$37</f>
        <v>0.861438547184631</v>
      </c>
      <c r="G65" s="64" t="n">
        <f aca="false">G66*G$37</f>
        <v>0.871273868980203</v>
      </c>
      <c r="H65" s="64" t="n">
        <f aca="false">H66*H$37</f>
        <v>0.881095055726904</v>
      </c>
      <c r="I65" s="83"/>
      <c r="J65" s="83"/>
      <c r="K65" s="83"/>
      <c r="L65" s="83"/>
      <c r="M65" s="83"/>
      <c r="N65" s="45"/>
      <c r="O65" s="45"/>
      <c r="P65" s="45"/>
      <c r="Q65" s="45"/>
      <c r="R65" s="45"/>
      <c r="S65" s="45"/>
      <c r="T65" s="45"/>
    </row>
    <row r="66" s="6" customFormat="true" ht="12.75" hidden="false" customHeight="false" outlineLevel="0" collapsed="false">
      <c r="B66" s="64"/>
      <c r="C66" s="64"/>
      <c r="D66" s="64"/>
      <c r="E66" s="64" t="n">
        <f aca="false">E67*E$37</f>
        <v>0.872277335727074</v>
      </c>
      <c r="F66" s="64" t="n">
        <f aca="false">F67*F$37</f>
        <v>0.882363163338981</v>
      </c>
      <c r="G66" s="64" t="n">
        <f aca="false">G67*G$37</f>
        <v>0.892437388227524</v>
      </c>
      <c r="H66" s="64" t="n">
        <f aca="false">H67*H$37</f>
        <v>0.902497134722366</v>
      </c>
      <c r="I66" s="83"/>
      <c r="J66" s="83"/>
      <c r="K66" s="83"/>
      <c r="L66" s="83"/>
      <c r="M66" s="83"/>
      <c r="N66" s="45"/>
      <c r="O66" s="45"/>
      <c r="P66" s="45"/>
      <c r="Q66" s="45"/>
      <c r="R66" s="45"/>
      <c r="S66" s="45"/>
      <c r="T66" s="45"/>
    </row>
    <row r="67" s="6" customFormat="true" ht="12.75" hidden="false" customHeight="false" outlineLevel="0" collapsed="false">
      <c r="B67" s="64"/>
      <c r="C67" s="64"/>
      <c r="D67" s="64" t="n">
        <f aca="false">D68*D$37</f>
        <v>0.883125488533492</v>
      </c>
      <c r="E67" s="64" t="n">
        <f aca="false">E68*E$37</f>
        <v>0.893465229500669</v>
      </c>
      <c r="F67" s="64" t="n">
        <f aca="false">F68*F$37</f>
        <v>0.903796045071459</v>
      </c>
      <c r="G67" s="64" t="n">
        <f aca="false">G68*G$37</f>
        <v>0.914114976085047</v>
      </c>
      <c r="H67" s="64" t="n">
        <f aca="false">H68*H$37</f>
        <v>0.924419077020147</v>
      </c>
      <c r="I67" s="83"/>
      <c r="J67" s="83"/>
      <c r="K67" s="83"/>
      <c r="L67" s="83"/>
      <c r="M67" s="83"/>
      <c r="N67" s="45"/>
      <c r="O67" s="45"/>
      <c r="P67" s="45"/>
      <c r="Q67" s="45"/>
      <c r="R67" s="45"/>
      <c r="S67" s="45"/>
      <c r="T67" s="45"/>
    </row>
    <row r="68" s="6" customFormat="true" ht="12.75" hidden="false" customHeight="false" outlineLevel="0" collapsed="false">
      <c r="B68" s="64"/>
      <c r="C68" s="64" t="n">
        <f aca="false">C69*C$37</f>
        <v>0.893979890175862</v>
      </c>
      <c r="D68" s="64" t="n">
        <f aca="false">D69*D$37</f>
        <v>0.904576887387281</v>
      </c>
      <c r="E68" s="64" t="n">
        <f aca="false">E69*E$37</f>
        <v>0.915167783949457</v>
      </c>
      <c r="F68" s="64" t="n">
        <f aca="false">F69*F$37</f>
        <v>0.925749538314532</v>
      </c>
      <c r="G68" s="64" t="n">
        <f aca="false">G69*G$37</f>
        <v>0.936319119442731</v>
      </c>
      <c r="H68" s="64" t="n">
        <f aca="false">H69*H$37</f>
        <v>0.946873510265121</v>
      </c>
      <c r="I68" s="83"/>
      <c r="J68" s="83"/>
      <c r="K68" s="83"/>
      <c r="L68" s="83"/>
      <c r="M68" s="83"/>
      <c r="N68" s="45"/>
      <c r="O68" s="45"/>
      <c r="P68" s="45"/>
      <c r="Q68" s="45"/>
      <c r="R68" s="45"/>
      <c r="S68" s="45"/>
      <c r="T68" s="45"/>
    </row>
    <row r="69" s="6" customFormat="true" ht="12.75" hidden="false" customHeight="false" outlineLevel="0" collapsed="false">
      <c r="A69" s="1" t="s">
        <v>63</v>
      </c>
      <c r="B69" s="64" t="n">
        <f aca="false">B36</f>
        <v>0.90483741803596</v>
      </c>
      <c r="C69" s="64" t="n">
        <f aca="false">C36*C57/C58*2</f>
        <v>0.915694945896057</v>
      </c>
      <c r="D69" s="64" t="n">
        <f aca="false">D36*D57/D58*2</f>
        <v>0.926549347538427</v>
      </c>
      <c r="E69" s="64" t="n">
        <f aca="false">E36*E57/E58*2</f>
        <v>0.937397500344845</v>
      </c>
      <c r="F69" s="64" t="n">
        <f aca="false">F36*F57/F58*2</f>
        <v>0.948236288887288</v>
      </c>
      <c r="G69" s="64" t="n">
        <f aca="false">G36*G57/G58*2</f>
        <v>0.959062608501061</v>
      </c>
      <c r="H69" s="64" t="n">
        <f aca="false">H36*H57/H58*2</f>
        <v>0.96987336883167</v>
      </c>
      <c r="I69" s="83"/>
      <c r="J69" s="83"/>
      <c r="K69" s="83"/>
      <c r="L69" s="83"/>
      <c r="M69" s="83"/>
      <c r="N69" s="45"/>
      <c r="O69" s="45"/>
      <c r="P69" s="45"/>
      <c r="Q69" s="45"/>
      <c r="R69" s="45"/>
      <c r="S69" s="45"/>
      <c r="T69" s="45"/>
    </row>
    <row r="70" s="6" customFormat="true" ht="12.75" hidden="false" customHeight="false" outlineLevel="0" collapsed="false">
      <c r="A70" s="60" t="s">
        <v>47</v>
      </c>
      <c r="B70" s="88" t="n">
        <v>0</v>
      </c>
      <c r="C70" s="88" t="n">
        <v>1</v>
      </c>
      <c r="D70" s="88" t="n">
        <v>2</v>
      </c>
      <c r="E70" s="88" t="n">
        <v>3</v>
      </c>
      <c r="F70" s="88" t="n">
        <v>4</v>
      </c>
      <c r="G70" s="88" t="n">
        <v>5</v>
      </c>
      <c r="H70" s="88" t="n">
        <v>6</v>
      </c>
      <c r="N70" s="45"/>
      <c r="O70" s="45"/>
      <c r="P70" s="45"/>
      <c r="Q70" s="45"/>
      <c r="R70" s="45"/>
      <c r="S70" s="45"/>
      <c r="T70" s="45"/>
    </row>
    <row r="71" s="6" customFormat="true" ht="12.75" hidden="false" customHeight="false" outlineLevel="0" collapsed="false">
      <c r="B71" s="8"/>
      <c r="C71" s="8"/>
      <c r="D71" s="8"/>
      <c r="E71" s="8"/>
      <c r="F71" s="8"/>
      <c r="G71" s="8"/>
      <c r="H71" s="8"/>
      <c r="I71" s="89"/>
      <c r="N71" s="45"/>
      <c r="O71" s="45"/>
      <c r="P71" s="45"/>
      <c r="Q71" s="45"/>
      <c r="R71" s="45"/>
      <c r="S71" s="45"/>
      <c r="T71" s="45"/>
    </row>
    <row r="72" s="6" customFormat="true" ht="12.75" hidden="false" customHeight="false" outlineLevel="0" collapsed="false">
      <c r="B72" s="64"/>
      <c r="C72" s="64"/>
      <c r="D72" s="64"/>
      <c r="E72" s="64"/>
      <c r="F72" s="64"/>
      <c r="G72" s="64"/>
      <c r="H72" s="64" t="n">
        <f aca="false">-LN(H63)</f>
        <v>0.174589763603004</v>
      </c>
      <c r="I72" s="76"/>
      <c r="J72" s="76"/>
      <c r="K72" s="76"/>
      <c r="L72" s="76"/>
      <c r="M72" s="76"/>
      <c r="N72" s="45"/>
      <c r="O72" s="45"/>
      <c r="P72" s="45"/>
      <c r="Q72" s="45"/>
      <c r="R72" s="45"/>
      <c r="S72" s="45"/>
      <c r="T72" s="45"/>
    </row>
    <row r="73" s="6" customFormat="true" ht="12.75" hidden="false" customHeight="false" outlineLevel="0" collapsed="false">
      <c r="B73" s="64" t="s">
        <v>64</v>
      </c>
      <c r="C73" s="64"/>
      <c r="D73" s="64"/>
      <c r="E73" s="64"/>
      <c r="F73" s="64"/>
      <c r="G73" s="64" t="n">
        <f aca="false">-LN(G64)</f>
        <v>0.161798921035668</v>
      </c>
      <c r="H73" s="64" t="n">
        <f aca="false">-LN(H64)</f>
        <v>0.150589763603004</v>
      </c>
      <c r="I73" s="76"/>
      <c r="J73" s="76"/>
      <c r="K73" s="76"/>
      <c r="L73" s="76"/>
      <c r="M73" s="76"/>
      <c r="N73" s="45"/>
      <c r="O73" s="45"/>
      <c r="P73" s="45"/>
      <c r="Q73" s="45"/>
      <c r="R73" s="45"/>
      <c r="S73" s="45"/>
      <c r="T73" s="45"/>
    </row>
    <row r="74" s="6" customFormat="true" ht="12.75" hidden="false" customHeight="false" outlineLevel="0" collapsed="false">
      <c r="B74" s="64"/>
      <c r="C74" s="64"/>
      <c r="D74" s="64"/>
      <c r="E74" s="64"/>
      <c r="F74" s="64" t="n">
        <f aca="false">-LN(F65)</f>
        <v>0.149151557903601</v>
      </c>
      <c r="G74" s="64" t="n">
        <f aca="false">-LN(G65)</f>
        <v>0.137798921035668</v>
      </c>
      <c r="H74" s="64" t="n">
        <f aca="false">-LN(H65)</f>
        <v>0.126589763603004</v>
      </c>
      <c r="I74" s="76"/>
      <c r="J74" s="76"/>
      <c r="K74" s="76"/>
      <c r="L74" s="76"/>
      <c r="M74" s="76"/>
      <c r="N74" s="45"/>
      <c r="O74" s="45"/>
      <c r="P74" s="45"/>
      <c r="Q74" s="45"/>
      <c r="R74" s="45"/>
      <c r="S74" s="45"/>
      <c r="T74" s="45"/>
    </row>
    <row r="75" s="6" customFormat="true" ht="12.75" hidden="false" customHeight="false" outlineLevel="0" collapsed="false">
      <c r="B75" s="64"/>
      <c r="C75" s="64"/>
      <c r="D75" s="64"/>
      <c r="E75" s="64" t="n">
        <f aca="false">-LN(E66)</f>
        <v>0.136647860080354</v>
      </c>
      <c r="F75" s="64" t="n">
        <f aca="false">-LN(F66)</f>
        <v>0.125151557903601</v>
      </c>
      <c r="G75" s="64" t="n">
        <f aca="false">-LN(G66)</f>
        <v>0.113798921035668</v>
      </c>
      <c r="H75" s="64" t="n">
        <f aca="false">-LN(H66)</f>
        <v>0.102589763603004</v>
      </c>
      <c r="I75" s="76"/>
      <c r="J75" s="76"/>
      <c r="K75" s="76"/>
      <c r="L75" s="76"/>
      <c r="M75" s="76"/>
      <c r="N75" s="45"/>
      <c r="O75" s="45"/>
      <c r="P75" s="45"/>
      <c r="Q75" s="45"/>
      <c r="R75" s="45"/>
      <c r="S75" s="45"/>
      <c r="T75" s="45"/>
    </row>
    <row r="76" s="6" customFormat="true" ht="12.75" hidden="false" customHeight="false" outlineLevel="0" collapsed="false">
      <c r="B76" s="64"/>
      <c r="C76" s="64"/>
      <c r="D76" s="64" t="n">
        <f aca="false">-LN(D67)</f>
        <v>0.124287972356246</v>
      </c>
      <c r="E76" s="64" t="n">
        <f aca="false">-LN(E67)</f>
        <v>0.112647860080354</v>
      </c>
      <c r="F76" s="64" t="n">
        <f aca="false">-LN(F67)</f>
        <v>0.101151557903601</v>
      </c>
      <c r="G76" s="64" t="n">
        <f aca="false">-LN(G67)</f>
        <v>0.0897989210356684</v>
      </c>
      <c r="H76" s="64" t="n">
        <f aca="false">-LN(H67)</f>
        <v>0.0785897636030044</v>
      </c>
      <c r="I76" s="76"/>
      <c r="J76" s="76"/>
      <c r="K76" s="76"/>
      <c r="L76" s="76"/>
      <c r="M76" s="76"/>
      <c r="N76" s="45"/>
      <c r="O76" s="45"/>
      <c r="P76" s="45"/>
      <c r="Q76" s="45"/>
      <c r="R76" s="45"/>
      <c r="S76" s="45"/>
      <c r="T76" s="45"/>
    </row>
    <row r="77" s="6" customFormat="true" ht="12.75" hidden="false" customHeight="false" outlineLevel="0" collapsed="false">
      <c r="B77" s="64"/>
      <c r="C77" s="64" t="n">
        <f aca="false">-LN(C68)</f>
        <v>0.112071998272066</v>
      </c>
      <c r="D77" s="64" t="n">
        <f aca="false">-LN(D68)</f>
        <v>0.100287972356246</v>
      </c>
      <c r="E77" s="64" t="n">
        <f aca="false">-LN(E68)</f>
        <v>0.0886478600803538</v>
      </c>
      <c r="F77" s="64" t="n">
        <f aca="false">-LN(F68)</f>
        <v>0.077151557903601</v>
      </c>
      <c r="G77" s="64" t="n">
        <f aca="false">-LN(G68)</f>
        <v>0.0657989210356683</v>
      </c>
      <c r="H77" s="64" t="n">
        <f aca="false">-LN(H68)</f>
        <v>0.0545897636030044</v>
      </c>
      <c r="I77" s="76"/>
      <c r="J77" s="76"/>
      <c r="K77" s="76"/>
      <c r="L77" s="76"/>
      <c r="M77" s="76"/>
      <c r="N77" s="45"/>
      <c r="O77" s="45"/>
      <c r="P77" s="45"/>
      <c r="Q77" s="45"/>
      <c r="R77" s="45"/>
      <c r="S77" s="45"/>
      <c r="T77" s="45"/>
    </row>
    <row r="78" s="6" customFormat="true" ht="12.75" hidden="false" customHeight="false" outlineLevel="0" collapsed="false">
      <c r="A78" s="1" t="s">
        <v>65</v>
      </c>
      <c r="B78" s="64" t="n">
        <f aca="false">-LN(B69)</f>
        <v>0.1</v>
      </c>
      <c r="C78" s="64" t="n">
        <f aca="false">-LN(C69)</f>
        <v>0.0880719982720662</v>
      </c>
      <c r="D78" s="64" t="n">
        <f aca="false">-LN(D69)</f>
        <v>0.0762879723562459</v>
      </c>
      <c r="E78" s="64" t="n">
        <f aca="false">-LN(E69)</f>
        <v>0.0646478600803538</v>
      </c>
      <c r="F78" s="64" t="n">
        <f aca="false">-LN(F69)</f>
        <v>0.053151557903601</v>
      </c>
      <c r="G78" s="64" t="n">
        <f aca="false">-LN(G69)</f>
        <v>0.0417989210356683</v>
      </c>
      <c r="H78" s="64" t="n">
        <f aca="false">-LN(H69)</f>
        <v>0.0305897636030043</v>
      </c>
      <c r="I78" s="76"/>
      <c r="J78" s="76"/>
      <c r="K78" s="76"/>
      <c r="L78" s="76"/>
      <c r="M78" s="76"/>
      <c r="N78" s="45"/>
      <c r="O78" s="45"/>
      <c r="P78" s="45"/>
      <c r="Q78" s="45"/>
      <c r="R78" s="45"/>
      <c r="S78" s="45"/>
      <c r="T78" s="45"/>
    </row>
    <row r="79" s="6" customFormat="true" ht="12.75" hidden="false" customHeight="false" outlineLevel="0" collapsed="false">
      <c r="A79" s="60" t="s">
        <v>47</v>
      </c>
      <c r="B79" s="88" t="n">
        <v>0</v>
      </c>
      <c r="C79" s="88" t="n">
        <v>1</v>
      </c>
      <c r="D79" s="88" t="n">
        <v>2</v>
      </c>
      <c r="E79" s="88" t="n">
        <v>3</v>
      </c>
      <c r="F79" s="88" t="n">
        <v>4</v>
      </c>
      <c r="G79" s="88" t="n">
        <v>5</v>
      </c>
      <c r="H79" s="88" t="n">
        <v>6</v>
      </c>
      <c r="N79" s="45"/>
      <c r="O79" s="45"/>
      <c r="P79" s="45"/>
      <c r="Q79" s="45"/>
      <c r="R79" s="45"/>
      <c r="S79" s="45"/>
      <c r="T79" s="45"/>
    </row>
    <row r="80" s="6" customFormat="true" ht="12.75" hidden="false" customHeight="false" outlineLevel="0" collapsed="false">
      <c r="B80" s="8"/>
      <c r="C80" s="8"/>
      <c r="D80" s="8"/>
      <c r="E80" s="8"/>
      <c r="F80" s="8"/>
      <c r="G80" s="8"/>
      <c r="H80" s="8"/>
      <c r="N80" s="45"/>
      <c r="O80" s="45"/>
      <c r="P80" s="45"/>
      <c r="Q80" s="45"/>
      <c r="R80" s="45"/>
      <c r="S80" s="45"/>
      <c r="T80" s="45"/>
    </row>
    <row r="81" s="6" customFormat="true" ht="12.75" hidden="false" customHeight="false" outlineLevel="0" collapsed="false">
      <c r="B81" s="8"/>
      <c r="C81" s="8"/>
      <c r="D81" s="8"/>
      <c r="E81" s="8"/>
      <c r="F81" s="8"/>
      <c r="G81" s="8"/>
      <c r="H81" s="8" t="n">
        <f aca="false">(H72-H73)/(2*H$31)</f>
        <v>0.12</v>
      </c>
      <c r="N81" s="45"/>
      <c r="O81" s="45"/>
      <c r="P81" s="45"/>
      <c r="Q81" s="45"/>
      <c r="R81" s="45"/>
      <c r="S81" s="45"/>
      <c r="T81" s="45"/>
    </row>
    <row r="82" s="6" customFormat="true" ht="12.75" hidden="false" customHeight="false" outlineLevel="0" collapsed="false">
      <c r="B82" s="8"/>
      <c r="C82" s="8"/>
      <c r="D82" s="8"/>
      <c r="E82" s="8"/>
      <c r="F82" s="8"/>
      <c r="G82" s="8" t="n">
        <f aca="false">(G73-G74)/(2*G$31)</f>
        <v>0.12</v>
      </c>
      <c r="H82" s="8" t="n">
        <f aca="false">(H73-H74)/(2*H$31)</f>
        <v>0.12</v>
      </c>
      <c r="N82" s="45"/>
      <c r="O82" s="45"/>
      <c r="P82" s="45"/>
      <c r="Q82" s="45"/>
      <c r="R82" s="45"/>
      <c r="S82" s="45"/>
      <c r="T82" s="45"/>
    </row>
    <row r="83" s="6" customFormat="true" ht="12.75" hidden="false" customHeight="false" outlineLevel="0" collapsed="false">
      <c r="B83" s="8"/>
      <c r="C83" s="8"/>
      <c r="D83" s="8"/>
      <c r="E83" s="8"/>
      <c r="F83" s="8" t="n">
        <f aca="false">(F74-F75)/(2*F$31)</f>
        <v>0.12</v>
      </c>
      <c r="G83" s="8" t="n">
        <f aca="false">(G74-G75)/(2*G$31)</f>
        <v>0.12</v>
      </c>
      <c r="H83" s="8" t="n">
        <f aca="false">(H74-H75)/(2*H$31)</f>
        <v>0.12</v>
      </c>
      <c r="N83" s="45"/>
      <c r="O83" s="45"/>
      <c r="P83" s="45"/>
      <c r="Q83" s="45"/>
      <c r="R83" s="45"/>
      <c r="S83" s="45"/>
      <c r="T83" s="45"/>
    </row>
    <row r="84" s="6" customFormat="true" ht="12.75" hidden="false" customHeight="false" outlineLevel="0" collapsed="false">
      <c r="B84" s="8"/>
      <c r="C84" s="8"/>
      <c r="D84" s="8"/>
      <c r="E84" s="8" t="n">
        <f aca="false">(E75-E76)/(2*E$31)</f>
        <v>0.12</v>
      </c>
      <c r="F84" s="8" t="n">
        <f aca="false">(F75-F76)/(2*F$31)</f>
        <v>0.12</v>
      </c>
      <c r="G84" s="8" t="n">
        <f aca="false">(G75-G76)/(2*G$31)</f>
        <v>0.12</v>
      </c>
      <c r="H84" s="8" t="n">
        <f aca="false">(H75-H76)/(2*H$31)</f>
        <v>0.12</v>
      </c>
      <c r="N84" s="45"/>
      <c r="O84" s="45"/>
      <c r="P84" s="45"/>
      <c r="Q84" s="45"/>
      <c r="R84" s="45"/>
      <c r="S84" s="45"/>
      <c r="T84" s="45"/>
    </row>
    <row r="85" s="6" customFormat="true" ht="12.75" hidden="false" customHeight="false" outlineLevel="0" collapsed="false">
      <c r="B85" s="8"/>
      <c r="C85" s="8"/>
      <c r="D85" s="8" t="n">
        <f aca="false">(D76-D77)/(2*D$31)</f>
        <v>0.12</v>
      </c>
      <c r="E85" s="8" t="n">
        <f aca="false">(E76-E77)/(2*E$31)</f>
        <v>0.12</v>
      </c>
      <c r="F85" s="8" t="n">
        <f aca="false">(F76-F77)/(2*F$31)</f>
        <v>0.12</v>
      </c>
      <c r="G85" s="8" t="n">
        <f aca="false">(G76-G77)/(2*G$31)</f>
        <v>0.12</v>
      </c>
      <c r="H85" s="8" t="n">
        <f aca="false">(H76-H77)/(2*H$31)</f>
        <v>0.12</v>
      </c>
      <c r="N85" s="45"/>
      <c r="O85" s="45"/>
      <c r="P85" s="45"/>
      <c r="Q85" s="45"/>
      <c r="R85" s="45"/>
      <c r="S85" s="45"/>
      <c r="T85" s="45"/>
    </row>
    <row r="86" s="6" customFormat="true" ht="12.75" hidden="false" customHeight="false" outlineLevel="0" collapsed="false">
      <c r="A86" s="1" t="s">
        <v>66</v>
      </c>
      <c r="B86" s="8"/>
      <c r="C86" s="8" t="n">
        <f aca="false">(C77-C78)/(2*C$31)</f>
        <v>0.12</v>
      </c>
      <c r="D86" s="8" t="n">
        <f aca="false">(D77-D78)/(2*D$31)</f>
        <v>0.12</v>
      </c>
      <c r="E86" s="8" t="n">
        <f aca="false">(E77-E78)/(2*E$31)</f>
        <v>0.12</v>
      </c>
      <c r="F86" s="8" t="n">
        <f aca="false">(F77-F78)/(2*F$31)</f>
        <v>0.12</v>
      </c>
      <c r="G86" s="8" t="n">
        <f aca="false">(G77-G78)/(2*G$31)</f>
        <v>0.12</v>
      </c>
      <c r="H86" s="8" t="n">
        <f aca="false">(H77-H78)/(2*H$31)</f>
        <v>0.12</v>
      </c>
      <c r="N86" s="45"/>
      <c r="O86" s="45"/>
      <c r="P86" s="45"/>
      <c r="Q86" s="45"/>
      <c r="R86" s="45"/>
      <c r="S86" s="45"/>
      <c r="T86" s="45"/>
    </row>
    <row r="87" s="6" customFormat="true" ht="12.75" hidden="false" customHeight="false" outlineLevel="0" collapsed="false">
      <c r="A87" s="60" t="s">
        <v>47</v>
      </c>
      <c r="B87" s="60" t="n">
        <v>0</v>
      </c>
      <c r="C87" s="60" t="n">
        <v>1</v>
      </c>
      <c r="D87" s="60" t="n">
        <v>2</v>
      </c>
      <c r="E87" s="60" t="n">
        <v>3</v>
      </c>
      <c r="F87" s="60" t="n">
        <v>4</v>
      </c>
      <c r="G87" s="60" t="n">
        <v>5</v>
      </c>
      <c r="H87" s="60" t="n">
        <v>6</v>
      </c>
      <c r="N87" s="45"/>
      <c r="O87" s="45"/>
      <c r="P87" s="45"/>
      <c r="Q87" s="45"/>
      <c r="R87" s="45"/>
      <c r="S87" s="45"/>
      <c r="T87" s="45"/>
    </row>
    <row r="88" s="6" customFormat="true" ht="12.75" hidden="false" customHeight="false" outlineLevel="0" collapsed="false">
      <c r="N88" s="45"/>
      <c r="O88" s="45"/>
      <c r="P88" s="45"/>
      <c r="Q88" s="45"/>
      <c r="R88" s="45"/>
      <c r="S88" s="45"/>
      <c r="T88" s="45"/>
    </row>
    <row r="89" s="6" customFormat="true" ht="12.75" hidden="false" customHeight="false" outlineLevel="0" collapsed="false">
      <c r="E89" s="6" t="n">
        <f aca="false">EXP(E75)-1</f>
        <v>0.146424375644777</v>
      </c>
      <c r="N89" s="45"/>
      <c r="O89" s="45"/>
      <c r="P89" s="45"/>
      <c r="Q89" s="45"/>
      <c r="R89" s="45"/>
      <c r="S89" s="45"/>
      <c r="T89" s="45"/>
    </row>
    <row r="90" s="6" customFormat="true" ht="12.75" hidden="false" customHeight="false" outlineLevel="0" collapsed="false">
      <c r="D90" s="6" t="n">
        <f aca="false">EXP(D76)-1</f>
        <v>0.132341907219311</v>
      </c>
      <c r="E90" s="6" t="n">
        <f aca="false">EXP(E76)-1</f>
        <v>0.119237735260129</v>
      </c>
      <c r="N90" s="45"/>
      <c r="O90" s="45"/>
      <c r="P90" s="45"/>
      <c r="Q90" s="45"/>
      <c r="R90" s="45"/>
      <c r="S90" s="45"/>
      <c r="T90" s="45"/>
    </row>
    <row r="91" s="6" customFormat="true" ht="12.75" hidden="false" customHeight="false" outlineLevel="0" collapsed="false">
      <c r="C91" s="6" t="n">
        <f aca="false">EXP(C77)-1</f>
        <v>0.118593394537411</v>
      </c>
      <c r="D91" s="6" t="n">
        <f aca="false">EXP(D77)-1</f>
        <v>0.10548922257823</v>
      </c>
      <c r="E91" s="6" t="n">
        <f aca="false">EXP(E77)-1</f>
        <v>0.0926958067562698</v>
      </c>
      <c r="N91" s="45"/>
      <c r="O91" s="45"/>
      <c r="P91" s="45"/>
      <c r="Q91" s="45"/>
      <c r="R91" s="45"/>
      <c r="S91" s="45"/>
      <c r="T91" s="45"/>
    </row>
    <row r="92" s="6" customFormat="true" ht="12.75" hidden="false" customHeight="false" outlineLevel="0" collapsed="false">
      <c r="A92" s="6" t="s">
        <v>67</v>
      </c>
      <c r="B92" s="6" t="n">
        <f aca="false">EXP(B78)-1</f>
        <v>0.105170918075648</v>
      </c>
      <c r="C92" s="6" t="n">
        <f aca="false">EXP(C78)-1</f>
        <v>0.0920667461164655</v>
      </c>
      <c r="D92" s="6" t="n">
        <f aca="false">EXP(D78)-1</f>
        <v>0.0792733302945061</v>
      </c>
      <c r="E92" s="6" t="n">
        <f aca="false">EXP(E78)-1</f>
        <v>0.0667833012485362</v>
      </c>
      <c r="N92" s="45"/>
      <c r="O92" s="45"/>
      <c r="P92" s="45"/>
      <c r="Q92" s="45"/>
      <c r="R92" s="45"/>
      <c r="S92" s="45"/>
      <c r="T92" s="45"/>
    </row>
    <row r="93" s="6" customFormat="true" ht="12.75" hidden="false" customHeight="false" outlineLevel="0" collapsed="false">
      <c r="A93" s="60" t="s">
        <v>47</v>
      </c>
      <c r="B93" s="60" t="n">
        <v>0</v>
      </c>
      <c r="C93" s="60" t="n">
        <v>1</v>
      </c>
      <c r="D93" s="60" t="n">
        <v>2</v>
      </c>
      <c r="E93" s="60" t="n">
        <v>3</v>
      </c>
      <c r="N93" s="45"/>
      <c r="O93" s="45"/>
      <c r="P93" s="45"/>
      <c r="Q93" s="45"/>
      <c r="R93" s="45"/>
      <c r="S93" s="45"/>
      <c r="T93" s="45"/>
    </row>
    <row r="94" s="6" customFormat="true" ht="12.75" hidden="false" customHeight="false" outlineLevel="0" collapsed="false">
      <c r="N94" s="45"/>
      <c r="O94" s="45"/>
      <c r="P94" s="45"/>
      <c r="Q94" s="45"/>
      <c r="R94" s="45"/>
      <c r="S94" s="45"/>
      <c r="T94" s="45"/>
    </row>
    <row r="95" s="6" customFormat="true" ht="12.75" hidden="false" customHeight="false" outlineLevel="0" collapsed="false">
      <c r="E95" s="6" t="n">
        <f aca="false">$B$39*(1+E89)*E66</f>
        <v>100</v>
      </c>
      <c r="N95" s="45"/>
      <c r="O95" s="45"/>
      <c r="P95" s="45"/>
      <c r="Q95" s="45"/>
      <c r="R95" s="45"/>
      <c r="S95" s="45"/>
      <c r="T95" s="45"/>
    </row>
    <row r="96" s="6" customFormat="true" ht="12.75" hidden="false" customHeight="false" outlineLevel="0" collapsed="false">
      <c r="D96" s="6" t="n">
        <f aca="false">0.5*(E95+E96)*D67+$B$39*D90*D67</f>
        <v>100</v>
      </c>
      <c r="E96" s="6" t="n">
        <f aca="false">$B$39*(1+E90)*E67</f>
        <v>100</v>
      </c>
      <c r="N96" s="45"/>
      <c r="O96" s="45"/>
      <c r="P96" s="45"/>
      <c r="Q96" s="45"/>
      <c r="R96" s="45"/>
      <c r="S96" s="45"/>
      <c r="T96" s="45"/>
    </row>
    <row r="97" s="6" customFormat="true" ht="12.75" hidden="false" customHeight="false" outlineLevel="0" collapsed="false">
      <c r="C97" s="6" t="n">
        <f aca="false">0.5*(D96+D97)*C68+$B$39*C91*C68</f>
        <v>100</v>
      </c>
      <c r="D97" s="6" t="n">
        <f aca="false">0.5*(E96+E97)*D68+$B$39*D91*D68</f>
        <v>100</v>
      </c>
      <c r="E97" s="6" t="n">
        <f aca="false">$B$39*(1+E91)*E68</f>
        <v>100</v>
      </c>
      <c r="N97" s="45"/>
      <c r="O97" s="45"/>
      <c r="P97" s="45"/>
      <c r="Q97" s="45"/>
      <c r="R97" s="45"/>
      <c r="S97" s="45"/>
      <c r="T97" s="45"/>
    </row>
    <row r="98" s="6" customFormat="true" ht="12.75" hidden="false" customHeight="false" outlineLevel="0" collapsed="false">
      <c r="A98" s="6" t="s">
        <v>68</v>
      </c>
      <c r="B98" s="6" t="n">
        <f aca="false">0.5*(C97+C98)*B69+$B$39*B92*B69</f>
        <v>100</v>
      </c>
      <c r="C98" s="6" t="n">
        <f aca="false">0.5*(D97+D98)*C69+$B$39*C92*C69</f>
        <v>100</v>
      </c>
      <c r="D98" s="6" t="n">
        <f aca="false">0.5*(E97+E98)*D69+$B$39*D92*D69</f>
        <v>100</v>
      </c>
      <c r="E98" s="6" t="n">
        <f aca="false">$B$39*(1+E92)*E69</f>
        <v>100</v>
      </c>
      <c r="N98" s="45"/>
      <c r="O98" s="45"/>
      <c r="P98" s="45"/>
      <c r="Q98" s="45"/>
      <c r="R98" s="45"/>
      <c r="S98" s="45"/>
      <c r="T98" s="45"/>
    </row>
    <row r="99" s="6" customFormat="true" ht="12.75" hidden="false" customHeight="false" outlineLevel="0" collapsed="false">
      <c r="A99" s="60" t="s">
        <v>47</v>
      </c>
      <c r="B99" s="60" t="n">
        <v>0</v>
      </c>
      <c r="C99" s="60" t="n">
        <v>1</v>
      </c>
      <c r="D99" s="60" t="n">
        <v>2</v>
      </c>
      <c r="E99" s="60" t="n">
        <v>3</v>
      </c>
      <c r="N99" s="45"/>
      <c r="O99" s="45"/>
      <c r="P99" s="45"/>
      <c r="Q99" s="45"/>
      <c r="R99" s="45"/>
      <c r="S99" s="45"/>
      <c r="T99" s="45"/>
    </row>
    <row r="100" s="6" customFormat="true" ht="12.75" hidden="false" customHeight="false" outlineLevel="0" collapsed="false">
      <c r="N100" s="45"/>
      <c r="O100" s="45"/>
      <c r="P100" s="45"/>
      <c r="Q100" s="45"/>
      <c r="R100" s="45"/>
      <c r="S100" s="45"/>
      <c r="T100" s="45"/>
    </row>
    <row r="101" s="6" customFormat="true" ht="12.75" hidden="false" customHeight="false" outlineLevel="0" collapsed="false">
      <c r="A101" s="90" t="s">
        <v>69</v>
      </c>
      <c r="B101" s="76"/>
      <c r="C101" s="91"/>
      <c r="D101" s="92"/>
      <c r="E101" s="92"/>
      <c r="F101" s="76"/>
      <c r="G101" s="76"/>
      <c r="H101" s="76"/>
      <c r="I101" s="76"/>
      <c r="J101" s="76"/>
      <c r="K101" s="76"/>
      <c r="L101" s="76"/>
      <c r="M101" s="76"/>
      <c r="N101" s="45"/>
      <c r="O101" s="45"/>
      <c r="P101" s="45"/>
      <c r="Q101" s="45"/>
      <c r="R101" s="45"/>
      <c r="S101" s="45"/>
      <c r="T101" s="45"/>
    </row>
    <row r="102" customFormat="false" ht="12.75" hidden="false" customHeight="false" outlineLevel="0" collapsed="false">
      <c r="C102" s="92"/>
      <c r="D102" s="92"/>
      <c r="E102" s="92"/>
    </row>
    <row r="103" customFormat="false" ht="12.75" hidden="false" customHeight="false" outlineLevel="0" collapsed="false">
      <c r="A103" s="1" t="s">
        <v>70</v>
      </c>
      <c r="B103" s="93" t="n">
        <v>0.105170918075648</v>
      </c>
      <c r="C103" s="47" t="s">
        <v>71</v>
      </c>
      <c r="D103" s="92"/>
      <c r="E103" s="92"/>
    </row>
    <row r="104" s="6" customFormat="true" ht="12.75" hidden="false" customHeight="false" outlineLevel="0" collapsed="false">
      <c r="A104" s="60" t="s">
        <v>47</v>
      </c>
      <c r="B104" s="60" t="n">
        <v>0</v>
      </c>
      <c r="C104" s="60" t="n">
        <v>1</v>
      </c>
      <c r="D104" s="60" t="n">
        <v>2</v>
      </c>
      <c r="E104" s="60" t="n">
        <v>3</v>
      </c>
      <c r="N104" s="45"/>
      <c r="O104" s="45"/>
      <c r="P104" s="45"/>
      <c r="Q104" s="45"/>
      <c r="R104" s="45"/>
      <c r="S104" s="45"/>
      <c r="T104" s="45"/>
    </row>
    <row r="106" customFormat="false" ht="12.75" hidden="false" customHeight="false" outlineLevel="0" collapsed="false">
      <c r="E106" s="1" t="n">
        <f aca="false">1+$B$103</f>
        <v>1.10517091807565</v>
      </c>
    </row>
    <row r="107" customFormat="false" ht="12.75" hidden="false" customHeight="false" outlineLevel="0" collapsed="false">
      <c r="D107" s="6" t="n">
        <f aca="false">0.5*(E106+E107)*D67+$B$103</f>
        <v>1.08117552501421</v>
      </c>
      <c r="E107" s="1" t="n">
        <f aca="false">1+$B$103</f>
        <v>1.10517091807565</v>
      </c>
    </row>
    <row r="108" customFormat="false" ht="12.75" hidden="false" customHeight="false" outlineLevel="0" collapsed="false">
      <c r="C108" s="6" t="n">
        <f aca="false">0.5*(D107+D108)*C68+$B$103</f>
        <v>1.0823170924001</v>
      </c>
      <c r="D108" s="6" t="n">
        <f aca="false">0.5*(E107+E108)*D68+$B$103</f>
        <v>1.10488298717946</v>
      </c>
      <c r="E108" s="1" t="n">
        <f aca="false">1+$B$103</f>
        <v>1.10517091807565</v>
      </c>
    </row>
    <row r="109" s="6" customFormat="true" ht="12.75" hidden="false" customHeight="false" outlineLevel="0" collapsed="false">
      <c r="A109" s="1" t="s">
        <v>72</v>
      </c>
      <c r="B109" s="6" t="n">
        <f aca="false">0.5*(C108+C109)*B69</f>
        <v>1</v>
      </c>
      <c r="C109" s="6" t="n">
        <f aca="false">0.5*(D108+D109)*C69+$B$103</f>
        <v>1.12802474375119</v>
      </c>
      <c r="D109" s="6" t="n">
        <f aca="false">0.5*(E108+E109)*D69+$B$103</f>
        <v>1.12916631113708</v>
      </c>
      <c r="E109" s="1" t="n">
        <f aca="false">1+$B$103</f>
        <v>1.10517091807565</v>
      </c>
      <c r="N109" s="45"/>
      <c r="O109" s="45"/>
      <c r="P109" s="45"/>
      <c r="Q109" s="45"/>
      <c r="R109" s="45"/>
      <c r="S109" s="45"/>
      <c r="T109" s="45"/>
    </row>
    <row r="110" customFormat="false" ht="12.75" hidden="false" customHeight="false" outlineLevel="0" collapsed="false">
      <c r="B110" s="94" t="n">
        <f aca="false">(1-B109)^2</f>
        <v>0</v>
      </c>
      <c r="C110" s="18" t="s">
        <v>73</v>
      </c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8" activeCellId="0" sqref="H28"/>
    </sheetView>
  </sheetViews>
  <sheetFormatPr defaultColWidth="8.87890625" defaultRowHeight="12.75" zeroHeight="false" outlineLevelRow="0" outlineLevelCol="0"/>
  <cols>
    <col collapsed="false" customWidth="true" hidden="false" outlineLevel="0" max="1" min="1" style="1" width="25.88"/>
    <col collapsed="false" customWidth="true" hidden="false" outlineLevel="0" max="7" min="2" style="1" width="7.55"/>
    <col collapsed="false" customWidth="true" hidden="false" outlineLevel="0" max="19" min="8" style="6" width="7.55"/>
    <col collapsed="false" customWidth="true" hidden="false" outlineLevel="0" max="23" min="20" style="6" width="7.66"/>
    <col collapsed="false" customWidth="false" hidden="false" outlineLevel="0" max="257" min="24" style="6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customFormat="fals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  <c r="F2" s="6"/>
      <c r="G2" s="6"/>
    </row>
    <row r="3" s="1" customFormat="tru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s="1" customFormat="true" ht="12.75" hidden="false" customHeight="true" outlineLevel="0" collapsed="false">
      <c r="A4" s="5" t="s">
        <v>8</v>
      </c>
      <c r="B4" s="14" t="n">
        <v>37777</v>
      </c>
      <c r="F4" s="15" t="s">
        <v>74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s="1" customFormat="tru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95" t="s">
        <v>75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s="1" customFormat="true" ht="12.75" hidden="false" customHeight="true" outlineLevel="0" collapsed="false">
      <c r="A6" s="5" t="s">
        <v>12</v>
      </c>
      <c r="B6" s="18" t="s">
        <v>13</v>
      </c>
      <c r="C6" s="18"/>
      <c r="D6" s="18"/>
      <c r="F6" s="24" t="s">
        <v>16</v>
      </c>
      <c r="G6" s="25" t="s">
        <v>76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</row>
    <row r="7" s="1" customFormat="tru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96"/>
      <c r="G7" s="97" t="s">
        <v>77</v>
      </c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9"/>
    </row>
    <row r="8" s="1" customFormat="true" ht="12.75" hidden="false" customHeight="true" outlineLevel="0" collapsed="false">
      <c r="A8" s="5" t="s">
        <v>18</v>
      </c>
      <c r="B8" s="28" t="n">
        <v>37926</v>
      </c>
      <c r="C8" s="23"/>
      <c r="D8" s="23"/>
      <c r="E8" s="23"/>
      <c r="F8" s="29" t="s">
        <v>19</v>
      </c>
      <c r="G8" s="30" t="s">
        <v>20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s="1" customFormat="true" ht="12.75" hidden="false" customHeight="true" outlineLevel="0" collapsed="false">
      <c r="A9" s="5" t="s">
        <v>21</v>
      </c>
      <c r="B9" s="23" t="s">
        <v>78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1" customFormat="tru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s="1" customFormat="tru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1" customFormat="tru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2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1" customFormat="tru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44"/>
      <c r="P14" s="6"/>
      <c r="Q14" s="6"/>
      <c r="R14" s="6"/>
    </row>
    <row r="15" s="1" customFormat="tru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44"/>
      <c r="P15" s="6"/>
      <c r="Q15" s="6"/>
      <c r="R15" s="6"/>
    </row>
    <row r="16" s="1" customFormat="tru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44"/>
      <c r="H16" s="45"/>
      <c r="I16" s="45"/>
      <c r="P16" s="6"/>
      <c r="Q16" s="6"/>
      <c r="R16" s="6"/>
    </row>
    <row r="17" s="1" customFormat="tru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44"/>
      <c r="H17" s="46"/>
      <c r="I17" s="45"/>
      <c r="P17" s="6"/>
      <c r="Q17" s="6"/>
      <c r="R17" s="6"/>
    </row>
    <row r="18" s="1" customFormat="tru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44"/>
      <c r="P18" s="6"/>
      <c r="Q18" s="6"/>
      <c r="R18" s="6"/>
    </row>
    <row r="19" s="1" customFormat="tru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50"/>
      <c r="P19" s="6"/>
      <c r="Q19" s="6"/>
      <c r="R19" s="6"/>
    </row>
    <row r="20" s="1" customFormat="tru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s="1" customFormat="tru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s="1" customFormat="tru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customFormat="false" ht="12.75" hidden="false" customHeight="true" outlineLevel="0" collapsed="false">
      <c r="A24" s="5" t="s">
        <v>44</v>
      </c>
      <c r="B24" s="54" t="s">
        <v>79</v>
      </c>
      <c r="C24" s="28"/>
      <c r="D24" s="28"/>
      <c r="E24" s="28"/>
    </row>
    <row r="25" customFormat="false" ht="12.75" hidden="false" customHeight="false" outlineLevel="0" collapsed="false">
      <c r="A25" s="5" t="s">
        <v>80</v>
      </c>
      <c r="B25" s="22" t="s">
        <v>81</v>
      </c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8" customFormat="false" ht="12.75" hidden="false" customHeight="false" outlineLevel="0" collapsed="false">
      <c r="A28" s="1" t="s">
        <v>82</v>
      </c>
      <c r="B28" s="6" t="s">
        <v>83</v>
      </c>
      <c r="C28" s="71" t="n">
        <v>100</v>
      </c>
    </row>
    <row r="29" customFormat="false" ht="12.75" hidden="false" customHeight="false" outlineLevel="0" collapsed="false">
      <c r="A29" s="1" t="s">
        <v>84</v>
      </c>
      <c r="B29" s="1" t="s">
        <v>85</v>
      </c>
      <c r="C29" s="71" t="n">
        <v>2</v>
      </c>
      <c r="D29" s="1" t="s">
        <v>86</v>
      </c>
    </row>
    <row r="30" customFormat="false" ht="12.75" hidden="false" customHeight="false" outlineLevel="0" collapsed="false">
      <c r="A30" s="1" t="s">
        <v>87</v>
      </c>
      <c r="B30" s="6" t="s">
        <v>88</v>
      </c>
      <c r="C30" s="71" t="n">
        <v>4</v>
      </c>
      <c r="D30" s="1" t="s">
        <v>89</v>
      </c>
      <c r="E30" s="1" t="s">
        <v>90</v>
      </c>
    </row>
    <row r="31" s="100" customFormat="true" ht="12.75" hidden="false" customHeight="false" outlineLevel="0" collapsed="false">
      <c r="A31" s="90"/>
      <c r="B31" s="90"/>
      <c r="C31" s="90"/>
      <c r="D31" s="90"/>
      <c r="E31" s="90"/>
      <c r="F31" s="90"/>
      <c r="G31" s="90"/>
      <c r="H31" s="90"/>
      <c r="I31" s="90"/>
    </row>
    <row r="32" customFormat="false" ht="12.75" hidden="false" customHeight="false" outlineLevel="0" collapsed="false">
      <c r="A32" s="6" t="s">
        <v>91</v>
      </c>
      <c r="B32" s="6"/>
      <c r="C32" s="71" t="n">
        <v>0</v>
      </c>
      <c r="D32" s="71" t="n">
        <v>1</v>
      </c>
      <c r="E32" s="71" t="n">
        <v>2</v>
      </c>
      <c r="F32" s="71" t="n">
        <v>3</v>
      </c>
      <c r="G32" s="71" t="n">
        <v>4</v>
      </c>
      <c r="H32" s="71" t="n">
        <v>5</v>
      </c>
      <c r="I32" s="71" t="n">
        <v>6</v>
      </c>
      <c r="J32" s="71" t="n">
        <v>7</v>
      </c>
      <c r="K32" s="71" t="n">
        <v>8</v>
      </c>
      <c r="L32" s="71" t="n">
        <v>9</v>
      </c>
      <c r="M32" s="71" t="n">
        <v>10</v>
      </c>
    </row>
    <row r="33" customFormat="false" ht="12.75" hidden="false" customHeight="false" outlineLevel="0" collapsed="false">
      <c r="A33" s="1" t="s">
        <v>92</v>
      </c>
      <c r="B33" s="6"/>
      <c r="C33" s="68" t="n">
        <v>0.1</v>
      </c>
      <c r="D33" s="68" t="n">
        <f aca="false">C33</f>
        <v>0.1</v>
      </c>
      <c r="E33" s="68" t="n">
        <f aca="false">D33</f>
        <v>0.1</v>
      </c>
      <c r="F33" s="68" t="n">
        <f aca="false">E33</f>
        <v>0.1</v>
      </c>
      <c r="G33" s="68" t="n">
        <f aca="false">F33</f>
        <v>0.1</v>
      </c>
      <c r="H33" s="68" t="n">
        <f aca="false">G33</f>
        <v>0.1</v>
      </c>
      <c r="I33" s="68" t="n">
        <f aca="false">H33</f>
        <v>0.1</v>
      </c>
      <c r="J33" s="68" t="n">
        <f aca="false">I33</f>
        <v>0.1</v>
      </c>
      <c r="K33" s="68" t="n">
        <f aca="false">J33</f>
        <v>0.1</v>
      </c>
      <c r="L33" s="68" t="n">
        <f aca="false">K33</f>
        <v>0.1</v>
      </c>
      <c r="M33" s="68" t="n">
        <f aca="false">L33</f>
        <v>0.1</v>
      </c>
      <c r="O33" s="45"/>
      <c r="P33" s="45"/>
      <c r="Q33" s="45"/>
      <c r="R33" s="45"/>
      <c r="S33" s="45"/>
      <c r="T33" s="45"/>
      <c r="U33" s="45"/>
    </row>
    <row r="34" customFormat="false" ht="14.25" hidden="false" customHeight="false" outlineLevel="0" collapsed="false">
      <c r="A34" s="6" t="s">
        <v>51</v>
      </c>
      <c r="B34" s="6"/>
      <c r="C34" s="71" t="n">
        <v>0.12</v>
      </c>
      <c r="D34" s="71" t="n">
        <f aca="false">C34</f>
        <v>0.12</v>
      </c>
      <c r="E34" s="71" t="n">
        <f aca="false">D34</f>
        <v>0.12</v>
      </c>
      <c r="F34" s="71" t="n">
        <f aca="false">E34</f>
        <v>0.12</v>
      </c>
      <c r="G34" s="71" t="n">
        <f aca="false">F34</f>
        <v>0.12</v>
      </c>
      <c r="H34" s="71" t="n">
        <f aca="false">G34</f>
        <v>0.12</v>
      </c>
      <c r="I34" s="71" t="n">
        <f aca="false">H34</f>
        <v>0.12</v>
      </c>
      <c r="J34" s="71" t="n">
        <f aca="false">I34</f>
        <v>0.12</v>
      </c>
      <c r="K34" s="71" t="n">
        <f aca="false">J34</f>
        <v>0.12</v>
      </c>
      <c r="L34" s="71" t="n">
        <f aca="false">K34</f>
        <v>0.12</v>
      </c>
      <c r="M34" s="71" t="n">
        <f aca="false">L34</f>
        <v>0.12</v>
      </c>
      <c r="N34" s="8"/>
      <c r="P34" s="45"/>
      <c r="Q34" s="45"/>
      <c r="R34" s="45"/>
      <c r="S34" s="45"/>
      <c r="T34" s="45"/>
      <c r="U34" s="45"/>
      <c r="V34" s="45"/>
    </row>
    <row r="35" customFormat="false" ht="12.75" hidden="false" customHeight="true" outlineLevel="0" collapsed="false">
      <c r="B35" s="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O35" s="45"/>
      <c r="P35" s="45"/>
      <c r="Q35" s="45"/>
      <c r="R35" s="45"/>
      <c r="S35" s="45"/>
      <c r="T35" s="45"/>
      <c r="U35" s="45"/>
    </row>
    <row r="36" s="3" customFormat="true" ht="12.75" hidden="false" customHeight="true" outlineLevel="0" collapsed="false">
      <c r="A36" s="2" t="s">
        <v>58</v>
      </c>
    </row>
    <row r="37" customFormat="false" ht="12.75" hidden="false" customHeight="true" outlineLevel="0" collapsed="false">
      <c r="B37" s="92"/>
      <c r="C37" s="45"/>
      <c r="D37" s="92"/>
      <c r="E37" s="92"/>
      <c r="F37" s="92"/>
    </row>
    <row r="38" customFormat="false" ht="12.75" hidden="false" customHeight="true" outlineLevel="0" collapsed="false">
      <c r="C38" s="74"/>
      <c r="D38" s="74"/>
      <c r="E38" s="74"/>
      <c r="F38" s="74" t="e">
        <f aca="false">$C$28*(F149-$B$130)*F78</f>
        <v>#VALUE!</v>
      </c>
      <c r="G38" s="6"/>
    </row>
    <row r="39" customFormat="false" ht="12.75" hidden="false" customHeight="true" outlineLevel="0" collapsed="false">
      <c r="C39" s="74"/>
      <c r="D39" s="74"/>
      <c r="E39" s="74" t="e">
        <f aca="false">0.5*(F38+F39)*E79+(E150-$B$130)*E79</f>
        <v>#VALUE!</v>
      </c>
      <c r="F39" s="74" t="e">
        <f aca="false">$C$28*(F150-$B$130)*F79</f>
        <v>#VALUE!</v>
      </c>
      <c r="G39" s="6"/>
    </row>
    <row r="40" customFormat="false" ht="12.75" hidden="false" customHeight="true" outlineLevel="0" collapsed="false">
      <c r="C40" s="74"/>
      <c r="D40" s="74" t="e">
        <f aca="false">0.5*(E39+E40)*D80+(D151-$B$130)*D80</f>
        <v>#VALUE!</v>
      </c>
      <c r="E40" s="74" t="e">
        <f aca="false">0.5*(F39+F40)*E80+(E151-$B$130)*E80</f>
        <v>#VALUE!</v>
      </c>
      <c r="F40" s="74" t="e">
        <f aca="false">$C$28*(F151-$B$130)*F80</f>
        <v>#VALUE!</v>
      </c>
      <c r="G40" s="6"/>
    </row>
    <row r="41" customFormat="false" ht="12.75" hidden="false" customHeight="false" outlineLevel="0" collapsed="false">
      <c r="A41" s="1" t="s">
        <v>20</v>
      </c>
      <c r="C41" s="74" t="e">
        <f aca="false">0.5*(D40+D41)*C81+(C152-$B$130)*C81</f>
        <v>#VALUE!</v>
      </c>
      <c r="D41" s="74" t="e">
        <f aca="false">0.5*(E40+E41)*D81+(D152-$B$130)*D81</f>
        <v>#VALUE!</v>
      </c>
      <c r="E41" s="74" t="e">
        <f aca="false">0.5*(F40+F41)*E81+(E152-$B$130)*E81</f>
        <v>#VALUE!</v>
      </c>
      <c r="F41" s="74" t="e">
        <f aca="false">$C$28*(F152-$B$130)*F81</f>
        <v>#VALUE!</v>
      </c>
      <c r="G41" s="6"/>
    </row>
    <row r="42" customFormat="false" ht="12.75" hidden="false" customHeight="false" outlineLevel="0" collapsed="false">
      <c r="A42" s="60" t="s">
        <v>93</v>
      </c>
      <c r="B42" s="60"/>
      <c r="C42" s="60" t="n">
        <f aca="false">C119</f>
        <v>0</v>
      </c>
      <c r="D42" s="60" t="n">
        <f aca="false">D119</f>
        <v>0.5</v>
      </c>
      <c r="E42" s="60" t="n">
        <f aca="false">E119</f>
        <v>1</v>
      </c>
      <c r="F42" s="60" t="n">
        <f aca="false">F119</f>
        <v>1.5</v>
      </c>
      <c r="G42" s="60" t="n">
        <f aca="false">G119</f>
        <v>2</v>
      </c>
      <c r="H42" s="60" t="n">
        <f aca="false">H119</f>
        <v>2.5</v>
      </c>
      <c r="I42" s="60" t="n">
        <f aca="false">I119</f>
        <v>3</v>
      </c>
      <c r="J42" s="60" t="n">
        <f aca="false">J119</f>
        <v>3.5</v>
      </c>
      <c r="K42" s="60" t="n">
        <f aca="false">K119</f>
        <v>4</v>
      </c>
      <c r="L42" s="60" t="n">
        <f aca="false">L119</f>
        <v>4.5</v>
      </c>
    </row>
    <row r="43" customFormat="false" ht="12.75" hidden="false" customHeight="false" outlineLevel="0" collapsed="false">
      <c r="B43" s="92"/>
      <c r="C43" s="45"/>
      <c r="D43" s="92"/>
      <c r="E43" s="92"/>
      <c r="F43" s="92"/>
    </row>
    <row r="44" s="2" customFormat="true" ht="12.75" hidden="false" customHeight="false" outlineLevel="0" collapsed="false">
      <c r="A44" s="2" t="s">
        <v>59</v>
      </c>
    </row>
    <row r="45" customFormat="false" ht="12.75" hidden="false" customHeight="false" outlineLevel="0" collapsed="false">
      <c r="C45" s="6"/>
    </row>
    <row r="46" customFormat="false" ht="12.75" hidden="false" customHeight="false" outlineLevel="0" collapsed="false">
      <c r="A46" s="60" t="s">
        <v>93</v>
      </c>
      <c r="B46" s="60"/>
      <c r="C46" s="60" t="n">
        <v>0</v>
      </c>
      <c r="D46" s="60" t="n">
        <f aca="false">C46+$C$29/$C$30</f>
        <v>0.5</v>
      </c>
      <c r="E46" s="60" t="n">
        <f aca="false">D46+$C$29/$C$30</f>
        <v>1</v>
      </c>
      <c r="F46" s="60" t="n">
        <f aca="false">E46+$C$29/$C$30</f>
        <v>1.5</v>
      </c>
      <c r="G46" s="60" t="n">
        <f aca="false">F46+$C$29/$C$30</f>
        <v>2</v>
      </c>
      <c r="H46" s="60" t="n">
        <f aca="false">G46+$C$29/$C$30</f>
        <v>2.5</v>
      </c>
      <c r="I46" s="60" t="n">
        <f aca="false">H46+$C$29/$C$30</f>
        <v>3</v>
      </c>
      <c r="J46" s="60" t="n">
        <f aca="false">I46+$C$29/$C$30</f>
        <v>3.5</v>
      </c>
      <c r="K46" s="60" t="n">
        <f aca="false">J46+$C$29/$C$30</f>
        <v>4</v>
      </c>
      <c r="L46" s="60" t="n">
        <f aca="false">K46+$C$29/$C$30</f>
        <v>4.5</v>
      </c>
      <c r="M46" s="60" t="n">
        <f aca="false">L46+$C$29/$C$30</f>
        <v>5</v>
      </c>
      <c r="O46" s="45"/>
      <c r="P46" s="45"/>
      <c r="Q46" s="45"/>
      <c r="R46" s="45"/>
      <c r="S46" s="45"/>
      <c r="T46" s="45"/>
      <c r="U46" s="45"/>
    </row>
    <row r="47" customFormat="false" ht="12.75" hidden="false" customHeight="false" outlineLevel="0" collapsed="false">
      <c r="A47" s="1" t="s">
        <v>94</v>
      </c>
      <c r="B47" s="6"/>
      <c r="C47" s="64" t="e">
        <f aca="false">([1]!cspline_interp,$C32:$M32,$C33:$M33,C46)</f>
        <v>#VALUE!</v>
      </c>
      <c r="D47" s="64" t="e">
        <f aca="false">([1]!cspline_interp,$C32:$M32,$C33:$M33,D46)</f>
        <v>#VALUE!</v>
      </c>
      <c r="E47" s="64" t="e">
        <f aca="false">([1]!cspline_interp,$C32:$M32,$C33:$M33,E46)</f>
        <v>#VALUE!</v>
      </c>
      <c r="F47" s="64" t="e">
        <f aca="false">([1]!cspline_interp,$C32:$M32,$C33:$M33,F46)</f>
        <v>#VALUE!</v>
      </c>
      <c r="G47" s="64" t="e">
        <f aca="false">([1]!cspline_interp,$C32:$M32,$C33:$M33,G46)</f>
        <v>#VALUE!</v>
      </c>
      <c r="H47" s="64" t="e">
        <f aca="false">([1]!cspline_interp,$C32:$M32,$C33:$M33,H46)</f>
        <v>#VALUE!</v>
      </c>
      <c r="I47" s="64" t="e">
        <f aca="false">([1]!cspline_interp,$C32:$M32,$C33:$M33,I46)</f>
        <v>#VALUE!</v>
      </c>
      <c r="J47" s="64" t="e">
        <f aca="false">([1]!cspline_interp,$C32:$M32,$C33:$M33,J46)</f>
        <v>#VALUE!</v>
      </c>
      <c r="K47" s="64" t="e">
        <f aca="false">([1]!cspline_interp,$C32:$M32,$C33:$M33,K46)</f>
        <v>#VALUE!</v>
      </c>
      <c r="L47" s="64" t="e">
        <f aca="false">([1]!cspline_interp,$C32:$M32,$C33:$M33,L46)</f>
        <v>#VALUE!</v>
      </c>
      <c r="M47" s="64" t="e">
        <f aca="false">([1]!cspline_interp,$C32:$M32,$C33:$M33,M46)</f>
        <v>#VALUE!</v>
      </c>
      <c r="O47" s="45"/>
      <c r="P47" s="45"/>
      <c r="Q47" s="45"/>
      <c r="R47" s="45"/>
      <c r="S47" s="45"/>
      <c r="T47" s="45"/>
      <c r="U47" s="45"/>
    </row>
    <row r="48" customFormat="false" ht="12.75" hidden="false" customHeight="false" outlineLevel="0" collapsed="false">
      <c r="A48" s="1" t="s">
        <v>95</v>
      </c>
      <c r="B48" s="6"/>
      <c r="C48" s="64" t="e">
        <f aca="false">([1]!cspline_interp,$C32:$M32,$C34:$M34,C46)</f>
        <v>#VALUE!</v>
      </c>
      <c r="D48" s="64" t="e">
        <f aca="false">([1]!cspline_interp,$C32:$M32,$C34:$M34,D46)</f>
        <v>#VALUE!</v>
      </c>
      <c r="E48" s="64" t="e">
        <f aca="false">([1]!cspline_interp,$C32:$M32,$C34:$M34,E46)</f>
        <v>#VALUE!</v>
      </c>
      <c r="F48" s="64" t="e">
        <f aca="false">([1]!cspline_interp,$C32:$M32,$C34:$M34,F46)</f>
        <v>#VALUE!</v>
      </c>
      <c r="G48" s="64" t="e">
        <f aca="false">([1]!cspline_interp,$C32:$M32,$C34:$M34,G46)</f>
        <v>#VALUE!</v>
      </c>
      <c r="H48" s="64" t="e">
        <f aca="false">([1]!cspline_interp,$C32:$M32,$C34:$M34,H46)</f>
        <v>#VALUE!</v>
      </c>
      <c r="I48" s="64" t="e">
        <f aca="false">([1]!cspline_interp,$C32:$M32,$C34:$M34,I46)</f>
        <v>#VALUE!</v>
      </c>
      <c r="J48" s="64" t="e">
        <f aca="false">([1]!cspline_interp,$C32:$M32,$C34:$M34,J46)</f>
        <v>#VALUE!</v>
      </c>
      <c r="K48" s="64" t="e">
        <f aca="false">([1]!cspline_interp,$C32:$M32,$C34:$M34,K46)</f>
        <v>#VALUE!</v>
      </c>
      <c r="L48" s="64" t="e">
        <f aca="false">([1]!cspline_interp,$C32:$M32,$C34:$M34,L46)</f>
        <v>#VALUE!</v>
      </c>
      <c r="M48" s="64" t="e">
        <f aca="false">([1]!cspline_interp,$C32:$M32,$C34:$M34,M46)</f>
        <v>#VALUE!</v>
      </c>
      <c r="O48" s="45"/>
      <c r="P48" s="45"/>
      <c r="Q48" s="45"/>
      <c r="R48" s="45"/>
      <c r="S48" s="45"/>
      <c r="T48" s="45"/>
      <c r="U48" s="45"/>
    </row>
    <row r="49" customFormat="false" ht="12.75" hidden="false" customHeight="false" outlineLevel="0" collapsed="false">
      <c r="B49" s="6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O49" s="45"/>
      <c r="P49" s="45"/>
      <c r="Q49" s="45"/>
      <c r="R49" s="45"/>
      <c r="S49" s="45"/>
      <c r="T49" s="45"/>
      <c r="U49" s="45"/>
    </row>
    <row r="50" customFormat="false" ht="12.75" hidden="false" customHeight="false" outlineLevel="0" collapsed="false">
      <c r="A50" s="1" t="s">
        <v>96</v>
      </c>
      <c r="C50" s="101" t="e">
        <f aca="false">EXP(-C47*C46)</f>
        <v>#VALUE!</v>
      </c>
      <c r="D50" s="101" t="e">
        <f aca="false">EXP(-D47*D46)</f>
        <v>#VALUE!</v>
      </c>
      <c r="E50" s="101" t="e">
        <f aca="false">EXP(-E47*E46)</f>
        <v>#VALUE!</v>
      </c>
      <c r="F50" s="101" t="e">
        <f aca="false">EXP(-F47*F46)</f>
        <v>#VALUE!</v>
      </c>
      <c r="G50" s="101" t="e">
        <f aca="false">EXP(-G47*G46)</f>
        <v>#VALUE!</v>
      </c>
      <c r="H50" s="101" t="e">
        <f aca="false">EXP(-H47*H46)</f>
        <v>#VALUE!</v>
      </c>
      <c r="I50" s="101" t="e">
        <f aca="false">EXP(-I47*I46)</f>
        <v>#VALUE!</v>
      </c>
      <c r="J50" s="101" t="e">
        <f aca="false">EXP(-J47*J46)</f>
        <v>#VALUE!</v>
      </c>
      <c r="K50" s="101" t="e">
        <f aca="false">EXP(-K47*K46)</f>
        <v>#VALUE!</v>
      </c>
      <c r="L50" s="101" t="e">
        <f aca="false">EXP(-L47*L46)</f>
        <v>#VALUE!</v>
      </c>
      <c r="M50" s="101" t="e">
        <f aca="false">EXP(-M47*M46)</f>
        <v>#VALUE!</v>
      </c>
    </row>
    <row r="51" customFormat="false" ht="12.75" hidden="false" customHeight="false" outlineLevel="0" collapsed="false">
      <c r="A51" s="1" t="s">
        <v>97</v>
      </c>
      <c r="C51" s="101" t="e">
        <f aca="false">C47</f>
        <v>#VALUE!</v>
      </c>
      <c r="D51" s="101" t="e">
        <f aca="false">-LN(D50/C50)/(D46-C46)</f>
        <v>#VALUE!</v>
      </c>
      <c r="E51" s="101" t="e">
        <f aca="false">-LN(E50/D50)/(E46-D46)</f>
        <v>#VALUE!</v>
      </c>
      <c r="F51" s="101" t="e">
        <f aca="false">-LN(F50/E50)/(F46-E46)</f>
        <v>#VALUE!</v>
      </c>
      <c r="G51" s="101" t="e">
        <f aca="false">-LN(G50/F50)/(G46-F46)</f>
        <v>#VALUE!</v>
      </c>
      <c r="H51" s="101" t="e">
        <f aca="false">-LN(H50/G50)/(H46-G46)</f>
        <v>#VALUE!</v>
      </c>
      <c r="I51" s="101" t="e">
        <f aca="false">-LN(I50/H50)/(I46-H46)</f>
        <v>#VALUE!</v>
      </c>
      <c r="J51" s="101" t="e">
        <f aca="false">-LN(J50/I50)/(J46-I46)</f>
        <v>#VALUE!</v>
      </c>
      <c r="K51" s="101" t="e">
        <f aca="false">-LN(K50/J50)/(K46-J46)</f>
        <v>#VALUE!</v>
      </c>
      <c r="L51" s="101" t="e">
        <f aca="false">-LN(L50/K50)/(L46-K46)</f>
        <v>#VALUE!</v>
      </c>
      <c r="M51" s="101" t="e">
        <f aca="false">-LN(M50/L50)/(M46-L46)</f>
        <v>#VALUE!</v>
      </c>
    </row>
    <row r="52" customFormat="false" ht="14.25" hidden="false" customHeight="false" outlineLevel="0" collapsed="false">
      <c r="A52" s="6" t="s">
        <v>52</v>
      </c>
      <c r="B52" s="6"/>
      <c r="C52" s="64" t="n">
        <v>0</v>
      </c>
      <c r="D52" s="64" t="e">
        <f aca="false">(D46*D47*D48-C46*C47*C48)/D51/(D46-C46)</f>
        <v>#VALUE!</v>
      </c>
      <c r="E52" s="64" t="e">
        <f aca="false">(E46*E47*E48-D46*D47*D48)/E51/(E46-D46)</f>
        <v>#VALUE!</v>
      </c>
      <c r="F52" s="64" t="e">
        <f aca="false">(F46*F47*F48-E46*E47*E48)/F51/(F46-E46)</f>
        <v>#VALUE!</v>
      </c>
      <c r="G52" s="64" t="e">
        <f aca="false">(G46*G47*G48-F46*F47*F48)/G51/(G46-F46)</f>
        <v>#VALUE!</v>
      </c>
      <c r="H52" s="64" t="e">
        <f aca="false">(H46*H47*H48-G46*G47*G48)/H51/(H46-G46)</f>
        <v>#VALUE!</v>
      </c>
      <c r="I52" s="64" t="e">
        <f aca="false">(I46*I47*I48-H46*H47*H48)/I51/(I46-H46)</f>
        <v>#VALUE!</v>
      </c>
      <c r="J52" s="64" t="e">
        <f aca="false">(J46*J47*J48-I46*I47*I48)/J51/(J46-I46)</f>
        <v>#VALUE!</v>
      </c>
      <c r="K52" s="64" t="e">
        <f aca="false">(K46*K47*K48-J46*J47*J48)/K51/(K46-J46)</f>
        <v>#VALUE!</v>
      </c>
      <c r="L52" s="64" t="e">
        <f aca="false">(L46*L47*L48-K46*K47*K48)/L51/(L46-K46)</f>
        <v>#VALUE!</v>
      </c>
      <c r="M52" s="64" t="e">
        <f aca="false">(M46*M47*M48-L46*L47*L48)/M51/(M46-L46)</f>
        <v>#VALUE!</v>
      </c>
    </row>
    <row r="53" customFormat="false" ht="14.25" hidden="false" customHeight="false" outlineLevel="0" collapsed="false">
      <c r="A53" s="1" t="s">
        <v>98</v>
      </c>
      <c r="C53" s="102" t="s">
        <v>54</v>
      </c>
      <c r="D53" s="101"/>
      <c r="E53" s="101"/>
      <c r="F53" s="101"/>
      <c r="G53" s="101"/>
      <c r="H53" s="101"/>
      <c r="I53" s="101"/>
      <c r="J53" s="64"/>
      <c r="K53" s="64"/>
      <c r="L53" s="64"/>
      <c r="M53" s="64"/>
    </row>
    <row r="54" customFormat="false" ht="12.75" hidden="false" customHeight="false" outlineLevel="0" collapsed="false">
      <c r="A54" s="6" t="s">
        <v>99</v>
      </c>
      <c r="C54" s="101" t="e">
        <f aca="false">D50/C50</f>
        <v>#VALUE!</v>
      </c>
      <c r="D54" s="101" t="e">
        <f aca="false">E50/D50</f>
        <v>#VALUE!</v>
      </c>
      <c r="E54" s="101" t="e">
        <f aca="false">F50/E50</f>
        <v>#VALUE!</v>
      </c>
      <c r="F54" s="101" t="e">
        <f aca="false">G50/F50</f>
        <v>#VALUE!</v>
      </c>
      <c r="G54" s="101" t="e">
        <f aca="false">H50/G50</f>
        <v>#VALUE!</v>
      </c>
      <c r="H54" s="101" t="e">
        <f aca="false">I50/H50</f>
        <v>#VALUE!</v>
      </c>
      <c r="I54" s="101" t="e">
        <f aca="false">J50/I50</f>
        <v>#VALUE!</v>
      </c>
      <c r="J54" s="101" t="e">
        <f aca="false">K50/J50</f>
        <v>#VALUE!</v>
      </c>
      <c r="K54" s="101" t="e">
        <f aca="false">L50/K50</f>
        <v>#VALUE!</v>
      </c>
      <c r="L54" s="101" t="e">
        <f aca="false">M50/L50</f>
        <v>#VALUE!</v>
      </c>
      <c r="M54" s="101"/>
    </row>
    <row r="55" customFormat="false" ht="12.75" hidden="false" customHeight="false" outlineLevel="0" collapsed="false">
      <c r="A55" s="6" t="s">
        <v>56</v>
      </c>
      <c r="C55" s="101" t="e">
        <f aca="false">EXP(-2*C51*C52*SQRT($C$29/$C$30))</f>
        <v>#VALUE!</v>
      </c>
      <c r="D55" s="101" t="e">
        <f aca="false">EXP(-2*D51*D52*SQRT($C$29/$C$30))</f>
        <v>#VALUE!</v>
      </c>
      <c r="E55" s="101" t="e">
        <f aca="false">EXP(-2*E51*E52*SQRT($C$29/$C$30))</f>
        <v>#VALUE!</v>
      </c>
      <c r="F55" s="101" t="e">
        <f aca="false">EXP(-2*F51*F52*SQRT($C$29/$C$30))</f>
        <v>#VALUE!</v>
      </c>
      <c r="G55" s="101" t="e">
        <f aca="false">EXP(-2*G51*G52*SQRT($C$29/$C$30))</f>
        <v>#VALUE!</v>
      </c>
      <c r="H55" s="101" t="e">
        <f aca="false">EXP(-2*H51*H52*SQRT($C$29/$C$30))</f>
        <v>#VALUE!</v>
      </c>
      <c r="I55" s="101" t="e">
        <f aca="false">EXP(-2*I51*I52*SQRT($C$29/$C$30))</f>
        <v>#VALUE!</v>
      </c>
      <c r="J55" s="101" t="e">
        <f aca="false">EXP(-2*J51*J52*SQRT($C$29/$C$30))</f>
        <v>#VALUE!</v>
      </c>
      <c r="K55" s="101" t="e">
        <f aca="false">EXP(-2*K51*K52*SQRT($C$29/$C$30))</f>
        <v>#VALUE!</v>
      </c>
      <c r="L55" s="101" t="e">
        <f aca="false">EXP(-2*L51*L52*SQRT($C$29/$C$30))</f>
        <v>#VALUE!</v>
      </c>
      <c r="M55" s="101" t="e">
        <f aca="false">EXP(-2*M51*M52*SQRT($C$29/$C$30))</f>
        <v>#VALUE!</v>
      </c>
    </row>
    <row r="56" customFormat="false" ht="12.75" hidden="false" customHeight="false" outlineLevel="0" collapsed="false">
      <c r="A56" s="6"/>
      <c r="C56" s="101"/>
      <c r="D56" s="101"/>
      <c r="E56" s="101"/>
      <c r="F56" s="101"/>
      <c r="G56" s="101"/>
      <c r="H56" s="101"/>
      <c r="I56" s="101"/>
      <c r="J56" s="64"/>
      <c r="K56" s="64"/>
      <c r="L56" s="64"/>
      <c r="M56" s="64"/>
    </row>
    <row r="57" customFormat="false" ht="12.75" hidden="false" customHeight="false" outlineLevel="0" collapsed="false">
      <c r="C57" s="101"/>
      <c r="D57" s="101"/>
      <c r="E57" s="101"/>
      <c r="F57" s="101"/>
      <c r="G57" s="101"/>
      <c r="H57" s="64"/>
      <c r="I57" s="64"/>
      <c r="J57" s="64"/>
      <c r="K57" s="64"/>
      <c r="L57" s="64"/>
      <c r="M57" s="64"/>
    </row>
    <row r="58" customFormat="false" ht="12.75" hidden="false" customHeight="false" outlineLevel="0" collapsed="false">
      <c r="A58" s="6" t="s">
        <v>100</v>
      </c>
      <c r="B58" s="6"/>
      <c r="C58" s="64" t="e">
        <f aca="false">C55</f>
        <v>#VALUE!</v>
      </c>
      <c r="D58" s="64" t="e">
        <f aca="false">1+PRODUCT($D55:D55)</f>
        <v>#VALUE!</v>
      </c>
      <c r="E58" s="64" t="e">
        <f aca="false">1+PRODUCT($D55:E55)</f>
        <v>#VALUE!</v>
      </c>
      <c r="F58" s="64" t="e">
        <f aca="false">1+PRODUCT($D55:F55)</f>
        <v>#VALUE!</v>
      </c>
      <c r="G58" s="64" t="e">
        <f aca="false">1+PRODUCT($D55:G55)</f>
        <v>#VALUE!</v>
      </c>
      <c r="H58" s="64" t="e">
        <f aca="false">1+PRODUCT($D55:H55)</f>
        <v>#VALUE!</v>
      </c>
      <c r="I58" s="64" t="e">
        <f aca="false">1+PRODUCT($D55:I55)</f>
        <v>#VALUE!</v>
      </c>
      <c r="J58" s="64" t="e">
        <f aca="false">1+PRODUCT($D55:J55)</f>
        <v>#VALUE!</v>
      </c>
      <c r="K58" s="64" t="e">
        <f aca="false">1+PRODUCT($D55:K55)</f>
        <v>#VALUE!</v>
      </c>
      <c r="L58" s="64" t="e">
        <f aca="false">1+PRODUCT($D55:L55)</f>
        <v>#VALUE!</v>
      </c>
      <c r="M58" s="64" t="e">
        <f aca="false">1+PRODUCT($D55:M55)</f>
        <v>#VALUE!</v>
      </c>
      <c r="O58" s="45"/>
      <c r="P58" s="45"/>
      <c r="Q58" s="45"/>
      <c r="R58" s="45"/>
      <c r="S58" s="45"/>
      <c r="T58" s="45"/>
      <c r="U58" s="45"/>
    </row>
    <row r="59" customFormat="false" ht="12.75" hidden="false" customHeight="false" outlineLevel="0" collapsed="false">
      <c r="A59" s="6"/>
      <c r="B59" s="6"/>
      <c r="C59" s="64"/>
      <c r="D59" s="64"/>
      <c r="E59" s="64" t="e">
        <f aca="false">1+PRODUCT($E55:E55)</f>
        <v>#VALUE!</v>
      </c>
      <c r="F59" s="64" t="e">
        <f aca="false">1+PRODUCT($E55:F55)</f>
        <v>#VALUE!</v>
      </c>
      <c r="G59" s="64" t="e">
        <f aca="false">1+PRODUCT($E55:G55)</f>
        <v>#VALUE!</v>
      </c>
      <c r="H59" s="64" t="e">
        <f aca="false">1+PRODUCT($E55:H55)</f>
        <v>#VALUE!</v>
      </c>
      <c r="I59" s="64" t="e">
        <f aca="false">1+PRODUCT($E55:I55)</f>
        <v>#VALUE!</v>
      </c>
      <c r="J59" s="64" t="e">
        <f aca="false">1+PRODUCT($E55:J55)</f>
        <v>#VALUE!</v>
      </c>
      <c r="K59" s="64" t="e">
        <f aca="false">1+PRODUCT($E55:K55)</f>
        <v>#VALUE!</v>
      </c>
      <c r="L59" s="64" t="e">
        <f aca="false">1+PRODUCT($E55:L55)</f>
        <v>#VALUE!</v>
      </c>
      <c r="M59" s="64" t="e">
        <f aca="false">1+PRODUCT($E55:M55)</f>
        <v>#VALUE!</v>
      </c>
      <c r="O59" s="45"/>
      <c r="P59" s="45"/>
      <c r="Q59" s="45"/>
      <c r="R59" s="45"/>
      <c r="S59" s="45"/>
      <c r="T59" s="45"/>
      <c r="U59" s="45"/>
    </row>
    <row r="60" customFormat="false" ht="12.75" hidden="false" customHeight="false" outlineLevel="0" collapsed="false">
      <c r="A60" s="6"/>
      <c r="B60" s="6"/>
      <c r="C60" s="64"/>
      <c r="D60" s="64"/>
      <c r="E60" s="64"/>
      <c r="F60" s="64" t="e">
        <f aca="false">1+PRODUCT($F55:F55)</f>
        <v>#VALUE!</v>
      </c>
      <c r="G60" s="64" t="e">
        <f aca="false">1+PRODUCT($F55:G55)</f>
        <v>#VALUE!</v>
      </c>
      <c r="H60" s="64" t="e">
        <f aca="false">1+PRODUCT($F55:H55)</f>
        <v>#VALUE!</v>
      </c>
      <c r="I60" s="64" t="e">
        <f aca="false">1+PRODUCT($F55:I55)</f>
        <v>#VALUE!</v>
      </c>
      <c r="J60" s="64" t="e">
        <f aca="false">1+PRODUCT($F55:J55)</f>
        <v>#VALUE!</v>
      </c>
      <c r="K60" s="64" t="e">
        <f aca="false">1+PRODUCT($F55:K55)</f>
        <v>#VALUE!</v>
      </c>
      <c r="L60" s="64" t="e">
        <f aca="false">1+PRODUCT($F55:L55)</f>
        <v>#VALUE!</v>
      </c>
      <c r="M60" s="64" t="e">
        <f aca="false">1+PRODUCT($F55:M55)</f>
        <v>#VALUE!</v>
      </c>
      <c r="O60" s="45"/>
      <c r="P60" s="45"/>
      <c r="Q60" s="45"/>
      <c r="R60" s="45"/>
      <c r="S60" s="45"/>
      <c r="T60" s="45"/>
      <c r="U60" s="45"/>
    </row>
    <row r="61" customFormat="false" ht="12.75" hidden="false" customHeight="false" outlineLevel="0" collapsed="false">
      <c r="A61" s="6"/>
      <c r="B61" s="6"/>
      <c r="C61" s="64"/>
      <c r="D61" s="64"/>
      <c r="E61" s="64"/>
      <c r="F61" s="64"/>
      <c r="G61" s="64" t="e">
        <f aca="false">1+PRODUCT($G55:G55)</f>
        <v>#VALUE!</v>
      </c>
      <c r="H61" s="64" t="e">
        <f aca="false">1+PRODUCT($G55:H55)</f>
        <v>#VALUE!</v>
      </c>
      <c r="I61" s="64" t="e">
        <f aca="false">1+PRODUCT($G55:I55)</f>
        <v>#VALUE!</v>
      </c>
      <c r="J61" s="64" t="e">
        <f aca="false">1+PRODUCT($G55:J55)</f>
        <v>#VALUE!</v>
      </c>
      <c r="K61" s="64" t="e">
        <f aca="false">1+PRODUCT($G55:K55)</f>
        <v>#VALUE!</v>
      </c>
      <c r="L61" s="64" t="e">
        <f aca="false">1+PRODUCT($G55:L55)</f>
        <v>#VALUE!</v>
      </c>
      <c r="M61" s="64" t="e">
        <f aca="false">1+PRODUCT($G55:M55)</f>
        <v>#VALUE!</v>
      </c>
      <c r="O61" s="45"/>
      <c r="P61" s="45"/>
      <c r="Q61" s="45"/>
      <c r="R61" s="45"/>
      <c r="S61" s="45"/>
      <c r="T61" s="45"/>
      <c r="U61" s="45"/>
    </row>
    <row r="62" customFormat="false" ht="12.75" hidden="false" customHeight="false" outlineLevel="0" collapsed="false">
      <c r="A62" s="6"/>
      <c r="B62" s="6"/>
      <c r="C62" s="64"/>
      <c r="D62" s="64"/>
      <c r="E62" s="64"/>
      <c r="F62" s="64"/>
      <c r="G62" s="64"/>
      <c r="H62" s="64" t="e">
        <f aca="false">1+PRODUCT($H55:H55)</f>
        <v>#VALUE!</v>
      </c>
      <c r="I62" s="64" t="e">
        <f aca="false">1+PRODUCT($H55:I55)</f>
        <v>#VALUE!</v>
      </c>
      <c r="J62" s="64" t="e">
        <f aca="false">1+PRODUCT($H55:J55)</f>
        <v>#VALUE!</v>
      </c>
      <c r="K62" s="64" t="e">
        <f aca="false">1+PRODUCT($H55:K55)</f>
        <v>#VALUE!</v>
      </c>
      <c r="L62" s="64" t="e">
        <f aca="false">1+PRODUCT($H55:L55)</f>
        <v>#VALUE!</v>
      </c>
      <c r="M62" s="64" t="e">
        <f aca="false">1+PRODUCT($H55:M55)</f>
        <v>#VALUE!</v>
      </c>
      <c r="O62" s="45"/>
      <c r="P62" s="45"/>
      <c r="Q62" s="45"/>
      <c r="R62" s="45"/>
      <c r="S62" s="45"/>
      <c r="T62" s="45"/>
      <c r="U62" s="45"/>
    </row>
    <row r="63" customFormat="false" ht="12.75" hidden="false" customHeight="false" outlineLevel="0" collapsed="false">
      <c r="A63" s="6"/>
      <c r="B63" s="6"/>
      <c r="C63" s="64"/>
      <c r="D63" s="64"/>
      <c r="E63" s="64"/>
      <c r="F63" s="64"/>
      <c r="G63" s="64"/>
      <c r="H63" s="64"/>
      <c r="I63" s="64" t="e">
        <f aca="false">1+PRODUCT($I55:I55)</f>
        <v>#VALUE!</v>
      </c>
      <c r="J63" s="64" t="e">
        <f aca="false">1+PRODUCT($I55:J55)</f>
        <v>#VALUE!</v>
      </c>
      <c r="K63" s="64" t="e">
        <f aca="false">1+PRODUCT($I55:K55)</f>
        <v>#VALUE!</v>
      </c>
      <c r="L63" s="64" t="e">
        <f aca="false">1+PRODUCT($I55:L55)</f>
        <v>#VALUE!</v>
      </c>
      <c r="M63" s="64" t="e">
        <f aca="false">1+PRODUCT($I55:M55)</f>
        <v>#VALUE!</v>
      </c>
      <c r="O63" s="45"/>
      <c r="P63" s="45"/>
      <c r="Q63" s="45"/>
      <c r="R63" s="45"/>
      <c r="S63" s="45"/>
      <c r="T63" s="45"/>
      <c r="U63" s="45"/>
    </row>
    <row r="64" customFormat="false" ht="12.75" hidden="false" customHeight="false" outlineLevel="0" collapsed="false">
      <c r="C64" s="101"/>
      <c r="D64" s="101"/>
      <c r="E64" s="101"/>
      <c r="F64" s="101"/>
      <c r="G64" s="101"/>
      <c r="H64" s="101"/>
      <c r="I64" s="101"/>
      <c r="J64" s="64" t="e">
        <f aca="false">1+PRODUCT($J55:J55)</f>
        <v>#VALUE!</v>
      </c>
      <c r="K64" s="64" t="e">
        <f aca="false">1+PRODUCT($J55:K55)</f>
        <v>#VALUE!</v>
      </c>
      <c r="L64" s="64" t="e">
        <f aca="false">1+PRODUCT($J55:L55)</f>
        <v>#VALUE!</v>
      </c>
      <c r="M64" s="64" t="e">
        <f aca="false">1+PRODUCT($J55:M55)</f>
        <v>#VALUE!</v>
      </c>
    </row>
    <row r="65" customFormat="false" ht="12.75" hidden="false" customHeight="false" outlineLevel="0" collapsed="false">
      <c r="C65" s="101"/>
      <c r="D65" s="101"/>
      <c r="E65" s="101"/>
      <c r="F65" s="101"/>
      <c r="G65" s="101"/>
      <c r="H65" s="101"/>
      <c r="I65" s="101"/>
      <c r="J65" s="64"/>
      <c r="K65" s="64" t="e">
        <f aca="false">1+PRODUCT($K55:K55)</f>
        <v>#VALUE!</v>
      </c>
      <c r="L65" s="64" t="e">
        <f aca="false">1+PRODUCT($K55:L55)</f>
        <v>#VALUE!</v>
      </c>
      <c r="M65" s="64" t="e">
        <f aca="false">1+PRODUCT($K55:M55)</f>
        <v>#VALUE!</v>
      </c>
    </row>
    <row r="66" customFormat="false" ht="12.75" hidden="false" customHeight="false" outlineLevel="0" collapsed="false">
      <c r="C66" s="101"/>
      <c r="D66" s="101"/>
      <c r="E66" s="101"/>
      <c r="F66" s="101"/>
      <c r="G66" s="101"/>
      <c r="H66" s="101"/>
      <c r="I66" s="101"/>
      <c r="J66" s="64"/>
      <c r="K66" s="64"/>
      <c r="L66" s="64" t="e">
        <f aca="false">1+PRODUCT($L55:L55)</f>
        <v>#VALUE!</v>
      </c>
      <c r="M66" s="64" t="e">
        <f aca="false">1+PRODUCT($L55:M55)</f>
        <v>#VALUE!</v>
      </c>
    </row>
    <row r="67" customFormat="false" ht="12.75" hidden="false" customHeight="false" outlineLevel="0" collapsed="false">
      <c r="C67" s="101"/>
      <c r="D67" s="101"/>
      <c r="E67" s="101"/>
      <c r="F67" s="101"/>
      <c r="G67" s="101"/>
      <c r="H67" s="101"/>
      <c r="I67" s="101"/>
      <c r="J67" s="64"/>
      <c r="K67" s="64"/>
      <c r="L67" s="64"/>
      <c r="M67" s="64" t="e">
        <f aca="false">1+PRODUCT($M55:M55)</f>
        <v>#VALUE!</v>
      </c>
    </row>
    <row r="68" customFormat="false" ht="12.75" hidden="false" customHeight="false" outlineLevel="0" collapsed="false">
      <c r="C68" s="101"/>
      <c r="D68" s="101"/>
      <c r="E68" s="101"/>
      <c r="F68" s="101"/>
      <c r="G68" s="101"/>
      <c r="H68" s="101"/>
      <c r="I68" s="101"/>
      <c r="J68" s="64"/>
      <c r="K68" s="64"/>
      <c r="L68" s="64"/>
      <c r="M68" s="64"/>
    </row>
    <row r="69" customFormat="false" ht="12.75" hidden="false" customHeight="false" outlineLevel="0" collapsed="false">
      <c r="A69" s="33" t="s">
        <v>61</v>
      </c>
      <c r="B69" s="6"/>
      <c r="C69" s="64"/>
      <c r="D69" s="64" t="e">
        <f aca="false">PRODUCT(C58:C67)</f>
        <v>#VALUE!</v>
      </c>
      <c r="E69" s="64" t="e">
        <f aca="false">PRODUCT(D58:D67)</f>
        <v>#VALUE!</v>
      </c>
      <c r="F69" s="64" t="e">
        <f aca="false">PRODUCT(E58:E67)</f>
        <v>#VALUE!</v>
      </c>
      <c r="G69" s="64" t="e">
        <f aca="false">PRODUCT(F58:F67)</f>
        <v>#VALUE!</v>
      </c>
      <c r="H69" s="64" t="e">
        <f aca="false">PRODUCT(G58:G67)</f>
        <v>#VALUE!</v>
      </c>
      <c r="I69" s="64" t="e">
        <f aca="false">PRODUCT(H58:H67)</f>
        <v>#VALUE!</v>
      </c>
      <c r="J69" s="64" t="e">
        <f aca="false">PRODUCT(I58:I67)</f>
        <v>#VALUE!</v>
      </c>
      <c r="K69" s="64" t="e">
        <f aca="false">PRODUCT(J58:J67)</f>
        <v>#VALUE!</v>
      </c>
      <c r="L69" s="64" t="e">
        <f aca="false">PRODUCT(K58:K67)</f>
        <v>#VALUE!</v>
      </c>
      <c r="M69" s="64" t="e">
        <f aca="false">PRODUCT(L58:L67)</f>
        <v>#VALUE!</v>
      </c>
      <c r="N69" s="45"/>
      <c r="O69" s="45"/>
      <c r="P69" s="45"/>
      <c r="Q69" s="45"/>
      <c r="R69" s="45"/>
      <c r="S69" s="45"/>
      <c r="T69" s="45"/>
    </row>
    <row r="70" customFormat="false" ht="12.75" hidden="false" customHeight="false" outlineLevel="0" collapsed="false">
      <c r="A70" s="33" t="s">
        <v>62</v>
      </c>
      <c r="B70" s="6"/>
      <c r="C70" s="64"/>
      <c r="D70" s="64" t="e">
        <f aca="false">PRODUCT(D58:D67)</f>
        <v>#VALUE!</v>
      </c>
      <c r="E70" s="64" t="e">
        <f aca="false">PRODUCT(E58:E67)</f>
        <v>#VALUE!</v>
      </c>
      <c r="F70" s="64" t="e">
        <f aca="false">PRODUCT(F58:F67)</f>
        <v>#VALUE!</v>
      </c>
      <c r="G70" s="64" t="e">
        <f aca="false">PRODUCT(G58:G67)</f>
        <v>#VALUE!</v>
      </c>
      <c r="H70" s="64" t="e">
        <f aca="false">PRODUCT(H58:H67)</f>
        <v>#VALUE!</v>
      </c>
      <c r="I70" s="64" t="e">
        <f aca="false">PRODUCT(I58:I67)</f>
        <v>#VALUE!</v>
      </c>
      <c r="J70" s="64" t="e">
        <f aca="false">PRODUCT(J58:J67)</f>
        <v>#VALUE!</v>
      </c>
      <c r="K70" s="64" t="e">
        <f aca="false">PRODUCT(K58:K67)</f>
        <v>#VALUE!</v>
      </c>
      <c r="L70" s="64" t="e">
        <f aca="false">PRODUCT(L58:L67)</f>
        <v>#VALUE!</v>
      </c>
      <c r="M70" s="64" t="e">
        <f aca="false">PRODUCT(M58:M67)</f>
        <v>#VALUE!</v>
      </c>
      <c r="N70" s="45"/>
      <c r="O70" s="45"/>
      <c r="P70" s="45"/>
      <c r="Q70" s="45"/>
      <c r="R70" s="45"/>
      <c r="S70" s="45"/>
      <c r="T70" s="45"/>
    </row>
    <row r="71" customFormat="false" ht="12.75" hidden="false" customHeight="false" outlineLevel="0" collapsed="false">
      <c r="C71" s="101"/>
      <c r="D71" s="101"/>
      <c r="E71" s="101"/>
      <c r="F71" s="101"/>
      <c r="G71" s="101"/>
      <c r="H71" s="101"/>
      <c r="I71" s="101"/>
      <c r="J71" s="64"/>
      <c r="K71" s="64"/>
      <c r="L71" s="64"/>
      <c r="M71" s="64"/>
    </row>
    <row r="72" customFormat="false" ht="12.75" hidden="false" customHeight="false" outlineLevel="0" collapsed="false">
      <c r="C72" s="101"/>
      <c r="D72" s="101"/>
      <c r="E72" s="101"/>
      <c r="F72" s="101"/>
      <c r="G72" s="101"/>
      <c r="H72" s="101"/>
      <c r="I72" s="101"/>
      <c r="J72" s="64"/>
      <c r="K72" s="64"/>
      <c r="L72" s="101" t="e">
        <f aca="false">L73*L$55</f>
        <v>#VALUE!</v>
      </c>
      <c r="M72" s="64"/>
    </row>
    <row r="73" customFormat="false" ht="12.75" hidden="false" customHeight="false" outlineLevel="0" collapsed="false">
      <c r="C73" s="101"/>
      <c r="D73" s="101"/>
      <c r="E73" s="101"/>
      <c r="F73" s="101"/>
      <c r="G73" s="101"/>
      <c r="H73" s="101"/>
      <c r="I73" s="101"/>
      <c r="J73" s="64"/>
      <c r="K73" s="101" t="e">
        <f aca="false">K74*K$55</f>
        <v>#VALUE!</v>
      </c>
      <c r="L73" s="101" t="e">
        <f aca="false">L74*L$55</f>
        <v>#VALUE!</v>
      </c>
      <c r="M73" s="64"/>
    </row>
    <row r="74" customFormat="false" ht="12.75" hidden="false" customHeight="false" outlineLevel="0" collapsed="false">
      <c r="C74" s="101"/>
      <c r="D74" s="101"/>
      <c r="E74" s="101"/>
      <c r="F74" s="101"/>
      <c r="G74" s="101"/>
      <c r="H74" s="101"/>
      <c r="I74" s="101"/>
      <c r="J74" s="101" t="e">
        <f aca="false">J75*J$55</f>
        <v>#VALUE!</v>
      </c>
      <c r="K74" s="101" t="e">
        <f aca="false">K75*K$55</f>
        <v>#VALUE!</v>
      </c>
      <c r="L74" s="101" t="e">
        <f aca="false">L75*L$55</f>
        <v>#VALUE!</v>
      </c>
      <c r="M74" s="64"/>
    </row>
    <row r="75" customFormat="false" ht="12.75" hidden="false" customHeight="false" outlineLevel="0" collapsed="false">
      <c r="C75" s="101"/>
      <c r="D75" s="101"/>
      <c r="E75" s="101"/>
      <c r="F75" s="101"/>
      <c r="G75" s="101"/>
      <c r="H75" s="101"/>
      <c r="I75" s="101" t="e">
        <f aca="false">I76*I$55</f>
        <v>#VALUE!</v>
      </c>
      <c r="J75" s="101" t="e">
        <f aca="false">J76*J$55</f>
        <v>#VALUE!</v>
      </c>
      <c r="K75" s="101" t="e">
        <f aca="false">K76*K$55</f>
        <v>#VALUE!</v>
      </c>
      <c r="L75" s="101" t="e">
        <f aca="false">L76*L$55</f>
        <v>#VALUE!</v>
      </c>
      <c r="M75" s="64"/>
    </row>
    <row r="76" customFormat="false" ht="12.75" hidden="false" customHeight="false" outlineLevel="0" collapsed="false">
      <c r="C76" s="101"/>
      <c r="D76" s="101"/>
      <c r="E76" s="101"/>
      <c r="F76" s="101"/>
      <c r="G76" s="101"/>
      <c r="H76" s="101" t="e">
        <f aca="false">H77*H$55</f>
        <v>#VALUE!</v>
      </c>
      <c r="I76" s="101" t="e">
        <f aca="false">I77*I$55</f>
        <v>#VALUE!</v>
      </c>
      <c r="J76" s="101" t="e">
        <f aca="false">J77*J$55</f>
        <v>#VALUE!</v>
      </c>
      <c r="K76" s="101" t="e">
        <f aca="false">K77*K$55</f>
        <v>#VALUE!</v>
      </c>
      <c r="L76" s="101" t="e">
        <f aca="false">L77*L$55</f>
        <v>#VALUE!</v>
      </c>
      <c r="M76" s="64"/>
    </row>
    <row r="77" customFormat="false" ht="12.75" hidden="false" customHeight="false" outlineLevel="0" collapsed="false">
      <c r="C77" s="101"/>
      <c r="D77" s="101"/>
      <c r="E77" s="101"/>
      <c r="F77" s="101"/>
      <c r="G77" s="101" t="e">
        <f aca="false">G78*G$55</f>
        <v>#VALUE!</v>
      </c>
      <c r="H77" s="101" t="e">
        <f aca="false">H78*H$55</f>
        <v>#VALUE!</v>
      </c>
      <c r="I77" s="101" t="e">
        <f aca="false">I78*I$55</f>
        <v>#VALUE!</v>
      </c>
      <c r="J77" s="101" t="e">
        <f aca="false">J78*J$55</f>
        <v>#VALUE!</v>
      </c>
      <c r="K77" s="101" t="e">
        <f aca="false">K78*K$55</f>
        <v>#VALUE!</v>
      </c>
      <c r="L77" s="101" t="e">
        <f aca="false">L78*L$55</f>
        <v>#VALUE!</v>
      </c>
      <c r="M77" s="64"/>
    </row>
    <row r="78" customFormat="false" ht="12.75" hidden="false" customHeight="false" outlineLevel="0" collapsed="false">
      <c r="C78" s="101"/>
      <c r="D78" s="101"/>
      <c r="E78" s="101"/>
      <c r="F78" s="101" t="e">
        <f aca="false">F79*F$55</f>
        <v>#VALUE!</v>
      </c>
      <c r="G78" s="101" t="e">
        <f aca="false">G79*G$55</f>
        <v>#VALUE!</v>
      </c>
      <c r="H78" s="101" t="e">
        <f aca="false">H79*H$55</f>
        <v>#VALUE!</v>
      </c>
      <c r="I78" s="101" t="e">
        <f aca="false">I79*I$55</f>
        <v>#VALUE!</v>
      </c>
      <c r="J78" s="101" t="e">
        <f aca="false">J79*J$55</f>
        <v>#VALUE!</v>
      </c>
      <c r="K78" s="101" t="e">
        <f aca="false">K79*K$55</f>
        <v>#VALUE!</v>
      </c>
      <c r="L78" s="101" t="e">
        <f aca="false">L79*L$55</f>
        <v>#VALUE!</v>
      </c>
      <c r="M78" s="64"/>
    </row>
    <row r="79" customFormat="false" ht="12.75" hidden="false" customHeight="false" outlineLevel="0" collapsed="false">
      <c r="C79" s="101"/>
      <c r="D79" s="101"/>
      <c r="E79" s="101" t="e">
        <f aca="false">E80*E$55</f>
        <v>#VALUE!</v>
      </c>
      <c r="F79" s="101" t="e">
        <f aca="false">F80*F$55</f>
        <v>#VALUE!</v>
      </c>
      <c r="G79" s="101" t="e">
        <f aca="false">G80*G$55</f>
        <v>#VALUE!</v>
      </c>
      <c r="H79" s="101" t="e">
        <f aca="false">H80*H$55</f>
        <v>#VALUE!</v>
      </c>
      <c r="I79" s="101" t="e">
        <f aca="false">I80*I$55</f>
        <v>#VALUE!</v>
      </c>
      <c r="J79" s="101" t="e">
        <f aca="false">J80*J$55</f>
        <v>#VALUE!</v>
      </c>
      <c r="K79" s="101" t="e">
        <f aca="false">K80*K$55</f>
        <v>#VALUE!</v>
      </c>
      <c r="L79" s="101" t="e">
        <f aca="false">L80*L$55</f>
        <v>#VALUE!</v>
      </c>
      <c r="M79" s="64"/>
    </row>
    <row r="80" customFormat="false" ht="12.75" hidden="false" customHeight="false" outlineLevel="0" collapsed="false">
      <c r="C80" s="101"/>
      <c r="D80" s="101" t="e">
        <f aca="false">D81*D$55</f>
        <v>#VALUE!</v>
      </c>
      <c r="E80" s="101" t="e">
        <f aca="false">E81*E$55</f>
        <v>#VALUE!</v>
      </c>
      <c r="F80" s="101" t="e">
        <f aca="false">F81*F$55</f>
        <v>#VALUE!</v>
      </c>
      <c r="G80" s="101" t="e">
        <f aca="false">G81*G$55</f>
        <v>#VALUE!</v>
      </c>
      <c r="H80" s="101" t="e">
        <f aca="false">H81*H$55</f>
        <v>#VALUE!</v>
      </c>
      <c r="I80" s="101" t="e">
        <f aca="false">I81*I$55</f>
        <v>#VALUE!</v>
      </c>
      <c r="J80" s="101" t="e">
        <f aca="false">J81*J$55</f>
        <v>#VALUE!</v>
      </c>
      <c r="K80" s="101" t="e">
        <f aca="false">K81*K$55</f>
        <v>#VALUE!</v>
      </c>
      <c r="L80" s="101" t="e">
        <f aca="false">L81*L$55</f>
        <v>#VALUE!</v>
      </c>
      <c r="M80" s="64"/>
    </row>
    <row r="81" customFormat="false" ht="12.75" hidden="false" customHeight="false" outlineLevel="0" collapsed="false">
      <c r="A81" s="1" t="s">
        <v>101</v>
      </c>
      <c r="C81" s="101" t="e">
        <f aca="false">C54</f>
        <v>#VALUE!</v>
      </c>
      <c r="D81" s="101" t="e">
        <f aca="false">D54*D69/D70*2</f>
        <v>#VALUE!</v>
      </c>
      <c r="E81" s="101" t="e">
        <f aca="false">E54*E69/E70*2</f>
        <v>#VALUE!</v>
      </c>
      <c r="F81" s="101" t="e">
        <f aca="false">F54*F69/F70*2</f>
        <v>#VALUE!</v>
      </c>
      <c r="G81" s="101" t="e">
        <f aca="false">G54*G69/G70*2</f>
        <v>#VALUE!</v>
      </c>
      <c r="H81" s="101" t="e">
        <f aca="false">H54*H69/H70*2</f>
        <v>#VALUE!</v>
      </c>
      <c r="I81" s="101" t="e">
        <f aca="false">I54*I69/I70*2</f>
        <v>#VALUE!</v>
      </c>
      <c r="J81" s="101" t="e">
        <f aca="false">J54*J69/J70*2</f>
        <v>#VALUE!</v>
      </c>
      <c r="K81" s="101" t="e">
        <f aca="false">K54*K69/K70*2</f>
        <v>#VALUE!</v>
      </c>
      <c r="L81" s="101" t="e">
        <f aca="false">L54*L69/L70*2</f>
        <v>#VALUE!</v>
      </c>
      <c r="M81" s="101"/>
    </row>
    <row r="82" customFormat="false" ht="12.75" hidden="false" customHeight="false" outlineLevel="0" collapsed="false">
      <c r="A82" s="60" t="s">
        <v>93</v>
      </c>
      <c r="B82" s="60"/>
      <c r="C82" s="60" t="n">
        <f aca="false">C46</f>
        <v>0</v>
      </c>
      <c r="D82" s="60" t="n">
        <f aca="false">D46</f>
        <v>0.5</v>
      </c>
      <c r="E82" s="60" t="n">
        <f aca="false">E46</f>
        <v>1</v>
      </c>
      <c r="F82" s="60" t="n">
        <f aca="false">F46</f>
        <v>1.5</v>
      </c>
      <c r="G82" s="60" t="n">
        <f aca="false">G46</f>
        <v>2</v>
      </c>
      <c r="H82" s="60" t="n">
        <f aca="false">H46</f>
        <v>2.5</v>
      </c>
      <c r="I82" s="60" t="n">
        <f aca="false">I46</f>
        <v>3</v>
      </c>
      <c r="J82" s="60" t="n">
        <f aca="false">J46</f>
        <v>3.5</v>
      </c>
      <c r="K82" s="60" t="n">
        <f aca="false">K46</f>
        <v>4</v>
      </c>
      <c r="L82" s="60" t="n">
        <f aca="false">L46</f>
        <v>4.5</v>
      </c>
    </row>
    <row r="83" customFormat="false" ht="12.75" hidden="false" customHeight="false" outlineLevel="0" collapsed="false">
      <c r="H83" s="1"/>
      <c r="I83" s="1"/>
    </row>
    <row r="84" customFormat="false" ht="12.75" hidden="false" customHeight="false" outlineLevel="0" collapsed="false">
      <c r="H84" s="1"/>
      <c r="I84" s="1"/>
      <c r="L84" s="1" t="e">
        <f aca="false">-LN(L72)/($C$29/$C$30)</f>
        <v>#VALUE!</v>
      </c>
    </row>
    <row r="85" customFormat="false" ht="12.75" hidden="false" customHeight="false" outlineLevel="0" collapsed="false">
      <c r="H85" s="1"/>
      <c r="I85" s="1"/>
      <c r="K85" s="1" t="e">
        <f aca="false">-LN(K73)/($C$29/$C$30)</f>
        <v>#VALUE!</v>
      </c>
      <c r="L85" s="1" t="e">
        <f aca="false">-LN(L73)/($C$29/$C$30)</f>
        <v>#VALUE!</v>
      </c>
    </row>
    <row r="86" customFormat="false" ht="12.75" hidden="false" customHeight="false" outlineLevel="0" collapsed="false">
      <c r="H86" s="1"/>
      <c r="I86" s="1"/>
      <c r="J86" s="1" t="e">
        <f aca="false">-LN(J74)/($C$29/$C$30)</f>
        <v>#VALUE!</v>
      </c>
      <c r="K86" s="1" t="e">
        <f aca="false">-LN(K74)/($C$29/$C$30)</f>
        <v>#VALUE!</v>
      </c>
      <c r="L86" s="1" t="e">
        <f aca="false">-LN(L74)/($C$29/$C$30)</f>
        <v>#VALUE!</v>
      </c>
    </row>
    <row r="87" customFormat="false" ht="12.75" hidden="false" customHeight="false" outlineLevel="0" collapsed="false">
      <c r="H87" s="1"/>
      <c r="I87" s="1" t="e">
        <f aca="false">-LN(I75)/($C$29/$C$30)</f>
        <v>#VALUE!</v>
      </c>
      <c r="J87" s="1" t="e">
        <f aca="false">-LN(J75)/($C$29/$C$30)</f>
        <v>#VALUE!</v>
      </c>
      <c r="K87" s="1" t="e">
        <f aca="false">-LN(K75)/($C$29/$C$30)</f>
        <v>#VALUE!</v>
      </c>
      <c r="L87" s="1" t="e">
        <f aca="false">-LN(L75)/($C$29/$C$30)</f>
        <v>#VALUE!</v>
      </c>
    </row>
    <row r="88" customFormat="false" ht="12.75" hidden="false" customHeight="false" outlineLevel="0" collapsed="false">
      <c r="H88" s="1" t="e">
        <f aca="false">-LN(H76)/($C$29/$C$30)</f>
        <v>#VALUE!</v>
      </c>
      <c r="I88" s="1" t="e">
        <f aca="false">-LN(I76)/($C$29/$C$30)</f>
        <v>#VALUE!</v>
      </c>
      <c r="J88" s="1" t="e">
        <f aca="false">-LN(J76)/($C$29/$C$30)</f>
        <v>#VALUE!</v>
      </c>
      <c r="K88" s="1" t="e">
        <f aca="false">-LN(K76)/($C$29/$C$30)</f>
        <v>#VALUE!</v>
      </c>
      <c r="L88" s="1" t="e">
        <f aca="false">-LN(L76)/($C$29/$C$30)</f>
        <v>#VALUE!</v>
      </c>
    </row>
    <row r="89" customFormat="false" ht="12.75" hidden="false" customHeight="false" outlineLevel="0" collapsed="false">
      <c r="G89" s="1" t="e">
        <f aca="false">-LN(G77)/($C$29/$C$30)</f>
        <v>#VALUE!</v>
      </c>
      <c r="H89" s="1" t="e">
        <f aca="false">-LN(H77)/($C$29/$C$30)</f>
        <v>#VALUE!</v>
      </c>
      <c r="I89" s="1" t="e">
        <f aca="false">-LN(I77)/($C$29/$C$30)</f>
        <v>#VALUE!</v>
      </c>
      <c r="J89" s="1" t="e">
        <f aca="false">-LN(J77)/($C$29/$C$30)</f>
        <v>#VALUE!</v>
      </c>
      <c r="K89" s="1" t="e">
        <f aca="false">-LN(K77)/($C$29/$C$30)</f>
        <v>#VALUE!</v>
      </c>
      <c r="L89" s="1" t="e">
        <f aca="false">-LN(L77)/($C$29/$C$30)</f>
        <v>#VALUE!</v>
      </c>
    </row>
    <row r="90" customFormat="false" ht="12.75" hidden="false" customHeight="false" outlineLevel="0" collapsed="false">
      <c r="F90" s="1" t="e">
        <f aca="false">-LN(F78)/($C$29/$C$30)</f>
        <v>#VALUE!</v>
      </c>
      <c r="G90" s="1" t="e">
        <f aca="false">-LN(G78)/($C$29/$C$30)</f>
        <v>#VALUE!</v>
      </c>
      <c r="H90" s="1" t="e">
        <f aca="false">-LN(H78)/($C$29/$C$30)</f>
        <v>#VALUE!</v>
      </c>
      <c r="I90" s="1" t="e">
        <f aca="false">-LN(I78)/($C$29/$C$30)</f>
        <v>#VALUE!</v>
      </c>
      <c r="J90" s="1" t="e">
        <f aca="false">-LN(J78)/($C$29/$C$30)</f>
        <v>#VALUE!</v>
      </c>
      <c r="K90" s="1" t="e">
        <f aca="false">-LN(K78)/($C$29/$C$30)</f>
        <v>#VALUE!</v>
      </c>
      <c r="L90" s="1" t="e">
        <f aca="false">-LN(L78)/($C$29/$C$30)</f>
        <v>#VALUE!</v>
      </c>
    </row>
    <row r="91" customFormat="false" ht="12.75" hidden="false" customHeight="false" outlineLevel="0" collapsed="false">
      <c r="E91" s="1" t="e">
        <f aca="false">-LN(E79)/($C$29/$C$30)</f>
        <v>#VALUE!</v>
      </c>
      <c r="F91" s="1" t="e">
        <f aca="false">-LN(F79)/($C$29/$C$30)</f>
        <v>#VALUE!</v>
      </c>
      <c r="G91" s="1" t="e">
        <f aca="false">-LN(G79)/($C$29/$C$30)</f>
        <v>#VALUE!</v>
      </c>
      <c r="H91" s="1" t="e">
        <f aca="false">-LN(H79)/($C$29/$C$30)</f>
        <v>#VALUE!</v>
      </c>
      <c r="I91" s="1" t="e">
        <f aca="false">-LN(I79)/($C$29/$C$30)</f>
        <v>#VALUE!</v>
      </c>
      <c r="J91" s="1" t="e">
        <f aca="false">-LN(J79)/($C$29/$C$30)</f>
        <v>#VALUE!</v>
      </c>
      <c r="K91" s="1" t="e">
        <f aca="false">-LN(K79)/($C$29/$C$30)</f>
        <v>#VALUE!</v>
      </c>
      <c r="L91" s="1" t="e">
        <f aca="false">-LN(L79)/($C$29/$C$30)</f>
        <v>#VALUE!</v>
      </c>
    </row>
    <row r="92" customFormat="false" ht="12.75" hidden="false" customHeight="false" outlineLevel="0" collapsed="false">
      <c r="D92" s="1" t="e">
        <f aca="false">-LN(D80)/($C$29/$C$30)</f>
        <v>#VALUE!</v>
      </c>
      <c r="E92" s="1" t="e">
        <f aca="false">-LN(E80)/($C$29/$C$30)</f>
        <v>#VALUE!</v>
      </c>
      <c r="F92" s="1" t="e">
        <f aca="false">-LN(F80)/($C$29/$C$30)</f>
        <v>#VALUE!</v>
      </c>
      <c r="G92" s="1" t="e">
        <f aca="false">-LN(G80)/($C$29/$C$30)</f>
        <v>#VALUE!</v>
      </c>
      <c r="H92" s="1" t="e">
        <f aca="false">-LN(H80)/($C$29/$C$30)</f>
        <v>#VALUE!</v>
      </c>
      <c r="I92" s="1" t="e">
        <f aca="false">-LN(I80)/($C$29/$C$30)</f>
        <v>#VALUE!</v>
      </c>
      <c r="J92" s="1" t="e">
        <f aca="false">-LN(J80)/($C$29/$C$30)</f>
        <v>#VALUE!</v>
      </c>
      <c r="K92" s="1" t="e">
        <f aca="false">-LN(K80)/($C$29/$C$30)</f>
        <v>#VALUE!</v>
      </c>
      <c r="L92" s="1" t="e">
        <f aca="false">-LN(L80)/($C$29/$C$30)</f>
        <v>#VALUE!</v>
      </c>
    </row>
    <row r="93" customFormat="false" ht="12.75" hidden="false" customHeight="false" outlineLevel="0" collapsed="false">
      <c r="A93" s="1" t="s">
        <v>102</v>
      </c>
      <c r="C93" s="1" t="e">
        <f aca="false">-LN(C81)/($C$29/$C$30)</f>
        <v>#VALUE!</v>
      </c>
      <c r="D93" s="1" t="e">
        <f aca="false">-LN(D81)/($C$29/$C$30)</f>
        <v>#VALUE!</v>
      </c>
      <c r="E93" s="1" t="e">
        <f aca="false">-LN(E81)/($C$29/$C$30)</f>
        <v>#VALUE!</v>
      </c>
      <c r="F93" s="1" t="e">
        <f aca="false">-LN(F81)/($C$29/$C$30)</f>
        <v>#VALUE!</v>
      </c>
      <c r="G93" s="1" t="e">
        <f aca="false">-LN(G81)/($C$29/$C$30)</f>
        <v>#VALUE!</v>
      </c>
      <c r="H93" s="1" t="e">
        <f aca="false">-LN(H81)/($C$29/$C$30)</f>
        <v>#VALUE!</v>
      </c>
      <c r="I93" s="1" t="e">
        <f aca="false">-LN(I81)/($C$29/$C$30)</f>
        <v>#VALUE!</v>
      </c>
      <c r="J93" s="1" t="e">
        <f aca="false">-LN(J81)/($C$29/$C$30)</f>
        <v>#VALUE!</v>
      </c>
      <c r="K93" s="1" t="e">
        <f aca="false">-LN(K81)/($C$29/$C$30)</f>
        <v>#VALUE!</v>
      </c>
      <c r="L93" s="1" t="e">
        <f aca="false">-LN(L81)/($C$29/$C$30)</f>
        <v>#VALUE!</v>
      </c>
    </row>
    <row r="94" customFormat="false" ht="12.75" hidden="false" customHeight="false" outlineLevel="0" collapsed="false">
      <c r="A94" s="60" t="s">
        <v>93</v>
      </c>
      <c r="B94" s="60"/>
      <c r="C94" s="60" t="n">
        <f aca="false">C82</f>
        <v>0</v>
      </c>
      <c r="D94" s="60" t="n">
        <f aca="false">D82</f>
        <v>0.5</v>
      </c>
      <c r="E94" s="60" t="n">
        <f aca="false">E82</f>
        <v>1</v>
      </c>
      <c r="F94" s="60" t="n">
        <f aca="false">F82</f>
        <v>1.5</v>
      </c>
      <c r="G94" s="60" t="n">
        <f aca="false">G82</f>
        <v>2</v>
      </c>
      <c r="H94" s="60" t="n">
        <f aca="false">H82</f>
        <v>2.5</v>
      </c>
      <c r="I94" s="60" t="n">
        <f aca="false">I82</f>
        <v>3</v>
      </c>
      <c r="J94" s="60" t="n">
        <f aca="false">J82</f>
        <v>3.5</v>
      </c>
      <c r="K94" s="60" t="n">
        <f aca="false">K82</f>
        <v>4</v>
      </c>
      <c r="L94" s="60" t="n">
        <f aca="false">L82</f>
        <v>4.5</v>
      </c>
    </row>
    <row r="95" customFormat="false" ht="12.75" hidden="false" customHeight="false" outlineLevel="0" collapsed="false">
      <c r="H95" s="1"/>
      <c r="I95" s="1"/>
    </row>
    <row r="96" customFormat="false" ht="12.75" hidden="false" customHeight="false" outlineLevel="0" collapsed="false">
      <c r="H96" s="1"/>
      <c r="I96" s="1"/>
      <c r="L96" s="6" t="str">
        <f aca="false">IF(L$106=$C$29,$C$28,IF(L$106&lt;$C$29,0.5*(#REF!+M96)*L72,"N/A"))</f>
        <v>N/A</v>
      </c>
    </row>
    <row r="97" customFormat="false" ht="12.75" hidden="false" customHeight="false" outlineLevel="0" collapsed="false">
      <c r="H97" s="1"/>
      <c r="I97" s="1"/>
      <c r="K97" s="6" t="str">
        <f aca="false">IF(K$106=$C$29,$C$28,IF(K$106&lt;$C$29,0.5*(L96+L97)*K73,"N/A"))</f>
        <v>N/A</v>
      </c>
      <c r="L97" s="6" t="str">
        <f aca="false">IF(L$106=$C$29,$C$28,IF(L$106&lt;$C$29,0.5*(M96+M97)*L73,"N/A"))</f>
        <v>N/A</v>
      </c>
    </row>
    <row r="98" customFormat="false" ht="12.75" hidden="false" customHeight="false" outlineLevel="0" collapsed="false">
      <c r="H98" s="1"/>
      <c r="I98" s="1"/>
      <c r="J98" s="6" t="str">
        <f aca="false">IF(J$106=$C$29,$C$28,IF(J$106&lt;$C$29,0.5*(K97+K98)*J74,"N/A"))</f>
        <v>N/A</v>
      </c>
      <c r="K98" s="6" t="str">
        <f aca="false">IF(K$106=$C$29,$C$28,IF(K$106&lt;$C$29,0.5*(L97+L98)*K74,"N/A"))</f>
        <v>N/A</v>
      </c>
      <c r="L98" s="6" t="str">
        <f aca="false">IF(L$106=$C$29,$C$28,IF(L$106&lt;$C$29,0.5*(M97+M98)*L74,"N/A"))</f>
        <v>N/A</v>
      </c>
    </row>
    <row r="99" customFormat="false" ht="12.75" hidden="false" customHeight="false" outlineLevel="0" collapsed="false">
      <c r="C99" s="103"/>
      <c r="D99" s="103"/>
      <c r="E99" s="103"/>
      <c r="F99" s="103"/>
      <c r="G99" s="103"/>
      <c r="H99" s="103"/>
      <c r="I99" s="6" t="str">
        <f aca="false">IF(I$106=$C$29,$C$28,IF(I$106&lt;$C$29,0.5*(J98+J99)*I75,"N/A"))</f>
        <v>N/A</v>
      </c>
      <c r="J99" s="6" t="str">
        <f aca="false">IF(J$106=$C$29,$C$28,IF(J$106&lt;$C$29,0.5*(K98+K99)*J75,"N/A"))</f>
        <v>N/A</v>
      </c>
      <c r="K99" s="6" t="str">
        <f aca="false">IF(K$106=$C$29,$C$28,IF(K$106&lt;$C$29,0.5*(L98+L99)*K75,"N/A"))</f>
        <v>N/A</v>
      </c>
      <c r="L99" s="6" t="str">
        <f aca="false">IF(L$106=$C$29,$C$28,IF(L$106&lt;$C$29,0.5*(M98+M99)*L75,"N/A"))</f>
        <v>N/A</v>
      </c>
    </row>
    <row r="100" customFormat="false" ht="12.75" hidden="false" customHeight="false" outlineLevel="0" collapsed="false">
      <c r="C100" s="103"/>
      <c r="D100" s="103"/>
      <c r="E100" s="103"/>
      <c r="F100" s="103"/>
      <c r="G100" s="103"/>
      <c r="H100" s="6" t="str">
        <f aca="false">IF(H$106=$C$29,$C$28,IF(H$106&lt;$C$29,0.5*(I99+I100)*H76,"N/A"))</f>
        <v>N/A</v>
      </c>
      <c r="I100" s="6" t="str">
        <f aca="false">IF(I$106=$C$29,$C$28,IF(I$106&lt;$C$29,0.5*(J99+J100)*I76,"N/A"))</f>
        <v>N/A</v>
      </c>
      <c r="J100" s="6" t="str">
        <f aca="false">IF(J$106=$C$29,$C$28,IF(J$106&lt;$C$29,0.5*(K99+K100)*J76,"N/A"))</f>
        <v>N/A</v>
      </c>
      <c r="K100" s="6" t="str">
        <f aca="false">IF(K$106=$C$29,$C$28,IF(K$106&lt;$C$29,0.5*(L99+L100)*K76,"N/A"))</f>
        <v>N/A</v>
      </c>
      <c r="L100" s="6" t="str">
        <f aca="false">IF(L$106=$C$29,$C$28,IF(L$106&lt;$C$29,0.5*(M99+M100)*L76,"N/A"))</f>
        <v>N/A</v>
      </c>
    </row>
    <row r="101" customFormat="false" ht="12.75" hidden="false" customHeight="false" outlineLevel="0" collapsed="false">
      <c r="C101" s="103"/>
      <c r="D101" s="103"/>
      <c r="E101" s="103"/>
      <c r="F101" s="103"/>
      <c r="G101" s="6" t="n">
        <f aca="false">IF(G$106=$C$29,$C$28,IF(G$106&lt;$C$29,0.5*(H100+H101)*G77,"N/A"))</f>
        <v>100</v>
      </c>
      <c r="H101" s="6" t="str">
        <f aca="false">IF(H$106=$C$29,$C$28,IF(H$106&lt;$C$29,0.5*(I100+I101)*H77,"N/A"))</f>
        <v>N/A</v>
      </c>
      <c r="I101" s="6" t="str">
        <f aca="false">IF(I$106=$C$29,$C$28,IF(I$106&lt;$C$29,0.5*(J100+J101)*I77,"N/A"))</f>
        <v>N/A</v>
      </c>
      <c r="J101" s="6" t="str">
        <f aca="false">IF(J$106=$C$29,$C$28,IF(J$106&lt;$C$29,0.5*(K100+K101)*J77,"N/A"))</f>
        <v>N/A</v>
      </c>
      <c r="K101" s="6" t="str">
        <f aca="false">IF(K$106=$C$29,$C$28,IF(K$106&lt;$C$29,0.5*(L100+L101)*K77,"N/A"))</f>
        <v>N/A</v>
      </c>
      <c r="L101" s="6" t="str">
        <f aca="false">IF(L$106=$C$29,$C$28,IF(L$106&lt;$C$29,0.5*(M100+M101)*L77,"N/A"))</f>
        <v>N/A</v>
      </c>
    </row>
    <row r="102" customFormat="false" ht="12.75" hidden="false" customHeight="false" outlineLevel="0" collapsed="false">
      <c r="C102" s="103"/>
      <c r="D102" s="103"/>
      <c r="E102" s="103"/>
      <c r="F102" s="6" t="e">
        <f aca="false">IF(F$106=$C$29,$C$28,IF(F$106&lt;$C$29,0.5*(G101+G102)*F78,"N/A"))</f>
        <v>#VALUE!</v>
      </c>
      <c r="G102" s="6" t="n">
        <f aca="false">IF(G$106=$C$29,$C$28,IF(G$106&lt;$C$29,0.5*(H101+H102)*G78,"N/A"))</f>
        <v>100</v>
      </c>
      <c r="H102" s="6" t="str">
        <f aca="false">IF(H$106=$C$29,$C$28,IF(H$106&lt;$C$29,0.5*(I101+I102)*H78,"N/A"))</f>
        <v>N/A</v>
      </c>
      <c r="I102" s="6" t="str">
        <f aca="false">IF(I$106=$C$29,$C$28,IF(I$106&lt;$C$29,0.5*(J101+J102)*I78,"N/A"))</f>
        <v>N/A</v>
      </c>
      <c r="J102" s="6" t="str">
        <f aca="false">IF(J$106=$C$29,$C$28,IF(J$106&lt;$C$29,0.5*(K101+K102)*J78,"N/A"))</f>
        <v>N/A</v>
      </c>
      <c r="K102" s="6" t="str">
        <f aca="false">IF(K$106=$C$29,$C$28,IF(K$106&lt;$C$29,0.5*(L101+L102)*K78,"N/A"))</f>
        <v>N/A</v>
      </c>
      <c r="L102" s="6" t="str">
        <f aca="false">IF(L$106=$C$29,$C$28,IF(L$106&lt;$C$29,0.5*(M101+M102)*L78,"N/A"))</f>
        <v>N/A</v>
      </c>
    </row>
    <row r="103" customFormat="false" ht="12.75" hidden="false" customHeight="false" outlineLevel="0" collapsed="false">
      <c r="C103" s="103"/>
      <c r="D103" s="103"/>
      <c r="E103" s="6" t="e">
        <f aca="false">IF(E$106=$C$29,$C$28,IF(E$106&lt;$C$29,0.5*(F102+F103)*E79,"N/A"))</f>
        <v>#VALUE!</v>
      </c>
      <c r="F103" s="6" t="e">
        <f aca="false">IF(F$106=$C$29,$C$28,IF(F$106&lt;$C$29,0.5*(G102+G103)*F79,"N/A"))</f>
        <v>#VALUE!</v>
      </c>
      <c r="G103" s="6" t="n">
        <f aca="false">IF(G$106=$C$29,$C$28,IF(G$106&lt;$C$29,0.5*(H102+H103)*G79,"N/A"))</f>
        <v>100</v>
      </c>
      <c r="H103" s="6" t="str">
        <f aca="false">IF(H$106=$C$29,$C$28,IF(H$106&lt;$C$29,0.5*(I102+I103)*H79,"N/A"))</f>
        <v>N/A</v>
      </c>
      <c r="I103" s="6" t="str">
        <f aca="false">IF(I$106=$C$29,$C$28,IF(I$106&lt;$C$29,0.5*(J102+J103)*I79,"N/A"))</f>
        <v>N/A</v>
      </c>
      <c r="J103" s="6" t="str">
        <f aca="false">IF(J$106=$C$29,$C$28,IF(J$106&lt;$C$29,0.5*(K102+K103)*J79,"N/A"))</f>
        <v>N/A</v>
      </c>
      <c r="K103" s="6" t="str">
        <f aca="false">IF(K$106=$C$29,$C$28,IF(K$106&lt;$C$29,0.5*(L102+L103)*K79,"N/A"))</f>
        <v>N/A</v>
      </c>
      <c r="L103" s="6" t="str">
        <f aca="false">IF(L$106=$C$29,$C$28,IF(L$106&lt;$C$29,0.5*(M102+M103)*L79,"N/A"))</f>
        <v>N/A</v>
      </c>
    </row>
    <row r="104" customFormat="false" ht="12.75" hidden="false" customHeight="false" outlineLevel="0" collapsed="false">
      <c r="C104" s="103"/>
      <c r="D104" s="6" t="e">
        <f aca="false">IF(D$106=$C$29,$C$28,IF(D$106&lt;$C$29,0.5*(E103+E104)*D80,"N/A"))</f>
        <v>#VALUE!</v>
      </c>
      <c r="E104" s="6" t="e">
        <f aca="false">IF(E$106=$C$29,$C$28,IF(E$106&lt;$C$29,0.5*(F103+F104)*E80,"N/A"))</f>
        <v>#VALUE!</v>
      </c>
      <c r="F104" s="6" t="e">
        <f aca="false">IF(F$106=$C$29,$C$28,IF(F$106&lt;$C$29,0.5*(G103+G104)*F80,"N/A"))</f>
        <v>#VALUE!</v>
      </c>
      <c r="G104" s="6" t="n">
        <f aca="false">IF(G$106=$C$29,$C$28,IF(G$106&lt;$C$29,0.5*(H103+H104)*G80,"N/A"))</f>
        <v>100</v>
      </c>
      <c r="H104" s="6" t="str">
        <f aca="false">IF(H$106=$C$29,$C$28,IF(H$106&lt;$C$29,0.5*(I103+I104)*H80,"N/A"))</f>
        <v>N/A</v>
      </c>
      <c r="I104" s="6" t="str">
        <f aca="false">IF(I$106=$C$29,$C$28,IF(I$106&lt;$C$29,0.5*(J103+J104)*I80,"N/A"))</f>
        <v>N/A</v>
      </c>
      <c r="J104" s="6" t="str">
        <f aca="false">IF(J$106=$C$29,$C$28,IF(J$106&lt;$C$29,0.5*(K103+K104)*J80,"N/A"))</f>
        <v>N/A</v>
      </c>
      <c r="K104" s="6" t="str">
        <f aca="false">IF(K$106=$C$29,$C$28,IF(K$106&lt;$C$29,0.5*(L103+L104)*K80,"N/A"))</f>
        <v>N/A</v>
      </c>
      <c r="L104" s="6" t="str">
        <f aca="false">IF(L$106=$C$29,$C$28,IF(L$106&lt;$C$29,0.5*(M103+M104)*L80,"N/A"))</f>
        <v>N/A</v>
      </c>
    </row>
    <row r="105" customFormat="false" ht="12.75" hidden="false" customHeight="false" outlineLevel="0" collapsed="false">
      <c r="A105" s="1" t="s">
        <v>103</v>
      </c>
      <c r="C105" s="6" t="e">
        <f aca="false">IF(C$106=$C$29,$C$28,IF(C$106&lt;$C$29,0.5*(D104+D105)*C81,"N/A"))</f>
        <v>#VALUE!</v>
      </c>
      <c r="D105" s="6" t="e">
        <f aca="false">IF(D$106=$C$29,$C$28,IF(D$106&lt;$C$29,0.5*(E104+E105)*D81,"N/A"))</f>
        <v>#VALUE!</v>
      </c>
      <c r="E105" s="6" t="e">
        <f aca="false">IF(E$106=$C$29,$C$28,IF(E$106&lt;$C$29,0.5*(F104+F105)*E81,"N/A"))</f>
        <v>#VALUE!</v>
      </c>
      <c r="F105" s="6" t="e">
        <f aca="false">IF(F$106=$C$29,$C$28,IF(F$106&lt;$C$29,0.5*(G104+G105)*F81,"N/A"))</f>
        <v>#VALUE!</v>
      </c>
      <c r="G105" s="6" t="n">
        <f aca="false">IF(G$106=$C$29,$C$28,IF(G$106&lt;$C$29,0.5*(H104+H105)*G81,"N/A"))</f>
        <v>100</v>
      </c>
      <c r="H105" s="6" t="str">
        <f aca="false">IF(H$106=$C$29,$C$28,IF(H$106&lt;$C$29,0.5*(I104+I105)*H81,"N/A"))</f>
        <v>N/A</v>
      </c>
      <c r="I105" s="6" t="str">
        <f aca="false">IF(I$106=$C$29,$C$28,IF(I$106&lt;$C$29,0.5*(J104+J105)*I81,"N/A"))</f>
        <v>N/A</v>
      </c>
      <c r="J105" s="6" t="str">
        <f aca="false">IF(J$106=$C$29,$C$28,IF(J$106&lt;$C$29,0.5*(K104+K105)*J81,"N/A"))</f>
        <v>N/A</v>
      </c>
      <c r="K105" s="6" t="str">
        <f aca="false">IF(K$106=$C$29,$C$28,IF(K$106&lt;$C$29,0.5*(L104+L105)*K81,"N/A"))</f>
        <v>N/A</v>
      </c>
      <c r="L105" s="6" t="str">
        <f aca="false">IF(L$106=$C$29,$C$28,IF(L$106&lt;$C$29,0.5*(M104+M105)*L81,"N/A"))</f>
        <v>N/A</v>
      </c>
    </row>
    <row r="106" customFormat="false" ht="12.75" hidden="false" customHeight="false" outlineLevel="0" collapsed="false">
      <c r="A106" s="60" t="s">
        <v>93</v>
      </c>
      <c r="B106" s="60"/>
      <c r="C106" s="60" t="n">
        <f aca="false">C82</f>
        <v>0</v>
      </c>
      <c r="D106" s="60" t="n">
        <f aca="false">D82</f>
        <v>0.5</v>
      </c>
      <c r="E106" s="60" t="n">
        <f aca="false">E82</f>
        <v>1</v>
      </c>
      <c r="F106" s="60" t="n">
        <f aca="false">F82</f>
        <v>1.5</v>
      </c>
      <c r="G106" s="60" t="n">
        <f aca="false">G82</f>
        <v>2</v>
      </c>
      <c r="H106" s="60" t="n">
        <f aca="false">H82</f>
        <v>2.5</v>
      </c>
      <c r="I106" s="60" t="n">
        <f aca="false">I82</f>
        <v>3</v>
      </c>
      <c r="J106" s="60" t="n">
        <f aca="false">J82</f>
        <v>3.5</v>
      </c>
      <c r="K106" s="60" t="n">
        <f aca="false">K82</f>
        <v>4</v>
      </c>
      <c r="L106" s="60" t="n">
        <f aca="false">L82</f>
        <v>4.5</v>
      </c>
    </row>
    <row r="107" customFormat="false" ht="12.75" hidden="false" customHeight="false" outlineLevel="0" collapsed="false">
      <c r="H107" s="1"/>
      <c r="I107" s="1"/>
    </row>
    <row r="108" customFormat="false" ht="12.75" hidden="false" customHeight="false" outlineLevel="0" collapsed="false">
      <c r="A108" s="1" t="s">
        <v>104</v>
      </c>
      <c r="C108" s="104" t="e">
        <f aca="false">$C28*EXP(-C47*C46)</f>
        <v>#VALUE!</v>
      </c>
      <c r="D108" s="104" t="e">
        <f aca="false">$C28*EXP(-D47*D46)</f>
        <v>#VALUE!</v>
      </c>
      <c r="E108" s="104" t="e">
        <f aca="false">$C28*EXP(-E47*E46)</f>
        <v>#VALUE!</v>
      </c>
      <c r="F108" s="104" t="e">
        <f aca="false">$C28*EXP(-F47*F46)</f>
        <v>#VALUE!</v>
      </c>
      <c r="G108" s="104" t="e">
        <f aca="false">$C28*EXP(-G47*G46)</f>
        <v>#VALUE!</v>
      </c>
      <c r="H108" s="104" t="e">
        <f aca="false">$C28*EXP(-H47*H46)</f>
        <v>#VALUE!</v>
      </c>
      <c r="I108" s="104" t="e">
        <f aca="false">$C28*EXP(-I47*I46)</f>
        <v>#VALUE!</v>
      </c>
      <c r="J108" s="104" t="e">
        <f aca="false">$C28*EXP(-J47*J46)</f>
        <v>#VALUE!</v>
      </c>
      <c r="K108" s="104" t="e">
        <f aca="false">$C28*EXP(-K47*K46)</f>
        <v>#VALUE!</v>
      </c>
      <c r="L108" s="8"/>
    </row>
    <row r="110" customFormat="false" ht="12.75" hidden="false" customHeight="false" outlineLevel="0" collapsed="false">
      <c r="L110" s="1" t="e">
        <f aca="false">(L84-L85)/(2*L$51)*SQRT($C$29/$C$30)</f>
        <v>#VALUE!</v>
      </c>
    </row>
    <row r="111" customFormat="false" ht="12.75" hidden="false" customHeight="false" outlineLevel="0" collapsed="false">
      <c r="K111" s="1" t="e">
        <f aca="false">(K85-K86)/(2*K$51)*SQRT($C$29/$C$30)</f>
        <v>#VALUE!</v>
      </c>
      <c r="L111" s="1" t="e">
        <f aca="false">(L85-L86)/(2*L$51)*SQRT($C$29/$C$30)</f>
        <v>#VALUE!</v>
      </c>
    </row>
    <row r="112" customFormat="false" ht="12.75" hidden="false" customHeight="false" outlineLevel="0" collapsed="false">
      <c r="J112" s="1" t="e">
        <f aca="false">(J86-J87)/(2*J$51)*SQRT($C$29/$C$30)</f>
        <v>#VALUE!</v>
      </c>
      <c r="K112" s="1" t="e">
        <f aca="false">(K86-K87)/(2*K$51)*SQRT($C$29/$C$30)</f>
        <v>#VALUE!</v>
      </c>
      <c r="L112" s="1" t="e">
        <f aca="false">(L86-L87)/(2*L$51)*SQRT($C$29/$C$30)</f>
        <v>#VALUE!</v>
      </c>
    </row>
    <row r="113" customFormat="false" ht="12.75" hidden="false" customHeight="false" outlineLevel="0" collapsed="false">
      <c r="I113" s="1" t="e">
        <f aca="false">(I87-I88)/(2*I$51)*SQRT($C$29/$C$30)</f>
        <v>#VALUE!</v>
      </c>
      <c r="J113" s="1" t="e">
        <f aca="false">(J87-J88)/(2*J$51)*SQRT($C$29/$C$30)</f>
        <v>#VALUE!</v>
      </c>
      <c r="K113" s="1" t="e">
        <f aca="false">(K87-K88)/(2*K$51)*SQRT($C$29/$C$30)</f>
        <v>#VALUE!</v>
      </c>
      <c r="L113" s="1" t="e">
        <f aca="false">(L87-L88)/(2*L$51)*SQRT($C$29/$C$30)</f>
        <v>#VALUE!</v>
      </c>
    </row>
    <row r="114" customFormat="false" ht="12.75" hidden="false" customHeight="false" outlineLevel="0" collapsed="false">
      <c r="H114" s="1" t="e">
        <f aca="false">(H88-H89)/(2*H$51)*SQRT($C$29/$C$30)</f>
        <v>#VALUE!</v>
      </c>
      <c r="I114" s="1" t="e">
        <f aca="false">(I88-I89)/(2*I$51)*SQRT($C$29/$C$30)</f>
        <v>#VALUE!</v>
      </c>
      <c r="J114" s="1" t="e">
        <f aca="false">(J88-J89)/(2*J$51)*SQRT($C$29/$C$30)</f>
        <v>#VALUE!</v>
      </c>
      <c r="K114" s="1" t="e">
        <f aca="false">(K88-K89)/(2*K$51)*SQRT($C$29/$C$30)</f>
        <v>#VALUE!</v>
      </c>
      <c r="L114" s="1" t="e">
        <f aca="false">(L88-L89)/(2*L$51)*SQRT($C$29/$C$30)</f>
        <v>#VALUE!</v>
      </c>
    </row>
    <row r="115" customFormat="false" ht="12.75" hidden="false" customHeight="false" outlineLevel="0" collapsed="false">
      <c r="G115" s="1" t="e">
        <f aca="false">(G89-G90)/(2*G$51)*SQRT($C$29/$C$30)</f>
        <v>#VALUE!</v>
      </c>
      <c r="H115" s="1" t="e">
        <f aca="false">(H89-H90)/(2*H$51)*SQRT($C$29/$C$30)</f>
        <v>#VALUE!</v>
      </c>
      <c r="I115" s="1" t="e">
        <f aca="false">(I89-I90)/(2*I$51)*SQRT($C$29/$C$30)</f>
        <v>#VALUE!</v>
      </c>
      <c r="J115" s="1" t="e">
        <f aca="false">(J89-J90)/(2*J$51)*SQRT($C$29/$C$30)</f>
        <v>#VALUE!</v>
      </c>
      <c r="K115" s="1" t="e">
        <f aca="false">(K89-K90)/(2*K$51)*SQRT($C$29/$C$30)</f>
        <v>#VALUE!</v>
      </c>
      <c r="L115" s="1" t="e">
        <f aca="false">(L89-L90)/(2*L$51)*SQRT($C$29/$C$30)</f>
        <v>#VALUE!</v>
      </c>
    </row>
    <row r="116" customFormat="false" ht="12.75" hidden="false" customHeight="false" outlineLevel="0" collapsed="false">
      <c r="F116" s="1" t="e">
        <f aca="false">(F90-F91)/(2*F$51)*SQRT($C$29/$C$30)</f>
        <v>#VALUE!</v>
      </c>
      <c r="G116" s="1" t="e">
        <f aca="false">(G90-G91)/(2*G$51)*SQRT($C$29/$C$30)</f>
        <v>#VALUE!</v>
      </c>
      <c r="H116" s="1" t="e">
        <f aca="false">(H90-H91)/(2*H$51)*SQRT($C$29/$C$30)</f>
        <v>#VALUE!</v>
      </c>
      <c r="I116" s="1" t="e">
        <f aca="false">(I90-I91)/(2*I$51)*SQRT($C$29/$C$30)</f>
        <v>#VALUE!</v>
      </c>
      <c r="J116" s="1" t="e">
        <f aca="false">(J90-J91)/(2*J$51)*SQRT($C$29/$C$30)</f>
        <v>#VALUE!</v>
      </c>
      <c r="K116" s="1" t="e">
        <f aca="false">(K90-K91)/(2*K$51)*SQRT($C$29/$C$30)</f>
        <v>#VALUE!</v>
      </c>
      <c r="L116" s="1" t="e">
        <f aca="false">(L90-L91)/(2*L$51)*SQRT($C$29/$C$30)</f>
        <v>#VALUE!</v>
      </c>
    </row>
    <row r="117" customFormat="false" ht="12.75" hidden="false" customHeight="false" outlineLevel="0" collapsed="false">
      <c r="E117" s="1" t="e">
        <f aca="false">(E91-E92)/(2*E$51)*SQRT($C$29/$C$30)</f>
        <v>#VALUE!</v>
      </c>
      <c r="F117" s="1" t="e">
        <f aca="false">(F91-F92)/(2*F$51)*SQRT($C$29/$C$30)</f>
        <v>#VALUE!</v>
      </c>
      <c r="G117" s="1" t="e">
        <f aca="false">(G91-G92)/(2*G$51)*SQRT($C$29/$C$30)</f>
        <v>#VALUE!</v>
      </c>
      <c r="H117" s="1" t="e">
        <f aca="false">(H91-H92)/(2*H$51)*SQRT($C$29/$C$30)</f>
        <v>#VALUE!</v>
      </c>
      <c r="I117" s="1" t="e">
        <f aca="false">(I91-I92)/(2*I$51)*SQRT($C$29/$C$30)</f>
        <v>#VALUE!</v>
      </c>
      <c r="J117" s="1" t="e">
        <f aca="false">(J91-J92)/(2*J$51)*SQRT($C$29/$C$30)</f>
        <v>#VALUE!</v>
      </c>
      <c r="K117" s="1" t="e">
        <f aca="false">(K91-K92)/(2*K$51)*SQRT($C$29/$C$30)</f>
        <v>#VALUE!</v>
      </c>
      <c r="L117" s="1" t="e">
        <f aca="false">(L91-L92)/(2*L$51)*SQRT($C$29/$C$30)</f>
        <v>#VALUE!</v>
      </c>
    </row>
    <row r="118" customFormat="false" ht="12.75" hidden="false" customHeight="false" outlineLevel="0" collapsed="false">
      <c r="A118" s="18" t="s">
        <v>66</v>
      </c>
      <c r="D118" s="1" t="e">
        <f aca="false">(D92-D93)/(2*D$51)*SQRT($C$29/$C$30)</f>
        <v>#VALUE!</v>
      </c>
      <c r="E118" s="1" t="e">
        <f aca="false">(E92-E93)/(2*E$51)*SQRT($C$29/$C$30)</f>
        <v>#VALUE!</v>
      </c>
      <c r="F118" s="1" t="e">
        <f aca="false">(F92-F93)/(2*F$51)*SQRT($C$29/$C$30)</f>
        <v>#VALUE!</v>
      </c>
      <c r="G118" s="1" t="e">
        <f aca="false">(G92-G93)/(2*G$51)*SQRT($C$29/$C$30)</f>
        <v>#VALUE!</v>
      </c>
      <c r="H118" s="1" t="e">
        <f aca="false">(H92-H93)/(2*H$51)*SQRT($C$29/$C$30)</f>
        <v>#VALUE!</v>
      </c>
      <c r="I118" s="1" t="e">
        <f aca="false">(I92-I93)/(2*I$51)*SQRT($C$29/$C$30)</f>
        <v>#VALUE!</v>
      </c>
      <c r="J118" s="1" t="e">
        <f aca="false">(J92-J93)/(2*J$51)*SQRT($C$29/$C$30)</f>
        <v>#VALUE!</v>
      </c>
      <c r="K118" s="1" t="e">
        <f aca="false">(K92-K93)/(2*K$51)*SQRT($C$29/$C$30)</f>
        <v>#VALUE!</v>
      </c>
      <c r="L118" s="1" t="e">
        <f aca="false">(L92-L93)/(2*L$51)*SQRT($C$29/$C$30)</f>
        <v>#VALUE!</v>
      </c>
    </row>
    <row r="119" customFormat="false" ht="12.75" hidden="false" customHeight="false" outlineLevel="0" collapsed="false">
      <c r="A119" s="60" t="s">
        <v>93</v>
      </c>
      <c r="B119" s="60"/>
      <c r="C119" s="60" t="n">
        <f aca="false">C106</f>
        <v>0</v>
      </c>
      <c r="D119" s="60" t="n">
        <f aca="false">D106</f>
        <v>0.5</v>
      </c>
      <c r="E119" s="60" t="n">
        <f aca="false">E106</f>
        <v>1</v>
      </c>
      <c r="F119" s="60" t="n">
        <f aca="false">F106</f>
        <v>1.5</v>
      </c>
      <c r="G119" s="60" t="n">
        <f aca="false">G106</f>
        <v>2</v>
      </c>
      <c r="H119" s="60" t="n">
        <f aca="false">H106</f>
        <v>2.5</v>
      </c>
      <c r="I119" s="60" t="n">
        <f aca="false">I106</f>
        <v>3</v>
      </c>
      <c r="J119" s="60" t="n">
        <f aca="false">J106</f>
        <v>3.5</v>
      </c>
      <c r="K119" s="60" t="n">
        <f aca="false">K106</f>
        <v>4</v>
      </c>
      <c r="L119" s="60" t="n">
        <f aca="false">L106</f>
        <v>4.5</v>
      </c>
    </row>
    <row r="121" customFormat="false" ht="12.75" hidden="false" customHeight="false" outlineLevel="0" collapsed="false">
      <c r="A121" s="6" t="s">
        <v>105</v>
      </c>
      <c r="D121" s="1" t="e">
        <f aca="false">D51*D52</f>
        <v>#VALUE!</v>
      </c>
      <c r="E121" s="1" t="e">
        <f aca="false">E51*E52</f>
        <v>#VALUE!</v>
      </c>
      <c r="F121" s="1" t="e">
        <f aca="false">F51*F52</f>
        <v>#VALUE!</v>
      </c>
      <c r="G121" s="1" t="e">
        <f aca="false">G51*G52</f>
        <v>#VALUE!</v>
      </c>
      <c r="H121" s="1" t="e">
        <f aca="false">H51*H52</f>
        <v>#VALUE!</v>
      </c>
      <c r="I121" s="1" t="e">
        <f aca="false">I51*I52</f>
        <v>#VALUE!</v>
      </c>
      <c r="J121" s="1" t="e">
        <f aca="false">J51*J52</f>
        <v>#VALUE!</v>
      </c>
      <c r="K121" s="1" t="e">
        <f aca="false">K51*K52</f>
        <v>#VALUE!</v>
      </c>
      <c r="L121" s="1" t="e">
        <f aca="false">L51*L52</f>
        <v>#VALUE!</v>
      </c>
      <c r="M121" s="1" t="e">
        <f aca="false">M51*M52</f>
        <v>#VALUE!</v>
      </c>
    </row>
    <row r="122" customFormat="false" ht="12.75" hidden="false" customHeight="false" outlineLevel="0" collapsed="false">
      <c r="A122" s="6" t="s">
        <v>106</v>
      </c>
      <c r="D122" s="1" t="e">
        <f aca="false">SUM($D121:D121)/(D46*D47)*($C$29/$C$30)</f>
        <v>#VALUE!</v>
      </c>
      <c r="E122" s="1" t="e">
        <f aca="false">SUM($D121:E121)/(E46*E47)*($C$29/$C$30)</f>
        <v>#VALUE!</v>
      </c>
      <c r="F122" s="1" t="e">
        <f aca="false">SUM($D121:F121)/(F46*F47)*($C$29/$C$30)</f>
        <v>#VALUE!</v>
      </c>
      <c r="G122" s="1" t="e">
        <f aca="false">SUM($D121:G121)/(G46*G47)*($C$29/$C$30)</f>
        <v>#VALUE!</v>
      </c>
      <c r="H122" s="1" t="e">
        <f aca="false">SUM($D121:H121)/(H46*H47)*($C$29/$C$30)</f>
        <v>#VALUE!</v>
      </c>
      <c r="I122" s="1" t="e">
        <f aca="false">SUM($D121:I121)/(I46*I47)*($C$29/$C$30)</f>
        <v>#VALUE!</v>
      </c>
      <c r="J122" s="1" t="e">
        <f aca="false">SUM($D121:J121)/(J46*J47)*($C$29/$C$30)</f>
        <v>#VALUE!</v>
      </c>
      <c r="K122" s="1" t="e">
        <f aca="false">SUM($D121:K121)/(K46*K47)*($C$29/$C$30)</f>
        <v>#VALUE!</v>
      </c>
      <c r="L122" s="1" t="e">
        <f aca="false">SUM($D121:L121)/(L46*L47)*($C$29/$C$30)</f>
        <v>#VALUE!</v>
      </c>
      <c r="M122" s="1" t="e">
        <f aca="false">SUM($D121:M121)/(M46*M47)*($C$29/$C$30)</f>
        <v>#VALUE!</v>
      </c>
    </row>
    <row r="128" customFormat="false" ht="12.75" hidden="false" customHeight="false" outlineLevel="0" collapsed="false">
      <c r="A128" s="90" t="s">
        <v>69</v>
      </c>
    </row>
    <row r="130" customFormat="false" ht="12.75" hidden="false" customHeight="false" outlineLevel="0" collapsed="false">
      <c r="A130" s="1" t="s">
        <v>107</v>
      </c>
      <c r="B130" s="94" t="n">
        <v>0.0512710963760241</v>
      </c>
      <c r="C130" s="18" t="s">
        <v>71</v>
      </c>
    </row>
    <row r="131" customFormat="false" ht="12.75" hidden="false" customHeight="false" outlineLevel="0" collapsed="false">
      <c r="A131" s="1" t="s">
        <v>108</v>
      </c>
    </row>
    <row r="132" customFormat="false" ht="14.25" hidden="false" customHeight="false" outlineLevel="0" collapsed="false">
      <c r="B132" s="1" t="n">
        <f aca="false">(1+B130)^2</f>
        <v>1.10517091807565</v>
      </c>
      <c r="C132" s="18" t="s">
        <v>109</v>
      </c>
    </row>
    <row r="133" customFormat="false" ht="12.75" hidden="false" customHeight="false" outlineLevel="0" collapsed="false">
      <c r="A133" s="6"/>
      <c r="B133" s="1" t="n">
        <f aca="false">EXP(0.1)</f>
        <v>1.10517091807565</v>
      </c>
      <c r="C133" s="18" t="s">
        <v>110</v>
      </c>
    </row>
    <row r="135" customFormat="false" ht="12.75" hidden="false" customHeight="false" outlineLevel="0" collapsed="false">
      <c r="G135" s="1" t="n">
        <f aca="false">$C$28*(1+$B$130)</f>
        <v>105.127109637602</v>
      </c>
    </row>
    <row r="136" customFormat="false" ht="12.75" hidden="false" customHeight="false" outlineLevel="0" collapsed="false">
      <c r="F136" s="1" t="e">
        <f aca="false">0.5*(G135+G136)*F78+$C$28*$B$130</f>
        <v>#VALUE!</v>
      </c>
      <c r="G136" s="1" t="n">
        <f aca="false">$C$28*(1+$B$130)</f>
        <v>105.127109637602</v>
      </c>
    </row>
    <row r="137" customFormat="false" ht="12.75" hidden="false" customHeight="false" outlineLevel="0" collapsed="false">
      <c r="E137" s="1" t="e">
        <f aca="false">0.5*(F136+F137)*E79+$C$28*$B$130</f>
        <v>#VALUE!</v>
      </c>
      <c r="F137" s="1" t="e">
        <f aca="false">0.5*(G136+G137)*F79+$C$28*$B$130</f>
        <v>#VALUE!</v>
      </c>
      <c r="G137" s="1" t="n">
        <f aca="false">$C$28*(1+$B$130)</f>
        <v>105.127109637602</v>
      </c>
    </row>
    <row r="138" customFormat="false" ht="12.75" hidden="false" customHeight="false" outlineLevel="0" collapsed="false">
      <c r="D138" s="1" t="e">
        <f aca="false">0.5*(E137+E138)*D80+$C$28*$B$130</f>
        <v>#VALUE!</v>
      </c>
      <c r="E138" s="1" t="e">
        <f aca="false">0.5*(F137+F138)*E80+$C$28*$B$130</f>
        <v>#VALUE!</v>
      </c>
      <c r="F138" s="1" t="e">
        <f aca="false">0.5*(G137+G138)*F80+$C$28*$B$130</f>
        <v>#VALUE!</v>
      </c>
      <c r="G138" s="1" t="n">
        <f aca="false">$C$28*(1+$B$130)</f>
        <v>105.127109637602</v>
      </c>
    </row>
    <row r="139" customFormat="false" ht="12.75" hidden="false" customHeight="false" outlineLevel="0" collapsed="false">
      <c r="A139" s="1" t="s">
        <v>72</v>
      </c>
      <c r="C139" s="1" t="e">
        <f aca="false">0.5*(D138+D139)*C81</f>
        <v>#VALUE!</v>
      </c>
      <c r="D139" s="1" t="e">
        <f aca="false">0.5*(E138+E139)*D81+$C$28*$B$130</f>
        <v>#VALUE!</v>
      </c>
      <c r="E139" s="1" t="e">
        <f aca="false">0.5*(F138+F139)*E81+$C$28*$B$130</f>
        <v>#VALUE!</v>
      </c>
      <c r="F139" s="1" t="e">
        <f aca="false">0.5*(G138+G139)*F81+$C$28*$B$130</f>
        <v>#VALUE!</v>
      </c>
      <c r="G139" s="1" t="n">
        <f aca="false">$C$28*(1+$B$130)</f>
        <v>105.127109637602</v>
      </c>
    </row>
    <row r="140" customFormat="false" ht="12.75" hidden="false" customHeight="false" outlineLevel="0" collapsed="false">
      <c r="A140" s="60" t="s">
        <v>93</v>
      </c>
      <c r="B140" s="60"/>
      <c r="C140" s="60" t="n">
        <f aca="false">C119</f>
        <v>0</v>
      </c>
      <c r="D140" s="60" t="n">
        <f aca="false">D119</f>
        <v>0.5</v>
      </c>
      <c r="E140" s="60" t="n">
        <f aca="false">E119</f>
        <v>1</v>
      </c>
      <c r="F140" s="60" t="n">
        <f aca="false">F119</f>
        <v>1.5</v>
      </c>
      <c r="G140" s="60" t="n">
        <f aca="false">G119</f>
        <v>2</v>
      </c>
      <c r="H140" s="60" t="n">
        <f aca="false">H119</f>
        <v>2.5</v>
      </c>
      <c r="I140" s="60" t="n">
        <f aca="false">I119</f>
        <v>3</v>
      </c>
      <c r="J140" s="60" t="n">
        <f aca="false">J119</f>
        <v>3.5</v>
      </c>
      <c r="K140" s="60" t="n">
        <f aca="false">K119</f>
        <v>4</v>
      </c>
      <c r="L140" s="60" t="n">
        <f aca="false">L119</f>
        <v>4.5</v>
      </c>
    </row>
    <row r="142" customFormat="false" ht="12.75" hidden="false" customHeight="false" outlineLevel="0" collapsed="false">
      <c r="A142" s="1" t="s">
        <v>111</v>
      </c>
      <c r="C142" s="94" t="e">
        <f aca="false">(C28-C139)^2</f>
        <v>#VALUE!</v>
      </c>
      <c r="D142" s="18" t="s">
        <v>73</v>
      </c>
    </row>
    <row r="145" customFormat="false" ht="12.75" hidden="false" customHeight="false" outlineLevel="0" collapsed="false">
      <c r="A145" s="90" t="s">
        <v>112</v>
      </c>
    </row>
    <row r="146" customFormat="false" ht="12.75" hidden="false" customHeight="false" outlineLevel="0" collapsed="false">
      <c r="A146" s="1" t="s">
        <v>108</v>
      </c>
    </row>
    <row r="147" customFormat="false" ht="12.75" hidden="false" customHeight="false" outlineLevel="0" collapsed="false">
      <c r="A147" s="1" t="s">
        <v>113</v>
      </c>
    </row>
    <row r="148" customFormat="false" ht="12.75" hidden="false" customHeight="false" outlineLevel="0" collapsed="false">
      <c r="G148" s="1" t="e">
        <f aca="false">EXP(G89*$C$29/$C$30)-1</f>
        <v>#VALUE!</v>
      </c>
    </row>
    <row r="149" customFormat="false" ht="12.75" hidden="false" customHeight="false" outlineLevel="0" collapsed="false">
      <c r="F149" s="1" t="e">
        <f aca="false">EXP(F90*$C$29/$C$30)-1</f>
        <v>#VALUE!</v>
      </c>
      <c r="G149" s="1" t="e">
        <f aca="false">EXP(G90*$C$29/$C$30)-1</f>
        <v>#VALUE!</v>
      </c>
    </row>
    <row r="150" customFormat="false" ht="12.75" hidden="false" customHeight="false" outlineLevel="0" collapsed="false">
      <c r="E150" s="1" t="e">
        <f aca="false">EXP(E91*$C$29/$C$30)-1</f>
        <v>#VALUE!</v>
      </c>
      <c r="F150" s="1" t="e">
        <f aca="false">EXP(F91*$C$29/$C$30)-1</f>
        <v>#VALUE!</v>
      </c>
      <c r="G150" s="1" t="e">
        <f aca="false">EXP(G91*$C$29/$C$30)-1</f>
        <v>#VALUE!</v>
      </c>
    </row>
    <row r="151" customFormat="false" ht="12.75" hidden="false" customHeight="false" outlineLevel="0" collapsed="false">
      <c r="D151" s="1" t="e">
        <f aca="false">EXP(D92*$C$29/$C$30)-1</f>
        <v>#VALUE!</v>
      </c>
      <c r="E151" s="1" t="e">
        <f aca="false">EXP(E92*$C$29/$C$30)-1</f>
        <v>#VALUE!</v>
      </c>
      <c r="F151" s="1" t="e">
        <f aca="false">EXP(F92*$C$29/$C$30)-1</f>
        <v>#VALUE!</v>
      </c>
      <c r="G151" s="1" t="e">
        <f aca="false">EXP(G92*$C$29/$C$30)-1</f>
        <v>#VALUE!</v>
      </c>
    </row>
    <row r="152" customFormat="false" ht="12.75" hidden="false" customHeight="false" outlineLevel="0" collapsed="false">
      <c r="A152" s="1" t="s">
        <v>114</v>
      </c>
      <c r="C152" s="1" t="e">
        <f aca="false">EXP(C93*$C$29/$C$30)-1</f>
        <v>#VALUE!</v>
      </c>
      <c r="D152" s="1" t="e">
        <f aca="false">EXP(D93*$C$29/$C$30)-1</f>
        <v>#VALUE!</v>
      </c>
      <c r="E152" s="1" t="e">
        <f aca="false">EXP(E93*$C$29/$C$30)-1</f>
        <v>#VALUE!</v>
      </c>
      <c r="F152" s="1" t="e">
        <f aca="false">EXP(F93*$C$29/$C$30)-1</f>
        <v>#VALUE!</v>
      </c>
      <c r="G152" s="1" t="e">
        <f aca="false">EXP(G93*$C$29/$C$30)-1</f>
        <v>#VALUE!</v>
      </c>
    </row>
    <row r="153" customFormat="false" ht="12.75" hidden="false" customHeight="false" outlineLevel="0" collapsed="false">
      <c r="A153" s="60" t="s">
        <v>93</v>
      </c>
      <c r="B153" s="60"/>
      <c r="C153" s="60" t="n">
        <f aca="false">C140</f>
        <v>0</v>
      </c>
      <c r="D153" s="60" t="n">
        <f aca="false">D140</f>
        <v>0.5</v>
      </c>
      <c r="E153" s="60" t="n">
        <f aca="false">E140</f>
        <v>1</v>
      </c>
      <c r="F153" s="60" t="n">
        <f aca="false">F140</f>
        <v>1.5</v>
      </c>
      <c r="G153" s="60" t="n">
        <f aca="false">G140</f>
        <v>2</v>
      </c>
      <c r="H153" s="60" t="n">
        <f aca="false">H140</f>
        <v>2.5</v>
      </c>
      <c r="I153" s="60" t="n">
        <f aca="false">I140</f>
        <v>3</v>
      </c>
      <c r="J153" s="60" t="n">
        <f aca="false">J140</f>
        <v>3.5</v>
      </c>
      <c r="K153" s="60" t="n">
        <f aca="false">K140</f>
        <v>4</v>
      </c>
      <c r="L153" s="60" t="n">
        <f aca="false">L140</f>
        <v>4.5</v>
      </c>
    </row>
  </sheetData>
  <hyperlinks>
    <hyperlink ref="B7" r:id="rId2" display="leesb@hanyang.ac.kr"/>
    <hyperlink ref="B23" r:id="rId3" display="http://www.federalreserve.gov/"/>
    <hyperlink ref="B25" r:id="rId4" display="http://digilander.libero.it/fox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4" activeCellId="0" sqref="G104"/>
    </sheetView>
  </sheetViews>
  <sheetFormatPr defaultColWidth="7.4375" defaultRowHeight="12.75" zeroHeight="false" outlineLevelRow="0" outlineLevelCol="0"/>
  <cols>
    <col collapsed="false" customWidth="true" hidden="false" outlineLevel="0" max="1" min="1" style="1" width="30.55"/>
    <col collapsed="false" customWidth="false" hidden="false" outlineLevel="0" max="257" min="2" style="1" width="7.43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</row>
    <row r="3" customFormat="fals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customFormat="false" ht="12.75" hidden="false" customHeight="true" outlineLevel="0" collapsed="false">
      <c r="A4" s="5" t="s">
        <v>8</v>
      </c>
      <c r="B4" s="14" t="n">
        <v>37803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customFormat="fals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customFormat="false" ht="12.75" hidden="false" customHeight="true" outlineLevel="0" collapsed="false">
      <c r="A6" s="5" t="s">
        <v>12</v>
      </c>
      <c r="B6" s="18" t="s">
        <v>13</v>
      </c>
      <c r="C6" s="18"/>
      <c r="D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customFormat="fals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24" t="s">
        <v>16</v>
      </c>
      <c r="G7" s="25" t="s">
        <v>115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</row>
    <row r="8" customFormat="false" ht="12.75" hidden="false" customHeight="true" outlineLevel="0" collapsed="false">
      <c r="A8" s="5" t="s">
        <v>18</v>
      </c>
      <c r="B8" s="28" t="n">
        <v>37958</v>
      </c>
      <c r="C8" s="23"/>
      <c r="D8" s="23"/>
      <c r="E8" s="23"/>
      <c r="F8" s="29" t="s">
        <v>19</v>
      </c>
      <c r="G8" s="30" t="s">
        <v>116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customFormat="false" ht="12.75" hidden="false" customHeight="true" outlineLevel="0" collapsed="false">
      <c r="A9" s="5" t="s">
        <v>21</v>
      </c>
      <c r="B9" s="23" t="s">
        <v>78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customFormat="fals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customFormat="fals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1"/>
      <c r="G13" s="42"/>
      <c r="H13" s="6"/>
      <c r="I13" s="6"/>
      <c r="J13" s="6"/>
      <c r="K13" s="6"/>
      <c r="L13" s="6"/>
      <c r="M13" s="6"/>
      <c r="N13" s="6"/>
      <c r="O13" s="6"/>
      <c r="Q13" s="6"/>
      <c r="R13" s="6"/>
      <c r="S13" s="6"/>
    </row>
    <row r="14" customFormat="fals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39"/>
      <c r="G14" s="44"/>
      <c r="Q14" s="6"/>
      <c r="R14" s="6"/>
      <c r="S14" s="6"/>
    </row>
    <row r="15" customFormat="fals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39"/>
      <c r="G15" s="44"/>
      <c r="Q15" s="6"/>
      <c r="R15" s="6"/>
      <c r="S15" s="6"/>
    </row>
    <row r="16" customFormat="fals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39"/>
      <c r="G16" s="44"/>
      <c r="I16" s="45"/>
      <c r="J16" s="45"/>
      <c r="Q16" s="6"/>
      <c r="R16" s="6"/>
      <c r="S16" s="6"/>
    </row>
    <row r="17" customFormat="fals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39"/>
      <c r="G17" s="44"/>
      <c r="I17" s="46"/>
      <c r="J17" s="45"/>
      <c r="Q17" s="6"/>
      <c r="R17" s="6"/>
      <c r="S17" s="6"/>
    </row>
    <row r="18" customFormat="fals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39"/>
      <c r="G18" s="44"/>
      <c r="Q18" s="6"/>
      <c r="R18" s="6"/>
      <c r="S18" s="6"/>
    </row>
    <row r="19" customFormat="fals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49"/>
      <c r="G19" s="50"/>
      <c r="Q19" s="6"/>
      <c r="R19" s="6"/>
      <c r="S19" s="6"/>
    </row>
    <row r="20" customFormat="fals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customFormat="fals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customFormat="fals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44</v>
      </c>
      <c r="B24" s="54" t="s">
        <v>45</v>
      </c>
      <c r="C24" s="28"/>
      <c r="D24" s="28"/>
      <c r="E24" s="28"/>
      <c r="F24" s="1"/>
      <c r="G24" s="1"/>
    </row>
    <row r="25" s="6" customFormat="true" ht="12.75" hidden="false" customHeight="false" outlineLevel="0" collapsed="false">
      <c r="A25" s="5"/>
      <c r="B25" s="55"/>
      <c r="C25" s="1"/>
      <c r="D25" s="1"/>
      <c r="E25" s="1"/>
      <c r="F25" s="1"/>
      <c r="G25" s="1"/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7" s="58" customFormat="true" ht="12.75" hidden="false" customHeight="false" outlineLevel="0" collapsed="false">
      <c r="A27" s="57"/>
      <c r="B27" s="57"/>
      <c r="N27" s="59"/>
      <c r="O27" s="59"/>
      <c r="P27" s="59"/>
      <c r="Q27" s="59"/>
      <c r="R27" s="59"/>
      <c r="S27" s="59"/>
      <c r="T27" s="59"/>
    </row>
    <row r="28" customFormat="false" ht="12.75" hidden="false" customHeight="false" outlineLevel="0" collapsed="false">
      <c r="A28" s="60" t="s">
        <v>47</v>
      </c>
      <c r="B28" s="60" t="n">
        <v>0</v>
      </c>
      <c r="C28" s="60" t="n">
        <v>1</v>
      </c>
      <c r="D28" s="60" t="n">
        <v>2</v>
      </c>
      <c r="E28" s="60" t="n">
        <v>3</v>
      </c>
      <c r="F28" s="60" t="n">
        <v>4</v>
      </c>
      <c r="G28" s="60" t="n">
        <v>5</v>
      </c>
      <c r="H28" s="60" t="n">
        <v>6</v>
      </c>
      <c r="I28" s="60" t="n">
        <v>7</v>
      </c>
      <c r="J28" s="60" t="n">
        <v>8</v>
      </c>
      <c r="K28" s="60" t="n">
        <v>9</v>
      </c>
      <c r="L28" s="60" t="n">
        <v>10</v>
      </c>
      <c r="M28" s="60" t="n">
        <v>11</v>
      </c>
      <c r="N28" s="60" t="n">
        <v>12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="6" customFormat="true" ht="12.75" hidden="false" customHeight="false" outlineLevel="0" collapsed="false">
      <c r="A29" s="61" t="s">
        <v>48</v>
      </c>
      <c r="B29" s="62" t="n">
        <v>0.1</v>
      </c>
      <c r="C29" s="63" t="n">
        <f aca="false">B29</f>
        <v>0.1</v>
      </c>
      <c r="D29" s="62" t="n">
        <v>0.1</v>
      </c>
      <c r="E29" s="62" t="n">
        <v>0.1</v>
      </c>
      <c r="F29" s="62" t="n">
        <v>0.1</v>
      </c>
      <c r="G29" s="62" t="n">
        <v>0.1</v>
      </c>
      <c r="H29" s="62" t="n">
        <v>0.1</v>
      </c>
      <c r="I29" s="62" t="n">
        <v>0.1</v>
      </c>
      <c r="J29" s="62" t="n">
        <v>0.1</v>
      </c>
      <c r="K29" s="62" t="n">
        <v>0.1</v>
      </c>
      <c r="L29" s="62" t="n">
        <v>0.1</v>
      </c>
      <c r="M29" s="62" t="n">
        <v>0.1</v>
      </c>
      <c r="N29" s="62" t="n">
        <v>0.1</v>
      </c>
    </row>
    <row r="30" s="58" customFormat="true" ht="12.75" hidden="false" customHeight="false" outlineLevel="0" collapsed="false">
      <c r="A30" s="61" t="s">
        <v>49</v>
      </c>
      <c r="B30" s="64" t="n">
        <f aca="false">EXP(-B29*B28)</f>
        <v>1</v>
      </c>
      <c r="C30" s="65" t="n">
        <f aca="false">EXP(-C29*C28)</f>
        <v>0.90483741803596</v>
      </c>
      <c r="D30" s="64" t="n">
        <f aca="false">EXP(-D29*D28)</f>
        <v>0.818730753077982</v>
      </c>
      <c r="E30" s="64" t="n">
        <f aca="false">EXP(-E29*E28)</f>
        <v>0.740818220681718</v>
      </c>
      <c r="F30" s="64" t="n">
        <f aca="false">EXP(-F29*F28)</f>
        <v>0.670320046035639</v>
      </c>
      <c r="G30" s="64" t="n">
        <f aca="false">EXP(-G29*G28)</f>
        <v>0.606530659712633</v>
      </c>
      <c r="H30" s="64" t="n">
        <f aca="false">EXP(-H29*H28)</f>
        <v>0.548811636094026</v>
      </c>
      <c r="I30" s="64" t="n">
        <f aca="false">EXP(-I29*I28)</f>
        <v>0.496585303791409</v>
      </c>
      <c r="J30" s="64" t="n">
        <f aca="false">EXP(-J29*J28)</f>
        <v>0.449328964117222</v>
      </c>
      <c r="K30" s="64" t="n">
        <f aca="false">EXP(-K29*K28)</f>
        <v>0.406569659740599</v>
      </c>
      <c r="L30" s="64" t="n">
        <f aca="false">EXP(-L29*L28)</f>
        <v>0.367879441171442</v>
      </c>
      <c r="M30" s="64" t="n">
        <f aca="false">EXP(-M29*M28)</f>
        <v>0.33287108369808</v>
      </c>
      <c r="N30" s="64" t="n">
        <f aca="false">EXP(-N29*N28)</f>
        <v>0.301194211912202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</row>
    <row r="31" s="6" customFormat="true" ht="12.75" hidden="false" customHeight="false" outlineLevel="0" collapsed="false">
      <c r="A31" s="61" t="s">
        <v>50</v>
      </c>
      <c r="B31" s="64" t="n">
        <f aca="false">-LN(C30/B30)</f>
        <v>0.1</v>
      </c>
      <c r="C31" s="64" t="n">
        <f aca="false">-LN(C30/B30)</f>
        <v>0.1</v>
      </c>
      <c r="D31" s="64" t="n">
        <f aca="false">-LN(D30/C30)</f>
        <v>0.0999999999999999</v>
      </c>
      <c r="E31" s="64" t="n">
        <f aca="false">-LN(E30/D30)</f>
        <v>0.0999999999999999</v>
      </c>
      <c r="F31" s="64" t="n">
        <f aca="false">-LN(F30/E30)</f>
        <v>0.0999999999999999</v>
      </c>
      <c r="G31" s="64" t="n">
        <f aca="false">-LN(G30/F30)</f>
        <v>0.1</v>
      </c>
      <c r="H31" s="64" t="n">
        <f aca="false">-LN(H30/G30)</f>
        <v>0.1</v>
      </c>
      <c r="I31" s="64" t="n">
        <f aca="false">-LN(I30/H30)</f>
        <v>0.1</v>
      </c>
      <c r="J31" s="64" t="n">
        <f aca="false">-LN(J30/I30)</f>
        <v>0.0999999999999999</v>
      </c>
      <c r="K31" s="64" t="n">
        <f aca="false">-LN(K30/J30)</f>
        <v>0.0999999999999999</v>
      </c>
      <c r="L31" s="64" t="n">
        <f aca="false">-LN(L30/K30)</f>
        <v>0.0999999999999999</v>
      </c>
      <c r="M31" s="64" t="n">
        <f aca="false">-LN(M30/L30)</f>
        <v>0.1</v>
      </c>
      <c r="N31" s="64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s="6" customFormat="true" ht="14.25" hidden="false" customHeight="false" outlineLevel="0" collapsed="false">
      <c r="A32" s="6" t="s">
        <v>51</v>
      </c>
      <c r="B32" s="68" t="n">
        <v>0</v>
      </c>
      <c r="C32" s="68" t="n">
        <v>0.12</v>
      </c>
      <c r="D32" s="68" t="n">
        <v>0.12</v>
      </c>
      <c r="E32" s="68" t="n">
        <v>0.12</v>
      </c>
      <c r="F32" s="68" t="n">
        <v>0.12</v>
      </c>
      <c r="G32" s="68" t="n">
        <v>0.12</v>
      </c>
      <c r="H32" s="68" t="n">
        <v>0.12</v>
      </c>
      <c r="I32" s="68" t="n">
        <v>0.12</v>
      </c>
      <c r="J32" s="68" t="n">
        <v>0.12</v>
      </c>
      <c r="K32" s="68" t="n">
        <v>0.12</v>
      </c>
      <c r="L32" s="68" t="n">
        <v>0.12</v>
      </c>
      <c r="M32" s="68" t="n">
        <v>0.12</v>
      </c>
      <c r="N32" s="68" t="n">
        <v>0.12</v>
      </c>
    </row>
    <row r="33" s="6" customFormat="true" ht="14.25" hidden="false" customHeight="false" outlineLevel="0" collapsed="false">
      <c r="A33" s="6" t="s">
        <v>52</v>
      </c>
      <c r="B33" s="8" t="n">
        <v>0</v>
      </c>
      <c r="C33" s="69" t="n">
        <f aca="false">(C28*C29*C32-B28*B29*B32)/C31</f>
        <v>0.12</v>
      </c>
      <c r="D33" s="8" t="n">
        <f aca="false">(D28*D29*D32-C28*C29*C32)/D31</f>
        <v>0.12</v>
      </c>
      <c r="E33" s="8" t="n">
        <f aca="false">(E28*E29*E32-D28*D29*D32)/E31</f>
        <v>0.12</v>
      </c>
      <c r="F33" s="8" t="n">
        <f aca="false">(F28*F29*F32-E28*E29*E32)/F31</f>
        <v>0.12</v>
      </c>
      <c r="G33" s="8" t="n">
        <f aca="false">(G28*G29*G32-F28*F29*F32)/G31</f>
        <v>0.12</v>
      </c>
      <c r="H33" s="8" t="n">
        <f aca="false">(H28*H29*H32-G28*G29*G32)/H31</f>
        <v>0.12</v>
      </c>
      <c r="I33" s="8" t="n">
        <f aca="false">(I28*I29*I32-H28*H29*H32)/I31</f>
        <v>0.12</v>
      </c>
      <c r="J33" s="8" t="n">
        <f aca="false">(J28*J29*J32-I28*I29*I32)/J31</f>
        <v>0.12</v>
      </c>
      <c r="K33" s="8" t="n">
        <f aca="false">(K28*K29*K32-J28*J29*J32)/K31</f>
        <v>0.12</v>
      </c>
      <c r="L33" s="8" t="n">
        <f aca="false">(L28*L29*L32-K28*K29*K32)/L31</f>
        <v>0.12</v>
      </c>
      <c r="M33" s="8" t="n">
        <f aca="false">(M28*M29*M32-L28*L29*L32)/M31</f>
        <v>0.12</v>
      </c>
      <c r="N33" s="8"/>
    </row>
    <row r="34" s="6" customFormat="true" ht="14.25" hidden="false" customHeight="false" outlineLevel="0" collapsed="false">
      <c r="A34" s="6" t="s">
        <v>53</v>
      </c>
      <c r="B34" s="6" t="n">
        <v>1</v>
      </c>
      <c r="C34" s="18" t="s">
        <v>54</v>
      </c>
      <c r="N34" s="45"/>
      <c r="O34" s="45"/>
      <c r="P34" s="45"/>
      <c r="Q34" s="45"/>
      <c r="R34" s="45"/>
      <c r="S34" s="45"/>
      <c r="T34" s="45"/>
    </row>
    <row r="35" s="6" customFormat="true" ht="12.75" hidden="false" customHeight="false" outlineLevel="0" collapsed="false">
      <c r="N35" s="45"/>
      <c r="O35" s="45"/>
      <c r="P35" s="45"/>
      <c r="Q35" s="45"/>
      <c r="R35" s="45"/>
      <c r="S35" s="45"/>
      <c r="T35" s="45"/>
    </row>
    <row r="36" s="6" customFormat="true" ht="12.75" hidden="false" customHeight="false" outlineLevel="0" collapsed="false">
      <c r="A36" s="6" t="s">
        <v>55</v>
      </c>
      <c r="B36" s="66" t="n">
        <f aca="false">C30/B30</f>
        <v>0.90483741803596</v>
      </c>
      <c r="C36" s="66" t="n">
        <f aca="false">D30/C30</f>
        <v>0.90483741803596</v>
      </c>
      <c r="D36" s="66" t="n">
        <f aca="false">E30/D30</f>
        <v>0.90483741803596</v>
      </c>
      <c r="E36" s="66" t="n">
        <f aca="false">F30/E30</f>
        <v>0.90483741803596</v>
      </c>
      <c r="F36" s="66" t="n">
        <f aca="false">G30/F30</f>
        <v>0.90483741803596</v>
      </c>
      <c r="G36" s="66" t="n">
        <f aca="false">H30/G30</f>
        <v>0.90483741803596</v>
      </c>
      <c r="H36" s="66" t="n">
        <f aca="false">I30/H30</f>
        <v>0.90483741803596</v>
      </c>
      <c r="I36" s="66" t="n">
        <f aca="false">J30/I30</f>
        <v>0.90483741803596</v>
      </c>
      <c r="J36" s="66" t="n">
        <f aca="false">K30/J30</f>
        <v>0.90483741803596</v>
      </c>
      <c r="K36" s="66" t="n">
        <f aca="false">L30/K30</f>
        <v>0.90483741803596</v>
      </c>
      <c r="L36" s="66" t="n">
        <f aca="false">M30/L30</f>
        <v>0.90483741803596</v>
      </c>
      <c r="M36" s="66" t="n">
        <f aca="false">N30/M30</f>
        <v>0.904837418035959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="6" customFormat="true" ht="12.75" hidden="false" customHeight="false" outlineLevel="0" collapsed="false">
      <c r="A37" s="6" t="s">
        <v>56</v>
      </c>
      <c r="B37" s="70" t="n">
        <f aca="false">EXP(-2*B31*B33/SQRT($B$34))</f>
        <v>1</v>
      </c>
      <c r="C37" s="70" t="n">
        <f aca="false">EXP(-2*C31*C33/SQRT($B$34))</f>
        <v>0.976285709757909</v>
      </c>
      <c r="D37" s="70" t="n">
        <f aca="false">EXP(-2*D31*D33/SQRT($B$34))</f>
        <v>0.976285709757909</v>
      </c>
      <c r="E37" s="70" t="n">
        <f aca="false">EXP(-2*E31*E33/SQRT($B$34))</f>
        <v>0.976285709757909</v>
      </c>
      <c r="F37" s="70" t="n">
        <f aca="false">EXP(-2*F31*F33/SQRT($B$34))</f>
        <v>0.976285709757909</v>
      </c>
      <c r="G37" s="70" t="n">
        <f aca="false">EXP(-2*G31*G33/SQRT($B$34))</f>
        <v>0.976285709757909</v>
      </c>
      <c r="H37" s="70" t="n">
        <f aca="false">EXP(-2*H31*H33/SQRT($B$34))</f>
        <v>0.976285709757909</v>
      </c>
      <c r="I37" s="70" t="n">
        <f aca="false">EXP(-2*I31*I33/SQRT($B$34))</f>
        <v>0.976285709757909</v>
      </c>
      <c r="J37" s="70" t="n">
        <f aca="false">EXP(-2*J31*J33/SQRT($B$34))</f>
        <v>0.976285709757909</v>
      </c>
      <c r="K37" s="70" t="n">
        <f aca="false">EXP(-2*K31*K33/SQRT($B$34))</f>
        <v>0.976285709757909</v>
      </c>
      <c r="L37" s="70" t="n">
        <f aca="false">EXP(-2*L31*L33/SQRT($B$34))</f>
        <v>0.976285709757909</v>
      </c>
      <c r="M37" s="70" t="n">
        <f aca="false">EXP(-2*M31*M33/SQRT($B$34))</f>
        <v>0.976285709757909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s="6" customFormat="true" ht="12.75" hidden="false" customHeight="false" outlineLevel="0" collapsed="false">
      <c r="N38" s="45"/>
      <c r="O38" s="45"/>
      <c r="P38" s="45"/>
      <c r="Q38" s="45"/>
      <c r="R38" s="45"/>
      <c r="S38" s="45"/>
      <c r="T38" s="45"/>
    </row>
    <row r="39" s="6" customFormat="true" ht="12.75" hidden="false" customHeight="false" outlineLevel="0" collapsed="false">
      <c r="A39" s="6" t="s">
        <v>57</v>
      </c>
      <c r="B39" s="71" t="n">
        <v>100</v>
      </c>
      <c r="N39" s="45"/>
      <c r="O39" s="45"/>
      <c r="P39" s="45"/>
      <c r="Q39" s="45"/>
      <c r="R39" s="45"/>
      <c r="S39" s="45"/>
      <c r="T39" s="45"/>
    </row>
    <row r="40" s="6" customFormat="true" ht="12.75" hidden="false" customHeight="false" outlineLevel="0" collapsed="false">
      <c r="N40" s="45"/>
      <c r="O40" s="45"/>
      <c r="P40" s="45"/>
      <c r="Q40" s="45"/>
      <c r="R40" s="45"/>
      <c r="S40" s="45"/>
      <c r="T40" s="45"/>
    </row>
    <row r="41" s="3" customFormat="true" ht="12.75" hidden="false" customHeight="false" outlineLevel="0" collapsed="false">
      <c r="A41" s="2" t="s">
        <v>58</v>
      </c>
      <c r="B41" s="2"/>
      <c r="N41" s="56"/>
      <c r="O41" s="56"/>
      <c r="P41" s="56"/>
      <c r="Q41" s="56"/>
      <c r="R41" s="56"/>
      <c r="S41" s="56"/>
      <c r="T41" s="56"/>
    </row>
    <row r="42" s="6" customFormat="true" ht="12.75" hidden="false" customHeight="false" outlineLevel="0" collapsed="false">
      <c r="G42" s="72"/>
      <c r="N42" s="45"/>
      <c r="O42" s="45"/>
      <c r="P42" s="45"/>
      <c r="Q42" s="45"/>
      <c r="R42" s="45"/>
      <c r="S42" s="45"/>
      <c r="T42" s="45"/>
    </row>
    <row r="43" s="6" customFormat="true" ht="12.75" hidden="false" customHeight="false" outlineLevel="0" collapsed="false">
      <c r="B43" s="73"/>
      <c r="C43" s="73"/>
      <c r="D43" s="73"/>
      <c r="E43" s="73"/>
      <c r="F43" s="74" t="n">
        <f aca="false">$B$39*(F92-$B$101)*F67</f>
        <v>4.79631699422091</v>
      </c>
      <c r="G43" s="66"/>
      <c r="N43" s="45"/>
      <c r="O43" s="45"/>
      <c r="P43" s="45"/>
      <c r="Q43" s="45"/>
      <c r="R43" s="45"/>
      <c r="S43" s="45"/>
      <c r="T43" s="45"/>
    </row>
    <row r="44" s="6" customFormat="true" ht="12.75" hidden="false" customHeight="false" outlineLevel="0" collapsed="false">
      <c r="B44" s="73"/>
      <c r="C44" s="73"/>
      <c r="D44" s="73"/>
      <c r="E44" s="73" t="n">
        <f aca="false">0.5*(F43+F44)*E68+(E93-$B$101)*E68</f>
        <v>3.21112030388869</v>
      </c>
      <c r="F44" s="74" t="n">
        <f aca="false">$B$39*(F93-$B$101)*F68</f>
        <v>2.48378926965256</v>
      </c>
      <c r="G44" s="66"/>
      <c r="N44" s="45"/>
      <c r="O44" s="45"/>
      <c r="P44" s="45"/>
      <c r="Q44" s="45"/>
      <c r="R44" s="45"/>
      <c r="S44" s="45"/>
      <c r="T44" s="45"/>
    </row>
    <row r="45" s="6" customFormat="true" ht="12.75" hidden="false" customHeight="false" outlineLevel="0" collapsed="false">
      <c r="B45" s="73"/>
      <c r="C45" s="73"/>
      <c r="D45" s="73" t="n">
        <f aca="false">0.5*(E44+E45)*D69+(D94-$B$101)*D69</f>
        <v>1.96011221489409</v>
      </c>
      <c r="E45" s="73" t="n">
        <f aca="false">0.5*(F44+F45)*E69+(E94-$B$101)*E69</f>
        <v>1.17357212537806</v>
      </c>
      <c r="F45" s="74" t="n">
        <f aca="false">$B$39*(F94-$B$101)*F69</f>
        <v>0.115089511523588</v>
      </c>
      <c r="G45" s="66"/>
      <c r="N45" s="45"/>
      <c r="O45" s="45"/>
      <c r="P45" s="45"/>
      <c r="Q45" s="45"/>
      <c r="R45" s="45"/>
      <c r="S45" s="45"/>
      <c r="T45" s="45"/>
    </row>
    <row r="46" s="6" customFormat="true" ht="12.75" hidden="false" customHeight="false" outlineLevel="0" collapsed="false">
      <c r="B46" s="73"/>
      <c r="C46" s="73" t="n">
        <f aca="false">0.5*(D45+D46)*C70+(C95-$B$101)*C70</f>
        <v>0.920074590832074</v>
      </c>
      <c r="D46" s="73" t="n">
        <f aca="false">0.5*(E45+E46)*D70+(D95-$B$101)*D70</f>
        <v>0.0714215517553225</v>
      </c>
      <c r="E46" s="73" t="n">
        <f aca="false">0.5*(F45+F46)*E70+(E95-$B$101)*E70</f>
        <v>-1.01629722293258</v>
      </c>
      <c r="F46" s="74" t="n">
        <f aca="false">$B$39*(F95-$B$101)*F70</f>
        <v>-2.31114671671778</v>
      </c>
      <c r="G46" s="66"/>
      <c r="N46" s="45"/>
      <c r="O46" s="45"/>
      <c r="P46" s="45"/>
      <c r="Q46" s="45"/>
      <c r="R46" s="45"/>
      <c r="S46" s="45"/>
      <c r="T46" s="45"/>
    </row>
    <row r="47" s="6" customFormat="true" ht="12.75" hidden="false" customHeight="false" outlineLevel="0" collapsed="false">
      <c r="A47" s="6" t="s">
        <v>20</v>
      </c>
      <c r="B47" s="73" t="n">
        <f aca="false">0.5*(C46+C47)*B71+(B96-$B$101)*B71</f>
        <v>0</v>
      </c>
      <c r="C47" s="73" t="n">
        <f aca="false">0.5*(D46+D47)*C71+(C96-$B$101)*C71</f>
        <v>-0.920074590832054</v>
      </c>
      <c r="D47" s="73" t="n">
        <f aca="false">0.5*(E46+E47)*D71+(D96-$B$101)*D71</f>
        <v>-2.05477893702576</v>
      </c>
      <c r="E47" s="73" t="n">
        <f aca="false">0.5*(F46+F47)*E71+(E96-$B$101)*E71</f>
        <v>-3.36724381427073</v>
      </c>
      <c r="F47" s="74" t="n">
        <f aca="false">$B$39*(F96-$B$101)*F71</f>
        <v>-4.79631699422088</v>
      </c>
      <c r="G47" s="66"/>
      <c r="H47" s="76"/>
      <c r="I47" s="76"/>
      <c r="J47" s="76"/>
      <c r="K47" s="76"/>
      <c r="L47" s="76"/>
      <c r="M47" s="76"/>
      <c r="N47" s="45"/>
      <c r="O47" s="45"/>
      <c r="P47" s="45"/>
      <c r="Q47" s="45"/>
      <c r="R47" s="45"/>
      <c r="S47" s="45"/>
      <c r="T47" s="45"/>
    </row>
    <row r="48" s="6" customFormat="true" ht="12.75" hidden="false" customHeight="false" outlineLevel="0" collapsed="false">
      <c r="A48" s="60" t="s">
        <v>47</v>
      </c>
      <c r="B48" s="60" t="n">
        <v>0</v>
      </c>
      <c r="C48" s="60" t="n">
        <v>1</v>
      </c>
      <c r="D48" s="60" t="n">
        <v>2</v>
      </c>
      <c r="E48" s="60" t="n">
        <v>3</v>
      </c>
      <c r="F48" s="60" t="n">
        <v>4</v>
      </c>
      <c r="G48" s="60" t="n">
        <v>5</v>
      </c>
      <c r="N48" s="45"/>
      <c r="O48" s="45"/>
      <c r="P48" s="45"/>
      <c r="Q48" s="45"/>
      <c r="R48" s="45"/>
      <c r="S48" s="45"/>
      <c r="T48" s="45"/>
    </row>
    <row r="49" s="6" customFormat="true" ht="12.75" hidden="false" customHeight="false" outlineLevel="0" collapsed="false">
      <c r="G49" s="72"/>
      <c r="N49" s="45"/>
      <c r="O49" s="45"/>
      <c r="P49" s="45"/>
      <c r="Q49" s="45"/>
      <c r="R49" s="45"/>
      <c r="S49" s="45"/>
      <c r="T49" s="45"/>
    </row>
    <row r="50" s="3" customFormat="true" ht="12.75" hidden="false" customHeight="false" outlineLevel="0" collapsed="false">
      <c r="A50" s="2" t="s">
        <v>59</v>
      </c>
      <c r="B50" s="2"/>
      <c r="N50" s="56"/>
      <c r="O50" s="56"/>
      <c r="P50" s="56"/>
      <c r="Q50" s="56"/>
      <c r="R50" s="56"/>
      <c r="S50" s="56"/>
      <c r="T50" s="56"/>
    </row>
    <row r="51" s="6" customFormat="true" ht="12.75" hidden="false" customHeight="false" outlineLevel="0" collapsed="false">
      <c r="G51" s="72"/>
      <c r="N51" s="45"/>
      <c r="O51" s="45"/>
      <c r="P51" s="45"/>
      <c r="Q51" s="45"/>
      <c r="R51" s="45"/>
      <c r="S51" s="45"/>
      <c r="T51" s="45"/>
    </row>
    <row r="52" s="6" customFormat="true" ht="12.75" hidden="false" customHeight="false" outlineLevel="0" collapsed="false">
      <c r="A52" s="77" t="s">
        <v>60</v>
      </c>
      <c r="B52" s="78" t="n">
        <f aca="false">B37</f>
        <v>1</v>
      </c>
      <c r="C52" s="78" t="n">
        <f aca="false">1+PRODUCT($C37:C37)</f>
        <v>1.97628570975791</v>
      </c>
      <c r="D52" s="78" t="n">
        <f aca="false">1+PRODUCT($C37:D37)</f>
        <v>1.9531337870775</v>
      </c>
      <c r="E52" s="78" t="n">
        <f aca="false">1+PRODUCT($C37:E37)</f>
        <v>1.93053089581121</v>
      </c>
      <c r="F52" s="78" t="n">
        <f aca="false">1+PRODUCT($C37:F37)</f>
        <v>1.90846401606871</v>
      </c>
      <c r="G52" s="78" t="n">
        <f aca="false">1+PRODUCT($C37:G37)</f>
        <v>1.88692043671716</v>
      </c>
      <c r="H52" s="79" t="n">
        <f aca="false">1+PRODUCT($C37:H37)</f>
        <v>1.86588774805921</v>
      </c>
      <c r="I52" s="72"/>
      <c r="J52" s="72"/>
      <c r="K52" s="72"/>
      <c r="L52" s="72"/>
      <c r="M52" s="72"/>
      <c r="N52" s="45"/>
      <c r="O52" s="45"/>
      <c r="P52" s="45"/>
      <c r="Q52" s="45"/>
      <c r="R52" s="45"/>
      <c r="S52" s="45"/>
      <c r="T52" s="45"/>
    </row>
    <row r="53" s="6" customFormat="true" ht="12.75" hidden="false" customHeight="false" outlineLevel="0" collapsed="false">
      <c r="A53" s="80"/>
      <c r="B53" s="69"/>
      <c r="C53" s="65"/>
      <c r="D53" s="65" t="n">
        <f aca="false">1+PRODUCT($D37:D37)</f>
        <v>1.97628570975791</v>
      </c>
      <c r="E53" s="65" t="n">
        <f aca="false">1+PRODUCT($D37:E37)</f>
        <v>1.9531337870775</v>
      </c>
      <c r="F53" s="65" t="n">
        <f aca="false">1+PRODUCT($D37:F37)</f>
        <v>1.93053089581121</v>
      </c>
      <c r="G53" s="65" t="n">
        <f aca="false">1+PRODUCT($D37:G37)</f>
        <v>1.90846401606871</v>
      </c>
      <c r="H53" s="81" t="n">
        <f aca="false">1+PRODUCT($D37:H37)</f>
        <v>1.88692043671716</v>
      </c>
      <c r="I53" s="72"/>
      <c r="J53" s="72"/>
      <c r="K53" s="72"/>
      <c r="L53" s="72"/>
      <c r="M53" s="72"/>
      <c r="N53" s="45"/>
      <c r="O53" s="45"/>
      <c r="P53" s="45"/>
      <c r="Q53" s="45"/>
      <c r="R53" s="45"/>
      <c r="S53" s="45"/>
      <c r="T53" s="45"/>
    </row>
    <row r="54" s="6" customFormat="true" ht="12.75" hidden="false" customHeight="false" outlineLevel="0" collapsed="false">
      <c r="A54" s="80"/>
      <c r="B54" s="69"/>
      <c r="C54" s="69"/>
      <c r="D54" s="69"/>
      <c r="E54" s="65" t="n">
        <f aca="false">1+PRODUCT($E37:E37)</f>
        <v>1.97628570975791</v>
      </c>
      <c r="F54" s="65" t="n">
        <f aca="false">1+PRODUCT($E37:F37)</f>
        <v>1.9531337870775</v>
      </c>
      <c r="G54" s="65" t="n">
        <f aca="false">1+PRODUCT($E37:G37)</f>
        <v>1.93053089581121</v>
      </c>
      <c r="H54" s="81" t="n">
        <f aca="false">1+PRODUCT($E37:H37)</f>
        <v>1.90846401606871</v>
      </c>
      <c r="I54" s="72"/>
      <c r="J54" s="72"/>
      <c r="K54" s="72"/>
      <c r="L54" s="72"/>
      <c r="M54" s="72"/>
      <c r="N54" s="45"/>
      <c r="O54" s="45"/>
      <c r="P54" s="45"/>
      <c r="Q54" s="45"/>
      <c r="R54" s="45"/>
      <c r="S54" s="45"/>
      <c r="T54" s="45"/>
    </row>
    <row r="55" s="6" customFormat="true" ht="12.75" hidden="false" customHeight="false" outlineLevel="0" collapsed="false">
      <c r="A55" s="80"/>
      <c r="B55" s="69"/>
      <c r="C55" s="69"/>
      <c r="D55" s="69"/>
      <c r="E55" s="69"/>
      <c r="F55" s="65" t="n">
        <f aca="false">1+PRODUCT($F37:F37)</f>
        <v>1.97628570975791</v>
      </c>
      <c r="G55" s="65" t="n">
        <f aca="false">1+PRODUCT($F37:G37)</f>
        <v>1.9531337870775</v>
      </c>
      <c r="H55" s="81" t="n">
        <f aca="false">1+PRODUCT($F37:H37)</f>
        <v>1.93053089581121</v>
      </c>
      <c r="I55" s="72"/>
      <c r="J55" s="72"/>
      <c r="K55" s="72"/>
      <c r="L55" s="72"/>
      <c r="M55" s="72"/>
      <c r="N55" s="45"/>
      <c r="O55" s="45"/>
      <c r="P55" s="45"/>
      <c r="Q55" s="45"/>
      <c r="R55" s="45"/>
      <c r="S55" s="45"/>
      <c r="T55" s="45"/>
    </row>
    <row r="56" s="6" customFormat="true" ht="12.75" hidden="false" customHeight="false" outlineLevel="0" collapsed="false">
      <c r="A56" s="80"/>
      <c r="B56" s="69"/>
      <c r="C56" s="69"/>
      <c r="D56" s="69"/>
      <c r="E56" s="69"/>
      <c r="F56" s="69"/>
      <c r="G56" s="65" t="n">
        <f aca="false">1+PRODUCT($G37:G37)</f>
        <v>1.97628570975791</v>
      </c>
      <c r="H56" s="81" t="n">
        <f aca="false">1+PRODUCT($G37:H37)</f>
        <v>1.9531337870775</v>
      </c>
      <c r="I56" s="72"/>
      <c r="J56" s="72"/>
      <c r="K56" s="72"/>
      <c r="L56" s="72"/>
      <c r="M56" s="72"/>
      <c r="N56" s="45"/>
      <c r="O56" s="45"/>
      <c r="P56" s="45"/>
      <c r="Q56" s="45"/>
      <c r="R56" s="45"/>
      <c r="S56" s="45"/>
      <c r="T56" s="45"/>
    </row>
    <row r="57" s="6" customFormat="true" ht="12.75" hidden="false" customHeight="false" outlineLevel="0" collapsed="false">
      <c r="A57" s="80"/>
      <c r="B57" s="69"/>
      <c r="C57" s="69"/>
      <c r="D57" s="69"/>
      <c r="E57" s="69"/>
      <c r="F57" s="69"/>
      <c r="G57" s="65"/>
      <c r="H57" s="81" t="n">
        <f aca="false">1+PRODUCT($H37:H37)</f>
        <v>1.97628570975791</v>
      </c>
      <c r="I57" s="72"/>
      <c r="J57" s="72"/>
      <c r="K57" s="72"/>
      <c r="L57" s="72"/>
      <c r="M57" s="72"/>
      <c r="N57" s="45"/>
      <c r="O57" s="45"/>
      <c r="P57" s="45"/>
      <c r="Q57" s="45"/>
      <c r="R57" s="45"/>
      <c r="S57" s="45"/>
      <c r="T57" s="45"/>
    </row>
    <row r="58" s="6" customFormat="true" ht="12.75" hidden="false" customHeight="false" outlineLevel="0" collapsed="false">
      <c r="A58" s="80"/>
      <c r="B58" s="69"/>
      <c r="C58" s="69"/>
      <c r="D58" s="69"/>
      <c r="E58" s="69"/>
      <c r="F58" s="69"/>
      <c r="G58" s="65"/>
      <c r="H58" s="82"/>
      <c r="I58" s="72"/>
      <c r="J58" s="72"/>
      <c r="K58" s="72"/>
      <c r="L58" s="72"/>
      <c r="M58" s="72"/>
      <c r="N58" s="45"/>
      <c r="O58" s="45"/>
      <c r="P58" s="45"/>
      <c r="Q58" s="45"/>
      <c r="R58" s="45"/>
      <c r="S58" s="45"/>
      <c r="T58" s="45"/>
    </row>
    <row r="59" s="6" customFormat="true" ht="12.75" hidden="false" customHeight="false" outlineLevel="0" collapsed="false">
      <c r="A59" s="80" t="s">
        <v>61</v>
      </c>
      <c r="B59" s="69"/>
      <c r="C59" s="65" t="n">
        <f aca="false">PRODUCT(B52:B58)</f>
        <v>1</v>
      </c>
      <c r="D59" s="65" t="n">
        <f aca="false">PRODUCT(C52:C58)</f>
        <v>1.97628570975791</v>
      </c>
      <c r="E59" s="65" t="n">
        <f aca="false">PRODUCT(D52:D58)</f>
        <v>3.85995039264662</v>
      </c>
      <c r="F59" s="65" t="n">
        <f aca="false">PRODUCT(E52:E58)</f>
        <v>7.45175348930289</v>
      </c>
      <c r="G59" s="65" t="n">
        <f aca="false">PRODUCT(F52:F58)</f>
        <v>14.221403390949</v>
      </c>
      <c r="H59" s="81" t="n">
        <f aca="false">PRODUCT(G52:G58)</f>
        <v>26.8346566971803</v>
      </c>
      <c r="I59" s="83"/>
      <c r="J59" s="83"/>
      <c r="K59" s="83"/>
      <c r="L59" s="83"/>
      <c r="M59" s="83"/>
      <c r="N59" s="45"/>
      <c r="O59" s="45"/>
      <c r="P59" s="45"/>
      <c r="Q59" s="45"/>
      <c r="R59" s="45"/>
      <c r="S59" s="45"/>
      <c r="T59" s="45"/>
    </row>
    <row r="60" s="6" customFormat="true" ht="12.75" hidden="false" customHeight="false" outlineLevel="0" collapsed="false">
      <c r="A60" s="80" t="s">
        <v>62</v>
      </c>
      <c r="B60" s="69"/>
      <c r="C60" s="65" t="n">
        <f aca="false">PRODUCT(C52:C58)</f>
        <v>1.97628570975791</v>
      </c>
      <c r="D60" s="65" t="n">
        <f aca="false">PRODUCT(D52:D58)</f>
        <v>3.85995039264662</v>
      </c>
      <c r="E60" s="65" t="n">
        <f aca="false">PRODUCT(E52:E58)</f>
        <v>7.45175348930289</v>
      </c>
      <c r="F60" s="65" t="n">
        <f aca="false">PRODUCT(F52:F58)</f>
        <v>14.221403390949</v>
      </c>
      <c r="G60" s="65" t="n">
        <f aca="false">PRODUCT(G52:G58)</f>
        <v>26.8346566971803</v>
      </c>
      <c r="H60" s="81" t="n">
        <f aca="false">PRODUCT(H52:H58)</f>
        <v>50.0704571546437</v>
      </c>
      <c r="I60" s="83"/>
      <c r="J60" s="83"/>
      <c r="K60" s="83"/>
      <c r="L60" s="83"/>
      <c r="M60" s="83"/>
      <c r="N60" s="45"/>
      <c r="O60" s="45"/>
      <c r="P60" s="45"/>
      <c r="Q60" s="45"/>
      <c r="R60" s="45"/>
      <c r="S60" s="45"/>
      <c r="T60" s="45"/>
    </row>
    <row r="61" s="6" customFormat="true" ht="12.75" hidden="false" customHeight="false" outlineLevel="0" collapsed="false">
      <c r="A61" s="80"/>
      <c r="B61" s="45"/>
      <c r="C61" s="45"/>
      <c r="D61" s="45"/>
      <c r="E61" s="45"/>
      <c r="F61" s="45"/>
      <c r="G61" s="45"/>
      <c r="H61" s="84"/>
      <c r="N61" s="45"/>
      <c r="O61" s="45"/>
      <c r="P61" s="45"/>
      <c r="Q61" s="45"/>
      <c r="R61" s="45"/>
      <c r="S61" s="45"/>
      <c r="T61" s="45"/>
    </row>
    <row r="62" customFormat="false" ht="12.75" hidden="false" customHeight="false" outlineLevel="0" collapsed="false">
      <c r="A62" s="85" t="s">
        <v>47</v>
      </c>
      <c r="B62" s="86" t="n">
        <v>0</v>
      </c>
      <c r="C62" s="86" t="n">
        <v>1</v>
      </c>
      <c r="D62" s="86" t="n">
        <v>2</v>
      </c>
      <c r="E62" s="86" t="n">
        <v>3</v>
      </c>
      <c r="F62" s="86" t="n">
        <v>4</v>
      </c>
      <c r="G62" s="86" t="n">
        <v>5</v>
      </c>
      <c r="H62" s="87" t="n">
        <v>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="6" customFormat="true" ht="12.75" hidden="false" customHeight="false" outlineLevel="0" collapsed="false">
      <c r="N63" s="45"/>
      <c r="O63" s="45"/>
      <c r="P63" s="45"/>
      <c r="Q63" s="45"/>
      <c r="R63" s="45"/>
      <c r="S63" s="45"/>
      <c r="T63" s="45"/>
    </row>
    <row r="64" s="6" customFormat="true" ht="12.75" hidden="false" customHeight="false" outlineLevel="0" collapsed="false">
      <c r="G64" s="72"/>
      <c r="M64" s="83"/>
      <c r="N64" s="45"/>
      <c r="O64" s="45"/>
      <c r="P64" s="45"/>
      <c r="Q64" s="45"/>
      <c r="R64" s="45"/>
      <c r="S64" s="45"/>
      <c r="T64" s="45"/>
    </row>
    <row r="65" s="6" customFormat="true" ht="12.75" hidden="false" customHeight="false" outlineLevel="0" collapsed="false">
      <c r="B65" s="8"/>
      <c r="C65" s="8"/>
      <c r="D65" s="8"/>
      <c r="E65" s="8"/>
      <c r="F65" s="8"/>
      <c r="G65" s="64"/>
      <c r="H65" s="64" t="n">
        <f aca="false">H66*H$37</f>
        <v>0.839801467240249</v>
      </c>
      <c r="I65" s="83"/>
      <c r="J65" s="83"/>
      <c r="K65" s="83"/>
      <c r="L65" s="83"/>
      <c r="M65" s="83"/>
      <c r="N65" s="45"/>
      <c r="O65" s="45"/>
      <c r="P65" s="45"/>
      <c r="Q65" s="45"/>
      <c r="R65" s="45"/>
      <c r="S65" s="45"/>
      <c r="T65" s="45"/>
    </row>
    <row r="66" s="6" customFormat="true" ht="12.75" hidden="false" customHeight="false" outlineLevel="0" collapsed="false">
      <c r="B66" s="64"/>
      <c r="C66" s="64"/>
      <c r="D66" s="64"/>
      <c r="E66" s="64"/>
      <c r="F66" s="64"/>
      <c r="G66" s="64" t="n">
        <f aca="false">G67*G$37</f>
        <v>0.850612227570858</v>
      </c>
      <c r="H66" s="64" t="n">
        <f aca="false">H67*H$37</f>
        <v>0.860200511844525</v>
      </c>
      <c r="I66" s="83"/>
      <c r="J66" s="83"/>
      <c r="K66" s="83"/>
      <c r="L66" s="83"/>
      <c r="M66" s="83"/>
      <c r="N66" s="45"/>
      <c r="O66" s="45"/>
      <c r="P66" s="45"/>
      <c r="Q66" s="45"/>
      <c r="R66" s="45"/>
      <c r="S66" s="45"/>
      <c r="T66" s="45"/>
    </row>
    <row r="67" s="6" customFormat="true" ht="12.75" hidden="false" customHeight="false" outlineLevel="0" collapsed="false">
      <c r="B67" s="64"/>
      <c r="C67" s="64"/>
      <c r="D67" s="64"/>
      <c r="E67" s="64"/>
      <c r="F67" s="64" t="n">
        <f aca="false">F68*F$37</f>
        <v>0.861438547184631</v>
      </c>
      <c r="G67" s="64" t="n">
        <f aca="false">G68*G$37</f>
        <v>0.871273868980203</v>
      </c>
      <c r="H67" s="64" t="n">
        <f aca="false">H68*H$37</f>
        <v>0.881095055726904</v>
      </c>
      <c r="I67" s="83"/>
      <c r="J67" s="83"/>
      <c r="K67" s="83"/>
      <c r="L67" s="83"/>
      <c r="M67" s="83"/>
      <c r="N67" s="45"/>
      <c r="O67" s="45"/>
      <c r="P67" s="45"/>
      <c r="Q67" s="45"/>
      <c r="R67" s="45"/>
      <c r="S67" s="45"/>
      <c r="T67" s="45"/>
    </row>
    <row r="68" s="6" customFormat="true" ht="12.75" hidden="false" customHeight="false" outlineLevel="0" collapsed="false">
      <c r="B68" s="64"/>
      <c r="C68" s="64"/>
      <c r="D68" s="64"/>
      <c r="E68" s="64" t="n">
        <f aca="false">E69*E$37</f>
        <v>0.872277335727074</v>
      </c>
      <c r="F68" s="64" t="n">
        <f aca="false">F69*F$37</f>
        <v>0.882363163338981</v>
      </c>
      <c r="G68" s="64" t="n">
        <f aca="false">G69*G$37</f>
        <v>0.892437388227524</v>
      </c>
      <c r="H68" s="64" t="n">
        <f aca="false">H69*H$37</f>
        <v>0.902497134722366</v>
      </c>
      <c r="I68" s="83"/>
      <c r="J68" s="83"/>
      <c r="K68" s="83"/>
      <c r="L68" s="83"/>
      <c r="M68" s="83"/>
      <c r="N68" s="45"/>
      <c r="O68" s="45"/>
      <c r="P68" s="45"/>
      <c r="Q68" s="45"/>
      <c r="R68" s="45"/>
      <c r="S68" s="45"/>
      <c r="T68" s="45"/>
    </row>
    <row r="69" s="6" customFormat="true" ht="12.75" hidden="false" customHeight="false" outlineLevel="0" collapsed="false">
      <c r="B69" s="64"/>
      <c r="C69" s="64"/>
      <c r="D69" s="64" t="n">
        <f aca="false">D70*D$37</f>
        <v>0.883125488533492</v>
      </c>
      <c r="E69" s="64" t="n">
        <f aca="false">E70*E$37</f>
        <v>0.893465229500669</v>
      </c>
      <c r="F69" s="64" t="n">
        <f aca="false">F70*F$37</f>
        <v>0.903796045071459</v>
      </c>
      <c r="G69" s="64" t="n">
        <f aca="false">G70*G$37</f>
        <v>0.914114976085047</v>
      </c>
      <c r="H69" s="64" t="n">
        <f aca="false">H70*H$37</f>
        <v>0.924419077020147</v>
      </c>
      <c r="I69" s="83"/>
      <c r="J69" s="83"/>
      <c r="K69" s="83"/>
      <c r="L69" s="83"/>
      <c r="M69" s="83"/>
      <c r="N69" s="45"/>
      <c r="O69" s="45"/>
      <c r="P69" s="45"/>
      <c r="Q69" s="45"/>
      <c r="R69" s="45"/>
      <c r="S69" s="45"/>
      <c r="T69" s="45"/>
    </row>
    <row r="70" s="6" customFormat="true" ht="12.75" hidden="false" customHeight="false" outlineLevel="0" collapsed="false">
      <c r="B70" s="64"/>
      <c r="C70" s="64" t="n">
        <f aca="false">C71*C$37</f>
        <v>0.893979890175862</v>
      </c>
      <c r="D70" s="64" t="n">
        <f aca="false">D71*D$37</f>
        <v>0.904576887387281</v>
      </c>
      <c r="E70" s="64" t="n">
        <f aca="false">E71*E$37</f>
        <v>0.915167783949457</v>
      </c>
      <c r="F70" s="64" t="n">
        <f aca="false">F71*F$37</f>
        <v>0.925749538314532</v>
      </c>
      <c r="G70" s="64" t="n">
        <f aca="false">G71*G$37</f>
        <v>0.936319119442731</v>
      </c>
      <c r="H70" s="64" t="n">
        <f aca="false">H71*H$37</f>
        <v>0.946873510265121</v>
      </c>
      <c r="I70" s="83"/>
      <c r="J70" s="83"/>
      <c r="K70" s="83"/>
      <c r="L70" s="83"/>
      <c r="M70" s="83"/>
      <c r="N70" s="45"/>
      <c r="O70" s="45"/>
      <c r="P70" s="45"/>
      <c r="Q70" s="45"/>
      <c r="R70" s="45"/>
      <c r="S70" s="45"/>
      <c r="T70" s="45"/>
    </row>
    <row r="71" s="6" customFormat="true" ht="12.75" hidden="false" customHeight="false" outlineLevel="0" collapsed="false">
      <c r="A71" s="1" t="s">
        <v>63</v>
      </c>
      <c r="B71" s="64" t="n">
        <f aca="false">B36</f>
        <v>0.90483741803596</v>
      </c>
      <c r="C71" s="64" t="n">
        <f aca="false">C36*C59/C60*2</f>
        <v>0.915694945896057</v>
      </c>
      <c r="D71" s="64" t="n">
        <f aca="false">D36*D59/D60*2</f>
        <v>0.926549347538427</v>
      </c>
      <c r="E71" s="64" t="n">
        <f aca="false">E36*E59/E60*2</f>
        <v>0.937397500344845</v>
      </c>
      <c r="F71" s="64" t="n">
        <f aca="false">F36*F59/F60*2</f>
        <v>0.948236288887288</v>
      </c>
      <c r="G71" s="64" t="n">
        <f aca="false">G36*G59/G60*2</f>
        <v>0.959062608501061</v>
      </c>
      <c r="H71" s="64" t="n">
        <f aca="false">H36*H59/H60*2</f>
        <v>0.96987336883167</v>
      </c>
      <c r="I71" s="83"/>
      <c r="J71" s="83"/>
      <c r="K71" s="83"/>
      <c r="L71" s="83"/>
      <c r="M71" s="83"/>
      <c r="N71" s="45"/>
      <c r="O71" s="45"/>
      <c r="P71" s="45"/>
      <c r="Q71" s="45"/>
      <c r="R71" s="45"/>
      <c r="S71" s="45"/>
      <c r="T71" s="45"/>
    </row>
    <row r="72" s="6" customFormat="true" ht="12.75" hidden="false" customHeight="false" outlineLevel="0" collapsed="false">
      <c r="A72" s="60" t="s">
        <v>47</v>
      </c>
      <c r="B72" s="88" t="n">
        <v>0</v>
      </c>
      <c r="C72" s="88" t="n">
        <v>1</v>
      </c>
      <c r="D72" s="88" t="n">
        <v>2</v>
      </c>
      <c r="E72" s="88" t="n">
        <v>3</v>
      </c>
      <c r="F72" s="88" t="n">
        <v>4</v>
      </c>
      <c r="G72" s="88" t="n">
        <v>5</v>
      </c>
      <c r="H72" s="88" t="n">
        <v>6</v>
      </c>
      <c r="N72" s="45"/>
      <c r="O72" s="45"/>
      <c r="P72" s="45"/>
      <c r="Q72" s="45"/>
      <c r="R72" s="45"/>
      <c r="S72" s="45"/>
      <c r="T72" s="45"/>
    </row>
    <row r="73" s="6" customFormat="true" ht="12.75" hidden="false" customHeight="false" outlineLevel="0" collapsed="false">
      <c r="B73" s="8"/>
      <c r="C73" s="8"/>
      <c r="D73" s="8"/>
      <c r="E73" s="8"/>
      <c r="F73" s="8"/>
      <c r="G73" s="8"/>
      <c r="H73" s="8"/>
      <c r="I73" s="89"/>
      <c r="N73" s="45"/>
      <c r="O73" s="45"/>
      <c r="P73" s="45"/>
      <c r="Q73" s="45"/>
      <c r="R73" s="45"/>
      <c r="S73" s="45"/>
      <c r="T73" s="45"/>
    </row>
    <row r="74" s="6" customFormat="true" ht="12.75" hidden="false" customHeight="false" outlineLevel="0" collapsed="false">
      <c r="B74" s="64"/>
      <c r="C74" s="64"/>
      <c r="D74" s="64"/>
      <c r="E74" s="64"/>
      <c r="F74" s="64"/>
      <c r="G74" s="64"/>
      <c r="H74" s="64" t="n">
        <f aca="false">-LN(H65)</f>
        <v>0.174589763603004</v>
      </c>
      <c r="I74" s="76"/>
      <c r="J74" s="76"/>
      <c r="K74" s="76"/>
      <c r="L74" s="76"/>
      <c r="M74" s="76"/>
      <c r="N74" s="45"/>
      <c r="O74" s="45"/>
      <c r="P74" s="45"/>
      <c r="Q74" s="45"/>
      <c r="R74" s="45"/>
      <c r="S74" s="45"/>
      <c r="T74" s="45"/>
    </row>
    <row r="75" s="6" customFormat="true" ht="12.75" hidden="false" customHeight="false" outlineLevel="0" collapsed="false">
      <c r="B75" s="64" t="s">
        <v>64</v>
      </c>
      <c r="C75" s="64"/>
      <c r="D75" s="64"/>
      <c r="E75" s="64"/>
      <c r="F75" s="64"/>
      <c r="G75" s="64" t="n">
        <f aca="false">-LN(G66)</f>
        <v>0.161798921035668</v>
      </c>
      <c r="H75" s="64" t="n">
        <f aca="false">-LN(H66)</f>
        <v>0.150589763603004</v>
      </c>
      <c r="I75" s="76"/>
      <c r="J75" s="76"/>
      <c r="K75" s="76"/>
      <c r="L75" s="76"/>
      <c r="M75" s="76"/>
      <c r="N75" s="45"/>
      <c r="O75" s="45"/>
      <c r="P75" s="45"/>
      <c r="Q75" s="45"/>
      <c r="R75" s="45"/>
      <c r="S75" s="45"/>
      <c r="T75" s="45"/>
    </row>
    <row r="76" s="6" customFormat="true" ht="12.75" hidden="false" customHeight="false" outlineLevel="0" collapsed="false">
      <c r="B76" s="64"/>
      <c r="C76" s="64"/>
      <c r="D76" s="64"/>
      <c r="E76" s="64"/>
      <c r="F76" s="64" t="n">
        <f aca="false">-LN(F67)</f>
        <v>0.149151557903601</v>
      </c>
      <c r="G76" s="64" t="n">
        <f aca="false">-LN(G67)</f>
        <v>0.137798921035668</v>
      </c>
      <c r="H76" s="64" t="n">
        <f aca="false">-LN(H67)</f>
        <v>0.126589763603004</v>
      </c>
      <c r="I76" s="76"/>
      <c r="J76" s="76"/>
      <c r="K76" s="76"/>
      <c r="L76" s="76"/>
      <c r="M76" s="76"/>
      <c r="N76" s="45"/>
      <c r="O76" s="45"/>
      <c r="P76" s="45"/>
      <c r="Q76" s="45"/>
      <c r="R76" s="45"/>
      <c r="S76" s="45"/>
      <c r="T76" s="45"/>
    </row>
    <row r="77" s="6" customFormat="true" ht="12.75" hidden="false" customHeight="false" outlineLevel="0" collapsed="false">
      <c r="B77" s="64"/>
      <c r="C77" s="64"/>
      <c r="D77" s="64"/>
      <c r="E77" s="64" t="n">
        <f aca="false">-LN(E68)</f>
        <v>0.136647860080354</v>
      </c>
      <c r="F77" s="64" t="n">
        <f aca="false">-LN(F68)</f>
        <v>0.125151557903601</v>
      </c>
      <c r="G77" s="64" t="n">
        <f aca="false">-LN(G68)</f>
        <v>0.113798921035668</v>
      </c>
      <c r="H77" s="64" t="n">
        <f aca="false">-LN(H68)</f>
        <v>0.102589763603004</v>
      </c>
      <c r="I77" s="76"/>
      <c r="J77" s="76"/>
      <c r="K77" s="76"/>
      <c r="L77" s="76"/>
      <c r="M77" s="76"/>
      <c r="N77" s="45"/>
      <c r="O77" s="45"/>
      <c r="P77" s="45"/>
      <c r="Q77" s="45"/>
      <c r="R77" s="45"/>
      <c r="S77" s="45"/>
      <c r="T77" s="45"/>
    </row>
    <row r="78" s="6" customFormat="true" ht="12.75" hidden="false" customHeight="false" outlineLevel="0" collapsed="false">
      <c r="B78" s="64"/>
      <c r="C78" s="64"/>
      <c r="D78" s="64" t="n">
        <f aca="false">-LN(D69)</f>
        <v>0.124287972356246</v>
      </c>
      <c r="E78" s="64" t="n">
        <f aca="false">-LN(E69)</f>
        <v>0.112647860080354</v>
      </c>
      <c r="F78" s="64" t="n">
        <f aca="false">-LN(F69)</f>
        <v>0.101151557903601</v>
      </c>
      <c r="G78" s="64" t="n">
        <f aca="false">-LN(G69)</f>
        <v>0.0897989210356684</v>
      </c>
      <c r="H78" s="64" t="n">
        <f aca="false">-LN(H69)</f>
        <v>0.0785897636030044</v>
      </c>
      <c r="I78" s="76"/>
      <c r="J78" s="76"/>
      <c r="K78" s="76"/>
      <c r="L78" s="76"/>
      <c r="M78" s="76"/>
      <c r="N78" s="45"/>
      <c r="O78" s="45"/>
      <c r="P78" s="45"/>
      <c r="Q78" s="45"/>
      <c r="R78" s="45"/>
      <c r="S78" s="45"/>
      <c r="T78" s="45"/>
    </row>
    <row r="79" s="6" customFormat="true" ht="12.75" hidden="false" customHeight="false" outlineLevel="0" collapsed="false">
      <c r="B79" s="64"/>
      <c r="C79" s="64" t="n">
        <f aca="false">-LN(C70)</f>
        <v>0.112071998272066</v>
      </c>
      <c r="D79" s="64" t="n">
        <f aca="false">-LN(D70)</f>
        <v>0.100287972356246</v>
      </c>
      <c r="E79" s="64" t="n">
        <f aca="false">-LN(E70)</f>
        <v>0.0886478600803538</v>
      </c>
      <c r="F79" s="64" t="n">
        <f aca="false">-LN(F70)</f>
        <v>0.077151557903601</v>
      </c>
      <c r="G79" s="64" t="n">
        <f aca="false">-LN(G70)</f>
        <v>0.0657989210356683</v>
      </c>
      <c r="H79" s="64" t="n">
        <f aca="false">-LN(H70)</f>
        <v>0.0545897636030044</v>
      </c>
      <c r="I79" s="76"/>
      <c r="J79" s="76"/>
      <c r="K79" s="76"/>
      <c r="L79" s="76"/>
      <c r="M79" s="76"/>
      <c r="N79" s="45"/>
      <c r="O79" s="45"/>
      <c r="P79" s="45"/>
      <c r="Q79" s="45"/>
      <c r="R79" s="45"/>
      <c r="S79" s="45"/>
      <c r="T79" s="45"/>
    </row>
    <row r="80" s="6" customFormat="true" ht="12.75" hidden="false" customHeight="false" outlineLevel="0" collapsed="false">
      <c r="A80" s="1" t="s">
        <v>65</v>
      </c>
      <c r="B80" s="64" t="n">
        <f aca="false">-LN(B71)</f>
        <v>0.1</v>
      </c>
      <c r="C80" s="64" t="n">
        <f aca="false">-LN(C71)</f>
        <v>0.0880719982720662</v>
      </c>
      <c r="D80" s="64" t="n">
        <f aca="false">-LN(D71)</f>
        <v>0.0762879723562459</v>
      </c>
      <c r="E80" s="64" t="n">
        <f aca="false">-LN(E71)</f>
        <v>0.0646478600803538</v>
      </c>
      <c r="F80" s="64" t="n">
        <f aca="false">-LN(F71)</f>
        <v>0.053151557903601</v>
      </c>
      <c r="G80" s="64" t="n">
        <f aca="false">-LN(G71)</f>
        <v>0.0417989210356683</v>
      </c>
      <c r="H80" s="64" t="n">
        <f aca="false">-LN(H71)</f>
        <v>0.0305897636030043</v>
      </c>
      <c r="I80" s="76"/>
      <c r="J80" s="76"/>
      <c r="K80" s="76"/>
      <c r="L80" s="76"/>
      <c r="M80" s="76"/>
      <c r="N80" s="45"/>
      <c r="O80" s="45"/>
      <c r="P80" s="45"/>
      <c r="Q80" s="45"/>
      <c r="R80" s="45"/>
      <c r="S80" s="45"/>
      <c r="T80" s="45"/>
    </row>
    <row r="81" s="6" customFormat="true" ht="12.75" hidden="false" customHeight="false" outlineLevel="0" collapsed="false">
      <c r="A81" s="60" t="s">
        <v>47</v>
      </c>
      <c r="B81" s="88" t="n">
        <v>0</v>
      </c>
      <c r="C81" s="88" t="n">
        <v>1</v>
      </c>
      <c r="D81" s="88" t="n">
        <v>2</v>
      </c>
      <c r="E81" s="88" t="n">
        <v>3</v>
      </c>
      <c r="F81" s="88" t="n">
        <v>4</v>
      </c>
      <c r="G81" s="88" t="n">
        <v>5</v>
      </c>
      <c r="H81" s="88" t="n">
        <v>6</v>
      </c>
      <c r="N81" s="45"/>
      <c r="O81" s="45"/>
      <c r="P81" s="45"/>
      <c r="Q81" s="45"/>
      <c r="R81" s="45"/>
      <c r="S81" s="45"/>
      <c r="T81" s="45"/>
    </row>
    <row r="82" s="6" customFormat="true" ht="12.75" hidden="false" customHeight="false" outlineLevel="0" collapsed="false">
      <c r="B82" s="8"/>
      <c r="C82" s="8"/>
      <c r="D82" s="8"/>
      <c r="E82" s="8"/>
      <c r="F82" s="8"/>
      <c r="G82" s="8"/>
      <c r="H82" s="8"/>
      <c r="N82" s="45"/>
      <c r="O82" s="45"/>
      <c r="P82" s="45"/>
      <c r="Q82" s="45"/>
      <c r="R82" s="45"/>
      <c r="S82" s="45"/>
      <c r="T82" s="45"/>
    </row>
    <row r="83" s="6" customFormat="true" ht="12.75" hidden="false" customHeight="false" outlineLevel="0" collapsed="false">
      <c r="B83" s="8"/>
      <c r="C83" s="8"/>
      <c r="D83" s="8"/>
      <c r="E83" s="8"/>
      <c r="F83" s="8"/>
      <c r="G83" s="8"/>
      <c r="H83" s="8" t="n">
        <f aca="false">(H74-H75)/(2*H$31)</f>
        <v>0.12</v>
      </c>
      <c r="N83" s="45"/>
      <c r="O83" s="45"/>
      <c r="P83" s="45"/>
      <c r="Q83" s="45"/>
      <c r="R83" s="45"/>
      <c r="S83" s="45"/>
      <c r="T83" s="45"/>
    </row>
    <row r="84" s="6" customFormat="true" ht="12.75" hidden="false" customHeight="false" outlineLevel="0" collapsed="false">
      <c r="B84" s="8"/>
      <c r="C84" s="8"/>
      <c r="D84" s="8"/>
      <c r="E84" s="8"/>
      <c r="F84" s="8"/>
      <c r="G84" s="8" t="n">
        <f aca="false">(G75-G76)/(2*G$31)</f>
        <v>0.12</v>
      </c>
      <c r="H84" s="8" t="n">
        <f aca="false">(H75-H76)/(2*H$31)</f>
        <v>0.12</v>
      </c>
      <c r="N84" s="45"/>
      <c r="O84" s="45"/>
      <c r="P84" s="45"/>
      <c r="Q84" s="45"/>
      <c r="R84" s="45"/>
      <c r="S84" s="45"/>
      <c r="T84" s="45"/>
    </row>
    <row r="85" s="6" customFormat="true" ht="12.75" hidden="false" customHeight="false" outlineLevel="0" collapsed="false">
      <c r="B85" s="8"/>
      <c r="C85" s="8"/>
      <c r="D85" s="8"/>
      <c r="E85" s="8"/>
      <c r="F85" s="8" t="n">
        <f aca="false">(F76-F77)/(2*F$31)</f>
        <v>0.12</v>
      </c>
      <c r="G85" s="8" t="n">
        <f aca="false">(G76-G77)/(2*G$31)</f>
        <v>0.12</v>
      </c>
      <c r="H85" s="8" t="n">
        <f aca="false">(H76-H77)/(2*H$31)</f>
        <v>0.12</v>
      </c>
      <c r="N85" s="45"/>
      <c r="O85" s="45"/>
      <c r="P85" s="45"/>
      <c r="Q85" s="45"/>
      <c r="R85" s="45"/>
      <c r="S85" s="45"/>
      <c r="T85" s="45"/>
    </row>
    <row r="86" s="6" customFormat="true" ht="12.75" hidden="false" customHeight="false" outlineLevel="0" collapsed="false">
      <c r="B86" s="8"/>
      <c r="C86" s="8"/>
      <c r="D86" s="8"/>
      <c r="E86" s="8" t="n">
        <f aca="false">(E77-E78)/(2*E$31)</f>
        <v>0.12</v>
      </c>
      <c r="F86" s="8" t="n">
        <f aca="false">(F77-F78)/(2*F$31)</f>
        <v>0.12</v>
      </c>
      <c r="G86" s="8" t="n">
        <f aca="false">(G77-G78)/(2*G$31)</f>
        <v>0.12</v>
      </c>
      <c r="H86" s="8" t="n">
        <f aca="false">(H77-H78)/(2*H$31)</f>
        <v>0.12</v>
      </c>
      <c r="N86" s="45"/>
      <c r="O86" s="45"/>
      <c r="P86" s="45"/>
      <c r="Q86" s="45"/>
      <c r="R86" s="45"/>
      <c r="S86" s="45"/>
      <c r="T86" s="45"/>
    </row>
    <row r="87" s="6" customFormat="true" ht="12.75" hidden="false" customHeight="false" outlineLevel="0" collapsed="false">
      <c r="B87" s="8"/>
      <c r="C87" s="8"/>
      <c r="D87" s="8" t="n">
        <f aca="false">(D78-D79)/(2*D$31)</f>
        <v>0.12</v>
      </c>
      <c r="E87" s="8" t="n">
        <f aca="false">(E78-E79)/(2*E$31)</f>
        <v>0.12</v>
      </c>
      <c r="F87" s="8" t="n">
        <f aca="false">(F78-F79)/(2*F$31)</f>
        <v>0.12</v>
      </c>
      <c r="G87" s="8" t="n">
        <f aca="false">(G78-G79)/(2*G$31)</f>
        <v>0.12</v>
      </c>
      <c r="H87" s="8" t="n">
        <f aca="false">(H78-H79)/(2*H$31)</f>
        <v>0.12</v>
      </c>
      <c r="N87" s="45"/>
      <c r="O87" s="45"/>
      <c r="P87" s="45"/>
      <c r="Q87" s="45"/>
      <c r="R87" s="45"/>
      <c r="S87" s="45"/>
      <c r="T87" s="45"/>
    </row>
    <row r="88" s="6" customFormat="true" ht="12.75" hidden="false" customHeight="false" outlineLevel="0" collapsed="false">
      <c r="A88" s="1" t="s">
        <v>66</v>
      </c>
      <c r="B88" s="8"/>
      <c r="C88" s="8" t="n">
        <f aca="false">(C79-C80)/(2*C$31)</f>
        <v>0.12</v>
      </c>
      <c r="D88" s="8" t="n">
        <f aca="false">(D79-D80)/(2*D$31)</f>
        <v>0.12</v>
      </c>
      <c r="E88" s="8" t="n">
        <f aca="false">(E79-E80)/(2*E$31)</f>
        <v>0.12</v>
      </c>
      <c r="F88" s="8" t="n">
        <f aca="false">(F79-F80)/(2*F$31)</f>
        <v>0.12</v>
      </c>
      <c r="G88" s="8" t="n">
        <f aca="false">(G79-G80)/(2*G$31)</f>
        <v>0.12</v>
      </c>
      <c r="H88" s="8" t="n">
        <f aca="false">(H79-H80)/(2*H$31)</f>
        <v>0.12</v>
      </c>
      <c r="N88" s="45"/>
      <c r="O88" s="45"/>
      <c r="P88" s="45"/>
      <c r="Q88" s="45"/>
      <c r="R88" s="45"/>
      <c r="S88" s="45"/>
      <c r="T88" s="45"/>
    </row>
    <row r="89" s="6" customFormat="true" ht="12.75" hidden="false" customHeight="false" outlineLevel="0" collapsed="false">
      <c r="A89" s="60" t="s">
        <v>47</v>
      </c>
      <c r="B89" s="60" t="n">
        <v>0</v>
      </c>
      <c r="C89" s="60" t="n">
        <v>1</v>
      </c>
      <c r="D89" s="60" t="n">
        <v>2</v>
      </c>
      <c r="E89" s="60" t="n">
        <v>3</v>
      </c>
      <c r="F89" s="60" t="n">
        <v>4</v>
      </c>
      <c r="G89" s="60" t="n">
        <v>5</v>
      </c>
      <c r="H89" s="60" t="n">
        <v>6</v>
      </c>
      <c r="N89" s="45"/>
      <c r="O89" s="45"/>
      <c r="P89" s="45"/>
      <c r="Q89" s="45"/>
      <c r="R89" s="45"/>
      <c r="S89" s="45"/>
      <c r="T89" s="45"/>
    </row>
    <row r="90" s="6" customFormat="true" ht="12.75" hidden="false" customHeight="false" outlineLevel="0" collapsed="false">
      <c r="N90" s="45"/>
      <c r="O90" s="45"/>
      <c r="P90" s="45"/>
      <c r="Q90" s="45"/>
      <c r="R90" s="45"/>
      <c r="S90" s="45"/>
      <c r="T90" s="45"/>
    </row>
    <row r="91" s="6" customFormat="true" ht="12.75" hidden="false" customHeight="false" outlineLevel="0" collapsed="false">
      <c r="G91" s="6" t="n">
        <f aca="false">EXP(G75)-1</f>
        <v>0.175623824331514</v>
      </c>
      <c r="N91" s="45"/>
      <c r="O91" s="45"/>
      <c r="P91" s="45"/>
      <c r="Q91" s="45"/>
      <c r="R91" s="45"/>
      <c r="S91" s="45"/>
      <c r="T91" s="45"/>
    </row>
    <row r="92" s="6" customFormat="true" ht="12.75" hidden="false" customHeight="false" outlineLevel="0" collapsed="false">
      <c r="F92" s="6" t="n">
        <f aca="false">EXP(F76)-1</f>
        <v>0.160848911704982</v>
      </c>
      <c r="G92" s="6" t="n">
        <f aca="false">EXP(G76)-1</f>
        <v>0.1477447397458</v>
      </c>
      <c r="N92" s="45"/>
      <c r="O92" s="45"/>
      <c r="P92" s="45"/>
      <c r="Q92" s="45"/>
      <c r="R92" s="45"/>
      <c r="S92" s="45"/>
      <c r="T92" s="45"/>
    </row>
    <row r="93" s="6" customFormat="true" ht="12.75" hidden="false" customHeight="false" outlineLevel="0" collapsed="false">
      <c r="E93" s="6" t="n">
        <f aca="false">EXP(E77)-1</f>
        <v>0.146424375644777</v>
      </c>
      <c r="F93" s="6" t="n">
        <f aca="false">EXP(F77)-1</f>
        <v>0.133320203685595</v>
      </c>
      <c r="G93" s="6" t="n">
        <f aca="false">EXP(G77)-1</f>
        <v>0.120526787863636</v>
      </c>
      <c r="N93" s="45"/>
      <c r="O93" s="45"/>
      <c r="P93" s="45"/>
      <c r="Q93" s="45"/>
      <c r="R93" s="45"/>
      <c r="S93" s="45"/>
      <c r="T93" s="45"/>
    </row>
    <row r="94" s="6" customFormat="true" ht="12.75" hidden="false" customHeight="false" outlineLevel="0" collapsed="false">
      <c r="D94" s="6" t="n">
        <f aca="false">EXP(D78)-1</f>
        <v>0.132341907219311</v>
      </c>
      <c r="E94" s="6" t="n">
        <f aca="false">EXP(E78)-1</f>
        <v>0.119237735260129</v>
      </c>
      <c r="F94" s="6" t="n">
        <f aca="false">EXP(F78)-1</f>
        <v>0.106444319438169</v>
      </c>
      <c r="G94" s="6" t="n">
        <f aca="false">EXP(G78)-1</f>
        <v>0.0939542903921997</v>
      </c>
      <c r="N94" s="45"/>
      <c r="O94" s="45"/>
      <c r="P94" s="45"/>
      <c r="Q94" s="45"/>
      <c r="R94" s="45"/>
      <c r="S94" s="45"/>
      <c r="T94" s="45"/>
    </row>
    <row r="95" s="6" customFormat="true" ht="12.75" hidden="false" customHeight="false" outlineLevel="0" collapsed="false">
      <c r="C95" s="6" t="n">
        <f aca="false">EXP(C79)-1</f>
        <v>0.118593394537411</v>
      </c>
      <c r="D95" s="6" t="n">
        <f aca="false">EXP(D79)-1</f>
        <v>0.10548922257823</v>
      </c>
      <c r="E95" s="6" t="n">
        <f aca="false">EXP(E79)-1</f>
        <v>0.0926958067562698</v>
      </c>
      <c r="F95" s="6" t="n">
        <f aca="false">EXP(F79)-1</f>
        <v>0.0802057777103002</v>
      </c>
      <c r="G95" s="6" t="n">
        <f aca="false">EXP(G79)-1</f>
        <v>0.0680119408382587</v>
      </c>
      <c r="N95" s="45"/>
      <c r="O95" s="45"/>
      <c r="P95" s="45"/>
      <c r="Q95" s="45"/>
      <c r="R95" s="45"/>
      <c r="S95" s="45"/>
      <c r="T95" s="45"/>
    </row>
    <row r="96" s="6" customFormat="true" ht="12.75" hidden="false" customHeight="false" outlineLevel="0" collapsed="false">
      <c r="A96" s="6" t="s">
        <v>67</v>
      </c>
      <c r="B96" s="6" t="n">
        <f aca="false">EXP(B80)-1</f>
        <v>0.105170918075648</v>
      </c>
      <c r="C96" s="6" t="n">
        <f aca="false">EXP(C80)-1</f>
        <v>0.0920667461164655</v>
      </c>
      <c r="D96" s="6" t="n">
        <f aca="false">EXP(D80)-1</f>
        <v>0.0792733302945061</v>
      </c>
      <c r="E96" s="6" t="n">
        <f aca="false">EXP(E80)-1</f>
        <v>0.0667833012485362</v>
      </c>
      <c r="F96" s="6" t="n">
        <f aca="false">EXP(F80)-1</f>
        <v>0.0545894643764948</v>
      </c>
      <c r="G96" s="6" t="n">
        <f aca="false">EXP(G80)-1</f>
        <v>0.0426847956912015</v>
      </c>
      <c r="N96" s="45"/>
      <c r="O96" s="45"/>
      <c r="P96" s="45"/>
      <c r="Q96" s="45"/>
      <c r="R96" s="45"/>
      <c r="S96" s="45"/>
      <c r="T96" s="45"/>
    </row>
    <row r="97" s="6" customFormat="true" ht="12.75" hidden="false" customHeight="false" outlineLevel="0" collapsed="false">
      <c r="A97" s="60" t="s">
        <v>47</v>
      </c>
      <c r="B97" s="60" t="n">
        <v>0</v>
      </c>
      <c r="C97" s="60" t="n">
        <v>1</v>
      </c>
      <c r="D97" s="60" t="n">
        <v>2</v>
      </c>
      <c r="E97" s="60" t="n">
        <v>3</v>
      </c>
      <c r="F97" s="60" t="n">
        <v>4</v>
      </c>
      <c r="G97" s="60" t="n">
        <v>5</v>
      </c>
      <c r="N97" s="45"/>
      <c r="O97" s="45"/>
      <c r="P97" s="45"/>
      <c r="Q97" s="45"/>
      <c r="R97" s="45"/>
      <c r="S97" s="45"/>
      <c r="T97" s="45"/>
    </row>
    <row r="98" s="6" customFormat="true" ht="12.75" hidden="false" customHeight="false" outlineLevel="0" collapsed="false">
      <c r="N98" s="45"/>
      <c r="O98" s="45"/>
      <c r="P98" s="45"/>
      <c r="Q98" s="45"/>
      <c r="R98" s="45"/>
      <c r="S98" s="45"/>
      <c r="T98" s="45"/>
    </row>
    <row r="99" s="6" customFormat="true" ht="12.75" hidden="false" customHeight="false" outlineLevel="0" collapsed="false">
      <c r="A99" s="90" t="s">
        <v>69</v>
      </c>
      <c r="B99" s="76"/>
      <c r="C99" s="91"/>
      <c r="D99" s="92"/>
      <c r="E99" s="92"/>
      <c r="F99" s="76"/>
      <c r="G99" s="76"/>
      <c r="H99" s="76"/>
      <c r="I99" s="76"/>
      <c r="J99" s="76"/>
      <c r="K99" s="76"/>
      <c r="L99" s="76"/>
      <c r="M99" s="76"/>
      <c r="N99" s="45"/>
      <c r="O99" s="45"/>
      <c r="P99" s="45"/>
      <c r="Q99" s="45"/>
      <c r="R99" s="45"/>
      <c r="S99" s="45"/>
      <c r="T99" s="45"/>
    </row>
    <row r="100" customFormat="false" ht="12.75" hidden="false" customHeight="false" outlineLevel="0" collapsed="false">
      <c r="C100" s="92"/>
      <c r="D100" s="92"/>
      <c r="E100" s="92"/>
    </row>
    <row r="101" customFormat="false" ht="12.75" hidden="false" customHeight="false" outlineLevel="0" collapsed="false">
      <c r="A101" s="1" t="s">
        <v>117</v>
      </c>
      <c r="B101" s="93" t="n">
        <v>0.105170918075648</v>
      </c>
      <c r="C101" s="47" t="s">
        <v>71</v>
      </c>
      <c r="D101" s="92"/>
      <c r="E101" s="92"/>
    </row>
    <row r="102" s="6" customFormat="true" ht="12.75" hidden="false" customHeight="false" outlineLevel="0" collapsed="false">
      <c r="A102" s="60" t="s">
        <v>47</v>
      </c>
      <c r="B102" s="60" t="n">
        <v>0</v>
      </c>
      <c r="C102" s="60" t="n">
        <v>1</v>
      </c>
      <c r="D102" s="60" t="n">
        <v>2</v>
      </c>
      <c r="E102" s="60" t="n">
        <v>3</v>
      </c>
      <c r="F102" s="60" t="n">
        <v>4</v>
      </c>
      <c r="G102" s="60" t="n">
        <v>5</v>
      </c>
      <c r="N102" s="45"/>
      <c r="O102" s="45"/>
      <c r="P102" s="45"/>
      <c r="Q102" s="45"/>
      <c r="R102" s="45"/>
      <c r="S102" s="45"/>
      <c r="T102" s="45"/>
    </row>
    <row r="104" customFormat="false" ht="12.75" hidden="false" customHeight="false" outlineLevel="0" collapsed="false">
      <c r="G104" s="1" t="n">
        <f aca="false">$B$39*(1+$B$101)</f>
        <v>110.517091807565</v>
      </c>
    </row>
    <row r="105" customFormat="false" ht="12.75" hidden="false" customHeight="false" outlineLevel="0" collapsed="false">
      <c r="F105" s="6" t="n">
        <f aca="false">0.5*(G104+G105)*F67+$B$39*$B$101</f>
        <v>105.720774813344</v>
      </c>
      <c r="G105" s="1" t="n">
        <f aca="false">$B$39*(1+$B$101)</f>
        <v>110.517091807565</v>
      </c>
    </row>
    <row r="106" customFormat="false" ht="12.75" hidden="false" customHeight="false" outlineLevel="0" collapsed="false">
      <c r="E106" s="6" t="n">
        <f aca="false">0.5*(F105+F106)*E68+$B$39*$B$101</f>
        <v>103.743510353941</v>
      </c>
      <c r="F106" s="6" t="n">
        <f aca="false">0.5*(G105+G106)*F68+$B$39*$B$101</f>
        <v>108.033302537912</v>
      </c>
      <c r="G106" s="1" t="n">
        <f aca="false">$B$39*(1+$B$101)</f>
        <v>110.517091807565</v>
      </c>
    </row>
    <row r="107" customFormat="false" ht="12.75" hidden="false" customHeight="false" outlineLevel="0" collapsed="false">
      <c r="D107" s="6" t="n">
        <f aca="false">0.5*(E106+E107)*D69+$B$39*$B$101</f>
        <v>104.058969792098</v>
      </c>
      <c r="E107" s="6" t="n">
        <f aca="false">0.5*(F106+F107)*E69+$B$39*$B$101</f>
        <v>108.099266689823</v>
      </c>
      <c r="F107" s="6" t="n">
        <f aca="false">0.5*(G106+G107)*F69+$B$39*$B$101</f>
        <v>110.402002296041</v>
      </c>
      <c r="G107" s="1" t="n">
        <f aca="false">$B$39*(1+$B$101)</f>
        <v>110.517091807565</v>
      </c>
    </row>
    <row r="108" customFormat="false" ht="12.75" hidden="false" customHeight="false" outlineLevel="0" collapsed="false">
      <c r="C108" s="6" t="n">
        <f aca="false">0.5*(D107+D108)*C70+$B$39*$B$101</f>
        <v>106.362722831848</v>
      </c>
      <c r="D108" s="6" t="n">
        <f aca="false">0.5*(E107+E108)*D70+$B$39*$B$101</f>
        <v>110.365609725968</v>
      </c>
      <c r="E108" s="6" t="n">
        <f aca="false">0.5*(F107+F108)*E70+$B$39*$B$101</f>
        <v>112.663654208584</v>
      </c>
      <c r="F108" s="6" t="n">
        <f aca="false">0.5*(G107+G108)*F70+$B$39*$B$101</f>
        <v>112.828238524283</v>
      </c>
      <c r="G108" s="1" t="n">
        <f aca="false">$B$39*(1+$B$101)</f>
        <v>110.517091807565</v>
      </c>
    </row>
    <row r="109" s="6" customFormat="true" ht="12.75" hidden="false" customHeight="false" outlineLevel="0" collapsed="false">
      <c r="A109" s="1" t="s">
        <v>72</v>
      </c>
      <c r="B109" s="6" t="n">
        <f aca="false">0.5*(C108+C109)*B71</f>
        <v>100</v>
      </c>
      <c r="C109" s="6" t="n">
        <f aca="false">0.5*(D108+D109)*C71+$B$39*$B$101</f>
        <v>114.671460783282</v>
      </c>
      <c r="D109" s="6" t="n">
        <f aca="false">0.5*(E108+E109)*D71+$B$39*$B$101</f>
        <v>117.121435916283</v>
      </c>
      <c r="E109" s="6" t="n">
        <f aca="false">0.5*(F108+F109)*E71+$B$39*$B$101</f>
        <v>117.446796771571</v>
      </c>
      <c r="F109" s="6" t="n">
        <f aca="false">0.5*(G108+G109)*F71+$B$39*$B$101</f>
        <v>115.313408801786</v>
      </c>
      <c r="G109" s="1" t="n">
        <f aca="false">$B$39*(1+$B$101)</f>
        <v>110.517091807565</v>
      </c>
      <c r="N109" s="45"/>
      <c r="O109" s="45"/>
      <c r="P109" s="45"/>
      <c r="Q109" s="45"/>
      <c r="R109" s="45"/>
      <c r="S109" s="45"/>
      <c r="T109" s="45"/>
    </row>
    <row r="110" customFormat="false" ht="12.75" hidden="false" customHeight="false" outlineLevel="0" collapsed="false">
      <c r="B110" s="94" t="n">
        <f aca="false">(B39-B109)^2</f>
        <v>0</v>
      </c>
      <c r="C110" s="18" t="s">
        <v>73</v>
      </c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1" activeCellId="0" sqref="G121"/>
    </sheetView>
  </sheetViews>
  <sheetFormatPr defaultColWidth="7.4375" defaultRowHeight="12.75" zeroHeight="false" outlineLevelRow="0" outlineLevelCol="0"/>
  <cols>
    <col collapsed="false" customWidth="true" hidden="false" outlineLevel="0" max="1" min="1" style="1" width="30.55"/>
    <col collapsed="false" customWidth="false" hidden="false" outlineLevel="0" max="257" min="2" style="1" width="7.43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</row>
    <row r="3" customFormat="fals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customFormat="false" ht="12.75" hidden="false" customHeight="true" outlineLevel="0" collapsed="false">
      <c r="A4" s="5" t="s">
        <v>8</v>
      </c>
      <c r="B4" s="14" t="n">
        <v>37803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customFormat="fals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customFormat="false" ht="12.75" hidden="false" customHeight="true" outlineLevel="0" collapsed="false">
      <c r="A6" s="5" t="s">
        <v>12</v>
      </c>
      <c r="B6" s="18" t="s">
        <v>13</v>
      </c>
      <c r="C6" s="18"/>
      <c r="D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customFormat="fals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24" t="s">
        <v>16</v>
      </c>
      <c r="G7" s="25" t="s">
        <v>115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</row>
    <row r="8" customFormat="false" ht="12.75" hidden="false" customHeight="true" outlineLevel="0" collapsed="false">
      <c r="A8" s="5" t="s">
        <v>18</v>
      </c>
      <c r="B8" s="28" t="n">
        <v>37958</v>
      </c>
      <c r="C8" s="23"/>
      <c r="D8" s="23"/>
      <c r="E8" s="23"/>
      <c r="F8" s="29" t="s">
        <v>19</v>
      </c>
      <c r="G8" s="30" t="s">
        <v>116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customFormat="false" ht="12.75" hidden="false" customHeight="true" outlineLevel="0" collapsed="false">
      <c r="A9" s="5" t="s">
        <v>21</v>
      </c>
      <c r="B9" s="23" t="s">
        <v>78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customFormat="fals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customFormat="fals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1"/>
      <c r="G13" s="42"/>
      <c r="H13" s="6"/>
      <c r="I13" s="6"/>
      <c r="J13" s="6"/>
      <c r="K13" s="6"/>
      <c r="L13" s="6"/>
      <c r="M13" s="6"/>
      <c r="N13" s="6"/>
      <c r="O13" s="6"/>
      <c r="Q13" s="6"/>
      <c r="R13" s="6"/>
      <c r="S13" s="6"/>
    </row>
    <row r="14" customFormat="fals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39"/>
      <c r="G14" s="44"/>
      <c r="Q14" s="6"/>
      <c r="R14" s="6"/>
      <c r="S14" s="6"/>
    </row>
    <row r="15" customFormat="fals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39"/>
      <c r="G15" s="44"/>
      <c r="Q15" s="6"/>
      <c r="R15" s="6"/>
      <c r="S15" s="6"/>
    </row>
    <row r="16" customFormat="fals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39"/>
      <c r="G16" s="44"/>
      <c r="I16" s="45"/>
      <c r="J16" s="45"/>
      <c r="Q16" s="6"/>
      <c r="R16" s="6"/>
      <c r="S16" s="6"/>
    </row>
    <row r="17" customFormat="fals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39"/>
      <c r="G17" s="44"/>
      <c r="I17" s="46"/>
      <c r="J17" s="45"/>
      <c r="Q17" s="6"/>
      <c r="R17" s="6"/>
      <c r="S17" s="6"/>
    </row>
    <row r="18" customFormat="fals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39"/>
      <c r="G18" s="44"/>
      <c r="Q18" s="6"/>
      <c r="R18" s="6"/>
      <c r="S18" s="6"/>
    </row>
    <row r="19" customFormat="fals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49"/>
      <c r="G19" s="50"/>
      <c r="Q19" s="6"/>
      <c r="R19" s="6"/>
      <c r="S19" s="6"/>
    </row>
    <row r="20" customFormat="fals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customFormat="fals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customFormat="fals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44</v>
      </c>
      <c r="B24" s="54" t="s">
        <v>45</v>
      </c>
      <c r="C24" s="28"/>
      <c r="D24" s="28"/>
      <c r="E24" s="28"/>
      <c r="F24" s="1"/>
      <c r="G24" s="1"/>
    </row>
    <row r="25" s="6" customFormat="true" ht="12.75" hidden="false" customHeight="false" outlineLevel="0" collapsed="false">
      <c r="A25" s="5"/>
      <c r="B25" s="55"/>
      <c r="C25" s="1"/>
      <c r="D25" s="1"/>
      <c r="E25" s="1"/>
      <c r="F25" s="1"/>
      <c r="G25" s="1"/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7" s="58" customFormat="true" ht="12.75" hidden="false" customHeight="false" outlineLevel="0" collapsed="false">
      <c r="A27" s="57"/>
      <c r="B27" s="57"/>
      <c r="N27" s="59"/>
      <c r="O27" s="59"/>
      <c r="P27" s="59"/>
      <c r="Q27" s="59"/>
      <c r="R27" s="59"/>
      <c r="S27" s="59"/>
      <c r="T27" s="59"/>
    </row>
    <row r="28" customFormat="false" ht="12.75" hidden="false" customHeight="false" outlineLevel="0" collapsed="false">
      <c r="A28" s="60" t="s">
        <v>47</v>
      </c>
      <c r="B28" s="60" t="n">
        <v>0</v>
      </c>
      <c r="C28" s="60" t="n">
        <v>1</v>
      </c>
      <c r="D28" s="60" t="n">
        <v>2</v>
      </c>
      <c r="E28" s="60" t="n">
        <v>3</v>
      </c>
      <c r="F28" s="60" t="n">
        <v>4</v>
      </c>
      <c r="G28" s="60" t="n">
        <v>5</v>
      </c>
      <c r="H28" s="60" t="n">
        <v>6</v>
      </c>
      <c r="I28" s="60" t="n">
        <v>7</v>
      </c>
      <c r="J28" s="60" t="n">
        <v>8</v>
      </c>
      <c r="K28" s="60" t="n">
        <v>9</v>
      </c>
      <c r="L28" s="60" t="n">
        <v>10</v>
      </c>
      <c r="M28" s="60" t="n">
        <v>11</v>
      </c>
      <c r="N28" s="60" t="n">
        <v>12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="6" customFormat="true" ht="12.75" hidden="false" customHeight="false" outlineLevel="0" collapsed="false">
      <c r="A29" s="61" t="s">
        <v>48</v>
      </c>
      <c r="B29" s="62" t="n">
        <v>0.1</v>
      </c>
      <c r="C29" s="63" t="n">
        <f aca="false">B29</f>
        <v>0.1</v>
      </c>
      <c r="D29" s="62" t="n">
        <v>0.1</v>
      </c>
      <c r="E29" s="62" t="n">
        <v>0.1</v>
      </c>
      <c r="F29" s="62" t="n">
        <v>0.1</v>
      </c>
      <c r="G29" s="62" t="n">
        <v>0.1</v>
      </c>
      <c r="H29" s="62" t="n">
        <v>0.1</v>
      </c>
      <c r="I29" s="62" t="n">
        <v>0.1</v>
      </c>
      <c r="J29" s="62" t="n">
        <v>0.1</v>
      </c>
      <c r="K29" s="62" t="n">
        <v>0.1</v>
      </c>
      <c r="L29" s="62" t="n">
        <v>0.1</v>
      </c>
      <c r="M29" s="62" t="n">
        <v>0.1</v>
      </c>
      <c r="N29" s="62" t="n">
        <v>0.1</v>
      </c>
    </row>
    <row r="30" s="58" customFormat="true" ht="12.75" hidden="false" customHeight="false" outlineLevel="0" collapsed="false">
      <c r="A30" s="61" t="s">
        <v>49</v>
      </c>
      <c r="B30" s="64" t="n">
        <f aca="false">EXP(-B29*B28)</f>
        <v>1</v>
      </c>
      <c r="C30" s="65" t="n">
        <f aca="false">EXP(-C29*C28)</f>
        <v>0.90483741803596</v>
      </c>
      <c r="D30" s="64" t="n">
        <f aca="false">EXP(-D29*D28)</f>
        <v>0.818730753077982</v>
      </c>
      <c r="E30" s="64" t="n">
        <f aca="false">EXP(-E29*E28)</f>
        <v>0.740818220681718</v>
      </c>
      <c r="F30" s="64" t="n">
        <f aca="false">EXP(-F29*F28)</f>
        <v>0.670320046035639</v>
      </c>
      <c r="G30" s="64" t="n">
        <f aca="false">EXP(-G29*G28)</f>
        <v>0.606530659712633</v>
      </c>
      <c r="H30" s="64" t="n">
        <f aca="false">EXP(-H29*H28)</f>
        <v>0.548811636094026</v>
      </c>
      <c r="I30" s="64" t="n">
        <f aca="false">EXP(-I29*I28)</f>
        <v>0.496585303791409</v>
      </c>
      <c r="J30" s="64" t="n">
        <f aca="false">EXP(-J29*J28)</f>
        <v>0.449328964117222</v>
      </c>
      <c r="K30" s="64" t="n">
        <f aca="false">EXP(-K29*K28)</f>
        <v>0.406569659740599</v>
      </c>
      <c r="L30" s="64" t="n">
        <f aca="false">EXP(-L29*L28)</f>
        <v>0.367879441171442</v>
      </c>
      <c r="M30" s="64" t="n">
        <f aca="false">EXP(-M29*M28)</f>
        <v>0.33287108369808</v>
      </c>
      <c r="N30" s="64" t="n">
        <f aca="false">EXP(-N29*N28)</f>
        <v>0.301194211912202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</row>
    <row r="31" s="6" customFormat="true" ht="12.75" hidden="false" customHeight="false" outlineLevel="0" collapsed="false">
      <c r="A31" s="61" t="s">
        <v>50</v>
      </c>
      <c r="B31" s="64" t="n">
        <f aca="false">-LN(C30/B30)</f>
        <v>0.1</v>
      </c>
      <c r="C31" s="64" t="n">
        <f aca="false">-LN(C30/B30)</f>
        <v>0.1</v>
      </c>
      <c r="D31" s="64" t="n">
        <f aca="false">-LN(D30/C30)</f>
        <v>0.0999999999999999</v>
      </c>
      <c r="E31" s="64" t="n">
        <f aca="false">-LN(E30/D30)</f>
        <v>0.0999999999999999</v>
      </c>
      <c r="F31" s="64" t="n">
        <f aca="false">-LN(F30/E30)</f>
        <v>0.0999999999999999</v>
      </c>
      <c r="G31" s="64" t="n">
        <f aca="false">-LN(G30/F30)</f>
        <v>0.1</v>
      </c>
      <c r="H31" s="64" t="n">
        <f aca="false">-LN(H30/G30)</f>
        <v>0.1</v>
      </c>
      <c r="I31" s="64" t="n">
        <f aca="false">-LN(I30/H30)</f>
        <v>0.1</v>
      </c>
      <c r="J31" s="64" t="n">
        <f aca="false">-LN(J30/I30)</f>
        <v>0.0999999999999999</v>
      </c>
      <c r="K31" s="64" t="n">
        <f aca="false">-LN(K30/J30)</f>
        <v>0.0999999999999999</v>
      </c>
      <c r="L31" s="64" t="n">
        <f aca="false">-LN(L30/K30)</f>
        <v>0.0999999999999999</v>
      </c>
      <c r="M31" s="64" t="n">
        <f aca="false">-LN(M30/L30)</f>
        <v>0.1</v>
      </c>
      <c r="N31" s="64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s="6" customFormat="true" ht="14.25" hidden="false" customHeight="false" outlineLevel="0" collapsed="false">
      <c r="A32" s="6" t="s">
        <v>51</v>
      </c>
      <c r="B32" s="68" t="n">
        <v>0</v>
      </c>
      <c r="C32" s="68" t="n">
        <v>0.12</v>
      </c>
      <c r="D32" s="68" t="n">
        <v>0.12</v>
      </c>
      <c r="E32" s="68" t="n">
        <v>0.12</v>
      </c>
      <c r="F32" s="68" t="n">
        <v>0.12</v>
      </c>
      <c r="G32" s="68" t="n">
        <v>0.12</v>
      </c>
      <c r="H32" s="68" t="n">
        <v>0.12</v>
      </c>
      <c r="I32" s="68" t="n">
        <v>0.12</v>
      </c>
      <c r="J32" s="68" t="n">
        <v>0.12</v>
      </c>
      <c r="K32" s="68" t="n">
        <v>0.12</v>
      </c>
      <c r="L32" s="68" t="n">
        <v>0.12</v>
      </c>
      <c r="M32" s="68" t="n">
        <v>0.12</v>
      </c>
      <c r="N32" s="68" t="n">
        <v>0.12</v>
      </c>
    </row>
    <row r="33" s="6" customFormat="true" ht="14.25" hidden="false" customHeight="false" outlineLevel="0" collapsed="false">
      <c r="A33" s="6" t="s">
        <v>52</v>
      </c>
      <c r="B33" s="8" t="n">
        <v>0</v>
      </c>
      <c r="C33" s="69" t="n">
        <f aca="false">(C28*C29*C32-B28*B29*B32)/C31</f>
        <v>0.12</v>
      </c>
      <c r="D33" s="8" t="n">
        <f aca="false">(D28*D29*D32-C28*C29*C32)/D31</f>
        <v>0.12</v>
      </c>
      <c r="E33" s="8" t="n">
        <f aca="false">(E28*E29*E32-D28*D29*D32)/E31</f>
        <v>0.12</v>
      </c>
      <c r="F33" s="8" t="n">
        <f aca="false">(F28*F29*F32-E28*E29*E32)/F31</f>
        <v>0.12</v>
      </c>
      <c r="G33" s="8" t="n">
        <f aca="false">(G28*G29*G32-F28*F29*F32)/G31</f>
        <v>0.12</v>
      </c>
      <c r="H33" s="8" t="n">
        <f aca="false">(H28*H29*H32-G28*G29*G32)/H31</f>
        <v>0.12</v>
      </c>
      <c r="I33" s="8" t="n">
        <f aca="false">(I28*I29*I32-H28*H29*H32)/I31</f>
        <v>0.12</v>
      </c>
      <c r="J33" s="8" t="n">
        <f aca="false">(J28*J29*J32-I28*I29*I32)/J31</f>
        <v>0.12</v>
      </c>
      <c r="K33" s="8" t="n">
        <f aca="false">(K28*K29*K32-J28*J29*J32)/K31</f>
        <v>0.12</v>
      </c>
      <c r="L33" s="8" t="n">
        <f aca="false">(L28*L29*L32-K28*K29*K32)/L31</f>
        <v>0.12</v>
      </c>
      <c r="M33" s="8" t="n">
        <f aca="false">(M28*M29*M32-L28*L29*L32)/M31</f>
        <v>0.12</v>
      </c>
      <c r="N33" s="8"/>
    </row>
    <row r="34" s="6" customFormat="true" ht="14.25" hidden="false" customHeight="false" outlineLevel="0" collapsed="false">
      <c r="A34" s="6" t="s">
        <v>53</v>
      </c>
      <c r="B34" s="6" t="n">
        <v>1</v>
      </c>
      <c r="C34" s="18" t="s">
        <v>54</v>
      </c>
      <c r="N34" s="45"/>
      <c r="O34" s="45"/>
      <c r="P34" s="45"/>
      <c r="Q34" s="45"/>
      <c r="R34" s="45"/>
      <c r="S34" s="45"/>
      <c r="T34" s="45"/>
    </row>
    <row r="35" s="6" customFormat="true" ht="12.75" hidden="false" customHeight="false" outlineLevel="0" collapsed="false">
      <c r="N35" s="45"/>
      <c r="O35" s="45"/>
      <c r="P35" s="45"/>
      <c r="Q35" s="45"/>
      <c r="R35" s="45"/>
      <c r="S35" s="45"/>
      <c r="T35" s="45"/>
    </row>
    <row r="36" s="6" customFormat="true" ht="12.75" hidden="false" customHeight="false" outlineLevel="0" collapsed="false">
      <c r="A36" s="6" t="s">
        <v>55</v>
      </c>
      <c r="B36" s="66" t="n">
        <f aca="false">C30/B30</f>
        <v>0.90483741803596</v>
      </c>
      <c r="C36" s="66" t="n">
        <f aca="false">D30/C30</f>
        <v>0.90483741803596</v>
      </c>
      <c r="D36" s="66" t="n">
        <f aca="false">E30/D30</f>
        <v>0.90483741803596</v>
      </c>
      <c r="E36" s="66" t="n">
        <f aca="false">F30/E30</f>
        <v>0.90483741803596</v>
      </c>
      <c r="F36" s="66" t="n">
        <f aca="false">G30/F30</f>
        <v>0.90483741803596</v>
      </c>
      <c r="G36" s="66" t="n">
        <f aca="false">H30/G30</f>
        <v>0.90483741803596</v>
      </c>
      <c r="H36" s="66" t="n">
        <f aca="false">I30/H30</f>
        <v>0.90483741803596</v>
      </c>
      <c r="I36" s="66" t="n">
        <f aca="false">J30/I30</f>
        <v>0.90483741803596</v>
      </c>
      <c r="J36" s="66" t="n">
        <f aca="false">K30/J30</f>
        <v>0.90483741803596</v>
      </c>
      <c r="K36" s="66" t="n">
        <f aca="false">L30/K30</f>
        <v>0.90483741803596</v>
      </c>
      <c r="L36" s="66" t="n">
        <f aca="false">M30/L30</f>
        <v>0.90483741803596</v>
      </c>
      <c r="M36" s="66" t="n">
        <f aca="false">N30/M30</f>
        <v>0.904837418035959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="6" customFormat="true" ht="12.75" hidden="false" customHeight="false" outlineLevel="0" collapsed="false">
      <c r="A37" s="6" t="s">
        <v>56</v>
      </c>
      <c r="B37" s="70" t="n">
        <f aca="false">EXP(-2*B31*B33/SQRT($B$34))</f>
        <v>1</v>
      </c>
      <c r="C37" s="70" t="n">
        <f aca="false">EXP(-2*C31*C33/SQRT($B$34))</f>
        <v>0.976285709757909</v>
      </c>
      <c r="D37" s="70" t="n">
        <f aca="false">EXP(-2*D31*D33/SQRT($B$34))</f>
        <v>0.976285709757909</v>
      </c>
      <c r="E37" s="70" t="n">
        <f aca="false">EXP(-2*E31*E33/SQRT($B$34))</f>
        <v>0.976285709757909</v>
      </c>
      <c r="F37" s="70" t="n">
        <f aca="false">EXP(-2*F31*F33/SQRT($B$34))</f>
        <v>0.976285709757909</v>
      </c>
      <c r="G37" s="70" t="n">
        <f aca="false">EXP(-2*G31*G33/SQRT($B$34))</f>
        <v>0.976285709757909</v>
      </c>
      <c r="H37" s="70" t="n">
        <f aca="false">EXP(-2*H31*H33/SQRT($B$34))</f>
        <v>0.976285709757909</v>
      </c>
      <c r="I37" s="70" t="n">
        <f aca="false">EXP(-2*I31*I33/SQRT($B$34))</f>
        <v>0.976285709757909</v>
      </c>
      <c r="J37" s="70" t="n">
        <f aca="false">EXP(-2*J31*J33/SQRT($B$34))</f>
        <v>0.976285709757909</v>
      </c>
      <c r="K37" s="70" t="n">
        <f aca="false">EXP(-2*K31*K33/SQRT($B$34))</f>
        <v>0.976285709757909</v>
      </c>
      <c r="L37" s="70" t="n">
        <f aca="false">EXP(-2*L31*L33/SQRT($B$34))</f>
        <v>0.976285709757909</v>
      </c>
      <c r="M37" s="70" t="n">
        <f aca="false">EXP(-2*M31*M33/SQRT($B$34))</f>
        <v>0.976285709757909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s="6" customFormat="true" ht="12.75" hidden="false" customHeight="false" outlineLevel="0" collapsed="false">
      <c r="N38" s="45"/>
      <c r="O38" s="45"/>
      <c r="P38" s="45"/>
      <c r="Q38" s="45"/>
      <c r="R38" s="45"/>
      <c r="S38" s="45"/>
      <c r="T38" s="45"/>
    </row>
    <row r="39" s="6" customFormat="true" ht="12.75" hidden="false" customHeight="false" outlineLevel="0" collapsed="false">
      <c r="A39" s="6" t="s">
        <v>57</v>
      </c>
      <c r="B39" s="71" t="n">
        <v>100</v>
      </c>
      <c r="N39" s="45"/>
      <c r="O39" s="45"/>
      <c r="P39" s="45"/>
      <c r="Q39" s="45"/>
      <c r="R39" s="45"/>
      <c r="S39" s="45"/>
      <c r="T39" s="45"/>
    </row>
    <row r="40" s="6" customFormat="true" ht="12.75" hidden="false" customHeight="false" outlineLevel="0" collapsed="false">
      <c r="N40" s="45"/>
      <c r="O40" s="45"/>
      <c r="P40" s="45"/>
      <c r="Q40" s="45"/>
      <c r="R40" s="45"/>
      <c r="S40" s="45"/>
      <c r="T40" s="45"/>
    </row>
    <row r="41" s="3" customFormat="true" ht="12.75" hidden="false" customHeight="false" outlineLevel="0" collapsed="false">
      <c r="A41" s="2" t="s">
        <v>58</v>
      </c>
      <c r="B41" s="2"/>
      <c r="N41" s="56"/>
      <c r="O41" s="56"/>
      <c r="P41" s="56"/>
      <c r="Q41" s="56"/>
      <c r="R41" s="56"/>
      <c r="S41" s="56"/>
      <c r="T41" s="56"/>
    </row>
    <row r="42" s="6" customFormat="true" ht="12.75" hidden="false" customHeight="false" outlineLevel="0" collapsed="false">
      <c r="G42" s="72"/>
      <c r="N42" s="45"/>
      <c r="O42" s="45"/>
      <c r="P42" s="45"/>
      <c r="Q42" s="45"/>
      <c r="R42" s="45"/>
      <c r="S42" s="45"/>
      <c r="T42" s="45"/>
    </row>
    <row r="43" s="6" customFormat="true" ht="12.75" hidden="false" customHeight="false" outlineLevel="0" collapsed="false">
      <c r="B43" s="73"/>
      <c r="C43" s="73"/>
      <c r="D43" s="73"/>
      <c r="E43" s="73"/>
      <c r="F43" s="74" t="n">
        <f aca="false">$B$39*(F92-$B$107)*F67</f>
        <v>6.96463690405983</v>
      </c>
      <c r="G43" s="66"/>
      <c r="N43" s="45"/>
      <c r="O43" s="45"/>
      <c r="P43" s="45"/>
      <c r="Q43" s="45"/>
      <c r="R43" s="45"/>
      <c r="S43" s="45"/>
      <c r="T43" s="45"/>
    </row>
    <row r="44" s="6" customFormat="true" ht="12.75" hidden="false" customHeight="false" outlineLevel="0" collapsed="false">
      <c r="B44" s="73"/>
      <c r="C44" s="73"/>
      <c r="D44" s="73"/>
      <c r="E44" s="73" t="n">
        <f aca="false">0.5*(F43+F44)*E68+(E93-$B$107)*E68</f>
        <v>5.14742370516221</v>
      </c>
      <c r="F44" s="74" t="n">
        <f aca="false">$B$39*(F93-$B$107)*F68</f>
        <v>4.70477835939004</v>
      </c>
      <c r="G44" s="66"/>
      <c r="N44" s="45"/>
      <c r="O44" s="45"/>
      <c r="P44" s="45"/>
      <c r="Q44" s="45"/>
      <c r="R44" s="45"/>
      <c r="S44" s="45"/>
      <c r="T44" s="45"/>
    </row>
    <row r="45" s="6" customFormat="true" ht="12.75" hidden="false" customHeight="false" outlineLevel="0" collapsed="false">
      <c r="B45" s="73"/>
      <c r="C45" s="73"/>
      <c r="D45" s="73" t="n">
        <f aca="false">0.5*(E44+E45)*D69+(D94-$B$107)*D69</f>
        <v>3.73413985045688</v>
      </c>
      <c r="E45" s="73" t="n">
        <f aca="false">0.5*(F44+F45)*E69+(E94-$B$107)*E69</f>
        <v>3.20453856057913</v>
      </c>
      <c r="F45" s="74" t="n">
        <f aca="false">$B$39*(F94-$B$107)*F69</f>
        <v>2.39002713228239</v>
      </c>
      <c r="G45" s="66"/>
      <c r="N45" s="45"/>
      <c r="O45" s="45"/>
      <c r="P45" s="45"/>
      <c r="Q45" s="45"/>
      <c r="R45" s="45"/>
      <c r="S45" s="45"/>
      <c r="T45" s="45"/>
    </row>
    <row r="46" s="6" customFormat="true" ht="12.75" hidden="false" customHeight="false" outlineLevel="0" collapsed="false">
      <c r="B46" s="73"/>
      <c r="C46" s="73" t="n">
        <f aca="false">0.5*(D45+D46)*C70+(C95-$B$107)*C70</f>
        <v>2.58699755552404</v>
      </c>
      <c r="D46" s="73" t="n">
        <f aca="false">0.5*(E45+E46)*D70+(D95-$B$107)*D70</f>
        <v>1.97627011505555</v>
      </c>
      <c r="E46" s="73" t="n">
        <f aca="false">0.5*(F45+F46)*E70+(E95-$B$107)*E70</f>
        <v>1.1139736204591</v>
      </c>
      <c r="F46" s="74" t="n">
        <f aca="false">$B$39*(F95-$B$107)*F70</f>
        <v>0.0190498620305868</v>
      </c>
      <c r="G46" s="66"/>
      <c r="N46" s="45"/>
      <c r="O46" s="45"/>
      <c r="P46" s="45"/>
      <c r="Q46" s="45"/>
      <c r="R46" s="45"/>
      <c r="S46" s="45"/>
      <c r="T46" s="45"/>
    </row>
    <row r="47" s="6" customFormat="true" ht="12.75" hidden="false" customHeight="false" outlineLevel="0" collapsed="false">
      <c r="A47" s="6" t="s">
        <v>20</v>
      </c>
      <c r="B47" s="73" t="n">
        <f aca="false">0.5*(C46+C47)*B71+(B96-$B$107)*B71</f>
        <v>1.60559679353738</v>
      </c>
      <c r="C47" s="73" t="n">
        <f aca="false">0.5*(D46+D47)*C71+(C96-$B$107)*C71</f>
        <v>0.911578373070712</v>
      </c>
      <c r="D47" s="73" t="n">
        <f aca="false">0.5*(E46+E47)*D71+(D96-$B$107)*D71</f>
        <v>-0.00939475186953043</v>
      </c>
      <c r="E47" s="73" t="n">
        <f aca="false">0.5*(F46+F47)*E71+(E96-$B$107)*E71</f>
        <v>-1.13279929132315</v>
      </c>
      <c r="F47" s="74" t="n">
        <f aca="false">$B$39*(F96-$B$107)*F71</f>
        <v>-2.40951919982708</v>
      </c>
      <c r="G47" s="66"/>
      <c r="H47" s="76"/>
      <c r="I47" s="76"/>
      <c r="J47" s="76"/>
      <c r="K47" s="76"/>
      <c r="L47" s="76"/>
      <c r="M47" s="76"/>
      <c r="N47" s="45"/>
      <c r="O47" s="45"/>
      <c r="P47" s="45"/>
      <c r="Q47" s="45"/>
      <c r="R47" s="45"/>
      <c r="S47" s="45"/>
      <c r="T47" s="45"/>
    </row>
    <row r="48" s="6" customFormat="true" ht="12.75" hidden="false" customHeight="false" outlineLevel="0" collapsed="false">
      <c r="A48" s="60" t="s">
        <v>47</v>
      </c>
      <c r="B48" s="60" t="n">
        <v>0</v>
      </c>
      <c r="C48" s="60" t="n">
        <v>1</v>
      </c>
      <c r="D48" s="60" t="n">
        <v>2</v>
      </c>
      <c r="E48" s="60" t="n">
        <v>3</v>
      </c>
      <c r="F48" s="60" t="n">
        <v>4</v>
      </c>
      <c r="G48" s="60" t="n">
        <v>5</v>
      </c>
      <c r="N48" s="45"/>
      <c r="O48" s="45"/>
      <c r="P48" s="45"/>
      <c r="Q48" s="45"/>
      <c r="R48" s="45"/>
      <c r="S48" s="45"/>
      <c r="T48" s="45"/>
    </row>
    <row r="49" s="6" customFormat="true" ht="12.75" hidden="false" customHeight="false" outlineLevel="0" collapsed="false">
      <c r="G49" s="72"/>
      <c r="N49" s="45"/>
      <c r="O49" s="45"/>
      <c r="P49" s="45"/>
      <c r="Q49" s="45"/>
      <c r="R49" s="45"/>
      <c r="S49" s="45"/>
      <c r="T49" s="45"/>
    </row>
    <row r="50" s="3" customFormat="true" ht="12.75" hidden="false" customHeight="false" outlineLevel="0" collapsed="false">
      <c r="A50" s="2" t="s">
        <v>59</v>
      </c>
      <c r="B50" s="2"/>
      <c r="N50" s="56"/>
      <c r="O50" s="56"/>
      <c r="P50" s="56"/>
      <c r="Q50" s="56"/>
      <c r="R50" s="56"/>
      <c r="S50" s="56"/>
      <c r="T50" s="56"/>
    </row>
    <row r="51" s="6" customFormat="true" ht="12.75" hidden="false" customHeight="false" outlineLevel="0" collapsed="false">
      <c r="G51" s="72"/>
      <c r="N51" s="45"/>
      <c r="O51" s="45"/>
      <c r="P51" s="45"/>
      <c r="Q51" s="45"/>
      <c r="R51" s="45"/>
      <c r="S51" s="45"/>
      <c r="T51" s="45"/>
    </row>
    <row r="52" s="6" customFormat="true" ht="12.75" hidden="false" customHeight="false" outlineLevel="0" collapsed="false">
      <c r="A52" s="77" t="s">
        <v>60</v>
      </c>
      <c r="B52" s="78" t="n">
        <f aca="false">B37</f>
        <v>1</v>
      </c>
      <c r="C52" s="78" t="n">
        <f aca="false">1+PRODUCT($C37:C37)</f>
        <v>1.97628570975791</v>
      </c>
      <c r="D52" s="78" t="n">
        <f aca="false">1+PRODUCT($C37:D37)</f>
        <v>1.9531337870775</v>
      </c>
      <c r="E52" s="78" t="n">
        <f aca="false">1+PRODUCT($C37:E37)</f>
        <v>1.93053089581121</v>
      </c>
      <c r="F52" s="78" t="n">
        <f aca="false">1+PRODUCT($C37:F37)</f>
        <v>1.90846401606871</v>
      </c>
      <c r="G52" s="78" t="n">
        <f aca="false">1+PRODUCT($C37:G37)</f>
        <v>1.88692043671716</v>
      </c>
      <c r="H52" s="79" t="n">
        <f aca="false">1+PRODUCT($C37:H37)</f>
        <v>1.86588774805921</v>
      </c>
      <c r="I52" s="72"/>
      <c r="J52" s="72"/>
      <c r="K52" s="72"/>
      <c r="L52" s="72"/>
      <c r="M52" s="72"/>
      <c r="N52" s="45"/>
      <c r="O52" s="45"/>
      <c r="P52" s="45"/>
      <c r="Q52" s="45"/>
      <c r="R52" s="45"/>
      <c r="S52" s="45"/>
      <c r="T52" s="45"/>
    </row>
    <row r="53" s="6" customFormat="true" ht="12.75" hidden="false" customHeight="false" outlineLevel="0" collapsed="false">
      <c r="A53" s="80"/>
      <c r="B53" s="69"/>
      <c r="C53" s="65"/>
      <c r="D53" s="65" t="n">
        <f aca="false">1+PRODUCT($D37:D37)</f>
        <v>1.97628570975791</v>
      </c>
      <c r="E53" s="65" t="n">
        <f aca="false">1+PRODUCT($D37:E37)</f>
        <v>1.9531337870775</v>
      </c>
      <c r="F53" s="65" t="n">
        <f aca="false">1+PRODUCT($D37:F37)</f>
        <v>1.93053089581121</v>
      </c>
      <c r="G53" s="65" t="n">
        <f aca="false">1+PRODUCT($D37:G37)</f>
        <v>1.90846401606871</v>
      </c>
      <c r="H53" s="81" t="n">
        <f aca="false">1+PRODUCT($D37:H37)</f>
        <v>1.88692043671716</v>
      </c>
      <c r="I53" s="72"/>
      <c r="J53" s="72"/>
      <c r="K53" s="72"/>
      <c r="L53" s="72"/>
      <c r="M53" s="72"/>
      <c r="N53" s="45"/>
      <c r="O53" s="45"/>
      <c r="P53" s="45"/>
      <c r="Q53" s="45"/>
      <c r="R53" s="45"/>
      <c r="S53" s="45"/>
      <c r="T53" s="45"/>
    </row>
    <row r="54" s="6" customFormat="true" ht="12.75" hidden="false" customHeight="false" outlineLevel="0" collapsed="false">
      <c r="A54" s="80"/>
      <c r="B54" s="69"/>
      <c r="C54" s="69"/>
      <c r="D54" s="69"/>
      <c r="E54" s="65" t="n">
        <f aca="false">1+PRODUCT($E37:E37)</f>
        <v>1.97628570975791</v>
      </c>
      <c r="F54" s="65" t="n">
        <f aca="false">1+PRODUCT($E37:F37)</f>
        <v>1.9531337870775</v>
      </c>
      <c r="G54" s="65" t="n">
        <f aca="false">1+PRODUCT($E37:G37)</f>
        <v>1.93053089581121</v>
      </c>
      <c r="H54" s="81" t="n">
        <f aca="false">1+PRODUCT($E37:H37)</f>
        <v>1.90846401606871</v>
      </c>
      <c r="I54" s="72"/>
      <c r="J54" s="72"/>
      <c r="K54" s="72"/>
      <c r="L54" s="72"/>
      <c r="M54" s="72"/>
      <c r="N54" s="45"/>
      <c r="O54" s="45"/>
      <c r="P54" s="45"/>
      <c r="Q54" s="45"/>
      <c r="R54" s="45"/>
      <c r="S54" s="45"/>
      <c r="T54" s="45"/>
    </row>
    <row r="55" s="6" customFormat="true" ht="12.75" hidden="false" customHeight="false" outlineLevel="0" collapsed="false">
      <c r="A55" s="80"/>
      <c r="B55" s="69"/>
      <c r="C55" s="69"/>
      <c r="D55" s="69"/>
      <c r="E55" s="69"/>
      <c r="F55" s="65" t="n">
        <f aca="false">1+PRODUCT($F37:F37)</f>
        <v>1.97628570975791</v>
      </c>
      <c r="G55" s="65" t="n">
        <f aca="false">1+PRODUCT($F37:G37)</f>
        <v>1.9531337870775</v>
      </c>
      <c r="H55" s="81" t="n">
        <f aca="false">1+PRODUCT($F37:H37)</f>
        <v>1.93053089581121</v>
      </c>
      <c r="I55" s="72"/>
      <c r="J55" s="72"/>
      <c r="K55" s="72"/>
      <c r="L55" s="72"/>
      <c r="M55" s="72"/>
      <c r="N55" s="45"/>
      <c r="O55" s="45"/>
      <c r="P55" s="45"/>
      <c r="Q55" s="45"/>
      <c r="R55" s="45"/>
      <c r="S55" s="45"/>
      <c r="T55" s="45"/>
    </row>
    <row r="56" s="6" customFormat="true" ht="12.75" hidden="false" customHeight="false" outlineLevel="0" collapsed="false">
      <c r="A56" s="80"/>
      <c r="B56" s="69"/>
      <c r="C56" s="69"/>
      <c r="D56" s="69"/>
      <c r="E56" s="69"/>
      <c r="F56" s="69"/>
      <c r="G56" s="65" t="n">
        <f aca="false">1+PRODUCT($G37:G37)</f>
        <v>1.97628570975791</v>
      </c>
      <c r="H56" s="81" t="n">
        <f aca="false">1+PRODUCT($G37:H37)</f>
        <v>1.9531337870775</v>
      </c>
      <c r="I56" s="72"/>
      <c r="J56" s="72"/>
      <c r="K56" s="72"/>
      <c r="L56" s="72"/>
      <c r="M56" s="72"/>
      <c r="N56" s="45"/>
      <c r="O56" s="45"/>
      <c r="P56" s="45"/>
      <c r="Q56" s="45"/>
      <c r="R56" s="45"/>
      <c r="S56" s="45"/>
      <c r="T56" s="45"/>
    </row>
    <row r="57" s="6" customFormat="true" ht="12.75" hidden="false" customHeight="false" outlineLevel="0" collapsed="false">
      <c r="A57" s="80"/>
      <c r="B57" s="69"/>
      <c r="C57" s="69"/>
      <c r="D57" s="69"/>
      <c r="E57" s="69"/>
      <c r="F57" s="69"/>
      <c r="G57" s="65"/>
      <c r="H57" s="81" t="n">
        <f aca="false">1+PRODUCT($H37:H37)</f>
        <v>1.97628570975791</v>
      </c>
      <c r="I57" s="72"/>
      <c r="J57" s="72"/>
      <c r="K57" s="72"/>
      <c r="L57" s="72"/>
      <c r="M57" s="72"/>
      <c r="N57" s="45"/>
      <c r="O57" s="45"/>
      <c r="P57" s="45"/>
      <c r="Q57" s="45"/>
      <c r="R57" s="45"/>
      <c r="S57" s="45"/>
      <c r="T57" s="45"/>
    </row>
    <row r="58" s="6" customFormat="true" ht="12.75" hidden="false" customHeight="false" outlineLevel="0" collapsed="false">
      <c r="A58" s="80"/>
      <c r="B58" s="69"/>
      <c r="C58" s="69"/>
      <c r="D58" s="69"/>
      <c r="E58" s="69"/>
      <c r="F58" s="69"/>
      <c r="G58" s="65"/>
      <c r="H58" s="82"/>
      <c r="I58" s="72"/>
      <c r="J58" s="72"/>
      <c r="K58" s="72"/>
      <c r="L58" s="72"/>
      <c r="M58" s="72"/>
      <c r="N58" s="45"/>
      <c r="O58" s="45"/>
      <c r="P58" s="45"/>
      <c r="Q58" s="45"/>
      <c r="R58" s="45"/>
      <c r="S58" s="45"/>
      <c r="T58" s="45"/>
    </row>
    <row r="59" s="6" customFormat="true" ht="12.75" hidden="false" customHeight="false" outlineLevel="0" collapsed="false">
      <c r="A59" s="80" t="s">
        <v>61</v>
      </c>
      <c r="B59" s="69"/>
      <c r="C59" s="65" t="n">
        <f aca="false">PRODUCT(B52:B58)</f>
        <v>1</v>
      </c>
      <c r="D59" s="65" t="n">
        <f aca="false">PRODUCT(C52:C58)</f>
        <v>1.97628570975791</v>
      </c>
      <c r="E59" s="65" t="n">
        <f aca="false">PRODUCT(D52:D58)</f>
        <v>3.85995039264662</v>
      </c>
      <c r="F59" s="65" t="n">
        <f aca="false">PRODUCT(E52:E58)</f>
        <v>7.45175348930289</v>
      </c>
      <c r="G59" s="65" t="n">
        <f aca="false">PRODUCT(F52:F58)</f>
        <v>14.221403390949</v>
      </c>
      <c r="H59" s="81" t="n">
        <f aca="false">PRODUCT(G52:G58)</f>
        <v>26.8346566971803</v>
      </c>
      <c r="I59" s="83"/>
      <c r="J59" s="83"/>
      <c r="K59" s="83"/>
      <c r="L59" s="83"/>
      <c r="M59" s="83"/>
      <c r="N59" s="45"/>
      <c r="O59" s="45"/>
      <c r="P59" s="45"/>
      <c r="Q59" s="45"/>
      <c r="R59" s="45"/>
      <c r="S59" s="45"/>
      <c r="T59" s="45"/>
    </row>
    <row r="60" s="6" customFormat="true" ht="12.75" hidden="false" customHeight="false" outlineLevel="0" collapsed="false">
      <c r="A60" s="80" t="s">
        <v>62</v>
      </c>
      <c r="B60" s="69"/>
      <c r="C60" s="65" t="n">
        <f aca="false">PRODUCT(C52:C58)</f>
        <v>1.97628570975791</v>
      </c>
      <c r="D60" s="65" t="n">
        <f aca="false">PRODUCT(D52:D58)</f>
        <v>3.85995039264662</v>
      </c>
      <c r="E60" s="65" t="n">
        <f aca="false">PRODUCT(E52:E58)</f>
        <v>7.45175348930289</v>
      </c>
      <c r="F60" s="65" t="n">
        <f aca="false">PRODUCT(F52:F58)</f>
        <v>14.221403390949</v>
      </c>
      <c r="G60" s="65" t="n">
        <f aca="false">PRODUCT(G52:G58)</f>
        <v>26.8346566971803</v>
      </c>
      <c r="H60" s="81" t="n">
        <f aca="false">PRODUCT(H52:H58)</f>
        <v>50.0704571546437</v>
      </c>
      <c r="I60" s="83"/>
      <c r="J60" s="83"/>
      <c r="K60" s="83"/>
      <c r="L60" s="83"/>
      <c r="M60" s="83"/>
      <c r="N60" s="45"/>
      <c r="O60" s="45"/>
      <c r="P60" s="45"/>
      <c r="Q60" s="45"/>
      <c r="R60" s="45"/>
      <c r="S60" s="45"/>
      <c r="T60" s="45"/>
    </row>
    <row r="61" s="6" customFormat="true" ht="12.75" hidden="false" customHeight="false" outlineLevel="0" collapsed="false">
      <c r="A61" s="80"/>
      <c r="B61" s="45"/>
      <c r="C61" s="45"/>
      <c r="D61" s="45"/>
      <c r="E61" s="45"/>
      <c r="F61" s="45"/>
      <c r="G61" s="45"/>
      <c r="H61" s="84"/>
      <c r="N61" s="45"/>
      <c r="O61" s="45"/>
      <c r="P61" s="45"/>
      <c r="Q61" s="45"/>
      <c r="R61" s="45"/>
      <c r="S61" s="45"/>
      <c r="T61" s="45"/>
    </row>
    <row r="62" customFormat="false" ht="12.75" hidden="false" customHeight="false" outlineLevel="0" collapsed="false">
      <c r="A62" s="85" t="s">
        <v>47</v>
      </c>
      <c r="B62" s="86" t="n">
        <v>0</v>
      </c>
      <c r="C62" s="86" t="n">
        <v>1</v>
      </c>
      <c r="D62" s="86" t="n">
        <v>2</v>
      </c>
      <c r="E62" s="86" t="n">
        <v>3</v>
      </c>
      <c r="F62" s="86" t="n">
        <v>4</v>
      </c>
      <c r="G62" s="86" t="n">
        <v>5</v>
      </c>
      <c r="H62" s="87" t="n">
        <v>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="6" customFormat="true" ht="12.75" hidden="false" customHeight="false" outlineLevel="0" collapsed="false">
      <c r="N63" s="45"/>
      <c r="O63" s="45"/>
      <c r="P63" s="45"/>
      <c r="Q63" s="45"/>
      <c r="R63" s="45"/>
      <c r="S63" s="45"/>
      <c r="T63" s="45"/>
    </row>
    <row r="64" s="6" customFormat="true" ht="12.75" hidden="false" customHeight="false" outlineLevel="0" collapsed="false">
      <c r="G64" s="72"/>
      <c r="M64" s="83"/>
      <c r="N64" s="45"/>
      <c r="O64" s="45"/>
      <c r="P64" s="45"/>
      <c r="Q64" s="45"/>
      <c r="R64" s="45"/>
      <c r="S64" s="45"/>
      <c r="T64" s="45"/>
    </row>
    <row r="65" s="6" customFormat="true" ht="12.75" hidden="false" customHeight="false" outlineLevel="0" collapsed="false">
      <c r="B65" s="8"/>
      <c r="C65" s="8"/>
      <c r="D65" s="8"/>
      <c r="E65" s="8"/>
      <c r="F65" s="8"/>
      <c r="G65" s="64"/>
      <c r="H65" s="64" t="n">
        <f aca="false">H66*H$37</f>
        <v>0.839801467240249</v>
      </c>
      <c r="I65" s="83"/>
      <c r="J65" s="83"/>
      <c r="K65" s="83"/>
      <c r="L65" s="83"/>
      <c r="M65" s="83"/>
      <c r="N65" s="45"/>
      <c r="O65" s="45"/>
      <c r="P65" s="45"/>
      <c r="Q65" s="45"/>
      <c r="R65" s="45"/>
      <c r="S65" s="45"/>
      <c r="T65" s="45"/>
    </row>
    <row r="66" s="6" customFormat="true" ht="12.75" hidden="false" customHeight="false" outlineLevel="0" collapsed="false">
      <c r="B66" s="64"/>
      <c r="C66" s="64"/>
      <c r="D66" s="64"/>
      <c r="E66" s="64"/>
      <c r="F66" s="64"/>
      <c r="G66" s="64" t="n">
        <f aca="false">G67*G$37</f>
        <v>0.850612227570858</v>
      </c>
      <c r="H66" s="64" t="n">
        <f aca="false">H67*H$37</f>
        <v>0.860200511844525</v>
      </c>
      <c r="I66" s="83"/>
      <c r="J66" s="83"/>
      <c r="K66" s="83"/>
      <c r="L66" s="83"/>
      <c r="M66" s="83"/>
      <c r="N66" s="45"/>
      <c r="O66" s="45"/>
      <c r="P66" s="45"/>
      <c r="Q66" s="45"/>
      <c r="R66" s="45"/>
      <c r="S66" s="45"/>
      <c r="T66" s="45"/>
    </row>
    <row r="67" s="6" customFormat="true" ht="12.75" hidden="false" customHeight="false" outlineLevel="0" collapsed="false">
      <c r="B67" s="64"/>
      <c r="C67" s="64"/>
      <c r="D67" s="64"/>
      <c r="E67" s="64"/>
      <c r="F67" s="64" t="n">
        <f aca="false">F68*F$37</f>
        <v>0.861438547184631</v>
      </c>
      <c r="G67" s="64" t="n">
        <f aca="false">G68*G$37</f>
        <v>0.871273868980203</v>
      </c>
      <c r="H67" s="64" t="n">
        <f aca="false">H68*H$37</f>
        <v>0.881095055726904</v>
      </c>
      <c r="I67" s="83"/>
      <c r="J67" s="83"/>
      <c r="K67" s="83"/>
      <c r="L67" s="83"/>
      <c r="M67" s="83"/>
      <c r="N67" s="45"/>
      <c r="O67" s="45"/>
      <c r="P67" s="45"/>
      <c r="Q67" s="45"/>
      <c r="R67" s="45"/>
      <c r="S67" s="45"/>
      <c r="T67" s="45"/>
    </row>
    <row r="68" s="6" customFormat="true" ht="12.75" hidden="false" customHeight="false" outlineLevel="0" collapsed="false">
      <c r="B68" s="64"/>
      <c r="C68" s="64"/>
      <c r="D68" s="64"/>
      <c r="E68" s="64" t="n">
        <f aca="false">E69*E$37</f>
        <v>0.872277335727074</v>
      </c>
      <c r="F68" s="64" t="n">
        <f aca="false">F69*F$37</f>
        <v>0.882363163338981</v>
      </c>
      <c r="G68" s="64" t="n">
        <f aca="false">G69*G$37</f>
        <v>0.892437388227524</v>
      </c>
      <c r="H68" s="64" t="n">
        <f aca="false">H69*H$37</f>
        <v>0.902497134722366</v>
      </c>
      <c r="I68" s="83"/>
      <c r="J68" s="83"/>
      <c r="K68" s="83"/>
      <c r="L68" s="83"/>
      <c r="M68" s="83"/>
      <c r="N68" s="45"/>
      <c r="O68" s="45"/>
      <c r="P68" s="45"/>
      <c r="Q68" s="45"/>
      <c r="R68" s="45"/>
      <c r="S68" s="45"/>
      <c r="T68" s="45"/>
    </row>
    <row r="69" s="6" customFormat="true" ht="12.75" hidden="false" customHeight="false" outlineLevel="0" collapsed="false">
      <c r="B69" s="64"/>
      <c r="C69" s="64"/>
      <c r="D69" s="64" t="n">
        <f aca="false">D70*D$37</f>
        <v>0.883125488533492</v>
      </c>
      <c r="E69" s="64" t="n">
        <f aca="false">E70*E$37</f>
        <v>0.893465229500669</v>
      </c>
      <c r="F69" s="64" t="n">
        <f aca="false">F70*F$37</f>
        <v>0.903796045071459</v>
      </c>
      <c r="G69" s="64" t="n">
        <f aca="false">G70*G$37</f>
        <v>0.914114976085047</v>
      </c>
      <c r="H69" s="64" t="n">
        <f aca="false">H70*H$37</f>
        <v>0.924419077020147</v>
      </c>
      <c r="I69" s="83"/>
      <c r="J69" s="83"/>
      <c r="K69" s="83"/>
      <c r="L69" s="83"/>
      <c r="M69" s="83"/>
      <c r="N69" s="45"/>
      <c r="O69" s="45"/>
      <c r="P69" s="45"/>
      <c r="Q69" s="45"/>
      <c r="R69" s="45"/>
      <c r="S69" s="45"/>
      <c r="T69" s="45"/>
    </row>
    <row r="70" s="6" customFormat="true" ht="12.75" hidden="false" customHeight="false" outlineLevel="0" collapsed="false">
      <c r="B70" s="64"/>
      <c r="C70" s="64" t="n">
        <f aca="false">C71*C$37</f>
        <v>0.893979890175862</v>
      </c>
      <c r="D70" s="64" t="n">
        <f aca="false">D71*D$37</f>
        <v>0.904576887387281</v>
      </c>
      <c r="E70" s="64" t="n">
        <f aca="false">E71*E$37</f>
        <v>0.915167783949457</v>
      </c>
      <c r="F70" s="64" t="n">
        <f aca="false">F71*F$37</f>
        <v>0.925749538314532</v>
      </c>
      <c r="G70" s="64" t="n">
        <f aca="false">G71*G$37</f>
        <v>0.936319119442731</v>
      </c>
      <c r="H70" s="64" t="n">
        <f aca="false">H71*H$37</f>
        <v>0.946873510265121</v>
      </c>
      <c r="I70" s="83"/>
      <c r="J70" s="83"/>
      <c r="K70" s="83"/>
      <c r="L70" s="83"/>
      <c r="M70" s="83"/>
      <c r="N70" s="45"/>
      <c r="O70" s="45"/>
      <c r="P70" s="45"/>
      <c r="Q70" s="45"/>
      <c r="R70" s="45"/>
      <c r="S70" s="45"/>
      <c r="T70" s="45"/>
    </row>
    <row r="71" s="6" customFormat="true" ht="12.75" hidden="false" customHeight="false" outlineLevel="0" collapsed="false">
      <c r="A71" s="1" t="s">
        <v>63</v>
      </c>
      <c r="B71" s="64" t="n">
        <f aca="false">B36</f>
        <v>0.90483741803596</v>
      </c>
      <c r="C71" s="64" t="n">
        <f aca="false">C36*C59/C60*2</f>
        <v>0.915694945896057</v>
      </c>
      <c r="D71" s="64" t="n">
        <f aca="false">D36*D59/D60*2</f>
        <v>0.926549347538427</v>
      </c>
      <c r="E71" s="64" t="n">
        <f aca="false">E36*E59/E60*2</f>
        <v>0.937397500344845</v>
      </c>
      <c r="F71" s="64" t="n">
        <f aca="false">F36*F59/F60*2</f>
        <v>0.948236288887288</v>
      </c>
      <c r="G71" s="64" t="n">
        <f aca="false">G36*G59/G60*2</f>
        <v>0.959062608501061</v>
      </c>
      <c r="H71" s="64" t="n">
        <f aca="false">H36*H59/H60*2</f>
        <v>0.96987336883167</v>
      </c>
      <c r="I71" s="83"/>
      <c r="J71" s="83"/>
      <c r="K71" s="83"/>
      <c r="L71" s="83"/>
      <c r="M71" s="83"/>
      <c r="N71" s="45"/>
      <c r="O71" s="45"/>
      <c r="P71" s="45"/>
      <c r="Q71" s="45"/>
      <c r="R71" s="45"/>
      <c r="S71" s="45"/>
      <c r="T71" s="45"/>
    </row>
    <row r="72" s="6" customFormat="true" ht="12.75" hidden="false" customHeight="false" outlineLevel="0" collapsed="false">
      <c r="A72" s="60" t="s">
        <v>47</v>
      </c>
      <c r="B72" s="88" t="n">
        <v>0</v>
      </c>
      <c r="C72" s="88" t="n">
        <v>1</v>
      </c>
      <c r="D72" s="88" t="n">
        <v>2</v>
      </c>
      <c r="E72" s="88" t="n">
        <v>3</v>
      </c>
      <c r="F72" s="88" t="n">
        <v>4</v>
      </c>
      <c r="G72" s="88" t="n">
        <v>5</v>
      </c>
      <c r="H72" s="88" t="n">
        <v>6</v>
      </c>
      <c r="N72" s="45"/>
      <c r="O72" s="45"/>
      <c r="P72" s="45"/>
      <c r="Q72" s="45"/>
      <c r="R72" s="45"/>
      <c r="S72" s="45"/>
      <c r="T72" s="45"/>
    </row>
    <row r="73" s="6" customFormat="true" ht="12.75" hidden="false" customHeight="false" outlineLevel="0" collapsed="false">
      <c r="B73" s="8"/>
      <c r="C73" s="8"/>
      <c r="D73" s="8"/>
      <c r="E73" s="8"/>
      <c r="F73" s="8"/>
      <c r="G73" s="8"/>
      <c r="H73" s="8"/>
      <c r="I73" s="89"/>
      <c r="N73" s="45"/>
      <c r="O73" s="45"/>
      <c r="P73" s="45"/>
      <c r="Q73" s="45"/>
      <c r="R73" s="45"/>
      <c r="S73" s="45"/>
      <c r="T73" s="45"/>
    </row>
    <row r="74" s="6" customFormat="true" ht="12.75" hidden="false" customHeight="false" outlineLevel="0" collapsed="false">
      <c r="B74" s="64"/>
      <c r="C74" s="64"/>
      <c r="D74" s="64"/>
      <c r="E74" s="64"/>
      <c r="F74" s="64"/>
      <c r="G74" s="64"/>
      <c r="H74" s="64" t="n">
        <f aca="false">-LN(H65)</f>
        <v>0.174589763603004</v>
      </c>
      <c r="I74" s="76"/>
      <c r="J74" s="76"/>
      <c r="K74" s="76"/>
      <c r="L74" s="76"/>
      <c r="M74" s="76"/>
      <c r="N74" s="45"/>
      <c r="O74" s="45"/>
      <c r="P74" s="45"/>
      <c r="Q74" s="45"/>
      <c r="R74" s="45"/>
      <c r="S74" s="45"/>
      <c r="T74" s="45"/>
    </row>
    <row r="75" s="6" customFormat="true" ht="12.75" hidden="false" customHeight="false" outlineLevel="0" collapsed="false">
      <c r="B75" s="64" t="s">
        <v>64</v>
      </c>
      <c r="C75" s="64"/>
      <c r="D75" s="64"/>
      <c r="E75" s="64"/>
      <c r="F75" s="64"/>
      <c r="G75" s="64" t="n">
        <f aca="false">-LN(G66)</f>
        <v>0.161798921035668</v>
      </c>
      <c r="H75" s="64" t="n">
        <f aca="false">-LN(H66)</f>
        <v>0.150589763603004</v>
      </c>
      <c r="I75" s="76"/>
      <c r="J75" s="76"/>
      <c r="K75" s="76"/>
      <c r="L75" s="76"/>
      <c r="M75" s="76"/>
      <c r="N75" s="45"/>
      <c r="O75" s="45"/>
      <c r="P75" s="45"/>
      <c r="Q75" s="45"/>
      <c r="R75" s="45"/>
      <c r="S75" s="45"/>
      <c r="T75" s="45"/>
    </row>
    <row r="76" s="6" customFormat="true" ht="12.75" hidden="false" customHeight="false" outlineLevel="0" collapsed="false">
      <c r="B76" s="64"/>
      <c r="C76" s="64"/>
      <c r="D76" s="64"/>
      <c r="E76" s="64"/>
      <c r="F76" s="64" t="n">
        <f aca="false">-LN(F67)</f>
        <v>0.149151557903601</v>
      </c>
      <c r="G76" s="64" t="n">
        <f aca="false">-LN(G67)</f>
        <v>0.137798921035668</v>
      </c>
      <c r="H76" s="64" t="n">
        <f aca="false">-LN(H67)</f>
        <v>0.126589763603004</v>
      </c>
      <c r="I76" s="76"/>
      <c r="J76" s="76"/>
      <c r="K76" s="76"/>
      <c r="L76" s="76"/>
      <c r="M76" s="76"/>
      <c r="N76" s="45"/>
      <c r="O76" s="45"/>
      <c r="P76" s="45"/>
      <c r="Q76" s="45"/>
      <c r="R76" s="45"/>
      <c r="S76" s="45"/>
      <c r="T76" s="45"/>
    </row>
    <row r="77" s="6" customFormat="true" ht="12.75" hidden="false" customHeight="false" outlineLevel="0" collapsed="false">
      <c r="B77" s="64"/>
      <c r="C77" s="64"/>
      <c r="D77" s="64"/>
      <c r="E77" s="64" t="n">
        <f aca="false">-LN(E68)</f>
        <v>0.136647860080354</v>
      </c>
      <c r="F77" s="64" t="n">
        <f aca="false">-LN(F68)</f>
        <v>0.125151557903601</v>
      </c>
      <c r="G77" s="64" t="n">
        <f aca="false">-LN(G68)</f>
        <v>0.113798921035668</v>
      </c>
      <c r="H77" s="64" t="n">
        <f aca="false">-LN(H68)</f>
        <v>0.102589763603004</v>
      </c>
      <c r="I77" s="76"/>
      <c r="J77" s="76"/>
      <c r="K77" s="76"/>
      <c r="L77" s="76"/>
      <c r="M77" s="76"/>
      <c r="N77" s="45"/>
      <c r="O77" s="45"/>
      <c r="P77" s="45"/>
      <c r="Q77" s="45"/>
      <c r="R77" s="45"/>
      <c r="S77" s="45"/>
      <c r="T77" s="45"/>
    </row>
    <row r="78" s="6" customFormat="true" ht="12.75" hidden="false" customHeight="false" outlineLevel="0" collapsed="false">
      <c r="B78" s="64"/>
      <c r="C78" s="64"/>
      <c r="D78" s="64" t="n">
        <f aca="false">-LN(D69)</f>
        <v>0.124287972356246</v>
      </c>
      <c r="E78" s="64" t="n">
        <f aca="false">-LN(E69)</f>
        <v>0.112647860080354</v>
      </c>
      <c r="F78" s="64" t="n">
        <f aca="false">-LN(F69)</f>
        <v>0.101151557903601</v>
      </c>
      <c r="G78" s="64" t="n">
        <f aca="false">-LN(G69)</f>
        <v>0.0897989210356684</v>
      </c>
      <c r="H78" s="64" t="n">
        <f aca="false">-LN(H69)</f>
        <v>0.0785897636030044</v>
      </c>
      <c r="I78" s="76"/>
      <c r="J78" s="76"/>
      <c r="K78" s="76"/>
      <c r="L78" s="76"/>
      <c r="M78" s="76"/>
      <c r="N78" s="45"/>
      <c r="O78" s="45"/>
      <c r="P78" s="45"/>
      <c r="Q78" s="45"/>
      <c r="R78" s="45"/>
      <c r="S78" s="45"/>
      <c r="T78" s="45"/>
    </row>
    <row r="79" s="6" customFormat="true" ht="12.75" hidden="false" customHeight="false" outlineLevel="0" collapsed="false">
      <c r="B79" s="64"/>
      <c r="C79" s="64" t="n">
        <f aca="false">-LN(C70)</f>
        <v>0.112071998272066</v>
      </c>
      <c r="D79" s="64" t="n">
        <f aca="false">-LN(D70)</f>
        <v>0.100287972356246</v>
      </c>
      <c r="E79" s="64" t="n">
        <f aca="false">-LN(E70)</f>
        <v>0.0886478600803538</v>
      </c>
      <c r="F79" s="64" t="n">
        <f aca="false">-LN(F70)</f>
        <v>0.077151557903601</v>
      </c>
      <c r="G79" s="64" t="n">
        <f aca="false">-LN(G70)</f>
        <v>0.0657989210356683</v>
      </c>
      <c r="H79" s="64" t="n">
        <f aca="false">-LN(H70)</f>
        <v>0.0545897636030044</v>
      </c>
      <c r="I79" s="76"/>
      <c r="J79" s="76"/>
      <c r="K79" s="76"/>
      <c r="L79" s="76"/>
      <c r="M79" s="76"/>
      <c r="N79" s="45"/>
      <c r="O79" s="45"/>
      <c r="P79" s="45"/>
      <c r="Q79" s="45"/>
      <c r="R79" s="45"/>
      <c r="S79" s="45"/>
      <c r="T79" s="45"/>
    </row>
    <row r="80" s="6" customFormat="true" ht="12.75" hidden="false" customHeight="false" outlineLevel="0" collapsed="false">
      <c r="A80" s="1" t="s">
        <v>65</v>
      </c>
      <c r="B80" s="64" t="n">
        <f aca="false">-LN(B71)</f>
        <v>0.1</v>
      </c>
      <c r="C80" s="64" t="n">
        <f aca="false">-LN(C71)</f>
        <v>0.0880719982720662</v>
      </c>
      <c r="D80" s="64" t="n">
        <f aca="false">-LN(D71)</f>
        <v>0.0762879723562459</v>
      </c>
      <c r="E80" s="64" t="n">
        <f aca="false">-LN(E71)</f>
        <v>0.0646478600803538</v>
      </c>
      <c r="F80" s="64" t="n">
        <f aca="false">-LN(F71)</f>
        <v>0.053151557903601</v>
      </c>
      <c r="G80" s="64" t="n">
        <f aca="false">-LN(G71)</f>
        <v>0.0417989210356683</v>
      </c>
      <c r="H80" s="64" t="n">
        <f aca="false">-LN(H71)</f>
        <v>0.0305897636030043</v>
      </c>
      <c r="I80" s="76"/>
      <c r="J80" s="76"/>
      <c r="K80" s="76"/>
      <c r="L80" s="76"/>
      <c r="M80" s="76"/>
      <c r="N80" s="45"/>
      <c r="O80" s="45"/>
      <c r="P80" s="45"/>
      <c r="Q80" s="45"/>
      <c r="R80" s="45"/>
      <c r="S80" s="45"/>
      <c r="T80" s="45"/>
    </row>
    <row r="81" s="6" customFormat="true" ht="12.75" hidden="false" customHeight="false" outlineLevel="0" collapsed="false">
      <c r="A81" s="60" t="s">
        <v>47</v>
      </c>
      <c r="B81" s="88" t="n">
        <v>0</v>
      </c>
      <c r="C81" s="88" t="n">
        <v>1</v>
      </c>
      <c r="D81" s="88" t="n">
        <v>2</v>
      </c>
      <c r="E81" s="88" t="n">
        <v>3</v>
      </c>
      <c r="F81" s="88" t="n">
        <v>4</v>
      </c>
      <c r="G81" s="88" t="n">
        <v>5</v>
      </c>
      <c r="H81" s="88" t="n">
        <v>6</v>
      </c>
      <c r="N81" s="45"/>
      <c r="O81" s="45"/>
      <c r="P81" s="45"/>
      <c r="Q81" s="45"/>
      <c r="R81" s="45"/>
      <c r="S81" s="45"/>
      <c r="T81" s="45"/>
    </row>
    <row r="82" s="6" customFormat="true" ht="12.75" hidden="false" customHeight="false" outlineLevel="0" collapsed="false">
      <c r="B82" s="8"/>
      <c r="C82" s="8"/>
      <c r="D82" s="8"/>
      <c r="E82" s="8"/>
      <c r="F82" s="8"/>
      <c r="G82" s="8"/>
      <c r="H82" s="8"/>
      <c r="N82" s="45"/>
      <c r="O82" s="45"/>
      <c r="P82" s="45"/>
      <c r="Q82" s="45"/>
      <c r="R82" s="45"/>
      <c r="S82" s="45"/>
      <c r="T82" s="45"/>
    </row>
    <row r="83" s="6" customFormat="true" ht="12.75" hidden="false" customHeight="false" outlineLevel="0" collapsed="false">
      <c r="B83" s="8"/>
      <c r="C83" s="8"/>
      <c r="D83" s="8"/>
      <c r="E83" s="8"/>
      <c r="F83" s="8"/>
      <c r="G83" s="8"/>
      <c r="H83" s="8" t="n">
        <f aca="false">(H74-H75)/(2*H$31)</f>
        <v>0.12</v>
      </c>
      <c r="N83" s="45"/>
      <c r="O83" s="45"/>
      <c r="P83" s="45"/>
      <c r="Q83" s="45"/>
      <c r="R83" s="45"/>
      <c r="S83" s="45"/>
      <c r="T83" s="45"/>
    </row>
    <row r="84" s="6" customFormat="true" ht="12.75" hidden="false" customHeight="false" outlineLevel="0" collapsed="false">
      <c r="B84" s="8"/>
      <c r="C84" s="8"/>
      <c r="D84" s="8"/>
      <c r="E84" s="8"/>
      <c r="F84" s="8"/>
      <c r="G84" s="8" t="n">
        <f aca="false">(G75-G76)/(2*G$31)</f>
        <v>0.12</v>
      </c>
      <c r="H84" s="8" t="n">
        <f aca="false">(H75-H76)/(2*H$31)</f>
        <v>0.12</v>
      </c>
      <c r="N84" s="45"/>
      <c r="O84" s="45"/>
      <c r="P84" s="45"/>
      <c r="Q84" s="45"/>
      <c r="R84" s="45"/>
      <c r="S84" s="45"/>
      <c r="T84" s="45"/>
    </row>
    <row r="85" s="6" customFormat="true" ht="12.75" hidden="false" customHeight="false" outlineLevel="0" collapsed="false">
      <c r="B85" s="8"/>
      <c r="C85" s="8"/>
      <c r="D85" s="8"/>
      <c r="E85" s="8"/>
      <c r="F85" s="8" t="n">
        <f aca="false">(F76-F77)/(2*F$31)</f>
        <v>0.12</v>
      </c>
      <c r="G85" s="8" t="n">
        <f aca="false">(G76-G77)/(2*G$31)</f>
        <v>0.12</v>
      </c>
      <c r="H85" s="8" t="n">
        <f aca="false">(H76-H77)/(2*H$31)</f>
        <v>0.12</v>
      </c>
      <c r="N85" s="45"/>
      <c r="O85" s="45"/>
      <c r="P85" s="45"/>
      <c r="Q85" s="45"/>
      <c r="R85" s="45"/>
      <c r="S85" s="45"/>
      <c r="T85" s="45"/>
    </row>
    <row r="86" s="6" customFormat="true" ht="12.75" hidden="false" customHeight="false" outlineLevel="0" collapsed="false">
      <c r="B86" s="8"/>
      <c r="C86" s="8"/>
      <c r="D86" s="8"/>
      <c r="E86" s="8" t="n">
        <f aca="false">(E77-E78)/(2*E$31)</f>
        <v>0.12</v>
      </c>
      <c r="F86" s="8" t="n">
        <f aca="false">(F77-F78)/(2*F$31)</f>
        <v>0.12</v>
      </c>
      <c r="G86" s="8" t="n">
        <f aca="false">(G77-G78)/(2*G$31)</f>
        <v>0.12</v>
      </c>
      <c r="H86" s="8" t="n">
        <f aca="false">(H77-H78)/(2*H$31)</f>
        <v>0.12</v>
      </c>
      <c r="N86" s="45"/>
      <c r="O86" s="45"/>
      <c r="P86" s="45"/>
      <c r="Q86" s="45"/>
      <c r="R86" s="45"/>
      <c r="S86" s="45"/>
      <c r="T86" s="45"/>
    </row>
    <row r="87" s="6" customFormat="true" ht="12.75" hidden="false" customHeight="false" outlineLevel="0" collapsed="false">
      <c r="B87" s="8"/>
      <c r="C87" s="8"/>
      <c r="D87" s="8" t="n">
        <f aca="false">(D78-D79)/(2*D$31)</f>
        <v>0.12</v>
      </c>
      <c r="E87" s="8" t="n">
        <f aca="false">(E78-E79)/(2*E$31)</f>
        <v>0.12</v>
      </c>
      <c r="F87" s="8" t="n">
        <f aca="false">(F78-F79)/(2*F$31)</f>
        <v>0.12</v>
      </c>
      <c r="G87" s="8" t="n">
        <f aca="false">(G78-G79)/(2*G$31)</f>
        <v>0.12</v>
      </c>
      <c r="H87" s="8" t="n">
        <f aca="false">(H78-H79)/(2*H$31)</f>
        <v>0.12</v>
      </c>
      <c r="N87" s="45"/>
      <c r="O87" s="45"/>
      <c r="P87" s="45"/>
      <c r="Q87" s="45"/>
      <c r="R87" s="45"/>
      <c r="S87" s="45"/>
      <c r="T87" s="45"/>
    </row>
    <row r="88" s="6" customFormat="true" ht="12.75" hidden="false" customHeight="false" outlineLevel="0" collapsed="false">
      <c r="A88" s="1" t="s">
        <v>66</v>
      </c>
      <c r="B88" s="8"/>
      <c r="C88" s="8" t="n">
        <f aca="false">(C79-C80)/(2*C$31)</f>
        <v>0.12</v>
      </c>
      <c r="D88" s="8" t="n">
        <f aca="false">(D79-D80)/(2*D$31)</f>
        <v>0.12</v>
      </c>
      <c r="E88" s="8" t="n">
        <f aca="false">(E79-E80)/(2*E$31)</f>
        <v>0.12</v>
      </c>
      <c r="F88" s="8" t="n">
        <f aca="false">(F79-F80)/(2*F$31)</f>
        <v>0.12</v>
      </c>
      <c r="G88" s="8" t="n">
        <f aca="false">(G79-G80)/(2*G$31)</f>
        <v>0.12</v>
      </c>
      <c r="H88" s="8" t="n">
        <f aca="false">(H79-H80)/(2*H$31)</f>
        <v>0.12</v>
      </c>
      <c r="N88" s="45"/>
      <c r="O88" s="45"/>
      <c r="P88" s="45"/>
      <c r="Q88" s="45"/>
      <c r="R88" s="45"/>
      <c r="S88" s="45"/>
      <c r="T88" s="45"/>
    </row>
    <row r="89" s="6" customFormat="true" ht="12.75" hidden="false" customHeight="false" outlineLevel="0" collapsed="false">
      <c r="A89" s="60" t="s">
        <v>47</v>
      </c>
      <c r="B89" s="60" t="n">
        <v>0</v>
      </c>
      <c r="C89" s="60" t="n">
        <v>1</v>
      </c>
      <c r="D89" s="60" t="n">
        <v>2</v>
      </c>
      <c r="E89" s="60" t="n">
        <v>3</v>
      </c>
      <c r="F89" s="60" t="n">
        <v>4</v>
      </c>
      <c r="G89" s="60" t="n">
        <v>5</v>
      </c>
      <c r="H89" s="60" t="n">
        <v>6</v>
      </c>
      <c r="N89" s="45"/>
      <c r="O89" s="45"/>
      <c r="P89" s="45"/>
      <c r="Q89" s="45"/>
      <c r="R89" s="45"/>
      <c r="S89" s="45"/>
      <c r="T89" s="45"/>
    </row>
    <row r="90" s="6" customFormat="true" ht="12.75" hidden="false" customHeight="false" outlineLevel="0" collapsed="false">
      <c r="N90" s="45"/>
      <c r="O90" s="45"/>
      <c r="P90" s="45"/>
      <c r="Q90" s="45"/>
      <c r="R90" s="45"/>
      <c r="S90" s="45"/>
      <c r="T90" s="45"/>
    </row>
    <row r="91" s="6" customFormat="true" ht="12.75" hidden="false" customHeight="false" outlineLevel="0" collapsed="false">
      <c r="G91" s="6" t="n">
        <f aca="false">EXP(G75)-1</f>
        <v>0.175623824331514</v>
      </c>
      <c r="N91" s="45"/>
      <c r="O91" s="45"/>
      <c r="P91" s="45"/>
      <c r="Q91" s="45"/>
      <c r="R91" s="45"/>
      <c r="S91" s="45"/>
      <c r="T91" s="45"/>
    </row>
    <row r="92" s="6" customFormat="true" ht="12.75" hidden="false" customHeight="false" outlineLevel="0" collapsed="false">
      <c r="F92" s="6" t="n">
        <f aca="false">EXP(F76)-1</f>
        <v>0.160848911704982</v>
      </c>
      <c r="G92" s="6" t="n">
        <f aca="false">EXP(G76)-1</f>
        <v>0.1477447397458</v>
      </c>
      <c r="N92" s="45"/>
      <c r="O92" s="45"/>
      <c r="P92" s="45"/>
      <c r="Q92" s="45"/>
      <c r="R92" s="45"/>
      <c r="S92" s="45"/>
      <c r="T92" s="45"/>
    </row>
    <row r="93" s="6" customFormat="true" ht="12.75" hidden="false" customHeight="false" outlineLevel="0" collapsed="false">
      <c r="E93" s="6" t="n">
        <f aca="false">EXP(E77)-1</f>
        <v>0.146424375644777</v>
      </c>
      <c r="F93" s="6" t="n">
        <f aca="false">EXP(F77)-1</f>
        <v>0.133320203685595</v>
      </c>
      <c r="G93" s="6" t="n">
        <f aca="false">EXP(G77)-1</f>
        <v>0.120526787863636</v>
      </c>
      <c r="N93" s="45"/>
      <c r="O93" s="45"/>
      <c r="P93" s="45"/>
      <c r="Q93" s="45"/>
      <c r="R93" s="45"/>
      <c r="S93" s="45"/>
      <c r="T93" s="45"/>
    </row>
    <row r="94" s="6" customFormat="true" ht="12.75" hidden="false" customHeight="false" outlineLevel="0" collapsed="false">
      <c r="D94" s="6" t="n">
        <f aca="false">EXP(D78)-1</f>
        <v>0.132341907219311</v>
      </c>
      <c r="E94" s="6" t="n">
        <f aca="false">EXP(E78)-1</f>
        <v>0.119237735260129</v>
      </c>
      <c r="F94" s="6" t="n">
        <f aca="false">EXP(F78)-1</f>
        <v>0.106444319438169</v>
      </c>
      <c r="G94" s="6" t="n">
        <f aca="false">EXP(G78)-1</f>
        <v>0.0939542903921997</v>
      </c>
      <c r="N94" s="45"/>
      <c r="O94" s="45"/>
      <c r="P94" s="45"/>
      <c r="Q94" s="45"/>
      <c r="R94" s="45"/>
      <c r="S94" s="45"/>
      <c r="T94" s="45"/>
    </row>
    <row r="95" s="6" customFormat="true" ht="12.75" hidden="false" customHeight="false" outlineLevel="0" collapsed="false">
      <c r="C95" s="6" t="n">
        <f aca="false">EXP(C79)-1</f>
        <v>0.118593394537411</v>
      </c>
      <c r="D95" s="6" t="n">
        <f aca="false">EXP(D79)-1</f>
        <v>0.10548922257823</v>
      </c>
      <c r="E95" s="6" t="n">
        <f aca="false">EXP(E79)-1</f>
        <v>0.0926958067562698</v>
      </c>
      <c r="F95" s="6" t="n">
        <f aca="false">EXP(F79)-1</f>
        <v>0.0802057777103002</v>
      </c>
      <c r="G95" s="6" t="n">
        <f aca="false">EXP(G79)-1</f>
        <v>0.0680119408382587</v>
      </c>
      <c r="N95" s="45"/>
      <c r="O95" s="45"/>
      <c r="P95" s="45"/>
      <c r="Q95" s="45"/>
      <c r="R95" s="45"/>
      <c r="S95" s="45"/>
      <c r="T95" s="45"/>
    </row>
    <row r="96" s="6" customFormat="true" ht="12.75" hidden="false" customHeight="false" outlineLevel="0" collapsed="false">
      <c r="A96" s="6" t="s">
        <v>67</v>
      </c>
      <c r="B96" s="6" t="n">
        <f aca="false">EXP(B80)-1</f>
        <v>0.105170918075648</v>
      </c>
      <c r="C96" s="6" t="n">
        <f aca="false">EXP(C80)-1</f>
        <v>0.0920667461164655</v>
      </c>
      <c r="D96" s="6" t="n">
        <f aca="false">EXP(D80)-1</f>
        <v>0.0792733302945061</v>
      </c>
      <c r="E96" s="6" t="n">
        <f aca="false">EXP(E80)-1</f>
        <v>0.0667833012485362</v>
      </c>
      <c r="F96" s="6" t="n">
        <f aca="false">EXP(F80)-1</f>
        <v>0.0545894643764948</v>
      </c>
      <c r="G96" s="6" t="n">
        <f aca="false">EXP(G80)-1</f>
        <v>0.0426847956912015</v>
      </c>
      <c r="N96" s="45"/>
      <c r="O96" s="45"/>
      <c r="P96" s="45"/>
      <c r="Q96" s="45"/>
      <c r="R96" s="45"/>
      <c r="S96" s="45"/>
      <c r="T96" s="45"/>
    </row>
    <row r="97" s="6" customFormat="true" ht="12.75" hidden="false" customHeight="false" outlineLevel="0" collapsed="false">
      <c r="A97" s="60" t="s">
        <v>47</v>
      </c>
      <c r="B97" s="60" t="n">
        <v>0</v>
      </c>
      <c r="C97" s="60" t="n">
        <v>1</v>
      </c>
      <c r="D97" s="60" t="n">
        <v>2</v>
      </c>
      <c r="E97" s="60" t="n">
        <v>3</v>
      </c>
      <c r="F97" s="60" t="n">
        <v>4</v>
      </c>
      <c r="G97" s="60" t="n">
        <v>5</v>
      </c>
      <c r="N97" s="45"/>
      <c r="O97" s="45"/>
      <c r="P97" s="45"/>
      <c r="Q97" s="45"/>
      <c r="R97" s="45"/>
      <c r="S97" s="45"/>
      <c r="T97" s="45"/>
    </row>
    <row r="98" s="6" customFormat="true" ht="12.75" hidden="false" customHeight="false" outlineLevel="0" collapsed="false">
      <c r="N98" s="45"/>
      <c r="O98" s="45"/>
      <c r="P98" s="45"/>
      <c r="Q98" s="45"/>
      <c r="R98" s="45"/>
      <c r="S98" s="45"/>
      <c r="T98" s="45"/>
    </row>
    <row r="99" s="6" customFormat="true" ht="12.75" hidden="false" customHeight="false" outlineLevel="0" collapsed="false">
      <c r="N99" s="45"/>
      <c r="O99" s="45"/>
      <c r="P99" s="45"/>
      <c r="Q99" s="45"/>
      <c r="R99" s="45"/>
      <c r="S99" s="45"/>
      <c r="T99" s="45"/>
    </row>
    <row r="100" s="6" customFormat="true" ht="12.75" hidden="false" customHeight="false" outlineLevel="0" collapsed="false">
      <c r="F100" s="6" t="n">
        <f aca="false">$B$39*(1+F92)*F67</f>
        <v>100</v>
      </c>
      <c r="N100" s="45"/>
      <c r="O100" s="45"/>
      <c r="P100" s="45"/>
      <c r="Q100" s="45"/>
      <c r="R100" s="45"/>
      <c r="S100" s="45"/>
      <c r="T100" s="45"/>
    </row>
    <row r="101" s="6" customFormat="true" ht="12.75" hidden="false" customHeight="false" outlineLevel="0" collapsed="false">
      <c r="E101" s="6" t="n">
        <f aca="false">0.5*(F100+F101)*E68+$B$39*E93*E68</f>
        <v>100</v>
      </c>
      <c r="F101" s="6" t="n">
        <f aca="false">$B$39*(1+F93)*F68</f>
        <v>100</v>
      </c>
      <c r="N101" s="45"/>
      <c r="O101" s="45"/>
      <c r="P101" s="45"/>
      <c r="Q101" s="45"/>
      <c r="R101" s="45"/>
      <c r="S101" s="45"/>
      <c r="T101" s="45"/>
    </row>
    <row r="102" s="6" customFormat="true" ht="12.75" hidden="false" customHeight="false" outlineLevel="0" collapsed="false">
      <c r="D102" s="6" t="n">
        <f aca="false">0.5*(E101+E102)*D69+$B$39*D94*D69</f>
        <v>100</v>
      </c>
      <c r="E102" s="6" t="n">
        <f aca="false">0.5*(F101+F102)*E69+$B$39*E94*E69</f>
        <v>100</v>
      </c>
      <c r="F102" s="6" t="n">
        <f aca="false">$B$39*(1+F94)*F69</f>
        <v>100</v>
      </c>
      <c r="N102" s="45"/>
      <c r="O102" s="45"/>
      <c r="P102" s="45"/>
      <c r="Q102" s="45"/>
      <c r="R102" s="45"/>
      <c r="S102" s="45"/>
      <c r="T102" s="45"/>
    </row>
    <row r="103" s="6" customFormat="true" ht="12.75" hidden="false" customHeight="false" outlineLevel="0" collapsed="false">
      <c r="C103" s="6" t="n">
        <f aca="false">0.5*(D102+D103)*C70+$B$39*C95*C70</f>
        <v>100</v>
      </c>
      <c r="D103" s="6" t="n">
        <f aca="false">0.5*(E102+E103)*D70+$B$39*D95*D70</f>
        <v>100</v>
      </c>
      <c r="E103" s="6" t="n">
        <f aca="false">0.5*(F102+F103)*E70+$B$39*E95*E70</f>
        <v>100</v>
      </c>
      <c r="F103" s="6" t="n">
        <f aca="false">$B$39*(1+F95)*F70</f>
        <v>100</v>
      </c>
      <c r="N103" s="45"/>
      <c r="O103" s="45"/>
      <c r="P103" s="45"/>
      <c r="Q103" s="45"/>
      <c r="R103" s="45"/>
      <c r="S103" s="45"/>
      <c r="T103" s="45"/>
    </row>
    <row r="104" s="6" customFormat="true" ht="12.75" hidden="false" customHeight="false" outlineLevel="0" collapsed="false">
      <c r="A104" s="6" t="s">
        <v>68</v>
      </c>
      <c r="B104" s="105" t="n">
        <f aca="false">0.5*(C103+C104)*B71+$B$39*B96*B71</f>
        <v>100</v>
      </c>
      <c r="C104" s="6" t="n">
        <f aca="false">0.5*(D103+D104)*C71+$B$39*C96*C71</f>
        <v>100</v>
      </c>
      <c r="D104" s="6" t="n">
        <f aca="false">0.5*(E103+E104)*D71+$B$39*D96*D71</f>
        <v>100</v>
      </c>
      <c r="E104" s="6" t="n">
        <f aca="false">0.5*(F103+F104)*E71+$B$39*E96*E71</f>
        <v>100</v>
      </c>
      <c r="F104" s="6" t="n">
        <f aca="false">$B$39*(1+F96)*F71</f>
        <v>100</v>
      </c>
      <c r="N104" s="45"/>
      <c r="O104" s="45"/>
      <c r="P104" s="45"/>
      <c r="Q104" s="45"/>
      <c r="R104" s="45"/>
      <c r="S104" s="45"/>
      <c r="T104" s="45"/>
    </row>
    <row r="105" s="6" customFormat="true" ht="12.75" hidden="false" customHeight="false" outlineLevel="0" collapsed="false">
      <c r="A105" s="60" t="s">
        <v>47</v>
      </c>
      <c r="B105" s="60" t="n">
        <v>0</v>
      </c>
      <c r="C105" s="60" t="n">
        <v>1</v>
      </c>
      <c r="D105" s="60" t="n">
        <v>2</v>
      </c>
      <c r="E105" s="60" t="n">
        <v>3</v>
      </c>
      <c r="F105" s="60" t="n">
        <v>4</v>
      </c>
      <c r="G105" s="60" t="n">
        <v>5</v>
      </c>
      <c r="N105" s="45"/>
      <c r="O105" s="45"/>
      <c r="P105" s="45"/>
      <c r="Q105" s="45"/>
      <c r="R105" s="45"/>
      <c r="S105" s="45"/>
      <c r="T105" s="45"/>
    </row>
    <row r="106" s="6" customFormat="true" ht="12.75" hidden="false" customHeight="false" outlineLevel="0" collapsed="false">
      <c r="N106" s="45"/>
      <c r="O106" s="45"/>
      <c r="P106" s="45"/>
      <c r="Q106" s="45"/>
      <c r="R106" s="45"/>
      <c r="S106" s="45"/>
      <c r="T106" s="45"/>
    </row>
    <row r="107" customFormat="false" ht="12.75" hidden="false" customHeight="false" outlineLevel="0" collapsed="false">
      <c r="A107" s="1" t="s">
        <v>117</v>
      </c>
      <c r="B107" s="106" t="n">
        <v>0.08</v>
      </c>
      <c r="C107" s="107"/>
      <c r="D107" s="92"/>
      <c r="E107" s="92"/>
    </row>
    <row r="108" s="6" customFormat="true" ht="12.75" hidden="false" customHeight="false" outlineLevel="0" collapsed="false">
      <c r="A108" s="60" t="s">
        <v>47</v>
      </c>
      <c r="B108" s="60" t="n">
        <v>0</v>
      </c>
      <c r="C108" s="60" t="n">
        <v>1</v>
      </c>
      <c r="D108" s="60" t="n">
        <v>2</v>
      </c>
      <c r="E108" s="60" t="n">
        <v>3</v>
      </c>
      <c r="F108" s="60" t="n">
        <v>4</v>
      </c>
      <c r="G108" s="60" t="n">
        <v>5</v>
      </c>
      <c r="N108" s="45"/>
      <c r="O108" s="45"/>
      <c r="P108" s="45"/>
      <c r="Q108" s="45"/>
      <c r="R108" s="45"/>
      <c r="S108" s="45"/>
      <c r="T108" s="45"/>
    </row>
    <row r="110" customFormat="false" ht="12.75" hidden="false" customHeight="false" outlineLevel="0" collapsed="false">
      <c r="G110" s="1" t="n">
        <f aca="false">$B$39*(1+$B$107)</f>
        <v>108</v>
      </c>
    </row>
    <row r="111" customFormat="false" ht="12.75" hidden="false" customHeight="false" outlineLevel="0" collapsed="false">
      <c r="F111" s="6" t="n">
        <f aca="false">0.5*(G110+G111)*F67+$B$39*$B$107</f>
        <v>101.03536309594</v>
      </c>
      <c r="G111" s="1" t="n">
        <f aca="false">$B$39*(1+$B$107)</f>
        <v>108</v>
      </c>
    </row>
    <row r="112" customFormat="false" ht="12.75" hidden="false" customHeight="false" outlineLevel="0" collapsed="false">
      <c r="E112" s="6" t="n">
        <f aca="false">0.5*(F111+F112)*E68+$B$39*$B$107</f>
        <v>97.1164690307765</v>
      </c>
      <c r="F112" s="6" t="n">
        <f aca="false">0.5*(G111+G112)*F68+$B$39*$B$107</f>
        <v>103.29522164061</v>
      </c>
      <c r="G112" s="1" t="n">
        <f aca="false">$B$39*(1+$B$107)</f>
        <v>108</v>
      </c>
    </row>
    <row r="113" customFormat="false" ht="12.75" hidden="false" customHeight="false" outlineLevel="0" collapsed="false">
      <c r="D113" s="6" t="n">
        <f aca="false">0.5*(E112+E113)*D69+$B$39*$B$107</f>
        <v>95.6242553345573</v>
      </c>
      <c r="E113" s="6" t="n">
        <f aca="false">0.5*(F112+F113)*E69+$B$39*$B$107</f>
        <v>101.324763777632</v>
      </c>
      <c r="F113" s="6" t="n">
        <f aca="false">0.5*(G112+G113)*F69+$B$39*$B$107</f>
        <v>105.609972867718</v>
      </c>
      <c r="G113" s="1" t="n">
        <f aca="false">$B$39*(1+$B$107)</f>
        <v>108</v>
      </c>
    </row>
    <row r="114" customFormat="false" ht="12.75" hidden="false" customHeight="false" outlineLevel="0" collapsed="false">
      <c r="C114" s="6" t="n">
        <f aca="false">0.5*(D113+D114)*C70+$B$39*$B$107</f>
        <v>96.1800934051715</v>
      </c>
      <c r="D114" s="6" t="n">
        <f aca="false">0.5*(E113+E114)*D70+$B$39*$B$107</f>
        <v>101.651084690876</v>
      </c>
      <c r="E114" s="6" t="n">
        <f aca="false">0.5*(F113+F114)*E70+$B$39*$B$107</f>
        <v>105.735765839417</v>
      </c>
      <c r="F114" s="6" t="n">
        <f aca="false">0.5*(G113+G114)*F70+$B$39*$B$107</f>
        <v>107.980950137969</v>
      </c>
      <c r="G114" s="1" t="n">
        <f aca="false">$B$39*(1+$B$107)</f>
        <v>108</v>
      </c>
    </row>
    <row r="115" s="6" customFormat="true" ht="12.75" hidden="false" customHeight="false" outlineLevel="0" collapsed="false">
      <c r="A115" s="1" t="s">
        <v>118</v>
      </c>
      <c r="B115" s="105" t="n">
        <f aca="false">0.5*(C114+C115)*B71</f>
        <v>90.5829627516148</v>
      </c>
      <c r="C115" s="6" t="n">
        <f aca="false">0.5*(D114+D115)*C71+$B$39*$B$107</f>
        <v>104.039218807257</v>
      </c>
      <c r="D115" s="6" t="n">
        <f aca="false">0.5*(E114+E115)*D71+$B$39*$B$107</f>
        <v>108.111389673941</v>
      </c>
      <c r="E115" s="6" t="n">
        <f aca="false">0.5*(F114+F115)*E71+$B$39*$B$107</f>
        <v>110.359340028194</v>
      </c>
      <c r="F115" s="6" t="n">
        <f aca="false">0.5*(G114+G115)*F71+$B$39*$B$107</f>
        <v>110.409519199827</v>
      </c>
      <c r="G115" s="1" t="n">
        <f aca="false">$B$39*(1+$B$107)</f>
        <v>108</v>
      </c>
      <c r="N115" s="45"/>
      <c r="O115" s="45"/>
      <c r="P115" s="45"/>
      <c r="Q115" s="45"/>
      <c r="R115" s="45"/>
      <c r="S115" s="45"/>
      <c r="T115" s="45"/>
    </row>
    <row r="116" customFormat="false" ht="12.75" hidden="false" customHeight="false" outlineLevel="0" collapsed="false">
      <c r="B116" s="45"/>
      <c r="C116" s="33"/>
      <c r="D116" s="6"/>
    </row>
    <row r="117" customFormat="false" ht="12.75" hidden="false" customHeight="false" outlineLevel="0" collapsed="false">
      <c r="A117" s="1" t="s">
        <v>119</v>
      </c>
      <c r="B117" s="108" t="n">
        <f aca="false">B104-B115</f>
        <v>9.41703724838519</v>
      </c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7.4375" defaultRowHeight="12.75" zeroHeight="false" outlineLevelRow="0" outlineLevelCol="0"/>
  <cols>
    <col collapsed="false" customWidth="true" hidden="false" outlineLevel="0" max="1" min="1" style="1" width="30.55"/>
    <col collapsed="false" customWidth="false" hidden="false" outlineLevel="0" max="257" min="2" style="1" width="7.43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34</v>
      </c>
      <c r="C2" s="7" t="s">
        <v>3</v>
      </c>
      <c r="D2" s="8" t="n">
        <v>70801</v>
      </c>
      <c r="E2" s="9"/>
    </row>
    <row r="3" customFormat="false" ht="12.75" hidden="false" customHeight="true" outlineLevel="0" collapsed="false">
      <c r="A3" s="5" t="s">
        <v>4</v>
      </c>
      <c r="B3" s="10" t="n">
        <v>1</v>
      </c>
      <c r="C3" s="5" t="s">
        <v>5</v>
      </c>
      <c r="D3" s="1" t="s">
        <v>6</v>
      </c>
      <c r="F3" s="11" t="s">
        <v>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customFormat="false" ht="12.75" hidden="false" customHeight="true" outlineLevel="0" collapsed="false">
      <c r="A4" s="5" t="s">
        <v>8</v>
      </c>
      <c r="B4" s="14" t="n">
        <v>37803</v>
      </c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customFormat="false" ht="12.75" hidden="false" customHeight="true" outlineLevel="0" collapsed="false">
      <c r="A5" s="5" t="s">
        <v>10</v>
      </c>
      <c r="B5" s="18" t="s">
        <v>11</v>
      </c>
      <c r="C5" s="18"/>
      <c r="D5" s="18"/>
      <c r="E5" s="18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customFormat="false" ht="12.75" hidden="false" customHeight="true" outlineLevel="0" collapsed="false">
      <c r="A6" s="5" t="s">
        <v>12</v>
      </c>
      <c r="B6" s="18" t="s">
        <v>13</v>
      </c>
      <c r="C6" s="18"/>
      <c r="D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customFormat="false" ht="12.75" hidden="false" customHeight="true" outlineLevel="0" collapsed="false">
      <c r="A7" s="5" t="s">
        <v>14</v>
      </c>
      <c r="B7" s="22" t="s">
        <v>15</v>
      </c>
      <c r="C7" s="22"/>
      <c r="D7" s="22"/>
      <c r="E7" s="23"/>
      <c r="F7" s="24" t="s">
        <v>16</v>
      </c>
      <c r="G7" s="25" t="s">
        <v>115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</row>
    <row r="8" customFormat="false" ht="12.75" hidden="false" customHeight="true" outlineLevel="0" collapsed="false">
      <c r="A8" s="5" t="s">
        <v>18</v>
      </c>
      <c r="B8" s="28" t="n">
        <v>37958</v>
      </c>
      <c r="C8" s="23"/>
      <c r="D8" s="23"/>
      <c r="E8" s="23"/>
      <c r="F8" s="29" t="s">
        <v>19</v>
      </c>
      <c r="G8" s="30" t="s">
        <v>116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customFormat="false" ht="12.75" hidden="false" customHeight="true" outlineLevel="0" collapsed="false">
      <c r="A9" s="5" t="s">
        <v>21</v>
      </c>
      <c r="B9" s="23" t="s">
        <v>78</v>
      </c>
      <c r="C9" s="23"/>
      <c r="D9" s="23"/>
      <c r="E9" s="23"/>
      <c r="F9" s="23"/>
      <c r="G9" s="33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.75" hidden="false" customHeight="true" outlineLevel="0" collapsed="false">
      <c r="A10" s="5"/>
      <c r="C10" s="23"/>
      <c r="D10" s="23"/>
      <c r="E10" s="23"/>
      <c r="F10" s="23"/>
      <c r="G10" s="3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37" customFormat="true" ht="12.75" hidden="false" customHeight="true" outlineLevel="0" collapsed="false">
      <c r="A11" s="34" t="s">
        <v>23</v>
      </c>
      <c r="B11" s="35"/>
      <c r="C11" s="35"/>
      <c r="D11" s="35"/>
      <c r="E11" s="35"/>
      <c r="F11" s="35"/>
      <c r="G11" s="36"/>
    </row>
    <row r="12" customFormat="false" ht="12.75" hidden="false" customHeight="true" outlineLevel="0" collapsed="false">
      <c r="A12" s="38"/>
      <c r="B12" s="39"/>
      <c r="C12" s="39"/>
      <c r="D12" s="39"/>
      <c r="E12" s="39"/>
      <c r="F12" s="39"/>
      <c r="G12" s="33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customFormat="false" ht="12.75" hidden="false" customHeight="true" outlineLevel="0" collapsed="false">
      <c r="A13" s="40" t="s">
        <v>24</v>
      </c>
      <c r="B13" s="41" t="s">
        <v>25</v>
      </c>
      <c r="C13" s="41"/>
      <c r="D13" s="41"/>
      <c r="E13" s="41"/>
      <c r="F13" s="41"/>
      <c r="G13" s="42"/>
      <c r="H13" s="6"/>
      <c r="I13" s="6"/>
      <c r="J13" s="6"/>
      <c r="K13" s="6"/>
      <c r="L13" s="6"/>
      <c r="M13" s="6"/>
      <c r="N13" s="6"/>
      <c r="O13" s="6"/>
      <c r="Q13" s="6"/>
      <c r="R13" s="6"/>
      <c r="S13" s="6"/>
    </row>
    <row r="14" customFormat="false" ht="12.75" hidden="false" customHeight="true" outlineLevel="0" collapsed="false">
      <c r="A14" s="43" t="s">
        <v>26</v>
      </c>
      <c r="B14" s="39" t="s">
        <v>27</v>
      </c>
      <c r="C14" s="39"/>
      <c r="D14" s="39"/>
      <c r="E14" s="39"/>
      <c r="F14" s="39"/>
      <c r="G14" s="44"/>
      <c r="Q14" s="6"/>
      <c r="R14" s="6"/>
      <c r="S14" s="6"/>
    </row>
    <row r="15" customFormat="false" ht="12.75" hidden="false" customHeight="true" outlineLevel="0" collapsed="false">
      <c r="A15" s="43" t="s">
        <v>28</v>
      </c>
      <c r="B15" s="39" t="s">
        <v>29</v>
      </c>
      <c r="C15" s="39"/>
      <c r="D15" s="39"/>
      <c r="E15" s="39"/>
      <c r="F15" s="39"/>
      <c r="G15" s="44"/>
      <c r="Q15" s="6"/>
      <c r="R15" s="6"/>
      <c r="S15" s="6"/>
    </row>
    <row r="16" customFormat="false" ht="12.75" hidden="false" customHeight="true" outlineLevel="0" collapsed="false">
      <c r="A16" s="43" t="s">
        <v>30</v>
      </c>
      <c r="B16" s="39" t="s">
        <v>31</v>
      </c>
      <c r="C16" s="39"/>
      <c r="D16" s="39"/>
      <c r="E16" s="39"/>
      <c r="F16" s="39"/>
      <c r="G16" s="44"/>
      <c r="I16" s="45"/>
      <c r="J16" s="45"/>
      <c r="Q16" s="6"/>
      <c r="R16" s="6"/>
      <c r="S16" s="6"/>
    </row>
    <row r="17" customFormat="false" ht="12.75" hidden="false" customHeight="true" outlineLevel="0" collapsed="false">
      <c r="A17" s="43" t="s">
        <v>32</v>
      </c>
      <c r="B17" s="39" t="s">
        <v>33</v>
      </c>
      <c r="C17" s="39"/>
      <c r="D17" s="39"/>
      <c r="E17" s="39"/>
      <c r="F17" s="39"/>
      <c r="G17" s="44"/>
      <c r="I17" s="46"/>
      <c r="J17" s="45"/>
      <c r="Q17" s="6"/>
      <c r="R17" s="6"/>
      <c r="S17" s="6"/>
    </row>
    <row r="18" customFormat="false" ht="12.75" hidden="false" customHeight="true" outlineLevel="0" collapsed="false">
      <c r="A18" s="43" t="s">
        <v>34</v>
      </c>
      <c r="B18" s="47" t="s">
        <v>35</v>
      </c>
      <c r="C18" s="39"/>
      <c r="D18" s="39"/>
      <c r="E18" s="39"/>
      <c r="F18" s="39"/>
      <c r="G18" s="44"/>
      <c r="Q18" s="6"/>
      <c r="R18" s="6"/>
      <c r="S18" s="6"/>
    </row>
    <row r="19" customFormat="false" ht="12.75" hidden="false" customHeight="true" outlineLevel="0" collapsed="false">
      <c r="A19" s="48" t="s">
        <v>36</v>
      </c>
      <c r="B19" s="49" t="s">
        <v>37</v>
      </c>
      <c r="C19" s="49" t="s">
        <v>38</v>
      </c>
      <c r="D19" s="49"/>
      <c r="E19" s="49"/>
      <c r="F19" s="49"/>
      <c r="G19" s="50"/>
      <c r="Q19" s="6"/>
      <c r="R19" s="6"/>
      <c r="S19" s="6"/>
    </row>
    <row r="20" customFormat="false" ht="12.75" hidden="false" customHeight="true" outlineLevel="0" collapsed="false">
      <c r="A20" s="51" t="s">
        <v>39</v>
      </c>
      <c r="B20" s="39" t="s">
        <v>40</v>
      </c>
      <c r="C20" s="39"/>
      <c r="D20" s="39"/>
      <c r="E20" s="39"/>
      <c r="F20" s="39"/>
      <c r="P20" s="6"/>
      <c r="Q20" s="6"/>
      <c r="R20" s="6"/>
    </row>
    <row r="21" customFormat="false" ht="12.75" hidden="false" customHeight="true" outlineLevel="0" collapsed="false">
      <c r="A21" s="5"/>
      <c r="B21" s="28"/>
      <c r="C21" s="28"/>
      <c r="D21" s="28"/>
      <c r="E21" s="28"/>
      <c r="L21" s="6"/>
      <c r="M21" s="6"/>
      <c r="N21" s="6"/>
      <c r="O21" s="6"/>
      <c r="P21" s="6"/>
      <c r="Q21" s="6"/>
      <c r="R21" s="6"/>
    </row>
    <row r="22" s="37" customFormat="true" ht="12.75" hidden="false" customHeight="true" outlineLevel="0" collapsed="false">
      <c r="A22" s="34" t="s">
        <v>41</v>
      </c>
      <c r="B22" s="52"/>
      <c r="C22" s="52"/>
      <c r="D22" s="52"/>
      <c r="E22" s="52"/>
    </row>
    <row r="23" customFormat="false" ht="12.75" hidden="false" customHeight="true" outlineLevel="0" collapsed="false">
      <c r="A23" s="5" t="s">
        <v>42</v>
      </c>
      <c r="B23" s="53" t="s">
        <v>43</v>
      </c>
      <c r="C23" s="28"/>
      <c r="D23" s="28"/>
      <c r="E23" s="28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44</v>
      </c>
      <c r="B24" s="54" t="s">
        <v>45</v>
      </c>
      <c r="C24" s="28"/>
      <c r="D24" s="28"/>
      <c r="E24" s="28"/>
      <c r="F24" s="1"/>
      <c r="G24" s="1"/>
    </row>
    <row r="25" s="6" customFormat="true" ht="12.75" hidden="false" customHeight="false" outlineLevel="0" collapsed="false">
      <c r="A25" s="5"/>
      <c r="B25" s="55"/>
      <c r="C25" s="1"/>
      <c r="D25" s="1"/>
      <c r="E25" s="1"/>
      <c r="F25" s="1"/>
      <c r="G25" s="1"/>
    </row>
    <row r="26" s="3" customFormat="true" ht="12.75" hidden="false" customHeight="false" outlineLevel="0" collapsed="false">
      <c r="A26" s="2" t="s">
        <v>46</v>
      </c>
      <c r="B26" s="2"/>
      <c r="N26" s="56"/>
      <c r="O26" s="56"/>
      <c r="P26" s="56"/>
      <c r="Q26" s="56"/>
      <c r="R26" s="56"/>
      <c r="S26" s="56"/>
      <c r="T26" s="56"/>
    </row>
    <row r="27" s="58" customFormat="true" ht="12.75" hidden="false" customHeight="false" outlineLevel="0" collapsed="false">
      <c r="A27" s="57"/>
      <c r="B27" s="57"/>
      <c r="N27" s="59"/>
      <c r="O27" s="59"/>
      <c r="P27" s="59"/>
      <c r="Q27" s="59"/>
      <c r="R27" s="59"/>
      <c r="S27" s="59"/>
      <c r="T27" s="59"/>
    </row>
    <row r="28" customFormat="false" ht="12.75" hidden="false" customHeight="false" outlineLevel="0" collapsed="false">
      <c r="A28" s="60" t="s">
        <v>47</v>
      </c>
      <c r="B28" s="60" t="n">
        <v>0</v>
      </c>
      <c r="C28" s="60" t="n">
        <v>1</v>
      </c>
      <c r="D28" s="60" t="n">
        <v>2</v>
      </c>
      <c r="E28" s="60" t="n">
        <v>3</v>
      </c>
      <c r="F28" s="60" t="n">
        <v>4</v>
      </c>
      <c r="G28" s="60" t="n">
        <v>5</v>
      </c>
      <c r="H28" s="60" t="n">
        <v>6</v>
      </c>
      <c r="I28" s="60" t="n">
        <v>7</v>
      </c>
      <c r="J28" s="60" t="n">
        <v>8</v>
      </c>
      <c r="K28" s="60" t="n">
        <v>9</v>
      </c>
      <c r="L28" s="60" t="n">
        <v>10</v>
      </c>
      <c r="M28" s="60" t="n">
        <v>11</v>
      </c>
      <c r="N28" s="60" t="n">
        <v>12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="6" customFormat="true" ht="12.75" hidden="false" customHeight="false" outlineLevel="0" collapsed="false">
      <c r="A29" s="61" t="s">
        <v>48</v>
      </c>
      <c r="B29" s="62" t="n">
        <v>0.1</v>
      </c>
      <c r="C29" s="63" t="n">
        <f aca="false">B29</f>
        <v>0.1</v>
      </c>
      <c r="D29" s="62" t="n">
        <f aca="false">C29+0.01</f>
        <v>0.11</v>
      </c>
      <c r="E29" s="62" t="n">
        <f aca="false">D29+0.01</f>
        <v>0.12</v>
      </c>
      <c r="F29" s="62" t="n">
        <f aca="false">E29+0.01</f>
        <v>0.13</v>
      </c>
      <c r="G29" s="62" t="n">
        <f aca="false">F29+0.01</f>
        <v>0.14</v>
      </c>
      <c r="H29" s="62" t="n">
        <f aca="false">G29+0.01</f>
        <v>0.15</v>
      </c>
      <c r="I29" s="62" t="n">
        <f aca="false">H29+0.01</f>
        <v>0.16</v>
      </c>
      <c r="J29" s="62" t="n">
        <f aca="false">I29+0.01</f>
        <v>0.17</v>
      </c>
      <c r="K29" s="62" t="n">
        <f aca="false">J29+0.01</f>
        <v>0.18</v>
      </c>
      <c r="L29" s="62" t="n">
        <f aca="false">K29+0.01</f>
        <v>0.19</v>
      </c>
      <c r="M29" s="62" t="n">
        <f aca="false">L29+0.01</f>
        <v>0.2</v>
      </c>
      <c r="N29" s="62" t="n">
        <f aca="false">M29+0.01</f>
        <v>0.21</v>
      </c>
    </row>
    <row r="30" s="58" customFormat="true" ht="12.75" hidden="false" customHeight="false" outlineLevel="0" collapsed="false">
      <c r="A30" s="61" t="s">
        <v>49</v>
      </c>
      <c r="B30" s="64" t="n">
        <f aca="false">EXP(-B29*B28)</f>
        <v>1</v>
      </c>
      <c r="C30" s="65" t="n">
        <f aca="false">EXP(-C29*C28)</f>
        <v>0.90483741803596</v>
      </c>
      <c r="D30" s="64" t="n">
        <f aca="false">EXP(-D29*D28)</f>
        <v>0.802518797962479</v>
      </c>
      <c r="E30" s="64" t="n">
        <f aca="false">EXP(-E29*E28)</f>
        <v>0.697676326071031</v>
      </c>
      <c r="F30" s="64" t="n">
        <f aca="false">EXP(-F29*F28)</f>
        <v>0.594520547970194</v>
      </c>
      <c r="G30" s="64" t="n">
        <f aca="false">EXP(-G29*G28)</f>
        <v>0.496585303791409</v>
      </c>
      <c r="H30" s="64" t="n">
        <f aca="false">EXP(-H29*H28)</f>
        <v>0.406569659740599</v>
      </c>
      <c r="I30" s="64" t="n">
        <f aca="false">EXP(-I29*I28)</f>
        <v>0.326279794623039</v>
      </c>
      <c r="J30" s="64" t="n">
        <f aca="false">EXP(-J29*J28)</f>
        <v>0.256660776953556</v>
      </c>
      <c r="K30" s="64" t="n">
        <f aca="false">EXP(-K29*K28)</f>
        <v>0.197898699083615</v>
      </c>
      <c r="L30" s="64" t="n">
        <f aca="false">EXP(-L29*L28)</f>
        <v>0.149568619222635</v>
      </c>
      <c r="M30" s="64" t="n">
        <f aca="false">EXP(-M29*M28)</f>
        <v>0.110803158362334</v>
      </c>
      <c r="N30" s="64" t="n">
        <f aca="false">EXP(-N29*N28)</f>
        <v>0.0804596067495324</v>
      </c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</row>
    <row r="31" s="6" customFormat="true" ht="12.75" hidden="false" customHeight="false" outlineLevel="0" collapsed="false">
      <c r="A31" s="61" t="s">
        <v>50</v>
      </c>
      <c r="B31" s="64" t="n">
        <f aca="false">-LN(C30/B30)</f>
        <v>0.1</v>
      </c>
      <c r="C31" s="64" t="n">
        <f aca="false">-LN(C30/B30)</f>
        <v>0.1</v>
      </c>
      <c r="D31" s="64" t="n">
        <f aca="false">-LN(D30/C30)</f>
        <v>0.12</v>
      </c>
      <c r="E31" s="64" t="n">
        <f aca="false">-LN(E30/D30)</f>
        <v>0.14</v>
      </c>
      <c r="F31" s="64" t="n">
        <f aca="false">-LN(F30/E30)</f>
        <v>0.16</v>
      </c>
      <c r="G31" s="64" t="n">
        <f aca="false">-LN(G30/F30)</f>
        <v>0.18</v>
      </c>
      <c r="H31" s="64" t="n">
        <f aca="false">-LN(H30/G30)</f>
        <v>0.2</v>
      </c>
      <c r="I31" s="64" t="n">
        <f aca="false">-LN(I30/H30)</f>
        <v>0.22</v>
      </c>
      <c r="J31" s="64" t="n">
        <f aca="false">-LN(J30/I30)</f>
        <v>0.24</v>
      </c>
      <c r="K31" s="64" t="n">
        <f aca="false">-LN(K30/J30)</f>
        <v>0.26</v>
      </c>
      <c r="L31" s="64" t="n">
        <f aca="false">-LN(L30/K30)</f>
        <v>0.28</v>
      </c>
      <c r="M31" s="64" t="n">
        <f aca="false">-LN(M30/L30)</f>
        <v>0.3</v>
      </c>
      <c r="N31" s="64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</row>
    <row r="32" s="6" customFormat="true" ht="14.25" hidden="false" customHeight="false" outlineLevel="0" collapsed="false">
      <c r="A32" s="6" t="s">
        <v>51</v>
      </c>
      <c r="B32" s="68" t="n">
        <v>0</v>
      </c>
      <c r="C32" s="68" t="n">
        <v>0.12</v>
      </c>
      <c r="D32" s="68" t="n">
        <v>0.12</v>
      </c>
      <c r="E32" s="68" t="n">
        <v>0.12</v>
      </c>
      <c r="F32" s="68" t="n">
        <v>0.12</v>
      </c>
      <c r="G32" s="68" t="n">
        <v>0.12</v>
      </c>
      <c r="H32" s="68" t="n">
        <v>0.12</v>
      </c>
      <c r="I32" s="68" t="n">
        <v>0.12</v>
      </c>
      <c r="J32" s="68" t="n">
        <v>0.12</v>
      </c>
      <c r="K32" s="68" t="n">
        <v>0.12</v>
      </c>
      <c r="L32" s="68" t="n">
        <v>0.12</v>
      </c>
      <c r="M32" s="68" t="n">
        <v>0.12</v>
      </c>
      <c r="N32" s="68" t="n">
        <v>0.12</v>
      </c>
    </row>
    <row r="33" s="6" customFormat="true" ht="14.25" hidden="false" customHeight="false" outlineLevel="0" collapsed="false">
      <c r="A33" s="6" t="s">
        <v>52</v>
      </c>
      <c r="B33" s="8" t="n">
        <v>0</v>
      </c>
      <c r="C33" s="69" t="n">
        <f aca="false">(C28*C29*C32-B28*B29*B32)/C31</f>
        <v>0.12</v>
      </c>
      <c r="D33" s="8" t="n">
        <f aca="false">(D28*D29*D32-C28*C29*C32)/D31</f>
        <v>0.12</v>
      </c>
      <c r="E33" s="8" t="n">
        <f aca="false">(E28*E29*E32-D28*D29*D32)/E31</f>
        <v>0.12</v>
      </c>
      <c r="F33" s="8" t="n">
        <f aca="false">(F28*F29*F32-E28*E29*E32)/F31</f>
        <v>0.12</v>
      </c>
      <c r="G33" s="8" t="n">
        <f aca="false">(G28*G29*G32-F28*F29*F32)/G31</f>
        <v>0.12</v>
      </c>
      <c r="H33" s="8" t="n">
        <f aca="false">(H28*H29*H32-G28*G29*G32)/H31</f>
        <v>0.12</v>
      </c>
      <c r="I33" s="8" t="n">
        <f aca="false">(I28*I29*I32-H28*H29*H32)/I31</f>
        <v>0.12</v>
      </c>
      <c r="J33" s="8" t="n">
        <f aca="false">(J28*J29*J32-I28*I29*I32)/J31</f>
        <v>0.12</v>
      </c>
      <c r="K33" s="8" t="n">
        <f aca="false">(K28*K29*K32-J28*J29*J32)/K31</f>
        <v>0.12</v>
      </c>
      <c r="L33" s="8" t="n">
        <f aca="false">(L28*L29*L32-K28*K29*K32)/L31</f>
        <v>0.12</v>
      </c>
      <c r="M33" s="8" t="n">
        <f aca="false">(M28*M29*M32-L28*L29*L32)/M31</f>
        <v>0.12</v>
      </c>
      <c r="N33" s="8"/>
    </row>
    <row r="34" s="6" customFormat="true" ht="14.25" hidden="false" customHeight="false" outlineLevel="0" collapsed="false">
      <c r="A34" s="6" t="s">
        <v>53</v>
      </c>
      <c r="B34" s="6" t="n">
        <v>1</v>
      </c>
      <c r="C34" s="18" t="s">
        <v>54</v>
      </c>
      <c r="N34" s="45"/>
      <c r="O34" s="45"/>
      <c r="P34" s="45"/>
      <c r="Q34" s="45"/>
      <c r="R34" s="45"/>
      <c r="S34" s="45"/>
      <c r="T34" s="45"/>
    </row>
    <row r="35" s="6" customFormat="true" ht="12.75" hidden="false" customHeight="false" outlineLevel="0" collapsed="false">
      <c r="N35" s="45"/>
      <c r="O35" s="45"/>
      <c r="P35" s="45"/>
      <c r="Q35" s="45"/>
      <c r="R35" s="45"/>
      <c r="S35" s="45"/>
      <c r="T35" s="45"/>
    </row>
    <row r="36" s="6" customFormat="true" ht="12.75" hidden="false" customHeight="false" outlineLevel="0" collapsed="false">
      <c r="A36" s="6" t="s">
        <v>55</v>
      </c>
      <c r="B36" s="66" t="n">
        <f aca="false">C30/B30</f>
        <v>0.90483741803596</v>
      </c>
      <c r="C36" s="66" t="n">
        <f aca="false">D30/C30</f>
        <v>0.886920436717158</v>
      </c>
      <c r="D36" s="66" t="n">
        <f aca="false">E30/D30</f>
        <v>0.869358235398806</v>
      </c>
      <c r="E36" s="66" t="n">
        <f aca="false">F30/E30</f>
        <v>0.852143788966212</v>
      </c>
      <c r="F36" s="66" t="n">
        <f aca="false">G30/F30</f>
        <v>0.835270211411272</v>
      </c>
      <c r="G36" s="66" t="n">
        <f aca="false">H30/G30</f>
        <v>0.818730753077982</v>
      </c>
      <c r="H36" s="66" t="n">
        <f aca="false">I30/H30</f>
        <v>0.802518797962479</v>
      </c>
      <c r="I36" s="66" t="n">
        <f aca="false">J30/I30</f>
        <v>0.786627861066553</v>
      </c>
      <c r="J36" s="66" t="n">
        <f aca="false">K30/J30</f>
        <v>0.771051585803566</v>
      </c>
      <c r="K36" s="66" t="n">
        <f aca="false">L30/K30</f>
        <v>0.755783741455726</v>
      </c>
      <c r="L36" s="66" t="n">
        <f aca="false">M30/L30</f>
        <v>0.740818220681718</v>
      </c>
      <c r="M36" s="66" t="n">
        <f aca="false">N30/M30</f>
        <v>0.726149037073691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="6" customFormat="true" ht="12.75" hidden="false" customHeight="false" outlineLevel="0" collapsed="false">
      <c r="A37" s="6" t="s">
        <v>56</v>
      </c>
      <c r="B37" s="70" t="n">
        <f aca="false">EXP(-2*B31*B33/SQRT($B$34))</f>
        <v>1</v>
      </c>
      <c r="C37" s="70" t="n">
        <f aca="false">EXP(-2*C31*C33/SQRT($B$34))</f>
        <v>0.976285709757909</v>
      </c>
      <c r="D37" s="70" t="n">
        <f aca="false">EXP(-2*D31*D33/SQRT($B$34))</f>
        <v>0.971610767189123</v>
      </c>
      <c r="E37" s="70" t="n">
        <f aca="false">EXP(-2*E31*E33/SQRT($B$34))</f>
        <v>0.966958210575393</v>
      </c>
      <c r="F37" s="70" t="n">
        <f aca="false">EXP(-2*F31*F33/SQRT($B$34))</f>
        <v>0.96232793272161</v>
      </c>
      <c r="G37" s="70" t="n">
        <f aca="false">EXP(-2*G31*G33/SQRT($B$34))</f>
        <v>0.957719826945968</v>
      </c>
      <c r="H37" s="70" t="n">
        <f aca="false">EXP(-2*H31*H33/SQRT($B$34))</f>
        <v>0.953133787077505</v>
      </c>
      <c r="I37" s="70" t="n">
        <f aca="false">EXP(-2*I31*I33/SQRT($B$34))</f>
        <v>0.948569707453659</v>
      </c>
      <c r="J37" s="70" t="n">
        <f aca="false">EXP(-2*J31*J33/SQRT($B$34))</f>
        <v>0.944027482917836</v>
      </c>
      <c r="K37" s="70" t="n">
        <f aca="false">EXP(-2*K31*K33/SQRT($B$34))</f>
        <v>0.939507008816979</v>
      </c>
      <c r="L37" s="70" t="n">
        <f aca="false">EXP(-2*L31*L33/SQRT($B$34))</f>
        <v>0.935008180999166</v>
      </c>
      <c r="M37" s="70" t="n">
        <f aca="false">EXP(-2*M31*M33/SQRT($B$34))</f>
        <v>0.930530895811206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</row>
    <row r="38" s="6" customFormat="true" ht="12.75" hidden="false" customHeight="false" outlineLevel="0" collapsed="false">
      <c r="N38" s="45"/>
      <c r="O38" s="45"/>
      <c r="P38" s="45"/>
      <c r="Q38" s="45"/>
      <c r="R38" s="45"/>
      <c r="S38" s="45"/>
      <c r="T38" s="45"/>
    </row>
    <row r="39" s="6" customFormat="true" ht="12.75" hidden="false" customHeight="false" outlineLevel="0" collapsed="false">
      <c r="A39" s="6" t="s">
        <v>57</v>
      </c>
      <c r="B39" s="71" t="n">
        <v>100</v>
      </c>
      <c r="N39" s="45"/>
      <c r="O39" s="45"/>
      <c r="P39" s="45"/>
      <c r="Q39" s="45"/>
      <c r="R39" s="45"/>
      <c r="S39" s="45"/>
      <c r="T39" s="45"/>
    </row>
    <row r="40" s="6" customFormat="true" ht="12.75" hidden="false" customHeight="false" outlineLevel="0" collapsed="false">
      <c r="N40" s="45"/>
      <c r="O40" s="45"/>
      <c r="P40" s="45"/>
      <c r="Q40" s="45"/>
      <c r="R40" s="45"/>
      <c r="S40" s="45"/>
      <c r="T40" s="45"/>
    </row>
    <row r="41" s="3" customFormat="true" ht="12.75" hidden="false" customHeight="false" outlineLevel="0" collapsed="false">
      <c r="A41" s="2" t="s">
        <v>58</v>
      </c>
      <c r="B41" s="2"/>
      <c r="N41" s="56"/>
      <c r="O41" s="56"/>
      <c r="P41" s="56"/>
      <c r="Q41" s="56"/>
      <c r="R41" s="56"/>
      <c r="S41" s="56"/>
      <c r="T41" s="56"/>
    </row>
    <row r="42" s="6" customFormat="true" ht="12.75" hidden="false" customHeight="false" outlineLevel="0" collapsed="false">
      <c r="G42" s="72"/>
      <c r="N42" s="45"/>
      <c r="O42" s="45"/>
      <c r="P42" s="45"/>
      <c r="Q42" s="45"/>
      <c r="R42" s="45"/>
      <c r="S42" s="45"/>
      <c r="T42" s="45"/>
    </row>
    <row r="43" s="6" customFormat="true" ht="12.75" hidden="false" customHeight="false" outlineLevel="0" collapsed="false">
      <c r="B43" s="109"/>
      <c r="C43" s="109"/>
      <c r="D43" s="109"/>
      <c r="E43" s="109"/>
      <c r="F43" s="110" t="n">
        <f aca="false">$B$39*(F92-$B$107)*F67</f>
        <v>16.6670122516801</v>
      </c>
      <c r="G43" s="66"/>
      <c r="N43" s="45"/>
      <c r="O43" s="45"/>
      <c r="P43" s="45"/>
      <c r="Q43" s="45"/>
      <c r="R43" s="45"/>
      <c r="S43" s="45"/>
      <c r="T43" s="45"/>
    </row>
    <row r="44" s="6" customFormat="true" ht="12.75" hidden="false" customHeight="false" outlineLevel="0" collapsed="false">
      <c r="B44" s="109"/>
      <c r="C44" s="109"/>
      <c r="D44" s="109"/>
      <c r="E44" s="109" t="n">
        <f aca="false">0.5*(F43+F44)*E68+(E93-$B$107)*E68</f>
        <v>12.295382710882</v>
      </c>
      <c r="F44" s="110" t="n">
        <f aca="false">$B$39*(F93-$B$107)*F68</f>
        <v>13.4047917401281</v>
      </c>
      <c r="G44" s="66"/>
      <c r="N44" s="45"/>
      <c r="O44" s="45"/>
      <c r="P44" s="45"/>
      <c r="Q44" s="45"/>
      <c r="R44" s="45"/>
      <c r="S44" s="45"/>
      <c r="T44" s="45"/>
    </row>
    <row r="45" s="6" customFormat="true" ht="12.75" hidden="false" customHeight="false" outlineLevel="0" collapsed="false">
      <c r="B45" s="109"/>
      <c r="C45" s="109"/>
      <c r="D45" s="109" t="n">
        <f aca="false">0.5*(E44+E45)*D69+(D94-$B$107)*D69</f>
        <v>9.4573951119105</v>
      </c>
      <c r="E45" s="109" t="n">
        <f aca="false">0.5*(F44+F45)*E69+(E94-$B$107)*E69</f>
        <v>9.89736896649989</v>
      </c>
      <c r="F45" s="110" t="n">
        <f aca="false">$B$39*(F94-$B$107)*F69</f>
        <v>10.0148657069868</v>
      </c>
      <c r="G45" s="66"/>
      <c r="N45" s="45"/>
      <c r="O45" s="45"/>
      <c r="P45" s="45"/>
      <c r="Q45" s="45"/>
      <c r="R45" s="45"/>
      <c r="S45" s="45"/>
      <c r="T45" s="45"/>
    </row>
    <row r="46" s="6" customFormat="true" ht="12.75" hidden="false" customHeight="false" outlineLevel="0" collapsed="false">
      <c r="B46" s="109"/>
      <c r="C46" s="109" t="n">
        <f aca="false">0.5*(D45+D46)*C70+(C95-$B$107)*C70</f>
        <v>7.48097314082401</v>
      </c>
      <c r="D46" s="109" t="n">
        <f aca="false">0.5*(E45+E46)*D70+(D95-$B$107)*D70</f>
        <v>7.4946545876535</v>
      </c>
      <c r="E46" s="109" t="n">
        <f aca="false">0.5*(F45+F46)*E70+(E95-$B$107)*E70</f>
        <v>7.20957356042297</v>
      </c>
      <c r="F46" s="110" t="n">
        <f aca="false">$B$39*(F95-$B$107)*F70</f>
        <v>6.49223488866054</v>
      </c>
      <c r="G46" s="66"/>
      <c r="N46" s="45"/>
      <c r="O46" s="45"/>
      <c r="P46" s="45"/>
      <c r="Q46" s="45"/>
      <c r="R46" s="45"/>
      <c r="S46" s="45"/>
      <c r="T46" s="45"/>
    </row>
    <row r="47" s="6" customFormat="true" ht="12.75" hidden="false" customHeight="false" outlineLevel="0" collapsed="false">
      <c r="A47" s="6" t="s">
        <v>20</v>
      </c>
      <c r="B47" s="109" t="n">
        <f aca="false">0.5*(C46+C47)*B71+(B96-$B$107)*B71</f>
        <v>5.98635719237384</v>
      </c>
      <c r="C47" s="109" t="n">
        <f aca="false">0.5*(D46+D47)*C71+(C96-$B$107)*C71</f>
        <v>5.7005807714738</v>
      </c>
      <c r="D47" s="109" t="n">
        <f aca="false">0.5*(E46+E47)*D71+(D96-$B$107)*D71</f>
        <v>5.13944232301335</v>
      </c>
      <c r="E47" s="109" t="n">
        <f aca="false">0.5*(F46+F47)*E71+(E96-$B$107)*E71</f>
        <v>4.20657807741687</v>
      </c>
      <c r="F47" s="110" t="n">
        <f aca="false">$B$39*(F96-$B$107)*F71</f>
        <v>2.83170431633922</v>
      </c>
      <c r="G47" s="66"/>
      <c r="H47" s="76"/>
      <c r="I47" s="76"/>
      <c r="J47" s="76"/>
      <c r="K47" s="76"/>
      <c r="L47" s="76"/>
      <c r="M47" s="76"/>
      <c r="N47" s="45"/>
      <c r="O47" s="45"/>
      <c r="P47" s="45"/>
      <c r="Q47" s="45"/>
      <c r="R47" s="45"/>
      <c r="S47" s="45"/>
      <c r="T47" s="45"/>
    </row>
    <row r="48" s="6" customFormat="true" ht="12.75" hidden="false" customHeight="false" outlineLevel="0" collapsed="false">
      <c r="A48" s="60" t="s">
        <v>47</v>
      </c>
      <c r="B48" s="60" t="n">
        <v>0</v>
      </c>
      <c r="C48" s="60" t="n">
        <v>1</v>
      </c>
      <c r="D48" s="60" t="n">
        <v>2</v>
      </c>
      <c r="E48" s="60" t="n">
        <v>3</v>
      </c>
      <c r="F48" s="60" t="n">
        <v>4</v>
      </c>
      <c r="G48" s="60" t="n">
        <v>5</v>
      </c>
      <c r="N48" s="45"/>
      <c r="O48" s="45"/>
      <c r="P48" s="45"/>
      <c r="Q48" s="45"/>
      <c r="R48" s="45"/>
      <c r="S48" s="45"/>
      <c r="T48" s="45"/>
    </row>
    <row r="49" s="6" customFormat="true" ht="12.75" hidden="false" customHeight="false" outlineLevel="0" collapsed="false">
      <c r="G49" s="72"/>
      <c r="N49" s="45"/>
      <c r="O49" s="45"/>
      <c r="P49" s="45"/>
      <c r="Q49" s="45"/>
      <c r="R49" s="45"/>
      <c r="S49" s="45"/>
      <c r="T49" s="45"/>
    </row>
    <row r="50" s="3" customFormat="true" ht="12.75" hidden="false" customHeight="false" outlineLevel="0" collapsed="false">
      <c r="A50" s="2" t="s">
        <v>59</v>
      </c>
      <c r="B50" s="2"/>
      <c r="N50" s="56"/>
      <c r="O50" s="56"/>
      <c r="P50" s="56"/>
      <c r="Q50" s="56"/>
      <c r="R50" s="56"/>
      <c r="S50" s="56"/>
      <c r="T50" s="56"/>
    </row>
    <row r="51" s="6" customFormat="true" ht="12.75" hidden="false" customHeight="false" outlineLevel="0" collapsed="false">
      <c r="G51" s="72"/>
      <c r="N51" s="45"/>
      <c r="O51" s="45"/>
      <c r="P51" s="45"/>
      <c r="Q51" s="45"/>
      <c r="R51" s="45"/>
      <c r="S51" s="45"/>
      <c r="T51" s="45"/>
    </row>
    <row r="52" s="6" customFormat="true" ht="12.75" hidden="false" customHeight="false" outlineLevel="0" collapsed="false">
      <c r="A52" s="77" t="s">
        <v>60</v>
      </c>
      <c r="B52" s="78" t="n">
        <f aca="false">B37</f>
        <v>1</v>
      </c>
      <c r="C52" s="78" t="n">
        <f aca="false">1+PRODUCT($C37:C37)</f>
        <v>1.97628570975791</v>
      </c>
      <c r="D52" s="78" t="n">
        <f aca="false">1+PRODUCT($C37:D37)</f>
        <v>1.94856970745366</v>
      </c>
      <c r="E52" s="78" t="n">
        <f aca="false">1+PRODUCT($C37:E37)</f>
        <v>1.91722726692541</v>
      </c>
      <c r="F52" s="78" t="n">
        <f aca="false">1+PRODUCT($C37:F37)</f>
        <v>1.88267341961623</v>
      </c>
      <c r="G52" s="78" t="n">
        <f aca="false">1+PRODUCT($C37:G37)</f>
        <v>1.84535383468466</v>
      </c>
      <c r="H52" s="79" t="n">
        <f aca="false">1+PRODUCT($C37:H37)</f>
        <v>1.80573530187348</v>
      </c>
      <c r="I52" s="72"/>
      <c r="J52" s="72"/>
      <c r="K52" s="72"/>
      <c r="L52" s="72"/>
      <c r="M52" s="72"/>
      <c r="N52" s="45"/>
      <c r="O52" s="45"/>
      <c r="P52" s="45"/>
      <c r="Q52" s="45"/>
      <c r="R52" s="45"/>
      <c r="S52" s="45"/>
      <c r="T52" s="45"/>
    </row>
    <row r="53" s="6" customFormat="true" ht="12.75" hidden="false" customHeight="false" outlineLevel="0" collapsed="false">
      <c r="A53" s="80"/>
      <c r="B53" s="69"/>
      <c r="C53" s="65"/>
      <c r="D53" s="65" t="n">
        <f aca="false">1+PRODUCT($D37:D37)</f>
        <v>1.97161076718912</v>
      </c>
      <c r="E53" s="65" t="n">
        <f aca="false">1+PRODUCT($D37:E37)</f>
        <v>1.93950700881698</v>
      </c>
      <c r="F53" s="65" t="n">
        <f aca="false">1+PRODUCT($D37:F37)</f>
        <v>1.90411383757231</v>
      </c>
      <c r="G53" s="65" t="n">
        <f aca="false">1+PRODUCT($D37:G37)</f>
        <v>1.86588774805921</v>
      </c>
      <c r="H53" s="81" t="n">
        <f aca="false">1+PRODUCT($D37:H37)</f>
        <v>1.82530686849168</v>
      </c>
      <c r="I53" s="72"/>
      <c r="J53" s="72"/>
      <c r="K53" s="72"/>
      <c r="L53" s="72"/>
      <c r="M53" s="72"/>
      <c r="N53" s="45"/>
      <c r="O53" s="45"/>
      <c r="P53" s="45"/>
      <c r="Q53" s="45"/>
      <c r="R53" s="45"/>
      <c r="S53" s="45"/>
      <c r="T53" s="45"/>
    </row>
    <row r="54" s="6" customFormat="true" ht="12.75" hidden="false" customHeight="false" outlineLevel="0" collapsed="false">
      <c r="A54" s="80"/>
      <c r="B54" s="69"/>
      <c r="C54" s="69"/>
      <c r="D54" s="69"/>
      <c r="E54" s="65" t="n">
        <f aca="false">1+PRODUCT($E37:E37)</f>
        <v>1.96695821057539</v>
      </c>
      <c r="F54" s="65" t="n">
        <f aca="false">1+PRODUCT($E37:F37)</f>
        <v>1.93053089581121</v>
      </c>
      <c r="G54" s="65" t="n">
        <f aca="false">1+PRODUCT($E37:G37)</f>
        <v>1.89118788850418</v>
      </c>
      <c r="H54" s="81" t="n">
        <f aca="false">1+PRODUCT($E37:H37)</f>
        <v>1.8494212871676</v>
      </c>
      <c r="I54" s="72"/>
      <c r="J54" s="72"/>
      <c r="K54" s="72"/>
      <c r="L54" s="72"/>
      <c r="M54" s="72"/>
      <c r="N54" s="45"/>
      <c r="O54" s="45"/>
      <c r="P54" s="45"/>
      <c r="Q54" s="45"/>
      <c r="R54" s="45"/>
      <c r="S54" s="45"/>
      <c r="T54" s="45"/>
    </row>
    <row r="55" s="6" customFormat="true" ht="12.75" hidden="false" customHeight="false" outlineLevel="0" collapsed="false">
      <c r="A55" s="80"/>
      <c r="B55" s="69"/>
      <c r="C55" s="69"/>
      <c r="D55" s="69"/>
      <c r="E55" s="69"/>
      <c r="F55" s="65" t="n">
        <f aca="false">1+PRODUCT($F37:F37)</f>
        <v>1.96232793272161</v>
      </c>
      <c r="G55" s="65" t="n">
        <f aca="false">1+PRODUCT($F37:G37)</f>
        <v>1.92164054119141</v>
      </c>
      <c r="H55" s="81" t="n">
        <f aca="false">1+PRODUCT($F37:H37)</f>
        <v>1.87844673934993</v>
      </c>
      <c r="I55" s="72"/>
      <c r="J55" s="72"/>
      <c r="K55" s="72"/>
      <c r="L55" s="72"/>
      <c r="M55" s="72"/>
      <c r="N55" s="45"/>
      <c r="O55" s="45"/>
      <c r="P55" s="45"/>
      <c r="Q55" s="45"/>
      <c r="R55" s="45"/>
      <c r="S55" s="45"/>
      <c r="T55" s="45"/>
    </row>
    <row r="56" s="6" customFormat="true" ht="12.75" hidden="false" customHeight="false" outlineLevel="0" collapsed="false">
      <c r="A56" s="80"/>
      <c r="B56" s="69"/>
      <c r="C56" s="69"/>
      <c r="D56" s="69"/>
      <c r="E56" s="69"/>
      <c r="F56" s="69"/>
      <c r="G56" s="65" t="n">
        <f aca="false">1+PRODUCT($G37:G37)</f>
        <v>1.95771982694597</v>
      </c>
      <c r="H56" s="81" t="n">
        <f aca="false">1+PRODUCT($G37:H37)</f>
        <v>1.91283512561622</v>
      </c>
      <c r="I56" s="72"/>
      <c r="J56" s="72"/>
      <c r="K56" s="72"/>
      <c r="L56" s="72"/>
      <c r="M56" s="72"/>
      <c r="N56" s="45"/>
      <c r="O56" s="45"/>
      <c r="P56" s="45"/>
      <c r="Q56" s="45"/>
      <c r="R56" s="45"/>
      <c r="S56" s="45"/>
      <c r="T56" s="45"/>
    </row>
    <row r="57" s="6" customFormat="true" ht="12.75" hidden="false" customHeight="false" outlineLevel="0" collapsed="false">
      <c r="A57" s="80"/>
      <c r="B57" s="69"/>
      <c r="C57" s="69"/>
      <c r="D57" s="69"/>
      <c r="E57" s="69"/>
      <c r="F57" s="69"/>
      <c r="G57" s="65"/>
      <c r="H57" s="81" t="n">
        <f aca="false">1+PRODUCT($H37:H37)</f>
        <v>1.9531337870775</v>
      </c>
      <c r="I57" s="72"/>
      <c r="J57" s="72"/>
      <c r="K57" s="72"/>
      <c r="L57" s="72"/>
      <c r="M57" s="72"/>
      <c r="N57" s="45"/>
      <c r="O57" s="45"/>
      <c r="P57" s="45"/>
      <c r="Q57" s="45"/>
      <c r="R57" s="45"/>
      <c r="S57" s="45"/>
      <c r="T57" s="45"/>
    </row>
    <row r="58" s="6" customFormat="true" ht="12.75" hidden="false" customHeight="false" outlineLevel="0" collapsed="false">
      <c r="A58" s="80"/>
      <c r="B58" s="69"/>
      <c r="C58" s="69"/>
      <c r="D58" s="69"/>
      <c r="E58" s="69"/>
      <c r="F58" s="69"/>
      <c r="G58" s="65"/>
      <c r="H58" s="82"/>
      <c r="I58" s="72"/>
      <c r="J58" s="72"/>
      <c r="K58" s="72"/>
      <c r="L58" s="72"/>
      <c r="M58" s="72"/>
      <c r="N58" s="45"/>
      <c r="O58" s="45"/>
      <c r="P58" s="45"/>
      <c r="Q58" s="45"/>
      <c r="R58" s="45"/>
      <c r="S58" s="45"/>
      <c r="T58" s="45"/>
    </row>
    <row r="59" s="6" customFormat="true" ht="12.75" hidden="false" customHeight="false" outlineLevel="0" collapsed="false">
      <c r="A59" s="80" t="s">
        <v>61</v>
      </c>
      <c r="B59" s="69"/>
      <c r="C59" s="65" t="n">
        <f aca="false">PRODUCT(B52:B58)</f>
        <v>1</v>
      </c>
      <c r="D59" s="65" t="n">
        <f aca="false">PRODUCT(C52:C58)</f>
        <v>1.97628570975791</v>
      </c>
      <c r="E59" s="65" t="n">
        <f aca="false">PRODUCT(D52:D58)</f>
        <v>3.84182101583419</v>
      </c>
      <c r="F59" s="65" t="n">
        <f aca="false">PRODUCT(E52:E58)</f>
        <v>7.31408635161691</v>
      </c>
      <c r="G59" s="65" t="n">
        <f aca="false">PRODUCT(F52:F58)</f>
        <v>13.5805150909124</v>
      </c>
      <c r="H59" s="81" t="n">
        <f aca="false">PRODUCT(G52:G58)</f>
        <v>24.4975433189502</v>
      </c>
      <c r="I59" s="83"/>
      <c r="J59" s="83"/>
      <c r="K59" s="83"/>
      <c r="L59" s="83"/>
      <c r="M59" s="83"/>
      <c r="N59" s="45"/>
      <c r="O59" s="45"/>
      <c r="P59" s="45"/>
      <c r="Q59" s="45"/>
      <c r="R59" s="45"/>
      <c r="S59" s="45"/>
      <c r="T59" s="45"/>
    </row>
    <row r="60" s="6" customFormat="true" ht="12.75" hidden="false" customHeight="false" outlineLevel="0" collapsed="false">
      <c r="A60" s="80" t="s">
        <v>62</v>
      </c>
      <c r="B60" s="69"/>
      <c r="C60" s="65" t="n">
        <f aca="false">PRODUCT(C52:C58)</f>
        <v>1.97628570975791</v>
      </c>
      <c r="D60" s="65" t="n">
        <f aca="false">PRODUCT(D52:D58)</f>
        <v>3.84182101583419</v>
      </c>
      <c r="E60" s="65" t="n">
        <f aca="false">PRODUCT(E52:E58)</f>
        <v>7.31408635161691</v>
      </c>
      <c r="F60" s="65" t="n">
        <f aca="false">PRODUCT(F52:F58)</f>
        <v>13.5805150909124</v>
      </c>
      <c r="G60" s="65" t="n">
        <f aca="false">PRODUCT(G52:G58)</f>
        <v>24.4975433189502</v>
      </c>
      <c r="H60" s="81" t="n">
        <f aca="false">PRODUCT(H52:H58)</f>
        <v>42.779356307011</v>
      </c>
      <c r="I60" s="83"/>
      <c r="J60" s="83"/>
      <c r="K60" s="83"/>
      <c r="L60" s="83"/>
      <c r="M60" s="83"/>
      <c r="N60" s="45"/>
      <c r="O60" s="45"/>
      <c r="P60" s="45"/>
      <c r="Q60" s="45"/>
      <c r="R60" s="45"/>
      <c r="S60" s="45"/>
      <c r="T60" s="45"/>
    </row>
    <row r="61" s="6" customFormat="true" ht="12.75" hidden="false" customHeight="false" outlineLevel="0" collapsed="false">
      <c r="A61" s="80"/>
      <c r="B61" s="45"/>
      <c r="C61" s="45"/>
      <c r="D61" s="45"/>
      <c r="E61" s="45"/>
      <c r="F61" s="45"/>
      <c r="G61" s="45"/>
      <c r="H61" s="84"/>
      <c r="N61" s="45"/>
      <c r="O61" s="45"/>
      <c r="P61" s="45"/>
      <c r="Q61" s="45"/>
      <c r="R61" s="45"/>
      <c r="S61" s="45"/>
      <c r="T61" s="45"/>
    </row>
    <row r="62" customFormat="false" ht="12.75" hidden="false" customHeight="false" outlineLevel="0" collapsed="false">
      <c r="A62" s="85" t="s">
        <v>47</v>
      </c>
      <c r="B62" s="86" t="n">
        <v>0</v>
      </c>
      <c r="C62" s="86" t="n">
        <v>1</v>
      </c>
      <c r="D62" s="86" t="n">
        <v>2</v>
      </c>
      <c r="E62" s="86" t="n">
        <v>3</v>
      </c>
      <c r="F62" s="86" t="n">
        <v>4</v>
      </c>
      <c r="G62" s="86" t="n">
        <v>5</v>
      </c>
      <c r="H62" s="87" t="n">
        <v>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="6" customFormat="true" ht="12.75" hidden="false" customHeight="false" outlineLevel="0" collapsed="false">
      <c r="N63" s="45"/>
      <c r="O63" s="45"/>
      <c r="P63" s="45"/>
      <c r="Q63" s="45"/>
      <c r="R63" s="45"/>
      <c r="S63" s="45"/>
      <c r="T63" s="45"/>
    </row>
    <row r="64" s="6" customFormat="true" ht="12.75" hidden="false" customHeight="false" outlineLevel="0" collapsed="false">
      <c r="G64" s="72"/>
      <c r="M64" s="83"/>
      <c r="N64" s="45"/>
      <c r="O64" s="45"/>
      <c r="P64" s="45"/>
      <c r="Q64" s="45"/>
      <c r="R64" s="45"/>
      <c r="S64" s="45"/>
      <c r="T64" s="45"/>
    </row>
    <row r="65" s="6" customFormat="true" ht="12.75" hidden="false" customHeight="false" outlineLevel="0" collapsed="false">
      <c r="B65" s="8"/>
      <c r="C65" s="8"/>
      <c r="D65" s="8"/>
      <c r="E65" s="8"/>
      <c r="F65" s="8"/>
      <c r="G65" s="64"/>
      <c r="H65" s="64" t="n">
        <f aca="false">H66*H$37</f>
        <v>0.68912290885697</v>
      </c>
      <c r="I65" s="83"/>
      <c r="J65" s="83"/>
      <c r="K65" s="83"/>
      <c r="L65" s="83"/>
      <c r="M65" s="83"/>
      <c r="N65" s="45"/>
      <c r="O65" s="45"/>
      <c r="P65" s="45"/>
      <c r="Q65" s="45"/>
      <c r="R65" s="45"/>
      <c r="S65" s="45"/>
      <c r="T65" s="45"/>
    </row>
    <row r="66" s="6" customFormat="true" ht="12.75" hidden="false" customHeight="false" outlineLevel="0" collapsed="false">
      <c r="B66" s="64"/>
      <c r="C66" s="64"/>
      <c r="D66" s="64"/>
      <c r="E66" s="64"/>
      <c r="F66" s="64"/>
      <c r="G66" s="64" t="n">
        <f aca="false">G67*G$37</f>
        <v>0.731403778072743</v>
      </c>
      <c r="H66" s="64" t="n">
        <f aca="false">H67*H$37</f>
        <v>0.723007533884572</v>
      </c>
      <c r="I66" s="83"/>
      <c r="J66" s="83"/>
      <c r="K66" s="83"/>
      <c r="L66" s="83"/>
      <c r="M66" s="83"/>
      <c r="N66" s="45"/>
      <c r="O66" s="45"/>
      <c r="P66" s="45"/>
      <c r="Q66" s="45"/>
      <c r="R66" s="45"/>
      <c r="S66" s="45"/>
      <c r="T66" s="45"/>
    </row>
    <row r="67" s="6" customFormat="true" ht="12.75" hidden="false" customHeight="false" outlineLevel="0" collapsed="false">
      <c r="B67" s="64"/>
      <c r="C67" s="64"/>
      <c r="D67" s="64"/>
      <c r="E67" s="64"/>
      <c r="F67" s="64" t="n">
        <f aca="false">F68*F$37</f>
        <v>0.771601738410369</v>
      </c>
      <c r="G67" s="64" t="n">
        <f aca="false">G68*G$37</f>
        <v>0.763692843662938</v>
      </c>
      <c r="H67" s="64" t="n">
        <f aca="false">H68*H$37</f>
        <v>0.758558288130206</v>
      </c>
      <c r="I67" s="83"/>
      <c r="J67" s="83"/>
      <c r="K67" s="83"/>
      <c r="L67" s="83"/>
      <c r="M67" s="83"/>
      <c r="N67" s="45"/>
      <c r="O67" s="45"/>
      <c r="P67" s="45"/>
      <c r="Q67" s="45"/>
      <c r="R67" s="45"/>
      <c r="S67" s="45"/>
      <c r="T67" s="45"/>
    </row>
    <row r="68" s="6" customFormat="true" ht="12.75" hidden="false" customHeight="false" outlineLevel="0" collapsed="false">
      <c r="B68" s="64"/>
      <c r="C68" s="64"/>
      <c r="D68" s="64"/>
      <c r="E68" s="64" t="n">
        <f aca="false">E69*E$37</f>
        <v>0.809362427036033</v>
      </c>
      <c r="F68" s="64" t="n">
        <f aca="false">F69*F$37</f>
        <v>0.801807483887703</v>
      </c>
      <c r="G68" s="64" t="n">
        <f aca="false">G69*G$37</f>
        <v>0.797407365051892</v>
      </c>
      <c r="H68" s="64" t="n">
        <f aca="false">H69*H$37</f>
        <v>0.795857096259377</v>
      </c>
      <c r="I68" s="83"/>
      <c r="J68" s="83"/>
      <c r="K68" s="83"/>
      <c r="L68" s="83"/>
      <c r="M68" s="83"/>
      <c r="N68" s="45"/>
      <c r="O68" s="45"/>
      <c r="P68" s="45"/>
      <c r="Q68" s="45"/>
      <c r="R68" s="45"/>
      <c r="S68" s="45"/>
      <c r="T68" s="45"/>
    </row>
    <row r="69" s="6" customFormat="true" ht="12.75" hidden="false" customHeight="false" outlineLevel="0" collapsed="false">
      <c r="B69" s="64"/>
      <c r="C69" s="64"/>
      <c r="D69" s="64" t="n">
        <f aca="false">D70*D$37</f>
        <v>0.844356806105614</v>
      </c>
      <c r="E69" s="64" t="n">
        <f aca="false">E70*E$37</f>
        <v>0.83701903369166</v>
      </c>
      <c r="F69" s="64" t="n">
        <f aca="false">F70*F$37</f>
        <v>0.833195687898271</v>
      </c>
      <c r="G69" s="64" t="n">
        <f aca="false">G70*G$37</f>
        <v>0.832610271413833</v>
      </c>
      <c r="H69" s="64" t="n">
        <f aca="false">H70*H$37</f>
        <v>0.834989911227081</v>
      </c>
      <c r="I69" s="83"/>
      <c r="J69" s="83"/>
      <c r="K69" s="83"/>
      <c r="L69" s="83"/>
      <c r="M69" s="83"/>
      <c r="N69" s="45"/>
      <c r="O69" s="45"/>
      <c r="P69" s="45"/>
      <c r="Q69" s="45"/>
      <c r="R69" s="45"/>
      <c r="S69" s="45"/>
      <c r="T69" s="45"/>
    </row>
    <row r="70" s="6" customFormat="true" ht="12.75" hidden="false" customHeight="false" outlineLevel="0" collapsed="false">
      <c r="B70" s="64"/>
      <c r="C70" s="64" t="n">
        <f aca="false">C71*C$37</f>
        <v>0.876277902313299</v>
      </c>
      <c r="D70" s="64" t="n">
        <f aca="false">D71*D$37</f>
        <v>0.869027839767919</v>
      </c>
      <c r="E70" s="64" t="n">
        <f aca="false">E71*E$37</f>
        <v>0.865620690260842</v>
      </c>
      <c r="F70" s="64" t="n">
        <f aca="false">F71*F$37</f>
        <v>0.86581263991981</v>
      </c>
      <c r="G70" s="64" t="n">
        <f aca="false">G71*G$37</f>
        <v>0.869367270038575</v>
      </c>
      <c r="H70" s="64" t="n">
        <f aca="false">H71*H$37</f>
        <v>0.876046912351438</v>
      </c>
      <c r="I70" s="83"/>
      <c r="J70" s="83"/>
      <c r="K70" s="83"/>
      <c r="L70" s="83"/>
      <c r="M70" s="83"/>
      <c r="N70" s="45"/>
      <c r="O70" s="45"/>
      <c r="P70" s="45"/>
      <c r="Q70" s="45"/>
      <c r="R70" s="45"/>
      <c r="S70" s="45"/>
      <c r="T70" s="45"/>
    </row>
    <row r="71" s="6" customFormat="true" ht="12.75" hidden="false" customHeight="false" outlineLevel="0" collapsed="false">
      <c r="A71" s="1" t="s">
        <v>63</v>
      </c>
      <c r="B71" s="64" t="n">
        <f aca="false">B36</f>
        <v>0.90483741803596</v>
      </c>
      <c r="C71" s="64" t="n">
        <f aca="false">C36*C59/C60*2</f>
        <v>0.897562971121016</v>
      </c>
      <c r="D71" s="64" t="n">
        <f aca="false">D36*D59/D60*2</f>
        <v>0.894419729705161</v>
      </c>
      <c r="E71" s="64" t="n">
        <f aca="false">E36*E59/E60*2</f>
        <v>0.895199689907747</v>
      </c>
      <c r="F71" s="64" t="n">
        <f aca="false">F36*F59/F60*2</f>
        <v>0.899706441515378</v>
      </c>
      <c r="G71" s="64" t="n">
        <f aca="false">G36*G59/G60*2</f>
        <v>0.907746968976161</v>
      </c>
      <c r="H71" s="64" t="n">
        <f aca="false">H36*H59/H60*2</f>
        <v>0.919122713126737</v>
      </c>
      <c r="I71" s="83"/>
      <c r="J71" s="83"/>
      <c r="K71" s="83"/>
      <c r="L71" s="83"/>
      <c r="M71" s="83"/>
      <c r="N71" s="45"/>
      <c r="O71" s="45"/>
      <c r="P71" s="45"/>
      <c r="Q71" s="45"/>
      <c r="R71" s="45"/>
      <c r="S71" s="45"/>
      <c r="T71" s="45"/>
    </row>
    <row r="72" s="6" customFormat="true" ht="12.75" hidden="false" customHeight="false" outlineLevel="0" collapsed="false">
      <c r="A72" s="60" t="s">
        <v>47</v>
      </c>
      <c r="B72" s="88" t="n">
        <v>0</v>
      </c>
      <c r="C72" s="88" t="n">
        <v>1</v>
      </c>
      <c r="D72" s="88" t="n">
        <v>2</v>
      </c>
      <c r="E72" s="88" t="n">
        <v>3</v>
      </c>
      <c r="F72" s="88" t="n">
        <v>4</v>
      </c>
      <c r="G72" s="88" t="n">
        <v>5</v>
      </c>
      <c r="H72" s="88" t="n">
        <v>6</v>
      </c>
      <c r="N72" s="45"/>
      <c r="O72" s="45"/>
      <c r="P72" s="45"/>
      <c r="Q72" s="45"/>
      <c r="R72" s="45"/>
      <c r="S72" s="45"/>
      <c r="T72" s="45"/>
    </row>
    <row r="73" s="6" customFormat="true" ht="12.75" hidden="false" customHeight="false" outlineLevel="0" collapsed="false">
      <c r="B73" s="8"/>
      <c r="C73" s="8"/>
      <c r="D73" s="8"/>
      <c r="E73" s="8"/>
      <c r="F73" s="8"/>
      <c r="G73" s="8"/>
      <c r="H73" s="8"/>
      <c r="I73" s="89"/>
      <c r="N73" s="45"/>
      <c r="O73" s="45"/>
      <c r="P73" s="45"/>
      <c r="Q73" s="45"/>
      <c r="R73" s="45"/>
      <c r="S73" s="45"/>
      <c r="T73" s="45"/>
    </row>
    <row r="74" s="6" customFormat="true" ht="12.75" hidden="false" customHeight="false" outlineLevel="0" collapsed="false">
      <c r="B74" s="64"/>
      <c r="C74" s="64"/>
      <c r="D74" s="64"/>
      <c r="E74" s="64"/>
      <c r="F74" s="64"/>
      <c r="G74" s="64"/>
      <c r="H74" s="64" t="n">
        <f aca="false">-LN(H65)</f>
        <v>0.372335636567052</v>
      </c>
      <c r="I74" s="76"/>
      <c r="J74" s="76"/>
      <c r="K74" s="76"/>
      <c r="L74" s="76"/>
      <c r="M74" s="76"/>
      <c r="N74" s="45"/>
      <c r="O74" s="45"/>
      <c r="P74" s="45"/>
      <c r="Q74" s="45"/>
      <c r="R74" s="45"/>
      <c r="S74" s="45"/>
      <c r="T74" s="45"/>
    </row>
    <row r="75" s="6" customFormat="true" ht="12.75" hidden="false" customHeight="false" outlineLevel="0" collapsed="false">
      <c r="B75" s="64" t="s">
        <v>64</v>
      </c>
      <c r="C75" s="64"/>
      <c r="D75" s="64"/>
      <c r="E75" s="64"/>
      <c r="F75" s="64"/>
      <c r="G75" s="64" t="n">
        <f aca="false">-LN(G66)</f>
        <v>0.312789607744591</v>
      </c>
      <c r="H75" s="64" t="n">
        <f aca="false">-LN(H66)</f>
        <v>0.324335636567052</v>
      </c>
      <c r="I75" s="76"/>
      <c r="J75" s="76"/>
      <c r="K75" s="76"/>
      <c r="L75" s="76"/>
      <c r="M75" s="76"/>
      <c r="N75" s="45"/>
      <c r="O75" s="45"/>
      <c r="P75" s="45"/>
      <c r="Q75" s="45"/>
      <c r="R75" s="45"/>
      <c r="S75" s="45"/>
      <c r="T75" s="45"/>
    </row>
    <row r="76" s="6" customFormat="true" ht="12.75" hidden="false" customHeight="false" outlineLevel="0" collapsed="false">
      <c r="B76" s="64"/>
      <c r="C76" s="64"/>
      <c r="D76" s="64"/>
      <c r="E76" s="64"/>
      <c r="F76" s="64" t="n">
        <f aca="false">-LN(F67)</f>
        <v>0.259286744958843</v>
      </c>
      <c r="G76" s="64" t="n">
        <f aca="false">-LN(G67)</f>
        <v>0.269589607744591</v>
      </c>
      <c r="H76" s="64" t="n">
        <f aca="false">-LN(H67)</f>
        <v>0.276335636567052</v>
      </c>
      <c r="I76" s="76"/>
      <c r="J76" s="76"/>
      <c r="K76" s="76"/>
      <c r="L76" s="76"/>
      <c r="M76" s="76"/>
      <c r="N76" s="45"/>
      <c r="O76" s="45"/>
      <c r="P76" s="45"/>
      <c r="Q76" s="45"/>
      <c r="R76" s="45"/>
      <c r="S76" s="45"/>
      <c r="T76" s="45"/>
    </row>
    <row r="77" s="6" customFormat="true" ht="12.75" hidden="false" customHeight="false" outlineLevel="0" collapsed="false">
      <c r="B77" s="64"/>
      <c r="C77" s="64"/>
      <c r="D77" s="64"/>
      <c r="E77" s="64" t="n">
        <f aca="false">-LN(E68)</f>
        <v>0.211508468378866</v>
      </c>
      <c r="F77" s="64" t="n">
        <f aca="false">-LN(F68)</f>
        <v>0.220886744958843</v>
      </c>
      <c r="G77" s="64" t="n">
        <f aca="false">-LN(G68)</f>
        <v>0.226389607744591</v>
      </c>
      <c r="H77" s="64" t="n">
        <f aca="false">-LN(H68)</f>
        <v>0.228335636567052</v>
      </c>
      <c r="I77" s="76"/>
      <c r="J77" s="76"/>
      <c r="K77" s="76"/>
      <c r="L77" s="76"/>
      <c r="M77" s="76"/>
      <c r="N77" s="45"/>
      <c r="O77" s="45"/>
      <c r="P77" s="45"/>
      <c r="Q77" s="45"/>
      <c r="R77" s="45"/>
      <c r="S77" s="45"/>
      <c r="T77" s="45"/>
    </row>
    <row r="78" s="6" customFormat="true" ht="12.75" hidden="false" customHeight="false" outlineLevel="0" collapsed="false">
      <c r="B78" s="64"/>
      <c r="C78" s="64"/>
      <c r="D78" s="64" t="n">
        <f aca="false">-LN(D69)</f>
        <v>0.169180117673036</v>
      </c>
      <c r="E78" s="64" t="n">
        <f aca="false">-LN(E69)</f>
        <v>0.177908468378866</v>
      </c>
      <c r="F78" s="64" t="n">
        <f aca="false">-LN(F69)</f>
        <v>0.182486744958843</v>
      </c>
      <c r="G78" s="64" t="n">
        <f aca="false">-LN(G69)</f>
        <v>0.183189607744591</v>
      </c>
      <c r="H78" s="64" t="n">
        <f aca="false">-LN(H69)</f>
        <v>0.180335636567052</v>
      </c>
      <c r="I78" s="76"/>
      <c r="J78" s="76"/>
      <c r="K78" s="76"/>
      <c r="L78" s="76"/>
      <c r="M78" s="76"/>
      <c r="N78" s="45"/>
      <c r="O78" s="45"/>
      <c r="P78" s="45"/>
      <c r="Q78" s="45"/>
      <c r="R78" s="45"/>
      <c r="S78" s="45"/>
      <c r="T78" s="45"/>
    </row>
    <row r="79" s="6" customFormat="true" ht="12.75" hidden="false" customHeight="false" outlineLevel="0" collapsed="false">
      <c r="B79" s="64"/>
      <c r="C79" s="64" t="n">
        <f aca="false">-LN(C70)</f>
        <v>0.132071998272066</v>
      </c>
      <c r="D79" s="64" t="n">
        <f aca="false">-LN(D70)</f>
        <v>0.140380117673036</v>
      </c>
      <c r="E79" s="64" t="n">
        <f aca="false">-LN(E70)</f>
        <v>0.144308468378866</v>
      </c>
      <c r="F79" s="64" t="n">
        <f aca="false">-LN(F70)</f>
        <v>0.144086744958844</v>
      </c>
      <c r="G79" s="64" t="n">
        <f aca="false">-LN(G70)</f>
        <v>0.139989607744591</v>
      </c>
      <c r="H79" s="64" t="n">
        <f aca="false">-LN(H70)</f>
        <v>0.132335636567052</v>
      </c>
      <c r="I79" s="76"/>
      <c r="J79" s="76"/>
      <c r="K79" s="76"/>
      <c r="L79" s="76"/>
      <c r="M79" s="76"/>
      <c r="N79" s="45"/>
      <c r="O79" s="45"/>
      <c r="P79" s="45"/>
      <c r="Q79" s="45"/>
      <c r="R79" s="45"/>
      <c r="S79" s="45"/>
      <c r="T79" s="45"/>
    </row>
    <row r="80" s="6" customFormat="true" ht="12.75" hidden="false" customHeight="false" outlineLevel="0" collapsed="false">
      <c r="A80" s="1" t="s">
        <v>65</v>
      </c>
      <c r="B80" s="64" t="n">
        <f aca="false">-LN(B71)</f>
        <v>0.1</v>
      </c>
      <c r="C80" s="64" t="n">
        <f aca="false">-LN(C71)</f>
        <v>0.108071998272066</v>
      </c>
      <c r="D80" s="64" t="n">
        <f aca="false">-LN(D71)</f>
        <v>0.111580117673036</v>
      </c>
      <c r="E80" s="64" t="n">
        <f aca="false">-LN(E71)</f>
        <v>0.110708468378866</v>
      </c>
      <c r="F80" s="64" t="n">
        <f aca="false">-LN(F71)</f>
        <v>0.105686744958844</v>
      </c>
      <c r="G80" s="64" t="n">
        <f aca="false">-LN(G71)</f>
        <v>0.0967896077445907</v>
      </c>
      <c r="H80" s="64" t="n">
        <f aca="false">-LN(H71)</f>
        <v>0.0843356365670517</v>
      </c>
      <c r="I80" s="76"/>
      <c r="J80" s="76"/>
      <c r="K80" s="76"/>
      <c r="L80" s="76"/>
      <c r="M80" s="76"/>
      <c r="N80" s="45"/>
      <c r="O80" s="45"/>
      <c r="P80" s="45"/>
      <c r="Q80" s="45"/>
      <c r="R80" s="45"/>
      <c r="S80" s="45"/>
      <c r="T80" s="45"/>
    </row>
    <row r="81" s="6" customFormat="true" ht="12.75" hidden="false" customHeight="false" outlineLevel="0" collapsed="false">
      <c r="A81" s="60" t="s">
        <v>47</v>
      </c>
      <c r="B81" s="88" t="n">
        <v>0</v>
      </c>
      <c r="C81" s="88" t="n">
        <v>1</v>
      </c>
      <c r="D81" s="88" t="n">
        <v>2</v>
      </c>
      <c r="E81" s="88" t="n">
        <v>3</v>
      </c>
      <c r="F81" s="88" t="n">
        <v>4</v>
      </c>
      <c r="G81" s="88" t="n">
        <v>5</v>
      </c>
      <c r="H81" s="88" t="n">
        <v>6</v>
      </c>
      <c r="N81" s="45"/>
      <c r="O81" s="45"/>
      <c r="P81" s="45"/>
      <c r="Q81" s="45"/>
      <c r="R81" s="45"/>
      <c r="S81" s="45"/>
      <c r="T81" s="45"/>
    </row>
    <row r="82" s="6" customFormat="true" ht="12.75" hidden="false" customHeight="false" outlineLevel="0" collapsed="false">
      <c r="B82" s="8"/>
      <c r="C82" s="8"/>
      <c r="D82" s="8"/>
      <c r="E82" s="8"/>
      <c r="F82" s="8"/>
      <c r="G82" s="8"/>
      <c r="H82" s="8"/>
      <c r="N82" s="45"/>
      <c r="O82" s="45"/>
      <c r="P82" s="45"/>
      <c r="Q82" s="45"/>
      <c r="R82" s="45"/>
      <c r="S82" s="45"/>
      <c r="T82" s="45"/>
    </row>
    <row r="83" s="6" customFormat="true" ht="12.75" hidden="false" customHeight="false" outlineLevel="0" collapsed="false">
      <c r="B83" s="8"/>
      <c r="C83" s="8"/>
      <c r="D83" s="8"/>
      <c r="E83" s="8"/>
      <c r="F83" s="8"/>
      <c r="G83" s="8"/>
      <c r="H83" s="8" t="n">
        <f aca="false">(H74-H75)/(2*H$31)</f>
        <v>0.12</v>
      </c>
      <c r="N83" s="45"/>
      <c r="O83" s="45"/>
      <c r="P83" s="45"/>
      <c r="Q83" s="45"/>
      <c r="R83" s="45"/>
      <c r="S83" s="45"/>
      <c r="T83" s="45"/>
    </row>
    <row r="84" s="6" customFormat="true" ht="12.75" hidden="false" customHeight="false" outlineLevel="0" collapsed="false">
      <c r="B84" s="8"/>
      <c r="C84" s="8"/>
      <c r="D84" s="8"/>
      <c r="E84" s="8"/>
      <c r="F84" s="8"/>
      <c r="G84" s="8" t="n">
        <f aca="false">(G75-G76)/(2*G$31)</f>
        <v>0.12</v>
      </c>
      <c r="H84" s="8" t="n">
        <f aca="false">(H75-H76)/(2*H$31)</f>
        <v>0.12</v>
      </c>
      <c r="N84" s="45"/>
      <c r="O84" s="45"/>
      <c r="P84" s="45"/>
      <c r="Q84" s="45"/>
      <c r="R84" s="45"/>
      <c r="S84" s="45"/>
      <c r="T84" s="45"/>
    </row>
    <row r="85" s="6" customFormat="true" ht="12.75" hidden="false" customHeight="false" outlineLevel="0" collapsed="false">
      <c r="B85" s="8"/>
      <c r="C85" s="8"/>
      <c r="D85" s="8"/>
      <c r="E85" s="8"/>
      <c r="F85" s="8" t="n">
        <f aca="false">(F76-F77)/(2*F$31)</f>
        <v>0.12</v>
      </c>
      <c r="G85" s="8" t="n">
        <f aca="false">(G76-G77)/(2*G$31)</f>
        <v>0.12</v>
      </c>
      <c r="H85" s="8" t="n">
        <f aca="false">(H76-H77)/(2*H$31)</f>
        <v>0.12</v>
      </c>
      <c r="N85" s="45"/>
      <c r="O85" s="45"/>
      <c r="P85" s="45"/>
      <c r="Q85" s="45"/>
      <c r="R85" s="45"/>
      <c r="S85" s="45"/>
      <c r="T85" s="45"/>
    </row>
    <row r="86" s="6" customFormat="true" ht="12.75" hidden="false" customHeight="false" outlineLevel="0" collapsed="false">
      <c r="B86" s="8"/>
      <c r="C86" s="8"/>
      <c r="D86" s="8"/>
      <c r="E86" s="8" t="n">
        <f aca="false">(E77-E78)/(2*E$31)</f>
        <v>0.12</v>
      </c>
      <c r="F86" s="8" t="n">
        <f aca="false">(F77-F78)/(2*F$31)</f>
        <v>0.12</v>
      </c>
      <c r="G86" s="8" t="n">
        <f aca="false">(G77-G78)/(2*G$31)</f>
        <v>0.12</v>
      </c>
      <c r="H86" s="8" t="n">
        <f aca="false">(H77-H78)/(2*H$31)</f>
        <v>0.12</v>
      </c>
      <c r="N86" s="45"/>
      <c r="O86" s="45"/>
      <c r="P86" s="45"/>
      <c r="Q86" s="45"/>
      <c r="R86" s="45"/>
      <c r="S86" s="45"/>
      <c r="T86" s="45"/>
    </row>
    <row r="87" s="6" customFormat="true" ht="12.75" hidden="false" customHeight="false" outlineLevel="0" collapsed="false">
      <c r="B87" s="8"/>
      <c r="C87" s="8"/>
      <c r="D87" s="8" t="n">
        <f aca="false">(D78-D79)/(2*D$31)</f>
        <v>0.12</v>
      </c>
      <c r="E87" s="8" t="n">
        <f aca="false">(E78-E79)/(2*E$31)</f>
        <v>0.12</v>
      </c>
      <c r="F87" s="8" t="n">
        <f aca="false">(F78-F79)/(2*F$31)</f>
        <v>0.12</v>
      </c>
      <c r="G87" s="8" t="n">
        <f aca="false">(G78-G79)/(2*G$31)</f>
        <v>0.12</v>
      </c>
      <c r="H87" s="8" t="n">
        <f aca="false">(H78-H79)/(2*H$31)</f>
        <v>0.12</v>
      </c>
      <c r="N87" s="45"/>
      <c r="O87" s="45"/>
      <c r="P87" s="45"/>
      <c r="Q87" s="45"/>
      <c r="R87" s="45"/>
      <c r="S87" s="45"/>
      <c r="T87" s="45"/>
    </row>
    <row r="88" s="6" customFormat="true" ht="12.75" hidden="false" customHeight="false" outlineLevel="0" collapsed="false">
      <c r="A88" s="1" t="s">
        <v>66</v>
      </c>
      <c r="B88" s="8"/>
      <c r="C88" s="8" t="n">
        <f aca="false">(C79-C80)/(2*C$31)</f>
        <v>0.12</v>
      </c>
      <c r="D88" s="8" t="n">
        <f aca="false">(D79-D80)/(2*D$31)</f>
        <v>0.12</v>
      </c>
      <c r="E88" s="8" t="n">
        <f aca="false">(E79-E80)/(2*E$31)</f>
        <v>0.12</v>
      </c>
      <c r="F88" s="8" t="n">
        <f aca="false">(F79-F80)/(2*F$31)</f>
        <v>0.12</v>
      </c>
      <c r="G88" s="8" t="n">
        <f aca="false">(G79-G80)/(2*G$31)</f>
        <v>0.12</v>
      </c>
      <c r="H88" s="8" t="n">
        <f aca="false">(H79-H80)/(2*H$31)</f>
        <v>0.12</v>
      </c>
      <c r="N88" s="45"/>
      <c r="O88" s="45"/>
      <c r="P88" s="45"/>
      <c r="Q88" s="45"/>
      <c r="R88" s="45"/>
      <c r="S88" s="45"/>
      <c r="T88" s="45"/>
    </row>
    <row r="89" s="6" customFormat="true" ht="12.75" hidden="false" customHeight="false" outlineLevel="0" collapsed="false">
      <c r="A89" s="60" t="s">
        <v>47</v>
      </c>
      <c r="B89" s="60" t="n">
        <v>0</v>
      </c>
      <c r="C89" s="60" t="n">
        <v>1</v>
      </c>
      <c r="D89" s="60" t="n">
        <v>2</v>
      </c>
      <c r="E89" s="60" t="n">
        <v>3</v>
      </c>
      <c r="F89" s="60" t="n">
        <v>4</v>
      </c>
      <c r="G89" s="60" t="n">
        <v>5</v>
      </c>
      <c r="H89" s="60" t="n">
        <v>6</v>
      </c>
      <c r="N89" s="45"/>
      <c r="O89" s="45"/>
      <c r="P89" s="45"/>
      <c r="Q89" s="45"/>
      <c r="R89" s="45"/>
      <c r="S89" s="45"/>
      <c r="T89" s="45"/>
    </row>
    <row r="90" s="6" customFormat="true" ht="12.75" hidden="false" customHeight="false" outlineLevel="0" collapsed="false">
      <c r="N90" s="45"/>
      <c r="O90" s="45"/>
      <c r="P90" s="45"/>
      <c r="Q90" s="45"/>
      <c r="R90" s="45"/>
      <c r="S90" s="45"/>
      <c r="T90" s="45"/>
    </row>
    <row r="91" s="6" customFormat="true" ht="12.75" hidden="false" customHeight="false" outlineLevel="0" collapsed="false">
      <c r="G91" s="6" t="n">
        <f aca="false">EXP(G75)-1</f>
        <v>0.367233845352852</v>
      </c>
      <c r="N91" s="45"/>
      <c r="O91" s="45"/>
      <c r="P91" s="45"/>
      <c r="Q91" s="45"/>
      <c r="R91" s="45"/>
      <c r="S91" s="45"/>
      <c r="T91" s="45"/>
    </row>
    <row r="92" s="6" customFormat="true" ht="12.75" hidden="false" customHeight="false" outlineLevel="0" collapsed="false">
      <c r="F92" s="6" t="n">
        <f aca="false">EXP(F76)-1</f>
        <v>0.296005374560418</v>
      </c>
      <c r="G92" s="6" t="n">
        <f aca="false">EXP(G76)-1</f>
        <v>0.309426961766003</v>
      </c>
      <c r="N92" s="45"/>
      <c r="O92" s="45"/>
      <c r="P92" s="45"/>
      <c r="Q92" s="45"/>
      <c r="R92" s="45"/>
      <c r="S92" s="45"/>
      <c r="T92" s="45"/>
    </row>
    <row r="93" s="6" customFormat="true" ht="12.75" hidden="false" customHeight="false" outlineLevel="0" collapsed="false">
      <c r="E93" s="6" t="n">
        <f aca="false">EXP(E77)-1</f>
        <v>0.235540428608851</v>
      </c>
      <c r="F93" s="6" t="n">
        <f aca="false">EXP(F77)-1</f>
        <v>0.247182172896823</v>
      </c>
      <c r="G93" s="6" t="n">
        <f aca="false">EXP(G77)-1</f>
        <v>0.254064163220921</v>
      </c>
      <c r="N93" s="45"/>
      <c r="O93" s="45"/>
      <c r="P93" s="45"/>
      <c r="Q93" s="45"/>
      <c r="R93" s="45"/>
      <c r="S93" s="45"/>
      <c r="T93" s="45"/>
    </row>
    <row r="94" s="6" customFormat="true" ht="12.75" hidden="false" customHeight="false" outlineLevel="0" collapsed="false">
      <c r="D94" s="6" t="n">
        <f aca="false">EXP(D78)-1</f>
        <v>0.184333439096976</v>
      </c>
      <c r="E94" s="6" t="n">
        <f aca="false">EXP(E78)-1</f>
        <v>0.194715961941169</v>
      </c>
      <c r="F94" s="6" t="n">
        <f aca="false">EXP(F78)-1</f>
        <v>0.200198242171046</v>
      </c>
      <c r="G94" s="6" t="n">
        <f aca="false">EXP(G78)-1</f>
        <v>0.201042113379081</v>
      </c>
      <c r="N94" s="45"/>
      <c r="O94" s="45"/>
      <c r="P94" s="45"/>
      <c r="Q94" s="45"/>
      <c r="R94" s="45"/>
      <c r="S94" s="45"/>
      <c r="T94" s="45"/>
    </row>
    <row r="95" s="6" customFormat="true" ht="12.75" hidden="false" customHeight="false" outlineLevel="0" collapsed="false">
      <c r="C95" s="6" t="n">
        <f aca="false">EXP(C79)-1</f>
        <v>0.141190480052145</v>
      </c>
      <c r="D95" s="6" t="n">
        <f aca="false">EXP(D79)-1</f>
        <v>0.150711121368745</v>
      </c>
      <c r="E95" s="6" t="n">
        <f aca="false">EXP(E79)-1</f>
        <v>0.155240408704493</v>
      </c>
      <c r="F95" s="6" t="n">
        <f aca="false">EXP(F79)-1</f>
        <v>0.154984293244574</v>
      </c>
      <c r="G95" s="6" t="n">
        <f aca="false">EXP(G79)-1</f>
        <v>0.150261844980233</v>
      </c>
      <c r="N95" s="45"/>
      <c r="O95" s="45"/>
      <c r="P95" s="45"/>
      <c r="Q95" s="45"/>
      <c r="R95" s="45"/>
      <c r="S95" s="45"/>
      <c r="T95" s="45"/>
    </row>
    <row r="96" s="6" customFormat="true" ht="12.75" hidden="false" customHeight="false" outlineLevel="0" collapsed="false">
      <c r="A96" s="6" t="s">
        <v>67</v>
      </c>
      <c r="B96" s="6" t="n">
        <f aca="false">EXP(B80)-1</f>
        <v>0.105170918075648</v>
      </c>
      <c r="C96" s="6" t="n">
        <f aca="false">EXP(C80)-1</f>
        <v>0.114127957786677</v>
      </c>
      <c r="D96" s="6" t="n">
        <f aca="false">EXP(D80)-1</f>
        <v>0.118043315446142</v>
      </c>
      <c r="E96" s="6" t="n">
        <f aca="false">EXP(E80)-1</f>
        <v>0.117069198385282</v>
      </c>
      <c r="F96" s="6" t="n">
        <f aca="false">EXP(F80)-1</f>
        <v>0.111473647243981</v>
      </c>
      <c r="G96" s="6" t="n">
        <f aca="false">EXP(G80)-1</f>
        <v>0.101628575117019</v>
      </c>
      <c r="N96" s="45"/>
      <c r="O96" s="45"/>
      <c r="P96" s="45"/>
      <c r="Q96" s="45"/>
      <c r="R96" s="45"/>
      <c r="S96" s="45"/>
      <c r="T96" s="45"/>
    </row>
    <row r="97" s="6" customFormat="true" ht="12.75" hidden="false" customHeight="false" outlineLevel="0" collapsed="false">
      <c r="A97" s="60" t="s">
        <v>47</v>
      </c>
      <c r="B97" s="60" t="n">
        <v>0</v>
      </c>
      <c r="C97" s="60" t="n">
        <v>1</v>
      </c>
      <c r="D97" s="60" t="n">
        <v>2</v>
      </c>
      <c r="E97" s="60" t="n">
        <v>3</v>
      </c>
      <c r="F97" s="60" t="n">
        <v>4</v>
      </c>
      <c r="G97" s="60" t="n">
        <v>5</v>
      </c>
      <c r="N97" s="45"/>
      <c r="O97" s="45"/>
      <c r="P97" s="45"/>
      <c r="Q97" s="45"/>
      <c r="R97" s="45"/>
      <c r="S97" s="45"/>
      <c r="T97" s="45"/>
    </row>
    <row r="98" s="6" customFormat="true" ht="12.75" hidden="false" customHeight="false" outlineLevel="0" collapsed="false">
      <c r="N98" s="45"/>
      <c r="O98" s="45"/>
      <c r="P98" s="45"/>
      <c r="Q98" s="45"/>
      <c r="R98" s="45"/>
      <c r="S98" s="45"/>
      <c r="T98" s="45"/>
    </row>
    <row r="99" s="6" customFormat="true" ht="12.75" hidden="false" customHeight="false" outlineLevel="0" collapsed="false">
      <c r="N99" s="45"/>
      <c r="O99" s="45"/>
      <c r="P99" s="45"/>
      <c r="Q99" s="45"/>
      <c r="R99" s="45"/>
      <c r="S99" s="45"/>
      <c r="T99" s="45"/>
    </row>
    <row r="100" s="6" customFormat="true" ht="12.75" hidden="false" customHeight="false" outlineLevel="0" collapsed="false">
      <c r="F100" s="6" t="n">
        <f aca="false">$B$39*(1+F92)*F67</f>
        <v>100</v>
      </c>
      <c r="N100" s="45"/>
      <c r="O100" s="45"/>
      <c r="P100" s="45"/>
      <c r="Q100" s="45"/>
      <c r="R100" s="45"/>
      <c r="S100" s="45"/>
      <c r="T100" s="45"/>
    </row>
    <row r="101" s="6" customFormat="true" ht="12.75" hidden="false" customHeight="false" outlineLevel="0" collapsed="false">
      <c r="E101" s="6" t="n">
        <f aca="false">0.5*(F100+F101)*E68+$B$39*E93*E68</f>
        <v>100</v>
      </c>
      <c r="F101" s="6" t="n">
        <f aca="false">$B$39*(1+F93)*F68</f>
        <v>100</v>
      </c>
      <c r="N101" s="45"/>
      <c r="O101" s="45"/>
      <c r="P101" s="45"/>
      <c r="Q101" s="45"/>
      <c r="R101" s="45"/>
      <c r="S101" s="45"/>
      <c r="T101" s="45"/>
    </row>
    <row r="102" s="6" customFormat="true" ht="12.75" hidden="false" customHeight="false" outlineLevel="0" collapsed="false">
      <c r="D102" s="6" t="n">
        <f aca="false">0.5*(E101+E102)*D69+$B$39*D94*D69</f>
        <v>100</v>
      </c>
      <c r="E102" s="6" t="n">
        <f aca="false">0.5*(F101+F102)*E69+$B$39*E94*E69</f>
        <v>100</v>
      </c>
      <c r="F102" s="6" t="n">
        <f aca="false">$B$39*(1+F94)*F69</f>
        <v>100</v>
      </c>
      <c r="N102" s="45"/>
      <c r="O102" s="45"/>
      <c r="P102" s="45"/>
      <c r="Q102" s="45"/>
      <c r="R102" s="45"/>
      <c r="S102" s="45"/>
      <c r="T102" s="45"/>
    </row>
    <row r="103" s="6" customFormat="true" ht="12.75" hidden="false" customHeight="false" outlineLevel="0" collapsed="false">
      <c r="C103" s="6" t="n">
        <f aca="false">0.5*(D102+D103)*C70+$B$39*C95*C70</f>
        <v>100</v>
      </c>
      <c r="D103" s="6" t="n">
        <f aca="false">0.5*(E102+E103)*D70+$B$39*D95*D70</f>
        <v>100</v>
      </c>
      <c r="E103" s="6" t="n">
        <f aca="false">0.5*(F102+F103)*E70+$B$39*E95*E70</f>
        <v>100</v>
      </c>
      <c r="F103" s="6" t="n">
        <f aca="false">$B$39*(1+F95)*F70</f>
        <v>100</v>
      </c>
      <c r="N103" s="45"/>
      <c r="O103" s="45"/>
      <c r="P103" s="45"/>
      <c r="Q103" s="45"/>
      <c r="R103" s="45"/>
      <c r="S103" s="45"/>
      <c r="T103" s="45"/>
    </row>
    <row r="104" s="6" customFormat="true" ht="12.75" hidden="false" customHeight="false" outlineLevel="0" collapsed="false">
      <c r="A104" s="6" t="s">
        <v>68</v>
      </c>
      <c r="B104" s="105" t="n">
        <f aca="false">0.5*(C103+C104)*B71+$B$39*B96*B71</f>
        <v>100</v>
      </c>
      <c r="C104" s="6" t="n">
        <f aca="false">0.5*(D103+D104)*C71+$B$39*C96*C71</f>
        <v>100</v>
      </c>
      <c r="D104" s="6" t="n">
        <f aca="false">0.5*(E103+E104)*D71+$B$39*D96*D71</f>
        <v>100</v>
      </c>
      <c r="E104" s="6" t="n">
        <f aca="false">0.5*(F103+F104)*E71+$B$39*E96*E71</f>
        <v>100</v>
      </c>
      <c r="F104" s="6" t="n">
        <f aca="false">$B$39*(1+F96)*F71</f>
        <v>100</v>
      </c>
      <c r="N104" s="45"/>
      <c r="O104" s="45"/>
      <c r="P104" s="45"/>
      <c r="Q104" s="45"/>
      <c r="R104" s="45"/>
      <c r="S104" s="45"/>
      <c r="T104" s="45"/>
    </row>
    <row r="105" s="6" customFormat="true" ht="12.75" hidden="false" customHeight="false" outlineLevel="0" collapsed="false">
      <c r="A105" s="60" t="s">
        <v>47</v>
      </c>
      <c r="B105" s="60" t="n">
        <v>0</v>
      </c>
      <c r="C105" s="60" t="n">
        <v>1</v>
      </c>
      <c r="D105" s="60" t="n">
        <v>2</v>
      </c>
      <c r="E105" s="60" t="n">
        <v>3</v>
      </c>
      <c r="F105" s="60" t="n">
        <v>4</v>
      </c>
      <c r="G105" s="60" t="n">
        <v>5</v>
      </c>
      <c r="N105" s="45"/>
      <c r="O105" s="45"/>
      <c r="P105" s="45"/>
      <c r="Q105" s="45"/>
      <c r="R105" s="45"/>
      <c r="S105" s="45"/>
      <c r="T105" s="45"/>
    </row>
    <row r="106" s="6" customFormat="true" ht="12.75" hidden="false" customHeight="false" outlineLevel="0" collapsed="false">
      <c r="N106" s="45"/>
      <c r="O106" s="45"/>
      <c r="P106" s="45"/>
      <c r="Q106" s="45"/>
      <c r="R106" s="45"/>
      <c r="S106" s="45"/>
      <c r="T106" s="45"/>
    </row>
    <row r="107" customFormat="false" ht="12.75" hidden="false" customHeight="false" outlineLevel="0" collapsed="false">
      <c r="A107" s="1" t="s">
        <v>117</v>
      </c>
      <c r="B107" s="106" t="n">
        <v>0.08</v>
      </c>
      <c r="C107" s="107"/>
      <c r="D107" s="92"/>
      <c r="E107" s="92"/>
    </row>
    <row r="108" s="6" customFormat="true" ht="12.75" hidden="false" customHeight="false" outlineLevel="0" collapsed="false">
      <c r="A108" s="60" t="s">
        <v>47</v>
      </c>
      <c r="B108" s="60" t="n">
        <v>0</v>
      </c>
      <c r="C108" s="60" t="n">
        <v>1</v>
      </c>
      <c r="D108" s="60" t="n">
        <v>2</v>
      </c>
      <c r="E108" s="60" t="n">
        <v>3</v>
      </c>
      <c r="F108" s="60" t="n">
        <v>4</v>
      </c>
      <c r="G108" s="60" t="n">
        <v>5</v>
      </c>
      <c r="N108" s="45"/>
      <c r="O108" s="45"/>
      <c r="P108" s="45"/>
      <c r="Q108" s="45"/>
      <c r="R108" s="45"/>
      <c r="S108" s="45"/>
      <c r="T108" s="45"/>
    </row>
    <row r="110" customFormat="false" ht="12.75" hidden="false" customHeight="false" outlineLevel="0" collapsed="false">
      <c r="G110" s="1" t="n">
        <f aca="false">$B$39*(1+$B$107)</f>
        <v>108</v>
      </c>
    </row>
    <row r="111" customFormat="false" ht="12.75" hidden="false" customHeight="false" outlineLevel="0" collapsed="false">
      <c r="F111" s="6" t="n">
        <f aca="false">0.5*(G110+G111)*F67+$B$39*$B$107</f>
        <v>91.3329877483199</v>
      </c>
      <c r="G111" s="1" t="n">
        <f aca="false">$B$39*(1+$B$107)</f>
        <v>108</v>
      </c>
    </row>
    <row r="112" customFormat="false" ht="12.75" hidden="false" customHeight="false" outlineLevel="0" collapsed="false">
      <c r="E112" s="6" t="n">
        <f aca="false">0.5*(F111+F112)*E68+$B$39*$B$107</f>
        <v>83.2416479878107</v>
      </c>
      <c r="F112" s="6" t="n">
        <f aca="false">0.5*(G111+G112)*F68+$B$39*$B$107</f>
        <v>94.5952082598719</v>
      </c>
      <c r="G112" s="1" t="n">
        <f aca="false">$B$39*(1+$B$107)</f>
        <v>108</v>
      </c>
    </row>
    <row r="113" customFormat="false" ht="12.75" hidden="false" customHeight="false" outlineLevel="0" collapsed="false">
      <c r="D113" s="6" t="n">
        <f aca="false">0.5*(E112+E113)*D69+$B$39*$B$107</f>
        <v>80.5464419186903</v>
      </c>
      <c r="E113" s="6" t="n">
        <f aca="false">0.5*(F112+F113)*E69+$B$39*$B$107</f>
        <v>88.5967061158124</v>
      </c>
      <c r="F113" s="6" t="n">
        <f aca="false">0.5*(G112+G113)*F69+$B$39*$B$107</f>
        <v>97.9851342930132</v>
      </c>
      <c r="G113" s="1" t="n">
        <f aca="false">$B$39*(1+$B$107)</f>
        <v>108</v>
      </c>
    </row>
    <row r="114" customFormat="false" ht="12.75" hidden="false" customHeight="false" outlineLevel="0" collapsed="false">
      <c r="C114" s="6" t="n">
        <f aca="false">0.5*(D113+D114)*C70+$B$39*$B$107</f>
        <v>81.6231662422297</v>
      </c>
      <c r="D114" s="6" t="n">
        <f aca="false">0.5*(E113+E114)*D70+$B$39*$B$107</f>
        <v>87.4896709351677</v>
      </c>
      <c r="E114" s="6" t="n">
        <f aca="false">0.5*(F113+F114)*E70+$B$39*$B$107</f>
        <v>94.3425906422663</v>
      </c>
      <c r="F114" s="6" t="n">
        <f aca="false">0.5*(G113+G114)*F70+$B$39*$B$107</f>
        <v>101.507765111339</v>
      </c>
      <c r="G114" s="1" t="n">
        <f aca="false">$B$39*(1+$B$107)</f>
        <v>108</v>
      </c>
    </row>
    <row r="115" s="6" customFormat="true" ht="12.75" hidden="false" customHeight="false" outlineLevel="0" collapsed="false">
      <c r="A115" s="1" t="s">
        <v>118</v>
      </c>
      <c r="B115" s="105" t="n">
        <f aca="false">0.5*(C114+C115)*B71</f>
        <v>77.6276375297895</v>
      </c>
      <c r="C115" s="6" t="n">
        <f aca="false">0.5*(D114+D115)*C71+$B$39*$B$107</f>
        <v>89.9604486314525</v>
      </c>
      <c r="D115" s="6" t="n">
        <f aca="false">0.5*(E114+E115)*D71+$B$39*$B$107</f>
        <v>95.1391835709124</v>
      </c>
      <c r="E115" s="6" t="n">
        <f aca="false">0.5*(F114+F115)*E71+$B$39*$B$107</f>
        <v>100.508172767519</v>
      </c>
      <c r="F115" s="6" t="n">
        <f aca="false">0.5*(G114+G115)*F71+$B$39*$B$107</f>
        <v>105.168295683661</v>
      </c>
      <c r="G115" s="1" t="n">
        <f aca="false">$B$39*(1+$B$107)</f>
        <v>108</v>
      </c>
      <c r="N115" s="45"/>
      <c r="O115" s="45"/>
      <c r="P115" s="45"/>
      <c r="Q115" s="45"/>
      <c r="R115" s="45"/>
      <c r="S115" s="45"/>
      <c r="T115" s="45"/>
    </row>
    <row r="116" customFormat="false" ht="12.75" hidden="false" customHeight="false" outlineLevel="0" collapsed="false">
      <c r="B116" s="45"/>
      <c r="C116" s="33"/>
      <c r="D116" s="6"/>
    </row>
    <row r="117" customFormat="false" ht="12.75" hidden="false" customHeight="false" outlineLevel="0" collapsed="false">
      <c r="A117" s="1" t="s">
        <v>119</v>
      </c>
      <c r="B117" s="108" t="n">
        <f aca="false">B104-B115</f>
        <v>22.3723624702105</v>
      </c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2003-11-10T10:30:56Z</dcterms:created>
  <dc:creator>XP</dc:creator>
  <dc:description/>
  <dc:language>en-US</dc:language>
  <cp:lastModifiedBy>MIKE</cp:lastModifiedBy>
  <dcterms:modified xsi:type="dcterms:W3CDTF">2012-05-30T08:30:45Z</dcterms:modified>
  <cp:revision>0</cp:revision>
  <dc:subject/>
  <dc:title/>
</cp:coreProperties>
</file>