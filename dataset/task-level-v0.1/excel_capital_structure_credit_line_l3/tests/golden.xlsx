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roduction" sheetId="1" state="visible" r:id="rId3"/>
    <sheet name="Assigning Weights" sheetId="2" state="visible" r:id="rId4"/>
    <sheet name="Priorities &amp; Attributes" sheetId="3" state="visible" r:id="rId5"/>
    <sheet name="Credit Decision" sheetId="4" state="visible" r:id="rId6"/>
    <sheet name="Credit Line"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<sst xmlns="http://schemas.openxmlformats.org/spreadsheetml/2006/main" count="101" uniqueCount="90">
  <si>
    <t xml:space="preserve">Copyright 1999. All rights reserved.</t>
  </si>
  <si>
    <t xml:space="preserve">Version: 1 April 99</t>
  </si>
  <si>
    <t xml:space="preserve">Assignment of Judgmental Weights</t>
  </si>
  <si>
    <t xml:space="preserve">CB</t>
  </si>
  <si>
    <t xml:space="preserve">PR</t>
  </si>
  <si>
    <t xml:space="preserve">GL</t>
  </si>
  <si>
    <t xml:space="preserve">BP</t>
  </si>
  <si>
    <t xml:space="preserve">FS</t>
  </si>
  <si>
    <t xml:space="preserve">Customer background (CB)</t>
  </si>
  <si>
    <t xml:space="preserve">Payment record (PR)</t>
  </si>
  <si>
    <t xml:space="preserve">Geographical location (GL)</t>
  </si>
  <si>
    <t xml:space="preserve">Business potential (BP)</t>
  </si>
  <si>
    <t xml:space="preserve">Financial soundness (FS)</t>
  </si>
  <si>
    <t xml:space="preserve">Possible Scores</t>
  </si>
  <si>
    <t xml:space="preserve">Score</t>
  </si>
  <si>
    <t xml:space="preserve">Reciprocal</t>
  </si>
  <si>
    <t xml:space="preserve">Equal importance</t>
  </si>
  <si>
    <t xml:space="preserve">   An intermediate value</t>
  </si>
  <si>
    <t xml:space="preserve">Slightly favor one over the other</t>
  </si>
  <si>
    <t xml:space="preserve">Strong importance</t>
  </si>
  <si>
    <t xml:space="preserve">Very strong importance</t>
  </si>
  <si>
    <t xml:space="preserve">Absolute importance</t>
  </si>
  <si>
    <t xml:space="preserve">Calculation of Relative Importance of  Factors</t>
  </si>
  <si>
    <t xml:space="preserve">Totals</t>
  </si>
  <si>
    <t xml:space="preserve">Proportions</t>
  </si>
  <si>
    <t xml:space="preserve">Sums</t>
  </si>
  <si>
    <t xml:space="preserve">Averages</t>
  </si>
  <si>
    <t xml:space="preserve">Importance of Customer's Attributes</t>
  </si>
  <si>
    <t xml:space="preserve">Grant</t>
  </si>
  <si>
    <t xml:space="preserve">Deny</t>
  </si>
  <si>
    <t xml:space="preserve">Credit</t>
  </si>
  <si>
    <t xml:space="preserve">Strength</t>
  </si>
  <si>
    <t xml:space="preserve">Credit Decision Model</t>
  </si>
  <si>
    <t xml:space="preserve">       Customer's</t>
  </si>
  <si>
    <t xml:space="preserve">Relative</t>
  </si>
  <si>
    <t xml:space="preserve">Assessed</t>
  </si>
  <si>
    <t xml:space="preserve">Final</t>
  </si>
  <si>
    <t xml:space="preserve">Priority</t>
  </si>
  <si>
    <t xml:space="preserve">Weight</t>
  </si>
  <si>
    <t xml:space="preserve">Credit Decision Inputs</t>
  </si>
  <si>
    <t xml:space="preserve">  Expected sales</t>
  </si>
  <si>
    <t xml:space="preserve">  Profit margin</t>
  </si>
  <si>
    <t xml:space="preserve">                        Relative weight for granting credit</t>
  </si>
  <si>
    <t xml:space="preserve">                        Relative weight for denying credit</t>
  </si>
  <si>
    <t xml:space="preserve">Model</t>
  </si>
  <si>
    <t xml:space="preserve">Weight for granting credit</t>
  </si>
  <si>
    <t xml:space="preserve">x Profit margin</t>
  </si>
  <si>
    <t xml:space="preserve">x Expected sales</t>
  </si>
  <si>
    <t xml:space="preserve">= Expected margin</t>
  </si>
  <si>
    <t xml:space="preserve">Weight for denying credit</t>
  </si>
  <si>
    <t xml:space="preserve">x (1 - profit margin)</t>
  </si>
  <si>
    <t xml:space="preserve">= Expected cost</t>
  </si>
  <si>
    <t xml:space="preserve">Expected net benefit</t>
  </si>
  <si>
    <t xml:space="preserve">Click to the next page to see how much credit should be extended.</t>
  </si>
  <si>
    <t xml:space="preserve">Credit Line Range With Collateral</t>
  </si>
  <si>
    <t xml:space="preserve">Expected benefit is:</t>
  </si>
  <si>
    <t xml:space="preserve">     Sales</t>
  </si>
  <si>
    <t xml:space="preserve">     Profit margin</t>
  </si>
  <si>
    <t xml:space="preserve">     Profit with no default</t>
  </si>
  <si>
    <r>
      <rPr>
        <b val="true"/>
        <sz val="7"/>
        <rFont val="Arial"/>
        <family val="2"/>
      </rPr>
      <t xml:space="preserve">     However, </t>
    </r>
    <r>
      <rPr>
        <b val="true"/>
        <i val="true"/>
        <sz val="7"/>
        <rFont val="Arial"/>
        <family val="2"/>
      </rPr>
      <t xml:space="preserve">no </t>
    </r>
    <r>
      <rPr>
        <b val="true"/>
        <sz val="7"/>
        <rFont val="Arial"/>
        <family val="2"/>
      </rPr>
      <t xml:space="preserve">default is expected</t>
    </r>
  </si>
  <si>
    <t xml:space="preserve">     Thus, expected profit is</t>
  </si>
  <si>
    <t xml:space="preserve">A</t>
  </si>
  <si>
    <t xml:space="preserve">Expected cost is:</t>
  </si>
  <si>
    <t xml:space="preserve">     Cost percentage</t>
  </si>
  <si>
    <t xml:space="preserve">     Cost of sales</t>
  </si>
  <si>
    <t xml:space="preserve">     However, default is expected</t>
  </si>
  <si>
    <t xml:space="preserve">     Thus, expected cost is</t>
  </si>
  <si>
    <t xml:space="preserve">B</t>
  </si>
  <si>
    <t xml:space="preserve">Expected gain or (loss) without collateral</t>
  </si>
  <si>
    <t xml:space="preserve">A - B</t>
  </si>
  <si>
    <r>
      <rPr>
        <b val="true"/>
        <i val="true"/>
        <sz val="8"/>
        <color rgb="FFFF0000"/>
        <rFont val="Arial"/>
        <family val="2"/>
      </rPr>
      <t xml:space="preserve">                                             </t>
    </r>
    <r>
      <rPr>
        <b val="true"/>
        <i val="true"/>
        <u val="single"/>
        <sz val="8"/>
        <color rgb="FFFF0000"/>
        <rFont val="Arial"/>
        <family val="2"/>
      </rPr>
      <t xml:space="preserve">Let's look at expected profit for different scenarios with collateral:</t>
    </r>
  </si>
  <si>
    <t xml:space="preserve">  % Profit Margin from Selling the Collateral as Stated in Sales $</t>
  </si>
  <si>
    <t xml:space="preserve">Expected sales </t>
  </si>
  <si>
    <t xml:space="preserve">The optimal amount of collateral is</t>
  </si>
  <si>
    <t xml:space="preserve">And the appropriate credit line is</t>
  </si>
  <si>
    <t xml:space="preserve">Investment = Collateral x (1 - profit margin)</t>
  </si>
  <si>
    <t xml:space="preserve">C</t>
  </si>
  <si>
    <t xml:space="preserve">If default occurs and profit is based on the</t>
  </si>
  <si>
    <r>
      <rPr>
        <b val="true"/>
        <sz val="7"/>
        <color rgb="FF0000FF"/>
        <rFont val="Arial"/>
        <family val="2"/>
      </rPr>
      <t xml:space="preserve">   </t>
    </r>
    <r>
      <rPr>
        <b val="true"/>
        <i val="true"/>
        <sz val="7"/>
        <color rgb="FF0000FF"/>
        <rFont val="Arial"/>
        <family val="2"/>
      </rPr>
      <t xml:space="preserve">investment</t>
    </r>
    <r>
      <rPr>
        <b val="true"/>
        <sz val="7"/>
        <color rgb="FF0000FF"/>
        <rFont val="Arial"/>
        <family val="2"/>
      </rPr>
      <t xml:space="preserve"> in the collateral, profit margin is</t>
    </r>
  </si>
  <si>
    <t xml:space="preserve">D</t>
  </si>
  <si>
    <t xml:space="preserve">Collateral value exceeds collateral investment by</t>
  </si>
  <si>
    <t xml:space="preserve">C x D</t>
  </si>
  <si>
    <t xml:space="preserve">Lost investment on credit line if default occurs</t>
  </si>
  <si>
    <t xml:space="preserve">   = Credit line x (1 - profit margin)</t>
  </si>
  <si>
    <t xml:space="preserve">Total gain (loss) on line &amp; collateral is </t>
  </si>
  <si>
    <t xml:space="preserve">However, default is expected to occur </t>
  </si>
  <si>
    <t xml:space="preserve">Thus, expected gain or (loss) on line &amp; collateral</t>
  </si>
  <si>
    <r>
      <rPr>
        <b val="true"/>
        <sz val="7"/>
        <rFont val="Arial"/>
        <family val="2"/>
      </rPr>
      <t xml:space="preserve">Expected benefit (see </t>
    </r>
    <r>
      <rPr>
        <b val="true"/>
        <sz val="7"/>
        <color rgb="FFFF0000"/>
        <rFont val="Arial"/>
        <family val="2"/>
      </rPr>
      <t xml:space="preserve">A</t>
    </r>
    <r>
      <rPr>
        <b val="true"/>
        <sz val="7"/>
        <rFont val="Arial"/>
        <family val="2"/>
      </rPr>
      <t xml:space="preserve"> above)</t>
    </r>
  </si>
  <si>
    <t xml:space="preserve">Overall expected profit or (loss)</t>
  </si>
  <si>
    <t xml:space="preserve">Overall gain or (loss) as % of sales</t>
  </si>
</sst>
</file>

<file path=xl/styles.xml><?xml version="1.0" encoding="utf-8"?>
<styleSheet xmlns="http://schemas.openxmlformats.org/spreadsheetml/2006/main">
  <numFmts count="81">
    <numFmt numFmtId="164" formatCode="General"/>
    <numFmt numFmtId="165" formatCode="_-* #,##0\ _F_-;\-* #,##0\ _F_-;_-* &quot;- &quot;_F_-;_-@_-"/>
    <numFmt numFmtId="166" formatCode="yyddmm"/>
    <numFmt numFmtId="167" formatCode="mmmddyyyy"/>
    <numFmt numFmtId="168" formatCode="yyyymmmdd"/>
    <numFmt numFmtId="169" formatCode="[$-409]#,##0_);[RED]\(#,##0\)"/>
    <numFmt numFmtId="170" formatCode="\$#,##0_);[RED]&quot;($&quot;#,##0\)"/>
    <numFmt numFmtId="171" formatCode="0.00&quot;  &quot;"/>
    <numFmt numFmtId="172" formatCode="mmm\.yy"/>
    <numFmt numFmtId="173" formatCode="_ * #,##0_)_£_ ;_ * \(#,##0\)_£_ ;_ * \-_)_£_ ;_ @_ "/>
    <numFmt numFmtId="174" formatCode="yyddmmmm"/>
    <numFmt numFmtId="175" formatCode="_-* #,##0.00\ _F_-;\-* #,##0.00\ _F_-;_-* \-??\ _F_-;_-@_-"/>
    <numFmt numFmtId="176" formatCode="ddmmyy"/>
    <numFmt numFmtId="177" formatCode="000"/>
    <numFmt numFmtId="178" formatCode="0000&quot; - &quot;0000"/>
    <numFmt numFmtId="179" formatCode="[$-409]#,##0.00_);[RED]\(#,##0.00\)"/>
    <numFmt numFmtId="180" formatCode="\$#,##0.00_);[RED]&quot;($&quot;#,##0.00\)"/>
    <numFmt numFmtId="181" formatCode="0.0&quot;  &quot;"/>
    <numFmt numFmtId="182" formatCode="\$#,##0\ ;[RED]&quot;($&quot;#,##0\)"/>
    <numFmt numFmtId="183" formatCode="m\-d\-yy"/>
    <numFmt numFmtId="184" formatCode="_(\$* #,##0.000_);_(\$* \(#,##0.000\);_(\$* \-??_);_(@_)"/>
    <numFmt numFmtId="185" formatCode="_(* #,##0_);_(* \(#,##0\);_(* \-_);_(@_)"/>
    <numFmt numFmtId="186" formatCode="yymmmdd"/>
    <numFmt numFmtId="187" formatCode="#,##0.00"/>
    <numFmt numFmtId="188" formatCode="ddmmmmyyyy"/>
    <numFmt numFmtId="189" formatCode="\$____#########0_);[RED]&quot;($&quot;____#######0\)"/>
    <numFmt numFmtId="190" formatCode="0.000"/>
    <numFmt numFmtId="191" formatCode=".00"/>
    <numFmt numFmtId="192" formatCode="_(* #,##0.00_);_(* \(#,##0.00\);_(* \-??_);_(@_)"/>
    <numFmt numFmtId="193" formatCode="[$-409]#,##0_);\(#,##0\)"/>
    <numFmt numFmtId="194" formatCode="ddmmmyy"/>
    <numFmt numFmtId="195" formatCode="mmmmddyy"/>
    <numFmt numFmtId="196" formatCode="\$_##,##0_);[RED]&quot;($&quot;_#\,##0\)"/>
    <numFmt numFmtId="197" formatCode="_(* #,##0_);_(* \(#,##0\);_(* &quot;0.0&quot;_);_(@_)"/>
    <numFmt numFmtId="198" formatCode="_(\$* #,##0_);_(\$* \(#,##0\);_(\$* \-_);_(@_)"/>
    <numFmt numFmtId="199" formatCode="#,##0\£_);[RED]\(#,##0&quot;£)&quot;"/>
    <numFmt numFmtId="200" formatCode="_(* #,##0.0_);_(* \(#,##0.0\);_(* &quot;0.0&quot;_);_(@_)"/>
    <numFmt numFmtId="201" formatCode="0.00000&quot;  &quot;"/>
    <numFmt numFmtId="202" formatCode="d\.m\.yy\ h:mm"/>
    <numFmt numFmtId="203" formatCode="#,##0.000_);\(#,##0.000\)"/>
    <numFmt numFmtId="204" formatCode="_-* #,##0.0_-;\-* #,##0.0_-;_-* \-??_-;_-@_-"/>
    <numFmt numFmtId="205" formatCode="yyyyddmm"/>
    <numFmt numFmtId="206" formatCode="\£#,##0;[RED]&quot;-£&quot;#,##0"/>
    <numFmt numFmtId="207" formatCode="_-* #,##0&quot; F&quot;_-;\-* #,##0&quot; F&quot;_-;_-* &quot;- F&quot;_-;_-@_-"/>
    <numFmt numFmtId="208" formatCode="_-\£* #,##0_-;&quot;-£&quot;* #,##0_-;_-\£* \-_-;_-@_-"/>
    <numFmt numFmtId="209" formatCode="mmmmddyyyy"/>
    <numFmt numFmtId="210" formatCode="yyyyddmmmm"/>
    <numFmt numFmtId="211" formatCode="_-\£* #,##0.00_-;&quot;-£&quot;* #,##0.00_-;_-\£* \-??_-;_-@_-"/>
    <numFmt numFmtId="212" formatCode="_(* #,##0.0000_);_(* \(#,##0.0000\);_(* \-??_);_(@_)"/>
    <numFmt numFmtId="213" formatCode=".0"/>
    <numFmt numFmtId="214" formatCode="_(\$* #,##0.00_);_(\$* \(#,##0.00\);_(\$* \-??_);_(@_)"/>
    <numFmt numFmtId="215" formatCode="#,##0.00\£_);\(#,##0.00&quot;£)&quot;"/>
    <numFmt numFmtId="216" formatCode="_(\$* #,##0.0_);_(\$* \(#,##0.0\);_(\$* &quot;0.0&quot;_);_(@_)"/>
    <numFmt numFmtId="217" formatCode="#,##0.000_);[RED]\(#,##0.000\)"/>
    <numFmt numFmtId="218" formatCode="0&quot;  &quot;"/>
    <numFmt numFmtId="219" formatCode="0.0000%"/>
    <numFmt numFmtId="220" formatCode="\£#,##0.00;[RED]&quot;-£&quot;#,##0.00"/>
    <numFmt numFmtId="221" formatCode="_-* #,##0.00&quot; F&quot;_-;\-* #,##0.00&quot; F&quot;_-;_-* \-??&quot; F&quot;_-;_-@_-"/>
    <numFmt numFmtId="222" formatCode="yymmmmdd"/>
    <numFmt numFmtId="223" formatCode="[BLUE]General"/>
    <numFmt numFmtId="224" formatCode="#,##0\£_);\(#,##0&quot;£)&quot;"/>
    <numFmt numFmtId="225" formatCode="0.00"/>
    <numFmt numFmtId="226" formatCode="#,##0.00&quot; $&quot;;[RED]\-#,##0.00&quot; $&quot;"/>
    <numFmt numFmtId="227" formatCode="yyyyddmmm"/>
    <numFmt numFmtId="228" formatCode="m/d/yyyy"/>
    <numFmt numFmtId="229" formatCode="#,##0.00&quot; $&quot;;\-#,##0.00&quot; $&quot;"/>
    <numFmt numFmtId="230" formatCode="0.00_)"/>
    <numFmt numFmtId="231" formatCode="d/m/yy\ h:mm"/>
    <numFmt numFmtId="232" formatCode="0"/>
    <numFmt numFmtId="233" formatCode="#,##0"/>
    <numFmt numFmtId="234" formatCode="General_)"/>
    <numFmt numFmtId="235" formatCode="#,##0.0_);\(#,##0.0\)"/>
    <numFmt numFmtId="236" formatCode="_-* #,##0.000_-;\-* #,##0.000_-;_-* \-??_-;_-@_-"/>
    <numFmt numFmtId="237" formatCode="0.00%"/>
    <numFmt numFmtId="238" formatCode="0.0000"/>
    <numFmt numFmtId="239" formatCode="General"/>
    <numFmt numFmtId="240" formatCode="#,##0.0000"/>
    <numFmt numFmtId="241" formatCode="\$#,##0_);&quot;($&quot;#,##0\)"/>
    <numFmt numFmtId="242" formatCode="#,##0.000"/>
    <numFmt numFmtId="243" formatCode="_(\$* #,##0_);_(\$* \(#,##0\);_(\$* \-??_);_(@_)"/>
    <numFmt numFmtId="244" formatCode="_(* #,##0_);_(* \(#,##0\);_(* \-??_);_(@_)"/>
  </numFmts>
  <fonts count="100">
    <font>
      <sz val="9"/>
      <name val="Arial"/>
      <family val="0"/>
    </font>
    <font>
      <sz val="10"/>
      <name val="Arial"/>
      <family val="0"/>
    </font>
    <font>
      <sz val="10"/>
      <name val="Arial"/>
      <family val="0"/>
    </font>
    <font>
      <sz val="10"/>
      <name val="Arial"/>
      <family val="0"/>
    </font>
    <font>
      <sz val="10"/>
      <name val="MS Sans Serif"/>
      <family val="2"/>
    </font>
    <font>
      <sz val="12"/>
      <name val="???"/>
      <family val="3"/>
      <charset val="129"/>
    </font>
    <font>
      <sz val="12"/>
      <name val="???"/>
      <family val="1"/>
      <charset val="129"/>
    </font>
    <font>
      <sz val="10"/>
      <name val="???"/>
      <family val="3"/>
      <charset val="129"/>
    </font>
    <font>
      <sz val="11"/>
      <name val="??"/>
      <family val="3"/>
      <charset val="129"/>
    </font>
    <font>
      <sz val="10"/>
      <name val="Arial"/>
      <family val="2"/>
    </font>
    <font>
      <sz val="11"/>
      <name val="???"/>
      <family val="1"/>
      <charset val="129"/>
    </font>
    <font>
      <sz val="11"/>
      <name val="???"/>
      <family val="3"/>
      <charset val="129"/>
    </font>
    <font>
      <b val="true"/>
      <sz val="10"/>
      <name val="Arial"/>
      <family val="0"/>
    </font>
    <font>
      <sz val="8"/>
      <name val="Arial"/>
      <family val="2"/>
    </font>
    <font>
      <b val="true"/>
      <u val="single"/>
      <sz val="11"/>
      <color rgb="FF800000"/>
      <name val="Arial"/>
      <family val="2"/>
    </font>
    <font>
      <sz val="10"/>
      <color rgb="FF0000FF"/>
      <name val="Arial"/>
      <family val="2"/>
    </font>
    <font>
      <sz val="7"/>
      <name val="Small Fonts"/>
      <family val="0"/>
    </font>
    <font>
      <b val="true"/>
      <i val="true"/>
      <sz val="16"/>
      <name val="Arial"/>
      <family val="0"/>
    </font>
    <font>
      <sz val="10"/>
      <name val="Courier New"/>
      <family val="0"/>
    </font>
    <font>
      <sz val="8"/>
      <name val="Arial"/>
      <family val="0"/>
    </font>
    <font>
      <sz val="20"/>
      <name val="Letter Gothic (W1)"/>
      <family val="0"/>
    </font>
    <font>
      <sz val="12"/>
      <name val="Arial"/>
      <family val="2"/>
    </font>
    <font>
      <sz val="10"/>
      <name val="MS Sans Serif"/>
      <family val="0"/>
    </font>
    <font>
      <sz val="12"/>
      <name val="Courier New"/>
      <family val="3"/>
    </font>
    <font>
      <sz val="8"/>
      <name val="Courier New"/>
      <family val="3"/>
    </font>
    <font>
      <sz val="10"/>
      <name val="Geneva"/>
      <family val="2"/>
    </font>
    <font>
      <sz val="10"/>
      <name val="Book Antiqua"/>
      <family val="1"/>
    </font>
    <font>
      <sz val="10"/>
      <name val="Geneva"/>
      <family val="0"/>
    </font>
    <font>
      <sz val="12"/>
      <name val="Times New Roman"/>
      <family val="0"/>
    </font>
    <font>
      <sz val="10"/>
      <name val="Times New Roman"/>
      <family val="0"/>
    </font>
    <font>
      <sz val="10"/>
      <name val="Times New Roman"/>
      <family val="1"/>
    </font>
    <font>
      <sz val="8"/>
      <name val=""/>
      <family val="0"/>
    </font>
    <font>
      <sz val="12"/>
      <name val="Arial"/>
      <family val="0"/>
    </font>
    <font>
      <sz val="12"/>
      <name val="Times New Roman"/>
      <family val="1"/>
    </font>
    <font>
      <sz val="10"/>
      <name val="Courier New"/>
      <family val="3"/>
    </font>
    <font>
      <sz val="10"/>
      <name val="Univers (W1)"/>
      <family val="0"/>
    </font>
    <font>
      <sz val="12"/>
      <name val="Arial MT"/>
      <family val="0"/>
    </font>
    <font>
      <sz val="10"/>
      <name val="Univers (W1)"/>
      <family val="2"/>
    </font>
    <font>
      <b val="true"/>
      <sz val="14"/>
      <name val="Times New Roman"/>
      <family val="1"/>
    </font>
    <font>
      <b val="true"/>
      <sz val="14"/>
      <name val="Times New Roman"/>
      <family val="0"/>
    </font>
    <font>
      <sz val="14"/>
      <name val="AngsanaUPC"/>
      <family val="1"/>
    </font>
    <font>
      <sz val="7"/>
      <name val="Arial"/>
      <family val="2"/>
    </font>
    <font>
      <sz val="9"/>
      <name val="Arial Narrow"/>
      <family val="2"/>
    </font>
    <font>
      <sz val="7"/>
      <name val="Arial"/>
      <family val="0"/>
    </font>
    <font>
      <sz val="12"/>
      <name val="EucrosiaUPC"/>
      <family val="1"/>
    </font>
    <font>
      <sz val="14"/>
      <name val="CordiaUPC"/>
      <family val="1"/>
    </font>
    <font>
      <sz val="10"/>
      <name val="Advisor SSi"/>
      <family val="1"/>
    </font>
    <font>
      <sz val="14"/>
      <name val="FreesiaUPC"/>
      <family val="1"/>
    </font>
    <font>
      <sz val="12"/>
      <name val="PathWay Access 3.0"/>
      <family val="3"/>
    </font>
    <font>
      <sz val="8.5"/>
      <name val="MS Sans Serif"/>
      <family val="2"/>
    </font>
    <font>
      <sz val="10"/>
      <name val="Arial Narrow"/>
      <family val="2"/>
    </font>
    <font>
      <sz val="10"/>
      <color rgb="FF000000"/>
      <name val="MS Sans Serif"/>
      <family val="0"/>
    </font>
    <font>
      <sz val="11"/>
      <name val="Book Antiqua"/>
      <family val="1"/>
    </font>
    <font>
      <sz val="8"/>
      <name val="Times New Roman"/>
      <family val="0"/>
    </font>
    <font>
      <sz val="10"/>
      <name val="TimesNewRomanPS"/>
      <family val="1"/>
    </font>
    <font>
      <sz val="8"/>
      <name val="Times New Roman"/>
      <family val="1"/>
    </font>
    <font>
      <sz val="8"/>
      <color rgb="FF0000FF"/>
      <name val="Arial"/>
      <family val="2"/>
    </font>
    <font>
      <sz val="10"/>
      <name val="Comic Sans MS"/>
      <family val="4"/>
    </font>
    <font>
      <b val="true"/>
      <sz val="7"/>
      <name val="Arial"/>
      <family val="2"/>
    </font>
    <font>
      <b val="true"/>
      <sz val="20"/>
      <color rgb="FFFFFFFF"/>
      <name val="Comic Sans MS"/>
      <family val="4"/>
    </font>
    <font>
      <sz val="10"/>
      <color rgb="FFFFFFFF"/>
      <name val="Comic Sans MS"/>
      <family val="4"/>
    </font>
    <font>
      <i val="true"/>
      <sz val="10"/>
      <color rgb="FFFFFFFF"/>
      <name val="Comic Sans MS"/>
      <family val="4"/>
    </font>
    <font>
      <sz val="10"/>
      <color rgb="FFFFFFFF"/>
      <name val="Arial"/>
      <family val="2"/>
    </font>
    <font>
      <b val="true"/>
      <sz val="8"/>
      <color rgb="FFFFFFFF"/>
      <name val="Arial"/>
      <family val="2"/>
    </font>
    <font>
      <b val="true"/>
      <sz val="9"/>
      <color rgb="FF0000FF"/>
      <name val="Arial"/>
      <family val="2"/>
    </font>
    <font>
      <b val="true"/>
      <sz val="8"/>
      <color rgb="FF0000FF"/>
      <name val="Arial"/>
      <family val="2"/>
    </font>
    <font>
      <b val="true"/>
      <sz val="8"/>
      <name val="Arial"/>
      <family val="2"/>
    </font>
    <font>
      <b val="true"/>
      <sz val="9"/>
      <name val="Arial"/>
      <family val="0"/>
    </font>
    <font>
      <b val="true"/>
      <u val="single"/>
      <sz val="8"/>
      <color rgb="FF0000FF"/>
      <name val="Arial"/>
      <family val="2"/>
    </font>
    <font>
      <i val="true"/>
      <sz val="8"/>
      <name val="Arial"/>
      <family val="2"/>
    </font>
    <font>
      <b val="true"/>
      <sz val="8"/>
      <name val="Arial"/>
      <family val="0"/>
    </font>
    <font>
      <b val="true"/>
      <sz val="10"/>
      <name val="Arial"/>
      <family val="2"/>
    </font>
    <font>
      <b val="true"/>
      <sz val="8"/>
      <color rgb="FFFF0000"/>
      <name val="Arial"/>
      <family val="2"/>
    </font>
    <font>
      <b val="true"/>
      <i val="true"/>
      <sz val="8"/>
      <name val="Arial"/>
      <family val="2"/>
    </font>
    <font>
      <sz val="9"/>
      <name val="Arial"/>
      <family val="2"/>
    </font>
    <font>
      <b val="true"/>
      <sz val="8"/>
      <color rgb="FF000000"/>
      <name val="Arial"/>
      <family val="2"/>
    </font>
    <font>
      <i val="true"/>
      <sz val="8"/>
      <color rgb="FF000000"/>
      <name val="Arial"/>
      <family val="2"/>
    </font>
    <font>
      <b val="true"/>
      <sz val="7"/>
      <color rgb="FF0000FF"/>
      <name val="Arial"/>
      <family val="2"/>
    </font>
    <font>
      <b val="true"/>
      <i val="true"/>
      <sz val="7"/>
      <color rgb="FF0000FF"/>
      <name val="Arial"/>
      <family val="2"/>
    </font>
    <font>
      <b val="true"/>
      <sz val="7"/>
      <color rgb="FF000000"/>
      <name val="Arial"/>
      <family val="2"/>
    </font>
    <font>
      <i val="true"/>
      <sz val="7"/>
      <color rgb="FF000000"/>
      <name val="Arial"/>
      <family val="2"/>
    </font>
    <font>
      <i val="true"/>
      <sz val="7"/>
      <name val="Arial"/>
      <family val="2"/>
    </font>
    <font>
      <b val="true"/>
      <sz val="7"/>
      <color rgb="FFFFFFFF"/>
      <name val="Arial"/>
      <family val="2"/>
    </font>
    <font>
      <sz val="8"/>
      <color rgb="FFFFFFFF"/>
      <name val="Arial"/>
      <family val="2"/>
    </font>
    <font>
      <b val="true"/>
      <sz val="8"/>
      <color rgb="FF808080"/>
      <name val="Arial"/>
      <family val="2"/>
    </font>
    <font>
      <sz val="8"/>
      <color rgb="FF808080"/>
      <name val="Arial"/>
      <family val="2"/>
    </font>
    <font>
      <b val="true"/>
      <sz val="8"/>
      <color rgb="FF003300"/>
      <name val="Arial"/>
      <family val="2"/>
    </font>
    <font>
      <sz val="7"/>
      <color rgb="FFFFFFFF"/>
      <name val="Arial"/>
      <family val="2"/>
    </font>
    <font>
      <b val="true"/>
      <sz val="9"/>
      <color rgb="FFFFFFFF"/>
      <name val="Arial"/>
      <family val="2"/>
    </font>
    <font>
      <b val="true"/>
      <u val="single"/>
      <sz val="7"/>
      <color rgb="FF0000FF"/>
      <name val="Arial"/>
      <family val="2"/>
    </font>
    <font>
      <b val="true"/>
      <u val="single"/>
      <sz val="8"/>
      <name val="Arial"/>
      <family val="2"/>
    </font>
    <font>
      <b val="true"/>
      <i val="true"/>
      <sz val="7"/>
      <name val="Arial"/>
      <family val="2"/>
    </font>
    <font>
      <b val="true"/>
      <sz val="7"/>
      <color rgb="FFFF0000"/>
      <name val="Arial"/>
      <family val="2"/>
    </font>
    <font>
      <b val="true"/>
      <i val="true"/>
      <sz val="8"/>
      <color rgb="FFFF0000"/>
      <name val="Arial"/>
      <family val="2"/>
    </font>
    <font>
      <b val="true"/>
      <i val="true"/>
      <u val="single"/>
      <sz val="8"/>
      <color rgb="FFFF0000"/>
      <name val="Arial"/>
      <family val="2"/>
    </font>
    <font>
      <b val="true"/>
      <i val="true"/>
      <sz val="9"/>
      <color rgb="FFFF0000"/>
      <name val="Arial"/>
      <family val="2"/>
    </font>
    <font>
      <b val="true"/>
      <i val="true"/>
      <sz val="8"/>
      <color rgb="FFFFFFFF"/>
      <name val="Arial"/>
      <family val="2"/>
    </font>
    <font>
      <b val="true"/>
      <sz val="8"/>
      <color rgb="FF000000"/>
      <name val="Arial"/>
      <family val="0"/>
    </font>
    <font>
      <b val="true"/>
      <sz val="8"/>
      <color rgb="FF000080"/>
      <name val="Arial"/>
      <family val="2"/>
    </font>
    <font>
      <b val="true"/>
      <sz val="7"/>
      <color rgb="FF000080"/>
      <name val="Arial"/>
      <family val="2"/>
    </font>
  </fonts>
  <fills count="12">
    <fill>
      <patternFill patternType="none"/>
    </fill>
    <fill>
      <patternFill patternType="gray125"/>
    </fill>
    <fill>
      <patternFill patternType="solid">
        <fgColor rgb="FFA6CAF0"/>
        <bgColor rgb="FFC0C0C0"/>
      </patternFill>
    </fill>
    <fill>
      <patternFill patternType="solid">
        <fgColor rgb="FFC0C0C0"/>
        <bgColor rgb="FFA6CAF0"/>
      </patternFill>
    </fill>
    <fill>
      <patternFill patternType="solid">
        <fgColor rgb="FFFFFFC0"/>
        <bgColor rgb="FFFFFF99"/>
      </patternFill>
    </fill>
    <fill>
      <patternFill patternType="solid">
        <fgColor rgb="FFFF0000"/>
        <bgColor rgb="FF993300"/>
      </patternFill>
    </fill>
    <fill>
      <patternFill patternType="solid">
        <fgColor rgb="FFFFFF00"/>
        <bgColor rgb="FFFFFF00"/>
      </patternFill>
    </fill>
    <fill>
      <patternFill patternType="solid">
        <fgColor rgb="FF333300"/>
        <bgColor rgb="FF333333"/>
      </patternFill>
    </fill>
    <fill>
      <patternFill patternType="solid">
        <fgColor rgb="FFCCFFCC"/>
        <bgColor rgb="FFCCFFFF"/>
      </patternFill>
    </fill>
    <fill>
      <patternFill patternType="solid">
        <fgColor rgb="FFE3E3E3"/>
        <bgColor rgb="FFCCFFCC"/>
      </patternFill>
    </fill>
    <fill>
      <patternFill patternType="solid">
        <fgColor rgb="FF000000"/>
        <bgColor rgb="FF003300"/>
      </patternFill>
    </fill>
    <fill>
      <patternFill patternType="solid">
        <fgColor rgb="FFFFFFFF"/>
        <bgColor rgb="FFFFFFC0"/>
      </patternFill>
    </fill>
  </fills>
  <borders count="32">
    <border diagonalUp="false" diagonalDown="false">
      <left/>
      <right/>
      <top/>
      <bottom/>
      <diagonal/>
    </border>
    <border diagonalUp="false" diagonalDown="false">
      <left style="double"/>
      <right/>
      <top/>
      <bottom style="hair"/>
      <diagonal/>
    </border>
    <border diagonalUp="false" diagonalDown="false">
      <left style="double"/>
      <right style="double"/>
      <top style="double"/>
      <bottom style="double"/>
      <diagonal/>
    </border>
    <border diagonalUp="false" diagonalDown="false">
      <left/>
      <right/>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n"/>
      <top style="thin"/>
      <bottom style="thin"/>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right/>
      <top/>
      <bottom style="double"/>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style="double"/>
      <diagonal/>
    </border>
    <border diagonalUp="false" diagonalDown="false">
      <left/>
      <right style="thin"/>
      <top/>
      <bottom style="double"/>
      <diagonal/>
    </border>
  </borders>
  <cellStyleXfs count="155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214" fontId="0"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7" fontId="0" fillId="0" borderId="0" applyFont="true" applyBorder="false" applyAlignment="false" applyProtection="false"/>
    <xf numFmtId="168"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70" fontId="0" fillId="0" borderId="0" applyFont="true" applyBorder="false" applyAlignment="false" applyProtection="false"/>
    <xf numFmtId="171" fontId="0" fillId="0" borderId="0" applyFont="true" applyBorder="false" applyAlignment="false" applyProtection="false"/>
    <xf numFmtId="168" fontId="0" fillId="0" borderId="0" applyFont="true" applyBorder="false" applyAlignment="false" applyProtection="false"/>
    <xf numFmtId="165" fontId="0" fillId="0" borderId="0" applyFont="true" applyBorder="false" applyAlignment="false" applyProtection="false"/>
    <xf numFmtId="164" fontId="0" fillId="0" borderId="0" applyFont="true" applyBorder="false" applyAlignment="false" applyProtection="false"/>
    <xf numFmtId="172" fontId="0" fillId="0" borderId="0" applyFont="true" applyBorder="false" applyAlignment="false" applyProtection="false"/>
    <xf numFmtId="167" fontId="0" fillId="0" borderId="0" applyFont="true" applyBorder="false" applyAlignment="false" applyProtection="false"/>
    <xf numFmtId="164" fontId="0" fillId="0" borderId="0" applyFont="true" applyBorder="false" applyAlignment="false" applyProtection="false"/>
    <xf numFmtId="168" fontId="0" fillId="0" borderId="0" applyFont="true" applyBorder="false" applyAlignment="false" applyProtection="false"/>
    <xf numFmtId="173" fontId="0" fillId="0" borderId="0" applyFont="true" applyBorder="false" applyAlignment="false" applyProtection="false"/>
    <xf numFmtId="174" fontId="0" fillId="0" borderId="0" applyFont="true" applyBorder="false" applyAlignment="false" applyProtection="false"/>
    <xf numFmtId="175" fontId="0" fillId="0" borderId="0" applyFont="true" applyBorder="false" applyAlignment="false" applyProtection="false"/>
    <xf numFmtId="176" fontId="0"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78" fontId="0" fillId="0" borderId="0" applyFont="true" applyBorder="false" applyAlignment="false" applyProtection="false"/>
    <xf numFmtId="164" fontId="7" fillId="0" borderId="0" applyFont="true" applyBorder="true" applyAlignment="true" applyProtection="true">
      <alignment horizontal="general" vertical="bottom" textRotation="0" wrapText="false" indent="0" shrinkToFit="false"/>
      <protection locked="true" hidden="false"/>
    </xf>
    <xf numFmtId="178"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78"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78"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xf numFmtId="178" fontId="0" fillId="0" borderId="0" applyFont="true" applyBorder="false" applyAlignment="false" applyProtection="false"/>
    <xf numFmtId="177"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79"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80" fontId="0" fillId="0" borderId="0" applyFont="true" applyBorder="false" applyAlignment="false" applyProtection="false"/>
    <xf numFmtId="181"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78" fontId="0" fillId="0" borderId="0" applyFont="true" applyBorder="false" applyAlignment="false" applyProtection="false"/>
    <xf numFmtId="175" fontId="0" fillId="0" borderId="0" applyFont="true" applyBorder="false" applyAlignment="false" applyProtection="false"/>
    <xf numFmtId="164" fontId="0"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xf numFmtId="172" fontId="0" fillId="0" borderId="0" applyFont="true" applyBorder="false" applyAlignment="false" applyProtection="false"/>
    <xf numFmtId="177" fontId="0" fillId="0"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false"/>
    <xf numFmtId="178"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3" fontId="0" fillId="0"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83" fontId="12" fillId="2" borderId="1" applyFont="true" applyBorder="true" applyAlignment="true" applyProtection="true">
      <alignment horizontal="center" vertical="center" textRotation="0" wrapText="false" indent="0" shrinkToFit="false"/>
      <protection locked="true" hidden="false"/>
    </xf>
    <xf numFmtId="184"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6"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6"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5"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7" fontId="0" fillId="0" borderId="0" applyFont="true" applyBorder="false" applyAlignment="false" applyProtection="false"/>
    <xf numFmtId="167" fontId="0" fillId="0" borderId="0" applyFont="true" applyBorder="false" applyAlignment="false" applyProtection="false"/>
    <xf numFmtId="188" fontId="0" fillId="0" borderId="0" applyFont="true" applyBorder="false" applyAlignment="false" applyProtection="false"/>
    <xf numFmtId="169" fontId="0" fillId="0" borderId="0" applyFont="true" applyBorder="false" applyAlignment="false" applyProtection="false"/>
    <xf numFmtId="188" fontId="0" fillId="0" borderId="0" applyFont="true" applyBorder="false" applyAlignment="false" applyProtection="false"/>
    <xf numFmtId="169" fontId="0" fillId="0" borderId="0" applyFont="true" applyBorder="false" applyAlignment="false" applyProtection="false"/>
    <xf numFmtId="165" fontId="0" fillId="0" borderId="0" applyFont="true" applyBorder="false" applyAlignment="false" applyProtection="false"/>
    <xf numFmtId="188" fontId="0" fillId="0" borderId="0" applyFont="true" applyBorder="false" applyAlignment="false" applyProtection="false"/>
    <xf numFmtId="165" fontId="0" fillId="0" borderId="0" applyFont="true" applyBorder="false" applyAlignment="false" applyProtection="false"/>
    <xf numFmtId="188"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5"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8"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9" fontId="0" fillId="0" borderId="0" applyFont="true" applyBorder="false" applyAlignment="false" applyProtection="false"/>
    <xf numFmtId="184"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5"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5" fontId="0" fillId="0" borderId="0" applyFont="true" applyBorder="false" applyAlignment="false" applyProtection="false"/>
    <xf numFmtId="189" fontId="0" fillId="0" borderId="0" applyFont="true" applyBorder="false" applyAlignment="false" applyProtection="false"/>
    <xf numFmtId="188"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5" fontId="0" fillId="0" borderId="0" applyFont="true" applyBorder="false" applyAlignment="false" applyProtection="false"/>
    <xf numFmtId="189" fontId="0" fillId="0" borderId="0" applyFont="true" applyBorder="false" applyAlignment="false" applyProtection="false"/>
    <xf numFmtId="188"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6" fontId="0" fillId="0" borderId="0" applyFont="true" applyBorder="false" applyAlignment="false" applyProtection="false"/>
    <xf numFmtId="186" fontId="0" fillId="0" borderId="0" applyFont="true" applyBorder="false" applyAlignment="false" applyProtection="false"/>
    <xf numFmtId="186"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90" fontId="8"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6"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6"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86"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86" fontId="0" fillId="0" borderId="0" applyFont="true" applyBorder="false" applyAlignment="false" applyProtection="false"/>
    <xf numFmtId="184" fontId="0" fillId="0" borderId="0" applyFont="true" applyBorder="false" applyAlignment="false" applyProtection="false"/>
    <xf numFmtId="186" fontId="0" fillId="0" borderId="0" applyFont="true" applyBorder="false" applyAlignment="false" applyProtection="false"/>
    <xf numFmtId="186"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93"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75"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4"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94"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7" fontId="0" fillId="0" borderId="0" applyFont="true" applyBorder="false" applyAlignment="false" applyProtection="false"/>
    <xf numFmtId="195" fontId="0" fillId="0" borderId="0" applyFont="true" applyBorder="false" applyAlignment="false" applyProtection="false"/>
    <xf numFmtId="179" fontId="0" fillId="0" borderId="0" applyFont="true" applyBorder="false" applyAlignment="false" applyProtection="false"/>
    <xf numFmtId="195" fontId="0" fillId="0" borderId="0" applyFont="true" applyBorder="false" applyAlignment="false" applyProtection="false"/>
    <xf numFmtId="187" fontId="0" fillId="0" borderId="0" applyFont="true" applyBorder="false" applyAlignment="false" applyProtection="false"/>
    <xf numFmtId="175" fontId="0" fillId="0" borderId="0" applyFont="true" applyBorder="false" applyAlignment="false" applyProtection="false"/>
    <xf numFmtId="195" fontId="0" fillId="0" borderId="0" applyFont="true" applyBorder="false" applyAlignment="false" applyProtection="false"/>
    <xf numFmtId="175" fontId="0" fillId="0" borderId="0" applyFont="true" applyBorder="false" applyAlignment="false" applyProtection="false"/>
    <xf numFmtId="187" fontId="0" fillId="0" borderId="0" applyFont="true" applyBorder="false" applyAlignment="false" applyProtection="false"/>
    <xf numFmtId="195"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87"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5"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5"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5" fontId="0" fillId="0" borderId="0" applyFont="true" applyBorder="false" applyAlignment="false" applyProtection="false"/>
    <xf numFmtId="196" fontId="0" fillId="0" borderId="0" applyFont="true" applyBorder="false" applyAlignment="false" applyProtection="false"/>
    <xf numFmtId="195" fontId="0" fillId="0" borderId="0" applyFont="true" applyBorder="false" applyAlignment="false" applyProtection="false"/>
    <xf numFmtId="191" fontId="0" fillId="0" borderId="0" applyFont="true" applyBorder="false" applyAlignment="false" applyProtection="false"/>
    <xf numFmtId="193" fontId="0" fillId="0" borderId="0" applyFont="true" applyBorder="false" applyAlignment="false" applyProtection="false"/>
    <xf numFmtId="177"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5" fontId="0" fillId="0" borderId="0" applyFont="true" applyBorder="false" applyAlignment="false" applyProtection="false"/>
    <xf numFmtId="196" fontId="0" fillId="0" borderId="0" applyFont="true" applyBorder="false" applyAlignment="false" applyProtection="false"/>
    <xf numFmtId="195"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87"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4" fontId="0" fillId="0" borderId="0" applyFont="true" applyBorder="false" applyAlignment="false" applyProtection="false"/>
    <xf numFmtId="194" fontId="0" fillId="0" borderId="0" applyFont="true" applyBorder="false" applyAlignment="false" applyProtection="false"/>
    <xf numFmtId="194"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91"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84"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4"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69" fontId="4"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92" fontId="0" fillId="0" borderId="0" applyFont="true" applyBorder="false" applyAlignment="false" applyProtection="false"/>
    <xf numFmtId="194" fontId="0" fillId="0" borderId="0" applyFont="true" applyBorder="false" applyAlignment="false" applyProtection="false"/>
    <xf numFmtId="175" fontId="0" fillId="0" borderId="0" applyFont="true" applyBorder="false" applyAlignment="false" applyProtection="false"/>
    <xf numFmtId="177"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4"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94"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4" fontId="0" fillId="0" borderId="0" applyFont="true" applyBorder="false" applyAlignment="false" applyProtection="false"/>
    <xf numFmtId="194"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7" fontId="0" fillId="0" borderId="0" applyFont="true" applyBorder="false" applyAlignment="false" applyProtection="false"/>
    <xf numFmtId="198" fontId="0" fillId="0" borderId="0" applyFont="true" applyBorder="false" applyAlignment="false" applyProtection="false"/>
    <xf numFmtId="197" fontId="0" fillId="0" borderId="0" applyFont="true" applyBorder="false" applyAlignment="false" applyProtection="false"/>
    <xf numFmtId="198" fontId="0" fillId="0" borderId="0" applyFont="true" applyBorder="false" applyAlignment="false" applyProtection="false"/>
    <xf numFmtId="199" fontId="0" fillId="0" borderId="0" applyFont="true" applyBorder="false" applyAlignment="false" applyProtection="false"/>
    <xf numFmtId="168"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199" fontId="0" fillId="0" borderId="0" applyFont="true" applyBorder="false" applyAlignment="false" applyProtection="false"/>
    <xf numFmtId="201" fontId="0" fillId="0" borderId="0" applyFont="true" applyBorder="false" applyAlignment="false" applyProtection="false"/>
    <xf numFmtId="176" fontId="0" fillId="0" borderId="0" applyFont="true" applyBorder="false" applyAlignment="false" applyProtection="false"/>
    <xf numFmtId="197" fontId="0" fillId="0" borderId="0" applyFont="true" applyBorder="false" applyAlignment="false" applyProtection="false"/>
    <xf numFmtId="170" fontId="0" fillId="0" borderId="0" applyFont="true" applyBorder="false" applyAlignment="false" applyProtection="false"/>
    <xf numFmtId="202" fontId="0" fillId="0" borderId="0" applyFont="true" applyBorder="false" applyAlignment="false" applyProtection="false"/>
    <xf numFmtId="170" fontId="0" fillId="0" borderId="0" applyFont="true" applyBorder="false" applyAlignment="false" applyProtection="false"/>
    <xf numFmtId="170"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2" fontId="0" fillId="0" borderId="0" applyFont="true" applyBorder="false" applyAlignment="false" applyProtection="false"/>
    <xf numFmtId="202" fontId="0" fillId="0" borderId="0" applyFont="true" applyBorder="false" applyAlignment="false" applyProtection="false"/>
    <xf numFmtId="202" fontId="0" fillId="0" borderId="0" applyFont="true" applyBorder="false" applyAlignment="false" applyProtection="false"/>
    <xf numFmtId="202" fontId="0" fillId="0" borderId="0" applyFont="true" applyBorder="false" applyAlignment="false" applyProtection="false"/>
    <xf numFmtId="19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201" fontId="0" fillId="0" borderId="0" applyFont="true" applyBorder="false" applyAlignment="false" applyProtection="false"/>
    <xf numFmtId="200" fontId="0" fillId="0" borderId="0" applyFont="true" applyBorder="false" applyAlignment="false" applyProtection="false"/>
    <xf numFmtId="203"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9" fontId="0" fillId="0" borderId="0" applyFont="true" applyBorder="false" applyAlignment="false" applyProtection="false"/>
    <xf numFmtId="203" fontId="0" fillId="0" borderId="0" applyFont="true" applyBorder="false" applyAlignment="false" applyProtection="false"/>
    <xf numFmtId="198" fontId="0" fillId="0" borderId="0" applyFont="true" applyBorder="false" applyAlignment="false" applyProtection="false"/>
    <xf numFmtId="197" fontId="0" fillId="0" borderId="0" applyFont="true" applyBorder="false" applyAlignment="false" applyProtection="false"/>
    <xf numFmtId="201"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204" fontId="0" fillId="0" borderId="0" applyFont="true" applyBorder="false" applyAlignment="false" applyProtection="false"/>
    <xf numFmtId="205" fontId="0" fillId="0" borderId="0" applyFont="true" applyBorder="false" applyAlignment="false" applyProtection="false"/>
    <xf numFmtId="202"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9" fontId="0" fillId="0" borderId="0" applyFont="true" applyBorder="false" applyAlignment="false" applyProtection="false"/>
    <xf numFmtId="170" fontId="0" fillId="0" borderId="0" applyFont="true" applyBorder="false" applyAlignment="false" applyProtection="false"/>
    <xf numFmtId="197" fontId="0" fillId="0" borderId="0" applyFont="true" applyBorder="false" applyAlignment="false" applyProtection="false"/>
    <xf numFmtId="170"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8"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206"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70" fontId="0" fillId="0" borderId="0" applyFont="true" applyBorder="false" applyAlignment="false" applyProtection="false"/>
    <xf numFmtId="207" fontId="0" fillId="0" borderId="0" applyFont="true" applyBorder="false" applyAlignment="false" applyProtection="false"/>
    <xf numFmtId="208" fontId="0" fillId="0" borderId="0" applyFont="true" applyBorder="false" applyAlignment="false" applyProtection="false"/>
    <xf numFmtId="208" fontId="0" fillId="0" borderId="0" applyFont="true" applyBorder="false" applyAlignment="false" applyProtection="false"/>
    <xf numFmtId="164" fontId="0" fillId="0" borderId="0" applyFont="true" applyBorder="false" applyAlignment="false" applyProtection="false"/>
    <xf numFmtId="209"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170" fontId="0" fillId="0" borderId="0" applyFont="true" applyBorder="false" applyAlignment="false" applyProtection="false"/>
    <xf numFmtId="20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209" fontId="0" fillId="0" borderId="0" applyFont="true" applyBorder="false" applyAlignment="false" applyProtection="false"/>
    <xf numFmtId="200" fontId="0" fillId="0" borderId="0" applyFont="true" applyBorder="false" applyAlignment="false" applyProtection="false"/>
    <xf numFmtId="207" fontId="0" fillId="0" borderId="0" applyFont="true" applyBorder="false" applyAlignment="false" applyProtection="false"/>
    <xf numFmtId="209" fontId="0" fillId="0" borderId="0" applyFont="true" applyBorder="false" applyAlignment="false" applyProtection="false"/>
    <xf numFmtId="207" fontId="0" fillId="0" borderId="0" applyFont="true" applyBorder="false" applyAlignment="false" applyProtection="false"/>
    <xf numFmtId="19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8" fontId="0" fillId="0" borderId="0" applyFont="true" applyBorder="false" applyAlignment="false" applyProtection="false"/>
    <xf numFmtId="207" fontId="0" fillId="0" borderId="0" applyFont="true" applyBorder="false" applyAlignment="false" applyProtection="false"/>
    <xf numFmtId="210" fontId="0" fillId="0" borderId="0" applyFont="true" applyBorder="false" applyAlignment="false" applyProtection="false"/>
    <xf numFmtId="168" fontId="0" fillId="0" borderId="0" applyFont="true" applyBorder="false" applyAlignment="false" applyProtection="false"/>
    <xf numFmtId="209"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208" fontId="0" fillId="0" borderId="0" applyFont="true" applyBorder="false" applyAlignment="false" applyProtection="false"/>
    <xf numFmtId="197" fontId="0" fillId="0" borderId="0" applyFont="true" applyBorder="false" applyAlignment="false" applyProtection="false"/>
    <xf numFmtId="168" fontId="0" fillId="0" borderId="0" applyFont="true" applyBorder="false" applyAlignment="false" applyProtection="false"/>
    <xf numFmtId="198" fontId="0" fillId="0" borderId="0" applyFont="true" applyBorder="false" applyAlignment="false" applyProtection="false"/>
    <xf numFmtId="168" fontId="0" fillId="0" borderId="0" applyFont="true" applyBorder="false" applyAlignment="false" applyProtection="false"/>
    <xf numFmtId="207" fontId="0" fillId="0" borderId="0" applyFont="true" applyBorder="false" applyAlignment="false" applyProtection="false"/>
    <xf numFmtId="170" fontId="0" fillId="0" borderId="0" applyFont="true" applyBorder="false" applyAlignment="false" applyProtection="false"/>
    <xf numFmtId="176" fontId="0" fillId="0" borderId="0" applyFont="true" applyBorder="false" applyAlignment="false" applyProtection="false"/>
    <xf numFmtId="209" fontId="0" fillId="0" borderId="0" applyFont="true" applyBorder="false" applyAlignment="false" applyProtection="false"/>
    <xf numFmtId="168" fontId="0" fillId="0" borderId="0" applyFont="true" applyBorder="false" applyAlignment="false" applyProtection="false"/>
    <xf numFmtId="196" fontId="0" fillId="0" borderId="0" applyFont="true" applyBorder="false" applyAlignment="false" applyProtection="false"/>
    <xf numFmtId="211" fontId="0" fillId="0" borderId="0" applyFont="true" applyBorder="false" applyAlignment="false" applyProtection="false"/>
    <xf numFmtId="168" fontId="0" fillId="0" borderId="0" applyFont="true" applyBorder="false" applyAlignment="false" applyProtection="false"/>
    <xf numFmtId="189" fontId="0" fillId="0" borderId="0" applyFont="true" applyBorder="false" applyAlignment="false" applyProtection="false"/>
    <xf numFmtId="199" fontId="0" fillId="0" borderId="0" applyFont="true" applyBorder="false" applyAlignment="false" applyProtection="false"/>
    <xf numFmtId="209" fontId="0" fillId="0" borderId="0" applyFont="true" applyBorder="false" applyAlignment="false" applyProtection="false"/>
    <xf numFmtId="198"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202"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76"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207" fontId="0" fillId="0" borderId="0" applyFont="true" applyBorder="false" applyAlignment="false" applyProtection="false"/>
    <xf numFmtId="196" fontId="0" fillId="0" borderId="0" applyFont="true" applyBorder="false" applyAlignment="false" applyProtection="false"/>
    <xf numFmtId="209"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70" fontId="0" fillId="0" borderId="0" applyFont="true" applyBorder="false" applyAlignment="false" applyProtection="false"/>
    <xf numFmtId="176" fontId="0" fillId="0" borderId="0" applyFont="true" applyBorder="false" applyAlignment="false" applyProtection="false"/>
    <xf numFmtId="212" fontId="0" fillId="0" borderId="0" applyFont="true" applyBorder="false" applyAlignment="false" applyProtection="false"/>
    <xf numFmtId="202" fontId="0" fillId="0" borderId="0" applyFont="true" applyBorder="false" applyAlignment="false" applyProtection="false"/>
    <xf numFmtId="212" fontId="0" fillId="0" borderId="0" applyFont="true" applyBorder="false" applyAlignment="false" applyProtection="false"/>
    <xf numFmtId="207" fontId="0" fillId="0" borderId="0" applyFont="true" applyBorder="false" applyAlignment="false" applyProtection="false"/>
    <xf numFmtId="196" fontId="0" fillId="0" borderId="0" applyFont="true" applyBorder="false" applyAlignment="false" applyProtection="false"/>
    <xf numFmtId="209"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3" fontId="0" fillId="0" borderId="0" applyFont="true" applyBorder="false" applyAlignment="false" applyProtection="false"/>
    <xf numFmtId="203" fontId="0" fillId="0" borderId="0" applyFont="true" applyBorder="false" applyAlignment="false" applyProtection="false"/>
    <xf numFmtId="203" fontId="0" fillId="0" borderId="0" applyFont="true" applyBorder="false" applyAlignment="false" applyProtection="false"/>
    <xf numFmtId="200"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198" fontId="0" fillId="0" borderId="0" applyFont="true" applyBorder="false" applyAlignment="false" applyProtection="false"/>
    <xf numFmtId="200" fontId="0" fillId="0" borderId="0" applyFont="true" applyBorder="false" applyAlignment="false" applyProtection="false"/>
    <xf numFmtId="168"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68" fontId="0" fillId="0" borderId="0" applyFont="true" applyBorder="false" applyAlignment="false" applyProtection="false"/>
    <xf numFmtId="203" fontId="0" fillId="0" borderId="0" applyFont="true" applyBorder="false" applyAlignment="false" applyProtection="false"/>
    <xf numFmtId="200" fontId="0" fillId="0" borderId="0" applyFont="true" applyBorder="false" applyAlignment="false" applyProtection="false"/>
    <xf numFmtId="170" fontId="0" fillId="0" borderId="0" applyFont="true" applyBorder="false" applyAlignment="false" applyProtection="false"/>
    <xf numFmtId="208" fontId="0" fillId="0" borderId="0" applyFont="true" applyBorder="false" applyAlignment="false" applyProtection="false"/>
    <xf numFmtId="200" fontId="0" fillId="0" borderId="0" applyFont="true" applyBorder="false" applyAlignment="false" applyProtection="false"/>
    <xf numFmtId="199" fontId="0" fillId="0" borderId="0" applyFont="true" applyBorder="false" applyAlignment="false" applyProtection="false"/>
    <xf numFmtId="168" fontId="0" fillId="0" borderId="0" applyFont="true" applyBorder="false" applyAlignment="false" applyProtection="false"/>
    <xf numFmtId="208" fontId="0" fillId="0" borderId="0" applyFont="true" applyBorder="false" applyAlignment="false" applyProtection="false"/>
    <xf numFmtId="199" fontId="0" fillId="0" borderId="0" applyFont="true" applyBorder="false" applyAlignment="false" applyProtection="false"/>
    <xf numFmtId="197" fontId="0" fillId="0" borderId="0" applyFont="true" applyBorder="false" applyAlignment="false" applyProtection="false"/>
    <xf numFmtId="176" fontId="0" fillId="0" borderId="0" applyFont="true" applyBorder="false" applyAlignment="false" applyProtection="false"/>
    <xf numFmtId="199" fontId="0" fillId="0" borderId="0" applyFont="true" applyBorder="false" applyAlignment="false" applyProtection="false"/>
    <xf numFmtId="198"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203" fontId="0" fillId="0" borderId="0" applyFont="true" applyBorder="false" applyAlignment="false" applyProtection="false"/>
    <xf numFmtId="168" fontId="0" fillId="0" borderId="0" applyFont="true" applyBorder="false" applyAlignment="false" applyProtection="false"/>
    <xf numFmtId="164" fontId="0" fillId="0" borderId="0" applyFont="true" applyBorder="false" applyAlignment="false" applyProtection="false"/>
    <xf numFmtId="168" fontId="0" fillId="0" borderId="0" applyFont="true" applyBorder="false" applyAlignment="false" applyProtection="false"/>
    <xf numFmtId="203" fontId="0" fillId="0" borderId="0" applyFont="true" applyBorder="false" applyAlignment="false" applyProtection="false"/>
    <xf numFmtId="201" fontId="0" fillId="0" borderId="0" applyFont="true" applyBorder="false" applyAlignment="false" applyProtection="false"/>
    <xf numFmtId="170"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19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70" fontId="0" fillId="0" borderId="0" applyFont="true" applyBorder="false" applyAlignment="false" applyProtection="false"/>
    <xf numFmtId="200" fontId="0" fillId="0" borderId="0" applyFont="true" applyBorder="false" applyAlignment="false" applyProtection="false"/>
    <xf numFmtId="203" fontId="0" fillId="0" borderId="0" applyFont="true" applyBorder="false" applyAlignment="false" applyProtection="false"/>
    <xf numFmtId="197" fontId="0" fillId="0" borderId="0" applyFont="true" applyBorder="false" applyAlignment="false" applyProtection="false"/>
    <xf numFmtId="203" fontId="0" fillId="0" borderId="0" applyFont="true" applyBorder="false" applyAlignment="false" applyProtection="false"/>
    <xf numFmtId="203" fontId="0" fillId="0" borderId="0" applyFont="true" applyBorder="false" applyAlignment="false" applyProtection="false"/>
    <xf numFmtId="176"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202" fontId="0" fillId="0" borderId="0" applyFont="true" applyBorder="false" applyAlignment="false" applyProtection="false"/>
    <xf numFmtId="168" fontId="0" fillId="0" borderId="0" applyFont="true" applyBorder="false" applyAlignment="false" applyProtection="false"/>
    <xf numFmtId="202"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176"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213" fontId="0" fillId="0" borderId="0" applyFont="true" applyBorder="false" applyAlignment="false" applyProtection="false"/>
    <xf numFmtId="214" fontId="0" fillId="0" borderId="0" applyFont="true" applyBorder="false" applyAlignment="false" applyProtection="false"/>
    <xf numFmtId="213" fontId="0" fillId="0" borderId="0" applyFont="true" applyBorder="false" applyAlignment="false" applyProtection="false"/>
    <xf numFmtId="214" fontId="0" fillId="0" borderId="0" applyFont="true" applyBorder="false" applyAlignment="false" applyProtection="false"/>
    <xf numFmtId="215" fontId="0" fillId="0" borderId="0" applyFont="true" applyBorder="false" applyAlignment="false" applyProtection="false"/>
    <xf numFmtId="167"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5" fontId="0" fillId="0" borderId="0" applyFont="true" applyBorder="false" applyAlignment="false" applyProtection="false"/>
    <xf numFmtId="217" fontId="0" fillId="0" borderId="0" applyFont="true" applyBorder="false" applyAlignment="false" applyProtection="false"/>
    <xf numFmtId="166" fontId="0" fillId="0" borderId="0" applyFont="true" applyBorder="false" applyAlignment="false" applyProtection="false"/>
    <xf numFmtId="213" fontId="0" fillId="0" borderId="0" applyFont="true" applyBorder="false" applyAlignment="false" applyProtection="false"/>
    <xf numFmtId="180" fontId="0" fillId="0" borderId="0" applyFont="true" applyBorder="false" applyAlignment="false" applyProtection="false"/>
    <xf numFmtId="218" fontId="0" fillId="0" borderId="0" applyFont="true" applyBorder="false" applyAlignment="false" applyProtection="false"/>
    <xf numFmtId="180" fontId="0" fillId="0" borderId="0" applyFont="true" applyBorder="false" applyAlignment="false" applyProtection="false"/>
    <xf numFmtId="180"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8" fontId="0" fillId="0" borderId="0" applyFont="true" applyBorder="false" applyAlignment="false" applyProtection="false"/>
    <xf numFmtId="218" fontId="0" fillId="0" borderId="0" applyFont="true" applyBorder="false" applyAlignment="false" applyProtection="false"/>
    <xf numFmtId="218" fontId="0" fillId="0" borderId="0" applyFont="true" applyBorder="false" applyAlignment="false" applyProtection="false"/>
    <xf numFmtId="218" fontId="0" fillId="0" borderId="0" applyFont="true" applyBorder="false" applyAlignment="false" applyProtection="false"/>
    <xf numFmtId="215"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217" fontId="0" fillId="0" borderId="0" applyFont="true" applyBorder="false" applyAlignment="false" applyProtection="false"/>
    <xf numFmtId="216" fontId="0" fillId="0" borderId="0" applyFont="true" applyBorder="false" applyAlignment="false" applyProtection="false"/>
    <xf numFmtId="219"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5" fontId="0" fillId="0" borderId="0" applyFont="true" applyBorder="false" applyAlignment="false" applyProtection="false"/>
    <xf numFmtId="219"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3" fontId="0" fillId="0" borderId="0" applyFont="true" applyBorder="false" applyAlignment="false" applyProtection="false"/>
    <xf numFmtId="217"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4" fontId="0" fillId="0" borderId="0" applyFont="true" applyBorder="false" applyAlignment="false" applyProtection="false"/>
    <xf numFmtId="203" fontId="0" fillId="0" borderId="0" applyFont="true" applyBorder="false" applyAlignment="false" applyProtection="false"/>
    <xf numFmtId="166" fontId="0" fillId="0" borderId="0" applyFont="true" applyBorder="false" applyAlignment="false" applyProtection="false"/>
    <xf numFmtId="218"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5"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5"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5" fontId="0" fillId="0" borderId="0" applyFont="true" applyBorder="false" applyAlignment="false" applyProtection="false"/>
    <xf numFmtId="180" fontId="0" fillId="0" borderId="0" applyFont="true" applyBorder="false" applyAlignment="false" applyProtection="false"/>
    <xf numFmtId="213" fontId="0" fillId="0" borderId="0" applyFont="true" applyBorder="false" applyAlignment="false" applyProtection="false"/>
    <xf numFmtId="180"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4"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20"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180" fontId="0" fillId="0" borderId="0" applyFont="true" applyBorder="false" applyAlignment="false" applyProtection="false"/>
    <xf numFmtId="221" fontId="0" fillId="0" borderId="0" applyFont="true" applyBorder="false" applyAlignment="false" applyProtection="false"/>
    <xf numFmtId="211" fontId="0" fillId="0" borderId="0" applyFont="true" applyBorder="false" applyAlignment="false" applyProtection="false"/>
    <xf numFmtId="211" fontId="0" fillId="0" borderId="0" applyFont="true" applyBorder="false" applyAlignment="false" applyProtection="false"/>
    <xf numFmtId="164" fontId="0" fillId="0" borderId="0" applyFont="true" applyBorder="false" applyAlignment="false" applyProtection="false"/>
    <xf numFmtId="222"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80" fontId="0" fillId="0" borderId="0" applyFont="true" applyBorder="false" applyAlignment="false" applyProtection="false"/>
    <xf numFmtId="222"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22" fontId="0" fillId="0" borderId="0" applyFont="true" applyBorder="false" applyAlignment="false" applyProtection="false"/>
    <xf numFmtId="216" fontId="0" fillId="0" borderId="0" applyFont="true" applyBorder="false" applyAlignment="false" applyProtection="false"/>
    <xf numFmtId="221" fontId="0" fillId="0" borderId="0" applyFont="true" applyBorder="false" applyAlignment="false" applyProtection="false"/>
    <xf numFmtId="222" fontId="0" fillId="0" borderId="0" applyFont="true" applyBorder="false" applyAlignment="false" applyProtection="false"/>
    <xf numFmtId="221" fontId="0" fillId="0" borderId="0" applyFont="true" applyBorder="false" applyAlignment="false" applyProtection="false"/>
    <xf numFmtId="215"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4" fontId="0" fillId="0" borderId="0" applyFont="true" applyBorder="false" applyAlignment="false" applyProtection="false"/>
    <xf numFmtId="221" fontId="0" fillId="0" borderId="0" applyFont="true" applyBorder="false" applyAlignment="false" applyProtection="false"/>
    <xf numFmtId="174" fontId="0" fillId="0" borderId="0" applyFont="true" applyBorder="false" applyAlignment="false" applyProtection="false"/>
    <xf numFmtId="167" fontId="0" fillId="0" borderId="0" applyFont="true" applyBorder="false" applyAlignment="false" applyProtection="false"/>
    <xf numFmtId="222"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211" fontId="0" fillId="0" borderId="0" applyFont="true" applyBorder="false" applyAlignment="false" applyProtection="false"/>
    <xf numFmtId="213" fontId="0" fillId="0" borderId="0" applyFont="true" applyBorder="false" applyAlignment="false" applyProtection="false"/>
    <xf numFmtId="167" fontId="0" fillId="0" borderId="0" applyFont="true" applyBorder="false" applyAlignment="false" applyProtection="false"/>
    <xf numFmtId="214" fontId="0" fillId="0" borderId="0" applyFont="true" applyBorder="false" applyAlignment="false" applyProtection="false"/>
    <xf numFmtId="167" fontId="0" fillId="0" borderId="0" applyFont="true" applyBorder="false" applyAlignment="false" applyProtection="false"/>
    <xf numFmtId="221" fontId="0" fillId="0" borderId="0" applyFont="true" applyBorder="false" applyAlignment="false" applyProtection="false"/>
    <xf numFmtId="180" fontId="0" fillId="0" borderId="0" applyFont="true" applyBorder="false" applyAlignment="false" applyProtection="false"/>
    <xf numFmtId="166" fontId="0" fillId="0" borderId="0" applyFont="true" applyBorder="false" applyAlignment="false" applyProtection="false"/>
    <xf numFmtId="222" fontId="0" fillId="0" borderId="0" applyFont="true" applyBorder="false" applyAlignment="false" applyProtection="false"/>
    <xf numFmtId="167" fontId="0" fillId="0" borderId="0" applyFont="true" applyBorder="false" applyAlignment="false" applyProtection="false"/>
    <xf numFmtId="223" fontId="0" fillId="0" borderId="0" applyFont="true" applyBorder="false" applyAlignment="false" applyProtection="false"/>
    <xf numFmtId="224" fontId="0" fillId="0" borderId="0" applyFont="true" applyBorder="false" applyAlignment="false" applyProtection="false"/>
    <xf numFmtId="167" fontId="0" fillId="0" borderId="0" applyFont="true" applyBorder="false" applyAlignment="false" applyProtection="false"/>
    <xf numFmtId="223" fontId="0" fillId="0" borderId="0" applyFont="true" applyBorder="false" applyAlignment="false" applyProtection="false"/>
    <xf numFmtId="225" fontId="0" fillId="0" borderId="0" applyFont="true" applyBorder="false" applyAlignment="false" applyProtection="false"/>
    <xf numFmtId="215" fontId="0" fillId="0" borderId="0" applyFont="true" applyBorder="false" applyAlignment="false" applyProtection="false"/>
    <xf numFmtId="222" fontId="0" fillId="0" borderId="0" applyFont="true" applyBorder="false" applyAlignment="false" applyProtection="false"/>
    <xf numFmtId="214"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218"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6"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80" fontId="0" fillId="0" borderId="0" applyFont="true" applyBorder="false" applyAlignment="false" applyProtection="false"/>
    <xf numFmtId="166" fontId="0" fillId="0" borderId="0" applyFont="true" applyBorder="false" applyAlignment="false" applyProtection="false"/>
    <xf numFmtId="206" fontId="0" fillId="0" borderId="0" applyFont="true" applyBorder="false" applyAlignment="false" applyProtection="false"/>
    <xf numFmtId="218" fontId="0" fillId="0" borderId="0" applyFont="true" applyBorder="false" applyAlignment="false" applyProtection="false"/>
    <xf numFmtId="206" fontId="0" fillId="0" borderId="0" applyFont="true" applyBorder="false" applyAlignment="false" applyProtection="false"/>
    <xf numFmtId="221" fontId="0" fillId="0" borderId="0" applyFont="true" applyBorder="false" applyAlignment="false" applyProtection="false"/>
    <xf numFmtId="223" fontId="0" fillId="0" borderId="0" applyFont="true" applyBorder="false" applyAlignment="false" applyProtection="false"/>
    <xf numFmtId="222"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26" fontId="0" fillId="0" borderId="0" applyFont="true" applyBorder="false" applyAlignment="false" applyProtection="false"/>
    <xf numFmtId="196" fontId="0" fillId="0" borderId="0" applyFont="true" applyBorder="false" applyAlignment="false" applyProtection="false"/>
    <xf numFmtId="196" fontId="0" fillId="0" borderId="0" applyFont="true" applyBorder="false" applyAlignment="false" applyProtection="false"/>
    <xf numFmtId="222" fontId="0" fillId="0" borderId="0" applyFont="true" applyBorder="false" applyAlignment="false" applyProtection="false"/>
    <xf numFmtId="227" fontId="0" fillId="0" borderId="0" applyFont="true" applyBorder="false" applyAlignment="false" applyProtection="false"/>
    <xf numFmtId="228"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9" fontId="0" fillId="0" borderId="0" applyFont="true" applyBorder="false" applyAlignment="false" applyProtection="false"/>
    <xf numFmtId="219" fontId="0" fillId="0" borderId="0" applyFont="true" applyBorder="false" applyAlignment="false" applyProtection="false"/>
    <xf numFmtId="219" fontId="0" fillId="0" borderId="0" applyFont="true" applyBorder="false" applyAlignment="false" applyProtection="false"/>
    <xf numFmtId="216" fontId="0" fillId="0" borderId="0" applyFont="true" applyBorder="false" applyAlignment="false" applyProtection="false"/>
    <xf numFmtId="167" fontId="0" fillId="0" borderId="0" applyFont="true" applyBorder="false" applyAlignment="false" applyProtection="false"/>
    <xf numFmtId="213"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6" fontId="0" fillId="0" borderId="0" applyFont="true" applyBorder="false" applyAlignment="false" applyProtection="false"/>
    <xf numFmtId="167"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67" fontId="0" fillId="0" borderId="0" applyFont="true" applyBorder="false" applyAlignment="false" applyProtection="false"/>
    <xf numFmtId="219" fontId="0" fillId="0" borderId="0" applyFont="true" applyBorder="false" applyAlignment="false" applyProtection="false"/>
    <xf numFmtId="216" fontId="0" fillId="0" borderId="0" applyFont="true" applyBorder="false" applyAlignment="false" applyProtection="false"/>
    <xf numFmtId="180" fontId="0" fillId="0" borderId="0" applyFont="true" applyBorder="false" applyAlignment="false" applyProtection="false"/>
    <xf numFmtId="211" fontId="0" fillId="0" borderId="0" applyFont="true" applyBorder="false" applyAlignment="false" applyProtection="false"/>
    <xf numFmtId="216" fontId="0" fillId="0" borderId="0" applyFont="true" applyBorder="false" applyAlignment="false" applyProtection="false"/>
    <xf numFmtId="215" fontId="0" fillId="0" borderId="0" applyFont="true" applyBorder="false" applyAlignment="false" applyProtection="false"/>
    <xf numFmtId="167" fontId="0" fillId="0" borderId="0" applyFont="true" applyBorder="false" applyAlignment="false" applyProtection="false"/>
    <xf numFmtId="211" fontId="0" fillId="0" borderId="0" applyFont="true" applyBorder="false" applyAlignment="false" applyProtection="false"/>
    <xf numFmtId="215" fontId="0" fillId="0" borderId="0" applyFont="true" applyBorder="false" applyAlignment="false" applyProtection="false"/>
    <xf numFmtId="213" fontId="0" fillId="0" borderId="0" applyFont="true" applyBorder="false" applyAlignment="false" applyProtection="false"/>
    <xf numFmtId="166" fontId="0" fillId="0" borderId="0" applyFont="true" applyBorder="false" applyAlignment="false" applyProtection="false"/>
    <xf numFmtId="215" fontId="0" fillId="0" borderId="0" applyFont="true" applyBorder="false" applyAlignment="false" applyProtection="false"/>
    <xf numFmtId="214" fontId="0" fillId="0" borderId="0" applyFont="true" applyBorder="false" applyAlignment="false" applyProtection="false"/>
    <xf numFmtId="216" fontId="0" fillId="0" borderId="0" applyFont="true" applyBorder="false" applyAlignment="false" applyProtection="false"/>
    <xf numFmtId="214" fontId="0" fillId="0" borderId="0" applyFont="true" applyBorder="false" applyAlignment="false" applyProtection="false"/>
    <xf numFmtId="219" fontId="0" fillId="0" borderId="0" applyFont="true" applyBorder="false" applyAlignment="false" applyProtection="false"/>
    <xf numFmtId="167" fontId="0" fillId="0" borderId="0" applyFont="true" applyBorder="false" applyAlignment="false" applyProtection="false"/>
    <xf numFmtId="164" fontId="0" fillId="0" borderId="0" applyFont="true" applyBorder="false" applyAlignment="false" applyProtection="false"/>
    <xf numFmtId="167" fontId="0" fillId="0" borderId="0" applyFont="true" applyBorder="false" applyAlignment="false" applyProtection="false"/>
    <xf numFmtId="219" fontId="0" fillId="0" borderId="0" applyFont="true" applyBorder="false" applyAlignment="false" applyProtection="false"/>
    <xf numFmtId="217" fontId="0" fillId="0" borderId="0" applyFont="true" applyBorder="false" applyAlignment="false" applyProtection="false"/>
    <xf numFmtId="180"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4"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80" fontId="0" fillId="0" borderId="0" applyFont="true" applyBorder="false" applyAlignment="false" applyProtection="false"/>
    <xf numFmtId="216" fontId="0" fillId="0" borderId="0" applyFont="true" applyBorder="false" applyAlignment="false" applyProtection="false"/>
    <xf numFmtId="219" fontId="0" fillId="0" borderId="0" applyFont="true" applyBorder="false" applyAlignment="false" applyProtection="false"/>
    <xf numFmtId="213" fontId="0" fillId="0" borderId="0" applyFont="true" applyBorder="false" applyAlignment="false" applyProtection="false"/>
    <xf numFmtId="219" fontId="0" fillId="0" borderId="0" applyFont="true" applyBorder="false" applyAlignment="false" applyProtection="false"/>
    <xf numFmtId="219" fontId="0" fillId="0" borderId="0" applyFont="true" applyBorder="false" applyAlignment="false" applyProtection="false"/>
    <xf numFmtId="16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8" fontId="0" fillId="0" borderId="0" applyFont="true" applyBorder="false" applyAlignment="false" applyProtection="false"/>
    <xf numFmtId="167" fontId="0" fillId="0" borderId="0" applyFont="true" applyBorder="false" applyAlignment="false" applyProtection="false"/>
    <xf numFmtId="218" fontId="0" fillId="0" borderId="0" applyFont="true" applyBorder="false" applyAlignment="false" applyProtection="false"/>
    <xf numFmtId="167" fontId="0" fillId="0" borderId="0" applyFont="true" applyBorder="false" applyAlignment="false" applyProtection="false"/>
    <xf numFmtId="213" fontId="0" fillId="0" borderId="0" applyFont="true" applyBorder="false" applyAlignment="false" applyProtection="false"/>
    <xf numFmtId="166"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170" fontId="8" fillId="0" borderId="0" applyFont="true" applyBorder="true" applyAlignment="true" applyProtection="true">
      <alignment horizontal="general" vertical="bottom" textRotation="0" wrapText="false" indent="0" shrinkToFit="false"/>
      <protection locked="false" hidden="false"/>
    </xf>
    <xf numFmtId="204" fontId="1" fillId="0" borderId="0" applyFont="true" applyBorder="true" applyAlignment="true" applyProtection="true">
      <alignment horizontal="general" vertical="bottom" textRotation="0" wrapText="false" indent="0" shrinkToFit="false"/>
      <protection locked="false" hidden="false"/>
    </xf>
    <xf numFmtId="164" fontId="13" fillId="3" borderId="0" applyFont="true" applyBorder="false" applyAlignment="false" applyProtection="false"/>
    <xf numFmtId="164" fontId="14" fillId="0" borderId="0" applyFont="true" applyBorder="false" applyAlignment="false" applyProtection="false"/>
    <xf numFmtId="229" fontId="1" fillId="0" borderId="0" applyFont="true" applyBorder="true" applyAlignment="true" applyProtection="true">
      <alignment horizontal="general" vertical="bottom" textRotation="0" wrapText="false" indent="0" shrinkToFit="false"/>
      <protection locked="false" hidden="false"/>
    </xf>
    <xf numFmtId="229" fontId="1" fillId="0" borderId="0" applyFont="true" applyBorder="true" applyAlignment="true" applyProtection="true">
      <alignment horizontal="general" vertical="bottom" textRotation="0" wrapText="false" indent="0" shrinkToFit="false"/>
      <protection locked="false" hidden="false"/>
    </xf>
    <xf numFmtId="164" fontId="15" fillId="0" borderId="2" applyFont="true" applyBorder="true" applyAlignment="false" applyProtection="false"/>
    <xf numFmtId="164" fontId="13" fillId="4" borderId="0" applyFont="true" applyBorder="false" applyAlignment="false" applyProtection="false"/>
    <xf numFmtId="193" fontId="16" fillId="0" borderId="0" applyFont="true" applyBorder="true" applyAlignment="true" applyProtection="true">
      <alignment horizontal="general" vertical="bottom" textRotation="0" wrapText="false" indent="0" shrinkToFit="false"/>
      <protection locked="true" hidden="false"/>
    </xf>
    <xf numFmtId="230" fontId="17"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2" fontId="19" fillId="0" borderId="0" applyFont="true" applyBorder="true" applyAlignment="true" applyProtection="true">
      <alignment horizontal="general" vertical="bottom" textRotation="0" wrapText="false" indent="0" shrinkToFit="false"/>
      <protection locked="true" hidden="false"/>
    </xf>
    <xf numFmtId="233"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1"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23" fillId="0" borderId="0" applyFont="true" applyBorder="true" applyAlignment="true" applyProtection="true">
      <alignment horizontal="general" vertical="bottom" textRotation="0" wrapText="false" indent="0" shrinkToFit="false"/>
      <protection locked="true" hidden="false"/>
    </xf>
    <xf numFmtId="193" fontId="24"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19" fillId="0" borderId="0" applyFont="true" applyBorder="false" applyAlignment="false" applyProtection="false"/>
    <xf numFmtId="164" fontId="26"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164" fontId="26" fillId="0" borderId="0" applyFont="true" applyBorder="true" applyAlignment="true" applyProtection="true">
      <alignment horizontal="general" vertical="bottom" textRotation="0" wrapText="false" indent="0" shrinkToFit="false"/>
      <protection locked="true" hidden="false"/>
    </xf>
    <xf numFmtId="164" fontId="26" fillId="0" borderId="0" applyFont="true" applyBorder="true" applyAlignment="true" applyProtection="true">
      <alignment horizontal="general" vertical="bottom" textRotation="0" wrapText="false" indent="0" shrinkToFit="false"/>
      <protection locked="true" hidden="false"/>
    </xf>
    <xf numFmtId="164" fontId="26"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6"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23"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3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3"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23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23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233" fontId="0" fillId="0" borderId="0" applyFont="true" applyBorder="true" applyAlignment="false" applyProtection="tru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233" fontId="0" fillId="0" borderId="0" applyFont="true" applyBorder="true" applyAlignment="false" applyProtection="tru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3" fontId="22"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233" fontId="0" fillId="0" borderId="0" applyFont="true" applyBorder="true" applyAlignment="false" applyProtection="tru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230" fontId="32" fillId="0" borderId="0"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236" fontId="1" fillId="0" borderId="0" applyFont="true" applyBorder="true" applyAlignment="true" applyProtection="true">
      <alignment horizontal="general" vertical="center"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false"/>
    <xf numFmtId="164" fontId="35" fillId="0" borderId="3"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93" fontId="9"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true" indent="0" shrinkToFit="false"/>
      <protection locked="true" hidden="false"/>
    </xf>
    <xf numFmtId="234" fontId="3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5" fillId="0" borderId="3"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center"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37" fillId="0" borderId="3"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true" indent="0" shrinkToFit="false"/>
      <protection locked="true" hidden="false"/>
    </xf>
    <xf numFmtId="234" fontId="36"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8"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9" fillId="0" borderId="0" applyFont="true" applyBorder="true" applyAlignment="true" applyProtection="true">
      <alignment horizontal="general" vertical="bottom" textRotation="0" wrapText="false" indent="0" shrinkToFit="false"/>
      <protection locked="true" hidden="false"/>
    </xf>
    <xf numFmtId="164" fontId="35" fillId="0" borderId="3" applyFont="true" applyBorder="true" applyAlignment="true" applyProtection="true">
      <alignment horizontal="general" vertical="bottom" textRotation="0" wrapText="false" indent="0" shrinkToFit="false"/>
      <protection locked="true" hidden="false"/>
    </xf>
    <xf numFmtId="164" fontId="37" fillId="0" borderId="3"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tru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tru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234" fontId="36"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tru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true" indent="0" shrinkToFit="false"/>
      <protection locked="true" hidden="false"/>
    </xf>
    <xf numFmtId="164" fontId="9" fillId="0" borderId="0" applyFont="true" applyBorder="true" applyAlignment="true" applyProtection="true">
      <alignment horizontal="general" vertical="bottom" textRotation="0" wrapText="tru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4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4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8"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3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fals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42"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tru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234" fontId="36" fillId="0" borderId="0" applyFont="true" applyBorder="true" applyAlignment="true" applyProtection="true">
      <alignment horizontal="general" vertical="bottom" textRotation="0" wrapText="false" indent="0" shrinkToFit="false"/>
      <protection locked="true" hidden="false"/>
    </xf>
    <xf numFmtId="164" fontId="41"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fals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false" applyAlignment="true" applyProtection="true">
      <alignment horizontal="general" vertical="bottom" textRotation="0" wrapText="false" indent="0" shrinkToFit="false"/>
      <protection locked="true" hidden="false"/>
    </xf>
    <xf numFmtId="164" fontId="9" fillId="0" borderId="0" applyFont="true" applyBorder="false" applyAlignment="true" applyProtection="true">
      <alignment horizontal="general" vertical="bottom" textRotation="0" wrapText="false" indent="0" shrinkToFit="false"/>
      <protection locked="true" hidden="false"/>
    </xf>
    <xf numFmtId="164" fontId="44"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41"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45" fillId="0" borderId="0" applyFont="true" applyBorder="true" applyAlignment="true" applyProtection="true">
      <alignment horizontal="general" vertical="bottom" textRotation="0" wrapText="false" indent="0" shrinkToFit="false"/>
      <protection locked="true" hidden="false"/>
    </xf>
    <xf numFmtId="164" fontId="4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false"/>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47" fillId="0" borderId="0" applyFont="true" applyBorder="true" applyAlignment="true" applyProtection="true">
      <alignment horizontal="general" vertical="bottom" textRotation="0" wrapText="false" indent="0" shrinkToFit="false"/>
      <protection locked="true" hidden="false"/>
    </xf>
    <xf numFmtId="164" fontId="38"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48" fillId="0" borderId="0" applyFont="true" applyBorder="true" applyAlignment="true" applyProtection="true">
      <alignment horizontal="general" vertical="bottom" textRotation="0" wrapText="false" indent="0" shrinkToFit="false"/>
      <protection locked="true" hidden="false"/>
    </xf>
    <xf numFmtId="230" fontId="32"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233" fontId="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false" applyAlignment="true" applyProtection="false">
      <alignment horizontal="general" vertical="bottom" textRotation="0" wrapText="false" indent="0" shrinkToFit="false"/>
    </xf>
    <xf numFmtId="164"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233" fontId="0" fillId="0" borderId="0" applyFont="true" applyBorder="true" applyAlignment="false" applyProtection="tru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4"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center"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233" fontId="9" fillId="0" borderId="0" applyFont="true" applyBorder="true" applyAlignment="true" applyProtection="true">
      <alignment horizontal="general" vertical="bottom" textRotation="0" wrapText="false" indent="0" shrinkToFit="false"/>
      <protection locked="true" hidden="false"/>
    </xf>
    <xf numFmtId="164" fontId="34"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1" fillId="0" borderId="0" applyFont="true" applyBorder="true" applyAlignment="true" applyProtection="true">
      <alignment horizontal="general" vertical="bottom" textRotation="0" wrapText="false" indent="0" shrinkToFit="false"/>
      <protection locked="true" hidden="false"/>
    </xf>
    <xf numFmtId="164" fontId="50"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51" fillId="0" borderId="0" applyFont="true" applyBorder="true" applyAlignment="true" applyProtection="true">
      <alignment horizontal="general" vertical="bottom" textRotation="0" wrapText="false" indent="0" shrinkToFit="false"/>
      <protection locked="true" hidden="false"/>
    </xf>
    <xf numFmtId="234" fontId="1" fillId="0" borderId="0"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false" applyAlignment="true" applyProtection="true">
      <alignment horizontal="general" vertical="bottom" textRotation="0" wrapText="true" indent="0" shrinkToFit="false"/>
      <protection locked="true" hidden="false"/>
    </xf>
    <xf numFmtId="164" fontId="52"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3" fontId="0" fillId="0" borderId="0" applyFont="true" applyBorder="true" applyAlignment="false" applyProtection="tru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53" fillId="0" borderId="0" applyFont="true" applyBorder="true" applyAlignment="true" applyProtection="true">
      <alignment horizontal="general" vertical="bottom" textRotation="0" wrapText="false" indent="0" shrinkToFit="false"/>
      <protection locked="false" hidden="false"/>
    </xf>
  </cellStyleXfs>
  <cellXfs count="247">
    <xf numFmtId="164" fontId="0" fillId="0" borderId="0" xfId="0" applyFont="false" applyBorder="false" applyAlignment="false" applyProtection="false">
      <alignment horizontal="general" vertical="bottom" textRotation="0" wrapText="false" indent="0" shrinkToFit="false"/>
      <protection locked="true" hidden="false"/>
    </xf>
    <xf numFmtId="164" fontId="1" fillId="0" borderId="0" xfId="1494" applyFont="false" applyBorder="false" applyAlignment="false" applyProtection="false">
      <alignment horizontal="general" vertical="bottom" textRotation="0" wrapText="false" indent="0" shrinkToFit="false"/>
      <protection locked="true" hidden="false"/>
    </xf>
    <xf numFmtId="164" fontId="57" fillId="0" borderId="0" xfId="1494" applyFont="true" applyBorder="false" applyAlignment="false" applyProtection="false">
      <alignment horizontal="general" vertical="bottom" textRotation="0" wrapText="false" indent="0" shrinkToFit="false"/>
      <protection locked="true" hidden="false"/>
    </xf>
    <xf numFmtId="164" fontId="58" fillId="0" borderId="0" xfId="1494" applyFont="true" applyBorder="false" applyAlignment="false" applyProtection="false">
      <alignment horizontal="general" vertical="bottom" textRotation="0" wrapText="false" indent="0" shrinkToFit="false"/>
      <protection locked="true" hidden="false"/>
    </xf>
    <xf numFmtId="164" fontId="58" fillId="0" borderId="0" xfId="1494" applyFont="true" applyBorder="false" applyAlignment="true" applyProtection="false">
      <alignment horizontal="center" vertical="bottom" textRotation="0" wrapText="false" indent="0" shrinkToFit="false"/>
      <protection locked="true" hidden="false"/>
    </xf>
    <xf numFmtId="164" fontId="1" fillId="0" borderId="0" xfId="1494" applyFont="false" applyBorder="false" applyAlignment="true" applyProtection="false">
      <alignment horizontal="center" vertical="bottom" textRotation="0" wrapText="false" indent="0" shrinkToFit="false"/>
      <protection locked="true" hidden="false"/>
    </xf>
    <xf numFmtId="164" fontId="1" fillId="0" borderId="0" xfId="1494" applyFont="true" applyBorder="false" applyAlignment="false" applyProtection="false">
      <alignment horizontal="general" vertical="bottom" textRotation="0" wrapText="false" indent="0" shrinkToFit="false"/>
      <protection locked="true" hidden="false"/>
    </xf>
    <xf numFmtId="164" fontId="63"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true"/>
    </xf>
    <xf numFmtId="164" fontId="64" fillId="0" borderId="0" xfId="0" applyFont="true" applyBorder="false" applyAlignment="true" applyProtection="true">
      <alignment horizontal="center" vertical="bottom" textRotation="0" wrapText="false" indent="0" shrinkToFit="false"/>
      <protection locked="true" hidden="true"/>
    </xf>
    <xf numFmtId="164" fontId="65" fillId="0" borderId="0" xfId="0" applyFont="true" applyBorder="false" applyAlignment="false" applyProtection="true">
      <alignment horizontal="general" vertical="bottom" textRotation="0" wrapText="false" indent="0" shrinkToFit="false"/>
      <protection locked="true" hidden="true"/>
    </xf>
    <xf numFmtId="238" fontId="66" fillId="0" borderId="4" xfId="0" applyFont="true" applyBorder="true" applyAlignment="true" applyProtection="true">
      <alignment horizontal="center" vertical="bottom" textRotation="0" wrapText="false" indent="0" shrinkToFit="false"/>
      <protection locked="true" hidden="true"/>
    </xf>
    <xf numFmtId="238" fontId="66" fillId="0" borderId="5" xfId="0" applyFont="true" applyBorder="true" applyAlignment="true" applyProtection="true">
      <alignment horizontal="center" vertical="bottom" textRotation="0" wrapText="false" indent="0" shrinkToFit="false"/>
      <protection locked="true" hidden="true"/>
    </xf>
    <xf numFmtId="238" fontId="66" fillId="0" borderId="6" xfId="0" applyFont="true" applyBorder="true" applyAlignment="true" applyProtection="true">
      <alignment horizontal="center" vertical="bottom" textRotation="0" wrapText="false" indent="0" shrinkToFit="false"/>
      <protection locked="true" hidden="true"/>
    </xf>
    <xf numFmtId="164" fontId="13" fillId="0" borderId="0" xfId="0" applyFont="true" applyBorder="false" applyAlignment="false" applyProtection="false">
      <alignment horizontal="general" vertical="bottom" textRotation="0" wrapText="false" indent="0" shrinkToFit="false"/>
      <protection locked="true" hidden="false"/>
    </xf>
    <xf numFmtId="238" fontId="66" fillId="6" borderId="7" xfId="0" applyFont="true" applyBorder="true" applyAlignment="true" applyProtection="true">
      <alignment horizontal="center" vertical="bottom" textRotation="0" wrapText="false" indent="0" shrinkToFit="false"/>
      <protection locked="true" hidden="true"/>
    </xf>
    <xf numFmtId="238" fontId="66" fillId="0" borderId="0" xfId="0" applyFont="true" applyBorder="true" applyAlignment="true" applyProtection="true">
      <alignment horizontal="center" vertical="bottom" textRotation="0" wrapText="false" indent="0" shrinkToFit="false"/>
      <protection locked="true" hidden="true"/>
    </xf>
    <xf numFmtId="238" fontId="66" fillId="0" borderId="0" xfId="0" applyFont="true" applyBorder="true" applyAlignment="true" applyProtection="true">
      <alignment horizontal="center" vertical="bottom" textRotation="0" wrapText="false" indent="0" shrinkToFit="false"/>
      <protection locked="true" hidden="true"/>
    </xf>
    <xf numFmtId="238" fontId="66" fillId="0" borderId="8" xfId="0" applyFont="true" applyBorder="true" applyAlignment="true" applyProtection="true">
      <alignment horizontal="center" vertical="bottom" textRotation="0" wrapText="false" indent="0" shrinkToFit="false"/>
      <protection locked="true" hidden="true"/>
    </xf>
    <xf numFmtId="238" fontId="66" fillId="6" borderId="0" xfId="0" applyFont="true" applyBorder="true" applyAlignment="true" applyProtection="true">
      <alignment horizontal="center" vertical="bottom" textRotation="0" wrapText="false" indent="0" shrinkToFit="false"/>
      <protection locked="true" hidden="true"/>
    </xf>
    <xf numFmtId="238" fontId="66" fillId="6" borderId="9" xfId="0" applyFont="true" applyBorder="true" applyAlignment="true" applyProtection="true">
      <alignment horizontal="center" vertical="bottom" textRotation="0" wrapText="false" indent="0" shrinkToFit="false"/>
      <protection locked="true" hidden="true"/>
    </xf>
    <xf numFmtId="238" fontId="66" fillId="6" borderId="10" xfId="0" applyFont="true" applyBorder="true" applyAlignment="true" applyProtection="true">
      <alignment horizontal="center" vertical="bottom" textRotation="0" wrapText="false" indent="0" shrinkToFit="false"/>
      <protection locked="true" hidden="true"/>
    </xf>
    <xf numFmtId="238" fontId="66" fillId="0" borderId="11" xfId="0" applyFont="true" applyBorder="true" applyAlignment="true" applyProtection="true">
      <alignment horizontal="center" vertical="bottom" textRotation="0" wrapText="false" indent="0" shrinkToFit="false"/>
      <protection locked="true" hidden="true"/>
    </xf>
    <xf numFmtId="164" fontId="67" fillId="0" borderId="0" xfId="0" applyFont="true" applyBorder="false" applyAlignment="false" applyProtection="true">
      <alignment horizontal="general" vertical="bottom" textRotation="0" wrapText="false" indent="0" shrinkToFit="false"/>
      <protection locked="true" hidden="true"/>
    </xf>
    <xf numFmtId="164" fontId="68" fillId="0" borderId="0" xfId="0" applyFont="true" applyBorder="false" applyAlignment="true" applyProtection="true">
      <alignment horizontal="center" vertical="bottom" textRotation="0" wrapText="false" indent="0" shrinkToFit="false"/>
      <protection locked="true" hidden="true"/>
    </xf>
    <xf numFmtId="164" fontId="66" fillId="0" borderId="0" xfId="0" applyFont="true" applyBorder="false" applyAlignment="false" applyProtection="true">
      <alignment horizontal="general" vertical="bottom" textRotation="0" wrapText="false" indent="0" shrinkToFit="false"/>
      <protection locked="true" hidden="true"/>
    </xf>
    <xf numFmtId="164" fontId="66" fillId="0" borderId="0" xfId="0" applyFont="true" applyBorder="false" applyAlignment="true" applyProtection="true">
      <alignment horizontal="center" vertical="bottom" textRotation="0" wrapText="false" indent="0" shrinkToFit="false"/>
      <protection locked="true" hidden="true"/>
    </xf>
    <xf numFmtId="238" fontId="66" fillId="0" borderId="0" xfId="0" applyFont="true" applyBorder="false" applyAlignment="true" applyProtection="true">
      <alignment horizontal="center" vertical="bottom" textRotation="0" wrapText="false" indent="0" shrinkToFit="false"/>
      <protection locked="true" hidden="true"/>
    </xf>
    <xf numFmtId="164" fontId="69" fillId="0" borderId="0" xfId="0" applyFont="true" applyBorder="false" applyAlignment="false" applyProtection="true">
      <alignment horizontal="general" vertical="bottom" textRotation="0" wrapText="false" indent="0" shrinkToFit="false"/>
      <protection locked="true" hidden="true"/>
    </xf>
    <xf numFmtId="164" fontId="63" fillId="5" borderId="0" xfId="0" applyFont="true" applyBorder="false" applyAlignment="false" applyProtection="true">
      <alignment horizontal="general" vertical="bottom" textRotation="0" wrapText="false" indent="0" shrinkToFit="false"/>
      <protection locked="true" hidden="true"/>
    </xf>
    <xf numFmtId="164" fontId="0" fillId="5" borderId="0" xfId="0" applyFont="false" applyBorder="false" applyAlignment="false" applyProtection="true">
      <alignment horizontal="general" vertical="bottom" textRotation="0" wrapText="false" indent="0" shrinkToFit="false"/>
      <protection locked="true" hidden="true"/>
    </xf>
    <xf numFmtId="239" fontId="65" fillId="0" borderId="0" xfId="0" applyFont="true" applyBorder="false" applyAlignment="true" applyProtection="true">
      <alignment horizontal="center" vertical="bottom" textRotation="0" wrapText="false" indent="0" shrinkToFit="false"/>
      <protection locked="true" hidden="true"/>
    </xf>
    <xf numFmtId="238" fontId="66" fillId="0" borderId="4" xfId="0" applyFont="true" applyBorder="true" applyAlignment="false" applyProtection="true">
      <alignment horizontal="general" vertical="bottom" textRotation="0" wrapText="false" indent="0" shrinkToFit="false"/>
      <protection locked="true" hidden="true"/>
    </xf>
    <xf numFmtId="238" fontId="66" fillId="0" borderId="5" xfId="0" applyFont="true" applyBorder="true" applyAlignment="false" applyProtection="true">
      <alignment horizontal="general" vertical="bottom" textRotation="0" wrapText="false" indent="0" shrinkToFit="false"/>
      <protection locked="true" hidden="true"/>
    </xf>
    <xf numFmtId="238" fontId="66" fillId="0" borderId="6" xfId="0" applyFont="true" applyBorder="true" applyAlignment="false" applyProtection="true">
      <alignment horizontal="general" vertical="bottom" textRotation="0" wrapText="false" indent="0" shrinkToFit="false"/>
      <protection locked="true" hidden="true"/>
    </xf>
    <xf numFmtId="164" fontId="13" fillId="0" borderId="0" xfId="0" applyFont="true" applyBorder="false" applyAlignment="false" applyProtection="true">
      <alignment horizontal="general" vertical="bottom" textRotation="0" wrapText="false" indent="0" shrinkToFit="false"/>
      <protection locked="true" hidden="true"/>
    </xf>
    <xf numFmtId="238" fontId="66" fillId="6" borderId="7" xfId="0" applyFont="true" applyBorder="true" applyAlignment="false" applyProtection="true">
      <alignment horizontal="general" vertical="bottom" textRotation="0" wrapText="false" indent="0" shrinkToFit="false"/>
      <protection locked="true" hidden="true"/>
    </xf>
    <xf numFmtId="238" fontId="66" fillId="0" borderId="0" xfId="0" applyFont="true" applyBorder="true" applyAlignment="false" applyProtection="true">
      <alignment horizontal="general" vertical="bottom" textRotation="0" wrapText="false" indent="0" shrinkToFit="false"/>
      <protection locked="true" hidden="true"/>
    </xf>
    <xf numFmtId="238" fontId="66" fillId="0" borderId="0" xfId="0" applyFont="true" applyBorder="true" applyAlignment="false" applyProtection="true">
      <alignment horizontal="general" vertical="bottom" textRotation="0" wrapText="false" indent="0" shrinkToFit="false"/>
      <protection locked="true" hidden="true"/>
    </xf>
    <xf numFmtId="238" fontId="66" fillId="0" borderId="8" xfId="0" applyFont="true" applyBorder="true" applyAlignment="false" applyProtection="true">
      <alignment horizontal="general" vertical="bottom" textRotation="0" wrapText="false" indent="0" shrinkToFit="false"/>
      <protection locked="true" hidden="true"/>
    </xf>
    <xf numFmtId="238" fontId="66" fillId="6" borderId="0" xfId="0" applyFont="true" applyBorder="true" applyAlignment="false" applyProtection="true">
      <alignment horizontal="general" vertical="bottom" textRotation="0" wrapText="false" indent="0" shrinkToFit="false"/>
      <protection locked="true" hidden="true"/>
    </xf>
    <xf numFmtId="238" fontId="66" fillId="6" borderId="9" xfId="0" applyFont="true" applyBorder="true" applyAlignment="false" applyProtection="true">
      <alignment horizontal="general" vertical="bottom" textRotation="0" wrapText="false" indent="0" shrinkToFit="false"/>
      <protection locked="true" hidden="true"/>
    </xf>
    <xf numFmtId="238" fontId="66" fillId="6" borderId="10" xfId="0" applyFont="true" applyBorder="true" applyAlignment="false" applyProtection="true">
      <alignment horizontal="general" vertical="bottom" textRotation="0" wrapText="false" indent="0" shrinkToFit="false"/>
      <protection locked="true" hidden="true"/>
    </xf>
    <xf numFmtId="238" fontId="66" fillId="0" borderId="11" xfId="0" applyFont="true" applyBorder="true" applyAlignment="false" applyProtection="true">
      <alignment horizontal="general" vertical="bottom" textRotation="0" wrapText="false" indent="0" shrinkToFit="false"/>
      <protection locked="true" hidden="true"/>
    </xf>
    <xf numFmtId="164" fontId="65" fillId="0" borderId="0" xfId="0" applyFont="true" applyBorder="false" applyAlignment="true" applyProtection="true">
      <alignment horizontal="right" vertical="bottom" textRotation="0" wrapText="false" indent="0" shrinkToFit="false"/>
      <protection locked="true" hidden="true"/>
    </xf>
    <xf numFmtId="238" fontId="66" fillId="0" borderId="0" xfId="0" applyFont="true" applyBorder="false" applyAlignment="false" applyProtection="true">
      <alignment horizontal="general" vertical="bottom" textRotation="0" wrapText="false" indent="0" shrinkToFit="false"/>
      <protection locked="true" hidden="true"/>
    </xf>
    <xf numFmtId="164" fontId="68" fillId="4" borderId="12" xfId="0" applyFont="true" applyBorder="true" applyAlignment="true" applyProtection="true">
      <alignment horizontal="center" vertical="bottom" textRotation="0" wrapText="false" indent="0" shrinkToFit="false"/>
      <protection locked="true" hidden="true"/>
    </xf>
    <xf numFmtId="238" fontId="66" fillId="0" borderId="5" xfId="0" applyFont="true" applyBorder="true" applyAlignment="false" applyProtection="true">
      <alignment horizontal="general" vertical="bottom" textRotation="0" wrapText="false" indent="0" shrinkToFit="false"/>
      <protection locked="true" hidden="true"/>
    </xf>
    <xf numFmtId="238" fontId="66" fillId="0" borderId="6" xfId="0" applyFont="true" applyBorder="true" applyAlignment="false" applyProtection="true">
      <alignment horizontal="general" vertical="bottom" textRotation="0" wrapText="false" indent="0" shrinkToFit="false"/>
      <protection locked="true" hidden="true"/>
    </xf>
    <xf numFmtId="238" fontId="66" fillId="4" borderId="12" xfId="0" applyFont="true" applyBorder="true" applyAlignment="true" applyProtection="true">
      <alignment horizontal="center" vertical="bottom" textRotation="0" wrapText="false" indent="0" shrinkToFit="false"/>
      <protection locked="true" hidden="true"/>
    </xf>
    <xf numFmtId="238" fontId="66" fillId="0" borderId="7" xfId="0" applyFont="true" applyBorder="true" applyAlignment="false" applyProtection="true">
      <alignment horizontal="general" vertical="bottom" textRotation="0" wrapText="false" indent="0" shrinkToFit="false"/>
      <protection locked="true" hidden="true"/>
    </xf>
    <xf numFmtId="238" fontId="66" fillId="0" borderId="8" xfId="0" applyFont="true" applyBorder="true" applyAlignment="false" applyProtection="true">
      <alignment horizontal="general" vertical="bottom" textRotation="0" wrapText="false" indent="0" shrinkToFit="false"/>
      <protection locked="true" hidden="true"/>
    </xf>
    <xf numFmtId="238" fontId="66" fillId="0" borderId="9" xfId="0" applyFont="true" applyBorder="true" applyAlignment="false" applyProtection="true">
      <alignment horizontal="general" vertical="bottom" textRotation="0" wrapText="false" indent="0" shrinkToFit="false"/>
      <protection locked="true" hidden="true"/>
    </xf>
    <xf numFmtId="238" fontId="66" fillId="0" borderId="10" xfId="0" applyFont="true" applyBorder="true" applyAlignment="false" applyProtection="true">
      <alignment horizontal="general" vertical="bottom" textRotation="0" wrapText="false" indent="0" shrinkToFit="false"/>
      <protection locked="true" hidden="true"/>
    </xf>
    <xf numFmtId="238" fontId="66" fillId="0" borderId="11" xfId="0" applyFont="true" applyBorder="true" applyAlignment="false" applyProtection="true">
      <alignment horizontal="general" vertical="bottom" textRotation="0" wrapText="false" indent="0" shrinkToFit="false"/>
      <protection locked="true" hidden="true"/>
    </xf>
    <xf numFmtId="164" fontId="13" fillId="5" borderId="0" xfId="0" applyFont="true" applyBorder="false" applyAlignment="false" applyProtection="true">
      <alignment horizontal="general" vertical="bottom" textRotation="0" wrapText="false" indent="0" shrinkToFit="false"/>
      <protection locked="true" hidden="true"/>
    </xf>
    <xf numFmtId="164" fontId="74" fillId="0" borderId="0" xfId="0" applyFont="true" applyBorder="false" applyAlignment="false" applyProtection="true">
      <alignment horizontal="general" vertical="bottom" textRotation="0" wrapText="false" indent="0" shrinkToFit="false"/>
      <protection locked="true" hidden="true"/>
    </xf>
    <xf numFmtId="164" fontId="63" fillId="0" borderId="0" xfId="0" applyFont="true" applyBorder="false" applyAlignment="false" applyProtection="true">
      <alignment horizontal="general" vertical="bottom" textRotation="0" wrapText="false" indent="0" shrinkToFit="false"/>
      <protection locked="true" hidden="true"/>
    </xf>
    <xf numFmtId="164" fontId="13" fillId="0" borderId="0" xfId="0" applyFont="true" applyBorder="false" applyAlignment="false" applyProtection="true">
      <alignment horizontal="general" vertical="bottom" textRotation="0" wrapText="false" indent="0" shrinkToFit="false"/>
      <protection locked="true" hidden="true"/>
    </xf>
    <xf numFmtId="164" fontId="66" fillId="0" borderId="0" xfId="0" applyFont="true" applyBorder="false" applyAlignment="false" applyProtection="true">
      <alignment horizontal="general" vertical="bottom" textRotation="0" wrapText="false" indent="0" shrinkToFit="false"/>
      <protection locked="true" hidden="true"/>
    </xf>
    <xf numFmtId="164" fontId="65" fillId="0" borderId="0" xfId="0" applyFont="true" applyBorder="false" applyAlignment="true" applyProtection="true">
      <alignment horizontal="center" vertical="bottom" textRotation="0" wrapText="false" indent="0" shrinkToFit="false"/>
      <protection locked="true" hidden="true"/>
    </xf>
    <xf numFmtId="164" fontId="74" fillId="0" borderId="0" xfId="0" applyFont="true" applyBorder="false" applyAlignment="true" applyProtection="true">
      <alignment horizontal="left" vertical="bottom" textRotation="0" wrapText="false" indent="0" shrinkToFit="false"/>
      <protection locked="true" hidden="true"/>
    </xf>
    <xf numFmtId="164" fontId="13" fillId="0" borderId="0" xfId="0" applyFont="true" applyBorder="false" applyAlignment="true" applyProtection="true">
      <alignment horizontal="center" vertical="bottom" textRotation="0" wrapText="false" indent="0" shrinkToFit="false"/>
      <protection locked="true" hidden="true"/>
    </xf>
    <xf numFmtId="164" fontId="74" fillId="0" borderId="0" xfId="0" applyFont="true" applyBorder="false" applyAlignment="true" applyProtection="true">
      <alignment horizontal="center" vertical="bottom" textRotation="0" wrapText="false" indent="0" shrinkToFit="false"/>
      <protection locked="true" hidden="true"/>
    </xf>
    <xf numFmtId="238" fontId="66" fillId="0" borderId="13" xfId="0" applyFont="true" applyBorder="true" applyAlignment="true" applyProtection="true">
      <alignment horizontal="center" vertical="bottom" textRotation="0" wrapText="false" indent="0" shrinkToFit="false"/>
      <protection locked="true" hidden="true"/>
    </xf>
    <xf numFmtId="238" fontId="66" fillId="6" borderId="6" xfId="0" applyFont="true" applyBorder="true" applyAlignment="true" applyProtection="true">
      <alignment horizontal="center" vertical="bottom" textRotation="0" wrapText="false" indent="0" shrinkToFit="false"/>
      <protection locked="true" hidden="true"/>
    </xf>
    <xf numFmtId="238" fontId="13" fillId="0" borderId="0" xfId="0" applyFont="true" applyBorder="true" applyAlignment="false" applyProtection="true">
      <alignment horizontal="general" vertical="bottom" textRotation="0" wrapText="false" indent="0" shrinkToFit="false"/>
      <protection locked="true" hidden="true"/>
    </xf>
    <xf numFmtId="190" fontId="74" fillId="0" borderId="0" xfId="0" applyFont="true" applyBorder="true" applyAlignment="false" applyProtection="true">
      <alignment horizontal="general" vertical="bottom" textRotation="0" wrapText="false" indent="0" shrinkToFit="false"/>
      <protection locked="true" hidden="true"/>
    </xf>
    <xf numFmtId="238" fontId="66" fillId="0" borderId="14" xfId="0" applyFont="true" applyBorder="true" applyAlignment="true" applyProtection="true">
      <alignment horizontal="center" vertical="bottom" textRotation="0" wrapText="false" indent="0" shrinkToFit="false"/>
      <protection locked="true" hidden="true"/>
    </xf>
    <xf numFmtId="238" fontId="66" fillId="6" borderId="8" xfId="0" applyFont="true" applyBorder="true" applyAlignment="true" applyProtection="true">
      <alignment horizontal="center" vertical="bottom" textRotation="0" wrapText="false" indent="0" shrinkToFit="false"/>
      <protection locked="true" hidden="true"/>
    </xf>
    <xf numFmtId="238" fontId="66" fillId="0" borderId="15" xfId="0" applyFont="true" applyBorder="true" applyAlignment="true" applyProtection="true">
      <alignment horizontal="center" vertical="bottom" textRotation="0" wrapText="false" indent="0" shrinkToFit="false"/>
      <protection locked="true" hidden="true"/>
    </xf>
    <xf numFmtId="238" fontId="66" fillId="6" borderId="11" xfId="0" applyFont="true" applyBorder="true" applyAlignment="true" applyProtection="true">
      <alignment horizontal="center" vertical="bottom" textRotation="0" wrapText="false" indent="0" shrinkToFit="false"/>
      <protection locked="true" hidden="true"/>
    </xf>
    <xf numFmtId="239" fontId="75" fillId="0" borderId="0" xfId="0" applyFont="true" applyBorder="false" applyAlignment="false" applyProtection="true">
      <alignment horizontal="general" vertical="bottom" textRotation="0" wrapText="false" indent="0" shrinkToFit="false"/>
      <protection locked="true" hidden="true"/>
    </xf>
    <xf numFmtId="239" fontId="76" fillId="0" borderId="0" xfId="0" applyFont="true" applyBorder="false" applyAlignment="false" applyProtection="true">
      <alignment horizontal="general" vertical="bottom" textRotation="0" wrapText="false" indent="0" shrinkToFit="false"/>
      <protection locked="true" hidden="true"/>
    </xf>
    <xf numFmtId="240" fontId="66" fillId="0" borderId="16" xfId="0" applyFont="true" applyBorder="true" applyAlignment="true" applyProtection="true">
      <alignment horizontal="center" vertical="bottom" textRotation="0" wrapText="false" indent="0" shrinkToFit="false"/>
      <protection locked="true" hidden="true"/>
    </xf>
    <xf numFmtId="240" fontId="66" fillId="0" borderId="17" xfId="0" applyFont="true" applyBorder="true" applyAlignment="true" applyProtection="true">
      <alignment horizontal="center" vertical="bottom" textRotation="0" wrapText="false" indent="0" shrinkToFit="false"/>
      <protection locked="true" hidden="true"/>
    </xf>
    <xf numFmtId="240" fontId="66" fillId="0" borderId="18" xfId="0" applyFont="true" applyBorder="true" applyAlignment="true" applyProtection="true">
      <alignment horizontal="center" vertical="bottom" textRotation="0" wrapText="false" indent="0" shrinkToFit="false"/>
      <protection locked="true" hidden="true"/>
    </xf>
    <xf numFmtId="164" fontId="13" fillId="6" borderId="12" xfId="0" applyFont="true" applyBorder="true" applyAlignment="false" applyProtection="true">
      <alignment horizontal="general" vertical="bottom" textRotation="0" wrapText="false" indent="0" shrinkToFit="false"/>
      <protection locked="true" hidden="true"/>
    </xf>
    <xf numFmtId="164" fontId="66" fillId="6" borderId="12" xfId="0" applyFont="true" applyBorder="true" applyAlignment="true" applyProtection="true">
      <alignment horizontal="center" vertical="bottom" textRotation="0" wrapText="false" indent="0" shrinkToFit="false"/>
      <protection locked="true" hidden="true"/>
    </xf>
    <xf numFmtId="164" fontId="13" fillId="6" borderId="19" xfId="0" applyFont="true" applyBorder="true" applyAlignment="false" applyProtection="true">
      <alignment horizontal="general" vertical="bottom" textRotation="0" wrapText="false" indent="0" shrinkToFit="false"/>
      <protection locked="true" hidden="true"/>
    </xf>
    <xf numFmtId="164" fontId="13" fillId="6" borderId="20" xfId="0" applyFont="true" applyBorder="true" applyAlignment="false" applyProtection="true">
      <alignment horizontal="general" vertical="bottom" textRotation="0" wrapText="false" indent="0" shrinkToFit="false"/>
      <protection locked="true" hidden="true"/>
    </xf>
    <xf numFmtId="240" fontId="66" fillId="0" borderId="21" xfId="0" applyFont="true" applyBorder="true" applyAlignment="true" applyProtection="true">
      <alignment horizontal="center" vertical="bottom" textRotation="0" wrapText="false" indent="0" shrinkToFit="false"/>
      <protection locked="true" hidden="true"/>
    </xf>
    <xf numFmtId="240" fontId="66" fillId="0" borderId="0" xfId="0" applyFont="true" applyBorder="true" applyAlignment="true" applyProtection="true">
      <alignment horizontal="center" vertical="bottom" textRotation="0" wrapText="false" indent="0" shrinkToFit="false"/>
      <protection locked="true" hidden="true"/>
    </xf>
    <xf numFmtId="240" fontId="66" fillId="0" borderId="22" xfId="0" applyFont="true" applyBorder="true" applyAlignment="true" applyProtection="true">
      <alignment horizontal="center" vertical="bottom" textRotation="0" wrapText="false" indent="0" shrinkToFit="false"/>
      <protection locked="true" hidden="true"/>
    </xf>
    <xf numFmtId="164" fontId="63" fillId="7" borderId="16" xfId="0" applyFont="true" applyBorder="true" applyAlignment="false" applyProtection="true">
      <alignment horizontal="general" vertical="bottom" textRotation="0" wrapText="false" indent="0" shrinkToFit="false"/>
      <protection locked="true" hidden="true"/>
    </xf>
    <xf numFmtId="164" fontId="83" fillId="7" borderId="17" xfId="0" applyFont="true" applyBorder="true" applyAlignment="false" applyProtection="true">
      <alignment horizontal="general" vertical="bottom" textRotation="0" wrapText="false" indent="0" shrinkToFit="false"/>
      <protection locked="true" hidden="true"/>
    </xf>
    <xf numFmtId="164" fontId="83" fillId="7" borderId="18" xfId="0" applyFont="true" applyBorder="true" applyAlignment="false" applyProtection="true">
      <alignment horizontal="general" vertical="bottom" textRotation="0" wrapText="false" indent="0" shrinkToFit="false"/>
      <protection locked="true" hidden="true"/>
    </xf>
    <xf numFmtId="241" fontId="66" fillId="4" borderId="23" xfId="0" applyFont="true" applyBorder="true" applyAlignment="false" applyProtection="true">
      <alignment horizontal="general" vertical="bottom" textRotation="0" wrapText="false" indent="0" shrinkToFit="false"/>
      <protection locked="true" hidden="true"/>
    </xf>
    <xf numFmtId="164" fontId="63" fillId="7" borderId="24" xfId="0" applyFont="true" applyBorder="true" applyAlignment="false" applyProtection="true">
      <alignment horizontal="general" vertical="bottom" textRotation="0" wrapText="false" indent="0" shrinkToFit="false"/>
      <protection locked="true" hidden="true"/>
    </xf>
    <xf numFmtId="164" fontId="83" fillId="7" borderId="3" xfId="0" applyFont="true" applyBorder="true" applyAlignment="false" applyProtection="true">
      <alignment horizontal="general" vertical="bottom" textRotation="0" wrapText="false" indent="0" shrinkToFit="false"/>
      <protection locked="true" hidden="true"/>
    </xf>
    <xf numFmtId="164" fontId="83" fillId="7" borderId="25" xfId="0" applyFont="true" applyBorder="true" applyAlignment="false" applyProtection="true">
      <alignment horizontal="general" vertical="bottom" textRotation="0" wrapText="false" indent="0" shrinkToFit="false"/>
      <protection locked="true" hidden="true"/>
    </xf>
    <xf numFmtId="237" fontId="66" fillId="4" borderId="12" xfId="0" applyFont="true" applyBorder="true" applyAlignment="false" applyProtection="true">
      <alignment horizontal="general" vertical="bottom" textRotation="0" wrapText="false" indent="0" shrinkToFit="false"/>
      <protection locked="true" hidden="true"/>
    </xf>
    <xf numFmtId="240" fontId="66" fillId="0" borderId="24" xfId="0" applyFont="true" applyBorder="true" applyAlignment="true" applyProtection="true">
      <alignment horizontal="center" vertical="bottom" textRotation="0" wrapText="false" indent="0" shrinkToFit="false"/>
      <protection locked="true" hidden="true"/>
    </xf>
    <xf numFmtId="240" fontId="66" fillId="0" borderId="3" xfId="0" applyFont="true" applyBorder="true" applyAlignment="true" applyProtection="true">
      <alignment horizontal="center" vertical="bottom" textRotation="0" wrapText="false" indent="0" shrinkToFit="false"/>
      <protection locked="true" hidden="true"/>
    </xf>
    <xf numFmtId="240" fontId="66" fillId="0" borderId="25" xfId="0" applyFont="true" applyBorder="true" applyAlignment="true" applyProtection="true">
      <alignment horizontal="center" vertical="bottom" textRotation="0" wrapText="false" indent="0" shrinkToFit="false"/>
      <protection locked="true" hidden="true"/>
    </xf>
    <xf numFmtId="164" fontId="84" fillId="0" borderId="0" xfId="0" applyFont="true" applyBorder="false" applyAlignment="true" applyProtection="true">
      <alignment horizontal="left" vertical="bottom" textRotation="0" wrapText="false" indent="0" shrinkToFit="false"/>
      <protection locked="true" hidden="true"/>
    </xf>
    <xf numFmtId="242" fontId="85" fillId="0" borderId="0" xfId="0" applyFont="true" applyBorder="false" applyAlignment="false" applyProtection="true">
      <alignment horizontal="general" vertical="bottom" textRotation="0" wrapText="false" indent="0" shrinkToFit="false"/>
      <protection locked="true" hidden="true"/>
    </xf>
    <xf numFmtId="240" fontId="86" fillId="8" borderId="12" xfId="0" applyFont="true" applyBorder="true" applyAlignment="true" applyProtection="true">
      <alignment horizontal="center" vertical="bottom" textRotation="0" wrapText="false" indent="0" shrinkToFit="false"/>
      <protection locked="true" hidden="true"/>
    </xf>
    <xf numFmtId="164" fontId="84" fillId="0" borderId="0" xfId="0" applyFont="true" applyBorder="false" applyAlignment="false" applyProtection="true">
      <alignment horizontal="general" vertical="bottom" textRotation="0" wrapText="false" indent="0" shrinkToFit="false"/>
      <protection locked="true" hidden="true"/>
    </xf>
    <xf numFmtId="164" fontId="85" fillId="0" borderId="0" xfId="0" applyFont="true" applyBorder="false" applyAlignment="false" applyProtection="true">
      <alignment horizontal="general" vertical="bottom" textRotation="0" wrapText="false" indent="0" shrinkToFit="false"/>
      <protection locked="true" hidden="true"/>
    </xf>
    <xf numFmtId="240" fontId="63" fillId="5" borderId="12" xfId="0" applyFont="true" applyBorder="true" applyAlignment="true" applyProtection="true">
      <alignment horizontal="center" vertical="bottom" textRotation="0" wrapText="false" indent="0" shrinkToFit="false"/>
      <protection locked="true" hidden="true"/>
    </xf>
    <xf numFmtId="164" fontId="66" fillId="9" borderId="0" xfId="0" applyFont="true" applyBorder="false" applyAlignment="false" applyProtection="true">
      <alignment horizontal="general" vertical="bottom" textRotation="0" wrapText="false" indent="0" shrinkToFit="false"/>
      <protection locked="true" hidden="true"/>
    </xf>
    <xf numFmtId="240" fontId="66" fillId="0" borderId="0" xfId="0" applyFont="true" applyBorder="false" applyAlignment="true" applyProtection="true">
      <alignment horizontal="center" vertical="bottom" textRotation="0" wrapText="false" indent="0" shrinkToFit="false"/>
      <protection locked="true" hidden="true"/>
    </xf>
    <xf numFmtId="164" fontId="68" fillId="0" borderId="0" xfId="0" applyFont="true" applyBorder="false" applyAlignment="false" applyProtection="true">
      <alignment horizontal="general" vertical="bottom" textRotation="0" wrapText="false" indent="0" shrinkToFit="false"/>
      <protection locked="true" hidden="true"/>
    </xf>
    <xf numFmtId="237" fontId="66" fillId="0" borderId="0" xfId="0" applyFont="true" applyBorder="false" applyAlignment="true" applyProtection="true">
      <alignment horizontal="center" vertical="bottom" textRotation="0" wrapText="false" indent="0" shrinkToFit="false"/>
      <protection locked="true" hidden="true"/>
    </xf>
    <xf numFmtId="242" fontId="66" fillId="0" borderId="0" xfId="0" applyFont="true" applyBorder="false" applyAlignment="false" applyProtection="true">
      <alignment horizontal="general" vertical="bottom" textRotation="0" wrapText="false" indent="0" shrinkToFit="false"/>
      <protection locked="true" hidden="true"/>
    </xf>
    <xf numFmtId="241" fontId="66" fillId="0" borderId="0" xfId="0" applyFont="true" applyBorder="false" applyAlignment="true" applyProtection="true">
      <alignment horizontal="center" vertical="bottom" textRotation="0" wrapText="false" indent="0" shrinkToFit="false"/>
      <protection locked="true" hidden="true"/>
    </xf>
    <xf numFmtId="237" fontId="66" fillId="0" borderId="0" xfId="0" applyFont="true" applyBorder="false" applyAlignment="false" applyProtection="true">
      <alignment horizontal="general" vertical="bottom" textRotation="0" wrapText="false" indent="0" shrinkToFit="false"/>
      <protection locked="true" hidden="true"/>
    </xf>
    <xf numFmtId="241" fontId="66" fillId="6" borderId="12" xfId="0" applyFont="true" applyBorder="true" applyAlignment="true" applyProtection="true">
      <alignment horizontal="center" vertical="bottom" textRotation="0" wrapText="false" indent="0" shrinkToFit="false"/>
      <protection locked="true" hidden="true"/>
    </xf>
    <xf numFmtId="241" fontId="66" fillId="0" borderId="0" xfId="0" applyFont="true" applyBorder="false" applyAlignment="false" applyProtection="true">
      <alignment horizontal="general" vertical="bottom" textRotation="0" wrapText="false" indent="0" shrinkToFit="false"/>
      <protection locked="true" hidden="true"/>
    </xf>
    <xf numFmtId="241" fontId="66" fillId="0" borderId="0" xfId="0" applyFont="true" applyBorder="true" applyAlignment="false" applyProtection="true">
      <alignment horizontal="general" vertical="bottom" textRotation="0" wrapText="false" indent="0" shrinkToFit="false"/>
      <protection locked="true" hidden="true"/>
    </xf>
    <xf numFmtId="164" fontId="72" fillId="0" borderId="0" xfId="0" applyFont="true" applyBorder="false" applyAlignment="false" applyProtection="true">
      <alignment horizontal="general" vertical="bottom" textRotation="0" wrapText="false" indent="0" shrinkToFit="false"/>
      <protection locked="true" hidden="true"/>
    </xf>
    <xf numFmtId="170" fontId="66" fillId="6" borderId="19" xfId="0" applyFont="true" applyBorder="true" applyAlignment="true" applyProtection="true">
      <alignment horizontal="center" vertical="bottom" textRotation="0" wrapText="false" indent="0" shrinkToFit="false"/>
      <protection locked="true" hidden="true"/>
    </xf>
    <xf numFmtId="239" fontId="82" fillId="5" borderId="16" xfId="0" applyFont="true" applyBorder="true" applyAlignment="true" applyProtection="true">
      <alignment horizontal="left" vertical="bottom" textRotation="0" wrapText="false" indent="0" shrinkToFit="false"/>
      <protection locked="true" hidden="true"/>
    </xf>
    <xf numFmtId="164" fontId="82" fillId="5" borderId="17" xfId="0" applyFont="true" applyBorder="true" applyAlignment="false" applyProtection="true">
      <alignment horizontal="general" vertical="bottom" textRotation="0" wrapText="false" indent="0" shrinkToFit="false"/>
      <protection locked="true" hidden="true"/>
    </xf>
    <xf numFmtId="164" fontId="87" fillId="5" borderId="17" xfId="0" applyFont="true" applyBorder="true" applyAlignment="false" applyProtection="true">
      <alignment horizontal="general" vertical="bottom" textRotation="0" wrapText="false" indent="0" shrinkToFit="false"/>
      <protection locked="true" hidden="true"/>
    </xf>
    <xf numFmtId="170" fontId="82" fillId="5" borderId="17" xfId="0" applyFont="true" applyBorder="true" applyAlignment="false" applyProtection="true">
      <alignment horizontal="general" vertical="bottom" textRotation="0" wrapText="false" indent="0" shrinkToFit="false"/>
      <protection locked="true" hidden="true"/>
    </xf>
    <xf numFmtId="164" fontId="87" fillId="5" borderId="18" xfId="0" applyFont="true" applyBorder="true" applyAlignment="false" applyProtection="true">
      <alignment horizontal="general" vertical="bottom" textRotation="0" wrapText="false" indent="0" shrinkToFit="false"/>
      <protection locked="true" hidden="true"/>
    </xf>
    <xf numFmtId="164" fontId="87" fillId="0" borderId="0" xfId="0" applyFont="true" applyBorder="true" applyAlignment="false" applyProtection="true">
      <alignment horizontal="general" vertical="bottom" textRotation="0" wrapText="false" indent="0" shrinkToFit="false"/>
      <protection locked="true" hidden="true"/>
    </xf>
    <xf numFmtId="164" fontId="82" fillId="5" borderId="24" xfId="0" applyFont="true" applyBorder="true" applyAlignment="false" applyProtection="true">
      <alignment horizontal="general" vertical="bottom" textRotation="0" wrapText="false" indent="0" shrinkToFit="false"/>
      <protection locked="true" hidden="true"/>
    </xf>
    <xf numFmtId="164" fontId="88" fillId="5" borderId="3" xfId="0" applyFont="true" applyBorder="true" applyAlignment="false" applyProtection="true">
      <alignment horizontal="general" vertical="bottom" textRotation="0" wrapText="false" indent="0" shrinkToFit="false"/>
      <protection locked="true" hidden="true"/>
    </xf>
    <xf numFmtId="164" fontId="88" fillId="5" borderId="25" xfId="0" applyFont="true" applyBorder="true" applyAlignment="false" applyProtection="true">
      <alignment horizontal="general" vertical="bottom" textRotation="0" wrapText="false" indent="0" shrinkToFit="false"/>
      <protection locked="true" hidden="true"/>
    </xf>
    <xf numFmtId="164" fontId="67" fillId="0" borderId="0" xfId="0" applyFont="true" applyBorder="false" applyAlignment="false" applyProtection="false">
      <alignment horizontal="general" vertical="bottom" textRotation="0" wrapText="false" indent="0" shrinkToFit="false"/>
      <protection locked="true" hidden="false"/>
    </xf>
    <xf numFmtId="164" fontId="67" fillId="0" borderId="0" xfId="0" applyFont="true" applyBorder="false" applyAlignment="true" applyProtection="false">
      <alignment horizontal="center" vertical="bottom" textRotation="0" wrapText="false" indent="0" shrinkToFit="false"/>
      <protection locked="true" hidden="false"/>
    </xf>
    <xf numFmtId="164" fontId="63" fillId="0" borderId="0" xfId="0" applyFont="true" applyBorder="false" applyAlignment="true" applyProtection="true">
      <alignment horizontal="center" vertical="bottom" textRotation="0" wrapText="false" indent="0" shrinkToFit="false"/>
      <protection locked="true" hidden="true"/>
    </xf>
    <xf numFmtId="164" fontId="83" fillId="0" borderId="0" xfId="0" applyFont="true" applyBorder="false" applyAlignment="false" applyProtection="true">
      <alignment horizontal="general" vertical="bottom" textRotation="0" wrapText="false" indent="0" shrinkToFit="false"/>
      <protection locked="true" hidden="true"/>
    </xf>
    <xf numFmtId="164" fontId="66" fillId="0" borderId="0" xfId="0" applyFont="true" applyBorder="false" applyAlignment="true" applyProtection="true">
      <alignment horizontal="center" vertical="bottom" textRotation="0" wrapText="false" indent="0" shrinkToFit="false"/>
      <protection locked="true" hidden="true"/>
    </xf>
    <xf numFmtId="164" fontId="68" fillId="0" borderId="0" xfId="0" applyFont="true" applyBorder="true" applyAlignment="true" applyProtection="true">
      <alignment horizontal="center" vertical="bottom" textRotation="0" wrapText="false" indent="0" shrinkToFit="false"/>
      <protection locked="true" hidden="true"/>
    </xf>
    <xf numFmtId="164" fontId="68" fillId="0" borderId="0" xfId="0" applyFont="true" applyBorder="true" applyAlignment="true" applyProtection="false">
      <alignment horizontal="center" vertical="bottom" textRotation="0" wrapText="false" indent="0" shrinkToFit="false"/>
      <protection locked="true" hidden="false"/>
    </xf>
    <xf numFmtId="164" fontId="78" fillId="0" borderId="0" xfId="0" applyFont="true" applyBorder="false" applyAlignment="false" applyProtection="true">
      <alignment horizontal="general" vertical="bottom" textRotation="0" wrapText="false" indent="0" shrinkToFit="false"/>
      <protection locked="true" hidden="true"/>
    </xf>
    <xf numFmtId="164" fontId="58" fillId="0" borderId="0" xfId="0" applyFont="true" applyBorder="false" applyAlignment="true" applyProtection="true">
      <alignment horizontal="center" vertical="bottom" textRotation="0" wrapText="false" indent="0" shrinkToFit="false"/>
      <protection locked="true" hidden="true"/>
    </xf>
    <xf numFmtId="164" fontId="89" fillId="0" borderId="0" xfId="0" applyFont="true" applyBorder="false" applyAlignment="true" applyProtection="true">
      <alignment horizontal="center" vertical="bottom" textRotation="0" wrapText="false" indent="0" shrinkToFit="false"/>
      <protection locked="true" hidden="true"/>
    </xf>
    <xf numFmtId="164" fontId="58" fillId="0" borderId="0" xfId="0" applyFont="true" applyBorder="true" applyAlignment="false" applyProtection="true">
      <alignment horizontal="general" vertical="bottom" textRotation="0" wrapText="false" indent="0" shrinkToFit="false"/>
      <protection locked="true" hidden="true"/>
    </xf>
    <xf numFmtId="164" fontId="58" fillId="0" borderId="0" xfId="0" applyFont="true" applyBorder="true" applyAlignment="true" applyProtection="true">
      <alignment horizontal="center" vertical="bottom" textRotation="0" wrapText="false" indent="0" shrinkToFit="false"/>
      <protection locked="true" hidden="true"/>
    </xf>
    <xf numFmtId="241" fontId="58" fillId="0" borderId="0" xfId="0" applyFont="true" applyBorder="true" applyAlignment="false" applyProtection="true">
      <alignment horizontal="general" vertical="bottom" textRotation="0" wrapText="false" indent="0" shrinkToFit="false"/>
      <protection locked="true" hidden="true"/>
    </xf>
    <xf numFmtId="164" fontId="66" fillId="0" borderId="0" xfId="0" applyFont="true" applyBorder="true" applyAlignment="false" applyProtection="true">
      <alignment horizontal="general" vertical="bottom" textRotation="0" wrapText="false" indent="0" shrinkToFit="false"/>
      <protection locked="true" hidden="true"/>
    </xf>
    <xf numFmtId="164" fontId="13" fillId="0" borderId="0" xfId="0" applyFont="true" applyBorder="true" applyAlignment="false" applyProtection="true">
      <alignment horizontal="general" vertical="bottom" textRotation="0" wrapText="false" indent="0" shrinkToFit="false"/>
      <protection locked="true" hidden="true"/>
    </xf>
    <xf numFmtId="170" fontId="65" fillId="0" borderId="0" xfId="0" applyFont="true" applyBorder="true" applyAlignment="false" applyProtection="true">
      <alignment horizontal="general" vertical="bottom" textRotation="0" wrapText="false" indent="0" shrinkToFit="false"/>
      <protection locked="true" hidden="true"/>
    </xf>
    <xf numFmtId="170" fontId="65" fillId="0" borderId="0" xfId="0" applyFont="true" applyBorder="true" applyAlignment="false" applyProtection="false">
      <alignment horizontal="general" vertical="bottom" textRotation="0" wrapText="false" indent="0" shrinkToFit="false"/>
      <protection locked="true" hidden="false"/>
    </xf>
    <xf numFmtId="237" fontId="58" fillId="0" borderId="3" xfId="0" applyFont="true" applyBorder="true" applyAlignment="false" applyProtection="true">
      <alignment horizontal="general" vertical="bottom" textRotation="0" wrapText="false" indent="0" shrinkToFit="false"/>
      <protection locked="true" hidden="true"/>
    </xf>
    <xf numFmtId="237" fontId="66" fillId="0" borderId="0" xfId="0" applyFont="true" applyBorder="true" applyAlignment="false" applyProtection="true">
      <alignment horizontal="general" vertical="bottom" textRotation="0" wrapText="false" indent="0" shrinkToFit="false"/>
      <protection locked="true" hidden="true"/>
    </xf>
    <xf numFmtId="164" fontId="90" fillId="0" borderId="0" xfId="0" applyFont="true" applyBorder="true" applyAlignment="false" applyProtection="true">
      <alignment horizontal="general" vertical="bottom" textRotation="0" wrapText="false" indent="0" shrinkToFit="false"/>
      <protection locked="true" hidden="true"/>
    </xf>
    <xf numFmtId="164" fontId="66" fillId="0" borderId="0" xfId="0" applyFont="true" applyBorder="true" applyAlignment="false" applyProtection="false">
      <alignment horizontal="general" vertical="bottom" textRotation="0" wrapText="false" indent="0" shrinkToFit="false"/>
      <protection locked="true" hidden="false"/>
    </xf>
    <xf numFmtId="198" fontId="58" fillId="0" borderId="0" xfId="0" applyFont="true" applyBorder="true" applyAlignment="false" applyProtection="true">
      <alignment horizontal="general" vertical="bottom" textRotation="0" wrapText="false" indent="0" shrinkToFit="false"/>
      <protection locked="true" hidden="true"/>
    </xf>
    <xf numFmtId="242" fontId="66" fillId="0" borderId="0" xfId="0" applyFont="true" applyBorder="true" applyAlignment="false" applyProtection="true">
      <alignment horizontal="general" vertical="bottom" textRotation="0" wrapText="false" indent="0" shrinkToFit="false"/>
      <protection locked="true" hidden="true"/>
    </xf>
    <xf numFmtId="170" fontId="66" fillId="0" borderId="0" xfId="0" applyFont="true" applyBorder="true" applyAlignment="false" applyProtection="true">
      <alignment horizontal="general" vertical="bottom" textRotation="0" wrapText="false" indent="0" shrinkToFit="false"/>
      <protection locked="true" hidden="true"/>
    </xf>
    <xf numFmtId="170" fontId="66" fillId="0" borderId="0" xfId="0" applyFont="true" applyBorder="true" applyAlignment="false" applyProtection="false">
      <alignment horizontal="general" vertical="bottom" textRotation="0" wrapText="false" indent="0" shrinkToFit="false"/>
      <protection locked="true" hidden="false"/>
    </xf>
    <xf numFmtId="237" fontId="77" fillId="0" borderId="3" xfId="0" applyFont="true" applyBorder="true" applyAlignment="false" applyProtection="true">
      <alignment horizontal="general" vertical="bottom" textRotation="0" wrapText="false" indent="0" shrinkToFit="false"/>
      <protection locked="true" hidden="true"/>
    </xf>
    <xf numFmtId="164" fontId="72" fillId="0" borderId="0" xfId="0" applyFont="true" applyBorder="true" applyAlignment="false" applyProtection="true">
      <alignment horizontal="general" vertical="bottom" textRotation="0" wrapText="false" indent="0" shrinkToFit="false"/>
      <protection locked="true" hidden="true"/>
    </xf>
    <xf numFmtId="242" fontId="66" fillId="0" borderId="0" xfId="0" applyFont="true" applyBorder="true" applyAlignment="false" applyProtection="false">
      <alignment horizontal="general" vertical="bottom" textRotation="0" wrapText="false" indent="0" shrinkToFit="false"/>
      <protection locked="true" hidden="false"/>
    </xf>
    <xf numFmtId="164" fontId="92" fillId="0" borderId="0" xfId="0" applyFont="true" applyBorder="true" applyAlignment="true" applyProtection="true">
      <alignment horizontal="center" vertical="bottom" textRotation="0" wrapText="false" indent="0" shrinkToFit="false"/>
      <protection locked="true" hidden="true"/>
    </xf>
    <xf numFmtId="198" fontId="58" fillId="6" borderId="3" xfId="0" applyFont="true" applyBorder="true" applyAlignment="false" applyProtection="true">
      <alignment horizontal="general" vertical="bottom" textRotation="0" wrapText="false" indent="0" shrinkToFit="false"/>
      <protection locked="true" hidden="true"/>
    </xf>
    <xf numFmtId="237" fontId="66" fillId="0" borderId="0" xfId="0" applyFont="true" applyBorder="true" applyAlignment="false" applyProtection="false">
      <alignment horizontal="general" vertical="bottom" textRotation="0" wrapText="false" indent="0" shrinkToFit="false"/>
      <protection locked="true" hidden="false"/>
    </xf>
    <xf numFmtId="242" fontId="58" fillId="0" borderId="0" xfId="0" applyFont="true" applyBorder="true" applyAlignment="false" applyProtection="true">
      <alignment horizontal="general" vertical="bottom" textRotation="0" wrapText="false" indent="0" shrinkToFit="false"/>
      <protection locked="true" hidden="true"/>
    </xf>
    <xf numFmtId="164" fontId="78" fillId="0" borderId="0" xfId="0" applyFont="true" applyBorder="true" applyAlignment="false" applyProtection="true">
      <alignment horizontal="general" vertical="bottom" textRotation="0" wrapText="false" indent="0" shrinkToFit="false"/>
      <protection locked="true" hidden="true"/>
    </xf>
    <xf numFmtId="237" fontId="58" fillId="0" borderId="0" xfId="0" applyFont="true" applyBorder="true" applyAlignment="false" applyProtection="true">
      <alignment horizontal="general" vertical="bottom" textRotation="0" wrapText="false" indent="0" shrinkToFit="false"/>
      <protection locked="true" hidden="true"/>
    </xf>
    <xf numFmtId="237" fontId="77" fillId="0" borderId="0" xfId="0" applyFont="true" applyBorder="true" applyAlignment="false" applyProtection="true">
      <alignment horizontal="general" vertical="bottom" textRotation="0" wrapText="false" indent="0" shrinkToFit="false"/>
      <protection locked="true" hidden="true"/>
    </xf>
    <xf numFmtId="164" fontId="58" fillId="0" borderId="0" xfId="0" applyFont="true" applyBorder="false" applyAlignment="false" applyProtection="true">
      <alignment horizontal="general" vertical="bottom" textRotation="0" wrapText="false" indent="0" shrinkToFit="false"/>
      <protection locked="true" hidden="true"/>
    </xf>
    <xf numFmtId="164" fontId="92" fillId="0" borderId="0" xfId="0" applyFont="true" applyBorder="false" applyAlignment="true" applyProtection="true">
      <alignment horizontal="center" vertical="bottom" textRotation="0" wrapText="false" indent="0" shrinkToFit="false"/>
      <protection locked="true" hidden="true"/>
    </xf>
    <xf numFmtId="198" fontId="58" fillId="6" borderId="26" xfId="0" applyFont="true" applyBorder="true" applyAlignment="false" applyProtection="true">
      <alignment horizontal="general" vertical="bottom" textRotation="0" wrapText="false" indent="0" shrinkToFit="false"/>
      <protection locked="true" hidden="true"/>
    </xf>
    <xf numFmtId="241" fontId="66" fillId="0" borderId="0" xfId="0" applyFont="true" applyBorder="true" applyAlignment="false" applyProtection="false">
      <alignment horizontal="general" vertical="bottom" textRotation="0" wrapText="false" indent="0" shrinkToFit="false"/>
      <protection locked="true" hidden="false"/>
    </xf>
    <xf numFmtId="198" fontId="58" fillId="6" borderId="27" xfId="0" applyFont="true" applyBorder="true" applyAlignment="false" applyProtection="true">
      <alignment horizontal="general" vertical="bottom" textRotation="0" wrapText="false" indent="0" shrinkToFit="false"/>
      <protection locked="true" hidden="true"/>
    </xf>
    <xf numFmtId="241" fontId="66" fillId="0" borderId="0" xfId="0" applyFont="true" applyBorder="false" applyAlignment="false" applyProtection="false">
      <alignment horizontal="general" vertical="bottom" textRotation="0" wrapText="false" indent="0" shrinkToFit="false"/>
      <protection locked="true" hidden="false"/>
    </xf>
    <xf numFmtId="198" fontId="66" fillId="0" borderId="0" xfId="0" applyFont="true" applyBorder="true" applyAlignment="false" applyProtection="true">
      <alignment horizontal="general" vertical="bottom" textRotation="0" wrapText="false" indent="0" shrinkToFit="false"/>
      <protection locked="true" hidden="true"/>
    </xf>
    <xf numFmtId="164" fontId="93" fillId="0" borderId="0" xfId="0" applyFont="true" applyBorder="false" applyAlignment="false" applyProtection="true">
      <alignment horizontal="general" vertical="bottom" textRotation="0" wrapText="false" indent="0" shrinkToFit="false"/>
      <protection locked="true" hidden="true"/>
    </xf>
    <xf numFmtId="164" fontId="93" fillId="0" borderId="0" xfId="0" applyFont="true" applyBorder="false" applyAlignment="true" applyProtection="true">
      <alignment horizontal="center" vertical="bottom" textRotation="0" wrapText="false" indent="0" shrinkToFit="false"/>
      <protection locked="true" hidden="true"/>
    </xf>
    <xf numFmtId="198" fontId="93" fillId="0" borderId="0" xfId="0" applyFont="true" applyBorder="true" applyAlignment="false" applyProtection="true">
      <alignment horizontal="general" vertical="bottom" textRotation="0" wrapText="false" indent="0" shrinkToFit="false"/>
      <protection locked="true" hidden="true"/>
    </xf>
    <xf numFmtId="241" fontId="93" fillId="0" borderId="0" xfId="0" applyFont="true" applyBorder="false" applyAlignment="false" applyProtection="true">
      <alignment horizontal="general" vertical="bottom" textRotation="0" wrapText="false" indent="0" shrinkToFit="false"/>
      <protection locked="true" hidden="true"/>
    </xf>
    <xf numFmtId="164" fontId="95" fillId="0" borderId="0" xfId="0" applyFont="true" applyBorder="false" applyAlignment="false" applyProtection="true">
      <alignment horizontal="general" vertical="bottom" textRotation="0" wrapText="false" indent="0" shrinkToFit="false"/>
      <protection locked="true" hidden="true"/>
    </xf>
    <xf numFmtId="164" fontId="0" fillId="10" borderId="0" xfId="0" applyFont="false" applyBorder="false" applyAlignment="false" applyProtection="false">
      <alignment horizontal="general" vertical="bottom" textRotation="0" wrapText="false" indent="0" shrinkToFit="false"/>
      <protection locked="true" hidden="false"/>
    </xf>
    <xf numFmtId="241" fontId="96" fillId="10" borderId="0" xfId="0" applyFont="true" applyBorder="false" applyAlignment="false" applyProtection="true">
      <alignment horizontal="general" vertical="bottom" textRotation="0" wrapText="false" indent="0" shrinkToFit="false"/>
      <protection locked="true" hidden="true"/>
    </xf>
    <xf numFmtId="198" fontId="82" fillId="10" borderId="0" xfId="0" applyFont="true" applyBorder="true" applyAlignment="true" applyProtection="true">
      <alignment horizontal="center" vertical="bottom" textRotation="0" wrapText="false" indent="0" shrinkToFit="false"/>
      <protection locked="true" hidden="true"/>
    </xf>
    <xf numFmtId="241" fontId="63" fillId="10" borderId="0" xfId="0" applyFont="true" applyBorder="false" applyAlignment="false" applyProtection="true">
      <alignment horizontal="general" vertical="bottom" textRotation="0" wrapText="false" indent="0" shrinkToFit="false"/>
      <protection locked="true" hidden="true"/>
    </xf>
    <xf numFmtId="164" fontId="66" fillId="0" borderId="0" xfId="0" applyFont="true" applyBorder="false" applyAlignment="true" applyProtection="true">
      <alignment horizontal="left" vertical="bottom" textRotation="0" wrapText="false" indent="0" shrinkToFit="false"/>
      <protection locked="true" hidden="true"/>
    </xf>
    <xf numFmtId="237" fontId="82" fillId="10" borderId="19" xfId="0" applyFont="true" applyBorder="true" applyAlignment="true" applyProtection="true">
      <alignment horizontal="center" vertical="bottom" textRotation="0" wrapText="false" indent="0" shrinkToFit="false"/>
      <protection locked="true" hidden="true"/>
    </xf>
    <xf numFmtId="237" fontId="82" fillId="10" borderId="26" xfId="0" applyFont="true" applyBorder="true" applyAlignment="true" applyProtection="true">
      <alignment horizontal="center" vertical="bottom" textRotation="0" wrapText="false" indent="0" shrinkToFit="false"/>
      <protection locked="true" hidden="true"/>
    </xf>
    <xf numFmtId="237" fontId="82" fillId="10" borderId="20" xfId="0" applyFont="true" applyBorder="true" applyAlignment="true" applyProtection="true">
      <alignment horizontal="center" vertical="bottom" textRotation="0" wrapText="false" indent="0" shrinkToFit="false"/>
      <protection locked="true" hidden="true"/>
    </xf>
    <xf numFmtId="164" fontId="58" fillId="0" borderId="28" xfId="0" applyFont="true" applyBorder="true" applyAlignment="false" applyProtection="true">
      <alignment horizontal="general" vertical="bottom" textRotation="0" wrapText="false" indent="0" shrinkToFit="false"/>
      <protection locked="true" hidden="true"/>
    </xf>
    <xf numFmtId="243" fontId="58" fillId="11" borderId="16" xfId="17" applyFont="true" applyBorder="true" applyAlignment="true" applyProtection="true">
      <alignment horizontal="general" vertical="bottom" textRotation="0" wrapText="false" indent="0" shrinkToFit="false"/>
      <protection locked="true" hidden="true"/>
    </xf>
    <xf numFmtId="243" fontId="58" fillId="11" borderId="17" xfId="17" applyFont="true" applyBorder="true" applyAlignment="true" applyProtection="true">
      <alignment horizontal="general" vertical="bottom" textRotation="0" wrapText="false" indent="0" shrinkToFit="false"/>
      <protection locked="true" hidden="true"/>
    </xf>
    <xf numFmtId="243" fontId="58" fillId="11" borderId="18" xfId="17" applyFont="true" applyBorder="true" applyAlignment="true" applyProtection="true">
      <alignment horizontal="general" vertical="bottom" textRotation="0" wrapText="false" indent="0" shrinkToFit="false"/>
      <protection locked="true" hidden="true"/>
    </xf>
    <xf numFmtId="164" fontId="58" fillId="0" borderId="29" xfId="0" applyFont="true" applyBorder="true" applyAlignment="false" applyProtection="true">
      <alignment horizontal="general" vertical="bottom" textRotation="0" wrapText="false" indent="0" shrinkToFit="false"/>
      <protection locked="true" hidden="true"/>
    </xf>
    <xf numFmtId="164" fontId="72" fillId="0" borderId="0" xfId="0" applyFont="true" applyBorder="false" applyAlignment="true" applyProtection="true">
      <alignment horizontal="center" vertical="bottom" textRotation="0" wrapText="false" indent="0" shrinkToFit="false"/>
      <protection locked="true" hidden="true"/>
    </xf>
    <xf numFmtId="243" fontId="58" fillId="11" borderId="24" xfId="17" applyFont="true" applyBorder="true" applyAlignment="true" applyProtection="true">
      <alignment horizontal="general" vertical="bottom" textRotation="0" wrapText="false" indent="0" shrinkToFit="false"/>
      <protection locked="true" hidden="true"/>
    </xf>
    <xf numFmtId="243" fontId="58" fillId="11" borderId="3" xfId="17" applyFont="true" applyBorder="true" applyAlignment="true" applyProtection="true">
      <alignment horizontal="general" vertical="bottom" textRotation="0" wrapText="false" indent="0" shrinkToFit="false"/>
      <protection locked="true" hidden="true"/>
    </xf>
    <xf numFmtId="243" fontId="58" fillId="11" borderId="25" xfId="17" applyFont="true" applyBorder="true" applyAlignment="true" applyProtection="true">
      <alignment horizontal="general" vertical="bottom" textRotation="0" wrapText="false" indent="0" shrinkToFit="false"/>
      <protection locked="true" hidden="true"/>
    </xf>
    <xf numFmtId="164" fontId="82" fillId="5" borderId="23" xfId="0" applyFont="true" applyBorder="true" applyAlignment="false" applyProtection="true">
      <alignment horizontal="general" vertical="bottom" textRotation="0" wrapText="false" indent="0" shrinkToFit="false"/>
      <protection locked="true" hidden="true"/>
    </xf>
    <xf numFmtId="243" fontId="82" fillId="5" borderId="24" xfId="17" applyFont="true" applyBorder="true" applyAlignment="true" applyProtection="true">
      <alignment horizontal="general" vertical="bottom" textRotation="0" wrapText="false" indent="0" shrinkToFit="false"/>
      <protection locked="true" hidden="true"/>
    </xf>
    <xf numFmtId="243" fontId="82" fillId="5" borderId="3" xfId="17" applyFont="true" applyBorder="true" applyAlignment="true" applyProtection="true">
      <alignment horizontal="general" vertical="bottom" textRotation="0" wrapText="false" indent="0" shrinkToFit="false"/>
      <protection locked="true" hidden="true"/>
    </xf>
    <xf numFmtId="243" fontId="82" fillId="5" borderId="25" xfId="17" applyFont="true" applyBorder="true" applyAlignment="true" applyProtection="true">
      <alignment horizontal="general" vertical="bottom" textRotation="0" wrapText="false" indent="0" shrinkToFit="false"/>
      <protection locked="true" hidden="true"/>
    </xf>
    <xf numFmtId="164" fontId="58" fillId="0" borderId="0" xfId="0" applyFont="true" applyBorder="false" applyAlignment="false" applyProtection="false">
      <alignment horizontal="general" vertical="bottom" textRotation="0" wrapText="false" indent="0" shrinkToFit="false"/>
      <protection locked="true" hidden="false"/>
    </xf>
    <xf numFmtId="243" fontId="41" fillId="11" borderId="16" xfId="0" applyFont="true" applyBorder="true" applyAlignment="false" applyProtection="false">
      <alignment horizontal="general" vertical="bottom" textRotation="0" wrapText="false" indent="0" shrinkToFit="false"/>
      <protection locked="true" hidden="false"/>
    </xf>
    <xf numFmtId="164" fontId="41" fillId="11" borderId="17" xfId="0" applyFont="true" applyBorder="true" applyAlignment="false" applyProtection="false">
      <alignment horizontal="general" vertical="bottom" textRotation="0" wrapText="false" indent="0" shrinkToFit="false"/>
      <protection locked="true" hidden="false"/>
    </xf>
    <xf numFmtId="164" fontId="41" fillId="11" borderId="18" xfId="0" applyFont="true" applyBorder="true" applyAlignment="false" applyProtection="false">
      <alignment horizontal="general" vertical="bottom" textRotation="0" wrapText="false" indent="0" shrinkToFit="false"/>
      <protection locked="true" hidden="false"/>
    </xf>
    <xf numFmtId="198" fontId="58" fillId="11" borderId="21" xfId="0" applyFont="true" applyBorder="true" applyAlignment="false" applyProtection="true">
      <alignment horizontal="general" vertical="bottom" textRotation="0" wrapText="false" indent="0" shrinkToFit="false"/>
      <protection locked="true" hidden="true"/>
    </xf>
    <xf numFmtId="198" fontId="58" fillId="11" borderId="0" xfId="0" applyFont="true" applyBorder="true" applyAlignment="false" applyProtection="true">
      <alignment horizontal="general" vertical="bottom" textRotation="0" wrapText="false" indent="0" shrinkToFit="false"/>
      <protection locked="true" hidden="true"/>
    </xf>
    <xf numFmtId="198" fontId="58" fillId="11" borderId="22" xfId="0" applyFont="true" applyBorder="true" applyAlignment="false" applyProtection="true">
      <alignment horizontal="general" vertical="bottom" textRotation="0" wrapText="false" indent="0" shrinkToFit="false"/>
      <protection locked="true" hidden="true"/>
    </xf>
    <xf numFmtId="164" fontId="77" fillId="0" borderId="0" xfId="0" applyFont="true" applyBorder="false" applyAlignment="false" applyProtection="true">
      <alignment horizontal="general" vertical="bottom" textRotation="0" wrapText="false" indent="0" shrinkToFit="false"/>
      <protection locked="true" hidden="true"/>
    </xf>
    <xf numFmtId="164" fontId="77" fillId="0" borderId="0" xfId="0" applyFont="true" applyBorder="false" applyAlignment="true" applyProtection="true">
      <alignment horizontal="center" vertical="bottom" textRotation="0" wrapText="false" indent="0" shrinkToFit="false"/>
      <protection locked="true" hidden="true"/>
    </xf>
    <xf numFmtId="198" fontId="92" fillId="11" borderId="21" xfId="0" applyFont="true" applyBorder="true" applyAlignment="false" applyProtection="true">
      <alignment horizontal="general" vertical="bottom" textRotation="0" wrapText="false" indent="0" shrinkToFit="false"/>
      <protection locked="true" hidden="true"/>
    </xf>
    <xf numFmtId="198" fontId="92" fillId="11" borderId="0" xfId="0" applyFont="true" applyBorder="true" applyAlignment="false" applyProtection="true">
      <alignment horizontal="general" vertical="bottom" textRotation="0" wrapText="false" indent="0" shrinkToFit="false"/>
      <protection locked="true" hidden="true"/>
    </xf>
    <xf numFmtId="198" fontId="92" fillId="11" borderId="22" xfId="0" applyFont="true" applyBorder="true" applyAlignment="false" applyProtection="true">
      <alignment horizontal="general" vertical="bottom" textRotation="0" wrapText="false" indent="0" shrinkToFit="false"/>
      <protection locked="true" hidden="true"/>
    </xf>
    <xf numFmtId="237" fontId="77" fillId="11" borderId="24" xfId="0" applyFont="true" applyBorder="true" applyAlignment="false" applyProtection="true">
      <alignment horizontal="general" vertical="bottom" textRotation="0" wrapText="false" indent="0" shrinkToFit="false"/>
      <protection locked="true" hidden="true"/>
    </xf>
    <xf numFmtId="237" fontId="77" fillId="11" borderId="3" xfId="0" applyFont="true" applyBorder="true" applyAlignment="false" applyProtection="true">
      <alignment horizontal="general" vertical="bottom" textRotation="0" wrapText="false" indent="0" shrinkToFit="false"/>
      <protection locked="true" hidden="true"/>
    </xf>
    <xf numFmtId="237" fontId="77" fillId="11" borderId="25" xfId="0" applyFont="true" applyBorder="true" applyAlignment="false" applyProtection="true">
      <alignment horizontal="general" vertical="bottom" textRotation="0" wrapText="false" indent="0" shrinkToFit="false"/>
      <protection locked="true" hidden="true"/>
    </xf>
    <xf numFmtId="164" fontId="58" fillId="9" borderId="28" xfId="0" applyFont="true" applyBorder="true" applyAlignment="false" applyProtection="true">
      <alignment horizontal="general" vertical="bottom" textRotation="0" wrapText="false" indent="0" shrinkToFit="false"/>
      <protection locked="true" hidden="true"/>
    </xf>
    <xf numFmtId="198" fontId="58" fillId="9" borderId="21" xfId="0" applyFont="true" applyBorder="true" applyAlignment="false" applyProtection="true">
      <alignment horizontal="general" vertical="bottom" textRotation="0" wrapText="false" indent="0" shrinkToFit="false"/>
      <protection locked="true" hidden="true"/>
    </xf>
    <xf numFmtId="198" fontId="58" fillId="9" borderId="0" xfId="0" applyFont="true" applyBorder="true" applyAlignment="false" applyProtection="true">
      <alignment horizontal="general" vertical="bottom" textRotation="0" wrapText="false" indent="0" shrinkToFit="false"/>
      <protection locked="true" hidden="true"/>
    </xf>
    <xf numFmtId="198" fontId="58" fillId="9" borderId="22" xfId="0" applyFont="true" applyBorder="true" applyAlignment="false" applyProtection="true">
      <alignment horizontal="general" vertical="bottom" textRotation="0" wrapText="false" indent="0" shrinkToFit="false"/>
      <protection locked="true" hidden="true"/>
    </xf>
    <xf numFmtId="164" fontId="79" fillId="9" borderId="29" xfId="0" applyFont="true" applyBorder="true" applyAlignment="false" applyProtection="true">
      <alignment horizontal="general" vertical="bottom" textRotation="0" wrapText="false" indent="0" shrinkToFit="false"/>
      <protection locked="true" hidden="true"/>
    </xf>
    <xf numFmtId="164" fontId="97" fillId="0" borderId="0" xfId="0" applyFont="true" applyBorder="true" applyAlignment="true" applyProtection="true">
      <alignment horizontal="center" vertical="bottom" textRotation="0" wrapText="false" indent="0" shrinkToFit="false"/>
      <protection locked="true" hidden="true"/>
    </xf>
    <xf numFmtId="164" fontId="92" fillId="9" borderId="0" xfId="0" applyFont="true" applyBorder="true" applyAlignment="false" applyProtection="true">
      <alignment horizontal="general" vertical="bottom" textRotation="0" wrapText="false" indent="0" shrinkToFit="false"/>
      <protection locked="true" hidden="true"/>
    </xf>
    <xf numFmtId="170" fontId="58" fillId="9" borderId="0" xfId="0" applyFont="true" applyBorder="true" applyAlignment="false" applyProtection="true">
      <alignment horizontal="general" vertical="bottom" textRotation="0" wrapText="false" indent="0" shrinkToFit="false"/>
      <protection locked="true" hidden="true"/>
    </xf>
    <xf numFmtId="164" fontId="41" fillId="9" borderId="0" xfId="0" applyFont="true" applyBorder="true" applyAlignment="false" applyProtection="true">
      <alignment horizontal="general" vertical="bottom" textRotation="0" wrapText="false" indent="0" shrinkToFit="false"/>
      <protection locked="true" hidden="true"/>
    </xf>
    <xf numFmtId="164" fontId="41" fillId="9" borderId="22" xfId="0" applyFont="true" applyBorder="true" applyAlignment="false" applyProtection="true">
      <alignment horizontal="general" vertical="bottom" textRotation="0" wrapText="false" indent="0" shrinkToFit="false"/>
      <protection locked="true" hidden="true"/>
    </xf>
    <xf numFmtId="164" fontId="58" fillId="9" borderId="29" xfId="0" applyFont="true" applyBorder="true" applyAlignment="false" applyProtection="true">
      <alignment horizontal="general" vertical="bottom" textRotation="0" wrapText="false" indent="0" shrinkToFit="false"/>
      <protection locked="true" hidden="true"/>
    </xf>
    <xf numFmtId="164" fontId="70" fillId="0" borderId="0" xfId="0" applyFont="true" applyBorder="false" applyAlignment="true" applyProtection="true">
      <alignment horizontal="center" vertical="bottom" textRotation="0" wrapText="false" indent="0" shrinkToFit="false"/>
      <protection locked="true" hidden="true"/>
    </xf>
    <xf numFmtId="198" fontId="58" fillId="9" borderId="24" xfId="0" applyFont="true" applyBorder="true" applyAlignment="false" applyProtection="true">
      <alignment horizontal="general" vertical="bottom" textRotation="0" wrapText="false" indent="0" shrinkToFit="false"/>
      <protection locked="true" hidden="true"/>
    </xf>
    <xf numFmtId="198" fontId="58" fillId="9" borderId="3" xfId="0" applyFont="true" applyBorder="true" applyAlignment="false" applyProtection="true">
      <alignment horizontal="general" vertical="bottom" textRotation="0" wrapText="false" indent="0" shrinkToFit="false"/>
      <protection locked="true" hidden="true"/>
    </xf>
    <xf numFmtId="198" fontId="58" fillId="9" borderId="25" xfId="0" applyFont="true" applyBorder="true" applyAlignment="false" applyProtection="true">
      <alignment horizontal="general" vertical="bottom" textRotation="0" wrapText="false" indent="0" shrinkToFit="false"/>
      <protection locked="true" hidden="true"/>
    </xf>
    <xf numFmtId="164" fontId="98" fillId="0" borderId="0" xfId="0" applyFont="true" applyBorder="true" applyAlignment="false" applyProtection="true">
      <alignment horizontal="general" vertical="bottom" textRotation="0" wrapText="false" indent="0" shrinkToFit="false"/>
      <protection locked="true" hidden="true"/>
    </xf>
    <xf numFmtId="164" fontId="98" fillId="0" borderId="0" xfId="0" applyFont="true" applyBorder="true" applyAlignment="false" applyProtection="false">
      <alignment horizontal="general" vertical="bottom" textRotation="0" wrapText="false" indent="0" shrinkToFit="false"/>
      <protection locked="true" hidden="false"/>
    </xf>
    <xf numFmtId="164" fontId="58" fillId="9" borderId="23" xfId="0" applyFont="true" applyBorder="true" applyAlignment="false" applyProtection="true">
      <alignment horizontal="general" vertical="bottom" textRotation="0" wrapText="false" indent="0" shrinkToFit="false"/>
      <protection locked="true" hidden="true"/>
    </xf>
    <xf numFmtId="198" fontId="98" fillId="0" borderId="0" xfId="0" applyFont="true" applyBorder="true" applyAlignment="false" applyProtection="true">
      <alignment horizontal="general" vertical="bottom" textRotation="0" wrapText="false" indent="0" shrinkToFit="false"/>
      <protection locked="true" hidden="true"/>
    </xf>
    <xf numFmtId="198" fontId="98" fillId="0" borderId="0" xfId="0" applyFont="true" applyBorder="true" applyAlignment="false" applyProtection="false">
      <alignment horizontal="general" vertical="bottom" textRotation="0" wrapText="false" indent="0" shrinkToFit="false"/>
      <protection locked="true" hidden="false"/>
    </xf>
    <xf numFmtId="164" fontId="58" fillId="0" borderId="0" xfId="0" applyFont="true" applyBorder="false" applyAlignment="false" applyProtection="true">
      <alignment horizontal="general" vertical="bottom" textRotation="0" wrapText="false" indent="0" shrinkToFit="false"/>
      <protection locked="true" hidden="true"/>
    </xf>
    <xf numFmtId="237" fontId="58" fillId="11" borderId="24" xfId="0" applyFont="true" applyBorder="true" applyAlignment="false" applyProtection="true">
      <alignment horizontal="general" vertical="bottom" textRotation="0" wrapText="false" indent="0" shrinkToFit="false"/>
      <protection locked="true" hidden="true"/>
    </xf>
    <xf numFmtId="237" fontId="58" fillId="11" borderId="3" xfId="0" applyFont="true" applyBorder="true" applyAlignment="false" applyProtection="true">
      <alignment horizontal="general" vertical="bottom" textRotation="0" wrapText="false" indent="0" shrinkToFit="false"/>
      <protection locked="true" hidden="true"/>
    </xf>
    <xf numFmtId="237" fontId="58" fillId="11" borderId="25" xfId="0" applyFont="true" applyBorder="true" applyAlignment="false" applyProtection="true">
      <alignment horizontal="general" vertical="bottom" textRotation="0" wrapText="false" indent="0" shrinkToFit="false"/>
      <protection locked="true" hidden="true"/>
    </xf>
    <xf numFmtId="198" fontId="99" fillId="0" borderId="0" xfId="0" applyFont="true" applyBorder="true" applyAlignment="false" applyProtection="true">
      <alignment horizontal="general" vertical="bottom" textRotation="0" wrapText="false" indent="0" shrinkToFit="false"/>
      <protection locked="true" hidden="true"/>
    </xf>
    <xf numFmtId="198" fontId="99" fillId="0" borderId="0" xfId="0" applyFont="true" applyBorder="true" applyAlignment="false" applyProtection="false">
      <alignment horizontal="general"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true"/>
    </xf>
    <xf numFmtId="198" fontId="58" fillId="11" borderId="24" xfId="0" applyFont="true" applyBorder="true" applyAlignment="false" applyProtection="true">
      <alignment horizontal="general" vertical="bottom" textRotation="0" wrapText="false" indent="0" shrinkToFit="false"/>
      <protection locked="true" hidden="true"/>
    </xf>
    <xf numFmtId="198" fontId="58" fillId="11" borderId="3" xfId="0" applyFont="true" applyBorder="true" applyAlignment="false" applyProtection="true">
      <alignment horizontal="general" vertical="bottom" textRotation="0" wrapText="false" indent="0" shrinkToFit="false"/>
      <protection locked="true" hidden="true"/>
    </xf>
    <xf numFmtId="198" fontId="58" fillId="11" borderId="25" xfId="0" applyFont="true" applyBorder="true" applyAlignment="false" applyProtection="true">
      <alignment horizontal="general" vertical="bottom" textRotation="0" wrapText="false" indent="0" shrinkToFit="false"/>
      <protection locked="true" hidden="true"/>
    </xf>
    <xf numFmtId="164" fontId="58" fillId="6" borderId="12" xfId="0" applyFont="true" applyBorder="true" applyAlignment="false" applyProtection="true">
      <alignment horizontal="general" vertical="bottom" textRotation="0" wrapText="false" indent="0" shrinkToFit="false"/>
      <protection locked="true" hidden="true"/>
    </xf>
    <xf numFmtId="198" fontId="58" fillId="6" borderId="30" xfId="0" applyFont="true" applyBorder="true" applyAlignment="false" applyProtection="true">
      <alignment horizontal="general" vertical="bottom" textRotation="0" wrapText="false" indent="0" shrinkToFit="false"/>
      <protection locked="true" hidden="true"/>
    </xf>
    <xf numFmtId="198" fontId="58" fillId="6" borderId="31" xfId="0" applyFont="true" applyBorder="true" applyAlignment="false" applyProtection="true">
      <alignment horizontal="general" vertical="bottom" textRotation="0" wrapText="false" indent="0" shrinkToFit="false"/>
      <protection locked="true" hidden="true"/>
    </xf>
    <xf numFmtId="164" fontId="41"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center" vertical="bottom" textRotation="0" wrapText="false" indent="0" shrinkToFit="false"/>
      <protection locked="true" hidden="true"/>
    </xf>
    <xf numFmtId="237" fontId="58" fillId="6" borderId="19" xfId="0" applyFont="true" applyBorder="true" applyAlignment="false" applyProtection="true">
      <alignment horizontal="general" vertical="bottom" textRotation="0" wrapText="false" indent="0" shrinkToFit="false"/>
      <protection locked="true" hidden="true"/>
    </xf>
    <xf numFmtId="237" fontId="58" fillId="6" borderId="26" xfId="0" applyFont="true" applyBorder="true" applyAlignment="false" applyProtection="true">
      <alignment horizontal="general" vertical="bottom" textRotation="0" wrapText="false" indent="0" shrinkToFit="false"/>
      <protection locked="true" hidden="true"/>
    </xf>
    <xf numFmtId="237" fontId="58" fillId="6" borderId="20" xfId="0" applyFont="true" applyBorder="true" applyAlignment="false" applyProtection="true">
      <alignment horizontal="general" vertical="bottom" textRotation="0" wrapText="false" indent="0" shrinkToFit="false"/>
      <protection locked="true" hidden="true"/>
    </xf>
    <xf numFmtId="243" fontId="0" fillId="0" borderId="0" xfId="0" applyFont="false" applyBorder="false" applyAlignment="false" applyProtection="false">
      <alignment horizontal="general" vertical="bottom" textRotation="0" wrapText="false" indent="0" shrinkToFit="false"/>
      <protection locked="true" hidden="false"/>
    </xf>
    <xf numFmtId="244" fontId="0" fillId="0" borderId="0" xfId="0" applyFont="false" applyBorder="false" applyAlignment="false" applyProtection="false">
      <alignment horizontal="general" vertical="bottom" textRotation="0" wrapText="false" indent="0" shrinkToFit="false"/>
      <protection locked="true" hidden="false"/>
    </xf>
    <xf numFmtId="237" fontId="0" fillId="0" borderId="0" xfId="0" applyFont="false" applyBorder="false" applyAlignment="false" applyProtection="false">
      <alignment horizontal="general" vertical="bottom" textRotation="0" wrapText="false" indent="0" shrinkToFit="false"/>
      <protection locked="true" hidden="false"/>
    </xf>
  </cellXfs>
  <cellStyles count="1625">
    <cellStyle name="Normal" xfId="0" builtinId="0"/>
    <cellStyle name="Comma" xfId="15" builtinId="3"/>
    <cellStyle name="Comma [0]" xfId="16" builtinId="6"/>
    <cellStyle name="Currency" xfId="17" builtinId="4"/>
    <cellStyle name="Currency [0]" xfId="18" builtinId="7"/>
    <cellStyle name="Percent" xfId="19" builtinId="5"/>
    <cellStyle name="?? [0]_94???" xfId="20"/>
    <cellStyle name="?? [0]_94???_demand analysisrevised" xfId="21"/>
    <cellStyle name="?? [0]_??" xfId="22"/>
    <cellStyle name="?? [0]_???" xfId="23"/>
    <cellStyle name="?? [0]_?????" xfId="24"/>
    <cellStyle name="?? [0]_?????_???" xfId="25"/>
    <cellStyle name="?? [0]_?????_???_demand analysisrevised" xfId="26"/>
    <cellStyle name="?? [0]_?????_demand analysisrevised" xfId="27"/>
    <cellStyle name="?? [0]_???_demand analysisrevised" xfId="28"/>
    <cellStyle name="?? [0]_??_demand analysisrevised" xfId="29"/>
    <cellStyle name="?? [0]_dimon" xfId="30"/>
    <cellStyle name="?? [0]_form" xfId="31"/>
    <cellStyle name="?? [0]_form_demand analysisrevised" xfId="32"/>
    <cellStyle name="?? [0]_laroux" xfId="33"/>
    <cellStyle name="?? [0]_laroux_1" xfId="34"/>
    <cellStyle name="?? [0]_laroux_1_demand analysisrevised" xfId="35"/>
    <cellStyle name="?? [0]_laroux_2" xfId="36"/>
    <cellStyle name="?? [0]_laroux_demand analysisrevised" xfId="37"/>
    <cellStyle name="?? [0]_PERSONAL" xfId="38"/>
    <cellStyle name="?? [0]_PERSONAL_1" xfId="39"/>
    <cellStyle name="?? [0]_PERSONAL_1_demand analysisrevised" xfId="40"/>
    <cellStyle name="?? [0]_PERSONAL_2" xfId="41"/>
    <cellStyle name="?? [0]_PERSONAL_2_demand analysisrevised" xfId="42"/>
    <cellStyle name="?? [0]_PERSONAL_3" xfId="43"/>
    <cellStyle name="?? [0]_PERSONAL_demand analysisrevised" xfId="44"/>
    <cellStyle name="?? [0]_Sheet2" xfId="45"/>
    <cellStyle name="??_94???" xfId="46"/>
    <cellStyle name="??_94???_demand analysisrevised" xfId="47"/>
    <cellStyle name="??_970120" xfId="48"/>
    <cellStyle name="??_97???" xfId="49"/>
    <cellStyle name="??_?.????" xfId="50"/>
    <cellStyle name="??_??" xfId="51"/>
    <cellStyle name="??_???" xfId="52"/>
    <cellStyle name="??_????" xfId="53"/>
    <cellStyle name="??_?????" xfId="54"/>
    <cellStyle name="??_?????_1" xfId="55"/>
    <cellStyle name="??_?????_2" xfId="56"/>
    <cellStyle name="??_?????_???" xfId="57"/>
    <cellStyle name="??_?????_???_demand analysisrevised" xfId="58"/>
    <cellStyle name="??_?????_???_demand analysisrevised_1" xfId="59"/>
    <cellStyle name="??_?????_demand analysisrevised" xfId="60"/>
    <cellStyle name="??_?????_demand analysisrevised_1" xfId="61"/>
    <cellStyle name="??_????_1" xfId="62"/>
    <cellStyle name="??_???_demand analysisrevised" xfId="63"/>
    <cellStyle name="??_???_demand analysisrevised_1" xfId="64"/>
    <cellStyle name="??_??_1" xfId="65"/>
    <cellStyle name="??_??_????" xfId="66"/>
    <cellStyle name="??_??_????_demand analysisrevised" xfId="67"/>
    <cellStyle name="??_??_demand analysisrevised" xfId="68"/>
    <cellStyle name="??_??_demand analysisrevised_1" xfId="69"/>
    <cellStyle name="??_??_demand analysisrevised_2" xfId="70"/>
    <cellStyle name="??_BEBU_GI" xfId="71"/>
    <cellStyle name="??_dimon" xfId="72"/>
    <cellStyle name="??_dimon_demand analysisrevised" xfId="73"/>
    <cellStyle name="??_form" xfId="74"/>
    <cellStyle name="??_form_demand analysisrevised" xfId="75"/>
    <cellStyle name="??_form_demand analysisrevised_1" xfId="76"/>
    <cellStyle name="??_ga_PB" xfId="77"/>
    <cellStyle name="??_laroux" xfId="78"/>
    <cellStyle name="??_laroux_1" xfId="79"/>
    <cellStyle name="??_laroux_1_demand analysisrevised" xfId="80"/>
    <cellStyle name="??_laroux_1_demand analysisrevised_1" xfId="81"/>
    <cellStyle name="??_laroux_2" xfId="82"/>
    <cellStyle name="??_laroux_2_demand analysisrevised" xfId="83"/>
    <cellStyle name="??_laroux_3" xfId="84"/>
    <cellStyle name="??_laroux_4" xfId="85"/>
    <cellStyle name="??_laroux_5" xfId="86"/>
    <cellStyle name="??_laroux_6" xfId="87"/>
    <cellStyle name="??_laroux_7" xfId="88"/>
    <cellStyle name="??_laroux_8" xfId="89"/>
    <cellStyle name="??_laroux_demand analysisrevised" xfId="90"/>
    <cellStyle name="??_laroux_demand analysisrevised_1" xfId="91"/>
    <cellStyle name="??_PERSONAL" xfId="92"/>
    <cellStyle name="??_PERSONAL_1" xfId="93"/>
    <cellStyle name="??_PERSONAL_1_demand analysisrevised" xfId="94"/>
    <cellStyle name="??_PERSONAL_1_demand analysisrevised_1" xfId="95"/>
    <cellStyle name="??_PERSONAL_2" xfId="96"/>
    <cellStyle name="??_PERSONAL_2_demand analysisrevised" xfId="97"/>
    <cellStyle name="??_PERSONAL_2_demand analysisrevised_1" xfId="98"/>
    <cellStyle name="??_PERSONAL_3" xfId="99"/>
    <cellStyle name="??_PERSONAL_3_demand analysisrevised" xfId="100"/>
    <cellStyle name="??_PERSONAL_4" xfId="101"/>
    <cellStyle name="??_PERSONAL_demand analysisrevised" xfId="102"/>
    <cellStyle name="??_PERSONAL_demand analysisrevised_1" xfId="103"/>
    <cellStyle name="??_Query11" xfId="104"/>
    <cellStyle name="??_Sheet1" xfId="105"/>
    <cellStyle name="??_Sheet1 (2)" xfId="106"/>
    <cellStyle name="??_Sheet2" xfId="107"/>
    <cellStyle name="??_Sheet2_demand analysisrevised" xfId="108"/>
    <cellStyle name="Actual Date" xfId="109"/>
    <cellStyle name="Comma [0]_12matrix" xfId="110"/>
    <cellStyle name="Comma [0]_1995" xfId="111"/>
    <cellStyle name="Comma [0]_1995_monci" xfId="112"/>
    <cellStyle name="Comma [0]_353HHC" xfId="113"/>
    <cellStyle name="Comma [0]_A" xfId="114"/>
    <cellStyle name="Comma [0]_A_dimon" xfId="115"/>
    <cellStyle name="Comma [0]_ACTUAL" xfId="116"/>
    <cellStyle name="Comma [0]_ACTUAL NA -OBU" xfId="117"/>
    <cellStyle name="Comma [0]_Actual vs." xfId="118"/>
    <cellStyle name="Comma [0]_algasdefault" xfId="119"/>
    <cellStyle name="Comma [0]_Alternative1" xfId="120"/>
    <cellStyle name="Comma [0]_Alternative1_1" xfId="121"/>
    <cellStyle name="Comma [0]_App E" xfId="122"/>
    <cellStyle name="Comma [0]_Apr" xfId="123"/>
    <cellStyle name="Comma [0]_Arapahoe" xfId="124"/>
    <cellStyle name="Comma [0]_Assumptions" xfId="125"/>
    <cellStyle name="Comma [0]_Atlanta" xfId="126"/>
    <cellStyle name="Comma [0]_Atlanta (2)" xfId="127"/>
    <cellStyle name="Comma [0]_bahiadefault" xfId="128"/>
    <cellStyle name="Comma [0]_Book3" xfId="129"/>
    <cellStyle name="Comma [0]_BOP" xfId="130"/>
    <cellStyle name="Comma [0]_BOPBAL1" xfId="131"/>
    <cellStyle name="Comma [0]_BOPCBU" xfId="132"/>
    <cellStyle name="Comma [0]_BOPCBU (2)" xfId="133"/>
    <cellStyle name="Comma [0]_BOPCBU96" xfId="134"/>
    <cellStyle name="Comma [0]_BSAPPE.XLS" xfId="135"/>
    <cellStyle name="Comma [0]_Calculations" xfId="136"/>
    <cellStyle name="Comma [0]_Calculations (2)" xfId="137"/>
    <cellStyle name="Comma [0]_Calculations II" xfId="138"/>
    <cellStyle name="Comma [0]_Calculations III" xfId="139"/>
    <cellStyle name="Comma [0]_Calculations_1" xfId="140"/>
    <cellStyle name="Comma [0]_CAPEX" xfId="141"/>
    <cellStyle name="Comma [0]_CAPEX94" xfId="142"/>
    <cellStyle name="Comma [0]_CBU BOX CHART V PLAN" xfId="143"/>
    <cellStyle name="Comma [0]_CCA" xfId="144"/>
    <cellStyle name="Comma [0]_CCOCPX" xfId="145"/>
    <cellStyle name="Comma [0]_CHANGES.XLS" xfId="146"/>
    <cellStyle name="Comma [0]_Charts" xfId="147"/>
    <cellStyle name="Comma [0]_Comm File" xfId="148"/>
    <cellStyle name="Comma [0]_coperdefault" xfId="149"/>
    <cellStyle name="Comma [0]_Corp method" xfId="150"/>
    <cellStyle name="Comma [0]_CTCUR" xfId="151"/>
    <cellStyle name="Comma [0]_CUMPLTCH" xfId="152"/>
    <cellStyle name="Comma [0]_DEFAULT" xfId="153"/>
    <cellStyle name="Comma [0]_dimon" xfId="154"/>
    <cellStyle name="Comma [0]_Dowell C1b" xfId="155"/>
    <cellStyle name="Comma [0]_Dowell-C1a" xfId="156"/>
    <cellStyle name="Comma [0]_E&amp;ONW1" xfId="157"/>
    <cellStyle name="Comma [0]_E&amp;ONW2" xfId="158"/>
    <cellStyle name="Comma [0]_E&amp;OOCPX" xfId="159"/>
    <cellStyle name="Comma [0]_emserdefault" xfId="160"/>
    <cellStyle name="Comma [0]_EPL 304 CA BDE" xfId="161"/>
    <cellStyle name="Comma [0]_F&amp;COCPX" xfId="162"/>
    <cellStyle name="Comma [0]_FEBRUARY" xfId="163"/>
    <cellStyle name="Comma [0]_FF" xfId="164"/>
    <cellStyle name="Comma [0]_FP 20 A (1)" xfId="165"/>
    <cellStyle name="Comma [0]_FP 20 A (2)" xfId="166"/>
    <cellStyle name="Comma [0]_FP-20 (App. E)" xfId="167"/>
    <cellStyle name="Comma [0]_FP-20 (App.A) " xfId="168"/>
    <cellStyle name="Comma [0]_FP-20 (App.D)" xfId="169"/>
    <cellStyle name="Comma [0]_FP-20(App.B)" xfId="170"/>
    <cellStyle name="Comma [0]_FP-20(C1) (a)" xfId="171"/>
    <cellStyle name="Comma [0]_FP-20(C1) (a) (2)" xfId="172"/>
    <cellStyle name="Comma [0]_FP-20(C1) (b)" xfId="173"/>
    <cellStyle name="Comma [0]_FP-20(C1) (b) " xfId="174"/>
    <cellStyle name="Comma [0]_FP-20(C1) (b) (2)" xfId="175"/>
    <cellStyle name="Comma [0]_FY97COB1." xfId="176"/>
    <cellStyle name="Comma [0]_GCM" xfId="177"/>
    <cellStyle name="Comma [0]_GenAssum" xfId="178"/>
    <cellStyle name="Comma [0]_GP C1a" xfId="179"/>
    <cellStyle name="Comma [0]_GP C1b" xfId="180"/>
    <cellStyle name="Comma [0]_GP_EI_3" xfId="181"/>
    <cellStyle name="Comma [0]_GQ C1A" xfId="182"/>
    <cellStyle name="Comma [0]_GQ C1B" xfId="183"/>
    <cellStyle name="Comma [0]_Inputs" xfId="184"/>
    <cellStyle name="Comma [0]_IPM C1b" xfId="185"/>
    <cellStyle name="Comma [0]_IPMC1a" xfId="186"/>
    <cellStyle name="Comma [0]_IS-Hold" xfId="187"/>
    <cellStyle name="Comma [0]_ITOCPX" xfId="188"/>
    <cellStyle name="Comma [0]_jancf" xfId="189"/>
    <cellStyle name="Comma [0]_JUNMTH55" xfId="190"/>
    <cellStyle name="Comma [0]_JUNMTH57" xfId="191"/>
    <cellStyle name="Comma [0]_JUNYTD55" xfId="192"/>
    <cellStyle name="Comma [0]_JUNYTD57" xfId="193"/>
    <cellStyle name="Comma [0]_laroux" xfId="194"/>
    <cellStyle name="Comma [0]_laroux_1" xfId="195"/>
    <cellStyle name="Comma [0]_laroux_1995" xfId="196"/>
    <cellStyle name="Comma [0]_laroux_1995_monci" xfId="197"/>
    <cellStyle name="Comma [0]_laroux_1_dimon" xfId="198"/>
    <cellStyle name="Comma [0]_laroux_1_dimon_1" xfId="199"/>
    <cellStyle name="Comma [0]_laroux_1_dimon_2" xfId="200"/>
    <cellStyle name="Comma [0]_laroux_1_laroux" xfId="201"/>
    <cellStyle name="Comma [0]_laroux_1_laroux_monci" xfId="202"/>
    <cellStyle name="Comma [0]_laroux_1_monci" xfId="203"/>
    <cellStyle name="Comma [0]_laroux_1_pldt" xfId="204"/>
    <cellStyle name="Comma [0]_laroux_1_PLDT_dimon" xfId="205"/>
    <cellStyle name="Comma [0]_laroux_1_Sheet1 (2)" xfId="206"/>
    <cellStyle name="Comma [0]_laroux_1_VERA" xfId="207"/>
    <cellStyle name="Comma [0]_laroux_1_VIRUS-EDY" xfId="208"/>
    <cellStyle name="Comma [0]_laroux_2" xfId="209"/>
    <cellStyle name="Comma [0]_laroux_2_dimon" xfId="210"/>
    <cellStyle name="Comma [0]_laroux_2_dimon_1" xfId="211"/>
    <cellStyle name="Comma [0]_laroux_2_dimon_2" xfId="212"/>
    <cellStyle name="Comma [0]_laroux_2_dimon_3" xfId="213"/>
    <cellStyle name="Comma [0]_laroux_2_laroux" xfId="214"/>
    <cellStyle name="Comma [0]_laroux_2_laroux_dimon" xfId="215"/>
    <cellStyle name="Comma [0]_laroux_2_pldt" xfId="216"/>
    <cellStyle name="Comma [0]_laroux_2_Sheet1 (2)" xfId="217"/>
    <cellStyle name="Comma [0]_laroux_2_VERA" xfId="218"/>
    <cellStyle name="Comma [0]_laroux_3" xfId="219"/>
    <cellStyle name="Comma [0]_laroux_3_dimon" xfId="220"/>
    <cellStyle name="Comma [0]_laroux_dimon" xfId="221"/>
    <cellStyle name="Comma [0]_laroux_dimon_1" xfId="222"/>
    <cellStyle name="Comma [0]_laroux_EPL 304 CA BDE" xfId="223"/>
    <cellStyle name="Comma [0]_laroux_laroux" xfId="224"/>
    <cellStyle name="Comma [0]_laroux_laroux_1" xfId="225"/>
    <cellStyle name="Comma [0]_laroux_laroux_1_monci" xfId="226"/>
    <cellStyle name="Comma [0]_laroux_laroux_dimon" xfId="227"/>
    <cellStyle name="Comma [0]_laroux_laroux_monci" xfId="228"/>
    <cellStyle name="Comma [0]_laroux_MATERAL2" xfId="229"/>
    <cellStyle name="Comma [0]_laroux_MATERAL2_dimon" xfId="230"/>
    <cellStyle name="Comma [0]_laroux_MATERAL2_laroux" xfId="231"/>
    <cellStyle name="Comma [0]_laroux_MATERAL2_laroux_dimon" xfId="232"/>
    <cellStyle name="Comma [0]_laroux_MATERAL2_monci" xfId="233"/>
    <cellStyle name="Comma [0]_laroux_MATERAL2_pldt" xfId="234"/>
    <cellStyle name="Comma [0]_laroux_MATERAL2_VERA" xfId="235"/>
    <cellStyle name="Comma [0]_laroux_MATERAL2_VIRUS-EDY" xfId="236"/>
    <cellStyle name="Comma [0]_laroux_monci" xfId="237"/>
    <cellStyle name="Comma [0]_laroux_mud plant bolted" xfId="238"/>
    <cellStyle name="Comma [0]_laroux_mud plant bolted_dimon" xfId="239"/>
    <cellStyle name="Comma [0]_laroux_mud plant bolted_dimon_1" xfId="240"/>
    <cellStyle name="Comma [0]_laroux_pldt" xfId="241"/>
    <cellStyle name="Comma [0]_laroux_Sheet1 (2)" xfId="242"/>
    <cellStyle name="Comma [0]_laroux_VERA" xfId="243"/>
    <cellStyle name="Comma [0]_laroux_VERA_1" xfId="244"/>
    <cellStyle name="Comma [0]_laroux_VIRUS-EDY" xfId="245"/>
    <cellStyle name="Comma [0]_MATERAL2" xfId="246"/>
    <cellStyle name="Comma [0]_MATERAL2_dimon" xfId="247"/>
    <cellStyle name="Comma [0]_MATERAL2_dimon_1" xfId="248"/>
    <cellStyle name="Comma [0]_MKGOCPX" xfId="249"/>
    <cellStyle name="Comma [0]_MOBCPX" xfId="250"/>
    <cellStyle name="Comma [0]_mud plant bolted" xfId="251"/>
    <cellStyle name="Comma [0]_mud plant bolted_dimon" xfId="252"/>
    <cellStyle name="Comma [0]_mud plant bolted_laroux" xfId="253"/>
    <cellStyle name="Comma [0]_mud plant bolted_laroux_dimon" xfId="254"/>
    <cellStyle name="Comma [0]_mud plant bolted_monci" xfId="255"/>
    <cellStyle name="Comma [0]_mud plant bolted_pldt" xfId="256"/>
    <cellStyle name="Comma [0]_mud plant bolted_VERA" xfId="257"/>
    <cellStyle name="Comma [0]_mud plant bolted_VIRUS-EDY" xfId="258"/>
    <cellStyle name="Comma [0]_NA WITHOUT GOV'T &amp; PNX" xfId="259"/>
    <cellStyle name="Comma [0]_NAOBU10" xfId="260"/>
    <cellStyle name="Comma [0]_NAT ACCT" xfId="261"/>
    <cellStyle name="Comma [0]_NSACTUAL.XLS" xfId="262"/>
    <cellStyle name="Comma [0]_NX00" xfId="263"/>
    <cellStyle name="Comma [0]_Odner" xfId="264"/>
    <cellStyle name="Comma [0]_Odner (2)" xfId="265"/>
    <cellStyle name="Comma [0]_Odner (3)" xfId="266"/>
    <cellStyle name="Comma [0]_OSMOCPX" xfId="267"/>
    <cellStyle name="Comma [0]_Other Months" xfId="268"/>
    <cellStyle name="Comma [0]_Outlook" xfId="269"/>
    <cellStyle name="Comma [0]_pbdefault" xfId="270"/>
    <cellStyle name="Comma [0]_percentages" xfId="271"/>
    <cellStyle name="Comma [0]_PERSONAL" xfId="272"/>
    <cellStyle name="Comma [0]_PGMKOCPX" xfId="273"/>
    <cellStyle name="Comma [0]_PGNW1" xfId="274"/>
    <cellStyle name="Comma [0]_PGNW2" xfId="275"/>
    <cellStyle name="Comma [0]_PGNWOCPX" xfId="276"/>
    <cellStyle name="Comma [0]_Pink" xfId="277"/>
    <cellStyle name="Comma [0]_Plan" xfId="278"/>
    <cellStyle name="Comma [0]_PLANT" xfId="279"/>
    <cellStyle name="Comma [0]_pldt" xfId="280"/>
    <cellStyle name="Comma [0]_pldt_1" xfId="281"/>
    <cellStyle name="Comma [0]_PLDT_1_dimon" xfId="282"/>
    <cellStyle name="Comma [0]_pldt_Calculations" xfId="283"/>
    <cellStyle name="Comma [0]_PLDT_dimon" xfId="284"/>
    <cellStyle name="Comma [0]_priccurv" xfId="285"/>
    <cellStyle name="Comma [0]_PROCDS&amp;G" xfId="286"/>
    <cellStyle name="Comma [0]_PROFILE4" xfId="287"/>
    <cellStyle name="Comma [0]_Projects" xfId="288"/>
    <cellStyle name="Comma [0]_Quarter End Months" xfId="289"/>
    <cellStyle name="Comma [0]_r1" xfId="290"/>
    <cellStyle name="Comma [0]_RFI" xfId="291"/>
    <cellStyle name="Comma [0]_RFI_1" xfId="292"/>
    <cellStyle name="Comma [0]_Sales Order" xfId="293"/>
    <cellStyle name="Comma [0]_San Francisco " xfId="294"/>
    <cellStyle name="Comma [0]_SATOCPX" xfId="295"/>
    <cellStyle name="Comma [0]_Sheet1" xfId="296"/>
    <cellStyle name="Comma [0]_Sheet1 (2)" xfId="297"/>
    <cellStyle name="Comma [0]_Sheet1_dimon" xfId="298"/>
    <cellStyle name="Comma [0]_SHENREPT" xfId="299"/>
    <cellStyle name="Comma [0]_Snr. CO" xfId="300"/>
    <cellStyle name="Comma [0]_sprint contr" xfId="301"/>
    <cellStyle name="Comma [0]_Subcont File" xfId="302"/>
    <cellStyle name="Comma [0]_Summary Info" xfId="303"/>
    <cellStyle name="Comma [0]_SUMPAGE" xfId="304"/>
    <cellStyle name="Comma [0]_TMSNW1" xfId="305"/>
    <cellStyle name="Comma [0]_TMSNW2" xfId="306"/>
    <cellStyle name="Comma [0]_TMSOCPX" xfId="307"/>
    <cellStyle name="Comma [0]_TOTAL MTH" xfId="308"/>
    <cellStyle name="Comma [0]_TOTAL YTD" xfId="309"/>
    <cellStyle name="Comma [0]_TRANSDSC.XLS" xfId="310"/>
    <cellStyle name="Comma [0]_TRANSFXA.XLS" xfId="311"/>
    <cellStyle name="Comma [0]_TRANSFXA.XLS_1" xfId="312"/>
    <cellStyle name="Comma [0]_TRANSIME.XLS" xfId="313"/>
    <cellStyle name="Comma [0]_TRANSIME.XLS_TRANSDSC.XLS" xfId="314"/>
    <cellStyle name="Comma [0]_TRANSIME.XLS_TRANSFXA.XLS" xfId="315"/>
    <cellStyle name="Comma [0]_VIRUS-EDY" xfId="316"/>
    <cellStyle name="Comma [0]_White" xfId="317"/>
    <cellStyle name="Comma [0]_WO Var. &amp; Tot. Exp." xfId="318"/>
    <cellStyle name="Comma [0]_WSP" xfId="319"/>
    <cellStyle name="Comma [0]_yrcao" xfId="320"/>
    <cellStyle name="Comma [0]_YREND55" xfId="321"/>
    <cellStyle name="Comma [0]_YREND57" xfId="322"/>
    <cellStyle name="Comma [0]_YTDCUR" xfId="323"/>
    <cellStyle name="Comma_12matrix" xfId="324"/>
    <cellStyle name="Comma_1995" xfId="325"/>
    <cellStyle name="Comma_1995_monci" xfId="326"/>
    <cellStyle name="Comma_1998 Plan" xfId="327"/>
    <cellStyle name="Comma_1998 Plan_laroux" xfId="328"/>
    <cellStyle name="Comma_353HHC" xfId="329"/>
    <cellStyle name="Comma_A" xfId="330"/>
    <cellStyle name="Comma_A_dimon" xfId="331"/>
    <cellStyle name="Comma_ACTUAL" xfId="332"/>
    <cellStyle name="Comma_ACTUAL NA -OBU" xfId="333"/>
    <cellStyle name="Comma_Actual vs." xfId="334"/>
    <cellStyle name="Comma_algasdefault" xfId="335"/>
    <cellStyle name="Comma_algasdefault_1" xfId="336"/>
    <cellStyle name="Comma_Alternative1" xfId="337"/>
    <cellStyle name="Comma_Alternative1_1" xfId="338"/>
    <cellStyle name="Comma_App E" xfId="339"/>
    <cellStyle name="Comma_Apr" xfId="340"/>
    <cellStyle name="Comma_Arapahoe" xfId="341"/>
    <cellStyle name="Comma_Assumptions" xfId="342"/>
    <cellStyle name="Comma_Atlanta" xfId="343"/>
    <cellStyle name="Comma_Atlanta (2)" xfId="344"/>
    <cellStyle name="Comma_bahiadefault" xfId="345"/>
    <cellStyle name="Comma_bahiadefault_1" xfId="346"/>
    <cellStyle name="Comma_Book3" xfId="347"/>
    <cellStyle name="Comma_BOP" xfId="348"/>
    <cellStyle name="Comma_BOPBAL1" xfId="349"/>
    <cellStyle name="Comma_BOPCBU" xfId="350"/>
    <cellStyle name="Comma_BOPCBU (2)" xfId="351"/>
    <cellStyle name="Comma_BOPCBU96" xfId="352"/>
    <cellStyle name="Comma_BSAPPE.XLS" xfId="353"/>
    <cellStyle name="Comma_C-Cap intensity" xfId="354"/>
    <cellStyle name="Comma_C-Capex%rev" xfId="355"/>
    <cellStyle name="Comma_C-Line per Staff" xfId="356"/>
    <cellStyle name="Comma_C-lines distribution" xfId="357"/>
    <cellStyle name="Comma_C-Orig PLDT lines" xfId="358"/>
    <cellStyle name="Comma_C-Ret on Rev" xfId="359"/>
    <cellStyle name="Comma_C-ROACE" xfId="360"/>
    <cellStyle name="Comma_Calculations" xfId="361"/>
    <cellStyle name="Comma_Calculations (2)" xfId="362"/>
    <cellStyle name="Comma_Calculations II" xfId="363"/>
    <cellStyle name="Comma_Calculations III" xfId="364"/>
    <cellStyle name="Comma_Calculations_1" xfId="365"/>
    <cellStyle name="Comma_Capex" xfId="366"/>
    <cellStyle name="Comma_Capex per line" xfId="367"/>
    <cellStyle name="Comma_Capex%rev" xfId="368"/>
    <cellStyle name="Comma_CAPEX94" xfId="369"/>
    <cellStyle name="Comma_CAPEX_dimon" xfId="370"/>
    <cellStyle name="Comma_CBU BOX CHART V PLAN" xfId="371"/>
    <cellStyle name="Comma_CCA" xfId="372"/>
    <cellStyle name="Comma_CCOCPX" xfId="373"/>
    <cellStyle name="Comma_CHANGES.XLS" xfId="374"/>
    <cellStyle name="Comma_Charts" xfId="375"/>
    <cellStyle name="Comma_Cht-Capex per line" xfId="376"/>
    <cellStyle name="Comma_Cht-Cum Real Opr Cf" xfId="377"/>
    <cellStyle name="Comma_Cht-Dep%Rev" xfId="378"/>
    <cellStyle name="Comma_Cht-Real Opr Cf" xfId="379"/>
    <cellStyle name="Comma_Cht-Rev dist" xfId="380"/>
    <cellStyle name="Comma_Cht-Rev p line" xfId="381"/>
    <cellStyle name="Comma_Cht-Rev per Staff" xfId="382"/>
    <cellStyle name="Comma_Cht-Staff cost%revenue" xfId="383"/>
    <cellStyle name="Comma_Comm File" xfId="384"/>
    <cellStyle name="Comma_coperdefault" xfId="385"/>
    <cellStyle name="Comma_coperdefault_1" xfId="386"/>
    <cellStyle name="Comma_Corp method" xfId="387"/>
    <cellStyle name="Comma_CROCF" xfId="388"/>
    <cellStyle name="Comma_CTCUR" xfId="389"/>
    <cellStyle name="Comma_Cum Real Opr Cf" xfId="390"/>
    <cellStyle name="Comma_CUMPLTCH" xfId="391"/>
    <cellStyle name="Comma_DEFAULT" xfId="392"/>
    <cellStyle name="Comma_Demand Fcst." xfId="393"/>
    <cellStyle name="Comma_Dep%Rev" xfId="394"/>
    <cellStyle name="Comma_dimon" xfId="395"/>
    <cellStyle name="Comma_Dowell C1b" xfId="396"/>
    <cellStyle name="Comma_Dowell-C1a" xfId="397"/>
    <cellStyle name="Comma_E&amp;ONW1" xfId="398"/>
    <cellStyle name="Comma_E&amp;ONW2" xfId="399"/>
    <cellStyle name="Comma_E&amp;OOCPX" xfId="400"/>
    <cellStyle name="Comma_emserdefault" xfId="401"/>
    <cellStyle name="Comma_emserdefault_1" xfId="402"/>
    <cellStyle name="Comma_EPL 304 CA BDE" xfId="403"/>
    <cellStyle name="Comma_EPS" xfId="404"/>
    <cellStyle name="Comma_F&amp;COCPX" xfId="405"/>
    <cellStyle name="Comma_FEBRUARY" xfId="406"/>
    <cellStyle name="Comma_FF" xfId="407"/>
    <cellStyle name="Comma_FP 20 A (1)" xfId="408"/>
    <cellStyle name="Comma_FP 20 A (2)" xfId="409"/>
    <cellStyle name="Comma_FP-20 (App. E)" xfId="410"/>
    <cellStyle name="Comma_FP-20 (App.A) " xfId="411"/>
    <cellStyle name="Comma_FP-20 (App.D)" xfId="412"/>
    <cellStyle name="Comma_FP-20(App.B)" xfId="413"/>
    <cellStyle name="Comma_FP-20(C1) (a)" xfId="414"/>
    <cellStyle name="Comma_FP-20(C1) (a) (2)" xfId="415"/>
    <cellStyle name="Comma_FP-20(C1) (b)" xfId="416"/>
    <cellStyle name="Comma_FP-20(C1) (b) " xfId="417"/>
    <cellStyle name="Comma_FP-20(C1) (b) (2)" xfId="418"/>
    <cellStyle name="Comma_FY97COB1." xfId="419"/>
    <cellStyle name="Comma_GCM" xfId="420"/>
    <cellStyle name="Comma_GenAssum" xfId="421"/>
    <cellStyle name="Comma_GP C1a" xfId="422"/>
    <cellStyle name="Comma_GP C1b" xfId="423"/>
    <cellStyle name="Comma_GP_EI_3" xfId="424"/>
    <cellStyle name="Comma_GQ C1A" xfId="425"/>
    <cellStyle name="Comma_GQ C1B" xfId="426"/>
    <cellStyle name="Comma_Inputs" xfId="427"/>
    <cellStyle name="Comma_IPM C1b" xfId="428"/>
    <cellStyle name="Comma_IPMC1a" xfId="429"/>
    <cellStyle name="Comma_IRR" xfId="430"/>
    <cellStyle name="Comma_IS-Hold" xfId="431"/>
    <cellStyle name="Comma_ITOCPX" xfId="432"/>
    <cellStyle name="Comma_jancf" xfId="433"/>
    <cellStyle name="Comma_JUNMTH55" xfId="434"/>
    <cellStyle name="Comma_JUNMTH57" xfId="435"/>
    <cellStyle name="Comma_JUNYTD55" xfId="436"/>
    <cellStyle name="Comma_JUNYTD57" xfId="437"/>
    <cellStyle name="Comma_laroux" xfId="438"/>
    <cellStyle name="Comma_laroux_1" xfId="439"/>
    <cellStyle name="Comma_laroux_1995" xfId="440"/>
    <cellStyle name="Comma_laroux_1995_monci" xfId="441"/>
    <cellStyle name="Comma_laroux_1_dimon" xfId="442"/>
    <cellStyle name="Comma_laroux_1_dimon_1" xfId="443"/>
    <cellStyle name="Comma_laroux_1_dimon_2" xfId="444"/>
    <cellStyle name="Comma_laroux_1_laroux" xfId="445"/>
    <cellStyle name="Comma_laroux_1_laroux_monci" xfId="446"/>
    <cellStyle name="Comma_laroux_1_pldt" xfId="447"/>
    <cellStyle name="Comma_laroux_1_pldt_1" xfId="448"/>
    <cellStyle name="Comma_laroux_1_PLDT_dimon" xfId="449"/>
    <cellStyle name="Comma_laroux_1_Sheet1 (2)" xfId="450"/>
    <cellStyle name="Comma_laroux_1_VERA" xfId="451"/>
    <cellStyle name="Comma_laroux_1_VERA_1" xfId="452"/>
    <cellStyle name="Comma_laroux_1_VIRUS-EDY" xfId="453"/>
    <cellStyle name="Comma_laroux_2" xfId="454"/>
    <cellStyle name="Comma_laroux_2_dimon" xfId="455"/>
    <cellStyle name="Comma_laroux_2_dimon_1" xfId="456"/>
    <cellStyle name="Comma_laroux_2_dimon_2" xfId="457"/>
    <cellStyle name="Comma_laroux_2_dimon_3" xfId="458"/>
    <cellStyle name="Comma_laroux_2_laroux" xfId="459"/>
    <cellStyle name="Comma_laroux_2_laroux_dimon" xfId="460"/>
    <cellStyle name="Comma_laroux_2_pldt" xfId="461"/>
    <cellStyle name="Comma_laroux_2_pldt_1" xfId="462"/>
    <cellStyle name="Comma_laroux_2_PLDT_dimon" xfId="463"/>
    <cellStyle name="Comma_laroux_2_Sheet1 (2)" xfId="464"/>
    <cellStyle name="Comma_laroux_2_VERA" xfId="465"/>
    <cellStyle name="Comma_laroux_2_VERA_1" xfId="466"/>
    <cellStyle name="Comma_laroux_3" xfId="467"/>
    <cellStyle name="Comma_laroux_3_dimon" xfId="468"/>
    <cellStyle name="Comma_laroux_3_dimon_1" xfId="469"/>
    <cellStyle name="Comma_laroux_3_dimon_2" xfId="470"/>
    <cellStyle name="Comma_laroux_dimon" xfId="471"/>
    <cellStyle name="Comma_laroux_dimon_1" xfId="472"/>
    <cellStyle name="Comma_laroux_EPL 304 CA BDE" xfId="473"/>
    <cellStyle name="Comma_laroux_laroux" xfId="474"/>
    <cellStyle name="Comma_laroux_laroux_1" xfId="475"/>
    <cellStyle name="Comma_laroux_laroux_1_monci" xfId="476"/>
    <cellStyle name="Comma_laroux_laroux_dimon" xfId="477"/>
    <cellStyle name="Comma_laroux_laroux_monci" xfId="478"/>
    <cellStyle name="Comma_laroux_monci" xfId="479"/>
    <cellStyle name="Comma_laroux_pldt" xfId="480"/>
    <cellStyle name="Comma_laroux_pldt_1" xfId="481"/>
    <cellStyle name="Comma_laroux_Sheet1 (2)" xfId="482"/>
    <cellStyle name="Comma_laroux_VERA" xfId="483"/>
    <cellStyle name="Comma_laroux_VERA_1" xfId="484"/>
    <cellStyle name="Comma_laroux_VIRUS-EDY" xfId="485"/>
    <cellStyle name="Comma_Line Inst." xfId="486"/>
    <cellStyle name="Comma_MATERAL2" xfId="487"/>
    <cellStyle name="Comma_MATERAL2_dimon" xfId="488"/>
    <cellStyle name="Comma_MATERAL2_dimon_1" xfId="489"/>
    <cellStyle name="Comma_MKGOCPX" xfId="490"/>
    <cellStyle name="Comma_Mkt Shr" xfId="491"/>
    <cellStyle name="Comma_MOBCPX" xfId="492"/>
    <cellStyle name="Comma_mud plant bolted" xfId="493"/>
    <cellStyle name="Comma_NA WITHOUT GOV'T &amp; PNX" xfId="494"/>
    <cellStyle name="Comma_NAOBU10" xfId="495"/>
    <cellStyle name="Comma_NAT ACCT" xfId="496"/>
    <cellStyle name="Comma_NCR-C&amp;W Val" xfId="497"/>
    <cellStyle name="Comma_NCR-Cap intensity" xfId="498"/>
    <cellStyle name="Comma_NCR-Line per Staff" xfId="499"/>
    <cellStyle name="Comma_NCR-Rev dist" xfId="500"/>
    <cellStyle name="Comma_NSACTUAL.XLS" xfId="501"/>
    <cellStyle name="Comma_NX00" xfId="502"/>
    <cellStyle name="Comma_Odner" xfId="503"/>
    <cellStyle name="Comma_Odner (2)" xfId="504"/>
    <cellStyle name="Comma_Odner (3)" xfId="505"/>
    <cellStyle name="Comma_Op Cost Break" xfId="506"/>
    <cellStyle name="Comma_OSMOCPX" xfId="507"/>
    <cellStyle name="Comma_Other Months" xfId="508"/>
    <cellStyle name="Comma_Outlook" xfId="509"/>
    <cellStyle name="Comma_pbdefault" xfId="510"/>
    <cellStyle name="Comma_pbdefault_1" xfId="511"/>
    <cellStyle name="Comma_percentages" xfId="512"/>
    <cellStyle name="Comma_PERSONAL" xfId="513"/>
    <cellStyle name="Comma_PGMKOCPX" xfId="514"/>
    <cellStyle name="Comma_PGNW1" xfId="515"/>
    <cellStyle name="Comma_PGNW2" xfId="516"/>
    <cellStyle name="Comma_PGNWOCPX" xfId="517"/>
    <cellStyle name="Comma_Pink" xfId="518"/>
    <cellStyle name="Comma_Plan" xfId="519"/>
    <cellStyle name="Comma_PLANT" xfId="520"/>
    <cellStyle name="Comma_pldt" xfId="521"/>
    <cellStyle name="Comma_pldt_1" xfId="522"/>
    <cellStyle name="Comma_PLDT_1_dimon" xfId="523"/>
    <cellStyle name="Comma_pldt_2" xfId="524"/>
    <cellStyle name="Comma_pldt_Calculations" xfId="525"/>
    <cellStyle name="Comma_PLDT_dimon" xfId="526"/>
    <cellStyle name="Comma_priccurv" xfId="527"/>
    <cellStyle name="Comma_PROCDS&amp;G" xfId="528"/>
    <cellStyle name="Comma_PROFILE4" xfId="529"/>
    <cellStyle name="Comma_Projects" xfId="530"/>
    <cellStyle name="Comma_Quarter End Months" xfId="531"/>
    <cellStyle name="Comma_r1" xfId="532"/>
    <cellStyle name="Comma_Real Opr Cf" xfId="533"/>
    <cellStyle name="Comma_Real Rev per Staff (1)" xfId="534"/>
    <cellStyle name="Comma_Real Rev per Staff (2)" xfId="535"/>
    <cellStyle name="Comma_Region 2-C&amp;W" xfId="536"/>
    <cellStyle name="Comma_Return on Rev" xfId="537"/>
    <cellStyle name="Comma_Rev p line" xfId="538"/>
    <cellStyle name="Comma_RFI" xfId="539"/>
    <cellStyle name="Comma_RFI_1" xfId="540"/>
    <cellStyle name="Comma_ROACE" xfId="541"/>
    <cellStyle name="Comma_ROCF (Tot)" xfId="542"/>
    <cellStyle name="Comma_Sales Order" xfId="543"/>
    <cellStyle name="Comma_San Francisco " xfId="544"/>
    <cellStyle name="Comma_SATOCPX" xfId="545"/>
    <cellStyle name="Comma_Sheet1" xfId="546"/>
    <cellStyle name="Comma_Sheet1 (2)" xfId="547"/>
    <cellStyle name="Comma_Sheet1_dimon" xfId="548"/>
    <cellStyle name="Comma_SHENREPT" xfId="549"/>
    <cellStyle name="Comma_Snr. CO" xfId="550"/>
    <cellStyle name="Comma_sprint contr" xfId="551"/>
    <cellStyle name="Comma_Staff cost%rev" xfId="552"/>
    <cellStyle name="Comma_Subcont File" xfId="553"/>
    <cellStyle name="Comma_Summary Info" xfId="554"/>
    <cellStyle name="Comma_SUMPAGE" xfId="555"/>
    <cellStyle name="Comma_TMSNW1" xfId="556"/>
    <cellStyle name="Comma_TMSNW2" xfId="557"/>
    <cellStyle name="Comma_TMSOCPX" xfId="558"/>
    <cellStyle name="Comma_TOTAL MTH" xfId="559"/>
    <cellStyle name="Comma_TOTAL YTD" xfId="560"/>
    <cellStyle name="Comma_Total-Rev dist." xfId="561"/>
    <cellStyle name="Comma_TRANSDSC.XLS" xfId="562"/>
    <cellStyle name="Comma_TRANSFXA.XLS" xfId="563"/>
    <cellStyle name="Comma_TRANSFXA.XLS_1" xfId="564"/>
    <cellStyle name="Comma_TRANSIME.XLS" xfId="565"/>
    <cellStyle name="Comma_TRANSIME.XLS_TRANSDSC.XLS" xfId="566"/>
    <cellStyle name="Comma_TRANSIME.XLS_TRANSFXA.XLS" xfId="567"/>
    <cellStyle name="Comma_VIRUS-EDY" xfId="568"/>
    <cellStyle name="Comma_White" xfId="569"/>
    <cellStyle name="Comma_WO Var. &amp; Tot. Exp." xfId="570"/>
    <cellStyle name="Comma_WSP" xfId="571"/>
    <cellStyle name="Comma_yrcao" xfId="572"/>
    <cellStyle name="Comma_YREND55" xfId="573"/>
    <cellStyle name="Comma_YREND57" xfId="574"/>
    <cellStyle name="Comma_YTDCUR" xfId="575"/>
    <cellStyle name="Currency [0]_12matrix" xfId="576"/>
    <cellStyle name="Currency [0]_1995" xfId="577"/>
    <cellStyle name="Currency [0]_1995_monci" xfId="578"/>
    <cellStyle name="Currency [0]_353HHC" xfId="579"/>
    <cellStyle name="Currency [0]_A" xfId="580"/>
    <cellStyle name="Currency [0]_A_dimon" xfId="581"/>
    <cellStyle name="Currency [0]_ACTUAL" xfId="582"/>
    <cellStyle name="Currency [0]_ACTUAL NA -OBU" xfId="583"/>
    <cellStyle name="Currency [0]_Actual vs." xfId="584"/>
    <cellStyle name="Currency [0]_algasdefault" xfId="585"/>
    <cellStyle name="Currency [0]_Alternative1" xfId="586"/>
    <cellStyle name="Currency [0]_Alternative1_1" xfId="587"/>
    <cellStyle name="Currency [0]_App E" xfId="588"/>
    <cellStyle name="Currency [0]_Apr" xfId="589"/>
    <cellStyle name="Currency [0]_Arapahoe" xfId="590"/>
    <cellStyle name="Currency [0]_Assumptions" xfId="591"/>
    <cellStyle name="Currency [0]_Atlanta" xfId="592"/>
    <cellStyle name="Currency [0]_Atlanta (2)" xfId="593"/>
    <cellStyle name="Currency [0]_bahiadefault" xfId="594"/>
    <cellStyle name="Currency [0]_Book3" xfId="595"/>
    <cellStyle name="Currency [0]_BOP" xfId="596"/>
    <cellStyle name="Currency [0]_BOPBAL1" xfId="597"/>
    <cellStyle name="Currency [0]_BOPCBU" xfId="598"/>
    <cellStyle name="Currency [0]_BOPCBU (2)" xfId="599"/>
    <cellStyle name="Currency [0]_BOPCBU96" xfId="600"/>
    <cellStyle name="Currency [0]_BSAPPE.XLS" xfId="601"/>
    <cellStyle name="Currency [0]_Calculations" xfId="602"/>
    <cellStyle name="Currency [0]_Calculations (2)" xfId="603"/>
    <cellStyle name="Currency [0]_Calculations II" xfId="604"/>
    <cellStyle name="Currency [0]_Calculations III" xfId="605"/>
    <cellStyle name="Currency [0]_Calculations_1" xfId="606"/>
    <cellStyle name="Currency [0]_CAPEX" xfId="607"/>
    <cellStyle name="Currency [0]_CAPEX94" xfId="608"/>
    <cellStyle name="Currency [0]_Cardig GHS" xfId="609"/>
    <cellStyle name="Currency [0]_Cash Flows" xfId="610"/>
    <cellStyle name="Currency [0]_CBU BOX CHART V PLAN" xfId="611"/>
    <cellStyle name="Currency [0]_CCA" xfId="612"/>
    <cellStyle name="Currency [0]_CCOCPX" xfId="613"/>
    <cellStyle name="Currency [0]_CHANGES.XLS" xfId="614"/>
    <cellStyle name="Currency [0]_Charts" xfId="615"/>
    <cellStyle name="Currency [0]_Comm File" xfId="616"/>
    <cellStyle name="Currency [0]_coperdefault" xfId="617"/>
    <cellStyle name="Currency [0]_Corp method" xfId="618"/>
    <cellStyle name="Currency [0]_Cost Code" xfId="619"/>
    <cellStyle name="Currency [0]_CTCUR" xfId="620"/>
    <cellStyle name="Currency [0]_CUMPLTCH" xfId="621"/>
    <cellStyle name="Currency [0]_DEFAULT" xfId="622"/>
    <cellStyle name="Currency [0]_dimon" xfId="623"/>
    <cellStyle name="Currency [0]_dimon_1" xfId="624"/>
    <cellStyle name="Currency [0]_dimon_2" xfId="625"/>
    <cellStyle name="Currency [0]_Dowell C1b" xfId="626"/>
    <cellStyle name="Currency [0]_Dowell-C1a" xfId="627"/>
    <cellStyle name="Currency [0]_E&amp;ONW1" xfId="628"/>
    <cellStyle name="Currency [0]_E&amp;ONW2" xfId="629"/>
    <cellStyle name="Currency [0]_E&amp;OOCPX" xfId="630"/>
    <cellStyle name="Currency [0]_emserdefault" xfId="631"/>
    <cellStyle name="Currency [0]_EPL 304 CA BDE" xfId="632"/>
    <cellStyle name="Currency [0]_F&amp;COCPX" xfId="633"/>
    <cellStyle name="Currency [0]_FEBRUARY" xfId="634"/>
    <cellStyle name="Currency [0]_FF" xfId="635"/>
    <cellStyle name="Currency [0]_FP 20 A (1)" xfId="636"/>
    <cellStyle name="Currency [0]_FP 20 A (2)" xfId="637"/>
    <cellStyle name="Currency [0]_FP-20 (App. E)" xfId="638"/>
    <cellStyle name="Currency [0]_FP-20 (App.A) " xfId="639"/>
    <cellStyle name="Currency [0]_FP-20 (App.D)" xfId="640"/>
    <cellStyle name="Currency [0]_FP-20(App.B)" xfId="641"/>
    <cellStyle name="Currency [0]_FP-20(C1) (a)" xfId="642"/>
    <cellStyle name="Currency [0]_FP-20(C1) (a) (2)" xfId="643"/>
    <cellStyle name="Currency [0]_FP-20(C1) (b)" xfId="644"/>
    <cellStyle name="Currency [0]_FP-20(C1) (b) " xfId="645"/>
    <cellStyle name="Currency [0]_FP-20(C1) (b) (2)" xfId="646"/>
    <cellStyle name="Currency [0]_FY97COB1." xfId="647"/>
    <cellStyle name="Currency [0]_GCM" xfId="648"/>
    <cellStyle name="Currency [0]_GenAssum" xfId="649"/>
    <cellStyle name="Currency [0]_GP C1a" xfId="650"/>
    <cellStyle name="Currency [0]_GP C1b" xfId="651"/>
    <cellStyle name="Currency [0]_GP_EI_3" xfId="652"/>
    <cellStyle name="Currency [0]_GQ C1A" xfId="653"/>
    <cellStyle name="Currency [0]_GQ C1B" xfId="654"/>
    <cellStyle name="Currency [0]_Inputs" xfId="655"/>
    <cellStyle name="Currency [0]_IPM C1b" xfId="656"/>
    <cellStyle name="Currency [0]_IPMC1a" xfId="657"/>
    <cellStyle name="Currency [0]_IS-Hold" xfId="658"/>
    <cellStyle name="Currency [0]_ITOCPX" xfId="659"/>
    <cellStyle name="Currency [0]_jancf" xfId="660"/>
    <cellStyle name="Currency [0]_JUNMTH55" xfId="661"/>
    <cellStyle name="Currency [0]_JUNMTH57" xfId="662"/>
    <cellStyle name="Currency [0]_JUNYTD55" xfId="663"/>
    <cellStyle name="Currency [0]_JUNYTD57" xfId="664"/>
    <cellStyle name="Currency [0]_laroux" xfId="665"/>
    <cellStyle name="Currency [0]_laroux_1" xfId="666"/>
    <cellStyle name="Currency [0]_laroux_1995" xfId="667"/>
    <cellStyle name="Currency [0]_laroux_1_dimon" xfId="668"/>
    <cellStyle name="Currency [0]_laroux_1_dimon_1" xfId="669"/>
    <cellStyle name="Currency [0]_laroux_1_dimon_2" xfId="670"/>
    <cellStyle name="Currency [0]_laroux_1_dimon_3" xfId="671"/>
    <cellStyle name="Currency [0]_laroux_1_dimon_4" xfId="672"/>
    <cellStyle name="Currency [0]_laroux_1_laroux" xfId="673"/>
    <cellStyle name="Currency [0]_laroux_1_laroux_1" xfId="674"/>
    <cellStyle name="Currency [0]_laroux_1_laroux_dimon" xfId="675"/>
    <cellStyle name="Currency [0]_laroux_1_laroux_monci" xfId="676"/>
    <cellStyle name="Currency [0]_laroux_1_Locas" xfId="677"/>
    <cellStyle name="Currency [0]_laroux_1_monci" xfId="678"/>
    <cellStyle name="Currency [0]_laroux_1_pldt" xfId="679"/>
    <cellStyle name="Currency [0]_laroux_1_PLDT_dimon" xfId="680"/>
    <cellStyle name="Currency [0]_laroux_1_Sheet1 (2)" xfId="681"/>
    <cellStyle name="Currency [0]_laroux_1_VERA" xfId="682"/>
    <cellStyle name="Currency [0]_laroux_1_VERA_1" xfId="683"/>
    <cellStyle name="Currency [0]_laroux_1_VIRUS-EDY" xfId="684"/>
    <cellStyle name="Currency [0]_laroux_2" xfId="685"/>
    <cellStyle name="Currency [0]_laroux_2_dimon" xfId="686"/>
    <cellStyle name="Currency [0]_laroux_2_dimon_1" xfId="687"/>
    <cellStyle name="Currency [0]_laroux_2_dimon_2" xfId="688"/>
    <cellStyle name="Currency [0]_laroux_2_dimon_3" xfId="689"/>
    <cellStyle name="Currency [0]_laroux_2_dimon_4" xfId="690"/>
    <cellStyle name="Currency [0]_laroux_2_laroux" xfId="691"/>
    <cellStyle name="Currency [0]_laroux_2_laroux_dimon" xfId="692"/>
    <cellStyle name="Currency [0]_laroux_2_Locas" xfId="693"/>
    <cellStyle name="Currency [0]_laroux_2_monci" xfId="694"/>
    <cellStyle name="Currency [0]_laroux_2_pldt" xfId="695"/>
    <cellStyle name="Currency [0]_laroux_2_PLDT_dimon" xfId="696"/>
    <cellStyle name="Currency [0]_laroux_2_Sheet1 (2)" xfId="697"/>
    <cellStyle name="Currency [0]_laroux_2_VIRUS-EDY" xfId="698"/>
    <cellStyle name="Currency [0]_laroux_3" xfId="699"/>
    <cellStyle name="Currency [0]_laroux_3_dimon" xfId="700"/>
    <cellStyle name="Currency [0]_laroux_3_dimon_1" xfId="701"/>
    <cellStyle name="Currency [0]_laroux_3_dimon_2" xfId="702"/>
    <cellStyle name="Currency [0]_laroux_3_dimon_3" xfId="703"/>
    <cellStyle name="Currency [0]_laroux_4" xfId="704"/>
    <cellStyle name="Currency [0]_laroux_4_dimon" xfId="705"/>
    <cellStyle name="Currency [0]_laroux_4_dimon_1" xfId="706"/>
    <cellStyle name="Currency [0]_laroux_5" xfId="707"/>
    <cellStyle name="Currency [0]_laroux_6" xfId="708"/>
    <cellStyle name="Currency [0]_laroux_7" xfId="709"/>
    <cellStyle name="Currency [0]_laroux_dimon" xfId="710"/>
    <cellStyle name="Currency [0]_laroux_dimon_1" xfId="711"/>
    <cellStyle name="Currency [0]_laroux_dimon_2" xfId="712"/>
    <cellStyle name="Currency [0]_laroux_dimon_3" xfId="713"/>
    <cellStyle name="Currency [0]_laroux_EPL 304 CA BDE" xfId="714"/>
    <cellStyle name="Currency [0]_laroux_laroux" xfId="715"/>
    <cellStyle name="Currency [0]_laroux_laroux_1" xfId="716"/>
    <cellStyle name="Currency [0]_laroux_laroux_1_dimon" xfId="717"/>
    <cellStyle name="Currency [0]_laroux_laroux_1_monci" xfId="718"/>
    <cellStyle name="Currency [0]_laroux_laroux_dimon" xfId="719"/>
    <cellStyle name="Currency [0]_laroux_laroux_monci" xfId="720"/>
    <cellStyle name="Currency [0]_laroux_Locas" xfId="721"/>
    <cellStyle name="Currency [0]_laroux_MATERAL2" xfId="722"/>
    <cellStyle name="Currency [0]_laroux_MATERAL2_dimon" xfId="723"/>
    <cellStyle name="Currency [0]_laroux_MATERAL2_dimon_1" xfId="724"/>
    <cellStyle name="Currency [0]_laroux_MATERAL2_laroux" xfId="725"/>
    <cellStyle name="Currency [0]_laroux_MATERAL2_laroux_dimon" xfId="726"/>
    <cellStyle name="Currency [0]_laroux_MATERAL2_monci" xfId="727"/>
    <cellStyle name="Currency [0]_laroux_MATERAL2_pldt" xfId="728"/>
    <cellStyle name="Currency [0]_laroux_MATERAL2_VERA" xfId="729"/>
    <cellStyle name="Currency [0]_laroux_MATERAL2_VIRUS-EDY" xfId="730"/>
    <cellStyle name="Currency [0]_laroux_monci" xfId="731"/>
    <cellStyle name="Currency [0]_laroux_mud plant bolted" xfId="732"/>
    <cellStyle name="Currency [0]_laroux_mud plant bolted_dimon" xfId="733"/>
    <cellStyle name="Currency [0]_laroux_mud plant bolted_dimon_1" xfId="734"/>
    <cellStyle name="Currency [0]_laroux_pldt" xfId="735"/>
    <cellStyle name="Currency [0]_laroux_pldt_1" xfId="736"/>
    <cellStyle name="Currency [0]_laroux_Sheet1 (2)" xfId="737"/>
    <cellStyle name="Currency [0]_laroux_VERA" xfId="738"/>
    <cellStyle name="Currency [0]_laroux_VERA_1" xfId="739"/>
    <cellStyle name="Currency [0]_laroux_VIRUS-EDY" xfId="740"/>
    <cellStyle name="Currency [0]_List" xfId="741"/>
    <cellStyle name="Currency [0]_MATERAL2" xfId="742"/>
    <cellStyle name="Currency [0]_MATERAL2_dimon" xfId="743"/>
    <cellStyle name="Currency [0]_MATERAL2_dimon_1" xfId="744"/>
    <cellStyle name="Currency [0]_MKGOCPX" xfId="745"/>
    <cellStyle name="Currency [0]_MOBCPX" xfId="746"/>
    <cellStyle name="Currency [0]_mud plant bolted" xfId="747"/>
    <cellStyle name="Currency [0]_mud plant bolted_dimon" xfId="748"/>
    <cellStyle name="Currency [0]_mud plant bolted_dimon_1" xfId="749"/>
    <cellStyle name="Currency [0]_mud plant bolted_laroux" xfId="750"/>
    <cellStyle name="Currency [0]_mud plant bolted_laroux_dimon" xfId="751"/>
    <cellStyle name="Currency [0]_mud plant bolted_monci" xfId="752"/>
    <cellStyle name="Currency [0]_mud plant bolted_pldt" xfId="753"/>
    <cellStyle name="Currency [0]_mud plant bolted_VERA" xfId="754"/>
    <cellStyle name="Currency [0]_mud plant bolted_VIRUS-EDY" xfId="755"/>
    <cellStyle name="Currency [0]_NA WITHOUT GOV'T &amp; PNX" xfId="756"/>
    <cellStyle name="Currency [0]_NAOBU10" xfId="757"/>
    <cellStyle name="Currency [0]_NAT ACCT" xfId="758"/>
    <cellStyle name="Currency [0]_NSACTUAL.XLS" xfId="759"/>
    <cellStyle name="Currency [0]_NX00" xfId="760"/>
    <cellStyle name="Currency [0]_Odner" xfId="761"/>
    <cellStyle name="Currency [0]_Odner (2)" xfId="762"/>
    <cellStyle name="Currency [0]_Odner (3)" xfId="763"/>
    <cellStyle name="Currency [0]_OSMOCPX" xfId="764"/>
    <cellStyle name="Currency [0]_Other Months" xfId="765"/>
    <cellStyle name="Currency [0]_Outlook" xfId="766"/>
    <cellStyle name="Currency [0]_pbdefault" xfId="767"/>
    <cellStyle name="Currency [0]_percentages" xfId="768"/>
    <cellStyle name="Currency [0]_PERSONAL" xfId="769"/>
    <cellStyle name="Currency [0]_PGMKOCPX" xfId="770"/>
    <cellStyle name="Currency [0]_PGNW1" xfId="771"/>
    <cellStyle name="Currency [0]_PGNW2" xfId="772"/>
    <cellStyle name="Currency [0]_PGNWOCPX" xfId="773"/>
    <cellStyle name="Currency [0]_Pink" xfId="774"/>
    <cellStyle name="Currency [0]_Plan" xfId="775"/>
    <cellStyle name="Currency [0]_PLANT" xfId="776"/>
    <cellStyle name="Currency [0]_pldt" xfId="777"/>
    <cellStyle name="Currency [0]_pldt_1" xfId="778"/>
    <cellStyle name="Currency [0]_pldt_1_dimon" xfId="779"/>
    <cellStyle name="Currency [0]_PLDT_1_dimon_1" xfId="780"/>
    <cellStyle name="Currency [0]_pldt_1_dimon_2" xfId="781"/>
    <cellStyle name="Currency [0]_pldt_2" xfId="782"/>
    <cellStyle name="Currency [0]_pldt_Calculations" xfId="783"/>
    <cellStyle name="Currency [0]_PLDT_dimon" xfId="784"/>
    <cellStyle name="Currency [0]_PLDT_dimon_1" xfId="785"/>
    <cellStyle name="Currency [0]_pldt_dimon_2" xfId="786"/>
    <cellStyle name="Currency [0]_priccurv" xfId="787"/>
    <cellStyle name="Currency [0]_PROCDS&amp;G" xfId="788"/>
    <cellStyle name="Currency [0]_PROFILE4" xfId="789"/>
    <cellStyle name="Currency [0]_Projects" xfId="790"/>
    <cellStyle name="Currency [0]_Quarter End Months" xfId="791"/>
    <cellStyle name="Currency [0]_r1" xfId="792"/>
    <cellStyle name="Currency [0]_RFI" xfId="793"/>
    <cellStyle name="Currency [0]_RFI_1" xfId="794"/>
    <cellStyle name="Currency [0]_Sales Order" xfId="795"/>
    <cellStyle name="Currency [0]_San Francisco " xfId="796"/>
    <cellStyle name="Currency [0]_SATOCPX" xfId="797"/>
    <cellStyle name="Currency [0]_Sheet1" xfId="798"/>
    <cellStyle name="Currency [0]_Sheet1 (2)" xfId="799"/>
    <cellStyle name="Currency [0]_Sheet1 (2)_monci" xfId="800"/>
    <cellStyle name="Currency [0]_Sheet1_dimon" xfId="801"/>
    <cellStyle name="Currency [0]_SHENREPT" xfId="802"/>
    <cellStyle name="Currency [0]_SHENREPT_monci" xfId="803"/>
    <cellStyle name="Currency [0]_Snr. CO" xfId="804"/>
    <cellStyle name="Currency [0]_sprint contr" xfId="805"/>
    <cellStyle name="Currency [0]_Subcont File" xfId="806"/>
    <cellStyle name="Currency [0]_Summary Info" xfId="807"/>
    <cellStyle name="Currency [0]_SUMPAGE" xfId="808"/>
    <cellStyle name="Currency [0]_TMSNW1" xfId="809"/>
    <cellStyle name="Currency [0]_TMSNW2" xfId="810"/>
    <cellStyle name="Currency [0]_TMSOCPX" xfId="811"/>
    <cellStyle name="Currency [0]_TOTAL MTH" xfId="812"/>
    <cellStyle name="Currency [0]_TOTAL YTD" xfId="813"/>
    <cellStyle name="Currency [0]_TRANSDSC.XLS" xfId="814"/>
    <cellStyle name="Currency [0]_TRANSFXA.XLS" xfId="815"/>
    <cellStyle name="Currency [0]_TRANSFXA.XLS_1" xfId="816"/>
    <cellStyle name="Currency [0]_TRANSIME.XLS" xfId="817"/>
    <cellStyle name="Currency [0]_TRANSIME.XLS_TRANSDSC.XLS" xfId="818"/>
    <cellStyle name="Currency [0]_TRANSIME.XLS_TRANSFXA.XLS" xfId="819"/>
    <cellStyle name="Currency [0]_VERA" xfId="820"/>
    <cellStyle name="Currency [0]_VIRUS-EDY" xfId="821"/>
    <cellStyle name="Currency [0]_VIRUS-EDY_1" xfId="822"/>
    <cellStyle name="Currency [0]_White" xfId="823"/>
    <cellStyle name="Currency [0]_WO Var. &amp; Tot. Exp." xfId="824"/>
    <cellStyle name="Currency [0]_WSP" xfId="825"/>
    <cellStyle name="Currency [0]_yrcao" xfId="826"/>
    <cellStyle name="Currency [0]_YREND55" xfId="827"/>
    <cellStyle name="Currency [0]_YREND57" xfId="828"/>
    <cellStyle name="Currency [0]_YTDCUR" xfId="829"/>
    <cellStyle name="Currency_12matrix" xfId="830"/>
    <cellStyle name="Currency_1995" xfId="831"/>
    <cellStyle name="Currency_1995_monci" xfId="832"/>
    <cellStyle name="Currency_353HHC" xfId="833"/>
    <cellStyle name="Currency_A" xfId="834"/>
    <cellStyle name="Currency_A_dimon" xfId="835"/>
    <cellStyle name="Currency_ACTUAL" xfId="836"/>
    <cellStyle name="Currency_ACTUAL NA -OBU" xfId="837"/>
    <cellStyle name="Currency_Actual vs." xfId="838"/>
    <cellStyle name="Currency_algasdefault" xfId="839"/>
    <cellStyle name="Currency_algasdefault_1" xfId="840"/>
    <cellStyle name="Currency_Alternative1" xfId="841"/>
    <cellStyle name="Currency_Alternative1_1" xfId="842"/>
    <cellStyle name="Currency_App E" xfId="843"/>
    <cellStyle name="Currency_Apr" xfId="844"/>
    <cellStyle name="Currency_Arapahoe" xfId="845"/>
    <cellStyle name="Currency_Assumptions" xfId="846"/>
    <cellStyle name="Currency_Atlanta" xfId="847"/>
    <cellStyle name="Currency_Atlanta (2)" xfId="848"/>
    <cellStyle name="Currency_bahiadefault" xfId="849"/>
    <cellStyle name="Currency_bahiadefault_1" xfId="850"/>
    <cellStyle name="Currency_BIGOUT" xfId="851"/>
    <cellStyle name="Currency_Book3" xfId="852"/>
    <cellStyle name="Currency_BOP" xfId="853"/>
    <cellStyle name="Currency_BOPBAL1" xfId="854"/>
    <cellStyle name="Currency_BOPCBU" xfId="855"/>
    <cellStyle name="Currency_BOPCBU (2)" xfId="856"/>
    <cellStyle name="Currency_BOPCBU96" xfId="857"/>
    <cellStyle name="Currency_BSAPPE.XLS" xfId="858"/>
    <cellStyle name="Currency_Calculations" xfId="859"/>
    <cellStyle name="Currency_Calculations (2)" xfId="860"/>
    <cellStyle name="Currency_Calculations II" xfId="861"/>
    <cellStyle name="Currency_Calculations III" xfId="862"/>
    <cellStyle name="Currency_Calculations_1" xfId="863"/>
    <cellStyle name="Currency_CAPEX" xfId="864"/>
    <cellStyle name="Currency_CAPEX94" xfId="865"/>
    <cellStyle name="Currency_Cardig GHS" xfId="866"/>
    <cellStyle name="Currency_Cash Flows" xfId="867"/>
    <cellStyle name="Currency_CBU BOX CHART V PLAN" xfId="868"/>
    <cellStyle name="Currency_CCA" xfId="869"/>
    <cellStyle name="Currency_CCOCPX" xfId="870"/>
    <cellStyle name="Currency_CHANGES.XLS" xfId="871"/>
    <cellStyle name="Currency_Charts" xfId="872"/>
    <cellStyle name="Currency_Comm File" xfId="873"/>
    <cellStyle name="Currency_coperdefault" xfId="874"/>
    <cellStyle name="Currency_coperdefault_1" xfId="875"/>
    <cellStyle name="Currency_Corp method" xfId="876"/>
    <cellStyle name="Currency_Cost Code" xfId="877"/>
    <cellStyle name="Currency_CTCUR" xfId="878"/>
    <cellStyle name="Currency_CUMPLTCH" xfId="879"/>
    <cellStyle name="Currency_DEFAULT" xfId="880"/>
    <cellStyle name="Currency_dimon" xfId="881"/>
    <cellStyle name="Currency_dimon_1" xfId="882"/>
    <cellStyle name="Currency_dimon_2" xfId="883"/>
    <cellStyle name="Currency_Dowell C1b" xfId="884"/>
    <cellStyle name="Currency_Dowell-C1a" xfId="885"/>
    <cellStyle name="Currency_E&amp;ONW1" xfId="886"/>
    <cellStyle name="Currency_E&amp;ONW2" xfId="887"/>
    <cellStyle name="Currency_E&amp;OOCPX" xfId="888"/>
    <cellStyle name="Currency_emserdefault" xfId="889"/>
    <cellStyle name="Currency_emserdefault_1" xfId="890"/>
    <cellStyle name="Currency_EPL 304 CA BDE" xfId="891"/>
    <cellStyle name="Currency_F&amp;COCPX" xfId="892"/>
    <cellStyle name="Currency_FEBRUARY" xfId="893"/>
    <cellStyle name="Currency_FF" xfId="894"/>
    <cellStyle name="Currency_FP 20 A (1)" xfId="895"/>
    <cellStyle name="Currency_FP 20 A (2)" xfId="896"/>
    <cellStyle name="Currency_FP-20 (App. E)" xfId="897"/>
    <cellStyle name="Currency_FP-20 (App.A) " xfId="898"/>
    <cellStyle name="Currency_FP-20 (App.D)" xfId="899"/>
    <cellStyle name="Currency_FP-20(App.B)" xfId="900"/>
    <cellStyle name="Currency_FP-20(C1) (a)" xfId="901"/>
    <cellStyle name="Currency_FP-20(C1) (a) (2)" xfId="902"/>
    <cellStyle name="Currency_FP-20(C1) (b)" xfId="903"/>
    <cellStyle name="Currency_FP-20(C1) (b) " xfId="904"/>
    <cellStyle name="Currency_FP-20(C1) (b) (2)" xfId="905"/>
    <cellStyle name="Currency_FY97COB1." xfId="906"/>
    <cellStyle name="Currency_GCM" xfId="907"/>
    <cellStyle name="Currency_GenAssum" xfId="908"/>
    <cellStyle name="Currency_GP C1a" xfId="909"/>
    <cellStyle name="Currency_GP C1b" xfId="910"/>
    <cellStyle name="Currency_GP_EI_3" xfId="911"/>
    <cellStyle name="Currency_GQ C1A" xfId="912"/>
    <cellStyle name="Currency_GQ C1B" xfId="913"/>
    <cellStyle name="Currency_Inputs" xfId="914"/>
    <cellStyle name="Currency_IPM C1b" xfId="915"/>
    <cellStyle name="Currency_IPMC1a" xfId="916"/>
    <cellStyle name="Currency_IS-Hold" xfId="917"/>
    <cellStyle name="Currency_ITOCPX" xfId="918"/>
    <cellStyle name="Currency_jancf" xfId="919"/>
    <cellStyle name="Currency_JUNMTH55" xfId="920"/>
    <cellStyle name="Currency_JUNMTH57" xfId="921"/>
    <cellStyle name="Currency_JUNYTD55" xfId="922"/>
    <cellStyle name="Currency_JUNYTD57" xfId="923"/>
    <cellStyle name="Currency_laroux" xfId="924"/>
    <cellStyle name="Currency_laroux_1" xfId="925"/>
    <cellStyle name="Currency_laroux_1995" xfId="926"/>
    <cellStyle name="Currency_laroux_1_dimon" xfId="927"/>
    <cellStyle name="Currency_laroux_1_dimon_1" xfId="928"/>
    <cellStyle name="Currency_laroux_1_dimon_2" xfId="929"/>
    <cellStyle name="Currency_laroux_1_dimon_3" xfId="930"/>
    <cellStyle name="Currency_laroux_1_dimon_4" xfId="931"/>
    <cellStyle name="Currency_laroux_1_laroux" xfId="932"/>
    <cellStyle name="Currency_laroux_1_laroux_1" xfId="933"/>
    <cellStyle name="Currency_laroux_1_laroux_dimon" xfId="934"/>
    <cellStyle name="Currency_laroux_1_laroux_monci" xfId="935"/>
    <cellStyle name="Currency_laroux_1_Locas" xfId="936"/>
    <cellStyle name="Currency_laroux_1_monci" xfId="937"/>
    <cellStyle name="Currency_laroux_1_pldt" xfId="938"/>
    <cellStyle name="Currency_laroux_1_PLDT_dimon" xfId="939"/>
    <cellStyle name="Currency_laroux_1_Sheet1 (2)" xfId="940"/>
    <cellStyle name="Currency_laroux_1_VERA" xfId="941"/>
    <cellStyle name="Currency_laroux_1_VERA_1" xfId="942"/>
    <cellStyle name="Currency_laroux_1_VIRUS-EDY" xfId="943"/>
    <cellStyle name="Currency_laroux_2" xfId="944"/>
    <cellStyle name="Currency_laroux_2_dimon" xfId="945"/>
    <cellStyle name="Currency_laroux_2_dimon_1" xfId="946"/>
    <cellStyle name="Currency_laroux_2_dimon_2" xfId="947"/>
    <cellStyle name="Currency_laroux_2_dimon_3" xfId="948"/>
    <cellStyle name="Currency_laroux_2_dimon_4" xfId="949"/>
    <cellStyle name="Currency_laroux_2_laroux" xfId="950"/>
    <cellStyle name="Currency_laroux_2_laroux_dimon" xfId="951"/>
    <cellStyle name="Currency_laroux_2_Locas" xfId="952"/>
    <cellStyle name="Currency_laroux_2_monci" xfId="953"/>
    <cellStyle name="Currency_laroux_2_pldt" xfId="954"/>
    <cellStyle name="Currency_laroux_2_PLDT_dimon" xfId="955"/>
    <cellStyle name="Currency_laroux_2_Sheet1 (2)" xfId="956"/>
    <cellStyle name="Currency_laroux_2_VIRUS-EDY" xfId="957"/>
    <cellStyle name="Currency_laroux_3" xfId="958"/>
    <cellStyle name="Currency_laroux_3_dimon" xfId="959"/>
    <cellStyle name="Currency_laroux_3_dimon_1" xfId="960"/>
    <cellStyle name="Currency_laroux_3_dimon_2" xfId="961"/>
    <cellStyle name="Currency_laroux_3_dimon_3" xfId="962"/>
    <cellStyle name="Currency_laroux_4" xfId="963"/>
    <cellStyle name="Currency_laroux_4_dimon" xfId="964"/>
    <cellStyle name="Currency_laroux_4_dimon_1" xfId="965"/>
    <cellStyle name="Currency_laroux_5" xfId="966"/>
    <cellStyle name="Currency_laroux_6" xfId="967"/>
    <cellStyle name="Currency_laroux_7" xfId="968"/>
    <cellStyle name="Currency_laroux_8" xfId="969"/>
    <cellStyle name="Currency_laroux_dimon" xfId="970"/>
    <cellStyle name="Currency_laroux_dimon_1" xfId="971"/>
    <cellStyle name="Currency_laroux_dimon_2" xfId="972"/>
    <cellStyle name="Currency_laroux_dimon_3" xfId="973"/>
    <cellStyle name="Currency_laroux_EPL 304 CA BDE" xfId="974"/>
    <cellStyle name="Currency_laroux_laroux" xfId="975"/>
    <cellStyle name="Currency_laroux_laroux_1" xfId="976"/>
    <cellStyle name="Currency_laroux_laroux_1_dimon" xfId="977"/>
    <cellStyle name="Currency_laroux_laroux_1_monci" xfId="978"/>
    <cellStyle name="Currency_laroux_laroux_dimon" xfId="979"/>
    <cellStyle name="Currency_laroux_laroux_monci" xfId="980"/>
    <cellStyle name="Currency_laroux_Locas" xfId="981"/>
    <cellStyle name="Currency_laroux_monci" xfId="982"/>
    <cellStyle name="Currency_laroux_pldt" xfId="983"/>
    <cellStyle name="Currency_laroux_pldt_1" xfId="984"/>
    <cellStyle name="Currency_laroux_Sheet1 (2)" xfId="985"/>
    <cellStyle name="Currency_laroux_VERA" xfId="986"/>
    <cellStyle name="Currency_laroux_VERA_1" xfId="987"/>
    <cellStyle name="Currency_laroux_VIRUS-EDY" xfId="988"/>
    <cellStyle name="Currency_List" xfId="989"/>
    <cellStyle name="Currency_MATERAL2" xfId="990"/>
    <cellStyle name="Currency_MATERAL2_dimon" xfId="991"/>
    <cellStyle name="Currency_MATERAL2_dimon_1" xfId="992"/>
    <cellStyle name="Currency_MKGOCPX" xfId="993"/>
    <cellStyle name="Currency_MOBCPX" xfId="994"/>
    <cellStyle name="Currency_mud plant bolted" xfId="995"/>
    <cellStyle name="Currency_mud plant bolted_dimon" xfId="996"/>
    <cellStyle name="Currency_mud plant bolted_dimon_1" xfId="997"/>
    <cellStyle name="Currency_mud plant bolted_PLDT" xfId="998"/>
    <cellStyle name="Currency_mud plant bolted_VERA" xfId="999"/>
    <cellStyle name="Currency_mud plant bolted_VERA_1" xfId="1000"/>
    <cellStyle name="Currency_NA WITHOUT GOV'T &amp; PNX" xfId="1001"/>
    <cellStyle name="Currency_NAOBU10" xfId="1002"/>
    <cellStyle name="Currency_NAT ACCT" xfId="1003"/>
    <cellStyle name="Currency_NSACTUAL.XLS" xfId="1004"/>
    <cellStyle name="Currency_NX00" xfId="1005"/>
    <cellStyle name="Currency_Odner" xfId="1006"/>
    <cellStyle name="Currency_Odner (2)" xfId="1007"/>
    <cellStyle name="Currency_Odner (3)" xfId="1008"/>
    <cellStyle name="Currency_OSMOCPX" xfId="1009"/>
    <cellStyle name="Currency_Other Months" xfId="1010"/>
    <cellStyle name="Currency_Outlook" xfId="1011"/>
    <cellStyle name="Currency_pbdefault" xfId="1012"/>
    <cellStyle name="Currency_pbdefault_1" xfId="1013"/>
    <cellStyle name="Currency_percentages" xfId="1014"/>
    <cellStyle name="Currency_PERSONAL" xfId="1015"/>
    <cellStyle name="Currency_PGMKOCPX" xfId="1016"/>
    <cellStyle name="Currency_PGNW1" xfId="1017"/>
    <cellStyle name="Currency_PGNW2" xfId="1018"/>
    <cellStyle name="Currency_PGNWOCPX" xfId="1019"/>
    <cellStyle name="Currency_Pink" xfId="1020"/>
    <cellStyle name="Currency_Plan" xfId="1021"/>
    <cellStyle name="Currency_PLANT" xfId="1022"/>
    <cellStyle name="Currency_pldt" xfId="1023"/>
    <cellStyle name="Currency_pldt_1" xfId="1024"/>
    <cellStyle name="Currency_pldt_1_dimon" xfId="1025"/>
    <cellStyle name="Currency_PLDT_1_dimon_1" xfId="1026"/>
    <cellStyle name="Currency_pldt_1_dimon_2" xfId="1027"/>
    <cellStyle name="Currency_pldt_2" xfId="1028"/>
    <cellStyle name="Currency_pldt_Calculations" xfId="1029"/>
    <cellStyle name="Currency_PLDT_dimon" xfId="1030"/>
    <cellStyle name="Currency_PLDT_dimon_1" xfId="1031"/>
    <cellStyle name="Currency_pldt_dimon_2" xfId="1032"/>
    <cellStyle name="Currency_priccurv" xfId="1033"/>
    <cellStyle name="Currency_PROCDS&amp;G" xfId="1034"/>
    <cellStyle name="Currency_PROFILE4" xfId="1035"/>
    <cellStyle name="Currency_Projects" xfId="1036"/>
    <cellStyle name="Currency_Quarter End Months" xfId="1037"/>
    <cellStyle name="Currency_r1" xfId="1038"/>
    <cellStyle name="Currency_RFI" xfId="1039"/>
    <cellStyle name="Currency_RFI_1" xfId="1040"/>
    <cellStyle name="Currency_Sales Order" xfId="1041"/>
    <cellStyle name="Currency_San Francisco " xfId="1042"/>
    <cellStyle name="Currency_SATOCPX" xfId="1043"/>
    <cellStyle name="Currency_Sheet1" xfId="1044"/>
    <cellStyle name="Currency_Sheet1 (2)" xfId="1045"/>
    <cellStyle name="Currency_Sheet1 (2)_monci" xfId="1046"/>
    <cellStyle name="Currency_Sheet1_dimon" xfId="1047"/>
    <cellStyle name="Currency_SHENREPT" xfId="1048"/>
    <cellStyle name="Currency_SHENREPT_monci" xfId="1049"/>
    <cellStyle name="Currency_Snr. CO" xfId="1050"/>
    <cellStyle name="Currency_sprint contr" xfId="1051"/>
    <cellStyle name="Currency_Subcont File" xfId="1052"/>
    <cellStyle name="Currency_Summary Info" xfId="1053"/>
    <cellStyle name="Currency_SUMPAGE" xfId="1054"/>
    <cellStyle name="Currency_TMSNW1" xfId="1055"/>
    <cellStyle name="Currency_TMSNW2" xfId="1056"/>
    <cellStyle name="Currency_TMSOCPX" xfId="1057"/>
    <cellStyle name="Currency_TOTAL MTH" xfId="1058"/>
    <cellStyle name="Currency_TOTAL YTD" xfId="1059"/>
    <cellStyle name="Currency_TRANSDSC.XLS" xfId="1060"/>
    <cellStyle name="Currency_TRANSFXA.XLS" xfId="1061"/>
    <cellStyle name="Currency_TRANSFXA.XLS_1" xfId="1062"/>
    <cellStyle name="Currency_TRANSIME.XLS" xfId="1063"/>
    <cellStyle name="Currency_TRANSIME.XLS_TRANSDSC.XLS" xfId="1064"/>
    <cellStyle name="Currency_TRANSIME.XLS_TRANSFXA.XLS" xfId="1065"/>
    <cellStyle name="Currency_VERA" xfId="1066"/>
    <cellStyle name="Currency_VIRUS-EDY" xfId="1067"/>
    <cellStyle name="Currency_VIRUS-EDY_1" xfId="1068"/>
    <cellStyle name="Currency_White" xfId="1069"/>
    <cellStyle name="Currency_WO Var. &amp; Tot. Exp." xfId="1070"/>
    <cellStyle name="Currency_WSP" xfId="1071"/>
    <cellStyle name="Currency_yrcao" xfId="1072"/>
    <cellStyle name="Currency_YREND55" xfId="1073"/>
    <cellStyle name="Currency_YREND57" xfId="1074"/>
    <cellStyle name="Currency_YTDCUR" xfId="1075"/>
    <cellStyle name="Date" xfId="1076"/>
    <cellStyle name="Fixed" xfId="1077"/>
    <cellStyle name="Grey" xfId="1078"/>
    <cellStyle name="HEADER" xfId="1079"/>
    <cellStyle name="Heading 1" xfId="1080"/>
    <cellStyle name="Heading2" xfId="1081"/>
    <cellStyle name="HIGHLIGHT" xfId="1082"/>
    <cellStyle name="Input [yellow]" xfId="1083"/>
    <cellStyle name="no dec" xfId="1084"/>
    <cellStyle name="Normal - Style1" xfId="1085"/>
    <cellStyle name="Normal - Style1_dimon" xfId="1086"/>
    <cellStyle name="Normal_&quot;CANCEL&quot; Volume Detail " xfId="1087"/>
    <cellStyle name="Normal_&quot;CANCEL&quot; Volume Detail _1" xfId="1088"/>
    <cellStyle name="Normal_12matrix" xfId="1089"/>
    <cellStyle name="Normal_1998 Plan" xfId="1090"/>
    <cellStyle name="Normal_1998 Plan_1" xfId="1091"/>
    <cellStyle name="Normal_1998 Plan_2" xfId="1092"/>
    <cellStyle name="Normal_1998 Plan_3" xfId="1093"/>
    <cellStyle name="Normal_1998 Plan_laroux" xfId="1094"/>
    <cellStyle name="Normal_20196" xfId="1095"/>
    <cellStyle name="Normal_321st" xfId="1096"/>
    <cellStyle name="Normal_353HHC" xfId="1097"/>
    <cellStyle name="Normal_4018fin" xfId="1098"/>
    <cellStyle name="Normal_4021fin" xfId="1099"/>
    <cellStyle name="Normal_95CHART" xfId="1100"/>
    <cellStyle name="Normal_A" xfId="1101"/>
    <cellStyle name="Normal_A (2)" xfId="1102"/>
    <cellStyle name="Normal_A_dimon" xfId="1103"/>
    <cellStyle name="Normal_A_VERA" xfId="1104"/>
    <cellStyle name="Normal_ACTUAL" xfId="1105"/>
    <cellStyle name="Normal_ACTUAL NA -OBU" xfId="1106"/>
    <cellStyle name="Normal_Actual vs." xfId="1107"/>
    <cellStyle name="Normal_ACTUAL_1" xfId="1108"/>
    <cellStyle name="Normal_ACTUAL_NA WITHOUT GOV'T &amp; PNX" xfId="1109"/>
    <cellStyle name="Normal_algasdefault" xfId="1110"/>
    <cellStyle name="Normal_algasdefault_1" xfId="1111"/>
    <cellStyle name="Normal_Alternative1" xfId="1112"/>
    <cellStyle name="Normal_Alternative1_1" xfId="1113"/>
    <cellStyle name="Normal_AOPS" xfId="1114"/>
    <cellStyle name="Normal_App E" xfId="1115"/>
    <cellStyle name="Normal_APR" xfId="1116"/>
    <cellStyle name="Normal_APR_laroux" xfId="1117"/>
    <cellStyle name="Normal_Apr_pldt" xfId="1118"/>
    <cellStyle name="Normal_Arapahoe" xfId="1119"/>
    <cellStyle name="Normal_Assumptions" xfId="1120"/>
    <cellStyle name="Normal_Atlanta" xfId="1121"/>
    <cellStyle name="Normal_Atlanta (2)" xfId="1122"/>
    <cellStyle name="Normal_Avail40" xfId="1123"/>
    <cellStyle name="Normal_AvailMost" xfId="1124"/>
    <cellStyle name="Normal_bahiadefault" xfId="1125"/>
    <cellStyle name="Normal_bahiadefault_1" xfId="1126"/>
    <cellStyle name="Normal_BIGOUT" xfId="1127"/>
    <cellStyle name="Normal_Book3" xfId="1128"/>
    <cellStyle name="Normal_BOP" xfId="1129"/>
    <cellStyle name="Normal_BOPBAL1" xfId="1130"/>
    <cellStyle name="Normal_BOPCBU" xfId="1131"/>
    <cellStyle name="Normal_BOPCBU (2)" xfId="1132"/>
    <cellStyle name="Normal_BOPCBU96" xfId="1133"/>
    <cellStyle name="Normal_BREPAIR" xfId="1134"/>
    <cellStyle name="Normal_BSAPPE.XLS" xfId="1135"/>
    <cellStyle name="Normal_BUDGET" xfId="1136"/>
    <cellStyle name="Normal_C-Cap intensity" xfId="1137"/>
    <cellStyle name="Normal_C-Capex%rev" xfId="1138"/>
    <cellStyle name="Normal_C-Line per Staff" xfId="1139"/>
    <cellStyle name="Normal_C-lines distribution" xfId="1140"/>
    <cellStyle name="Normal_C-Orig PLDT lines" xfId="1141"/>
    <cellStyle name="Normal_C-Ret on Rev" xfId="1142"/>
    <cellStyle name="Normal_C-ROACE" xfId="1143"/>
    <cellStyle name="Normal_Calculations" xfId="1144"/>
    <cellStyle name="Normal_Calculations (2)" xfId="1145"/>
    <cellStyle name="Normal_Calculations II" xfId="1146"/>
    <cellStyle name="Normal_Calculations II_1" xfId="1147"/>
    <cellStyle name="Normal_Calculations III" xfId="1148"/>
    <cellStyle name="Normal_Calculations_1" xfId="1149"/>
    <cellStyle name="Normal_Calculations_2" xfId="1150"/>
    <cellStyle name="Normal_Capex" xfId="1151"/>
    <cellStyle name="Normal_Capex per line" xfId="1152"/>
    <cellStyle name="Normal_Capex%rev" xfId="1153"/>
    <cellStyle name="Normal_CAPEX2" xfId="1154"/>
    <cellStyle name="Normal_CAPEX94" xfId="1155"/>
    <cellStyle name="Normal_CAPEX_dimon" xfId="1156"/>
    <cellStyle name="Normal_CAPEX_VERA" xfId="1157"/>
    <cellStyle name="Normal_CAPEXPWI.XLS" xfId="1158"/>
    <cellStyle name="Normal_CAPEXPWO.XLS" xfId="1159"/>
    <cellStyle name="Normal_Cardig GHS" xfId="1160"/>
    <cellStyle name="Normal_Cash Flows" xfId="1161"/>
    <cellStyle name="Normal_CBU BOX CHART V PLAN" xfId="1162"/>
    <cellStyle name="Normal_CBU BOX CHART V PLAN_1" xfId="1163"/>
    <cellStyle name="Normal_CCOCPX" xfId="1164"/>
    <cellStyle name="Normal_CEL-C-CO.XLS" xfId="1165"/>
    <cellStyle name="Normal_Certs Q2" xfId="1166"/>
    <cellStyle name="Normal_Certs Q2 (2)" xfId="1167"/>
    <cellStyle name="Normal_CFMACROS.XLM" xfId="1168"/>
    <cellStyle name="Normal_CFMODEL.XLS" xfId="1169"/>
    <cellStyle name="Normal_CHANGES.XLS" xfId="1170"/>
    <cellStyle name="Normal_CHANGES.XLS_1" xfId="1171"/>
    <cellStyle name="Normal_Cht-Capex per line" xfId="1172"/>
    <cellStyle name="Normal_Cht-Cum Real Opr Cf" xfId="1173"/>
    <cellStyle name="Normal_Cht-Dep%Rev" xfId="1174"/>
    <cellStyle name="Normal_Cht-Real Opr Cf" xfId="1175"/>
    <cellStyle name="Normal_Cht-Rev dist" xfId="1176"/>
    <cellStyle name="Normal_Cht-Rev p line" xfId="1177"/>
    <cellStyle name="Normal_Cht-Rev per Staff" xfId="1178"/>
    <cellStyle name="Normal_Cht-Staff cost%revenue" xfId="1179"/>
    <cellStyle name="Normal_Co-wide Monthly" xfId="1180"/>
    <cellStyle name="Normal_Co-wide Monthly_dimon" xfId="1181"/>
    <cellStyle name="Normal_COMOTH" xfId="1182"/>
    <cellStyle name="Normal_coperdefault" xfId="1183"/>
    <cellStyle name="Normal_coperdefault_1" xfId="1184"/>
    <cellStyle name="Normal_Corp method" xfId="1185"/>
    <cellStyle name="Normal_Cost Code" xfId="1186"/>
    <cellStyle name="Normal_CROCF" xfId="1187"/>
    <cellStyle name="Normal_CTCUR" xfId="1188"/>
    <cellStyle name="Normal_Cum Real Opr Cf" xfId="1189"/>
    <cellStyle name="Normal_CUMPLTCH" xfId="1190"/>
    <cellStyle name="Normal_DEFAULT" xfId="1191"/>
    <cellStyle name="Normal_Demand Fcst." xfId="1192"/>
    <cellStyle name="Normal_Dep%Rev" xfId="1193"/>
    <cellStyle name="Normal_dimon" xfId="1194"/>
    <cellStyle name="Normal_dimon_1" xfId="1195"/>
    <cellStyle name="Normal_dimon_1_Optimal_discount" xfId="1196"/>
    <cellStyle name="Normal_dimon_2" xfId="1197"/>
    <cellStyle name="Normal_dimon_2_Optimal_discount" xfId="1198"/>
    <cellStyle name="Normal_dimon_3" xfId="1199"/>
    <cellStyle name="Normal_dimon_3_Optimal_discount" xfId="1200"/>
    <cellStyle name="Normal_dimon_4" xfId="1201"/>
    <cellStyle name="Normal_dimon_Optimal_discount" xfId="1202"/>
    <cellStyle name="Normal_DIV" xfId="1203"/>
    <cellStyle name="Normal_Dowell C1b" xfId="1204"/>
    <cellStyle name="Normal_Dowell-C1a" xfId="1205"/>
    <cellStyle name="Normal_Draft" xfId="1206"/>
    <cellStyle name="Normal_Draft (2)" xfId="1207"/>
    <cellStyle name="Normal_DRAFT Order Summary" xfId="1208"/>
    <cellStyle name="Normal_E&amp;ONW1" xfId="1209"/>
    <cellStyle name="Normal_E&amp;ONW2" xfId="1210"/>
    <cellStyle name="Normal_E&amp;OOCPX" xfId="1211"/>
    <cellStyle name="Normal_emserdefault" xfId="1212"/>
    <cellStyle name="Normal_emserdefault_1" xfId="1213"/>
    <cellStyle name="Normal_EPL 304 CA BDE" xfId="1214"/>
    <cellStyle name="Normal_EPS" xfId="1215"/>
    <cellStyle name="Normal_EQCON" xfId="1216"/>
    <cellStyle name="Normal_F&amp;COCPX" xfId="1217"/>
    <cellStyle name="Normal_FEBRUARY" xfId="1218"/>
    <cellStyle name="Normal_FF" xfId="1219"/>
    <cellStyle name="Normal_FP 20 A (1)" xfId="1220"/>
    <cellStyle name="Normal_FP 20 A (2)" xfId="1221"/>
    <cellStyle name="Normal_FP-20 (App. E)" xfId="1222"/>
    <cellStyle name="Normal_FP-20 (App.A) " xfId="1223"/>
    <cellStyle name="Normal_FP-20 (App.A) _1" xfId="1224"/>
    <cellStyle name="Normal_FP-20(C1) (a)" xfId="1225"/>
    <cellStyle name="Normal_FP-20(C1) (a) (2)" xfId="1226"/>
    <cellStyle name="Normal_FP-20(C1) (a)_1" xfId="1227"/>
    <cellStyle name="Normal_FP-20(C1) (b)" xfId="1228"/>
    <cellStyle name="Normal_FP-20(C1) (b) " xfId="1229"/>
    <cellStyle name="Normal_FP-20(C1) (b) (2)" xfId="1230"/>
    <cellStyle name="Normal_FP-20(C1) (e)" xfId="1231"/>
    <cellStyle name="Normal_FP20_C1A" xfId="1232"/>
    <cellStyle name="Normal_FP20_C1B" xfId="1233"/>
    <cellStyle name="Normal_FY97COB1." xfId="1234"/>
    <cellStyle name="Normal_GCM" xfId="1235"/>
    <cellStyle name="Normal_GE03" xfId="1236"/>
    <cellStyle name="Normal_GE04" xfId="1237"/>
    <cellStyle name="Normal_GenAssum" xfId="1238"/>
    <cellStyle name="Normal_GP C1a" xfId="1239"/>
    <cellStyle name="Normal_GP C1b" xfId="1240"/>
    <cellStyle name="Normal_GP_EI_3" xfId="1241"/>
    <cellStyle name="Normal_GQ C1A" xfId="1242"/>
    <cellStyle name="Normal_GQ C1B" xfId="1243"/>
    <cellStyle name="Normal_HC" xfId="1244"/>
    <cellStyle name="Normal_Igobox" xfId="1245"/>
    <cellStyle name="Normal_Igobox_1" xfId="1246"/>
    <cellStyle name="Normal_Igobox_2" xfId="1247"/>
    <cellStyle name="Normal_Igobox_Imacros" xfId="1248"/>
    <cellStyle name="Normal_Igobox_IPP" xfId="1249"/>
    <cellStyle name="Normal_Igobox_Iprintbox" xfId="1250"/>
    <cellStyle name="Normal_Imacros" xfId="1251"/>
    <cellStyle name="Normal_Imacros_1" xfId="1252"/>
    <cellStyle name="Normal_Imacros_2" xfId="1253"/>
    <cellStyle name="Normal_Input" xfId="1254"/>
    <cellStyle name="Normal_INPUT_1" xfId="1255"/>
    <cellStyle name="Normal_INPUT_GenAssum" xfId="1256"/>
    <cellStyle name="Normal_Inputs" xfId="1257"/>
    <cellStyle name="Normal_Inputs_dimon" xfId="1258"/>
    <cellStyle name="Normal_INVREV" xfId="1259"/>
    <cellStyle name="Normal_IPM C1b" xfId="1260"/>
    <cellStyle name="Normal_IPMC1a" xfId="1261"/>
    <cellStyle name="Normal_IPP" xfId="1262"/>
    <cellStyle name="Normal_IPP_1" xfId="1263"/>
    <cellStyle name="Normal_IPP_1_Igobox" xfId="1264"/>
    <cellStyle name="Normal_IPP_1_Imacros" xfId="1265"/>
    <cellStyle name="Normal_IPP_1_Iprintbox" xfId="1266"/>
    <cellStyle name="Normal_IPP_2" xfId="1267"/>
    <cellStyle name="Normal_Iprintbox" xfId="1268"/>
    <cellStyle name="Normal_Iprintbox_1" xfId="1269"/>
    <cellStyle name="Normal_Iprintbox_2" xfId="1270"/>
    <cellStyle name="Normal_IRR" xfId="1271"/>
    <cellStyle name="Normal_IS-Hold" xfId="1272"/>
    <cellStyle name="Normal_Iterbox" xfId="1273"/>
    <cellStyle name="Normal_ITOCPX" xfId="1274"/>
    <cellStyle name="Normal_jancf" xfId="1275"/>
    <cellStyle name="Normal_JUNMTH55" xfId="1276"/>
    <cellStyle name="Normal_JUNMTH57" xfId="1277"/>
    <cellStyle name="Normal_JUNYTD55" xfId="1278"/>
    <cellStyle name="Normal_JUNYTD57" xfId="1279"/>
    <cellStyle name="Normal_laroux" xfId="1280"/>
    <cellStyle name="Normal_laroux_1" xfId="1281"/>
    <cellStyle name="Normal_laroux_1_dimon" xfId="1282"/>
    <cellStyle name="Normal_laroux_1_dimon_1" xfId="1283"/>
    <cellStyle name="Normal_laroux_1_dimon_2" xfId="1284"/>
    <cellStyle name="Normal_laroux_1_dimon_3" xfId="1285"/>
    <cellStyle name="Normal_laroux_1_EPL 304 CA BDE" xfId="1286"/>
    <cellStyle name="Normal_laroux_1_laroux" xfId="1287"/>
    <cellStyle name="Normal_laroux_1_laroux_1" xfId="1288"/>
    <cellStyle name="Normal_laroux_1_laroux_2" xfId="1289"/>
    <cellStyle name="Normal_laroux_1_laroux_monci" xfId="1290"/>
    <cellStyle name="Normal_laroux_1_Locas" xfId="1291"/>
    <cellStyle name="Normal_laroux_1_Locas_1" xfId="1292"/>
    <cellStyle name="Normal_laroux_1_monci" xfId="1293"/>
    <cellStyle name="Normal_laroux_1_pldt" xfId="1294"/>
    <cellStyle name="Normal_laroux_1_pldt_1" xfId="1295"/>
    <cellStyle name="Normal_laroux_1_pldt_2" xfId="1296"/>
    <cellStyle name="Normal_laroux_1_pldt_3" xfId="1297"/>
    <cellStyle name="Normal_laroux_1_PLDT_dimon" xfId="1298"/>
    <cellStyle name="Normal_laroux_1_Sheet1 (2)" xfId="1299"/>
    <cellStyle name="Normal_laroux_1_VERA" xfId="1300"/>
    <cellStyle name="Normal_laroux_1_VERA_1" xfId="1301"/>
    <cellStyle name="Normal_laroux_1_VIRUS-EDY" xfId="1302"/>
    <cellStyle name="Normal_laroux_2" xfId="1303"/>
    <cellStyle name="Normal_laroux_2_dimon" xfId="1304"/>
    <cellStyle name="Normal_laroux_2_dimon_1" xfId="1305"/>
    <cellStyle name="Normal_laroux_2_dimon_2" xfId="1306"/>
    <cellStyle name="Normal_laroux_2_dimon_3" xfId="1307"/>
    <cellStyle name="Normal_laroux_2_dimon_4" xfId="1308"/>
    <cellStyle name="Normal_laroux_2_EPL 304 CA BDE" xfId="1309"/>
    <cellStyle name="Normal_laroux_2_laroux" xfId="1310"/>
    <cellStyle name="Normal_laroux_2_laroux_1" xfId="1311"/>
    <cellStyle name="Normal_laroux_2_laroux_1_monci" xfId="1312"/>
    <cellStyle name="Normal_laroux_2_laroux_2" xfId="1313"/>
    <cellStyle name="Normal_laroux_2_laroux_monci" xfId="1314"/>
    <cellStyle name="Normal_laroux_2_Locas" xfId="1315"/>
    <cellStyle name="Normal_laroux_2_Locas_1" xfId="1316"/>
    <cellStyle name="Normal_laroux_2_monci" xfId="1317"/>
    <cellStyle name="Normal_laroux_2_pldt" xfId="1318"/>
    <cellStyle name="Normal_laroux_2_pldt_1" xfId="1319"/>
    <cellStyle name="Normal_laroux_2_pldt_2" xfId="1320"/>
    <cellStyle name="Normal_laroux_2_Sheet1 (2)" xfId="1321"/>
    <cellStyle name="Normal_laroux_2_VIRUS-EDY" xfId="1322"/>
    <cellStyle name="Normal_laroux_3" xfId="1323"/>
    <cellStyle name="Normal_laroux_3_dimon" xfId="1324"/>
    <cellStyle name="Normal_laroux_3_dimon_1" xfId="1325"/>
    <cellStyle name="Normal_laroux_3_dimon_2" xfId="1326"/>
    <cellStyle name="Normal_laroux_3_dimon_3" xfId="1327"/>
    <cellStyle name="Normal_laroux_3_dimon_4" xfId="1328"/>
    <cellStyle name="Normal_laroux_3_dimon_5" xfId="1329"/>
    <cellStyle name="Normal_laroux_3_EPL 304 CA BDE" xfId="1330"/>
    <cellStyle name="Normal_laroux_3_laroux" xfId="1331"/>
    <cellStyle name="Normal_laroux_3_laroux_1" xfId="1332"/>
    <cellStyle name="Normal_laroux_3_laroux_1_monci" xfId="1333"/>
    <cellStyle name="Normal_laroux_3_laroux_2" xfId="1334"/>
    <cellStyle name="Normal_laroux_3_laroux_dimon" xfId="1335"/>
    <cellStyle name="Normal_laroux_3_laroux_laroux" xfId="1336"/>
    <cellStyle name="Normal_laroux_3_laroux_monci" xfId="1337"/>
    <cellStyle name="Normal_laroux_3_Locas" xfId="1338"/>
    <cellStyle name="Normal_laroux_3_monci" xfId="1339"/>
    <cellStyle name="Normal_laroux_3_pldt" xfId="1340"/>
    <cellStyle name="Normal_laroux_3_pldt_1" xfId="1341"/>
    <cellStyle name="Normal_laroux_3_PLDT_dimon" xfId="1342"/>
    <cellStyle name="Normal_laroux_3_Sheet1 (2)" xfId="1343"/>
    <cellStyle name="Normal_laroux_3_VERA" xfId="1344"/>
    <cellStyle name="Normal_laroux_3_VERA_1" xfId="1345"/>
    <cellStyle name="Normal_laroux_3_VIRUS-EDY" xfId="1346"/>
    <cellStyle name="Normal_laroux_4" xfId="1347"/>
    <cellStyle name="Normal_laroux_4_dimon" xfId="1348"/>
    <cellStyle name="Normal_laroux_4_dimon_1" xfId="1349"/>
    <cellStyle name="Normal_laroux_4_dimon_2" xfId="1350"/>
    <cellStyle name="Normal_laroux_4_dimon_3" xfId="1351"/>
    <cellStyle name="Normal_laroux_4_dimon_4" xfId="1352"/>
    <cellStyle name="Normal_laroux_4_EPL 304 CA BDE" xfId="1353"/>
    <cellStyle name="Normal_laroux_4_laroux" xfId="1354"/>
    <cellStyle name="Normal_laroux_4_laroux_1" xfId="1355"/>
    <cellStyle name="Normal_laroux_4_laroux_2" xfId="1356"/>
    <cellStyle name="Normal_laroux_4_laroux_laroux" xfId="1357"/>
    <cellStyle name="Normal_laroux_4_laroux_monci" xfId="1358"/>
    <cellStyle name="Normal_laroux_4_pldt" xfId="1359"/>
    <cellStyle name="Normal_laroux_4_pldt_1" xfId="1360"/>
    <cellStyle name="Normal_laroux_4_pldt_2" xfId="1361"/>
    <cellStyle name="Normal_laroux_4_PLDT_dimon" xfId="1362"/>
    <cellStyle name="Normal_laroux_4_VERA" xfId="1363"/>
    <cellStyle name="Normal_laroux_4_VIRUS-EDY" xfId="1364"/>
    <cellStyle name="Normal_laroux_5" xfId="1365"/>
    <cellStyle name="Normal_laroux_5_dimon" xfId="1366"/>
    <cellStyle name="Normal_laroux_5_dimon_1" xfId="1367"/>
    <cellStyle name="Normal_laroux_5_dimon_2" xfId="1368"/>
    <cellStyle name="Normal_laroux_5_dimon_3" xfId="1369"/>
    <cellStyle name="Normal_laroux_5_dimon_4" xfId="1370"/>
    <cellStyle name="Normal_laroux_5_EPL 304 CA BDE" xfId="1371"/>
    <cellStyle name="Normal_laroux_5_laroux" xfId="1372"/>
    <cellStyle name="Normal_laroux_5_laroux_1" xfId="1373"/>
    <cellStyle name="Normal_laroux_5_laroux_2" xfId="1374"/>
    <cellStyle name="Normal_laroux_5_laroux_laroux" xfId="1375"/>
    <cellStyle name="Normal_laroux_5_laroux_monci" xfId="1376"/>
    <cellStyle name="Normal_laroux_5_monci" xfId="1377"/>
    <cellStyle name="Normal_laroux_5_pldt" xfId="1378"/>
    <cellStyle name="Normal_laroux_5_pldt_1" xfId="1379"/>
    <cellStyle name="Normal_laroux_5_pldt_2" xfId="1380"/>
    <cellStyle name="Normal_laroux_5_pldt_3" xfId="1381"/>
    <cellStyle name="Normal_laroux_5_PLDT_dimon" xfId="1382"/>
    <cellStyle name="Normal_laroux_5_VERA" xfId="1383"/>
    <cellStyle name="Normal_laroux_5_VIRUS-EDY" xfId="1384"/>
    <cellStyle name="Normal_laroux_6" xfId="1385"/>
    <cellStyle name="Normal_laroux_6_dimon" xfId="1386"/>
    <cellStyle name="Normal_laroux_6_dimon_1" xfId="1387"/>
    <cellStyle name="Normal_laroux_6_dimon_2" xfId="1388"/>
    <cellStyle name="Normal_laroux_6_dimon_3" xfId="1389"/>
    <cellStyle name="Normal_laroux_6_dimon_4" xfId="1390"/>
    <cellStyle name="Normal_laroux_6_EPL 304 CA BDE" xfId="1391"/>
    <cellStyle name="Normal_laroux_6_laroux" xfId="1392"/>
    <cellStyle name="Normal_laroux_6_laroux_1" xfId="1393"/>
    <cellStyle name="Normal_laroux_6_laroux_dimon" xfId="1394"/>
    <cellStyle name="Normal_laroux_6_laroux_laroux" xfId="1395"/>
    <cellStyle name="Normal_laroux_6_laroux_monci" xfId="1396"/>
    <cellStyle name="Normal_laroux_6_pldt" xfId="1397"/>
    <cellStyle name="Normal_laroux_6_pldt_1" xfId="1398"/>
    <cellStyle name="Normal_laroux_6_pldt_2" xfId="1399"/>
    <cellStyle name="Normal_laroux_6_PLDT_dimon" xfId="1400"/>
    <cellStyle name="Normal_laroux_6_VERA" xfId="1401"/>
    <cellStyle name="Normal_laroux_6_VIRUS-EDY" xfId="1402"/>
    <cellStyle name="Normal_laroux_7" xfId="1403"/>
    <cellStyle name="Normal_laroux_7_dimon" xfId="1404"/>
    <cellStyle name="Normal_laroux_7_dimon_1" xfId="1405"/>
    <cellStyle name="Normal_laroux_7_dimon_2" xfId="1406"/>
    <cellStyle name="Normal_laroux_7_dimon_3" xfId="1407"/>
    <cellStyle name="Normal_laroux_7_laroux" xfId="1408"/>
    <cellStyle name="Normal_laroux_7_laroux_monci" xfId="1409"/>
    <cellStyle name="Normal_laroux_7_pldt" xfId="1410"/>
    <cellStyle name="Normal_laroux_7_pldt_1" xfId="1411"/>
    <cellStyle name="Normal_laroux_7_VERA" xfId="1412"/>
    <cellStyle name="Normal_laroux_7_VIRUS-EDY" xfId="1413"/>
    <cellStyle name="Normal_laroux_8" xfId="1414"/>
    <cellStyle name="Normal_laroux_8_dimon" xfId="1415"/>
    <cellStyle name="Normal_laroux_8_dimon_1" xfId="1416"/>
    <cellStyle name="Normal_laroux_8_dimon_2" xfId="1417"/>
    <cellStyle name="Normal_laroux_8_laroux" xfId="1418"/>
    <cellStyle name="Normal_laroux_8_monci" xfId="1419"/>
    <cellStyle name="Normal_laroux_8_pldt" xfId="1420"/>
    <cellStyle name="Normal_laroux_8_pldt_1" xfId="1421"/>
    <cellStyle name="Normal_laroux_8_VERA" xfId="1422"/>
    <cellStyle name="Normal_laroux_9" xfId="1423"/>
    <cellStyle name="Normal_laroux_9_dimon" xfId="1424"/>
    <cellStyle name="Normal_laroux_9_dimon_1" xfId="1425"/>
    <cellStyle name="Normal_laroux_9_laroux" xfId="1426"/>
    <cellStyle name="Normal_laroux_9_monci" xfId="1427"/>
    <cellStyle name="Normal_laroux_A" xfId="1428"/>
    <cellStyle name="Normal_laroux_A_monci" xfId="1429"/>
    <cellStyle name="Normal_laroux_B" xfId="1430"/>
    <cellStyle name="Normal_laroux_B_monci" xfId="1431"/>
    <cellStyle name="Normal_laroux_C" xfId="1432"/>
    <cellStyle name="Normal_laroux_D" xfId="1433"/>
    <cellStyle name="Normal_laroux_dimon" xfId="1434"/>
    <cellStyle name="Normal_laroux_dimon_1" xfId="1435"/>
    <cellStyle name="Normal_laroux_dimon_2" xfId="1436"/>
    <cellStyle name="Normal_laroux_dimon_3" xfId="1437"/>
    <cellStyle name="Normal_laroux_dimon_4" xfId="1438"/>
    <cellStyle name="Normal_laroux_dimon_5" xfId="1439"/>
    <cellStyle name="Normal_laroux_dimon_6" xfId="1440"/>
    <cellStyle name="Normal_laroux_EPL 304 CA BDE" xfId="1441"/>
    <cellStyle name="Normal_laroux_laroux" xfId="1442"/>
    <cellStyle name="Normal_laroux_laroux_1" xfId="1443"/>
    <cellStyle name="Normal_laroux_laroux_1_monci" xfId="1444"/>
    <cellStyle name="Normal_laroux_laroux_2" xfId="1445"/>
    <cellStyle name="Normal_laroux_laroux_monci" xfId="1446"/>
    <cellStyle name="Normal_laroux_Locas" xfId="1447"/>
    <cellStyle name="Normal_laroux_monci" xfId="1448"/>
    <cellStyle name="Normal_laroux_pldt" xfId="1449"/>
    <cellStyle name="Normal_laroux_pldt_1" xfId="1450"/>
    <cellStyle name="Normal_laroux_pldt_2" xfId="1451"/>
    <cellStyle name="Normal_laroux_pldt_3" xfId="1452"/>
    <cellStyle name="Normal_laroux_PLDT_dimon" xfId="1453"/>
    <cellStyle name="Normal_laroux_Sheet1 (2)" xfId="1454"/>
    <cellStyle name="Normal_laroux_VERA" xfId="1455"/>
    <cellStyle name="Normal_laroux_VERA_1" xfId="1456"/>
    <cellStyle name="Normal_laroux_VIRUS-EDY" xfId="1457"/>
    <cellStyle name="Normal_Line Inst." xfId="1458"/>
    <cellStyle name="Normal_List" xfId="1459"/>
    <cellStyle name="Normal_Locas" xfId="1460"/>
    <cellStyle name="Normal_Locas_1" xfId="1461"/>
    <cellStyle name="Normal_MAJREP" xfId="1462"/>
    <cellStyle name="Normal_MATERAL2" xfId="1463"/>
    <cellStyle name="Normal_MATERAL2_dimon" xfId="1464"/>
    <cellStyle name="Normal_MED-A-CO.XLS" xfId="1465"/>
    <cellStyle name="Normal_MID CURVE" xfId="1466"/>
    <cellStyle name="Normal_MKGOCPX" xfId="1467"/>
    <cellStyle name="Normal_Mkt Shr" xfId="1468"/>
    <cellStyle name="Normal_MOBCPX" xfId="1469"/>
    <cellStyle name="Normal_Module1 (2)" xfId="1470"/>
    <cellStyle name="Normal_Module1 (2)_1" xfId="1471"/>
    <cellStyle name="Normal_MONTHLY" xfId="1472"/>
    <cellStyle name="Normal_MOR  - Supp" xfId="1473"/>
    <cellStyle name="Normal_mud plant bolted" xfId="1474"/>
    <cellStyle name="Normal_mud plant bolted_dimon" xfId="1475"/>
    <cellStyle name="Normal_Multikarya" xfId="1476"/>
    <cellStyle name="Normal_NA WITHOUT GOV'T &amp; PNX" xfId="1477"/>
    <cellStyle name="Normal_NAOBU10" xfId="1478"/>
    <cellStyle name="Normal_NAT ACCT" xfId="1479"/>
    <cellStyle name="Normal_NCR-C&amp;W Val" xfId="1480"/>
    <cellStyle name="Normal_NCR-Cap intensity" xfId="1481"/>
    <cellStyle name="Normal_NCR-Line per Staff" xfId="1482"/>
    <cellStyle name="Normal_NCR-Rev dist" xfId="1483"/>
    <cellStyle name="Normal_NEHQ-ACT.XLS" xfId="1484"/>
    <cellStyle name="Normal_NS-A-CO.XLS" xfId="1485"/>
    <cellStyle name="Normal_NS_AT" xfId="1486"/>
    <cellStyle name="Normal_NS_CONS GROUP" xfId="1487"/>
    <cellStyle name="Normal_NSACTUAL.XLS" xfId="1488"/>
    <cellStyle name="Normal_NSACTUAL.XLS_1" xfId="1489"/>
    <cellStyle name="Normal_NX00" xfId="1490"/>
    <cellStyle name="Normal_OA022498" xfId="1491"/>
    <cellStyle name="Normal_Op Cost Break" xfId="1492"/>
    <cellStyle name="Normal_OPSTAT" xfId="1493"/>
    <cellStyle name="Normal_Optimal_discount" xfId="1494"/>
    <cellStyle name="Normal_OS-A-CO.XLS" xfId="1495"/>
    <cellStyle name="Normal_OSMOCPX" xfId="1496"/>
    <cellStyle name="Normal_Other Months" xfId="1497"/>
    <cellStyle name="Normal_Outlook" xfId="1498"/>
    <cellStyle name="Normal_Outlook_1" xfId="1499"/>
    <cellStyle name="Normal_OWN, AR, SNIPS" xfId="1500"/>
    <cellStyle name="Normal_Owners" xfId="1501"/>
    <cellStyle name="Normal_PAGE 1" xfId="1502"/>
    <cellStyle name="Normal_pbdefault" xfId="1503"/>
    <cellStyle name="Normal_pbdefault_1" xfId="1504"/>
    <cellStyle name="Normal_percentages" xfId="1505"/>
    <cellStyle name="Normal_PERSONAL" xfId="1506"/>
    <cellStyle name="Normal_PERSONAL_dimon" xfId="1507"/>
    <cellStyle name="Normal_PERSONAL_Locas" xfId="1508"/>
    <cellStyle name="Normal_PGMKOCPX" xfId="1509"/>
    <cellStyle name="Normal_PGNW1" xfId="1510"/>
    <cellStyle name="Normal_PGNW2" xfId="1511"/>
    <cellStyle name="Normal_PGNWOCPX" xfId="1512"/>
    <cellStyle name="Normal_Picks" xfId="1513"/>
    <cellStyle name="Normal_PIG3" xfId="1514"/>
    <cellStyle name="Normal_Pink" xfId="1515"/>
    <cellStyle name="Normal_PLAN" xfId="1516"/>
    <cellStyle name="Normal_PLANT" xfId="1517"/>
    <cellStyle name="Normal_PLANTS" xfId="1518"/>
    <cellStyle name="Normal_Playoff Prelim (2)" xfId="1519"/>
    <cellStyle name="Normal_pldt" xfId="1520"/>
    <cellStyle name="Normal_pldt_1" xfId="1521"/>
    <cellStyle name="Normal_pldt_1_Calculations" xfId="1522"/>
    <cellStyle name="Normal_PLDT_1_dimon" xfId="1523"/>
    <cellStyle name="Normal_pldt_2" xfId="1524"/>
    <cellStyle name="Normal_pldt_2_Calculations" xfId="1525"/>
    <cellStyle name="Normal_pldt_2_dimon" xfId="1526"/>
    <cellStyle name="Normal_PLDT_2_dimon_1" xfId="1527"/>
    <cellStyle name="Normal_pldt_2_dimon_2" xfId="1528"/>
    <cellStyle name="Normal_pldt_2_pldt" xfId="1529"/>
    <cellStyle name="Normal_pldt_3" xfId="1530"/>
    <cellStyle name="Normal_pldt_3_dimon" xfId="1531"/>
    <cellStyle name="Normal_pldt_3_dimon_1" xfId="1532"/>
    <cellStyle name="Normal_pldt_4" xfId="1533"/>
    <cellStyle name="Normal_pldt_4_dimon" xfId="1534"/>
    <cellStyle name="Normal_pldt_4_dimon_1" xfId="1535"/>
    <cellStyle name="Normal_PLDT_4_dimon_2" xfId="1536"/>
    <cellStyle name="Normal_pldt_5" xfId="1537"/>
    <cellStyle name="Normal_pldt_5_dimon" xfId="1538"/>
    <cellStyle name="Normal_pldt_6" xfId="1539"/>
    <cellStyle name="Normal_pldt_Calculations" xfId="1540"/>
    <cellStyle name="Normal_PLDT_dimon" xfId="1541"/>
    <cellStyle name="Normal_PLDT_dimon_1" xfId="1542"/>
    <cellStyle name="Normal_PLDT_dimon_2" xfId="1543"/>
    <cellStyle name="Normal_pldt_pldt" xfId="1544"/>
    <cellStyle name="Normal_POW-Provision" xfId="1545"/>
    <cellStyle name="Normal_priccurv" xfId="1546"/>
    <cellStyle name="Normal_priccurv_1" xfId="1547"/>
    <cellStyle name="Normal_priccurv_2" xfId="1548"/>
    <cellStyle name="Normal_PrintBox (2)" xfId="1549"/>
    <cellStyle name="Normal_PROCDS&amp;G" xfId="1550"/>
    <cellStyle name="Normal_PROD SALES" xfId="1551"/>
    <cellStyle name="Normal_PROD SALES by Region Pg 2" xfId="1552"/>
    <cellStyle name="Normal_PRODUCT" xfId="1553"/>
    <cellStyle name="Normal_Production Payment model" xfId="1554"/>
    <cellStyle name="Normal_production tony" xfId="1555"/>
    <cellStyle name="Normal_PROFILE4" xfId="0"/>
    <cellStyle name="Normal_PSTNOCFP" xfId="0"/>
    <cellStyle name="Normal_Q08-95.XLS" xfId="0"/>
    <cellStyle name="Normal_QMM-1" xfId="0"/>
    <cellStyle name="Normal_Quarter End Months" xfId="0"/>
    <cellStyle name="Normal_r1" xfId="0"/>
    <cellStyle name="Normal_Real Opr Cf" xfId="0"/>
    <cellStyle name="Normal_Real Rev per Staff (1)" xfId="0"/>
    <cellStyle name="Normal_Real Rev per Staff (2)" xfId="0"/>
    <cellStyle name="Normal_Region 2-C&amp;W" xfId="0"/>
    <cellStyle name="Normal_REPORT-budget" xfId="0"/>
    <cellStyle name="Normal_REPORT-plan" xfId="0"/>
    <cellStyle name="Normal_Return on Rev" xfId="0"/>
    <cellStyle name="Normal_Rev p line" xfId="0"/>
    <cellStyle name="Normal_ROACE" xfId="0"/>
    <cellStyle name="Normal_ROCF (Tot)" xfId="0"/>
    <cellStyle name="Normal_Roster" xfId="0"/>
    <cellStyle name="Normal_RPACONS (BY RANK&amp;EVENT)" xfId="0"/>
    <cellStyle name="Normal_RPACONS (BY RANK)" xfId="0"/>
    <cellStyle name="Normal_Rules" xfId="0"/>
    <cellStyle name="Normal_Sales Order" xfId="0"/>
    <cellStyle name="Normal_SALES, BGP, MOI" xfId="0"/>
    <cellStyle name="Normal_San Francisco " xfId="0"/>
    <cellStyle name="Normal_SATOCPX" xfId="0"/>
    <cellStyle name="Normal_SC COP" xfId="0"/>
    <cellStyle name="Normal_Sheet1" xfId="0"/>
    <cellStyle name="Normal_Sheet1 (2)" xfId="0"/>
    <cellStyle name="Normal_Sheet1 (2)_dimon" xfId="0"/>
    <cellStyle name="Normal_Sheet1 (2)_monci" xfId="0"/>
    <cellStyle name="Normal_Sheet1 (2)_VERA" xfId="0"/>
    <cellStyle name="Normal_Sheet1 (2)_VERA_1" xfId="0"/>
    <cellStyle name="Normal_Sheet1_1" xfId="0"/>
    <cellStyle name="Normal_Sheet1_dimon" xfId="0"/>
    <cellStyle name="Normal_Sheet1_FUNDS" xfId="0"/>
    <cellStyle name="Normal_Sheet1_FUNDS (2)" xfId="0"/>
    <cellStyle name="Normal_Sheet1_laroux" xfId="0"/>
    <cellStyle name="Normal_Sheet1_List" xfId="0"/>
    <cellStyle name="Normal_Sheet1_monci" xfId="0"/>
    <cellStyle name="Normal_Sheet1_PLDT" xfId="0"/>
    <cellStyle name="Normal_Sheet1_VERA" xfId="0"/>
    <cellStyle name="Normal_Sheet1_VERA_1" xfId="0"/>
    <cellStyle name="Normal_Sheet2" xfId="0"/>
    <cellStyle name="Normal_Sheet3" xfId="0"/>
    <cellStyle name="Normal_SHENREPT" xfId="0"/>
    <cellStyle name="Normal_SHENREPT_laroux" xfId="0"/>
    <cellStyle name="Normal_SHENREPT_monci" xfId="0"/>
    <cellStyle name="Normal_SHENREPT_pldt" xfId="0"/>
    <cellStyle name="Normal_solInv_suppldata_qry" xfId="0"/>
    <cellStyle name="Normal_SOP" xfId="0"/>
    <cellStyle name="Normal_sprint contr" xfId="0"/>
    <cellStyle name="Normal_Staff cost%rev" xfId="0"/>
    <cellStyle name="Normal_Summary" xfId="0"/>
    <cellStyle name="Normal_SUMPAGE" xfId="0"/>
    <cellStyle name="Normal_SWI-C-CO.XLS" xfId="0"/>
    <cellStyle name="Normal_Template" xfId="0"/>
    <cellStyle name="Normal_TMSNW1" xfId="0"/>
    <cellStyle name="Normal_TMSNW2" xfId="0"/>
    <cellStyle name="Normal_TMSOCPX" xfId="0"/>
    <cellStyle name="Normal_TOTAL MTH" xfId="0"/>
    <cellStyle name="Normal_TOTAL NX CASH FLOW" xfId="0"/>
    <cellStyle name="Normal_TOTAL YTD" xfId="0"/>
    <cellStyle name="Normal_Total-Rev dist." xfId="0"/>
    <cellStyle name="Normal_TRANSDSC.XLS" xfId="0"/>
    <cellStyle name="Normal_TRANSFXA.XLS" xfId="0"/>
    <cellStyle name="Normal_TRANSFXA.XLS_1" xfId="0"/>
    <cellStyle name="Normal_TRANSFXA.XLS_2" xfId="0"/>
    <cellStyle name="Normal_TRANSIME.XLS" xfId="0"/>
    <cellStyle name="Normal_TRANSIME.XLS_1" xfId="0"/>
    <cellStyle name="Normal_TRANSIME.XLS_TRANSDSC.XLS" xfId="0"/>
    <cellStyle name="Normal_TRANSIME.XLS_TRANSFXA.XLS" xfId="0"/>
    <cellStyle name="Normal_TRN-A-CO.XLS" xfId="0"/>
    <cellStyle name="Normal_White" xfId="0"/>
    <cellStyle name="Normal_WO Var. &amp; Tot. Exp." xfId="0"/>
    <cellStyle name="Normal_WSP" xfId="0"/>
    <cellStyle name="Normal_yrcao" xfId="0"/>
    <cellStyle name="Normal_YREND55" xfId="0"/>
    <cellStyle name="Normal_YREND57" xfId="0"/>
    <cellStyle name="Normal_YTDCUR" xfId="0"/>
    <cellStyle name="Percent [2]" xfId="0"/>
    <cellStyle name="Total" xfId="0"/>
    <cellStyle name="Unprot" xfId="0"/>
    <cellStyle name="Unprot$" xfId="0"/>
    <cellStyle name="Unprotect" xfId="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0"/>
      <rgbColor rgb="FFCCFFFF"/>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CCFFFF"/>
      <rgbColor rgb="FFCCFFCC"/>
      <rgbColor rgb="FFFFFF99"/>
      <rgbColor rgb="FFA6CAF0"/>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72000</xdr:colOff>
      <xdr:row>5</xdr:row>
      <xdr:rowOff>152280</xdr:rowOff>
    </xdr:from>
    <xdr:to>
      <xdr:col>2</xdr:col>
      <xdr:colOff>661320</xdr:colOff>
      <xdr:row>36</xdr:row>
      <xdr:rowOff>142920</xdr:rowOff>
    </xdr:to>
    <xdr:sp>
      <xdr:nvSpPr>
        <xdr:cNvPr id="0" name="AutoShape 1"/>
        <xdr:cNvSpPr txBox="1"/>
      </xdr:nvSpPr>
      <xdr:spPr>
        <a:xfrm rot="5400000">
          <a:off x="-830880" y="3186720"/>
          <a:ext cx="5038920" cy="589320"/>
        </a:xfrm>
        <a:prstGeom prst="rect">
          <a:avLst/>
        </a:prstGeom>
      </xdr:spPr>
      <xdr:txBody>
        <a:bodyPr wrap="none" lIns="20160" rIns="20160" tIns="20160" bIns="20160" anchor="t" vert="eaVert" rot="5400000">
          <a:prstTxWarp prst="textPlain">
            <a:avLst>
              <a:gd name="adj" fmla="val 50000"/>
            </a:avLst>
          </a:prstTxWarp>
          <a:noAutofit/>
        </a:bodyPr>
        <a:p>
          <a:pPr/>
          <a:r>
            <a:rPr b="0" lang="en-US" sz="1200" spc="1" strike="noStrike">
              <a:ln w="9360">
                <a:solidFill>
                  <a:srgbClr val="ff0000"/>
                </a:solidFill>
                <a:miter/>
              </a:ln>
              <a:solidFill>
                <a:srgbClr val="ff0000"/>
              </a:solidFill>
              <a:effectLst>
                <a:outerShdw dist="153753" dir="2700000" blurRad="0" rotWithShape="0">
                  <a:srgbClr val="c7dfd3"/>
                </a:outerShdw>
              </a:effectLst>
              <a:latin typeface="Rockwell Extra Bold"/>
            </a:rPr>
            <a:t>Credit Line</a:t>
          </a:r>
          <a:endParaRPr b="0" lang="en-US" sz="1200" spc="1" strike="noStrike">
            <a:ln w="9360">
              <a:solidFill>
                <a:srgbClr val="ff0000"/>
              </a:solidFill>
              <a:miter/>
            </a:ln>
            <a:solidFill>
              <a:srgbClr val="ff0000"/>
            </a:solidFill>
            <a:effectLst>
              <a:outerShdw dist="153753" dir="2700000" blurRad="0" rotWithShape="0">
                <a:srgbClr val="c7dfd3"/>
              </a:outerShdw>
            </a:effectLst>
            <a:latin typeface="Rockwell Extra Bold"/>
            <a:ea typeface="Rockwell Extra Bold"/>
          </a:endParaRPr>
        </a:p>
      </xdr:txBody>
    </xdr:sp>
    <xdr:clientData/>
  </xdr:twoCellAnchor>
  <xdr:twoCellAnchor editAs="oneCell">
    <xdr:from>
      <xdr:col>4</xdr:col>
      <xdr:colOff>640440</xdr:colOff>
      <xdr:row>44</xdr:row>
      <xdr:rowOff>66600</xdr:rowOff>
    </xdr:from>
    <xdr:to>
      <xdr:col>8</xdr:col>
      <xdr:colOff>10800</xdr:colOff>
      <xdr:row>46</xdr:row>
      <xdr:rowOff>123840</xdr:rowOff>
    </xdr:to>
    <xdr:sp>
      <xdr:nvSpPr>
        <xdr:cNvPr id="1" name="AutoShape 2"/>
        <xdr:cNvSpPr txBox="1"/>
      </xdr:nvSpPr>
      <xdr:spPr>
        <a:xfrm>
          <a:off x="3284640" y="7219800"/>
          <a:ext cx="2014560" cy="381240"/>
        </a:xfrm>
        <a:prstGeom prst="rect">
          <a:avLst/>
        </a:prstGeom>
      </xdr:spPr>
      <xdr:txBody>
        <a:bodyPr wrap="none" lIns="20160" rIns="20160" tIns="20160" bIns="20160" anchor="t">
          <a:prstTxWarp prst="textPlain">
            <a:avLst>
              <a:gd name="adj" fmla="val 49231"/>
            </a:avLst>
          </a:prstTxWarp>
          <a:noAutofit/>
        </a:bodyPr>
        <a:p>
          <a:pPr/>
          <a:r>
            <a:rPr b="1" lang="en-US" sz="1200" spc="1" strike="noStrike">
              <a:ln w="12600">
                <a:solidFill>
                  <a:srgbClr val="000000"/>
                </a:solidFill>
                <a:miter/>
              </a:ln>
              <a:solidFill>
                <a:srgbClr val="000000"/>
              </a:solidFill>
              <a:effectLst>
                <a:outerShdw dist="153753" dir="2700000" blurRad="0" rotWithShape="0">
                  <a:srgbClr val="c0c0c0"/>
                </a:outerShdw>
              </a:effectLst>
              <a:latin typeface="Bradley Hand ITC"/>
            </a:rPr>
            <a:t>George W. Gallinger, Ph.D.</a:t>
          </a:r>
          <a:endParaRPr b="1" lang="en-US" sz="1200" spc="1" strike="noStrike">
            <a:ln w="12600">
              <a:solidFill>
                <a:srgbClr val="000000"/>
              </a:solidFill>
              <a:miter/>
            </a:ln>
            <a:solidFill>
              <a:srgbClr val="000000"/>
            </a:solidFill>
            <a:effectLst>
              <a:outerShdw dist="153753" dir="2700000" blurRad="0" rotWithShape="0">
                <a:srgbClr val="c0c0c0"/>
              </a:outerShdw>
            </a:effectLst>
            <a:latin typeface="Bradley Hand ITC"/>
            <a:ea typeface="Bradley Hand ITC"/>
          </a:endParaRPr>
        </a:p>
      </xdr:txBody>
    </xdr:sp>
    <xdr:clientData/>
  </xdr:twoCellAnchor>
  <xdr:twoCellAnchor editAs="oneCell">
    <xdr:from>
      <xdr:col>5</xdr:col>
      <xdr:colOff>82800</xdr:colOff>
      <xdr:row>47</xdr:row>
      <xdr:rowOff>95400</xdr:rowOff>
    </xdr:from>
    <xdr:to>
      <xdr:col>7</xdr:col>
      <xdr:colOff>486360</xdr:colOff>
      <xdr:row>50</xdr:row>
      <xdr:rowOff>28440</xdr:rowOff>
    </xdr:to>
    <xdr:sp>
      <xdr:nvSpPr>
        <xdr:cNvPr id="2" name="AutoShape 3"/>
        <xdr:cNvSpPr txBox="1"/>
      </xdr:nvSpPr>
      <xdr:spPr>
        <a:xfrm>
          <a:off x="3387960" y="7734600"/>
          <a:ext cx="1725480" cy="418680"/>
        </a:xfrm>
        <a:prstGeom prst="rect">
          <a:avLst/>
        </a:prstGeom>
      </xdr:spPr>
      <xdr:txBody>
        <a:bodyPr wrap="none" lIns="20160" rIns="20160" tIns="20160" bIns="20160" anchor="t">
          <a:prstTxWarp prst="textPlain">
            <a:avLst>
              <a:gd name="adj" fmla="val 50000"/>
            </a:avLst>
          </a:prstTxWarp>
          <a:noAutofit/>
        </a:bodyPr>
        <a:p>
          <a:pPr/>
          <a:r>
            <a:rPr b="0" lang="en-US" sz="900" spc="1" strike="noStrike">
              <a:ln w="3240">
                <a:solidFill>
                  <a:srgbClr val="000000"/>
                </a:solidFill>
                <a:miter/>
              </a:ln>
              <a:solidFill>
                <a:srgbClr val="000000"/>
              </a:solidFill>
              <a:latin typeface="Arial Narrow"/>
            </a:rPr>
            <a:t>Phone: 480.965.4221</a:t>
          </a:r>
          <a:endParaRPr b="0" lang="en-US" sz="900" spc="1" strike="noStrike">
            <a:ln w="3240">
              <a:solidFill>
                <a:srgbClr val="000000"/>
              </a:solidFill>
              <a:miter/>
            </a:ln>
            <a:solidFill>
              <a:srgbClr val="000000"/>
            </a:solidFill>
            <a:latin typeface="Arial Narrow"/>
            <a:ea typeface="Arial Narrow"/>
          </a:endParaRPr>
        </a:p>
        <a:p>
          <a:pPr/>
          <a:r>
            <a:rPr b="0" lang="en-US" sz="900" spc="1" strike="noStrike">
              <a:ln w="3240">
                <a:solidFill>
                  <a:srgbClr val="000000"/>
                </a:solidFill>
                <a:miter/>
              </a:ln>
              <a:solidFill>
                <a:srgbClr val="000000"/>
              </a:solidFill>
              <a:latin typeface="Arial Narrow"/>
            </a:rPr>
            <a:t>Fax: 480.965.8539</a:t>
          </a:r>
          <a:endParaRPr b="0" lang="en-US" sz="900" spc="1" strike="noStrike">
            <a:ln w="3240">
              <a:solidFill>
                <a:srgbClr val="000000"/>
              </a:solidFill>
              <a:miter/>
            </a:ln>
            <a:solidFill>
              <a:srgbClr val="000000"/>
            </a:solidFill>
            <a:latin typeface="Arial Narrow"/>
            <a:ea typeface="Arial Narrow"/>
          </a:endParaRPr>
        </a:p>
        <a:p>
          <a:pPr/>
          <a:r>
            <a:rPr b="0" lang="en-US" sz="900" spc="1" strike="noStrike">
              <a:ln w="3240">
                <a:solidFill>
                  <a:srgbClr val="000000"/>
                </a:solidFill>
                <a:miter/>
              </a:ln>
              <a:solidFill>
                <a:srgbClr val="000000"/>
              </a:solidFill>
              <a:latin typeface="Arial Narrow"/>
            </a:rPr>
            <a:t>Email: bac524@mainex1.asu.edu</a:t>
          </a:r>
          <a:endParaRPr b="0" lang="en-US" sz="900" spc="1" strike="noStrike">
            <a:ln w="3240">
              <a:solidFill>
                <a:srgbClr val="000000"/>
              </a:solidFill>
              <a:miter/>
            </a:ln>
            <a:solidFill>
              <a:srgbClr val="000000"/>
            </a:solidFill>
            <a:latin typeface="Arial Narrow"/>
            <a:ea typeface="Arial Narrow"/>
          </a:endParaRPr>
        </a:p>
      </xdr:txBody>
    </xdr:sp>
    <xdr:clientData/>
  </xdr:twoCellAnchor>
  <xdr:twoCellAnchor editAs="oneCell">
    <xdr:from>
      <xdr:col>3</xdr:col>
      <xdr:colOff>578160</xdr:colOff>
      <xdr:row>1</xdr:row>
      <xdr:rowOff>0</xdr:rowOff>
    </xdr:from>
    <xdr:to>
      <xdr:col>9</xdr:col>
      <xdr:colOff>720</xdr:colOff>
      <xdr:row>43</xdr:row>
      <xdr:rowOff>114480</xdr:rowOff>
    </xdr:to>
    <xdr:sp>
      <xdr:nvSpPr>
        <xdr:cNvPr id="3" name="Rectangle 4"/>
        <xdr:cNvSpPr/>
      </xdr:nvSpPr>
      <xdr:spPr>
        <a:xfrm>
          <a:off x="2561400" y="162000"/>
          <a:ext cx="3388680" cy="694368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endParaRPr b="0" lang="en-US" sz="1000" spc="-1" strike="noStrike">
            <a:latin typeface="DejaVu Serif"/>
          </a:endParaRPr>
        </a:p>
        <a:p>
          <a:pPr algn="ctr"/>
          <a:r>
            <a:rPr b="1" lang="en-US" sz="2000" spc="-1" strike="noStrike">
              <a:solidFill>
                <a:srgbClr val="ffffff"/>
              </a:solidFill>
              <a:latin typeface="Comic Sans MS"/>
            </a:rPr>
            <a:t>Introduction</a:t>
          </a:r>
          <a:endParaRPr b="0" lang="en-US" sz="2000" spc="-1" strike="noStrike">
            <a:latin typeface="DejaVu Serif"/>
          </a:endParaRPr>
        </a:p>
        <a:p>
          <a:pPr algn="ctr"/>
          <a:r>
            <a:rPr b="0" lang="en-US" sz="1000" spc="-1" strike="noStrike">
              <a:solidFill>
                <a:srgbClr val="ffffff"/>
              </a:solidFill>
              <a:latin typeface="Comic Sans MS"/>
            </a:rPr>
            <a:t>The purpose of this Excel template is to allow you to determine a credit line using judgmental data. Hard numbers from financial statements are only used to help you make a judgment on one factor that enters your decision.</a:t>
          </a:r>
          <a:endParaRPr b="0" lang="en-US" sz="1000" spc="-1" strike="noStrike">
            <a:latin typeface="DejaVu Serif"/>
          </a:endParaRPr>
        </a:p>
        <a:p>
          <a:pPr algn="ctr"/>
          <a:endParaRPr b="0" lang="en-US" sz="1000" spc="-1" strike="noStrike">
            <a:latin typeface="DejaVu Serif"/>
          </a:endParaRPr>
        </a:p>
        <a:p>
          <a:pPr algn="ctr"/>
          <a:r>
            <a:rPr b="0" lang="en-US" sz="1000" spc="-1" strike="noStrike">
              <a:solidFill>
                <a:srgbClr val="ffffff"/>
              </a:solidFill>
              <a:latin typeface="Comic Sans MS"/>
            </a:rPr>
            <a:t>The model requires you to input values in the yellow-shaded cells on the </a:t>
          </a:r>
          <a:r>
            <a:rPr b="0" i="1" lang="en-US" sz="1000" spc="-1" strike="noStrike">
              <a:solidFill>
                <a:srgbClr val="ffffff"/>
              </a:solidFill>
              <a:latin typeface="Comic Sans MS"/>
            </a:rPr>
            <a:t>Assigning Weights</a:t>
          </a:r>
          <a:r>
            <a:rPr b="0" lang="en-US" sz="1000" spc="-1" strike="noStrike">
              <a:solidFill>
                <a:srgbClr val="ffffff"/>
              </a:solidFill>
              <a:latin typeface="Comic Sans MS"/>
            </a:rPr>
            <a:t> sheet. It is a difficult task to determine meaningful inputs.  Use your credit experience and that of associates to determine reasonable numbers for the inputs.  Vary the inputs and check the sensitivity of the solution to any changed input values.</a:t>
          </a:r>
          <a:endParaRPr b="0" lang="en-US" sz="1000" spc="-1" strike="noStrike">
            <a:latin typeface="DejaVu Serif"/>
          </a:endParaRPr>
        </a:p>
        <a:p>
          <a:pPr algn="ctr"/>
          <a:endParaRPr b="0" lang="en-US" sz="1000" spc="-1" strike="noStrike">
            <a:latin typeface="DejaVu Serif"/>
          </a:endParaRPr>
        </a:p>
        <a:p>
          <a:pPr algn="ctr"/>
          <a:r>
            <a:rPr b="0" lang="en-US" sz="1000" spc="-1" strike="noStrike">
              <a:solidFill>
                <a:srgbClr val="ffffff"/>
              </a:solidFill>
              <a:latin typeface="Comic Sans MS"/>
            </a:rPr>
            <a:t>The template is based on sound statistical methodology that makes use of judgmental inputs. Once you understand it, engage marketing and sales personnel in the credit decision to show them how a credit line is affected  by risk expectations.</a:t>
          </a:r>
          <a:endParaRPr b="0" lang="en-US" sz="1000" spc="-1" strike="noStrike">
            <a:latin typeface="DejaVu Serif"/>
          </a:endParaRPr>
        </a:p>
        <a:p>
          <a:pPr algn="ctr"/>
          <a:endParaRPr b="0" lang="en-US" sz="1000" spc="-1" strike="noStrike">
            <a:latin typeface="DejaVu Serif"/>
          </a:endParaRPr>
        </a:p>
        <a:p>
          <a:pPr algn="ctr"/>
          <a:r>
            <a:rPr b="0" lang="en-US" sz="1000" spc="-1" strike="noStrike">
              <a:solidFill>
                <a:srgbClr val="ffffff"/>
              </a:solidFill>
              <a:latin typeface="Comic Sans MS"/>
            </a:rPr>
            <a:t>Hopefully, this template will provide you with the ability to make better analyses of credit decisions. If so, you can rightfully claim that you have added value to the company.</a:t>
          </a:r>
          <a:endParaRPr b="0" lang="en-US" sz="1000" spc="-1" strike="noStrike">
            <a:latin typeface="DejaVu Serif"/>
          </a:endParaRPr>
        </a:p>
        <a:p>
          <a:pPr algn="ctr"/>
          <a:endParaRPr b="0" lang="en-US" sz="1000" spc="-1" strike="noStrike">
            <a:latin typeface="DejaVu Serif"/>
          </a:endParaRPr>
        </a:p>
        <a:p>
          <a:pPr algn="ctr"/>
          <a:endParaRPr b="0" lang="en-US" sz="1000" spc="-1" strike="noStrike">
            <a:latin typeface="DejaVu Serif"/>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93240</xdr:colOff>
      <xdr:row>7</xdr:row>
      <xdr:rowOff>66600</xdr:rowOff>
    </xdr:from>
    <xdr:to>
      <xdr:col>7</xdr:col>
      <xdr:colOff>642960</xdr:colOff>
      <xdr:row>18</xdr:row>
      <xdr:rowOff>19080</xdr:rowOff>
    </xdr:to>
    <xdr:sp>
      <xdr:nvSpPr>
        <xdr:cNvPr id="4" name="Text 1"/>
        <xdr:cNvSpPr/>
      </xdr:nvSpPr>
      <xdr:spPr>
        <a:xfrm>
          <a:off x="3351960" y="1152360"/>
          <a:ext cx="3201480" cy="1629000"/>
        </a:xfrm>
        <a:prstGeom prst="rect">
          <a:avLst/>
        </a:prstGeom>
        <a:solidFill>
          <a:srgbClr val="ffffc0"/>
        </a:solidFill>
        <a:ln w="9360">
          <a:solidFill>
            <a:srgbClr val="000000"/>
          </a:solidFill>
          <a:miter/>
        </a:ln>
      </xdr:spPr>
      <xdr:style>
        <a:lnRef idx="0"/>
        <a:fillRef idx="0"/>
        <a:effectRef idx="0"/>
        <a:fontRef idx="minor"/>
      </xdr:style>
      <xdr:txBody>
        <a:bodyPr lIns="20160" rIns="20160" tIns="20160" bIns="20160" anchor="t">
          <a:noAutofit/>
        </a:bodyPr>
        <a:p>
          <a:r>
            <a:rPr b="1" lang="en-US" sz="800" spc="-1" strike="noStrike">
              <a:solidFill>
                <a:srgbClr val="0000ff"/>
              </a:solidFill>
              <a:latin typeface="Arial"/>
            </a:rPr>
            <a:t>Insert values in the yellow-shaded cells. </a:t>
          </a:r>
          <a:r>
            <a:rPr b="1" lang="en-US" sz="800" spc="-1" strike="noStrike">
              <a:latin typeface="Arial"/>
            </a:rPr>
            <a:t>For example, ask the question of each possible pair: </a:t>
          </a:r>
          <a:r>
            <a:rPr b="1" lang="en-US" sz="800" spc="-1" strike="noStrike">
              <a:solidFill>
                <a:srgbClr val="0000ff"/>
              </a:solidFill>
              <a:latin typeface="Arial"/>
            </a:rPr>
            <a:t>"If credit is to be granted, how much more important is (say) payment record than (say) customer background?" </a:t>
          </a:r>
          <a:r>
            <a:rPr b="1" lang="en-US" sz="800" spc="-1" strike="noStrike">
              <a:latin typeface="Arial"/>
            </a:rPr>
            <a:t>If payment record (row) has </a:t>
          </a:r>
          <a:r>
            <a:rPr b="0" i="1" lang="en-US" sz="800" spc="-1" strike="noStrike">
              <a:latin typeface="Arial"/>
            </a:rPr>
            <a:t>strong importance</a:t>
          </a:r>
          <a:r>
            <a:rPr b="1" lang="en-US" sz="800" spc="-1" strike="noStrike">
              <a:latin typeface="Arial"/>
            </a:rPr>
            <a:t> over customer background (column), insert 5 in cell B4. </a:t>
          </a:r>
          <a:endParaRPr b="0" lang="en-US" sz="800" spc="-1" strike="noStrike">
            <a:latin typeface="DejaVu Serif"/>
          </a:endParaRPr>
        </a:p>
        <a:p>
          <a:r>
            <a:rPr b="1" lang="en-US" sz="800" spc="-1" strike="noStrike">
              <a:latin typeface="Arial"/>
            </a:rPr>
            <a:t>Ask the question of geographical location and customer background. If customer background (column) has </a:t>
          </a:r>
          <a:r>
            <a:rPr b="0" i="1" lang="en-US" sz="800" spc="-1" strike="noStrike">
              <a:latin typeface="Arial"/>
            </a:rPr>
            <a:t>very strong importance</a:t>
          </a:r>
          <a:r>
            <a:rPr b="1" lang="en-US" sz="800" spc="-1" strike="noStrike">
              <a:latin typeface="Arial"/>
            </a:rPr>
            <a:t> over geographical location (row), insert 0.1429 in cell B5.</a:t>
          </a:r>
          <a:endParaRPr b="0" lang="en-US" sz="800" spc="-1" strike="noStrike">
            <a:latin typeface="DejaVu Serif"/>
          </a:endParaRPr>
        </a:p>
      </xdr:txBody>
    </xdr:sp>
    <xdr:clientData/>
  </xdr:twoCellAnchor>
  <xdr:twoCellAnchor editAs="oneCell">
    <xdr:from>
      <xdr:col>0</xdr:col>
      <xdr:colOff>320760</xdr:colOff>
      <xdr:row>18</xdr:row>
      <xdr:rowOff>95400</xdr:rowOff>
    </xdr:from>
    <xdr:to>
      <xdr:col>4</xdr:col>
      <xdr:colOff>259560</xdr:colOff>
      <xdr:row>40</xdr:row>
      <xdr:rowOff>95400</xdr:rowOff>
    </xdr:to>
    <xdr:sp>
      <xdr:nvSpPr>
        <xdr:cNvPr id="5" name="Text 2"/>
        <xdr:cNvSpPr/>
      </xdr:nvSpPr>
      <xdr:spPr>
        <a:xfrm>
          <a:off x="320760" y="2857680"/>
          <a:ext cx="3860640" cy="3352680"/>
        </a:xfrm>
        <a:prstGeom prst="rect">
          <a:avLst/>
        </a:prstGeom>
        <a:solidFill>
          <a:srgbClr val="ccffcc"/>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1000" spc="-1" strike="noStrike">
              <a:latin typeface="Arial"/>
            </a:rPr>
            <a:t>Definitions</a:t>
          </a:r>
          <a:endParaRPr b="0" lang="en-US" sz="1000" spc="-1" strike="noStrike">
            <a:latin typeface="DejaVu Serif"/>
          </a:endParaRPr>
        </a:p>
        <a:p>
          <a:pPr algn="ctr"/>
          <a:r>
            <a:rPr b="1" lang="en-US" sz="800" spc="-1" strike="noStrike">
              <a:solidFill>
                <a:srgbClr val="ff0000"/>
              </a:solidFill>
              <a:latin typeface="Arial"/>
            </a:rPr>
            <a:t>Customer Background</a:t>
          </a:r>
          <a:endParaRPr b="0" lang="en-US" sz="800" spc="-1" strike="noStrike">
            <a:latin typeface="DejaVu Serif"/>
          </a:endParaRPr>
        </a:p>
        <a:p>
          <a:pPr algn="ctr"/>
          <a:r>
            <a:rPr b="1" lang="en-US" sz="800" spc="-1" strike="noStrike">
              <a:latin typeface="Arial"/>
            </a:rPr>
            <a:t> </a:t>
          </a:r>
          <a:r>
            <a:rPr b="1" i="1" lang="en-US" sz="800" spc="-1" strike="noStrike">
              <a:latin typeface="Arial"/>
            </a:rPr>
            <a:t> </a:t>
          </a:r>
          <a:r>
            <a:rPr b="1" i="1" lang="en-US" sz="800" spc="-1" strike="noStrike">
              <a:latin typeface="Arial"/>
            </a:rPr>
            <a:t>* Years in business</a:t>
          </a:r>
          <a:endParaRPr b="0" lang="en-US" sz="800" spc="-1" strike="noStrike">
            <a:latin typeface="DejaVu Serif"/>
          </a:endParaRPr>
        </a:p>
        <a:p>
          <a:pPr algn="ctr"/>
          <a:r>
            <a:rPr b="1" i="1" lang="en-US" sz="800" spc="-1" strike="noStrike">
              <a:latin typeface="Arial"/>
            </a:rPr>
            <a:t>  </a:t>
          </a:r>
          <a:r>
            <a:rPr b="1" i="1" lang="en-US" sz="800" spc="-1" strike="noStrike">
              <a:latin typeface="Arial"/>
            </a:rPr>
            <a:t>* Other business affiliations</a:t>
          </a:r>
          <a:endParaRPr b="0" lang="en-US" sz="800" spc="-1" strike="noStrike">
            <a:latin typeface="DejaVu Serif"/>
          </a:endParaRPr>
        </a:p>
        <a:p>
          <a:pPr algn="ctr"/>
          <a:endParaRPr b="0" lang="en-US" sz="800" spc="-1" strike="noStrike">
            <a:latin typeface="DejaVu Serif"/>
          </a:endParaRPr>
        </a:p>
        <a:p>
          <a:pPr algn="ctr"/>
          <a:r>
            <a:rPr b="1" lang="en-US" sz="800" spc="-1" strike="noStrike">
              <a:solidFill>
                <a:srgbClr val="ff0000"/>
              </a:solidFill>
              <a:latin typeface="Arial"/>
            </a:rPr>
            <a:t>Payment Record</a:t>
          </a:r>
          <a:endParaRPr b="0" lang="en-US" sz="800" spc="-1" strike="noStrike">
            <a:latin typeface="DejaVu Serif"/>
          </a:endParaRPr>
        </a:p>
        <a:p>
          <a:pPr algn="ctr"/>
          <a:r>
            <a:rPr b="1" lang="en-US" sz="800" spc="-1" strike="noStrike">
              <a:latin typeface="Arial"/>
            </a:rPr>
            <a:t> </a:t>
          </a:r>
          <a:r>
            <a:rPr b="1" i="1" lang="en-US" sz="800" spc="-1" strike="noStrike">
              <a:latin typeface="Arial"/>
            </a:rPr>
            <a:t> </a:t>
          </a:r>
          <a:r>
            <a:rPr b="1" i="1" lang="en-US" sz="800" spc="-1" strike="noStrike">
              <a:latin typeface="Arial"/>
            </a:rPr>
            <a:t>* Payment record from agency reports</a:t>
          </a:r>
          <a:endParaRPr b="0" lang="en-US" sz="800" spc="-1" strike="noStrike">
            <a:latin typeface="DejaVu Serif"/>
          </a:endParaRPr>
        </a:p>
        <a:p>
          <a:pPr algn="ctr"/>
          <a:r>
            <a:rPr b="1" i="1" lang="en-US" sz="800" spc="-1" strike="noStrike">
              <a:latin typeface="Arial"/>
            </a:rPr>
            <a:t>  </a:t>
          </a:r>
          <a:r>
            <a:rPr b="1" i="1" lang="en-US" sz="800" spc="-1" strike="noStrike">
              <a:latin typeface="Arial"/>
            </a:rPr>
            <a:t>* Payment record with the firm (for existing customers)</a:t>
          </a:r>
          <a:endParaRPr b="0" lang="en-US" sz="800" spc="-1" strike="noStrike">
            <a:latin typeface="DejaVu Serif"/>
          </a:endParaRPr>
        </a:p>
        <a:p>
          <a:pPr algn="ctr"/>
          <a:endParaRPr b="0" lang="en-US" sz="800" spc="-1" strike="noStrike">
            <a:latin typeface="DejaVu Serif"/>
          </a:endParaRPr>
        </a:p>
        <a:p>
          <a:pPr algn="ctr"/>
          <a:r>
            <a:rPr b="1" lang="en-US" sz="800" spc="-1" strike="noStrike">
              <a:solidFill>
                <a:srgbClr val="ff0000"/>
              </a:solidFill>
              <a:latin typeface="Arial"/>
            </a:rPr>
            <a:t>Geographical Location</a:t>
          </a:r>
          <a:endParaRPr b="0" lang="en-US" sz="800" spc="-1" strike="noStrike">
            <a:latin typeface="DejaVu Serif"/>
          </a:endParaRPr>
        </a:p>
        <a:p>
          <a:pPr algn="ctr"/>
          <a:endParaRPr b="0" lang="en-US" sz="800" spc="-1" strike="noStrike">
            <a:latin typeface="DejaVu Serif"/>
          </a:endParaRPr>
        </a:p>
        <a:p>
          <a:pPr algn="ctr"/>
          <a:r>
            <a:rPr b="1" lang="en-US" sz="800" spc="-1" strike="noStrike">
              <a:solidFill>
                <a:srgbClr val="ff0000"/>
              </a:solidFill>
              <a:latin typeface="Arial"/>
            </a:rPr>
            <a:t>Business Potential and Frequency</a:t>
          </a:r>
          <a:endParaRPr b="0" lang="en-US" sz="800" spc="-1" strike="noStrike">
            <a:latin typeface="DejaVu Serif"/>
          </a:endParaRPr>
        </a:p>
        <a:p>
          <a:pPr algn="ctr"/>
          <a:r>
            <a:rPr b="1" i="1" lang="en-US" sz="800" spc="-1" strike="noStrike">
              <a:latin typeface="Arial"/>
            </a:rPr>
            <a:t>  </a:t>
          </a:r>
          <a:r>
            <a:rPr b="1" i="1" lang="en-US" sz="800" spc="-1" strike="noStrike">
              <a:latin typeface="Arial"/>
            </a:rPr>
            <a:t>* Potential to grow</a:t>
          </a:r>
          <a:endParaRPr b="0" lang="en-US" sz="800" spc="-1" strike="noStrike">
            <a:latin typeface="DejaVu Serif"/>
          </a:endParaRPr>
        </a:p>
        <a:p>
          <a:pPr algn="ctr"/>
          <a:r>
            <a:rPr b="1" i="1" lang="en-US" sz="800" spc="-1" strike="noStrike">
              <a:latin typeface="Arial"/>
            </a:rPr>
            <a:t>  </a:t>
          </a:r>
          <a:r>
            <a:rPr b="1" i="1" lang="en-US" sz="800" spc="-1" strike="noStrike">
              <a:latin typeface="Arial"/>
            </a:rPr>
            <a:t>* Customer's market position</a:t>
          </a:r>
          <a:endParaRPr b="0" lang="en-US" sz="800" spc="-1" strike="noStrike">
            <a:latin typeface="DejaVu Serif"/>
          </a:endParaRPr>
        </a:p>
        <a:p>
          <a:pPr algn="ctr"/>
          <a:r>
            <a:rPr b="1" i="1" lang="en-US" sz="800" spc="-1" strike="noStrike">
              <a:latin typeface="Arial"/>
            </a:rPr>
            <a:t>  </a:t>
          </a:r>
          <a:r>
            <a:rPr b="1" i="1" lang="en-US" sz="800" spc="-1" strike="noStrike">
              <a:latin typeface="Arial"/>
            </a:rPr>
            <a:t>* Market for firm's other products</a:t>
          </a:r>
          <a:endParaRPr b="0" lang="en-US" sz="800" spc="-1" strike="noStrike">
            <a:latin typeface="DejaVu Serif"/>
          </a:endParaRPr>
        </a:p>
        <a:p>
          <a:pPr algn="ctr"/>
          <a:r>
            <a:rPr b="1" i="1" lang="en-US" sz="800" spc="-1" strike="noStrike">
              <a:latin typeface="Arial"/>
            </a:rPr>
            <a:t>  </a:t>
          </a:r>
          <a:r>
            <a:rPr b="1" i="1" lang="en-US" sz="800" spc="-1" strike="noStrike">
              <a:latin typeface="Arial"/>
            </a:rPr>
            <a:t>* Frequency of orders</a:t>
          </a:r>
          <a:endParaRPr b="0" lang="en-US" sz="800" spc="-1" strike="noStrike">
            <a:latin typeface="DejaVu Serif"/>
          </a:endParaRPr>
        </a:p>
        <a:p>
          <a:pPr algn="ctr"/>
          <a:endParaRPr b="0" lang="en-US" sz="800" spc="-1" strike="noStrike">
            <a:latin typeface="DejaVu Serif"/>
          </a:endParaRPr>
        </a:p>
        <a:p>
          <a:pPr algn="ctr"/>
          <a:r>
            <a:rPr b="1" lang="en-US" sz="800" spc="-1" strike="noStrike">
              <a:solidFill>
                <a:srgbClr val="ff0000"/>
              </a:solidFill>
              <a:latin typeface="Arial"/>
            </a:rPr>
            <a:t>Financial Soundness</a:t>
          </a:r>
          <a:endParaRPr b="0" lang="en-US" sz="800" spc="-1" strike="noStrike">
            <a:latin typeface="DejaVu Serif"/>
          </a:endParaRPr>
        </a:p>
        <a:p>
          <a:pPr algn="ctr"/>
          <a:r>
            <a:rPr b="1" lang="en-US" sz="800" spc="-1" strike="noStrike">
              <a:latin typeface="Arial"/>
            </a:rPr>
            <a:t> </a:t>
          </a:r>
          <a:r>
            <a:rPr b="1" i="1" lang="en-US" sz="800" spc="-1" strike="noStrike">
              <a:latin typeface="Arial"/>
            </a:rPr>
            <a:t> </a:t>
          </a:r>
          <a:r>
            <a:rPr b="1" i="1" lang="en-US" sz="800" spc="-1" strike="noStrike">
              <a:latin typeface="Arial"/>
            </a:rPr>
            <a:t>*Audited or unaudited statements</a:t>
          </a:r>
          <a:endParaRPr b="0" lang="en-US" sz="800" spc="-1" strike="noStrike">
            <a:latin typeface="DejaVu Serif"/>
          </a:endParaRPr>
        </a:p>
        <a:p>
          <a:pPr algn="ctr"/>
          <a:r>
            <a:rPr b="1" i="1" lang="en-US" sz="800" spc="-1" strike="noStrike">
              <a:latin typeface="Arial"/>
            </a:rPr>
            <a:t>  </a:t>
          </a:r>
          <a:r>
            <a:rPr b="1" i="1" lang="en-US" sz="800" spc="-1" strike="noStrike">
              <a:latin typeface="Arial"/>
            </a:rPr>
            <a:t>* Pro forma or actual performance</a:t>
          </a:r>
          <a:endParaRPr b="0" lang="en-US" sz="800" spc="-1" strike="noStrike">
            <a:latin typeface="DejaVu Serif"/>
          </a:endParaRPr>
        </a:p>
        <a:p>
          <a:pPr algn="ctr"/>
          <a:r>
            <a:rPr b="1" i="1" lang="en-US" sz="800" spc="-1" strike="noStrike">
              <a:latin typeface="Arial"/>
            </a:rPr>
            <a:t>  </a:t>
          </a:r>
          <a:r>
            <a:rPr b="1" i="1" lang="en-US" sz="800" spc="-1" strike="noStrike">
              <a:latin typeface="Arial"/>
            </a:rPr>
            <a:t>* Profitability</a:t>
          </a:r>
          <a:endParaRPr b="0" lang="en-US" sz="800" spc="-1" strike="noStrike">
            <a:latin typeface="DejaVu Serif"/>
          </a:endParaRPr>
        </a:p>
        <a:p>
          <a:pPr algn="ctr"/>
          <a:endParaRPr b="0" lang="en-US" sz="900" spc="-1" strike="noStrike">
            <a:latin typeface="DejaVu Serif"/>
          </a:endParaRPr>
        </a:p>
        <a:p>
          <a:pPr algn="ctr"/>
          <a:endParaRPr b="0" lang="en-US" sz="900" spc="-1" strike="noStrike">
            <a:latin typeface="DejaVu Serif"/>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165240</xdr:colOff>
      <xdr:row>2</xdr:row>
      <xdr:rowOff>19080</xdr:rowOff>
    </xdr:from>
    <xdr:to>
      <xdr:col>7</xdr:col>
      <xdr:colOff>661680</xdr:colOff>
      <xdr:row>6</xdr:row>
      <xdr:rowOff>162000</xdr:rowOff>
    </xdr:to>
    <xdr:sp>
      <xdr:nvSpPr>
        <xdr:cNvPr id="6" name="Text 1"/>
        <xdr:cNvSpPr/>
      </xdr:nvSpPr>
      <xdr:spPr>
        <a:xfrm>
          <a:off x="5558400" y="333360"/>
          <a:ext cx="1198800" cy="75240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800" spc="-1" strike="noStrike">
              <a:solidFill>
                <a:srgbClr val="ffffff"/>
              </a:solidFill>
              <a:latin typeface="Arial"/>
            </a:rPr>
            <a:t>You don't do anything on this sheet. It simply provides information.</a:t>
          </a:r>
          <a:endParaRPr b="0" lang="en-US" sz="800" spc="-1" strike="noStrike">
            <a:latin typeface="DejaVu Serif"/>
          </a:endParaRPr>
        </a:p>
      </xdr:txBody>
    </xdr:sp>
    <xdr:clientData/>
  </xdr:twoCellAnchor>
  <xdr:twoCellAnchor editAs="oneCell">
    <xdr:from>
      <xdr:col>3</xdr:col>
      <xdr:colOff>30960</xdr:colOff>
      <xdr:row>31</xdr:row>
      <xdr:rowOff>66600</xdr:rowOff>
    </xdr:from>
    <xdr:to>
      <xdr:col>6</xdr:col>
      <xdr:colOff>547920</xdr:colOff>
      <xdr:row>44</xdr:row>
      <xdr:rowOff>57240</xdr:rowOff>
    </xdr:to>
    <xdr:sp>
      <xdr:nvSpPr>
        <xdr:cNvPr id="7" name="Text 1"/>
        <xdr:cNvSpPr/>
      </xdr:nvSpPr>
      <xdr:spPr>
        <a:xfrm>
          <a:off x="3317040" y="4848120"/>
          <a:ext cx="2624040" cy="1971720"/>
        </a:xfrm>
        <a:prstGeom prst="rect">
          <a:avLst/>
        </a:prstGeom>
        <a:solidFill>
          <a:srgbClr val="ffffc0"/>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700" spc="-1" strike="noStrike">
              <a:solidFill>
                <a:srgbClr val="0000ff"/>
              </a:solidFill>
              <a:latin typeface="Arial"/>
            </a:rPr>
            <a:t>Insert values in the yellow-shaded cells. </a:t>
          </a:r>
          <a:endParaRPr b="0" lang="en-US" sz="700" spc="-1" strike="noStrike">
            <a:latin typeface="DejaVu Serif"/>
          </a:endParaRPr>
        </a:p>
        <a:p>
          <a:pPr algn="ctr"/>
          <a:endParaRPr b="0" lang="en-US" sz="700" spc="-1" strike="noStrike">
            <a:latin typeface="DejaVu Serif"/>
          </a:endParaRPr>
        </a:p>
        <a:p>
          <a:pPr algn="ctr"/>
          <a:r>
            <a:rPr b="1" lang="en-US" sz="700" spc="-1" strike="noStrike">
              <a:latin typeface="Arial"/>
            </a:rPr>
            <a:t>For example, ask the question of each possible attribute: </a:t>
          </a:r>
          <a:r>
            <a:rPr b="1" i="1" lang="en-US" sz="700" spc="-1" strike="noStrike">
              <a:solidFill>
                <a:srgbClr val="0000ff"/>
              </a:solidFill>
              <a:latin typeface="Arial"/>
            </a:rPr>
            <a:t>"Is the customer's payment record more important in granting credit than in denying credit? If so, what is the relative strength?" </a:t>
          </a:r>
          <a:r>
            <a:rPr b="1" lang="en-US" sz="700" spc="-1" strike="noStrike">
              <a:solidFill>
                <a:srgbClr val="000000"/>
              </a:solidFill>
              <a:latin typeface="Arial"/>
            </a:rPr>
            <a:t>If you believe granting credit has a </a:t>
          </a:r>
          <a:r>
            <a:rPr b="0" i="1" lang="en-US" sz="700" spc="-1" strike="noStrike">
              <a:solidFill>
                <a:srgbClr val="000000"/>
              </a:solidFill>
              <a:latin typeface="Arial"/>
            </a:rPr>
            <a:t>very strong importance </a:t>
          </a:r>
          <a:r>
            <a:rPr b="1" lang="en-US" sz="700" spc="-1" strike="noStrike">
              <a:solidFill>
                <a:srgbClr val="000000"/>
              </a:solidFill>
              <a:latin typeface="Arial"/>
            </a:rPr>
            <a:t>over denying credit, insert </a:t>
          </a:r>
          <a:r>
            <a:rPr b="1" lang="en-US" sz="700" spc="-1" strike="noStrike">
              <a:latin typeface="Arial"/>
            </a:rPr>
            <a:t>7 in cell C26.   </a:t>
          </a:r>
          <a:endParaRPr b="0" lang="en-US" sz="700" spc="-1" strike="noStrike">
            <a:latin typeface="DejaVu Serif"/>
          </a:endParaRPr>
        </a:p>
        <a:p>
          <a:pPr algn="ctr"/>
          <a:endParaRPr b="0" lang="en-US" sz="700" spc="-1" strike="noStrike">
            <a:latin typeface="DejaVu Serif"/>
          </a:endParaRPr>
        </a:p>
        <a:p>
          <a:pPr algn="ctr"/>
          <a:r>
            <a:rPr b="1" lang="en-US" sz="700" spc="-1" strike="noStrike">
              <a:latin typeface="Arial"/>
            </a:rPr>
            <a:t>If you think that geographical location is more important in denying credit than in granting credit, what is the relative importance? If you </a:t>
          </a:r>
          <a:r>
            <a:rPr b="0" i="1" lang="en-US" sz="700" spc="-1" strike="noStrike">
              <a:latin typeface="Arial"/>
            </a:rPr>
            <a:t>slightly favor </a:t>
          </a:r>
          <a:r>
            <a:rPr b="1" lang="en-US" sz="700" spc="-1" strike="noStrike">
              <a:latin typeface="Arial"/>
            </a:rPr>
            <a:t>geographic location in the denying decision as opposed to the granting decision, then insert 0.3333 in cell C27.</a:t>
          </a:r>
          <a:endParaRPr b="0" lang="en-US" sz="700" spc="-1" strike="noStrike">
            <a:latin typeface="DejaVu Serif"/>
          </a:endParaRPr>
        </a:p>
      </xdr:txBody>
    </xdr:sp>
    <xdr:clientData/>
  </xdr:twoCellAnchor>
  <xdr:twoCellAnchor editAs="oneCell">
    <xdr:from>
      <xdr:col>5</xdr:col>
      <xdr:colOff>61560</xdr:colOff>
      <xdr:row>22</xdr:row>
      <xdr:rowOff>28800</xdr:rowOff>
    </xdr:from>
    <xdr:to>
      <xdr:col>7</xdr:col>
      <xdr:colOff>104040</xdr:colOff>
      <xdr:row>24</xdr:row>
      <xdr:rowOff>28800</xdr:rowOff>
    </xdr:to>
    <xdr:sp>
      <xdr:nvSpPr>
        <xdr:cNvPr id="8" name="Text 2"/>
        <xdr:cNvSpPr/>
      </xdr:nvSpPr>
      <xdr:spPr>
        <a:xfrm>
          <a:off x="4752360" y="3419640"/>
          <a:ext cx="1447200" cy="314280"/>
        </a:xfrm>
        <a:prstGeom prst="rect">
          <a:avLst/>
        </a:prstGeom>
        <a:solidFill>
          <a:srgbClr val="c0c0c0"/>
        </a:solidFill>
        <a:ln w="9360">
          <a:solidFill>
            <a:srgbClr val="000000"/>
          </a:solidFill>
          <a:miter/>
        </a:ln>
      </xdr:spPr>
      <xdr:style>
        <a:lnRef idx="0"/>
        <a:fillRef idx="0"/>
        <a:effectRef idx="0"/>
        <a:fontRef idx="minor"/>
      </xdr:style>
      <xdr:txBody>
        <a:bodyPr lIns="20160" rIns="20160" tIns="20160" bIns="20160" anchor="t">
          <a:noAutofit/>
        </a:bodyPr>
        <a:p>
          <a:pPr algn="ctr"/>
          <a:r>
            <a:rPr b="0" lang="en-US" sz="800" spc="-1" strike="noStrike">
              <a:latin typeface="Arial"/>
            </a:rPr>
            <a:t>Strength </a:t>
          </a:r>
          <a:endParaRPr b="0" lang="en-US" sz="800" spc="-1" strike="noStrike">
            <a:latin typeface="DejaVu Serif"/>
          </a:endParaRPr>
        </a:p>
        <a:p>
          <a:pPr algn="ctr"/>
          <a:r>
            <a:rPr b="0" lang="en-US" sz="800" spc="-1" strike="noStrike">
              <a:latin typeface="Arial"/>
            </a:rPr>
            <a:t>   </a:t>
          </a:r>
          <a:r>
            <a:rPr b="0" lang="en-US" sz="800" spc="-1" strike="noStrike">
              <a:latin typeface="Arial"/>
            </a:rPr>
            <a:t>= Deny/(Grant + Deny)</a:t>
          </a:r>
          <a:endParaRPr b="0" lang="en-US" sz="800" spc="-1" strike="noStrike">
            <a:latin typeface="DejaVu Serif"/>
          </a:endParaRPr>
        </a:p>
      </xdr:txBody>
    </xdr:sp>
    <xdr:clientData/>
  </xdr:twoCellAnchor>
  <xdr:twoCellAnchor editAs="oneCell">
    <xdr:from>
      <xdr:col>3</xdr:col>
      <xdr:colOff>30960</xdr:colOff>
      <xdr:row>26</xdr:row>
      <xdr:rowOff>66600</xdr:rowOff>
    </xdr:from>
    <xdr:to>
      <xdr:col>3</xdr:col>
      <xdr:colOff>465840</xdr:colOff>
      <xdr:row>31</xdr:row>
      <xdr:rowOff>85680</xdr:rowOff>
    </xdr:to>
    <xdr:sp>
      <xdr:nvSpPr>
        <xdr:cNvPr id="9" name="Arc 4"/>
        <xdr:cNvSpPr/>
      </xdr:nvSpPr>
      <xdr:spPr>
        <a:xfrm>
          <a:off x="3317040" y="4076640"/>
          <a:ext cx="434880" cy="790560"/>
        </a:xfrm>
        <a:custGeom>
          <a:avLst/>
          <a:gdLst/>
          <a:ahLst/>
          <a:rect l="l" t="t" r="r" b="b"/>
          <a:pathLst>
            <a:path stroke="0" w="10800" h="10800">
              <a:moveTo>
                <a:pt x="10800" y="0"/>
              </a:moveTo>
              <a:arcTo wR="10800" hR="10800" stAng="-5400000" swAng="5400000"/>
              <a:lnTo>
                <a:pt x="10800" y="10800"/>
              </a:lnTo>
              <a:close/>
            </a:path>
            <a:path fill="none" w="10800" h="10800">
              <a:moveTo>
                <a:pt x="10800" y="0"/>
              </a:moveTo>
              <a:arcTo wR="10800" hR="10800" stAng="-5400000" swAng="5400000"/>
            </a:path>
          </a:pathLst>
        </a:custGeom>
        <a:noFill/>
        <a:ln w="9360">
          <a:solidFill>
            <a:srgbClr val="000000"/>
          </a:solidFill>
          <a:miter/>
        </a:ln>
      </xdr:spPr>
      <xdr:style>
        <a:lnRef idx="0"/>
        <a:fillRef idx="0"/>
        <a:effectRef idx="0"/>
        <a:fontRef idx="minor"/>
      </xdr:style>
    </xdr:sp>
    <xdr:clientData/>
  </xdr:twoCellAnchor>
  <xdr:twoCellAnchor editAs="oneCell">
    <xdr:from>
      <xdr:col>5</xdr:col>
      <xdr:colOff>41040</xdr:colOff>
      <xdr:row>26</xdr:row>
      <xdr:rowOff>28440</xdr:rowOff>
    </xdr:from>
    <xdr:to>
      <xdr:col>7</xdr:col>
      <xdr:colOff>351720</xdr:colOff>
      <xdr:row>30</xdr:row>
      <xdr:rowOff>152280</xdr:rowOff>
    </xdr:to>
    <xdr:sp>
      <xdr:nvSpPr>
        <xdr:cNvPr id="10" name="Text 5"/>
        <xdr:cNvSpPr/>
      </xdr:nvSpPr>
      <xdr:spPr>
        <a:xfrm>
          <a:off x="4731840" y="4038480"/>
          <a:ext cx="1715400" cy="74304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700" spc="-1" strike="noStrike">
              <a:solidFill>
                <a:srgbClr val="ffffff"/>
              </a:solidFill>
              <a:latin typeface="Arial"/>
            </a:rPr>
            <a:t>Interpretation:</a:t>
          </a:r>
          <a:endParaRPr b="0" lang="en-US" sz="700" spc="-1" strike="noStrike">
            <a:latin typeface="DejaVu Serif"/>
          </a:endParaRPr>
        </a:p>
        <a:p>
          <a:pPr algn="ctr"/>
          <a:r>
            <a:rPr b="1" lang="en-US" sz="700" spc="-1" strike="noStrike">
              <a:solidFill>
                <a:srgbClr val="ffffff"/>
              </a:solidFill>
              <a:latin typeface="Arial"/>
            </a:rPr>
            <a:t>CB has an 83.3% importance factor for granting credit and a 16.7% importance factor for denying credit if input in C25 = 5.</a:t>
          </a:r>
          <a:endParaRPr b="0" lang="en-US" sz="700" spc="-1" strike="noStrike">
            <a:latin typeface="DejaVu Serif"/>
          </a:endParaRPr>
        </a:p>
      </xdr:txBody>
    </xdr:sp>
    <xdr:clientData/>
  </xdr:twoCellAnchor>
  <xdr:twoCellAnchor editAs="oneCell">
    <xdr:from>
      <xdr:col>4</xdr:col>
      <xdr:colOff>619920</xdr:colOff>
      <xdr:row>24</xdr:row>
      <xdr:rowOff>95400</xdr:rowOff>
    </xdr:from>
    <xdr:to>
      <xdr:col>5</xdr:col>
      <xdr:colOff>631080</xdr:colOff>
      <xdr:row>26</xdr:row>
      <xdr:rowOff>9360</xdr:rowOff>
    </xdr:to>
    <xdr:sp>
      <xdr:nvSpPr>
        <xdr:cNvPr id="11" name="Line 6"/>
        <xdr:cNvSpPr/>
      </xdr:nvSpPr>
      <xdr:spPr>
        <a:xfrm flipH="1" flipV="1">
          <a:off x="4608360" y="3800520"/>
          <a:ext cx="713520" cy="218880"/>
        </a:xfrm>
        <a:prstGeom prst="line">
          <a:avLst/>
        </a:prstGeom>
        <a:ln w="9360">
          <a:solidFill>
            <a:srgbClr val="000000"/>
          </a:solidFill>
          <a:miter/>
          <a:tailEnd len="med" type="triangle" w="med"/>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28440</xdr:rowOff>
    </xdr:from>
    <xdr:to>
      <xdr:col>2</xdr:col>
      <xdr:colOff>21600</xdr:colOff>
      <xdr:row>21</xdr:row>
      <xdr:rowOff>28440</xdr:rowOff>
    </xdr:to>
    <xdr:sp>
      <xdr:nvSpPr>
        <xdr:cNvPr id="12" name="Rectangle 3"/>
        <xdr:cNvSpPr/>
      </xdr:nvSpPr>
      <xdr:spPr>
        <a:xfrm>
          <a:off x="0" y="1704960"/>
          <a:ext cx="2327760" cy="152388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4</xdr:col>
      <xdr:colOff>300600</xdr:colOff>
      <xdr:row>7</xdr:row>
      <xdr:rowOff>114480</xdr:rowOff>
    </xdr:from>
    <xdr:to>
      <xdr:col>6</xdr:col>
      <xdr:colOff>392760</xdr:colOff>
      <xdr:row>12</xdr:row>
      <xdr:rowOff>47520</xdr:rowOff>
    </xdr:to>
    <xdr:sp>
      <xdr:nvSpPr>
        <xdr:cNvPr id="13" name="Text 4"/>
        <xdr:cNvSpPr/>
      </xdr:nvSpPr>
      <xdr:spPr>
        <a:xfrm>
          <a:off x="3932640" y="1181160"/>
          <a:ext cx="1418040" cy="695160"/>
        </a:xfrm>
        <a:prstGeom prst="rect">
          <a:avLst/>
        </a:prstGeom>
        <a:solidFill>
          <a:srgbClr val="ffffc0"/>
        </a:solidFill>
        <a:ln w="9360">
          <a:solidFill>
            <a:srgbClr val="000000"/>
          </a:solidFill>
          <a:miter/>
        </a:ln>
      </xdr:spPr>
      <xdr:style>
        <a:lnRef idx="0"/>
        <a:fillRef idx="0"/>
        <a:effectRef idx="0"/>
        <a:fontRef idx="minor"/>
      </xdr:style>
      <xdr:txBody>
        <a:bodyPr lIns="20160" rIns="20160" tIns="20160" bIns="20160" anchor="t">
          <a:noAutofit/>
        </a:bodyPr>
        <a:p>
          <a:pPr algn="ctr"/>
          <a:endParaRPr b="0" lang="en-US" sz="700" spc="-1" strike="noStrike">
            <a:latin typeface="DejaVu Serif"/>
          </a:endParaRPr>
        </a:p>
        <a:p>
          <a:pPr algn="ctr"/>
          <a:r>
            <a:rPr b="1" lang="en-US" sz="700" spc="-1" strike="noStrike">
              <a:solidFill>
                <a:srgbClr val="0000ff"/>
              </a:solidFill>
              <a:latin typeface="Arial"/>
            </a:rPr>
            <a:t>The only inputs required on this sheet are expected sales and profit margin figures. </a:t>
          </a:r>
          <a:endParaRPr b="0" lang="en-US" sz="700" spc="-1" strike="noStrike">
            <a:latin typeface="DejaVu Serif"/>
          </a:endParaRPr>
        </a:p>
      </xdr:txBody>
    </xdr:sp>
    <xdr:clientData/>
  </xdr:twoCellAnchor>
  <xdr:twoCellAnchor editAs="oneCell">
    <xdr:from>
      <xdr:col>3</xdr:col>
      <xdr:colOff>93240</xdr:colOff>
      <xdr:row>13</xdr:row>
      <xdr:rowOff>47880</xdr:rowOff>
    </xdr:from>
    <xdr:to>
      <xdr:col>5</xdr:col>
      <xdr:colOff>311400</xdr:colOff>
      <xdr:row>18</xdr:row>
      <xdr:rowOff>152280</xdr:rowOff>
    </xdr:to>
    <xdr:sp>
      <xdr:nvSpPr>
        <xdr:cNvPr id="14" name="Text 6"/>
        <xdr:cNvSpPr/>
      </xdr:nvSpPr>
      <xdr:spPr>
        <a:xfrm>
          <a:off x="3062520" y="2028960"/>
          <a:ext cx="1544040" cy="866520"/>
        </a:xfrm>
        <a:prstGeom prst="rect">
          <a:avLst/>
        </a:prstGeom>
        <a:solidFill>
          <a:srgbClr val="e3e3e3"/>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700" spc="-1" strike="noStrike">
              <a:solidFill>
                <a:srgbClr val="0000ff"/>
              </a:solidFill>
              <a:latin typeface="Arial"/>
            </a:rPr>
            <a:t>Note:</a:t>
          </a:r>
          <a:endParaRPr b="0" lang="en-US" sz="700" spc="-1" strike="noStrike">
            <a:latin typeface="DejaVu Serif"/>
          </a:endParaRPr>
        </a:p>
        <a:p>
          <a:pPr algn="ctr"/>
          <a:r>
            <a:rPr b="1" lang="en-US" sz="700" spc="-1" strike="noStrike">
              <a:solidFill>
                <a:srgbClr val="0000ff"/>
              </a:solidFill>
              <a:latin typeface="Arial"/>
            </a:rPr>
            <a:t>The expected net benefit will be negative whenever the "relative weight for denying credit" exceeds the "profit margin" percentage.</a:t>
          </a:r>
          <a:endParaRPr b="0" lang="en-US" sz="700" spc="-1" strike="noStrike">
            <a:latin typeface="DejaVu Serif"/>
          </a:endParaRPr>
        </a:p>
      </xdr:txBody>
    </xdr:sp>
    <xdr:clientData/>
  </xdr:twoCellAnchor>
  <xdr:twoCellAnchor editAs="oneCell">
    <xdr:from>
      <xdr:col>4</xdr:col>
      <xdr:colOff>134640</xdr:colOff>
      <xdr:row>1</xdr:row>
      <xdr:rowOff>28800</xdr:rowOff>
    </xdr:from>
    <xdr:to>
      <xdr:col>6</xdr:col>
      <xdr:colOff>93240</xdr:colOff>
      <xdr:row>3</xdr:row>
      <xdr:rowOff>95400</xdr:rowOff>
    </xdr:to>
    <xdr:sp>
      <xdr:nvSpPr>
        <xdr:cNvPr id="15" name="Text 8"/>
        <xdr:cNvSpPr/>
      </xdr:nvSpPr>
      <xdr:spPr>
        <a:xfrm>
          <a:off x="3766680" y="181080"/>
          <a:ext cx="1284480" cy="371520"/>
        </a:xfrm>
        <a:prstGeom prst="rect">
          <a:avLst/>
        </a:prstGeom>
        <a:solidFill>
          <a:srgbClr val="0000ff"/>
        </a:solidFill>
        <a:ln w="9360">
          <a:solidFill>
            <a:srgbClr val="000000"/>
          </a:solidFill>
          <a:miter/>
        </a:ln>
      </xdr:spPr>
      <xdr:style>
        <a:lnRef idx="0"/>
        <a:fillRef idx="0"/>
        <a:effectRef idx="0"/>
        <a:fontRef idx="minor"/>
      </xdr:style>
      <xdr:txBody>
        <a:bodyPr lIns="20160" rIns="20160" tIns="20160" bIns="20160" anchor="t">
          <a:noAutofit/>
        </a:bodyPr>
        <a:p>
          <a:r>
            <a:rPr b="1" lang="en-US" sz="700" spc="-1" strike="noStrike">
              <a:solidFill>
                <a:srgbClr val="ffffff"/>
              </a:solidFill>
              <a:latin typeface="Arial"/>
            </a:rPr>
            <a:t>Final weight </a:t>
          </a:r>
          <a:endParaRPr b="0" lang="en-US" sz="700" spc="-1" strike="noStrike">
            <a:latin typeface="DejaVu Serif"/>
          </a:endParaRPr>
        </a:p>
        <a:p>
          <a:r>
            <a:rPr b="1" lang="en-US" sz="700" spc="-1" strike="noStrike">
              <a:solidFill>
                <a:srgbClr val="ffffff"/>
              </a:solidFill>
              <a:latin typeface="Arial"/>
            </a:rPr>
            <a:t> </a:t>
          </a:r>
          <a:r>
            <a:rPr b="1" lang="en-US" sz="700" spc="-1" strike="noStrike">
              <a:solidFill>
                <a:srgbClr val="ffffff"/>
              </a:solidFill>
              <a:latin typeface="Arial"/>
            </a:rPr>
            <a:t>= Relative priority </a:t>
          </a:r>
          <a:endParaRPr b="0" lang="en-US" sz="700" spc="-1" strike="noStrike">
            <a:latin typeface="DejaVu Serif"/>
          </a:endParaRPr>
        </a:p>
        <a:p>
          <a:r>
            <a:rPr b="1" lang="en-US" sz="700" spc="-1" strike="noStrike">
              <a:solidFill>
                <a:srgbClr val="ffffff"/>
              </a:solidFill>
              <a:latin typeface="Arial"/>
            </a:rPr>
            <a:t>   </a:t>
          </a:r>
          <a:r>
            <a:rPr b="1" lang="en-US" sz="700" spc="-1" strike="noStrike">
              <a:solidFill>
                <a:srgbClr val="ffffff"/>
              </a:solidFill>
              <a:latin typeface="Arial"/>
            </a:rPr>
            <a:t>x assessed strength</a:t>
          </a:r>
          <a:endParaRPr b="0" lang="en-US" sz="700" spc="-1" strike="noStrike">
            <a:latin typeface="DejaVu Serif"/>
          </a:endParaRPr>
        </a:p>
      </xdr:txBody>
    </xdr:sp>
    <xdr:clientData/>
  </xdr:twoCellAnchor>
  <xdr:twoCellAnchor editAs="oneCell">
    <xdr:from>
      <xdr:col>3</xdr:col>
      <xdr:colOff>558720</xdr:colOff>
      <xdr:row>2</xdr:row>
      <xdr:rowOff>0</xdr:rowOff>
    </xdr:from>
    <xdr:to>
      <xdr:col>4</xdr:col>
      <xdr:colOff>82800</xdr:colOff>
      <xdr:row>2</xdr:row>
      <xdr:rowOff>75960</xdr:rowOff>
    </xdr:to>
    <xdr:sp>
      <xdr:nvSpPr>
        <xdr:cNvPr id="16" name="Arc 9"/>
        <xdr:cNvSpPr/>
      </xdr:nvSpPr>
      <xdr:spPr>
        <a:xfrm flipH="1">
          <a:off x="3528000" y="304920"/>
          <a:ext cx="186840" cy="75960"/>
        </a:xfrm>
        <a:custGeom>
          <a:avLst/>
          <a:gdLst/>
          <a:ahLst/>
          <a:rect l="l" t="t" r="r" b="b"/>
          <a:pathLst>
            <a:path stroke="0" w="10800" h="10800">
              <a:moveTo>
                <a:pt x="10800" y="0"/>
              </a:moveTo>
              <a:arcTo wR="10800" hR="10800" stAng="-5400000" swAng="5400000"/>
              <a:lnTo>
                <a:pt x="10800" y="10800"/>
              </a:lnTo>
              <a:close/>
            </a:path>
            <a:path fill="none" w="10800" h="10800">
              <a:moveTo>
                <a:pt x="10800" y="0"/>
              </a:moveTo>
              <a:arcTo wR="10800" hR="10800" stAng="-5400000" swAng="5400000"/>
            </a:path>
          </a:pathLst>
        </a:custGeom>
        <a:noFill/>
        <a:ln w="9360">
          <a:solidFill>
            <a:srgbClr val="000000"/>
          </a:solidFill>
          <a:miter/>
        </a:ln>
      </xdr:spPr>
      <xdr:style>
        <a:lnRef idx="0"/>
        <a:fillRef idx="0"/>
        <a:effectRef idx="0"/>
        <a:fontRef idx="minor"/>
      </xdr:style>
    </xdr:sp>
    <xdr:clientData/>
  </xdr:twoCellAnchor>
  <xdr:twoCellAnchor editAs="oneCell">
    <xdr:from>
      <xdr:col>6</xdr:col>
      <xdr:colOff>320040</xdr:colOff>
      <xdr:row>7</xdr:row>
      <xdr:rowOff>9360</xdr:rowOff>
    </xdr:from>
    <xdr:to>
      <xdr:col>7</xdr:col>
      <xdr:colOff>259560</xdr:colOff>
      <xdr:row>9</xdr:row>
      <xdr:rowOff>66240</xdr:rowOff>
    </xdr:to>
    <xdr:sp>
      <xdr:nvSpPr>
        <xdr:cNvPr id="17" name="Arc 10"/>
        <xdr:cNvSpPr/>
      </xdr:nvSpPr>
      <xdr:spPr>
        <a:xfrm flipV="1">
          <a:off x="5277960" y="1075680"/>
          <a:ext cx="352440" cy="361800"/>
        </a:xfrm>
        <a:custGeom>
          <a:avLst/>
          <a:gdLst/>
          <a:ahLst/>
          <a:rect l="l" t="t" r="r" b="b"/>
          <a:pathLst>
            <a:path stroke="0" w="10800" h="10800">
              <a:moveTo>
                <a:pt x="10800" y="0"/>
              </a:moveTo>
              <a:arcTo wR="10800" hR="10800" stAng="-5400000" swAng="5400000"/>
              <a:lnTo>
                <a:pt x="10800" y="10800"/>
              </a:lnTo>
              <a:close/>
            </a:path>
            <a:path fill="none" w="10800" h="10800">
              <a:moveTo>
                <a:pt x="10800" y="0"/>
              </a:moveTo>
              <a:arcTo wR="10800" hR="10800" stAng="-5400000" swAng="5400000"/>
            </a:path>
          </a:pathLst>
        </a:custGeom>
        <a:noFill/>
        <a:ln w="9360">
          <a:solidFill>
            <a:srgbClr val="000000"/>
          </a:solidFill>
          <a:miter/>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599040</xdr:colOff>
      <xdr:row>12</xdr:row>
      <xdr:rowOff>114480</xdr:rowOff>
    </xdr:from>
    <xdr:to>
      <xdr:col>6</xdr:col>
      <xdr:colOff>662040</xdr:colOff>
      <xdr:row>16</xdr:row>
      <xdr:rowOff>56880</xdr:rowOff>
    </xdr:to>
    <xdr:sp>
      <xdr:nvSpPr>
        <xdr:cNvPr id="18" name="Text 7"/>
        <xdr:cNvSpPr/>
      </xdr:nvSpPr>
      <xdr:spPr>
        <a:xfrm>
          <a:off x="4371120" y="1943280"/>
          <a:ext cx="2242080" cy="551880"/>
        </a:xfrm>
        <a:prstGeom prst="rect">
          <a:avLst/>
        </a:prstGeom>
        <a:solidFill>
          <a:srgbClr val="ffffc0"/>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700" spc="-1" strike="noStrike">
              <a:latin typeface="Arial"/>
            </a:rPr>
            <a:t>The expected gain or (loss) is the same number as shown on the previous sheet. If a loss is expected to occur, then seek collateral. </a:t>
          </a:r>
          <a:endParaRPr b="0" lang="en-US" sz="700" spc="-1" strike="noStrike">
            <a:latin typeface="DejaVu Serif"/>
          </a:endParaRPr>
        </a:p>
      </xdr:txBody>
    </xdr:sp>
    <xdr:clientData/>
  </xdr:twoCellAnchor>
  <xdr:twoCellAnchor editAs="oneCell">
    <xdr:from>
      <xdr:col>3</xdr:col>
      <xdr:colOff>61920</xdr:colOff>
      <xdr:row>15</xdr:row>
      <xdr:rowOff>0</xdr:rowOff>
    </xdr:from>
    <xdr:to>
      <xdr:col>3</xdr:col>
      <xdr:colOff>527040</xdr:colOff>
      <xdr:row>16</xdr:row>
      <xdr:rowOff>86040</xdr:rowOff>
    </xdr:to>
    <xdr:sp>
      <xdr:nvSpPr>
        <xdr:cNvPr id="19" name="Line 8"/>
        <xdr:cNvSpPr/>
      </xdr:nvSpPr>
      <xdr:spPr>
        <a:xfrm flipH="1">
          <a:off x="3834000" y="2286000"/>
          <a:ext cx="465120" cy="23832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3</xdr:col>
      <xdr:colOff>340920</xdr:colOff>
      <xdr:row>2</xdr:row>
      <xdr:rowOff>0</xdr:rowOff>
    </xdr:from>
    <xdr:to>
      <xdr:col>5</xdr:col>
      <xdr:colOff>651600</xdr:colOff>
      <xdr:row>6</xdr:row>
      <xdr:rowOff>66600</xdr:rowOff>
    </xdr:to>
    <xdr:sp>
      <xdr:nvSpPr>
        <xdr:cNvPr id="20" name="Text 9"/>
        <xdr:cNvSpPr/>
      </xdr:nvSpPr>
      <xdr:spPr>
        <a:xfrm>
          <a:off x="4113000" y="304920"/>
          <a:ext cx="1787400" cy="67608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endParaRPr b="0" lang="en-US" sz="700" spc="-1" strike="noStrike">
            <a:latin typeface="DejaVu Serif"/>
          </a:endParaRPr>
        </a:p>
        <a:p>
          <a:pPr algn="ctr"/>
          <a:r>
            <a:rPr b="1" lang="en-US" sz="700" spc="-1" strike="noStrike">
              <a:solidFill>
                <a:srgbClr val="ffffff"/>
              </a:solidFill>
              <a:latin typeface="Arial"/>
            </a:rPr>
            <a:t>You don't make any inputs on this sheet. The information comes automatically from the previous sheet.</a:t>
          </a:r>
          <a:endParaRPr b="0" lang="en-US" sz="700" spc="-1" strike="noStrike">
            <a:latin typeface="DejaVu Serif"/>
          </a:endParaRPr>
        </a:p>
        <a:p>
          <a:pPr algn="ctr"/>
          <a:endParaRPr b="0" lang="en-US" sz="700" spc="-1" strike="noStrike">
            <a:latin typeface="DejaVu Serif"/>
          </a:endParaRPr>
        </a:p>
      </xdr:txBody>
    </xdr:sp>
    <xdr:clientData/>
  </xdr:twoCellAnchor>
  <xdr:twoCellAnchor editAs="oneCell">
    <xdr:from>
      <xdr:col>0</xdr:col>
      <xdr:colOff>238680</xdr:colOff>
      <xdr:row>39</xdr:row>
      <xdr:rowOff>95040</xdr:rowOff>
    </xdr:from>
    <xdr:to>
      <xdr:col>6</xdr:col>
      <xdr:colOff>496440</xdr:colOff>
      <xdr:row>43</xdr:row>
      <xdr:rowOff>76320</xdr:rowOff>
    </xdr:to>
    <xdr:sp>
      <xdr:nvSpPr>
        <xdr:cNvPr id="21" name="Text 10"/>
        <xdr:cNvSpPr/>
      </xdr:nvSpPr>
      <xdr:spPr>
        <a:xfrm>
          <a:off x="238680" y="6076800"/>
          <a:ext cx="6208920" cy="59076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endParaRPr b="0" lang="en-US" sz="700" spc="-1" strike="noStrike">
            <a:latin typeface="DejaVu Serif"/>
          </a:endParaRPr>
        </a:p>
        <a:p>
          <a:pPr algn="ctr"/>
          <a:r>
            <a:rPr b="1" lang="en-US" sz="700" spc="-1" strike="noStrike">
              <a:solidFill>
                <a:srgbClr val="ffffff"/>
              </a:solidFill>
              <a:latin typeface="Arial"/>
            </a:rPr>
            <a:t>The amount of collateral is derived from a complex formula that considers the expected sales, the contribution margin %, the relative weights for granting and denying credit, and the expected profit that can be realized from the liquidation of the collateral. </a:t>
          </a:r>
          <a:endParaRPr b="0" lang="en-US" sz="700" spc="-1" strike="noStrike">
            <a:latin typeface="DejaVu Serif"/>
          </a:endParaRP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5:E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328125" defaultRowHeight="12.75" zeroHeight="false" outlineLevelRow="0" outlineLevelCol="0"/>
  <cols>
    <col collapsed="false" customWidth="false" hidden="false" outlineLevel="0" max="257" min="1" style="1" width="9.13"/>
  </cols>
  <sheetData>
    <row r="25" customFormat="false" ht="15" hidden="false" customHeight="false" outlineLevel="0" collapsed="false">
      <c r="C25" s="2"/>
    </row>
    <row r="43" customFormat="false" ht="12.75" hidden="false" customHeight="false" outlineLevel="0" collapsed="false">
      <c r="B43" s="3" t="s">
        <v>0</v>
      </c>
    </row>
    <row r="44" customFormat="false" ht="12.75" hidden="false" customHeight="false" outlineLevel="0" collapsed="false">
      <c r="C44" s="4" t="s">
        <v>1</v>
      </c>
      <c r="E44" s="5"/>
    </row>
    <row r="48" customFormat="false" ht="12.75" hidden="false" customHeight="false" outlineLevel="0" collapsed="false">
      <c r="D48" s="6"/>
    </row>
  </sheetData>
  <sheetProtection sheet="true" password="da31"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9.16015625" defaultRowHeight="12" zeroHeight="false" outlineLevelRow="0" outlineLevelCol="0"/>
  <cols>
    <col collapsed="false" customWidth="true" hidden="false" outlineLevel="0" max="1" min="1" style="0" width="26.7"/>
  </cols>
  <sheetData>
    <row r="1" customFormat="false" ht="12" hidden="false" customHeight="false" outlineLevel="0" collapsed="false">
      <c r="A1" s="7" t="s">
        <v>2</v>
      </c>
      <c r="B1" s="8"/>
    </row>
    <row r="2" customFormat="false" ht="12.75" hidden="false" customHeight="false" outlineLevel="0" collapsed="false">
      <c r="A2" s="9"/>
      <c r="B2" s="10" t="s">
        <v>3</v>
      </c>
      <c r="C2" s="10" t="s">
        <v>4</v>
      </c>
      <c r="D2" s="10" t="s">
        <v>5</v>
      </c>
      <c r="E2" s="10" t="s">
        <v>6</v>
      </c>
      <c r="F2" s="10" t="s">
        <v>7</v>
      </c>
    </row>
    <row r="3" customFormat="false" ht="12" hidden="false" customHeight="false" outlineLevel="0" collapsed="false">
      <c r="A3" s="11" t="s">
        <v>8</v>
      </c>
      <c r="B3" s="12" t="n">
        <v>1</v>
      </c>
      <c r="C3" s="13" t="n">
        <f aca="false">1/B4</f>
        <v>0.2</v>
      </c>
      <c r="D3" s="13" t="n">
        <f aca="false">1/B5</f>
        <v>7</v>
      </c>
      <c r="E3" s="13" t="n">
        <f aca="false">1/B6</f>
        <v>3</v>
      </c>
      <c r="F3" s="14" t="n">
        <f aca="false">1/B7</f>
        <v>0.111111111111111</v>
      </c>
      <c r="G3" s="15"/>
    </row>
    <row r="4" customFormat="false" ht="12" hidden="false" customHeight="false" outlineLevel="0" collapsed="false">
      <c r="A4" s="11" t="s">
        <v>9</v>
      </c>
      <c r="B4" s="16" t="n">
        <v>5</v>
      </c>
      <c r="C4" s="17" t="n">
        <v>1</v>
      </c>
      <c r="D4" s="18" t="n">
        <f aca="false">1/C5</f>
        <v>7</v>
      </c>
      <c r="E4" s="18" t="n">
        <f aca="false">1/C6</f>
        <v>2</v>
      </c>
      <c r="F4" s="19" t="n">
        <f aca="false">1/C7</f>
        <v>0.5</v>
      </c>
      <c r="G4" s="15"/>
    </row>
    <row r="5" customFormat="false" ht="12" hidden="false" customHeight="false" outlineLevel="0" collapsed="false">
      <c r="A5" s="11" t="s">
        <v>10</v>
      </c>
      <c r="B5" s="16" t="n">
        <f aca="false">1/7</f>
        <v>0.142857142857143</v>
      </c>
      <c r="C5" s="20" t="n">
        <v>0.142857142857143</v>
      </c>
      <c r="D5" s="17" t="n">
        <v>1</v>
      </c>
      <c r="E5" s="18" t="n">
        <f aca="false">1/D6</f>
        <v>0.2</v>
      </c>
      <c r="F5" s="19" t="n">
        <f aca="false">1/D7</f>
        <v>0.111111111111111</v>
      </c>
      <c r="G5" s="15"/>
    </row>
    <row r="6" customFormat="false" ht="12" hidden="false" customHeight="false" outlineLevel="0" collapsed="false">
      <c r="A6" s="11" t="s">
        <v>11</v>
      </c>
      <c r="B6" s="16" t="n">
        <f aca="false">1/3</f>
        <v>0.333333333333333</v>
      </c>
      <c r="C6" s="20" t="n">
        <v>0.5</v>
      </c>
      <c r="D6" s="20" t="n">
        <v>5</v>
      </c>
      <c r="E6" s="17" t="n">
        <v>1</v>
      </c>
      <c r="F6" s="19" t="n">
        <f aca="false">1/E7</f>
        <v>0.2</v>
      </c>
      <c r="G6" s="15"/>
    </row>
    <row r="7" customFormat="false" ht="12.75" hidden="false" customHeight="false" outlineLevel="0" collapsed="false">
      <c r="A7" s="11" t="s">
        <v>12</v>
      </c>
      <c r="B7" s="21" t="n">
        <v>9</v>
      </c>
      <c r="C7" s="22" t="n">
        <v>2</v>
      </c>
      <c r="D7" s="22" t="n">
        <v>9</v>
      </c>
      <c r="E7" s="22" t="n">
        <v>5</v>
      </c>
      <c r="F7" s="23" t="n">
        <v>1</v>
      </c>
      <c r="G7" s="15"/>
    </row>
    <row r="8" customFormat="false" ht="12" hidden="false" customHeight="false" outlineLevel="0" collapsed="false">
      <c r="A8" s="24"/>
    </row>
    <row r="9" customFormat="false" ht="12" hidden="false" customHeight="false" outlineLevel="0" collapsed="false">
      <c r="A9" s="25" t="s">
        <v>13</v>
      </c>
      <c r="B9" s="25" t="s">
        <v>14</v>
      </c>
      <c r="C9" s="25" t="s">
        <v>15</v>
      </c>
    </row>
    <row r="10" customFormat="false" ht="12" hidden="false" customHeight="false" outlineLevel="0" collapsed="false">
      <c r="A10" s="26" t="s">
        <v>16</v>
      </c>
      <c r="B10" s="27" t="n">
        <v>1</v>
      </c>
      <c r="C10" s="28" t="n">
        <f aca="false">1/B10</f>
        <v>1</v>
      </c>
    </row>
    <row r="11" customFormat="false" ht="12" hidden="false" customHeight="false" outlineLevel="0" collapsed="false">
      <c r="A11" s="29" t="s">
        <v>17</v>
      </c>
      <c r="B11" s="27" t="n">
        <v>2</v>
      </c>
      <c r="C11" s="28" t="n">
        <f aca="false">1/B11</f>
        <v>0.5</v>
      </c>
    </row>
    <row r="12" customFormat="false" ht="12" hidden="false" customHeight="false" outlineLevel="0" collapsed="false">
      <c r="A12" s="26" t="s">
        <v>18</v>
      </c>
      <c r="B12" s="27" t="n">
        <v>3</v>
      </c>
      <c r="C12" s="28" t="n">
        <f aca="false">1/B12</f>
        <v>0.333333333333333</v>
      </c>
    </row>
    <row r="13" customFormat="false" ht="12" hidden="false" customHeight="false" outlineLevel="0" collapsed="false">
      <c r="A13" s="29" t="s">
        <v>17</v>
      </c>
      <c r="B13" s="27" t="n">
        <v>4</v>
      </c>
      <c r="C13" s="28" t="n">
        <f aca="false">1/B13</f>
        <v>0.25</v>
      </c>
    </row>
    <row r="14" customFormat="false" ht="12" hidden="false" customHeight="false" outlineLevel="0" collapsed="false">
      <c r="A14" s="26" t="s">
        <v>19</v>
      </c>
      <c r="B14" s="27" t="n">
        <v>5</v>
      </c>
      <c r="C14" s="28" t="n">
        <f aca="false">1/B14</f>
        <v>0.2</v>
      </c>
    </row>
    <row r="15" customFormat="false" ht="12" hidden="false" customHeight="false" outlineLevel="0" collapsed="false">
      <c r="A15" s="29" t="s">
        <v>17</v>
      </c>
      <c r="B15" s="27" t="n">
        <v>6</v>
      </c>
      <c r="C15" s="28" t="n">
        <f aca="false">1/B15</f>
        <v>0.166666666666667</v>
      </c>
    </row>
    <row r="16" customFormat="false" ht="12" hidden="false" customHeight="false" outlineLevel="0" collapsed="false">
      <c r="A16" s="26" t="s">
        <v>20</v>
      </c>
      <c r="B16" s="27" t="n">
        <v>7</v>
      </c>
      <c r="C16" s="28" t="n">
        <f aca="false">1/B16</f>
        <v>0.142857142857143</v>
      </c>
    </row>
    <row r="17" customFormat="false" ht="12" hidden="false" customHeight="false" outlineLevel="0" collapsed="false">
      <c r="A17" s="29" t="s">
        <v>17</v>
      </c>
      <c r="B17" s="27" t="n">
        <v>8</v>
      </c>
      <c r="C17" s="28" t="n">
        <f aca="false">1/B17</f>
        <v>0.125</v>
      </c>
    </row>
    <row r="18" customFormat="false" ht="12" hidden="false" customHeight="false" outlineLevel="0" collapsed="false">
      <c r="A18" s="26" t="s">
        <v>21</v>
      </c>
      <c r="B18" s="27" t="n">
        <v>9</v>
      </c>
      <c r="C18" s="28" t="n">
        <f aca="false">1/B18</f>
        <v>0.111111111111111</v>
      </c>
    </row>
  </sheetData>
  <sheetProtection sheet="true" password="da31" objects="true" scenarios="true"/>
  <printOptions headings="true" gridLines="true" gridLinesSet="true" horizontalCentered="tru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21" colorId="64" zoomScale="100" zoomScaleNormal="100" zoomScalePageLayoutView="100" workbookViewId="0">
      <selection pane="topLeft" activeCell="D30" activeCellId="0" sqref="D30"/>
    </sheetView>
  </sheetViews>
  <sheetFormatPr defaultColWidth="9.16015625" defaultRowHeight="12" zeroHeight="false" outlineLevelRow="0" outlineLevelCol="0"/>
  <cols>
    <col collapsed="false" customWidth="true" hidden="false" outlineLevel="0" max="1" min="1" style="0" width="25.99"/>
    <col collapsed="false" customWidth="true" hidden="false" outlineLevel="0" max="8" min="2" style="0" width="9.7"/>
  </cols>
  <sheetData>
    <row r="1" customFormat="false" ht="12" hidden="false" customHeight="false" outlineLevel="0" collapsed="false">
      <c r="A1" s="30" t="s">
        <v>22</v>
      </c>
      <c r="B1" s="31"/>
      <c r="C1" s="31"/>
      <c r="D1" s="9"/>
      <c r="E1" s="9"/>
      <c r="F1" s="9"/>
      <c r="G1" s="9"/>
      <c r="H1" s="9"/>
    </row>
    <row r="2" customFormat="false" ht="12.75" hidden="false" customHeight="false" outlineLevel="0" collapsed="false">
      <c r="A2" s="9"/>
      <c r="B2" s="32" t="str">
        <f aca="false">'Assigning Weights'!B2</f>
        <v>CB</v>
      </c>
      <c r="C2" s="32" t="str">
        <f aca="false">'Assigning Weights'!C2</f>
        <v>PR</v>
      </c>
      <c r="D2" s="32" t="str">
        <f aca="false">'Assigning Weights'!D2</f>
        <v>GL</v>
      </c>
      <c r="E2" s="32" t="str">
        <f aca="false">'Assigning Weights'!E2</f>
        <v>BP</v>
      </c>
      <c r="F2" s="32" t="str">
        <f aca="false">'Assigning Weights'!F2</f>
        <v>FS</v>
      </c>
      <c r="G2" s="9"/>
      <c r="H2" s="9"/>
    </row>
    <row r="3" customFormat="false" ht="12" hidden="false" customHeight="false" outlineLevel="0" collapsed="false">
      <c r="A3" s="11" t="str">
        <f aca="false">'Assigning Weights'!A3</f>
        <v>Customer background (CB)</v>
      </c>
      <c r="B3" s="33" t="n">
        <f aca="false">'Assigning Weights'!B3</f>
        <v>1</v>
      </c>
      <c r="C3" s="34" t="n">
        <f aca="false">'Assigning Weights'!C3</f>
        <v>0.2</v>
      </c>
      <c r="D3" s="34" t="n">
        <f aca="false">'Assigning Weights'!D3</f>
        <v>7</v>
      </c>
      <c r="E3" s="34" t="n">
        <f aca="false">'Assigning Weights'!E3</f>
        <v>3</v>
      </c>
      <c r="F3" s="35" t="n">
        <f aca="false">'Assigning Weights'!F3</f>
        <v>0.111111111111111</v>
      </c>
      <c r="G3" s="36"/>
      <c r="H3" s="36"/>
    </row>
    <row r="4" customFormat="false" ht="12" hidden="false" customHeight="false" outlineLevel="0" collapsed="false">
      <c r="A4" s="11" t="str">
        <f aca="false">'Assigning Weights'!A4</f>
        <v>Payment record (PR)</v>
      </c>
      <c r="B4" s="37" t="n">
        <f aca="false">'Assigning Weights'!B4</f>
        <v>5</v>
      </c>
      <c r="C4" s="38" t="n">
        <f aca="false">'Assigning Weights'!C4</f>
        <v>1</v>
      </c>
      <c r="D4" s="39" t="n">
        <f aca="false">'Assigning Weights'!D4</f>
        <v>7</v>
      </c>
      <c r="E4" s="39" t="n">
        <f aca="false">'Assigning Weights'!E4</f>
        <v>2</v>
      </c>
      <c r="F4" s="40" t="n">
        <f aca="false">'Assigning Weights'!F4</f>
        <v>0.5</v>
      </c>
      <c r="G4" s="36"/>
      <c r="H4" s="36"/>
    </row>
    <row r="5" customFormat="false" ht="12" hidden="false" customHeight="false" outlineLevel="0" collapsed="false">
      <c r="A5" s="11" t="str">
        <f aca="false">'Assigning Weights'!A5</f>
        <v>Geographical location (GL)</v>
      </c>
      <c r="B5" s="37" t="n">
        <f aca="false">'Assigning Weights'!B5</f>
        <v>0.142857142857143</v>
      </c>
      <c r="C5" s="41" t="n">
        <f aca="false">'Assigning Weights'!C5</f>
        <v>0.142857142857143</v>
      </c>
      <c r="D5" s="39" t="n">
        <f aca="false">'Assigning Weights'!D5</f>
        <v>1</v>
      </c>
      <c r="E5" s="39" t="n">
        <f aca="false">'Assigning Weights'!E5</f>
        <v>0.2</v>
      </c>
      <c r="F5" s="40" t="n">
        <f aca="false">'Assigning Weights'!F5</f>
        <v>0.111111111111111</v>
      </c>
      <c r="G5" s="36"/>
      <c r="H5" s="36"/>
    </row>
    <row r="6" customFormat="false" ht="12" hidden="false" customHeight="false" outlineLevel="0" collapsed="false">
      <c r="A6" s="11" t="str">
        <f aca="false">'Assigning Weights'!A6</f>
        <v>Business potential (BP)</v>
      </c>
      <c r="B6" s="37" t="n">
        <f aca="false">'Assigning Weights'!B6</f>
        <v>0.333333333333333</v>
      </c>
      <c r="C6" s="41" t="n">
        <f aca="false">'Assigning Weights'!C6</f>
        <v>0.5</v>
      </c>
      <c r="D6" s="41" t="n">
        <f aca="false">'Assigning Weights'!D6</f>
        <v>5</v>
      </c>
      <c r="E6" s="39" t="n">
        <f aca="false">'Assigning Weights'!E6</f>
        <v>1</v>
      </c>
      <c r="F6" s="40" t="n">
        <f aca="false">'Assigning Weights'!F6</f>
        <v>0.2</v>
      </c>
      <c r="G6" s="36"/>
      <c r="H6" s="36"/>
    </row>
    <row r="7" customFormat="false" ht="12.75" hidden="false" customHeight="false" outlineLevel="0" collapsed="false">
      <c r="A7" s="11" t="str">
        <f aca="false">'Assigning Weights'!A7</f>
        <v>Financial soundness (FS)</v>
      </c>
      <c r="B7" s="42" t="n">
        <f aca="false">'Assigning Weights'!B7</f>
        <v>9</v>
      </c>
      <c r="C7" s="43" t="n">
        <f aca="false">'Assigning Weights'!C7</f>
        <v>2</v>
      </c>
      <c r="D7" s="43" t="n">
        <f aca="false">'Assigning Weights'!D7</f>
        <v>9</v>
      </c>
      <c r="E7" s="43" t="n">
        <f aca="false">'Assigning Weights'!E7</f>
        <v>5</v>
      </c>
      <c r="F7" s="44" t="n">
        <f aca="false">'Assigning Weights'!F7</f>
        <v>1</v>
      </c>
      <c r="G7" s="36"/>
      <c r="H7" s="36"/>
    </row>
    <row r="8" customFormat="false" ht="12" hidden="false" customHeight="false" outlineLevel="0" collapsed="false">
      <c r="A8" s="45" t="s">
        <v>23</v>
      </c>
      <c r="B8" s="46" t="n">
        <f aca="false">SUM(B3:B7)</f>
        <v>15.4761904761905</v>
      </c>
      <c r="C8" s="46" t="n">
        <f aca="false">SUM(C3:C7)</f>
        <v>3.84285714285714</v>
      </c>
      <c r="D8" s="46" t="n">
        <f aca="false">SUM(D3:D7)</f>
        <v>29</v>
      </c>
      <c r="E8" s="46" t="n">
        <f aca="false">SUM(E3:E7)</f>
        <v>11.2</v>
      </c>
      <c r="F8" s="46" t="n">
        <f aca="false">SUM(F3:F7)</f>
        <v>1.92222222222222</v>
      </c>
      <c r="G8" s="36"/>
      <c r="H8" s="36"/>
    </row>
    <row r="9" customFormat="false" ht="12" hidden="false" customHeight="false" outlineLevel="0" collapsed="false">
      <c r="A9" s="11"/>
      <c r="B9" s="26"/>
      <c r="C9" s="26"/>
      <c r="D9" s="26"/>
      <c r="E9" s="26"/>
      <c r="F9" s="26"/>
      <c r="G9" s="36"/>
      <c r="H9" s="36"/>
    </row>
    <row r="10" customFormat="false" ht="12" hidden="false" customHeight="false" outlineLevel="0" collapsed="false">
      <c r="A10" s="25" t="s">
        <v>24</v>
      </c>
      <c r="B10" s="26"/>
      <c r="C10" s="26"/>
      <c r="D10" s="26"/>
      <c r="E10" s="26"/>
      <c r="F10" s="26"/>
      <c r="G10" s="36"/>
      <c r="H10" s="36"/>
    </row>
    <row r="11" customFormat="false" ht="12.75" hidden="false" customHeight="false" outlineLevel="0" collapsed="false">
      <c r="A11" s="11"/>
      <c r="B11" s="32" t="str">
        <f aca="false">B2</f>
        <v>CB</v>
      </c>
      <c r="C11" s="32" t="str">
        <f aca="false">C2</f>
        <v>PR</v>
      </c>
      <c r="D11" s="32" t="str">
        <f aca="false">D2</f>
        <v>GL</v>
      </c>
      <c r="E11" s="32" t="str">
        <f aca="false">E2</f>
        <v>BP</v>
      </c>
      <c r="F11" s="32" t="str">
        <f aca="false">F2</f>
        <v>FS</v>
      </c>
      <c r="G11" s="25" t="s">
        <v>25</v>
      </c>
      <c r="H11" s="47" t="s">
        <v>26</v>
      </c>
    </row>
    <row r="12" customFormat="false" ht="12" hidden="false" customHeight="false" outlineLevel="0" collapsed="false">
      <c r="A12" s="11" t="str">
        <f aca="false">A3</f>
        <v>Customer background (CB)</v>
      </c>
      <c r="B12" s="33" t="n">
        <f aca="false">B3/B$8</f>
        <v>0.0646153846153846</v>
      </c>
      <c r="C12" s="48" t="n">
        <f aca="false">C3/C$8</f>
        <v>0.0520446096654275</v>
      </c>
      <c r="D12" s="48" t="n">
        <f aca="false">D3/D$8</f>
        <v>0.241379310344828</v>
      </c>
      <c r="E12" s="48" t="n">
        <f aca="false">E3/E$8</f>
        <v>0.267857142857143</v>
      </c>
      <c r="F12" s="49" t="n">
        <f aca="false">F3/F$8</f>
        <v>0.0578034682080925</v>
      </c>
      <c r="G12" s="28" t="n">
        <f aca="false">SUM(B12:F12)</f>
        <v>0.683699915690875</v>
      </c>
      <c r="H12" s="50" t="n">
        <f aca="false">G12/5</f>
        <v>0.136739983138175</v>
      </c>
    </row>
    <row r="13" customFormat="false" ht="12" hidden="false" customHeight="false" outlineLevel="0" collapsed="false">
      <c r="A13" s="11" t="str">
        <f aca="false">A4</f>
        <v>Payment record (PR)</v>
      </c>
      <c r="B13" s="51" t="n">
        <f aca="false">B4/B$8</f>
        <v>0.323076923076923</v>
      </c>
      <c r="C13" s="38" t="n">
        <f aca="false">C4/C$8</f>
        <v>0.260223048327138</v>
      </c>
      <c r="D13" s="38" t="n">
        <f aca="false">D4/D$8</f>
        <v>0.241379310344828</v>
      </c>
      <c r="E13" s="38" t="n">
        <f aca="false">E4/E$8</f>
        <v>0.178571428571429</v>
      </c>
      <c r="F13" s="52" t="n">
        <f aca="false">F4/F$8</f>
        <v>0.260115606936416</v>
      </c>
      <c r="G13" s="28" t="n">
        <f aca="false">SUM(B13:F13)</f>
        <v>1.26336631725673</v>
      </c>
      <c r="H13" s="50" t="n">
        <f aca="false">G13/5</f>
        <v>0.252673263451347</v>
      </c>
    </row>
    <row r="14" customFormat="false" ht="12" hidden="false" customHeight="false" outlineLevel="0" collapsed="false">
      <c r="A14" s="11" t="str">
        <f aca="false">A5</f>
        <v>Geographical location (GL)</v>
      </c>
      <c r="B14" s="51" t="n">
        <f aca="false">B5/B$8</f>
        <v>0.00923076923076923</v>
      </c>
      <c r="C14" s="38" t="n">
        <f aca="false">C5/C$8</f>
        <v>0.0371747211895911</v>
      </c>
      <c r="D14" s="38" t="n">
        <f aca="false">D5/D$8</f>
        <v>0.0344827586206897</v>
      </c>
      <c r="E14" s="38" t="n">
        <f aca="false">E5/E$8</f>
        <v>0.0178571428571429</v>
      </c>
      <c r="F14" s="52" t="n">
        <f aca="false">F5/F$8</f>
        <v>0.0578034682080925</v>
      </c>
      <c r="G14" s="28" t="n">
        <f aca="false">SUM(B14:F14)</f>
        <v>0.156548860106285</v>
      </c>
      <c r="H14" s="50" t="n">
        <f aca="false">G14/5</f>
        <v>0.0313097720212571</v>
      </c>
    </row>
    <row r="15" customFormat="false" ht="12" hidden="false" customHeight="false" outlineLevel="0" collapsed="false">
      <c r="A15" s="11" t="str">
        <f aca="false">A6</f>
        <v>Business potential (BP)</v>
      </c>
      <c r="B15" s="51" t="n">
        <f aca="false">B6/B$8</f>
        <v>0.0215384615384615</v>
      </c>
      <c r="C15" s="38" t="n">
        <f aca="false">C6/C$8</f>
        <v>0.130111524163569</v>
      </c>
      <c r="D15" s="38" t="n">
        <f aca="false">D6/D$8</f>
        <v>0.172413793103448</v>
      </c>
      <c r="E15" s="38" t="n">
        <f aca="false">E6/E$8</f>
        <v>0.0892857142857143</v>
      </c>
      <c r="F15" s="52" t="n">
        <f aca="false">F6/F$8</f>
        <v>0.104046242774566</v>
      </c>
      <c r="G15" s="28" t="n">
        <f aca="false">SUM(B15:F15)</f>
        <v>0.517395735865759</v>
      </c>
      <c r="H15" s="50" t="n">
        <f aca="false">G15/5</f>
        <v>0.103479147173152</v>
      </c>
    </row>
    <row r="16" customFormat="false" ht="12.75" hidden="false" customHeight="false" outlineLevel="0" collapsed="false">
      <c r="A16" s="11" t="str">
        <f aca="false">A7</f>
        <v>Financial soundness (FS)</v>
      </c>
      <c r="B16" s="53" t="n">
        <f aca="false">B7/B$8</f>
        <v>0.581538461538462</v>
      </c>
      <c r="C16" s="54" t="n">
        <f aca="false">C7/C$8</f>
        <v>0.520446096654275</v>
      </c>
      <c r="D16" s="54" t="n">
        <f aca="false">D7/D$8</f>
        <v>0.310344827586207</v>
      </c>
      <c r="E16" s="54" t="n">
        <f aca="false">E7/E$8</f>
        <v>0.446428571428571</v>
      </c>
      <c r="F16" s="55" t="n">
        <f aca="false">F7/F$8</f>
        <v>0.520231213872832</v>
      </c>
      <c r="G16" s="28" t="n">
        <f aca="false">SUM(B16:F16)</f>
        <v>2.37898917108035</v>
      </c>
      <c r="H16" s="50" t="n">
        <f aca="false">G16/5</f>
        <v>0.475797834216069</v>
      </c>
    </row>
    <row r="17" customFormat="false" ht="12" hidden="false" customHeight="false" outlineLevel="0" collapsed="false">
      <c r="A17" s="45" t="s">
        <v>23</v>
      </c>
      <c r="B17" s="46" t="n">
        <f aca="false">SUM(B12:B16)</f>
        <v>1</v>
      </c>
      <c r="C17" s="46" t="n">
        <f aca="false">SUM(C12:C16)</f>
        <v>1</v>
      </c>
      <c r="D17" s="46" t="n">
        <f aca="false">SUM(D12:D16)</f>
        <v>1</v>
      </c>
      <c r="E17" s="46" t="n">
        <f aca="false">SUM(E12:E16)</f>
        <v>1</v>
      </c>
      <c r="F17" s="46" t="n">
        <f aca="false">SUM(F12:F16)</f>
        <v>1</v>
      </c>
      <c r="G17" s="28"/>
      <c r="H17" s="50" t="n">
        <f aca="false">SUM(H12:H16)</f>
        <v>1</v>
      </c>
    </row>
    <row r="18" customFormat="false" ht="12" hidden="false" customHeight="false" outlineLevel="0" collapsed="false">
      <c r="A18" s="9"/>
      <c r="B18" s="9"/>
      <c r="C18" s="9"/>
      <c r="D18" s="9"/>
      <c r="E18" s="9"/>
      <c r="F18" s="9"/>
      <c r="G18" s="9"/>
      <c r="H18" s="9"/>
    </row>
    <row r="19" customFormat="false" ht="12" hidden="false" customHeight="false" outlineLevel="0" collapsed="false">
      <c r="A19" s="9"/>
      <c r="B19" s="9"/>
      <c r="C19" s="9"/>
      <c r="D19" s="9"/>
      <c r="E19" s="9"/>
      <c r="F19" s="9"/>
      <c r="G19" s="9"/>
      <c r="H19" s="9"/>
    </row>
    <row r="21" customFormat="false" ht="12" hidden="false" customHeight="false" outlineLevel="0" collapsed="false">
      <c r="A21" s="30" t="s">
        <v>27</v>
      </c>
      <c r="B21" s="56"/>
      <c r="C21" s="36"/>
      <c r="D21" s="57"/>
      <c r="E21" s="57"/>
      <c r="F21" s="57"/>
      <c r="G21" s="57"/>
      <c r="H21" s="57"/>
    </row>
    <row r="22" customFormat="false" ht="12" hidden="false" customHeight="false" outlineLevel="0" collapsed="false">
      <c r="A22" s="58"/>
      <c r="B22" s="59"/>
      <c r="C22" s="36"/>
      <c r="D22" s="57"/>
      <c r="E22" s="57"/>
      <c r="F22" s="57"/>
      <c r="G22" s="57"/>
      <c r="H22" s="57"/>
    </row>
    <row r="23" customFormat="false" ht="12" hidden="false" customHeight="false" outlineLevel="0" collapsed="false">
      <c r="A23" s="60"/>
      <c r="B23" s="61" t="s">
        <v>28</v>
      </c>
      <c r="C23" s="32" t="s">
        <v>29</v>
      </c>
      <c r="D23" s="62"/>
      <c r="E23" s="57"/>
      <c r="F23" s="57"/>
      <c r="G23" s="57"/>
      <c r="H23" s="57"/>
    </row>
    <row r="24" customFormat="false" ht="12.75" hidden="false" customHeight="false" outlineLevel="0" collapsed="false">
      <c r="A24" s="36"/>
      <c r="B24" s="32" t="s">
        <v>30</v>
      </c>
      <c r="C24" s="32" t="s">
        <v>30</v>
      </c>
      <c r="D24" s="63"/>
      <c r="E24" s="32" t="s">
        <v>31</v>
      </c>
      <c r="F24" s="64"/>
      <c r="G24" s="57"/>
      <c r="H24" s="57"/>
    </row>
    <row r="25" customFormat="false" ht="12" hidden="false" customHeight="false" outlineLevel="0" collapsed="false">
      <c r="A25" s="11" t="str">
        <f aca="false">'Assigning Weights'!A3</f>
        <v>Customer background (CB)</v>
      </c>
      <c r="B25" s="65" t="n">
        <v>1</v>
      </c>
      <c r="C25" s="66" t="n">
        <v>5</v>
      </c>
      <c r="D25" s="67"/>
      <c r="E25" s="65" t="n">
        <f aca="false">C25/(B25+C25)</f>
        <v>0.833333333333333</v>
      </c>
      <c r="F25" s="68"/>
      <c r="G25" s="57"/>
      <c r="H25" s="57"/>
    </row>
    <row r="26" customFormat="false" ht="12" hidden="false" customHeight="false" outlineLevel="0" collapsed="false">
      <c r="A26" s="11" t="str">
        <f aca="false">'Assigning Weights'!A4</f>
        <v>Payment record (PR)</v>
      </c>
      <c r="B26" s="69" t="n">
        <v>1</v>
      </c>
      <c r="C26" s="70" t="n">
        <v>7</v>
      </c>
      <c r="D26" s="67"/>
      <c r="E26" s="69" t="n">
        <f aca="false">C26/(B26+C26)</f>
        <v>0.875</v>
      </c>
      <c r="F26" s="68"/>
      <c r="G26" s="57"/>
      <c r="H26" s="57"/>
    </row>
    <row r="27" customFormat="false" ht="12" hidden="false" customHeight="false" outlineLevel="0" collapsed="false">
      <c r="A27" s="11" t="str">
        <f aca="false">'Assigning Weights'!A5</f>
        <v>Geographical location (GL)</v>
      </c>
      <c r="B27" s="69" t="n">
        <v>1</v>
      </c>
      <c r="C27" s="70" t="n">
        <f aca="false">1/3</f>
        <v>0.333333333333333</v>
      </c>
      <c r="D27" s="67"/>
      <c r="E27" s="69" t="n">
        <f aca="false">C27/(B27+C27)</f>
        <v>0.25</v>
      </c>
      <c r="F27" s="68"/>
      <c r="G27" s="57"/>
      <c r="H27" s="57"/>
    </row>
    <row r="28" customFormat="false" ht="12" hidden="false" customHeight="false" outlineLevel="0" collapsed="false">
      <c r="A28" s="11" t="str">
        <f aca="false">'Assigning Weights'!A6</f>
        <v>Business potential (BP)</v>
      </c>
      <c r="B28" s="69" t="n">
        <v>1</v>
      </c>
      <c r="C28" s="70" t="n">
        <v>3</v>
      </c>
      <c r="D28" s="67"/>
      <c r="E28" s="69" t="n">
        <f aca="false">C28/(B28+C28)</f>
        <v>0.75</v>
      </c>
      <c r="F28" s="68"/>
      <c r="G28" s="57"/>
      <c r="H28" s="57"/>
    </row>
    <row r="29" customFormat="false" ht="12.75" hidden="false" customHeight="false" outlineLevel="0" collapsed="false">
      <c r="A29" s="11" t="str">
        <f aca="false">'Assigning Weights'!A7</f>
        <v>Financial soundness (FS)</v>
      </c>
      <c r="B29" s="71" t="n">
        <v>1</v>
      </c>
      <c r="C29" s="72" t="n">
        <v>5</v>
      </c>
      <c r="D29" s="67"/>
      <c r="E29" s="71" t="n">
        <f aca="false">C29/(B29+C29)</f>
        <v>0.833333333333333</v>
      </c>
      <c r="F29" s="68"/>
      <c r="G29" s="57"/>
      <c r="H29" s="57"/>
    </row>
    <row r="30" customFormat="false" ht="12" hidden="false" customHeight="false" outlineLevel="0" collapsed="false">
      <c r="A30" s="11"/>
      <c r="B30" s="26"/>
      <c r="C30" s="26"/>
      <c r="D30" s="57"/>
      <c r="E30" s="57"/>
      <c r="F30" s="57"/>
      <c r="G30" s="57"/>
      <c r="H30" s="57"/>
    </row>
    <row r="31" customFormat="false" ht="12" hidden="false" customHeight="false" outlineLevel="0" collapsed="false">
      <c r="A31" s="25" t="s">
        <v>13</v>
      </c>
      <c r="B31" s="25" t="s">
        <v>14</v>
      </c>
      <c r="C31" s="25" t="s">
        <v>15</v>
      </c>
      <c r="D31" s="57"/>
      <c r="E31" s="57"/>
      <c r="F31" s="57"/>
      <c r="G31" s="57"/>
      <c r="H31" s="57"/>
    </row>
    <row r="32" customFormat="false" ht="12" hidden="false" customHeight="false" outlineLevel="0" collapsed="false">
      <c r="A32" s="73" t="str">
        <f aca="false">'Assigning Weights'!A10</f>
        <v>Equal importance</v>
      </c>
      <c r="B32" s="27" t="n">
        <f aca="false">'Assigning Weights'!B10</f>
        <v>1</v>
      </c>
      <c r="C32" s="28" t="n">
        <f aca="false">'Assigning Weights'!C10</f>
        <v>1</v>
      </c>
      <c r="D32" s="57"/>
      <c r="E32" s="57"/>
      <c r="F32" s="57"/>
      <c r="G32" s="57"/>
      <c r="H32" s="57"/>
    </row>
    <row r="33" customFormat="false" ht="12" hidden="false" customHeight="false" outlineLevel="0" collapsed="false">
      <c r="A33" s="74" t="str">
        <f aca="false">'Assigning Weights'!A11</f>
        <v>   An intermediate value</v>
      </c>
      <c r="B33" s="27" t="n">
        <f aca="false">'Assigning Weights'!B11</f>
        <v>2</v>
      </c>
      <c r="C33" s="28" t="n">
        <f aca="false">'Assigning Weights'!C11</f>
        <v>0.5</v>
      </c>
      <c r="D33" s="57"/>
      <c r="E33" s="57"/>
      <c r="F33" s="57"/>
      <c r="G33" s="57"/>
      <c r="H33" s="57"/>
    </row>
    <row r="34" customFormat="false" ht="12" hidden="false" customHeight="false" outlineLevel="0" collapsed="false">
      <c r="A34" s="73" t="str">
        <f aca="false">'Assigning Weights'!A12</f>
        <v>Slightly favor one over the other</v>
      </c>
      <c r="B34" s="27" t="n">
        <f aca="false">'Assigning Weights'!B12</f>
        <v>3</v>
      </c>
      <c r="C34" s="28" t="n">
        <f aca="false">'Assigning Weights'!C12</f>
        <v>0.333333333333333</v>
      </c>
      <c r="D34" s="57"/>
      <c r="E34" s="57"/>
      <c r="F34" s="57"/>
      <c r="G34" s="57"/>
      <c r="H34" s="57"/>
    </row>
    <row r="35" customFormat="false" ht="12" hidden="false" customHeight="false" outlineLevel="0" collapsed="false">
      <c r="A35" s="74" t="str">
        <f aca="false">'Assigning Weights'!A13</f>
        <v>   An intermediate value</v>
      </c>
      <c r="B35" s="27" t="n">
        <f aca="false">'Assigning Weights'!B13</f>
        <v>4</v>
      </c>
      <c r="C35" s="28" t="n">
        <f aca="false">'Assigning Weights'!C13</f>
        <v>0.25</v>
      </c>
      <c r="D35" s="57"/>
      <c r="E35" s="57"/>
      <c r="F35" s="57"/>
      <c r="G35" s="57"/>
      <c r="H35" s="57"/>
    </row>
    <row r="36" customFormat="false" ht="12" hidden="false" customHeight="false" outlineLevel="0" collapsed="false">
      <c r="A36" s="73" t="str">
        <f aca="false">'Assigning Weights'!A14</f>
        <v>Strong importance</v>
      </c>
      <c r="B36" s="27" t="n">
        <f aca="false">'Assigning Weights'!B14</f>
        <v>5</v>
      </c>
      <c r="C36" s="28" t="n">
        <f aca="false">'Assigning Weights'!C14</f>
        <v>0.2</v>
      </c>
      <c r="D36" s="57"/>
      <c r="E36" s="57"/>
      <c r="F36" s="57"/>
      <c r="G36" s="57"/>
      <c r="H36" s="57"/>
    </row>
    <row r="37" customFormat="false" ht="12" hidden="false" customHeight="false" outlineLevel="0" collapsed="false">
      <c r="A37" s="74" t="str">
        <f aca="false">'Assigning Weights'!A15</f>
        <v>   An intermediate value</v>
      </c>
      <c r="B37" s="27" t="n">
        <f aca="false">'Assigning Weights'!B15</f>
        <v>6</v>
      </c>
      <c r="C37" s="28" t="n">
        <f aca="false">'Assigning Weights'!C15</f>
        <v>0.166666666666667</v>
      </c>
      <c r="D37" s="57"/>
      <c r="E37" s="57"/>
      <c r="F37" s="57"/>
      <c r="G37" s="57"/>
      <c r="H37" s="57"/>
    </row>
    <row r="38" customFormat="false" ht="12" hidden="false" customHeight="false" outlineLevel="0" collapsed="false">
      <c r="A38" s="73" t="str">
        <f aca="false">'Assigning Weights'!A16</f>
        <v>Very strong importance</v>
      </c>
      <c r="B38" s="27" t="n">
        <f aca="false">'Assigning Weights'!B16</f>
        <v>7</v>
      </c>
      <c r="C38" s="28" t="n">
        <f aca="false">'Assigning Weights'!C16</f>
        <v>0.142857142857143</v>
      </c>
      <c r="D38" s="57"/>
      <c r="E38" s="57"/>
      <c r="F38" s="57"/>
      <c r="G38" s="57"/>
      <c r="H38" s="57"/>
    </row>
    <row r="39" customFormat="false" ht="12" hidden="false" customHeight="false" outlineLevel="0" collapsed="false">
      <c r="A39" s="74" t="str">
        <f aca="false">'Assigning Weights'!A17</f>
        <v>   An intermediate value</v>
      </c>
      <c r="B39" s="27" t="n">
        <f aca="false">'Assigning Weights'!B17</f>
        <v>8</v>
      </c>
      <c r="C39" s="28" t="n">
        <f aca="false">'Assigning Weights'!C17</f>
        <v>0.125</v>
      </c>
      <c r="D39" s="57"/>
      <c r="E39" s="57"/>
      <c r="F39" s="57"/>
      <c r="G39" s="57"/>
      <c r="H39" s="57"/>
    </row>
    <row r="40" customFormat="false" ht="12" hidden="false" customHeight="false" outlineLevel="0" collapsed="false">
      <c r="A40" s="73" t="str">
        <f aca="false">'Assigning Weights'!A18</f>
        <v>Absolute importance</v>
      </c>
      <c r="B40" s="27" t="n">
        <f aca="false">'Assigning Weights'!B18</f>
        <v>9</v>
      </c>
      <c r="C40" s="28" t="n">
        <f aca="false">'Assigning Weights'!C18</f>
        <v>0.111111111111111</v>
      </c>
      <c r="D40" s="57"/>
      <c r="E40" s="57"/>
      <c r="F40" s="57"/>
      <c r="G40" s="57"/>
      <c r="H40" s="57"/>
    </row>
    <row r="41" customFormat="false" ht="12" hidden="false" customHeight="false" outlineLevel="0" collapsed="false">
      <c r="A41" s="57"/>
      <c r="B41" s="57"/>
      <c r="C41" s="57"/>
      <c r="D41" s="57"/>
      <c r="E41" s="57"/>
      <c r="F41" s="57"/>
      <c r="G41" s="57"/>
      <c r="H41" s="57"/>
    </row>
    <row r="42" customFormat="false" ht="12" hidden="false" customHeight="false" outlineLevel="0" collapsed="false">
      <c r="A42" s="57"/>
      <c r="B42" s="57"/>
      <c r="C42" s="57"/>
      <c r="D42" s="57"/>
      <c r="E42" s="57"/>
      <c r="F42" s="57"/>
      <c r="G42" s="57"/>
      <c r="H42" s="57"/>
    </row>
    <row r="43" customFormat="false" ht="12" hidden="false" customHeight="false" outlineLevel="0" collapsed="false">
      <c r="A43" s="9"/>
      <c r="B43" s="9"/>
      <c r="C43" s="9"/>
      <c r="D43" s="9"/>
      <c r="E43" s="9"/>
      <c r="F43" s="9"/>
      <c r="G43" s="9"/>
      <c r="H43" s="9"/>
    </row>
    <row r="44" customFormat="false" ht="12" hidden="false" customHeight="false" outlineLevel="0" collapsed="false">
      <c r="A44" s="9"/>
      <c r="B44" s="9"/>
      <c r="C44" s="9"/>
      <c r="D44" s="9"/>
      <c r="E44" s="9"/>
      <c r="F44" s="9"/>
      <c r="G44" s="9"/>
      <c r="H44" s="9"/>
    </row>
    <row r="45" customFormat="false" ht="12" hidden="false" customHeight="false" outlineLevel="0" collapsed="false">
      <c r="A45" s="9"/>
      <c r="B45" s="9"/>
      <c r="C45" s="9"/>
      <c r="D45" s="9"/>
      <c r="E45" s="9"/>
      <c r="F45" s="9"/>
      <c r="G45" s="9"/>
      <c r="H45" s="9"/>
    </row>
  </sheetData>
  <sheetProtection sheet="true" password="da31" objects="true" scenarios="true"/>
  <printOptions headings="true" gridLines="true" gridLinesSet="true" horizontalCentered="tru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5" activeCellId="0" sqref="H15"/>
    </sheetView>
  </sheetViews>
  <sheetFormatPr defaultColWidth="9.16015625" defaultRowHeight="12" zeroHeight="false" outlineLevelRow="0" outlineLevelCol="0"/>
  <cols>
    <col collapsed="false" customWidth="true" hidden="false" outlineLevel="0" max="1" min="1" style="0" width="22.7"/>
    <col collapsed="false" customWidth="true" hidden="false" outlineLevel="0" max="7" min="7" style="0" width="5.7"/>
  </cols>
  <sheetData>
    <row r="1" customFormat="false" ht="12" hidden="false" customHeight="false" outlineLevel="0" collapsed="false">
      <c r="A1" s="30" t="s">
        <v>32</v>
      </c>
      <c r="B1" s="36"/>
      <c r="C1" s="36"/>
      <c r="D1" s="36"/>
      <c r="E1" s="36"/>
      <c r="F1" s="36"/>
      <c r="G1" s="36"/>
      <c r="H1" s="36"/>
      <c r="I1" s="9"/>
    </row>
    <row r="2" customFormat="false" ht="12" hidden="false" customHeight="false" outlineLevel="0" collapsed="false">
      <c r="A2" s="58"/>
      <c r="B2" s="36"/>
      <c r="C2" s="11" t="s">
        <v>33</v>
      </c>
      <c r="D2" s="11"/>
      <c r="E2" s="36"/>
      <c r="F2" s="36"/>
      <c r="G2" s="36"/>
      <c r="H2" s="36"/>
      <c r="I2" s="9"/>
    </row>
    <row r="3" customFormat="false" ht="12" hidden="false" customHeight="false" outlineLevel="0" collapsed="false">
      <c r="A3" s="36"/>
      <c r="B3" s="32" t="s">
        <v>34</v>
      </c>
      <c r="C3" s="32" t="s">
        <v>35</v>
      </c>
      <c r="D3" s="32" t="s">
        <v>36</v>
      </c>
      <c r="E3" s="36"/>
      <c r="F3" s="36"/>
      <c r="G3" s="36"/>
      <c r="H3" s="36"/>
      <c r="I3" s="9"/>
    </row>
    <row r="4" customFormat="false" ht="12" hidden="false" customHeight="false" outlineLevel="0" collapsed="false">
      <c r="A4" s="36"/>
      <c r="B4" s="25" t="s">
        <v>37</v>
      </c>
      <c r="C4" s="25" t="s">
        <v>31</v>
      </c>
      <c r="D4" s="25" t="s">
        <v>38</v>
      </c>
      <c r="E4" s="36"/>
      <c r="F4" s="36"/>
      <c r="G4" s="36"/>
      <c r="H4" s="36"/>
      <c r="I4" s="9"/>
    </row>
    <row r="5" customFormat="false" ht="12" hidden="false" customHeight="false" outlineLevel="0" collapsed="false">
      <c r="A5" s="11" t="str">
        <f aca="false">'Assigning Weights'!A3</f>
        <v>Customer background (CB)</v>
      </c>
      <c r="B5" s="75" t="n">
        <f aca="false">'Priorities &amp; Attributes'!H12</f>
        <v>0.136739983138175</v>
      </c>
      <c r="C5" s="76" t="n">
        <f aca="false">'Priorities &amp; Attributes'!E25</f>
        <v>0.833333333333333</v>
      </c>
      <c r="D5" s="77" t="n">
        <f aca="false">B5*C5</f>
        <v>0.113949985948479</v>
      </c>
      <c r="E5" s="78"/>
      <c r="F5" s="79" t="s">
        <v>39</v>
      </c>
      <c r="G5" s="80"/>
      <c r="H5" s="81"/>
      <c r="I5" s="9"/>
    </row>
    <row r="6" customFormat="false" ht="12" hidden="false" customHeight="false" outlineLevel="0" collapsed="false">
      <c r="A6" s="11" t="str">
        <f aca="false">'Assigning Weights'!A4</f>
        <v>Payment record (PR)</v>
      </c>
      <c r="B6" s="82" t="n">
        <f aca="false">'Priorities &amp; Attributes'!H13</f>
        <v>0.252673263451347</v>
      </c>
      <c r="C6" s="83" t="n">
        <f aca="false">'Priorities &amp; Attributes'!E26</f>
        <v>0.875</v>
      </c>
      <c r="D6" s="84" t="n">
        <f aca="false">B6*C6</f>
        <v>0.221089105519928</v>
      </c>
      <c r="E6" s="85" t="s">
        <v>40</v>
      </c>
      <c r="F6" s="86"/>
      <c r="G6" s="87"/>
      <c r="H6" s="88" t="n">
        <v>200000</v>
      </c>
      <c r="I6" s="9"/>
    </row>
    <row r="7" customFormat="false" ht="12" hidden="false" customHeight="false" outlineLevel="0" collapsed="false">
      <c r="A7" s="11" t="str">
        <f aca="false">'Assigning Weights'!A5</f>
        <v>Geographical location (GL)</v>
      </c>
      <c r="B7" s="82" t="n">
        <f aca="false">'Priorities &amp; Attributes'!H14</f>
        <v>0.0313097720212571</v>
      </c>
      <c r="C7" s="83" t="n">
        <f aca="false">'Priorities &amp; Attributes'!E27</f>
        <v>0.25</v>
      </c>
      <c r="D7" s="84" t="n">
        <f aca="false">B7*C7</f>
        <v>0.00782744300531427</v>
      </c>
      <c r="E7" s="89" t="s">
        <v>41</v>
      </c>
      <c r="F7" s="90"/>
      <c r="G7" s="91"/>
      <c r="H7" s="92" t="n">
        <v>0.05</v>
      </c>
      <c r="I7" s="9"/>
    </row>
    <row r="8" customFormat="false" ht="12" hidden="false" customHeight="false" outlineLevel="0" collapsed="false">
      <c r="A8" s="11" t="str">
        <f aca="false">'Assigning Weights'!A6</f>
        <v>Business potential (BP)</v>
      </c>
      <c r="B8" s="82" t="n">
        <f aca="false">'Priorities &amp; Attributes'!H15</f>
        <v>0.103479147173152</v>
      </c>
      <c r="C8" s="83" t="n">
        <f aca="false">'Priorities &amp; Attributes'!E28</f>
        <v>0.75</v>
      </c>
      <c r="D8" s="84" t="n">
        <f aca="false">B8*C8</f>
        <v>0.0776093603798639</v>
      </c>
      <c r="E8" s="36"/>
      <c r="F8" s="36"/>
      <c r="G8" s="36"/>
      <c r="H8" s="36"/>
      <c r="I8" s="9"/>
    </row>
    <row r="9" customFormat="false" ht="12" hidden="false" customHeight="false" outlineLevel="0" collapsed="false">
      <c r="A9" s="11" t="str">
        <f aca="false">'Assigning Weights'!A7</f>
        <v>Financial soundness (FS)</v>
      </c>
      <c r="B9" s="93" t="n">
        <f aca="false">'Priorities &amp; Attributes'!H16</f>
        <v>0.475797834216069</v>
      </c>
      <c r="C9" s="94" t="n">
        <f aca="false">'Priorities &amp; Attributes'!E29</f>
        <v>0.833333333333333</v>
      </c>
      <c r="D9" s="95" t="n">
        <f aca="false">B9*C9</f>
        <v>0.396498195180058</v>
      </c>
      <c r="E9" s="36"/>
      <c r="F9" s="36"/>
      <c r="G9" s="36"/>
      <c r="H9" s="36"/>
      <c r="I9" s="9"/>
    </row>
    <row r="10" customFormat="false" ht="12" hidden="false" customHeight="false" outlineLevel="0" collapsed="false">
      <c r="A10" s="96" t="s">
        <v>42</v>
      </c>
      <c r="B10" s="97"/>
      <c r="C10" s="97"/>
      <c r="D10" s="98" t="n">
        <f aca="false">SUM(D5:D9)</f>
        <v>0.816974090033644</v>
      </c>
      <c r="E10" s="36"/>
      <c r="F10" s="36"/>
      <c r="G10" s="36"/>
      <c r="H10" s="36"/>
      <c r="I10" s="9"/>
    </row>
    <row r="11" customFormat="false" ht="12" hidden="false" customHeight="false" outlineLevel="0" collapsed="false">
      <c r="A11" s="99" t="s">
        <v>43</v>
      </c>
      <c r="B11" s="100"/>
      <c r="C11" s="100"/>
      <c r="D11" s="101" t="n">
        <f aca="false">1-D10</f>
        <v>0.183025909966356</v>
      </c>
      <c r="E11" s="36"/>
      <c r="F11" s="36"/>
      <c r="G11" s="36"/>
      <c r="H11" s="36"/>
      <c r="I11" s="9"/>
    </row>
    <row r="12" customFormat="false" ht="12" hidden="false" customHeight="false" outlineLevel="0" collapsed="false">
      <c r="A12" s="25" t="s">
        <v>44</v>
      </c>
      <c r="B12" s="36"/>
      <c r="C12" s="36"/>
      <c r="D12" s="36"/>
      <c r="E12" s="36"/>
      <c r="F12" s="36"/>
      <c r="G12" s="36"/>
      <c r="H12" s="36"/>
      <c r="I12" s="9"/>
    </row>
    <row r="13" customFormat="false" ht="12" hidden="false" customHeight="false" outlineLevel="0" collapsed="false">
      <c r="A13" s="102" t="s">
        <v>45</v>
      </c>
      <c r="B13" s="103" t="n">
        <f aca="false">D10</f>
        <v>0.816974090033644</v>
      </c>
      <c r="C13" s="36"/>
      <c r="D13" s="36"/>
      <c r="E13" s="104"/>
      <c r="F13" s="36"/>
      <c r="G13" s="36"/>
      <c r="H13" s="36"/>
      <c r="I13" s="9"/>
    </row>
    <row r="14" customFormat="false" ht="12" hidden="false" customHeight="false" outlineLevel="0" collapsed="false">
      <c r="A14" s="102" t="s">
        <v>46</v>
      </c>
      <c r="B14" s="105" t="n">
        <f aca="false">$H$7</f>
        <v>0.05</v>
      </c>
      <c r="C14" s="36"/>
      <c r="D14" s="60"/>
      <c r="E14" s="59"/>
      <c r="F14" s="59"/>
      <c r="G14" s="106"/>
      <c r="H14" s="36"/>
      <c r="I14" s="9"/>
    </row>
    <row r="15" customFormat="false" ht="12" hidden="false" customHeight="false" outlineLevel="0" collapsed="false">
      <c r="A15" s="102" t="s">
        <v>47</v>
      </c>
      <c r="B15" s="107" t="n">
        <f aca="false">$H$6</f>
        <v>200000</v>
      </c>
      <c r="C15" s="36"/>
      <c r="D15" s="60"/>
      <c r="E15" s="59"/>
      <c r="F15" s="59"/>
      <c r="G15" s="108"/>
      <c r="H15" s="36"/>
      <c r="I15" s="9"/>
    </row>
    <row r="16" customFormat="false" ht="12" hidden="false" customHeight="false" outlineLevel="0" collapsed="false">
      <c r="A16" s="102" t="s">
        <v>48</v>
      </c>
      <c r="B16" s="109" t="n">
        <f aca="false">B13*B14*B15</f>
        <v>8169.74090033644</v>
      </c>
      <c r="C16" s="36"/>
      <c r="D16" s="60"/>
      <c r="E16" s="59"/>
      <c r="F16" s="59"/>
      <c r="G16" s="110"/>
      <c r="H16" s="36"/>
      <c r="I16" s="9"/>
    </row>
    <row r="17" customFormat="false" ht="12" hidden="false" customHeight="false" outlineLevel="0" collapsed="false">
      <c r="A17" s="102" t="s">
        <v>49</v>
      </c>
      <c r="B17" s="103" t="n">
        <f aca="false">D11</f>
        <v>0.183025909966356</v>
      </c>
      <c r="C17" s="36"/>
      <c r="D17" s="60"/>
      <c r="E17" s="59"/>
      <c r="F17" s="59"/>
      <c r="G17" s="111"/>
      <c r="H17" s="112"/>
      <c r="I17" s="9"/>
    </row>
    <row r="18" customFormat="false" ht="12" hidden="false" customHeight="false" outlineLevel="0" collapsed="false">
      <c r="A18" s="102" t="s">
        <v>50</v>
      </c>
      <c r="B18" s="105" t="n">
        <f aca="false">1-$H$7</f>
        <v>0.95</v>
      </c>
      <c r="C18" s="36"/>
      <c r="D18" s="60"/>
      <c r="E18" s="59"/>
      <c r="F18" s="59"/>
      <c r="G18" s="26"/>
      <c r="H18" s="36"/>
      <c r="I18" s="9"/>
    </row>
    <row r="19" customFormat="false" ht="12" hidden="false" customHeight="false" outlineLevel="0" collapsed="false">
      <c r="A19" s="102" t="s">
        <v>47</v>
      </c>
      <c r="B19" s="107" t="n">
        <f aca="false">$H$6</f>
        <v>200000</v>
      </c>
      <c r="C19" s="36"/>
      <c r="D19" s="60"/>
      <c r="E19" s="59"/>
      <c r="F19" s="59"/>
      <c r="G19" s="106"/>
      <c r="H19" s="36"/>
      <c r="I19" s="9"/>
    </row>
    <row r="20" customFormat="false" ht="12" hidden="false" customHeight="false" outlineLevel="0" collapsed="false">
      <c r="A20" s="102" t="s">
        <v>51</v>
      </c>
      <c r="B20" s="109" t="n">
        <f aca="false">B17*B18*B19</f>
        <v>34774.9228936077</v>
      </c>
      <c r="C20" s="36"/>
      <c r="D20" s="60"/>
      <c r="E20" s="59"/>
      <c r="F20" s="59"/>
      <c r="G20" s="108"/>
      <c r="H20" s="36"/>
      <c r="I20" s="9"/>
    </row>
    <row r="21" customFormat="false" ht="12" hidden="false" customHeight="false" outlineLevel="0" collapsed="false">
      <c r="A21" s="102" t="s">
        <v>52</v>
      </c>
      <c r="B21" s="113" t="n">
        <f aca="false">B16-B20</f>
        <v>-26605.1819932713</v>
      </c>
      <c r="C21" s="114" t="str">
        <f aca="false">IF(B21&lt;0,"Deny credit request for a line of credit equal to the expected sales.","Grant  credit request for a line of credit equal to the expected sales.")</f>
        <v>Deny credit request for a line of credit equal to the expected sales.</v>
      </c>
      <c r="D21" s="115"/>
      <c r="E21" s="116"/>
      <c r="F21" s="116"/>
      <c r="G21" s="117"/>
      <c r="H21" s="118"/>
      <c r="I21" s="119"/>
    </row>
    <row r="22" customFormat="false" ht="12" hidden="false" customHeight="false" outlineLevel="0" collapsed="false">
      <c r="A22" s="9"/>
      <c r="B22" s="9"/>
      <c r="C22" s="120" t="s">
        <v>53</v>
      </c>
      <c r="D22" s="121"/>
      <c r="E22" s="121"/>
      <c r="F22" s="121"/>
      <c r="G22" s="121"/>
      <c r="H22" s="122"/>
      <c r="I22" s="9"/>
    </row>
    <row r="23" customFormat="false" ht="12" hidden="false" customHeight="false" outlineLevel="0" collapsed="false">
      <c r="A23" s="9"/>
      <c r="B23" s="9"/>
      <c r="C23" s="9"/>
      <c r="D23" s="9"/>
      <c r="E23" s="9"/>
      <c r="F23" s="9"/>
      <c r="G23" s="9"/>
      <c r="H23" s="9"/>
      <c r="I23" s="9"/>
    </row>
  </sheetData>
  <sheetProtection sheet="true" password="da31" objects="true" scenarios="true"/>
  <printOptions headings="true" gridLines="true" gridLinesSet="true" horizontalCentered="tru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9.16015625" defaultRowHeight="12" zeroHeight="false" outlineLevelRow="0" outlineLevelCol="0"/>
  <cols>
    <col collapsed="false" customWidth="true" hidden="false" outlineLevel="0" max="1" min="1" style="123" width="36.7"/>
    <col collapsed="false" customWidth="true" hidden="false" outlineLevel="0" max="2" min="2" style="124" width="4.7"/>
    <col collapsed="false" customWidth="true" hidden="false" outlineLevel="0" max="4" min="3" style="0" width="10.7"/>
    <col collapsed="false" customWidth="true" hidden="false" outlineLevel="0" max="9" min="5" style="0" width="9.7"/>
  </cols>
  <sheetData>
    <row r="1" customFormat="false" ht="12" hidden="false" customHeight="false" outlineLevel="0" collapsed="false">
      <c r="A1" s="30" t="s">
        <v>54</v>
      </c>
      <c r="B1" s="125"/>
      <c r="C1" s="126"/>
      <c r="D1" s="36"/>
      <c r="E1" s="36"/>
      <c r="F1" s="36"/>
      <c r="G1" s="36"/>
      <c r="H1" s="36"/>
      <c r="I1" s="15"/>
      <c r="J1" s="15"/>
    </row>
    <row r="2" customFormat="false" ht="12" hidden="false" customHeight="false" outlineLevel="0" collapsed="false">
      <c r="A2" s="26"/>
      <c r="B2" s="127"/>
      <c r="C2" s="25"/>
      <c r="D2" s="36"/>
      <c r="E2" s="25"/>
      <c r="F2" s="36"/>
      <c r="G2" s="128"/>
      <c r="H2" s="128"/>
      <c r="I2" s="129"/>
      <c r="J2" s="15"/>
    </row>
    <row r="3" customFormat="false" ht="12" hidden="false" customHeight="false" outlineLevel="0" collapsed="false">
      <c r="A3" s="130" t="s">
        <v>55</v>
      </c>
      <c r="B3" s="131"/>
      <c r="C3" s="132"/>
      <c r="D3" s="36"/>
      <c r="E3" s="25"/>
      <c r="F3" s="36"/>
      <c r="G3" s="128"/>
      <c r="H3" s="128"/>
      <c r="I3" s="129"/>
      <c r="J3" s="15"/>
    </row>
    <row r="4" customFormat="false" ht="12" hidden="false" customHeight="false" outlineLevel="0" collapsed="false">
      <c r="A4" s="133" t="s">
        <v>56</v>
      </c>
      <c r="B4" s="134"/>
      <c r="C4" s="135" t="n">
        <f aca="false">'Credit Decision'!H6</f>
        <v>200000</v>
      </c>
      <c r="D4" s="136"/>
      <c r="E4" s="111"/>
      <c r="F4" s="137"/>
      <c r="G4" s="136"/>
      <c r="H4" s="138"/>
      <c r="I4" s="139"/>
      <c r="J4" s="15"/>
    </row>
    <row r="5" customFormat="false" ht="12" hidden="false" customHeight="false" outlineLevel="0" collapsed="false">
      <c r="A5" s="133" t="s">
        <v>57</v>
      </c>
      <c r="B5" s="134"/>
      <c r="C5" s="140" t="n">
        <f aca="false">'Credit Decision'!H7</f>
        <v>0.05</v>
      </c>
      <c r="D5" s="136"/>
      <c r="E5" s="141"/>
      <c r="F5" s="137"/>
      <c r="G5" s="142"/>
      <c r="H5" s="136"/>
      <c r="I5" s="143"/>
      <c r="J5" s="15"/>
    </row>
    <row r="6" customFormat="false" ht="12" hidden="false" customHeight="false" outlineLevel="0" collapsed="false">
      <c r="A6" s="133" t="s">
        <v>58</v>
      </c>
      <c r="B6" s="134"/>
      <c r="C6" s="144" t="n">
        <f aca="false">C4*C5</f>
        <v>10000</v>
      </c>
      <c r="D6" s="136"/>
      <c r="E6" s="145"/>
      <c r="F6" s="137"/>
      <c r="G6" s="136"/>
      <c r="H6" s="146"/>
      <c r="I6" s="147"/>
      <c r="J6" s="15"/>
    </row>
    <row r="7" customFormat="false" ht="12" hidden="false" customHeight="false" outlineLevel="0" collapsed="false">
      <c r="A7" s="133" t="s">
        <v>59</v>
      </c>
      <c r="B7" s="134"/>
      <c r="C7" s="148" t="n">
        <f aca="false">'Credit Decision'!D10</f>
        <v>0.816974090033644</v>
      </c>
      <c r="D7" s="136"/>
      <c r="E7" s="138"/>
      <c r="F7" s="149"/>
      <c r="G7" s="136"/>
      <c r="H7" s="145"/>
      <c r="I7" s="150"/>
      <c r="J7" s="15"/>
    </row>
    <row r="8" customFormat="false" ht="12" hidden="false" customHeight="false" outlineLevel="0" collapsed="false">
      <c r="A8" s="133" t="s">
        <v>60</v>
      </c>
      <c r="B8" s="151" t="s">
        <v>61</v>
      </c>
      <c r="C8" s="152" t="n">
        <f aca="false">C6*C7</f>
        <v>8169.74090033644</v>
      </c>
      <c r="D8" s="136"/>
      <c r="E8" s="136"/>
      <c r="F8" s="137"/>
      <c r="G8" s="136"/>
      <c r="H8" s="141"/>
      <c r="I8" s="153"/>
      <c r="J8" s="15"/>
    </row>
    <row r="9" customFormat="false" ht="12" hidden="false" customHeight="false" outlineLevel="0" collapsed="false">
      <c r="A9" s="133"/>
      <c r="B9" s="134"/>
      <c r="C9" s="154"/>
      <c r="D9" s="136"/>
      <c r="E9" s="145"/>
      <c r="F9" s="137"/>
      <c r="G9" s="136"/>
      <c r="H9" s="146"/>
      <c r="I9" s="147"/>
      <c r="J9" s="15"/>
    </row>
    <row r="10" customFormat="false" ht="12" hidden="false" customHeight="false" outlineLevel="0" collapsed="false">
      <c r="A10" s="155" t="s">
        <v>62</v>
      </c>
      <c r="B10" s="134"/>
      <c r="C10" s="156"/>
      <c r="D10" s="136"/>
      <c r="E10" s="141"/>
      <c r="F10" s="137"/>
      <c r="G10" s="136"/>
      <c r="H10" s="146"/>
      <c r="I10" s="147"/>
      <c r="J10" s="15"/>
    </row>
    <row r="11" customFormat="false" ht="12" hidden="false" customHeight="false" outlineLevel="0" collapsed="false">
      <c r="A11" s="133" t="s">
        <v>56</v>
      </c>
      <c r="B11" s="134"/>
      <c r="C11" s="144" t="n">
        <f aca="false">C4</f>
        <v>200000</v>
      </c>
      <c r="D11" s="136"/>
      <c r="E11" s="145"/>
      <c r="F11" s="149"/>
      <c r="G11" s="136"/>
      <c r="H11" s="136"/>
      <c r="I11" s="143"/>
      <c r="J11" s="15"/>
    </row>
    <row r="12" customFormat="false" ht="12" hidden="false" customHeight="false" outlineLevel="0" collapsed="false">
      <c r="A12" s="133" t="s">
        <v>63</v>
      </c>
      <c r="B12" s="134"/>
      <c r="C12" s="140" t="n">
        <f aca="false">1-C5</f>
        <v>0.95</v>
      </c>
      <c r="D12" s="149"/>
      <c r="E12" s="145"/>
      <c r="F12" s="149"/>
      <c r="G12" s="136"/>
      <c r="H12" s="136"/>
      <c r="I12" s="143"/>
      <c r="J12" s="15"/>
    </row>
    <row r="13" customFormat="false" ht="12" hidden="false" customHeight="false" outlineLevel="0" collapsed="false">
      <c r="A13" s="133" t="s">
        <v>64</v>
      </c>
      <c r="B13" s="134"/>
      <c r="C13" s="144" t="n">
        <f aca="false">C11*C12</f>
        <v>190000</v>
      </c>
      <c r="D13" s="149"/>
      <c r="E13" s="145"/>
      <c r="F13" s="149"/>
      <c r="G13" s="136"/>
      <c r="H13" s="136"/>
      <c r="I13" s="143"/>
      <c r="J13" s="15"/>
    </row>
    <row r="14" customFormat="false" ht="12" hidden="false" customHeight="false" outlineLevel="0" collapsed="false">
      <c r="A14" s="133" t="s">
        <v>65</v>
      </c>
      <c r="B14" s="134"/>
      <c r="C14" s="157" t="n">
        <f aca="false">'Credit Decision'!D11</f>
        <v>0.183025909966356</v>
      </c>
      <c r="D14" s="149"/>
      <c r="E14" s="145"/>
      <c r="F14" s="149"/>
      <c r="G14" s="136"/>
      <c r="H14" s="136"/>
      <c r="I14" s="143"/>
      <c r="J14" s="15"/>
    </row>
    <row r="15" customFormat="false" ht="12" hidden="false" customHeight="false" outlineLevel="0" collapsed="false">
      <c r="A15" s="158" t="s">
        <v>66</v>
      </c>
      <c r="B15" s="159" t="s">
        <v>67</v>
      </c>
      <c r="C15" s="160" t="n">
        <f aca="false">C13*C14</f>
        <v>34774.9228936077</v>
      </c>
      <c r="D15" s="26"/>
      <c r="E15" s="26"/>
      <c r="F15" s="36"/>
      <c r="G15" s="136"/>
      <c r="H15" s="111"/>
      <c r="I15" s="161"/>
      <c r="J15" s="15"/>
    </row>
    <row r="16" customFormat="false" ht="12" hidden="false" customHeight="false" outlineLevel="0" collapsed="false">
      <c r="A16" s="158"/>
      <c r="B16" s="131"/>
      <c r="C16" s="158"/>
      <c r="D16" s="26"/>
      <c r="E16" s="26"/>
      <c r="F16" s="36"/>
      <c r="G16" s="136"/>
      <c r="H16" s="111"/>
      <c r="I16" s="161"/>
      <c r="J16" s="15"/>
    </row>
    <row r="17" customFormat="false" ht="12.75" hidden="false" customHeight="false" outlineLevel="0" collapsed="false">
      <c r="A17" s="130" t="s">
        <v>68</v>
      </c>
      <c r="B17" s="159" t="s">
        <v>69</v>
      </c>
      <c r="C17" s="162" t="n">
        <f aca="false">C8-C15</f>
        <v>-26605.1819932713</v>
      </c>
      <c r="D17" s="110"/>
      <c r="E17" s="110"/>
      <c r="F17" s="110"/>
      <c r="G17" s="110"/>
      <c r="H17" s="110"/>
      <c r="I17" s="163"/>
      <c r="J17" s="15"/>
    </row>
    <row r="18" customFormat="false" ht="12.75" hidden="false" customHeight="false" outlineLevel="0" collapsed="false">
      <c r="A18" s="26"/>
      <c r="B18" s="127"/>
      <c r="C18" s="164"/>
      <c r="D18" s="110"/>
      <c r="E18" s="110"/>
      <c r="F18" s="110"/>
      <c r="G18" s="110"/>
      <c r="H18" s="110"/>
      <c r="I18" s="163"/>
      <c r="J18" s="15"/>
    </row>
    <row r="19" customFormat="false" ht="12" hidden="false" customHeight="false" outlineLevel="0" collapsed="false">
      <c r="A19" s="165" t="s">
        <v>70</v>
      </c>
      <c r="B19" s="166"/>
      <c r="C19" s="167"/>
      <c r="D19" s="168"/>
      <c r="E19" s="110"/>
      <c r="F19" s="110"/>
      <c r="G19" s="110"/>
      <c r="H19" s="110"/>
      <c r="I19" s="163"/>
      <c r="J19" s="15"/>
    </row>
    <row r="20" customFormat="false" ht="12" hidden="false" customHeight="false" outlineLevel="0" collapsed="false">
      <c r="A20" s="169"/>
      <c r="B20" s="166"/>
      <c r="C20" s="167"/>
      <c r="D20" s="168"/>
      <c r="E20" s="110"/>
      <c r="F20" s="110"/>
      <c r="G20" s="110"/>
      <c r="H20" s="110"/>
      <c r="I20" s="163"/>
      <c r="J20" s="15"/>
    </row>
    <row r="21" customFormat="false" ht="12" hidden="false" customHeight="false" outlineLevel="0" collapsed="false">
      <c r="A21" s="165"/>
      <c r="B21" s="166"/>
      <c r="C21" s="170"/>
      <c r="D21" s="171"/>
      <c r="E21" s="172" t="s">
        <v>71</v>
      </c>
      <c r="F21" s="173"/>
      <c r="G21" s="173"/>
      <c r="H21" s="110"/>
      <c r="I21" s="163"/>
      <c r="J21" s="15"/>
    </row>
    <row r="22" customFormat="false" ht="12" hidden="false" customHeight="false" outlineLevel="0" collapsed="false">
      <c r="A22" s="174"/>
      <c r="B22" s="125"/>
      <c r="C22" s="175" t="n">
        <v>0</v>
      </c>
      <c r="D22" s="176" t="n">
        <f aca="false">'Credit Decision'!H7*(1/4)</f>
        <v>0.0125</v>
      </c>
      <c r="E22" s="176" t="n">
        <f aca="false">'Credit Decision'!H7*(2/4)</f>
        <v>0.025</v>
      </c>
      <c r="F22" s="176" t="n">
        <f aca="false">'Credit Decision'!H7*(3/4)</f>
        <v>0.0375</v>
      </c>
      <c r="G22" s="177" t="n">
        <f aca="false">'Credit Decision'!H7*(4/4)</f>
        <v>0.05</v>
      </c>
      <c r="H22" s="110"/>
      <c r="I22" s="163"/>
      <c r="J22" s="15"/>
    </row>
    <row r="23" customFormat="false" ht="12" hidden="false" customHeight="false" outlineLevel="0" collapsed="false">
      <c r="A23" s="178" t="s">
        <v>72</v>
      </c>
      <c r="B23" s="61"/>
      <c r="C23" s="179" t="n">
        <f aca="false">'Credit Decision'!$H$6</f>
        <v>200000</v>
      </c>
      <c r="D23" s="180" t="n">
        <f aca="false">'Credit Decision'!$H$6</f>
        <v>200000</v>
      </c>
      <c r="E23" s="180" t="n">
        <f aca="false">'Credit Decision'!$H$6</f>
        <v>200000</v>
      </c>
      <c r="F23" s="180" t="n">
        <f aca="false">'Credit Decision'!$H$6</f>
        <v>200000</v>
      </c>
      <c r="G23" s="181" t="n">
        <f aca="false">'Credit Decision'!$H$6</f>
        <v>200000</v>
      </c>
      <c r="H23" s="111"/>
      <c r="I23" s="161"/>
      <c r="J23" s="15"/>
    </row>
    <row r="24" customFormat="false" ht="12" hidden="false" customHeight="false" outlineLevel="0" collapsed="false">
      <c r="A24" s="182" t="s">
        <v>73</v>
      </c>
      <c r="B24" s="183"/>
      <c r="C24" s="184" t="n">
        <f aca="false">IF('Credit Decision'!H6*(C22-'Credit Decision'!H7*'Credit Decision'!D10+(1-'Credit Decision'!H7)*'Credit Decision'!D11)/((1-'Credit Decision'!H7+C22)*'Credit Decision'!D11)&lt;0,0,'Credit Decision'!H6*(C22-'Credit Decision'!H7*'Credit Decision'!D10+(1-'Credit Decision'!H7)*'Credit Decision'!D11)/((1-'Credit Decision'!H7+C22)*'Credit Decision'!D11))</f>
        <v>153013.607389834</v>
      </c>
      <c r="D24" s="185" t="n">
        <f aca="false">IF('Credit Decision'!H6*(D22-'Credit Decision'!H7*'Credit Decision'!D10+(1-'Credit Decision'!H7)*'Credit Decision'!D11)/((1-'Credit Decision'!H7+D22)*'Credit Decision'!D11)&lt;0,0,'Credit Decision'!H6*(D22-'Credit Decision'!H7*'Credit Decision'!D10+(1-'Credit Decision'!H7)*'Credit Decision'!D11)/((1-'Credit Decision'!H7+D22)*'Credit Decision'!D11))</f>
        <v>165217.865210657</v>
      </c>
      <c r="E24" s="185" t="n">
        <f aca="false">IF('Credit Decision'!H6*(E22-'Credit Decision'!H7*'Credit Decision'!D10+(1-'Credit Decision'!H7)*'Credit Decision'!D11)/((1-'Credit Decision'!H7+E22)*'Credit Decision'!D11)&lt;0,0,'Credit Decision'!H6*(E22-'Credit Decision'!H7*'Credit Decision'!D10+(1-'Credit Decision'!H7)*'Credit Decision'!D11)/((1-'Credit Decision'!H7+E22)*'Credit Decision'!D11))</f>
        <v>177109.193343765</v>
      </c>
      <c r="F24" s="185" t="n">
        <f aca="false">IF('Credit Decision'!H6*(F22-'Credit Decision'!H7*'Credit Decision'!D10+(1-'Credit Decision'!H7)*'Credit Decision'!D11)/((1-'Credit Decision'!H7+F22)*'Credit Decision'!D11)&lt;0,0,'Credit Decision'!H6*(F22-'Credit Decision'!H7*'Credit Decision'!D10+(1-'Credit Decision'!H7)*'Credit Decision'!D11)/((1-'Credit Decision'!H7+F22)*'Credit Decision'!D11))</f>
        <v>188699.475195024</v>
      </c>
      <c r="G24" s="186" t="n">
        <f aca="false">IF('Credit Decision'!H6*(G22-'Credit Decision'!H7*'Credit Decision'!D10+(1-'Credit Decision'!H7)*'Credit Decision'!D11)/((1-'Credit Decision'!H7+G22)*'Credit Decision'!D11)&lt;0,0,'Credit Decision'!H6*(G22-'Credit Decision'!H7*'Credit Decision'!D10+(1-'Credit Decision'!H7)*'Credit Decision'!D11)/((1-'Credit Decision'!H7+G22)*'Credit Decision'!D11))</f>
        <v>200000</v>
      </c>
      <c r="H24" s="146"/>
      <c r="I24" s="161"/>
      <c r="J24" s="15"/>
    </row>
    <row r="25" customFormat="false" ht="12" hidden="false" customHeight="false" outlineLevel="0" collapsed="false">
      <c r="A25" s="187" t="s">
        <v>74</v>
      </c>
      <c r="B25" s="61"/>
      <c r="C25" s="188" t="n">
        <f aca="false">'Credit Decision'!H6-C24</f>
        <v>46986.3926101656</v>
      </c>
      <c r="D25" s="189" t="n">
        <f aca="false">'Credit Decision'!H6-D24</f>
        <v>34782.1347893433</v>
      </c>
      <c r="E25" s="189" t="n">
        <f aca="false">'Credit Decision'!H6-E24</f>
        <v>22890.8066562345</v>
      </c>
      <c r="F25" s="189" t="n">
        <f aca="false">'Credit Decision'!H6-F24</f>
        <v>11300.5248049765</v>
      </c>
      <c r="G25" s="190" t="n">
        <f aca="false">'Credit Decision'!H6-G24</f>
        <v>0</v>
      </c>
      <c r="H25" s="111"/>
      <c r="I25" s="161"/>
      <c r="J25" s="15"/>
    </row>
    <row r="26" customFormat="false" ht="12" hidden="false" customHeight="false" outlineLevel="0" collapsed="false">
      <c r="A26" s="191"/>
      <c r="C26" s="192"/>
      <c r="D26" s="193"/>
      <c r="E26" s="193"/>
      <c r="F26" s="193"/>
      <c r="G26" s="194"/>
      <c r="I26" s="147"/>
      <c r="J26" s="15"/>
    </row>
    <row r="27" customFormat="false" ht="12" hidden="false" customHeight="false" outlineLevel="0" collapsed="false">
      <c r="A27" s="158" t="s">
        <v>75</v>
      </c>
      <c r="B27" s="159" t="s">
        <v>76</v>
      </c>
      <c r="C27" s="195" t="n">
        <f aca="false">C24*(1-'Credit Decision'!$H$7)</f>
        <v>145362.927020343</v>
      </c>
      <c r="D27" s="196" t="n">
        <f aca="false">D24*(1-'Credit Decision'!$H$7)</f>
        <v>156956.971950124</v>
      </c>
      <c r="E27" s="196" t="n">
        <f aca="false">E24*(1-'Credit Decision'!$H$7)</f>
        <v>168253.733676577</v>
      </c>
      <c r="F27" s="196" t="n">
        <f aca="false">F24*(1-'Credit Decision'!$H$7)</f>
        <v>179264.501435272</v>
      </c>
      <c r="G27" s="197" t="n">
        <f aca="false">G24*(1-'Credit Decision'!$H$7)</f>
        <v>190000</v>
      </c>
      <c r="H27" s="136"/>
      <c r="I27" s="143"/>
      <c r="J27" s="15"/>
    </row>
    <row r="28" customFormat="false" ht="12" hidden="false" customHeight="false" outlineLevel="0" collapsed="false">
      <c r="A28" s="198" t="s">
        <v>77</v>
      </c>
      <c r="B28" s="199"/>
      <c r="C28" s="200"/>
      <c r="D28" s="201"/>
      <c r="E28" s="201"/>
      <c r="F28" s="201"/>
      <c r="G28" s="202"/>
      <c r="H28" s="136"/>
      <c r="I28" s="143"/>
      <c r="J28" s="15"/>
    </row>
    <row r="29" customFormat="false" ht="12" hidden="false" customHeight="false" outlineLevel="0" collapsed="false">
      <c r="A29" s="198" t="s">
        <v>78</v>
      </c>
      <c r="B29" s="159" t="s">
        <v>79</v>
      </c>
      <c r="C29" s="203" t="n">
        <v>0</v>
      </c>
      <c r="D29" s="204" t="n">
        <f aca="false">'Credit Decision'!H7*(1/4)/(1-'Credit Decision'!H7)</f>
        <v>0.0131578947368421</v>
      </c>
      <c r="E29" s="204" t="n">
        <f aca="false">'Credit Decision'!H7*(2/4)/(1-'Credit Decision'!H7)</f>
        <v>0.0263157894736842</v>
      </c>
      <c r="F29" s="204" t="n">
        <f aca="false">'Credit Decision'!H7*(3/4)/(1-'Credit Decision'!H7)</f>
        <v>0.0394736842105263</v>
      </c>
      <c r="G29" s="205" t="n">
        <f aca="false">'Credit Decision'!H7*(4/4)/(1-'Credit Decision'!H7)</f>
        <v>0.0526315789473684</v>
      </c>
      <c r="H29" s="111"/>
      <c r="I29" s="161"/>
      <c r="J29" s="15"/>
    </row>
    <row r="30" customFormat="false" ht="12" hidden="false" customHeight="false" outlineLevel="0" collapsed="false">
      <c r="A30" s="206" t="s">
        <v>80</v>
      </c>
      <c r="B30" s="159" t="s">
        <v>81</v>
      </c>
      <c r="C30" s="207" t="n">
        <f aca="false">C27*C29</f>
        <v>0</v>
      </c>
      <c r="D30" s="208" t="n">
        <f aca="false">D27*D29</f>
        <v>2065.22331513321</v>
      </c>
      <c r="E30" s="208" t="n">
        <f aca="false">E27*E29</f>
        <v>4427.72983359414</v>
      </c>
      <c r="F30" s="208" t="n">
        <f aca="false">F27*F29</f>
        <v>7076.23031981338</v>
      </c>
      <c r="G30" s="209" t="n">
        <f aca="false">G27*G29</f>
        <v>10000</v>
      </c>
      <c r="H30" s="36"/>
      <c r="I30" s="15"/>
      <c r="J30" s="15"/>
    </row>
    <row r="31" customFormat="false" ht="12" hidden="false" customHeight="false" outlineLevel="0" collapsed="false">
      <c r="A31" s="210" t="s">
        <v>82</v>
      </c>
      <c r="B31" s="211"/>
      <c r="C31" s="207"/>
      <c r="D31" s="212"/>
      <c r="E31" s="213"/>
      <c r="F31" s="214"/>
      <c r="G31" s="215"/>
      <c r="H31" s="36"/>
      <c r="I31" s="15"/>
      <c r="J31" s="15"/>
    </row>
    <row r="32" customFormat="false" ht="12" hidden="false" customHeight="false" outlineLevel="0" collapsed="false">
      <c r="A32" s="216" t="s">
        <v>83</v>
      </c>
      <c r="B32" s="217"/>
      <c r="C32" s="218" t="n">
        <f aca="false">-C25*$C$12</f>
        <v>-44637.0729796573</v>
      </c>
      <c r="D32" s="219" t="n">
        <f aca="false">-D25*$C$12</f>
        <v>-33043.0280498761</v>
      </c>
      <c r="E32" s="219" t="n">
        <f aca="false">-E25*$C$12</f>
        <v>-21746.2663234228</v>
      </c>
      <c r="F32" s="219" t="n">
        <f aca="false">-F25*$C$12</f>
        <v>-10735.4985647277</v>
      </c>
      <c r="G32" s="220" t="n">
        <f aca="false">-G25*$C$12</f>
        <v>-0</v>
      </c>
      <c r="H32" s="221"/>
      <c r="I32" s="222"/>
      <c r="J32" s="15"/>
    </row>
    <row r="33" customFormat="false" ht="12" hidden="false" customHeight="false" outlineLevel="0" collapsed="false">
      <c r="A33" s="223" t="s">
        <v>84</v>
      </c>
      <c r="B33" s="217"/>
      <c r="C33" s="207" t="n">
        <f aca="false">C30+C32</f>
        <v>-44637.0729796573</v>
      </c>
      <c r="D33" s="208" t="n">
        <f aca="false">D30+D32</f>
        <v>-30977.8047347429</v>
      </c>
      <c r="E33" s="208" t="n">
        <f aca="false">E30+E32</f>
        <v>-17318.5364898287</v>
      </c>
      <c r="F33" s="208" t="n">
        <f aca="false">F30+F32</f>
        <v>-3659.2682449143</v>
      </c>
      <c r="G33" s="209" t="n">
        <f aca="false">G30+G32</f>
        <v>10000</v>
      </c>
      <c r="H33" s="224"/>
      <c r="I33" s="225"/>
      <c r="J33" s="15"/>
    </row>
    <row r="34" customFormat="false" ht="12" hidden="false" customHeight="false" outlineLevel="0" collapsed="false">
      <c r="A34" s="226" t="s">
        <v>85</v>
      </c>
      <c r="B34" s="217"/>
      <c r="C34" s="227" t="n">
        <f aca="false">'Credit Decision'!D11</f>
        <v>0.183025909966356</v>
      </c>
      <c r="D34" s="228" t="n">
        <f aca="false">'Credit Decision'!D11</f>
        <v>0.183025909966356</v>
      </c>
      <c r="E34" s="228" t="n">
        <f aca="false">'Credit Decision'!D11</f>
        <v>0.183025909966356</v>
      </c>
      <c r="F34" s="228" t="n">
        <f aca="false">'Credit Decision'!D11</f>
        <v>0.183025909966356</v>
      </c>
      <c r="G34" s="229" t="n">
        <f aca="false">'Credit Decision'!D11</f>
        <v>0.183025909966356</v>
      </c>
      <c r="H34" s="224"/>
      <c r="I34" s="225"/>
      <c r="J34" s="15"/>
    </row>
    <row r="35" customFormat="false" ht="12" hidden="false" customHeight="false" outlineLevel="0" collapsed="false">
      <c r="A35" s="226" t="s">
        <v>86</v>
      </c>
      <c r="B35" s="127"/>
      <c r="C35" s="195" t="n">
        <f aca="false">C33*C34</f>
        <v>-8169.74090033644</v>
      </c>
      <c r="D35" s="196" t="n">
        <f aca="false">D33*D34</f>
        <v>-5669.74090033643</v>
      </c>
      <c r="E35" s="196" t="n">
        <f aca="false">E33*E34</f>
        <v>-3169.74090033644</v>
      </c>
      <c r="F35" s="196" t="n">
        <f aca="false">F33*F34</f>
        <v>-669.740900336432</v>
      </c>
      <c r="G35" s="197" t="n">
        <f aca="false">G33*G34</f>
        <v>1830.25909966356</v>
      </c>
      <c r="H35" s="230"/>
      <c r="I35" s="231"/>
    </row>
    <row r="36" customFormat="false" ht="12" hidden="false" customHeight="false" outlineLevel="0" collapsed="false">
      <c r="A36" s="226" t="s">
        <v>87</v>
      </c>
      <c r="B36" s="232"/>
      <c r="C36" s="233" t="n">
        <f aca="false">$C$8</f>
        <v>8169.74090033644</v>
      </c>
      <c r="D36" s="234" t="n">
        <f aca="false">$C$8</f>
        <v>8169.74090033644</v>
      </c>
      <c r="E36" s="234" t="n">
        <f aca="false">$C$8</f>
        <v>8169.74090033644</v>
      </c>
      <c r="F36" s="234" t="n">
        <f aca="false">$C$8</f>
        <v>8169.74090033644</v>
      </c>
      <c r="G36" s="235" t="n">
        <f aca="false">$C$8</f>
        <v>8169.74090033644</v>
      </c>
      <c r="H36" s="9"/>
    </row>
    <row r="37" customFormat="false" ht="12.75" hidden="false" customHeight="false" outlineLevel="0" collapsed="false">
      <c r="A37" s="236" t="s">
        <v>88</v>
      </c>
      <c r="B37" s="127"/>
      <c r="C37" s="237" t="n">
        <f aca="false">$C$8+C35</f>
        <v>0</v>
      </c>
      <c r="D37" s="162" t="n">
        <f aca="false">$C$8+D35</f>
        <v>2500</v>
      </c>
      <c r="E37" s="162" t="n">
        <f aca="false">$C$8+E35</f>
        <v>5000</v>
      </c>
      <c r="F37" s="162" t="n">
        <f aca="false">$C$8+F35</f>
        <v>7500</v>
      </c>
      <c r="G37" s="238" t="n">
        <f aca="false">$C$8+G35</f>
        <v>10000</v>
      </c>
      <c r="H37" s="9"/>
    </row>
    <row r="38" customFormat="false" ht="12.75" hidden="false" customHeight="false" outlineLevel="0" collapsed="false">
      <c r="A38" s="239"/>
      <c r="B38" s="240"/>
      <c r="C38" s="239"/>
      <c r="D38" s="239"/>
      <c r="E38" s="239"/>
      <c r="F38" s="239"/>
      <c r="G38" s="239"/>
      <c r="H38" s="9"/>
    </row>
    <row r="39" customFormat="false" ht="12" hidden="false" customHeight="false" outlineLevel="0" collapsed="false">
      <c r="A39" s="236" t="s">
        <v>89</v>
      </c>
      <c r="B39" s="127"/>
      <c r="C39" s="241" t="n">
        <f aca="false">C37/'Credit Decision'!$H$6</f>
        <v>0</v>
      </c>
      <c r="D39" s="242" t="n">
        <f aca="false">D37/'Credit Decision'!$H$6</f>
        <v>0.0125</v>
      </c>
      <c r="E39" s="242" t="n">
        <f aca="false">E37/'Credit Decision'!$H$6</f>
        <v>0.025</v>
      </c>
      <c r="F39" s="242" t="n">
        <f aca="false">F37/'Credit Decision'!$H$6</f>
        <v>0.0375</v>
      </c>
      <c r="G39" s="243" t="n">
        <f aca="false">G37/'Credit Decision'!$H$6</f>
        <v>0.05</v>
      </c>
      <c r="H39" s="9"/>
    </row>
    <row r="40" customFormat="false" ht="12" hidden="false" customHeight="false" outlineLevel="0" collapsed="false">
      <c r="A40" s="9"/>
      <c r="B40" s="240"/>
      <c r="C40" s="9"/>
      <c r="D40" s="9"/>
      <c r="E40" s="9"/>
      <c r="F40" s="9"/>
      <c r="G40" s="9"/>
      <c r="H40" s="9"/>
    </row>
    <row r="41" customFormat="false" ht="12" hidden="false" customHeight="false" outlineLevel="0" collapsed="false">
      <c r="A41" s="9"/>
      <c r="B41" s="240"/>
      <c r="C41" s="9"/>
      <c r="D41" s="9"/>
      <c r="E41" s="9"/>
      <c r="F41" s="9"/>
      <c r="G41" s="9"/>
      <c r="H41" s="9"/>
    </row>
    <row r="42" customFormat="false" ht="12" hidden="false" customHeight="false" outlineLevel="0" collapsed="false">
      <c r="A42" s="9"/>
      <c r="B42" s="240"/>
      <c r="C42" s="9"/>
      <c r="D42" s="9"/>
      <c r="E42" s="9"/>
      <c r="F42" s="9"/>
      <c r="G42" s="9"/>
      <c r="H42" s="9"/>
    </row>
    <row r="43" customFormat="false" ht="12" hidden="false" customHeight="false" outlineLevel="0" collapsed="false">
      <c r="A43" s="9"/>
      <c r="B43" s="240"/>
      <c r="C43" s="9"/>
      <c r="D43" s="9"/>
      <c r="E43" s="9"/>
      <c r="F43" s="9"/>
      <c r="G43" s="9"/>
      <c r="H43" s="9"/>
    </row>
    <row r="44" customFormat="false" ht="12" hidden="false" customHeight="false" outlineLevel="0" collapsed="false">
      <c r="A44" s="9"/>
      <c r="B44" s="240"/>
      <c r="C44" s="9"/>
      <c r="D44" s="9"/>
      <c r="E44" s="9"/>
      <c r="F44" s="9"/>
      <c r="G44" s="9"/>
      <c r="H44" s="9"/>
    </row>
    <row r="45" customFormat="false" ht="12" hidden="false" customHeight="false" outlineLevel="0" collapsed="false">
      <c r="C45" s="244"/>
      <c r="D45" s="244"/>
      <c r="E45" s="244"/>
      <c r="F45" s="244"/>
      <c r="G45" s="244"/>
    </row>
    <row r="46" customFormat="false" ht="12" hidden="false" customHeight="false" outlineLevel="0" collapsed="false">
      <c r="C46" s="245"/>
      <c r="D46" s="245"/>
      <c r="E46" s="245"/>
      <c r="F46" s="245"/>
      <c r="G46" s="245"/>
    </row>
    <row r="47" customFormat="false" ht="12" hidden="false" customHeight="false" outlineLevel="0" collapsed="false">
      <c r="C47" s="244"/>
      <c r="D47" s="244"/>
      <c r="E47" s="244"/>
      <c r="F47" s="244"/>
      <c r="G47" s="244"/>
    </row>
    <row r="48" customFormat="false" ht="12" hidden="false" customHeight="false" outlineLevel="0" collapsed="false">
      <c r="C48" s="246"/>
      <c r="D48" s="246"/>
      <c r="E48" s="246"/>
      <c r="F48" s="246"/>
      <c r="G48" s="246"/>
    </row>
    <row r="49" customFormat="false" ht="12" hidden="false" customHeight="false" outlineLevel="0" collapsed="false">
      <c r="C49" s="245"/>
      <c r="D49" s="245"/>
      <c r="E49" s="245"/>
      <c r="F49" s="245"/>
      <c r="G49" s="245"/>
    </row>
  </sheetData>
  <sheetProtection sheet="true" password="da31" objects="true" scenarios="true"/>
  <printOptions headings="true" gridLines="true" gridLinesSet="true" horizontalCentered="tru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1999-04-07T03:56:47Z</dcterms:created>
  <dc:creator>Finance Department</dc:creator>
  <dc:description/>
  <dc:language>en-US</dc:language>
  <cp:lastModifiedBy>College of Business</cp:lastModifiedBy>
  <cp:lastPrinted>1999-04-02T23:14:17Z</cp:lastPrinted>
  <cp:revision>0</cp:revision>
  <dc:subject/>
  <dc:title>Credit Line</dc:title>
</cp:coreProperties>
</file>