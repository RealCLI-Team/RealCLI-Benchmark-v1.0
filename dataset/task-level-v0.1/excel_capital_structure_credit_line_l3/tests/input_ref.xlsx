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troduction" sheetId="1" state="visible" r:id="rId1"/>
    <sheet name="Assigning Weights" sheetId="2" state="visible" r:id="rId2"/>
    <sheet name="Priorities &amp; Attributes" sheetId="3" state="visible" r:id="rId3"/>
    <sheet name="Credit Decision" sheetId="4" state="visible" r:id="rId4"/>
    <sheet name="Credit Line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4">
    <numFmt numFmtId="164" formatCode="0.0000"/>
    <numFmt numFmtId="165" formatCode="0.000"/>
    <numFmt numFmtId="166" formatCode="#,##0.0000"/>
    <numFmt numFmtId="167" formatCode="\$#,##0_);&quot;($&quot;#,##0\)"/>
    <numFmt numFmtId="168" formatCode="#,##0.000"/>
    <numFmt numFmtId="169" formatCode="\$#,##0_);[RED]&quot;($&quot;#,##0\)"/>
    <numFmt numFmtId="170" formatCode="_(\$* #,##0_);_(\$* \(#,##0\);_(\$* \-_);_(@_)"/>
    <numFmt numFmtId="171" formatCode="_(\$* #,##0_);_(\$* \(#,##0\);_(\$* \-??_);_(@_)"/>
    <numFmt numFmtId="172" formatCode="_(* #,##0_);_(* \(#,##0\);_(* \-??_);_(@_)"/>
    <numFmt numFmtId="173" formatCode="_(\$* #,##0.00_);_(\$* \(#,##0.00\);_(\$* \-??_);_(@_)"/>
    <numFmt numFmtId="174" formatCode="_-* #,##0\ _F_-;\-* #,##0\ _F_-;_-* &quot;- &quot;_F_-;_-@_-"/>
    <numFmt numFmtId="175" formatCode="yyddmm"/>
    <numFmt numFmtId="176" formatCode="mmmddyyyy"/>
    <numFmt numFmtId="177" formatCode="yyyymmmdd"/>
    <numFmt numFmtId="178" formatCode="[$-409]#,##0_);[RED]\(#,##0\)"/>
    <numFmt numFmtId="179" formatCode="0.00&quot;  &quot;"/>
    <numFmt numFmtId="180" formatCode="mmm\.yy"/>
    <numFmt numFmtId="181" formatCode="_ * #,##0_)_£_ ;_ * \(#,##0\)_£_ ;_ * \-_)_£_ ;_ @_ "/>
    <numFmt numFmtId="182" formatCode="yyddmmmm"/>
    <numFmt numFmtId="183" formatCode="_-* #,##0.00\ _F_-;\-* #,##0.00\ _F_-;_-* \-??\ _F_-;_-@_-"/>
    <numFmt numFmtId="184" formatCode="ddmmyy"/>
    <numFmt numFmtId="185" formatCode="000"/>
    <numFmt numFmtId="186" formatCode="0000&quot; - &quot;0000"/>
    <numFmt numFmtId="187" formatCode="[$-409]#,##0.00_);[RED]\(#,##0.00\)"/>
    <numFmt numFmtId="188" formatCode="\$#,##0.00_);[RED]&quot;($&quot;#,##0.00\)"/>
    <numFmt numFmtId="189" formatCode="0.0&quot;  &quot;"/>
    <numFmt numFmtId="190" formatCode="\$#,##0\ ;[RED]&quot;($&quot;#,##0\)"/>
    <numFmt numFmtId="191" formatCode="m\-d\-yy"/>
    <numFmt numFmtId="192" formatCode="_(\$* #,##0.000_);_(\$* \(#,##0.000\);_(\$* \-??_);_(@_)"/>
    <numFmt numFmtId="193" formatCode="_(* #,##0_);_(* \(#,##0\);_(* \-_);_(@_)"/>
    <numFmt numFmtId="194" formatCode="yymmmdd"/>
    <numFmt numFmtId="195" formatCode="ddmmmmyyyy"/>
    <numFmt numFmtId="196" formatCode="\$____#########0_);[RED]&quot;($&quot;____#######0\)"/>
    <numFmt numFmtId="197" formatCode=".00"/>
    <numFmt numFmtId="198" formatCode="_(* #,##0.00_);_(* \(#,##0.00\);_(* \-??_);_(@_)"/>
    <numFmt numFmtId="199" formatCode="[$-409]#,##0_);\(#,##0\)"/>
    <numFmt numFmtId="200" formatCode="ddmmmyy"/>
    <numFmt numFmtId="201" formatCode="mmmmddyy"/>
    <numFmt numFmtId="202" formatCode="\$_##,##0_);[RED]&quot;($&quot;_#\,##0\)"/>
    <numFmt numFmtId="203" formatCode="_(* #,##0_);_(* \(#,##0\);_(* &quot;0.0&quot;_);_(@_)"/>
    <numFmt numFmtId="204" formatCode="#,##0\£_);[RED]\(#,##0&quot;£)&quot;"/>
    <numFmt numFmtId="205" formatCode="_(* #,##0.0_);_(* \(#,##0.0\);_(* &quot;0.0&quot;_);_(@_)"/>
    <numFmt numFmtId="206" formatCode="0.00000&quot;  &quot;"/>
    <numFmt numFmtId="207" formatCode="d\.m\.yy\ h:mm"/>
    <numFmt numFmtId="208" formatCode="#,##0.000_);\(#,##0.000\)"/>
    <numFmt numFmtId="209" formatCode="_-* #,##0.0_-;\-* #,##0.0_-;_-* \-??_-;_-@_-"/>
    <numFmt numFmtId="210" formatCode="yyyyddmm"/>
    <numFmt numFmtId="211" formatCode="\£#,##0;[RED]&quot;-£&quot;#,##0"/>
    <numFmt numFmtId="212" formatCode="_-* #,##0&quot; F&quot;_-;\-* #,##0&quot; F&quot;_-;_-* &quot;- F&quot;_-;_-@_-"/>
    <numFmt numFmtId="213" formatCode="_-\£* #,##0_-;&quot;-£&quot;* #,##0_-;_-\£* \-_-;_-@_-"/>
    <numFmt numFmtId="214" formatCode="mmmmddyyyy"/>
    <numFmt numFmtId="215" formatCode="yyyyddmmmm"/>
    <numFmt numFmtId="216" formatCode="_-\£* #,##0.00_-;&quot;-£&quot;* #,##0.00_-;_-\£* \-??_-;_-@_-"/>
    <numFmt numFmtId="217" formatCode="_(* #,##0.0000_);_(* \(#,##0.0000\);_(* \-??_);_(@_)"/>
    <numFmt numFmtId="218" formatCode=".0"/>
    <numFmt numFmtId="219" formatCode="#,##0.00\£_);\(#,##0.00&quot;£)&quot;"/>
    <numFmt numFmtId="220" formatCode="_(\$* #,##0.0_);_(\$* \(#,##0.0\);_(\$* &quot;0.0&quot;_);_(@_)"/>
    <numFmt numFmtId="221" formatCode="#,##0.000_);[RED]\(#,##0.000\)"/>
    <numFmt numFmtId="222" formatCode="0&quot;  &quot;"/>
    <numFmt numFmtId="223" formatCode="0.0000%"/>
    <numFmt numFmtId="224" formatCode="\£#,##0.00;[RED]&quot;-£&quot;#,##0.00"/>
    <numFmt numFmtId="225" formatCode="_-* #,##0.00&quot; F&quot;_-;\-* #,##0.00&quot; F&quot;_-;_-* \-??&quot; F&quot;_-;_-@_-"/>
    <numFmt numFmtId="226" formatCode="yymmmmdd"/>
    <numFmt numFmtId="227" formatCode="[BLUE]General"/>
    <numFmt numFmtId="228" formatCode="#,##0\£_);\(#,##0&quot;£)&quot;"/>
    <numFmt numFmtId="229" formatCode="#,##0.00&quot; $&quot;;[RED]\-#,##0.00&quot; $&quot;"/>
    <numFmt numFmtId="230" formatCode="yyyyddmmm"/>
    <numFmt numFmtId="231" formatCode="m/d/yyyy"/>
    <numFmt numFmtId="232" formatCode="#,##0.00&quot; $&quot;;\-#,##0.00&quot; $&quot;"/>
    <numFmt numFmtId="233" formatCode="0.00_)"/>
    <numFmt numFmtId="234" formatCode="d/m/yy\ h:mm"/>
    <numFmt numFmtId="235" formatCode="General_)"/>
    <numFmt numFmtId="236" formatCode="#,##0.0_);\(#,##0.0\)"/>
    <numFmt numFmtId="237" formatCode="_-* #,##0.000_-;\-* #,##0.000_-;_-* \-??_-;_-@_-"/>
  </numFmts>
  <fonts count="100">
    <font>
      <name val="Arial"/>
      <family val="0"/>
      <sz val="9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Sans Serif"/>
      <family val="2"/>
      <sz val="10"/>
    </font>
    <font>
      <name val="???"/>
      <charset val="129"/>
      <family val="3"/>
      <sz val="12"/>
    </font>
    <font>
      <name val="???"/>
      <charset val="129"/>
      <family val="1"/>
      <sz val="12"/>
    </font>
    <font>
      <name val="???"/>
      <charset val="129"/>
      <family val="3"/>
      <sz val="10"/>
    </font>
    <font>
      <name val="??"/>
      <charset val="129"/>
      <family val="3"/>
      <sz val="11"/>
    </font>
    <font>
      <name val="Arial"/>
      <family val="2"/>
      <sz val="10"/>
    </font>
    <font>
      <name val="???"/>
      <charset val="129"/>
      <family val="1"/>
      <sz val="11"/>
    </font>
    <font>
      <name val="???"/>
      <charset val="129"/>
      <family val="3"/>
      <sz val="11"/>
    </font>
    <font>
      <name val="Arial"/>
      <family val="0"/>
      <b val="1"/>
      <sz val="10"/>
    </font>
    <font>
      <name val="Arial"/>
      <family val="2"/>
      <sz val="8"/>
    </font>
    <font>
      <name val="Arial"/>
      <family val="2"/>
      <b val="1"/>
      <color rgb="FF800000"/>
      <sz val="11"/>
      <u val="single"/>
    </font>
    <font>
      <name val="Arial"/>
      <family val="2"/>
      <color rgb="FF0000FF"/>
      <sz val="10"/>
    </font>
    <font>
      <name val="Small Fonts"/>
      <family val="0"/>
      <sz val="7"/>
    </font>
    <font>
      <name val="Arial"/>
      <family val="0"/>
      <b val="1"/>
      <i val="1"/>
      <sz val="16"/>
    </font>
    <font>
      <name val="Courier New"/>
      <family val="0"/>
      <sz val="10"/>
    </font>
    <font>
      <name val="Arial"/>
      <family val="0"/>
      <sz val="8"/>
    </font>
    <font>
      <name val="Letter Gothic (W1)"/>
      <family val="0"/>
      <sz val="20"/>
    </font>
    <font>
      <name val="Arial"/>
      <family val="2"/>
      <sz val="12"/>
    </font>
    <font>
      <name val="MS Sans Serif"/>
      <family val="0"/>
      <sz val="10"/>
    </font>
    <font>
      <name val="Courier New"/>
      <family val="3"/>
      <sz val="12"/>
    </font>
    <font>
      <name val="Courier New"/>
      <family val="3"/>
      <sz val="8"/>
    </font>
    <font>
      <name val="Geneva"/>
      <family val="2"/>
      <sz val="10"/>
    </font>
    <font>
      <name val="Book Antiqua"/>
      <family val="1"/>
      <sz val="10"/>
    </font>
    <font>
      <name val="Geneva"/>
      <family val="0"/>
      <sz val="10"/>
    </font>
    <font>
      <name val="Times New Roman"/>
      <family val="0"/>
      <sz val="12"/>
    </font>
    <font>
      <name val="Times New Roman"/>
      <family val="0"/>
      <sz val="10"/>
    </font>
    <font>
      <name val="Times New Roman"/>
      <family val="1"/>
      <sz val="10"/>
    </font>
    <font>
      <name val=""/>
      <family val="0"/>
      <sz val="8"/>
    </font>
    <font>
      <name val="Arial"/>
      <family val="0"/>
      <sz val="12"/>
    </font>
    <font>
      <name val="Times New Roman"/>
      <family val="1"/>
      <sz val="12"/>
    </font>
    <font>
      <name val="Courier New"/>
      <family val="3"/>
      <sz val="10"/>
    </font>
    <font>
      <name val="Univers (W1)"/>
      <family val="0"/>
      <sz val="10"/>
    </font>
    <font>
      <name val="Arial MT"/>
      <family val="0"/>
      <sz val="12"/>
    </font>
    <font>
      <name val="Univers (W1)"/>
      <family val="2"/>
      <sz val="10"/>
    </font>
    <font>
      <name val="Times New Roman"/>
      <family val="1"/>
      <b val="1"/>
      <sz val="14"/>
    </font>
    <font>
      <name val="Times New Roman"/>
      <family val="0"/>
      <b val="1"/>
      <sz val="14"/>
    </font>
    <font>
      <name val="AngsanaUPC"/>
      <family val="1"/>
      <sz val="14"/>
    </font>
    <font>
      <name val="Arial"/>
      <family val="2"/>
      <sz val="7"/>
    </font>
    <font>
      <name val="Arial Narrow"/>
      <family val="2"/>
      <sz val="9"/>
    </font>
    <font>
      <name val="Arial"/>
      <family val="0"/>
      <sz val="7"/>
    </font>
    <font>
      <name val="EucrosiaUPC"/>
      <family val="1"/>
      <sz val="12"/>
    </font>
    <font>
      <name val="CordiaUPC"/>
      <family val="1"/>
      <sz val="14"/>
    </font>
    <font>
      <name val="Advisor SSi"/>
      <family val="1"/>
      <sz val="10"/>
    </font>
    <font>
      <name val="FreesiaUPC"/>
      <family val="1"/>
      <sz val="14"/>
    </font>
    <font>
      <name val="PathWay Access 3.0"/>
      <family val="3"/>
      <sz val="12"/>
    </font>
    <font>
      <name val="MS Sans Serif"/>
      <family val="2"/>
      <sz val="8.5"/>
    </font>
    <font>
      <name val="Arial Narrow"/>
      <family val="2"/>
      <sz val="10"/>
    </font>
    <font>
      <name val="MS Sans Serif"/>
      <family val="0"/>
      <color rgb="FF000000"/>
      <sz val="10"/>
    </font>
    <font>
      <name val="Book Antiqua"/>
      <family val="1"/>
      <sz val="11"/>
    </font>
    <font>
      <name val="Times New Roman"/>
      <family val="0"/>
      <sz val="8"/>
    </font>
    <font>
      <name val="TimesNewRomanPS"/>
      <family val="1"/>
      <sz val="10"/>
    </font>
    <font>
      <name val="Times New Roman"/>
      <family val="1"/>
      <sz val="8"/>
    </font>
    <font>
      <name val="Arial"/>
      <family val="2"/>
      <color rgb="FF0000FF"/>
      <sz val="8"/>
    </font>
    <font>
      <name val="Comic Sans MS"/>
      <family val="4"/>
      <sz val="10"/>
    </font>
    <font>
      <name val="Arial"/>
      <family val="2"/>
      <b val="1"/>
      <sz val="7"/>
    </font>
    <font>
      <name val="Comic Sans MS"/>
      <family val="4"/>
      <b val="1"/>
      <color rgb="FFFFFFFF"/>
      <sz val="20"/>
    </font>
    <font>
      <name val="Comic Sans MS"/>
      <family val="4"/>
      <color rgb="FFFFFFFF"/>
      <sz val="10"/>
    </font>
    <font>
      <name val="Comic Sans MS"/>
      <family val="4"/>
      <i val="1"/>
      <color rgb="FFFFFFFF"/>
      <sz val="10"/>
    </font>
    <font>
      <name val="Arial"/>
      <family val="2"/>
      <color rgb="FFFFFFFF"/>
      <sz val="10"/>
    </font>
    <font>
      <name val="Arial"/>
      <family val="2"/>
      <b val="1"/>
      <color rgb="FFFFFFFF"/>
      <sz val="8"/>
    </font>
    <font>
      <name val="Arial"/>
      <family val="2"/>
      <b val="1"/>
      <color rgb="FF0000FF"/>
      <sz val="9"/>
    </font>
    <font>
      <name val="Arial"/>
      <family val="2"/>
      <b val="1"/>
      <color rgb="FF0000FF"/>
      <sz val="8"/>
    </font>
    <font>
      <name val="Arial"/>
      <family val="2"/>
      <b val="1"/>
      <sz val="8"/>
    </font>
    <font>
      <name val="Arial"/>
      <family val="0"/>
      <b val="1"/>
      <sz val="9"/>
    </font>
    <font>
      <name val="Arial"/>
      <family val="2"/>
      <b val="1"/>
      <color rgb="FF0000FF"/>
      <sz val="8"/>
      <u val="single"/>
    </font>
    <font>
      <name val="Arial"/>
      <family val="2"/>
      <i val="1"/>
      <sz val="8"/>
    </font>
    <font>
      <name val="Arial"/>
      <family val="0"/>
      <b val="1"/>
      <sz val="8"/>
    </font>
    <font>
      <name val="Arial"/>
      <family val="2"/>
      <b val="1"/>
      <sz val="10"/>
    </font>
    <font>
      <name val="Arial"/>
      <family val="2"/>
      <b val="1"/>
      <color rgb="FFFF0000"/>
      <sz val="8"/>
    </font>
    <font>
      <name val="Arial"/>
      <family val="2"/>
      <b val="1"/>
      <i val="1"/>
      <sz val="8"/>
    </font>
    <font>
      <name val="Arial"/>
      <family val="2"/>
      <sz val="9"/>
    </font>
    <font>
      <name val="Arial"/>
      <family val="2"/>
      <b val="1"/>
      <color rgb="FF000000"/>
      <sz val="8"/>
    </font>
    <font>
      <name val="Arial"/>
      <family val="2"/>
      <i val="1"/>
      <color rgb="FF000000"/>
      <sz val="8"/>
    </font>
    <font>
      <name val="Arial"/>
      <family val="2"/>
      <b val="1"/>
      <color rgb="FF0000FF"/>
      <sz val="7"/>
    </font>
    <font>
      <name val="Arial"/>
      <family val="2"/>
      <b val="1"/>
      <i val="1"/>
      <color rgb="FF0000FF"/>
      <sz val="7"/>
    </font>
    <font>
      <name val="Arial"/>
      <family val="2"/>
      <b val="1"/>
      <color rgb="FF000000"/>
      <sz val="7"/>
    </font>
    <font>
      <name val="Arial"/>
      <family val="2"/>
      <i val="1"/>
      <color rgb="FF000000"/>
      <sz val="7"/>
    </font>
    <font>
      <name val="Arial"/>
      <family val="2"/>
      <i val="1"/>
      <sz val="7"/>
    </font>
    <font>
      <name val="Arial"/>
      <family val="2"/>
      <b val="1"/>
      <color rgb="FFFFFFFF"/>
      <sz val="7"/>
    </font>
    <font>
      <name val="Arial"/>
      <family val="2"/>
      <color rgb="FFFFFFFF"/>
      <sz val="8"/>
    </font>
    <font>
      <name val="Arial"/>
      <family val="2"/>
      <b val="1"/>
      <color rgb="FF808080"/>
      <sz val="8"/>
    </font>
    <font>
      <name val="Arial"/>
      <family val="2"/>
      <color rgb="FF808080"/>
      <sz val="8"/>
    </font>
    <font>
      <name val="Arial"/>
      <family val="2"/>
      <b val="1"/>
      <color rgb="FF003300"/>
      <sz val="8"/>
    </font>
    <font>
      <name val="Arial"/>
      <family val="2"/>
      <color rgb="FFFFFFFF"/>
      <sz val="7"/>
    </font>
    <font>
      <name val="Arial"/>
      <family val="2"/>
      <b val="1"/>
      <color rgb="FFFFFFFF"/>
      <sz val="9"/>
    </font>
    <font>
      <name val="Arial"/>
      <family val="2"/>
      <b val="1"/>
      <color rgb="FF0000FF"/>
      <sz val="7"/>
      <u val="single"/>
    </font>
    <font>
      <name val="Arial"/>
      <family val="2"/>
      <b val="1"/>
      <sz val="8"/>
      <u val="single"/>
    </font>
    <font>
      <name val="Arial"/>
      <family val="2"/>
      <b val="1"/>
      <i val="1"/>
      <sz val="7"/>
    </font>
    <font>
      <name val="Arial"/>
      <family val="2"/>
      <b val="1"/>
      <color rgb="FFFF0000"/>
      <sz val="7"/>
    </font>
    <font>
      <name val="Arial"/>
      <family val="2"/>
      <b val="1"/>
      <i val="1"/>
      <color rgb="FFFF0000"/>
      <sz val="8"/>
    </font>
    <font>
      <name val="Arial"/>
      <family val="2"/>
      <b val="1"/>
      <i val="1"/>
      <color rgb="FFFF0000"/>
      <sz val="8"/>
      <u val="single"/>
    </font>
    <font>
      <name val="Arial"/>
      <family val="2"/>
      <b val="1"/>
      <i val="1"/>
      <color rgb="FFFF0000"/>
      <sz val="9"/>
    </font>
    <font>
      <name val="Arial"/>
      <family val="2"/>
      <b val="1"/>
      <i val="1"/>
      <color rgb="FFFFFFFF"/>
      <sz val="8"/>
    </font>
    <font>
      <name val="Arial"/>
      <family val="0"/>
      <b val="1"/>
      <color rgb="FF000000"/>
      <sz val="8"/>
    </font>
    <font>
      <name val="Arial"/>
      <family val="2"/>
      <b val="1"/>
      <color rgb="FF000080"/>
      <sz val="8"/>
    </font>
    <font>
      <name val="Arial"/>
      <family val="2"/>
      <b val="1"/>
      <color rgb="FF000080"/>
      <sz val="7"/>
    </font>
  </fonts>
  <fills count="12">
    <fill>
      <patternFill/>
    </fill>
    <fill>
      <patternFill patternType="gray125"/>
    </fill>
    <fill>
      <patternFill patternType="solid">
        <fgColor rgb="FFA6CAF0"/>
        <bgColor rgb="FFC0C0C0"/>
      </patternFill>
    </fill>
    <fill>
      <patternFill patternType="solid">
        <fgColor rgb="FFC0C0C0"/>
        <bgColor rgb="FFA6CAF0"/>
      </patternFill>
    </fill>
    <fill>
      <patternFill patternType="solid">
        <fgColor rgb="FFFFFFC0"/>
        <bgColor rgb="FFFFFF9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333300"/>
        <bgColor rgb="FF333333"/>
      </patternFill>
    </fill>
    <fill>
      <patternFill patternType="solid">
        <fgColor rgb="FFCCFFCC"/>
        <bgColor rgb="FFCCFFFF"/>
      </patternFill>
    </fill>
    <fill>
      <patternFill patternType="solid">
        <fgColor rgb="FFE3E3E3"/>
        <bgColor rgb="FFCCFFCC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0"/>
      </patternFill>
    </fill>
  </fills>
  <borders count="32">
    <border>
      <left/>
      <right/>
      <top/>
      <bottom/>
      <diagonal/>
    </border>
    <border>
      <left style="double"/>
      <right/>
      <top/>
      <bottom style="hair"/>
      <diagonal/>
    </border>
    <border>
      <left style="double"/>
      <right style="double"/>
      <top style="double"/>
      <bottom style="double"/>
      <diagonal/>
    </border>
    <border>
      <left/>
      <right/>
      <top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</borders>
  <cellStyleXfs count="154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73" fontId="0" fillId="0" borderId="0"/>
    <xf numFmtId="42" fontId="3" fillId="0" borderId="0"/>
    <xf numFmtId="9" fontId="3" fillId="0" borderId="0"/>
    <xf numFmtId="174" fontId="0" fillId="0" borderId="0"/>
    <xf numFmtId="175" fontId="0" fillId="0" borderId="0"/>
    <xf numFmtId="176" fontId="0" fillId="0" borderId="0"/>
    <xf numFmtId="176" fontId="0" fillId="0" borderId="0"/>
    <xf numFmtId="176" fontId="0" fillId="0" borderId="0"/>
    <xf numFmtId="176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0" fillId="0" borderId="0"/>
    <xf numFmtId="177" fontId="0" fillId="0" borderId="0"/>
    <xf numFmtId="176" fontId="0" fillId="0" borderId="0"/>
    <xf numFmtId="178" fontId="0" fillId="0" borderId="0"/>
    <xf numFmtId="169" fontId="0" fillId="0" borderId="0"/>
    <xf numFmtId="179" fontId="0" fillId="0" borderId="0"/>
    <xf numFmtId="177" fontId="0" fillId="0" borderId="0"/>
    <xf numFmtId="174" fontId="0" fillId="0" borderId="0"/>
    <xf numFmtId="0" fontId="0" fillId="0" borderId="0"/>
    <xf numFmtId="180" fontId="0" fillId="0" borderId="0"/>
    <xf numFmtId="176" fontId="0" fillId="0" borderId="0"/>
    <xf numFmtId="0" fontId="0" fillId="0" borderId="0"/>
    <xf numFmtId="177" fontId="0" fillId="0" borderId="0"/>
    <xf numFmtId="181" fontId="0" fillId="0" borderId="0"/>
    <xf numFmtId="182" fontId="0" fillId="0" borderId="0"/>
    <xf numFmtId="183" fontId="0" fillId="0" borderId="0"/>
    <xf numFmtId="184" fontId="0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185" fontId="0" fillId="0" borderId="0"/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185" fontId="0" fillId="0" borderId="0"/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185" fontId="0" fillId="0" borderId="0"/>
    <xf numFmtId="186" fontId="0" fillId="0" borderId="0"/>
    <xf numFmtId="0" fontId="7" fillId="0" borderId="0" applyAlignment="1">
      <alignment horizontal="general" vertical="bottom"/>
    </xf>
    <xf numFmtId="186" fontId="0" fillId="0" borderId="0"/>
    <xf numFmtId="0" fontId="6" fillId="0" borderId="0" applyAlignment="1">
      <alignment horizontal="general" vertical="bottom"/>
    </xf>
    <xf numFmtId="0" fontId="8" fillId="0" borderId="0" applyAlignment="1">
      <alignment horizontal="general" vertical="bottom"/>
    </xf>
    <xf numFmtId="185" fontId="0" fillId="0" borderId="0"/>
    <xf numFmtId="186" fontId="0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6" fillId="0" borderId="0" applyAlignment="1">
      <alignment horizontal="general" vertical="bottom"/>
    </xf>
    <xf numFmtId="186" fontId="0" fillId="0" borderId="0"/>
    <xf numFmtId="0" fontId="5" fillId="0" borderId="0" applyAlignment="1">
      <alignment horizontal="general" vertical="bottom"/>
    </xf>
    <xf numFmtId="176" fontId="0" fillId="0" borderId="0"/>
    <xf numFmtId="0" fontId="9" fillId="0" borderId="0" applyAlignment="1">
      <alignment horizontal="general" vertical="bottom"/>
    </xf>
    <xf numFmtId="186" fontId="0" fillId="0" borderId="0"/>
    <xf numFmtId="185" fontId="0" fillId="0" borderId="0"/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8" fillId="0" borderId="0" applyAlignment="1">
      <alignment horizontal="general" vertical="bottom"/>
    </xf>
    <xf numFmtId="187" fontId="0" fillId="0" borderId="0"/>
    <xf numFmtId="0" fontId="6" fillId="0" borderId="0" applyAlignment="1">
      <alignment horizontal="general" vertical="bottom"/>
    </xf>
    <xf numFmtId="188" fontId="0" fillId="0" borderId="0"/>
    <xf numFmtId="189" fontId="0" fillId="0" borderId="0"/>
    <xf numFmtId="0" fontId="5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9" fillId="0" borderId="0" applyAlignment="1">
      <alignment horizontal="general" vertical="bottom"/>
    </xf>
    <xf numFmtId="185" fontId="0" fillId="0" borderId="0"/>
    <xf numFmtId="186" fontId="0" fillId="0" borderId="0"/>
    <xf numFmtId="183" fontId="0" fillId="0" borderId="0"/>
    <xf numFmtId="0" fontId="0" fillId="0" borderId="0"/>
    <xf numFmtId="0" fontId="8" fillId="0" borderId="0" applyAlignment="1">
      <alignment horizontal="general" vertical="bottom"/>
    </xf>
    <xf numFmtId="180" fontId="0" fillId="0" borderId="0"/>
    <xf numFmtId="185" fontId="0" fillId="0" borderId="0"/>
    <xf numFmtId="0" fontId="9" fillId="0" borderId="0" applyAlignment="1">
      <alignment horizontal="general" vertical="bottom"/>
    </xf>
    <xf numFmtId="0" fontId="0" fillId="0" borderId="0"/>
    <xf numFmtId="186" fontId="0" fillId="0" borderId="0"/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  <xf numFmtId="181" fontId="0" fillId="0" borderId="0"/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8" fillId="0" borderId="0" applyAlignment="1">
      <alignment horizontal="general" vertical="bottom"/>
    </xf>
    <xf numFmtId="190" fontId="0" fillId="0" borderId="0"/>
    <xf numFmtId="0" fontId="5" fillId="0" borderId="0" applyAlignment="1">
      <alignment horizontal="general" vertical="bottom"/>
    </xf>
    <xf numFmtId="191" fontId="12" fillId="2" borderId="1" applyAlignment="1">
      <alignment horizontal="center" vertical="center"/>
    </xf>
    <xf numFmtId="192" fontId="0" fillId="0" borderId="0"/>
    <xf numFmtId="193" fontId="0" fillId="0" borderId="0"/>
    <xf numFmtId="192" fontId="0" fillId="0" borderId="0"/>
    <xf numFmtId="193" fontId="0" fillId="0" borderId="0"/>
    <xf numFmtId="176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93" fontId="0" fillId="0" borderId="0"/>
    <xf numFmtId="192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78" fontId="0" fillId="0" borderId="0"/>
    <xf numFmtId="193" fontId="0" fillId="0" borderId="0"/>
    <xf numFmtId="193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94" fontId="0" fillId="0" borderId="0"/>
    <xf numFmtId="178" fontId="0" fillId="0" borderId="0"/>
    <xf numFmtId="178" fontId="0" fillId="0" borderId="0"/>
    <xf numFmtId="192" fontId="0" fillId="0" borderId="0"/>
    <xf numFmtId="194" fontId="0" fillId="0" borderId="0"/>
    <xf numFmtId="193" fontId="0" fillId="0" borderId="0"/>
    <xf numFmtId="192" fontId="0" fillId="0" borderId="0"/>
    <xf numFmtId="192" fontId="0" fillId="0" borderId="0"/>
    <xf numFmtId="178" fontId="0" fillId="0" borderId="0"/>
    <xf numFmtId="193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3" fontId="0" fillId="0" borderId="0"/>
    <xf numFmtId="193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92" fontId="0" fillId="0" borderId="0"/>
    <xf numFmtId="178" fontId="0" fillId="0" borderId="0"/>
    <xf numFmtId="178" fontId="0" fillId="0" borderId="0"/>
    <xf numFmtId="178" fontId="0" fillId="0" borderId="0"/>
    <xf numFmtId="193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74" fontId="0" fillId="0" borderId="0"/>
    <xf numFmtId="193" fontId="0" fillId="0" borderId="0"/>
    <xf numFmtId="192" fontId="0" fillId="0" borderId="0"/>
    <xf numFmtId="4" fontId="0" fillId="0" borderId="0"/>
    <xf numFmtId="176" fontId="0" fillId="0" borderId="0"/>
    <xf numFmtId="195" fontId="0" fillId="0" borderId="0"/>
    <xf numFmtId="178" fontId="0" fillId="0" borderId="0"/>
    <xf numFmtId="195" fontId="0" fillId="0" borderId="0"/>
    <xf numFmtId="178" fontId="0" fillId="0" borderId="0"/>
    <xf numFmtId="174" fontId="0" fillId="0" borderId="0"/>
    <xf numFmtId="195" fontId="0" fillId="0" borderId="0"/>
    <xf numFmtId="174" fontId="0" fillId="0" borderId="0"/>
    <xf numFmtId="195" fontId="0" fillId="0" borderId="0"/>
    <xf numFmtId="192" fontId="0" fillId="0" borderId="0"/>
    <xf numFmtId="193" fontId="0" fillId="0" borderId="0"/>
    <xf numFmtId="174" fontId="0" fillId="0" borderId="0"/>
    <xf numFmtId="178" fontId="0" fillId="0" borderId="0"/>
    <xf numFmtId="192" fontId="0" fillId="0" borderId="0"/>
    <xf numFmtId="195" fontId="0" fillId="0" borderId="0"/>
    <xf numFmtId="192" fontId="0" fillId="0" borderId="0"/>
    <xf numFmtId="192" fontId="0" fillId="0" borderId="0"/>
    <xf numFmtId="192" fontId="0" fillId="0" borderId="0"/>
    <xf numFmtId="193" fontId="0" fillId="0" borderId="0"/>
    <xf numFmtId="192" fontId="0" fillId="0" borderId="0"/>
    <xf numFmtId="196" fontId="0" fillId="0" borderId="0"/>
    <xf numFmtId="192" fontId="0" fillId="0" borderId="0"/>
    <xf numFmtId="176" fontId="0" fillId="0" borderId="0"/>
    <xf numFmtId="178" fontId="0" fillId="0" borderId="0"/>
    <xf numFmtId="193" fontId="0" fillId="0" borderId="0"/>
    <xf numFmtId="193" fontId="0" fillId="0" borderId="0"/>
    <xf numFmtId="193" fontId="0" fillId="0" borderId="0"/>
    <xf numFmtId="178" fontId="0" fillId="0" borderId="0"/>
    <xf numFmtId="192" fontId="0" fillId="0" borderId="0"/>
    <xf numFmtId="192" fontId="0" fillId="0" borderId="0"/>
    <xf numFmtId="193" fontId="0" fillId="0" borderId="0"/>
    <xf numFmtId="176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4" fontId="0" fillId="0" borderId="0"/>
    <xf numFmtId="196" fontId="0" fillId="0" borderId="0"/>
    <xf numFmtId="195" fontId="0" fillId="0" borderId="0"/>
    <xf numFmtId="178" fontId="0" fillId="0" borderId="0"/>
    <xf numFmtId="178" fontId="0" fillId="0" borderId="0"/>
    <xf numFmtId="176" fontId="0" fillId="0" borderId="0"/>
    <xf numFmtId="178" fontId="0" fillId="0" borderId="0"/>
    <xf numFmtId="178" fontId="0" fillId="0" borderId="0"/>
    <xf numFmtId="174" fontId="0" fillId="0" borderId="0"/>
    <xf numFmtId="196" fontId="0" fillId="0" borderId="0"/>
    <xf numFmtId="195" fontId="0" fillId="0" borderId="0"/>
    <xf numFmtId="178" fontId="0" fillId="0" borderId="0"/>
    <xf numFmtId="178" fontId="0" fillId="0" borderId="0"/>
    <xf numFmtId="193" fontId="0" fillId="0" borderId="0"/>
    <xf numFmtId="176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78" fontId="0" fillId="0" borderId="0"/>
    <xf numFmtId="194" fontId="0" fillId="0" borderId="0"/>
    <xf numFmtId="194" fontId="0" fillId="0" borderId="0"/>
    <xf numFmtId="194" fontId="0" fillId="0" borderId="0"/>
    <xf numFmtId="178" fontId="0" fillId="0" borderId="0"/>
    <xf numFmtId="176" fontId="0" fillId="0" borderId="0"/>
    <xf numFmtId="192" fontId="0" fillId="0" borderId="0"/>
    <xf numFmtId="193" fontId="0" fillId="0" borderId="0"/>
    <xf numFmtId="178" fontId="0" fillId="0" borderId="0"/>
    <xf numFmtId="165" fontId="8" fillId="0" borderId="0" applyAlignment="1">
      <alignment horizontal="general" vertical="bottom"/>
    </xf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4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3" fontId="0" fillId="0" borderId="0"/>
    <xf numFmtId="178" fontId="0" fillId="0" borderId="0"/>
    <xf numFmtId="193" fontId="0" fillId="0" borderId="0"/>
    <xf numFmtId="194" fontId="0" fillId="0" borderId="0"/>
    <xf numFmtId="176" fontId="0" fillId="0" borderId="0"/>
    <xf numFmtId="176" fontId="0" fillId="0" borderId="0"/>
    <xf numFmtId="192" fontId="0" fillId="0" borderId="0"/>
    <xf numFmtId="194" fontId="0" fillId="0" borderId="0"/>
    <xf numFmtId="192" fontId="0" fillId="0" borderId="0"/>
    <xf numFmtId="178" fontId="0" fillId="0" borderId="0"/>
    <xf numFmtId="178" fontId="0" fillId="0" borderId="0"/>
    <xf numFmtId="192" fontId="0" fillId="0" borderId="0"/>
    <xf numFmtId="193" fontId="0" fillId="0" borderId="0"/>
    <xf numFmtId="176" fontId="0" fillId="0" borderId="0"/>
    <xf numFmtId="178" fontId="0" fillId="0" borderId="0"/>
    <xf numFmtId="194" fontId="0" fillId="0" borderId="0"/>
    <xf numFmtId="192" fontId="0" fillId="0" borderId="0"/>
    <xf numFmtId="194" fontId="0" fillId="0" borderId="0"/>
    <xf numFmtId="194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92" fontId="0" fillId="0" borderId="0"/>
    <xf numFmtId="192" fontId="0" fillId="0" borderId="0"/>
    <xf numFmtId="178" fontId="0" fillId="0" borderId="0"/>
    <xf numFmtId="178" fontId="0" fillId="0" borderId="0"/>
    <xf numFmtId="192" fontId="0" fillId="0" borderId="0"/>
    <xf numFmtId="178" fontId="0" fillId="0" borderId="0"/>
    <xf numFmtId="192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78" fontId="0" fillId="0" borderId="0"/>
    <xf numFmtId="192" fontId="0" fillId="0" borderId="0"/>
    <xf numFmtId="192" fontId="0" fillId="0" borderId="0"/>
    <xf numFmtId="192" fontId="0" fillId="0" borderId="0"/>
    <xf numFmtId="192" fontId="0" fillId="0" borderId="0"/>
    <xf numFmtId="197" fontId="0" fillId="0" borderId="0"/>
    <xf numFmtId="198" fontId="0" fillId="0" borderId="0"/>
    <xf numFmtId="197" fontId="0" fillId="0" borderId="0"/>
    <xf numFmtId="199" fontId="0" fillId="0" borderId="0"/>
    <xf numFmtId="198" fontId="0" fillId="0" borderId="0"/>
    <xf numFmtId="198" fontId="0" fillId="0" borderId="0"/>
    <xf numFmtId="183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4" fontId="0" fillId="0" borderId="0"/>
    <xf numFmtId="198" fontId="0" fillId="0" borderId="0"/>
    <xf numFmtId="19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87" fontId="0" fillId="0" borderId="0"/>
    <xf numFmtId="4" fontId="0" fillId="0" borderId="0"/>
    <xf numFmtId="198" fontId="0" fillId="0" borderId="0"/>
    <xf numFmtId="198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200" fontId="0" fillId="0" borderId="0"/>
    <xf numFmtId="187" fontId="0" fillId="0" borderId="0"/>
    <xf numFmtId="187" fontId="0" fillId="0" borderId="0"/>
    <xf numFmtId="197" fontId="0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200" fontId="0" fillId="0" borderId="0"/>
    <xf numFmtId="4" fontId="0" fillId="0" borderId="0"/>
    <xf numFmtId="198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98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4" fontId="0" fillId="0" borderId="0"/>
    <xf numFmtId="198" fontId="0" fillId="0" borderId="0"/>
    <xf numFmtId="198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3" fontId="0" fillId="0" borderId="0"/>
    <xf numFmtId="187" fontId="0" fillId="0" borderId="0"/>
    <xf numFmtId="187" fontId="0" fillId="0" borderId="0"/>
    <xf numFmtId="187" fontId="0" fillId="0" borderId="0"/>
    <xf numFmtId="183" fontId="0" fillId="0" borderId="0"/>
    <xf numFmtId="187" fontId="0" fillId="0" borderId="0"/>
    <xf numFmtId="187" fontId="0" fillId="0" borderId="0"/>
    <xf numFmtId="183" fontId="0" fillId="0" borderId="0"/>
    <xf numFmtId="18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98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3" fontId="0" fillId="0" borderId="0"/>
    <xf numFmtId="198" fontId="0" fillId="0" borderId="0"/>
    <xf numFmtId="197" fontId="0" fillId="0" borderId="0"/>
    <xf numFmtId="187" fontId="0" fillId="0" borderId="0"/>
    <xf numFmtId="185" fontId="0" fillId="0" borderId="0"/>
    <xf numFmtId="201" fontId="0" fillId="0" borderId="0"/>
    <xf numFmtId="187" fontId="0" fillId="0" borderId="0"/>
    <xf numFmtId="201" fontId="0" fillId="0" borderId="0"/>
    <xf numFmtId="4" fontId="0" fillId="0" borderId="0"/>
    <xf numFmtId="183" fontId="0" fillId="0" borderId="0"/>
    <xf numFmtId="201" fontId="0" fillId="0" borderId="0"/>
    <xf numFmtId="183" fontId="0" fillId="0" borderId="0"/>
    <xf numFmtId="4" fontId="0" fillId="0" borderId="0"/>
    <xf numFmtId="201" fontId="0" fillId="0" borderId="0"/>
    <xf numFmtId="197" fontId="0" fillId="0" borderId="0"/>
    <xf numFmtId="198" fontId="0" fillId="0" borderId="0"/>
    <xf numFmtId="4" fontId="0" fillId="0" borderId="0"/>
    <xf numFmtId="187" fontId="0" fillId="0" borderId="0"/>
    <xf numFmtId="197" fontId="0" fillId="0" borderId="0"/>
    <xf numFmtId="201" fontId="0" fillId="0" borderId="0"/>
    <xf numFmtId="197" fontId="0" fillId="0" borderId="0"/>
    <xf numFmtId="197" fontId="0" fillId="0" borderId="0"/>
    <xf numFmtId="183" fontId="0" fillId="0" borderId="0"/>
    <xf numFmtId="197" fontId="0" fillId="0" borderId="0"/>
    <xf numFmtId="197" fontId="0" fillId="0" borderId="0"/>
    <xf numFmtId="198" fontId="0" fillId="0" borderId="0"/>
    <xf numFmtId="187" fontId="0" fillId="0" borderId="0"/>
    <xf numFmtId="197" fontId="0" fillId="0" borderId="0"/>
    <xf numFmtId="183" fontId="0" fillId="0" borderId="0"/>
    <xf numFmtId="202" fontId="0" fillId="0" borderId="0"/>
    <xf numFmtId="201" fontId="0" fillId="0" borderId="0"/>
    <xf numFmtId="197" fontId="0" fillId="0" borderId="0"/>
    <xf numFmtId="199" fontId="0" fillId="0" borderId="0"/>
    <xf numFmtId="185" fontId="0" fillId="0" borderId="0"/>
    <xf numFmtId="198" fontId="0" fillId="0" borderId="0"/>
    <xf numFmtId="198" fontId="0" fillId="0" borderId="0"/>
    <xf numFmtId="198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83" fontId="0" fillId="0" borderId="0"/>
    <xf numFmtId="187" fontId="0" fillId="0" borderId="0"/>
    <xf numFmtId="187" fontId="0" fillId="0" borderId="0"/>
    <xf numFmtId="197" fontId="0" fillId="0" borderId="0"/>
    <xf numFmtId="183" fontId="0" fillId="0" borderId="0"/>
    <xf numFmtId="202" fontId="0" fillId="0" borderId="0"/>
    <xf numFmtId="201" fontId="0" fillId="0" borderId="0"/>
    <xf numFmtId="187" fontId="0" fillId="0" borderId="0"/>
    <xf numFmtId="197" fontId="0" fillId="0" borderId="0"/>
    <xf numFmtId="187" fontId="0" fillId="0" borderId="0"/>
    <xf numFmtId="4" fontId="0" fillId="0" borderId="0"/>
    <xf numFmtId="19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200" fontId="0" fillId="0" borderId="0"/>
    <xf numFmtId="200" fontId="0" fillId="0" borderId="0"/>
    <xf numFmtId="200" fontId="0" fillId="0" borderId="0"/>
    <xf numFmtId="197" fontId="0" fillId="0" borderId="0"/>
    <xf numFmtId="187" fontId="0" fillId="0" borderId="0"/>
    <xf numFmtId="183" fontId="0" fillId="0" borderId="0"/>
    <xf numFmtId="197" fontId="0" fillId="0" borderId="0"/>
    <xf numFmtId="4" fontId="0" fillId="0" borderId="0"/>
    <xf numFmtId="198" fontId="0" fillId="0" borderId="0"/>
    <xf numFmtId="187" fontId="0" fillId="0" borderId="0"/>
    <xf numFmtId="192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200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78" fontId="4" fillId="0" borderId="0"/>
    <xf numFmtId="197" fontId="0" fillId="0" borderId="0"/>
    <xf numFmtId="197" fontId="0" fillId="0" borderId="0"/>
    <xf numFmtId="198" fontId="0" fillId="0" borderId="0"/>
    <xf numFmtId="187" fontId="0" fillId="0" borderId="0"/>
    <xf numFmtId="198" fontId="0" fillId="0" borderId="0"/>
    <xf numFmtId="200" fontId="0" fillId="0" borderId="0"/>
    <xf numFmtId="183" fontId="0" fillId="0" borderId="0"/>
    <xf numFmtId="185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200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97" fontId="0" fillId="0" borderId="0"/>
    <xf numFmtId="198" fontId="0" fillId="0" borderId="0"/>
    <xf numFmtId="183" fontId="0" fillId="0" borderId="0"/>
    <xf numFmtId="187" fontId="0" fillId="0" borderId="0"/>
    <xf numFmtId="200" fontId="0" fillId="0" borderId="0"/>
    <xf numFmtId="197" fontId="0" fillId="0" borderId="0"/>
    <xf numFmtId="197" fontId="0" fillId="0" borderId="0"/>
    <xf numFmtId="200" fontId="0" fillId="0" borderId="0"/>
    <xf numFmtId="200" fontId="0" fillId="0" borderId="0"/>
    <xf numFmtId="187" fontId="0" fillId="0" borderId="0"/>
    <xf numFmtId="187" fontId="0" fillId="0" borderId="0"/>
    <xf numFmtId="18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87" fontId="0" fillId="0" borderId="0"/>
    <xf numFmtId="197" fontId="0" fillId="0" borderId="0"/>
    <xf numFmtId="187" fontId="0" fillId="0" borderId="0"/>
    <xf numFmtId="19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87" fontId="0" fillId="0" borderId="0"/>
    <xf numFmtId="197" fontId="0" fillId="0" borderId="0"/>
    <xf numFmtId="197" fontId="0" fillId="0" borderId="0"/>
    <xf numFmtId="197" fontId="0" fillId="0" borderId="0"/>
    <xf numFmtId="197" fontId="0" fillId="0" borderId="0"/>
    <xf numFmtId="203" fontId="0" fillId="0" borderId="0"/>
    <xf numFmtId="170" fontId="0" fillId="0" borderId="0"/>
    <xf numFmtId="203" fontId="0" fillId="0" borderId="0"/>
    <xf numFmtId="170" fontId="0" fillId="0" borderId="0"/>
    <xf numFmtId="204" fontId="0" fillId="0" borderId="0"/>
    <xf numFmtId="177" fontId="0" fillId="0" borderId="0"/>
    <xf numFmtId="205" fontId="0" fillId="0" borderId="0"/>
    <xf numFmtId="205" fontId="0" fillId="0" borderId="0"/>
    <xf numFmtId="205" fontId="0" fillId="0" borderId="0"/>
    <xf numFmtId="170" fontId="0" fillId="0" borderId="0"/>
    <xf numFmtId="204" fontId="0" fillId="0" borderId="0"/>
    <xf numFmtId="206" fontId="0" fillId="0" borderId="0"/>
    <xf numFmtId="184" fontId="0" fillId="0" borderId="0"/>
    <xf numFmtId="203" fontId="0" fillId="0" borderId="0"/>
    <xf numFmtId="169" fontId="0" fillId="0" borderId="0"/>
    <xf numFmtId="207" fontId="0" fillId="0" borderId="0"/>
    <xf numFmtId="169" fontId="0" fillId="0" borderId="0"/>
    <xf numFmtId="169" fontId="0" fillId="0" borderId="0"/>
    <xf numFmtId="170" fontId="0" fillId="0" borderId="0"/>
    <xf numFmtId="170" fontId="0" fillId="0" borderId="0"/>
    <xf numFmtId="203" fontId="0" fillId="0" borderId="0"/>
    <xf numFmtId="205" fontId="0" fillId="0" borderId="0"/>
    <xf numFmtId="205" fontId="0" fillId="0" borderId="0"/>
    <xf numFmtId="205" fontId="0" fillId="0" borderId="0"/>
    <xf numFmtId="205" fontId="0" fillId="0" borderId="0"/>
    <xf numFmtId="205" fontId="0" fillId="0" borderId="0"/>
    <xf numFmtId="207" fontId="0" fillId="0" borderId="0"/>
    <xf numFmtId="207" fontId="0" fillId="0" borderId="0"/>
    <xf numFmtId="207" fontId="0" fillId="0" borderId="0"/>
    <xf numFmtId="207" fontId="0" fillId="0" borderId="0"/>
    <xf numFmtId="204" fontId="0" fillId="0" borderId="0"/>
    <xf numFmtId="184" fontId="0" fillId="0" borderId="0"/>
    <xf numFmtId="184" fontId="0" fillId="0" borderId="0"/>
    <xf numFmtId="177" fontId="0" fillId="0" borderId="0"/>
    <xf numFmtId="206" fontId="0" fillId="0" borderId="0"/>
    <xf numFmtId="205" fontId="0" fillId="0" borderId="0"/>
    <xf numFmtId="208" fontId="0" fillId="0" borderId="0"/>
    <xf numFmtId="205" fontId="0" fillId="0" borderId="0"/>
    <xf numFmtId="205" fontId="0" fillId="0" borderId="0"/>
    <xf numFmtId="204" fontId="0" fillId="0" borderId="0"/>
    <xf numFmtId="208" fontId="0" fillId="0" borderId="0"/>
    <xf numFmtId="170" fontId="0" fillId="0" borderId="0"/>
    <xf numFmtId="203" fontId="0" fillId="0" borderId="0"/>
    <xf numFmtId="206" fontId="0" fillId="0" borderId="0"/>
    <xf numFmtId="203" fontId="0" fillId="0" borderId="0"/>
    <xf numFmtId="205" fontId="0" fillId="0" borderId="0"/>
    <xf numFmtId="170" fontId="0" fillId="0" borderId="0"/>
    <xf numFmtId="209" fontId="0" fillId="0" borderId="0"/>
    <xf numFmtId="210" fontId="0" fillId="0" borderId="0"/>
    <xf numFmtId="207" fontId="0" fillId="0" borderId="0"/>
    <xf numFmtId="184" fontId="0" fillId="0" borderId="0"/>
    <xf numFmtId="184" fontId="0" fillId="0" borderId="0"/>
    <xf numFmtId="205" fontId="0" fillId="0" borderId="0"/>
    <xf numFmtId="205" fontId="0" fillId="0" borderId="0"/>
    <xf numFmtId="205" fontId="0" fillId="0" borderId="0"/>
    <xf numFmtId="170" fontId="0" fillId="0" borderId="0"/>
    <xf numFmtId="170" fontId="0" fillId="0" borderId="0"/>
    <xf numFmtId="205" fontId="0" fillId="0" borderId="0"/>
    <xf numFmtId="205" fontId="0" fillId="0" borderId="0"/>
    <xf numFmtId="205" fontId="0" fillId="0" borderId="0"/>
    <xf numFmtId="184" fontId="0" fillId="0" borderId="0"/>
    <xf numFmtId="184" fontId="0" fillId="0" borderId="0"/>
    <xf numFmtId="184" fontId="0" fillId="0" borderId="0"/>
    <xf numFmtId="204" fontId="0" fillId="0" borderId="0"/>
    <xf numFmtId="184" fontId="0" fillId="0" borderId="0"/>
    <xf numFmtId="184" fontId="0" fillId="0" borderId="0"/>
    <xf numFmtId="184" fontId="0" fillId="0" borderId="0"/>
    <xf numFmtId="204" fontId="0" fillId="0" borderId="0"/>
    <xf numFmtId="184" fontId="0" fillId="0" borderId="0"/>
    <xf numFmtId="184" fontId="0" fillId="0" borderId="0"/>
    <xf numFmtId="204" fontId="0" fillId="0" borderId="0"/>
    <xf numFmtId="169" fontId="0" fillId="0" borderId="0"/>
    <xf numFmtId="203" fontId="0" fillId="0" borderId="0"/>
    <xf numFmtId="169" fontId="0" fillId="0" borderId="0"/>
    <xf numFmtId="184" fontId="0" fillId="0" borderId="0"/>
    <xf numFmtId="184" fontId="0" fillId="0" borderId="0"/>
    <xf numFmtId="170" fontId="0" fillId="0" borderId="0"/>
    <xf numFmtId="184" fontId="0" fillId="0" borderId="0"/>
    <xf numFmtId="184" fontId="0" fillId="0" borderId="0"/>
    <xf numFmtId="211" fontId="0" fillId="0" borderId="0"/>
    <xf numFmtId="184" fontId="0" fillId="0" borderId="0"/>
    <xf numFmtId="184" fontId="0" fillId="0" borderId="0"/>
    <xf numFmtId="184" fontId="0" fillId="0" borderId="0"/>
    <xf numFmtId="205" fontId="0" fillId="0" borderId="0"/>
    <xf numFmtId="205" fontId="0" fillId="0" borderId="0"/>
    <xf numFmtId="203" fontId="0" fillId="0" borderId="0"/>
    <xf numFmtId="203" fontId="0" fillId="0" borderId="0"/>
    <xf numFmtId="203" fontId="0" fillId="0" borderId="0"/>
    <xf numFmtId="203" fontId="0" fillId="0" borderId="0"/>
    <xf numFmtId="169" fontId="0" fillId="0" borderId="0"/>
    <xf numFmtId="212" fontId="0" fillId="0" borderId="0"/>
    <xf numFmtId="213" fontId="0" fillId="0" borderId="0"/>
    <xf numFmtId="213" fontId="0" fillId="0" borderId="0"/>
    <xf numFmtId="0" fontId="0" fillId="0" borderId="0"/>
    <xf numFmtId="214" fontId="0" fillId="0" borderId="0"/>
    <xf numFmtId="184" fontId="0" fillId="0" borderId="0"/>
    <xf numFmtId="177" fontId="0" fillId="0" borderId="0"/>
    <xf numFmtId="169" fontId="0" fillId="0" borderId="0"/>
    <xf numFmtId="214" fontId="0" fillId="0" borderId="0"/>
    <xf numFmtId="184" fontId="0" fillId="0" borderId="0"/>
    <xf numFmtId="184" fontId="0" fillId="0" borderId="0"/>
    <xf numFmtId="214" fontId="0" fillId="0" borderId="0"/>
    <xf numFmtId="205" fontId="0" fillId="0" borderId="0"/>
    <xf numFmtId="212" fontId="0" fillId="0" borderId="0"/>
    <xf numFmtId="214" fontId="0" fillId="0" borderId="0"/>
    <xf numFmtId="212" fontId="0" fillId="0" borderId="0"/>
    <xf numFmtId="204" fontId="0" fillId="0" borderId="0"/>
    <xf numFmtId="184" fontId="0" fillId="0" borderId="0"/>
    <xf numFmtId="184" fontId="0" fillId="0" borderId="0"/>
    <xf numFmtId="170" fontId="0" fillId="0" borderId="0"/>
    <xf numFmtId="212" fontId="0" fillId="0" borderId="0"/>
    <xf numFmtId="215" fontId="0" fillId="0" borderId="0"/>
    <xf numFmtId="177" fontId="0" fillId="0" borderId="0"/>
    <xf numFmtId="214" fontId="0" fillId="0" borderId="0"/>
    <xf numFmtId="184" fontId="0" fillId="0" borderId="0"/>
    <xf numFmtId="177" fontId="0" fillId="0" borderId="0"/>
    <xf numFmtId="177" fontId="0" fillId="0" borderId="0"/>
    <xf numFmtId="177" fontId="0" fillId="0" borderId="0"/>
    <xf numFmtId="213" fontId="0" fillId="0" borderId="0"/>
    <xf numFmtId="203" fontId="0" fillId="0" borderId="0"/>
    <xf numFmtId="177" fontId="0" fillId="0" borderId="0"/>
    <xf numFmtId="170" fontId="0" fillId="0" borderId="0"/>
    <xf numFmtId="177" fontId="0" fillId="0" borderId="0"/>
    <xf numFmtId="212" fontId="0" fillId="0" borderId="0"/>
    <xf numFmtId="169" fontId="0" fillId="0" borderId="0"/>
    <xf numFmtId="184" fontId="0" fillId="0" borderId="0"/>
    <xf numFmtId="214" fontId="0" fillId="0" borderId="0"/>
    <xf numFmtId="177" fontId="0" fillId="0" borderId="0"/>
    <xf numFmtId="202" fontId="0" fillId="0" borderId="0"/>
    <xf numFmtId="216" fontId="0" fillId="0" borderId="0"/>
    <xf numFmtId="177" fontId="0" fillId="0" borderId="0"/>
    <xf numFmtId="196" fontId="0" fillId="0" borderId="0"/>
    <xf numFmtId="204" fontId="0" fillId="0" borderId="0"/>
    <xf numFmtId="214" fontId="0" fillId="0" borderId="0"/>
    <xf numFmtId="170" fontId="0" fillId="0" borderId="0"/>
    <xf numFmtId="184" fontId="0" fillId="0" borderId="0"/>
    <xf numFmtId="177" fontId="0" fillId="0" borderId="0"/>
    <xf numFmtId="207" fontId="0" fillId="0" borderId="0"/>
    <xf numFmtId="170" fontId="0" fillId="0" borderId="0"/>
    <xf numFmtId="170" fontId="0" fillId="0" borderId="0"/>
    <xf numFmtId="170" fontId="0" fillId="0" borderId="0"/>
    <xf numFmtId="184" fontId="0" fillId="0" borderId="0"/>
    <xf numFmtId="184" fontId="0" fillId="0" borderId="0"/>
    <xf numFmtId="177" fontId="0" fillId="0" borderId="0"/>
    <xf numFmtId="177" fontId="0" fillId="0" borderId="0"/>
    <xf numFmtId="184" fontId="0" fillId="0" borderId="0"/>
    <xf numFmtId="170" fontId="0" fillId="0" borderId="0"/>
    <xf numFmtId="170" fontId="0" fillId="0" borderId="0"/>
    <xf numFmtId="177" fontId="0" fillId="0" borderId="0"/>
    <xf numFmtId="177" fontId="0" fillId="0" borderId="0"/>
    <xf numFmtId="177" fontId="0" fillId="0" borderId="0"/>
    <xf numFmtId="203" fontId="0" fillId="0" borderId="0"/>
    <xf numFmtId="203" fontId="0" fillId="0" borderId="0"/>
    <xf numFmtId="177" fontId="0" fillId="0" borderId="0"/>
    <xf numFmtId="177" fontId="0" fillId="0" borderId="0"/>
    <xf numFmtId="203" fontId="0" fillId="0" borderId="0"/>
    <xf numFmtId="212" fontId="0" fillId="0" borderId="0"/>
    <xf numFmtId="202" fontId="0" fillId="0" borderId="0"/>
    <xf numFmtId="214" fontId="0" fillId="0" borderId="0"/>
    <xf numFmtId="205" fontId="0" fillId="0" borderId="0"/>
    <xf numFmtId="205" fontId="0" fillId="0" borderId="0"/>
    <xf numFmtId="169" fontId="0" fillId="0" borderId="0"/>
    <xf numFmtId="184" fontId="0" fillId="0" borderId="0"/>
    <xf numFmtId="217" fontId="0" fillId="0" borderId="0"/>
    <xf numFmtId="207" fontId="0" fillId="0" borderId="0"/>
    <xf numFmtId="217" fontId="0" fillId="0" borderId="0"/>
    <xf numFmtId="212" fontId="0" fillId="0" borderId="0"/>
    <xf numFmtId="202" fontId="0" fillId="0" borderId="0"/>
    <xf numFmtId="214" fontId="0" fillId="0" borderId="0"/>
    <xf numFmtId="205" fontId="0" fillId="0" borderId="0"/>
    <xf numFmtId="205" fontId="0" fillId="0" borderId="0"/>
    <xf numFmtId="170" fontId="0" fillId="0" borderId="0"/>
    <xf numFmtId="170" fontId="0" fillId="0" borderId="0"/>
    <xf numFmtId="177" fontId="0" fillId="0" borderId="0"/>
    <xf numFmtId="177" fontId="0" fillId="0" borderId="0"/>
    <xf numFmtId="177" fontId="0" fillId="0" borderId="0"/>
    <xf numFmtId="203" fontId="0" fillId="0" borderId="0"/>
    <xf numFmtId="203" fontId="0" fillId="0" borderId="0"/>
    <xf numFmtId="177" fontId="0" fillId="0" borderId="0"/>
    <xf numFmtId="177" fontId="0" fillId="0" borderId="0"/>
    <xf numFmtId="203" fontId="0" fillId="0" borderId="0"/>
    <xf numFmtId="205" fontId="0" fillId="0" borderId="0"/>
    <xf numFmtId="203" fontId="0" fillId="0" borderId="0"/>
    <xf numFmtId="205" fontId="0" fillId="0" borderId="0"/>
    <xf numFmtId="205" fontId="0" fillId="0" borderId="0"/>
    <xf numFmtId="208" fontId="0" fillId="0" borderId="0"/>
    <xf numFmtId="208" fontId="0" fillId="0" borderId="0"/>
    <xf numFmtId="208" fontId="0" fillId="0" borderId="0"/>
    <xf numFmtId="205" fontId="0" fillId="0" borderId="0"/>
    <xf numFmtId="177" fontId="0" fillId="0" borderId="0"/>
    <xf numFmtId="203" fontId="0" fillId="0" borderId="0"/>
    <xf numFmtId="170" fontId="0" fillId="0" borderId="0"/>
    <xf numFmtId="205" fontId="0" fillId="0" borderId="0"/>
    <xf numFmtId="177" fontId="0" fillId="0" borderId="0"/>
    <xf numFmtId="205" fontId="0" fillId="0" borderId="0"/>
    <xf numFmtId="205" fontId="0" fillId="0" borderId="0"/>
    <xf numFmtId="205" fontId="0" fillId="0" borderId="0"/>
    <xf numFmtId="205" fontId="0" fillId="0" borderId="0"/>
    <xf numFmtId="177" fontId="0" fillId="0" borderId="0"/>
    <xf numFmtId="208" fontId="0" fillId="0" borderId="0"/>
    <xf numFmtId="205" fontId="0" fillId="0" borderId="0"/>
    <xf numFmtId="169" fontId="0" fillId="0" borderId="0"/>
    <xf numFmtId="213" fontId="0" fillId="0" borderId="0"/>
    <xf numFmtId="205" fontId="0" fillId="0" borderId="0"/>
    <xf numFmtId="204" fontId="0" fillId="0" borderId="0"/>
    <xf numFmtId="177" fontId="0" fillId="0" borderId="0"/>
    <xf numFmtId="213" fontId="0" fillId="0" borderId="0"/>
    <xf numFmtId="204" fontId="0" fillId="0" borderId="0"/>
    <xf numFmtId="203" fontId="0" fillId="0" borderId="0"/>
    <xf numFmtId="184" fontId="0" fillId="0" borderId="0"/>
    <xf numFmtId="204" fontId="0" fillId="0" borderId="0"/>
    <xf numFmtId="170" fontId="0" fillId="0" borderId="0"/>
    <xf numFmtId="205" fontId="0" fillId="0" borderId="0"/>
    <xf numFmtId="170" fontId="0" fillId="0" borderId="0"/>
    <xf numFmtId="208" fontId="0" fillId="0" borderId="0"/>
    <xf numFmtId="177" fontId="0" fillId="0" borderId="0"/>
    <xf numFmtId="0" fontId="0" fillId="0" borderId="0"/>
    <xf numFmtId="177" fontId="0" fillId="0" borderId="0"/>
    <xf numFmtId="208" fontId="0" fillId="0" borderId="0"/>
    <xf numFmtId="206" fontId="0" fillId="0" borderId="0"/>
    <xf numFmtId="169" fontId="0" fillId="0" borderId="0"/>
    <xf numFmtId="205" fontId="0" fillId="0" borderId="0"/>
    <xf numFmtId="203" fontId="0" fillId="0" borderId="0"/>
    <xf numFmtId="170" fontId="0" fillId="0" borderId="0"/>
    <xf numFmtId="177" fontId="0" fillId="0" borderId="0"/>
    <xf numFmtId="177" fontId="0" fillId="0" borderId="0"/>
    <xf numFmtId="169" fontId="0" fillId="0" borderId="0"/>
    <xf numFmtId="205" fontId="0" fillId="0" borderId="0"/>
    <xf numFmtId="208" fontId="0" fillId="0" borderId="0"/>
    <xf numFmtId="203" fontId="0" fillId="0" borderId="0"/>
    <xf numFmtId="208" fontId="0" fillId="0" borderId="0"/>
    <xf numFmtId="208" fontId="0" fillId="0" borderId="0"/>
    <xf numFmtId="184" fontId="0" fillId="0" borderId="0"/>
    <xf numFmtId="205" fontId="0" fillId="0" borderId="0"/>
    <xf numFmtId="205" fontId="0" fillId="0" borderId="0"/>
    <xf numFmtId="205" fontId="0" fillId="0" borderId="0"/>
    <xf numFmtId="203" fontId="0" fillId="0" borderId="0"/>
    <xf numFmtId="203" fontId="0" fillId="0" borderId="0"/>
    <xf numFmtId="205" fontId="0" fillId="0" borderId="0"/>
    <xf numFmtId="205" fontId="0" fillId="0" borderId="0"/>
    <xf numFmtId="203" fontId="0" fillId="0" borderId="0"/>
    <xf numFmtId="205" fontId="0" fillId="0" borderId="0"/>
    <xf numFmtId="203" fontId="0" fillId="0" borderId="0"/>
    <xf numFmtId="205" fontId="0" fillId="0" borderId="0"/>
    <xf numFmtId="207" fontId="0" fillId="0" borderId="0"/>
    <xf numFmtId="177" fontId="0" fillId="0" borderId="0"/>
    <xf numFmtId="207" fontId="0" fillId="0" borderId="0"/>
    <xf numFmtId="177" fontId="0" fillId="0" borderId="0"/>
    <xf numFmtId="203" fontId="0" fillId="0" borderId="0"/>
    <xf numFmtId="184" fontId="0" fillId="0" borderId="0"/>
    <xf numFmtId="203" fontId="0" fillId="0" borderId="0"/>
    <xf numFmtId="203" fontId="0" fillId="0" borderId="0"/>
    <xf numFmtId="203" fontId="0" fillId="0" borderId="0"/>
    <xf numFmtId="203" fontId="0" fillId="0" borderId="0"/>
    <xf numFmtId="218" fontId="0" fillId="0" borderId="0"/>
    <xf numFmtId="173" fontId="0" fillId="0" borderId="0"/>
    <xf numFmtId="218" fontId="0" fillId="0" borderId="0"/>
    <xf numFmtId="173" fontId="0" fillId="0" borderId="0"/>
    <xf numFmtId="219" fontId="0" fillId="0" borderId="0"/>
    <xf numFmtId="176" fontId="0" fillId="0" borderId="0"/>
    <xf numFmtId="220" fontId="0" fillId="0" borderId="0"/>
    <xf numFmtId="220" fontId="0" fillId="0" borderId="0"/>
    <xf numFmtId="220" fontId="0" fillId="0" borderId="0"/>
    <xf numFmtId="188" fontId="0" fillId="0" borderId="0"/>
    <xf numFmtId="173" fontId="0" fillId="0" borderId="0"/>
    <xf numFmtId="219" fontId="0" fillId="0" borderId="0"/>
    <xf numFmtId="221" fontId="0" fillId="0" borderId="0"/>
    <xf numFmtId="175" fontId="0" fillId="0" borderId="0"/>
    <xf numFmtId="218" fontId="0" fillId="0" borderId="0"/>
    <xf numFmtId="188" fontId="0" fillId="0" borderId="0"/>
    <xf numFmtId="222" fontId="0" fillId="0" borderId="0"/>
    <xf numFmtId="188" fontId="0" fillId="0" borderId="0"/>
    <xf numFmtId="188" fontId="0" fillId="0" borderId="0"/>
    <xf numFmtId="188" fontId="0" fillId="0" borderId="0"/>
    <xf numFmtId="173" fontId="0" fillId="0" borderId="0"/>
    <xf numFmtId="173" fontId="0" fillId="0" borderId="0"/>
    <xf numFmtId="173" fontId="0" fillId="0" borderId="0"/>
    <xf numFmtId="218" fontId="0" fillId="0" borderId="0"/>
    <xf numFmtId="220" fontId="0" fillId="0" borderId="0"/>
    <xf numFmtId="220" fontId="0" fillId="0" borderId="0"/>
    <xf numFmtId="220" fontId="0" fillId="0" borderId="0"/>
    <xf numFmtId="220" fontId="0" fillId="0" borderId="0"/>
    <xf numFmtId="220" fontId="0" fillId="0" borderId="0"/>
    <xf numFmtId="222" fontId="0" fillId="0" borderId="0"/>
    <xf numFmtId="222" fontId="0" fillId="0" borderId="0"/>
    <xf numFmtId="222" fontId="0" fillId="0" borderId="0"/>
    <xf numFmtId="222" fontId="0" fillId="0" borderId="0"/>
    <xf numFmtId="219" fontId="0" fillId="0" borderId="0"/>
    <xf numFmtId="175" fontId="0" fillId="0" borderId="0"/>
    <xf numFmtId="175" fontId="0" fillId="0" borderId="0"/>
    <xf numFmtId="176" fontId="0" fillId="0" borderId="0"/>
    <xf numFmtId="221" fontId="0" fillId="0" borderId="0"/>
    <xf numFmtId="220" fontId="0" fillId="0" borderId="0"/>
    <xf numFmtId="223" fontId="0" fillId="0" borderId="0"/>
    <xf numFmtId="220" fontId="0" fillId="0" borderId="0"/>
    <xf numFmtId="220" fontId="0" fillId="0" borderId="0"/>
    <xf numFmtId="219" fontId="0" fillId="0" borderId="0"/>
    <xf numFmtId="223" fontId="0" fillId="0" borderId="0"/>
    <xf numFmtId="188" fontId="0" fillId="0" borderId="0"/>
    <xf numFmtId="173" fontId="0" fillId="0" borderId="0"/>
    <xf numFmtId="218" fontId="0" fillId="0" borderId="0"/>
    <xf numFmtId="221" fontId="0" fillId="0" borderId="0"/>
    <xf numFmtId="218" fontId="0" fillId="0" borderId="0"/>
    <xf numFmtId="220" fontId="0" fillId="0" borderId="0"/>
    <xf numFmtId="173" fontId="0" fillId="0" borderId="0"/>
    <xf numFmtId="208" fontId="0" fillId="0" borderId="0"/>
    <xf numFmtId="175" fontId="0" fillId="0" borderId="0"/>
    <xf numFmtId="222" fontId="0" fillId="0" borderId="0"/>
    <xf numFmtId="175" fontId="0" fillId="0" borderId="0"/>
    <xf numFmtId="175" fontId="0" fillId="0" borderId="0"/>
    <xf numFmtId="220" fontId="0" fillId="0" borderId="0"/>
    <xf numFmtId="220" fontId="0" fillId="0" borderId="0"/>
    <xf numFmtId="220" fontId="0" fillId="0" borderId="0"/>
    <xf numFmtId="188" fontId="0" fillId="0" borderId="0"/>
    <xf numFmtId="173" fontId="0" fillId="0" borderId="0"/>
    <xf numFmtId="173" fontId="0" fillId="0" borderId="0"/>
    <xf numFmtId="220" fontId="0" fillId="0" borderId="0"/>
    <xf numFmtId="220" fontId="0" fillId="0" borderId="0"/>
    <xf numFmtId="220" fontId="0" fillId="0" borderId="0"/>
    <xf numFmtId="175" fontId="0" fillId="0" borderId="0"/>
    <xf numFmtId="175" fontId="0" fillId="0" borderId="0"/>
    <xf numFmtId="175" fontId="0" fillId="0" borderId="0"/>
    <xf numFmtId="219" fontId="0" fillId="0" borderId="0"/>
    <xf numFmtId="175" fontId="0" fillId="0" borderId="0"/>
    <xf numFmtId="175" fontId="0" fillId="0" borderId="0"/>
    <xf numFmtId="175" fontId="0" fillId="0" borderId="0"/>
    <xf numFmtId="219" fontId="0" fillId="0" borderId="0"/>
    <xf numFmtId="175" fontId="0" fillId="0" borderId="0"/>
    <xf numFmtId="175" fontId="0" fillId="0" borderId="0"/>
    <xf numFmtId="219" fontId="0" fillId="0" borderId="0"/>
    <xf numFmtId="188" fontId="0" fillId="0" borderId="0"/>
    <xf numFmtId="218" fontId="0" fillId="0" borderId="0"/>
    <xf numFmtId="188" fontId="0" fillId="0" borderId="0"/>
    <xf numFmtId="175" fontId="0" fillId="0" borderId="0"/>
    <xf numFmtId="175" fontId="0" fillId="0" borderId="0"/>
    <xf numFmtId="173" fontId="0" fillId="0" borderId="0"/>
    <xf numFmtId="175" fontId="0" fillId="0" borderId="0"/>
    <xf numFmtId="175" fontId="0" fillId="0" borderId="0"/>
    <xf numFmtId="224" fontId="0" fillId="0" borderId="0"/>
    <xf numFmtId="175" fontId="0" fillId="0" borderId="0"/>
    <xf numFmtId="175" fontId="0" fillId="0" borderId="0"/>
    <xf numFmtId="175" fontId="0" fillId="0" borderId="0"/>
    <xf numFmtId="220" fontId="0" fillId="0" borderId="0"/>
    <xf numFmtId="220" fontId="0" fillId="0" borderId="0"/>
    <xf numFmtId="218" fontId="0" fillId="0" borderId="0"/>
    <xf numFmtId="218" fontId="0" fillId="0" borderId="0"/>
    <xf numFmtId="218" fontId="0" fillId="0" borderId="0"/>
    <xf numFmtId="218" fontId="0" fillId="0" borderId="0"/>
    <xf numFmtId="188" fontId="0" fillId="0" borderId="0"/>
    <xf numFmtId="225" fontId="0" fillId="0" borderId="0"/>
    <xf numFmtId="216" fontId="0" fillId="0" borderId="0"/>
    <xf numFmtId="216" fontId="0" fillId="0" borderId="0"/>
    <xf numFmtId="0" fontId="0" fillId="0" borderId="0"/>
    <xf numFmtId="226" fontId="0" fillId="0" borderId="0"/>
    <xf numFmtId="175" fontId="0" fillId="0" borderId="0"/>
    <xf numFmtId="176" fontId="0" fillId="0" borderId="0"/>
    <xf numFmtId="188" fontId="0" fillId="0" borderId="0"/>
    <xf numFmtId="226" fontId="0" fillId="0" borderId="0"/>
    <xf numFmtId="175" fontId="0" fillId="0" borderId="0"/>
    <xf numFmtId="175" fontId="0" fillId="0" borderId="0"/>
    <xf numFmtId="226" fontId="0" fillId="0" borderId="0"/>
    <xf numFmtId="220" fontId="0" fillId="0" borderId="0"/>
    <xf numFmtId="225" fontId="0" fillId="0" borderId="0"/>
    <xf numFmtId="226" fontId="0" fillId="0" borderId="0"/>
    <xf numFmtId="225" fontId="0" fillId="0" borderId="0"/>
    <xf numFmtId="219" fontId="0" fillId="0" borderId="0"/>
    <xf numFmtId="175" fontId="0" fillId="0" borderId="0"/>
    <xf numFmtId="175" fontId="0" fillId="0" borderId="0"/>
    <xf numFmtId="173" fontId="0" fillId="0" borderId="0"/>
    <xf numFmtId="225" fontId="0" fillId="0" borderId="0"/>
    <xf numFmtId="182" fontId="0" fillId="0" borderId="0"/>
    <xf numFmtId="176" fontId="0" fillId="0" borderId="0"/>
    <xf numFmtId="226" fontId="0" fillId="0" borderId="0"/>
    <xf numFmtId="175" fontId="0" fillId="0" borderId="0"/>
    <xf numFmtId="176" fontId="0" fillId="0" borderId="0"/>
    <xf numFmtId="176" fontId="0" fillId="0" borderId="0"/>
    <xf numFmtId="176" fontId="0" fillId="0" borderId="0"/>
    <xf numFmtId="216" fontId="0" fillId="0" borderId="0"/>
    <xf numFmtId="218" fontId="0" fillId="0" borderId="0"/>
    <xf numFmtId="176" fontId="0" fillId="0" borderId="0"/>
    <xf numFmtId="173" fontId="0" fillId="0" borderId="0"/>
    <xf numFmtId="176" fontId="0" fillId="0" borderId="0"/>
    <xf numFmtId="225" fontId="0" fillId="0" borderId="0"/>
    <xf numFmtId="188" fontId="0" fillId="0" borderId="0"/>
    <xf numFmtId="175" fontId="0" fillId="0" borderId="0"/>
    <xf numFmtId="226" fontId="0" fillId="0" borderId="0"/>
    <xf numFmtId="176" fontId="0" fillId="0" borderId="0"/>
    <xf numFmtId="227" fontId="0" fillId="0" borderId="0"/>
    <xf numFmtId="228" fontId="0" fillId="0" borderId="0"/>
    <xf numFmtId="176" fontId="0" fillId="0" borderId="0"/>
    <xf numFmtId="227" fontId="0" fillId="0" borderId="0"/>
    <xf numFmtId="2" fontId="0" fillId="0" borderId="0"/>
    <xf numFmtId="219" fontId="0" fillId="0" borderId="0"/>
    <xf numFmtId="226" fontId="0" fillId="0" borderId="0"/>
    <xf numFmtId="173" fontId="0" fillId="0" borderId="0"/>
    <xf numFmtId="175" fontId="0" fillId="0" borderId="0"/>
    <xf numFmtId="176" fontId="0" fillId="0" borderId="0"/>
    <xf numFmtId="222" fontId="0" fillId="0" borderId="0"/>
    <xf numFmtId="173" fontId="0" fillId="0" borderId="0"/>
    <xf numFmtId="173" fontId="0" fillId="0" borderId="0"/>
    <xf numFmtId="173" fontId="0" fillId="0" borderId="0"/>
    <xf numFmtId="175" fontId="0" fillId="0" borderId="0"/>
    <xf numFmtId="175" fontId="0" fillId="0" borderId="0"/>
    <xf numFmtId="176" fontId="0" fillId="0" borderId="0"/>
    <xf numFmtId="176" fontId="0" fillId="0" borderId="0"/>
    <xf numFmtId="175" fontId="0" fillId="0" borderId="0"/>
    <xf numFmtId="218" fontId="0" fillId="0" borderId="0"/>
    <xf numFmtId="220" fontId="0" fillId="0" borderId="0"/>
    <xf numFmtId="220" fontId="0" fillId="0" borderId="0"/>
    <xf numFmtId="188" fontId="0" fillId="0" borderId="0"/>
    <xf numFmtId="175" fontId="0" fillId="0" borderId="0"/>
    <xf numFmtId="211" fontId="0" fillId="0" borderId="0"/>
    <xf numFmtId="222" fontId="0" fillId="0" borderId="0"/>
    <xf numFmtId="211" fontId="0" fillId="0" borderId="0"/>
    <xf numFmtId="225" fontId="0" fillId="0" borderId="0"/>
    <xf numFmtId="227" fontId="0" fillId="0" borderId="0"/>
    <xf numFmtId="226" fontId="0" fillId="0" borderId="0"/>
    <xf numFmtId="220" fontId="0" fillId="0" borderId="0"/>
    <xf numFmtId="220" fontId="0" fillId="0" borderId="0"/>
    <xf numFmtId="229" fontId="0" fillId="0" borderId="0"/>
    <xf numFmtId="202" fontId="0" fillId="0" borderId="0"/>
    <xf numFmtId="202" fontId="0" fillId="0" borderId="0"/>
    <xf numFmtId="226" fontId="0" fillId="0" borderId="0"/>
    <xf numFmtId="230" fontId="0" fillId="0" borderId="0"/>
    <xf numFmtId="231" fontId="0" fillId="0" borderId="0"/>
    <xf numFmtId="218" fontId="0" fillId="0" borderId="0"/>
    <xf numFmtId="220" fontId="0" fillId="0" borderId="0"/>
    <xf numFmtId="218" fontId="0" fillId="0" borderId="0"/>
    <xf numFmtId="220" fontId="0" fillId="0" borderId="0"/>
    <xf numFmtId="220" fontId="0" fillId="0" borderId="0"/>
    <xf numFmtId="223" fontId="0" fillId="0" borderId="0"/>
    <xf numFmtId="223" fontId="0" fillId="0" borderId="0"/>
    <xf numFmtId="223" fontId="0" fillId="0" borderId="0"/>
    <xf numFmtId="220" fontId="0" fillId="0" borderId="0"/>
    <xf numFmtId="176" fontId="0" fillId="0" borderId="0"/>
    <xf numFmtId="218" fontId="0" fillId="0" borderId="0"/>
    <xf numFmtId="188" fontId="0" fillId="0" borderId="0"/>
    <xf numFmtId="173" fontId="0" fillId="0" borderId="0"/>
    <xf numFmtId="220" fontId="0" fillId="0" borderId="0"/>
    <xf numFmtId="176" fontId="0" fillId="0" borderId="0"/>
    <xf numFmtId="220" fontId="0" fillId="0" borderId="0"/>
    <xf numFmtId="220" fontId="0" fillId="0" borderId="0"/>
    <xf numFmtId="220" fontId="0" fillId="0" borderId="0"/>
    <xf numFmtId="220" fontId="0" fillId="0" borderId="0"/>
    <xf numFmtId="176" fontId="0" fillId="0" borderId="0"/>
    <xf numFmtId="223" fontId="0" fillId="0" borderId="0"/>
    <xf numFmtId="220" fontId="0" fillId="0" borderId="0"/>
    <xf numFmtId="188" fontId="0" fillId="0" borderId="0"/>
    <xf numFmtId="216" fontId="0" fillId="0" borderId="0"/>
    <xf numFmtId="220" fontId="0" fillId="0" borderId="0"/>
    <xf numFmtId="219" fontId="0" fillId="0" borderId="0"/>
    <xf numFmtId="176" fontId="0" fillId="0" borderId="0"/>
    <xf numFmtId="216" fontId="0" fillId="0" borderId="0"/>
    <xf numFmtId="219" fontId="0" fillId="0" borderId="0"/>
    <xf numFmtId="218" fontId="0" fillId="0" borderId="0"/>
    <xf numFmtId="175" fontId="0" fillId="0" borderId="0"/>
    <xf numFmtId="219" fontId="0" fillId="0" borderId="0"/>
    <xf numFmtId="173" fontId="0" fillId="0" borderId="0"/>
    <xf numFmtId="220" fontId="0" fillId="0" borderId="0"/>
    <xf numFmtId="173" fontId="0" fillId="0" borderId="0"/>
    <xf numFmtId="223" fontId="0" fillId="0" borderId="0"/>
    <xf numFmtId="176" fontId="0" fillId="0" borderId="0"/>
    <xf numFmtId="0" fontId="0" fillId="0" borderId="0"/>
    <xf numFmtId="176" fontId="0" fillId="0" borderId="0"/>
    <xf numFmtId="223" fontId="0" fillId="0" borderId="0"/>
    <xf numFmtId="221" fontId="0" fillId="0" borderId="0"/>
    <xf numFmtId="188" fontId="0" fillId="0" borderId="0"/>
    <xf numFmtId="220" fontId="0" fillId="0" borderId="0"/>
    <xf numFmtId="218" fontId="0" fillId="0" borderId="0"/>
    <xf numFmtId="173" fontId="0" fillId="0" borderId="0"/>
    <xf numFmtId="176" fontId="0" fillId="0" borderId="0"/>
    <xf numFmtId="176" fontId="0" fillId="0" borderId="0"/>
    <xf numFmtId="188" fontId="0" fillId="0" borderId="0"/>
    <xf numFmtId="220" fontId="0" fillId="0" borderId="0"/>
    <xf numFmtId="223" fontId="0" fillId="0" borderId="0"/>
    <xf numFmtId="218" fontId="0" fillId="0" borderId="0"/>
    <xf numFmtId="223" fontId="0" fillId="0" borderId="0"/>
    <xf numFmtId="223" fontId="0" fillId="0" borderId="0"/>
    <xf numFmtId="175" fontId="0" fillId="0" borderId="0"/>
    <xf numFmtId="220" fontId="0" fillId="0" borderId="0"/>
    <xf numFmtId="220" fontId="0" fillId="0" borderId="0"/>
    <xf numFmtId="220" fontId="0" fillId="0" borderId="0"/>
    <xf numFmtId="218" fontId="0" fillId="0" borderId="0"/>
    <xf numFmtId="218" fontId="0" fillId="0" borderId="0"/>
    <xf numFmtId="220" fontId="0" fillId="0" borderId="0"/>
    <xf numFmtId="220" fontId="0" fillId="0" borderId="0"/>
    <xf numFmtId="218" fontId="0" fillId="0" borderId="0"/>
    <xf numFmtId="220" fontId="0" fillId="0" borderId="0"/>
    <xf numFmtId="218" fontId="0" fillId="0" borderId="0"/>
    <xf numFmtId="220" fontId="0" fillId="0" borderId="0"/>
    <xf numFmtId="222" fontId="0" fillId="0" borderId="0"/>
    <xf numFmtId="176" fontId="0" fillId="0" borderId="0"/>
    <xf numFmtId="222" fontId="0" fillId="0" borderId="0"/>
    <xf numFmtId="176" fontId="0" fillId="0" borderId="0"/>
    <xf numFmtId="218" fontId="0" fillId="0" borderId="0"/>
    <xf numFmtId="175" fontId="0" fillId="0" borderId="0"/>
    <xf numFmtId="218" fontId="0" fillId="0" borderId="0"/>
    <xf numFmtId="218" fontId="0" fillId="0" borderId="0"/>
    <xf numFmtId="218" fontId="0" fillId="0" borderId="0"/>
    <xf numFmtId="218" fontId="0" fillId="0" borderId="0"/>
    <xf numFmtId="169" fontId="8" fillId="0" borderId="0" applyAlignment="1" applyProtection="1">
      <alignment horizontal="general" vertical="bottom"/>
      <protection locked="0" hidden="0"/>
    </xf>
    <xf numFmtId="209" fontId="3" fillId="0" borderId="0" applyAlignment="1" applyProtection="1">
      <alignment horizontal="general" vertical="bottom"/>
      <protection locked="0" hidden="0"/>
    </xf>
    <xf numFmtId="0" fontId="13" fillId="3" borderId="0"/>
    <xf numFmtId="0" fontId="14" fillId="0" borderId="0"/>
    <xf numFmtId="232" fontId="3" fillId="0" borderId="0" applyAlignment="1" applyProtection="1">
      <alignment horizontal="general" vertical="bottom"/>
      <protection locked="0" hidden="0"/>
    </xf>
    <xf numFmtId="232" fontId="3" fillId="0" borderId="0" applyAlignment="1" applyProtection="1">
      <alignment horizontal="general" vertical="bottom"/>
      <protection locked="0" hidden="0"/>
    </xf>
    <xf numFmtId="0" fontId="15" fillId="0" borderId="2"/>
    <xf numFmtId="0" fontId="13" fillId="4" borderId="0"/>
    <xf numFmtId="199" fontId="16" fillId="0" borderId="0" applyAlignment="1">
      <alignment horizontal="general" vertical="bottom"/>
    </xf>
    <xf numFmtId="233" fontId="17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3" fillId="0" borderId="0" applyAlignment="1">
      <alignment horizontal="general" vertical="bottom"/>
    </xf>
    <xf numFmtId="1" fontId="19" fillId="0" borderId="0" applyAlignment="1">
      <alignment horizontal="general" vertical="bottom"/>
    </xf>
    <xf numFmtId="3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3" fillId="0" borderId="0" applyAlignment="1">
      <alignment horizontal="general" vertical="bottom"/>
    </xf>
    <xf numFmtId="0" fontId="20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1" fillId="0" borderId="0" applyAlignment="1">
      <alignment horizontal="general" vertical="bottom"/>
    </xf>
    <xf numFmtId="199" fontId="18" fillId="0" borderId="0" applyAlignment="1">
      <alignment horizontal="general" vertical="bottom"/>
    </xf>
    <xf numFmtId="234" fontId="3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199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23" fillId="0" borderId="0" applyAlignment="1">
      <alignment horizontal="general" vertical="bottom"/>
    </xf>
    <xf numFmtId="199" fontId="24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19" fillId="0" borderId="0"/>
    <xf numFmtId="0" fontId="26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199" fontId="18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6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2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236" fontId="18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31" fillId="0" borderId="0" applyAlignment="1">
      <alignment horizontal="general" vertical="bottom"/>
    </xf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3" fontId="4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8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3" fontId="0" fillId="0" borderId="0"/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0" fillId="0" borderId="0"/>
    <xf numFmtId="0" fontId="13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0" fillId="0" borderId="0"/>
    <xf numFmtId="3" fontId="0" fillId="0" borderId="0"/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3" fontId="22" fillId="0" borderId="0" applyAlignment="1">
      <alignment horizontal="general" vertical="bottom"/>
    </xf>
    <xf numFmtId="3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0" fillId="0" borderId="0"/>
    <xf numFmtId="0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0" fillId="0" borderId="0"/>
    <xf numFmtId="0" fontId="3" fillId="0" borderId="0" applyAlignment="1">
      <alignment horizontal="general" vertical="bottom"/>
    </xf>
    <xf numFmtId="199" fontId="21" fillId="0" borderId="0" applyAlignment="1">
      <alignment horizontal="general" vertical="bottom"/>
    </xf>
    <xf numFmtId="3" fontId="0" fillId="0" borderId="0"/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233" fontId="32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2" fillId="0" borderId="0" applyAlignment="1">
      <alignment horizontal="general" vertical="bottom"/>
    </xf>
    <xf numFmtId="237" fontId="3" fillId="0" borderId="0" applyAlignment="1">
      <alignment horizontal="general" vertical="center"/>
    </xf>
    <xf numFmtId="199" fontId="34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0" fillId="0" borderId="0"/>
    <xf numFmtId="0" fontId="35" fillId="0" borderId="3" applyAlignment="1">
      <alignment horizontal="general" vertical="bottom"/>
    </xf>
    <xf numFmtId="0" fontId="28" fillId="0" borderId="0" applyAlignment="1">
      <alignment horizontal="general" vertical="bottom"/>
    </xf>
    <xf numFmtId="0" fontId="33" fillId="0" borderId="0" applyAlignment="1">
      <alignment horizontal="general" vertical="bottom"/>
    </xf>
    <xf numFmtId="235" fontId="32" fillId="0" borderId="0" applyAlignment="1">
      <alignment horizontal="general" vertical="bottom"/>
    </xf>
    <xf numFmtId="199" fontId="9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9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9" fillId="0" borderId="0" applyAlignment="1">
      <alignment horizontal="general" vertical="bottom"/>
    </xf>
    <xf numFmtId="183" fontId="3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32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235" fontId="3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5" fillId="0" borderId="3" applyAlignment="1">
      <alignment horizontal="general" vertical="bottom"/>
    </xf>
    <xf numFmtId="0" fontId="27" fillId="0" borderId="0" applyAlignment="1">
      <alignment horizontal="general" vertical="center"/>
    </xf>
    <xf numFmtId="0" fontId="30" fillId="0" borderId="0" applyAlignment="1">
      <alignment horizontal="general" vertical="bottom"/>
    </xf>
    <xf numFmtId="0" fontId="37" fillId="0" borderId="3" applyAlignment="1">
      <alignment horizontal="general" vertical="bottom"/>
    </xf>
    <xf numFmtId="183" fontId="3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4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29" fillId="0" borderId="0" applyAlignment="1">
      <alignment horizontal="general" vertical="bottom" wrapText="1"/>
    </xf>
    <xf numFmtId="235" fontId="36" fillId="0" borderId="0" applyAlignment="1">
      <alignment horizontal="general" vertical="bottom"/>
    </xf>
    <xf numFmtId="199" fontId="3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8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5" fillId="0" borderId="3" applyAlignment="1">
      <alignment horizontal="general" vertical="bottom"/>
    </xf>
    <xf numFmtId="0" fontId="37" fillId="0" borderId="3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3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0" fontId="22" fillId="0" borderId="0" applyAlignment="1">
      <alignment horizontal="general" vertical="bottom"/>
    </xf>
    <xf numFmtId="0" fontId="9" fillId="0" borderId="0" applyAlignment="1">
      <alignment horizontal="general" vertical="bottom" wrapText="1"/>
    </xf>
    <xf numFmtId="199" fontId="34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36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2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29" fillId="0" borderId="0" applyAlignment="1">
      <alignment horizontal="general" vertical="bottom" wrapText="1"/>
    </xf>
    <xf numFmtId="0" fontId="27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0" fontId="9" fillId="0" borderId="0" applyAlignment="1">
      <alignment horizontal="general" vertical="bottom" wrapText="1"/>
    </xf>
    <xf numFmtId="0" fontId="30" fillId="0" borderId="0" applyAlignment="1">
      <alignment horizontal="general" vertical="bottom"/>
    </xf>
    <xf numFmtId="0" fontId="4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1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0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8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3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42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9" fillId="0" borderId="0" applyAlignment="1">
      <alignment horizontal="general" vertical="bottom" wrapText="1"/>
    </xf>
    <xf numFmtId="0" fontId="25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36" fillId="0" borderId="0" applyAlignment="1">
      <alignment horizontal="general" vertical="bottom"/>
    </xf>
    <xf numFmtId="0" fontId="41" fillId="0" borderId="0" applyAlignment="1">
      <alignment horizontal="general" vertical="bottom"/>
    </xf>
    <xf numFmtId="0" fontId="4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7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21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44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1" fillId="0" borderId="0" applyAlignment="1">
      <alignment horizontal="general" vertical="bottom"/>
    </xf>
    <xf numFmtId="0" fontId="4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5" fillId="0" borderId="0" applyAlignment="1">
      <alignment horizontal="general" vertical="bottom"/>
    </xf>
    <xf numFmtId="0" fontId="46" fillId="0" borderId="0" applyAlignment="1">
      <alignment horizontal="general" vertical="bottom"/>
    </xf>
    <xf numFmtId="0" fontId="0" fillId="0" borderId="0"/>
    <xf numFmtId="0" fontId="29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47" fillId="0" borderId="0" applyAlignment="1">
      <alignment horizontal="general" vertical="bottom"/>
    </xf>
    <xf numFmtId="0" fontId="38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1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2" fillId="0" borderId="0" applyAlignment="1">
      <alignment horizontal="general" vertical="bottom"/>
    </xf>
    <xf numFmtId="0" fontId="30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9" fillId="0" borderId="0" applyAlignment="1">
      <alignment horizontal="general" vertical="bottom"/>
    </xf>
    <xf numFmtId="199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48" fillId="0" borderId="0" applyAlignment="1">
      <alignment horizontal="general" vertical="bottom"/>
    </xf>
    <xf numFmtId="233" fontId="32" fillId="0" borderId="0" applyAlignment="1">
      <alignment horizontal="general" vertical="bottom"/>
    </xf>
    <xf numFmtId="234" fontId="3" fillId="0" borderId="0" applyAlignment="1">
      <alignment horizontal="general" vertical="bottom"/>
    </xf>
    <xf numFmtId="0" fontId="32" fillId="0" borderId="0" applyAlignment="1">
      <alignment horizontal="general" vertical="bottom"/>
    </xf>
    <xf numFmtId="3" fontId="9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49" fillId="0" borderId="0" applyAlignment="1">
      <alignment horizontal="general" vertical="bottom"/>
    </xf>
    <xf numFmtId="0" fontId="9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0" fillId="0" borderId="0" applyAlignment="1">
      <alignment horizontal="general" vertical="bottom"/>
    </xf>
    <xf numFmtId="236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0" fillId="0" borderId="0"/>
    <xf numFmtId="3" fontId="0" fillId="0" borderId="0"/>
    <xf numFmtId="0" fontId="3" fillId="0" borderId="0" applyAlignment="1">
      <alignment horizontal="general" vertical="bottom"/>
    </xf>
    <xf numFmtId="0" fontId="25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236" fontId="18" fillId="0" borderId="0" applyAlignment="1">
      <alignment horizontal="general" vertical="bottom"/>
    </xf>
    <xf numFmtId="236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18" fillId="0" borderId="0" applyAlignment="1">
      <alignment horizontal="general" vertical="bottom"/>
    </xf>
    <xf numFmtId="0" fontId="3" fillId="0" borderId="0" applyAlignment="1">
      <alignment horizontal="general" vertical="bottom"/>
    </xf>
    <xf numFmtId="199" fontId="24" fillId="0" borderId="0" applyAlignment="1">
      <alignment horizontal="general" vertical="bottom"/>
    </xf>
    <xf numFmtId="0" fontId="3" fillId="0" borderId="0" applyAlignment="1">
      <alignment horizontal="general" vertical="bottom"/>
    </xf>
    <xf numFmtId="236" fontId="18" fillId="0" borderId="0" applyAlignment="1">
      <alignment horizontal="center" vertical="bottom"/>
    </xf>
    <xf numFmtId="0" fontId="22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9" fillId="0" borderId="0" applyAlignment="1">
      <alignment horizontal="general" vertical="bottom"/>
    </xf>
    <xf numFmtId="3" fontId="9" fillId="0" borderId="0" applyAlignment="1">
      <alignment horizontal="general" vertical="bottom"/>
    </xf>
    <xf numFmtId="0" fontId="34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50" fillId="0" borderId="0" applyAlignment="1">
      <alignment horizontal="general" vertical="bottom"/>
    </xf>
    <xf numFmtId="199" fontId="18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51" fillId="0" borderId="0" applyAlignment="1">
      <alignment horizontal="general" vertical="bottom"/>
    </xf>
    <xf numFmtId="235" fontId="3" fillId="0" borderId="0" applyAlignment="1">
      <alignment horizontal="general" vertical="bottom"/>
    </xf>
    <xf numFmtId="0" fontId="28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27" fillId="0" borderId="0" applyAlignment="1">
      <alignment horizontal="general" vertical="bottom"/>
    </xf>
    <xf numFmtId="183" fontId="3" fillId="0" borderId="0" applyAlignment="1">
      <alignment horizontal="general" vertical="bottom"/>
    </xf>
    <xf numFmtId="0" fontId="3" fillId="0" borderId="0" applyAlignment="1">
      <alignment horizontal="general" vertical="bottom" wrapText="1"/>
    </xf>
    <xf numFmtId="0" fontId="52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29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9" fillId="0" borderId="0" applyAlignment="1">
      <alignment horizontal="general" vertical="bottom"/>
    </xf>
    <xf numFmtId="183" fontId="3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0" fillId="0" borderId="0" applyAlignment="1">
      <alignment horizontal="general" vertical="bottom"/>
    </xf>
    <xf numFmtId="199" fontId="34" fillId="0" borderId="0" applyAlignment="1">
      <alignment horizontal="general" vertical="bottom"/>
    </xf>
    <xf numFmtId="0" fontId="29" fillId="0" borderId="0" applyAlignment="1">
      <alignment horizontal="general" vertical="bottom"/>
    </xf>
    <xf numFmtId="3" fontId="4" fillId="0" borderId="0" applyAlignment="1">
      <alignment horizontal="general" vertical="bottom"/>
    </xf>
    <xf numFmtId="235" fontId="32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0" fillId="0" borderId="0" applyAlignment="1">
      <alignment horizontal="general" vertical="bottom"/>
    </xf>
    <xf numFmtId="199" fontId="21" fillId="0" borderId="0" applyAlignment="1">
      <alignment horizontal="general" vertical="bottom"/>
    </xf>
    <xf numFmtId="199" fontId="21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3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19" fillId="0" borderId="0" applyAlignment="1">
      <alignment horizontal="general" vertical="bottom"/>
    </xf>
    <xf numFmtId="235" fontId="18" fillId="0" borderId="0" applyAlignment="1">
      <alignment horizontal="general" vertical="bottom"/>
    </xf>
    <xf numFmtId="3" fontId="0" fillId="0" borderId="0"/>
    <xf numFmtId="235" fontId="18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30" fillId="0" borderId="0" applyAlignment="1">
      <alignment horizontal="general" vertical="bottom"/>
    </xf>
    <xf numFmtId="0" fontId="30" fillId="0" borderId="0" applyAlignment="1">
      <alignment horizontal="general" vertical="bottom"/>
    </xf>
    <xf numFmtId="235" fontId="18" fillId="0" borderId="0" applyAlignment="1">
      <alignment horizontal="general" vertical="bottom"/>
    </xf>
    <xf numFmtId="0" fontId="53" fillId="0" borderId="0" applyAlignment="1" applyProtection="1">
      <alignment horizontal="general" vertical="bottom"/>
      <protection locked="0" hidden="0"/>
    </xf>
  </cellStyleXfs>
  <cellXfs count="468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1494">
      <alignment horizontal="general" vertical="bottom"/>
    </xf>
    <xf numFmtId="0" fontId="57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center" vertical="bottom"/>
    </xf>
    <xf numFmtId="0" fontId="1" fillId="0" borderId="0" applyAlignment="1" pivotButton="0" quotePrefix="0" xfId="1494">
      <alignment horizontal="center" vertical="bottom"/>
    </xf>
    <xf numFmtId="0" fontId="1" fillId="0" borderId="0" applyAlignment="1" pivotButton="0" quotePrefix="0" xfId="1494">
      <alignment horizontal="general" vertical="bottom"/>
    </xf>
    <xf numFmtId="0" fontId="63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64" fillId="0" borderId="0" applyAlignment="1" applyProtection="1" pivotButton="0" quotePrefix="0" xfId="0">
      <alignment horizontal="center" vertical="bottom"/>
      <protection locked="1" hidden="1"/>
    </xf>
    <xf numFmtId="0" fontId="65" fillId="0" borderId="0" applyAlignment="1" applyProtection="1" pivotButton="0" quotePrefix="0" xfId="0">
      <alignment horizontal="general" vertical="bottom"/>
      <protection locked="1" hidden="1"/>
    </xf>
    <xf numFmtId="164" fontId="66" fillId="0" borderId="4" applyAlignment="1" applyProtection="1" pivotButton="0" quotePrefix="0" xfId="0">
      <alignment horizontal="center" vertical="bottom"/>
      <protection locked="1" hidden="1"/>
    </xf>
    <xf numFmtId="164" fontId="66" fillId="0" borderId="5" applyAlignment="1" applyProtection="1" pivotButton="0" quotePrefix="0" xfId="0">
      <alignment horizontal="center" vertical="bottom"/>
      <protection locked="1" hidden="1"/>
    </xf>
    <xf numFmtId="164" fontId="66" fillId="0" borderId="6" applyAlignment="1" applyProtection="1" pivotButton="0" quotePrefix="0" xfId="0">
      <alignment horizontal="center" vertical="bottom"/>
      <protection locked="1" hidden="1"/>
    </xf>
    <xf numFmtId="0" fontId="13" fillId="0" borderId="0" applyAlignment="1" pivotButton="0" quotePrefix="0" xfId="0">
      <alignment horizontal="general" vertical="bottom"/>
    </xf>
    <xf numFmtId="164" fontId="66" fillId="6" borderId="7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8" applyAlignment="1" applyProtection="1" pivotButton="0" quotePrefix="0" xfId="0">
      <alignment horizontal="center" vertical="bottom"/>
      <protection locked="1" hidden="1"/>
    </xf>
    <xf numFmtId="164" fontId="66" fillId="6" borderId="0" applyAlignment="1" applyProtection="1" pivotButton="0" quotePrefix="0" xfId="0">
      <alignment horizontal="center" vertical="bottom"/>
      <protection locked="1" hidden="1"/>
    </xf>
    <xf numFmtId="164" fontId="66" fillId="6" borderId="9" applyAlignment="1" applyProtection="1" pivotButton="0" quotePrefix="0" xfId="0">
      <alignment horizontal="center" vertical="bottom"/>
      <protection locked="1" hidden="1"/>
    </xf>
    <xf numFmtId="164" fontId="66" fillId="6" borderId="10" applyAlignment="1" applyProtection="1" pivotButton="0" quotePrefix="0" xfId="0">
      <alignment horizontal="center" vertical="bottom"/>
      <protection locked="1" hidden="1"/>
    </xf>
    <xf numFmtId="164" fontId="66" fillId="0" borderId="11" applyAlignment="1" applyProtection="1" pivotButton="0" quotePrefix="0" xfId="0">
      <alignment horizontal="center" vertical="bottom"/>
      <protection locked="1" hidden="1"/>
    </xf>
    <xf numFmtId="0" fontId="67" fillId="0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applyProtection="1" pivotButton="0" quotePrefix="0" xfId="0">
      <alignment horizontal="center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0" fontId="69" fillId="0" borderId="0" applyAlignment="1" applyProtection="1" pivotButton="0" quotePrefix="0" xfId="0">
      <alignment horizontal="general" vertical="bottom"/>
      <protection locked="1" hidden="1"/>
    </xf>
    <xf numFmtId="0" fontId="63" fillId="5" borderId="0" applyAlignment="1" applyProtection="1" pivotButton="0" quotePrefix="0" xfId="0">
      <alignment horizontal="general" vertical="bottom"/>
      <protection locked="1" hidden="1"/>
    </xf>
    <xf numFmtId="0" fontId="0" fillId="5" borderId="0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center" vertical="bottom"/>
      <protection locked="1" hidden="1"/>
    </xf>
    <xf numFmtId="164" fontId="66" fillId="0" borderId="4" applyAlignment="1" applyProtection="1" pivotButton="0" quotePrefix="0" xfId="0">
      <alignment horizontal="general" vertical="bottom"/>
      <protection locked="1" hidden="1"/>
    </xf>
    <xf numFmtId="164" fontId="66" fillId="0" borderId="5" applyAlignment="1" applyProtection="1" pivotButton="0" quotePrefix="0" xfId="0">
      <alignment horizontal="general" vertical="bottom"/>
      <protection locked="1" hidden="1"/>
    </xf>
    <xf numFmtId="164" fontId="66" fillId="0" borderId="6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164" fontId="66" fillId="6" borderId="7" applyAlignment="1" applyProtection="1" pivotButton="0" quotePrefix="0" xfId="0">
      <alignment horizontal="general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164" fontId="66" fillId="0" borderId="8" applyAlignment="1" applyProtection="1" pivotButton="0" quotePrefix="0" xfId="0">
      <alignment horizontal="general" vertical="bottom"/>
      <protection locked="1" hidden="1"/>
    </xf>
    <xf numFmtId="164" fontId="66" fillId="6" borderId="0" applyAlignment="1" applyProtection="1" pivotButton="0" quotePrefix="0" xfId="0">
      <alignment horizontal="general" vertical="bottom"/>
      <protection locked="1" hidden="1"/>
    </xf>
    <xf numFmtId="164" fontId="66" fillId="6" borderId="9" applyAlignment="1" applyProtection="1" pivotButton="0" quotePrefix="0" xfId="0">
      <alignment horizontal="general" vertical="bottom"/>
      <protection locked="1" hidden="1"/>
    </xf>
    <xf numFmtId="164" fontId="66" fillId="6" borderId="10" applyAlignment="1" applyProtection="1" pivotButton="0" quotePrefix="0" xfId="0">
      <alignment horizontal="general" vertical="bottom"/>
      <protection locked="1" hidden="1"/>
    </xf>
    <xf numFmtId="164" fontId="66" fillId="0" borderId="11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right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0" fontId="68" fillId="4" borderId="12" applyAlignment="1" applyProtection="1" pivotButton="0" quotePrefix="0" xfId="0">
      <alignment horizontal="center" vertical="bottom"/>
      <protection locked="1" hidden="1"/>
    </xf>
    <xf numFmtId="164" fontId="66" fillId="0" borderId="5" applyAlignment="1" applyProtection="1" pivotButton="0" quotePrefix="0" xfId="0">
      <alignment horizontal="general" vertical="bottom"/>
      <protection locked="1" hidden="1"/>
    </xf>
    <xf numFmtId="164" fontId="66" fillId="0" borderId="6" applyAlignment="1" applyProtection="1" pivotButton="0" quotePrefix="0" xfId="0">
      <alignment horizontal="general" vertical="bottom"/>
      <protection locked="1" hidden="1"/>
    </xf>
    <xf numFmtId="164" fontId="66" fillId="4" borderId="12" applyAlignment="1" applyProtection="1" pivotButton="0" quotePrefix="0" xfId="0">
      <alignment horizontal="center" vertical="bottom"/>
      <protection locked="1" hidden="1"/>
    </xf>
    <xf numFmtId="164" fontId="66" fillId="0" borderId="7" applyAlignment="1" applyProtection="1" pivotButton="0" quotePrefix="0" xfId="0">
      <alignment horizontal="general" vertical="bottom"/>
      <protection locked="1" hidden="1"/>
    </xf>
    <xf numFmtId="164" fontId="66" fillId="0" borderId="8" applyAlignment="1" applyProtection="1" pivotButton="0" quotePrefix="0" xfId="0">
      <alignment horizontal="general" vertical="bottom"/>
      <protection locked="1" hidden="1"/>
    </xf>
    <xf numFmtId="164" fontId="66" fillId="0" borderId="9" applyAlignment="1" applyProtection="1" pivotButton="0" quotePrefix="0" xfId="0">
      <alignment horizontal="general" vertical="bottom"/>
      <protection locked="1" hidden="1"/>
    </xf>
    <xf numFmtId="164" fontId="66" fillId="0" borderId="10" applyAlignment="1" applyProtection="1" pivotButton="0" quotePrefix="0" xfId="0">
      <alignment horizontal="general" vertical="bottom"/>
      <protection locked="1" hidden="1"/>
    </xf>
    <xf numFmtId="164" fontId="66" fillId="0" borderId="11" applyAlignment="1" applyProtection="1" pivotButton="0" quotePrefix="0" xfId="0">
      <alignment horizontal="general" vertical="bottom"/>
      <protection locked="1" hidden="1"/>
    </xf>
    <xf numFmtId="0" fontId="13" fillId="5" borderId="0" applyAlignment="1" applyProtection="1" pivotButton="0" quotePrefix="0" xfId="0">
      <alignment horizontal="general" vertical="bottom"/>
      <protection locked="1" hidden="1"/>
    </xf>
    <xf numFmtId="0" fontId="74" fillId="0" borderId="0" applyAlignment="1" applyProtection="1" pivotButton="0" quotePrefix="0" xfId="0">
      <alignment horizontal="general" vertical="bottom"/>
      <protection locked="1" hidden="1"/>
    </xf>
    <xf numFmtId="0" fontId="63" fillId="0" borderId="0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center" vertical="bottom"/>
      <protection locked="1" hidden="1"/>
    </xf>
    <xf numFmtId="0" fontId="74" fillId="0" borderId="0" applyAlignment="1" applyProtection="1" pivotButton="0" quotePrefix="0" xfId="0">
      <alignment horizontal="left" vertical="bottom"/>
      <protection locked="1" hidden="1"/>
    </xf>
    <xf numFmtId="0" fontId="13" fillId="0" borderId="0" applyAlignment="1" applyProtection="1" pivotButton="0" quotePrefix="0" xfId="0">
      <alignment horizontal="center" vertical="bottom"/>
      <protection locked="1" hidden="1"/>
    </xf>
    <xf numFmtId="0" fontId="74" fillId="0" borderId="0" applyAlignment="1" applyProtection="1" pivotButton="0" quotePrefix="0" xfId="0">
      <alignment horizontal="center" vertical="bottom"/>
      <protection locked="1" hidden="1"/>
    </xf>
    <xf numFmtId="164" fontId="66" fillId="0" borderId="13" applyAlignment="1" applyProtection="1" pivotButton="0" quotePrefix="0" xfId="0">
      <alignment horizontal="center" vertical="bottom"/>
      <protection locked="1" hidden="1"/>
    </xf>
    <xf numFmtId="164" fontId="66" fillId="6" borderId="6" applyAlignment="1" applyProtection="1" pivotButton="0" quotePrefix="0" xfId="0">
      <alignment horizontal="center" vertical="bottom"/>
      <protection locked="1" hidden="1"/>
    </xf>
    <xf numFmtId="164" fontId="13" fillId="0" borderId="0" applyAlignment="1" applyProtection="1" pivotButton="0" quotePrefix="0" xfId="0">
      <alignment horizontal="general" vertical="bottom"/>
      <protection locked="1" hidden="1"/>
    </xf>
    <xf numFmtId="165" fontId="74" fillId="0" borderId="0" applyAlignment="1" applyProtection="1" pivotButton="0" quotePrefix="0" xfId="0">
      <alignment horizontal="general" vertical="bottom"/>
      <protection locked="1" hidden="1"/>
    </xf>
    <xf numFmtId="164" fontId="66" fillId="0" borderId="14" applyAlignment="1" applyProtection="1" pivotButton="0" quotePrefix="0" xfId="0">
      <alignment horizontal="center" vertical="bottom"/>
      <protection locked="1" hidden="1"/>
    </xf>
    <xf numFmtId="164" fontId="66" fillId="6" borderId="8" applyAlignment="1" applyProtection="1" pivotButton="0" quotePrefix="0" xfId="0">
      <alignment horizontal="center" vertical="bottom"/>
      <protection locked="1" hidden="1"/>
    </xf>
    <xf numFmtId="164" fontId="66" fillId="0" borderId="15" applyAlignment="1" applyProtection="1" pivotButton="0" quotePrefix="0" xfId="0">
      <alignment horizontal="center" vertical="bottom"/>
      <protection locked="1" hidden="1"/>
    </xf>
    <xf numFmtId="164" fontId="66" fillId="6" borderId="11" applyAlignment="1" applyProtection="1" pivotButton="0" quotePrefix="0" xfId="0">
      <alignment horizontal="center" vertical="bottom"/>
      <protection locked="1" hidden="1"/>
    </xf>
    <xf numFmtId="0" fontId="75" fillId="0" borderId="0" applyAlignment="1" applyProtection="1" pivotButton="0" quotePrefix="0" xfId="0">
      <alignment horizontal="general" vertical="bottom"/>
      <protection locked="1" hidden="1"/>
    </xf>
    <xf numFmtId="0" fontId="76" fillId="0" borderId="0" applyAlignment="1" applyProtection="1" pivotButton="0" quotePrefix="0" xfId="0">
      <alignment horizontal="general" vertical="bottom"/>
      <protection locked="1" hidden="1"/>
    </xf>
    <xf numFmtId="166" fontId="66" fillId="0" borderId="16" applyAlignment="1" applyProtection="1" pivotButton="0" quotePrefix="0" xfId="0">
      <alignment horizontal="center" vertical="bottom"/>
      <protection locked="1" hidden="1"/>
    </xf>
    <xf numFmtId="166" fontId="66" fillId="0" borderId="17" applyAlignment="1" applyProtection="1" pivotButton="0" quotePrefix="0" xfId="0">
      <alignment horizontal="center" vertical="bottom"/>
      <protection locked="1" hidden="1"/>
    </xf>
    <xf numFmtId="166" fontId="66" fillId="0" borderId="18" applyAlignment="1" applyProtection="1" pivotButton="0" quotePrefix="0" xfId="0">
      <alignment horizontal="center" vertical="bottom"/>
      <protection locked="1" hidden="1"/>
    </xf>
    <xf numFmtId="0" fontId="13" fillId="6" borderId="12" applyAlignment="1" applyProtection="1" pivotButton="0" quotePrefix="0" xfId="0">
      <alignment horizontal="general" vertical="bottom"/>
      <protection locked="1" hidden="1"/>
    </xf>
    <xf numFmtId="0" fontId="66" fillId="6" borderId="12" applyAlignment="1" applyProtection="1" pivotButton="0" quotePrefix="0" xfId="0">
      <alignment horizontal="center" vertical="bottom"/>
      <protection locked="1" hidden="1"/>
    </xf>
    <xf numFmtId="0" fontId="13" fillId="6" borderId="19" applyAlignment="1" applyProtection="1" pivotButton="0" quotePrefix="0" xfId="0">
      <alignment horizontal="general" vertical="bottom"/>
      <protection locked="1" hidden="1"/>
    </xf>
    <xf numFmtId="0" fontId="13" fillId="6" borderId="20" applyAlignment="1" applyProtection="1" pivotButton="0" quotePrefix="0" xfId="0">
      <alignment horizontal="general" vertical="bottom"/>
      <protection locked="1" hidden="1"/>
    </xf>
    <xf numFmtId="166" fontId="66" fillId="0" borderId="21" applyAlignment="1" applyProtection="1" pivotButton="0" quotePrefix="0" xfId="0">
      <alignment horizontal="center" vertical="bottom"/>
      <protection locked="1" hidden="1"/>
    </xf>
    <xf numFmtId="166" fontId="66" fillId="0" borderId="0" applyAlignment="1" applyProtection="1" pivotButton="0" quotePrefix="0" xfId="0">
      <alignment horizontal="center" vertical="bottom"/>
      <protection locked="1" hidden="1"/>
    </xf>
    <xf numFmtId="166" fontId="66" fillId="0" borderId="22" applyAlignment="1" applyProtection="1" pivotButton="0" quotePrefix="0" xfId="0">
      <alignment horizontal="center" vertical="bottom"/>
      <protection locked="1" hidden="1"/>
    </xf>
    <xf numFmtId="0" fontId="63" fillId="7" borderId="16" applyAlignment="1" applyProtection="1" pivotButton="0" quotePrefix="0" xfId="0">
      <alignment horizontal="general" vertical="bottom"/>
      <protection locked="1" hidden="1"/>
    </xf>
    <xf numFmtId="0" fontId="83" fillId="7" borderId="17" applyAlignment="1" applyProtection="1" pivotButton="0" quotePrefix="0" xfId="0">
      <alignment horizontal="general" vertical="bottom"/>
      <protection locked="1" hidden="1"/>
    </xf>
    <xf numFmtId="0" fontId="83" fillId="7" borderId="18" applyAlignment="1" applyProtection="1" pivotButton="0" quotePrefix="0" xfId="0">
      <alignment horizontal="general" vertical="bottom"/>
      <protection locked="1" hidden="1"/>
    </xf>
    <xf numFmtId="167" fontId="66" fillId="4" borderId="23" applyAlignment="1" applyProtection="1" pivotButton="0" quotePrefix="0" xfId="0">
      <alignment horizontal="general" vertical="bottom"/>
      <protection locked="1" hidden="1"/>
    </xf>
    <xf numFmtId="0" fontId="63" fillId="7" borderId="24" applyAlignment="1" applyProtection="1" pivotButton="0" quotePrefix="0" xfId="0">
      <alignment horizontal="general" vertical="bottom"/>
      <protection locked="1" hidden="1"/>
    </xf>
    <xf numFmtId="0" fontId="83" fillId="7" borderId="3" applyAlignment="1" applyProtection="1" pivotButton="0" quotePrefix="0" xfId="0">
      <alignment horizontal="general" vertical="bottom"/>
      <protection locked="1" hidden="1"/>
    </xf>
    <xf numFmtId="0" fontId="83" fillId="7" borderId="25" applyAlignment="1" applyProtection="1" pivotButton="0" quotePrefix="0" xfId="0">
      <alignment horizontal="general" vertical="bottom"/>
      <protection locked="1" hidden="1"/>
    </xf>
    <xf numFmtId="10" fontId="66" fillId="4" borderId="12" applyAlignment="1" applyProtection="1" pivotButton="0" quotePrefix="0" xfId="0">
      <alignment horizontal="general" vertical="bottom"/>
      <protection locked="1" hidden="1"/>
    </xf>
    <xf numFmtId="166" fontId="66" fillId="0" borderId="24" applyAlignment="1" applyProtection="1" pivotButton="0" quotePrefix="0" xfId="0">
      <alignment horizontal="center" vertical="bottom"/>
      <protection locked="1" hidden="1"/>
    </xf>
    <xf numFmtId="166" fontId="66" fillId="0" borderId="3" applyAlignment="1" applyProtection="1" pivotButton="0" quotePrefix="0" xfId="0">
      <alignment horizontal="center" vertical="bottom"/>
      <protection locked="1" hidden="1"/>
    </xf>
    <xf numFmtId="166" fontId="66" fillId="0" borderId="25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left" vertical="bottom"/>
      <protection locked="1" hidden="1"/>
    </xf>
    <xf numFmtId="168" fontId="85" fillId="0" borderId="0" applyAlignment="1" applyProtection="1" pivotButton="0" quotePrefix="0" xfId="0">
      <alignment horizontal="general" vertical="bottom"/>
      <protection locked="1" hidden="1"/>
    </xf>
    <xf numFmtId="166" fontId="86" fillId="8" borderId="12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general" vertical="bottom"/>
      <protection locked="1" hidden="1"/>
    </xf>
    <xf numFmtId="0" fontId="85" fillId="0" borderId="0" applyAlignment="1" applyProtection="1" pivotButton="0" quotePrefix="0" xfId="0">
      <alignment horizontal="general" vertical="bottom"/>
      <protection locked="1" hidden="1"/>
    </xf>
    <xf numFmtId="166" fontId="63" fillId="5" borderId="12" applyAlignment="1" applyProtection="1" pivotButton="0" quotePrefix="0" xfId="0">
      <alignment horizontal="center" vertical="bottom"/>
      <protection locked="1" hidden="1"/>
    </xf>
    <xf numFmtId="0" fontId="66" fillId="9" borderId="0" applyAlignment="1" applyProtection="1" pivotButton="0" quotePrefix="0" xfId="0">
      <alignment horizontal="general" vertical="bottom"/>
      <protection locked="1" hidden="1"/>
    </xf>
    <xf numFmtId="166" fontId="66" fillId="0" borderId="0" applyAlignment="1" applyProtection="1" pivotButton="0" quotePrefix="0" xfId="0">
      <alignment horizontal="center" vertical="bottom"/>
      <protection locked="1" hidden="1"/>
    </xf>
    <xf numFmtId="0" fontId="68" fillId="0" borderId="0" applyAlignment="1" applyProtection="1" pivotButton="0" quotePrefix="0" xfId="0">
      <alignment horizontal="general" vertical="bottom"/>
      <protection locked="1" hidden="1"/>
    </xf>
    <xf numFmtId="10" fontId="66" fillId="0" borderId="0" applyAlignment="1" applyProtection="1" pivotButton="0" quotePrefix="0" xfId="0">
      <alignment horizontal="center" vertical="bottom"/>
      <protection locked="1" hidden="1"/>
    </xf>
    <xf numFmtId="168" fontId="66" fillId="0" borderId="0" applyAlignment="1" applyProtection="1" pivotButton="0" quotePrefix="0" xfId="0">
      <alignment horizontal="general" vertical="bottom"/>
      <protection locked="1" hidden="1"/>
    </xf>
    <xf numFmtId="167" fontId="66" fillId="0" borderId="0" applyAlignment="1" applyProtection="1" pivotButton="0" quotePrefix="0" xfId="0">
      <alignment horizontal="center" vertical="bottom"/>
      <protection locked="1" hidden="1"/>
    </xf>
    <xf numFmtId="10" fontId="66" fillId="0" borderId="0" applyAlignment="1" applyProtection="1" pivotButton="0" quotePrefix="0" xfId="0">
      <alignment horizontal="general" vertical="bottom"/>
      <protection locked="1" hidden="1"/>
    </xf>
    <xf numFmtId="167" fontId="66" fillId="6" borderId="12" applyAlignment="1" applyProtection="1" pivotButton="0" quotePrefix="0" xfId="0">
      <alignment horizontal="center" vertical="bottom"/>
      <protection locked="1" hidden="1"/>
    </xf>
    <xf numFmtId="167" fontId="66" fillId="0" borderId="0" applyAlignment="1" applyProtection="1" pivotButton="0" quotePrefix="0" xfId="0">
      <alignment horizontal="general" vertical="bottom"/>
      <protection locked="1" hidden="1"/>
    </xf>
    <xf numFmtId="167" fontId="66" fillId="0" borderId="0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general" vertical="bottom"/>
      <protection locked="1" hidden="1"/>
    </xf>
    <xf numFmtId="169" fontId="66" fillId="6" borderId="19" applyAlignment="1" applyProtection="1" pivotButton="0" quotePrefix="0" xfId="0">
      <alignment horizontal="center" vertical="bottom"/>
      <protection locked="1" hidden="1"/>
    </xf>
    <xf numFmtId="0" fontId="82" fillId="5" borderId="16" applyAlignment="1" applyProtection="1" pivotButton="0" quotePrefix="0" xfId="0">
      <alignment horizontal="left" vertical="bottom"/>
      <protection locked="1" hidden="1"/>
    </xf>
    <xf numFmtId="0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7" applyAlignment="1" applyProtection="1" pivotButton="0" quotePrefix="0" xfId="0">
      <alignment horizontal="general" vertical="bottom"/>
      <protection locked="1" hidden="1"/>
    </xf>
    <xf numFmtId="169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8" applyAlignment="1" applyProtection="1" pivotButton="0" quotePrefix="0" xfId="0">
      <alignment horizontal="general" vertical="bottom"/>
      <protection locked="1" hidden="1"/>
    </xf>
    <xf numFmtId="0" fontId="87" fillId="0" borderId="0" applyAlignment="1" applyProtection="1" pivotButton="0" quotePrefix="0" xfId="0">
      <alignment horizontal="general" vertical="bottom"/>
      <protection locked="1" hidden="1"/>
    </xf>
    <xf numFmtId="0" fontId="82" fillId="5" borderId="24" applyAlignment="1" applyProtection="1" pivotButton="0" quotePrefix="0" xfId="0">
      <alignment horizontal="general" vertical="bottom"/>
      <protection locked="1" hidden="1"/>
    </xf>
    <xf numFmtId="0" fontId="88" fillId="5" borderId="3" applyAlignment="1" applyProtection="1" pivotButton="0" quotePrefix="0" xfId="0">
      <alignment horizontal="general" vertical="bottom"/>
      <protection locked="1" hidden="1"/>
    </xf>
    <xf numFmtId="0" fontId="88" fillId="5" borderId="25" applyAlignment="1" applyProtection="1" pivotButton="0" quotePrefix="0" xfId="0">
      <alignment horizontal="general" vertical="bottom"/>
      <protection locked="1" hidden="1"/>
    </xf>
    <xf numFmtId="0" fontId="67" fillId="0" borderId="0" applyAlignment="1" pivotButton="0" quotePrefix="0" xfId="0">
      <alignment horizontal="general" vertical="bottom"/>
    </xf>
    <xf numFmtId="0" fontId="67" fillId="0" borderId="0" applyAlignment="1" pivotButton="0" quotePrefix="0" xfId="0">
      <alignment horizontal="center" vertical="bottom"/>
    </xf>
    <xf numFmtId="0" fontId="63" fillId="0" borderId="0" applyAlignment="1" applyProtection="1" pivotButton="0" quotePrefix="0" xfId="0">
      <alignment horizontal="center" vertical="bottom"/>
      <protection locked="1" hidden="1"/>
    </xf>
    <xf numFmtId="0" fontId="83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center" vertical="bottom"/>
      <protection locked="1" hidden="1"/>
    </xf>
    <xf numFmtId="0" fontId="68" fillId="0" borderId="0" applyAlignment="1" applyProtection="1" pivotButton="0" quotePrefix="0" xfId="0">
      <alignment horizontal="center" vertical="bottom"/>
      <protection locked="1" hidden="1"/>
    </xf>
    <xf numFmtId="0" fontId="68" fillId="0" borderId="0" applyAlignment="1" pivotButton="0" quotePrefix="0" xfId="0">
      <alignment horizontal="center" vertical="bottom"/>
    </xf>
    <xf numFmtId="0" fontId="78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center" vertical="bottom"/>
      <protection locked="1" hidden="1"/>
    </xf>
    <xf numFmtId="0" fontId="89" fillId="0" borderId="0" applyAlignment="1" applyProtection="1" pivotButton="0" quotePrefix="0" xfId="0">
      <alignment horizontal="center" vertical="bottom"/>
      <protection locked="1" hidden="1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center" vertical="bottom"/>
      <protection locked="1" hidden="1"/>
    </xf>
    <xf numFmtId="167" fontId="58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pivotButton="0" quotePrefix="0" xfId="0">
      <alignment horizontal="general" vertical="bottom"/>
    </xf>
    <xf numFmtId="10" fontId="58" fillId="0" borderId="3" applyAlignment="1" applyProtection="1" pivotButton="0" quotePrefix="0" xfId="0">
      <alignment horizontal="general" vertical="bottom"/>
      <protection locked="1" hidden="1"/>
    </xf>
    <xf numFmtId="10" fontId="66" fillId="0" borderId="0" applyAlignment="1" applyProtection="1" pivotButton="0" quotePrefix="0" xfId="0">
      <alignment horizontal="general" vertical="bottom"/>
      <protection locked="1" hidden="1"/>
    </xf>
    <xf numFmtId="0" fontId="90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pivotButton="0" quotePrefix="0" xfId="0">
      <alignment horizontal="general" vertical="bottom"/>
    </xf>
    <xf numFmtId="170" fontId="58" fillId="0" borderId="0" applyAlignment="1" applyProtection="1" pivotButton="0" quotePrefix="0" xfId="0">
      <alignment horizontal="general" vertical="bottom"/>
      <protection locked="1" hidden="1"/>
    </xf>
    <xf numFmtId="168" fontId="66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pivotButton="0" quotePrefix="0" xfId="0">
      <alignment horizontal="general" vertical="bottom"/>
    </xf>
    <xf numFmtId="10" fontId="77" fillId="0" borderId="3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general" vertical="bottom"/>
      <protection locked="1" hidden="1"/>
    </xf>
    <xf numFmtId="168" fontId="66" fillId="0" borderId="0" applyAlignment="1" pivotButton="0" quotePrefix="0" xfId="0">
      <alignment horizontal="general" vertical="bottom"/>
    </xf>
    <xf numFmtId="0" fontId="92" fillId="0" borderId="0" applyAlignment="1" applyProtection="1" pivotButton="0" quotePrefix="0" xfId="0">
      <alignment horizontal="center" vertical="bottom"/>
      <protection locked="1" hidden="1"/>
    </xf>
    <xf numFmtId="170" fontId="58" fillId="6" borderId="3" applyAlignment="1" applyProtection="1" pivotButton="0" quotePrefix="0" xfId="0">
      <alignment horizontal="general" vertical="bottom"/>
      <protection locked="1" hidden="1"/>
    </xf>
    <xf numFmtId="10" fontId="66" fillId="0" borderId="0" applyAlignment="1" pivotButton="0" quotePrefix="0" xfId="0">
      <alignment horizontal="general" vertical="bottom"/>
    </xf>
    <xf numFmtId="168" fontId="58" fillId="0" borderId="0" applyAlignment="1" applyProtection="1" pivotButton="0" quotePrefix="0" xfId="0">
      <alignment horizontal="general" vertical="bottom"/>
      <protection locked="1" hidden="1"/>
    </xf>
    <xf numFmtId="0" fontId="78" fillId="0" borderId="0" applyAlignment="1" applyProtection="1" pivotButton="0" quotePrefix="0" xfId="0">
      <alignment horizontal="general" vertical="bottom"/>
      <protection locked="1" hidden="1"/>
    </xf>
    <xf numFmtId="10" fontId="58" fillId="0" borderId="0" applyAlignment="1" applyProtection="1" pivotButton="0" quotePrefix="0" xfId="0">
      <alignment horizontal="general" vertical="bottom"/>
      <protection locked="1" hidden="1"/>
    </xf>
    <xf numFmtId="10" fontId="77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0" fontId="92" fillId="0" borderId="0" applyAlignment="1" applyProtection="1" pivotButton="0" quotePrefix="0" xfId="0">
      <alignment horizontal="center" vertical="bottom"/>
      <protection locked="1" hidden="1"/>
    </xf>
    <xf numFmtId="170" fontId="58" fillId="6" borderId="26" applyAlignment="1" applyProtection="1" pivotButton="0" quotePrefix="0" xfId="0">
      <alignment horizontal="general" vertical="bottom"/>
      <protection locked="1" hidden="1"/>
    </xf>
    <xf numFmtId="167" fontId="66" fillId="0" borderId="0" applyAlignment="1" pivotButton="0" quotePrefix="0" xfId="0">
      <alignment horizontal="general" vertical="bottom"/>
    </xf>
    <xf numFmtId="170" fontId="58" fillId="6" borderId="27" applyAlignment="1" applyProtection="1" pivotButton="0" quotePrefix="0" xfId="0">
      <alignment horizontal="general" vertical="bottom"/>
      <protection locked="1" hidden="1"/>
    </xf>
    <xf numFmtId="167" fontId="66" fillId="0" borderId="0" applyAlignment="1" pivotButton="0" quotePrefix="0" xfId="0">
      <alignment horizontal="general" vertical="bottom"/>
    </xf>
    <xf numFmtId="170" fontId="66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center" vertical="bottom"/>
      <protection locked="1" hidden="1"/>
    </xf>
    <xf numFmtId="170" fontId="93" fillId="0" borderId="0" applyAlignment="1" applyProtection="1" pivotButton="0" quotePrefix="0" xfId="0">
      <alignment horizontal="general" vertical="bottom"/>
      <protection locked="1" hidden="1"/>
    </xf>
    <xf numFmtId="167" fontId="93" fillId="0" borderId="0" applyAlignment="1" applyProtection="1" pivotButton="0" quotePrefix="0" xfId="0">
      <alignment horizontal="general" vertical="bottom"/>
      <protection locked="1" hidden="1"/>
    </xf>
    <xf numFmtId="0" fontId="95" fillId="0" borderId="0" applyAlignment="1" applyProtection="1" pivotButton="0" quotePrefix="0" xfId="0">
      <alignment horizontal="general" vertical="bottom"/>
      <protection locked="1" hidden="1"/>
    </xf>
    <xf numFmtId="0" fontId="0" fillId="10" borderId="0" applyAlignment="1" pivotButton="0" quotePrefix="0" xfId="0">
      <alignment horizontal="general" vertical="bottom"/>
    </xf>
    <xf numFmtId="167" fontId="96" fillId="10" borderId="0" applyAlignment="1" applyProtection="1" pivotButton="0" quotePrefix="0" xfId="0">
      <alignment horizontal="general" vertical="bottom"/>
      <protection locked="1" hidden="1"/>
    </xf>
    <xf numFmtId="170" fontId="82" fillId="10" borderId="0" applyAlignment="1" applyProtection="1" pivotButton="0" quotePrefix="0" xfId="0">
      <alignment horizontal="center" vertical="bottom"/>
      <protection locked="1" hidden="1"/>
    </xf>
    <xf numFmtId="167" fontId="63" fillId="1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left" vertical="bottom"/>
      <protection locked="1" hidden="1"/>
    </xf>
    <xf numFmtId="10" fontId="82" fillId="10" borderId="19" applyAlignment="1" applyProtection="1" pivotButton="0" quotePrefix="0" xfId="0">
      <alignment horizontal="center" vertical="bottom"/>
      <protection locked="1" hidden="1"/>
    </xf>
    <xf numFmtId="10" fontId="82" fillId="10" borderId="26" applyAlignment="1" applyProtection="1" pivotButton="0" quotePrefix="0" xfId="0">
      <alignment horizontal="center" vertical="bottom"/>
      <protection locked="1" hidden="1"/>
    </xf>
    <xf numFmtId="10" fontId="82" fillId="10" borderId="20" applyAlignment="1" applyProtection="1" pivotButton="0" quotePrefix="0" xfId="0">
      <alignment horizontal="center" vertical="bottom"/>
      <protection locked="1" hidden="1"/>
    </xf>
    <xf numFmtId="0" fontId="58" fillId="0" borderId="28" applyAlignment="1" applyProtection="1" pivotButton="0" quotePrefix="0" xfId="0">
      <alignment horizontal="general" vertical="bottom"/>
      <protection locked="1" hidden="1"/>
    </xf>
    <xf numFmtId="171" fontId="58" fillId="11" borderId="16" applyAlignment="1" applyProtection="1" pivotButton="0" quotePrefix="0" xfId="17">
      <alignment horizontal="general" vertical="bottom"/>
      <protection locked="1" hidden="1"/>
    </xf>
    <xf numFmtId="171" fontId="58" fillId="11" borderId="17" applyAlignment="1" applyProtection="1" pivotButton="0" quotePrefix="0" xfId="17">
      <alignment horizontal="general" vertical="bottom"/>
      <protection locked="1" hidden="1"/>
    </xf>
    <xf numFmtId="171" fontId="58" fillId="11" borderId="18" applyAlignment="1" applyProtection="1" pivotButton="0" quotePrefix="0" xfId="17">
      <alignment horizontal="general" vertical="bottom"/>
      <protection locked="1" hidden="1"/>
    </xf>
    <xf numFmtId="0" fontId="58" fillId="0" borderId="29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center" vertical="bottom"/>
      <protection locked="1" hidden="1"/>
    </xf>
    <xf numFmtId="171" fontId="58" fillId="11" borderId="24" applyAlignment="1" applyProtection="1" pivotButton="0" quotePrefix="0" xfId="17">
      <alignment horizontal="general" vertical="bottom"/>
      <protection locked="1" hidden="1"/>
    </xf>
    <xf numFmtId="171" fontId="58" fillId="11" borderId="3" applyAlignment="1" applyProtection="1" pivotButton="0" quotePrefix="0" xfId="17">
      <alignment horizontal="general" vertical="bottom"/>
      <protection locked="1" hidden="1"/>
    </xf>
    <xf numFmtId="171" fontId="58" fillId="11" borderId="25" applyAlignment="1" applyProtection="1" pivotButton="0" quotePrefix="0" xfId="17">
      <alignment horizontal="general" vertical="bottom"/>
      <protection locked="1" hidden="1"/>
    </xf>
    <xf numFmtId="0" fontId="82" fillId="5" borderId="23" applyAlignment="1" applyProtection="1" pivotButton="0" quotePrefix="0" xfId="0">
      <alignment horizontal="general" vertical="bottom"/>
      <protection locked="1" hidden="1"/>
    </xf>
    <xf numFmtId="171" fontId="82" fillId="5" borderId="24" applyAlignment="1" applyProtection="1" pivotButton="0" quotePrefix="0" xfId="17">
      <alignment horizontal="general" vertical="bottom"/>
      <protection locked="1" hidden="1"/>
    </xf>
    <xf numFmtId="171" fontId="82" fillId="5" borderId="3" applyAlignment="1" applyProtection="1" pivotButton="0" quotePrefix="0" xfId="17">
      <alignment horizontal="general" vertical="bottom"/>
      <protection locked="1" hidden="1"/>
    </xf>
    <xf numFmtId="171" fontId="82" fillId="5" borderId="25" applyAlignment="1" applyProtection="1" pivotButton="0" quotePrefix="0" xfId="17">
      <alignment horizontal="general" vertical="bottom"/>
      <protection locked="1" hidden="1"/>
    </xf>
    <xf numFmtId="0" fontId="58" fillId="0" borderId="0" applyAlignment="1" pivotButton="0" quotePrefix="0" xfId="0">
      <alignment horizontal="general" vertical="bottom"/>
    </xf>
    <xf numFmtId="171" fontId="41" fillId="11" borderId="16" applyAlignment="1" pivotButton="0" quotePrefix="0" xfId="0">
      <alignment horizontal="general" vertical="bottom"/>
    </xf>
    <xf numFmtId="0" fontId="41" fillId="11" borderId="17" applyAlignment="1" pivotButton="0" quotePrefix="0" xfId="0">
      <alignment horizontal="general" vertical="bottom"/>
    </xf>
    <xf numFmtId="0" fontId="41" fillId="11" borderId="18" applyAlignment="1" pivotButton="0" quotePrefix="0" xfId="0">
      <alignment horizontal="general" vertical="bottom"/>
    </xf>
    <xf numFmtId="170" fontId="58" fillId="11" borderId="21" applyAlignment="1" applyProtection="1" pivotButton="0" quotePrefix="0" xfId="0">
      <alignment horizontal="general" vertical="bottom"/>
      <protection locked="1" hidden="1"/>
    </xf>
    <xf numFmtId="170" fontId="58" fillId="11" borderId="0" applyAlignment="1" applyProtection="1" pivotButton="0" quotePrefix="0" xfId="0">
      <alignment horizontal="general" vertical="bottom"/>
      <protection locked="1" hidden="1"/>
    </xf>
    <xf numFmtId="170" fontId="58" fillId="11" borderId="22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center" vertical="bottom"/>
      <protection locked="1" hidden="1"/>
    </xf>
    <xf numFmtId="170" fontId="92" fillId="11" borderId="21" applyAlignment="1" applyProtection="1" pivotButton="0" quotePrefix="0" xfId="0">
      <alignment horizontal="general" vertical="bottom"/>
      <protection locked="1" hidden="1"/>
    </xf>
    <xf numFmtId="170" fontId="92" fillId="11" borderId="0" applyAlignment="1" applyProtection="1" pivotButton="0" quotePrefix="0" xfId="0">
      <alignment horizontal="general" vertical="bottom"/>
      <protection locked="1" hidden="1"/>
    </xf>
    <xf numFmtId="170" fontId="92" fillId="11" borderId="22" applyAlignment="1" applyProtection="1" pivotButton="0" quotePrefix="0" xfId="0">
      <alignment horizontal="general" vertical="bottom"/>
      <protection locked="1" hidden="1"/>
    </xf>
    <xf numFmtId="10" fontId="77" fillId="11" borderId="24" applyAlignment="1" applyProtection="1" pivotButton="0" quotePrefix="0" xfId="0">
      <alignment horizontal="general" vertical="bottom"/>
      <protection locked="1" hidden="1"/>
    </xf>
    <xf numFmtId="10" fontId="77" fillId="11" borderId="3" applyAlignment="1" applyProtection="1" pivotButton="0" quotePrefix="0" xfId="0">
      <alignment horizontal="general" vertical="bottom"/>
      <protection locked="1" hidden="1"/>
    </xf>
    <xf numFmtId="10" fontId="77" fillId="11" borderId="25" applyAlignment="1" applyProtection="1" pivotButton="0" quotePrefix="0" xfId="0">
      <alignment horizontal="general" vertical="bottom"/>
      <protection locked="1" hidden="1"/>
    </xf>
    <xf numFmtId="0" fontId="58" fillId="9" borderId="28" applyAlignment="1" applyProtection="1" pivotButton="0" quotePrefix="0" xfId="0">
      <alignment horizontal="general" vertical="bottom"/>
      <protection locked="1" hidden="1"/>
    </xf>
    <xf numFmtId="170" fontId="58" fillId="9" borderId="21" applyAlignment="1" applyProtection="1" pivotButton="0" quotePrefix="0" xfId="0">
      <alignment horizontal="general" vertical="bottom"/>
      <protection locked="1" hidden="1"/>
    </xf>
    <xf numFmtId="170" fontId="58" fillId="9" borderId="0" applyAlignment="1" applyProtection="1" pivotButton="0" quotePrefix="0" xfId="0">
      <alignment horizontal="general" vertical="bottom"/>
      <protection locked="1" hidden="1"/>
    </xf>
    <xf numFmtId="170" fontId="58" fillId="9" borderId="22" applyAlignment="1" applyProtection="1" pivotButton="0" quotePrefix="0" xfId="0">
      <alignment horizontal="general" vertical="bottom"/>
      <protection locked="1" hidden="1"/>
    </xf>
    <xf numFmtId="0" fontId="79" fillId="9" borderId="29" applyAlignment="1" applyProtection="1" pivotButton="0" quotePrefix="0" xfId="0">
      <alignment horizontal="general" vertical="bottom"/>
      <protection locked="1" hidden="1"/>
    </xf>
    <xf numFmtId="0" fontId="97" fillId="0" borderId="0" applyAlignment="1" applyProtection="1" pivotButton="0" quotePrefix="0" xfId="0">
      <alignment horizontal="center" vertical="bottom"/>
      <protection locked="1" hidden="1"/>
    </xf>
    <xf numFmtId="0" fontId="92" fillId="9" borderId="0" applyAlignment="1" applyProtection="1" pivotButton="0" quotePrefix="0" xfId="0">
      <alignment horizontal="general" vertical="bottom"/>
      <protection locked="1" hidden="1"/>
    </xf>
    <xf numFmtId="169" fontId="58" fillId="9" borderId="0" applyAlignment="1" applyProtection="1" pivotButton="0" quotePrefix="0" xfId="0">
      <alignment horizontal="general" vertical="bottom"/>
      <protection locked="1" hidden="1"/>
    </xf>
    <xf numFmtId="0" fontId="41" fillId="9" borderId="0" applyAlignment="1" applyProtection="1" pivotButton="0" quotePrefix="0" xfId="0">
      <alignment horizontal="general" vertical="bottom"/>
      <protection locked="1" hidden="1"/>
    </xf>
    <xf numFmtId="0" fontId="41" fillId="9" borderId="22" applyAlignment="1" applyProtection="1" pivotButton="0" quotePrefix="0" xfId="0">
      <alignment horizontal="general" vertical="bottom"/>
      <protection locked="1" hidden="1"/>
    </xf>
    <xf numFmtId="0" fontId="58" fillId="9" borderId="29" applyAlignment="1" applyProtection="1" pivotButton="0" quotePrefix="0" xfId="0">
      <alignment horizontal="general" vertical="bottom"/>
      <protection locked="1" hidden="1"/>
    </xf>
    <xf numFmtId="0" fontId="70" fillId="0" borderId="0" applyAlignment="1" applyProtection="1" pivotButton="0" quotePrefix="0" xfId="0">
      <alignment horizontal="center" vertical="bottom"/>
      <protection locked="1" hidden="1"/>
    </xf>
    <xf numFmtId="170" fontId="58" fillId="9" borderId="24" applyAlignment="1" applyProtection="1" pivotButton="0" quotePrefix="0" xfId="0">
      <alignment horizontal="general" vertical="bottom"/>
      <protection locked="1" hidden="1"/>
    </xf>
    <xf numFmtId="170" fontId="58" fillId="9" borderId="3" applyAlignment="1" applyProtection="1" pivotButton="0" quotePrefix="0" xfId="0">
      <alignment horizontal="general" vertical="bottom"/>
      <protection locked="1" hidden="1"/>
    </xf>
    <xf numFmtId="170" fontId="58" fillId="9" borderId="25" applyAlignment="1" applyProtection="1" pivotButton="0" quotePrefix="0" xfId="0">
      <alignment horizontal="general" vertical="bottom"/>
      <protection locked="1" hidden="1"/>
    </xf>
    <xf numFmtId="0" fontId="98" fillId="0" borderId="0" applyAlignment="1" applyProtection="1" pivotButton="0" quotePrefix="0" xfId="0">
      <alignment horizontal="general" vertical="bottom"/>
      <protection locked="1" hidden="1"/>
    </xf>
    <xf numFmtId="0" fontId="98" fillId="0" borderId="0" applyAlignment="1" pivotButton="0" quotePrefix="0" xfId="0">
      <alignment horizontal="general" vertical="bottom"/>
    </xf>
    <xf numFmtId="0" fontId="58" fillId="9" borderId="23" applyAlignment="1" applyProtection="1" pivotButton="0" quotePrefix="0" xfId="0">
      <alignment horizontal="general" vertical="bottom"/>
      <protection locked="1" hidden="1"/>
    </xf>
    <xf numFmtId="170" fontId="98" fillId="0" borderId="0" applyAlignment="1" applyProtection="1" pivotButton="0" quotePrefix="0" xfId="0">
      <alignment horizontal="general" vertical="bottom"/>
      <protection locked="1" hidden="1"/>
    </xf>
    <xf numFmtId="170" fontId="98" fillId="0" borderId="0" applyAlignment="1" pivotButton="0" quotePrefix="0" xfId="0">
      <alignment horizontal="general" vertical="bottom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10" fontId="58" fillId="11" borderId="24" applyAlignment="1" applyProtection="1" pivotButton="0" quotePrefix="0" xfId="0">
      <alignment horizontal="general" vertical="bottom"/>
      <protection locked="1" hidden="1"/>
    </xf>
    <xf numFmtId="10" fontId="58" fillId="11" borderId="3" applyAlignment="1" applyProtection="1" pivotButton="0" quotePrefix="0" xfId="0">
      <alignment horizontal="general" vertical="bottom"/>
      <protection locked="1" hidden="1"/>
    </xf>
    <xf numFmtId="10" fontId="58" fillId="11" borderId="25" applyAlignment="1" applyProtection="1" pivotButton="0" quotePrefix="0" xfId="0">
      <alignment horizontal="general" vertical="bottom"/>
      <protection locked="1" hidden="1"/>
    </xf>
    <xf numFmtId="170" fontId="99" fillId="0" borderId="0" applyAlignment="1" applyProtection="1" pivotButton="0" quotePrefix="0" xfId="0">
      <alignment horizontal="general" vertical="bottom"/>
      <protection locked="1" hidden="1"/>
    </xf>
    <xf numFmtId="170" fontId="99" fillId="0" borderId="0" applyAlignment="1" pivotButton="0" quotePrefix="0" xfId="0">
      <alignment horizontal="general" vertical="bottom"/>
    </xf>
    <xf numFmtId="0" fontId="67" fillId="0" borderId="0" applyAlignment="1" applyProtection="1" pivotButton="0" quotePrefix="0" xfId="0">
      <alignment horizontal="center" vertical="bottom"/>
      <protection locked="1" hidden="1"/>
    </xf>
    <xf numFmtId="170" fontId="58" fillId="11" borderId="24" applyAlignment="1" applyProtection="1" pivotButton="0" quotePrefix="0" xfId="0">
      <alignment horizontal="general" vertical="bottom"/>
      <protection locked="1" hidden="1"/>
    </xf>
    <xf numFmtId="170" fontId="58" fillId="11" borderId="3" applyAlignment="1" applyProtection="1" pivotButton="0" quotePrefix="0" xfId="0">
      <alignment horizontal="general" vertical="bottom"/>
      <protection locked="1" hidden="1"/>
    </xf>
    <xf numFmtId="170" fontId="58" fillId="11" borderId="25" applyAlignment="1" applyProtection="1" pivotButton="0" quotePrefix="0" xfId="0">
      <alignment horizontal="general" vertical="bottom"/>
      <protection locked="1" hidden="1"/>
    </xf>
    <xf numFmtId="0" fontId="58" fillId="6" borderId="12" applyAlignment="1" applyProtection="1" pivotButton="0" quotePrefix="0" xfId="0">
      <alignment horizontal="general" vertical="bottom"/>
      <protection locked="1" hidden="1"/>
    </xf>
    <xf numFmtId="170" fontId="58" fillId="6" borderId="30" applyAlignment="1" applyProtection="1" pivotButton="0" quotePrefix="0" xfId="0">
      <alignment horizontal="general" vertical="bottom"/>
      <protection locked="1" hidden="1"/>
    </xf>
    <xf numFmtId="170" fontId="58" fillId="6" borderId="31" applyAlignment="1" applyProtection="1" pivotButton="0" quotePrefix="0" xfId="0">
      <alignment horizontal="general" vertical="bottom"/>
      <protection locked="1" hidden="1"/>
    </xf>
    <xf numFmtId="0" fontId="41" fillId="0" borderId="0" applyAlignment="1" applyProtection="1" pivotButton="0" quotePrefix="0" xfId="0">
      <alignment horizontal="general" vertical="bottom"/>
      <protection locked="1" hidden="1"/>
    </xf>
    <xf numFmtId="0" fontId="0" fillId="0" borderId="0" applyAlignment="1" applyProtection="1" pivotButton="0" quotePrefix="0" xfId="0">
      <alignment horizontal="center" vertical="bottom"/>
      <protection locked="1" hidden="1"/>
    </xf>
    <xf numFmtId="10" fontId="58" fillId="6" borderId="19" applyAlignment="1" applyProtection="1" pivotButton="0" quotePrefix="0" xfId="0">
      <alignment horizontal="general" vertical="bottom"/>
      <protection locked="1" hidden="1"/>
    </xf>
    <xf numFmtId="10" fontId="58" fillId="6" borderId="26" applyAlignment="1" applyProtection="1" pivotButton="0" quotePrefix="0" xfId="0">
      <alignment horizontal="general" vertical="bottom"/>
      <protection locked="1" hidden="1"/>
    </xf>
    <xf numFmtId="10" fontId="58" fillId="6" borderId="20" applyAlignment="1" applyProtection="1" pivotButton="0" quotePrefix="0" xfId="0">
      <alignment horizontal="general" vertical="bottom"/>
      <protection locked="1" hidden="1"/>
    </xf>
    <xf numFmtId="171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1494">
      <alignment horizontal="general" vertical="bottom"/>
    </xf>
    <xf numFmtId="0" fontId="0" fillId="0" borderId="0" pivotButton="0" quotePrefix="0" xfId="0"/>
    <xf numFmtId="0" fontId="57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general" vertical="bottom"/>
    </xf>
    <xf numFmtId="0" fontId="58" fillId="0" borderId="0" applyAlignment="1" pivotButton="0" quotePrefix="0" xfId="1494">
      <alignment horizontal="center" vertical="bottom"/>
    </xf>
    <xf numFmtId="0" fontId="1" fillId="0" borderId="0" applyAlignment="1" pivotButton="0" quotePrefix="0" xfId="149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3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64" fillId="0" borderId="0" applyAlignment="1" applyProtection="1" pivotButton="0" quotePrefix="0" xfId="0">
      <alignment horizontal="center" vertical="bottom"/>
      <protection locked="1" hidden="1"/>
    </xf>
    <xf numFmtId="0" fontId="65" fillId="0" borderId="0" applyAlignment="1" applyProtection="1" pivotButton="0" quotePrefix="0" xfId="0">
      <alignment horizontal="general" vertical="bottom"/>
      <protection locked="1" hidden="1"/>
    </xf>
    <xf numFmtId="164" fontId="66" fillId="0" borderId="4" applyAlignment="1" applyProtection="1" pivotButton="0" quotePrefix="0" xfId="0">
      <alignment horizontal="center" vertical="bottom"/>
      <protection locked="1" hidden="1"/>
    </xf>
    <xf numFmtId="164" fontId="66" fillId="0" borderId="5" applyAlignment="1" applyProtection="1" pivotButton="0" quotePrefix="0" xfId="0">
      <alignment horizontal="center" vertical="bottom"/>
      <protection locked="1" hidden="1"/>
    </xf>
    <xf numFmtId="164" fontId="66" fillId="0" borderId="6" applyAlignment="1" applyProtection="1" pivotButton="0" quotePrefix="0" xfId="0">
      <alignment horizontal="center" vertical="bottom"/>
      <protection locked="1" hidden="1"/>
    </xf>
    <xf numFmtId="0" fontId="13" fillId="0" borderId="0" applyAlignment="1" pivotButton="0" quotePrefix="0" xfId="0">
      <alignment horizontal="general" vertical="bottom"/>
    </xf>
    <xf numFmtId="164" fontId="66" fillId="6" borderId="7" applyAlignment="1" applyProtection="1" pivotButton="0" quotePrefix="0" xfId="0">
      <alignment horizontal="center" vertical="bottom"/>
      <protection locked="1" hidden="1"/>
    </xf>
    <xf numFmtId="164" fontId="66" fillId="0" borderId="0" applyAlignment="1" applyProtection="1" pivotButton="0" quotePrefix="0" xfId="0">
      <alignment horizontal="center" vertical="bottom"/>
      <protection locked="1" hidden="1"/>
    </xf>
    <xf numFmtId="164" fontId="66" fillId="0" borderId="8" applyAlignment="1" applyProtection="1" pivotButton="0" quotePrefix="0" xfId="0">
      <alignment horizontal="center" vertical="bottom"/>
      <protection locked="1" hidden="1"/>
    </xf>
    <xf numFmtId="164" fontId="66" fillId="6" borderId="0" applyAlignment="1" applyProtection="1" pivotButton="0" quotePrefix="0" xfId="0">
      <alignment horizontal="center" vertical="bottom"/>
      <protection locked="1" hidden="1"/>
    </xf>
    <xf numFmtId="164" fontId="66" fillId="6" borderId="9" applyAlignment="1" applyProtection="1" pivotButton="0" quotePrefix="0" xfId="0">
      <alignment horizontal="center" vertical="bottom"/>
      <protection locked="1" hidden="1"/>
    </xf>
    <xf numFmtId="164" fontId="66" fillId="6" borderId="10" applyAlignment="1" applyProtection="1" pivotButton="0" quotePrefix="0" xfId="0">
      <alignment horizontal="center" vertical="bottom"/>
      <protection locked="1" hidden="1"/>
    </xf>
    <xf numFmtId="164" fontId="66" fillId="0" borderId="11" applyAlignment="1" applyProtection="1" pivotButton="0" quotePrefix="0" xfId="0">
      <alignment horizontal="center" vertical="bottom"/>
      <protection locked="1" hidden="1"/>
    </xf>
    <xf numFmtId="0" fontId="67" fillId="0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applyProtection="1" pivotButton="0" quotePrefix="0" xfId="0">
      <alignment horizontal="center" vertical="bottom"/>
      <protection locked="1" hidden="1"/>
    </xf>
    <xf numFmtId="0" fontId="66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center" vertical="bottom"/>
      <protection locked="1" hidden="1"/>
    </xf>
    <xf numFmtId="0" fontId="69" fillId="0" borderId="0" applyAlignment="1" applyProtection="1" pivotButton="0" quotePrefix="0" xfId="0">
      <alignment horizontal="general" vertical="bottom"/>
      <protection locked="1" hidden="1"/>
    </xf>
    <xf numFmtId="0" fontId="63" fillId="5" borderId="0" applyAlignment="1" applyProtection="1" pivotButton="0" quotePrefix="0" xfId="0">
      <alignment horizontal="general" vertical="bottom"/>
      <protection locked="1" hidden="1"/>
    </xf>
    <xf numFmtId="0" fontId="0" fillId="5" borderId="0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center" vertical="bottom"/>
      <protection locked="1" hidden="1"/>
    </xf>
    <xf numFmtId="164" fontId="66" fillId="0" borderId="4" applyAlignment="1" applyProtection="1" pivotButton="0" quotePrefix="0" xfId="0">
      <alignment horizontal="general" vertical="bottom"/>
      <protection locked="1" hidden="1"/>
    </xf>
    <xf numFmtId="164" fontId="66" fillId="0" borderId="5" applyAlignment="1" applyProtection="1" pivotButton="0" quotePrefix="0" xfId="0">
      <alignment horizontal="general" vertical="bottom"/>
      <protection locked="1" hidden="1"/>
    </xf>
    <xf numFmtId="164" fontId="66" fillId="0" borderId="6" applyAlignment="1" applyProtection="1" pivotButton="0" quotePrefix="0" xfId="0">
      <alignment horizontal="general" vertical="bottom"/>
      <protection locked="1" hidden="1"/>
    </xf>
    <xf numFmtId="0" fontId="13" fillId="0" borderId="0" applyAlignment="1" applyProtection="1" pivotButton="0" quotePrefix="0" xfId="0">
      <alignment horizontal="general" vertical="bottom"/>
      <protection locked="1" hidden="1"/>
    </xf>
    <xf numFmtId="164" fontId="66" fillId="6" borderId="7" applyAlignment="1" applyProtection="1" pivotButton="0" quotePrefix="0" xfId="0">
      <alignment horizontal="general" vertical="bottom"/>
      <protection locked="1" hidden="1"/>
    </xf>
    <xf numFmtId="164" fontId="66" fillId="0" borderId="0" applyAlignment="1" applyProtection="1" pivotButton="0" quotePrefix="0" xfId="0">
      <alignment horizontal="general" vertical="bottom"/>
      <protection locked="1" hidden="1"/>
    </xf>
    <xf numFmtId="164" fontId="66" fillId="0" borderId="8" applyAlignment="1" applyProtection="1" pivotButton="0" quotePrefix="0" xfId="0">
      <alignment horizontal="general" vertical="bottom"/>
      <protection locked="1" hidden="1"/>
    </xf>
    <xf numFmtId="164" fontId="66" fillId="6" borderId="0" applyAlignment="1" applyProtection="1" pivotButton="0" quotePrefix="0" xfId="0">
      <alignment horizontal="general" vertical="bottom"/>
      <protection locked="1" hidden="1"/>
    </xf>
    <xf numFmtId="164" fontId="66" fillId="6" borderId="9" applyAlignment="1" applyProtection="1" pivotButton="0" quotePrefix="0" xfId="0">
      <alignment horizontal="general" vertical="bottom"/>
      <protection locked="1" hidden="1"/>
    </xf>
    <xf numFmtId="164" fontId="66" fillId="6" borderId="10" applyAlignment="1" applyProtection="1" pivotButton="0" quotePrefix="0" xfId="0">
      <alignment horizontal="general" vertical="bottom"/>
      <protection locked="1" hidden="1"/>
    </xf>
    <xf numFmtId="164" fontId="66" fillId="0" borderId="11" applyAlignment="1" applyProtection="1" pivotButton="0" quotePrefix="0" xfId="0">
      <alignment horizontal="general" vertical="bottom"/>
      <protection locked="1" hidden="1"/>
    </xf>
    <xf numFmtId="0" fontId="65" fillId="0" borderId="0" applyAlignment="1" applyProtection="1" pivotButton="0" quotePrefix="0" xfId="0">
      <alignment horizontal="right" vertical="bottom"/>
      <protection locked="1" hidden="1"/>
    </xf>
    <xf numFmtId="0" fontId="68" fillId="4" borderId="12" applyAlignment="1" applyProtection="1" pivotButton="0" quotePrefix="0" xfId="0">
      <alignment horizontal="center" vertical="bottom"/>
      <protection locked="1" hidden="1"/>
    </xf>
    <xf numFmtId="164" fontId="66" fillId="4" borderId="12" applyAlignment="1" applyProtection="1" pivotButton="0" quotePrefix="0" xfId="0">
      <alignment horizontal="center" vertical="bottom"/>
      <protection locked="1" hidden="1"/>
    </xf>
    <xf numFmtId="164" fontId="66" fillId="0" borderId="7" applyAlignment="1" applyProtection="1" pivotButton="0" quotePrefix="0" xfId="0">
      <alignment horizontal="general" vertical="bottom"/>
      <protection locked="1" hidden="1"/>
    </xf>
    <xf numFmtId="164" fontId="66" fillId="0" borderId="9" applyAlignment="1" applyProtection="1" pivotButton="0" quotePrefix="0" xfId="0">
      <alignment horizontal="general" vertical="bottom"/>
      <protection locked="1" hidden="1"/>
    </xf>
    <xf numFmtId="164" fontId="66" fillId="0" borderId="10" applyAlignment="1" applyProtection="1" pivotButton="0" quotePrefix="0" xfId="0">
      <alignment horizontal="general" vertical="bottom"/>
      <protection locked="1" hidden="1"/>
    </xf>
    <xf numFmtId="0" fontId="13" fillId="5" borderId="0" applyAlignment="1" applyProtection="1" pivotButton="0" quotePrefix="0" xfId="0">
      <alignment horizontal="general" vertical="bottom"/>
      <protection locked="1" hidden="1"/>
    </xf>
    <xf numFmtId="0" fontId="74" fillId="0" borderId="0" applyAlignment="1" applyProtection="1" pivotButton="0" quotePrefix="0" xfId="0">
      <alignment horizontal="general" vertical="bottom"/>
      <protection locked="1" hidden="1"/>
    </xf>
    <xf numFmtId="0" fontId="63" fillId="0" borderId="0" applyAlignment="1" applyProtection="1" pivotButton="0" quotePrefix="0" xfId="0">
      <alignment horizontal="general" vertical="bottom"/>
      <protection locked="1" hidden="1"/>
    </xf>
    <xf numFmtId="0" fontId="74" fillId="0" borderId="0" applyAlignment="1" applyProtection="1" pivotButton="0" quotePrefix="0" xfId="0">
      <alignment horizontal="left" vertical="bottom"/>
      <protection locked="1" hidden="1"/>
    </xf>
    <xf numFmtId="0" fontId="13" fillId="0" borderId="0" applyAlignment="1" applyProtection="1" pivotButton="0" quotePrefix="0" xfId="0">
      <alignment horizontal="center" vertical="bottom"/>
      <protection locked="1" hidden="1"/>
    </xf>
    <xf numFmtId="0" fontId="74" fillId="0" borderId="0" applyAlignment="1" applyProtection="1" pivotButton="0" quotePrefix="0" xfId="0">
      <alignment horizontal="center" vertical="bottom"/>
      <protection locked="1" hidden="1"/>
    </xf>
    <xf numFmtId="164" fontId="66" fillId="0" borderId="13" applyAlignment="1" applyProtection="1" pivotButton="0" quotePrefix="0" xfId="0">
      <alignment horizontal="center" vertical="bottom"/>
      <protection locked="1" hidden="1"/>
    </xf>
    <xf numFmtId="164" fontId="66" fillId="6" borderId="6" applyAlignment="1" applyProtection="1" pivotButton="0" quotePrefix="0" xfId="0">
      <alignment horizontal="center" vertical="bottom"/>
      <protection locked="1" hidden="1"/>
    </xf>
    <xf numFmtId="164" fontId="13" fillId="0" borderId="0" applyAlignment="1" applyProtection="1" pivotButton="0" quotePrefix="0" xfId="0">
      <alignment horizontal="general" vertical="bottom"/>
      <protection locked="1" hidden="1"/>
    </xf>
    <xf numFmtId="165" fontId="74" fillId="0" borderId="0" applyAlignment="1" applyProtection="1" pivotButton="0" quotePrefix="0" xfId="0">
      <alignment horizontal="general" vertical="bottom"/>
      <protection locked="1" hidden="1"/>
    </xf>
    <xf numFmtId="164" fontId="66" fillId="0" borderId="14" applyAlignment="1" applyProtection="1" pivotButton="0" quotePrefix="0" xfId="0">
      <alignment horizontal="center" vertical="bottom"/>
      <protection locked="1" hidden="1"/>
    </xf>
    <xf numFmtId="164" fontId="66" fillId="6" borderId="8" applyAlignment="1" applyProtection="1" pivotButton="0" quotePrefix="0" xfId="0">
      <alignment horizontal="center" vertical="bottom"/>
      <protection locked="1" hidden="1"/>
    </xf>
    <xf numFmtId="164" fontId="66" fillId="0" borderId="15" applyAlignment="1" applyProtection="1" pivotButton="0" quotePrefix="0" xfId="0">
      <alignment horizontal="center" vertical="bottom"/>
      <protection locked="1" hidden="1"/>
    </xf>
    <xf numFmtId="164" fontId="66" fillId="6" borderId="11" applyAlignment="1" applyProtection="1" pivotButton="0" quotePrefix="0" xfId="0">
      <alignment horizontal="center" vertical="bottom"/>
      <protection locked="1" hidden="1"/>
    </xf>
    <xf numFmtId="0" fontId="75" fillId="0" borderId="0" applyAlignment="1" applyProtection="1" pivotButton="0" quotePrefix="0" xfId="0">
      <alignment horizontal="general" vertical="bottom"/>
      <protection locked="1" hidden="1"/>
    </xf>
    <xf numFmtId="0" fontId="76" fillId="0" borderId="0" applyAlignment="1" applyProtection="1" pivotButton="0" quotePrefix="0" xfId="0">
      <alignment horizontal="general" vertical="bottom"/>
      <protection locked="1" hidden="1"/>
    </xf>
    <xf numFmtId="166" fontId="66" fillId="0" borderId="16" applyAlignment="1" applyProtection="1" pivotButton="0" quotePrefix="0" xfId="0">
      <alignment horizontal="center" vertical="bottom"/>
      <protection locked="1" hidden="1"/>
    </xf>
    <xf numFmtId="166" fontId="66" fillId="0" borderId="17" applyAlignment="1" applyProtection="1" pivotButton="0" quotePrefix="0" xfId="0">
      <alignment horizontal="center" vertical="bottom"/>
      <protection locked="1" hidden="1"/>
    </xf>
    <xf numFmtId="166" fontId="66" fillId="0" borderId="18" applyAlignment="1" applyProtection="1" pivotButton="0" quotePrefix="0" xfId="0">
      <alignment horizontal="center" vertical="bottom"/>
      <protection locked="1" hidden="1"/>
    </xf>
    <xf numFmtId="0" fontId="13" fillId="6" borderId="12" applyAlignment="1" applyProtection="1" pivotButton="0" quotePrefix="0" xfId="0">
      <alignment horizontal="general" vertical="bottom"/>
      <protection locked="1" hidden="1"/>
    </xf>
    <xf numFmtId="0" fontId="66" fillId="6" borderId="12" applyAlignment="1" applyProtection="1" pivotButton="0" quotePrefix="0" xfId="0">
      <alignment horizontal="center" vertical="bottom"/>
      <protection locked="1" hidden="1"/>
    </xf>
    <xf numFmtId="0" fontId="13" fillId="6" borderId="19" applyAlignment="1" applyProtection="1" pivotButton="0" quotePrefix="0" xfId="0">
      <alignment horizontal="general" vertical="bottom"/>
      <protection locked="1" hidden="1"/>
    </xf>
    <xf numFmtId="0" fontId="13" fillId="6" borderId="20" applyAlignment="1" applyProtection="1" pivotButton="0" quotePrefix="0" xfId="0">
      <alignment horizontal="general" vertical="bottom"/>
      <protection locked="1" hidden="1"/>
    </xf>
    <xf numFmtId="166" fontId="66" fillId="0" borderId="21" applyAlignment="1" applyProtection="1" pivotButton="0" quotePrefix="0" xfId="0">
      <alignment horizontal="center" vertical="bottom"/>
      <protection locked="1" hidden="1"/>
    </xf>
    <xf numFmtId="166" fontId="66" fillId="0" borderId="0" applyAlignment="1" applyProtection="1" pivotButton="0" quotePrefix="0" xfId="0">
      <alignment horizontal="center" vertical="bottom"/>
      <protection locked="1" hidden="1"/>
    </xf>
    <xf numFmtId="166" fontId="66" fillId="0" borderId="22" applyAlignment="1" applyProtection="1" pivotButton="0" quotePrefix="0" xfId="0">
      <alignment horizontal="center" vertical="bottom"/>
      <protection locked="1" hidden="1"/>
    </xf>
    <xf numFmtId="0" fontId="63" fillId="7" borderId="16" applyAlignment="1" applyProtection="1" pivotButton="0" quotePrefix="0" xfId="0">
      <alignment horizontal="general" vertical="bottom"/>
      <protection locked="1" hidden="1"/>
    </xf>
    <xf numFmtId="0" fontId="83" fillId="7" borderId="17" applyAlignment="1" applyProtection="1" pivotButton="0" quotePrefix="0" xfId="0">
      <alignment horizontal="general" vertical="bottom"/>
      <protection locked="1" hidden="1"/>
    </xf>
    <xf numFmtId="0" fontId="83" fillId="7" borderId="18" applyAlignment="1" applyProtection="1" pivotButton="0" quotePrefix="0" xfId="0">
      <alignment horizontal="general" vertical="bottom"/>
      <protection locked="1" hidden="1"/>
    </xf>
    <xf numFmtId="167" fontId="66" fillId="4" borderId="23" applyAlignment="1" applyProtection="1" pivotButton="0" quotePrefix="0" xfId="0">
      <alignment horizontal="general" vertical="bottom"/>
      <protection locked="1" hidden="1"/>
    </xf>
    <xf numFmtId="0" fontId="63" fillId="7" borderId="24" applyAlignment="1" applyProtection="1" pivotButton="0" quotePrefix="0" xfId="0">
      <alignment horizontal="general" vertical="bottom"/>
      <protection locked="1" hidden="1"/>
    </xf>
    <xf numFmtId="0" fontId="83" fillId="7" borderId="3" applyAlignment="1" applyProtection="1" pivotButton="0" quotePrefix="0" xfId="0">
      <alignment horizontal="general" vertical="bottom"/>
      <protection locked="1" hidden="1"/>
    </xf>
    <xf numFmtId="0" fontId="83" fillId="7" borderId="25" applyAlignment="1" applyProtection="1" pivotButton="0" quotePrefix="0" xfId="0">
      <alignment horizontal="general" vertical="bottom"/>
      <protection locked="1" hidden="1"/>
    </xf>
    <xf numFmtId="10" fontId="66" fillId="4" borderId="12" applyAlignment="1" applyProtection="1" pivotButton="0" quotePrefix="0" xfId="0">
      <alignment horizontal="general" vertical="bottom"/>
      <protection locked="1" hidden="1"/>
    </xf>
    <xf numFmtId="166" fontId="66" fillId="0" borderId="24" applyAlignment="1" applyProtection="1" pivotButton="0" quotePrefix="0" xfId="0">
      <alignment horizontal="center" vertical="bottom"/>
      <protection locked="1" hidden="1"/>
    </xf>
    <xf numFmtId="166" fontId="66" fillId="0" borderId="3" applyAlignment="1" applyProtection="1" pivotButton="0" quotePrefix="0" xfId="0">
      <alignment horizontal="center" vertical="bottom"/>
      <protection locked="1" hidden="1"/>
    </xf>
    <xf numFmtId="166" fontId="66" fillId="0" borderId="25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left" vertical="bottom"/>
      <protection locked="1" hidden="1"/>
    </xf>
    <xf numFmtId="168" fontId="85" fillId="0" borderId="0" applyAlignment="1" applyProtection="1" pivotButton="0" quotePrefix="0" xfId="0">
      <alignment horizontal="general" vertical="bottom"/>
      <protection locked="1" hidden="1"/>
    </xf>
    <xf numFmtId="166" fontId="86" fillId="8" borderId="12" applyAlignment="1" applyProtection="1" pivotButton="0" quotePrefix="0" xfId="0">
      <alignment horizontal="center" vertical="bottom"/>
      <protection locked="1" hidden="1"/>
    </xf>
    <xf numFmtId="0" fontId="84" fillId="0" borderId="0" applyAlignment="1" applyProtection="1" pivotButton="0" quotePrefix="0" xfId="0">
      <alignment horizontal="general" vertical="bottom"/>
      <protection locked="1" hidden="1"/>
    </xf>
    <xf numFmtId="0" fontId="85" fillId="0" borderId="0" applyAlignment="1" applyProtection="1" pivotButton="0" quotePrefix="0" xfId="0">
      <alignment horizontal="general" vertical="bottom"/>
      <protection locked="1" hidden="1"/>
    </xf>
    <xf numFmtId="166" fontId="63" fillId="5" borderId="12" applyAlignment="1" applyProtection="1" pivotButton="0" quotePrefix="0" xfId="0">
      <alignment horizontal="center" vertical="bottom"/>
      <protection locked="1" hidden="1"/>
    </xf>
    <xf numFmtId="0" fontId="66" fillId="9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applyProtection="1" pivotButton="0" quotePrefix="0" xfId="0">
      <alignment horizontal="general" vertical="bottom"/>
      <protection locked="1" hidden="1"/>
    </xf>
    <xf numFmtId="10" fontId="66" fillId="0" borderId="0" applyAlignment="1" applyProtection="1" pivotButton="0" quotePrefix="0" xfId="0">
      <alignment horizontal="center" vertical="bottom"/>
      <protection locked="1" hidden="1"/>
    </xf>
    <xf numFmtId="168" fontId="66" fillId="0" borderId="0" applyAlignment="1" applyProtection="1" pivotButton="0" quotePrefix="0" xfId="0">
      <alignment horizontal="general" vertical="bottom"/>
      <protection locked="1" hidden="1"/>
    </xf>
    <xf numFmtId="167" fontId="66" fillId="0" borderId="0" applyAlignment="1" applyProtection="1" pivotButton="0" quotePrefix="0" xfId="0">
      <alignment horizontal="center" vertical="bottom"/>
      <protection locked="1" hidden="1"/>
    </xf>
    <xf numFmtId="10" fontId="66" fillId="0" borderId="0" applyAlignment="1" applyProtection="1" pivotButton="0" quotePrefix="0" xfId="0">
      <alignment horizontal="general" vertical="bottom"/>
      <protection locked="1" hidden="1"/>
    </xf>
    <xf numFmtId="167" fontId="66" fillId="6" borderId="12" applyAlignment="1" applyProtection="1" pivotButton="0" quotePrefix="0" xfId="0">
      <alignment horizontal="center" vertical="bottom"/>
      <protection locked="1" hidden="1"/>
    </xf>
    <xf numFmtId="167" fontId="66" fillId="0" borderId="0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general" vertical="bottom"/>
      <protection locked="1" hidden="1"/>
    </xf>
    <xf numFmtId="169" fontId="66" fillId="6" borderId="19" applyAlignment="1" applyProtection="1" pivotButton="0" quotePrefix="0" xfId="0">
      <alignment horizontal="center" vertical="bottom"/>
      <protection locked="1" hidden="1"/>
    </xf>
    <xf numFmtId="0" fontId="82" fillId="5" borderId="16" applyAlignment="1" applyProtection="1" pivotButton="0" quotePrefix="0" xfId="0">
      <alignment horizontal="left" vertical="bottom"/>
      <protection locked="1" hidden="1"/>
    </xf>
    <xf numFmtId="0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7" applyAlignment="1" applyProtection="1" pivotButton="0" quotePrefix="0" xfId="0">
      <alignment horizontal="general" vertical="bottom"/>
      <protection locked="1" hidden="1"/>
    </xf>
    <xf numFmtId="169" fontId="82" fillId="5" borderId="17" applyAlignment="1" applyProtection="1" pivotButton="0" quotePrefix="0" xfId="0">
      <alignment horizontal="general" vertical="bottom"/>
      <protection locked="1" hidden="1"/>
    </xf>
    <xf numFmtId="0" fontId="87" fillId="5" borderId="18" applyAlignment="1" applyProtection="1" pivotButton="0" quotePrefix="0" xfId="0">
      <alignment horizontal="general" vertical="bottom"/>
      <protection locked="1" hidden="1"/>
    </xf>
    <xf numFmtId="0" fontId="87" fillId="0" borderId="0" applyAlignment="1" applyProtection="1" pivotButton="0" quotePrefix="0" xfId="0">
      <alignment horizontal="general" vertical="bottom"/>
      <protection locked="1" hidden="1"/>
    </xf>
    <xf numFmtId="0" fontId="82" fillId="5" borderId="24" applyAlignment="1" applyProtection="1" pivotButton="0" quotePrefix="0" xfId="0">
      <alignment horizontal="general" vertical="bottom"/>
      <protection locked="1" hidden="1"/>
    </xf>
    <xf numFmtId="0" fontId="88" fillId="5" borderId="3" applyAlignment="1" applyProtection="1" pivotButton="0" quotePrefix="0" xfId="0">
      <alignment horizontal="general" vertical="bottom"/>
      <protection locked="1" hidden="1"/>
    </xf>
    <xf numFmtId="0" fontId="88" fillId="5" borderId="25" applyAlignment="1" applyProtection="1" pivotButton="0" quotePrefix="0" xfId="0">
      <alignment horizontal="general" vertical="bottom"/>
      <protection locked="1" hidden="1"/>
    </xf>
    <xf numFmtId="0" fontId="67" fillId="0" borderId="0" applyAlignment="1" pivotButton="0" quotePrefix="0" xfId="0">
      <alignment horizontal="general" vertical="bottom"/>
    </xf>
    <xf numFmtId="0" fontId="67" fillId="0" borderId="0" applyAlignment="1" pivotButton="0" quotePrefix="0" xfId="0">
      <alignment horizontal="center" vertical="bottom"/>
    </xf>
    <xf numFmtId="0" fontId="63" fillId="0" borderId="0" applyAlignment="1" applyProtection="1" pivotButton="0" quotePrefix="0" xfId="0">
      <alignment horizontal="center" vertical="bottom"/>
      <protection locked="1" hidden="1"/>
    </xf>
    <xf numFmtId="0" fontId="83" fillId="0" borderId="0" applyAlignment="1" applyProtection="1" pivotButton="0" quotePrefix="0" xfId="0">
      <alignment horizontal="general" vertical="bottom"/>
      <protection locked="1" hidden="1"/>
    </xf>
    <xf numFmtId="0" fontId="68" fillId="0" borderId="0" applyAlignment="1" pivotButton="0" quotePrefix="0" xfId="0">
      <alignment horizontal="center" vertical="bottom"/>
    </xf>
    <xf numFmtId="0" fontId="78" fillId="0" borderId="0" applyAlignment="1" applyProtection="1" pivotButton="0" quotePrefix="0" xfId="0">
      <alignment horizontal="general" vertical="bottom"/>
      <protection locked="1" hidden="1"/>
    </xf>
    <xf numFmtId="0" fontId="58" fillId="0" borderId="0" applyAlignment="1" applyProtection="1" pivotButton="0" quotePrefix="0" xfId="0">
      <alignment horizontal="center" vertical="bottom"/>
      <protection locked="1" hidden="1"/>
    </xf>
    <xf numFmtId="0" fontId="89" fillId="0" borderId="0" applyAlignment="1" applyProtection="1" pivotButton="0" quotePrefix="0" xfId="0">
      <alignment horizontal="center" vertical="bottom"/>
      <protection locked="1" hidden="1"/>
    </xf>
    <xf numFmtId="0" fontId="58" fillId="0" borderId="0" applyAlignment="1" applyProtection="1" pivotButton="0" quotePrefix="0" xfId="0">
      <alignment horizontal="general" vertical="bottom"/>
      <protection locked="1" hidden="1"/>
    </xf>
    <xf numFmtId="167" fontId="58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applyProtection="1" pivotButton="0" quotePrefix="0" xfId="0">
      <alignment horizontal="general" vertical="bottom"/>
      <protection locked="1" hidden="1"/>
    </xf>
    <xf numFmtId="169" fontId="65" fillId="0" borderId="0" applyAlignment="1" pivotButton="0" quotePrefix="0" xfId="0">
      <alignment horizontal="general" vertical="bottom"/>
    </xf>
    <xf numFmtId="10" fontId="58" fillId="0" borderId="3" applyAlignment="1" applyProtection="1" pivotButton="0" quotePrefix="0" xfId="0">
      <alignment horizontal="general" vertical="bottom"/>
      <protection locked="1" hidden="1"/>
    </xf>
    <xf numFmtId="0" fontId="90" fillId="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pivotButton="0" quotePrefix="0" xfId="0">
      <alignment horizontal="general" vertical="bottom"/>
    </xf>
    <xf numFmtId="170" fontId="58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applyProtection="1" pivotButton="0" quotePrefix="0" xfId="0">
      <alignment horizontal="general" vertical="bottom"/>
      <protection locked="1" hidden="1"/>
    </xf>
    <xf numFmtId="169" fontId="66" fillId="0" borderId="0" applyAlignment="1" pivotButton="0" quotePrefix="0" xfId="0">
      <alignment horizontal="general" vertical="bottom"/>
    </xf>
    <xf numFmtId="10" fontId="77" fillId="0" borderId="3" applyAlignment="1" applyProtection="1" pivotButton="0" quotePrefix="0" xfId="0">
      <alignment horizontal="general" vertical="bottom"/>
      <protection locked="1" hidden="1"/>
    </xf>
    <xf numFmtId="168" fontId="66" fillId="0" borderId="0" applyAlignment="1" pivotButton="0" quotePrefix="0" xfId="0">
      <alignment horizontal="general" vertical="bottom"/>
    </xf>
    <xf numFmtId="0" fontId="92" fillId="0" borderId="0" applyAlignment="1" applyProtection="1" pivotButton="0" quotePrefix="0" xfId="0">
      <alignment horizontal="center" vertical="bottom"/>
      <protection locked="1" hidden="1"/>
    </xf>
    <xf numFmtId="170" fontId="58" fillId="6" borderId="3" applyAlignment="1" applyProtection="1" pivotButton="0" quotePrefix="0" xfId="0">
      <alignment horizontal="general" vertical="bottom"/>
      <protection locked="1" hidden="1"/>
    </xf>
    <xf numFmtId="10" fontId="66" fillId="0" borderId="0" applyAlignment="1" pivotButton="0" quotePrefix="0" xfId="0">
      <alignment horizontal="general" vertical="bottom"/>
    </xf>
    <xf numFmtId="168" fontId="58" fillId="0" borderId="0" applyAlignment="1" applyProtection="1" pivotButton="0" quotePrefix="0" xfId="0">
      <alignment horizontal="general" vertical="bottom"/>
      <protection locked="1" hidden="1"/>
    </xf>
    <xf numFmtId="10" fontId="58" fillId="0" borderId="0" applyAlignment="1" applyProtection="1" pivotButton="0" quotePrefix="0" xfId="0">
      <alignment horizontal="general" vertical="bottom"/>
      <protection locked="1" hidden="1"/>
    </xf>
    <xf numFmtId="10" fontId="77" fillId="0" borderId="0" applyAlignment="1" applyProtection="1" pivotButton="0" quotePrefix="0" xfId="0">
      <alignment horizontal="general" vertical="bottom"/>
      <protection locked="1" hidden="1"/>
    </xf>
    <xf numFmtId="170" fontId="58" fillId="6" borderId="26" applyAlignment="1" applyProtection="1" pivotButton="0" quotePrefix="0" xfId="0">
      <alignment horizontal="general" vertical="bottom"/>
      <protection locked="1" hidden="1"/>
    </xf>
    <xf numFmtId="167" fontId="66" fillId="0" borderId="0" applyAlignment="1" pivotButton="0" quotePrefix="0" xfId="0">
      <alignment horizontal="general" vertical="bottom"/>
    </xf>
    <xf numFmtId="170" fontId="58" fillId="6" borderId="27" applyAlignment="1" applyProtection="1" pivotButton="0" quotePrefix="0" xfId="0">
      <alignment horizontal="general" vertical="bottom"/>
      <protection locked="1" hidden="1"/>
    </xf>
    <xf numFmtId="170" fontId="66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general" vertical="bottom"/>
      <protection locked="1" hidden="1"/>
    </xf>
    <xf numFmtId="0" fontId="93" fillId="0" borderId="0" applyAlignment="1" applyProtection="1" pivotButton="0" quotePrefix="0" xfId="0">
      <alignment horizontal="center" vertical="bottom"/>
      <protection locked="1" hidden="1"/>
    </xf>
    <xf numFmtId="170" fontId="93" fillId="0" borderId="0" applyAlignment="1" applyProtection="1" pivotButton="0" quotePrefix="0" xfId="0">
      <alignment horizontal="general" vertical="bottom"/>
      <protection locked="1" hidden="1"/>
    </xf>
    <xf numFmtId="167" fontId="93" fillId="0" borderId="0" applyAlignment="1" applyProtection="1" pivotButton="0" quotePrefix="0" xfId="0">
      <alignment horizontal="general" vertical="bottom"/>
      <protection locked="1" hidden="1"/>
    </xf>
    <xf numFmtId="0" fontId="95" fillId="0" borderId="0" applyAlignment="1" applyProtection="1" pivotButton="0" quotePrefix="0" xfId="0">
      <alignment horizontal="general" vertical="bottom"/>
      <protection locked="1" hidden="1"/>
    </xf>
    <xf numFmtId="0" fontId="0" fillId="10" borderId="0" applyAlignment="1" pivotButton="0" quotePrefix="0" xfId="0">
      <alignment horizontal="general" vertical="bottom"/>
    </xf>
    <xf numFmtId="167" fontId="96" fillId="10" borderId="0" applyAlignment="1" applyProtection="1" pivotButton="0" quotePrefix="0" xfId="0">
      <alignment horizontal="general" vertical="bottom"/>
      <protection locked="1" hidden="1"/>
    </xf>
    <xf numFmtId="170" fontId="82" fillId="10" borderId="0" applyAlignment="1" applyProtection="1" pivotButton="0" quotePrefix="0" xfId="0">
      <alignment horizontal="center" vertical="bottom"/>
      <protection locked="1" hidden="1"/>
    </xf>
    <xf numFmtId="167" fontId="63" fillId="10" borderId="0" applyAlignment="1" applyProtection="1" pivotButton="0" quotePrefix="0" xfId="0">
      <alignment horizontal="general" vertical="bottom"/>
      <protection locked="1" hidden="1"/>
    </xf>
    <xf numFmtId="0" fontId="66" fillId="0" borderId="0" applyAlignment="1" applyProtection="1" pivotButton="0" quotePrefix="0" xfId="0">
      <alignment horizontal="left" vertical="bottom"/>
      <protection locked="1" hidden="1"/>
    </xf>
    <xf numFmtId="10" fontId="82" fillId="10" borderId="19" applyAlignment="1" applyProtection="1" pivotButton="0" quotePrefix="0" xfId="0">
      <alignment horizontal="center" vertical="bottom"/>
      <protection locked="1" hidden="1"/>
    </xf>
    <xf numFmtId="10" fontId="82" fillId="10" borderId="26" applyAlignment="1" applyProtection="1" pivotButton="0" quotePrefix="0" xfId="0">
      <alignment horizontal="center" vertical="bottom"/>
      <protection locked="1" hidden="1"/>
    </xf>
    <xf numFmtId="10" fontId="82" fillId="10" borderId="20" applyAlignment="1" applyProtection="1" pivotButton="0" quotePrefix="0" xfId="0">
      <alignment horizontal="center" vertical="bottom"/>
      <protection locked="1" hidden="1"/>
    </xf>
    <xf numFmtId="0" fontId="58" fillId="0" borderId="28" applyAlignment="1" applyProtection="1" pivotButton="0" quotePrefix="0" xfId="0">
      <alignment horizontal="general" vertical="bottom"/>
      <protection locked="1" hidden="1"/>
    </xf>
    <xf numFmtId="171" fontId="58" fillId="11" borderId="16" applyAlignment="1" applyProtection="1" pivotButton="0" quotePrefix="0" xfId="17">
      <alignment horizontal="general" vertical="bottom"/>
      <protection locked="1" hidden="1"/>
    </xf>
    <xf numFmtId="171" fontId="58" fillId="11" borderId="17" applyAlignment="1" applyProtection="1" pivotButton="0" quotePrefix="0" xfId="17">
      <alignment horizontal="general" vertical="bottom"/>
      <protection locked="1" hidden="1"/>
    </xf>
    <xf numFmtId="171" fontId="58" fillId="11" borderId="18" applyAlignment="1" applyProtection="1" pivotButton="0" quotePrefix="0" xfId="17">
      <alignment horizontal="general" vertical="bottom"/>
      <protection locked="1" hidden="1"/>
    </xf>
    <xf numFmtId="0" fontId="58" fillId="0" borderId="29" applyAlignment="1" applyProtection="1" pivotButton="0" quotePrefix="0" xfId="0">
      <alignment horizontal="general" vertical="bottom"/>
      <protection locked="1" hidden="1"/>
    </xf>
    <xf numFmtId="0" fontId="72" fillId="0" borderId="0" applyAlignment="1" applyProtection="1" pivotButton="0" quotePrefix="0" xfId="0">
      <alignment horizontal="center" vertical="bottom"/>
      <protection locked="1" hidden="1"/>
    </xf>
    <xf numFmtId="171" fontId="58" fillId="11" borderId="24" applyAlignment="1" applyProtection="1" pivotButton="0" quotePrefix="0" xfId="17">
      <alignment horizontal="general" vertical="bottom"/>
      <protection locked="1" hidden="1"/>
    </xf>
    <xf numFmtId="171" fontId="58" fillId="11" borderId="3" applyAlignment="1" applyProtection="1" pivotButton="0" quotePrefix="0" xfId="17">
      <alignment horizontal="general" vertical="bottom"/>
      <protection locked="1" hidden="1"/>
    </xf>
    <xf numFmtId="171" fontId="58" fillId="11" borderId="25" applyAlignment="1" applyProtection="1" pivotButton="0" quotePrefix="0" xfId="17">
      <alignment horizontal="general" vertical="bottom"/>
      <protection locked="1" hidden="1"/>
    </xf>
    <xf numFmtId="0" fontId="82" fillId="5" borderId="23" applyAlignment="1" applyProtection="1" pivotButton="0" quotePrefix="0" xfId="0">
      <alignment horizontal="general" vertical="bottom"/>
      <protection locked="1" hidden="1"/>
    </xf>
    <xf numFmtId="171" fontId="82" fillId="5" borderId="24" applyAlignment="1" applyProtection="1" pivotButton="0" quotePrefix="0" xfId="17">
      <alignment horizontal="general" vertical="bottom"/>
      <protection locked="1" hidden="1"/>
    </xf>
    <xf numFmtId="171" fontId="82" fillId="5" borderId="3" applyAlignment="1" applyProtection="1" pivotButton="0" quotePrefix="0" xfId="17">
      <alignment horizontal="general" vertical="bottom"/>
      <protection locked="1" hidden="1"/>
    </xf>
    <xf numFmtId="171" fontId="82" fillId="5" borderId="25" applyAlignment="1" applyProtection="1" pivotButton="0" quotePrefix="0" xfId="17">
      <alignment horizontal="general" vertical="bottom"/>
      <protection locked="1" hidden="1"/>
    </xf>
    <xf numFmtId="0" fontId="58" fillId="0" borderId="0" applyAlignment="1" pivotButton="0" quotePrefix="0" xfId="0">
      <alignment horizontal="general" vertical="bottom"/>
    </xf>
    <xf numFmtId="171" fontId="41" fillId="11" borderId="16" applyAlignment="1" pivotButton="0" quotePrefix="0" xfId="0">
      <alignment horizontal="general" vertical="bottom"/>
    </xf>
    <xf numFmtId="0" fontId="41" fillId="11" borderId="17" applyAlignment="1" pivotButton="0" quotePrefix="0" xfId="0">
      <alignment horizontal="general" vertical="bottom"/>
    </xf>
    <xf numFmtId="0" fontId="41" fillId="11" borderId="18" applyAlignment="1" pivotButton="0" quotePrefix="0" xfId="0">
      <alignment horizontal="general" vertical="bottom"/>
    </xf>
    <xf numFmtId="170" fontId="58" fillId="11" borderId="21" applyAlignment="1" applyProtection="1" pivotButton="0" quotePrefix="0" xfId="0">
      <alignment horizontal="general" vertical="bottom"/>
      <protection locked="1" hidden="1"/>
    </xf>
    <xf numFmtId="170" fontId="58" fillId="11" borderId="0" applyAlignment="1" applyProtection="1" pivotButton="0" quotePrefix="0" xfId="0">
      <alignment horizontal="general" vertical="bottom"/>
      <protection locked="1" hidden="1"/>
    </xf>
    <xf numFmtId="170" fontId="58" fillId="11" borderId="22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general" vertical="bottom"/>
      <protection locked="1" hidden="1"/>
    </xf>
    <xf numFmtId="0" fontId="77" fillId="0" borderId="0" applyAlignment="1" applyProtection="1" pivotButton="0" quotePrefix="0" xfId="0">
      <alignment horizontal="center" vertical="bottom"/>
      <protection locked="1" hidden="1"/>
    </xf>
    <xf numFmtId="170" fontId="92" fillId="11" borderId="21" applyAlignment="1" applyProtection="1" pivotButton="0" quotePrefix="0" xfId="0">
      <alignment horizontal="general" vertical="bottom"/>
      <protection locked="1" hidden="1"/>
    </xf>
    <xf numFmtId="170" fontId="92" fillId="11" borderId="0" applyAlignment="1" applyProtection="1" pivotButton="0" quotePrefix="0" xfId="0">
      <alignment horizontal="general" vertical="bottom"/>
      <protection locked="1" hidden="1"/>
    </xf>
    <xf numFmtId="170" fontId="92" fillId="11" borderId="22" applyAlignment="1" applyProtection="1" pivotButton="0" quotePrefix="0" xfId="0">
      <alignment horizontal="general" vertical="bottom"/>
      <protection locked="1" hidden="1"/>
    </xf>
    <xf numFmtId="10" fontId="77" fillId="11" borderId="24" applyAlignment="1" applyProtection="1" pivotButton="0" quotePrefix="0" xfId="0">
      <alignment horizontal="general" vertical="bottom"/>
      <protection locked="1" hidden="1"/>
    </xf>
    <xf numFmtId="10" fontId="77" fillId="11" borderId="3" applyAlignment="1" applyProtection="1" pivotButton="0" quotePrefix="0" xfId="0">
      <alignment horizontal="general" vertical="bottom"/>
      <protection locked="1" hidden="1"/>
    </xf>
    <xf numFmtId="10" fontId="77" fillId="11" borderId="25" applyAlignment="1" applyProtection="1" pivotButton="0" quotePrefix="0" xfId="0">
      <alignment horizontal="general" vertical="bottom"/>
      <protection locked="1" hidden="1"/>
    </xf>
    <xf numFmtId="0" fontId="58" fillId="9" borderId="28" applyAlignment="1" applyProtection="1" pivotButton="0" quotePrefix="0" xfId="0">
      <alignment horizontal="general" vertical="bottom"/>
      <protection locked="1" hidden="1"/>
    </xf>
    <xf numFmtId="170" fontId="58" fillId="9" borderId="21" applyAlignment="1" applyProtection="1" pivotButton="0" quotePrefix="0" xfId="0">
      <alignment horizontal="general" vertical="bottom"/>
      <protection locked="1" hidden="1"/>
    </xf>
    <xf numFmtId="170" fontId="58" fillId="9" borderId="0" applyAlignment="1" applyProtection="1" pivotButton="0" quotePrefix="0" xfId="0">
      <alignment horizontal="general" vertical="bottom"/>
      <protection locked="1" hidden="1"/>
    </xf>
    <xf numFmtId="170" fontId="58" fillId="9" borderId="22" applyAlignment="1" applyProtection="1" pivotButton="0" quotePrefix="0" xfId="0">
      <alignment horizontal="general" vertical="bottom"/>
      <protection locked="1" hidden="1"/>
    </xf>
    <xf numFmtId="0" fontId="79" fillId="9" borderId="29" applyAlignment="1" applyProtection="1" pivotButton="0" quotePrefix="0" xfId="0">
      <alignment horizontal="general" vertical="bottom"/>
      <protection locked="1" hidden="1"/>
    </xf>
    <xf numFmtId="0" fontId="97" fillId="0" borderId="0" applyAlignment="1" applyProtection="1" pivotButton="0" quotePrefix="0" xfId="0">
      <alignment horizontal="center" vertical="bottom"/>
      <protection locked="1" hidden="1"/>
    </xf>
    <xf numFmtId="0" fontId="92" fillId="9" borderId="0" applyAlignment="1" applyProtection="1" pivotButton="0" quotePrefix="0" xfId="0">
      <alignment horizontal="general" vertical="bottom"/>
      <protection locked="1" hidden="1"/>
    </xf>
    <xf numFmtId="169" fontId="58" fillId="9" borderId="0" applyAlignment="1" applyProtection="1" pivotButton="0" quotePrefix="0" xfId="0">
      <alignment horizontal="general" vertical="bottom"/>
      <protection locked="1" hidden="1"/>
    </xf>
    <xf numFmtId="0" fontId="41" fillId="9" borderId="0" applyAlignment="1" applyProtection="1" pivotButton="0" quotePrefix="0" xfId="0">
      <alignment horizontal="general" vertical="bottom"/>
      <protection locked="1" hidden="1"/>
    </xf>
    <xf numFmtId="0" fontId="41" fillId="9" borderId="22" applyAlignment="1" applyProtection="1" pivotButton="0" quotePrefix="0" xfId="0">
      <alignment horizontal="general" vertical="bottom"/>
      <protection locked="1" hidden="1"/>
    </xf>
    <xf numFmtId="0" fontId="58" fillId="9" borderId="29" applyAlignment="1" applyProtection="1" pivotButton="0" quotePrefix="0" xfId="0">
      <alignment horizontal="general" vertical="bottom"/>
      <protection locked="1" hidden="1"/>
    </xf>
    <xf numFmtId="0" fontId="70" fillId="0" borderId="0" applyAlignment="1" applyProtection="1" pivotButton="0" quotePrefix="0" xfId="0">
      <alignment horizontal="center" vertical="bottom"/>
      <protection locked="1" hidden="1"/>
    </xf>
    <xf numFmtId="170" fontId="58" fillId="9" borderId="24" applyAlignment="1" applyProtection="1" pivotButton="0" quotePrefix="0" xfId="0">
      <alignment horizontal="general" vertical="bottom"/>
      <protection locked="1" hidden="1"/>
    </xf>
    <xf numFmtId="170" fontId="58" fillId="9" borderId="3" applyAlignment="1" applyProtection="1" pivotButton="0" quotePrefix="0" xfId="0">
      <alignment horizontal="general" vertical="bottom"/>
      <protection locked="1" hidden="1"/>
    </xf>
    <xf numFmtId="170" fontId="58" fillId="9" borderId="25" applyAlignment="1" applyProtection="1" pivotButton="0" quotePrefix="0" xfId="0">
      <alignment horizontal="general" vertical="bottom"/>
      <protection locked="1" hidden="1"/>
    </xf>
    <xf numFmtId="0" fontId="98" fillId="0" borderId="0" applyAlignment="1" applyProtection="1" pivotButton="0" quotePrefix="0" xfId="0">
      <alignment horizontal="general" vertical="bottom"/>
      <protection locked="1" hidden="1"/>
    </xf>
    <xf numFmtId="0" fontId="98" fillId="0" borderId="0" applyAlignment="1" pivotButton="0" quotePrefix="0" xfId="0">
      <alignment horizontal="general" vertical="bottom"/>
    </xf>
    <xf numFmtId="0" fontId="58" fillId="9" borderId="23" applyAlignment="1" applyProtection="1" pivotButton="0" quotePrefix="0" xfId="0">
      <alignment horizontal="general" vertical="bottom"/>
      <protection locked="1" hidden="1"/>
    </xf>
    <xf numFmtId="170" fontId="98" fillId="0" borderId="0" applyAlignment="1" applyProtection="1" pivotButton="0" quotePrefix="0" xfId="0">
      <alignment horizontal="general" vertical="bottom"/>
      <protection locked="1" hidden="1"/>
    </xf>
    <xf numFmtId="170" fontId="98" fillId="0" borderId="0" applyAlignment="1" pivotButton="0" quotePrefix="0" xfId="0">
      <alignment horizontal="general" vertical="bottom"/>
    </xf>
    <xf numFmtId="10" fontId="58" fillId="11" borderId="24" applyAlignment="1" applyProtection="1" pivotButton="0" quotePrefix="0" xfId="0">
      <alignment horizontal="general" vertical="bottom"/>
      <protection locked="1" hidden="1"/>
    </xf>
    <xf numFmtId="10" fontId="58" fillId="11" borderId="3" applyAlignment="1" applyProtection="1" pivotButton="0" quotePrefix="0" xfId="0">
      <alignment horizontal="general" vertical="bottom"/>
      <protection locked="1" hidden="1"/>
    </xf>
    <xf numFmtId="10" fontId="58" fillId="11" borderId="25" applyAlignment="1" applyProtection="1" pivotButton="0" quotePrefix="0" xfId="0">
      <alignment horizontal="general" vertical="bottom"/>
      <protection locked="1" hidden="1"/>
    </xf>
    <xf numFmtId="170" fontId="99" fillId="0" borderId="0" applyAlignment="1" applyProtection="1" pivotButton="0" quotePrefix="0" xfId="0">
      <alignment horizontal="general" vertical="bottom"/>
      <protection locked="1" hidden="1"/>
    </xf>
    <xf numFmtId="170" fontId="99" fillId="0" borderId="0" applyAlignment="1" pivotButton="0" quotePrefix="0" xfId="0">
      <alignment horizontal="general" vertical="bottom"/>
    </xf>
    <xf numFmtId="0" fontId="67" fillId="0" borderId="0" applyAlignment="1" applyProtection="1" pivotButton="0" quotePrefix="0" xfId="0">
      <alignment horizontal="center" vertical="bottom"/>
      <protection locked="1" hidden="1"/>
    </xf>
    <xf numFmtId="170" fontId="58" fillId="11" borderId="24" applyAlignment="1" applyProtection="1" pivotButton="0" quotePrefix="0" xfId="0">
      <alignment horizontal="general" vertical="bottom"/>
      <protection locked="1" hidden="1"/>
    </xf>
    <xf numFmtId="170" fontId="58" fillId="11" borderId="3" applyAlignment="1" applyProtection="1" pivotButton="0" quotePrefix="0" xfId="0">
      <alignment horizontal="general" vertical="bottom"/>
      <protection locked="1" hidden="1"/>
    </xf>
    <xf numFmtId="170" fontId="58" fillId="11" borderId="25" applyAlignment="1" applyProtection="1" pivotButton="0" quotePrefix="0" xfId="0">
      <alignment horizontal="general" vertical="bottom"/>
      <protection locked="1" hidden="1"/>
    </xf>
    <xf numFmtId="0" fontId="58" fillId="6" borderId="12" applyAlignment="1" applyProtection="1" pivotButton="0" quotePrefix="0" xfId="0">
      <alignment horizontal="general" vertical="bottom"/>
      <protection locked="1" hidden="1"/>
    </xf>
    <xf numFmtId="170" fontId="58" fillId="6" borderId="30" applyAlignment="1" applyProtection="1" pivotButton="0" quotePrefix="0" xfId="0">
      <alignment horizontal="general" vertical="bottom"/>
      <protection locked="1" hidden="1"/>
    </xf>
    <xf numFmtId="170" fontId="58" fillId="6" borderId="31" applyAlignment="1" applyProtection="1" pivotButton="0" quotePrefix="0" xfId="0">
      <alignment horizontal="general" vertical="bottom"/>
      <protection locked="1" hidden="1"/>
    </xf>
    <xf numFmtId="0" fontId="41" fillId="0" borderId="0" applyAlignment="1" applyProtection="1" pivotButton="0" quotePrefix="0" xfId="0">
      <alignment horizontal="general" vertical="bottom"/>
      <protection locked="1" hidden="1"/>
    </xf>
    <xf numFmtId="0" fontId="0" fillId="0" borderId="0" applyAlignment="1" applyProtection="1" pivotButton="0" quotePrefix="0" xfId="0">
      <alignment horizontal="center" vertical="bottom"/>
      <protection locked="1" hidden="1"/>
    </xf>
    <xf numFmtId="10" fontId="58" fillId="6" borderId="19" applyAlignment="1" applyProtection="1" pivotButton="0" quotePrefix="0" xfId="0">
      <alignment horizontal="general" vertical="bottom"/>
      <protection locked="1" hidden="1"/>
    </xf>
    <xf numFmtId="10" fontId="58" fillId="6" borderId="26" applyAlignment="1" applyProtection="1" pivotButton="0" quotePrefix="0" xfId="0">
      <alignment horizontal="general" vertical="bottom"/>
      <protection locked="1" hidden="1"/>
    </xf>
    <xf numFmtId="10" fontId="58" fillId="6" borderId="20" applyAlignment="1" applyProtection="1" pivotButton="0" quotePrefix="0" xfId="0">
      <alignment horizontal="general" vertical="bottom"/>
      <protection locked="1" hidden="1"/>
    </xf>
    <xf numFmtId="171" fontId="0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</cellXfs>
  <cellStyles count="154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?? [0]_94???" xfId="6"/>
    <cellStyle name="?? [0]_94???_demand analysisrevised" xfId="7"/>
    <cellStyle name="?? [0]_??" xfId="8"/>
    <cellStyle name="?? [0]_???" xfId="9"/>
    <cellStyle name="?? [0]_?????" xfId="10"/>
    <cellStyle name="?? [0]_?????_???" xfId="11"/>
    <cellStyle name="?? [0]_?????_???_demand analysisrevised" xfId="12"/>
    <cellStyle name="?? [0]_?????_demand analysisrevised" xfId="13"/>
    <cellStyle name="?? [0]_???_demand analysisrevised" xfId="14"/>
    <cellStyle name="?? [0]_??_demand analysisrevised" xfId="15"/>
    <cellStyle name="?? [0]_dimon" xfId="16"/>
    <cellStyle name="?? [0]_form" xfId="17"/>
    <cellStyle name="?? [0]_form_demand analysisrevised" xfId="18"/>
    <cellStyle name="?? [0]_laroux" xfId="19"/>
    <cellStyle name="?? [0]_laroux_1" xfId="20"/>
    <cellStyle name="?? [0]_laroux_1_demand analysisrevised" xfId="21"/>
    <cellStyle name="?? [0]_laroux_2" xfId="22"/>
    <cellStyle name="?? [0]_laroux_demand analysisrevised" xfId="23"/>
    <cellStyle name="?? [0]_PERSONAL" xfId="24"/>
    <cellStyle name="?? [0]_PERSONAL_1" xfId="25"/>
    <cellStyle name="?? [0]_PERSONAL_1_demand analysisrevised" xfId="26"/>
    <cellStyle name="?? [0]_PERSONAL_2" xfId="27"/>
    <cellStyle name="?? [0]_PERSONAL_2_demand analysisrevised" xfId="28"/>
    <cellStyle name="?? [0]_PERSONAL_3" xfId="29"/>
    <cellStyle name="?? [0]_PERSONAL_demand analysisrevised" xfId="30"/>
    <cellStyle name="?? [0]_Sheet2" xfId="31"/>
    <cellStyle name="??_94???" xfId="32"/>
    <cellStyle name="??_94???_demand analysisrevised" xfId="33"/>
    <cellStyle name="??_970120" xfId="34"/>
    <cellStyle name="??_97???" xfId="35"/>
    <cellStyle name="??_?.????" xfId="36"/>
    <cellStyle name="??_??" xfId="37"/>
    <cellStyle name="??_???" xfId="38"/>
    <cellStyle name="??_????" xfId="39"/>
    <cellStyle name="??_?????" xfId="40"/>
    <cellStyle name="??_?????_1" xfId="41"/>
    <cellStyle name="??_?????_2" xfId="42"/>
    <cellStyle name="??_?????_???" xfId="43"/>
    <cellStyle name="??_?????_???_demand analysisrevised" xfId="44"/>
    <cellStyle name="??_?????_???_demand analysisrevised_1" xfId="45"/>
    <cellStyle name="??_?????_demand analysisrevised" xfId="46"/>
    <cellStyle name="??_?????_demand analysisrevised_1" xfId="47"/>
    <cellStyle name="??_????_1" xfId="48"/>
    <cellStyle name="??_???_demand analysisrevised" xfId="49"/>
    <cellStyle name="??_???_demand analysisrevised_1" xfId="50"/>
    <cellStyle name="??_??_1" xfId="51"/>
    <cellStyle name="??_??_????" xfId="52"/>
    <cellStyle name="??_??_????_demand analysisrevised" xfId="53"/>
    <cellStyle name="??_??_demand analysisrevised" xfId="54"/>
    <cellStyle name="??_??_demand analysisrevised_1" xfId="55"/>
    <cellStyle name="??_??_demand analysisrevised_2" xfId="56"/>
    <cellStyle name="??_BEBU_GI" xfId="57"/>
    <cellStyle name="??_dimon" xfId="58"/>
    <cellStyle name="??_dimon_demand analysisrevised" xfId="59"/>
    <cellStyle name="??_form" xfId="60"/>
    <cellStyle name="??_form_demand analysisrevised" xfId="61"/>
    <cellStyle name="??_form_demand analysisrevised_1" xfId="62"/>
    <cellStyle name="??_ga_PB" xfId="63"/>
    <cellStyle name="??_laroux" xfId="64"/>
    <cellStyle name="??_laroux_1" xfId="65"/>
    <cellStyle name="??_laroux_1_demand analysisrevised" xfId="66"/>
    <cellStyle name="??_laroux_1_demand analysisrevised_1" xfId="67"/>
    <cellStyle name="??_laroux_2" xfId="68"/>
    <cellStyle name="??_laroux_2_demand analysisrevised" xfId="69"/>
    <cellStyle name="??_laroux_3" xfId="70"/>
    <cellStyle name="??_laroux_4" xfId="71"/>
    <cellStyle name="??_laroux_5" xfId="72"/>
    <cellStyle name="??_laroux_6" xfId="73"/>
    <cellStyle name="??_laroux_7" xfId="74"/>
    <cellStyle name="??_laroux_8" xfId="75"/>
    <cellStyle name="??_laroux_demand analysisrevised" xfId="76"/>
    <cellStyle name="??_laroux_demand analysisrevised_1" xfId="77"/>
    <cellStyle name="??_PERSONAL" xfId="78"/>
    <cellStyle name="??_PERSONAL_1" xfId="79"/>
    <cellStyle name="??_PERSONAL_1_demand analysisrevised" xfId="80"/>
    <cellStyle name="??_PERSONAL_1_demand analysisrevised_1" xfId="81"/>
    <cellStyle name="??_PERSONAL_2" xfId="82"/>
    <cellStyle name="??_PERSONAL_2_demand analysisrevised" xfId="83"/>
    <cellStyle name="??_PERSONAL_2_demand analysisrevised_1" xfId="84"/>
    <cellStyle name="??_PERSONAL_3" xfId="85"/>
    <cellStyle name="??_PERSONAL_3_demand analysisrevised" xfId="86"/>
    <cellStyle name="??_PERSONAL_4" xfId="87"/>
    <cellStyle name="??_PERSONAL_demand analysisrevised" xfId="88"/>
    <cellStyle name="??_PERSONAL_demand analysisrevised_1" xfId="89"/>
    <cellStyle name="??_Query11" xfId="90"/>
    <cellStyle name="??_Sheet1" xfId="91"/>
    <cellStyle name="??_Sheet1 (2)" xfId="92"/>
    <cellStyle name="??_Sheet2" xfId="93"/>
    <cellStyle name="??_Sheet2_demand analysisrevised" xfId="94"/>
    <cellStyle name="Actual Date" xfId="95"/>
    <cellStyle name="Comma [0]_12matrix" xfId="96"/>
    <cellStyle name="Comma [0]_1995" xfId="97"/>
    <cellStyle name="Comma [0]_1995_monci" xfId="98"/>
    <cellStyle name="Comma [0]_353HHC" xfId="99"/>
    <cellStyle name="Comma [0]_A" xfId="100"/>
    <cellStyle name="Comma [0]_A_dimon" xfId="101"/>
    <cellStyle name="Comma [0]_ACTUAL" xfId="102"/>
    <cellStyle name="Comma [0]_ACTUAL NA -OBU" xfId="103"/>
    <cellStyle name="Comma [0]_Actual vs." xfId="104"/>
    <cellStyle name="Comma [0]_algasdefault" xfId="105"/>
    <cellStyle name="Comma [0]_Alternative1" xfId="106"/>
    <cellStyle name="Comma [0]_Alternative1_1" xfId="107"/>
    <cellStyle name="Comma [0]_App E" xfId="108"/>
    <cellStyle name="Comma [0]_Apr" xfId="109"/>
    <cellStyle name="Comma [0]_Arapahoe" xfId="110"/>
    <cellStyle name="Comma [0]_Assumptions" xfId="111"/>
    <cellStyle name="Comma [0]_Atlanta" xfId="112"/>
    <cellStyle name="Comma [0]_Atlanta (2)" xfId="113"/>
    <cellStyle name="Comma [0]_bahiadefault" xfId="114"/>
    <cellStyle name="Comma [0]_Book3" xfId="115"/>
    <cellStyle name="Comma [0]_BOP" xfId="116"/>
    <cellStyle name="Comma [0]_BOPBAL1" xfId="117"/>
    <cellStyle name="Comma [0]_BOPCBU" xfId="118"/>
    <cellStyle name="Comma [0]_BOPCBU (2)" xfId="119"/>
    <cellStyle name="Comma [0]_BOPCBU96" xfId="120"/>
    <cellStyle name="Comma [0]_BSAPPE.XLS" xfId="121"/>
    <cellStyle name="Comma [0]_Calculations" xfId="122"/>
    <cellStyle name="Comma [0]_Calculations (2)" xfId="123"/>
    <cellStyle name="Comma [0]_Calculations II" xfId="124"/>
    <cellStyle name="Comma [0]_Calculations III" xfId="125"/>
    <cellStyle name="Comma [0]_Calculations_1" xfId="126"/>
    <cellStyle name="Comma [0]_CAPEX" xfId="127"/>
    <cellStyle name="Comma [0]_CAPEX94" xfId="128"/>
    <cellStyle name="Comma [0]_CBU BOX CHART V PLAN" xfId="129"/>
    <cellStyle name="Comma [0]_CCA" xfId="130"/>
    <cellStyle name="Comma [0]_CCOCPX" xfId="131"/>
    <cellStyle name="Comma [0]_CHANGES.XLS" xfId="132"/>
    <cellStyle name="Comma [0]_Charts" xfId="133"/>
    <cellStyle name="Comma [0]_Comm File" xfId="134"/>
    <cellStyle name="Comma [0]_coperdefault" xfId="135"/>
    <cellStyle name="Comma [0]_Corp method" xfId="136"/>
    <cellStyle name="Comma [0]_CTCUR" xfId="137"/>
    <cellStyle name="Comma [0]_CUMPLTCH" xfId="138"/>
    <cellStyle name="Comma [0]_DEFAULT" xfId="139"/>
    <cellStyle name="Comma [0]_dimon" xfId="140"/>
    <cellStyle name="Comma [0]_Dowell C1b" xfId="141"/>
    <cellStyle name="Comma [0]_Dowell-C1a" xfId="142"/>
    <cellStyle name="Comma [0]_E&amp;ONW1" xfId="143"/>
    <cellStyle name="Comma [0]_E&amp;ONW2" xfId="144"/>
    <cellStyle name="Comma [0]_E&amp;OOCPX" xfId="145"/>
    <cellStyle name="Comma [0]_emserdefault" xfId="146"/>
    <cellStyle name="Comma [0]_EPL 304 CA BDE" xfId="147"/>
    <cellStyle name="Comma [0]_F&amp;COCPX" xfId="148"/>
    <cellStyle name="Comma [0]_FEBRUARY" xfId="149"/>
    <cellStyle name="Comma [0]_FF" xfId="150"/>
    <cellStyle name="Comma [0]_FP 20 A (1)" xfId="151"/>
    <cellStyle name="Comma [0]_FP 20 A (2)" xfId="152"/>
    <cellStyle name="Comma [0]_FP-20 (App. E)" xfId="153"/>
    <cellStyle name="Comma [0]_FP-20 (App.A) " xfId="154"/>
    <cellStyle name="Comma [0]_FP-20 (App.D)" xfId="155"/>
    <cellStyle name="Comma [0]_FP-20(App.B)" xfId="156"/>
    <cellStyle name="Comma [0]_FP-20(C1) (a)" xfId="157"/>
    <cellStyle name="Comma [0]_FP-20(C1) (a) (2)" xfId="158"/>
    <cellStyle name="Comma [0]_FP-20(C1) (b)" xfId="159"/>
    <cellStyle name="Comma [0]_FP-20(C1) (b) " xfId="160"/>
    <cellStyle name="Comma [0]_FP-20(C1) (b) (2)" xfId="161"/>
    <cellStyle name="Comma [0]_FY97COB1." xfId="162"/>
    <cellStyle name="Comma [0]_GCM" xfId="163"/>
    <cellStyle name="Comma [0]_GenAssum" xfId="164"/>
    <cellStyle name="Comma [0]_GP C1a" xfId="165"/>
    <cellStyle name="Comma [0]_GP C1b" xfId="166"/>
    <cellStyle name="Comma [0]_GP_EI_3" xfId="167"/>
    <cellStyle name="Comma [0]_GQ C1A" xfId="168"/>
    <cellStyle name="Comma [0]_GQ C1B" xfId="169"/>
    <cellStyle name="Comma [0]_Inputs" xfId="170"/>
    <cellStyle name="Comma [0]_IPM C1b" xfId="171"/>
    <cellStyle name="Comma [0]_IPMC1a" xfId="172"/>
    <cellStyle name="Comma [0]_IS-Hold" xfId="173"/>
    <cellStyle name="Comma [0]_ITOCPX" xfId="174"/>
    <cellStyle name="Comma [0]_jancf" xfId="175"/>
    <cellStyle name="Comma [0]_JUNMTH55" xfId="176"/>
    <cellStyle name="Comma [0]_JUNMTH57" xfId="177"/>
    <cellStyle name="Comma [0]_JUNYTD55" xfId="178"/>
    <cellStyle name="Comma [0]_JUNYTD57" xfId="179"/>
    <cellStyle name="Comma [0]_laroux" xfId="180"/>
    <cellStyle name="Comma [0]_laroux_1" xfId="181"/>
    <cellStyle name="Comma [0]_laroux_1995" xfId="182"/>
    <cellStyle name="Comma [0]_laroux_1995_monci" xfId="183"/>
    <cellStyle name="Comma [0]_laroux_1_dimon" xfId="184"/>
    <cellStyle name="Comma [0]_laroux_1_dimon_1" xfId="185"/>
    <cellStyle name="Comma [0]_laroux_1_dimon_2" xfId="186"/>
    <cellStyle name="Comma [0]_laroux_1_laroux" xfId="187"/>
    <cellStyle name="Comma [0]_laroux_1_laroux_monci" xfId="188"/>
    <cellStyle name="Comma [0]_laroux_1_monci" xfId="189"/>
    <cellStyle name="Comma [0]_laroux_1_pldt" xfId="190"/>
    <cellStyle name="Comma [0]_laroux_1_PLDT_dimon" xfId="191"/>
    <cellStyle name="Comma [0]_laroux_1_Sheet1 (2)" xfId="192"/>
    <cellStyle name="Comma [0]_laroux_1_VERA" xfId="193"/>
    <cellStyle name="Comma [0]_laroux_1_VIRUS-EDY" xfId="194"/>
    <cellStyle name="Comma [0]_laroux_2" xfId="195"/>
    <cellStyle name="Comma [0]_laroux_2_dimon" xfId="196"/>
    <cellStyle name="Comma [0]_laroux_2_dimon_1" xfId="197"/>
    <cellStyle name="Comma [0]_laroux_2_dimon_2" xfId="198"/>
    <cellStyle name="Comma [0]_laroux_2_dimon_3" xfId="199"/>
    <cellStyle name="Comma [0]_laroux_2_laroux" xfId="200"/>
    <cellStyle name="Comma [0]_laroux_2_laroux_dimon" xfId="201"/>
    <cellStyle name="Comma [0]_laroux_2_pldt" xfId="202"/>
    <cellStyle name="Comma [0]_laroux_2_Sheet1 (2)" xfId="203"/>
    <cellStyle name="Comma [0]_laroux_2_VERA" xfId="204"/>
    <cellStyle name="Comma [0]_laroux_3" xfId="205"/>
    <cellStyle name="Comma [0]_laroux_3_dimon" xfId="206"/>
    <cellStyle name="Comma [0]_laroux_dimon" xfId="207"/>
    <cellStyle name="Comma [0]_laroux_dimon_1" xfId="208"/>
    <cellStyle name="Comma [0]_laroux_EPL 304 CA BDE" xfId="209"/>
    <cellStyle name="Comma [0]_laroux_laroux" xfId="210"/>
    <cellStyle name="Comma [0]_laroux_laroux_1" xfId="211"/>
    <cellStyle name="Comma [0]_laroux_laroux_1_monci" xfId="212"/>
    <cellStyle name="Comma [0]_laroux_laroux_dimon" xfId="213"/>
    <cellStyle name="Comma [0]_laroux_laroux_monci" xfId="214"/>
    <cellStyle name="Comma [0]_laroux_MATERAL2" xfId="215"/>
    <cellStyle name="Comma [0]_laroux_MATERAL2_dimon" xfId="216"/>
    <cellStyle name="Comma [0]_laroux_MATERAL2_laroux" xfId="217"/>
    <cellStyle name="Comma [0]_laroux_MATERAL2_laroux_dimon" xfId="218"/>
    <cellStyle name="Comma [0]_laroux_MATERAL2_monci" xfId="219"/>
    <cellStyle name="Comma [0]_laroux_MATERAL2_pldt" xfId="220"/>
    <cellStyle name="Comma [0]_laroux_MATERAL2_VERA" xfId="221"/>
    <cellStyle name="Comma [0]_laroux_MATERAL2_VIRUS-EDY" xfId="222"/>
    <cellStyle name="Comma [0]_laroux_monci" xfId="223"/>
    <cellStyle name="Comma [0]_laroux_mud plant bolted" xfId="224"/>
    <cellStyle name="Comma [0]_laroux_mud plant bolted_dimon" xfId="225"/>
    <cellStyle name="Comma [0]_laroux_mud plant bolted_dimon_1" xfId="226"/>
    <cellStyle name="Comma [0]_laroux_pldt" xfId="227"/>
    <cellStyle name="Comma [0]_laroux_Sheet1 (2)" xfId="228"/>
    <cellStyle name="Comma [0]_laroux_VERA" xfId="229"/>
    <cellStyle name="Comma [0]_laroux_VERA_1" xfId="230"/>
    <cellStyle name="Comma [0]_laroux_VIRUS-EDY" xfId="231"/>
    <cellStyle name="Comma [0]_MATERAL2" xfId="232"/>
    <cellStyle name="Comma [0]_MATERAL2_dimon" xfId="233"/>
    <cellStyle name="Comma [0]_MATERAL2_dimon_1" xfId="234"/>
    <cellStyle name="Comma [0]_MKGOCPX" xfId="235"/>
    <cellStyle name="Comma [0]_MOBCPX" xfId="236"/>
    <cellStyle name="Comma [0]_mud plant bolted" xfId="237"/>
    <cellStyle name="Comma [0]_mud plant bolted_dimon" xfId="238"/>
    <cellStyle name="Comma [0]_mud plant bolted_laroux" xfId="239"/>
    <cellStyle name="Comma [0]_mud plant bolted_laroux_dimon" xfId="240"/>
    <cellStyle name="Comma [0]_mud plant bolted_monci" xfId="241"/>
    <cellStyle name="Comma [0]_mud plant bolted_pldt" xfId="242"/>
    <cellStyle name="Comma [0]_mud plant bolted_VERA" xfId="243"/>
    <cellStyle name="Comma [0]_mud plant bolted_VIRUS-EDY" xfId="244"/>
    <cellStyle name="Comma [0]_NA WITHOUT GOV'T &amp; PNX" xfId="245"/>
    <cellStyle name="Comma [0]_NAOBU10" xfId="246"/>
    <cellStyle name="Comma [0]_NAT ACCT" xfId="247"/>
    <cellStyle name="Comma [0]_NSACTUAL.XLS" xfId="248"/>
    <cellStyle name="Comma [0]_NX00" xfId="249"/>
    <cellStyle name="Comma [0]_Odner" xfId="250"/>
    <cellStyle name="Comma [0]_Odner (2)" xfId="251"/>
    <cellStyle name="Comma [0]_Odner (3)" xfId="252"/>
    <cellStyle name="Comma [0]_OSMOCPX" xfId="253"/>
    <cellStyle name="Comma [0]_Other Months" xfId="254"/>
    <cellStyle name="Comma [0]_Outlook" xfId="255"/>
    <cellStyle name="Comma [0]_pbdefault" xfId="256"/>
    <cellStyle name="Comma [0]_percentages" xfId="257"/>
    <cellStyle name="Comma [0]_PERSONAL" xfId="258"/>
    <cellStyle name="Comma [0]_PGMKOCPX" xfId="259"/>
    <cellStyle name="Comma [0]_PGNW1" xfId="260"/>
    <cellStyle name="Comma [0]_PGNW2" xfId="261"/>
    <cellStyle name="Comma [0]_PGNWOCPX" xfId="262"/>
    <cellStyle name="Comma [0]_Pink" xfId="263"/>
    <cellStyle name="Comma [0]_Plan" xfId="264"/>
    <cellStyle name="Comma [0]_PLANT" xfId="265"/>
    <cellStyle name="Comma [0]_pldt" xfId="266"/>
    <cellStyle name="Comma [0]_pldt_1" xfId="267"/>
    <cellStyle name="Comma [0]_PLDT_1_dimon" xfId="268"/>
    <cellStyle name="Comma [0]_pldt_Calculations" xfId="269"/>
    <cellStyle name="Comma [0]_PLDT_dimon" xfId="270"/>
    <cellStyle name="Comma [0]_priccurv" xfId="271"/>
    <cellStyle name="Comma [0]_PROCDS&amp;G" xfId="272"/>
    <cellStyle name="Comma [0]_PROFILE4" xfId="273"/>
    <cellStyle name="Comma [0]_Projects" xfId="274"/>
    <cellStyle name="Comma [0]_Quarter End Months" xfId="275"/>
    <cellStyle name="Comma [0]_r1" xfId="276"/>
    <cellStyle name="Comma [0]_RFI" xfId="277"/>
    <cellStyle name="Comma [0]_RFI_1" xfId="278"/>
    <cellStyle name="Comma [0]_Sales Order" xfId="279"/>
    <cellStyle name="Comma [0]_San Francisco " xfId="280"/>
    <cellStyle name="Comma [0]_SATOCPX" xfId="281"/>
    <cellStyle name="Comma [0]_Sheet1" xfId="282"/>
    <cellStyle name="Comma [0]_Sheet1 (2)" xfId="283"/>
    <cellStyle name="Comma [0]_Sheet1_dimon" xfId="284"/>
    <cellStyle name="Comma [0]_SHENREPT" xfId="285"/>
    <cellStyle name="Comma [0]_Snr. CO" xfId="286"/>
    <cellStyle name="Comma [0]_sprint contr" xfId="287"/>
    <cellStyle name="Comma [0]_Subcont File" xfId="288"/>
    <cellStyle name="Comma [0]_Summary Info" xfId="289"/>
    <cellStyle name="Comma [0]_SUMPAGE" xfId="290"/>
    <cellStyle name="Comma [0]_TMSNW1" xfId="291"/>
    <cellStyle name="Comma [0]_TMSNW2" xfId="292"/>
    <cellStyle name="Comma [0]_TMSOCPX" xfId="293"/>
    <cellStyle name="Comma [0]_TOTAL MTH" xfId="294"/>
    <cellStyle name="Comma [0]_TOTAL YTD" xfId="295"/>
    <cellStyle name="Comma [0]_TRANSDSC.XLS" xfId="296"/>
    <cellStyle name="Comma [0]_TRANSFXA.XLS" xfId="297"/>
    <cellStyle name="Comma [0]_TRANSFXA.XLS_1" xfId="298"/>
    <cellStyle name="Comma [0]_TRANSIME.XLS" xfId="299"/>
    <cellStyle name="Comma [0]_TRANSIME.XLS_TRANSDSC.XLS" xfId="300"/>
    <cellStyle name="Comma [0]_TRANSIME.XLS_TRANSFXA.XLS" xfId="301"/>
    <cellStyle name="Comma [0]_VIRUS-EDY" xfId="302"/>
    <cellStyle name="Comma [0]_White" xfId="303"/>
    <cellStyle name="Comma [0]_WO Var. &amp; Tot. Exp." xfId="304"/>
    <cellStyle name="Comma [0]_WSP" xfId="305"/>
    <cellStyle name="Comma [0]_yrcao" xfId="306"/>
    <cellStyle name="Comma [0]_YREND55" xfId="307"/>
    <cellStyle name="Comma [0]_YREND57" xfId="308"/>
    <cellStyle name="Comma [0]_YTDCUR" xfId="309"/>
    <cellStyle name="Comma_12matrix" xfId="310"/>
    <cellStyle name="Comma_1995" xfId="311"/>
    <cellStyle name="Comma_1995_monci" xfId="312"/>
    <cellStyle name="Comma_1998 Plan" xfId="313"/>
    <cellStyle name="Comma_1998 Plan_laroux" xfId="314"/>
    <cellStyle name="Comma_353HHC" xfId="315"/>
    <cellStyle name="Comma_A" xfId="316"/>
    <cellStyle name="Comma_A_dimon" xfId="317"/>
    <cellStyle name="Comma_ACTUAL" xfId="318"/>
    <cellStyle name="Comma_ACTUAL NA -OBU" xfId="319"/>
    <cellStyle name="Comma_Actual vs." xfId="320"/>
    <cellStyle name="Comma_algasdefault" xfId="321"/>
    <cellStyle name="Comma_algasdefault_1" xfId="322"/>
    <cellStyle name="Comma_Alternative1" xfId="323"/>
    <cellStyle name="Comma_Alternative1_1" xfId="324"/>
    <cellStyle name="Comma_App E" xfId="325"/>
    <cellStyle name="Comma_Apr" xfId="326"/>
    <cellStyle name="Comma_Arapahoe" xfId="327"/>
    <cellStyle name="Comma_Assumptions" xfId="328"/>
    <cellStyle name="Comma_Atlanta" xfId="329"/>
    <cellStyle name="Comma_Atlanta (2)" xfId="330"/>
    <cellStyle name="Comma_bahiadefault" xfId="331"/>
    <cellStyle name="Comma_bahiadefault_1" xfId="332"/>
    <cellStyle name="Comma_Book3" xfId="333"/>
    <cellStyle name="Comma_BOP" xfId="334"/>
    <cellStyle name="Comma_BOPBAL1" xfId="335"/>
    <cellStyle name="Comma_BOPCBU" xfId="336"/>
    <cellStyle name="Comma_BOPCBU (2)" xfId="337"/>
    <cellStyle name="Comma_BOPCBU96" xfId="338"/>
    <cellStyle name="Comma_BSAPPE.XLS" xfId="339"/>
    <cellStyle name="Comma_C-Cap intensity" xfId="340"/>
    <cellStyle name="Comma_C-Capex%rev" xfId="341"/>
    <cellStyle name="Comma_C-Line per Staff" xfId="342"/>
    <cellStyle name="Comma_C-lines distribution" xfId="343"/>
    <cellStyle name="Comma_C-Orig PLDT lines" xfId="344"/>
    <cellStyle name="Comma_C-Ret on Rev" xfId="345"/>
    <cellStyle name="Comma_C-ROACE" xfId="346"/>
    <cellStyle name="Comma_Calculations" xfId="347"/>
    <cellStyle name="Comma_Calculations (2)" xfId="348"/>
    <cellStyle name="Comma_Calculations II" xfId="349"/>
    <cellStyle name="Comma_Calculations III" xfId="350"/>
    <cellStyle name="Comma_Calculations_1" xfId="351"/>
    <cellStyle name="Comma_Capex" xfId="352"/>
    <cellStyle name="Comma_Capex per line" xfId="353"/>
    <cellStyle name="Comma_Capex%rev" xfId="354"/>
    <cellStyle name="Comma_CAPEX94" xfId="355"/>
    <cellStyle name="Comma_CAPEX_dimon" xfId="356"/>
    <cellStyle name="Comma_CBU BOX CHART V PLAN" xfId="357"/>
    <cellStyle name="Comma_CCA" xfId="358"/>
    <cellStyle name="Comma_CCOCPX" xfId="359"/>
    <cellStyle name="Comma_CHANGES.XLS" xfId="360"/>
    <cellStyle name="Comma_Charts" xfId="361"/>
    <cellStyle name="Comma_Cht-Capex per line" xfId="362"/>
    <cellStyle name="Comma_Cht-Cum Real Opr Cf" xfId="363"/>
    <cellStyle name="Comma_Cht-Dep%Rev" xfId="364"/>
    <cellStyle name="Comma_Cht-Real Opr Cf" xfId="365"/>
    <cellStyle name="Comma_Cht-Rev dist" xfId="366"/>
    <cellStyle name="Comma_Cht-Rev p line" xfId="367"/>
    <cellStyle name="Comma_Cht-Rev per Staff" xfId="368"/>
    <cellStyle name="Comma_Cht-Staff cost%revenue" xfId="369"/>
    <cellStyle name="Comma_Comm File" xfId="370"/>
    <cellStyle name="Comma_coperdefault" xfId="371"/>
    <cellStyle name="Comma_coperdefault_1" xfId="372"/>
    <cellStyle name="Comma_Corp method" xfId="373"/>
    <cellStyle name="Comma_CROCF" xfId="374"/>
    <cellStyle name="Comma_CTCUR" xfId="375"/>
    <cellStyle name="Comma_Cum Real Opr Cf" xfId="376"/>
    <cellStyle name="Comma_CUMPLTCH" xfId="377"/>
    <cellStyle name="Comma_DEFAULT" xfId="378"/>
    <cellStyle name="Comma_Demand Fcst." xfId="379"/>
    <cellStyle name="Comma_Dep%Rev" xfId="380"/>
    <cellStyle name="Comma_dimon" xfId="381"/>
    <cellStyle name="Comma_Dowell C1b" xfId="382"/>
    <cellStyle name="Comma_Dowell-C1a" xfId="383"/>
    <cellStyle name="Comma_E&amp;ONW1" xfId="384"/>
    <cellStyle name="Comma_E&amp;ONW2" xfId="385"/>
    <cellStyle name="Comma_E&amp;OOCPX" xfId="386"/>
    <cellStyle name="Comma_emserdefault" xfId="387"/>
    <cellStyle name="Comma_emserdefault_1" xfId="388"/>
    <cellStyle name="Comma_EPL 304 CA BDE" xfId="389"/>
    <cellStyle name="Comma_EPS" xfId="390"/>
    <cellStyle name="Comma_F&amp;COCPX" xfId="391"/>
    <cellStyle name="Comma_FEBRUARY" xfId="392"/>
    <cellStyle name="Comma_FF" xfId="393"/>
    <cellStyle name="Comma_FP 20 A (1)" xfId="394"/>
    <cellStyle name="Comma_FP 20 A (2)" xfId="395"/>
    <cellStyle name="Comma_FP-20 (App. E)" xfId="396"/>
    <cellStyle name="Comma_FP-20 (App.A) " xfId="397"/>
    <cellStyle name="Comma_FP-20 (App.D)" xfId="398"/>
    <cellStyle name="Comma_FP-20(App.B)" xfId="399"/>
    <cellStyle name="Comma_FP-20(C1) (a)" xfId="400"/>
    <cellStyle name="Comma_FP-20(C1) (a) (2)" xfId="401"/>
    <cellStyle name="Comma_FP-20(C1) (b)" xfId="402"/>
    <cellStyle name="Comma_FP-20(C1) (b) " xfId="403"/>
    <cellStyle name="Comma_FP-20(C1) (b) (2)" xfId="404"/>
    <cellStyle name="Comma_FY97COB1." xfId="405"/>
    <cellStyle name="Comma_GCM" xfId="406"/>
    <cellStyle name="Comma_GenAssum" xfId="407"/>
    <cellStyle name="Comma_GP C1a" xfId="408"/>
    <cellStyle name="Comma_GP C1b" xfId="409"/>
    <cellStyle name="Comma_GP_EI_3" xfId="410"/>
    <cellStyle name="Comma_GQ C1A" xfId="411"/>
    <cellStyle name="Comma_GQ C1B" xfId="412"/>
    <cellStyle name="Comma_Inputs" xfId="413"/>
    <cellStyle name="Comma_IPM C1b" xfId="414"/>
    <cellStyle name="Comma_IPMC1a" xfId="415"/>
    <cellStyle name="Comma_IRR" xfId="416"/>
    <cellStyle name="Comma_IS-Hold" xfId="417"/>
    <cellStyle name="Comma_ITOCPX" xfId="418"/>
    <cellStyle name="Comma_jancf" xfId="419"/>
    <cellStyle name="Comma_JUNMTH55" xfId="420"/>
    <cellStyle name="Comma_JUNMTH57" xfId="421"/>
    <cellStyle name="Comma_JUNYTD55" xfId="422"/>
    <cellStyle name="Comma_JUNYTD57" xfId="423"/>
    <cellStyle name="Comma_laroux" xfId="424"/>
    <cellStyle name="Comma_laroux_1" xfId="425"/>
    <cellStyle name="Comma_laroux_1995" xfId="426"/>
    <cellStyle name="Comma_laroux_1995_monci" xfId="427"/>
    <cellStyle name="Comma_laroux_1_dimon" xfId="428"/>
    <cellStyle name="Comma_laroux_1_dimon_1" xfId="429"/>
    <cellStyle name="Comma_laroux_1_dimon_2" xfId="430"/>
    <cellStyle name="Comma_laroux_1_laroux" xfId="431"/>
    <cellStyle name="Comma_laroux_1_laroux_monci" xfId="432"/>
    <cellStyle name="Comma_laroux_1_pldt" xfId="433"/>
    <cellStyle name="Comma_laroux_1_pldt_1" xfId="434"/>
    <cellStyle name="Comma_laroux_1_PLDT_dimon" xfId="435"/>
    <cellStyle name="Comma_laroux_1_Sheet1 (2)" xfId="436"/>
    <cellStyle name="Comma_laroux_1_VERA" xfId="437"/>
    <cellStyle name="Comma_laroux_1_VERA_1" xfId="438"/>
    <cellStyle name="Comma_laroux_1_VIRUS-EDY" xfId="439"/>
    <cellStyle name="Comma_laroux_2" xfId="440"/>
    <cellStyle name="Comma_laroux_2_dimon" xfId="441"/>
    <cellStyle name="Comma_laroux_2_dimon_1" xfId="442"/>
    <cellStyle name="Comma_laroux_2_dimon_2" xfId="443"/>
    <cellStyle name="Comma_laroux_2_dimon_3" xfId="444"/>
    <cellStyle name="Comma_laroux_2_laroux" xfId="445"/>
    <cellStyle name="Comma_laroux_2_laroux_dimon" xfId="446"/>
    <cellStyle name="Comma_laroux_2_pldt" xfId="447"/>
    <cellStyle name="Comma_laroux_2_pldt_1" xfId="448"/>
    <cellStyle name="Comma_laroux_2_PLDT_dimon" xfId="449"/>
    <cellStyle name="Comma_laroux_2_Sheet1 (2)" xfId="450"/>
    <cellStyle name="Comma_laroux_2_VERA" xfId="451"/>
    <cellStyle name="Comma_laroux_2_VERA_1" xfId="452"/>
    <cellStyle name="Comma_laroux_3" xfId="453"/>
    <cellStyle name="Comma_laroux_3_dimon" xfId="454"/>
    <cellStyle name="Comma_laroux_3_dimon_1" xfId="455"/>
    <cellStyle name="Comma_laroux_3_dimon_2" xfId="456"/>
    <cellStyle name="Comma_laroux_dimon" xfId="457"/>
    <cellStyle name="Comma_laroux_dimon_1" xfId="458"/>
    <cellStyle name="Comma_laroux_EPL 304 CA BDE" xfId="459"/>
    <cellStyle name="Comma_laroux_laroux" xfId="460"/>
    <cellStyle name="Comma_laroux_laroux_1" xfId="461"/>
    <cellStyle name="Comma_laroux_laroux_1_monci" xfId="462"/>
    <cellStyle name="Comma_laroux_laroux_dimon" xfId="463"/>
    <cellStyle name="Comma_laroux_laroux_monci" xfId="464"/>
    <cellStyle name="Comma_laroux_monci" xfId="465"/>
    <cellStyle name="Comma_laroux_pldt" xfId="466"/>
    <cellStyle name="Comma_laroux_pldt_1" xfId="467"/>
    <cellStyle name="Comma_laroux_Sheet1 (2)" xfId="468"/>
    <cellStyle name="Comma_laroux_VERA" xfId="469"/>
    <cellStyle name="Comma_laroux_VERA_1" xfId="470"/>
    <cellStyle name="Comma_laroux_VIRUS-EDY" xfId="471"/>
    <cellStyle name="Comma_Line Inst." xfId="472"/>
    <cellStyle name="Comma_MATERAL2" xfId="473"/>
    <cellStyle name="Comma_MATERAL2_dimon" xfId="474"/>
    <cellStyle name="Comma_MATERAL2_dimon_1" xfId="475"/>
    <cellStyle name="Comma_MKGOCPX" xfId="476"/>
    <cellStyle name="Comma_Mkt Shr" xfId="477"/>
    <cellStyle name="Comma_MOBCPX" xfId="478"/>
    <cellStyle name="Comma_mud plant bolted" xfId="479"/>
    <cellStyle name="Comma_NA WITHOUT GOV'T &amp; PNX" xfId="480"/>
    <cellStyle name="Comma_NAOBU10" xfId="481"/>
    <cellStyle name="Comma_NAT ACCT" xfId="482"/>
    <cellStyle name="Comma_NCR-C&amp;W Val" xfId="483"/>
    <cellStyle name="Comma_NCR-Cap intensity" xfId="484"/>
    <cellStyle name="Comma_NCR-Line per Staff" xfId="485"/>
    <cellStyle name="Comma_NCR-Rev dist" xfId="486"/>
    <cellStyle name="Comma_NSACTUAL.XLS" xfId="487"/>
    <cellStyle name="Comma_NX00" xfId="488"/>
    <cellStyle name="Comma_Odner" xfId="489"/>
    <cellStyle name="Comma_Odner (2)" xfId="490"/>
    <cellStyle name="Comma_Odner (3)" xfId="491"/>
    <cellStyle name="Comma_Op Cost Break" xfId="492"/>
    <cellStyle name="Comma_OSMOCPX" xfId="493"/>
    <cellStyle name="Comma_Other Months" xfId="494"/>
    <cellStyle name="Comma_Outlook" xfId="495"/>
    <cellStyle name="Comma_pbdefault" xfId="496"/>
    <cellStyle name="Comma_pbdefault_1" xfId="497"/>
    <cellStyle name="Comma_percentages" xfId="498"/>
    <cellStyle name="Comma_PERSONAL" xfId="499"/>
    <cellStyle name="Comma_PGMKOCPX" xfId="500"/>
    <cellStyle name="Comma_PGNW1" xfId="501"/>
    <cellStyle name="Comma_PGNW2" xfId="502"/>
    <cellStyle name="Comma_PGNWOCPX" xfId="503"/>
    <cellStyle name="Comma_Pink" xfId="504"/>
    <cellStyle name="Comma_Plan" xfId="505"/>
    <cellStyle name="Comma_PLANT" xfId="506"/>
    <cellStyle name="Comma_pldt" xfId="507"/>
    <cellStyle name="Comma_pldt_1" xfId="508"/>
    <cellStyle name="Comma_PLDT_1_dimon" xfId="509"/>
    <cellStyle name="Comma_pldt_2" xfId="510"/>
    <cellStyle name="Comma_pldt_Calculations" xfId="511"/>
    <cellStyle name="Comma_PLDT_dimon" xfId="512"/>
    <cellStyle name="Comma_priccurv" xfId="513"/>
    <cellStyle name="Comma_PROCDS&amp;G" xfId="514"/>
    <cellStyle name="Comma_PROFILE4" xfId="515"/>
    <cellStyle name="Comma_Projects" xfId="516"/>
    <cellStyle name="Comma_Quarter End Months" xfId="517"/>
    <cellStyle name="Comma_r1" xfId="518"/>
    <cellStyle name="Comma_Real Opr Cf" xfId="519"/>
    <cellStyle name="Comma_Real Rev per Staff (1)" xfId="520"/>
    <cellStyle name="Comma_Real Rev per Staff (2)" xfId="521"/>
    <cellStyle name="Comma_Region 2-C&amp;W" xfId="522"/>
    <cellStyle name="Comma_Return on Rev" xfId="523"/>
    <cellStyle name="Comma_Rev p line" xfId="524"/>
    <cellStyle name="Comma_RFI" xfId="525"/>
    <cellStyle name="Comma_RFI_1" xfId="526"/>
    <cellStyle name="Comma_ROACE" xfId="527"/>
    <cellStyle name="Comma_ROCF (Tot)" xfId="528"/>
    <cellStyle name="Comma_Sales Order" xfId="529"/>
    <cellStyle name="Comma_San Francisco " xfId="530"/>
    <cellStyle name="Comma_SATOCPX" xfId="531"/>
    <cellStyle name="Comma_Sheet1" xfId="532"/>
    <cellStyle name="Comma_Sheet1 (2)" xfId="533"/>
    <cellStyle name="Comma_Sheet1_dimon" xfId="534"/>
    <cellStyle name="Comma_SHENREPT" xfId="535"/>
    <cellStyle name="Comma_Snr. CO" xfId="536"/>
    <cellStyle name="Comma_sprint contr" xfId="537"/>
    <cellStyle name="Comma_Staff cost%rev" xfId="538"/>
    <cellStyle name="Comma_Subcont File" xfId="539"/>
    <cellStyle name="Comma_Summary Info" xfId="540"/>
    <cellStyle name="Comma_SUMPAGE" xfId="541"/>
    <cellStyle name="Comma_TMSNW1" xfId="542"/>
    <cellStyle name="Comma_TMSNW2" xfId="543"/>
    <cellStyle name="Comma_TMSOCPX" xfId="544"/>
    <cellStyle name="Comma_TOTAL MTH" xfId="545"/>
    <cellStyle name="Comma_TOTAL YTD" xfId="546"/>
    <cellStyle name="Comma_Total-Rev dist." xfId="547"/>
    <cellStyle name="Comma_TRANSDSC.XLS" xfId="548"/>
    <cellStyle name="Comma_TRANSFXA.XLS" xfId="549"/>
    <cellStyle name="Comma_TRANSFXA.XLS_1" xfId="550"/>
    <cellStyle name="Comma_TRANSIME.XLS" xfId="551"/>
    <cellStyle name="Comma_TRANSIME.XLS_TRANSDSC.XLS" xfId="552"/>
    <cellStyle name="Comma_TRANSIME.XLS_TRANSFXA.XLS" xfId="553"/>
    <cellStyle name="Comma_VIRUS-EDY" xfId="554"/>
    <cellStyle name="Comma_White" xfId="555"/>
    <cellStyle name="Comma_WO Var. &amp; Tot. Exp." xfId="556"/>
    <cellStyle name="Comma_WSP" xfId="557"/>
    <cellStyle name="Comma_yrcao" xfId="558"/>
    <cellStyle name="Comma_YREND55" xfId="559"/>
    <cellStyle name="Comma_YREND57" xfId="560"/>
    <cellStyle name="Comma_YTDCUR" xfId="561"/>
    <cellStyle name="Currency [0]_12matrix" xfId="562"/>
    <cellStyle name="Currency [0]_1995" xfId="563"/>
    <cellStyle name="Currency [0]_1995_monci" xfId="564"/>
    <cellStyle name="Currency [0]_353HHC" xfId="565"/>
    <cellStyle name="Currency [0]_A" xfId="566"/>
    <cellStyle name="Currency [0]_A_dimon" xfId="567"/>
    <cellStyle name="Currency [0]_ACTUAL" xfId="568"/>
    <cellStyle name="Currency [0]_ACTUAL NA -OBU" xfId="569"/>
    <cellStyle name="Currency [0]_Actual vs." xfId="570"/>
    <cellStyle name="Currency [0]_algasdefault" xfId="571"/>
    <cellStyle name="Currency [0]_Alternative1" xfId="572"/>
    <cellStyle name="Currency [0]_Alternative1_1" xfId="573"/>
    <cellStyle name="Currency [0]_App E" xfId="574"/>
    <cellStyle name="Currency [0]_Apr" xfId="575"/>
    <cellStyle name="Currency [0]_Arapahoe" xfId="576"/>
    <cellStyle name="Currency [0]_Assumptions" xfId="577"/>
    <cellStyle name="Currency [0]_Atlanta" xfId="578"/>
    <cellStyle name="Currency [0]_Atlanta (2)" xfId="579"/>
    <cellStyle name="Currency [0]_bahiadefault" xfId="580"/>
    <cellStyle name="Currency [0]_Book3" xfId="581"/>
    <cellStyle name="Currency [0]_BOP" xfId="582"/>
    <cellStyle name="Currency [0]_BOPBAL1" xfId="583"/>
    <cellStyle name="Currency [0]_BOPCBU" xfId="584"/>
    <cellStyle name="Currency [0]_BOPCBU (2)" xfId="585"/>
    <cellStyle name="Currency [0]_BOPCBU96" xfId="586"/>
    <cellStyle name="Currency [0]_BSAPPE.XLS" xfId="587"/>
    <cellStyle name="Currency [0]_Calculations" xfId="588"/>
    <cellStyle name="Currency [0]_Calculations (2)" xfId="589"/>
    <cellStyle name="Currency [0]_Calculations II" xfId="590"/>
    <cellStyle name="Currency [0]_Calculations III" xfId="591"/>
    <cellStyle name="Currency [0]_Calculations_1" xfId="592"/>
    <cellStyle name="Currency [0]_CAPEX" xfId="593"/>
    <cellStyle name="Currency [0]_CAPEX94" xfId="594"/>
    <cellStyle name="Currency [0]_Cardig GHS" xfId="595"/>
    <cellStyle name="Currency [0]_Cash Flows" xfId="596"/>
    <cellStyle name="Currency [0]_CBU BOX CHART V PLAN" xfId="597"/>
    <cellStyle name="Currency [0]_CCA" xfId="598"/>
    <cellStyle name="Currency [0]_CCOCPX" xfId="599"/>
    <cellStyle name="Currency [0]_CHANGES.XLS" xfId="600"/>
    <cellStyle name="Currency [0]_Charts" xfId="601"/>
    <cellStyle name="Currency [0]_Comm File" xfId="602"/>
    <cellStyle name="Currency [0]_coperdefault" xfId="603"/>
    <cellStyle name="Currency [0]_Corp method" xfId="604"/>
    <cellStyle name="Currency [0]_Cost Code" xfId="605"/>
    <cellStyle name="Currency [0]_CTCUR" xfId="606"/>
    <cellStyle name="Currency [0]_CUMPLTCH" xfId="607"/>
    <cellStyle name="Currency [0]_DEFAULT" xfId="608"/>
    <cellStyle name="Currency [0]_dimon" xfId="609"/>
    <cellStyle name="Currency [0]_dimon_1" xfId="610"/>
    <cellStyle name="Currency [0]_dimon_2" xfId="611"/>
    <cellStyle name="Currency [0]_Dowell C1b" xfId="612"/>
    <cellStyle name="Currency [0]_Dowell-C1a" xfId="613"/>
    <cellStyle name="Currency [0]_E&amp;ONW1" xfId="614"/>
    <cellStyle name="Currency [0]_E&amp;ONW2" xfId="615"/>
    <cellStyle name="Currency [0]_E&amp;OOCPX" xfId="616"/>
    <cellStyle name="Currency [0]_emserdefault" xfId="617"/>
    <cellStyle name="Currency [0]_EPL 304 CA BDE" xfId="618"/>
    <cellStyle name="Currency [0]_F&amp;COCPX" xfId="619"/>
    <cellStyle name="Currency [0]_FEBRUARY" xfId="620"/>
    <cellStyle name="Currency [0]_FF" xfId="621"/>
    <cellStyle name="Currency [0]_FP 20 A (1)" xfId="622"/>
    <cellStyle name="Currency [0]_FP 20 A (2)" xfId="623"/>
    <cellStyle name="Currency [0]_FP-20 (App. E)" xfId="624"/>
    <cellStyle name="Currency [0]_FP-20 (App.A) " xfId="625"/>
    <cellStyle name="Currency [0]_FP-20 (App.D)" xfId="626"/>
    <cellStyle name="Currency [0]_FP-20(App.B)" xfId="627"/>
    <cellStyle name="Currency [0]_FP-20(C1) (a)" xfId="628"/>
    <cellStyle name="Currency [0]_FP-20(C1) (a) (2)" xfId="629"/>
    <cellStyle name="Currency [0]_FP-20(C1) (b)" xfId="630"/>
    <cellStyle name="Currency [0]_FP-20(C1) (b) " xfId="631"/>
    <cellStyle name="Currency [0]_FP-20(C1) (b) (2)" xfId="632"/>
    <cellStyle name="Currency [0]_FY97COB1." xfId="633"/>
    <cellStyle name="Currency [0]_GCM" xfId="634"/>
    <cellStyle name="Currency [0]_GenAssum" xfId="635"/>
    <cellStyle name="Currency [0]_GP C1a" xfId="636"/>
    <cellStyle name="Currency [0]_GP C1b" xfId="637"/>
    <cellStyle name="Currency [0]_GP_EI_3" xfId="638"/>
    <cellStyle name="Currency [0]_GQ C1A" xfId="639"/>
    <cellStyle name="Currency [0]_GQ C1B" xfId="640"/>
    <cellStyle name="Currency [0]_Inputs" xfId="641"/>
    <cellStyle name="Currency [0]_IPM C1b" xfId="642"/>
    <cellStyle name="Currency [0]_IPMC1a" xfId="643"/>
    <cellStyle name="Currency [0]_IS-Hold" xfId="644"/>
    <cellStyle name="Currency [0]_ITOCPX" xfId="645"/>
    <cellStyle name="Currency [0]_jancf" xfId="646"/>
    <cellStyle name="Currency [0]_JUNMTH55" xfId="647"/>
    <cellStyle name="Currency [0]_JUNMTH57" xfId="648"/>
    <cellStyle name="Currency [0]_JUNYTD55" xfId="649"/>
    <cellStyle name="Currency [0]_JUNYTD57" xfId="650"/>
    <cellStyle name="Currency [0]_laroux" xfId="651"/>
    <cellStyle name="Currency [0]_laroux_1" xfId="652"/>
    <cellStyle name="Currency [0]_laroux_1995" xfId="653"/>
    <cellStyle name="Currency [0]_laroux_1_dimon" xfId="654"/>
    <cellStyle name="Currency [0]_laroux_1_dimon_1" xfId="655"/>
    <cellStyle name="Currency [0]_laroux_1_dimon_2" xfId="656"/>
    <cellStyle name="Currency [0]_laroux_1_dimon_3" xfId="657"/>
    <cellStyle name="Currency [0]_laroux_1_dimon_4" xfId="658"/>
    <cellStyle name="Currency [0]_laroux_1_laroux" xfId="659"/>
    <cellStyle name="Currency [0]_laroux_1_laroux_1" xfId="660"/>
    <cellStyle name="Currency [0]_laroux_1_laroux_dimon" xfId="661"/>
    <cellStyle name="Currency [0]_laroux_1_laroux_monci" xfId="662"/>
    <cellStyle name="Currency [0]_laroux_1_Locas" xfId="663"/>
    <cellStyle name="Currency [0]_laroux_1_monci" xfId="664"/>
    <cellStyle name="Currency [0]_laroux_1_pldt" xfId="665"/>
    <cellStyle name="Currency [0]_laroux_1_PLDT_dimon" xfId="666"/>
    <cellStyle name="Currency [0]_laroux_1_Sheet1 (2)" xfId="667"/>
    <cellStyle name="Currency [0]_laroux_1_VERA" xfId="668"/>
    <cellStyle name="Currency [0]_laroux_1_VERA_1" xfId="669"/>
    <cellStyle name="Currency [0]_laroux_1_VIRUS-EDY" xfId="670"/>
    <cellStyle name="Currency [0]_laroux_2" xfId="671"/>
    <cellStyle name="Currency [0]_laroux_2_dimon" xfId="672"/>
    <cellStyle name="Currency [0]_laroux_2_dimon_1" xfId="673"/>
    <cellStyle name="Currency [0]_laroux_2_dimon_2" xfId="674"/>
    <cellStyle name="Currency [0]_laroux_2_dimon_3" xfId="675"/>
    <cellStyle name="Currency [0]_laroux_2_dimon_4" xfId="676"/>
    <cellStyle name="Currency [0]_laroux_2_laroux" xfId="677"/>
    <cellStyle name="Currency [0]_laroux_2_laroux_dimon" xfId="678"/>
    <cellStyle name="Currency [0]_laroux_2_Locas" xfId="679"/>
    <cellStyle name="Currency [0]_laroux_2_monci" xfId="680"/>
    <cellStyle name="Currency [0]_laroux_2_pldt" xfId="681"/>
    <cellStyle name="Currency [0]_laroux_2_PLDT_dimon" xfId="682"/>
    <cellStyle name="Currency [0]_laroux_2_Sheet1 (2)" xfId="683"/>
    <cellStyle name="Currency [0]_laroux_2_VIRUS-EDY" xfId="684"/>
    <cellStyle name="Currency [0]_laroux_3" xfId="685"/>
    <cellStyle name="Currency [0]_laroux_3_dimon" xfId="686"/>
    <cellStyle name="Currency [0]_laroux_3_dimon_1" xfId="687"/>
    <cellStyle name="Currency [0]_laroux_3_dimon_2" xfId="688"/>
    <cellStyle name="Currency [0]_laroux_3_dimon_3" xfId="689"/>
    <cellStyle name="Currency [0]_laroux_4" xfId="690"/>
    <cellStyle name="Currency [0]_laroux_4_dimon" xfId="691"/>
    <cellStyle name="Currency [0]_laroux_4_dimon_1" xfId="692"/>
    <cellStyle name="Currency [0]_laroux_5" xfId="693"/>
    <cellStyle name="Currency [0]_laroux_6" xfId="694"/>
    <cellStyle name="Currency [0]_laroux_7" xfId="695"/>
    <cellStyle name="Currency [0]_laroux_dimon" xfId="696"/>
    <cellStyle name="Currency [0]_laroux_dimon_1" xfId="697"/>
    <cellStyle name="Currency [0]_laroux_dimon_2" xfId="698"/>
    <cellStyle name="Currency [0]_laroux_dimon_3" xfId="699"/>
    <cellStyle name="Currency [0]_laroux_EPL 304 CA BDE" xfId="700"/>
    <cellStyle name="Currency [0]_laroux_laroux" xfId="701"/>
    <cellStyle name="Currency [0]_laroux_laroux_1" xfId="702"/>
    <cellStyle name="Currency [0]_laroux_laroux_1_dimon" xfId="703"/>
    <cellStyle name="Currency [0]_laroux_laroux_1_monci" xfId="704"/>
    <cellStyle name="Currency [0]_laroux_laroux_dimon" xfId="705"/>
    <cellStyle name="Currency [0]_laroux_laroux_monci" xfId="706"/>
    <cellStyle name="Currency [0]_laroux_Locas" xfId="707"/>
    <cellStyle name="Currency [0]_laroux_MATERAL2" xfId="708"/>
    <cellStyle name="Currency [0]_laroux_MATERAL2_dimon" xfId="709"/>
    <cellStyle name="Currency [0]_laroux_MATERAL2_dimon_1" xfId="710"/>
    <cellStyle name="Currency [0]_laroux_MATERAL2_laroux" xfId="711"/>
    <cellStyle name="Currency [0]_laroux_MATERAL2_laroux_dimon" xfId="712"/>
    <cellStyle name="Currency [0]_laroux_MATERAL2_monci" xfId="713"/>
    <cellStyle name="Currency [0]_laroux_MATERAL2_pldt" xfId="714"/>
    <cellStyle name="Currency [0]_laroux_MATERAL2_VERA" xfId="715"/>
    <cellStyle name="Currency [0]_laroux_MATERAL2_VIRUS-EDY" xfId="716"/>
    <cellStyle name="Currency [0]_laroux_monci" xfId="717"/>
    <cellStyle name="Currency [0]_laroux_mud plant bolted" xfId="718"/>
    <cellStyle name="Currency [0]_laroux_mud plant bolted_dimon" xfId="719"/>
    <cellStyle name="Currency [0]_laroux_mud plant bolted_dimon_1" xfId="720"/>
    <cellStyle name="Currency [0]_laroux_pldt" xfId="721"/>
    <cellStyle name="Currency [0]_laroux_pldt_1" xfId="722"/>
    <cellStyle name="Currency [0]_laroux_Sheet1 (2)" xfId="723"/>
    <cellStyle name="Currency [0]_laroux_VERA" xfId="724"/>
    <cellStyle name="Currency [0]_laroux_VERA_1" xfId="725"/>
    <cellStyle name="Currency [0]_laroux_VIRUS-EDY" xfId="726"/>
    <cellStyle name="Currency [0]_List" xfId="727"/>
    <cellStyle name="Currency [0]_MATERAL2" xfId="728"/>
    <cellStyle name="Currency [0]_MATERAL2_dimon" xfId="729"/>
    <cellStyle name="Currency [0]_MATERAL2_dimon_1" xfId="730"/>
    <cellStyle name="Currency [0]_MKGOCPX" xfId="731"/>
    <cellStyle name="Currency [0]_MOBCPX" xfId="732"/>
    <cellStyle name="Currency [0]_mud plant bolted" xfId="733"/>
    <cellStyle name="Currency [0]_mud plant bolted_dimon" xfId="734"/>
    <cellStyle name="Currency [0]_mud plant bolted_dimon_1" xfId="735"/>
    <cellStyle name="Currency [0]_mud plant bolted_laroux" xfId="736"/>
    <cellStyle name="Currency [0]_mud plant bolted_laroux_dimon" xfId="737"/>
    <cellStyle name="Currency [0]_mud plant bolted_monci" xfId="738"/>
    <cellStyle name="Currency [0]_mud plant bolted_pldt" xfId="739"/>
    <cellStyle name="Currency [0]_mud plant bolted_VERA" xfId="740"/>
    <cellStyle name="Currency [0]_mud plant bolted_VIRUS-EDY" xfId="741"/>
    <cellStyle name="Currency [0]_NA WITHOUT GOV'T &amp; PNX" xfId="742"/>
    <cellStyle name="Currency [0]_NAOBU10" xfId="743"/>
    <cellStyle name="Currency [0]_NAT ACCT" xfId="744"/>
    <cellStyle name="Currency [0]_NSACTUAL.XLS" xfId="745"/>
    <cellStyle name="Currency [0]_NX00" xfId="746"/>
    <cellStyle name="Currency [0]_Odner" xfId="747"/>
    <cellStyle name="Currency [0]_Odner (2)" xfId="748"/>
    <cellStyle name="Currency [0]_Odner (3)" xfId="749"/>
    <cellStyle name="Currency [0]_OSMOCPX" xfId="750"/>
    <cellStyle name="Currency [0]_Other Months" xfId="751"/>
    <cellStyle name="Currency [0]_Outlook" xfId="752"/>
    <cellStyle name="Currency [0]_pbdefault" xfId="753"/>
    <cellStyle name="Currency [0]_percentages" xfId="754"/>
    <cellStyle name="Currency [0]_PERSONAL" xfId="755"/>
    <cellStyle name="Currency [0]_PGMKOCPX" xfId="756"/>
    <cellStyle name="Currency [0]_PGNW1" xfId="757"/>
    <cellStyle name="Currency [0]_PGNW2" xfId="758"/>
    <cellStyle name="Currency [0]_PGNWOCPX" xfId="759"/>
    <cellStyle name="Currency [0]_Pink" xfId="760"/>
    <cellStyle name="Currency [0]_Plan" xfId="761"/>
    <cellStyle name="Currency [0]_PLANT" xfId="762"/>
    <cellStyle name="Currency [0]_pldt" xfId="763"/>
    <cellStyle name="Currency [0]_pldt_1" xfId="764"/>
    <cellStyle name="Currency [0]_pldt_1_dimon" xfId="765"/>
    <cellStyle name="Currency [0]_PLDT_1_dimon_1" xfId="766"/>
    <cellStyle name="Currency [0]_pldt_1_dimon_2" xfId="767"/>
    <cellStyle name="Currency [0]_pldt_2" xfId="768"/>
    <cellStyle name="Currency [0]_pldt_Calculations" xfId="769"/>
    <cellStyle name="Currency [0]_PLDT_dimon" xfId="770"/>
    <cellStyle name="Currency [0]_PLDT_dimon_1" xfId="771"/>
    <cellStyle name="Currency [0]_pldt_dimon_2" xfId="772"/>
    <cellStyle name="Currency [0]_priccurv" xfId="773"/>
    <cellStyle name="Currency [0]_PROCDS&amp;G" xfId="774"/>
    <cellStyle name="Currency [0]_PROFILE4" xfId="775"/>
    <cellStyle name="Currency [0]_Projects" xfId="776"/>
    <cellStyle name="Currency [0]_Quarter End Months" xfId="777"/>
    <cellStyle name="Currency [0]_r1" xfId="778"/>
    <cellStyle name="Currency [0]_RFI" xfId="779"/>
    <cellStyle name="Currency [0]_RFI_1" xfId="780"/>
    <cellStyle name="Currency [0]_Sales Order" xfId="781"/>
    <cellStyle name="Currency [0]_San Francisco " xfId="782"/>
    <cellStyle name="Currency [0]_SATOCPX" xfId="783"/>
    <cellStyle name="Currency [0]_Sheet1" xfId="784"/>
    <cellStyle name="Currency [0]_Sheet1 (2)" xfId="785"/>
    <cellStyle name="Currency [0]_Sheet1 (2)_monci" xfId="786"/>
    <cellStyle name="Currency [0]_Sheet1_dimon" xfId="787"/>
    <cellStyle name="Currency [0]_SHENREPT" xfId="788"/>
    <cellStyle name="Currency [0]_SHENREPT_monci" xfId="789"/>
    <cellStyle name="Currency [0]_Snr. CO" xfId="790"/>
    <cellStyle name="Currency [0]_sprint contr" xfId="791"/>
    <cellStyle name="Currency [0]_Subcont File" xfId="792"/>
    <cellStyle name="Currency [0]_Summary Info" xfId="793"/>
    <cellStyle name="Currency [0]_SUMPAGE" xfId="794"/>
    <cellStyle name="Currency [0]_TMSNW1" xfId="795"/>
    <cellStyle name="Currency [0]_TMSNW2" xfId="796"/>
    <cellStyle name="Currency [0]_TMSOCPX" xfId="797"/>
    <cellStyle name="Currency [0]_TOTAL MTH" xfId="798"/>
    <cellStyle name="Currency [0]_TOTAL YTD" xfId="799"/>
    <cellStyle name="Currency [0]_TRANSDSC.XLS" xfId="800"/>
    <cellStyle name="Currency [0]_TRANSFXA.XLS" xfId="801"/>
    <cellStyle name="Currency [0]_TRANSFXA.XLS_1" xfId="802"/>
    <cellStyle name="Currency [0]_TRANSIME.XLS" xfId="803"/>
    <cellStyle name="Currency [0]_TRANSIME.XLS_TRANSDSC.XLS" xfId="804"/>
    <cellStyle name="Currency [0]_TRANSIME.XLS_TRANSFXA.XLS" xfId="805"/>
    <cellStyle name="Currency [0]_VERA" xfId="806"/>
    <cellStyle name="Currency [0]_VIRUS-EDY" xfId="807"/>
    <cellStyle name="Currency [0]_VIRUS-EDY_1" xfId="808"/>
    <cellStyle name="Currency [0]_White" xfId="809"/>
    <cellStyle name="Currency [0]_WO Var. &amp; Tot. Exp." xfId="810"/>
    <cellStyle name="Currency [0]_WSP" xfId="811"/>
    <cellStyle name="Currency [0]_yrcao" xfId="812"/>
    <cellStyle name="Currency [0]_YREND55" xfId="813"/>
    <cellStyle name="Currency [0]_YREND57" xfId="814"/>
    <cellStyle name="Currency [0]_YTDCUR" xfId="815"/>
    <cellStyle name="Currency_12matrix" xfId="816"/>
    <cellStyle name="Currency_1995" xfId="817"/>
    <cellStyle name="Currency_1995_monci" xfId="818"/>
    <cellStyle name="Currency_353HHC" xfId="819"/>
    <cellStyle name="Currency_A" xfId="820"/>
    <cellStyle name="Currency_A_dimon" xfId="821"/>
    <cellStyle name="Currency_ACTUAL" xfId="822"/>
    <cellStyle name="Currency_ACTUAL NA -OBU" xfId="823"/>
    <cellStyle name="Currency_Actual vs." xfId="824"/>
    <cellStyle name="Currency_algasdefault" xfId="825"/>
    <cellStyle name="Currency_algasdefault_1" xfId="826"/>
    <cellStyle name="Currency_Alternative1" xfId="827"/>
    <cellStyle name="Currency_Alternative1_1" xfId="828"/>
    <cellStyle name="Currency_App E" xfId="829"/>
    <cellStyle name="Currency_Apr" xfId="830"/>
    <cellStyle name="Currency_Arapahoe" xfId="831"/>
    <cellStyle name="Currency_Assumptions" xfId="832"/>
    <cellStyle name="Currency_Atlanta" xfId="833"/>
    <cellStyle name="Currency_Atlanta (2)" xfId="834"/>
    <cellStyle name="Currency_bahiadefault" xfId="835"/>
    <cellStyle name="Currency_bahiadefault_1" xfId="836"/>
    <cellStyle name="Currency_BIGOUT" xfId="837"/>
    <cellStyle name="Currency_Book3" xfId="838"/>
    <cellStyle name="Currency_BOP" xfId="839"/>
    <cellStyle name="Currency_BOPBAL1" xfId="840"/>
    <cellStyle name="Currency_BOPCBU" xfId="841"/>
    <cellStyle name="Currency_BOPCBU (2)" xfId="842"/>
    <cellStyle name="Currency_BOPCBU96" xfId="843"/>
    <cellStyle name="Currency_BSAPPE.XLS" xfId="844"/>
    <cellStyle name="Currency_Calculations" xfId="845"/>
    <cellStyle name="Currency_Calculations (2)" xfId="846"/>
    <cellStyle name="Currency_Calculations II" xfId="847"/>
    <cellStyle name="Currency_Calculations III" xfId="848"/>
    <cellStyle name="Currency_Calculations_1" xfId="849"/>
    <cellStyle name="Currency_CAPEX" xfId="850"/>
    <cellStyle name="Currency_CAPEX94" xfId="851"/>
    <cellStyle name="Currency_Cardig GHS" xfId="852"/>
    <cellStyle name="Currency_Cash Flows" xfId="853"/>
    <cellStyle name="Currency_CBU BOX CHART V PLAN" xfId="854"/>
    <cellStyle name="Currency_CCA" xfId="855"/>
    <cellStyle name="Currency_CCOCPX" xfId="856"/>
    <cellStyle name="Currency_CHANGES.XLS" xfId="857"/>
    <cellStyle name="Currency_Charts" xfId="858"/>
    <cellStyle name="Currency_Comm File" xfId="859"/>
    <cellStyle name="Currency_coperdefault" xfId="860"/>
    <cellStyle name="Currency_coperdefault_1" xfId="861"/>
    <cellStyle name="Currency_Corp method" xfId="862"/>
    <cellStyle name="Currency_Cost Code" xfId="863"/>
    <cellStyle name="Currency_CTCUR" xfId="864"/>
    <cellStyle name="Currency_CUMPLTCH" xfId="865"/>
    <cellStyle name="Currency_DEFAULT" xfId="866"/>
    <cellStyle name="Currency_dimon" xfId="867"/>
    <cellStyle name="Currency_dimon_1" xfId="868"/>
    <cellStyle name="Currency_dimon_2" xfId="869"/>
    <cellStyle name="Currency_Dowell C1b" xfId="870"/>
    <cellStyle name="Currency_Dowell-C1a" xfId="871"/>
    <cellStyle name="Currency_E&amp;ONW1" xfId="872"/>
    <cellStyle name="Currency_E&amp;ONW2" xfId="873"/>
    <cellStyle name="Currency_E&amp;OOCPX" xfId="874"/>
    <cellStyle name="Currency_emserdefault" xfId="875"/>
    <cellStyle name="Currency_emserdefault_1" xfId="876"/>
    <cellStyle name="Currency_EPL 304 CA BDE" xfId="877"/>
    <cellStyle name="Currency_F&amp;COCPX" xfId="878"/>
    <cellStyle name="Currency_FEBRUARY" xfId="879"/>
    <cellStyle name="Currency_FF" xfId="880"/>
    <cellStyle name="Currency_FP 20 A (1)" xfId="881"/>
    <cellStyle name="Currency_FP 20 A (2)" xfId="882"/>
    <cellStyle name="Currency_FP-20 (App. E)" xfId="883"/>
    <cellStyle name="Currency_FP-20 (App.A) " xfId="884"/>
    <cellStyle name="Currency_FP-20 (App.D)" xfId="885"/>
    <cellStyle name="Currency_FP-20(App.B)" xfId="886"/>
    <cellStyle name="Currency_FP-20(C1) (a)" xfId="887"/>
    <cellStyle name="Currency_FP-20(C1) (a) (2)" xfId="888"/>
    <cellStyle name="Currency_FP-20(C1) (b)" xfId="889"/>
    <cellStyle name="Currency_FP-20(C1) (b) " xfId="890"/>
    <cellStyle name="Currency_FP-20(C1) (b) (2)" xfId="891"/>
    <cellStyle name="Currency_FY97COB1." xfId="892"/>
    <cellStyle name="Currency_GCM" xfId="893"/>
    <cellStyle name="Currency_GenAssum" xfId="894"/>
    <cellStyle name="Currency_GP C1a" xfId="895"/>
    <cellStyle name="Currency_GP C1b" xfId="896"/>
    <cellStyle name="Currency_GP_EI_3" xfId="897"/>
    <cellStyle name="Currency_GQ C1A" xfId="898"/>
    <cellStyle name="Currency_GQ C1B" xfId="899"/>
    <cellStyle name="Currency_Inputs" xfId="900"/>
    <cellStyle name="Currency_IPM C1b" xfId="901"/>
    <cellStyle name="Currency_IPMC1a" xfId="902"/>
    <cellStyle name="Currency_IS-Hold" xfId="903"/>
    <cellStyle name="Currency_ITOCPX" xfId="904"/>
    <cellStyle name="Currency_jancf" xfId="905"/>
    <cellStyle name="Currency_JUNMTH55" xfId="906"/>
    <cellStyle name="Currency_JUNMTH57" xfId="907"/>
    <cellStyle name="Currency_JUNYTD55" xfId="908"/>
    <cellStyle name="Currency_JUNYTD57" xfId="909"/>
    <cellStyle name="Currency_laroux" xfId="910"/>
    <cellStyle name="Currency_laroux_1" xfId="911"/>
    <cellStyle name="Currency_laroux_1995" xfId="912"/>
    <cellStyle name="Currency_laroux_1_dimon" xfId="913"/>
    <cellStyle name="Currency_laroux_1_dimon_1" xfId="914"/>
    <cellStyle name="Currency_laroux_1_dimon_2" xfId="915"/>
    <cellStyle name="Currency_laroux_1_dimon_3" xfId="916"/>
    <cellStyle name="Currency_laroux_1_dimon_4" xfId="917"/>
    <cellStyle name="Currency_laroux_1_laroux" xfId="918"/>
    <cellStyle name="Currency_laroux_1_laroux_1" xfId="919"/>
    <cellStyle name="Currency_laroux_1_laroux_dimon" xfId="920"/>
    <cellStyle name="Currency_laroux_1_laroux_monci" xfId="921"/>
    <cellStyle name="Currency_laroux_1_Locas" xfId="922"/>
    <cellStyle name="Currency_laroux_1_monci" xfId="923"/>
    <cellStyle name="Currency_laroux_1_pldt" xfId="924"/>
    <cellStyle name="Currency_laroux_1_PLDT_dimon" xfId="925"/>
    <cellStyle name="Currency_laroux_1_Sheet1 (2)" xfId="926"/>
    <cellStyle name="Currency_laroux_1_VERA" xfId="927"/>
    <cellStyle name="Currency_laroux_1_VERA_1" xfId="928"/>
    <cellStyle name="Currency_laroux_1_VIRUS-EDY" xfId="929"/>
    <cellStyle name="Currency_laroux_2" xfId="930"/>
    <cellStyle name="Currency_laroux_2_dimon" xfId="931"/>
    <cellStyle name="Currency_laroux_2_dimon_1" xfId="932"/>
    <cellStyle name="Currency_laroux_2_dimon_2" xfId="933"/>
    <cellStyle name="Currency_laroux_2_dimon_3" xfId="934"/>
    <cellStyle name="Currency_laroux_2_dimon_4" xfId="935"/>
    <cellStyle name="Currency_laroux_2_laroux" xfId="936"/>
    <cellStyle name="Currency_laroux_2_laroux_dimon" xfId="937"/>
    <cellStyle name="Currency_laroux_2_Locas" xfId="938"/>
    <cellStyle name="Currency_laroux_2_monci" xfId="939"/>
    <cellStyle name="Currency_laroux_2_pldt" xfId="940"/>
    <cellStyle name="Currency_laroux_2_PLDT_dimon" xfId="941"/>
    <cellStyle name="Currency_laroux_2_Sheet1 (2)" xfId="942"/>
    <cellStyle name="Currency_laroux_2_VIRUS-EDY" xfId="943"/>
    <cellStyle name="Currency_laroux_3" xfId="944"/>
    <cellStyle name="Currency_laroux_3_dimon" xfId="945"/>
    <cellStyle name="Currency_laroux_3_dimon_1" xfId="946"/>
    <cellStyle name="Currency_laroux_3_dimon_2" xfId="947"/>
    <cellStyle name="Currency_laroux_3_dimon_3" xfId="948"/>
    <cellStyle name="Currency_laroux_4" xfId="949"/>
    <cellStyle name="Currency_laroux_4_dimon" xfId="950"/>
    <cellStyle name="Currency_laroux_4_dimon_1" xfId="951"/>
    <cellStyle name="Currency_laroux_5" xfId="952"/>
    <cellStyle name="Currency_laroux_6" xfId="953"/>
    <cellStyle name="Currency_laroux_7" xfId="954"/>
    <cellStyle name="Currency_laroux_8" xfId="955"/>
    <cellStyle name="Currency_laroux_dimon" xfId="956"/>
    <cellStyle name="Currency_laroux_dimon_1" xfId="957"/>
    <cellStyle name="Currency_laroux_dimon_2" xfId="958"/>
    <cellStyle name="Currency_laroux_dimon_3" xfId="959"/>
    <cellStyle name="Currency_laroux_EPL 304 CA BDE" xfId="960"/>
    <cellStyle name="Currency_laroux_laroux" xfId="961"/>
    <cellStyle name="Currency_laroux_laroux_1" xfId="962"/>
    <cellStyle name="Currency_laroux_laroux_1_dimon" xfId="963"/>
    <cellStyle name="Currency_laroux_laroux_1_monci" xfId="964"/>
    <cellStyle name="Currency_laroux_laroux_dimon" xfId="965"/>
    <cellStyle name="Currency_laroux_laroux_monci" xfId="966"/>
    <cellStyle name="Currency_laroux_Locas" xfId="967"/>
    <cellStyle name="Currency_laroux_monci" xfId="968"/>
    <cellStyle name="Currency_laroux_pldt" xfId="969"/>
    <cellStyle name="Currency_laroux_pldt_1" xfId="970"/>
    <cellStyle name="Currency_laroux_Sheet1 (2)" xfId="971"/>
    <cellStyle name="Currency_laroux_VERA" xfId="972"/>
    <cellStyle name="Currency_laroux_VERA_1" xfId="973"/>
    <cellStyle name="Currency_laroux_VIRUS-EDY" xfId="974"/>
    <cellStyle name="Currency_List" xfId="975"/>
    <cellStyle name="Currency_MATERAL2" xfId="976"/>
    <cellStyle name="Currency_MATERAL2_dimon" xfId="977"/>
    <cellStyle name="Currency_MATERAL2_dimon_1" xfId="978"/>
    <cellStyle name="Currency_MKGOCPX" xfId="979"/>
    <cellStyle name="Currency_MOBCPX" xfId="980"/>
    <cellStyle name="Currency_mud plant bolted" xfId="981"/>
    <cellStyle name="Currency_mud plant bolted_dimon" xfId="982"/>
    <cellStyle name="Currency_mud plant bolted_dimon_1" xfId="983"/>
    <cellStyle name="Currency_mud plant bolted_PLDT" xfId="984"/>
    <cellStyle name="Currency_mud plant bolted_VERA" xfId="985"/>
    <cellStyle name="Currency_mud plant bolted_VERA_1" xfId="986"/>
    <cellStyle name="Currency_NA WITHOUT GOV'T &amp; PNX" xfId="987"/>
    <cellStyle name="Currency_NAOBU10" xfId="988"/>
    <cellStyle name="Currency_NAT ACCT" xfId="989"/>
    <cellStyle name="Currency_NSACTUAL.XLS" xfId="990"/>
    <cellStyle name="Currency_NX00" xfId="991"/>
    <cellStyle name="Currency_Odner" xfId="992"/>
    <cellStyle name="Currency_Odner (2)" xfId="993"/>
    <cellStyle name="Currency_Odner (3)" xfId="994"/>
    <cellStyle name="Currency_OSMOCPX" xfId="995"/>
    <cellStyle name="Currency_Other Months" xfId="996"/>
    <cellStyle name="Currency_Outlook" xfId="997"/>
    <cellStyle name="Currency_pbdefault" xfId="998"/>
    <cellStyle name="Currency_pbdefault_1" xfId="999"/>
    <cellStyle name="Currency_percentages" xfId="1000"/>
    <cellStyle name="Currency_PERSONAL" xfId="1001"/>
    <cellStyle name="Currency_PGMKOCPX" xfId="1002"/>
    <cellStyle name="Currency_PGNW1" xfId="1003"/>
    <cellStyle name="Currency_PGNW2" xfId="1004"/>
    <cellStyle name="Currency_PGNWOCPX" xfId="1005"/>
    <cellStyle name="Currency_Pink" xfId="1006"/>
    <cellStyle name="Currency_Plan" xfId="1007"/>
    <cellStyle name="Currency_PLANT" xfId="1008"/>
    <cellStyle name="Currency_pldt" xfId="1009"/>
    <cellStyle name="Currency_pldt_1" xfId="1010"/>
    <cellStyle name="Currency_pldt_1_dimon" xfId="1011"/>
    <cellStyle name="Currency_PLDT_1_dimon_1" xfId="1012"/>
    <cellStyle name="Currency_pldt_1_dimon_2" xfId="1013"/>
    <cellStyle name="Currency_pldt_2" xfId="1014"/>
    <cellStyle name="Currency_pldt_Calculations" xfId="1015"/>
    <cellStyle name="Currency_PLDT_dimon" xfId="1016"/>
    <cellStyle name="Currency_PLDT_dimon_1" xfId="1017"/>
    <cellStyle name="Currency_pldt_dimon_2" xfId="1018"/>
    <cellStyle name="Currency_priccurv" xfId="1019"/>
    <cellStyle name="Currency_PROCDS&amp;G" xfId="1020"/>
    <cellStyle name="Currency_PROFILE4" xfId="1021"/>
    <cellStyle name="Currency_Projects" xfId="1022"/>
    <cellStyle name="Currency_Quarter End Months" xfId="1023"/>
    <cellStyle name="Currency_r1" xfId="1024"/>
    <cellStyle name="Currency_RFI" xfId="1025"/>
    <cellStyle name="Currency_RFI_1" xfId="1026"/>
    <cellStyle name="Currency_Sales Order" xfId="1027"/>
    <cellStyle name="Currency_San Francisco " xfId="1028"/>
    <cellStyle name="Currency_SATOCPX" xfId="1029"/>
    <cellStyle name="Currency_Sheet1" xfId="1030"/>
    <cellStyle name="Currency_Sheet1 (2)" xfId="1031"/>
    <cellStyle name="Currency_Sheet1 (2)_monci" xfId="1032"/>
    <cellStyle name="Currency_Sheet1_dimon" xfId="1033"/>
    <cellStyle name="Currency_SHENREPT" xfId="1034"/>
    <cellStyle name="Currency_SHENREPT_monci" xfId="1035"/>
    <cellStyle name="Currency_Snr. CO" xfId="1036"/>
    <cellStyle name="Currency_sprint contr" xfId="1037"/>
    <cellStyle name="Currency_Subcont File" xfId="1038"/>
    <cellStyle name="Currency_Summary Info" xfId="1039"/>
    <cellStyle name="Currency_SUMPAGE" xfId="1040"/>
    <cellStyle name="Currency_TMSNW1" xfId="1041"/>
    <cellStyle name="Currency_TMSNW2" xfId="1042"/>
    <cellStyle name="Currency_TMSOCPX" xfId="1043"/>
    <cellStyle name="Currency_TOTAL MTH" xfId="1044"/>
    <cellStyle name="Currency_TOTAL YTD" xfId="1045"/>
    <cellStyle name="Currency_TRANSDSC.XLS" xfId="1046"/>
    <cellStyle name="Currency_TRANSFXA.XLS" xfId="1047"/>
    <cellStyle name="Currency_TRANSFXA.XLS_1" xfId="1048"/>
    <cellStyle name="Currency_TRANSIME.XLS" xfId="1049"/>
    <cellStyle name="Currency_TRANSIME.XLS_TRANSDSC.XLS" xfId="1050"/>
    <cellStyle name="Currency_TRANSIME.XLS_TRANSFXA.XLS" xfId="1051"/>
    <cellStyle name="Currency_VERA" xfId="1052"/>
    <cellStyle name="Currency_VIRUS-EDY" xfId="1053"/>
    <cellStyle name="Currency_VIRUS-EDY_1" xfId="1054"/>
    <cellStyle name="Currency_White" xfId="1055"/>
    <cellStyle name="Currency_WO Var. &amp; Tot. Exp." xfId="1056"/>
    <cellStyle name="Currency_WSP" xfId="1057"/>
    <cellStyle name="Currency_yrcao" xfId="1058"/>
    <cellStyle name="Currency_YREND55" xfId="1059"/>
    <cellStyle name="Currency_YREND57" xfId="1060"/>
    <cellStyle name="Currency_YTDCUR" xfId="1061"/>
    <cellStyle name="Date" xfId="1062"/>
    <cellStyle name="Fixed" xfId="1063"/>
    <cellStyle name="Grey" xfId="1064"/>
    <cellStyle name="HEADER" xfId="1065"/>
    <cellStyle name="Heading 1" xfId="1066"/>
    <cellStyle name="Heading2" xfId="1067"/>
    <cellStyle name="HIGHLIGHT" xfId="1068"/>
    <cellStyle name="Input [yellow]" xfId="1069"/>
    <cellStyle name="no dec" xfId="1070"/>
    <cellStyle name="Normal - Style1" xfId="1071"/>
    <cellStyle name="Normal - Style1_dimon" xfId="1072"/>
    <cellStyle name="Normal_&quot;CANCEL&quot; Volume Detail " xfId="1073"/>
    <cellStyle name="Normal_&quot;CANCEL&quot; Volume Detail _1" xfId="1074"/>
    <cellStyle name="Normal_12matrix" xfId="1075"/>
    <cellStyle name="Normal_1998 Plan" xfId="1076"/>
    <cellStyle name="Normal_1998 Plan_1" xfId="1077"/>
    <cellStyle name="Normal_1998 Plan_2" xfId="1078"/>
    <cellStyle name="Normal_1998 Plan_3" xfId="1079"/>
    <cellStyle name="Normal_1998 Plan_laroux" xfId="1080"/>
    <cellStyle name="Normal_20196" xfId="1081"/>
    <cellStyle name="Normal_321st" xfId="1082"/>
    <cellStyle name="Normal_353HHC" xfId="1083"/>
    <cellStyle name="Normal_4018fin" xfId="1084"/>
    <cellStyle name="Normal_4021fin" xfId="1085"/>
    <cellStyle name="Normal_95CHART" xfId="1086"/>
    <cellStyle name="Normal_A" xfId="1087"/>
    <cellStyle name="Normal_A (2)" xfId="1088"/>
    <cellStyle name="Normal_A_dimon" xfId="1089"/>
    <cellStyle name="Normal_A_VERA" xfId="1090"/>
    <cellStyle name="Normal_ACTUAL" xfId="1091"/>
    <cellStyle name="Normal_ACTUAL NA -OBU" xfId="1092"/>
    <cellStyle name="Normal_Actual vs." xfId="1093"/>
    <cellStyle name="Normal_ACTUAL_1" xfId="1094"/>
    <cellStyle name="Normal_ACTUAL_NA WITHOUT GOV'T &amp; PNX" xfId="1095"/>
    <cellStyle name="Normal_algasdefault" xfId="1096"/>
    <cellStyle name="Normal_algasdefault_1" xfId="1097"/>
    <cellStyle name="Normal_Alternative1" xfId="1098"/>
    <cellStyle name="Normal_Alternative1_1" xfId="1099"/>
    <cellStyle name="Normal_AOPS" xfId="1100"/>
    <cellStyle name="Normal_App E" xfId="1101"/>
    <cellStyle name="Normal_APR" xfId="1102"/>
    <cellStyle name="Normal_APR_laroux" xfId="1103"/>
    <cellStyle name="Normal_Apr_pldt" xfId="1104"/>
    <cellStyle name="Normal_Arapahoe" xfId="1105"/>
    <cellStyle name="Normal_Assumptions" xfId="1106"/>
    <cellStyle name="Normal_Atlanta" xfId="1107"/>
    <cellStyle name="Normal_Atlanta (2)" xfId="1108"/>
    <cellStyle name="Normal_Avail40" xfId="1109"/>
    <cellStyle name="Normal_AvailMost" xfId="1110"/>
    <cellStyle name="Normal_bahiadefault" xfId="1111"/>
    <cellStyle name="Normal_bahiadefault_1" xfId="1112"/>
    <cellStyle name="Normal_BIGOUT" xfId="1113"/>
    <cellStyle name="Normal_Book3" xfId="1114"/>
    <cellStyle name="Normal_BOP" xfId="1115"/>
    <cellStyle name="Normal_BOPBAL1" xfId="1116"/>
    <cellStyle name="Normal_BOPCBU" xfId="1117"/>
    <cellStyle name="Normal_BOPCBU (2)" xfId="1118"/>
    <cellStyle name="Normal_BOPCBU96" xfId="1119"/>
    <cellStyle name="Normal_BREPAIR" xfId="1120"/>
    <cellStyle name="Normal_BSAPPE.XLS" xfId="1121"/>
    <cellStyle name="Normal_BUDGET" xfId="1122"/>
    <cellStyle name="Normal_C-Cap intensity" xfId="1123"/>
    <cellStyle name="Normal_C-Capex%rev" xfId="1124"/>
    <cellStyle name="Normal_C-Line per Staff" xfId="1125"/>
    <cellStyle name="Normal_C-lines distribution" xfId="1126"/>
    <cellStyle name="Normal_C-Orig PLDT lines" xfId="1127"/>
    <cellStyle name="Normal_C-Ret on Rev" xfId="1128"/>
    <cellStyle name="Normal_C-ROACE" xfId="1129"/>
    <cellStyle name="Normal_Calculations" xfId="1130"/>
    <cellStyle name="Normal_Calculations (2)" xfId="1131"/>
    <cellStyle name="Normal_Calculations II" xfId="1132"/>
    <cellStyle name="Normal_Calculations II_1" xfId="1133"/>
    <cellStyle name="Normal_Calculations III" xfId="1134"/>
    <cellStyle name="Normal_Calculations_1" xfId="1135"/>
    <cellStyle name="Normal_Calculations_2" xfId="1136"/>
    <cellStyle name="Normal_Capex" xfId="1137"/>
    <cellStyle name="Normal_Capex per line" xfId="1138"/>
    <cellStyle name="Normal_Capex%rev" xfId="1139"/>
    <cellStyle name="Normal_CAPEX2" xfId="1140"/>
    <cellStyle name="Normal_CAPEX94" xfId="1141"/>
    <cellStyle name="Normal_CAPEX_dimon" xfId="1142"/>
    <cellStyle name="Normal_CAPEX_VERA" xfId="1143"/>
    <cellStyle name="Normal_CAPEXPWI.XLS" xfId="1144"/>
    <cellStyle name="Normal_CAPEXPWO.XLS" xfId="1145"/>
    <cellStyle name="Normal_Cardig GHS" xfId="1146"/>
    <cellStyle name="Normal_Cash Flows" xfId="1147"/>
    <cellStyle name="Normal_CBU BOX CHART V PLAN" xfId="1148"/>
    <cellStyle name="Normal_CBU BOX CHART V PLAN_1" xfId="1149"/>
    <cellStyle name="Normal_CCOCPX" xfId="1150"/>
    <cellStyle name="Normal_CEL-C-CO.XLS" xfId="1151"/>
    <cellStyle name="Normal_Certs Q2" xfId="1152"/>
    <cellStyle name="Normal_Certs Q2 (2)" xfId="1153"/>
    <cellStyle name="Normal_CFMACROS.XLM" xfId="1154"/>
    <cellStyle name="Normal_CFMODEL.XLS" xfId="1155"/>
    <cellStyle name="Normal_CHANGES.XLS" xfId="1156"/>
    <cellStyle name="Normal_CHANGES.XLS_1" xfId="1157"/>
    <cellStyle name="Normal_Cht-Capex per line" xfId="1158"/>
    <cellStyle name="Normal_Cht-Cum Real Opr Cf" xfId="1159"/>
    <cellStyle name="Normal_Cht-Dep%Rev" xfId="1160"/>
    <cellStyle name="Normal_Cht-Real Opr Cf" xfId="1161"/>
    <cellStyle name="Normal_Cht-Rev dist" xfId="1162"/>
    <cellStyle name="Normal_Cht-Rev p line" xfId="1163"/>
    <cellStyle name="Normal_Cht-Rev per Staff" xfId="1164"/>
    <cellStyle name="Normal_Cht-Staff cost%revenue" xfId="1165"/>
    <cellStyle name="Normal_Co-wide Monthly" xfId="1166"/>
    <cellStyle name="Normal_Co-wide Monthly_dimon" xfId="1167"/>
    <cellStyle name="Normal_COMOTH" xfId="1168"/>
    <cellStyle name="Normal_coperdefault" xfId="1169"/>
    <cellStyle name="Normal_coperdefault_1" xfId="1170"/>
    <cellStyle name="Normal_Corp method" xfId="1171"/>
    <cellStyle name="Normal_Cost Code" xfId="1172"/>
    <cellStyle name="Normal_CROCF" xfId="1173"/>
    <cellStyle name="Normal_CTCUR" xfId="1174"/>
    <cellStyle name="Normal_Cum Real Opr Cf" xfId="1175"/>
    <cellStyle name="Normal_CUMPLTCH" xfId="1176"/>
    <cellStyle name="Normal_DEFAULT" xfId="1177"/>
    <cellStyle name="Normal_Demand Fcst." xfId="1178"/>
    <cellStyle name="Normal_Dep%Rev" xfId="1179"/>
    <cellStyle name="Normal_dimon" xfId="1180"/>
    <cellStyle name="Normal_dimon_1" xfId="1181"/>
    <cellStyle name="Normal_dimon_1_Optimal_discount" xfId="1182"/>
    <cellStyle name="Normal_dimon_2" xfId="1183"/>
    <cellStyle name="Normal_dimon_2_Optimal_discount" xfId="1184"/>
    <cellStyle name="Normal_dimon_3" xfId="1185"/>
    <cellStyle name="Normal_dimon_3_Optimal_discount" xfId="1186"/>
    <cellStyle name="Normal_dimon_4" xfId="1187"/>
    <cellStyle name="Normal_dimon_Optimal_discount" xfId="1188"/>
    <cellStyle name="Normal_DIV" xfId="1189"/>
    <cellStyle name="Normal_Dowell C1b" xfId="1190"/>
    <cellStyle name="Normal_Dowell-C1a" xfId="1191"/>
    <cellStyle name="Normal_Draft" xfId="1192"/>
    <cellStyle name="Normal_Draft (2)" xfId="1193"/>
    <cellStyle name="Normal_DRAFT Order Summary" xfId="1194"/>
    <cellStyle name="Normal_E&amp;ONW1" xfId="1195"/>
    <cellStyle name="Normal_E&amp;ONW2" xfId="1196"/>
    <cellStyle name="Normal_E&amp;OOCPX" xfId="1197"/>
    <cellStyle name="Normal_emserdefault" xfId="1198"/>
    <cellStyle name="Normal_emserdefault_1" xfId="1199"/>
    <cellStyle name="Normal_EPL 304 CA BDE" xfId="1200"/>
    <cellStyle name="Normal_EPS" xfId="1201"/>
    <cellStyle name="Normal_EQCON" xfId="1202"/>
    <cellStyle name="Normal_F&amp;COCPX" xfId="1203"/>
    <cellStyle name="Normal_FEBRUARY" xfId="1204"/>
    <cellStyle name="Normal_FF" xfId="1205"/>
    <cellStyle name="Normal_FP 20 A (1)" xfId="1206"/>
    <cellStyle name="Normal_FP 20 A (2)" xfId="1207"/>
    <cellStyle name="Normal_FP-20 (App. E)" xfId="1208"/>
    <cellStyle name="Normal_FP-20 (App.A) " xfId="1209"/>
    <cellStyle name="Normal_FP-20 (App.A) _1" xfId="1210"/>
    <cellStyle name="Normal_FP-20(C1) (a)" xfId="1211"/>
    <cellStyle name="Normal_FP-20(C1) (a) (2)" xfId="1212"/>
    <cellStyle name="Normal_FP-20(C1) (a)_1" xfId="1213"/>
    <cellStyle name="Normal_FP-20(C1) (b)" xfId="1214"/>
    <cellStyle name="Normal_FP-20(C1) (b) " xfId="1215"/>
    <cellStyle name="Normal_FP-20(C1) (b) (2)" xfId="1216"/>
    <cellStyle name="Normal_FP-20(C1) (e)" xfId="1217"/>
    <cellStyle name="Normal_FP20_C1A" xfId="1218"/>
    <cellStyle name="Normal_FP20_C1B" xfId="1219"/>
    <cellStyle name="Normal_FY97COB1." xfId="1220"/>
    <cellStyle name="Normal_GCM" xfId="1221"/>
    <cellStyle name="Normal_GE03" xfId="1222"/>
    <cellStyle name="Normal_GE04" xfId="1223"/>
    <cellStyle name="Normal_GenAssum" xfId="1224"/>
    <cellStyle name="Normal_GP C1a" xfId="1225"/>
    <cellStyle name="Normal_GP C1b" xfId="1226"/>
    <cellStyle name="Normal_GP_EI_3" xfId="1227"/>
    <cellStyle name="Normal_GQ C1A" xfId="1228"/>
    <cellStyle name="Normal_GQ C1B" xfId="1229"/>
    <cellStyle name="Normal_HC" xfId="1230"/>
    <cellStyle name="Normal_Igobox" xfId="1231"/>
    <cellStyle name="Normal_Igobox_1" xfId="1232"/>
    <cellStyle name="Normal_Igobox_2" xfId="1233"/>
    <cellStyle name="Normal_Igobox_Imacros" xfId="1234"/>
    <cellStyle name="Normal_Igobox_IPP" xfId="1235"/>
    <cellStyle name="Normal_Igobox_Iprintbox" xfId="1236"/>
    <cellStyle name="Normal_Imacros" xfId="1237"/>
    <cellStyle name="Normal_Imacros_1" xfId="1238"/>
    <cellStyle name="Normal_Imacros_2" xfId="1239"/>
    <cellStyle name="Normal_Input" xfId="1240"/>
    <cellStyle name="Normal_INPUT_1" xfId="1241"/>
    <cellStyle name="Normal_INPUT_GenAssum" xfId="1242"/>
    <cellStyle name="Normal_Inputs" xfId="1243"/>
    <cellStyle name="Normal_Inputs_dimon" xfId="1244"/>
    <cellStyle name="Normal_INVREV" xfId="1245"/>
    <cellStyle name="Normal_IPM C1b" xfId="1246"/>
    <cellStyle name="Normal_IPMC1a" xfId="1247"/>
    <cellStyle name="Normal_IPP" xfId="1248"/>
    <cellStyle name="Normal_IPP_1" xfId="1249"/>
    <cellStyle name="Normal_IPP_1_Igobox" xfId="1250"/>
    <cellStyle name="Normal_IPP_1_Imacros" xfId="1251"/>
    <cellStyle name="Normal_IPP_1_Iprintbox" xfId="1252"/>
    <cellStyle name="Normal_IPP_2" xfId="1253"/>
    <cellStyle name="Normal_Iprintbox" xfId="1254"/>
    <cellStyle name="Normal_Iprintbox_1" xfId="1255"/>
    <cellStyle name="Normal_Iprintbox_2" xfId="1256"/>
    <cellStyle name="Normal_IRR" xfId="1257"/>
    <cellStyle name="Normal_IS-Hold" xfId="1258"/>
    <cellStyle name="Normal_Iterbox" xfId="1259"/>
    <cellStyle name="Normal_ITOCPX" xfId="1260"/>
    <cellStyle name="Normal_jancf" xfId="1261"/>
    <cellStyle name="Normal_JUNMTH55" xfId="1262"/>
    <cellStyle name="Normal_JUNMTH57" xfId="1263"/>
    <cellStyle name="Normal_JUNYTD55" xfId="1264"/>
    <cellStyle name="Normal_JUNYTD57" xfId="1265"/>
    <cellStyle name="Normal_laroux" xfId="1266"/>
    <cellStyle name="Normal_laroux_1" xfId="1267"/>
    <cellStyle name="Normal_laroux_1_dimon" xfId="1268"/>
    <cellStyle name="Normal_laroux_1_dimon_1" xfId="1269"/>
    <cellStyle name="Normal_laroux_1_dimon_2" xfId="1270"/>
    <cellStyle name="Normal_laroux_1_dimon_3" xfId="1271"/>
    <cellStyle name="Normal_laroux_1_EPL 304 CA BDE" xfId="1272"/>
    <cellStyle name="Normal_laroux_1_laroux" xfId="1273"/>
    <cellStyle name="Normal_laroux_1_laroux_1" xfId="1274"/>
    <cellStyle name="Normal_laroux_1_laroux_2" xfId="1275"/>
    <cellStyle name="Normal_laroux_1_laroux_monci" xfId="1276"/>
    <cellStyle name="Normal_laroux_1_Locas" xfId="1277"/>
    <cellStyle name="Normal_laroux_1_Locas_1" xfId="1278"/>
    <cellStyle name="Normal_laroux_1_monci" xfId="1279"/>
    <cellStyle name="Normal_laroux_1_pldt" xfId="1280"/>
    <cellStyle name="Normal_laroux_1_pldt_1" xfId="1281"/>
    <cellStyle name="Normal_laroux_1_pldt_2" xfId="1282"/>
    <cellStyle name="Normal_laroux_1_pldt_3" xfId="1283"/>
    <cellStyle name="Normal_laroux_1_PLDT_dimon" xfId="1284"/>
    <cellStyle name="Normal_laroux_1_Sheet1 (2)" xfId="1285"/>
    <cellStyle name="Normal_laroux_1_VERA" xfId="1286"/>
    <cellStyle name="Normal_laroux_1_VERA_1" xfId="1287"/>
    <cellStyle name="Normal_laroux_1_VIRUS-EDY" xfId="1288"/>
    <cellStyle name="Normal_laroux_2" xfId="1289"/>
    <cellStyle name="Normal_laroux_2_dimon" xfId="1290"/>
    <cellStyle name="Normal_laroux_2_dimon_1" xfId="1291"/>
    <cellStyle name="Normal_laroux_2_dimon_2" xfId="1292"/>
    <cellStyle name="Normal_laroux_2_dimon_3" xfId="1293"/>
    <cellStyle name="Normal_laroux_2_dimon_4" xfId="1294"/>
    <cellStyle name="Normal_laroux_2_EPL 304 CA BDE" xfId="1295"/>
    <cellStyle name="Normal_laroux_2_laroux" xfId="1296"/>
    <cellStyle name="Normal_laroux_2_laroux_1" xfId="1297"/>
    <cellStyle name="Normal_laroux_2_laroux_1_monci" xfId="1298"/>
    <cellStyle name="Normal_laroux_2_laroux_2" xfId="1299"/>
    <cellStyle name="Normal_laroux_2_laroux_monci" xfId="1300"/>
    <cellStyle name="Normal_laroux_2_Locas" xfId="1301"/>
    <cellStyle name="Normal_laroux_2_Locas_1" xfId="1302"/>
    <cellStyle name="Normal_laroux_2_monci" xfId="1303"/>
    <cellStyle name="Normal_laroux_2_pldt" xfId="1304"/>
    <cellStyle name="Normal_laroux_2_pldt_1" xfId="1305"/>
    <cellStyle name="Normal_laroux_2_pldt_2" xfId="1306"/>
    <cellStyle name="Normal_laroux_2_Sheet1 (2)" xfId="1307"/>
    <cellStyle name="Normal_laroux_2_VIRUS-EDY" xfId="1308"/>
    <cellStyle name="Normal_laroux_3" xfId="1309"/>
    <cellStyle name="Normal_laroux_3_dimon" xfId="1310"/>
    <cellStyle name="Normal_laroux_3_dimon_1" xfId="1311"/>
    <cellStyle name="Normal_laroux_3_dimon_2" xfId="1312"/>
    <cellStyle name="Normal_laroux_3_dimon_3" xfId="1313"/>
    <cellStyle name="Normal_laroux_3_dimon_4" xfId="1314"/>
    <cellStyle name="Normal_laroux_3_dimon_5" xfId="1315"/>
    <cellStyle name="Normal_laroux_3_EPL 304 CA BDE" xfId="1316"/>
    <cellStyle name="Normal_laroux_3_laroux" xfId="1317"/>
    <cellStyle name="Normal_laroux_3_laroux_1" xfId="1318"/>
    <cellStyle name="Normal_laroux_3_laroux_1_monci" xfId="1319"/>
    <cellStyle name="Normal_laroux_3_laroux_2" xfId="1320"/>
    <cellStyle name="Normal_laroux_3_laroux_dimon" xfId="1321"/>
    <cellStyle name="Normal_laroux_3_laroux_laroux" xfId="1322"/>
    <cellStyle name="Normal_laroux_3_laroux_monci" xfId="1323"/>
    <cellStyle name="Normal_laroux_3_Locas" xfId="1324"/>
    <cellStyle name="Normal_laroux_3_monci" xfId="1325"/>
    <cellStyle name="Normal_laroux_3_pldt" xfId="1326"/>
    <cellStyle name="Normal_laroux_3_pldt_1" xfId="1327"/>
    <cellStyle name="Normal_laroux_3_PLDT_dimon" xfId="1328"/>
    <cellStyle name="Normal_laroux_3_Sheet1 (2)" xfId="1329"/>
    <cellStyle name="Normal_laroux_3_VERA" xfId="1330"/>
    <cellStyle name="Normal_laroux_3_VERA_1" xfId="1331"/>
    <cellStyle name="Normal_laroux_3_VIRUS-EDY" xfId="1332"/>
    <cellStyle name="Normal_laroux_4" xfId="1333"/>
    <cellStyle name="Normal_laroux_4_dimon" xfId="1334"/>
    <cellStyle name="Normal_laroux_4_dimon_1" xfId="1335"/>
    <cellStyle name="Normal_laroux_4_dimon_2" xfId="1336"/>
    <cellStyle name="Normal_laroux_4_dimon_3" xfId="1337"/>
    <cellStyle name="Normal_laroux_4_dimon_4" xfId="1338"/>
    <cellStyle name="Normal_laroux_4_EPL 304 CA BDE" xfId="1339"/>
    <cellStyle name="Normal_laroux_4_laroux" xfId="1340"/>
    <cellStyle name="Normal_laroux_4_laroux_1" xfId="1341"/>
    <cellStyle name="Normal_laroux_4_laroux_2" xfId="1342"/>
    <cellStyle name="Normal_laroux_4_laroux_laroux" xfId="1343"/>
    <cellStyle name="Normal_laroux_4_laroux_monci" xfId="1344"/>
    <cellStyle name="Normal_laroux_4_pldt" xfId="1345"/>
    <cellStyle name="Normal_laroux_4_pldt_1" xfId="1346"/>
    <cellStyle name="Normal_laroux_4_pldt_2" xfId="1347"/>
    <cellStyle name="Normal_laroux_4_PLDT_dimon" xfId="1348"/>
    <cellStyle name="Normal_laroux_4_VERA" xfId="1349"/>
    <cellStyle name="Normal_laroux_4_VIRUS-EDY" xfId="1350"/>
    <cellStyle name="Normal_laroux_5" xfId="1351"/>
    <cellStyle name="Normal_laroux_5_dimon" xfId="1352"/>
    <cellStyle name="Normal_laroux_5_dimon_1" xfId="1353"/>
    <cellStyle name="Normal_laroux_5_dimon_2" xfId="1354"/>
    <cellStyle name="Normal_laroux_5_dimon_3" xfId="1355"/>
    <cellStyle name="Normal_laroux_5_dimon_4" xfId="1356"/>
    <cellStyle name="Normal_laroux_5_EPL 304 CA BDE" xfId="1357"/>
    <cellStyle name="Normal_laroux_5_laroux" xfId="1358"/>
    <cellStyle name="Normal_laroux_5_laroux_1" xfId="1359"/>
    <cellStyle name="Normal_laroux_5_laroux_2" xfId="1360"/>
    <cellStyle name="Normal_laroux_5_laroux_laroux" xfId="1361"/>
    <cellStyle name="Normal_laroux_5_laroux_monci" xfId="1362"/>
    <cellStyle name="Normal_laroux_5_monci" xfId="1363"/>
    <cellStyle name="Normal_laroux_5_pldt" xfId="1364"/>
    <cellStyle name="Normal_laroux_5_pldt_1" xfId="1365"/>
    <cellStyle name="Normal_laroux_5_pldt_2" xfId="1366"/>
    <cellStyle name="Normal_laroux_5_pldt_3" xfId="1367"/>
    <cellStyle name="Normal_laroux_5_PLDT_dimon" xfId="1368"/>
    <cellStyle name="Normal_laroux_5_VERA" xfId="1369"/>
    <cellStyle name="Normal_laroux_5_VIRUS-EDY" xfId="1370"/>
    <cellStyle name="Normal_laroux_6" xfId="1371"/>
    <cellStyle name="Normal_laroux_6_dimon" xfId="1372"/>
    <cellStyle name="Normal_laroux_6_dimon_1" xfId="1373"/>
    <cellStyle name="Normal_laroux_6_dimon_2" xfId="1374"/>
    <cellStyle name="Normal_laroux_6_dimon_3" xfId="1375"/>
    <cellStyle name="Normal_laroux_6_dimon_4" xfId="1376"/>
    <cellStyle name="Normal_laroux_6_EPL 304 CA BDE" xfId="1377"/>
    <cellStyle name="Normal_laroux_6_laroux" xfId="1378"/>
    <cellStyle name="Normal_laroux_6_laroux_1" xfId="1379"/>
    <cellStyle name="Normal_laroux_6_laroux_dimon" xfId="1380"/>
    <cellStyle name="Normal_laroux_6_laroux_laroux" xfId="1381"/>
    <cellStyle name="Normal_laroux_6_laroux_monci" xfId="1382"/>
    <cellStyle name="Normal_laroux_6_pldt" xfId="1383"/>
    <cellStyle name="Normal_laroux_6_pldt_1" xfId="1384"/>
    <cellStyle name="Normal_laroux_6_pldt_2" xfId="1385"/>
    <cellStyle name="Normal_laroux_6_PLDT_dimon" xfId="1386"/>
    <cellStyle name="Normal_laroux_6_VERA" xfId="1387"/>
    <cellStyle name="Normal_laroux_6_VIRUS-EDY" xfId="1388"/>
    <cellStyle name="Normal_laroux_7" xfId="1389"/>
    <cellStyle name="Normal_laroux_7_dimon" xfId="1390"/>
    <cellStyle name="Normal_laroux_7_dimon_1" xfId="1391"/>
    <cellStyle name="Normal_laroux_7_dimon_2" xfId="1392"/>
    <cellStyle name="Normal_laroux_7_dimon_3" xfId="1393"/>
    <cellStyle name="Normal_laroux_7_laroux" xfId="1394"/>
    <cellStyle name="Normal_laroux_7_laroux_monci" xfId="1395"/>
    <cellStyle name="Normal_laroux_7_pldt" xfId="1396"/>
    <cellStyle name="Normal_laroux_7_pldt_1" xfId="1397"/>
    <cellStyle name="Normal_laroux_7_VERA" xfId="1398"/>
    <cellStyle name="Normal_laroux_7_VIRUS-EDY" xfId="1399"/>
    <cellStyle name="Normal_laroux_8" xfId="1400"/>
    <cellStyle name="Normal_laroux_8_dimon" xfId="1401"/>
    <cellStyle name="Normal_laroux_8_dimon_1" xfId="1402"/>
    <cellStyle name="Normal_laroux_8_dimon_2" xfId="1403"/>
    <cellStyle name="Normal_laroux_8_laroux" xfId="1404"/>
    <cellStyle name="Normal_laroux_8_monci" xfId="1405"/>
    <cellStyle name="Normal_laroux_8_pldt" xfId="1406"/>
    <cellStyle name="Normal_laroux_8_pldt_1" xfId="1407"/>
    <cellStyle name="Normal_laroux_8_VERA" xfId="1408"/>
    <cellStyle name="Normal_laroux_9" xfId="1409"/>
    <cellStyle name="Normal_laroux_9_dimon" xfId="1410"/>
    <cellStyle name="Normal_laroux_9_dimon_1" xfId="1411"/>
    <cellStyle name="Normal_laroux_9_laroux" xfId="1412"/>
    <cellStyle name="Normal_laroux_9_monci" xfId="1413"/>
    <cellStyle name="Normal_laroux_A" xfId="1414"/>
    <cellStyle name="Normal_laroux_A_monci" xfId="1415"/>
    <cellStyle name="Normal_laroux_B" xfId="1416"/>
    <cellStyle name="Normal_laroux_B_monci" xfId="1417"/>
    <cellStyle name="Normal_laroux_C" xfId="1418"/>
    <cellStyle name="Normal_laroux_D" xfId="1419"/>
    <cellStyle name="Normal_laroux_dimon" xfId="1420"/>
    <cellStyle name="Normal_laroux_dimon_1" xfId="1421"/>
    <cellStyle name="Normal_laroux_dimon_2" xfId="1422"/>
    <cellStyle name="Normal_laroux_dimon_3" xfId="1423"/>
    <cellStyle name="Normal_laroux_dimon_4" xfId="1424"/>
    <cellStyle name="Normal_laroux_dimon_5" xfId="1425"/>
    <cellStyle name="Normal_laroux_dimon_6" xfId="1426"/>
    <cellStyle name="Normal_laroux_EPL 304 CA BDE" xfId="1427"/>
    <cellStyle name="Normal_laroux_laroux" xfId="1428"/>
    <cellStyle name="Normal_laroux_laroux_1" xfId="1429"/>
    <cellStyle name="Normal_laroux_laroux_1_monci" xfId="1430"/>
    <cellStyle name="Normal_laroux_laroux_2" xfId="1431"/>
    <cellStyle name="Normal_laroux_laroux_monci" xfId="1432"/>
    <cellStyle name="Normal_laroux_Locas" xfId="1433"/>
    <cellStyle name="Normal_laroux_monci" xfId="1434"/>
    <cellStyle name="Normal_laroux_pldt" xfId="1435"/>
    <cellStyle name="Normal_laroux_pldt_1" xfId="1436"/>
    <cellStyle name="Normal_laroux_pldt_2" xfId="1437"/>
    <cellStyle name="Normal_laroux_pldt_3" xfId="1438"/>
    <cellStyle name="Normal_laroux_PLDT_dimon" xfId="1439"/>
    <cellStyle name="Normal_laroux_Sheet1 (2)" xfId="1440"/>
    <cellStyle name="Normal_laroux_VERA" xfId="1441"/>
    <cellStyle name="Normal_laroux_VERA_1" xfId="1442"/>
    <cellStyle name="Normal_laroux_VIRUS-EDY" xfId="1443"/>
    <cellStyle name="Normal_Line Inst." xfId="1444"/>
    <cellStyle name="Normal_List" xfId="1445"/>
    <cellStyle name="Normal_Locas" xfId="1446"/>
    <cellStyle name="Normal_Locas_1" xfId="1447"/>
    <cellStyle name="Normal_MAJREP" xfId="1448"/>
    <cellStyle name="Normal_MATERAL2" xfId="1449"/>
    <cellStyle name="Normal_MATERAL2_dimon" xfId="1450"/>
    <cellStyle name="Normal_MED-A-CO.XLS" xfId="1451"/>
    <cellStyle name="Normal_MID CURVE" xfId="1452"/>
    <cellStyle name="Normal_MKGOCPX" xfId="1453"/>
    <cellStyle name="Normal_Mkt Shr" xfId="1454"/>
    <cellStyle name="Normal_MOBCPX" xfId="1455"/>
    <cellStyle name="Normal_Module1 (2)" xfId="1456"/>
    <cellStyle name="Normal_Module1 (2)_1" xfId="1457"/>
    <cellStyle name="Normal_MONTHLY" xfId="1458"/>
    <cellStyle name="Normal_MOR  - Supp" xfId="1459"/>
    <cellStyle name="Normal_mud plant bolted" xfId="1460"/>
    <cellStyle name="Normal_mud plant bolted_dimon" xfId="1461"/>
    <cellStyle name="Normal_Multikarya" xfId="1462"/>
    <cellStyle name="Normal_NA WITHOUT GOV'T &amp; PNX" xfId="1463"/>
    <cellStyle name="Normal_NAOBU10" xfId="1464"/>
    <cellStyle name="Normal_NAT ACCT" xfId="1465"/>
    <cellStyle name="Normal_NCR-C&amp;W Val" xfId="1466"/>
    <cellStyle name="Normal_NCR-Cap intensity" xfId="1467"/>
    <cellStyle name="Normal_NCR-Line per Staff" xfId="1468"/>
    <cellStyle name="Normal_NCR-Rev dist" xfId="1469"/>
    <cellStyle name="Normal_NEHQ-ACT.XLS" xfId="1470"/>
    <cellStyle name="Normal_NS-A-CO.XLS" xfId="1471"/>
    <cellStyle name="Normal_NS_AT" xfId="1472"/>
    <cellStyle name="Normal_NS_CONS GROUP" xfId="1473"/>
    <cellStyle name="Normal_NSACTUAL.XLS" xfId="1474"/>
    <cellStyle name="Normal_NSACTUAL.XLS_1" xfId="1475"/>
    <cellStyle name="Normal_NX00" xfId="1476"/>
    <cellStyle name="Normal_OA022498" xfId="1477"/>
    <cellStyle name="Normal_Op Cost Break" xfId="1478"/>
    <cellStyle name="Normal_OPSTAT" xfId="1479"/>
    <cellStyle name="Normal_Optimal_discount" xfId="1480"/>
    <cellStyle name="Normal_OS-A-CO.XLS" xfId="1481"/>
    <cellStyle name="Normal_OSMOCPX" xfId="1482"/>
    <cellStyle name="Normal_Other Months" xfId="1483"/>
    <cellStyle name="Normal_Outlook" xfId="1484"/>
    <cellStyle name="Normal_Outlook_1" xfId="1485"/>
    <cellStyle name="Normal_OWN, AR, SNIPS" xfId="1486"/>
    <cellStyle name="Normal_Owners" xfId="1487"/>
    <cellStyle name="Normal_PAGE 1" xfId="1488"/>
    <cellStyle name="Normal_pbdefault" xfId="1489"/>
    <cellStyle name="Normal_pbdefault_1" xfId="1490"/>
    <cellStyle name="Normal_percentages" xfId="1491"/>
    <cellStyle name="Normal_PERSONAL" xfId="1492"/>
    <cellStyle name="Normal_PERSONAL_dimon" xfId="1493"/>
    <cellStyle name="Normal_PERSONAL_Locas" xfId="1494"/>
    <cellStyle name="Normal_PGMKOCPX" xfId="1495"/>
    <cellStyle name="Normal_PGNW1" xfId="1496"/>
    <cellStyle name="Normal_PGNW2" xfId="1497"/>
    <cellStyle name="Normal_PGNWOCPX" xfId="1498"/>
    <cellStyle name="Normal_Picks" xfId="1499"/>
    <cellStyle name="Normal_PIG3" xfId="1500"/>
    <cellStyle name="Normal_Pink" xfId="1501"/>
    <cellStyle name="Normal_PLAN" xfId="1502"/>
    <cellStyle name="Normal_PLANT" xfId="1503"/>
    <cellStyle name="Normal_PLANTS" xfId="1504"/>
    <cellStyle name="Normal_Playoff Prelim (2)" xfId="1505"/>
    <cellStyle name="Normal_pldt" xfId="1506"/>
    <cellStyle name="Normal_pldt_1" xfId="1507"/>
    <cellStyle name="Normal_pldt_1_Calculations" xfId="1508"/>
    <cellStyle name="Normal_PLDT_1_dimon" xfId="1509"/>
    <cellStyle name="Normal_pldt_2" xfId="1510"/>
    <cellStyle name="Normal_pldt_2_Calculations" xfId="1511"/>
    <cellStyle name="Normal_pldt_2_dimon" xfId="1512"/>
    <cellStyle name="Normal_PLDT_2_dimon_1" xfId="1513"/>
    <cellStyle name="Normal_pldt_2_dimon_2" xfId="1514"/>
    <cellStyle name="Normal_pldt_2_pldt" xfId="1515"/>
    <cellStyle name="Normal_pldt_3" xfId="1516"/>
    <cellStyle name="Normal_pldt_3_dimon" xfId="1517"/>
    <cellStyle name="Normal_pldt_3_dimon_1" xfId="1518"/>
    <cellStyle name="Normal_pldt_4" xfId="1519"/>
    <cellStyle name="Normal_pldt_4_dimon" xfId="1520"/>
    <cellStyle name="Normal_pldt_4_dimon_1" xfId="1521"/>
    <cellStyle name="Normal_PLDT_4_dimon_2" xfId="1522"/>
    <cellStyle name="Normal_pldt_5" xfId="1523"/>
    <cellStyle name="Normal_pldt_5_dimon" xfId="1524"/>
    <cellStyle name="Normal_pldt_6" xfId="1525"/>
    <cellStyle name="Normal_pldt_Calculations" xfId="1526"/>
    <cellStyle name="Normal_PLDT_dimon" xfId="1527"/>
    <cellStyle name="Normal_PLDT_dimon_1" xfId="1528"/>
    <cellStyle name="Normal_PLDT_dimon_2" xfId="1529"/>
    <cellStyle name="Normal_pldt_pldt" xfId="1530"/>
    <cellStyle name="Normal_POW-Provision" xfId="1531"/>
    <cellStyle name="Normal_priccurv" xfId="1532"/>
    <cellStyle name="Normal_priccurv_1" xfId="1533"/>
    <cellStyle name="Normal_priccurv_2" xfId="1534"/>
    <cellStyle name="Normal_PrintBox (2)" xfId="1535"/>
    <cellStyle name="Normal_PROCDS&amp;G" xfId="1536"/>
    <cellStyle name="Normal_PROD SALES" xfId="1537"/>
    <cellStyle name="Normal_PROD SALES by Region Pg 2" xfId="1538"/>
    <cellStyle name="Normal_PRODUCT" xfId="1539"/>
    <cellStyle name="Normal_Production Payment model" xfId="1540"/>
    <cellStyle name="Normal_production tony" xfId="154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5:E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28125" defaultRowHeight="12.75" zeroHeight="0" outlineLevelRow="0"/>
  <cols>
    <col width="9.130000000000001" customWidth="1" style="247" min="1" max="257"/>
  </cols>
  <sheetData>
    <row r="25" ht="15" customHeight="1" s="248">
      <c r="C25" s="249" t="n"/>
    </row>
    <row r="43" ht="12.75" customHeight="1" s="248">
      <c r="B43" s="250" t="inlineStr">
        <is>
          <t>Copyright 1999. All rights reserved.</t>
        </is>
      </c>
    </row>
    <row r="44" ht="12.75" customHeight="1" s="248">
      <c r="C44" s="251" t="inlineStr">
        <is>
          <t>Version: 1 April 99</t>
        </is>
      </c>
      <c r="E44" s="252" t="n"/>
    </row>
    <row r="48" ht="12.75" customHeight="1" s="248">
      <c r="D48" s="24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9.16015625" defaultRowHeight="12" zeroHeight="0" outlineLevelRow="0"/>
  <cols>
    <col width="26.7" customWidth="1" style="253" min="1" max="1"/>
  </cols>
  <sheetData>
    <row r="1" ht="12" customHeight="1" s="248">
      <c r="A1" s="254" t="inlineStr">
        <is>
          <t>Assignment of Judgmental Weights</t>
        </is>
      </c>
      <c r="B1" s="255" t="n"/>
    </row>
    <row r="2" ht="12.75" customHeight="1" s="248">
      <c r="A2" s="256" t="n"/>
      <c r="B2" s="257" t="inlineStr">
        <is>
          <t>CB</t>
        </is>
      </c>
      <c r="C2" s="257" t="inlineStr">
        <is>
          <t>PR</t>
        </is>
      </c>
      <c r="D2" s="257" t="inlineStr">
        <is>
          <t>GL</t>
        </is>
      </c>
      <c r="E2" s="257" t="inlineStr">
        <is>
          <t>BP</t>
        </is>
      </c>
      <c r="F2" s="257" t="inlineStr">
        <is>
          <t>FS</t>
        </is>
      </c>
    </row>
    <row r="3" ht="12" customHeight="1" s="248">
      <c r="A3" s="258" t="inlineStr">
        <is>
          <t>Customer background (CB)</t>
        </is>
      </c>
      <c r="B3" s="259" t="n">
        <v>1</v>
      </c>
      <c r="C3" s="260">
        <f>1/B4</f>
        <v/>
      </c>
      <c r="D3" s="260">
        <f>1/B5</f>
        <v/>
      </c>
      <c r="E3" s="260">
        <f>1/B6</f>
        <v/>
      </c>
      <c r="F3" s="261">
        <f>1/B7</f>
        <v/>
      </c>
      <c r="G3" s="262" t="n"/>
    </row>
    <row r="4" ht="12" customHeight="1" s="248">
      <c r="A4" s="258" t="inlineStr">
        <is>
          <t>Payment record (PR)</t>
        </is>
      </c>
      <c r="B4" s="263" t="n">
        <v>5</v>
      </c>
      <c r="C4" s="264" t="n">
        <v>1</v>
      </c>
      <c r="D4" s="264">
        <f>1/C5</f>
        <v/>
      </c>
      <c r="E4" s="264">
        <f>1/C6</f>
        <v/>
      </c>
      <c r="F4" s="265">
        <f>1/C7</f>
        <v/>
      </c>
      <c r="G4" s="262" t="n"/>
    </row>
    <row r="5" ht="12" customHeight="1" s="248">
      <c r="A5" s="258" t="inlineStr">
        <is>
          <t>Geographical location (GL)</t>
        </is>
      </c>
      <c r="B5" s="263">
        <f>1/7</f>
        <v/>
      </c>
      <c r="C5" s="266" t="n">
        <v>0.142857142857143</v>
      </c>
      <c r="D5" s="264" t="n">
        <v>1</v>
      </c>
      <c r="E5" s="264">
        <f>1/D6</f>
        <v/>
      </c>
      <c r="F5" s="265">
        <f>1/D7</f>
        <v/>
      </c>
      <c r="G5" s="262" t="n"/>
    </row>
    <row r="6" ht="12" customHeight="1" s="248">
      <c r="A6" s="258" t="inlineStr">
        <is>
          <t>Business potential (BP)</t>
        </is>
      </c>
      <c r="B6" s="263">
        <f>1/3</f>
        <v/>
      </c>
      <c r="C6" s="266" t="n">
        <v>0.5</v>
      </c>
      <c r="D6" s="266" t="n">
        <v>5</v>
      </c>
      <c r="E6" s="264" t="n">
        <v>1</v>
      </c>
      <c r="F6" s="265">
        <f>1/E7</f>
        <v/>
      </c>
      <c r="G6" s="262" t="n"/>
    </row>
    <row r="7" ht="12.75" customHeight="1" s="248">
      <c r="A7" s="258" t="inlineStr">
        <is>
          <t>Financial soundness (FS)</t>
        </is>
      </c>
      <c r="B7" s="267" t="n">
        <v>9</v>
      </c>
      <c r="C7" s="268" t="n">
        <v>2</v>
      </c>
      <c r="D7" s="268" t="n">
        <v>9</v>
      </c>
      <c r="E7" s="268" t="n">
        <v>5</v>
      </c>
      <c r="F7" s="269" t="n">
        <v>1</v>
      </c>
      <c r="G7" s="262" t="n"/>
    </row>
    <row r="8" ht="12" customHeight="1" s="248">
      <c r="A8" s="270" t="n"/>
    </row>
    <row r="9" ht="12" customHeight="1" s="248">
      <c r="A9" s="271" t="inlineStr">
        <is>
          <t>Possible Scores</t>
        </is>
      </c>
      <c r="B9" s="271" t="inlineStr">
        <is>
          <t>Score</t>
        </is>
      </c>
      <c r="C9" s="271" t="inlineStr">
        <is>
          <t>Reciprocal</t>
        </is>
      </c>
    </row>
    <row r="10" ht="12" customHeight="1" s="248">
      <c r="A10" s="272" t="inlineStr">
        <is>
          <t>Equal importance</t>
        </is>
      </c>
      <c r="B10" s="273" t="n">
        <v>1</v>
      </c>
      <c r="C10" s="264">
        <f>1/B10</f>
        <v/>
      </c>
    </row>
    <row r="11" ht="12" customHeight="1" s="248">
      <c r="A11" s="274" t="inlineStr">
        <is>
          <t xml:space="preserve">   An intermediate value</t>
        </is>
      </c>
      <c r="B11" s="273" t="n">
        <v>2</v>
      </c>
      <c r="C11" s="264">
        <f>1/B11</f>
        <v/>
      </c>
    </row>
    <row r="12" ht="12" customHeight="1" s="248">
      <c r="A12" s="272" t="inlineStr">
        <is>
          <t>Slightly favor one over the other</t>
        </is>
      </c>
      <c r="B12" s="273" t="n">
        <v>3</v>
      </c>
      <c r="C12" s="264">
        <f>1/B12</f>
        <v/>
      </c>
    </row>
    <row r="13" ht="12" customHeight="1" s="248">
      <c r="A13" s="274" t="inlineStr">
        <is>
          <t xml:space="preserve">   An intermediate value</t>
        </is>
      </c>
      <c r="B13" s="273" t="n">
        <v>4</v>
      </c>
      <c r="C13" s="264">
        <f>1/B13</f>
        <v/>
      </c>
    </row>
    <row r="14" ht="12" customHeight="1" s="248">
      <c r="A14" s="272" t="inlineStr">
        <is>
          <t>Strong importance</t>
        </is>
      </c>
      <c r="B14" s="273" t="n">
        <v>5</v>
      </c>
      <c r="C14" s="264">
        <f>1/B14</f>
        <v/>
      </c>
    </row>
    <row r="15" ht="12" customHeight="1" s="248">
      <c r="A15" s="274" t="inlineStr">
        <is>
          <t xml:space="preserve">   An intermediate value</t>
        </is>
      </c>
      <c r="B15" s="273" t="n">
        <v>6</v>
      </c>
      <c r="C15" s="264">
        <f>1/B15</f>
        <v/>
      </c>
    </row>
    <row r="16" ht="12" customHeight="1" s="248">
      <c r="A16" s="272" t="inlineStr">
        <is>
          <t>Very strong importance</t>
        </is>
      </c>
      <c r="B16" s="273" t="n">
        <v>7</v>
      </c>
      <c r="C16" s="264">
        <f>1/B16</f>
        <v/>
      </c>
    </row>
    <row r="17" ht="12" customHeight="1" s="248">
      <c r="A17" s="274" t="inlineStr">
        <is>
          <t xml:space="preserve">   An intermediate value</t>
        </is>
      </c>
      <c r="B17" s="273" t="n">
        <v>8</v>
      </c>
      <c r="C17" s="264">
        <f>1/B17</f>
        <v/>
      </c>
    </row>
    <row r="18" ht="12" customHeight="1" s="248">
      <c r="A18" s="272" t="inlineStr">
        <is>
          <t>Absolute importance</t>
        </is>
      </c>
      <c r="B18" s="273" t="n">
        <v>9</v>
      </c>
      <c r="C18" s="264">
        <f>1/B18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45"/>
  <sheetViews>
    <sheetView showFormulas="0" showGridLines="1" showRowColHeaders="1" showZeros="1" rightToLeft="0" tabSelected="0" showOutlineSymbols="1" defaultGridColor="1" view="normal" topLeftCell="A21" colorId="64" zoomScale="100" zoomScaleNormal="100" zoomScalePageLayoutView="100" workbookViewId="0">
      <selection pane="topLeft" activeCell="D30" activeCellId="0" sqref="D30"/>
    </sheetView>
  </sheetViews>
  <sheetFormatPr baseColWidth="8" defaultColWidth="9.16015625" defaultRowHeight="12" zeroHeight="0" outlineLevelRow="0"/>
  <cols>
    <col width="25.99" customWidth="1" style="253" min="1" max="1"/>
    <col width="9.699999999999999" customWidth="1" style="253" min="2" max="8"/>
  </cols>
  <sheetData>
    <row r="1" ht="12" customHeight="1" s="248">
      <c r="A1" s="275" t="inlineStr">
        <is>
          <t>Calculation of Relative Importance of  Factors</t>
        </is>
      </c>
      <c r="B1" s="276" t="n"/>
      <c r="C1" s="276" t="n"/>
      <c r="D1" s="256" t="n"/>
      <c r="E1" s="256" t="n"/>
      <c r="F1" s="256" t="n"/>
      <c r="G1" s="256" t="n"/>
      <c r="H1" s="256" t="n"/>
    </row>
    <row r="2" ht="12.75" customHeight="1" s="248">
      <c r="A2" s="256" t="n"/>
      <c r="B2" s="277">
        <f>'Assigning Weights'!B2</f>
        <v/>
      </c>
      <c r="C2" s="277">
        <f>'Assigning Weights'!C2</f>
        <v/>
      </c>
      <c r="D2" s="277">
        <f>'Assigning Weights'!D2</f>
        <v/>
      </c>
      <c r="E2" s="277">
        <f>'Assigning Weights'!E2</f>
        <v/>
      </c>
      <c r="F2" s="277">
        <f>'Assigning Weights'!F2</f>
        <v/>
      </c>
      <c r="G2" s="256" t="n"/>
      <c r="H2" s="256" t="n"/>
    </row>
    <row r="3" ht="12" customHeight="1" s="248">
      <c r="A3" s="258">
        <f>'Assigning Weights'!A3</f>
        <v/>
      </c>
      <c r="B3" s="278">
        <f>'Assigning Weights'!B3</f>
        <v/>
      </c>
      <c r="C3" s="279">
        <f>'Assigning Weights'!C3</f>
        <v/>
      </c>
      <c r="D3" s="279">
        <f>'Assigning Weights'!D3</f>
        <v/>
      </c>
      <c r="E3" s="279">
        <f>'Assigning Weights'!E3</f>
        <v/>
      </c>
      <c r="F3" s="280">
        <f>'Assigning Weights'!F3</f>
        <v/>
      </c>
      <c r="G3" s="281" t="n"/>
      <c r="H3" s="281" t="n"/>
    </row>
    <row r="4" ht="12" customHeight="1" s="248">
      <c r="A4" s="258">
        <f>'Assigning Weights'!A4</f>
        <v/>
      </c>
      <c r="B4" s="282">
        <f>'Assigning Weights'!B4</f>
        <v/>
      </c>
      <c r="C4" s="283">
        <f>'Assigning Weights'!C4</f>
        <v/>
      </c>
      <c r="D4" s="283">
        <f>'Assigning Weights'!D4</f>
        <v/>
      </c>
      <c r="E4" s="283">
        <f>'Assigning Weights'!E4</f>
        <v/>
      </c>
      <c r="F4" s="284">
        <f>'Assigning Weights'!F4</f>
        <v/>
      </c>
      <c r="G4" s="281" t="n"/>
      <c r="H4" s="281" t="n"/>
    </row>
    <row r="5" ht="12" customHeight="1" s="248">
      <c r="A5" s="258">
        <f>'Assigning Weights'!A5</f>
        <v/>
      </c>
      <c r="B5" s="282">
        <f>'Assigning Weights'!B5</f>
        <v/>
      </c>
      <c r="C5" s="285">
        <f>'Assigning Weights'!C5</f>
        <v/>
      </c>
      <c r="D5" s="283">
        <f>'Assigning Weights'!D5</f>
        <v/>
      </c>
      <c r="E5" s="283">
        <f>'Assigning Weights'!E5</f>
        <v/>
      </c>
      <c r="F5" s="284">
        <f>'Assigning Weights'!F5</f>
        <v/>
      </c>
      <c r="G5" s="281" t="n"/>
      <c r="H5" s="281" t="n"/>
    </row>
    <row r="6" ht="12" customHeight="1" s="248">
      <c r="A6" s="258">
        <f>'Assigning Weights'!A6</f>
        <v/>
      </c>
      <c r="B6" s="282">
        <f>'Assigning Weights'!B6</f>
        <v/>
      </c>
      <c r="C6" s="285">
        <f>'Assigning Weights'!C6</f>
        <v/>
      </c>
      <c r="D6" s="285">
        <f>'Assigning Weights'!D6</f>
        <v/>
      </c>
      <c r="E6" s="283">
        <f>'Assigning Weights'!E6</f>
        <v/>
      </c>
      <c r="F6" s="284">
        <f>'Assigning Weights'!F6</f>
        <v/>
      </c>
      <c r="G6" s="281" t="n"/>
      <c r="H6" s="281" t="n"/>
    </row>
    <row r="7" ht="12.75" customHeight="1" s="248">
      <c r="A7" s="258">
        <f>'Assigning Weights'!A7</f>
        <v/>
      </c>
      <c r="B7" s="286">
        <f>'Assigning Weights'!B7</f>
        <v/>
      </c>
      <c r="C7" s="287">
        <f>'Assigning Weights'!C7</f>
        <v/>
      </c>
      <c r="D7" s="287">
        <f>'Assigning Weights'!D7</f>
        <v/>
      </c>
      <c r="E7" s="287">
        <f>'Assigning Weights'!E7</f>
        <v/>
      </c>
      <c r="F7" s="288">
        <f>'Assigning Weights'!F7</f>
        <v/>
      </c>
      <c r="G7" s="281" t="n"/>
      <c r="H7" s="281" t="n"/>
    </row>
    <row r="8" ht="12" customHeight="1" s="248">
      <c r="A8" s="289" t="inlineStr">
        <is>
          <t>Totals</t>
        </is>
      </c>
      <c r="B8" s="283">
        <f>SUM(B3:B7)</f>
        <v/>
      </c>
      <c r="C8" s="283">
        <f>SUM(C3:C7)</f>
        <v/>
      </c>
      <c r="D8" s="283">
        <f>SUM(D3:D7)</f>
        <v/>
      </c>
      <c r="E8" s="283">
        <f>SUM(E3:E7)</f>
        <v/>
      </c>
      <c r="F8" s="283">
        <f>SUM(F3:F7)</f>
        <v/>
      </c>
      <c r="G8" s="281" t="n"/>
      <c r="H8" s="281" t="n"/>
    </row>
    <row r="9" ht="12" customHeight="1" s="248">
      <c r="A9" s="258" t="n"/>
      <c r="B9" s="272" t="n"/>
      <c r="C9" s="272" t="n"/>
      <c r="D9" s="272" t="n"/>
      <c r="E9" s="272" t="n"/>
      <c r="F9" s="272" t="n"/>
      <c r="G9" s="281" t="n"/>
      <c r="H9" s="281" t="n"/>
    </row>
    <row r="10" ht="12" customHeight="1" s="248">
      <c r="A10" s="271" t="inlineStr">
        <is>
          <t>Proportions</t>
        </is>
      </c>
      <c r="B10" s="272" t="n"/>
      <c r="C10" s="272" t="n"/>
      <c r="D10" s="272" t="n"/>
      <c r="E10" s="272" t="n"/>
      <c r="F10" s="272" t="n"/>
      <c r="G10" s="281" t="n"/>
      <c r="H10" s="281" t="n"/>
    </row>
    <row r="11" ht="12.75" customHeight="1" s="248">
      <c r="A11" s="258" t="n"/>
      <c r="B11" s="277">
        <f>B2</f>
        <v/>
      </c>
      <c r="C11" s="277">
        <f>C2</f>
        <v/>
      </c>
      <c r="D11" s="277">
        <f>D2</f>
        <v/>
      </c>
      <c r="E11" s="277">
        <f>E2</f>
        <v/>
      </c>
      <c r="F11" s="277">
        <f>F2</f>
        <v/>
      </c>
      <c r="G11" s="271" t="inlineStr">
        <is>
          <t>Sums</t>
        </is>
      </c>
      <c r="H11" s="290" t="inlineStr">
        <is>
          <t>Averages</t>
        </is>
      </c>
    </row>
    <row r="12" ht="12" customHeight="1" s="248">
      <c r="A12" s="258">
        <f>A3</f>
        <v/>
      </c>
      <c r="B12" s="278">
        <f>B3/B$8</f>
        <v/>
      </c>
      <c r="C12" s="279">
        <f>C3/C$8</f>
        <v/>
      </c>
      <c r="D12" s="279">
        <f>D3/D$8</f>
        <v/>
      </c>
      <c r="E12" s="279">
        <f>E3/E$8</f>
        <v/>
      </c>
      <c r="F12" s="280">
        <f>F3/F$8</f>
        <v/>
      </c>
      <c r="G12" s="264">
        <f>SUM(B12:F12)</f>
        <v/>
      </c>
      <c r="H12" s="291">
        <f>G12/5</f>
        <v/>
      </c>
    </row>
    <row r="13" ht="12" customHeight="1" s="248">
      <c r="A13" s="258">
        <f>A4</f>
        <v/>
      </c>
      <c r="B13" s="292">
        <f>B4/B$8</f>
        <v/>
      </c>
      <c r="C13" s="283">
        <f>C4/C$8</f>
        <v/>
      </c>
      <c r="D13" s="283">
        <f>D4/D$8</f>
        <v/>
      </c>
      <c r="E13" s="283">
        <f>E4/E$8</f>
        <v/>
      </c>
      <c r="F13" s="284">
        <f>F4/F$8</f>
        <v/>
      </c>
      <c r="G13" s="264">
        <f>SUM(B13:F13)</f>
        <v/>
      </c>
      <c r="H13" s="291">
        <f>G13/5</f>
        <v/>
      </c>
    </row>
    <row r="14" ht="12" customHeight="1" s="248">
      <c r="A14" s="258">
        <f>A5</f>
        <v/>
      </c>
      <c r="B14" s="292">
        <f>B5/B$8</f>
        <v/>
      </c>
      <c r="C14" s="283">
        <f>C5/C$8</f>
        <v/>
      </c>
      <c r="D14" s="283">
        <f>D5/D$8</f>
        <v/>
      </c>
      <c r="E14" s="283">
        <f>E5/E$8</f>
        <v/>
      </c>
      <c r="F14" s="284">
        <f>F5/F$8</f>
        <v/>
      </c>
      <c r="G14" s="264">
        <f>SUM(B14:F14)</f>
        <v/>
      </c>
      <c r="H14" s="291">
        <f>G14/5</f>
        <v/>
      </c>
    </row>
    <row r="15" ht="12" customHeight="1" s="248">
      <c r="A15" s="258">
        <f>A6</f>
        <v/>
      </c>
      <c r="B15" s="292">
        <f>B6/B$8</f>
        <v/>
      </c>
      <c r="C15" s="283">
        <f>C6/C$8</f>
        <v/>
      </c>
      <c r="D15" s="283">
        <f>D6/D$8</f>
        <v/>
      </c>
      <c r="E15" s="283">
        <f>E6/E$8</f>
        <v/>
      </c>
      <c r="F15" s="284">
        <f>F6/F$8</f>
        <v/>
      </c>
      <c r="G15" s="264">
        <f>SUM(B15:F15)</f>
        <v/>
      </c>
      <c r="H15" s="291">
        <f>G15/5</f>
        <v/>
      </c>
    </row>
    <row r="16" ht="12.75" customHeight="1" s="248">
      <c r="A16" s="258">
        <f>A7</f>
        <v/>
      </c>
      <c r="B16" s="293">
        <f>B7/B$8</f>
        <v/>
      </c>
      <c r="C16" s="294">
        <f>C7/C$8</f>
        <v/>
      </c>
      <c r="D16" s="294">
        <f>D7/D$8</f>
        <v/>
      </c>
      <c r="E16" s="294">
        <f>E7/E$8</f>
        <v/>
      </c>
      <c r="F16" s="288">
        <f>F7/F$8</f>
        <v/>
      </c>
      <c r="G16" s="264">
        <f>SUM(B16:F16)</f>
        <v/>
      </c>
      <c r="H16" s="291">
        <f>G16/5</f>
        <v/>
      </c>
    </row>
    <row r="17" ht="12" customHeight="1" s="248">
      <c r="A17" s="289" t="inlineStr">
        <is>
          <t>Totals</t>
        </is>
      </c>
      <c r="B17" s="283">
        <f>SUM(B12:B16)</f>
        <v/>
      </c>
      <c r="C17" s="283">
        <f>SUM(C12:C16)</f>
        <v/>
      </c>
      <c r="D17" s="283">
        <f>SUM(D12:D16)</f>
        <v/>
      </c>
      <c r="E17" s="283">
        <f>SUM(E12:E16)</f>
        <v/>
      </c>
      <c r="F17" s="283">
        <f>SUM(F12:F16)</f>
        <v/>
      </c>
      <c r="G17" s="264" t="n"/>
      <c r="H17" s="291">
        <f>SUM(H12:H16)</f>
        <v/>
      </c>
    </row>
    <row r="18" ht="12" customHeight="1" s="248">
      <c r="A18" s="256" t="n"/>
      <c r="B18" s="256" t="n"/>
      <c r="C18" s="256" t="n"/>
      <c r="D18" s="256" t="n"/>
      <c r="E18" s="256" t="n"/>
      <c r="F18" s="256" t="n"/>
      <c r="G18" s="256" t="n"/>
      <c r="H18" s="256" t="n"/>
    </row>
    <row r="19" ht="12" customHeight="1" s="248">
      <c r="A19" s="256" t="n"/>
      <c r="B19" s="256" t="n"/>
      <c r="C19" s="256" t="n"/>
      <c r="D19" s="256" t="n"/>
      <c r="E19" s="256" t="n"/>
      <c r="F19" s="256" t="n"/>
      <c r="G19" s="256" t="n"/>
      <c r="H19" s="256" t="n"/>
    </row>
    <row r="21" ht="12" customHeight="1" s="248">
      <c r="A21" s="275" t="inlineStr">
        <is>
          <t>Importance of Customer's Attributes</t>
        </is>
      </c>
      <c r="B21" s="295" t="n"/>
      <c r="C21" s="281" t="n"/>
      <c r="D21" s="296" t="n"/>
      <c r="E21" s="296" t="n"/>
      <c r="F21" s="296" t="n"/>
      <c r="G21" s="296" t="n"/>
      <c r="H21" s="296" t="n"/>
    </row>
    <row r="22" ht="12" customHeight="1" s="248">
      <c r="A22" s="297" t="n"/>
      <c r="B22" s="281" t="n"/>
      <c r="C22" s="281" t="n"/>
      <c r="D22" s="296" t="n"/>
      <c r="E22" s="296" t="n"/>
      <c r="F22" s="296" t="n"/>
      <c r="G22" s="296" t="n"/>
      <c r="H22" s="296" t="n"/>
    </row>
    <row r="23" ht="12" customHeight="1" s="248">
      <c r="A23" s="272" t="n"/>
      <c r="B23" s="277" t="inlineStr">
        <is>
          <t>Grant</t>
        </is>
      </c>
      <c r="C23" s="277" t="inlineStr">
        <is>
          <t>Deny</t>
        </is>
      </c>
      <c r="D23" s="298" t="n"/>
      <c r="E23" s="296" t="n"/>
      <c r="F23" s="296" t="n"/>
      <c r="G23" s="296" t="n"/>
      <c r="H23" s="296" t="n"/>
    </row>
    <row r="24" ht="12.75" customHeight="1" s="248">
      <c r="A24" s="281" t="n"/>
      <c r="B24" s="277" t="inlineStr">
        <is>
          <t>Credit</t>
        </is>
      </c>
      <c r="C24" s="277" t="inlineStr">
        <is>
          <t>Credit</t>
        </is>
      </c>
      <c r="D24" s="299" t="n"/>
      <c r="E24" s="277" t="inlineStr">
        <is>
          <t>Strength</t>
        </is>
      </c>
      <c r="F24" s="300" t="n"/>
      <c r="G24" s="296" t="n"/>
      <c r="H24" s="296" t="n"/>
    </row>
    <row r="25" ht="12" customHeight="1" s="248">
      <c r="A25" s="258">
        <f>'Assigning Weights'!A3</f>
        <v/>
      </c>
      <c r="B25" s="301" t="n">
        <v>1</v>
      </c>
      <c r="C25" s="302" t="n">
        <v>5</v>
      </c>
      <c r="D25" s="303" t="n"/>
      <c r="E25" s="301">
        <f>C25/(B25+C25)</f>
        <v/>
      </c>
      <c r="F25" s="304" t="n"/>
      <c r="G25" s="296" t="n"/>
      <c r="H25" s="296" t="n"/>
    </row>
    <row r="26" ht="12" customHeight="1" s="248">
      <c r="A26" s="258">
        <f>'Assigning Weights'!A4</f>
        <v/>
      </c>
      <c r="B26" s="305" t="n">
        <v>1</v>
      </c>
      <c r="C26" s="306" t="n">
        <v>7</v>
      </c>
      <c r="D26" s="303" t="n"/>
      <c r="E26" s="305">
        <f>C26/(B26+C26)</f>
        <v/>
      </c>
      <c r="F26" s="304" t="n"/>
      <c r="G26" s="296" t="n"/>
      <c r="H26" s="296" t="n"/>
    </row>
    <row r="27" ht="12" customHeight="1" s="248">
      <c r="A27" s="258">
        <f>'Assigning Weights'!A5</f>
        <v/>
      </c>
      <c r="B27" s="305" t="n">
        <v>1</v>
      </c>
      <c r="C27" s="306">
        <f>1/3</f>
        <v/>
      </c>
      <c r="D27" s="303" t="n"/>
      <c r="E27" s="305">
        <f>C27/(B27+C27)</f>
        <v/>
      </c>
      <c r="F27" s="304" t="n"/>
      <c r="G27" s="296" t="n"/>
      <c r="H27" s="296" t="n"/>
    </row>
    <row r="28" ht="12" customHeight="1" s="248">
      <c r="A28" s="258">
        <f>'Assigning Weights'!A6</f>
        <v/>
      </c>
      <c r="B28" s="305" t="n">
        <v>1</v>
      </c>
      <c r="C28" s="306" t="n">
        <v>3</v>
      </c>
      <c r="D28" s="303" t="n"/>
      <c r="E28" s="305">
        <f>C28/(B28+C28)</f>
        <v/>
      </c>
      <c r="F28" s="304" t="n"/>
      <c r="G28" s="296" t="n"/>
      <c r="H28" s="296" t="n"/>
    </row>
    <row r="29" ht="12.75" customHeight="1" s="248">
      <c r="A29" s="258">
        <f>'Assigning Weights'!A7</f>
        <v/>
      </c>
      <c r="B29" s="307" t="n">
        <v>1</v>
      </c>
      <c r="C29" s="308" t="n">
        <v>5</v>
      </c>
      <c r="D29" s="303" t="n"/>
      <c r="E29" s="307">
        <f>C29/(B29+C29)</f>
        <v/>
      </c>
      <c r="F29" s="304" t="n"/>
      <c r="G29" s="296" t="n"/>
      <c r="H29" s="296" t="n"/>
    </row>
    <row r="30" ht="12" customHeight="1" s="248">
      <c r="A30" s="258" t="n"/>
      <c r="B30" s="272" t="n"/>
      <c r="C30" s="272" t="n"/>
      <c r="D30" s="296" t="n"/>
      <c r="E30" s="296" t="n"/>
      <c r="F30" s="296" t="n"/>
      <c r="G30" s="296" t="n"/>
      <c r="H30" s="296" t="n"/>
    </row>
    <row r="31" ht="12" customHeight="1" s="248">
      <c r="A31" s="271" t="inlineStr">
        <is>
          <t>Possible Scores</t>
        </is>
      </c>
      <c r="B31" s="271" t="inlineStr">
        <is>
          <t>Score</t>
        </is>
      </c>
      <c r="C31" s="271" t="inlineStr">
        <is>
          <t>Reciprocal</t>
        </is>
      </c>
      <c r="D31" s="296" t="n"/>
      <c r="E31" s="296" t="n"/>
      <c r="F31" s="296" t="n"/>
      <c r="G31" s="296" t="n"/>
      <c r="H31" s="296" t="n"/>
    </row>
    <row r="32" ht="12" customHeight="1" s="248">
      <c r="A32" s="309">
        <f>'Assigning Weights'!A10</f>
        <v/>
      </c>
      <c r="B32" s="273">
        <f>'Assigning Weights'!B10</f>
        <v/>
      </c>
      <c r="C32" s="264">
        <f>'Assigning Weights'!C10</f>
        <v/>
      </c>
      <c r="D32" s="296" t="n"/>
      <c r="E32" s="296" t="n"/>
      <c r="F32" s="296" t="n"/>
      <c r="G32" s="296" t="n"/>
      <c r="H32" s="296" t="n"/>
    </row>
    <row r="33" ht="12" customHeight="1" s="248">
      <c r="A33" s="310">
        <f>'Assigning Weights'!A11</f>
        <v/>
      </c>
      <c r="B33" s="273">
        <f>'Assigning Weights'!B11</f>
        <v/>
      </c>
      <c r="C33" s="264">
        <f>'Assigning Weights'!C11</f>
        <v/>
      </c>
      <c r="D33" s="296" t="n"/>
      <c r="E33" s="296" t="n"/>
      <c r="F33" s="296" t="n"/>
      <c r="G33" s="296" t="n"/>
      <c r="H33" s="296" t="n"/>
    </row>
    <row r="34" ht="12" customHeight="1" s="248">
      <c r="A34" s="309">
        <f>'Assigning Weights'!A12</f>
        <v/>
      </c>
      <c r="B34" s="273">
        <f>'Assigning Weights'!B12</f>
        <v/>
      </c>
      <c r="C34" s="264">
        <f>'Assigning Weights'!C12</f>
        <v/>
      </c>
      <c r="D34" s="296" t="n"/>
      <c r="E34" s="296" t="n"/>
      <c r="F34" s="296" t="n"/>
      <c r="G34" s="296" t="n"/>
      <c r="H34" s="296" t="n"/>
    </row>
    <row r="35" ht="12" customHeight="1" s="248">
      <c r="A35" s="310">
        <f>'Assigning Weights'!A13</f>
        <v/>
      </c>
      <c r="B35" s="273">
        <f>'Assigning Weights'!B13</f>
        <v/>
      </c>
      <c r="C35" s="264">
        <f>'Assigning Weights'!C13</f>
        <v/>
      </c>
      <c r="D35" s="296" t="n"/>
      <c r="E35" s="296" t="n"/>
      <c r="F35" s="296" t="n"/>
      <c r="G35" s="296" t="n"/>
      <c r="H35" s="296" t="n"/>
    </row>
    <row r="36" ht="12" customHeight="1" s="248">
      <c r="A36" s="309">
        <f>'Assigning Weights'!A14</f>
        <v/>
      </c>
      <c r="B36" s="273">
        <f>'Assigning Weights'!B14</f>
        <v/>
      </c>
      <c r="C36" s="264">
        <f>'Assigning Weights'!C14</f>
        <v/>
      </c>
      <c r="D36" s="296" t="n"/>
      <c r="E36" s="296" t="n"/>
      <c r="F36" s="296" t="n"/>
      <c r="G36" s="296" t="n"/>
      <c r="H36" s="296" t="n"/>
    </row>
    <row r="37" ht="12" customHeight="1" s="248">
      <c r="A37" s="310">
        <f>'Assigning Weights'!A15</f>
        <v/>
      </c>
      <c r="B37" s="273">
        <f>'Assigning Weights'!B15</f>
        <v/>
      </c>
      <c r="C37" s="264">
        <f>'Assigning Weights'!C15</f>
        <v/>
      </c>
      <c r="D37" s="296" t="n"/>
      <c r="E37" s="296" t="n"/>
      <c r="F37" s="296" t="n"/>
      <c r="G37" s="296" t="n"/>
      <c r="H37" s="296" t="n"/>
    </row>
    <row r="38" ht="12" customHeight="1" s="248">
      <c r="A38" s="309">
        <f>'Assigning Weights'!A16</f>
        <v/>
      </c>
      <c r="B38" s="273">
        <f>'Assigning Weights'!B16</f>
        <v/>
      </c>
      <c r="C38" s="264">
        <f>'Assigning Weights'!C16</f>
        <v/>
      </c>
      <c r="D38" s="296" t="n"/>
      <c r="E38" s="296" t="n"/>
      <c r="F38" s="296" t="n"/>
      <c r="G38" s="296" t="n"/>
      <c r="H38" s="296" t="n"/>
    </row>
    <row r="39" ht="12" customHeight="1" s="248">
      <c r="A39" s="310">
        <f>'Assigning Weights'!A17</f>
        <v/>
      </c>
      <c r="B39" s="273">
        <f>'Assigning Weights'!B17</f>
        <v/>
      </c>
      <c r="C39" s="264">
        <f>'Assigning Weights'!C17</f>
        <v/>
      </c>
      <c r="D39" s="296" t="n"/>
      <c r="E39" s="296" t="n"/>
      <c r="F39" s="296" t="n"/>
      <c r="G39" s="296" t="n"/>
      <c r="H39" s="296" t="n"/>
    </row>
    <row r="40" ht="12" customHeight="1" s="248">
      <c r="A40" s="309">
        <f>'Assigning Weights'!A18</f>
        <v/>
      </c>
      <c r="B40" s="273">
        <f>'Assigning Weights'!B18</f>
        <v/>
      </c>
      <c r="C40" s="264">
        <f>'Assigning Weights'!C18</f>
        <v/>
      </c>
      <c r="D40" s="296" t="n"/>
      <c r="E40" s="296" t="n"/>
      <c r="F40" s="296" t="n"/>
      <c r="G40" s="296" t="n"/>
      <c r="H40" s="296" t="n"/>
    </row>
    <row r="41" ht="12" customHeight="1" s="248">
      <c r="A41" s="296" t="n"/>
      <c r="B41" s="296" t="n"/>
      <c r="C41" s="296" t="n"/>
      <c r="D41" s="296" t="n"/>
      <c r="E41" s="296" t="n"/>
      <c r="F41" s="296" t="n"/>
      <c r="G41" s="296" t="n"/>
      <c r="H41" s="296" t="n"/>
    </row>
    <row r="42" ht="12" customHeight="1" s="248">
      <c r="A42" s="296" t="n"/>
      <c r="B42" s="296" t="n"/>
      <c r="C42" s="296" t="n"/>
      <c r="D42" s="296" t="n"/>
      <c r="E42" s="296" t="n"/>
      <c r="F42" s="296" t="n"/>
      <c r="G42" s="296" t="n"/>
      <c r="H42" s="296" t="n"/>
    </row>
    <row r="43" ht="12" customHeight="1" s="248">
      <c r="A43" s="256" t="n"/>
      <c r="B43" s="256" t="n"/>
      <c r="C43" s="256" t="n"/>
      <c r="D43" s="256" t="n"/>
      <c r="E43" s="256" t="n"/>
      <c r="F43" s="256" t="n"/>
      <c r="G43" s="256" t="n"/>
      <c r="H43" s="256" t="n"/>
    </row>
    <row r="44" ht="12" customHeight="1" s="248">
      <c r="A44" s="256" t="n"/>
      <c r="B44" s="256" t="n"/>
      <c r="C44" s="256" t="n"/>
      <c r="D44" s="256" t="n"/>
      <c r="E44" s="256" t="n"/>
      <c r="F44" s="256" t="n"/>
      <c r="G44" s="256" t="n"/>
      <c r="H44" s="256" t="n"/>
    </row>
    <row r="45" ht="12" customHeight="1" s="248">
      <c r="A45" s="256" t="n"/>
      <c r="B45" s="256" t="n"/>
      <c r="C45" s="256" t="n"/>
      <c r="D45" s="256" t="n"/>
      <c r="E45" s="256" t="n"/>
      <c r="F45" s="256" t="n"/>
      <c r="G45" s="256" t="n"/>
      <c r="H45" s="25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5" activeCellId="0" sqref="H15"/>
    </sheetView>
  </sheetViews>
  <sheetFormatPr baseColWidth="8" defaultColWidth="9.16015625" defaultRowHeight="12" zeroHeight="0" outlineLevelRow="0"/>
  <cols>
    <col width="22.7" customWidth="1" style="253" min="1" max="1"/>
    <col width="5.7" customWidth="1" style="253" min="7" max="7"/>
  </cols>
  <sheetData>
    <row r="1" ht="12" customHeight="1" s="248">
      <c r="A1" s="275" t="inlineStr">
        <is>
          <t>Credit Decision Model</t>
        </is>
      </c>
      <c r="B1" s="281" t="n"/>
      <c r="C1" s="281" t="n"/>
      <c r="D1" s="281" t="n"/>
      <c r="E1" s="281" t="n"/>
      <c r="F1" s="281" t="n"/>
      <c r="G1" s="281" t="n"/>
      <c r="H1" s="281" t="n"/>
      <c r="I1" s="256" t="n"/>
    </row>
    <row r="2" ht="12" customHeight="1" s="248">
      <c r="A2" s="297" t="n"/>
      <c r="B2" s="281" t="n"/>
      <c r="C2" s="258" t="inlineStr">
        <is>
          <t xml:space="preserve">       Customer's</t>
        </is>
      </c>
      <c r="D2" s="258" t="n"/>
      <c r="E2" s="281" t="n"/>
      <c r="F2" s="281" t="n"/>
      <c r="G2" s="281" t="n"/>
      <c r="H2" s="281" t="n"/>
      <c r="I2" s="256" t="n"/>
    </row>
    <row r="3" ht="12" customHeight="1" s="248">
      <c r="A3" s="281" t="n"/>
      <c r="B3" s="277" t="inlineStr">
        <is>
          <t>Relative</t>
        </is>
      </c>
      <c r="C3" s="277" t="inlineStr">
        <is>
          <t>Assessed</t>
        </is>
      </c>
      <c r="D3" s="277" t="inlineStr">
        <is>
          <t>Final</t>
        </is>
      </c>
      <c r="E3" s="281" t="n"/>
      <c r="F3" s="281" t="n"/>
      <c r="G3" s="281" t="n"/>
      <c r="H3" s="281" t="n"/>
      <c r="I3" s="256" t="n"/>
    </row>
    <row r="4" ht="12" customHeight="1" s="248">
      <c r="A4" s="281" t="n"/>
      <c r="B4" s="271" t="inlineStr">
        <is>
          <t>Priority</t>
        </is>
      </c>
      <c r="C4" s="271" t="inlineStr">
        <is>
          <t>Strength</t>
        </is>
      </c>
      <c r="D4" s="271" t="inlineStr">
        <is>
          <t>Weight</t>
        </is>
      </c>
      <c r="E4" s="281" t="n"/>
      <c r="F4" s="281" t="n"/>
      <c r="G4" s="281" t="n"/>
      <c r="H4" s="281" t="n"/>
      <c r="I4" s="256" t="n"/>
    </row>
    <row r="5" ht="12" customHeight="1" s="248">
      <c r="A5" s="258">
        <f>'Assigning Weights'!A3</f>
        <v/>
      </c>
      <c r="B5" s="311">
        <f>'Priorities &amp; Attributes'!H12</f>
        <v/>
      </c>
      <c r="C5" s="312">
        <f>'Priorities &amp; Attributes'!E25</f>
        <v/>
      </c>
      <c r="D5" s="313">
        <f>B5*C5</f>
        <v/>
      </c>
      <c r="E5" s="314" t="n"/>
      <c r="F5" s="315" t="inlineStr">
        <is>
          <t>Credit Decision Inputs</t>
        </is>
      </c>
      <c r="G5" s="316" t="n"/>
      <c r="H5" s="317" t="n"/>
      <c r="I5" s="256" t="n"/>
    </row>
    <row r="6" ht="12" customHeight="1" s="248">
      <c r="A6" s="258">
        <f>'Assigning Weights'!A4</f>
        <v/>
      </c>
      <c r="B6" s="318">
        <f>'Priorities &amp; Attributes'!H13</f>
        <v/>
      </c>
      <c r="C6" s="319">
        <f>'Priorities &amp; Attributes'!E26</f>
        <v/>
      </c>
      <c r="D6" s="320">
        <f>B6*C6</f>
        <v/>
      </c>
      <c r="E6" s="321" t="inlineStr">
        <is>
          <t xml:space="preserve">  Expected sales</t>
        </is>
      </c>
      <c r="F6" s="322" t="n"/>
      <c r="G6" s="323" t="n"/>
      <c r="H6" s="324" t="n">
        <v>200000</v>
      </c>
      <c r="I6" s="256" t="n"/>
    </row>
    <row r="7" ht="12" customHeight="1" s="248">
      <c r="A7" s="258">
        <f>'Assigning Weights'!A5</f>
        <v/>
      </c>
      <c r="B7" s="318">
        <f>'Priorities &amp; Attributes'!H14</f>
        <v/>
      </c>
      <c r="C7" s="319">
        <f>'Priorities &amp; Attributes'!E27</f>
        <v/>
      </c>
      <c r="D7" s="320">
        <f>B7*C7</f>
        <v/>
      </c>
      <c r="E7" s="325" t="inlineStr">
        <is>
          <t xml:space="preserve">  Profit margin</t>
        </is>
      </c>
      <c r="F7" s="326" t="n"/>
      <c r="G7" s="327" t="n"/>
      <c r="H7" s="328" t="n">
        <v>0.05</v>
      </c>
      <c r="I7" s="256" t="n"/>
    </row>
    <row r="8" ht="12" customHeight="1" s="248">
      <c r="A8" s="258">
        <f>'Assigning Weights'!A6</f>
        <v/>
      </c>
      <c r="B8" s="318">
        <f>'Priorities &amp; Attributes'!H15</f>
        <v/>
      </c>
      <c r="C8" s="319">
        <f>'Priorities &amp; Attributes'!E28</f>
        <v/>
      </c>
      <c r="D8" s="320">
        <f>B8*C8</f>
        <v/>
      </c>
      <c r="E8" s="281" t="n"/>
      <c r="F8" s="281" t="n"/>
      <c r="G8" s="281" t="n"/>
      <c r="H8" s="281" t="n"/>
      <c r="I8" s="256" t="n"/>
    </row>
    <row r="9" ht="12" customHeight="1" s="248">
      <c r="A9" s="258">
        <f>'Assigning Weights'!A7</f>
        <v/>
      </c>
      <c r="B9" s="329">
        <f>'Priorities &amp; Attributes'!H16</f>
        <v/>
      </c>
      <c r="C9" s="330">
        <f>'Priorities &amp; Attributes'!E29</f>
        <v/>
      </c>
      <c r="D9" s="331">
        <f>B9*C9</f>
        <v/>
      </c>
      <c r="E9" s="281" t="n"/>
      <c r="F9" s="281" t="n"/>
      <c r="G9" s="281" t="n"/>
      <c r="H9" s="281" t="n"/>
      <c r="I9" s="256" t="n"/>
    </row>
    <row r="10" ht="12" customHeight="1" s="248">
      <c r="A10" s="332" t="inlineStr">
        <is>
          <t xml:space="preserve">                        Relative weight for granting credit</t>
        </is>
      </c>
      <c r="B10" s="333" t="n"/>
      <c r="C10" s="333" t="n"/>
      <c r="D10" s="334" t="n"/>
      <c r="E10" s="281" t="n"/>
      <c r="F10" s="281" t="n"/>
      <c r="G10" s="281" t="n"/>
      <c r="H10" s="281" t="n"/>
      <c r="I10" s="256" t="n"/>
    </row>
    <row r="11" ht="12" customHeight="1" s="248">
      <c r="A11" s="335" t="inlineStr">
        <is>
          <t xml:space="preserve">                        Relative weight for denying credit</t>
        </is>
      </c>
      <c r="B11" s="336" t="n"/>
      <c r="C11" s="336" t="n"/>
      <c r="D11" s="337" t="n"/>
      <c r="E11" s="281" t="n"/>
      <c r="F11" s="281" t="n"/>
      <c r="G11" s="281" t="n"/>
      <c r="H11" s="281" t="n"/>
      <c r="I11" s="256" t="n"/>
    </row>
    <row r="12" ht="12" customHeight="1" s="248">
      <c r="A12" s="271" t="inlineStr">
        <is>
          <t>Model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56" t="n"/>
    </row>
    <row r="13" ht="12" customHeight="1" s="248">
      <c r="A13" s="338" t="inlineStr">
        <is>
          <t>Weight for granting credit</t>
        </is>
      </c>
      <c r="B13" s="319">
        <f>D10</f>
        <v/>
      </c>
      <c r="C13" s="281" t="n"/>
      <c r="D13" s="281" t="n"/>
      <c r="E13" s="339" t="n"/>
      <c r="F13" s="281" t="n"/>
      <c r="G13" s="281" t="n"/>
      <c r="H13" s="281" t="n"/>
      <c r="I13" s="256" t="n"/>
    </row>
    <row r="14" ht="12" customHeight="1" s="248">
      <c r="A14" s="338" t="inlineStr">
        <is>
          <t>x Profit margin</t>
        </is>
      </c>
      <c r="B14" s="340">
        <f>$H$7</f>
        <v/>
      </c>
      <c r="C14" s="281" t="n"/>
      <c r="D14" s="272" t="n"/>
      <c r="E14" s="281" t="n"/>
      <c r="F14" s="281" t="n"/>
      <c r="G14" s="341" t="n"/>
      <c r="H14" s="281" t="n"/>
      <c r="I14" s="256" t="n"/>
    </row>
    <row r="15" ht="12" customHeight="1" s="248">
      <c r="A15" s="338" t="inlineStr">
        <is>
          <t>x Expected sales</t>
        </is>
      </c>
      <c r="B15" s="342">
        <f>$H$6</f>
        <v/>
      </c>
      <c r="C15" s="281" t="n"/>
      <c r="D15" s="272" t="n"/>
      <c r="E15" s="281" t="n"/>
      <c r="F15" s="281" t="n"/>
      <c r="G15" s="343" t="n"/>
      <c r="H15" s="281" t="n"/>
      <c r="I15" s="256" t="n"/>
    </row>
    <row r="16" ht="12" customHeight="1" s="248">
      <c r="A16" s="338" t="inlineStr">
        <is>
          <t>= Expected margin</t>
        </is>
      </c>
      <c r="B16" s="344">
        <f>B13*B14*B15</f>
        <v/>
      </c>
      <c r="C16" s="281" t="n"/>
      <c r="D16" s="272" t="n"/>
      <c r="E16" s="281" t="n"/>
      <c r="F16" s="281" t="n"/>
      <c r="G16" s="345" t="n"/>
      <c r="H16" s="281" t="n"/>
      <c r="I16" s="256" t="n"/>
    </row>
    <row r="17" ht="12" customHeight="1" s="248">
      <c r="A17" s="338" t="inlineStr">
        <is>
          <t>Weight for denying credit</t>
        </is>
      </c>
      <c r="B17" s="319">
        <f>D11</f>
        <v/>
      </c>
      <c r="C17" s="281" t="n"/>
      <c r="D17" s="272" t="n"/>
      <c r="E17" s="281" t="n"/>
      <c r="F17" s="281" t="n"/>
      <c r="G17" s="345" t="n"/>
      <c r="H17" s="346" t="n"/>
      <c r="I17" s="256" t="n"/>
    </row>
    <row r="18" ht="12" customHeight="1" s="248">
      <c r="A18" s="338" t="inlineStr">
        <is>
          <t>x (1 - profit margin)</t>
        </is>
      </c>
      <c r="B18" s="340">
        <f>1-$H$7</f>
        <v/>
      </c>
      <c r="C18" s="281" t="n"/>
      <c r="D18" s="272" t="n"/>
      <c r="E18" s="281" t="n"/>
      <c r="F18" s="281" t="n"/>
      <c r="G18" s="272" t="n"/>
      <c r="H18" s="281" t="n"/>
      <c r="I18" s="256" t="n"/>
    </row>
    <row r="19" ht="12" customHeight="1" s="248">
      <c r="A19" s="338" t="inlineStr">
        <is>
          <t>x Expected sales</t>
        </is>
      </c>
      <c r="B19" s="342">
        <f>$H$6</f>
        <v/>
      </c>
      <c r="C19" s="281" t="n"/>
      <c r="D19" s="272" t="n"/>
      <c r="E19" s="281" t="n"/>
      <c r="F19" s="281" t="n"/>
      <c r="G19" s="341" t="n"/>
      <c r="H19" s="281" t="n"/>
      <c r="I19" s="256" t="n"/>
    </row>
    <row r="20" ht="12" customHeight="1" s="248">
      <c r="A20" s="338" t="inlineStr">
        <is>
          <t>= Expected cost</t>
        </is>
      </c>
      <c r="B20" s="344">
        <f>B17*B18*B19</f>
        <v/>
      </c>
      <c r="C20" s="281" t="n"/>
      <c r="D20" s="272" t="n"/>
      <c r="E20" s="281" t="n"/>
      <c r="F20" s="281" t="n"/>
      <c r="G20" s="343" t="n"/>
      <c r="H20" s="281" t="n"/>
      <c r="I20" s="256" t="n"/>
    </row>
    <row r="21" ht="12" customHeight="1" s="248">
      <c r="A21" s="338" t="inlineStr">
        <is>
          <t>Expected net benefit</t>
        </is>
      </c>
      <c r="B21" s="347">
        <f>B16-B20</f>
        <v/>
      </c>
      <c r="C21" s="348">
        <f>IF(B21&lt;0,"Deny credit request for a line of credit equal to the expected sales.","Grant  credit request for a line of credit equal to the expected sales.")</f>
        <v/>
      </c>
      <c r="D21" s="349" t="n"/>
      <c r="E21" s="350" t="n"/>
      <c r="F21" s="350" t="n"/>
      <c r="G21" s="351" t="n"/>
      <c r="H21" s="352" t="n"/>
      <c r="I21" s="353" t="n"/>
    </row>
    <row r="22" ht="12" customHeight="1" s="248">
      <c r="A22" s="256" t="n"/>
      <c r="B22" s="256" t="n"/>
      <c r="C22" s="354" t="inlineStr">
        <is>
          <t>Click to the next page to see how much credit should be extended.</t>
        </is>
      </c>
      <c r="D22" s="355" t="n"/>
      <c r="E22" s="355" t="n"/>
      <c r="F22" s="355" t="n"/>
      <c r="G22" s="355" t="n"/>
      <c r="H22" s="356" t="n"/>
      <c r="I22" s="256" t="n"/>
    </row>
    <row r="23" ht="12" customHeight="1" s="248">
      <c r="A23" s="256" t="n"/>
      <c r="B23" s="256" t="n"/>
      <c r="C23" s="256" t="n"/>
      <c r="D23" s="256" t="n"/>
      <c r="E23" s="256" t="n"/>
      <c r="F23" s="256" t="n"/>
      <c r="G23" s="256" t="n"/>
      <c r="H23" s="256" t="n"/>
      <c r="I23" s="25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0" activeCellId="0" sqref="F10"/>
    </sheetView>
  </sheetViews>
  <sheetFormatPr baseColWidth="8" defaultColWidth="9.16015625" defaultRowHeight="12" zeroHeight="0" outlineLevelRow="0"/>
  <cols>
    <col width="36.7" customWidth="1" style="357" min="1" max="1"/>
    <col width="4.7" customWidth="1" style="358" min="2" max="2"/>
    <col width="10.7" customWidth="1" style="253" min="3" max="4"/>
    <col width="9.699999999999999" customWidth="1" style="253" min="5" max="9"/>
  </cols>
  <sheetData>
    <row r="1" ht="12" customHeight="1" s="248">
      <c r="A1" s="275" t="inlineStr">
        <is>
          <t>Credit Line Range With Collateral</t>
        </is>
      </c>
      <c r="B1" s="359" t="n"/>
      <c r="C1" s="360" t="n"/>
      <c r="D1" s="281" t="n"/>
      <c r="E1" s="281" t="n"/>
      <c r="F1" s="281" t="n"/>
      <c r="G1" s="281" t="n"/>
      <c r="H1" s="281" t="n"/>
      <c r="I1" s="262" t="n"/>
      <c r="J1" s="262" t="n"/>
    </row>
    <row r="2" ht="12" customHeight="1" s="248">
      <c r="A2" s="272" t="n"/>
      <c r="B2" s="273" t="n"/>
      <c r="C2" s="271" t="n"/>
      <c r="D2" s="281" t="n"/>
      <c r="E2" s="271" t="n"/>
      <c r="F2" s="281" t="n"/>
      <c r="G2" s="271" t="n"/>
      <c r="H2" s="271" t="n"/>
      <c r="I2" s="361" t="n"/>
      <c r="J2" s="262" t="n"/>
    </row>
    <row r="3" ht="12" customHeight="1" s="248">
      <c r="A3" s="362" t="inlineStr">
        <is>
          <t>Expected benefit is:</t>
        </is>
      </c>
      <c r="B3" s="363" t="n"/>
      <c r="C3" s="364" t="n"/>
      <c r="D3" s="281" t="n"/>
      <c r="E3" s="271" t="n"/>
      <c r="F3" s="281" t="n"/>
      <c r="G3" s="271" t="n"/>
      <c r="H3" s="271" t="n"/>
      <c r="I3" s="361" t="n"/>
      <c r="J3" s="262" t="n"/>
    </row>
    <row r="4" ht="12" customHeight="1" s="248">
      <c r="A4" s="365" t="inlineStr">
        <is>
          <t xml:space="preserve">     Sales</t>
        </is>
      </c>
      <c r="B4" s="363" t="n"/>
      <c r="C4" s="366">
        <f>'Credit Decision'!H6</f>
        <v/>
      </c>
      <c r="D4" s="272" t="n"/>
      <c r="E4" s="345" t="n"/>
      <c r="F4" s="281" t="n"/>
      <c r="G4" s="272" t="n"/>
      <c r="H4" s="367" t="n"/>
      <c r="I4" s="368" t="n"/>
      <c r="J4" s="262" t="n"/>
    </row>
    <row r="5" ht="12" customHeight="1" s="248">
      <c r="A5" s="365" t="inlineStr">
        <is>
          <t xml:space="preserve">     Profit margin</t>
        </is>
      </c>
      <c r="B5" s="363" t="n"/>
      <c r="C5" s="369">
        <f>'Credit Decision'!H7</f>
        <v/>
      </c>
      <c r="D5" s="272" t="n"/>
      <c r="E5" s="343" t="n"/>
      <c r="F5" s="281" t="n"/>
      <c r="G5" s="370" t="n"/>
      <c r="H5" s="272" t="n"/>
      <c r="I5" s="371" t="n"/>
      <c r="J5" s="262" t="n"/>
    </row>
    <row r="6" ht="12" customHeight="1" s="248">
      <c r="A6" s="365" t="inlineStr">
        <is>
          <t xml:space="preserve">     Profit with no default</t>
        </is>
      </c>
      <c r="B6" s="363" t="n"/>
      <c r="C6" s="372">
        <f>C4*C5</f>
        <v/>
      </c>
      <c r="D6" s="272" t="n"/>
      <c r="E6" s="341" t="n"/>
      <c r="F6" s="281" t="n"/>
      <c r="G6" s="272" t="n"/>
      <c r="H6" s="373" t="n"/>
      <c r="I6" s="374" t="n"/>
      <c r="J6" s="262" t="n"/>
    </row>
    <row r="7" ht="12" customHeight="1" s="248">
      <c r="A7" s="365" t="inlineStr">
        <is>
          <t xml:space="preserve">     However, no default is expected</t>
        </is>
      </c>
      <c r="B7" s="363" t="n"/>
      <c r="C7" s="375">
        <f>'Credit Decision'!D10</f>
        <v/>
      </c>
      <c r="D7" s="272" t="n"/>
      <c r="E7" s="367" t="n"/>
      <c r="F7" s="346" t="n"/>
      <c r="G7" s="272" t="n"/>
      <c r="H7" s="341" t="n"/>
      <c r="I7" s="376" t="n"/>
      <c r="J7" s="262" t="n"/>
    </row>
    <row r="8" ht="12" customHeight="1" s="248">
      <c r="A8" s="365" t="inlineStr">
        <is>
          <t xml:space="preserve">     Thus, expected profit is</t>
        </is>
      </c>
      <c r="B8" s="377" t="inlineStr">
        <is>
          <t>A</t>
        </is>
      </c>
      <c r="C8" s="378">
        <f>C6*C7</f>
        <v/>
      </c>
      <c r="D8" s="272" t="n"/>
      <c r="E8" s="272" t="n"/>
      <c r="F8" s="281" t="n"/>
      <c r="G8" s="272" t="n"/>
      <c r="H8" s="343" t="n"/>
      <c r="I8" s="379" t="n"/>
      <c r="J8" s="262" t="n"/>
    </row>
    <row r="9" ht="12" customHeight="1" s="248">
      <c r="A9" s="365" t="n"/>
      <c r="B9" s="363" t="n"/>
      <c r="C9" s="380" t="n"/>
      <c r="D9" s="272" t="n"/>
      <c r="E9" s="341" t="n"/>
      <c r="F9" s="281" t="n"/>
      <c r="G9" s="272" t="n"/>
      <c r="H9" s="373" t="n"/>
      <c r="I9" s="374" t="n"/>
      <c r="J9" s="262" t="n"/>
    </row>
    <row r="10" ht="12" customHeight="1" s="248">
      <c r="A10" s="362" t="inlineStr">
        <is>
          <t>Expected cost is:</t>
        </is>
      </c>
      <c r="B10" s="363" t="n"/>
      <c r="C10" s="381" t="n"/>
      <c r="D10" s="272" t="n"/>
      <c r="E10" s="343" t="n"/>
      <c r="F10" s="281" t="n"/>
      <c r="G10" s="272" t="n"/>
      <c r="H10" s="373" t="n"/>
      <c r="I10" s="374" t="n"/>
      <c r="J10" s="262" t="n"/>
    </row>
    <row r="11" ht="12" customHeight="1" s="248">
      <c r="A11" s="365" t="inlineStr">
        <is>
          <t xml:space="preserve">     Sales</t>
        </is>
      </c>
      <c r="B11" s="363" t="n"/>
      <c r="C11" s="372">
        <f>C4</f>
        <v/>
      </c>
      <c r="D11" s="272" t="n"/>
      <c r="E11" s="341" t="n"/>
      <c r="F11" s="346" t="n"/>
      <c r="G11" s="272" t="n"/>
      <c r="H11" s="272" t="n"/>
      <c r="I11" s="371" t="n"/>
      <c r="J11" s="262" t="n"/>
    </row>
    <row r="12" ht="12" customHeight="1" s="248">
      <c r="A12" s="365" t="inlineStr">
        <is>
          <t xml:space="preserve">     Cost percentage</t>
        </is>
      </c>
      <c r="B12" s="363" t="n"/>
      <c r="C12" s="369">
        <f>1-C5</f>
        <v/>
      </c>
      <c r="D12" s="346" t="n"/>
      <c r="E12" s="341" t="n"/>
      <c r="F12" s="346" t="n"/>
      <c r="G12" s="272" t="n"/>
      <c r="H12" s="272" t="n"/>
      <c r="I12" s="371" t="n"/>
      <c r="J12" s="262" t="n"/>
    </row>
    <row r="13" ht="12" customHeight="1" s="248">
      <c r="A13" s="365" t="inlineStr">
        <is>
          <t xml:space="preserve">     Cost of sales</t>
        </is>
      </c>
      <c r="B13" s="363" t="n"/>
      <c r="C13" s="372">
        <f>C11*C12</f>
        <v/>
      </c>
      <c r="D13" s="346" t="n"/>
      <c r="E13" s="341" t="n"/>
      <c r="F13" s="346" t="n"/>
      <c r="G13" s="272" t="n"/>
      <c r="H13" s="272" t="n"/>
      <c r="I13" s="371" t="n"/>
      <c r="J13" s="262" t="n"/>
    </row>
    <row r="14" ht="12" customHeight="1" s="248">
      <c r="A14" s="365" t="inlineStr">
        <is>
          <t xml:space="preserve">     However, default is expected</t>
        </is>
      </c>
      <c r="B14" s="363" t="n"/>
      <c r="C14" s="382">
        <f>'Credit Decision'!D11</f>
        <v/>
      </c>
      <c r="D14" s="346" t="n"/>
      <c r="E14" s="341" t="n"/>
      <c r="F14" s="346" t="n"/>
      <c r="G14" s="272" t="n"/>
      <c r="H14" s="272" t="n"/>
      <c r="I14" s="371" t="n"/>
      <c r="J14" s="262" t="n"/>
    </row>
    <row r="15" ht="12" customHeight="1" s="248">
      <c r="A15" s="365" t="inlineStr">
        <is>
          <t xml:space="preserve">     Thus, expected cost is</t>
        </is>
      </c>
      <c r="B15" s="377" t="inlineStr">
        <is>
          <t>B</t>
        </is>
      </c>
      <c r="C15" s="383">
        <f>C13*C14</f>
        <v/>
      </c>
      <c r="D15" s="272" t="n"/>
      <c r="E15" s="272" t="n"/>
      <c r="F15" s="281" t="n"/>
      <c r="G15" s="272" t="n"/>
      <c r="H15" s="345" t="n"/>
      <c r="I15" s="384" t="n"/>
      <c r="J15" s="262" t="n"/>
    </row>
    <row r="16" ht="12" customHeight="1" s="248">
      <c r="A16" s="365" t="n"/>
      <c r="B16" s="363" t="n"/>
      <c r="C16" s="365" t="n"/>
      <c r="D16" s="272" t="n"/>
      <c r="E16" s="272" t="n"/>
      <c r="F16" s="281" t="n"/>
      <c r="G16" s="272" t="n"/>
      <c r="H16" s="345" t="n"/>
      <c r="I16" s="384" t="n"/>
      <c r="J16" s="262" t="n"/>
    </row>
    <row r="17" ht="12.75" customHeight="1" s="248">
      <c r="A17" s="362" t="inlineStr">
        <is>
          <t>Expected gain or (loss) without collateral</t>
        </is>
      </c>
      <c r="B17" s="377" t="inlineStr">
        <is>
          <t>A - B</t>
        </is>
      </c>
      <c r="C17" s="385">
        <f>C8-C15</f>
        <v/>
      </c>
      <c r="D17" s="345" t="n"/>
      <c r="E17" s="345" t="n"/>
      <c r="F17" s="345" t="n"/>
      <c r="G17" s="345" t="n"/>
      <c r="H17" s="345" t="n"/>
      <c r="I17" s="384" t="n"/>
      <c r="J17" s="262" t="n"/>
    </row>
    <row r="18" ht="12.75" customHeight="1" s="248">
      <c r="A18" s="272" t="n"/>
      <c r="B18" s="273" t="n"/>
      <c r="C18" s="386" t="n"/>
      <c r="D18" s="345" t="n"/>
      <c r="E18" s="345" t="n"/>
      <c r="F18" s="345" t="n"/>
      <c r="G18" s="345" t="n"/>
      <c r="H18" s="345" t="n"/>
      <c r="I18" s="384" t="n"/>
      <c r="J18" s="262" t="n"/>
    </row>
    <row r="19" ht="12" customHeight="1" s="248">
      <c r="A19" s="387" t="inlineStr">
        <is>
          <t xml:space="preserve">                                             Let's look at expected profit for different scenarios with collateral:</t>
        </is>
      </c>
      <c r="B19" s="388" t="n"/>
      <c r="C19" s="389" t="n"/>
      <c r="D19" s="390" t="n"/>
      <c r="E19" s="345" t="n"/>
      <c r="F19" s="345" t="n"/>
      <c r="G19" s="345" t="n"/>
      <c r="H19" s="345" t="n"/>
      <c r="I19" s="384" t="n"/>
      <c r="J19" s="262" t="n"/>
    </row>
    <row r="20" ht="12" customHeight="1" s="248">
      <c r="A20" s="391" t="n"/>
      <c r="B20" s="388" t="n"/>
      <c r="C20" s="389" t="n"/>
      <c r="D20" s="390" t="n"/>
      <c r="E20" s="345" t="n"/>
      <c r="F20" s="345" t="n"/>
      <c r="G20" s="345" t="n"/>
      <c r="H20" s="345" t="n"/>
      <c r="I20" s="384" t="n"/>
      <c r="J20" s="262" t="n"/>
    </row>
    <row r="21" ht="12" customHeight="1" s="248">
      <c r="A21" s="387" t="n"/>
      <c r="B21" s="388" t="n"/>
      <c r="C21" s="392" t="n"/>
      <c r="D21" s="393" t="n"/>
      <c r="E21" s="394" t="inlineStr">
        <is>
          <t xml:space="preserve">  % Profit Margin from Selling the Collateral as Stated in Sales $</t>
        </is>
      </c>
      <c r="F21" s="395" t="n"/>
      <c r="G21" s="395" t="n"/>
      <c r="H21" s="345" t="n"/>
      <c r="I21" s="384" t="n"/>
      <c r="J21" s="262" t="n"/>
    </row>
    <row r="22" ht="12" customHeight="1" s="248">
      <c r="A22" s="396" t="n"/>
      <c r="B22" s="359" t="n"/>
      <c r="C22" s="397" t="n">
        <v>0</v>
      </c>
      <c r="D22" s="398">
        <f>'Credit Decision'!H7*(1/4)</f>
        <v/>
      </c>
      <c r="E22" s="398">
        <f>'Credit Decision'!H7*(2/4)</f>
        <v/>
      </c>
      <c r="F22" s="398">
        <f>'Credit Decision'!H7*(3/4)</f>
        <v/>
      </c>
      <c r="G22" s="399">
        <f>'Credit Decision'!H7*(4/4)</f>
        <v/>
      </c>
      <c r="H22" s="345" t="n"/>
      <c r="I22" s="384" t="n"/>
      <c r="J22" s="262" t="n"/>
    </row>
    <row r="23" ht="12" customHeight="1" s="248">
      <c r="A23" s="400" t="inlineStr">
        <is>
          <t xml:space="preserve">Expected sales </t>
        </is>
      </c>
      <c r="B23" s="277" t="n"/>
      <c r="C23" s="401">
        <f>'Credit Decision'!$H$6</f>
        <v/>
      </c>
      <c r="D23" s="402">
        <f>'Credit Decision'!$H$6</f>
        <v/>
      </c>
      <c r="E23" s="402">
        <f>'Credit Decision'!$H$6</f>
        <v/>
      </c>
      <c r="F23" s="402">
        <f>'Credit Decision'!$H$6</f>
        <v/>
      </c>
      <c r="G23" s="403">
        <f>'Credit Decision'!$H$6</f>
        <v/>
      </c>
      <c r="H23" s="345" t="n"/>
      <c r="I23" s="384" t="n"/>
      <c r="J23" s="262" t="n"/>
    </row>
    <row r="24" ht="12" customHeight="1" s="248">
      <c r="A24" s="404" t="inlineStr">
        <is>
          <t>The optimal amount of collateral is</t>
        </is>
      </c>
      <c r="B24" s="405" t="n"/>
      <c r="C24" s="406">
        <f>IF('Credit Decision'!H6*(C22-'Credit Decision'!H7*'Credit Decision'!D10+(1-'Credit Decision'!H7)*'Credit Decision'!D11)/((1-'Credit Decision'!H7+C22)*'Credit Decision'!D11)&lt;0,0,'Credit Decision'!H6*(C22-'Credit Decision'!H7*'Credit Decision'!D10+(1-'Credit Decision'!H7)*'Credit Decision'!D11)/((1-'Credit Decision'!H7+C22)*'Credit Decision'!D11))</f>
        <v/>
      </c>
      <c r="D24" s="407">
        <f>IF('Credit Decision'!H6*(D22-'Credit Decision'!H7*'Credit Decision'!D10+(1-'Credit Decision'!H7)*'Credit Decision'!D11)/((1-'Credit Decision'!H7+D22)*'Credit Decision'!D11)&lt;0,0,'Credit Decision'!H6*(D22-'Credit Decision'!H7*'Credit Decision'!D10+(1-'Credit Decision'!H7)*'Credit Decision'!D11)/((1-'Credit Decision'!H7+D22)*'Credit Decision'!D11))</f>
        <v/>
      </c>
      <c r="E24" s="407">
        <f>IF('Credit Decision'!H6*(E22-'Credit Decision'!H7*'Credit Decision'!D10+(1-'Credit Decision'!H7)*'Credit Decision'!D11)/((1-'Credit Decision'!H7+E22)*'Credit Decision'!D11)&lt;0,0,'Credit Decision'!H6*(E22-'Credit Decision'!H7*'Credit Decision'!D10+(1-'Credit Decision'!H7)*'Credit Decision'!D11)/((1-'Credit Decision'!H7+E22)*'Credit Decision'!D11))</f>
        <v/>
      </c>
      <c r="F24" s="407">
        <f>IF('Credit Decision'!H6*(F22-'Credit Decision'!H7*'Credit Decision'!D10+(1-'Credit Decision'!H7)*'Credit Decision'!D11)/((1-'Credit Decision'!H7+F22)*'Credit Decision'!D11)&lt;0,0,'Credit Decision'!H6*(F22-'Credit Decision'!H7*'Credit Decision'!D10+(1-'Credit Decision'!H7)*'Credit Decision'!D11)/((1-'Credit Decision'!H7+F22)*'Credit Decision'!D11))</f>
        <v/>
      </c>
      <c r="G24" s="408">
        <f>IF('Credit Decision'!H6*(G22-'Credit Decision'!H7*'Credit Decision'!D10+(1-'Credit Decision'!H7)*'Credit Decision'!D11)/((1-'Credit Decision'!H7+G22)*'Credit Decision'!D11)&lt;0,0,'Credit Decision'!H6*(G22-'Credit Decision'!H7*'Credit Decision'!D10+(1-'Credit Decision'!H7)*'Credit Decision'!D11)/((1-'Credit Decision'!H7+G22)*'Credit Decision'!D11))</f>
        <v/>
      </c>
      <c r="H24" s="373" t="n"/>
      <c r="I24" s="384" t="n"/>
      <c r="J24" s="262" t="n"/>
    </row>
    <row r="25" ht="12" customHeight="1" s="248">
      <c r="A25" s="409" t="inlineStr">
        <is>
          <t>And the appropriate credit line is</t>
        </is>
      </c>
      <c r="B25" s="277" t="n"/>
      <c r="C25" s="410">
        <f>'Credit Decision'!H6-C24</f>
        <v/>
      </c>
      <c r="D25" s="411">
        <f>'Credit Decision'!H6-D24</f>
        <v/>
      </c>
      <c r="E25" s="411">
        <f>'Credit Decision'!H6-E24</f>
        <v/>
      </c>
      <c r="F25" s="411">
        <f>'Credit Decision'!H6-F24</f>
        <v/>
      </c>
      <c r="G25" s="412">
        <f>'Credit Decision'!H6-G24</f>
        <v/>
      </c>
      <c r="H25" s="345" t="n"/>
      <c r="I25" s="384" t="n"/>
      <c r="J25" s="262" t="n"/>
    </row>
    <row r="26" ht="12" customHeight="1" s="248">
      <c r="A26" s="413" t="n"/>
      <c r="C26" s="414" t="n"/>
      <c r="D26" s="415" t="n"/>
      <c r="E26" s="415" t="n"/>
      <c r="F26" s="415" t="n"/>
      <c r="G26" s="416" t="n"/>
      <c r="I26" s="374" t="n"/>
      <c r="J26" s="262" t="n"/>
    </row>
    <row r="27" ht="12" customHeight="1" s="248">
      <c r="A27" s="365" t="inlineStr">
        <is>
          <t>Investment = Collateral x (1 - profit margin)</t>
        </is>
      </c>
      <c r="B27" s="377" t="inlineStr">
        <is>
          <t>C</t>
        </is>
      </c>
      <c r="C27" s="417">
        <f>C24*(1-'Credit Decision'!$H$7)</f>
        <v/>
      </c>
      <c r="D27" s="418">
        <f>D24*(1-'Credit Decision'!$H$7)</f>
        <v/>
      </c>
      <c r="E27" s="418">
        <f>E24*(1-'Credit Decision'!$H$7)</f>
        <v/>
      </c>
      <c r="F27" s="418">
        <f>F24*(1-'Credit Decision'!$H$7)</f>
        <v/>
      </c>
      <c r="G27" s="419">
        <f>G24*(1-'Credit Decision'!$H$7)</f>
        <v/>
      </c>
      <c r="H27" s="272" t="n"/>
      <c r="I27" s="371" t="n"/>
      <c r="J27" s="262" t="n"/>
    </row>
    <row r="28" ht="12" customHeight="1" s="248">
      <c r="A28" s="420" t="inlineStr">
        <is>
          <t>If default occurs and profit is based on the</t>
        </is>
      </c>
      <c r="B28" s="421" t="n"/>
      <c r="C28" s="422" t="n"/>
      <c r="D28" s="423" t="n"/>
      <c r="E28" s="423" t="n"/>
      <c r="F28" s="423" t="n"/>
      <c r="G28" s="424" t="n"/>
      <c r="H28" s="272" t="n"/>
      <c r="I28" s="371" t="n"/>
      <c r="J28" s="262" t="n"/>
    </row>
    <row r="29" ht="12" customHeight="1" s="248">
      <c r="A29" s="420" t="inlineStr">
        <is>
          <t xml:space="preserve">   investment in the collateral, profit margin is</t>
        </is>
      </c>
      <c r="B29" s="377" t="inlineStr">
        <is>
          <t>D</t>
        </is>
      </c>
      <c r="C29" s="425" t="n">
        <v>0</v>
      </c>
      <c r="D29" s="426">
        <f>'Credit Decision'!H7*(1/4)/(1-'Credit Decision'!H7)</f>
        <v/>
      </c>
      <c r="E29" s="426">
        <f>'Credit Decision'!H7*(2/4)/(1-'Credit Decision'!H7)</f>
        <v/>
      </c>
      <c r="F29" s="426">
        <f>'Credit Decision'!H7*(3/4)/(1-'Credit Decision'!H7)</f>
        <v/>
      </c>
      <c r="G29" s="427">
        <f>'Credit Decision'!H7*(4/4)/(1-'Credit Decision'!H7)</f>
        <v/>
      </c>
      <c r="H29" s="345" t="n"/>
      <c r="I29" s="384" t="n"/>
      <c r="J29" s="262" t="n"/>
    </row>
    <row r="30" ht="12" customHeight="1" s="248">
      <c r="A30" s="428" t="inlineStr">
        <is>
          <t>Collateral value exceeds collateral investment by</t>
        </is>
      </c>
      <c r="B30" s="377" t="inlineStr">
        <is>
          <t>C x D</t>
        </is>
      </c>
      <c r="C30" s="429">
        <f>C27*C29</f>
        <v/>
      </c>
      <c r="D30" s="430">
        <f>D27*D29</f>
        <v/>
      </c>
      <c r="E30" s="430">
        <f>E27*E29</f>
        <v/>
      </c>
      <c r="F30" s="430">
        <f>F27*F29</f>
        <v/>
      </c>
      <c r="G30" s="431">
        <f>G27*G29</f>
        <v/>
      </c>
      <c r="H30" s="281" t="n"/>
      <c r="I30" s="262" t="n"/>
      <c r="J30" s="262" t="n"/>
    </row>
    <row r="31" ht="12" customHeight="1" s="248">
      <c r="A31" s="432" t="inlineStr">
        <is>
          <t>Lost investment on credit line if default occurs</t>
        </is>
      </c>
      <c r="B31" s="433" t="n"/>
      <c r="C31" s="429" t="n"/>
      <c r="D31" s="434" t="n"/>
      <c r="E31" s="435" t="n"/>
      <c r="F31" s="436" t="n"/>
      <c r="G31" s="437" t="n"/>
      <c r="H31" s="281" t="n"/>
      <c r="I31" s="262" t="n"/>
      <c r="J31" s="262" t="n"/>
    </row>
    <row r="32" ht="12" customHeight="1" s="248">
      <c r="A32" s="438" t="inlineStr">
        <is>
          <t xml:space="preserve">   = Credit line x (1 - profit margin)</t>
        </is>
      </c>
      <c r="B32" s="439" t="n"/>
      <c r="C32" s="440">
        <f>-C25*$C$12</f>
        <v/>
      </c>
      <c r="D32" s="441">
        <f>-D25*$C$12</f>
        <v/>
      </c>
      <c r="E32" s="441">
        <f>-E25*$C$12</f>
        <v/>
      </c>
      <c r="F32" s="441">
        <f>-F25*$C$12</f>
        <v/>
      </c>
      <c r="G32" s="442">
        <f>-G25*$C$12</f>
        <v/>
      </c>
      <c r="H32" s="443" t="n"/>
      <c r="I32" s="444" t="n"/>
      <c r="J32" s="262" t="n"/>
    </row>
    <row r="33" ht="12" customHeight="1" s="248">
      <c r="A33" s="445" t="inlineStr">
        <is>
          <t xml:space="preserve">Total gain (loss) on line &amp; collateral is </t>
        </is>
      </c>
      <c r="B33" s="439" t="n"/>
      <c r="C33" s="429">
        <f>C30+C32</f>
        <v/>
      </c>
      <c r="D33" s="430">
        <f>D30+D32</f>
        <v/>
      </c>
      <c r="E33" s="430">
        <f>E30+E32</f>
        <v/>
      </c>
      <c r="F33" s="430">
        <f>F30+F32</f>
        <v/>
      </c>
      <c r="G33" s="431">
        <f>G30+G32</f>
        <v/>
      </c>
      <c r="H33" s="446" t="n"/>
      <c r="I33" s="447" t="n"/>
      <c r="J33" s="262" t="n"/>
    </row>
    <row r="34" ht="12" customHeight="1" s="248">
      <c r="A34" s="365" t="inlineStr">
        <is>
          <t xml:space="preserve">However, default is expected to occur </t>
        </is>
      </c>
      <c r="B34" s="439" t="n"/>
      <c r="C34" s="448" t="n"/>
      <c r="D34" s="449" t="n"/>
      <c r="E34" s="449" t="n"/>
      <c r="F34" s="449" t="n"/>
      <c r="G34" s="450" t="n"/>
      <c r="H34" s="446" t="n"/>
      <c r="I34" s="447" t="n"/>
      <c r="J34" s="262" t="n"/>
    </row>
    <row r="35" ht="12" customHeight="1" s="248">
      <c r="A35" s="365" t="inlineStr">
        <is>
          <t>Thus, expected gain or (loss) on line &amp; collateral</t>
        </is>
      </c>
      <c r="B35" s="273" t="n"/>
      <c r="C35" s="417" t="n"/>
      <c r="D35" s="418" t="n"/>
      <c r="E35" s="418" t="n"/>
      <c r="F35" s="418" t="n"/>
      <c r="G35" s="419" t="n"/>
      <c r="H35" s="451" t="n"/>
      <c r="I35" s="452" t="n"/>
    </row>
    <row r="36" ht="12" customHeight="1" s="248">
      <c r="A36" s="365" t="inlineStr">
        <is>
          <t>Expected benefit (see A above)</t>
        </is>
      </c>
      <c r="B36" s="453" t="n"/>
      <c r="C36" s="454">
        <f>$C$8</f>
        <v/>
      </c>
      <c r="D36" s="455">
        <f>$C$8</f>
        <v/>
      </c>
      <c r="E36" s="455">
        <f>$C$8</f>
        <v/>
      </c>
      <c r="F36" s="455">
        <f>$C$8</f>
        <v/>
      </c>
      <c r="G36" s="456">
        <f>$C$8</f>
        <v/>
      </c>
      <c r="H36" s="256" t="n"/>
    </row>
    <row r="37" ht="12.75" customHeight="1" s="248">
      <c r="A37" s="457" t="inlineStr">
        <is>
          <t>Overall expected profit or (loss)</t>
        </is>
      </c>
      <c r="B37" s="273" t="n"/>
      <c r="C37" s="458" t="n"/>
      <c r="D37" s="385" t="n"/>
      <c r="E37" s="385" t="n"/>
      <c r="F37" s="385" t="n"/>
      <c r="G37" s="459" t="n"/>
      <c r="H37" s="256" t="n"/>
    </row>
    <row r="38" ht="12.75" customHeight="1" s="248">
      <c r="A38" s="460" t="n"/>
      <c r="B38" s="461" t="n"/>
      <c r="C38" s="460" t="n"/>
      <c r="D38" s="460" t="n"/>
      <c r="E38" s="460" t="n"/>
      <c r="F38" s="460" t="n"/>
      <c r="G38" s="460" t="n"/>
      <c r="H38" s="256" t="n"/>
    </row>
    <row r="39" ht="12" customHeight="1" s="248">
      <c r="A39" s="457" t="inlineStr">
        <is>
          <t>Overall gain or (loss) as % of sales</t>
        </is>
      </c>
      <c r="B39" s="273" t="n"/>
      <c r="C39" s="462">
        <f>C37/'Credit Decision'!$H$6</f>
        <v/>
      </c>
      <c r="D39" s="463">
        <f>D37/'Credit Decision'!$H$6</f>
        <v/>
      </c>
      <c r="E39" s="463">
        <f>E37/'Credit Decision'!$H$6</f>
        <v/>
      </c>
      <c r="F39" s="463">
        <f>F37/'Credit Decision'!$H$6</f>
        <v/>
      </c>
      <c r="G39" s="464">
        <f>G37/'Credit Decision'!$H$6</f>
        <v/>
      </c>
      <c r="H39" s="256" t="n"/>
    </row>
    <row r="40" ht="12" customHeight="1" s="248">
      <c r="A40" s="256" t="n"/>
      <c r="B40" s="461" t="n"/>
      <c r="C40" s="256" t="n"/>
      <c r="D40" s="256" t="n"/>
      <c r="E40" s="256" t="n"/>
      <c r="F40" s="256" t="n"/>
      <c r="G40" s="256" t="n"/>
      <c r="H40" s="256" t="n"/>
    </row>
    <row r="41" ht="12" customHeight="1" s="248">
      <c r="A41" s="256" t="n"/>
      <c r="B41" s="461" t="n"/>
      <c r="C41" s="256" t="n"/>
      <c r="D41" s="256" t="n"/>
      <c r="E41" s="256" t="n"/>
      <c r="F41" s="256" t="n"/>
      <c r="G41" s="256" t="n"/>
      <c r="H41" s="256" t="n"/>
    </row>
    <row r="42" ht="12" customHeight="1" s="248">
      <c r="A42" s="256" t="n"/>
      <c r="B42" s="461" t="n"/>
      <c r="C42" s="256" t="n"/>
      <c r="D42" s="256" t="n"/>
      <c r="E42" s="256" t="n"/>
      <c r="F42" s="256" t="n"/>
      <c r="G42" s="256" t="n"/>
      <c r="H42" s="256" t="n"/>
    </row>
    <row r="43" ht="12" customHeight="1" s="248">
      <c r="A43" s="256" t="n"/>
      <c r="B43" s="461" t="n"/>
      <c r="C43" s="256" t="n"/>
      <c r="D43" s="256" t="n"/>
      <c r="E43" s="256" t="n"/>
      <c r="F43" s="256" t="n"/>
      <c r="G43" s="256" t="n"/>
      <c r="H43" s="256" t="n"/>
    </row>
    <row r="44" ht="12" customHeight="1" s="248">
      <c r="A44" s="256" t="n"/>
      <c r="B44" s="461" t="n"/>
      <c r="C44" s="256" t="n"/>
      <c r="D44" s="256" t="n"/>
      <c r="E44" s="256" t="n"/>
      <c r="F44" s="256" t="n"/>
      <c r="G44" s="256" t="n"/>
      <c r="H44" s="256" t="n"/>
    </row>
    <row r="45" ht="12" customHeight="1" s="248">
      <c r="C45" s="465" t="n"/>
      <c r="D45" s="465" t="n"/>
      <c r="E45" s="465" t="n"/>
      <c r="F45" s="465" t="n"/>
      <c r="G45" s="465" t="n"/>
    </row>
    <row r="46" ht="12" customHeight="1" s="248">
      <c r="C46" s="466" t="n"/>
      <c r="D46" s="466" t="n"/>
      <c r="E46" s="466" t="n"/>
      <c r="F46" s="466" t="n"/>
      <c r="G46" s="466" t="n"/>
    </row>
    <row r="47" ht="12" customHeight="1" s="248">
      <c r="C47" s="465" t="n"/>
      <c r="D47" s="465" t="n"/>
      <c r="E47" s="465" t="n"/>
      <c r="F47" s="465" t="n"/>
      <c r="G47" s="465" t="n"/>
    </row>
    <row r="48" ht="12" customHeight="1" s="248">
      <c r="C48" s="467" t="n"/>
      <c r="D48" s="467" t="n"/>
      <c r="E48" s="467" t="n"/>
      <c r="F48" s="467" t="n"/>
      <c r="G48" s="467" t="n"/>
    </row>
    <row r="49" ht="12" customHeight="1" s="248">
      <c r="C49" s="466" t="n"/>
      <c r="D49" s="466" t="n"/>
      <c r="E49" s="466" t="n"/>
      <c r="F49" s="466" t="n"/>
      <c r="G49" s="46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31"/>
  <printOptions horizontalCentered="1" verticalCentered="0" headings="1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Department</dc:creator>
  <dc:title>Credit Line</dc:title>
  <dc:language>en-US</dc:language>
  <dcterms:created xsi:type="dcterms:W3CDTF">1999-04-07T03:56:47Z</dcterms:created>
  <dcterms:modified xsi:type="dcterms:W3CDTF">2026-08-18T05:07:03Z</dcterms:modified>
  <cp:lastModifiedBy>College of Business</cp:lastModifiedBy>
  <cp:revision>0</cp:revision>
  <cp:lastPrinted>1999-04-02T23:14:17Z</cp:lastPrinted>
</cp:coreProperties>
</file>