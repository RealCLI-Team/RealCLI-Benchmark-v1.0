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numex" sheetId="1" state="visible" r:id="rId1"/>
    <sheet name="ex1" sheetId="2" state="visible" r:id="rId2"/>
    <sheet name="ex2" sheetId="3" state="visible" r:id="rId3"/>
    <sheet name="ex3" sheetId="4" state="visible" r:id="rId4"/>
    <sheet name="furtherex1" sheetId="5" state="visible" r:id="rId5"/>
    <sheet name="furtherex2" sheetId="6" state="visible" r:id="rId6"/>
  </sheets>
  <definedNames>
    <definedName name="ZEqnNum972760" localSheetId="1" hidden="0" function="0" vbProcedure="0">#REF!</definedName>
    <definedName name="ZEqnNum972760" localSheetId="2" hidden="0" function="0" vbProcedure="0">#REF!</definedName>
    <definedName name="ZEqnNum972760" localSheetId="5" hidden="0" function="0" vbProcedure="0">#REF!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6">
    <numFmt numFmtId="164" formatCode="0.0"/>
    <numFmt numFmtId="165" formatCode="mmm\-yy"/>
    <numFmt numFmtId="166" formatCode="[$-409]mmm\-yy"/>
    <numFmt numFmtId="167" formatCode="0.00000"/>
    <numFmt numFmtId="168" formatCode="#,##0.0000_ "/>
    <numFmt numFmtId="169" formatCode="#,##0.00000_ "/>
    <numFmt numFmtId="170" formatCode="#,##0_ "/>
    <numFmt numFmtId="171" formatCode="0.0_ "/>
    <numFmt numFmtId="172" formatCode="0.0000_ "/>
    <numFmt numFmtId="173" formatCode="0_ "/>
    <numFmt numFmtId="174" formatCode="0.000"/>
    <numFmt numFmtId="175" formatCode="0.0000"/>
    <numFmt numFmtId="176" formatCode="0.000_);[RED]\(0.000\)"/>
    <numFmt numFmtId="177" formatCode="0.000_ "/>
    <numFmt numFmtId="178" formatCode="0.000000"/>
    <numFmt numFmtId="179" formatCode="0.00000_);[RED]\(0.00000\)"/>
  </numFmts>
  <fonts count="21">
    <font>
      <name val="돋움"/>
      <charset val="129"/>
      <family val="3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family val="1"/>
      <sz val="10"/>
    </font>
    <font>
      <name val="Arial"/>
      <family val="2"/>
      <sz val="10"/>
    </font>
    <font>
      <name val="Arial"/>
      <family val="2"/>
      <b val="1"/>
      <color rgb="FFFFFFFF"/>
      <sz val="10"/>
    </font>
    <font>
      <name val="Arial"/>
      <family val="2"/>
      <color rgb="FFFFFFFF"/>
      <sz val="10"/>
    </font>
    <font>
      <name val="Arial"/>
      <family val="2"/>
      <color rgb="FF0000FF"/>
      <sz val="10"/>
    </font>
    <font>
      <name val="Arial"/>
      <family val="2"/>
      <color rgb="FF0000FF"/>
      <sz val="10"/>
      <u val="single"/>
    </font>
    <font>
      <name val="돋움"/>
      <charset val="129"/>
      <family val="3"/>
      <color rgb="FF0000FF"/>
      <sz val="11"/>
      <u val="single"/>
    </font>
    <font>
      <name val="Arial"/>
      <family val="2"/>
      <i val="1"/>
      <sz val="10"/>
    </font>
    <font>
      <name val="굴림"/>
      <charset val="129"/>
      <family val="3"/>
      <color rgb="FF000000"/>
      <sz val="9"/>
    </font>
    <font>
      <name val="Times New Roman"/>
      <family val="2"/>
      <color rgb="FF000000"/>
      <sz val="10"/>
    </font>
    <font>
      <name val="Times New Roman"/>
      <family val="2"/>
      <color rgb="FF000000"/>
      <sz val="8.75"/>
    </font>
    <font>
      <name val="Times New Roman"/>
      <family val="2"/>
      <color rgb="FF000000"/>
      <sz val="8.050000000000001"/>
    </font>
    <font>
      <name val="Arial"/>
      <family val="2"/>
      <b val="1"/>
      <sz val="10"/>
    </font>
    <font>
      <name val="Arial"/>
      <family val="2"/>
      <sz val="10"/>
      <vertAlign val="superscript"/>
    </font>
    <font>
      <name val="Arial"/>
      <family val="2"/>
      <color rgb="FF000000"/>
      <sz val="8.25"/>
    </font>
    <font>
      <name val="Arial"/>
      <family val="2"/>
      <color rgb="FF000000"/>
      <sz val="8"/>
    </font>
    <font>
      <name val="Arial"/>
      <family val="2"/>
      <color rgb="FF000000"/>
      <sz val="7.55"/>
    </font>
  </fonts>
  <fills count="9">
    <fill>
      <patternFill/>
    </fill>
    <fill>
      <patternFill patternType="gray125"/>
    </fill>
    <fill>
      <patternFill patternType="solid">
        <fgColor rgb="FF333333"/>
        <bgColor rgb="FF333300"/>
      </patternFill>
    </fill>
    <fill>
      <patternFill patternType="solid">
        <fgColor rgb="FF666699"/>
        <bgColor rgb="FF808080"/>
      </patternFill>
    </fill>
    <fill>
      <patternFill patternType="solid">
        <fgColor rgb="FFFFFFFF"/>
        <bgColor rgb="FFFFFFCC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3300"/>
      </patternFill>
    </fill>
    <fill>
      <patternFill patternType="solid">
        <fgColor rgb="FFC0C0C0"/>
        <bgColor rgb="FFCCCCFF"/>
      </patternFill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/>
      <right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8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0" fillId="0" borderId="0"/>
    <xf numFmtId="0" fontId="10" fillId="0" borderId="0"/>
    <xf numFmtId="0" fontId="4" fillId="0" borderId="0" applyAlignment="1">
      <alignment horizontal="general" vertical="bottom"/>
    </xf>
  </cellStyleXfs>
  <cellXfs count="187"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21">
      <alignment horizontal="center" vertical="bottom"/>
    </xf>
    <xf numFmtId="0" fontId="6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164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5" fillId="4" borderId="2" applyAlignment="1" pivotButton="0" quotePrefix="0" xfId="0">
      <alignment horizontal="center" vertical="center"/>
    </xf>
    <xf numFmtId="0" fontId="5" fillId="4" borderId="3" applyAlignment="1" pivotButton="0" quotePrefix="0" xfId="0">
      <alignment horizontal="center" vertical="center"/>
    </xf>
    <xf numFmtId="165" fontId="5" fillId="0" borderId="0" applyAlignment="1" pivotButton="0" quotePrefix="0" xfId="0">
      <alignment horizontal="center" vertical="center"/>
    </xf>
    <xf numFmtId="0" fontId="5" fillId="4" borderId="4" applyAlignment="1" pivotButton="0" quotePrefix="0" xfId="0">
      <alignment horizontal="left" vertical="center"/>
    </xf>
    <xf numFmtId="0" fontId="5" fillId="4" borderId="0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5" fillId="0" borderId="4" applyAlignment="1" pivotButton="0" quotePrefix="0" xfId="0">
      <alignment horizontal="left" vertical="center"/>
    </xf>
    <xf numFmtId="0" fontId="5" fillId="4" borderId="6" applyAlignment="1" pivotButton="0" quotePrefix="0" xfId="0">
      <alignment horizontal="general" vertical="center"/>
    </xf>
    <xf numFmtId="0" fontId="5" fillId="4" borderId="7" applyAlignment="1" pivotButton="0" quotePrefix="0" xfId="0">
      <alignment horizontal="center" vertical="center"/>
    </xf>
    <xf numFmtId="0" fontId="5" fillId="4" borderId="8" applyAlignment="1" pivotButton="0" quotePrefix="0" xfId="0">
      <alignment horizontal="center" vertical="center"/>
    </xf>
    <xf numFmtId="0" fontId="9" fillId="0" borderId="0" applyAlignment="1" pivotButton="0" quotePrefix="0" xfId="20">
      <alignment horizontal="left" vertical="center"/>
    </xf>
    <xf numFmtId="166" fontId="5" fillId="0" borderId="0" applyAlignment="1" pivotButton="0" quotePrefix="0" xfId="0">
      <alignment horizontal="left" vertical="center"/>
    </xf>
    <xf numFmtId="166" fontId="5" fillId="5" borderId="4" applyAlignment="1" pivotButton="0" quotePrefix="0" xfId="0">
      <alignment horizontal="center" vertical="center"/>
    </xf>
    <xf numFmtId="0" fontId="5" fillId="5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3" applyAlignment="1" pivotButton="0" quotePrefix="0" xfId="0">
      <alignment horizontal="center" vertical="center"/>
    </xf>
    <xf numFmtId="166" fontId="5" fillId="0" borderId="0" applyAlignment="1" pivotButton="0" quotePrefix="0" xfId="0">
      <alignment horizontal="center" vertical="center"/>
    </xf>
    <xf numFmtId="166" fontId="5" fillId="6" borderId="6" applyAlignment="1" pivotButton="0" quotePrefix="0" xfId="0">
      <alignment horizontal="center" vertical="center"/>
    </xf>
    <xf numFmtId="0" fontId="5" fillId="6" borderId="7" applyAlignment="1" pivotButton="0" quotePrefix="0" xfId="0">
      <alignment horizontal="left" vertical="center"/>
    </xf>
    <xf numFmtId="0" fontId="5" fillId="6" borderId="7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6" fillId="2" borderId="9" applyAlignment="1" pivotButton="0" quotePrefix="0" xfId="0">
      <alignment horizontal="center" vertical="center"/>
    </xf>
    <xf numFmtId="0" fontId="7" fillId="2" borderId="9" applyAlignment="1" pivotButton="0" quotePrefix="0" xfId="0">
      <alignment horizontal="general" vertical="center"/>
    </xf>
    <xf numFmtId="0" fontId="7" fillId="2" borderId="9" applyAlignment="1" pivotButton="0" quotePrefix="0" xfId="0">
      <alignment horizontal="left" vertical="center"/>
    </xf>
    <xf numFmtId="0" fontId="7" fillId="2" borderId="9" applyAlignment="1" pivotButton="0" quotePrefix="0" xfId="0">
      <alignment horizontal="center" vertical="center"/>
    </xf>
    <xf numFmtId="0" fontId="6" fillId="3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center"/>
    </xf>
    <xf numFmtId="0" fontId="7" fillId="3" borderId="10" applyAlignment="1" pivotButton="0" quotePrefix="0" xfId="0">
      <alignment horizontal="center" vertical="center"/>
    </xf>
    <xf numFmtId="0" fontId="5" fillId="0" borderId="2" applyAlignment="1" pivotButton="0" quotePrefix="0" xfId="0">
      <alignment horizontal="general" vertical="center"/>
    </xf>
    <xf numFmtId="0" fontId="5" fillId="0" borderId="3" applyAlignment="1" pivotButton="0" quotePrefix="0" xfId="0">
      <alignment horizontal="general" vertical="center"/>
    </xf>
    <xf numFmtId="0" fontId="7" fillId="3" borderId="11" applyAlignment="1" pivotButton="0" quotePrefix="0" xfId="0">
      <alignment horizontal="center" vertical="center"/>
    </xf>
    <xf numFmtId="0" fontId="5" fillId="0" borderId="5" applyAlignment="1" pivotButton="0" quotePrefix="0" xfId="0">
      <alignment horizontal="general"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/>
    </xf>
    <xf numFmtId="0" fontId="5" fillId="0" borderId="4" applyAlignment="1" pivotButton="0" quotePrefix="0" xfId="0">
      <alignment horizontal="left" vertical="center"/>
    </xf>
    <xf numFmtId="0" fontId="7" fillId="3" borderId="12" applyAlignment="1" pivotButton="0" quotePrefix="0" xfId="0">
      <alignment horizontal="center" vertical="center"/>
    </xf>
    <xf numFmtId="0" fontId="5" fillId="0" borderId="7" applyAlignment="1" pivotButton="0" quotePrefix="0" xfId="0">
      <alignment horizontal="general" vertical="center"/>
    </xf>
    <xf numFmtId="0" fontId="5" fillId="0" borderId="8" applyAlignment="1" pivotButton="0" quotePrefix="0" xfId="0">
      <alignment horizontal="general" vertical="center"/>
    </xf>
    <xf numFmtId="0" fontId="7" fillId="3" borderId="0" applyAlignment="1" pivotButton="0" quotePrefix="0" xfId="0">
      <alignment horizontal="center" vertical="center"/>
    </xf>
    <xf numFmtId="166" fontId="7" fillId="2" borderId="9" applyAlignment="1" pivotButton="0" quotePrefix="0" xfId="0">
      <alignment horizontal="center" vertical="center"/>
    </xf>
    <xf numFmtId="0" fontId="9" fillId="0" borderId="0" applyAlignment="1" pivotButton="0" quotePrefix="0" xfId="20">
      <alignment horizontal="general" vertical="center"/>
    </xf>
    <xf numFmtId="166" fontId="5" fillId="0" borderId="0" applyAlignment="1" pivotButton="0" quotePrefix="0" xfId="2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5" fillId="0" borderId="0" applyAlignment="1" pivotButton="0" quotePrefix="0" xfId="21">
      <alignment horizontal="center" vertical="bottom"/>
    </xf>
    <xf numFmtId="9" fontId="5" fillId="5" borderId="0" applyAlignment="1" pivotButton="0" quotePrefix="0" xfId="19">
      <alignment horizontal="center" vertical="bottom"/>
    </xf>
    <xf numFmtId="0" fontId="5" fillId="0" borderId="0" applyAlignment="1" pivotButton="0" quotePrefix="0" xfId="21">
      <alignment horizontal="left" vertical="bottom"/>
    </xf>
    <xf numFmtId="0" fontId="5" fillId="5" borderId="0" applyAlignment="1" pivotButton="0" quotePrefix="0" xfId="21">
      <alignment horizontal="center" vertical="bottom"/>
    </xf>
    <xf numFmtId="0" fontId="6" fillId="7" borderId="9" applyAlignment="1" pivotButton="0" quotePrefix="0" xfId="21">
      <alignment horizontal="center" vertical="bottom"/>
    </xf>
    <xf numFmtId="0" fontId="5" fillId="7" borderId="9" applyAlignment="1" pivotButton="0" quotePrefix="0" xfId="21">
      <alignment horizontal="center" vertical="bottom"/>
    </xf>
    <xf numFmtId="167" fontId="5" fillId="0" borderId="0" applyAlignment="1" pivotButton="0" quotePrefix="0" xfId="21">
      <alignment horizontal="center" vertical="bottom"/>
    </xf>
    <xf numFmtId="168" fontId="5" fillId="0" borderId="0" applyAlignment="1" pivotButton="0" quotePrefix="0" xfId="21">
      <alignment horizontal="center" vertical="bottom"/>
    </xf>
    <xf numFmtId="169" fontId="5" fillId="6" borderId="0" applyAlignment="1" pivotButton="0" quotePrefix="0" xfId="21">
      <alignment horizontal="center" vertical="bottom"/>
    </xf>
    <xf numFmtId="170" fontId="5" fillId="0" borderId="0" applyAlignment="1" pivotButton="0" quotePrefix="0" xfId="21">
      <alignment horizontal="center" vertical="bottom"/>
    </xf>
    <xf numFmtId="169" fontId="5" fillId="0" borderId="0" applyAlignment="1" pivotButton="0" quotePrefix="0" xfId="21">
      <alignment horizontal="center" vertical="bottom"/>
    </xf>
    <xf numFmtId="171" fontId="5" fillId="0" borderId="0" applyAlignment="1" pivotButton="0" quotePrefix="0" xfId="21">
      <alignment horizontal="center" vertical="bottom"/>
    </xf>
    <xf numFmtId="172" fontId="16" fillId="0" borderId="0" applyAlignment="1" pivotButton="0" quotePrefix="0" xfId="0">
      <alignment horizontal="center" vertical="center"/>
    </xf>
    <xf numFmtId="172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 vertical="center"/>
    </xf>
    <xf numFmtId="173" fontId="5" fillId="0" borderId="0" applyAlignment="1" pivotButton="0" quotePrefix="0" xfId="0">
      <alignment horizontal="center" vertical="center"/>
    </xf>
    <xf numFmtId="174" fontId="5" fillId="5" borderId="0" applyAlignment="1" pivotButton="0" quotePrefix="0" xfId="0">
      <alignment horizontal="right" vertical="center"/>
    </xf>
    <xf numFmtId="175" fontId="5" fillId="0" borderId="0" applyAlignment="1" pivotButton="0" quotePrefix="0" xfId="0">
      <alignment horizontal="right" vertical="center"/>
    </xf>
    <xf numFmtId="174" fontId="5" fillId="0" borderId="0" applyAlignment="1" pivotButton="0" quotePrefix="0" xfId="0">
      <alignment horizontal="right" vertical="center"/>
    </xf>
    <xf numFmtId="0" fontId="5" fillId="5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right" vertical="center"/>
    </xf>
    <xf numFmtId="176" fontId="5" fillId="6" borderId="0" applyAlignment="1" pivotButton="0" quotePrefix="0" xfId="0">
      <alignment horizontal="right" vertical="center"/>
    </xf>
    <xf numFmtId="176" fontId="5" fillId="0" borderId="0" applyAlignment="1" pivotButton="0" quotePrefix="0" xfId="0">
      <alignment horizontal="right" vertical="center"/>
    </xf>
    <xf numFmtId="177" fontId="5" fillId="0" borderId="0" applyAlignment="1" pivotButton="0" quotePrefix="0" xfId="0">
      <alignment horizontal="right" vertical="center"/>
    </xf>
    <xf numFmtId="167" fontId="5" fillId="0" borderId="0" applyAlignment="1" pivotButton="0" quotePrefix="0" xfId="0">
      <alignment horizontal="right" vertical="center"/>
    </xf>
    <xf numFmtId="178" fontId="5" fillId="0" borderId="0" applyAlignment="1" pivotButton="0" quotePrefix="0" xfId="0">
      <alignment horizontal="center" vertical="center"/>
    </xf>
    <xf numFmtId="179" fontId="5" fillId="0" borderId="0" applyAlignment="1" pivotButton="0" quotePrefix="0" xfId="0">
      <alignment horizontal="right" vertical="center"/>
    </xf>
    <xf numFmtId="177" fontId="5" fillId="0" borderId="0" applyAlignment="1" pivotButton="0" quotePrefix="0" xfId="0">
      <alignment horizontal="center" vertical="center"/>
    </xf>
    <xf numFmtId="0" fontId="5" fillId="0" borderId="0" applyAlignment="1" pivotButton="0" quotePrefix="0" xfId="21">
      <alignment horizontal="general" vertical="bottom"/>
    </xf>
    <xf numFmtId="0" fontId="5" fillId="5" borderId="0" applyAlignment="1" pivotButton="0" quotePrefix="0" xfId="21">
      <alignment horizontal="general" vertical="bottom"/>
    </xf>
    <xf numFmtId="0" fontId="5" fillId="0" borderId="0" applyAlignment="1" pivotButton="0" quotePrefix="0" xfId="21">
      <alignment horizontal="right" vertical="bottom"/>
    </xf>
    <xf numFmtId="0" fontId="5" fillId="6" borderId="0" applyAlignment="1" pivotButton="0" quotePrefix="0" xfId="21">
      <alignment horizontal="general" vertical="bottom"/>
    </xf>
    <xf numFmtId="10" fontId="5" fillId="0" borderId="8" applyAlignment="1" pivotButton="0" quotePrefix="0" xfId="21">
      <alignment horizontal="general" vertical="bottom"/>
    </xf>
    <xf numFmtId="0" fontId="5" fillId="0" borderId="7" applyAlignment="1" pivotButton="0" quotePrefix="0" xfId="21">
      <alignment horizontal="general" vertical="bottom"/>
    </xf>
    <xf numFmtId="9" fontId="5" fillId="0" borderId="5" applyAlignment="1" pivotButton="0" quotePrefix="0" xfId="21">
      <alignment horizontal="general" vertical="bottom"/>
    </xf>
    <xf numFmtId="0" fontId="16" fillId="0" borderId="9" applyAlignment="1" pivotButton="0" quotePrefix="0" xfId="21">
      <alignment horizontal="center" vertical="bottom"/>
    </xf>
    <xf numFmtId="0" fontId="5" fillId="0" borderId="9" applyAlignment="1" pivotButton="0" quotePrefix="0" xfId="21">
      <alignment horizontal="center" vertical="bottom"/>
    </xf>
    <xf numFmtId="0" fontId="5" fillId="0" borderId="0" applyAlignment="1" pivotButton="0" quotePrefix="0" xfId="21">
      <alignment horizontal="center" vertical="bottom"/>
    </xf>
    <xf numFmtId="0" fontId="7" fillId="2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164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5" fillId="4" borderId="2" applyAlignment="1" pivotButton="0" quotePrefix="0" xfId="0">
      <alignment horizontal="center" vertical="center"/>
    </xf>
    <xf numFmtId="0" fontId="5" fillId="4" borderId="3" applyAlignment="1" pivotButton="0" quotePrefix="0" xfId="0">
      <alignment horizontal="center" vertical="center"/>
    </xf>
    <xf numFmtId="165" fontId="5" fillId="0" borderId="0" applyAlignment="1" pivotButton="0" quotePrefix="0" xfId="0">
      <alignment horizontal="center" vertical="center"/>
    </xf>
    <xf numFmtId="0" fontId="5" fillId="4" borderId="4" applyAlignment="1" pivotButton="0" quotePrefix="0" xfId="0">
      <alignment horizontal="left" vertical="center"/>
    </xf>
    <xf numFmtId="0" fontId="5" fillId="4" borderId="0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5" fillId="0" borderId="4" applyAlignment="1" pivotButton="0" quotePrefix="0" xfId="0">
      <alignment horizontal="left" vertical="center"/>
    </xf>
    <xf numFmtId="0" fontId="5" fillId="4" borderId="6" applyAlignment="1" pivotButton="0" quotePrefix="0" xfId="0">
      <alignment horizontal="general" vertical="center"/>
    </xf>
    <xf numFmtId="0" fontId="5" fillId="4" borderId="7" applyAlignment="1" pivotButton="0" quotePrefix="0" xfId="0">
      <alignment horizontal="center" vertical="center"/>
    </xf>
    <xf numFmtId="0" fontId="5" fillId="4" borderId="8" applyAlignment="1" pivotButton="0" quotePrefix="0" xfId="0">
      <alignment horizontal="center" vertical="center"/>
    </xf>
    <xf numFmtId="0" fontId="9" fillId="0" borderId="0" applyAlignment="1" pivotButton="0" quotePrefix="0" xfId="20">
      <alignment horizontal="left" vertical="center"/>
    </xf>
    <xf numFmtId="166" fontId="5" fillId="0" borderId="0" applyAlignment="1" pivotButton="0" quotePrefix="0" xfId="0">
      <alignment horizontal="left" vertical="center"/>
    </xf>
    <xf numFmtId="166" fontId="5" fillId="5" borderId="4" applyAlignment="1" pivotButton="0" quotePrefix="0" xfId="0">
      <alignment horizontal="center" vertical="center"/>
    </xf>
    <xf numFmtId="0" fontId="5" fillId="5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3" applyAlignment="1" pivotButton="0" quotePrefix="0" xfId="0">
      <alignment horizontal="center" vertical="center"/>
    </xf>
    <xf numFmtId="166" fontId="5" fillId="0" borderId="0" applyAlignment="1" pivotButton="0" quotePrefix="0" xfId="0">
      <alignment horizontal="center" vertical="center"/>
    </xf>
    <xf numFmtId="166" fontId="5" fillId="6" borderId="6" applyAlignment="1" pivotButton="0" quotePrefix="0" xfId="0">
      <alignment horizontal="center" vertical="center"/>
    </xf>
    <xf numFmtId="0" fontId="5" fillId="6" borderId="7" applyAlignment="1" pivotButton="0" quotePrefix="0" xfId="0">
      <alignment horizontal="left" vertical="center"/>
    </xf>
    <xf numFmtId="0" fontId="5" fillId="6" borderId="7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7" fillId="2" borderId="9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7" fillId="2" borderId="9" applyAlignment="1" pivotButton="0" quotePrefix="0" xfId="0">
      <alignment horizontal="general" vertical="center"/>
    </xf>
    <xf numFmtId="0" fontId="7" fillId="2" borderId="9" applyAlignment="1" pivotButton="0" quotePrefix="0" xfId="0">
      <alignment horizontal="left" vertical="center"/>
    </xf>
    <xf numFmtId="0" fontId="6" fillId="3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center"/>
    </xf>
    <xf numFmtId="0" fontId="7" fillId="3" borderId="10" applyAlignment="1" pivotButton="0" quotePrefix="0" xfId="0">
      <alignment horizontal="center" vertical="center"/>
    </xf>
    <xf numFmtId="0" fontId="5" fillId="0" borderId="2" applyAlignment="1" pivotButton="0" quotePrefix="0" xfId="0">
      <alignment horizontal="general" vertical="center"/>
    </xf>
    <xf numFmtId="0" fontId="5" fillId="0" borderId="3" applyAlignment="1" pivotButton="0" quotePrefix="0" xfId="0">
      <alignment horizontal="general" vertical="center"/>
    </xf>
    <xf numFmtId="0" fontId="7" fillId="3" borderId="11" applyAlignment="1" pivotButton="0" quotePrefix="0" xfId="0">
      <alignment horizontal="center" vertical="center"/>
    </xf>
    <xf numFmtId="0" fontId="5" fillId="0" borderId="5" applyAlignment="1" pivotButton="0" quotePrefix="0" xfId="0">
      <alignment horizontal="general" vertical="center"/>
    </xf>
    <xf numFmtId="0" fontId="5" fillId="0" borderId="0" applyAlignment="1" pivotButton="0" quotePrefix="0" xfId="0">
      <alignment horizontal="left" vertical="center" wrapText="1"/>
    </xf>
    <xf numFmtId="0" fontId="7" fillId="3" borderId="12" applyAlignment="1" pivotButton="0" quotePrefix="0" xfId="0">
      <alignment horizontal="center" vertical="center"/>
    </xf>
    <xf numFmtId="0" fontId="5" fillId="0" borderId="7" applyAlignment="1" pivotButton="0" quotePrefix="0" xfId="0">
      <alignment horizontal="general" vertical="center"/>
    </xf>
    <xf numFmtId="0" fontId="5" fillId="0" borderId="8" applyAlignment="1" pivotButton="0" quotePrefix="0" xfId="0">
      <alignment horizontal="general" vertical="center"/>
    </xf>
    <xf numFmtId="166" fontId="7" fillId="2" borderId="9" applyAlignment="1" pivotButton="0" quotePrefix="0" xfId="0">
      <alignment horizontal="center" vertical="center"/>
    </xf>
    <xf numFmtId="0" fontId="9" fillId="0" borderId="0" applyAlignment="1" pivotButton="0" quotePrefix="0" xfId="20">
      <alignment horizontal="general" vertical="center"/>
    </xf>
    <xf numFmtId="166" fontId="5" fillId="0" borderId="0" applyAlignment="1" pivotButton="0" quotePrefix="0" xfId="20">
      <alignment horizontal="left" vertical="center"/>
    </xf>
    <xf numFmtId="0" fontId="0" fillId="0" borderId="0" pivotButton="0" quotePrefix="0" xfId="0"/>
    <xf numFmtId="9" fontId="5" fillId="5" borderId="0" applyAlignment="1" pivotButton="0" quotePrefix="0" xfId="19">
      <alignment horizontal="center" vertical="bottom"/>
    </xf>
    <xf numFmtId="0" fontId="5" fillId="0" borderId="0" applyAlignment="1" pivotButton="0" quotePrefix="0" xfId="21">
      <alignment horizontal="left" vertical="bottom"/>
    </xf>
    <xf numFmtId="0" fontId="5" fillId="5" borderId="0" applyAlignment="1" pivotButton="0" quotePrefix="0" xfId="21">
      <alignment horizontal="center" vertical="bottom"/>
    </xf>
    <xf numFmtId="0" fontId="5" fillId="7" borderId="9" applyAlignment="1" pivotButton="0" quotePrefix="0" xfId="21">
      <alignment horizontal="center" vertical="bottom"/>
    </xf>
    <xf numFmtId="0" fontId="6" fillId="7" borderId="9" applyAlignment="1" pivotButton="0" quotePrefix="0" xfId="21">
      <alignment horizontal="center" vertical="bottom"/>
    </xf>
    <xf numFmtId="167" fontId="5" fillId="0" borderId="0" applyAlignment="1" pivotButton="0" quotePrefix="0" xfId="21">
      <alignment horizontal="center" vertical="bottom"/>
    </xf>
    <xf numFmtId="168" fontId="5" fillId="0" borderId="0" applyAlignment="1" pivotButton="0" quotePrefix="0" xfId="21">
      <alignment horizontal="center" vertical="bottom"/>
    </xf>
    <xf numFmtId="169" fontId="5" fillId="6" borderId="0" applyAlignment="1" pivotButton="0" quotePrefix="0" xfId="21">
      <alignment horizontal="center" vertical="bottom"/>
    </xf>
    <xf numFmtId="170" fontId="5" fillId="0" borderId="0" applyAlignment="1" pivotButton="0" quotePrefix="0" xfId="21">
      <alignment horizontal="center" vertical="bottom"/>
    </xf>
    <xf numFmtId="169" fontId="5" fillId="0" borderId="0" applyAlignment="1" pivotButton="0" quotePrefix="0" xfId="21">
      <alignment horizontal="center" vertical="bottom"/>
    </xf>
    <xf numFmtId="171" fontId="5" fillId="0" borderId="0" applyAlignment="1" pivotButton="0" quotePrefix="0" xfId="21">
      <alignment horizontal="center" vertical="bottom"/>
    </xf>
    <xf numFmtId="172" fontId="16" fillId="0" borderId="0" applyAlignment="1" pivotButton="0" quotePrefix="0" xfId="0">
      <alignment horizontal="center" vertical="center"/>
    </xf>
    <xf numFmtId="172" fontId="5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 vertical="center"/>
    </xf>
    <xf numFmtId="173" fontId="5" fillId="0" borderId="0" applyAlignment="1" pivotButton="0" quotePrefix="0" xfId="0">
      <alignment horizontal="center" vertical="center"/>
    </xf>
    <xf numFmtId="174" fontId="5" fillId="5" borderId="0" applyAlignment="1" pivotButton="0" quotePrefix="0" xfId="0">
      <alignment horizontal="right" vertical="center"/>
    </xf>
    <xf numFmtId="175" fontId="5" fillId="0" borderId="0" applyAlignment="1" pivotButton="0" quotePrefix="0" xfId="0">
      <alignment horizontal="right" vertical="center"/>
    </xf>
    <xf numFmtId="174" fontId="5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right" vertical="center"/>
    </xf>
    <xf numFmtId="176" fontId="5" fillId="6" borderId="0" applyAlignment="1" pivotButton="0" quotePrefix="0" xfId="0">
      <alignment horizontal="right" vertical="center"/>
    </xf>
    <xf numFmtId="176" fontId="5" fillId="0" borderId="0" applyAlignment="1" pivotButton="0" quotePrefix="0" xfId="0">
      <alignment horizontal="right" vertical="center"/>
    </xf>
    <xf numFmtId="177" fontId="5" fillId="0" borderId="0" applyAlignment="1" pivotButton="0" quotePrefix="0" xfId="0">
      <alignment horizontal="right" vertical="center"/>
    </xf>
    <xf numFmtId="167" fontId="5" fillId="0" borderId="0" applyAlignment="1" pivotButton="0" quotePrefix="0" xfId="0">
      <alignment horizontal="right" vertical="center"/>
    </xf>
    <xf numFmtId="178" fontId="5" fillId="0" borderId="0" applyAlignment="1" pivotButton="0" quotePrefix="0" xfId="0">
      <alignment horizontal="center" vertical="center"/>
    </xf>
    <xf numFmtId="179" fontId="5" fillId="0" borderId="0" applyAlignment="1" pivotButton="0" quotePrefix="0" xfId="0">
      <alignment horizontal="right" vertical="center"/>
    </xf>
    <xf numFmtId="177" fontId="5" fillId="0" borderId="0" applyAlignment="1" pivotButton="0" quotePrefix="0" xfId="0">
      <alignment horizontal="center" vertical="center"/>
    </xf>
    <xf numFmtId="0" fontId="5" fillId="0" borderId="0" applyAlignment="1" pivotButton="0" quotePrefix="0" xfId="21">
      <alignment horizontal="general" vertical="bottom"/>
    </xf>
    <xf numFmtId="0" fontId="5" fillId="5" borderId="0" applyAlignment="1" pivotButton="0" quotePrefix="0" xfId="21">
      <alignment horizontal="general" vertical="bottom"/>
    </xf>
    <xf numFmtId="0" fontId="5" fillId="0" borderId="0" applyAlignment="1" pivotButton="0" quotePrefix="0" xfId="21">
      <alignment horizontal="right" vertical="bottom"/>
    </xf>
    <xf numFmtId="0" fontId="5" fillId="6" borderId="0" applyAlignment="1" pivotButton="0" quotePrefix="0" xfId="21">
      <alignment horizontal="general" vertical="bottom"/>
    </xf>
    <xf numFmtId="10" fontId="5" fillId="0" borderId="8" applyAlignment="1" pivotButton="0" quotePrefix="0" xfId="21">
      <alignment horizontal="general" vertical="bottom"/>
    </xf>
    <xf numFmtId="0" fontId="5" fillId="0" borderId="7" applyAlignment="1" pivotButton="0" quotePrefix="0" xfId="21">
      <alignment horizontal="general" vertical="bottom"/>
    </xf>
    <xf numFmtId="9" fontId="5" fillId="0" borderId="5" applyAlignment="1" pivotButton="0" quotePrefix="0" xfId="21">
      <alignment horizontal="general" vertical="bottom"/>
    </xf>
    <xf numFmtId="0" fontId="5" fillId="0" borderId="9" applyAlignment="1" pivotButton="0" quotePrefix="0" xfId="21">
      <alignment horizontal="center" vertical="bottom"/>
    </xf>
    <xf numFmtId="0" fontId="16" fillId="0" borderId="9" applyAlignment="1" pivotButton="0" quotePrefix="0" xfId="21">
      <alignment horizontal="center" vertical="bottom"/>
    </xf>
  </cellXfs>
  <cellStyles count="8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*unknown*" xfId="6" builtinId="8"/>
    <cellStyle name="표준_Ch_08_Mortgage-Backed Securities_0503" xfId="7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000" b="0" strike="noStrike" spc="-1">
                <a:solidFill>
                  <a:srgbClr val="000000"/>
                </a:solidFill>
                <a:latin typeface="Times New Roman"/>
              </a:defRPr>
            </a:pPr>
            <a:r>
              <a:rPr sz="1000" b="0" strike="noStrike" spc="-1">
                <a:solidFill>
                  <a:srgbClr val="000000"/>
                </a:solidFill>
                <a:latin typeface="Times New Roman"/>
              </a:rPr>
              <a:t>Level payments in mortgage loans</a:t>
            </a:r>
          </a:p>
        </rich>
      </tx>
      <layout>
        <manualLayout>
          <xMode val="edge"/>
          <yMode val="edge"/>
          <wMode val="factor"/>
          <hMode val="factor"/>
          <x val="0.317722056948576"/>
          <y val="0.0772876412686839"/>
        </manualLayout>
      </layout>
      <overlay val="0"/>
      <spPr>
        <a:noFill/>
        <a:ln w="0">
          <a:noFill/>
          <a:prstDash val="solid"/>
        </a:ln>
      </spPr>
    </title>
    <plotArea>
      <layout>
        <manualLayout>
          <xMode val="edge"/>
          <yMode val="edge"/>
          <wMode val="factor"/>
          <hMode val="factor"/>
          <x val="0.0440288992775181"/>
          <y val="0.170373070847005"/>
          <w val="0.933276668083298"/>
          <h val="0.64272694130514"/>
        </manualLayout>
      </layout>
      <scatterChart>
        <scatterStyle val="lineMarker"/>
        <varyColors val="0"/>
        <ser>
          <idx val="0"/>
          <order val="0"/>
          <tx>
            <strRef>
              <f>numex!$A$41</f>
              <strCache>
                <ptCount val="1"/>
                <pt idx="0">
                  <v>Interest</v>
                </pt>
              </strCache>
            </strRef>
          </tx>
          <spPr>
            <a:solidFill>
              <a:srgbClr val="000080"/>
            </a:solidFill>
            <a:ln w="12600">
              <a:solidFill>
                <a:srgbClr val="000080"/>
              </a:solidFill>
              <a:prstDash val="solid"/>
              <a:round/>
            </a:ln>
          </spPr>
          <marker>
            <symbol val="diamond"/>
            <size val="5"/>
            <spPr>
              <a:solidFill>
                <a:srgbClr val="000080"/>
              </a:solidFill>
              <a:ln>
                <a:prstDash val="solid"/>
              </a:ln>
            </spPr>
          </marker>
          <dLbls>
            <txPr>
              <a:bodyPr/>
              <a:lstStyle/>
              <a:p>
                <a:pPr>
                  <a:defRPr sz="1000" b="0" strike="noStrike" spc="-1">
                    <a:latin typeface="DejaVu Sans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xVal>
            <numRef>
              <f>numex!$D$35:$W$35</f>
              <numCache>
                <formatCode>General</formatCode>
                <ptCount val="2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</numCache>
            </numRef>
          </xVal>
          <yVal>
            <numRef>
              <f>numex!$D$41:$W$41</f>
              <numCache>
                <formatCode xml:space="preserve">#,##0.00000_ </formatCode>
                <ptCount val="20"/>
                <pt idx="0">
                  <v>5</v>
                </pt>
                <pt idx="1">
                  <v>4.84878706404654</v>
                </pt>
                <pt idx="2">
                  <v>4.69001348129541</v>
                </pt>
                <pt idx="3">
                  <v>4.52330121940673</v>
                </pt>
                <pt idx="4">
                  <v>4.34825334442361</v>
                </pt>
                <pt idx="5">
                  <v>4.16445307569133</v>
                </pt>
                <pt idx="6">
                  <v>3.97146279352244</v>
                </pt>
                <pt idx="7">
                  <v>3.76882299724511</v>
                </pt>
                <pt idx="8">
                  <v>3.5560512111539</v>
                </pt>
                <pt idx="9">
                  <v>3.33264083575814</v>
                </pt>
                <pt idx="10">
                  <v>3.09805994159259</v>
                </pt>
                <pt idx="11">
                  <v>2.85175000271877</v>
                </pt>
                <pt idx="12">
                  <v>2.59312456690125</v>
                </pt>
                <pt idx="13">
                  <v>2.32156785929285</v>
                </pt>
                <pt idx="14">
                  <v>2.03643331630404</v>
                </pt>
                <pt idx="15">
                  <v>1.73704204616579</v>
                </pt>
                <pt idx="16">
                  <v>1.42268121252062</v>
                </pt>
                <pt idx="17">
                  <v>1.09260233719319</v>
                </pt>
                <pt idx="18">
                  <v>0.746019518099397</v>
                </pt>
                <pt idx="19">
                  <v>0.382107558050911</v>
                </pt>
              </numCache>
            </numRef>
          </yVal>
          <smooth val="1"/>
        </ser>
        <ser>
          <idx val="1"/>
          <order val="1"/>
          <tx>
            <strRef>
              <f>numex!$A$42</f>
              <strCache>
                <ptCount val="1"/>
                <pt idx="0">
                  <v>Principal</v>
                </pt>
              </strCache>
            </strRef>
          </tx>
          <spPr>
            <a:solidFill>
              <a:srgbClr val="ff00ff"/>
            </a:solidFill>
            <a:ln w="12600">
              <a:solidFill>
                <a:srgbClr val="ff00ff"/>
              </a:solidFill>
              <a:prstDash val="solid"/>
              <a:round/>
            </a:ln>
          </spPr>
          <marker>
            <symbol val="square"/>
            <size val="5"/>
            <spPr>
              <a:solidFill>
                <a:srgbClr val="ff00ff"/>
              </a:solidFill>
              <a:ln>
                <a:prstDash val="solid"/>
              </a:ln>
            </spPr>
          </marker>
          <dLbls>
            <txPr>
              <a:bodyPr/>
              <a:lstStyle/>
              <a:p>
                <a:pPr>
                  <a:defRPr sz="1000" b="0" strike="noStrike" spc="-1">
                    <a:latin typeface="DejaVu Sans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yVal>
            <numRef>
              <f>numex!$D$42:$W$42</f>
              <numCache>
                <formatCode xml:space="preserve">#,##0.00000_ </formatCode>
                <ptCount val="20"/>
                <pt idx="0">
                  <v>3.02425871906913</v>
                </pt>
                <pt idx="1">
                  <v>3.17547165502259</v>
                </pt>
                <pt idx="2">
                  <v>3.33424523777372</v>
                </pt>
                <pt idx="3">
                  <v>3.5009574996624</v>
                </pt>
                <pt idx="4">
                  <v>3.67600537464552</v>
                </pt>
                <pt idx="5">
                  <v>3.8598056433778</v>
                </pt>
                <pt idx="6">
                  <v>4.05279592554669</v>
                </pt>
                <pt idx="7">
                  <v>4.25543572182402</v>
                </pt>
                <pt idx="8">
                  <v>4.46820750791522</v>
                </pt>
                <pt idx="9">
                  <v>4.69161788331099</v>
                </pt>
                <pt idx="10">
                  <v>4.92619877747653</v>
                </pt>
                <pt idx="11">
                  <v>5.17250871635036</v>
                </pt>
                <pt idx="12">
                  <v>5.43113415216788</v>
                </pt>
                <pt idx="13">
                  <v>5.70269085977627</v>
                </pt>
                <pt idx="14">
                  <v>5.98782540276509</v>
                </pt>
                <pt idx="15">
                  <v>6.28721667290334</v>
                </pt>
                <pt idx="16">
                  <v>6.60157750654851</v>
                </pt>
                <pt idx="17">
                  <v>6.93165638187593</v>
                </pt>
                <pt idx="18">
                  <v>7.27823920096973</v>
                </pt>
                <pt idx="19">
                  <v>7.64215116101822</v>
                </pt>
              </numCache>
            </numRef>
          </yVal>
          <smooth val="1"/>
        </ser>
        <ser>
          <idx val="2"/>
          <order val="2"/>
          <tx>
            <strRef>
              <f>numex!$A$39</f>
              <strCache>
                <ptCount val="1"/>
                <pt idx="0">
                  <v>Level Payment</v>
                </pt>
              </strCache>
            </strRef>
          </tx>
          <spPr>
            <a:solidFill>
              <a:srgbClr val="ffff00"/>
            </a:solidFill>
            <a:ln w="12600">
              <a:solidFill>
                <a:srgbClr val="ffff00"/>
              </a:solidFill>
              <a:prstDash val="solid"/>
              <a:round/>
            </a:ln>
          </spPr>
          <marker>
            <symbol val="triangle"/>
            <size val="5"/>
            <spPr>
              <a:solidFill>
                <a:srgbClr val="ffff00"/>
              </a:solidFill>
              <a:ln>
                <a:prstDash val="solid"/>
              </a:ln>
            </spPr>
          </marker>
          <dLbls>
            <txPr>
              <a:bodyPr/>
              <a:lstStyle/>
              <a:p>
                <a:pPr>
                  <a:defRPr sz="1000" b="0" strike="noStrike" spc="-1">
                    <a:latin typeface="DejaVu Sans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yVal>
            <numRef>
              <f>numex!$D$43:$W$43</f>
              <numCache>
                <formatCode xml:space="preserve">#,##0.00000_ </formatCode>
                <ptCount val="20"/>
                <pt idx="0">
                  <v>8.024258719069129</v>
                </pt>
                <pt idx="1">
                  <v>8.024258719069129</v>
                </pt>
                <pt idx="2">
                  <v>8.024258719069129</v>
                </pt>
                <pt idx="3">
                  <v>8.024258719069129</v>
                </pt>
                <pt idx="4">
                  <v>8.024258719069129</v>
                </pt>
                <pt idx="5">
                  <v>8.024258719069129</v>
                </pt>
                <pt idx="6">
                  <v>8.024258719069129</v>
                </pt>
                <pt idx="7">
                  <v>8.024258719069129</v>
                </pt>
                <pt idx="8">
                  <v>8.024258719069129</v>
                </pt>
                <pt idx="9">
                  <v>8.024258719069129</v>
                </pt>
                <pt idx="10">
                  <v>8.024258719069129</v>
                </pt>
                <pt idx="11">
                  <v>8.024258719069129</v>
                </pt>
                <pt idx="12">
                  <v>8.024258719069129</v>
                </pt>
                <pt idx="13">
                  <v>8.024258719069129</v>
                </pt>
                <pt idx="14">
                  <v>8.024258719069129</v>
                </pt>
                <pt idx="15">
                  <v>8.024258719069129</v>
                </pt>
                <pt idx="16">
                  <v>8.024258719069129</v>
                </pt>
                <pt idx="17">
                  <v>8.024258719069129</v>
                </pt>
                <pt idx="18">
                  <v>8.024258719069129</v>
                </pt>
                <pt idx="19">
                  <v>8.024258719069129</v>
                </pt>
              </numCache>
            </numRef>
          </yVal>
          <smooth val="1"/>
        </ser>
        <axId val="66883992"/>
        <axId val="87685426"/>
      </scatterChart>
      <valAx>
        <axId val="66883992"/>
        <scaling>
          <orientation val="minMax"/>
          <max val="21"/>
          <min val="0"/>
        </scaling>
        <delete val="0"/>
        <axPos val="b"/>
        <title>
          <tx>
            <rich>
              <a:bodyPr rot="0"/>
              <a:lstStyle/>
              <a:p>
                <a:pPr>
                  <a:defRPr sz="875" b="0" strike="noStrike" spc="-1">
                    <a:solidFill>
                      <a:srgbClr val="000000"/>
                    </a:solidFill>
                    <a:latin typeface="Times New Roman"/>
                  </a:defRPr>
                </a:pPr>
                <a:r>
                  <a:rPr sz="875" b="0" strike="noStrike" spc="-1">
                    <a:solidFill>
                      <a:srgbClr val="000000"/>
                    </a:solidFill>
                    <a:latin typeface="Times New Roman"/>
                  </a:rPr>
                  <a:t>Time period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445218869528262"/>
              <y val="0.823307813829141"/>
            </manualLayout>
          </layout>
          <overlay val="0"/>
          <spPr>
            <a:noFill/>
            <a:ln w="0">
              <a:noFill/>
              <a:prstDash val="solid"/>
            </a:ln>
          </spPr>
        </title>
        <numFmt formatCode="General" sourceLinked="1"/>
        <majorTickMark val="cross"/>
        <minorTickMark val="none"/>
        <tickLblPos val="nextTo"/>
        <spPr>
          <a:ln w="0">
            <a:solidFill>
              <a:srgbClr val="000000"/>
            </a:solidFill>
            <a:prstDash val="solid"/>
          </a:ln>
        </spPr>
        <txPr>
          <a:bodyPr/>
          <a:lstStyle/>
          <a:p>
            <a:pPr>
              <a:defRPr sz="875" b="0" strike="noStrike" spc="-1">
                <a:solidFill>
                  <a:srgbClr val="000000"/>
                </a:solidFill>
                <a:latin typeface="Times New Roman"/>
              </a:defRPr>
            </a:pPr>
            <a:r>
              <a:t/>
            </a:r>
          </a:p>
        </txPr>
        <crossAx val="87685426"/>
        <crossesAt val="0"/>
        <crossBetween val="midCat"/>
      </valAx>
      <valAx>
        <axId val="87685426"/>
        <scaling>
          <orientation val="minMax"/>
          <max val="8.5"/>
          <min val="0"/>
        </scaling>
        <delete val="0"/>
        <axPos val="l"/>
        <numFmt formatCode="#,##0_ " sourceLinked="0"/>
        <majorTickMark val="cross"/>
        <minorTickMark val="none"/>
        <tickLblPos val="nextTo"/>
        <spPr>
          <a:ln w="0">
            <a:solidFill>
              <a:srgbClr val="000000"/>
            </a:solidFill>
            <a:prstDash val="solid"/>
          </a:ln>
        </spPr>
        <txPr>
          <a:bodyPr/>
          <a:lstStyle/>
          <a:p>
            <a:pPr>
              <a:defRPr sz="875" b="0" strike="noStrike" spc="-1">
                <a:solidFill>
                  <a:srgbClr val="000000"/>
                </a:solidFill>
                <a:latin typeface="Times New Roman"/>
              </a:defRPr>
            </a:pPr>
            <a:r>
              <a:t/>
            </a:r>
          </a:p>
        </txPr>
        <crossAx val="66883992"/>
        <crossesAt val="0"/>
        <crossBetween val="midCat"/>
      </valAx>
    </plotArea>
    <legend>
      <legendPos val="r"/>
      <layout>
        <manualLayout>
          <xMode val="edge"/>
          <yMode val="edge"/>
          <wMode val="factor"/>
          <hMode val="factor"/>
          <x val="0.210369740756481"/>
          <y val="0.888807874589865"/>
          <w val="0.596685082872928"/>
          <h val="0.0729128691213999"/>
        </manualLayout>
      </layout>
      <overlay val="0"/>
      <spPr>
        <a:solidFill>
          <a:srgbClr val="ffffff"/>
        </a:solidFill>
        <a:ln w="0">
          <a:solidFill>
            <a:srgbClr val="000000"/>
          </a:solidFill>
          <a:prstDash val="solid"/>
        </a:ln>
      </spPr>
      <txPr>
        <a:bodyPr/>
        <a:lstStyle/>
        <a:p>
          <a:pPr>
            <a:defRPr sz="805" b="0" strike="noStrike" spc="-1">
              <a:solidFill>
                <a:srgbClr val="000000"/>
              </a:solidFill>
              <a:latin typeface="Times New Roman"/>
            </a:defRPr>
          </a:pPr>
          <a:r>
            <a:t/>
          </a:r>
        </a:p>
      </txPr>
    </legend>
    <plotVisOnly val="1"/>
    <dispBlanksAs val="gap"/>
  </chart>
  <spPr>
    <a:solidFill>
      <a:srgbClr val="ffffff"/>
    </a:solidFill>
    <a:ln w="0">
      <a:solidFill>
        <a:srgbClr val="000000"/>
      </a:solidFill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825" b="0" strike="noStrike" spc="-1">
                <a:solidFill>
                  <a:srgbClr val="000000"/>
                </a:solidFill>
                <a:latin typeface="Arial"/>
              </a:defRPr>
            </a:pPr>
            <a:r>
              <a:rPr sz="825" b="0" strike="noStrike" spc="-1">
                <a:solidFill>
                  <a:srgbClr val="000000"/>
                </a:solidFill>
                <a:latin typeface="Arial"/>
              </a:rPr>
              <a:t>Comparision of PSA Rates</a:t>
            </a:r>
          </a:p>
        </rich>
      </tx>
      <layout>
        <manualLayout>
          <xMode val="edge"/>
          <yMode val="edge"/>
          <wMode val="factor"/>
          <hMode val="factor"/>
          <x val="0.353564118536976"/>
          <y val="0.0525728629200948"/>
        </manualLayout>
      </layout>
      <overlay val="0"/>
      <spPr>
        <a:noFill/>
        <a:ln w="0">
          <a:noFill/>
          <a:prstDash val="solid"/>
        </a:ln>
      </spPr>
    </title>
    <plotArea>
      <layout>
        <manualLayout>
          <xMode val="edge"/>
          <yMode val="edge"/>
          <wMode val="factor"/>
          <hMode val="factor"/>
          <x val="0.0958440864999555"/>
          <y val="0.177241667828755"/>
          <w val="0.825576221411409"/>
          <h val="0.620415562683029"/>
        </manualLayout>
      </layout>
      <lineChart>
        <grouping val="standard"/>
        <varyColors val="0"/>
        <ser>
          <idx val="0"/>
          <order val="0"/>
          <tx>
            <strRef>
              <f>"100%PSA"</f>
              <strCache>
                <ptCount val="1"/>
                <pt idx="0">
                  <v>100%PSA</v>
                </pt>
              </strCache>
            </strRef>
          </tx>
          <spPr>
            <a:solidFill>
              <a:srgbClr val="ff00ff"/>
            </a:solidFill>
            <a:ln w="12600">
              <a:solidFill>
                <a:srgbClr val="ff00ff"/>
              </a:solidFill>
              <a:prstDash val="solid"/>
              <a:round/>
            </a:ln>
          </spPr>
          <marker>
            <symbol val="square"/>
            <size val="5"/>
            <spPr>
              <a:solidFill>
                <a:srgbClr val="ff00ff"/>
              </a:solidFill>
              <a:ln>
                <a:prstDash val="solid"/>
              </a:ln>
            </spPr>
          </marker>
          <dLbls>
            <txPr>
              <a:bodyPr/>
              <a:lstStyle/>
              <a:p>
                <a:pPr>
                  <a:defRPr sz="1000" b="0" strike="noStrike" spc="-1">
                    <a:latin typeface="DejaVu Sans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multiLvlStrRef>
              <multiLvlStrCache>
                <lvl>
                  <pt idx="0">
                    <v>60</v>
                  </pt>
                </lvl>
                <lvl>
                  <pt idx="0">
                    <v>50</v>
                  </pt>
                </lvl>
                <lvl>
                  <pt idx="0">
                    <v>40</v>
                  </pt>
                </lvl>
                <lvl>
                  <pt idx="0">
                    <v>30</v>
                  </pt>
                </lvl>
                <lvl>
                  <pt idx="0">
                    <v>20</v>
                  </pt>
                </lvl>
                <lvl>
                  <pt idx="0">
                    <v>10</v>
                  </pt>
                </lvl>
                <lvl>
                  <pt idx="0">
                    <v>0</v>
                  </pt>
                </lvl>
              </multiLvlStrCache>
              <f>ex3!$C$39:$I$39</f>
            </multiLvlStrRef>
          </cat>
          <val>
            <numRef>
              <f>ex3!$C$40:$I$40</f>
              <numCache>
                <formatCode>General</formatCode>
                <ptCount val="7"/>
                <pt idx="0">
                  <v>0.02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0.06</v>
                </pt>
                <pt idx="5">
                  <v>0.06</v>
                </pt>
                <pt idx="6">
                  <v>0.06</v>
                </pt>
              </numCache>
            </numRef>
          </val>
          <smooth val="0"/>
        </ser>
        <ser>
          <idx val="1"/>
          <order val="1"/>
          <tx>
            <strRef>
              <f>"150%PSA"</f>
              <strCache>
                <ptCount val="1"/>
                <pt idx="0">
                  <v>150%PSA</v>
                </pt>
              </strCache>
            </strRef>
          </tx>
          <spPr>
            <a:solidFill>
              <a:srgbClr val="ffff00"/>
            </a:solidFill>
            <a:ln w="12600">
              <a:solidFill>
                <a:srgbClr val="ffff00"/>
              </a:solidFill>
              <a:prstDash val="solid"/>
              <a:round/>
            </a:ln>
          </spPr>
          <marker>
            <symbol val="triangle"/>
            <size val="5"/>
            <spPr>
              <a:solidFill>
                <a:srgbClr val="ffff00"/>
              </a:solidFill>
              <a:ln>
                <a:prstDash val="solid"/>
              </a:ln>
            </spPr>
          </marker>
          <dLbls>
            <txPr>
              <a:bodyPr/>
              <a:lstStyle/>
              <a:p>
                <a:pPr>
                  <a:defRPr sz="1000" b="0" strike="noStrike" spc="-1">
                    <a:latin typeface="DejaVu Sans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multiLvlStrRef>
              <multiLvlStrCache>
                <lvl>
                  <pt idx="0">
                    <v>60</v>
                  </pt>
                </lvl>
                <lvl>
                  <pt idx="0">
                    <v>50</v>
                  </pt>
                </lvl>
                <lvl>
                  <pt idx="0">
                    <v>40</v>
                  </pt>
                </lvl>
                <lvl>
                  <pt idx="0">
                    <v>30</v>
                  </pt>
                </lvl>
                <lvl>
                  <pt idx="0">
                    <v>20</v>
                  </pt>
                </lvl>
                <lvl>
                  <pt idx="0">
                    <v>10</v>
                  </pt>
                </lvl>
                <lvl>
                  <pt idx="0">
                    <v>0</v>
                  </pt>
                </lvl>
              </multiLvlStrCache>
              <f>ex3!$C$39:$I$39</f>
            </multiLvlStrRef>
          </cat>
          <val>
            <numRef>
              <f>ex3!$C$41:$I$41</f>
              <numCache>
                <formatCode>General</formatCode>
                <ptCount val="7"/>
                <pt idx="0">
                  <v>0.02</v>
                </pt>
                <pt idx="1">
                  <v>0.03</v>
                </pt>
                <pt idx="2">
                  <v>0.06</v>
                </pt>
                <pt idx="3">
                  <v>0.09</v>
                </pt>
                <pt idx="4">
                  <v>0.09</v>
                </pt>
                <pt idx="5">
                  <v>0.09</v>
                </pt>
                <pt idx="6">
                  <v>0.09</v>
                </pt>
              </numCache>
            </numRef>
          </val>
          <smooth val="0"/>
        </ser>
        <ser>
          <idx val="2"/>
          <order val="2"/>
          <tx>
            <strRef>
              <f>"200%PSA"</f>
              <strCache>
                <ptCount val="1"/>
                <pt idx="0">
                  <v>200%PSA</v>
                </pt>
              </strCache>
            </strRef>
          </tx>
          <spPr>
            <a:solidFill>
              <a:srgbClr val="00ffff"/>
            </a:solidFill>
            <a:ln w="12600">
              <a:solidFill>
                <a:srgbClr val="00ffff"/>
              </a:solidFill>
              <a:prstDash val="solid"/>
              <a:round/>
            </a:ln>
          </spPr>
          <marker>
            <symbol val="x"/>
            <size val="5"/>
            <spPr>
              <a:solidFill>
                <a:srgbClr val="00ffff"/>
              </a:solidFill>
              <a:ln>
                <a:prstDash val="solid"/>
              </a:ln>
            </spPr>
          </marker>
          <dLbls>
            <txPr>
              <a:bodyPr/>
              <a:lstStyle/>
              <a:p>
                <a:pPr>
                  <a:defRPr sz="1000" b="0" strike="noStrike" spc="-1">
                    <a:latin typeface="DejaVu Sans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multiLvlStrRef>
              <multiLvlStrCache>
                <lvl>
                  <pt idx="0">
                    <v>60</v>
                  </pt>
                </lvl>
                <lvl>
                  <pt idx="0">
                    <v>50</v>
                  </pt>
                </lvl>
                <lvl>
                  <pt idx="0">
                    <v>40</v>
                  </pt>
                </lvl>
                <lvl>
                  <pt idx="0">
                    <v>30</v>
                  </pt>
                </lvl>
                <lvl>
                  <pt idx="0">
                    <v>20</v>
                  </pt>
                </lvl>
                <lvl>
                  <pt idx="0">
                    <v>10</v>
                  </pt>
                </lvl>
                <lvl>
                  <pt idx="0">
                    <v>0</v>
                  </pt>
                </lvl>
              </multiLvlStrCache>
              <f>ex3!$C$39:$I$39</f>
            </multiLvlStrRef>
          </cat>
          <val>
            <numRef>
              <f>ex3!$C$42:$I$42</f>
              <numCache>
                <formatCode>General</formatCode>
                <ptCount val="7"/>
                <pt idx="0">
                  <v>0.02</v>
                </pt>
                <pt idx="1">
                  <v>0.04</v>
                </pt>
                <pt idx="2">
                  <v>0.08</v>
                </pt>
                <pt idx="3">
                  <v>0.12</v>
                </pt>
                <pt idx="4">
                  <v>0.12</v>
                </pt>
                <pt idx="5">
                  <v>0.12</v>
                </pt>
                <pt idx="6">
                  <v>0.12</v>
                </pt>
              </numCache>
            </numRef>
          </val>
          <smooth val="0"/>
        </ser>
        <ser>
          <idx val="3"/>
          <order val="3"/>
          <tx>
            <strRef>
              <f>"400%PSA"</f>
              <strCache>
                <ptCount val="1"/>
                <pt idx="0">
                  <v>400%PSA</v>
                </pt>
              </strCache>
            </strRef>
          </tx>
          <spPr>
            <a:solidFill>
              <a:srgbClr val="800080"/>
            </a:solidFill>
            <a:ln w="12600">
              <a:solidFill>
                <a:srgbClr val="800080"/>
              </a:solidFill>
              <a:prstDash val="solid"/>
              <a:round/>
            </a:ln>
          </spPr>
          <marker>
            <symbol val="square"/>
            <size val="5"/>
            <spPr>
              <a:solidFill>
                <a:srgbClr val="800080"/>
              </a:solidFill>
              <a:ln>
                <a:prstDash val="solid"/>
              </a:ln>
            </spPr>
          </marker>
          <dLbls>
            <txPr>
              <a:bodyPr/>
              <a:lstStyle/>
              <a:p>
                <a:pPr>
                  <a:defRPr sz="1000" b="0" strike="noStrike" spc="-1">
                    <a:latin typeface="DejaVu Sans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multiLvlStrRef>
              <multiLvlStrCache>
                <lvl>
                  <pt idx="0">
                    <v>60</v>
                  </pt>
                </lvl>
                <lvl>
                  <pt idx="0">
                    <v>50</v>
                  </pt>
                </lvl>
                <lvl>
                  <pt idx="0">
                    <v>40</v>
                  </pt>
                </lvl>
                <lvl>
                  <pt idx="0">
                    <v>30</v>
                  </pt>
                </lvl>
                <lvl>
                  <pt idx="0">
                    <v>20</v>
                  </pt>
                </lvl>
                <lvl>
                  <pt idx="0">
                    <v>10</v>
                  </pt>
                </lvl>
                <lvl>
                  <pt idx="0">
                    <v>0</v>
                  </pt>
                </lvl>
              </multiLvlStrCache>
              <f>ex3!$C$39:$I$39</f>
            </multiLvlStrRef>
          </cat>
          <val>
            <numRef>
              <f>ex3!$C$43:$I$43</f>
              <numCache>
                <formatCode>General</formatCode>
                <ptCount val="7"/>
                <pt idx="0">
                  <v>0.02</v>
                </pt>
                <pt idx="1">
                  <v>0.08</v>
                </pt>
                <pt idx="2">
                  <v>0.16</v>
                </pt>
                <pt idx="3">
                  <v>0.24</v>
                </pt>
                <pt idx="4">
                  <v>0.24</v>
                </pt>
                <pt idx="5">
                  <v>0.24</v>
                </pt>
                <pt idx="6">
                  <v>0.24</v>
                </pt>
              </numCache>
            </numRef>
          </val>
          <smooth val="0"/>
        </ser>
        <hiLowLines>
          <spPr>
            <a:ln w="0">
              <a:noFill/>
              <a:prstDash val="solid"/>
            </a:ln>
          </spPr>
        </hiLowLines>
        <marker val="1"/>
        <axId val="76872186"/>
        <axId val="50568207"/>
      </lineChart>
      <catAx>
        <axId val="76872186"/>
        <scaling>
          <orientation val="minMax"/>
        </scaling>
        <delete val="0"/>
        <axPos val="b"/>
        <title>
          <tx>
            <rich>
              <a:bodyPr rot="0"/>
              <a:lstStyle/>
              <a:p>
                <a:pPr>
                  <a:defRPr sz="825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rPr sz="825" b="0" strike="noStrike" spc="-1">
                    <a:solidFill>
                      <a:srgbClr val="000000"/>
                    </a:solidFill>
                    <a:latin typeface="Arial"/>
                  </a:rPr>
                  <a:t>Month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503693156536442"/>
              <y val="0.801840747455027"/>
            </manualLayout>
          </layout>
          <overlay val="0"/>
          <spPr>
            <a:noFill/>
            <a:ln w="0">
              <a:noFill/>
              <a:prstDash val="solid"/>
            </a:ln>
          </spPr>
        </title>
        <numFmt formatCode="General" sourceLinked="1"/>
        <majorTickMark val="cross"/>
        <minorTickMark val="none"/>
        <tickLblPos val="nextTo"/>
        <spPr>
          <a:ln w="0">
            <a:solidFill>
              <a:srgbClr val="000000"/>
            </a:solidFill>
            <a:prstDash val="solid"/>
          </a:ln>
        </spPr>
        <txPr>
          <a:bodyPr/>
          <a:lstStyle/>
          <a:p>
            <a:pPr>
              <a:defRPr sz="800" b="0" strike="noStrike" spc="-1">
                <a:solidFill>
                  <a:srgbClr val="000000"/>
                </a:solidFill>
                <a:latin typeface="Arial"/>
              </a:defRPr>
            </a:pPr>
            <a:r>
              <a:t/>
            </a:r>
          </a:p>
        </txPr>
        <crossAx val="50568207"/>
        <crossesAt val="0"/>
        <auto val="1"/>
        <lblAlgn val="ctr"/>
        <lblOffset val="100"/>
        <noMultiLvlLbl val="0"/>
      </catAx>
      <valAx>
        <axId val="50568207"/>
        <scaling>
          <orientation val="minMax"/>
        </scaling>
        <delete val="0"/>
        <axPos val="l"/>
        <title>
          <tx>
            <rich>
              <a:bodyPr rot="-5400000"/>
              <a:lstStyle/>
              <a:p>
                <a:pPr>
                  <a:defRPr sz="825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rPr sz="825" b="0" strike="noStrike" spc="-1">
                    <a:solidFill>
                      <a:srgbClr val="000000"/>
                    </a:solidFill>
                    <a:latin typeface="Arial"/>
                  </a:rPr>
                  <a:t>CPR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222479309424224"/>
              <y val="0.315158276391019"/>
            </manualLayout>
          </layout>
          <overlay val="0"/>
          <spPr>
            <a:noFill/>
            <a:ln w="0">
              <a:noFill/>
              <a:prstDash val="solid"/>
            </a:ln>
          </spPr>
        </title>
        <numFmt formatCode="General" sourceLinked="1"/>
        <majorTickMark val="cross"/>
        <minorTickMark val="none"/>
        <tickLblPos val="nextTo"/>
        <spPr>
          <a:ln w="0">
            <a:solidFill>
              <a:srgbClr val="000000"/>
            </a:solidFill>
            <a:prstDash val="solid"/>
          </a:ln>
        </spPr>
        <txPr>
          <a:bodyPr/>
          <a:lstStyle/>
          <a:p>
            <a:pPr>
              <a:defRPr sz="800" b="0" strike="noStrike" spc="-1">
                <a:solidFill>
                  <a:srgbClr val="000000"/>
                </a:solidFill>
                <a:latin typeface="Arial"/>
              </a:defRPr>
            </a:pPr>
            <a:r>
              <a:t/>
            </a:r>
          </a:p>
        </txPr>
        <crossAx val="76872186"/>
        <crossesAt val="1"/>
        <crossBetween val="midCat"/>
      </valAx>
    </plotArea>
    <legend>
      <legendPos val="r"/>
      <layout>
        <manualLayout>
          <xMode val="edge"/>
          <yMode val="edge"/>
          <wMode val="factor"/>
          <hMode val="factor"/>
          <x val="0.0958440864999555"/>
          <y val="0.8658485566866549"/>
          <w val="0.803684257364065"/>
          <h val="0.0786501185329801"/>
        </manualLayout>
      </layout>
      <overlay val="0"/>
      <spPr>
        <a:solidFill>
          <a:srgbClr val="ffffff"/>
        </a:solidFill>
        <a:ln w="0">
          <a:solidFill>
            <a:srgbClr val="000000"/>
          </a:solidFill>
          <a:prstDash val="solid"/>
        </a:ln>
      </spPr>
      <txPr>
        <a:bodyPr/>
        <a:lstStyle/>
        <a:p>
          <a:pPr>
            <a:defRPr sz="755" b="0" strike="noStrike" spc="-1">
              <a:solidFill>
                <a:srgbClr val="000000"/>
              </a:solidFill>
              <a:latin typeface="Arial"/>
            </a:defRPr>
          </a:pPr>
          <a:r>
            <a:t/>
          </a:r>
        </a:p>
      </txPr>
    </legend>
    <plotVisOnly val="1"/>
    <dispBlanksAs val="gap"/>
  </chart>
  <spPr>
    <a:solidFill>
      <a:srgbClr val="ffffff"/>
    </a:solidFill>
    <a:ln w="0">
      <a:solidFill>
        <a:srgbClr val="000000"/>
      </a:solidFill>
      <a:prstDash val="solid"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000" b="0" strike="noStrike" spc="-1">
                <a:solidFill>
                  <a:srgbClr val="000000"/>
                </a:solidFill>
                <a:latin typeface="Times New Roman"/>
              </a:defRPr>
            </a:pPr>
            <a:r>
              <a:rPr sz="1000" b="0" strike="noStrike" spc="-1">
                <a:solidFill>
                  <a:srgbClr val="000000"/>
                </a:solidFill>
                <a:latin typeface="Times New Roman"/>
              </a:rPr>
              <a:t>Level payments in mortgage loans</a:t>
            </a:r>
          </a:p>
        </rich>
      </tx>
      <layout>
        <manualLayout>
          <xMode val="edge"/>
          <yMode val="edge"/>
          <wMode val="factor"/>
          <hMode val="factor"/>
          <x val="0.317722056948576"/>
          <y val="0.0772876412686839"/>
        </manualLayout>
      </layout>
      <overlay val="0"/>
      <spPr>
        <a:noFill/>
        <a:ln w="0">
          <a:noFill/>
          <a:prstDash val="solid"/>
        </a:ln>
      </spPr>
    </title>
    <plotArea>
      <layout>
        <manualLayout>
          <xMode val="edge"/>
          <yMode val="edge"/>
          <wMode val="factor"/>
          <hMode val="factor"/>
          <x val="0.0440288992775181"/>
          <y val="0.170373070847005"/>
          <w val="0.933276668083298"/>
          <h val="0.64272694130514"/>
        </manualLayout>
      </layout>
      <scatterChart>
        <scatterStyle val="lineMarker"/>
        <varyColors val="0"/>
        <ser>
          <idx val="0"/>
          <order val="0"/>
          <tx>
            <strRef>
              <f>furtherex1!$A$43</f>
              <strCache>
                <ptCount val="1"/>
                <pt idx="0">
                  <v>Interest</v>
                </pt>
              </strCache>
            </strRef>
          </tx>
          <spPr>
            <a:solidFill>
              <a:srgbClr val="000080"/>
            </a:solidFill>
            <a:ln w="12600">
              <a:solidFill>
                <a:srgbClr val="000080"/>
              </a:solidFill>
              <a:prstDash val="solid"/>
              <a:round/>
            </a:ln>
          </spPr>
          <marker>
            <symbol val="diamond"/>
            <size val="5"/>
            <spPr>
              <a:solidFill>
                <a:srgbClr val="000080"/>
              </a:solidFill>
              <a:ln>
                <a:prstDash val="solid"/>
              </a:ln>
            </spPr>
          </marker>
          <dLbls>
            <txPr>
              <a:bodyPr/>
              <a:lstStyle/>
              <a:p>
                <a:pPr>
                  <a:defRPr sz="1000" b="0" strike="noStrike" spc="-1">
                    <a:latin typeface="DejaVu Sans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xVal>
            <numRef>
              <f>furtherex1!$D$37:$W$37</f>
              <numCache>
                <formatCode>General</formatCode>
                <ptCount val="2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</numCache>
            </numRef>
          </xVal>
          <yVal>
            <numRef>
              <f>furtherex1!$D$43:$W$43</f>
              <numCache>
                <formatCode xml:space="preserve">#,##0.00000_ </formatCode>
                <ptCount val="20"/>
                <pt idx="0">
                  <v>4.84747221775608</v>
                </pt>
                <pt idx="1">
                  <v>4.70087211655614</v>
                </pt>
                <pt idx="2">
                  <v>4.5469420102962</v>
                </pt>
                <pt idx="3">
                  <v>4.38531539872326</v>
                </pt>
                <pt idx="4">
                  <v>4.21560745657168</v>
                </pt>
                <pt idx="5">
                  <v>4.03741411731252</v>
                </pt>
                <pt idx="6">
                  <v>3.8503111110904</v>
                </pt>
                <pt idx="7">
                  <v>3.65385295455717</v>
                </pt>
                <pt idx="8">
                  <v>3.44757189019728</v>
                </pt>
                <pt idx="9">
                  <v>3.2309767726194</v>
                </pt>
                <pt idx="10">
                  <v>3.00355189916263</v>
                </pt>
                <pt idx="11">
                  <v>2.76475578203301</v>
                </pt>
                <pt idx="12">
                  <v>2.51401985904691</v>
                </pt>
                <pt idx="13">
                  <v>2.25074713991151</v>
                </pt>
                <pt idx="14">
                  <v>1.97431078481934</v>
                </pt>
                <pt idx="15">
                  <v>1.68405261197257</v>
                </pt>
                <pt idx="16">
                  <v>1.37928153048345</v>
                </pt>
                <pt idx="17">
                  <v>1.05927189491987</v>
                </pt>
                <pt idx="18">
                  <v>0.723261777578122</v>
                </pt>
                <pt idx="19">
                  <v>0.370451154369282</v>
                </pt>
              </numCache>
            </numRef>
          </yVal>
          <smooth val="1"/>
        </ser>
        <ser>
          <idx val="1"/>
          <order val="1"/>
          <tx>
            <strRef>
              <f>furtherex1!$A$44</f>
              <strCache>
                <ptCount val="1"/>
                <pt idx="0">
                  <v>Principal</v>
                </pt>
              </strCache>
            </strRef>
          </tx>
          <spPr>
            <a:solidFill>
              <a:srgbClr val="ff00ff"/>
            </a:solidFill>
            <a:ln w="12600">
              <a:solidFill>
                <a:srgbClr val="ff00ff"/>
              </a:solidFill>
              <a:prstDash val="solid"/>
              <a:round/>
            </a:ln>
          </spPr>
          <marker>
            <symbol val="square"/>
            <size val="5"/>
            <spPr>
              <a:solidFill>
                <a:srgbClr val="ff00ff"/>
              </a:solidFill>
              <a:ln>
                <a:prstDash val="solid"/>
              </a:ln>
            </spPr>
          </marker>
          <dLbls>
            <txPr>
              <a:bodyPr/>
              <a:lstStyle/>
              <a:p>
                <a:pPr>
                  <a:defRPr sz="1000" b="0" strike="noStrike" spc="-1">
                    <a:latin typeface="DejaVu Sans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yVal>
            <numRef>
              <f>furtherex1!$D$44:$W$44</f>
              <numCache>
                <formatCode xml:space="preserve">#,##0.00000_ </formatCode>
                <ptCount val="20"/>
                <pt idx="0">
                  <v>2.93200202399884</v>
                </pt>
                <pt idx="1">
                  <v>3.07860212519878</v>
                </pt>
                <pt idx="2">
                  <v>3.23253223145872</v>
                </pt>
                <pt idx="3">
                  <v>3.39415884303166</v>
                </pt>
                <pt idx="4">
                  <v>3.56386678518324</v>
                </pt>
                <pt idx="5">
                  <v>3.7420601244424</v>
                </pt>
                <pt idx="6">
                  <v>3.92916313066452</v>
                </pt>
                <pt idx="7">
                  <v>4.12562128719775</v>
                </pt>
                <pt idx="8">
                  <v>4.33190235155764</v>
                </pt>
                <pt idx="9">
                  <v>4.54849746913552</v>
                </pt>
                <pt idx="10">
                  <v>4.7759223425923</v>
                </pt>
                <pt idx="11">
                  <v>5.01471845972191</v>
                </pt>
                <pt idx="12">
                  <v>5.26545438270801</v>
                </pt>
                <pt idx="13">
                  <v>5.52872710184341</v>
                </pt>
                <pt idx="14">
                  <v>5.80516345693558</v>
                </pt>
                <pt idx="15">
                  <v>6.09542162978236</v>
                </pt>
                <pt idx="16">
                  <v>6.40019271127147</v>
                </pt>
                <pt idx="17">
                  <v>6.72020234683505</v>
                </pt>
                <pt idx="18">
                  <v>7.0562124641768</v>
                </pt>
                <pt idx="19">
                  <v>7.40902308738564</v>
                </pt>
              </numCache>
            </numRef>
          </yVal>
          <smooth val="1"/>
        </ser>
        <ser>
          <idx val="2"/>
          <order val="2"/>
          <tx>
            <strRef>
              <f>furtherex1!$A$41</f>
              <strCache>
                <ptCount val="1"/>
                <pt idx="0">
                  <v>Level Payment</v>
                </pt>
              </strCache>
            </strRef>
          </tx>
          <spPr>
            <a:solidFill>
              <a:srgbClr val="ffff00"/>
            </a:solidFill>
            <a:ln w="12600">
              <a:solidFill>
                <a:srgbClr val="ffff00"/>
              </a:solidFill>
              <a:prstDash val="solid"/>
              <a:round/>
            </a:ln>
          </spPr>
          <marker>
            <symbol val="triangle"/>
            <size val="5"/>
            <spPr>
              <a:solidFill>
                <a:srgbClr val="ffff00"/>
              </a:solidFill>
              <a:ln>
                <a:prstDash val="solid"/>
              </a:ln>
            </spPr>
          </marker>
          <dLbls>
            <txPr>
              <a:bodyPr/>
              <a:lstStyle/>
              <a:p>
                <a:pPr>
                  <a:defRPr sz="1000" b="0" strike="noStrike" spc="-1">
                    <a:latin typeface="DejaVu Sans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yVal>
            <numRef>
              <f>furtherex1!$D$45:$W$45</f>
              <numCache>
                <formatCode xml:space="preserve">#,##0.00000_ </formatCode>
                <ptCount val="20"/>
                <pt idx="0">
                  <v>7.77947424175492</v>
                </pt>
                <pt idx="1">
                  <v>7.77947424175492</v>
                </pt>
                <pt idx="2">
                  <v>7.77947424175492</v>
                </pt>
                <pt idx="3">
                  <v>7.77947424175492</v>
                </pt>
                <pt idx="4">
                  <v>7.77947424175492</v>
                </pt>
                <pt idx="5">
                  <v>7.77947424175492</v>
                </pt>
                <pt idx="6">
                  <v>7.77947424175492</v>
                </pt>
                <pt idx="7">
                  <v>7.77947424175492</v>
                </pt>
                <pt idx="8">
                  <v>7.77947424175492</v>
                </pt>
                <pt idx="9">
                  <v>7.77947424175492</v>
                </pt>
                <pt idx="10">
                  <v>7.77947424175492</v>
                </pt>
                <pt idx="11">
                  <v>7.77947424175492</v>
                </pt>
                <pt idx="12">
                  <v>7.77947424175492</v>
                </pt>
                <pt idx="13">
                  <v>7.77947424175492</v>
                </pt>
                <pt idx="14">
                  <v>7.77947424175492</v>
                </pt>
                <pt idx="15">
                  <v>7.77947424175492</v>
                </pt>
                <pt idx="16">
                  <v>7.77947424175492</v>
                </pt>
                <pt idx="17">
                  <v>7.77947424175492</v>
                </pt>
                <pt idx="18">
                  <v>7.77947424175492</v>
                </pt>
                <pt idx="19">
                  <v>7.77947424175492</v>
                </pt>
              </numCache>
            </numRef>
          </yVal>
          <smooth val="1"/>
        </ser>
        <axId val="81903309"/>
        <axId val="35109159"/>
      </scatterChart>
      <valAx>
        <axId val="81903309"/>
        <scaling>
          <orientation val="minMax"/>
          <max val="21"/>
          <min val="0"/>
        </scaling>
        <delete val="0"/>
        <axPos val="b"/>
        <title>
          <tx>
            <rich>
              <a:bodyPr rot="0"/>
              <a:lstStyle/>
              <a:p>
                <a:pPr>
                  <a:defRPr sz="875" b="0" strike="noStrike" spc="-1">
                    <a:solidFill>
                      <a:srgbClr val="000000"/>
                    </a:solidFill>
                    <a:latin typeface="Times New Roman"/>
                  </a:defRPr>
                </a:pPr>
                <a:r>
                  <a:rPr sz="875" b="0" strike="noStrike" spc="-1">
                    <a:solidFill>
                      <a:srgbClr val="000000"/>
                    </a:solidFill>
                    <a:latin typeface="Times New Roman"/>
                  </a:rPr>
                  <a:t>Time period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449723756906077"/>
              <y val="0.823307813829141"/>
            </manualLayout>
          </layout>
          <overlay val="0"/>
          <spPr>
            <a:noFill/>
            <a:ln w="0">
              <a:noFill/>
              <a:prstDash val="solid"/>
            </a:ln>
          </spPr>
        </title>
        <numFmt formatCode="General" sourceLinked="1"/>
        <majorTickMark val="cross"/>
        <minorTickMark val="none"/>
        <tickLblPos val="nextTo"/>
        <spPr>
          <a:ln w="0">
            <a:solidFill>
              <a:srgbClr val="000000"/>
            </a:solidFill>
            <a:prstDash val="solid"/>
          </a:ln>
        </spPr>
        <txPr>
          <a:bodyPr/>
          <a:lstStyle/>
          <a:p>
            <a:pPr>
              <a:defRPr sz="875" b="0" strike="noStrike" spc="-1">
                <a:solidFill>
                  <a:srgbClr val="000000"/>
                </a:solidFill>
                <a:latin typeface="Times New Roman"/>
              </a:defRPr>
            </a:pPr>
            <a:r>
              <a:t/>
            </a:r>
          </a:p>
        </txPr>
        <crossAx val="35109159"/>
        <crossesAt val="0"/>
        <crossBetween val="midCat"/>
      </valAx>
      <valAx>
        <axId val="35109159"/>
        <scaling>
          <orientation val="minMax"/>
          <max val="8.5"/>
          <min val="0"/>
        </scaling>
        <delete val="0"/>
        <axPos val="l"/>
        <numFmt formatCode="\$#,##0" sourceLinked="0"/>
        <majorTickMark val="cross"/>
        <minorTickMark val="none"/>
        <tickLblPos val="nextTo"/>
        <spPr>
          <a:ln w="0">
            <a:solidFill>
              <a:srgbClr val="000000"/>
            </a:solidFill>
            <a:prstDash val="solid"/>
          </a:ln>
        </spPr>
        <txPr>
          <a:bodyPr/>
          <a:lstStyle/>
          <a:p>
            <a:pPr>
              <a:defRPr sz="875" b="0" strike="noStrike" spc="-1">
                <a:solidFill>
                  <a:srgbClr val="000000"/>
                </a:solidFill>
                <a:latin typeface="Times New Roman"/>
              </a:defRPr>
            </a:pPr>
            <a:r>
              <a:t/>
            </a:r>
          </a:p>
        </txPr>
        <crossAx val="81903309"/>
        <crossesAt val="0"/>
        <crossBetween val="midCat"/>
      </valAx>
    </plotArea>
    <legend>
      <legendPos val="r"/>
      <layout>
        <manualLayout>
          <xMode val="edge"/>
          <yMode val="edge"/>
          <wMode val="factor"/>
          <hMode val="factor"/>
          <x val="0.214874628134297"/>
          <y val="0.888807874589865"/>
          <w val="0.596685082872928"/>
          <h val="0.0729128691213999"/>
        </manualLayout>
      </layout>
      <overlay val="0"/>
      <spPr>
        <a:solidFill>
          <a:srgbClr val="ffffff"/>
        </a:solidFill>
        <a:ln w="0">
          <a:solidFill>
            <a:srgbClr val="000000"/>
          </a:solidFill>
          <a:prstDash val="solid"/>
        </a:ln>
      </spPr>
      <txPr>
        <a:bodyPr/>
        <a:lstStyle/>
        <a:p>
          <a:pPr>
            <a:defRPr sz="805" b="0" strike="noStrike" spc="-1">
              <a:solidFill>
                <a:srgbClr val="000000"/>
              </a:solidFill>
              <a:latin typeface="Times New Roman"/>
            </a:defRPr>
          </a:pPr>
          <a:r>
            <a:t/>
          </a:r>
        </a:p>
      </txPr>
    </legend>
    <plotVisOnly val="1"/>
    <dispBlanksAs val="gap"/>
  </chart>
  <spPr>
    <a:solidFill>
      <a:srgbClr val="ffffff"/>
    </a:solidFill>
    <a:ln w="0">
      <a:solidFill>
        <a:srgbClr val="000000"/>
      </a:solidFill>
      <a:prstDash val="solid"/>
    </a:ln>
  </spPr>
</chartSpace>
</file>

<file path=xl/comments/comment1.xml><?xml version="1.0" encoding="utf-8"?>
<comments xmlns="http://schemas.openxmlformats.org/spreadsheetml/2006/main">
  <authors>
    <author>Unknown Author</author>
  </authors>
  <commentList>
    <comment ref="D2" authorId="0" shapeId="0">
      <text>
        <t>the first 2 digits represent the chapter of the book, next 2 digits represent the section number, and last 2 digits just the ordering count.</t>
      </text>
    </comment>
    <comment ref="A4" authorId="0" shapeId="0">
      <text>
        <t>the date of publication of the excel model</t>
      </text>
    </comment>
    <comment ref="A13" authorId="0" shapeId="0">
      <text>
        <t>like the title of each chapter</t>
      </text>
    </comment>
    <comment ref="A14" authorId="0" shapeId="0">
      <text>
        <t>the group that would use the model</t>
      </text>
    </comment>
    <comment ref="A15" authorId="0" shapeId="0">
      <text>
        <t>like the subsection</t>
      </text>
    </comment>
    <comment ref="B19" authorId="0" shapeId="0">
      <text>
        <t>m is the number of partition a one-period</t>
      </text>
    </comment>
  </commentList>
</comments>
</file>

<file path=xl/comments/comment2.xml><?xml version="1.0" encoding="utf-8"?>
<comments xmlns="http://schemas.openxmlformats.org/spreadsheetml/2006/main">
  <authors>
    <author>Unknown Author</author>
  </authors>
  <commentList>
    <comment ref="D2" authorId="0" shapeId="0">
      <text>
        <t>the first 2 digits represent the chapter of the book, next 2 digits represent the section number, and last 2 digits just the ordering count.</t>
      </text>
    </comment>
    <comment ref="A4" authorId="0" shapeId="0">
      <text>
        <t>the date of publication of the excel model</t>
      </text>
    </comment>
    <comment ref="A13" authorId="0" shapeId="0">
      <text>
        <t>like the title of each chapter</t>
      </text>
    </comment>
    <comment ref="A14" authorId="0" shapeId="0">
      <text>
        <t>the group that would use the model</t>
      </text>
    </comment>
    <comment ref="A15" authorId="0" shapeId="0">
      <text>
        <t>like the subsection</t>
      </text>
    </comment>
    <comment ref="B19" authorId="0" shapeId="0">
      <text>
        <t>m is the number of partition a one-period</t>
      </text>
    </comment>
    <comment ref="A29" authorId="0" shapeId="0">
      <text>
        <t>We can incorporate any shape of yield curve.</t>
      </text>
    </comment>
    <comment ref="A31" authorId="0" shapeId="0">
      <text>
        <t>f(n)=-ln(p(n+1)/p(n))</t>
      </text>
    </comment>
    <comment ref="A32" authorId="0" shapeId="0">
      <text>
        <t>the quoted volatility is conventionally lognormal.</t>
      </text>
    </comment>
    <comment ref="A33" authorId="0" shapeId="0">
      <text>
        <t>See the volatility conversion equation.</t>
      </text>
    </comment>
    <comment ref="B34" authorId="0" shapeId="0">
      <text>
        <t>for simplicity</t>
      </text>
    </comment>
    <comment ref="A40" authorId="0" shapeId="0">
      <text>
        <t>call period is the same as coupon payment period.</t>
      </text>
    </comment>
    <comment ref="A41" authorId="0" shapeId="0">
      <text>
        <t>coupon is paid once a year</t>
      </text>
    </comment>
    <comment ref="A62" authorId="0" shapeId="0">
      <text>
        <t>This is a checking purpose.</t>
      </text>
    </comment>
    <comment ref="B71" authorId="0" shapeId="0">
      <text>
        <t>We can't call at initial node.</t>
      </text>
    </comment>
  </commentList>
</comments>
</file>

<file path=xl/comments/comment3.xml><?xml version="1.0" encoding="utf-8"?>
<comments xmlns="http://schemas.openxmlformats.org/spreadsheetml/2006/main">
  <authors>
    <author>Unknown Author</author>
  </authors>
  <commentList>
    <comment ref="D2" authorId="0" shapeId="0">
      <text>
        <t>the first 2 digits represent the chapter of the book, next 2 digits represent the section number, and last 2 digits just the ordering count.</t>
      </text>
    </comment>
    <comment ref="A4" authorId="0" shapeId="0">
      <text>
        <t>the date of publication of the excel model</t>
      </text>
    </comment>
    <comment ref="A13" authorId="0" shapeId="0">
      <text>
        <t>like the title of each chapter</t>
      </text>
    </comment>
    <comment ref="A14" authorId="0" shapeId="0">
      <text>
        <t>the group that would use the model</t>
      </text>
    </comment>
    <comment ref="A15" authorId="0" shapeId="0">
      <text>
        <t>like the subsection</t>
      </text>
    </comment>
    <comment ref="B19" authorId="0" shapeId="0">
      <text>
        <t>m is the number of partition a one-period</t>
      </text>
    </comment>
    <comment ref="A29" authorId="0" shapeId="0">
      <text>
        <t>We can incorporate any shape of yield curve.</t>
      </text>
    </comment>
    <comment ref="A31" authorId="0" shapeId="0">
      <text>
        <t>f(n)=-ln(p(n+1)/p(n))</t>
      </text>
    </comment>
    <comment ref="A32" authorId="0" shapeId="0">
      <text>
        <t>the quoted volatility is conventionally lognormal.</t>
      </text>
    </comment>
    <comment ref="A33" authorId="0" shapeId="0">
      <text>
        <t>See the volatility conversion equation.</t>
      </text>
    </comment>
    <comment ref="B34" authorId="0" shapeId="0">
      <text>
        <t>for simplicity</t>
      </text>
    </comment>
    <comment ref="A40" authorId="0" shapeId="0">
      <text>
        <t>call period is the same as coupon payment period.</t>
      </text>
    </comment>
    <comment ref="A41" authorId="0" shapeId="0">
      <text>
        <t>coupon is paid once a year</t>
      </text>
    </comment>
    <comment ref="A66" authorId="0" shapeId="0">
      <text>
        <t>This is a checking purpose.</t>
      </text>
    </comment>
    <comment ref="B75" authorId="0" shapeId="0">
      <text>
        <t>We can't call at initial node.</t>
      </text>
    </comment>
  </commentList>
</comments>
</file>

<file path=xl/comments/comment4.xml><?xml version="1.0" encoding="utf-8"?>
<comments xmlns="http://schemas.openxmlformats.org/spreadsheetml/2006/main">
  <authors>
    <author>Unknown Author</author>
  </authors>
  <commentList>
    <comment ref="D2" authorId="0" shapeId="0">
      <text>
        <t>the first 2 digits represent the chapter of the book, next 2 digits represent the section number, and last 2 digits just the ordering count.</t>
      </text>
    </comment>
    <comment ref="A4" authorId="0" shapeId="0">
      <text>
        <t>the date of publication of the excel model</t>
      </text>
    </comment>
    <comment ref="A13" authorId="0" shapeId="0">
      <text>
        <t>like the title of each chapter</t>
      </text>
    </comment>
    <comment ref="A14" authorId="0" shapeId="0">
      <text>
        <t>the group that would use the model</t>
      </text>
    </comment>
    <comment ref="A15" authorId="0" shapeId="0">
      <text>
        <t>like the subsection</t>
      </text>
    </comment>
    <comment ref="B19" authorId="0" shapeId="0">
      <text>
        <t>m is the number of partition a one-period</t>
      </text>
    </comment>
  </commentList>
</comments>
</file>

<file path=xl/comments/comment5.xml><?xml version="1.0" encoding="utf-8"?>
<comments xmlns="http://schemas.openxmlformats.org/spreadsheetml/2006/main">
  <authors>
    <author>Unknown Author</author>
  </authors>
  <commentList>
    <comment ref="D2" authorId="0" shapeId="0">
      <text>
        <t>the first 2 digits represent the chapter of the book, next 2 digits represent the section number, and last 2 digits just the ordering count.</t>
      </text>
    </comment>
    <comment ref="A4" authorId="0" shapeId="0">
      <text>
        <t>the date of publication of the excel model</t>
      </text>
    </comment>
    <comment ref="A13" authorId="0" shapeId="0">
      <text>
        <t>like the title of each chapter</t>
      </text>
    </comment>
    <comment ref="A14" authorId="0" shapeId="0">
      <text>
        <t>the group that would use the model</t>
      </text>
    </comment>
    <comment ref="A15" authorId="0" shapeId="0">
      <text>
        <t>like the subsection</t>
      </text>
    </comment>
    <comment ref="B19" authorId="0" shapeId="0">
      <text>
        <t>m is the number of partition a one-period</t>
      </text>
    </comment>
  </commentList>
</comments>
</file>

<file path=xl/comments/comment6.xml><?xml version="1.0" encoding="utf-8"?>
<comments xmlns="http://schemas.openxmlformats.org/spreadsheetml/2006/main">
  <authors>
    <author>Unknown Author</author>
  </authors>
  <commentList>
    <comment ref="D2" authorId="0" shapeId="0">
      <text>
        <t>the first 2 digits represent the chapter of the book, next 2 digits represent the section number, and last 2 digits just the ordering count.</t>
      </text>
    </comment>
    <comment ref="A4" authorId="0" shapeId="0">
      <text>
        <t>the date of publication of the excel model</t>
      </text>
    </comment>
    <comment ref="A13" authorId="0" shapeId="0">
      <text>
        <t>like the title of each chapter</t>
      </text>
    </comment>
    <comment ref="A14" authorId="0" shapeId="0">
      <text>
        <t>the group that would use the model</t>
      </text>
    </comment>
    <comment ref="A15" authorId="0" shapeId="0">
      <text>
        <t>like the subsection</t>
      </text>
    </comment>
    <comment ref="B19" authorId="0" shapeId="0">
      <text>
        <t>m is the number of partition a one-period</t>
      </text>
    </comment>
    <comment ref="A29" authorId="0" shapeId="0">
      <text>
        <t>We can incorporate any shape of yield curve.</t>
      </text>
    </comment>
    <comment ref="A31" authorId="0" shapeId="0">
      <text>
        <t>f(n)=-ln(p(n+1)/p(n))</t>
      </text>
    </comment>
    <comment ref="A32" authorId="0" shapeId="0">
      <text>
        <t>the quoted volatility is conventionally lognormal.</t>
      </text>
    </comment>
    <comment ref="A33" authorId="0" shapeId="0">
      <text>
        <t>See the volatility conversion equation.</t>
      </text>
    </comment>
    <comment ref="B34" authorId="0" shapeId="0">
      <text>
        <t>for simplicity</t>
      </text>
    </comment>
    <comment ref="A40" authorId="0" shapeId="0">
      <text>
        <t>call period is the same as coupon payment period.</t>
      </text>
    </comment>
    <comment ref="A41" authorId="0" shapeId="0">
      <text>
        <t>coupon is paid once a year</t>
      </text>
    </comment>
    <comment ref="A62" authorId="0" shapeId="0">
      <text>
        <t>This is a checking purpose.</t>
      </text>
    </comment>
    <comment ref="B71" authorId="0" shapeId="0">
      <text>
        <t>We can't call at initial node.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3</col>
      <colOff>19440</colOff>
      <row>44</row>
      <rowOff>19080</rowOff>
    </from>
    <to>
      <col>8</col>
      <colOff>701640</colOff>
      <row>62</row>
      <rowOff>66600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9</col>
      <colOff>384840</colOff>
      <row>33</row>
      <rowOff>0</rowOff>
    </from>
    <to>
      <col>17</col>
      <colOff>10080</colOff>
      <row>48</row>
      <rowOff>152280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3</col>
      <colOff>19440</colOff>
      <row>46</row>
      <rowOff>19080</rowOff>
    </from>
    <to>
      <col>8</col>
      <colOff>701640</colOff>
      <row>64</row>
      <rowOff>66240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mailto:leesb@hanyang.ac.kr" TargetMode="External" Id="rId1" /><Relationship Type="http://schemas.openxmlformats.org/officeDocument/2006/relationships/hyperlink" Target="http://www.federalreserve.gov/" TargetMode="External" Id="rId2" /><Relationship Type="http://schemas.openxmlformats.org/officeDocument/2006/relationships/drawing" Target="/xl/drawings/drawing1.xml" Id="rId3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hyperlink" Target="mailto:leesb@hanyang.ac.kr" TargetMode="External" Id="rId1" /><Relationship Type="http://schemas.openxmlformats.org/officeDocument/2006/relationships/hyperlink" Target="http://www.federalreserve.gov/" TargetMode="External" Id="rId2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hyperlink" Target="mailto:leesb@hanyang.ac.kr" TargetMode="External" Id="rId1" /><Relationship Type="http://schemas.openxmlformats.org/officeDocument/2006/relationships/hyperlink" Target="http://www.federalreserve.gov/" TargetMode="External" Id="rId2" /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hyperlink" Target="mailto:leesb@hanyang.ac.kr" TargetMode="External" Id="rId1" /><Relationship Type="http://schemas.openxmlformats.org/officeDocument/2006/relationships/hyperlink" Target="http://www.federalreserve.gov/" TargetMode="External" Id="rId2" /><Relationship Type="http://schemas.openxmlformats.org/officeDocument/2006/relationships/drawing" Target="/xl/drawings/drawing2.xml" Id="rId3" /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hyperlink" Target="mailto:leesb@hanyang.ac.kr" TargetMode="External" Id="rId1" /><Relationship Type="http://schemas.openxmlformats.org/officeDocument/2006/relationships/hyperlink" Target="http://www.federalreserve.gov/" TargetMode="External" Id="rId2" /><Relationship Type="http://schemas.openxmlformats.org/officeDocument/2006/relationships/drawing" Target="/xl/drawings/drawing3.xml" Id="rId3" /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6.xml.rels><Relationships xmlns="http://schemas.openxmlformats.org/package/2006/relationships"><Relationship Type="http://schemas.openxmlformats.org/officeDocument/2006/relationships/hyperlink" Target="mailto:leesb@hanyang.ac.kr" TargetMode="External" Id="rId1" /><Relationship Type="http://schemas.openxmlformats.org/officeDocument/2006/relationships/hyperlink" Target="http://www.federalreserve.gov/" TargetMode="External" Id="rId2" /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F6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7.99609375" defaultRowHeight="12.75" zeroHeight="0" outlineLevelRow="0"/>
  <cols>
    <col width="20.43" customWidth="1" style="98" min="1" max="1"/>
    <col width="7.99" customWidth="1" style="98" min="2" max="257"/>
  </cols>
  <sheetData>
    <row r="1" ht="12.75" customFormat="1" customHeight="1" s="99">
      <c r="A1" s="100" t="inlineStr">
        <is>
          <t xml:space="preserve">Level Payment </t>
        </is>
      </c>
      <c r="D1" s="99" t="inlineStr">
        <is>
          <t>© copyright THC 2003</t>
        </is>
      </c>
      <c r="K1" s="99" t="inlineStr">
        <is>
          <t>All rights reserved by Thomas Ho Company, NY, NY</t>
        </is>
      </c>
    </row>
    <row r="2" ht="12.75" customFormat="1" customHeight="1" s="101">
      <c r="A2" s="102" t="inlineStr">
        <is>
          <t>reference number</t>
        </is>
      </c>
      <c r="B2" s="101" t="inlineStr">
        <is>
          <t># 71</t>
        </is>
      </c>
      <c r="C2" s="103" t="inlineStr">
        <is>
          <t>classification#</t>
        </is>
      </c>
      <c r="D2" s="101" t="n">
        <v>100302</v>
      </c>
      <c r="E2" s="104" t="n"/>
    </row>
    <row r="3" ht="12.75" customFormat="1" customHeight="1" s="101">
      <c r="A3" s="102" t="inlineStr">
        <is>
          <t>Version</t>
        </is>
      </c>
      <c r="B3" s="105" t="n">
        <v>1</v>
      </c>
      <c r="C3" s="102" t="inlineStr">
        <is>
          <t>level</t>
        </is>
      </c>
      <c r="D3" s="106" t="inlineStr">
        <is>
          <t>advanced</t>
        </is>
      </c>
      <c r="F3" s="107" t="inlineStr">
        <is>
          <t>Instructions</t>
        </is>
      </c>
      <c r="G3" s="108" t="n"/>
      <c r="H3" s="108" t="n"/>
      <c r="I3" s="108" t="n"/>
      <c r="J3" s="108" t="n"/>
      <c r="K3" s="108" t="n"/>
      <c r="L3" s="108" t="n"/>
      <c r="M3" s="108" t="n"/>
      <c r="N3" s="108" t="n"/>
      <c r="O3" s="108" t="n"/>
      <c r="P3" s="108" t="n"/>
      <c r="Q3" s="108" t="n"/>
      <c r="R3" s="108" t="n"/>
      <c r="S3" s="109" t="n"/>
    </row>
    <row r="4" ht="12.75" customFormat="1" customHeight="1" s="101">
      <c r="A4" s="102" t="inlineStr">
        <is>
          <t>publication date</t>
        </is>
      </c>
      <c r="B4" s="110" t="n">
        <v>37774</v>
      </c>
      <c r="F4" s="111" t="inlineStr">
        <is>
          <t xml:space="preserve">Given the yield curve and the loan interest rate, calculate the level payment over the loan term. </t>
        </is>
      </c>
      <c r="G4" s="112" t="n"/>
      <c r="H4" s="112" t="n"/>
      <c r="I4" s="112" t="n"/>
      <c r="J4" s="112" t="n"/>
      <c r="K4" s="112" t="n"/>
      <c r="L4" s="112" t="n"/>
      <c r="M4" s="112" t="n"/>
      <c r="N4" s="112" t="n"/>
      <c r="O4" s="112" t="n"/>
      <c r="P4" s="112" t="n"/>
      <c r="Q4" s="112" t="n"/>
      <c r="R4" s="112" t="n"/>
      <c r="S4" s="113" t="n"/>
    </row>
    <row r="5" ht="12.75" customFormat="1" customHeight="1" s="101">
      <c r="A5" s="102" t="inlineStr">
        <is>
          <t>author</t>
        </is>
      </c>
      <c r="B5" s="106" t="inlineStr">
        <is>
          <t>Hanyang Financial Engineering Lab.</t>
        </is>
      </c>
      <c r="C5" s="106" t="n"/>
      <c r="D5" s="106" t="n"/>
      <c r="E5" s="106" t="n"/>
      <c r="F5" s="114" t="n"/>
      <c r="G5" s="112" t="n"/>
      <c r="H5" s="112" t="n"/>
      <c r="I5" s="112" t="n"/>
      <c r="J5" s="112" t="n"/>
      <c r="K5" s="112" t="n"/>
      <c r="L5" s="112" t="n"/>
      <c r="M5" s="112" t="n"/>
      <c r="N5" s="112" t="n"/>
      <c r="O5" s="112" t="n"/>
      <c r="P5" s="112" t="n"/>
      <c r="Q5" s="112" t="n"/>
      <c r="R5" s="112" t="n"/>
      <c r="S5" s="113" t="n"/>
    </row>
    <row r="6" ht="12.75" customFormat="1" customHeight="1" s="101">
      <c r="A6" s="102" t="inlineStr">
        <is>
          <t>affiliation</t>
        </is>
      </c>
      <c r="B6" s="106" t="inlineStr">
        <is>
          <t>Hanyang University</t>
        </is>
      </c>
      <c r="C6" s="106" t="n"/>
      <c r="D6" s="106" t="n"/>
      <c r="F6" s="115" t="n"/>
      <c r="G6" s="116" t="n"/>
      <c r="H6" s="116" t="n"/>
      <c r="I6" s="116" t="n"/>
      <c r="J6" s="116" t="n"/>
      <c r="K6" s="116" t="n"/>
      <c r="L6" s="116" t="n"/>
      <c r="M6" s="116" t="n"/>
      <c r="N6" s="116" t="n"/>
      <c r="O6" s="116" t="n"/>
      <c r="P6" s="116" t="n"/>
      <c r="Q6" s="116" t="n"/>
      <c r="R6" s="116" t="n"/>
      <c r="S6" s="117" t="n"/>
    </row>
    <row r="7" ht="12.75" customFormat="1" customHeight="1" s="101">
      <c r="A7" s="102" t="inlineStr">
        <is>
          <t>email address</t>
        </is>
      </c>
      <c r="B7" s="118" t="inlineStr">
        <is>
          <t>leesb@hanyang.ac.kr</t>
        </is>
      </c>
      <c r="C7" s="118" t="n"/>
      <c r="D7" s="118" t="n"/>
      <c r="E7" s="119" t="n"/>
      <c r="F7" s="120" t="inlineStr">
        <is>
          <t>input</t>
        </is>
      </c>
      <c r="G7" s="121" t="inlineStr">
        <is>
          <t>initial yield curve, Interest payment, Loan term, Principal</t>
        </is>
      </c>
      <c r="H7" s="122" t="n"/>
      <c r="I7" s="122" t="n"/>
      <c r="J7" s="122" t="n"/>
      <c r="K7" s="122" t="n"/>
      <c r="L7" s="122" t="n"/>
      <c r="M7" s="122" t="n"/>
      <c r="N7" s="123" t="n"/>
      <c r="O7" s="123" t="n"/>
      <c r="P7" s="123" t="n"/>
      <c r="Q7" s="123" t="n"/>
      <c r="R7" s="123" t="n"/>
      <c r="S7" s="124" t="n"/>
    </row>
    <row r="8" ht="12.75" customFormat="1" customHeight="1" s="101">
      <c r="A8" s="102" t="inlineStr">
        <is>
          <t>last revised date</t>
        </is>
      </c>
      <c r="B8" s="125" t="n">
        <v>37952</v>
      </c>
      <c r="C8" s="119" t="n"/>
      <c r="D8" s="119" t="n"/>
      <c r="E8" s="119" t="n"/>
      <c r="F8" s="126" t="inlineStr">
        <is>
          <t>output</t>
        </is>
      </c>
      <c r="G8" s="127" t="inlineStr">
        <is>
          <t xml:space="preserve">Level payment </t>
        </is>
      </c>
      <c r="H8" s="128" t="n"/>
      <c r="I8" s="128" t="n"/>
      <c r="J8" s="128" t="n"/>
      <c r="K8" s="128" t="n"/>
      <c r="L8" s="128" t="n"/>
      <c r="M8" s="128" t="n"/>
      <c r="N8" s="128" t="n"/>
      <c r="O8" s="128" t="n"/>
      <c r="P8" s="128" t="n"/>
      <c r="Q8" s="128" t="n"/>
      <c r="R8" s="128" t="n"/>
      <c r="S8" s="129" t="n"/>
    </row>
    <row r="9" ht="12.75" customFormat="1" customHeight="1" s="101">
      <c r="A9" s="102" t="inlineStr">
        <is>
          <t>references</t>
        </is>
      </c>
      <c r="B9" s="119" t="inlineStr">
        <is>
          <t>Ch.10 of "The Oxford Guide to Financial Modeling" by Thomas S.Y. Ho and Sang Bin Lee, 2003, Oxford University Press</t>
        </is>
      </c>
      <c r="C9" s="119" t="n"/>
      <c r="D9" s="119" t="n"/>
      <c r="E9" s="119" t="n"/>
      <c r="F9" s="119" t="n"/>
      <c r="G9" s="106" t="n"/>
      <c r="H9" s="101" t="n"/>
      <c r="I9" s="101" t="n"/>
      <c r="J9" s="101" t="n"/>
      <c r="K9" s="101" t="n"/>
      <c r="L9" s="101" t="n"/>
      <c r="M9" s="101" t="n"/>
      <c r="N9" s="101" t="n"/>
      <c r="O9" s="101" t="n"/>
      <c r="P9" s="101" t="n"/>
      <c r="Q9" s="101" t="n"/>
      <c r="R9" s="101" t="n"/>
    </row>
    <row r="10" ht="12.75" customFormat="1" customHeight="1" s="101">
      <c r="A10" s="102" t="n"/>
      <c r="C10" s="119" t="n"/>
      <c r="D10" s="119" t="n"/>
      <c r="E10" s="119" t="n"/>
      <c r="F10" s="119" t="n"/>
      <c r="G10" s="106" t="n"/>
      <c r="H10" s="101" t="n"/>
      <c r="I10" s="101" t="n"/>
      <c r="J10" s="101" t="n"/>
      <c r="K10" s="101" t="n"/>
      <c r="L10" s="101" t="n"/>
      <c r="M10" s="101" t="n"/>
      <c r="N10" s="101" t="n"/>
      <c r="O10" s="101" t="n"/>
      <c r="P10" s="101" t="n"/>
      <c r="Q10" s="101" t="n"/>
      <c r="R10" s="101" t="n"/>
    </row>
    <row r="11" ht="12.75" customFormat="1" customHeight="1" s="130">
      <c r="A11" s="131" t="inlineStr">
        <is>
          <t>Descriptions</t>
        </is>
      </c>
      <c r="B11" s="132" t="n"/>
      <c r="C11" s="132" t="n"/>
      <c r="D11" s="132" t="n"/>
      <c r="E11" s="132" t="n"/>
      <c r="F11" s="132" t="n"/>
      <c r="G11" s="133" t="n"/>
    </row>
    <row r="12" ht="12.75" customFormat="1" customHeight="1" s="101">
      <c r="A12" s="134" t="n"/>
      <c r="B12" s="135" t="n"/>
      <c r="C12" s="135" t="n"/>
      <c r="D12" s="135" t="n"/>
      <c r="E12" s="135" t="n"/>
      <c r="F12" s="135" t="n"/>
      <c r="G12" s="106" t="n"/>
      <c r="H12" s="101" t="n"/>
      <c r="I12" s="101" t="n"/>
      <c r="J12" s="101" t="n"/>
      <c r="K12" s="101" t="n"/>
      <c r="L12" s="101" t="n"/>
      <c r="M12" s="101" t="n"/>
      <c r="N12" s="101" t="n"/>
      <c r="P12" s="101" t="n"/>
      <c r="Q12" s="101" t="n"/>
      <c r="R12" s="101" t="n"/>
    </row>
    <row r="13" ht="12.75" customFormat="1" customHeight="1" s="101">
      <c r="A13" s="136" t="inlineStr">
        <is>
          <t>financial model class</t>
        </is>
      </c>
      <c r="B13" s="137" t="inlineStr">
        <is>
          <t>the behavioral models</t>
        </is>
      </c>
      <c r="C13" s="137" t="n"/>
      <c r="D13" s="137" t="n"/>
      <c r="E13" s="137" t="n"/>
      <c r="F13" s="138" t="n"/>
      <c r="G13" s="101" t="n"/>
      <c r="H13" s="101" t="n"/>
      <c r="I13" s="101" t="n"/>
      <c r="J13" s="101" t="n"/>
      <c r="K13" s="101" t="n"/>
      <c r="L13" s="101" t="n"/>
      <c r="M13" s="101" t="n"/>
      <c r="N13" s="101" t="n"/>
      <c r="P13" s="101" t="n"/>
      <c r="Q13" s="101" t="n"/>
      <c r="R13" s="101" t="n"/>
    </row>
    <row r="14" ht="12.75" customFormat="1" customHeight="1" s="101">
      <c r="A14" s="139" t="inlineStr">
        <is>
          <t>issuer/modeler</t>
        </is>
      </c>
      <c r="B14" s="135" t="inlineStr">
        <is>
          <t>N/A</t>
        </is>
      </c>
      <c r="C14" s="135" t="n"/>
      <c r="D14" s="135" t="n"/>
      <c r="E14" s="135" t="n"/>
      <c r="F14" s="140" t="n"/>
      <c r="P14" s="101" t="n"/>
      <c r="Q14" s="101" t="n"/>
      <c r="R14" s="101" t="n"/>
    </row>
    <row r="15" ht="12.75" customFormat="1" customHeight="1" s="101">
      <c r="A15" s="139" t="inlineStr">
        <is>
          <t>model type</t>
        </is>
      </c>
      <c r="B15" s="135" t="inlineStr">
        <is>
          <t>Collateralized Mortgage Obligations</t>
        </is>
      </c>
      <c r="C15" s="135" t="n"/>
      <c r="D15" s="135" t="n"/>
      <c r="E15" s="135" t="n"/>
      <c r="F15" s="140" t="n"/>
      <c r="P15" s="101" t="n"/>
      <c r="Q15" s="101" t="n"/>
      <c r="R15" s="101" t="n"/>
    </row>
    <row r="16" ht="12.75" customFormat="1" customHeight="1" s="101">
      <c r="A16" s="139" t="inlineStr">
        <is>
          <t>risk sources</t>
        </is>
      </c>
      <c r="B16" s="135" t="inlineStr">
        <is>
          <t>interest rate</t>
        </is>
      </c>
      <c r="C16" s="135" t="n"/>
      <c r="D16" s="135" t="n"/>
      <c r="E16" s="135" t="n"/>
      <c r="F16" s="140" t="n"/>
      <c r="H16" s="101" t="n"/>
      <c r="I16" s="101" t="n"/>
      <c r="P16" s="101" t="n"/>
      <c r="Q16" s="101" t="n"/>
      <c r="R16" s="101" t="n"/>
    </row>
    <row r="17" ht="12.75" customFormat="1" customHeight="1" s="101">
      <c r="A17" s="139" t="inlineStr">
        <is>
          <t>risk distribution</t>
        </is>
      </c>
      <c r="B17" s="135" t="inlineStr">
        <is>
          <t>normal</t>
        </is>
      </c>
      <c r="C17" s="135" t="n"/>
      <c r="D17" s="135" t="n"/>
      <c r="E17" s="135" t="n"/>
      <c r="F17" s="140" t="n"/>
      <c r="H17" s="141" t="n"/>
      <c r="I17" s="101" t="n"/>
      <c r="P17" s="101" t="n"/>
      <c r="Q17" s="101" t="n"/>
      <c r="R17" s="101" t="n"/>
    </row>
    <row r="18" ht="12.75" customFormat="1" customHeight="1" s="101">
      <c r="A18" s="139" t="inlineStr">
        <is>
          <t>economic assumptions</t>
        </is>
      </c>
      <c r="B18" s="114" t="inlineStr">
        <is>
          <t>contingent claim model</t>
        </is>
      </c>
      <c r="C18" s="135" t="n"/>
      <c r="D18" s="135" t="n"/>
      <c r="E18" s="135" t="n"/>
      <c r="F18" s="140" t="n"/>
      <c r="P18" s="101" t="n"/>
      <c r="Q18" s="101" t="n"/>
      <c r="R18" s="101" t="n"/>
    </row>
    <row r="19" ht="12.75" customFormat="1" customHeight="1" s="101">
      <c r="A19" s="142" t="inlineStr">
        <is>
          <t>technical assumptions</t>
        </is>
      </c>
      <c r="B19" s="143" t="inlineStr">
        <is>
          <t>m=1</t>
        </is>
      </c>
      <c r="C19" s="143" t="n"/>
      <c r="D19" s="143" t="n"/>
      <c r="E19" s="143" t="n"/>
      <c r="F19" s="144" t="n"/>
      <c r="P19" s="101" t="n"/>
      <c r="Q19" s="101" t="n"/>
      <c r="R19" s="101" t="n"/>
    </row>
    <row r="20" ht="12.75" customFormat="1" customHeight="1" s="101">
      <c r="A20" s="102" t="inlineStr">
        <is>
          <t>key words</t>
        </is>
      </c>
      <c r="B20" s="135" t="inlineStr">
        <is>
          <t>arbitrage-free interest rate model, contingent claim</t>
        </is>
      </c>
      <c r="C20" s="135" t="n"/>
      <c r="D20" s="135" t="n"/>
      <c r="E20" s="135" t="n"/>
      <c r="F20" s="135" t="n"/>
      <c r="P20" s="101" t="n"/>
      <c r="Q20" s="101" t="n"/>
      <c r="R20" s="101" t="n"/>
    </row>
    <row r="21" ht="12.75" customFormat="1" customHeight="1" s="101">
      <c r="A21" s="102" t="n"/>
      <c r="B21" s="125" t="n"/>
      <c r="C21" s="125" t="n"/>
      <c r="D21" s="125" t="n"/>
      <c r="E21" s="125" t="n"/>
      <c r="L21" s="101" t="n"/>
      <c r="M21" s="101" t="n"/>
      <c r="N21" s="101" t="n"/>
      <c r="O21" s="101" t="n"/>
      <c r="P21" s="101" t="n"/>
      <c r="Q21" s="101" t="n"/>
      <c r="R21" s="101" t="n"/>
    </row>
    <row r="22" ht="12.75" customFormat="1" customHeight="1" s="130">
      <c r="A22" s="131" t="inlineStr">
        <is>
          <t>Links</t>
        </is>
      </c>
      <c r="B22" s="145" t="n"/>
      <c r="C22" s="145" t="n"/>
      <c r="D22" s="145" t="n"/>
      <c r="E22" s="145" t="n"/>
    </row>
    <row r="23" ht="12.75" customFormat="1" customHeight="1" s="101">
      <c r="A23" s="102" t="inlineStr">
        <is>
          <t>data</t>
        </is>
      </c>
      <c r="B23" s="146" t="inlineStr">
        <is>
          <t>http://www.federalreserve.gov/</t>
        </is>
      </c>
      <c r="C23" s="125" t="n"/>
      <c r="D23" s="125" t="n"/>
      <c r="E23" s="125" t="n"/>
      <c r="L23" s="101" t="n"/>
      <c r="M23" s="101" t="n"/>
      <c r="N23" s="101" t="n"/>
      <c r="O23" s="101" t="n"/>
      <c r="P23" s="101" t="n"/>
      <c r="Q23" s="101" t="n"/>
      <c r="R23" s="101" t="n"/>
    </row>
    <row r="24" ht="12.75" customFormat="1" customHeight="1" s="101">
      <c r="A24" s="102" t="inlineStr">
        <is>
          <t>financial models</t>
        </is>
      </c>
      <c r="B24" s="147" t="inlineStr">
        <is>
          <t>7. Bond Arithmetic, 8. Bond Model, 21. Extended Ho-Lee Model, 53. Callable Bond Model</t>
        </is>
      </c>
      <c r="C24" s="125" t="n"/>
      <c r="D24" s="125" t="n"/>
      <c r="E24" s="125" t="n"/>
      <c r="F24" s="101" t="n"/>
      <c r="G24" s="101" t="n"/>
    </row>
    <row r="25" ht="12.75" customFormat="1" customHeight="1" s="101">
      <c r="A25" s="102" t="n"/>
      <c r="B25" s="118" t="n"/>
      <c r="C25" s="101" t="n"/>
      <c r="D25" s="101" t="n"/>
      <c r="E25" s="101" t="n"/>
      <c r="F25" s="101" t="n"/>
      <c r="G25" s="101" t="n"/>
    </row>
    <row r="26" ht="12.75" customFormat="1" customHeight="1" s="99">
      <c r="A26" s="100" t="inlineStr">
        <is>
          <t>Inputs</t>
        </is>
      </c>
      <c r="B26" s="100" t="n"/>
      <c r="N26" s="99" t="n"/>
      <c r="O26" s="99" t="n"/>
      <c r="P26" s="99" t="n"/>
      <c r="Q26" s="99" t="n"/>
      <c r="R26" s="99" t="n"/>
      <c r="S26" s="99" t="n"/>
      <c r="T26" s="99" t="n"/>
    </row>
    <row r="28" ht="12.75" customHeight="1" s="148">
      <c r="B28" s="98" t="inlineStr">
        <is>
          <t>Spot curve (%)</t>
        </is>
      </c>
      <c r="E28" s="149" t="n">
        <v>0.1</v>
      </c>
    </row>
    <row r="29" ht="12.75" customHeight="1" s="148">
      <c r="B29" s="98" t="inlineStr">
        <is>
          <t>Annual interest payment(%)</t>
        </is>
      </c>
      <c r="E29" s="149" t="n">
        <v>0.1</v>
      </c>
      <c r="G29" s="98" t="inlineStr">
        <is>
          <t>&lt;=</t>
        </is>
      </c>
      <c r="H29" s="150" t="inlineStr">
        <is>
          <t>The interests are paid semiannually</t>
        </is>
      </c>
    </row>
    <row r="30" ht="12.75" customHeight="1" s="148">
      <c r="B30" s="98" t="inlineStr">
        <is>
          <t xml:space="preserve">The term of loan(year) </t>
        </is>
      </c>
      <c r="E30" s="151" t="n">
        <v>10</v>
      </c>
    </row>
    <row r="31" ht="12.75" customHeight="1" s="148">
      <c r="B31" s="98" t="inlineStr">
        <is>
          <t>The principal ($)</t>
        </is>
      </c>
      <c r="E31" s="151" t="n">
        <v>100</v>
      </c>
    </row>
    <row r="33" ht="12.75" customFormat="1" customHeight="1" s="152">
      <c r="A33" s="153" t="inlineStr">
        <is>
          <t xml:space="preserve">Outputs </t>
        </is>
      </c>
    </row>
    <row r="35" ht="12.75" customHeight="1" s="148">
      <c r="A35" s="98" t="inlineStr">
        <is>
          <t>Period</t>
        </is>
      </c>
      <c r="D35" s="98" t="n">
        <v>1</v>
      </c>
      <c r="E35" s="98" t="n">
        <v>2</v>
      </c>
      <c r="F35" s="98" t="n">
        <v>3</v>
      </c>
      <c r="G35" s="98" t="n">
        <v>4</v>
      </c>
      <c r="H35" s="98" t="n">
        <v>5</v>
      </c>
      <c r="I35" s="98" t="n">
        <v>6</v>
      </c>
      <c r="J35" s="98" t="n">
        <v>7</v>
      </c>
      <c r="K35" s="98" t="n">
        <v>8</v>
      </c>
      <c r="L35" s="98" t="n">
        <v>9</v>
      </c>
      <c r="M35" s="98" t="n">
        <v>10</v>
      </c>
      <c r="N35" s="98" t="n">
        <v>11</v>
      </c>
      <c r="O35" s="98" t="n">
        <v>12</v>
      </c>
      <c r="P35" s="98" t="n">
        <v>13</v>
      </c>
      <c r="Q35" s="98" t="n">
        <v>14</v>
      </c>
      <c r="R35" s="98" t="n">
        <v>15</v>
      </c>
      <c r="S35" s="98" t="n">
        <v>16</v>
      </c>
      <c r="T35" s="98" t="n">
        <v>17</v>
      </c>
      <c r="U35" s="98" t="n">
        <v>18</v>
      </c>
      <c r="V35" s="98" t="n">
        <v>19</v>
      </c>
      <c r="W35" s="98" t="n">
        <v>20</v>
      </c>
    </row>
    <row r="36" ht="12.75" customHeight="1" s="148">
      <c r="A36" s="98" t="inlineStr">
        <is>
          <t>Cash Flow</t>
        </is>
      </c>
      <c r="D36" s="98" t="n">
        <v>5</v>
      </c>
      <c r="E36" s="98" t="n">
        <v>5</v>
      </c>
      <c r="F36" s="98" t="n">
        <v>5</v>
      </c>
      <c r="G36" s="98" t="n">
        <v>5</v>
      </c>
      <c r="H36" s="98" t="n">
        <v>5</v>
      </c>
      <c r="I36" s="98" t="n">
        <v>5</v>
      </c>
      <c r="J36" s="98" t="n">
        <v>5</v>
      </c>
      <c r="K36" s="98" t="n">
        <v>5</v>
      </c>
      <c r="L36" s="98" t="n">
        <v>5</v>
      </c>
      <c r="M36" s="98" t="n">
        <v>5</v>
      </c>
      <c r="N36" s="98" t="n">
        <v>5</v>
      </c>
      <c r="O36" s="98" t="n">
        <v>5</v>
      </c>
      <c r="P36" s="98" t="n">
        <v>5</v>
      </c>
      <c r="Q36" s="98" t="n">
        <v>5</v>
      </c>
      <c r="R36" s="98" t="n">
        <v>5</v>
      </c>
      <c r="S36" s="98" t="n">
        <v>5</v>
      </c>
      <c r="T36" s="98" t="n">
        <v>5</v>
      </c>
      <c r="U36" s="98" t="n">
        <v>5</v>
      </c>
      <c r="V36" s="98" t="n">
        <v>5</v>
      </c>
      <c r="W36" s="98" t="n">
        <v>105</v>
      </c>
    </row>
    <row r="37" ht="12.75" customHeight="1" s="148">
      <c r="A37" s="98" t="inlineStr">
        <is>
          <t>PV of each period</t>
        </is>
      </c>
      <c r="D37" s="154">
        <f>D36/(1+$E$28/2)^D35</f>
        <v/>
      </c>
      <c r="E37" s="154">
        <f>E36/(1+$E$28/2)^E35</f>
        <v/>
      </c>
      <c r="F37" s="154">
        <f>F36/(1+$E$28/2)^F35</f>
        <v/>
      </c>
      <c r="G37" s="154">
        <f>G36/(1+$E$28/2)^G35</f>
        <v/>
      </c>
      <c r="H37" s="154">
        <f>H36/(1+$E$28/2)^H35</f>
        <v/>
      </c>
      <c r="I37" s="154">
        <f>I36/(1+$E$28/2)^I35</f>
        <v/>
      </c>
      <c r="J37" s="154">
        <f>J36/(1+$E$28/2)^J35</f>
        <v/>
      </c>
      <c r="K37" s="154">
        <f>K36/(1+$E$28/2)^K35</f>
        <v/>
      </c>
      <c r="L37" s="154">
        <f>L36/(1+$E$28/2)^L35</f>
        <v/>
      </c>
      <c r="M37" s="154">
        <f>M36/(1+$E$28/2)^M35</f>
        <v/>
      </c>
      <c r="N37" s="154">
        <f>N36/(1+$E$28/2)^N35</f>
        <v/>
      </c>
      <c r="O37" s="154">
        <f>O36/(1+$E$28/2)^O35</f>
        <v/>
      </c>
      <c r="P37" s="154">
        <f>P36/(1+$E$28/2)^P35</f>
        <v/>
      </c>
      <c r="Q37" s="154">
        <f>Q36/(1+$E$28/2)^Q35</f>
        <v/>
      </c>
      <c r="R37" s="154">
        <f>R36/(1+$E$28/2)^R35</f>
        <v/>
      </c>
      <c r="S37" s="154">
        <f>S36/(1+$E$28/2)^S35</f>
        <v/>
      </c>
      <c r="T37" s="154">
        <f>T36/(1+$E$28/2)^T35</f>
        <v/>
      </c>
      <c r="U37" s="154">
        <f>U36/(1+$E$28/2)^U35</f>
        <v/>
      </c>
      <c r="V37" s="154">
        <f>V36/(1+$E$28/2)^V35</f>
        <v/>
      </c>
      <c r="W37" s="154">
        <f>W36/(1+$E$28/2)^W35</f>
        <v/>
      </c>
      <c r="X37" s="154" t="n"/>
      <c r="Y37" s="154" t="n"/>
      <c r="Z37" s="154" t="n"/>
      <c r="AA37" s="154" t="n"/>
      <c r="AB37" s="154" t="n"/>
      <c r="AC37" s="154" t="n"/>
      <c r="AD37" s="154" t="n"/>
      <c r="AE37" s="154" t="n"/>
      <c r="AF37" s="154" t="n"/>
      <c r="AG37" s="154" t="n"/>
      <c r="AH37" s="154" t="n"/>
      <c r="AI37" s="154" t="n"/>
      <c r="AJ37" s="154" t="n"/>
      <c r="AK37" s="154" t="n"/>
      <c r="AL37" s="154" t="n"/>
      <c r="AM37" s="154" t="n"/>
      <c r="AN37" s="154" t="n"/>
      <c r="AO37" s="154" t="n"/>
    </row>
    <row r="38" ht="12.75" customHeight="1" s="148">
      <c r="D38" s="154" t="n"/>
      <c r="E38" s="154" t="n"/>
      <c r="F38" s="154" t="n"/>
      <c r="G38" s="154" t="n"/>
      <c r="H38" s="154" t="n"/>
      <c r="I38" s="154" t="n"/>
      <c r="J38" s="154" t="n"/>
      <c r="K38" s="154" t="n"/>
      <c r="L38" s="154" t="n"/>
      <c r="M38" s="154" t="n"/>
      <c r="N38" s="154" t="n"/>
      <c r="O38" s="154" t="n"/>
      <c r="P38" s="154" t="n"/>
      <c r="Q38" s="154" t="n"/>
      <c r="R38" s="154" t="n"/>
      <c r="S38" s="154" t="n"/>
      <c r="T38" s="154" t="n"/>
      <c r="U38" s="154" t="n"/>
      <c r="V38" s="154" t="n"/>
      <c r="W38" s="154" t="n"/>
      <c r="X38" s="154" t="n"/>
      <c r="Y38" s="154" t="n"/>
      <c r="Z38" s="154" t="n"/>
      <c r="AA38" s="154" t="n"/>
      <c r="AB38" s="154" t="n"/>
      <c r="AC38" s="154" t="n"/>
      <c r="AD38" s="154" t="n"/>
      <c r="AE38" s="154" t="n"/>
      <c r="AF38" s="154" t="n"/>
      <c r="AG38" s="154" t="n"/>
      <c r="AH38" s="154" t="n"/>
      <c r="AI38" s="154" t="n"/>
      <c r="AJ38" s="154" t="n"/>
      <c r="AK38" s="154" t="n"/>
      <c r="AL38" s="154" t="n"/>
      <c r="AM38" s="154" t="n"/>
      <c r="AN38" s="154" t="n"/>
      <c r="AO38" s="154" t="n"/>
    </row>
    <row r="39" ht="12.75" customFormat="1" customHeight="1" s="155">
      <c r="A39" s="155" t="inlineStr">
        <is>
          <t>Level Payment</t>
        </is>
      </c>
      <c r="C39" s="156">
        <f>PMT(E29/2,20,-D40)</f>
        <v/>
      </c>
      <c r="D39" s="98" t="n"/>
      <c r="E39" s="98" t="n"/>
      <c r="F39" s="98" t="n"/>
      <c r="G39" s="98" t="n"/>
      <c r="H39" s="98" t="n"/>
      <c r="I39" s="98" t="n"/>
      <c r="J39" s="98" t="n"/>
      <c r="K39" s="98" t="n"/>
      <c r="L39" s="98" t="n"/>
      <c r="M39" s="98" t="n"/>
      <c r="N39" s="98" t="n"/>
      <c r="O39" s="98" t="n"/>
      <c r="P39" s="98" t="n"/>
      <c r="Q39" s="98" t="n"/>
      <c r="R39" s="98" t="n"/>
      <c r="S39" s="98" t="n"/>
      <c r="T39" s="98" t="n"/>
      <c r="U39" s="98" t="n"/>
      <c r="V39" s="98" t="n"/>
      <c r="W39" s="98" t="n"/>
      <c r="X39" s="98" t="n"/>
      <c r="Y39" s="98" t="n"/>
      <c r="Z39" s="98" t="n"/>
      <c r="AA39" s="98" t="n"/>
    </row>
    <row r="40" ht="12.75" customFormat="1" customHeight="1" s="155">
      <c r="A40" s="98" t="inlineStr">
        <is>
          <t>PV of Loan</t>
        </is>
      </c>
      <c r="D40" s="157">
        <f>SUM(D37:$W$37)</f>
        <v/>
      </c>
      <c r="E40" s="158">
        <f>D40-D42</f>
        <v/>
      </c>
      <c r="F40" s="158">
        <f>E40-E42</f>
        <v/>
      </c>
      <c r="G40" s="158">
        <f>F40-F42</f>
        <v/>
      </c>
      <c r="H40" s="158">
        <f>G40-G42</f>
        <v/>
      </c>
      <c r="I40" s="158">
        <f>H40-H42</f>
        <v/>
      </c>
      <c r="J40" s="158">
        <f>I40-I42</f>
        <v/>
      </c>
      <c r="K40" s="158">
        <f>J40-J42</f>
        <v/>
      </c>
      <c r="L40" s="158">
        <f>K40-K42</f>
        <v/>
      </c>
      <c r="M40" s="158">
        <f>L40-L42</f>
        <v/>
      </c>
      <c r="N40" s="158">
        <f>M40-M42</f>
        <v/>
      </c>
      <c r="O40" s="158">
        <f>N40-N42</f>
        <v/>
      </c>
      <c r="P40" s="158">
        <f>O40-O42</f>
        <v/>
      </c>
      <c r="Q40" s="158">
        <f>P40-P42</f>
        <v/>
      </c>
      <c r="R40" s="158">
        <f>Q40-Q42</f>
        <v/>
      </c>
      <c r="S40" s="158">
        <f>R40-R42</f>
        <v/>
      </c>
      <c r="T40" s="158">
        <f>S40-S42</f>
        <v/>
      </c>
      <c r="U40" s="158">
        <f>T40-T42</f>
        <v/>
      </c>
      <c r="V40" s="158">
        <f>U40-U42</f>
        <v/>
      </c>
      <c r="W40" s="158">
        <f>V40-V42</f>
        <v/>
      </c>
      <c r="X40" s="158" t="n"/>
      <c r="Y40" s="158" t="n"/>
      <c r="Z40" s="158" t="n"/>
      <c r="AA40" s="158" t="n"/>
      <c r="AB40" s="158" t="n"/>
      <c r="AC40" s="158" t="n"/>
      <c r="AD40" s="158" t="n"/>
      <c r="AE40" s="158" t="n"/>
      <c r="AF40" s="158" t="n"/>
      <c r="AG40" s="158" t="n"/>
      <c r="AH40" s="158" t="n"/>
      <c r="AI40" s="158" t="n"/>
      <c r="AJ40" s="158" t="n"/>
      <c r="AK40" s="158" t="n"/>
      <c r="AL40" s="158" t="n"/>
      <c r="AM40" s="158" t="n"/>
      <c r="AN40" s="158" t="n"/>
      <c r="AO40" s="158" t="n"/>
      <c r="AP40" s="158" t="n"/>
      <c r="AQ40" s="158" t="n"/>
      <c r="AR40" s="158" t="n"/>
      <c r="AS40" s="158" t="n"/>
      <c r="AT40" s="158" t="n"/>
      <c r="AU40" s="158" t="n"/>
      <c r="AV40" s="158" t="n"/>
      <c r="AW40" s="158" t="n"/>
      <c r="AX40" s="158" t="n"/>
      <c r="AY40" s="158" t="n"/>
      <c r="AZ40" s="158" t="n"/>
      <c r="BA40" s="158" t="n"/>
      <c r="BB40" s="158" t="n"/>
      <c r="BC40" s="158" t="n"/>
      <c r="BD40" s="158" t="n"/>
      <c r="BE40" s="158" t="n"/>
      <c r="BF40" s="158" t="n"/>
    </row>
    <row r="41" ht="12.75" customFormat="1" customHeight="1" s="155">
      <c r="A41" s="155" t="inlineStr">
        <is>
          <t>Interest</t>
        </is>
      </c>
      <c r="D41" s="158">
        <f>D40*$E$29/2</f>
        <v/>
      </c>
      <c r="E41" s="158">
        <f>E40*$E$29/2</f>
        <v/>
      </c>
      <c r="F41" s="158">
        <f>F40*$E$29/2</f>
        <v/>
      </c>
      <c r="G41" s="158">
        <f>G40*$E$29/2</f>
        <v/>
      </c>
      <c r="H41" s="158">
        <f>H40*$E$29/2</f>
        <v/>
      </c>
      <c r="I41" s="158">
        <f>I40*$E$29/2</f>
        <v/>
      </c>
      <c r="J41" s="158">
        <f>J40*$E$29/2</f>
        <v/>
      </c>
      <c r="K41" s="158">
        <f>K40*$E$29/2</f>
        <v/>
      </c>
      <c r="L41" s="158">
        <f>L40*$E$29/2</f>
        <v/>
      </c>
      <c r="M41" s="158">
        <f>M40*$E$29/2</f>
        <v/>
      </c>
      <c r="N41" s="158">
        <f>N40*$E$29/2</f>
        <v/>
      </c>
      <c r="O41" s="158">
        <f>O40*$E$29/2</f>
        <v/>
      </c>
      <c r="P41" s="158">
        <f>P40*$E$29/2</f>
        <v/>
      </c>
      <c r="Q41" s="158">
        <f>Q40*$E$29/2</f>
        <v/>
      </c>
      <c r="R41" s="158">
        <f>R40*$E$29/2</f>
        <v/>
      </c>
      <c r="S41" s="158">
        <f>S40*$E$29/2</f>
        <v/>
      </c>
      <c r="T41" s="158">
        <f>T40*$E$29/2</f>
        <v/>
      </c>
      <c r="U41" s="158">
        <f>U40*$E$29/2</f>
        <v/>
      </c>
      <c r="V41" s="158">
        <f>V40*$E$29/2</f>
        <v/>
      </c>
      <c r="W41" s="158">
        <f>W40*$E$29/2</f>
        <v/>
      </c>
      <c r="X41" s="158" t="n"/>
      <c r="Y41" s="158" t="n"/>
      <c r="Z41" s="158" t="n"/>
      <c r="AA41" s="158" t="n"/>
      <c r="AB41" s="158" t="n"/>
      <c r="AC41" s="158" t="n"/>
      <c r="AD41" s="158" t="n"/>
      <c r="AE41" s="158" t="n"/>
      <c r="AF41" s="158" t="n"/>
      <c r="AG41" s="158" t="n"/>
      <c r="AH41" s="158" t="n"/>
      <c r="AI41" s="158" t="n"/>
      <c r="AJ41" s="158" t="n"/>
      <c r="AK41" s="158" t="n"/>
      <c r="AL41" s="158" t="n"/>
      <c r="AM41" s="158" t="n"/>
      <c r="AN41" s="158" t="n"/>
      <c r="AO41" s="158" t="n"/>
      <c r="AP41" s="158" t="n"/>
      <c r="AQ41" s="158" t="n"/>
      <c r="AR41" s="158" t="n"/>
      <c r="AS41" s="158" t="n"/>
      <c r="AT41" s="158" t="n"/>
      <c r="AU41" s="158" t="n"/>
      <c r="AV41" s="158" t="n"/>
      <c r="AW41" s="158" t="n"/>
      <c r="AX41" s="158" t="n"/>
      <c r="AY41" s="158" t="n"/>
      <c r="AZ41" s="158" t="n"/>
      <c r="BA41" s="158" t="n"/>
      <c r="BB41" s="158" t="n"/>
      <c r="BC41" s="158" t="n"/>
      <c r="BD41" s="158" t="n"/>
      <c r="BE41" s="158" t="n"/>
      <c r="BF41" s="158" t="n"/>
    </row>
    <row r="42" ht="12.75" customFormat="1" customHeight="1" s="155">
      <c r="A42" s="155" t="inlineStr">
        <is>
          <t>Principal</t>
        </is>
      </c>
      <c r="D42" s="158">
        <f>$C$39-D41</f>
        <v/>
      </c>
      <c r="E42" s="158">
        <f>$C$39-E41</f>
        <v/>
      </c>
      <c r="F42" s="158">
        <f>$C$39-F41</f>
        <v/>
      </c>
      <c r="G42" s="158">
        <f>$C$39-G41</f>
        <v/>
      </c>
      <c r="H42" s="158">
        <f>$C$39-H41</f>
        <v/>
      </c>
      <c r="I42" s="158">
        <f>$C$39-I41</f>
        <v/>
      </c>
      <c r="J42" s="158">
        <f>$C$39-J41</f>
        <v/>
      </c>
      <c r="K42" s="158">
        <f>$C$39-K41</f>
        <v/>
      </c>
      <c r="L42" s="158">
        <f>$C$39-L41</f>
        <v/>
      </c>
      <c r="M42" s="158">
        <f>$C$39-M41</f>
        <v/>
      </c>
      <c r="N42" s="158">
        <f>$C$39-N41</f>
        <v/>
      </c>
      <c r="O42" s="158">
        <f>$C$39-O41</f>
        <v/>
      </c>
      <c r="P42" s="158">
        <f>$C$39-P41</f>
        <v/>
      </c>
      <c r="Q42" s="158">
        <f>$C$39-Q41</f>
        <v/>
      </c>
      <c r="R42" s="158">
        <f>$C$39-R41</f>
        <v/>
      </c>
      <c r="S42" s="158">
        <f>$C$39-S41</f>
        <v/>
      </c>
      <c r="T42" s="158">
        <f>$C$39-T41</f>
        <v/>
      </c>
      <c r="U42" s="158">
        <f>$C$39-U41</f>
        <v/>
      </c>
      <c r="V42" s="158">
        <f>$C$39-V41</f>
        <v/>
      </c>
      <c r="W42" s="158">
        <f>$C$39-W41</f>
        <v/>
      </c>
      <c r="X42" s="158" t="n"/>
      <c r="Y42" s="158" t="n"/>
      <c r="Z42" s="158" t="n"/>
      <c r="AA42" s="158" t="n"/>
      <c r="AB42" s="158" t="n"/>
      <c r="AC42" s="158" t="n"/>
      <c r="AD42" s="158" t="n"/>
      <c r="AE42" s="158" t="n"/>
      <c r="AF42" s="158" t="n"/>
      <c r="AG42" s="158" t="n"/>
      <c r="AH42" s="158" t="n"/>
      <c r="AI42" s="158" t="n"/>
      <c r="AJ42" s="158" t="n"/>
      <c r="AK42" s="158" t="n"/>
      <c r="AL42" s="158" t="n"/>
      <c r="AM42" s="158" t="n"/>
      <c r="AN42" s="158" t="n"/>
      <c r="AO42" s="158" t="n"/>
      <c r="AP42" s="158" t="n"/>
      <c r="AQ42" s="158" t="n"/>
      <c r="AR42" s="158" t="n"/>
      <c r="AS42" s="158" t="n"/>
      <c r="AT42" s="158" t="n"/>
      <c r="AU42" s="158" t="n"/>
      <c r="AV42" s="158" t="n"/>
      <c r="AW42" s="158" t="n"/>
      <c r="AX42" s="158" t="n"/>
      <c r="AY42" s="158" t="n"/>
      <c r="AZ42" s="158" t="n"/>
      <c r="BA42" s="158" t="n"/>
      <c r="BB42" s="158" t="n"/>
      <c r="BC42" s="158" t="n"/>
      <c r="BD42" s="158" t="n"/>
      <c r="BE42" s="158" t="n"/>
      <c r="BF42" s="158" t="n"/>
    </row>
    <row r="43" ht="12.75" customFormat="1" customHeight="1" s="155">
      <c r="D43" s="158">
        <f>D41+D42</f>
        <v/>
      </c>
      <c r="E43" s="158">
        <f>E41+E42</f>
        <v/>
      </c>
      <c r="F43" s="158">
        <f>F41+F42</f>
        <v/>
      </c>
      <c r="G43" s="158">
        <f>G41+G42</f>
        <v/>
      </c>
      <c r="H43" s="158">
        <f>H41+H42</f>
        <v/>
      </c>
      <c r="I43" s="158">
        <f>I41+I42</f>
        <v/>
      </c>
      <c r="J43" s="158">
        <f>J41+J42</f>
        <v/>
      </c>
      <c r="K43" s="158">
        <f>K41+K42</f>
        <v/>
      </c>
      <c r="L43" s="158">
        <f>L41+L42</f>
        <v/>
      </c>
      <c r="M43" s="158">
        <f>M41+M42</f>
        <v/>
      </c>
      <c r="N43" s="158">
        <f>N41+N42</f>
        <v/>
      </c>
      <c r="O43" s="158">
        <f>O41+O42</f>
        <v/>
      </c>
      <c r="P43" s="158">
        <f>P41+P42</f>
        <v/>
      </c>
      <c r="Q43" s="158">
        <f>Q41+Q42</f>
        <v/>
      </c>
      <c r="R43" s="158">
        <f>R41+R42</f>
        <v/>
      </c>
      <c r="S43" s="158">
        <f>S41+S42</f>
        <v/>
      </c>
      <c r="T43" s="158">
        <f>T41+T42</f>
        <v/>
      </c>
      <c r="U43" s="158">
        <f>U41+U42</f>
        <v/>
      </c>
      <c r="V43" s="158">
        <f>V41+V42</f>
        <v/>
      </c>
      <c r="W43" s="158">
        <f>W41+W42</f>
        <v/>
      </c>
      <c r="X43" s="158" t="n"/>
      <c r="Y43" s="158" t="n"/>
      <c r="Z43" s="158" t="n"/>
      <c r="AA43" s="158" t="n"/>
      <c r="AB43" s="158" t="n"/>
      <c r="AC43" s="158" t="n"/>
      <c r="AD43" s="158" t="n"/>
      <c r="AE43" s="158" t="n"/>
      <c r="AF43" s="158" t="n"/>
      <c r="AG43" s="158" t="n"/>
      <c r="AH43" s="158" t="n"/>
      <c r="AI43" s="158" t="n"/>
      <c r="AJ43" s="158" t="n"/>
      <c r="AK43" s="158" t="n"/>
      <c r="AL43" s="158" t="n"/>
      <c r="AM43" s="158" t="n"/>
      <c r="AN43" s="158" t="n"/>
      <c r="AO43" s="158" t="n"/>
      <c r="AP43" s="158" t="n"/>
      <c r="AQ43" s="158" t="n"/>
      <c r="AR43" s="158" t="n"/>
      <c r="AS43" s="158" t="n"/>
      <c r="AT43" s="158" t="n"/>
      <c r="AU43" s="158" t="n"/>
      <c r="AV43" s="158" t="n"/>
      <c r="AW43" s="158" t="n"/>
      <c r="AX43" s="158" t="n"/>
      <c r="AY43" s="158" t="n"/>
      <c r="AZ43" s="158" t="n"/>
      <c r="BA43" s="158" t="n"/>
      <c r="BB43" s="158" t="n"/>
      <c r="BC43" s="158" t="n"/>
      <c r="BD43" s="158" t="n"/>
      <c r="BE43" s="158" t="n"/>
      <c r="BF43" s="158" t="n"/>
    </row>
    <row r="44" ht="12.75" customFormat="1" customHeight="1" s="155"/>
    <row r="45" ht="12.75" customHeight="1" s="148">
      <c r="C45" s="155" t="n"/>
      <c r="D45" s="155" t="n"/>
      <c r="E45" s="155" t="n"/>
      <c r="F45" s="155" t="n"/>
      <c r="G45" s="155" t="n"/>
      <c r="H45" s="155" t="n"/>
      <c r="I45" s="155" t="n"/>
      <c r="J45" s="155" t="n"/>
      <c r="K45" s="155" t="n"/>
      <c r="L45" s="155" t="n"/>
      <c r="M45" s="155" t="n"/>
      <c r="N45" s="155" t="n"/>
      <c r="O45" s="155" t="n"/>
      <c r="P45" s="155" t="n"/>
      <c r="Q45" s="155" t="n"/>
      <c r="R45" s="155" t="n"/>
      <c r="S45" s="155" t="n"/>
      <c r="T45" s="155" t="n"/>
      <c r="U45" s="155" t="n"/>
      <c r="V45" s="155" t="n"/>
      <c r="W45" s="155" t="n"/>
      <c r="X45" s="155" t="n"/>
      <c r="Y45" s="155" t="n"/>
      <c r="Z45" s="155" t="n"/>
      <c r="AA45" s="155" t="n"/>
    </row>
    <row r="47" ht="12.75" customHeight="1" s="148">
      <c r="C47" s="155" t="n"/>
      <c r="D47" s="155" t="n"/>
      <c r="E47" s="155" t="n"/>
      <c r="F47" s="155" t="n"/>
      <c r="G47" s="155" t="n"/>
      <c r="H47" s="155" t="n"/>
      <c r="I47" s="155" t="n"/>
      <c r="J47" s="155" t="n"/>
      <c r="K47" s="155" t="n"/>
      <c r="L47" s="155" t="n"/>
      <c r="M47" s="155" t="n"/>
      <c r="N47" s="155" t="n"/>
      <c r="O47" s="155" t="n"/>
      <c r="P47" s="155" t="n"/>
      <c r="Q47" s="155" t="n"/>
      <c r="R47" s="155" t="n"/>
      <c r="S47" s="155" t="n"/>
      <c r="T47" s="155" t="n"/>
      <c r="U47" s="155" t="n"/>
      <c r="V47" s="155" t="n"/>
    </row>
    <row r="61" ht="12.75" customHeight="1" s="148">
      <c r="C61" s="159" t="n"/>
    </row>
  </sheetData>
  <mergeCells count="4">
    <mergeCell ref="B29:D29"/>
    <mergeCell ref="B28:D28"/>
    <mergeCell ref="B30:D30"/>
    <mergeCell ref="B31:D31"/>
  </mergeCells>
  <hyperlinks>
    <hyperlink xmlns:r="http://schemas.openxmlformats.org/officeDocument/2006/relationships" ref="B7" display="leesb@hanyang.ac.kr" r:id="rId1"/>
    <hyperlink xmlns:r="http://schemas.openxmlformats.org/officeDocument/2006/relationships" ref="B23" display="http://www.federalreserve.gov/" r:id="rId2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F1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H57" activeCellId="0" sqref="H57"/>
    </sheetView>
  </sheetViews>
  <sheetFormatPr baseColWidth="8" defaultColWidth="8.87890625" defaultRowHeight="12.75" zeroHeight="0" outlineLevelRow="0"/>
  <cols>
    <col width="30.44" customWidth="1" style="160" min="1" max="1"/>
    <col width="6.66" customWidth="1" style="161" min="2" max="4"/>
    <col width="6.55" customWidth="1" style="161" min="5" max="6"/>
    <col width="6.99" customWidth="1" style="161" min="7" max="7"/>
    <col width="6.77" customWidth="1" style="161" min="8" max="8"/>
    <col width="6.55" customWidth="1" style="161" min="9" max="10"/>
    <col width="6.99" customWidth="1" style="161" min="11" max="12"/>
    <col width="5.99" customWidth="1" style="161" min="13" max="13"/>
    <col width="8.880000000000001" customWidth="1" style="161" min="14" max="257"/>
  </cols>
  <sheetData>
    <row r="1" ht="12.75" customFormat="1" customHeight="1" s="99">
      <c r="A1" s="100" t="inlineStr">
        <is>
          <t>Interest Only and Principal Only</t>
        </is>
      </c>
      <c r="D1" s="99" t="inlineStr">
        <is>
          <t>© copyright THC 2003</t>
        </is>
      </c>
      <c r="K1" s="99" t="inlineStr">
        <is>
          <t>All rights reserved by Thomas Ho Company, NY, NY</t>
        </is>
      </c>
    </row>
    <row r="2" ht="12.75" customFormat="1" customHeight="1" s="101">
      <c r="A2" s="102" t="inlineStr">
        <is>
          <t>reference number</t>
        </is>
      </c>
      <c r="B2" s="101" t="inlineStr">
        <is>
          <t># 71</t>
        </is>
      </c>
      <c r="C2" s="103" t="inlineStr">
        <is>
          <t>classification#</t>
        </is>
      </c>
      <c r="D2" s="101" t="n">
        <v>100302</v>
      </c>
      <c r="E2" s="104" t="n"/>
    </row>
    <row r="3" ht="12.75" customFormat="1" customHeight="1" s="101">
      <c r="A3" s="102" t="inlineStr">
        <is>
          <t>Version</t>
        </is>
      </c>
      <c r="B3" s="105" t="n">
        <v>1</v>
      </c>
      <c r="C3" s="102" t="inlineStr">
        <is>
          <t>level</t>
        </is>
      </c>
      <c r="D3" s="106" t="inlineStr">
        <is>
          <t>advanced</t>
        </is>
      </c>
      <c r="F3" s="107" t="inlineStr">
        <is>
          <t>Instructions</t>
        </is>
      </c>
      <c r="G3" s="108" t="n"/>
      <c r="H3" s="108" t="n"/>
      <c r="I3" s="108" t="n"/>
      <c r="J3" s="108" t="n"/>
      <c r="K3" s="108" t="n"/>
      <c r="L3" s="108" t="n"/>
      <c r="M3" s="108" t="n"/>
      <c r="N3" s="108" t="n"/>
      <c r="O3" s="108" t="n"/>
      <c r="P3" s="108" t="n"/>
      <c r="Q3" s="108" t="n"/>
      <c r="R3" s="108" t="n"/>
      <c r="S3" s="109" t="n"/>
    </row>
    <row r="4" ht="12.75" customFormat="1" customHeight="1" s="101">
      <c r="A4" s="102" t="inlineStr">
        <is>
          <t>publication date</t>
        </is>
      </c>
      <c r="B4" s="110" t="n">
        <v>37774</v>
      </c>
      <c r="F4" s="111" t="inlineStr">
        <is>
          <t xml:space="preserve">The sum of the principal only and the interest only is the callable bond at each node of the binomial lattice.  </t>
        </is>
      </c>
      <c r="G4" s="112" t="n"/>
      <c r="H4" s="112" t="n"/>
      <c r="I4" s="112" t="n"/>
      <c r="J4" s="112" t="n"/>
      <c r="K4" s="112" t="n"/>
      <c r="L4" s="112" t="n"/>
      <c r="M4" s="112" t="n"/>
      <c r="N4" s="112" t="n"/>
      <c r="O4" s="112" t="n"/>
      <c r="P4" s="112" t="n"/>
      <c r="Q4" s="112" t="n"/>
      <c r="R4" s="112" t="n"/>
      <c r="S4" s="113" t="n"/>
    </row>
    <row r="5" ht="12.75" customFormat="1" customHeight="1" s="101">
      <c r="A5" s="102" t="inlineStr">
        <is>
          <t>author</t>
        </is>
      </c>
      <c r="B5" s="106" t="inlineStr">
        <is>
          <t>Hanyang Financial Engineering Lab.</t>
        </is>
      </c>
      <c r="C5" s="106" t="n"/>
      <c r="D5" s="106" t="n"/>
      <c r="E5" s="106" t="n"/>
      <c r="F5" s="114" t="n"/>
      <c r="G5" s="112" t="n"/>
      <c r="H5" s="112" t="n"/>
      <c r="I5" s="112" t="n"/>
      <c r="J5" s="112" t="n"/>
      <c r="K5" s="112" t="n"/>
      <c r="L5" s="112" t="n"/>
      <c r="M5" s="112" t="n"/>
      <c r="N5" s="112" t="n"/>
      <c r="O5" s="112" t="n"/>
      <c r="P5" s="112" t="n"/>
      <c r="Q5" s="112" t="n"/>
      <c r="R5" s="112" t="n"/>
      <c r="S5" s="113" t="n"/>
    </row>
    <row r="6" ht="12.75" customFormat="1" customHeight="1" s="101">
      <c r="A6" s="102" t="inlineStr">
        <is>
          <t>affiliation</t>
        </is>
      </c>
      <c r="B6" s="106" t="inlineStr">
        <is>
          <t>Hanyang University</t>
        </is>
      </c>
      <c r="C6" s="106" t="n"/>
      <c r="D6" s="106" t="n"/>
      <c r="F6" s="115" t="n"/>
      <c r="G6" s="116" t="n"/>
      <c r="H6" s="116" t="n"/>
      <c r="I6" s="116" t="n"/>
      <c r="J6" s="116" t="n"/>
      <c r="K6" s="116" t="n"/>
      <c r="L6" s="116" t="n"/>
      <c r="M6" s="116" t="n"/>
      <c r="N6" s="116" t="n"/>
      <c r="O6" s="116" t="n"/>
      <c r="P6" s="116" t="n"/>
      <c r="Q6" s="116" t="n"/>
      <c r="R6" s="116" t="n"/>
      <c r="S6" s="117" t="n"/>
    </row>
    <row r="7" ht="12.75" customFormat="1" customHeight="1" s="101">
      <c r="A7" s="102" t="inlineStr">
        <is>
          <t>email address</t>
        </is>
      </c>
      <c r="B7" s="118" t="inlineStr">
        <is>
          <t>leesb@hanyang.ac.kr</t>
        </is>
      </c>
      <c r="C7" s="118" t="n"/>
      <c r="D7" s="118" t="n"/>
      <c r="E7" s="119" t="n"/>
      <c r="F7" s="120" t="inlineStr">
        <is>
          <t>input</t>
        </is>
      </c>
      <c r="G7" s="121" t="inlineStr">
        <is>
          <t>initial yield curve, lognormal spot volatility of interest rate, the number of partitions, time to maturity at each node, face value, call price, coupon rate, and bond maturity</t>
        </is>
      </c>
      <c r="H7" s="122" t="n"/>
      <c r="I7" s="122" t="n"/>
      <c r="J7" s="122" t="n"/>
      <c r="K7" s="122" t="n"/>
      <c r="L7" s="122" t="n"/>
      <c r="M7" s="122" t="n"/>
      <c r="N7" s="123" t="n"/>
      <c r="O7" s="123" t="n"/>
      <c r="P7" s="123" t="n"/>
      <c r="Q7" s="123" t="n"/>
      <c r="R7" s="123" t="n"/>
      <c r="S7" s="124" t="n"/>
    </row>
    <row r="8" ht="12.75" customFormat="1" customHeight="1" s="101">
      <c r="A8" s="102" t="inlineStr">
        <is>
          <t>last revised date</t>
        </is>
      </c>
      <c r="B8" s="125" t="n">
        <v>37952</v>
      </c>
      <c r="C8" s="119" t="n"/>
      <c r="D8" s="119" t="n"/>
      <c r="E8" s="119" t="n"/>
      <c r="F8" s="126" t="inlineStr">
        <is>
          <t>output</t>
        </is>
      </c>
      <c r="G8" s="127" t="inlineStr">
        <is>
          <t>principal only lattice, interest only lattice</t>
        </is>
      </c>
      <c r="H8" s="128" t="n"/>
      <c r="I8" s="128" t="n"/>
      <c r="J8" s="128" t="n"/>
      <c r="K8" s="128" t="n"/>
      <c r="L8" s="128" t="n"/>
      <c r="M8" s="128" t="n"/>
      <c r="N8" s="128" t="n"/>
      <c r="O8" s="128" t="n"/>
      <c r="P8" s="128" t="n"/>
      <c r="Q8" s="128" t="n"/>
      <c r="R8" s="128" t="n"/>
      <c r="S8" s="129" t="n"/>
    </row>
    <row r="9" ht="12.75" customFormat="1" customHeight="1" s="101">
      <c r="A9" s="102" t="inlineStr">
        <is>
          <t>references</t>
        </is>
      </c>
      <c r="B9" s="119" t="inlineStr">
        <is>
          <t>Ch.10 of "The Oxford Guide to Financial Modeling" by Thomas S.Y. Ho and Sang Bin Lee, 2003, Oxford University Press</t>
        </is>
      </c>
      <c r="C9" s="119" t="n"/>
      <c r="D9" s="119" t="n"/>
      <c r="E9" s="119" t="n"/>
      <c r="F9" s="119" t="n"/>
      <c r="G9" s="106" t="n"/>
      <c r="H9" s="101" t="n"/>
      <c r="I9" s="101" t="n"/>
      <c r="J9" s="101" t="n"/>
      <c r="K9" s="101" t="n"/>
      <c r="L9" s="101" t="n"/>
      <c r="M9" s="101" t="n"/>
      <c r="N9" s="101" t="n"/>
      <c r="O9" s="101" t="n"/>
      <c r="P9" s="101" t="n"/>
      <c r="Q9" s="101" t="n"/>
      <c r="R9" s="101" t="n"/>
    </row>
    <row r="10" ht="12.75" customFormat="1" customHeight="1" s="101">
      <c r="A10" s="102" t="n"/>
      <c r="C10" s="119" t="n"/>
      <c r="D10" s="119" t="n"/>
      <c r="E10" s="119" t="n"/>
      <c r="F10" s="119" t="n"/>
      <c r="G10" s="106" t="n"/>
      <c r="H10" s="101" t="n"/>
      <c r="I10" s="101" t="n"/>
      <c r="J10" s="101" t="n"/>
      <c r="K10" s="101" t="n"/>
      <c r="L10" s="101" t="n"/>
      <c r="M10" s="101" t="n"/>
      <c r="N10" s="101" t="n"/>
      <c r="O10" s="101" t="n"/>
      <c r="P10" s="101" t="n"/>
      <c r="Q10" s="101" t="n"/>
      <c r="R10" s="101" t="n"/>
    </row>
    <row r="11" ht="12.75" customFormat="1" customHeight="1" s="130">
      <c r="A11" s="131" t="inlineStr">
        <is>
          <t>Descriptions</t>
        </is>
      </c>
      <c r="B11" s="132" t="n"/>
      <c r="C11" s="132" t="n"/>
      <c r="D11" s="132" t="n"/>
      <c r="E11" s="132" t="n"/>
      <c r="F11" s="132" t="n"/>
      <c r="G11" s="133" t="n"/>
    </row>
    <row r="12" ht="12.75" customFormat="1" customHeight="1" s="101">
      <c r="A12" s="134" t="n"/>
      <c r="B12" s="135" t="n"/>
      <c r="C12" s="135" t="n"/>
      <c r="D12" s="135" t="n"/>
      <c r="E12" s="135" t="n"/>
      <c r="F12" s="135" t="n"/>
      <c r="G12" s="106" t="n"/>
      <c r="H12" s="101" t="n"/>
      <c r="I12" s="101" t="n"/>
      <c r="J12" s="101" t="n"/>
      <c r="K12" s="101" t="n"/>
      <c r="L12" s="101" t="n"/>
      <c r="M12" s="101" t="n"/>
      <c r="N12" s="101" t="n"/>
      <c r="P12" s="101" t="n"/>
      <c r="Q12" s="101" t="n"/>
      <c r="R12" s="101" t="n"/>
    </row>
    <row r="13" ht="12.75" customFormat="1" customHeight="1" s="101">
      <c r="A13" s="136" t="inlineStr">
        <is>
          <t>financial model class</t>
        </is>
      </c>
      <c r="B13" s="137" t="inlineStr">
        <is>
          <t>the behavioral models</t>
        </is>
      </c>
      <c r="C13" s="137" t="n"/>
      <c r="D13" s="137" t="n"/>
      <c r="E13" s="137" t="n"/>
      <c r="F13" s="138" t="n"/>
      <c r="G13" s="101" t="n"/>
      <c r="H13" s="101" t="n"/>
      <c r="I13" s="101" t="n"/>
      <c r="J13" s="101" t="n"/>
      <c r="K13" s="101" t="n"/>
      <c r="L13" s="101" t="n"/>
      <c r="M13" s="101" t="n"/>
      <c r="N13" s="101" t="n"/>
      <c r="P13" s="101" t="n"/>
      <c r="Q13" s="101" t="n"/>
      <c r="R13" s="101" t="n"/>
    </row>
    <row r="14" ht="12.75" customFormat="1" customHeight="1" s="101">
      <c r="A14" s="139" t="inlineStr">
        <is>
          <t>issuer/modeler</t>
        </is>
      </c>
      <c r="B14" s="135" t="inlineStr">
        <is>
          <t>N/A</t>
        </is>
      </c>
      <c r="C14" s="135" t="n"/>
      <c r="D14" s="135" t="n"/>
      <c r="E14" s="135" t="n"/>
      <c r="F14" s="140" t="n"/>
      <c r="P14" s="101" t="n"/>
      <c r="Q14" s="101" t="n"/>
      <c r="R14" s="101" t="n"/>
    </row>
    <row r="15" ht="12.75" customFormat="1" customHeight="1" s="101">
      <c r="A15" s="139" t="inlineStr">
        <is>
          <t>model type</t>
        </is>
      </c>
      <c r="B15" s="135" t="inlineStr">
        <is>
          <t>Collateralized Mortgage Obligations</t>
        </is>
      </c>
      <c r="C15" s="135" t="n"/>
      <c r="D15" s="135" t="n"/>
      <c r="E15" s="135" t="n"/>
      <c r="F15" s="140" t="n"/>
      <c r="P15" s="101" t="n"/>
      <c r="Q15" s="101" t="n"/>
      <c r="R15" s="101" t="n"/>
    </row>
    <row r="16" ht="12.75" customFormat="1" customHeight="1" s="101">
      <c r="A16" s="139" t="inlineStr">
        <is>
          <t>risk sources</t>
        </is>
      </c>
      <c r="B16" s="135" t="inlineStr">
        <is>
          <t>interest rate</t>
        </is>
      </c>
      <c r="C16" s="135" t="n"/>
      <c r="D16" s="135" t="n"/>
      <c r="E16" s="135" t="n"/>
      <c r="F16" s="140" t="n"/>
      <c r="H16" s="101" t="n"/>
      <c r="I16" s="101" t="n"/>
      <c r="P16" s="101" t="n"/>
      <c r="Q16" s="101" t="n"/>
      <c r="R16" s="101" t="n"/>
    </row>
    <row r="17" ht="12.75" customFormat="1" customHeight="1" s="101">
      <c r="A17" s="139" t="inlineStr">
        <is>
          <t>risk distribution</t>
        </is>
      </c>
      <c r="B17" s="135" t="inlineStr">
        <is>
          <t>normal</t>
        </is>
      </c>
      <c r="C17" s="135" t="n"/>
      <c r="D17" s="135" t="n"/>
      <c r="E17" s="135" t="n"/>
      <c r="F17" s="140" t="n"/>
      <c r="H17" s="141" t="n"/>
      <c r="I17" s="101" t="n"/>
      <c r="P17" s="101" t="n"/>
      <c r="Q17" s="101" t="n"/>
      <c r="R17" s="101" t="n"/>
    </row>
    <row r="18" ht="12.75" customFormat="1" customHeight="1" s="101">
      <c r="A18" s="139" t="inlineStr">
        <is>
          <t>economic assumptions</t>
        </is>
      </c>
      <c r="B18" s="114" t="inlineStr">
        <is>
          <t>contingent claim model</t>
        </is>
      </c>
      <c r="C18" s="135" t="n"/>
      <c r="D18" s="135" t="n"/>
      <c r="E18" s="135" t="n"/>
      <c r="F18" s="140" t="n"/>
      <c r="P18" s="101" t="n"/>
      <c r="Q18" s="101" t="n"/>
      <c r="R18" s="101" t="n"/>
    </row>
    <row r="19" ht="12.75" customFormat="1" customHeight="1" s="101">
      <c r="A19" s="142" t="inlineStr">
        <is>
          <t>technical assumptions</t>
        </is>
      </c>
      <c r="B19" s="143" t="inlineStr">
        <is>
          <t>m=1</t>
        </is>
      </c>
      <c r="C19" s="143" t="n"/>
      <c r="D19" s="143" t="n"/>
      <c r="E19" s="143" t="n"/>
      <c r="F19" s="144" t="n"/>
      <c r="P19" s="101" t="n"/>
      <c r="Q19" s="101" t="n"/>
      <c r="R19" s="101" t="n"/>
    </row>
    <row r="20" ht="12.75" customFormat="1" customHeight="1" s="101">
      <c r="A20" s="102" t="inlineStr">
        <is>
          <t>key words</t>
        </is>
      </c>
      <c r="B20" s="135" t="inlineStr">
        <is>
          <t>arbitrage-free interest rate model, contingent claim</t>
        </is>
      </c>
      <c r="C20" s="135" t="n"/>
      <c r="D20" s="135" t="n"/>
      <c r="E20" s="135" t="n"/>
      <c r="F20" s="135" t="n"/>
      <c r="P20" s="101" t="n"/>
      <c r="Q20" s="101" t="n"/>
      <c r="R20" s="101" t="n"/>
    </row>
    <row r="21" ht="12.75" customFormat="1" customHeight="1" s="101">
      <c r="A21" s="102" t="n"/>
      <c r="B21" s="125" t="n"/>
      <c r="C21" s="125" t="n"/>
      <c r="D21" s="125" t="n"/>
      <c r="E21" s="125" t="n"/>
      <c r="L21" s="101" t="n"/>
      <c r="M21" s="101" t="n"/>
      <c r="N21" s="101" t="n"/>
      <c r="O21" s="101" t="n"/>
      <c r="P21" s="101" t="n"/>
      <c r="Q21" s="101" t="n"/>
      <c r="R21" s="101" t="n"/>
    </row>
    <row r="22" ht="12.75" customFormat="1" customHeight="1" s="130">
      <c r="A22" s="131" t="inlineStr">
        <is>
          <t>Links</t>
        </is>
      </c>
      <c r="B22" s="145" t="n"/>
      <c r="C22" s="145" t="n"/>
      <c r="D22" s="145" t="n"/>
      <c r="E22" s="145" t="n"/>
    </row>
    <row r="23" ht="12.75" customFormat="1" customHeight="1" s="101">
      <c r="A23" s="102" t="inlineStr">
        <is>
          <t>data</t>
        </is>
      </c>
      <c r="B23" s="146" t="inlineStr">
        <is>
          <t>http://www.federalreserve.gov/</t>
        </is>
      </c>
      <c r="C23" s="125" t="n"/>
      <c r="D23" s="125" t="n"/>
      <c r="E23" s="125" t="n"/>
      <c r="L23" s="101" t="n"/>
      <c r="M23" s="101" t="n"/>
      <c r="N23" s="101" t="n"/>
      <c r="O23" s="101" t="n"/>
      <c r="P23" s="101" t="n"/>
      <c r="Q23" s="101" t="n"/>
      <c r="R23" s="101" t="n"/>
    </row>
    <row r="24" ht="12.75" customFormat="1" customHeight="1" s="101">
      <c r="A24" s="102" t="inlineStr">
        <is>
          <t>financial models</t>
        </is>
      </c>
      <c r="B24" s="147" t="inlineStr">
        <is>
          <t>7. Bond Arithmetic, 8. Bond Model, 21. Extended Ho-Lee Model, 53. Callable Bond Model</t>
        </is>
      </c>
      <c r="C24" s="125" t="n"/>
      <c r="D24" s="125" t="n"/>
      <c r="E24" s="125" t="n"/>
      <c r="F24" s="101" t="n"/>
      <c r="G24" s="101" t="n"/>
    </row>
    <row r="25" ht="12.75" customFormat="1" customHeight="1" s="101">
      <c r="A25" s="102" t="n"/>
      <c r="B25" s="118" t="n"/>
      <c r="C25" s="101" t="n"/>
      <c r="D25" s="101" t="n"/>
      <c r="E25" s="101" t="n"/>
      <c r="F25" s="101" t="n"/>
      <c r="G25" s="101" t="n"/>
    </row>
    <row r="26" ht="12.75" customFormat="1" customHeight="1" s="99">
      <c r="A26" s="100" t="inlineStr">
        <is>
          <t>Inputs</t>
        </is>
      </c>
      <c r="B26" s="100" t="n"/>
      <c r="N26" s="99" t="n"/>
      <c r="O26" s="99" t="n"/>
      <c r="P26" s="99" t="n"/>
      <c r="Q26" s="99" t="n"/>
      <c r="R26" s="99" t="n"/>
      <c r="S26" s="99" t="n"/>
      <c r="T26" s="99" t="n"/>
    </row>
    <row r="27" ht="12.75" customFormat="1" customHeight="1" s="162">
      <c r="A27" s="163" t="n"/>
      <c r="B27" s="163" t="n"/>
      <c r="N27" s="162" t="n"/>
      <c r="O27" s="162" t="n"/>
      <c r="P27" s="162" t="n"/>
      <c r="Q27" s="162" t="n"/>
      <c r="R27" s="162" t="n"/>
      <c r="S27" s="162" t="n"/>
      <c r="T27" s="162" t="n"/>
    </row>
    <row r="28" ht="12.75" customFormat="1" customHeight="1" s="101">
      <c r="A28" s="164" t="inlineStr">
        <is>
          <t>year</t>
        </is>
      </c>
      <c r="B28" s="164" t="n">
        <v>0</v>
      </c>
      <c r="C28" s="164" t="n">
        <v>1</v>
      </c>
      <c r="D28" s="164" t="n">
        <v>2</v>
      </c>
      <c r="E28" s="164" t="n">
        <v>3</v>
      </c>
      <c r="F28" s="164" t="n">
        <v>4</v>
      </c>
      <c r="G28" s="164" t="n">
        <v>5</v>
      </c>
      <c r="H28" s="164" t="n">
        <v>6</v>
      </c>
      <c r="I28" s="164" t="n">
        <v>7</v>
      </c>
      <c r="J28" s="164" t="n">
        <v>8</v>
      </c>
      <c r="K28" s="164" t="n">
        <v>9</v>
      </c>
      <c r="L28" s="164" t="n">
        <v>10</v>
      </c>
      <c r="M28" s="101" t="n"/>
      <c r="N28" s="101" t="n"/>
      <c r="O28" s="101" t="n"/>
      <c r="P28" s="101" t="n"/>
      <c r="Q28" s="101" t="n"/>
      <c r="R28" s="101" t="n"/>
      <c r="S28" s="101" t="n"/>
      <c r="T28" s="101" t="n"/>
      <c r="U28" s="101" t="n"/>
      <c r="V28" s="101" t="n"/>
      <c r="W28" s="101" t="n"/>
      <c r="X28" s="101" t="n"/>
      <c r="Y28" s="101" t="n"/>
      <c r="Z28" s="101" t="n"/>
      <c r="AA28" s="101" t="n"/>
      <c r="AB28" s="101" t="n"/>
      <c r="AC28" s="101" t="n"/>
      <c r="AD28" s="101" t="n"/>
      <c r="AE28" s="101" t="n"/>
      <c r="AF28" s="101" t="n"/>
    </row>
    <row r="29" ht="12.75" customFormat="1" customHeight="1" s="101">
      <c r="A29" s="165" t="inlineStr">
        <is>
          <t>initial yield curve (continuous compounding)</t>
        </is>
      </c>
      <c r="B29" s="166" t="n">
        <v>0.045</v>
      </c>
      <c r="C29" s="166" t="n">
        <v>0.045</v>
      </c>
      <c r="D29" s="166" t="n">
        <v>0.045</v>
      </c>
      <c r="E29" s="166" t="n">
        <v>0.045</v>
      </c>
      <c r="F29" s="166" t="n">
        <v>0.045</v>
      </c>
      <c r="G29" s="166" t="n">
        <v>0.045</v>
      </c>
      <c r="H29" s="166" t="n">
        <v>0.045</v>
      </c>
      <c r="I29" s="166" t="n">
        <v>0.045</v>
      </c>
      <c r="J29" s="166" t="n">
        <v>0.045</v>
      </c>
      <c r="K29" s="166" t="n">
        <v>0.045</v>
      </c>
      <c r="L29" s="166" t="n">
        <v>0.045</v>
      </c>
    </row>
    <row r="30" ht="12.75" customFormat="1" customHeight="1" s="162">
      <c r="A30" s="165" t="inlineStr">
        <is>
          <t>initial discount function p(n)</t>
        </is>
      </c>
      <c r="B30" s="167">
        <f>EXP(-B29*B28)</f>
        <v/>
      </c>
      <c r="C30" s="167">
        <f>EXP(-C29*C28)</f>
        <v/>
      </c>
      <c r="D30" s="167">
        <f>EXP(-D29*D28)</f>
        <v/>
      </c>
      <c r="E30" s="167">
        <f>EXP(-E29*E28)</f>
        <v/>
      </c>
      <c r="F30" s="167">
        <f>EXP(-F29*F28)</f>
        <v/>
      </c>
      <c r="G30" s="167">
        <f>EXP(-G29*G28)</f>
        <v/>
      </c>
      <c r="H30" s="167">
        <f>EXP(-H29*H28)</f>
        <v/>
      </c>
      <c r="I30" s="167">
        <f>EXP(-I29*I28)</f>
        <v/>
      </c>
      <c r="J30" s="167">
        <f>EXP(-J29*J28)</f>
        <v/>
      </c>
      <c r="K30" s="167">
        <f>EXP(-K29*K28)</f>
        <v/>
      </c>
      <c r="L30" s="167">
        <f>EXP(-L29*L28)</f>
        <v/>
      </c>
      <c r="M30" s="167" t="n"/>
      <c r="N30" s="167" t="n"/>
      <c r="O30" s="167" t="n"/>
      <c r="P30" s="167" t="n"/>
      <c r="Q30" s="167" t="n"/>
      <c r="R30" s="167" t="n"/>
      <c r="S30" s="167" t="n"/>
      <c r="T30" s="167" t="n"/>
      <c r="U30" s="167" t="n"/>
      <c r="V30" s="167" t="n"/>
      <c r="W30" s="167" t="n"/>
      <c r="X30" s="167" t="n"/>
      <c r="Y30" s="167" t="n"/>
      <c r="Z30" s="167" t="n"/>
      <c r="AA30" s="167" t="n"/>
      <c r="AB30" s="167" t="n"/>
      <c r="AC30" s="167" t="n"/>
      <c r="AD30" s="167" t="n"/>
      <c r="AE30" s="167" t="n"/>
      <c r="AF30" s="167" t="n"/>
    </row>
    <row r="31" ht="12.75" customFormat="1" customHeight="1" s="101">
      <c r="A31" s="165" t="inlineStr">
        <is>
          <t xml:space="preserve">forward curve </t>
        </is>
      </c>
      <c r="B31" s="168">
        <f>-LN(C30/B30)</f>
        <v/>
      </c>
      <c r="C31" s="168">
        <f>-LN(D30/C30)</f>
        <v/>
      </c>
      <c r="D31" s="168">
        <f>-LN(E30/D30)</f>
        <v/>
      </c>
      <c r="E31" s="168">
        <f>-LN(F30/E30)</f>
        <v/>
      </c>
      <c r="F31" s="168">
        <f>-LN(G30/F30)</f>
        <v/>
      </c>
      <c r="G31" s="168">
        <f>-LN(H30/G30)</f>
        <v/>
      </c>
      <c r="H31" s="168">
        <f>-LN(I30/H30)</f>
        <v/>
      </c>
      <c r="I31" s="168">
        <f>-LN(J30/I30)</f>
        <v/>
      </c>
      <c r="J31" s="168">
        <f>-LN(K30/J30)</f>
        <v/>
      </c>
      <c r="K31" s="168">
        <f>-LN(L30/K30)</f>
        <v/>
      </c>
      <c r="L31" s="168" t="n"/>
      <c r="M31" s="168" t="n"/>
      <c r="N31" s="168" t="n"/>
      <c r="O31" s="168" t="n"/>
      <c r="P31" s="168" t="n"/>
      <c r="Q31" s="168" t="n"/>
      <c r="R31" s="168" t="n"/>
      <c r="S31" s="168" t="n"/>
      <c r="T31" s="168" t="n"/>
      <c r="U31" s="168" t="n"/>
      <c r="V31" s="168" t="n"/>
      <c r="W31" s="168" t="n"/>
      <c r="X31" s="168" t="n"/>
      <c r="Y31" s="168" t="n"/>
      <c r="Z31" s="168" t="n"/>
      <c r="AA31" s="168" t="n"/>
      <c r="AB31" s="168" t="n"/>
      <c r="AC31" s="168" t="n"/>
      <c r="AD31" s="168" t="n"/>
      <c r="AE31" s="168" t="n"/>
      <c r="AF31" s="168" t="n"/>
    </row>
    <row r="32" ht="14.25" customFormat="1" customHeight="1" s="101">
      <c r="A32" s="101" t="inlineStr">
        <is>
          <t>lognormal spot volatility (σS)</t>
        </is>
      </c>
      <c r="B32" s="122" t="n">
        <v>0</v>
      </c>
      <c r="C32" s="122" t="n">
        <v>0.1</v>
      </c>
      <c r="D32" s="122" t="n">
        <v>0.095</v>
      </c>
      <c r="E32" s="122" t="n">
        <v>0.09</v>
      </c>
      <c r="F32" s="122" t="n">
        <v>0.08500000000000001</v>
      </c>
      <c r="G32" s="122" t="n">
        <v>0.08</v>
      </c>
      <c r="H32" s="122" t="n">
        <v>0.075</v>
      </c>
      <c r="I32" s="122" t="n">
        <v>0.07000000000000001</v>
      </c>
      <c r="J32" s="122" t="n">
        <v>0.065</v>
      </c>
      <c r="K32" s="122" t="n">
        <v>0.06</v>
      </c>
      <c r="L32" s="122" t="n">
        <v>0.055</v>
      </c>
    </row>
    <row r="33" ht="14.25" customFormat="1" customHeight="1" s="101">
      <c r="A33" s="101" t="inlineStr">
        <is>
          <t>lognormal forward volatility (σf)</t>
        </is>
      </c>
      <c r="B33" s="101" t="n">
        <v>0</v>
      </c>
      <c r="C33" s="101">
        <f>(C28*C29*C32-B28*B29*B32)/C31</f>
        <v/>
      </c>
      <c r="D33" s="101">
        <f>(D28*D29*D32-C28*C29*C32)/D31</f>
        <v/>
      </c>
      <c r="E33" s="101">
        <f>(E28*E29*E32-D28*D29*D32)/E31</f>
        <v/>
      </c>
      <c r="F33" s="101">
        <f>(F28*F29*F32-E28*E29*E32)/F31</f>
        <v/>
      </c>
      <c r="G33" s="101">
        <f>(G28*G29*G32-F28*F29*F32)/G31</f>
        <v/>
      </c>
      <c r="H33" s="101">
        <f>(H28*H29*H32-G28*G29*G32)/H31</f>
        <v/>
      </c>
      <c r="I33" s="101">
        <f>(I28*I29*I32-H28*H29*H32)/I31</f>
        <v/>
      </c>
      <c r="J33" s="101">
        <f>(J28*J29*J32-I28*I29*I32)/J31</f>
        <v/>
      </c>
      <c r="K33" s="101">
        <f>(K28*K29*K32-J28*J29*J32)/K31</f>
        <v/>
      </c>
    </row>
    <row r="34" ht="13.5" customFormat="1" customHeight="1" s="101">
      <c r="A34" s="101" t="inlineStr">
        <is>
          <t>the number of partitions (m)</t>
        </is>
      </c>
      <c r="B34" s="122" t="n">
        <v>1</v>
      </c>
      <c r="C34" s="169" t="n"/>
      <c r="N34" s="101" t="n"/>
      <c r="O34" s="101" t="n"/>
      <c r="P34" s="101" t="n"/>
      <c r="Q34" s="101" t="n"/>
      <c r="R34" s="101" t="n"/>
      <c r="S34" s="101" t="n"/>
      <c r="T34" s="101" t="n"/>
    </row>
    <row r="35" ht="12.75" customFormat="1" customHeight="1" s="101">
      <c r="A35" s="101" t="inlineStr">
        <is>
          <t>time to maturity (T) at each node</t>
        </is>
      </c>
      <c r="B35" s="122" t="n">
        <v>1</v>
      </c>
      <c r="N35" s="101" t="n"/>
      <c r="O35" s="101" t="n"/>
      <c r="P35" s="101" t="n"/>
      <c r="Q35" s="101" t="n"/>
      <c r="R35" s="101" t="n"/>
      <c r="S35" s="101" t="n"/>
      <c r="T35" s="101" t="n"/>
    </row>
    <row r="36" ht="12.75" customFormat="1" customHeight="1" s="101">
      <c r="A36" s="101" t="inlineStr">
        <is>
          <t>forward price</t>
        </is>
      </c>
      <c r="B36" s="167">
        <f>C30/B30</f>
        <v/>
      </c>
      <c r="C36" s="167">
        <f>D30/C30</f>
        <v/>
      </c>
      <c r="D36" s="167">
        <f>E30/D30</f>
        <v/>
      </c>
      <c r="E36" s="167">
        <f>F30/E30</f>
        <v/>
      </c>
      <c r="F36" s="167">
        <f>G30/F30</f>
        <v/>
      </c>
      <c r="G36" s="167">
        <f>H30/G30</f>
        <v/>
      </c>
      <c r="H36" s="167">
        <f>I30/H30</f>
        <v/>
      </c>
      <c r="I36" s="167">
        <f>J30/I30</f>
        <v/>
      </c>
      <c r="J36" s="167">
        <f>K30/J30</f>
        <v/>
      </c>
      <c r="K36" s="167">
        <f>L30/K30</f>
        <v/>
      </c>
      <c r="L36" s="167" t="n"/>
      <c r="M36" s="167" t="n"/>
      <c r="N36" s="167" t="n"/>
      <c r="O36" s="167" t="n"/>
      <c r="P36" s="167" t="n"/>
      <c r="Q36" s="167" t="n"/>
      <c r="R36" s="167" t="n"/>
      <c r="S36" s="167" t="n"/>
      <c r="T36" s="167" t="n"/>
      <c r="U36" s="167" t="n"/>
      <c r="V36" s="167" t="n"/>
      <c r="W36" s="167" t="n"/>
      <c r="X36" s="167" t="n"/>
      <c r="Y36" s="167" t="n"/>
      <c r="Z36" s="167" t="n"/>
      <c r="AA36" s="167" t="n"/>
      <c r="AB36" s="167" t="n"/>
      <c r="AC36" s="167" t="n"/>
      <c r="AD36" s="167" t="n"/>
      <c r="AE36" s="167" t="n"/>
      <c r="AF36" s="167" t="n"/>
    </row>
    <row r="37" ht="12.75" customFormat="1" customHeight="1" s="101">
      <c r="A37" s="101" t="inlineStr">
        <is>
          <t>delta (δ)</t>
        </is>
      </c>
      <c r="B37" s="170">
        <f>EXP(-2*B31*B33/SQRT($B$34))</f>
        <v/>
      </c>
      <c r="C37" s="170">
        <f>EXP(-2*C31*C33/SQRT($B$34))</f>
        <v/>
      </c>
      <c r="D37" s="170">
        <f>EXP(-2*D31*D33/SQRT($B$34))</f>
        <v/>
      </c>
      <c r="E37" s="170">
        <f>EXP(-2*E31*E33/SQRT($B$34))</f>
        <v/>
      </c>
      <c r="F37" s="170">
        <f>EXP(-2*F31*F33/SQRT($B$34))</f>
        <v/>
      </c>
      <c r="G37" s="170">
        <f>EXP(-2*G31*G33/SQRT($B$34))</f>
        <v/>
      </c>
      <c r="H37" s="170">
        <f>EXP(-2*H31*H33/SQRT($B$34))</f>
        <v/>
      </c>
      <c r="I37" s="170">
        <f>EXP(-2*I31*I33/SQRT($B$34))</f>
        <v/>
      </c>
      <c r="J37" s="170">
        <f>EXP(-2*J31*J33/SQRT($B$34))</f>
        <v/>
      </c>
      <c r="K37" s="170">
        <f>EXP(-2*K31*K33/SQRT($B$34))</f>
        <v/>
      </c>
      <c r="L37" s="170" t="n"/>
      <c r="M37" s="170" t="n"/>
      <c r="N37" s="170" t="n"/>
      <c r="O37" s="170" t="n"/>
      <c r="P37" s="170" t="n"/>
      <c r="Q37" s="170" t="n"/>
      <c r="R37" s="170" t="n"/>
      <c r="S37" s="170" t="n"/>
      <c r="T37" s="170" t="n"/>
      <c r="U37" s="170" t="n"/>
      <c r="V37" s="170" t="n"/>
      <c r="W37" s="170" t="n"/>
      <c r="X37" s="170" t="n"/>
      <c r="Y37" s="170" t="n"/>
      <c r="Z37" s="170" t="n"/>
      <c r="AA37" s="170" t="n"/>
      <c r="AB37" s="170" t="n"/>
      <c r="AC37" s="170" t="n"/>
      <c r="AD37" s="170" t="n"/>
      <c r="AE37" s="170" t="n"/>
      <c r="AF37" s="170" t="n"/>
    </row>
    <row r="38" ht="12.75" customFormat="1" customHeight="1" s="101">
      <c r="N38" s="101" t="n"/>
      <c r="O38" s="101" t="n"/>
      <c r="P38" s="101" t="n"/>
      <c r="Q38" s="101" t="n"/>
      <c r="R38" s="101" t="n"/>
      <c r="S38" s="101" t="n"/>
      <c r="T38" s="101" t="n"/>
    </row>
    <row r="39" ht="12.75" customFormat="1" customHeight="1" s="101">
      <c r="A39" s="101" t="inlineStr">
        <is>
          <t>face value</t>
        </is>
      </c>
      <c r="B39" s="122" t="n">
        <v>100</v>
      </c>
      <c r="N39" s="101" t="n"/>
      <c r="O39" s="101" t="n"/>
      <c r="P39" s="101" t="n"/>
      <c r="Q39" s="101" t="n"/>
      <c r="R39" s="101" t="n"/>
      <c r="S39" s="101" t="n"/>
      <c r="T39" s="101" t="n"/>
    </row>
    <row r="40" ht="12.75" customFormat="1" customHeight="1" s="101">
      <c r="A40" s="101" t="inlineStr">
        <is>
          <t>call price</t>
        </is>
      </c>
      <c r="B40" s="122" t="n">
        <v>100</v>
      </c>
      <c r="N40" s="101" t="n"/>
      <c r="O40" s="101" t="n"/>
      <c r="P40" s="101" t="n"/>
      <c r="Q40" s="101" t="n"/>
      <c r="R40" s="101" t="n"/>
      <c r="S40" s="101" t="n"/>
      <c r="T40" s="101" t="n"/>
    </row>
    <row r="41" ht="12.75" customFormat="1" customHeight="1" s="101">
      <c r="A41" s="101" t="inlineStr">
        <is>
          <t>coupon rate (annual compounding)</t>
        </is>
      </c>
      <c r="B41" s="122" t="n">
        <v>0.045</v>
      </c>
      <c r="N41" s="101" t="n"/>
      <c r="O41" s="101" t="n"/>
      <c r="P41" s="101" t="n"/>
      <c r="Q41" s="101" t="n"/>
      <c r="R41" s="101" t="n"/>
      <c r="S41" s="101" t="n"/>
      <c r="T41" s="101" t="n"/>
    </row>
    <row r="42" ht="12.75" customFormat="1" customHeight="1" s="101">
      <c r="A42" s="101" t="inlineStr">
        <is>
          <t>bond maturity</t>
        </is>
      </c>
      <c r="B42" s="122" t="n">
        <v>5</v>
      </c>
      <c r="N42" s="101" t="n"/>
      <c r="O42" s="101" t="n"/>
      <c r="P42" s="101" t="n"/>
      <c r="Q42" s="101" t="n"/>
      <c r="R42" s="101" t="n"/>
      <c r="S42" s="101" t="n"/>
      <c r="T42" s="101" t="n"/>
    </row>
    <row r="43" ht="12.75" customFormat="1" customHeight="1" s="101">
      <c r="N43" s="101" t="n"/>
      <c r="O43" s="101" t="n"/>
      <c r="P43" s="101" t="n"/>
      <c r="Q43" s="101" t="n"/>
      <c r="R43" s="101" t="n"/>
      <c r="S43" s="101" t="n"/>
      <c r="T43" s="101" t="n"/>
    </row>
    <row r="44" ht="12.75" customFormat="1" customHeight="1" s="99">
      <c r="A44" s="100" t="inlineStr">
        <is>
          <t>Outputs</t>
        </is>
      </c>
      <c r="B44" s="100" t="n"/>
      <c r="N44" s="99" t="n"/>
      <c r="O44" s="99" t="n"/>
      <c r="P44" s="99" t="n"/>
      <c r="Q44" s="99" t="n"/>
      <c r="R44" s="99" t="n"/>
      <c r="S44" s="99" t="n"/>
      <c r="T44" s="99" t="n"/>
    </row>
    <row r="45" ht="12.75" customFormat="1" customHeight="1" s="101">
      <c r="N45" s="101" t="n"/>
      <c r="O45" s="101" t="n"/>
      <c r="P45" s="101" t="n"/>
      <c r="Q45" s="101" t="n"/>
      <c r="R45" s="101" t="n"/>
      <c r="S45" s="101" t="n"/>
      <c r="T45" s="101" t="n"/>
    </row>
    <row r="46" ht="12.75" customFormat="1" customHeight="1" s="101">
      <c r="B46" s="171" t="n"/>
      <c r="C46" s="171" t="n"/>
      <c r="D46" s="171" t="n"/>
      <c r="E46" s="171" t="n"/>
      <c r="F46" s="171" t="n"/>
      <c r="G46" s="171">
        <f>$B$39</f>
        <v/>
      </c>
      <c r="N46" s="101" t="n"/>
      <c r="O46" s="101" t="n"/>
      <c r="P46" s="101" t="n"/>
      <c r="Q46" s="101" t="n"/>
      <c r="R46" s="101" t="n"/>
      <c r="S46" s="101" t="n"/>
      <c r="T46" s="101" t="n"/>
    </row>
    <row r="47" ht="12.75" customFormat="1" customHeight="1" s="101">
      <c r="B47" s="171" t="n"/>
      <c r="C47" s="171" t="n"/>
      <c r="D47" s="171" t="n"/>
      <c r="E47" s="171" t="n"/>
      <c r="F47" s="171">
        <f>IF(F48=0,0.5*(G46+G47)*F94,IF(0.5*(G66+G67)*F94&gt;$B$40,$B$40,0.5*(G46+G47)*F94))</f>
        <v/>
      </c>
      <c r="G47" s="171">
        <f>$B$39</f>
        <v/>
      </c>
      <c r="N47" s="101" t="n"/>
      <c r="O47" s="101" t="n"/>
      <c r="P47" s="101" t="n"/>
      <c r="Q47" s="101" t="n"/>
      <c r="R47" s="101" t="n"/>
      <c r="S47" s="101" t="n"/>
      <c r="T47" s="101" t="n"/>
    </row>
    <row r="48" ht="12.75" customFormat="1" customHeight="1" s="101">
      <c r="B48" s="171" t="n"/>
      <c r="C48" s="171" t="n"/>
      <c r="D48" s="171" t="n"/>
      <c r="E48" s="171">
        <f>IF(E49=0,0.5*(F47+F48)*E95,IF(0.5*(F67+F68)*E95&gt;$B$40,$B$40,0.5*(F47+F48)*E95))</f>
        <v/>
      </c>
      <c r="F48" s="171">
        <f>IF(F49=0,0.5*(G47+G48)*F95,IF(0.5*(G67+G68)*F95&gt;$B$40,$B$40,0.5*(G47+G48)*F95))</f>
        <v/>
      </c>
      <c r="G48" s="171">
        <f>$B$39</f>
        <v/>
      </c>
      <c r="N48" s="101" t="n"/>
      <c r="O48" s="101" t="n"/>
      <c r="P48" s="101" t="n"/>
      <c r="Q48" s="101" t="n"/>
      <c r="R48" s="101" t="n"/>
      <c r="S48" s="101" t="n"/>
      <c r="T48" s="101" t="n"/>
    </row>
    <row r="49" ht="12.75" customFormat="1" customHeight="1" s="101">
      <c r="B49" s="171" t="n"/>
      <c r="C49" s="171" t="n"/>
      <c r="D49" s="171">
        <f>IF(D50=0,0.5*(E48+E49)*D96,IF(0.5*(E68+E69)*D96&gt;$B$40,$B$40,0.5*(E48+E49)*D96))</f>
        <v/>
      </c>
      <c r="E49" s="171">
        <f>IF(E50=0,0.5*(F48+F49)*E96,IF(0.5*(F68+F69)*E96&gt;$B$40,$B$40,0.5*(F48+F49)*E96))</f>
        <v/>
      </c>
      <c r="F49" s="171">
        <f>IF(F50=0,0.5*(G48+G49)*F96,IF(0.5*(G68+G69)*F96&gt;$B$40,$B$40,0.5*(G48+G49)*F96))</f>
        <v/>
      </c>
      <c r="G49" s="171">
        <f>$B$39</f>
        <v/>
      </c>
      <c r="N49" s="101" t="n"/>
      <c r="O49" s="101" t="n"/>
      <c r="P49" s="101" t="n"/>
      <c r="Q49" s="101" t="n"/>
      <c r="R49" s="101" t="n"/>
      <c r="S49" s="101" t="n"/>
      <c r="T49" s="101" t="n"/>
    </row>
    <row r="50" ht="12.75" customFormat="1" customHeight="1" s="101">
      <c r="B50" s="171" t="n"/>
      <c r="C50" s="171">
        <f>IF(C51=0,0.5*(D49+D50)*C97,IF(0.5*(D69+D70)*C97&gt;$B$40,$B$40,0.5*(D49+D50)*C97))</f>
        <v/>
      </c>
      <c r="D50" s="171">
        <f>IF(D51=0,0.5*(E49+E50)*D97,IF(0.5*(E69+E70)*D97&gt;$B$40,$B$40,0.5*(E49+E50)*D97))</f>
        <v/>
      </c>
      <c r="E50" s="171">
        <f>IF(E51=0,0.5*(F49+F50)*E97,IF(0.5*(F69+F70)*E97&gt;$B$40,$B$40,0.5*(F49+F50)*E97))</f>
        <v/>
      </c>
      <c r="F50" s="171">
        <f>IF(F51=0,0.5*(G49+G50)*F97,IF(0.5*(G69+G70)*F97&gt;$B$40,$B$40,0.5*(G49+G50)*F97))</f>
        <v/>
      </c>
      <c r="G50" s="171">
        <f>$B$39</f>
        <v/>
      </c>
      <c r="N50" s="101" t="n"/>
      <c r="O50" s="101" t="n"/>
      <c r="P50" s="101" t="n"/>
      <c r="Q50" s="101" t="n"/>
      <c r="R50" s="101" t="n"/>
      <c r="S50" s="101" t="n"/>
      <c r="T50" s="101" t="n"/>
    </row>
    <row r="51" ht="12.75" customFormat="1" customHeight="1" s="101">
      <c r="A51" s="101" t="inlineStr">
        <is>
          <t>Principal Only</t>
        </is>
      </c>
      <c r="B51" s="171">
        <f>IF(B52=0,0.5*(C50+C51)*B98,IF(0.5*(C70+C71)*B98&gt;$B$40,$B$40,0.5*(C50+C51)*B98))</f>
        <v/>
      </c>
      <c r="C51" s="171">
        <f>IF(C52=0,0.5*(D50+D51)*C98,IF(0.5*(D70+D71)*C98&gt;$B$40,$B$40,0.5*(D50+D51)*C98))</f>
        <v/>
      </c>
      <c r="D51" s="171">
        <f>IF(D52=0,0.5*(E50+E51)*D98,IF(0.5*(E70+E71)*D98&gt;$B$40,$B$40,0.5*(E50+E51)*D98))</f>
        <v/>
      </c>
      <c r="E51" s="171">
        <f>IF(E52=0,0.5*(F50+F51)*E98,IF(0.5*(F70+F71)*E98&gt;$B$40,$B$40,0.5*(F50+F51)*E98))</f>
        <v/>
      </c>
      <c r="F51" s="171">
        <f>IF(F52=0,0.5*(G50+G51)*F98,IF(0.5*(G70+G71)*F98&gt;$B$40,$B$40,0.5*(G50+G51)*F98))</f>
        <v/>
      </c>
      <c r="G51" s="171">
        <f>$B$39</f>
        <v/>
      </c>
      <c r="N51" s="101" t="n"/>
      <c r="O51" s="101" t="n"/>
      <c r="P51" s="101" t="n"/>
      <c r="Q51" s="101" t="n"/>
      <c r="R51" s="101" t="n"/>
      <c r="S51" s="101" t="n"/>
      <c r="T51" s="101" t="n"/>
    </row>
    <row r="52" ht="12.75" customFormat="1" customHeight="1" s="101">
      <c r="A52" s="164" t="inlineStr">
        <is>
          <t>year</t>
        </is>
      </c>
      <c r="B52" s="164" t="n">
        <v>0</v>
      </c>
      <c r="C52" s="164" t="n">
        <v>1</v>
      </c>
      <c r="D52" s="164" t="n">
        <v>2</v>
      </c>
      <c r="E52" s="164" t="n">
        <v>3</v>
      </c>
      <c r="F52" s="164" t="n">
        <v>4</v>
      </c>
      <c r="G52" s="164" t="n">
        <v>5</v>
      </c>
      <c r="N52" s="101" t="n"/>
      <c r="O52" s="101" t="n"/>
      <c r="P52" s="101" t="n"/>
      <c r="Q52" s="101" t="n"/>
      <c r="R52" s="101" t="n"/>
      <c r="S52" s="101" t="n"/>
      <c r="T52" s="101" t="n"/>
    </row>
    <row r="53" ht="12.75" customFormat="1" customHeight="1" s="101">
      <c r="N53" s="101" t="n"/>
      <c r="O53" s="101" t="n"/>
      <c r="P53" s="101" t="n"/>
      <c r="Q53" s="101" t="n"/>
      <c r="R53" s="101" t="n"/>
      <c r="S53" s="101" t="n"/>
      <c r="T53" s="101" t="n"/>
    </row>
    <row r="54" ht="12.75" customFormat="1" customHeight="1" s="101">
      <c r="B54" s="171" t="n"/>
      <c r="C54" s="171" t="n"/>
      <c r="D54" s="171" t="n"/>
      <c r="E54" s="171" t="n"/>
      <c r="F54" s="171" t="n"/>
      <c r="G54" s="171">
        <f>$B$39*$B$41</f>
        <v/>
      </c>
      <c r="N54" s="101" t="n"/>
      <c r="O54" s="101" t="n"/>
      <c r="P54" s="101" t="n"/>
      <c r="Q54" s="101" t="n"/>
      <c r="R54" s="101" t="n"/>
      <c r="S54" s="101" t="n"/>
      <c r="T54" s="101" t="n"/>
    </row>
    <row r="55" ht="12.75" customFormat="1" customHeight="1" s="101">
      <c r="B55" s="171" t="n"/>
      <c r="C55" s="171" t="n"/>
      <c r="D55" s="171" t="n"/>
      <c r="E55" s="171" t="n"/>
      <c r="F55" s="171">
        <f>IF(F$60=0,0.5*(G54+G55)*F94,IF(0.5*(G66+G67)*F94&gt;$B$40,$B$39*$B$41,0.5*(G54+G55)*F94+$B$39*$B$41))</f>
        <v/>
      </c>
      <c r="G55" s="171">
        <f>$B$39*$B$41</f>
        <v/>
      </c>
      <c r="N55" s="101" t="n"/>
      <c r="O55" s="101" t="n"/>
      <c r="P55" s="101" t="n"/>
      <c r="Q55" s="101" t="n"/>
      <c r="R55" s="101" t="n"/>
      <c r="S55" s="101" t="n"/>
      <c r="T55" s="101" t="n"/>
    </row>
    <row r="56" ht="12.75" customFormat="1" customHeight="1" s="101">
      <c r="B56" s="171" t="n"/>
      <c r="C56" s="171" t="n"/>
      <c r="D56" s="171" t="n"/>
      <c r="E56" s="171">
        <f>IF(E$60=0,0.5*(F55+F56)*E95,IF(0.5*(F67+F68)*E95&gt;$B$40,$B$39*$B$41,0.5*(F55+F56)*E95+$B$39*$B$41))</f>
        <v/>
      </c>
      <c r="F56" s="171">
        <f>IF(F$60=0,0.5*(G55+G56)*F95,IF(0.5*(G67+G68)*F95&gt;$B$40,$B$39*$B$41,0.5*(G55+G56)*F95+$B$39*$B$41))</f>
        <v/>
      </c>
      <c r="G56" s="171">
        <f>$B$39*$B$41</f>
        <v/>
      </c>
      <c r="N56" s="101" t="n"/>
      <c r="O56" s="101" t="n"/>
      <c r="P56" s="101" t="n"/>
      <c r="Q56" s="101" t="n"/>
      <c r="R56" s="101" t="n"/>
      <c r="S56" s="101" t="n"/>
      <c r="T56" s="101" t="n"/>
    </row>
    <row r="57" ht="12.75" customFormat="1" customHeight="1" s="101">
      <c r="B57" s="171" t="n"/>
      <c r="C57" s="171" t="n"/>
      <c r="D57" s="171">
        <f>IF(D$60=0,0.5*(E56+E57)*D96,IF(0.5*(E68+E69)*D96&gt;$B$40,$B$39*$B$41,0.5*(E56+E57)*D96+$B$39*$B$41))</f>
        <v/>
      </c>
      <c r="E57" s="171">
        <f>IF(E$60=0,0.5*(F56+F57)*E96,IF(0.5*(F68+F69)*E96&gt;$B$40,$B$39*$B$41,0.5*(F56+F57)*E96+$B$39*$B$41))</f>
        <v/>
      </c>
      <c r="F57" s="171">
        <f>IF(F$60=0,0.5*(G56+G57)*F96,IF(0.5*(G68+G69)*F96&gt;$B$40,$B$39*$B$41,0.5*(G56+G57)*F96+$B$39*$B$41))</f>
        <v/>
      </c>
      <c r="G57" s="171">
        <f>$B$39*$B$41</f>
        <v/>
      </c>
      <c r="N57" s="101" t="n"/>
      <c r="O57" s="101" t="n"/>
      <c r="P57" s="101" t="n"/>
      <c r="Q57" s="101" t="n"/>
      <c r="R57" s="101" t="n"/>
      <c r="S57" s="101" t="n"/>
      <c r="T57" s="101" t="n"/>
    </row>
    <row r="58" ht="12.75" customFormat="1" customHeight="1" s="101">
      <c r="B58" s="171" t="n"/>
      <c r="C58" s="171">
        <f>IF(C$60=0,0.5*(D57+D58)*C97,IF(0.5*(D69+D70)*C97&gt;$B$40,$B$39*$B$41,0.5*(D57+D58)*C97+$B$39*$B$41))</f>
        <v/>
      </c>
      <c r="D58" s="171">
        <f>IF(D$60=0,0.5*(E57+E58)*D97,IF(0.5*(E69+E70)*D97&gt;$B$40,$B$39*$B$41,0.5*(E57+E58)*D97+$B$39*$B$41))</f>
        <v/>
      </c>
      <c r="E58" s="171">
        <f>IF(E$60=0,0.5*(F57+F58)*E97,IF(0.5*(F69+F70)*E97&gt;$B$40,$B$39*$B$41,0.5*(F57+F58)*E97+$B$39*$B$41))</f>
        <v/>
      </c>
      <c r="F58" s="171">
        <f>IF(F$60=0,0.5*(G57+G58)*F97,IF(0.5*(G69+G70)*F97&gt;$B$40,$B$39*$B$41,0.5*(G57+G58)*F97+$B$39*$B$41))</f>
        <v/>
      </c>
      <c r="G58" s="171">
        <f>$B$39*$B$41</f>
        <v/>
      </c>
      <c r="N58" s="101" t="n"/>
      <c r="O58" s="101" t="n"/>
      <c r="P58" s="101" t="n"/>
      <c r="Q58" s="101" t="n"/>
      <c r="R58" s="101" t="n"/>
      <c r="S58" s="101" t="n"/>
      <c r="T58" s="101" t="n"/>
    </row>
    <row r="59" ht="12.75" customFormat="1" customHeight="1" s="101">
      <c r="A59" s="101" t="inlineStr">
        <is>
          <t>Interest Only</t>
        </is>
      </c>
      <c r="B59" s="171">
        <f>IF(B$60=0,0.5*(C58+C59)*B98,IF(0.5*(C70+C71)*B98&gt;$B$40,$B$39*$B$41,0.5*(C58+C59)*B98+$B$39*$B$41))</f>
        <v/>
      </c>
      <c r="C59" s="171">
        <f>IF(C$60=0,0.5*(D58+D59)*C98,IF(0.5*(D70+D71)*C98&gt;$B$40,$B$39*$B$41,0.5*(D58+D59)*C98+$B$39*$B$41))</f>
        <v/>
      </c>
      <c r="D59" s="171">
        <f>IF(D$60=0,0.5*(E58+E59)*D98,IF(0.5*(E70+E71)*D98&gt;$B$40,$B$39*$B$41,0.5*(E58+E59)*D98+$B$39*$B$41))</f>
        <v/>
      </c>
      <c r="E59" s="171">
        <f>IF(E$60=0,0.5*(F58+F59)*E98,IF(0.5*(F70+F71)*E98&gt;$B$40,$B$39*$B$41,0.5*(F58+F59)*E98+$B$39*$B$41))</f>
        <v/>
      </c>
      <c r="F59" s="171">
        <f>IF(F$60=0,0.5*(G58+G59)*F98,IF(0.5*(G70+G71)*F98&gt;$B$40,$B$39*$B$41,0.5*(G58+G59)*F98+$B$39*$B$41))</f>
        <v/>
      </c>
      <c r="G59" s="171">
        <f>$B$39*$B$41</f>
        <v/>
      </c>
      <c r="N59" s="101" t="n"/>
      <c r="O59" s="101" t="n"/>
      <c r="P59" s="101" t="n"/>
      <c r="Q59" s="101" t="n"/>
      <c r="R59" s="101" t="n"/>
      <c r="S59" s="101" t="n"/>
      <c r="T59" s="101" t="n"/>
    </row>
    <row r="60" ht="12.75" customFormat="1" customHeight="1" s="101">
      <c r="A60" s="164" t="inlineStr">
        <is>
          <t>year</t>
        </is>
      </c>
      <c r="B60" s="164" t="n">
        <v>0</v>
      </c>
      <c r="C60" s="164" t="n">
        <v>1</v>
      </c>
      <c r="D60" s="164" t="n">
        <v>2</v>
      </c>
      <c r="E60" s="164" t="n">
        <v>3</v>
      </c>
      <c r="F60" s="164" t="n">
        <v>4</v>
      </c>
      <c r="G60" s="164" t="n">
        <v>5</v>
      </c>
      <c r="N60" s="101" t="n"/>
      <c r="O60" s="101" t="n"/>
      <c r="P60" s="101" t="n"/>
      <c r="Q60" s="101" t="n"/>
      <c r="R60" s="101" t="n"/>
      <c r="S60" s="101" t="n"/>
      <c r="T60" s="101" t="n"/>
    </row>
    <row r="61" ht="12.75" customFormat="1" customHeight="1" s="101">
      <c r="N61" s="101" t="n"/>
      <c r="O61" s="101" t="n"/>
      <c r="P61" s="101" t="n"/>
      <c r="Q61" s="101" t="n"/>
      <c r="R61" s="101" t="n"/>
      <c r="S61" s="101" t="n"/>
      <c r="T61" s="101" t="n"/>
    </row>
    <row r="62" ht="12.75" customFormat="1" customHeight="1" s="101">
      <c r="A62" s="101" t="inlineStr">
        <is>
          <t>IO + PO = Callable Bond</t>
        </is>
      </c>
      <c r="B62" s="172">
        <f>B51+B59</f>
        <v/>
      </c>
      <c r="N62" s="101" t="n"/>
      <c r="O62" s="101" t="n"/>
      <c r="P62" s="101" t="n"/>
      <c r="Q62" s="101" t="n"/>
      <c r="R62" s="101" t="n"/>
      <c r="S62" s="101" t="n"/>
      <c r="T62" s="101" t="n"/>
    </row>
    <row r="63" ht="12.75" customFormat="1" customHeight="1" s="101">
      <c r="N63" s="101" t="n"/>
      <c r="O63" s="101" t="n"/>
      <c r="P63" s="101" t="n"/>
      <c r="Q63" s="101" t="n"/>
      <c r="R63" s="101" t="n"/>
      <c r="S63" s="101" t="n"/>
      <c r="T63" s="101" t="n"/>
    </row>
    <row r="64" ht="12.75" customFormat="1" customHeight="1" s="99">
      <c r="A64" s="100" t="inlineStr">
        <is>
          <t>Interim Calculations</t>
        </is>
      </c>
      <c r="B64" s="100" t="n"/>
      <c r="N64" s="99" t="n"/>
      <c r="O64" s="99" t="n"/>
      <c r="P64" s="99" t="n"/>
      <c r="Q64" s="99" t="n"/>
      <c r="R64" s="99" t="n"/>
      <c r="S64" s="99" t="n"/>
      <c r="T64" s="99" t="n"/>
    </row>
    <row r="65" ht="12.75" customFormat="1" customHeight="1" s="101">
      <c r="N65" s="101" t="n"/>
      <c r="O65" s="101" t="n"/>
      <c r="P65" s="101" t="n"/>
      <c r="Q65" s="101" t="n"/>
      <c r="R65" s="101" t="n"/>
      <c r="S65" s="101" t="n"/>
      <c r="T65" s="101" t="n"/>
    </row>
    <row r="66" ht="12.75" customFormat="1" customHeight="1" s="101">
      <c r="B66" s="172" t="n"/>
      <c r="C66" s="172" t="n"/>
      <c r="D66" s="172" t="n"/>
      <c r="E66" s="172" t="n"/>
      <c r="F66" s="172" t="n"/>
      <c r="G66" s="172">
        <f>$B$39+$B$39*$B$41</f>
        <v/>
      </c>
      <c r="N66" s="101" t="n"/>
      <c r="O66" s="101" t="n"/>
      <c r="P66" s="101" t="n"/>
      <c r="Q66" s="101" t="n"/>
      <c r="R66" s="101" t="n"/>
      <c r="S66" s="101" t="n"/>
      <c r="T66" s="101" t="n"/>
    </row>
    <row r="67" ht="12.75" customFormat="1" customHeight="1" s="101">
      <c r="B67" s="172" t="n"/>
      <c r="C67" s="172" t="n"/>
      <c r="D67" s="172" t="n"/>
      <c r="E67" s="172" t="n"/>
      <c r="F67" s="172">
        <f>IF(F$72=0,0.5*(G66+G67)*F94,MIN($B$40,0.5*(G66+G67)*F94)+$B$39*$B$41)</f>
        <v/>
      </c>
      <c r="G67" s="172">
        <f>$B$39+$B$39*$B$41</f>
        <v/>
      </c>
      <c r="N67" s="101" t="n"/>
      <c r="O67" s="101" t="n"/>
      <c r="P67" s="101" t="n"/>
      <c r="Q67" s="101" t="n"/>
      <c r="R67" s="101" t="n"/>
      <c r="S67" s="101" t="n"/>
      <c r="T67" s="101" t="n"/>
    </row>
    <row r="68" ht="12.75" customFormat="1" customHeight="1" s="101">
      <c r="B68" s="172" t="n"/>
      <c r="C68" s="172" t="n"/>
      <c r="D68" s="172" t="n"/>
      <c r="E68" s="172">
        <f>IF(E$72=0,0.5*(F67+F68)*E95,MIN($B$40,0.5*(F67+F68)*E95)+$B$39*$B$41)</f>
        <v/>
      </c>
      <c r="F68" s="172">
        <f>IF(F$72=0,0.5*(G67+G68)*F95,MIN($B$40,0.5*(G67+G68)*F95)+$B$39*$B$41)</f>
        <v/>
      </c>
      <c r="G68" s="172">
        <f>$B$39+$B$39*$B$41</f>
        <v/>
      </c>
      <c r="N68" s="101" t="n"/>
      <c r="O68" s="101" t="n"/>
      <c r="P68" s="101" t="n"/>
      <c r="Q68" s="101" t="n"/>
      <c r="R68" s="101" t="n"/>
      <c r="S68" s="101" t="n"/>
      <c r="T68" s="101" t="n"/>
    </row>
    <row r="69" ht="12.75" customFormat="1" customHeight="1" s="101">
      <c r="B69" s="172" t="n"/>
      <c r="C69" s="172" t="n"/>
      <c r="D69" s="172">
        <f>IF(D$72=0,0.5*(E68+E69)*D96,MIN($B$40,0.5*(E68+E69)*D96)+$B$39*$B$41)</f>
        <v/>
      </c>
      <c r="E69" s="172">
        <f>IF(E$72=0,0.5*(F68+F69)*E96,MIN($B$40,0.5*(F68+F69)*E96)+$B$39*$B$41)</f>
        <v/>
      </c>
      <c r="F69" s="172">
        <f>IF(F$72=0,0.5*(G68+G69)*F96,MIN($B$40,0.5*(G68+G69)*F96)+$B$39*$B$41)</f>
        <v/>
      </c>
      <c r="G69" s="172">
        <f>$B$39+$B$39*$B$41</f>
        <v/>
      </c>
      <c r="N69" s="101" t="n"/>
      <c r="O69" s="101" t="n"/>
      <c r="P69" s="101" t="n"/>
      <c r="Q69" s="101" t="n"/>
      <c r="R69" s="101" t="n"/>
      <c r="S69" s="101" t="n"/>
      <c r="T69" s="101" t="n"/>
    </row>
    <row r="70" ht="12.75" customFormat="1" customHeight="1" s="101">
      <c r="B70" s="172" t="n"/>
      <c r="C70" s="172">
        <f>IF(C$72=0,0.5*(D69+D70)*C97,MIN($B$40,0.5*(D69+D70)*C97)+$B$39*$B$41)</f>
        <v/>
      </c>
      <c r="D70" s="172">
        <f>IF(D$72=0,0.5*(E69+E70)*D97,MIN($B$40,0.5*(E69+E70)*D97)+$B$39*$B$41)</f>
        <v/>
      </c>
      <c r="E70" s="172">
        <f>IF(E$72=0,0.5*(F69+F70)*E97,MIN($B$40,0.5*(F69+F70)*E97)+$B$39*$B$41)</f>
        <v/>
      </c>
      <c r="F70" s="172">
        <f>IF(F$72=0,0.5*(G69+G70)*F97,MIN($B$40,0.5*(G69+G70)*F97)+$B$39*$B$41)</f>
        <v/>
      </c>
      <c r="G70" s="172">
        <f>$B$39+$B$39*$B$41</f>
        <v/>
      </c>
      <c r="N70" s="101" t="n"/>
      <c r="O70" s="101" t="n"/>
      <c r="P70" s="101" t="n"/>
      <c r="Q70" s="101" t="n"/>
      <c r="R70" s="101" t="n"/>
      <c r="S70" s="101" t="n"/>
      <c r="T70" s="101" t="n"/>
    </row>
    <row r="71" ht="12.75" customFormat="1" customHeight="1" s="101">
      <c r="A71" s="101" t="inlineStr">
        <is>
          <t>callable bond price</t>
        </is>
      </c>
      <c r="B71" s="172">
        <f>IF(B$72=0,0.5*(C70+C71)*B98,MIN($B$40,0.5*(C70+C71)*B98)+$B$39*$B$41)</f>
        <v/>
      </c>
      <c r="C71" s="172">
        <f>IF(C$72=0,0.5*(D70+D71)*C98,MIN($B$40,0.5*(D70+D71)*C98)+$B$39*$B$41)</f>
        <v/>
      </c>
      <c r="D71" s="172">
        <f>IF(D$72=0,0.5*(E70+E71)*D98,MIN($B$40,0.5*(E70+E71)*D98)+$B$39*$B$41)</f>
        <v/>
      </c>
      <c r="E71" s="172">
        <f>IF(E$72=0,0.5*(F70+F71)*E98,MIN($B$40,0.5*(F70+F71)*E98)+$B$39*$B$41)</f>
        <v/>
      </c>
      <c r="F71" s="172">
        <f>IF(F$72=0,0.5*(G70+G71)*F98,MIN($B$40,0.5*(G70+G71)*F98)+$B$39*$B$41)</f>
        <v/>
      </c>
      <c r="G71" s="172">
        <f>$B$39+$B$39*$B$41</f>
        <v/>
      </c>
      <c r="N71" s="101" t="n"/>
      <c r="O71" s="101" t="n"/>
      <c r="P71" s="101" t="n"/>
      <c r="Q71" s="101" t="n"/>
      <c r="R71" s="101" t="n"/>
      <c r="S71" s="101" t="n"/>
      <c r="T71" s="101" t="n"/>
    </row>
    <row r="72" ht="12.75" customFormat="1" customHeight="1" s="101">
      <c r="A72" s="164" t="inlineStr">
        <is>
          <t>year</t>
        </is>
      </c>
      <c r="B72" s="164" t="n">
        <v>0</v>
      </c>
      <c r="C72" s="164" t="n">
        <v>1</v>
      </c>
      <c r="D72" s="164" t="n">
        <v>2</v>
      </c>
      <c r="E72" s="164" t="n">
        <v>3</v>
      </c>
      <c r="F72" s="164" t="n">
        <v>4</v>
      </c>
      <c r="G72" s="164" t="n">
        <v>5</v>
      </c>
      <c r="N72" s="101" t="n"/>
      <c r="O72" s="101" t="n"/>
      <c r="P72" s="101" t="n"/>
      <c r="Q72" s="101" t="n"/>
      <c r="R72" s="101" t="n"/>
      <c r="S72" s="101" t="n"/>
      <c r="T72" s="101" t="n"/>
    </row>
    <row r="73" ht="12.75" customFormat="1" customHeight="1" s="101">
      <c r="N73" s="101" t="n"/>
      <c r="O73" s="101" t="n"/>
      <c r="P73" s="101" t="n"/>
      <c r="Q73" s="101" t="n"/>
      <c r="R73" s="101" t="n"/>
      <c r="S73" s="101" t="n"/>
      <c r="T73" s="101" t="n"/>
    </row>
    <row r="74" ht="12.75" customFormat="1" customHeight="1" s="101">
      <c r="B74" s="173" t="n"/>
      <c r="C74" s="173" t="n"/>
      <c r="D74" s="173" t="n"/>
      <c r="E74" s="173" t="n"/>
      <c r="F74" s="173" t="n"/>
      <c r="G74" s="173">
        <f>$B$39+$B$39*$B$41</f>
        <v/>
      </c>
      <c r="N74" s="101" t="n"/>
      <c r="O74" s="101" t="n"/>
      <c r="P74" s="101" t="n"/>
      <c r="Q74" s="101" t="n"/>
      <c r="R74" s="101" t="n"/>
      <c r="S74" s="101" t="n"/>
      <c r="T74" s="101" t="n"/>
    </row>
    <row r="75" ht="12.75" customFormat="1" customHeight="1" s="101">
      <c r="B75" s="173" t="n"/>
      <c r="C75" s="173" t="n"/>
      <c r="D75" s="173" t="n"/>
      <c r="E75" s="173" t="n"/>
      <c r="F75" s="173">
        <f>IF(F$80=0,0.5*(G74+G75)*F94,0.5*(G74+G75)*F94+$B$39*$B$41/$B$34)</f>
        <v/>
      </c>
      <c r="G75" s="173">
        <f>$B$39+$B$39*$B$41</f>
        <v/>
      </c>
      <c r="N75" s="101" t="n"/>
      <c r="O75" s="101" t="n"/>
      <c r="P75" s="101" t="n"/>
      <c r="Q75" s="101" t="n"/>
      <c r="R75" s="101" t="n"/>
      <c r="S75" s="101" t="n"/>
      <c r="T75" s="101" t="n"/>
    </row>
    <row r="76" ht="12.75" customFormat="1" customHeight="1" s="101">
      <c r="B76" s="173" t="n"/>
      <c r="C76" s="173" t="n"/>
      <c r="D76" s="173" t="n"/>
      <c r="E76" s="173">
        <f>IF(E$80=0,0.5*(F75+F76)*E95,0.5*(F75+F76)*E95+$B$39*$B$41/$B$34)</f>
        <v/>
      </c>
      <c r="F76" s="173">
        <f>IF(F$80=0,0.5*(G75+G76)*F95,0.5*(G75+G76)*F95+$B$39*$B$41/$B$34)</f>
        <v/>
      </c>
      <c r="G76" s="173">
        <f>$B$39+$B$39*$B$41</f>
        <v/>
      </c>
      <c r="N76" s="101" t="n"/>
      <c r="O76" s="101" t="n"/>
      <c r="P76" s="101" t="n"/>
      <c r="Q76" s="101" t="n"/>
      <c r="R76" s="101" t="n"/>
      <c r="S76" s="101" t="n"/>
      <c r="T76" s="101" t="n"/>
    </row>
    <row r="77" ht="12.75" customFormat="1" customHeight="1" s="101">
      <c r="B77" s="173" t="n"/>
      <c r="C77" s="173" t="n"/>
      <c r="D77" s="173">
        <f>IF(D$80=0,0.5*(E76+E77)*D96,0.5*(E76+E77)*D96+$B$39*$B$41/$B$34)</f>
        <v/>
      </c>
      <c r="E77" s="173">
        <f>IF(E$80=0,0.5*(F76+F77)*E96,0.5*(F76+F77)*E96+$B$39*$B$41/$B$34)</f>
        <v/>
      </c>
      <c r="F77" s="173">
        <f>IF(F$80=0,0.5*(G76+G77)*F96,0.5*(G76+G77)*F96+$B$39*$B$41/$B$34)</f>
        <v/>
      </c>
      <c r="G77" s="173">
        <f>$B$39+$B$39*$B$41</f>
        <v/>
      </c>
      <c r="N77" s="101" t="n"/>
      <c r="O77" s="101" t="n"/>
      <c r="P77" s="101" t="n"/>
      <c r="Q77" s="101" t="n"/>
      <c r="R77" s="101" t="n"/>
      <c r="S77" s="101" t="n"/>
      <c r="T77" s="101" t="n"/>
    </row>
    <row r="78" ht="12.75" customFormat="1" customHeight="1" s="101">
      <c r="B78" s="173" t="n"/>
      <c r="C78" s="173">
        <f>IF(C$80=0,0.5*(D77+D78)*C97,0.5*(D77+D78)*C97+$B$39*$B$41/$B$34)</f>
        <v/>
      </c>
      <c r="D78" s="173">
        <f>IF(D$80=0,0.5*(E77+E78)*D97,0.5*(E77+E78)*D97+$B$39*$B$41/$B$34)</f>
        <v/>
      </c>
      <c r="E78" s="173">
        <f>IF(E$80=0,0.5*(F77+F78)*E97,0.5*(F77+F78)*E97+$B$39*$B$41/$B$34)</f>
        <v/>
      </c>
      <c r="F78" s="173">
        <f>IF(F$80=0,0.5*(G77+G78)*F97,0.5*(G77+G78)*F97+$B$39*$B$41/$B$34)</f>
        <v/>
      </c>
      <c r="G78" s="173">
        <f>$B$39+$B$39*$B$41</f>
        <v/>
      </c>
      <c r="N78" s="101" t="n"/>
      <c r="O78" s="101" t="n"/>
      <c r="P78" s="101" t="n"/>
      <c r="Q78" s="101" t="n"/>
      <c r="R78" s="101" t="n"/>
      <c r="S78" s="101" t="n"/>
      <c r="T78" s="101" t="n"/>
    </row>
    <row r="79" ht="12.75" customFormat="1" customHeight="1" s="101">
      <c r="A79" s="101" t="inlineStr">
        <is>
          <t>naive coupon bond price</t>
        </is>
      </c>
      <c r="B79" s="173">
        <f>IF(B$80=0,0.5*(C78+C79)*B98,0.5*(C78+C79)*B98+$B$39*$B$41/$B$34)</f>
        <v/>
      </c>
      <c r="C79" s="173">
        <f>IF(C$80=0,0.5*(D78+D79)*C98,0.5*(D78+D79)*C98+$B$39*$B$41/$B$34)</f>
        <v/>
      </c>
      <c r="D79" s="173">
        <f>IF(D$80=0,0.5*(E78+E79)*D98,0.5*(E78+E79)*D98+$B$39*$B$41/$B$34)</f>
        <v/>
      </c>
      <c r="E79" s="173">
        <f>IF(E$80=0,0.5*(F78+F79)*E98,0.5*(F78+F79)*E98+$B$39*$B$41/$B$34)</f>
        <v/>
      </c>
      <c r="F79" s="173">
        <f>IF(F$80=0,0.5*(G78+G79)*F98,0.5*(G78+G79)*F98+$B$39*$B$41/$B$34)</f>
        <v/>
      </c>
      <c r="G79" s="173">
        <f>$B$39+$B$39*$B$41</f>
        <v/>
      </c>
      <c r="N79" s="101" t="n"/>
      <c r="O79" s="101" t="n"/>
      <c r="P79" s="101" t="n"/>
      <c r="Q79" s="101" t="n"/>
      <c r="R79" s="101" t="n"/>
      <c r="S79" s="101" t="n"/>
      <c r="T79" s="101" t="n"/>
    </row>
    <row r="80" ht="12.75" customFormat="1" customHeight="1" s="101">
      <c r="A80" s="164" t="inlineStr">
        <is>
          <t>year</t>
        </is>
      </c>
      <c r="B80" s="164" t="n">
        <v>0</v>
      </c>
      <c r="C80" s="164" t="n">
        <v>1</v>
      </c>
      <c r="D80" s="164" t="n">
        <v>2</v>
      </c>
      <c r="E80" s="164" t="n">
        <v>3</v>
      </c>
      <c r="F80" s="164" t="n">
        <v>4</v>
      </c>
      <c r="G80" s="164" t="n">
        <v>5</v>
      </c>
      <c r="N80" s="101" t="n"/>
      <c r="O80" s="101" t="n"/>
      <c r="P80" s="101" t="n"/>
      <c r="Q80" s="101" t="n"/>
      <c r="R80" s="101" t="n"/>
      <c r="S80" s="101" t="n"/>
      <c r="T80" s="101" t="n"/>
    </row>
    <row r="81" ht="12.75" customFormat="1" customHeight="1" s="101">
      <c r="N81" s="101" t="n"/>
      <c r="O81" s="101" t="n"/>
      <c r="P81" s="101" t="n"/>
      <c r="Q81" s="101" t="n"/>
      <c r="R81" s="101" t="n"/>
      <c r="S81" s="101" t="n"/>
      <c r="T81" s="101" t="n"/>
    </row>
    <row r="82" ht="12.75" customFormat="1" customHeight="1" s="101">
      <c r="N82" s="101" t="n"/>
      <c r="O82" s="101" t="n"/>
      <c r="P82" s="101" t="n"/>
      <c r="Q82" s="101" t="n"/>
      <c r="R82" s="101" t="n"/>
      <c r="S82" s="101" t="n"/>
      <c r="T82" s="101" t="n"/>
    </row>
    <row r="83" ht="12.75" customFormat="1" customHeight="1" s="101">
      <c r="A83" s="101" t="inlineStr">
        <is>
          <t>convexity adjustment</t>
        </is>
      </c>
      <c r="B83" s="174">
        <f>B37</f>
        <v/>
      </c>
      <c r="C83" s="174">
        <f>1+PRODUCT($C37:C37)</f>
        <v/>
      </c>
      <c r="D83" s="174">
        <f>1+PRODUCT($C37:D37)</f>
        <v/>
      </c>
      <c r="E83" s="174">
        <f>1+PRODUCT($C37:E37)</f>
        <v/>
      </c>
      <c r="F83" s="174">
        <f>1+PRODUCT($C37:F37)</f>
        <v/>
      </c>
      <c r="G83" s="174">
        <f>1+PRODUCT($C37:G37)</f>
        <v/>
      </c>
      <c r="N83" s="101" t="n"/>
      <c r="O83" s="101" t="n"/>
      <c r="P83" s="101" t="n"/>
      <c r="Q83" s="101" t="n"/>
      <c r="R83" s="101" t="n"/>
      <c r="S83" s="101" t="n"/>
      <c r="T83" s="101" t="n"/>
    </row>
    <row r="84" ht="12.75" customFormat="1" customHeight="1" s="101">
      <c r="C84" s="174" t="n"/>
      <c r="D84" s="174">
        <f>1+PRODUCT($D37:D37)</f>
        <v/>
      </c>
      <c r="E84" s="174">
        <f>1+PRODUCT($D37:E37)</f>
        <v/>
      </c>
      <c r="F84" s="174">
        <f>1+PRODUCT($D37:F37)</f>
        <v/>
      </c>
      <c r="G84" s="174">
        <f>1+PRODUCT($D37:G37)</f>
        <v/>
      </c>
      <c r="N84" s="101" t="n"/>
      <c r="O84" s="101" t="n"/>
      <c r="P84" s="101" t="n"/>
      <c r="Q84" s="101" t="n"/>
      <c r="R84" s="101" t="n"/>
      <c r="S84" s="101" t="n"/>
      <c r="T84" s="101" t="n"/>
    </row>
    <row r="85" ht="12.75" customFormat="1" customHeight="1" s="101">
      <c r="E85" s="174">
        <f>1+PRODUCT($E37:E37)</f>
        <v/>
      </c>
      <c r="F85" s="174">
        <f>1+PRODUCT($E37:F37)</f>
        <v/>
      </c>
      <c r="G85" s="174">
        <f>1+PRODUCT($E37:G37)</f>
        <v/>
      </c>
      <c r="N85" s="101" t="n"/>
      <c r="O85" s="101" t="n"/>
      <c r="P85" s="101" t="n"/>
      <c r="Q85" s="101" t="n"/>
      <c r="R85" s="101" t="n"/>
      <c r="S85" s="101" t="n"/>
      <c r="T85" s="101" t="n"/>
    </row>
    <row r="86" ht="12.75" customFormat="1" customHeight="1" s="101">
      <c r="F86" s="174">
        <f>1+PRODUCT($F37:F37)</f>
        <v/>
      </c>
      <c r="G86" s="174">
        <f>1+PRODUCT($F37:G37)</f>
        <v/>
      </c>
      <c r="N86" s="101" t="n"/>
      <c r="O86" s="101" t="n"/>
      <c r="P86" s="101" t="n"/>
      <c r="Q86" s="101" t="n"/>
      <c r="R86" s="101" t="n"/>
      <c r="S86" s="101" t="n"/>
      <c r="T86" s="101" t="n"/>
    </row>
    <row r="87" ht="12.75" customFormat="1" customHeight="1" s="101">
      <c r="G87" s="174">
        <f>1+PRODUCT($G37:G37)</f>
        <v/>
      </c>
      <c r="N87" s="101" t="n"/>
      <c r="O87" s="101" t="n"/>
      <c r="P87" s="101" t="n"/>
      <c r="Q87" s="101" t="n"/>
      <c r="R87" s="101" t="n"/>
      <c r="S87" s="101" t="n"/>
      <c r="T87" s="101" t="n"/>
    </row>
    <row r="88" ht="12.75" customFormat="1" customHeight="1" s="101">
      <c r="G88" s="174" t="n"/>
      <c r="N88" s="101" t="n"/>
      <c r="O88" s="101" t="n"/>
      <c r="P88" s="101" t="n"/>
      <c r="Q88" s="101" t="n"/>
      <c r="R88" s="101" t="n"/>
      <c r="S88" s="101" t="n"/>
      <c r="T88" s="101" t="n"/>
    </row>
    <row r="89" ht="12.75" customFormat="1" customHeight="1" s="101">
      <c r="A89" s="101" t="inlineStr">
        <is>
          <t>numerator of convexity adjustment at time n</t>
        </is>
      </c>
      <c r="C89" s="175">
        <f>PRODUCT(B83:B87)</f>
        <v/>
      </c>
      <c r="D89" s="101">
        <f>PRODUCT(C83:C87)</f>
        <v/>
      </c>
      <c r="E89" s="101">
        <f>PRODUCT(D83:D87)</f>
        <v/>
      </c>
      <c r="F89" s="101">
        <f>PRODUCT(E83:E87)</f>
        <v/>
      </c>
      <c r="G89" s="101">
        <f>PRODUCT(F83:F87)</f>
        <v/>
      </c>
      <c r="N89" s="101" t="n"/>
      <c r="O89" s="101" t="n"/>
      <c r="P89" s="101" t="n"/>
      <c r="Q89" s="101" t="n"/>
      <c r="R89" s="101" t="n"/>
      <c r="S89" s="101" t="n"/>
      <c r="T89" s="101" t="n"/>
    </row>
    <row r="90" ht="12.75" customFormat="1" customHeight="1" s="101">
      <c r="A90" s="101" t="inlineStr">
        <is>
          <t>denominator of convexity adjustment at time n</t>
        </is>
      </c>
      <c r="C90" s="101">
        <f>PRODUCT(C$83:C87)</f>
        <v/>
      </c>
      <c r="D90" s="101">
        <f>PRODUCT(D$83:D87)</f>
        <v/>
      </c>
      <c r="E90" s="101">
        <f>PRODUCT(E$83:E87)</f>
        <v/>
      </c>
      <c r="F90" s="101">
        <f>PRODUCT(F$83:F87)</f>
        <v/>
      </c>
      <c r="G90" s="101">
        <f>PRODUCT(G$83:G87)</f>
        <v/>
      </c>
      <c r="N90" s="101" t="n"/>
      <c r="O90" s="101" t="n"/>
      <c r="P90" s="101" t="n"/>
      <c r="Q90" s="101" t="n"/>
      <c r="R90" s="101" t="n"/>
      <c r="S90" s="101" t="n"/>
      <c r="T90" s="101" t="n"/>
    </row>
    <row r="91" ht="12.75" customFormat="1" customHeight="1" s="101">
      <c r="N91" s="101" t="n"/>
      <c r="O91" s="101" t="n"/>
      <c r="P91" s="101" t="n"/>
      <c r="Q91" s="101" t="n"/>
      <c r="R91" s="101" t="n"/>
      <c r="S91" s="101" t="n"/>
      <c r="T91" s="101" t="n"/>
    </row>
    <row r="92" ht="12.75" customFormat="1" customHeight="1" s="101">
      <c r="G92" s="174" t="n"/>
      <c r="N92" s="101" t="n"/>
      <c r="O92" s="101" t="n"/>
      <c r="P92" s="101" t="n"/>
      <c r="Q92" s="101" t="n"/>
      <c r="R92" s="101" t="n"/>
      <c r="S92" s="101" t="n"/>
      <c r="T92" s="101" t="n"/>
    </row>
    <row r="93" ht="12.75" customFormat="1" customHeight="1" s="101">
      <c r="B93" s="176" t="n"/>
      <c r="C93" s="176" t="n"/>
      <c r="D93" s="176" t="n"/>
      <c r="E93" s="176" t="n"/>
      <c r="F93" s="176" t="n"/>
      <c r="G93" s="176">
        <f>G94*G$37</f>
        <v/>
      </c>
      <c r="N93" s="101" t="n"/>
      <c r="O93" s="101" t="n"/>
      <c r="P93" s="101" t="n"/>
      <c r="Q93" s="101" t="n"/>
      <c r="R93" s="101" t="n"/>
      <c r="S93" s="101" t="n"/>
      <c r="T93" s="101" t="n"/>
    </row>
    <row r="94" ht="12.75" customFormat="1" customHeight="1" s="101">
      <c r="B94" s="176" t="n"/>
      <c r="C94" s="176" t="n"/>
      <c r="D94" s="176" t="n"/>
      <c r="E94" s="176" t="n"/>
      <c r="F94" s="176">
        <f>F95*F$37</f>
        <v/>
      </c>
      <c r="G94" s="176">
        <f>G95*G$37</f>
        <v/>
      </c>
      <c r="N94" s="101" t="n"/>
      <c r="O94" s="101" t="n"/>
      <c r="P94" s="101" t="n"/>
      <c r="Q94" s="101" t="n"/>
      <c r="R94" s="101" t="n"/>
      <c r="S94" s="101" t="n"/>
      <c r="T94" s="101" t="n"/>
    </row>
    <row r="95" ht="12.75" customFormat="1" customHeight="1" s="101">
      <c r="B95" s="176" t="n"/>
      <c r="C95" s="176" t="n"/>
      <c r="D95" s="176" t="n"/>
      <c r="E95" s="176">
        <f>E96*E$37</f>
        <v/>
      </c>
      <c r="F95" s="176">
        <f>F96*F$37</f>
        <v/>
      </c>
      <c r="G95" s="176">
        <f>G96*G$37</f>
        <v/>
      </c>
      <c r="N95" s="101" t="n"/>
      <c r="O95" s="101" t="n"/>
      <c r="P95" s="101" t="n"/>
      <c r="Q95" s="101" t="n"/>
      <c r="R95" s="101" t="n"/>
      <c r="S95" s="101" t="n"/>
      <c r="T95" s="101" t="n"/>
    </row>
    <row r="96" ht="12.75" customFormat="1" customHeight="1" s="101">
      <c r="B96" s="176" t="n"/>
      <c r="C96" s="176" t="n"/>
      <c r="D96" s="176">
        <f>D97*D$37</f>
        <v/>
      </c>
      <c r="E96" s="176">
        <f>E97*E$37</f>
        <v/>
      </c>
      <c r="F96" s="176">
        <f>F97*F$37</f>
        <v/>
      </c>
      <c r="G96" s="176">
        <f>G97*G$37</f>
        <v/>
      </c>
      <c r="N96" s="101" t="n"/>
      <c r="O96" s="101" t="n"/>
      <c r="P96" s="101" t="n"/>
      <c r="Q96" s="101" t="n"/>
      <c r="R96" s="101" t="n"/>
      <c r="S96" s="101" t="n"/>
      <c r="T96" s="101" t="n"/>
    </row>
    <row r="97" ht="12.75" customFormat="1" customHeight="1" s="101">
      <c r="B97" s="176" t="n"/>
      <c r="C97" s="176">
        <f>C98*C$37</f>
        <v/>
      </c>
      <c r="D97" s="176">
        <f>D98*D$37</f>
        <v/>
      </c>
      <c r="E97" s="176">
        <f>E98*E$37</f>
        <v/>
      </c>
      <c r="F97" s="176">
        <f>F98*F$37</f>
        <v/>
      </c>
      <c r="G97" s="176">
        <f>G98*G$37</f>
        <v/>
      </c>
      <c r="N97" s="101" t="n"/>
      <c r="O97" s="101" t="n"/>
      <c r="P97" s="101" t="n"/>
      <c r="Q97" s="101" t="n"/>
      <c r="R97" s="101" t="n"/>
      <c r="S97" s="101" t="n"/>
      <c r="T97" s="101" t="n"/>
    </row>
    <row r="98" ht="12.75" customFormat="1" customHeight="1" s="101">
      <c r="A98" s="101" t="inlineStr">
        <is>
          <t>Discount function lattice</t>
        </is>
      </c>
      <c r="B98" s="176">
        <f>B36</f>
        <v/>
      </c>
      <c r="C98" s="176">
        <f>C36*C89/C90*2</f>
        <v/>
      </c>
      <c r="D98" s="176">
        <f>D36*D89/D90*2</f>
        <v/>
      </c>
      <c r="E98" s="176">
        <f>E36*E89/E90*2</f>
        <v/>
      </c>
      <c r="F98" s="176">
        <f>F36*F89/F90*2</f>
        <v/>
      </c>
      <c r="G98" s="176">
        <f>G36*G89/G90*2</f>
        <v/>
      </c>
      <c r="N98" s="101" t="n"/>
      <c r="O98" s="101" t="n"/>
      <c r="P98" s="101" t="n"/>
      <c r="Q98" s="101" t="n"/>
      <c r="R98" s="101" t="n"/>
      <c r="S98" s="101" t="n"/>
      <c r="T98" s="101" t="n"/>
    </row>
    <row r="99" ht="12.75" customFormat="1" customHeight="1" s="101">
      <c r="A99" s="164" t="inlineStr">
        <is>
          <t>year</t>
        </is>
      </c>
      <c r="B99" s="164" t="n">
        <v>0</v>
      </c>
      <c r="C99" s="164" t="n">
        <v>1</v>
      </c>
      <c r="D99" s="164" t="n">
        <v>2</v>
      </c>
      <c r="E99" s="164" t="n">
        <v>3</v>
      </c>
      <c r="F99" s="164" t="n">
        <v>4</v>
      </c>
      <c r="G99" s="164" t="n">
        <v>5</v>
      </c>
      <c r="N99" s="101" t="n"/>
      <c r="O99" s="101" t="n"/>
      <c r="P99" s="101" t="n"/>
      <c r="Q99" s="101" t="n"/>
      <c r="R99" s="101" t="n"/>
      <c r="S99" s="101" t="n"/>
      <c r="T99" s="101" t="n"/>
    </row>
    <row r="100" ht="13.5" customFormat="1" customHeight="1" s="101">
      <c r="I100" s="169" t="n"/>
      <c r="N100" s="101" t="n"/>
      <c r="O100" s="101" t="n"/>
      <c r="P100" s="101" t="n"/>
      <c r="Q100" s="101" t="n"/>
      <c r="R100" s="101" t="n"/>
      <c r="S100" s="101" t="n"/>
      <c r="T100" s="101" t="n"/>
    </row>
    <row r="101" ht="12.75" customFormat="1" customHeight="1" s="101">
      <c r="G101" s="101">
        <f>-LN(G93)</f>
        <v/>
      </c>
      <c r="N101" s="101" t="n"/>
      <c r="O101" s="101" t="n"/>
      <c r="P101" s="101" t="n"/>
      <c r="Q101" s="101" t="n"/>
      <c r="R101" s="101" t="n"/>
      <c r="S101" s="101" t="n"/>
      <c r="T101" s="101" t="n"/>
    </row>
    <row r="102" ht="12.75" customFormat="1" customHeight="1" s="101">
      <c r="F102" s="101">
        <f>-LN(F94)</f>
        <v/>
      </c>
      <c r="G102" s="101">
        <f>-LN(G94)</f>
        <v/>
      </c>
      <c r="N102" s="101" t="n"/>
      <c r="O102" s="101" t="n"/>
      <c r="P102" s="101" t="n"/>
      <c r="Q102" s="101" t="n"/>
      <c r="R102" s="101" t="n"/>
      <c r="S102" s="101" t="n"/>
      <c r="T102" s="101" t="n"/>
    </row>
    <row r="103" ht="12.75" customFormat="1" customHeight="1" s="101">
      <c r="E103" s="101">
        <f>-LN(E95)</f>
        <v/>
      </c>
      <c r="F103" s="101">
        <f>-LN(F95)</f>
        <v/>
      </c>
      <c r="G103" s="101">
        <f>-LN(G95)</f>
        <v/>
      </c>
      <c r="N103" s="101" t="n"/>
      <c r="O103" s="101" t="n"/>
      <c r="P103" s="101" t="n"/>
      <c r="Q103" s="101" t="n"/>
      <c r="R103" s="101" t="n"/>
      <c r="S103" s="101" t="n"/>
      <c r="T103" s="101" t="n"/>
    </row>
    <row r="104" ht="12.75" customFormat="1" customHeight="1" s="101">
      <c r="D104" s="101">
        <f>-LN(D96)</f>
        <v/>
      </c>
      <c r="E104" s="101">
        <f>-LN(E96)</f>
        <v/>
      </c>
      <c r="F104" s="101">
        <f>-LN(F96)</f>
        <v/>
      </c>
      <c r="G104" s="101">
        <f>-LN(G96)</f>
        <v/>
      </c>
      <c r="N104" s="101" t="n"/>
      <c r="O104" s="101" t="n"/>
      <c r="P104" s="101" t="n"/>
      <c r="Q104" s="101" t="n"/>
      <c r="R104" s="101" t="n"/>
      <c r="S104" s="101" t="n"/>
      <c r="T104" s="101" t="n"/>
    </row>
    <row r="105" ht="12.75" customFormat="1" customHeight="1" s="101">
      <c r="C105" s="101">
        <f>-LN(C97)</f>
        <v/>
      </c>
      <c r="D105" s="101">
        <f>-LN(D97)</f>
        <v/>
      </c>
      <c r="E105" s="101">
        <f>-LN(E97)</f>
        <v/>
      </c>
      <c r="F105" s="101">
        <f>-LN(F97)</f>
        <v/>
      </c>
      <c r="G105" s="101">
        <f>-LN(G97)</f>
        <v/>
      </c>
      <c r="N105" s="101" t="n"/>
      <c r="O105" s="101" t="n"/>
      <c r="P105" s="101" t="n"/>
      <c r="Q105" s="101" t="n"/>
      <c r="R105" s="101" t="n"/>
      <c r="S105" s="101" t="n"/>
      <c r="T105" s="101" t="n"/>
    </row>
    <row r="106" ht="12.75" customFormat="1" customHeight="1" s="101">
      <c r="A106" s="101" t="inlineStr">
        <is>
          <t>Interest rate lattice</t>
        </is>
      </c>
      <c r="B106" s="101">
        <f>-LN(B98)</f>
        <v/>
      </c>
      <c r="C106" s="101">
        <f>-LN(C98)</f>
        <v/>
      </c>
      <c r="D106" s="101">
        <f>-LN(D98)</f>
        <v/>
      </c>
      <c r="E106" s="101">
        <f>-LN(E98)</f>
        <v/>
      </c>
      <c r="F106" s="101">
        <f>-LN(F98)</f>
        <v/>
      </c>
      <c r="G106" s="101">
        <f>-LN(G98)</f>
        <v/>
      </c>
      <c r="N106" s="101" t="n"/>
      <c r="O106" s="101" t="n"/>
      <c r="P106" s="101" t="n"/>
      <c r="Q106" s="101" t="n"/>
      <c r="R106" s="101" t="n"/>
      <c r="S106" s="101" t="n"/>
      <c r="T106" s="101" t="n"/>
    </row>
    <row r="107" ht="12.75" customFormat="1" customHeight="1" s="101">
      <c r="A107" s="164" t="inlineStr">
        <is>
          <t>year</t>
        </is>
      </c>
      <c r="B107" s="164" t="n">
        <v>0</v>
      </c>
      <c r="C107" s="164" t="n">
        <v>1</v>
      </c>
      <c r="D107" s="164" t="n">
        <v>2</v>
      </c>
      <c r="E107" s="164" t="n">
        <v>3</v>
      </c>
      <c r="F107" s="164" t="n">
        <v>4</v>
      </c>
      <c r="G107" s="164" t="n">
        <v>5</v>
      </c>
      <c r="N107" s="101" t="n"/>
      <c r="O107" s="101" t="n"/>
      <c r="P107" s="101" t="n"/>
      <c r="Q107" s="101" t="n"/>
      <c r="R107" s="101" t="n"/>
      <c r="S107" s="101" t="n"/>
      <c r="T107" s="101" t="n"/>
    </row>
    <row r="108" ht="12.75" customFormat="1" customHeight="1" s="101">
      <c r="N108" s="101" t="n"/>
      <c r="O108" s="101" t="n"/>
      <c r="P108" s="101" t="n"/>
      <c r="Q108" s="101" t="n"/>
      <c r="R108" s="101" t="n"/>
      <c r="S108" s="101" t="n"/>
      <c r="T108" s="101" t="n"/>
    </row>
    <row r="109" ht="12.75" customFormat="1" customHeight="1" s="101">
      <c r="G109" s="101">
        <f>(G101-G102)/(2*G$31)</f>
        <v/>
      </c>
      <c r="N109" s="101" t="n"/>
      <c r="O109" s="101" t="n"/>
      <c r="P109" s="101" t="n"/>
      <c r="Q109" s="101" t="n"/>
      <c r="R109" s="101" t="n"/>
      <c r="S109" s="101" t="n"/>
      <c r="T109" s="101" t="n"/>
    </row>
    <row r="110" ht="12.75" customFormat="1" customHeight="1" s="101">
      <c r="F110" s="101">
        <f>(F102-F103)/(2*F$31)</f>
        <v/>
      </c>
      <c r="G110" s="101">
        <f>(G102-G103)/(2*G$31)</f>
        <v/>
      </c>
      <c r="N110" s="101" t="n"/>
      <c r="O110" s="101" t="n"/>
      <c r="P110" s="101" t="n"/>
      <c r="Q110" s="101" t="n"/>
      <c r="R110" s="101" t="n"/>
      <c r="S110" s="101" t="n"/>
      <c r="T110" s="101" t="n"/>
    </row>
    <row r="111" ht="12.75" customFormat="1" customHeight="1" s="101">
      <c r="E111" s="101">
        <f>(E103-E104)/(2*E$31)</f>
        <v/>
      </c>
      <c r="F111" s="101">
        <f>(F103-F104)/(2*F$31)</f>
        <v/>
      </c>
      <c r="G111" s="101">
        <f>(G103-G104)/(2*G$31)</f>
        <v/>
      </c>
      <c r="N111" s="101" t="n"/>
      <c r="O111" s="101" t="n"/>
      <c r="P111" s="101" t="n"/>
      <c r="Q111" s="101" t="n"/>
      <c r="R111" s="101" t="n"/>
      <c r="S111" s="101" t="n"/>
      <c r="T111" s="101" t="n"/>
    </row>
    <row r="112" ht="12.75" customFormat="1" customHeight="1" s="101">
      <c r="D112" s="101">
        <f>(D104-D105)/(2*D$31)</f>
        <v/>
      </c>
      <c r="E112" s="101">
        <f>(E104-E105)/(2*E$31)</f>
        <v/>
      </c>
      <c r="F112" s="101">
        <f>(F104-F105)/(2*F$31)</f>
        <v/>
      </c>
      <c r="G112" s="101">
        <f>(G104-G105)/(2*G$31)</f>
        <v/>
      </c>
      <c r="N112" s="101" t="n"/>
      <c r="O112" s="101" t="n"/>
      <c r="P112" s="101" t="n"/>
      <c r="Q112" s="101" t="n"/>
      <c r="R112" s="101" t="n"/>
      <c r="S112" s="101" t="n"/>
      <c r="T112" s="101" t="n"/>
    </row>
    <row r="113" ht="12.75" customFormat="1" customHeight="1" s="101">
      <c r="A113" s="101" t="inlineStr">
        <is>
          <t>Time-varying forward volatility lattice</t>
        </is>
      </c>
      <c r="C113" s="101">
        <f>(C105-C106)/(2*C$31)</f>
        <v/>
      </c>
      <c r="D113" s="101">
        <f>(D105-D106)/(2*D$31)</f>
        <v/>
      </c>
      <c r="E113" s="101">
        <f>(E105-E106)/(2*E$31)</f>
        <v/>
      </c>
      <c r="F113" s="101">
        <f>(F105-F106)/(2*F$31)</f>
        <v/>
      </c>
      <c r="G113" s="101">
        <f>(G105-G106)/(2*G$31)</f>
        <v/>
      </c>
      <c r="N113" s="101" t="n"/>
      <c r="O113" s="101" t="n"/>
      <c r="P113" s="101" t="n"/>
      <c r="Q113" s="101" t="n"/>
      <c r="R113" s="101" t="n"/>
      <c r="S113" s="101" t="n"/>
      <c r="T113" s="101" t="n"/>
    </row>
    <row r="114" ht="12.75" customFormat="1" customHeight="1" s="101">
      <c r="A114" s="164" t="inlineStr">
        <is>
          <t>year</t>
        </is>
      </c>
      <c r="B114" s="164" t="n">
        <v>0</v>
      </c>
      <c r="C114" s="164" t="n">
        <v>1</v>
      </c>
      <c r="D114" s="164" t="n">
        <v>2</v>
      </c>
      <c r="E114" s="164" t="n">
        <v>3</v>
      </c>
      <c r="F114" s="164" t="n">
        <v>4</v>
      </c>
      <c r="G114" s="164" t="n">
        <v>5</v>
      </c>
      <c r="N114" s="101" t="n"/>
      <c r="O114" s="101" t="n"/>
      <c r="P114" s="101" t="n"/>
      <c r="Q114" s="101" t="n"/>
      <c r="R114" s="101" t="n"/>
      <c r="S114" s="101" t="n"/>
      <c r="T114" s="101" t="n"/>
    </row>
  </sheetData>
  <hyperlinks>
    <hyperlink xmlns:r="http://schemas.openxmlformats.org/officeDocument/2006/relationships" ref="B7" display="leesb@hanyang.ac.kr" r:id="rId1"/>
    <hyperlink xmlns:r="http://schemas.openxmlformats.org/officeDocument/2006/relationships" ref="B23" display="http://www.federalreserve.gov/" r:id="rId2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F1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I15" activeCellId="0" sqref="I15"/>
    </sheetView>
  </sheetViews>
  <sheetFormatPr baseColWidth="8" defaultColWidth="8.87890625" defaultRowHeight="12.75" zeroHeight="0" outlineLevelRow="0"/>
  <cols>
    <col width="30.32" customWidth="1" style="160" min="1" max="1"/>
    <col width="6.66" customWidth="1" style="161" min="2" max="4"/>
    <col width="6.55" customWidth="1" style="161" min="5" max="6"/>
    <col width="6.99" customWidth="1" style="161" min="7" max="7"/>
    <col width="6.77" customWidth="1" style="161" min="8" max="8"/>
    <col width="6.55" customWidth="1" style="161" min="9" max="10"/>
    <col width="6.99" customWidth="1" style="161" min="11" max="12"/>
    <col width="5.99" customWidth="1" style="161" min="13" max="13"/>
    <col width="8.880000000000001" customWidth="1" style="161" min="14" max="257"/>
  </cols>
  <sheetData>
    <row r="1" ht="12.75" customFormat="1" customHeight="1" s="99">
      <c r="A1" s="100" t="inlineStr">
        <is>
          <t>Interest Only and Principal Only</t>
        </is>
      </c>
      <c r="D1" s="99" t="inlineStr">
        <is>
          <t>© copyright THC 2003</t>
        </is>
      </c>
      <c r="K1" s="99" t="inlineStr">
        <is>
          <t>All rights reserved by Thomas Ho Company, NY, NY</t>
        </is>
      </c>
    </row>
    <row r="2" ht="12.75" customFormat="1" customHeight="1" s="101">
      <c r="A2" s="102" t="inlineStr">
        <is>
          <t>reference number</t>
        </is>
      </c>
      <c r="B2" s="101" t="inlineStr">
        <is>
          <t># 71</t>
        </is>
      </c>
      <c r="C2" s="103" t="inlineStr">
        <is>
          <t>classification#</t>
        </is>
      </c>
      <c r="D2" s="101" t="n">
        <v>100302</v>
      </c>
      <c r="E2" s="104" t="n"/>
    </row>
    <row r="3" ht="12.75" customFormat="1" customHeight="1" s="101">
      <c r="A3" s="102" t="inlineStr">
        <is>
          <t>Version</t>
        </is>
      </c>
      <c r="B3" s="105" t="n">
        <v>1</v>
      </c>
      <c r="C3" s="102" t="inlineStr">
        <is>
          <t>level</t>
        </is>
      </c>
      <c r="D3" s="106" t="inlineStr">
        <is>
          <t>advanced</t>
        </is>
      </c>
      <c r="F3" s="107" t="inlineStr">
        <is>
          <t>Instructions</t>
        </is>
      </c>
      <c r="G3" s="108" t="n"/>
      <c r="H3" s="108" t="n"/>
      <c r="I3" s="108" t="n"/>
      <c r="J3" s="108" t="n"/>
      <c r="K3" s="108" t="n"/>
      <c r="L3" s="108" t="n"/>
      <c r="M3" s="108" t="n"/>
      <c r="N3" s="108" t="n"/>
      <c r="O3" s="108" t="n"/>
      <c r="P3" s="108" t="n"/>
      <c r="Q3" s="108" t="n"/>
      <c r="R3" s="108" t="n"/>
      <c r="S3" s="109" t="n"/>
    </row>
    <row r="4" ht="12.75" customFormat="1" customHeight="1" s="101">
      <c r="A4" s="102" t="inlineStr">
        <is>
          <t>publication date</t>
        </is>
      </c>
      <c r="B4" s="110" t="n">
        <v>37774</v>
      </c>
      <c r="F4" s="111" t="inlineStr">
        <is>
          <t xml:space="preserve">The sum of the principal only and the interest only is the callable bond at each node of the binomial lattice. </t>
        </is>
      </c>
      <c r="G4" s="112" t="n"/>
      <c r="H4" s="112" t="n"/>
      <c r="I4" s="112" t="n"/>
      <c r="J4" s="112" t="n"/>
      <c r="K4" s="112" t="n"/>
      <c r="L4" s="112" t="n"/>
      <c r="M4" s="112" t="n"/>
      <c r="N4" s="112" t="n"/>
      <c r="O4" s="112" t="n"/>
      <c r="P4" s="112" t="n"/>
      <c r="Q4" s="112" t="n"/>
      <c r="R4" s="112" t="n"/>
      <c r="S4" s="113" t="n"/>
    </row>
    <row r="5" ht="12.75" customFormat="1" customHeight="1" s="101">
      <c r="A5" s="102" t="inlineStr">
        <is>
          <t>author</t>
        </is>
      </c>
      <c r="B5" s="106" t="inlineStr">
        <is>
          <t>Hanyang Financial Engineering Lab.</t>
        </is>
      </c>
      <c r="C5" s="106" t="n"/>
      <c r="D5" s="106" t="n"/>
      <c r="E5" s="106" t="n"/>
      <c r="F5" s="114" t="n"/>
      <c r="G5" s="112" t="n"/>
      <c r="H5" s="112" t="n"/>
      <c r="I5" s="112" t="n"/>
      <c r="J5" s="112" t="n"/>
      <c r="K5" s="112" t="n"/>
      <c r="L5" s="112" t="n"/>
      <c r="M5" s="112" t="n"/>
      <c r="N5" s="112" t="n"/>
      <c r="O5" s="112" t="n"/>
      <c r="P5" s="112" t="n"/>
      <c r="Q5" s="112" t="n"/>
      <c r="R5" s="112" t="n"/>
      <c r="S5" s="113" t="n"/>
    </row>
    <row r="6" ht="12.75" customFormat="1" customHeight="1" s="101">
      <c r="A6" s="102" t="inlineStr">
        <is>
          <t>affiliation</t>
        </is>
      </c>
      <c r="B6" s="106" t="inlineStr">
        <is>
          <t>Hanyang University</t>
        </is>
      </c>
      <c r="C6" s="106" t="n"/>
      <c r="D6" s="106" t="n"/>
      <c r="F6" s="115" t="n"/>
      <c r="G6" s="116" t="n"/>
      <c r="H6" s="116" t="n"/>
      <c r="I6" s="116" t="n"/>
      <c r="J6" s="116" t="n"/>
      <c r="K6" s="116" t="n"/>
      <c r="L6" s="116" t="n"/>
      <c r="M6" s="116" t="n"/>
      <c r="N6" s="116" t="n"/>
      <c r="O6" s="116" t="n"/>
      <c r="P6" s="116" t="n"/>
      <c r="Q6" s="116" t="n"/>
      <c r="R6" s="116" t="n"/>
      <c r="S6" s="117" t="n"/>
    </row>
    <row r="7" ht="12.75" customFormat="1" customHeight="1" s="101">
      <c r="A7" s="102" t="inlineStr">
        <is>
          <t>email address</t>
        </is>
      </c>
      <c r="B7" s="118" t="inlineStr">
        <is>
          <t>leesb@hanyang.ac.kr</t>
        </is>
      </c>
      <c r="C7" s="118" t="n"/>
      <c r="D7" s="118" t="n"/>
      <c r="E7" s="119" t="n"/>
      <c r="F7" s="120" t="inlineStr">
        <is>
          <t>input</t>
        </is>
      </c>
      <c r="G7" s="121" t="inlineStr">
        <is>
          <t>initial yield curve, lognormal spot volatility of interest rate, the number of partitions, time to maturity at each node, face value, call price, coupon rate, and bond maturity</t>
        </is>
      </c>
      <c r="H7" s="122" t="n"/>
      <c r="I7" s="122" t="n"/>
      <c r="J7" s="122" t="n"/>
      <c r="K7" s="122" t="n"/>
      <c r="L7" s="122" t="n"/>
      <c r="M7" s="122" t="n"/>
      <c r="N7" s="123" t="n"/>
      <c r="O7" s="123" t="n"/>
      <c r="P7" s="123" t="n"/>
      <c r="Q7" s="123" t="n"/>
      <c r="R7" s="123" t="n"/>
      <c r="S7" s="124" t="n"/>
    </row>
    <row r="8" ht="12.75" customFormat="1" customHeight="1" s="101">
      <c r="A8" s="102" t="inlineStr">
        <is>
          <t>last revised date</t>
        </is>
      </c>
      <c r="B8" s="125" t="n">
        <v>37952</v>
      </c>
      <c r="C8" s="119" t="n"/>
      <c r="D8" s="119" t="n"/>
      <c r="E8" s="119" t="n"/>
      <c r="F8" s="126" t="inlineStr">
        <is>
          <t>output</t>
        </is>
      </c>
      <c r="G8" s="127" t="inlineStr">
        <is>
          <t>principal only lattice, interest only lattice</t>
        </is>
      </c>
      <c r="H8" s="128" t="n"/>
      <c r="I8" s="128" t="n"/>
      <c r="J8" s="128" t="n"/>
      <c r="K8" s="128" t="n"/>
      <c r="L8" s="128" t="n"/>
      <c r="M8" s="128" t="n"/>
      <c r="N8" s="128" t="n"/>
      <c r="O8" s="128" t="n"/>
      <c r="P8" s="128" t="n"/>
      <c r="Q8" s="128" t="n"/>
      <c r="R8" s="128" t="n"/>
      <c r="S8" s="129" t="n"/>
    </row>
    <row r="9" ht="12.75" customFormat="1" customHeight="1" s="101">
      <c r="A9" s="102" t="inlineStr">
        <is>
          <t>references</t>
        </is>
      </c>
      <c r="B9" s="119" t="inlineStr">
        <is>
          <t>Ch.10 of "The Oxford Guide to Financial Modeling" by Thomas S.Y. Ho and Sang Bin Lee, 2003, Oxford University Press</t>
        </is>
      </c>
      <c r="C9" s="119" t="n"/>
      <c r="D9" s="119" t="n"/>
      <c r="E9" s="119" t="n"/>
      <c r="F9" s="119" t="n"/>
      <c r="G9" s="106" t="n"/>
      <c r="H9" s="101" t="n"/>
      <c r="I9" s="101" t="n"/>
      <c r="J9" s="101" t="n"/>
      <c r="K9" s="101" t="n"/>
      <c r="L9" s="101" t="n"/>
      <c r="M9" s="101" t="n"/>
      <c r="N9" s="101" t="n"/>
      <c r="O9" s="101" t="n"/>
      <c r="P9" s="101" t="n"/>
      <c r="Q9" s="101" t="n"/>
      <c r="R9" s="101" t="n"/>
    </row>
    <row r="10" ht="12.75" customFormat="1" customHeight="1" s="101">
      <c r="A10" s="102" t="n"/>
      <c r="C10" s="119" t="n"/>
      <c r="D10" s="119" t="n"/>
      <c r="E10" s="119" t="n"/>
      <c r="F10" s="119" t="n"/>
      <c r="G10" s="106" t="n"/>
      <c r="H10" s="101" t="n"/>
      <c r="I10" s="101" t="n"/>
      <c r="J10" s="101" t="n"/>
      <c r="K10" s="101" t="n"/>
      <c r="L10" s="101" t="n"/>
      <c r="M10" s="101" t="n"/>
      <c r="N10" s="101" t="n"/>
      <c r="O10" s="101" t="n"/>
      <c r="P10" s="101" t="n"/>
      <c r="Q10" s="101" t="n"/>
      <c r="R10" s="101" t="n"/>
    </row>
    <row r="11" ht="12.75" customFormat="1" customHeight="1" s="130">
      <c r="A11" s="131" t="inlineStr">
        <is>
          <t>Descriptions</t>
        </is>
      </c>
      <c r="B11" s="132" t="n"/>
      <c r="C11" s="132" t="n"/>
      <c r="D11" s="132" t="n"/>
      <c r="E11" s="132" t="n"/>
      <c r="F11" s="132" t="n"/>
      <c r="G11" s="133" t="n"/>
    </row>
    <row r="12" ht="12.75" customFormat="1" customHeight="1" s="101">
      <c r="A12" s="134" t="n"/>
      <c r="B12" s="135" t="n"/>
      <c r="C12" s="135" t="n"/>
      <c r="D12" s="135" t="n"/>
      <c r="E12" s="135" t="n"/>
      <c r="F12" s="135" t="n"/>
      <c r="G12" s="106" t="n"/>
      <c r="H12" s="101" t="n"/>
      <c r="I12" s="101" t="n"/>
      <c r="J12" s="101" t="n"/>
      <c r="K12" s="101" t="n"/>
      <c r="L12" s="101" t="n"/>
      <c r="M12" s="101" t="n"/>
      <c r="N12" s="101" t="n"/>
      <c r="P12" s="101" t="n"/>
      <c r="Q12" s="101" t="n"/>
      <c r="R12" s="101" t="n"/>
    </row>
    <row r="13" ht="12.75" customFormat="1" customHeight="1" s="101">
      <c r="A13" s="136" t="inlineStr">
        <is>
          <t>financial model class</t>
        </is>
      </c>
      <c r="B13" s="137" t="inlineStr">
        <is>
          <t>the behavioral models</t>
        </is>
      </c>
      <c r="C13" s="137" t="n"/>
      <c r="D13" s="137" t="n"/>
      <c r="E13" s="137" t="n"/>
      <c r="F13" s="138" t="n"/>
      <c r="G13" s="101" t="n"/>
      <c r="H13" s="101" t="n"/>
      <c r="I13" s="101" t="n"/>
      <c r="J13" s="101" t="n"/>
      <c r="K13" s="101" t="n"/>
      <c r="L13" s="101" t="n"/>
      <c r="M13" s="101" t="n"/>
      <c r="N13" s="101" t="n"/>
      <c r="P13" s="101" t="n"/>
      <c r="Q13" s="101" t="n"/>
      <c r="R13" s="101" t="n"/>
    </row>
    <row r="14" ht="12.75" customFormat="1" customHeight="1" s="101">
      <c r="A14" s="139" t="inlineStr">
        <is>
          <t>issuer/modeler</t>
        </is>
      </c>
      <c r="B14" s="135" t="inlineStr">
        <is>
          <t>N/A</t>
        </is>
      </c>
      <c r="C14" s="135" t="n"/>
      <c r="D14" s="135" t="n"/>
      <c r="E14" s="135" t="n"/>
      <c r="F14" s="140" t="n"/>
      <c r="P14" s="101" t="n"/>
      <c r="Q14" s="101" t="n"/>
      <c r="R14" s="101" t="n"/>
    </row>
    <row r="15" ht="12.75" customFormat="1" customHeight="1" s="101">
      <c r="A15" s="139" t="inlineStr">
        <is>
          <t>model type</t>
        </is>
      </c>
      <c r="B15" s="135" t="inlineStr">
        <is>
          <t>Collateralized Mortgage Obligations</t>
        </is>
      </c>
      <c r="C15" s="135" t="n"/>
      <c r="D15" s="135" t="n"/>
      <c r="E15" s="135" t="n"/>
      <c r="F15" s="140" t="n"/>
      <c r="P15" s="101" t="n"/>
      <c r="Q15" s="101" t="n"/>
      <c r="R15" s="101" t="n"/>
    </row>
    <row r="16" ht="12.75" customFormat="1" customHeight="1" s="101">
      <c r="A16" s="139" t="inlineStr">
        <is>
          <t>risk sources</t>
        </is>
      </c>
      <c r="B16" s="135" t="inlineStr">
        <is>
          <t>interest rate</t>
        </is>
      </c>
      <c r="C16" s="135" t="n"/>
      <c r="D16" s="135" t="n"/>
      <c r="E16" s="135" t="n"/>
      <c r="F16" s="140" t="n"/>
      <c r="H16" s="101" t="n"/>
      <c r="I16" s="101" t="n"/>
      <c r="P16" s="101" t="n"/>
      <c r="Q16" s="101" t="n"/>
      <c r="R16" s="101" t="n"/>
    </row>
    <row r="17" ht="12.75" customFormat="1" customHeight="1" s="101">
      <c r="A17" s="139" t="inlineStr">
        <is>
          <t>risk distribution</t>
        </is>
      </c>
      <c r="B17" s="135" t="inlineStr">
        <is>
          <t>normal</t>
        </is>
      </c>
      <c r="C17" s="135" t="n"/>
      <c r="D17" s="135" t="n"/>
      <c r="E17" s="135" t="n"/>
      <c r="F17" s="140" t="n"/>
      <c r="H17" s="141" t="n"/>
      <c r="I17" s="101" t="n"/>
      <c r="P17" s="101" t="n"/>
      <c r="Q17" s="101" t="n"/>
      <c r="R17" s="101" t="n"/>
    </row>
    <row r="18" ht="12.75" customFormat="1" customHeight="1" s="101">
      <c r="A18" s="139" t="inlineStr">
        <is>
          <t>economic assumptions</t>
        </is>
      </c>
      <c r="B18" s="114" t="inlineStr">
        <is>
          <t>contingent claim model</t>
        </is>
      </c>
      <c r="C18" s="135" t="n"/>
      <c r="D18" s="135" t="n"/>
      <c r="E18" s="135" t="n"/>
      <c r="F18" s="140" t="n"/>
      <c r="P18" s="101" t="n"/>
      <c r="Q18" s="101" t="n"/>
      <c r="R18" s="101" t="n"/>
    </row>
    <row r="19" ht="12.75" customFormat="1" customHeight="1" s="101">
      <c r="A19" s="142" t="inlineStr">
        <is>
          <t>technical assumptions</t>
        </is>
      </c>
      <c r="B19" s="143" t="inlineStr">
        <is>
          <t>m=1</t>
        </is>
      </c>
      <c r="C19" s="143" t="n"/>
      <c r="D19" s="143" t="n"/>
      <c r="E19" s="143" t="n"/>
      <c r="F19" s="144" t="n"/>
      <c r="P19" s="101" t="n"/>
      <c r="Q19" s="101" t="n"/>
      <c r="R19" s="101" t="n"/>
    </row>
    <row r="20" ht="12.75" customFormat="1" customHeight="1" s="101">
      <c r="A20" s="102" t="inlineStr">
        <is>
          <t>key words</t>
        </is>
      </c>
      <c r="B20" s="135" t="inlineStr">
        <is>
          <t>arbitrage-free interest rate model, contingent claim</t>
        </is>
      </c>
      <c r="C20" s="135" t="n"/>
      <c r="D20" s="135" t="n"/>
      <c r="E20" s="135" t="n"/>
      <c r="F20" s="135" t="n"/>
      <c r="P20" s="101" t="n"/>
      <c r="Q20" s="101" t="n"/>
      <c r="R20" s="101" t="n"/>
    </row>
    <row r="21" ht="12.75" customFormat="1" customHeight="1" s="101">
      <c r="A21" s="102" t="n"/>
      <c r="B21" s="125" t="n"/>
      <c r="C21" s="125" t="n"/>
      <c r="D21" s="125" t="n"/>
      <c r="E21" s="125" t="n"/>
      <c r="L21" s="101" t="n"/>
      <c r="M21" s="101" t="n"/>
      <c r="N21" s="101" t="n"/>
      <c r="O21" s="101" t="n"/>
      <c r="P21" s="101" t="n"/>
      <c r="Q21" s="101" t="n"/>
      <c r="R21" s="101" t="n"/>
    </row>
    <row r="22" ht="12.75" customFormat="1" customHeight="1" s="130">
      <c r="A22" s="131" t="inlineStr">
        <is>
          <t>Links</t>
        </is>
      </c>
      <c r="B22" s="145" t="n"/>
      <c r="C22" s="145" t="n"/>
      <c r="D22" s="145" t="n"/>
      <c r="E22" s="145" t="n"/>
    </row>
    <row r="23" ht="12.75" customFormat="1" customHeight="1" s="101">
      <c r="A23" s="102" t="inlineStr">
        <is>
          <t>data</t>
        </is>
      </c>
      <c r="B23" s="146" t="inlineStr">
        <is>
          <t>http://www.federalreserve.gov/</t>
        </is>
      </c>
      <c r="C23" s="125" t="n"/>
      <c r="D23" s="125" t="n"/>
      <c r="E23" s="125" t="n"/>
      <c r="L23" s="101" t="n"/>
      <c r="M23" s="101" t="n"/>
      <c r="N23" s="101" t="n"/>
      <c r="O23" s="101" t="n"/>
      <c r="P23" s="101" t="n"/>
      <c r="Q23" s="101" t="n"/>
      <c r="R23" s="101" t="n"/>
    </row>
    <row r="24" ht="12.75" customFormat="1" customHeight="1" s="101">
      <c r="A24" s="102" t="inlineStr">
        <is>
          <t>financial models</t>
        </is>
      </c>
      <c r="B24" s="147" t="inlineStr">
        <is>
          <t>7. Bond Arithmetic, 8. Bond Model, 21. Extended Ho-Lee Model, 53. Callable Bond Model</t>
        </is>
      </c>
      <c r="C24" s="125" t="n"/>
      <c r="D24" s="125" t="n"/>
      <c r="E24" s="125" t="n"/>
      <c r="F24" s="101" t="n"/>
      <c r="G24" s="101" t="n"/>
    </row>
    <row r="25" ht="12.75" customFormat="1" customHeight="1" s="101">
      <c r="A25" s="102" t="n"/>
      <c r="B25" s="118" t="n"/>
      <c r="C25" s="101" t="n"/>
      <c r="D25" s="101" t="n"/>
      <c r="E25" s="101" t="n"/>
      <c r="F25" s="101" t="n"/>
      <c r="G25" s="101" t="n"/>
    </row>
    <row r="26" ht="12.75" customFormat="1" customHeight="1" s="99">
      <c r="A26" s="100" t="inlineStr">
        <is>
          <t>Inputs</t>
        </is>
      </c>
      <c r="B26" s="100" t="n"/>
      <c r="N26" s="99" t="n"/>
      <c r="O26" s="99" t="n"/>
      <c r="P26" s="99" t="n"/>
      <c r="Q26" s="99" t="n"/>
      <c r="R26" s="99" t="n"/>
      <c r="S26" s="99" t="n"/>
      <c r="T26" s="99" t="n"/>
    </row>
    <row r="27" ht="12.75" customFormat="1" customHeight="1" s="162">
      <c r="A27" s="163" t="n"/>
      <c r="B27" s="163" t="n"/>
      <c r="N27" s="162" t="n"/>
      <c r="O27" s="162" t="n"/>
      <c r="P27" s="162" t="n"/>
      <c r="Q27" s="162" t="n"/>
      <c r="R27" s="162" t="n"/>
      <c r="S27" s="162" t="n"/>
      <c r="T27" s="162" t="n"/>
    </row>
    <row r="28" ht="12.75" customFormat="1" customHeight="1" s="101">
      <c r="A28" s="164" t="inlineStr">
        <is>
          <t>year</t>
        </is>
      </c>
      <c r="B28" s="164" t="n">
        <v>0</v>
      </c>
      <c r="C28" s="164" t="n">
        <v>1</v>
      </c>
      <c r="D28" s="164" t="n">
        <v>2</v>
      </c>
      <c r="E28" s="164" t="n">
        <v>3</v>
      </c>
      <c r="F28" s="164" t="n">
        <v>4</v>
      </c>
      <c r="G28" s="164" t="n">
        <v>5</v>
      </c>
      <c r="H28" s="164" t="n">
        <v>6</v>
      </c>
      <c r="I28" s="164" t="n">
        <v>7</v>
      </c>
      <c r="J28" s="164" t="n">
        <v>8</v>
      </c>
      <c r="K28" s="164" t="n">
        <v>9</v>
      </c>
      <c r="L28" s="164" t="n">
        <v>10</v>
      </c>
      <c r="M28" s="101" t="n"/>
      <c r="N28" s="101" t="n"/>
      <c r="O28" s="101" t="n"/>
      <c r="P28" s="101" t="n"/>
      <c r="Q28" s="101" t="n"/>
      <c r="R28" s="101" t="n"/>
      <c r="S28" s="101" t="n"/>
      <c r="T28" s="101" t="n"/>
      <c r="U28" s="101" t="n"/>
      <c r="V28" s="101" t="n"/>
      <c r="W28" s="101" t="n"/>
      <c r="X28" s="101" t="n"/>
      <c r="Y28" s="101" t="n"/>
      <c r="Z28" s="101" t="n"/>
      <c r="AA28" s="101" t="n"/>
      <c r="AB28" s="101" t="n"/>
      <c r="AC28" s="101" t="n"/>
      <c r="AD28" s="101" t="n"/>
      <c r="AE28" s="101" t="n"/>
      <c r="AF28" s="101" t="n"/>
    </row>
    <row r="29" ht="12.75" customFormat="1" customHeight="1" s="101">
      <c r="A29" s="165" t="inlineStr">
        <is>
          <t>initial yield curve (continuous compounding)</t>
        </is>
      </c>
      <c r="B29" s="166" t="n">
        <v>0.046</v>
      </c>
      <c r="C29" s="166" t="n">
        <v>0.046</v>
      </c>
      <c r="D29" s="166" t="n">
        <v>0.046</v>
      </c>
      <c r="E29" s="166" t="n">
        <v>0.046</v>
      </c>
      <c r="F29" s="166" t="n">
        <v>0.046</v>
      </c>
      <c r="G29" s="166" t="n">
        <v>0.046</v>
      </c>
      <c r="H29" s="166" t="n">
        <v>0.046</v>
      </c>
      <c r="I29" s="166" t="n">
        <v>0.046</v>
      </c>
      <c r="J29" s="166" t="n">
        <v>0.046</v>
      </c>
      <c r="K29" s="166" t="n">
        <v>0.046</v>
      </c>
      <c r="L29" s="166" t="n">
        <v>0.046</v>
      </c>
    </row>
    <row r="30" ht="12.75" customFormat="1" customHeight="1" s="162">
      <c r="A30" s="165" t="inlineStr">
        <is>
          <t>initial discount function p(n)</t>
        </is>
      </c>
      <c r="B30" s="167">
        <f>EXP(-B29*B28)</f>
        <v/>
      </c>
      <c r="C30" s="167">
        <f>EXP(-C29*C28)</f>
        <v/>
      </c>
      <c r="D30" s="167">
        <f>EXP(-D29*D28)</f>
        <v/>
      </c>
      <c r="E30" s="167">
        <f>EXP(-E29*E28)</f>
        <v/>
      </c>
      <c r="F30" s="167">
        <f>EXP(-F29*F28)</f>
        <v/>
      </c>
      <c r="G30" s="167">
        <f>EXP(-G29*G28)</f>
        <v/>
      </c>
      <c r="H30" s="167">
        <f>EXP(-H29*H28)</f>
        <v/>
      </c>
      <c r="I30" s="167">
        <f>EXP(-I29*I28)</f>
        <v/>
      </c>
      <c r="J30" s="167">
        <f>EXP(-J29*J28)</f>
        <v/>
      </c>
      <c r="K30" s="167">
        <f>EXP(-K29*K28)</f>
        <v/>
      </c>
      <c r="L30" s="167">
        <f>EXP(-L29*L28)</f>
        <v/>
      </c>
      <c r="M30" s="167" t="n"/>
      <c r="N30" s="167" t="n"/>
      <c r="O30" s="167" t="n"/>
      <c r="P30" s="167" t="n"/>
      <c r="Q30" s="167" t="n"/>
      <c r="R30" s="167" t="n"/>
      <c r="S30" s="167" t="n"/>
      <c r="T30" s="167" t="n"/>
      <c r="U30" s="167" t="n"/>
      <c r="V30" s="167" t="n"/>
      <c r="W30" s="167" t="n"/>
      <c r="X30" s="167" t="n"/>
      <c r="Y30" s="167" t="n"/>
      <c r="Z30" s="167" t="n"/>
      <c r="AA30" s="167" t="n"/>
      <c r="AB30" s="167" t="n"/>
      <c r="AC30" s="167" t="n"/>
      <c r="AD30" s="167" t="n"/>
      <c r="AE30" s="167" t="n"/>
      <c r="AF30" s="167" t="n"/>
    </row>
    <row r="31" ht="12.75" customFormat="1" customHeight="1" s="101">
      <c r="A31" s="165" t="inlineStr">
        <is>
          <t xml:space="preserve">forward curve </t>
        </is>
      </c>
      <c r="B31" s="168">
        <f>-LN(C30/B30)</f>
        <v/>
      </c>
      <c r="C31" s="168">
        <f>-LN(D30/C30)</f>
        <v/>
      </c>
      <c r="D31" s="168">
        <f>-LN(E30/D30)</f>
        <v/>
      </c>
      <c r="E31" s="168">
        <f>-LN(F30/E30)</f>
        <v/>
      </c>
      <c r="F31" s="168">
        <f>-LN(G30/F30)</f>
        <v/>
      </c>
      <c r="G31" s="168">
        <f>-LN(H30/G30)</f>
        <v/>
      </c>
      <c r="H31" s="168">
        <f>-LN(I30/H30)</f>
        <v/>
      </c>
      <c r="I31" s="168">
        <f>-LN(J30/I30)</f>
        <v/>
      </c>
      <c r="J31" s="168">
        <f>-LN(K30/J30)</f>
        <v/>
      </c>
      <c r="K31" s="168">
        <f>-LN(L30/K30)</f>
        <v/>
      </c>
      <c r="L31" s="168" t="n"/>
      <c r="M31" s="168" t="n"/>
      <c r="N31" s="168" t="n"/>
      <c r="O31" s="168" t="n"/>
      <c r="P31" s="168" t="n"/>
      <c r="Q31" s="168" t="n"/>
      <c r="R31" s="168" t="n"/>
      <c r="S31" s="168" t="n"/>
      <c r="T31" s="168" t="n"/>
      <c r="U31" s="168" t="n"/>
      <c r="V31" s="168" t="n"/>
      <c r="W31" s="168" t="n"/>
      <c r="X31" s="168" t="n"/>
      <c r="Y31" s="168" t="n"/>
      <c r="Z31" s="168" t="n"/>
      <c r="AA31" s="168" t="n"/>
      <c r="AB31" s="168" t="n"/>
      <c r="AC31" s="168" t="n"/>
      <c r="AD31" s="168" t="n"/>
      <c r="AE31" s="168" t="n"/>
      <c r="AF31" s="168" t="n"/>
    </row>
    <row r="32" ht="14.25" customFormat="1" customHeight="1" s="101">
      <c r="A32" s="101" t="inlineStr">
        <is>
          <t>lognormal spot volatility (σS)</t>
        </is>
      </c>
      <c r="B32" s="122" t="n">
        <v>0</v>
      </c>
      <c r="C32" s="122" t="n">
        <v>0.1</v>
      </c>
      <c r="D32" s="122" t="n">
        <v>0.095</v>
      </c>
      <c r="E32" s="122" t="n">
        <v>0.09</v>
      </c>
      <c r="F32" s="122" t="n">
        <v>0.08500000000000001</v>
      </c>
      <c r="G32" s="122" t="n">
        <v>0.08</v>
      </c>
      <c r="H32" s="122" t="n">
        <v>0.075</v>
      </c>
      <c r="I32" s="122" t="n">
        <v>0.07000000000000001</v>
      </c>
      <c r="J32" s="122" t="n">
        <v>0.065</v>
      </c>
      <c r="K32" s="122" t="n">
        <v>0.06</v>
      </c>
      <c r="L32" s="122" t="n">
        <v>0.055</v>
      </c>
    </row>
    <row r="33" ht="14.25" customFormat="1" customHeight="1" s="101">
      <c r="A33" s="101" t="inlineStr">
        <is>
          <t>lognormal forward volatility (σf)</t>
        </is>
      </c>
      <c r="B33" s="101" t="n">
        <v>0</v>
      </c>
      <c r="C33" s="101">
        <f>(C28*C29*C32-B28*B29*B32)/C31</f>
        <v/>
      </c>
      <c r="D33" s="101">
        <f>(D28*D29*D32-C28*C29*C32)/D31</f>
        <v/>
      </c>
      <c r="E33" s="101">
        <f>(E28*E29*E32-D28*D29*D32)/E31</f>
        <v/>
      </c>
      <c r="F33" s="101">
        <f>(F28*F29*F32-E28*E29*E32)/F31</f>
        <v/>
      </c>
      <c r="G33" s="101">
        <f>(G28*G29*G32-F28*F29*F32)/G31</f>
        <v/>
      </c>
      <c r="H33" s="101">
        <f>(H28*H29*H32-G28*G29*G32)/H31</f>
        <v/>
      </c>
      <c r="I33" s="101">
        <f>(I28*I29*I32-H28*H29*H32)/I31</f>
        <v/>
      </c>
      <c r="J33" s="101">
        <f>(J28*J29*J32-I28*I29*I32)/J31</f>
        <v/>
      </c>
      <c r="K33" s="101">
        <f>(K28*K29*K32-J28*J29*J32)/K31</f>
        <v/>
      </c>
    </row>
    <row r="34" ht="13.5" customFormat="1" customHeight="1" s="101">
      <c r="A34" s="101" t="inlineStr">
        <is>
          <t>the number of partitions (m)</t>
        </is>
      </c>
      <c r="B34" s="122" t="n">
        <v>1</v>
      </c>
      <c r="C34" s="169" t="n"/>
      <c r="N34" s="101" t="n"/>
      <c r="O34" s="101" t="n"/>
      <c r="P34" s="101" t="n"/>
      <c r="Q34" s="101" t="n"/>
      <c r="R34" s="101" t="n"/>
      <c r="S34" s="101" t="n"/>
      <c r="T34" s="101" t="n"/>
    </row>
    <row r="35" ht="12.75" customFormat="1" customHeight="1" s="101">
      <c r="A35" s="101" t="inlineStr">
        <is>
          <t>time to maturity (T) at each node</t>
        </is>
      </c>
      <c r="B35" s="122" t="n">
        <v>1</v>
      </c>
      <c r="N35" s="101" t="n"/>
      <c r="O35" s="101" t="n"/>
      <c r="P35" s="101" t="n"/>
      <c r="Q35" s="101" t="n"/>
      <c r="R35" s="101" t="n"/>
      <c r="S35" s="101" t="n"/>
      <c r="T35" s="101" t="n"/>
    </row>
    <row r="36" ht="12.75" customFormat="1" customHeight="1" s="101">
      <c r="A36" s="101" t="inlineStr">
        <is>
          <t>forward price</t>
        </is>
      </c>
      <c r="B36" s="167">
        <f>C30/B30</f>
        <v/>
      </c>
      <c r="C36" s="167">
        <f>D30/C30</f>
        <v/>
      </c>
      <c r="D36" s="167">
        <f>E30/D30</f>
        <v/>
      </c>
      <c r="E36" s="167">
        <f>F30/E30</f>
        <v/>
      </c>
      <c r="F36" s="167">
        <f>G30/F30</f>
        <v/>
      </c>
      <c r="G36" s="167">
        <f>H30/G30</f>
        <v/>
      </c>
      <c r="H36" s="167">
        <f>I30/H30</f>
        <v/>
      </c>
      <c r="I36" s="167">
        <f>J30/I30</f>
        <v/>
      </c>
      <c r="J36" s="167">
        <f>K30/J30</f>
        <v/>
      </c>
      <c r="K36" s="167">
        <f>L30/K30</f>
        <v/>
      </c>
      <c r="L36" s="167" t="n"/>
      <c r="M36" s="167" t="n"/>
      <c r="N36" s="167" t="n"/>
      <c r="O36" s="167" t="n"/>
      <c r="P36" s="167" t="n"/>
      <c r="Q36" s="167" t="n"/>
      <c r="R36" s="167" t="n"/>
      <c r="S36" s="167" t="n"/>
      <c r="T36" s="167" t="n"/>
      <c r="U36" s="167" t="n"/>
      <c r="V36" s="167" t="n"/>
      <c r="W36" s="167" t="n"/>
      <c r="X36" s="167" t="n"/>
      <c r="Y36" s="167" t="n"/>
      <c r="Z36" s="167" t="n"/>
      <c r="AA36" s="167" t="n"/>
      <c r="AB36" s="167" t="n"/>
      <c r="AC36" s="167" t="n"/>
      <c r="AD36" s="167" t="n"/>
      <c r="AE36" s="167" t="n"/>
      <c r="AF36" s="167" t="n"/>
    </row>
    <row r="37" ht="12.75" customFormat="1" customHeight="1" s="101">
      <c r="A37" s="101" t="inlineStr">
        <is>
          <t>delta (δ)</t>
        </is>
      </c>
      <c r="B37" s="170">
        <f>EXP(-2*B31*B33/SQRT($B$34))</f>
        <v/>
      </c>
      <c r="C37" s="170">
        <f>EXP(-2*C31*C33/SQRT($B$34))</f>
        <v/>
      </c>
      <c r="D37" s="170">
        <f>EXP(-2*D31*D33/SQRT($B$34))</f>
        <v/>
      </c>
      <c r="E37" s="170">
        <f>EXP(-2*E31*E33/SQRT($B$34))</f>
        <v/>
      </c>
      <c r="F37" s="170">
        <f>EXP(-2*F31*F33/SQRT($B$34))</f>
        <v/>
      </c>
      <c r="G37" s="170">
        <f>EXP(-2*G31*G33/SQRT($B$34))</f>
        <v/>
      </c>
      <c r="H37" s="170">
        <f>EXP(-2*H31*H33/SQRT($B$34))</f>
        <v/>
      </c>
      <c r="I37" s="170">
        <f>EXP(-2*I31*I33/SQRT($B$34))</f>
        <v/>
      </c>
      <c r="J37" s="170">
        <f>EXP(-2*J31*J33/SQRT($B$34))</f>
        <v/>
      </c>
      <c r="K37" s="170">
        <f>EXP(-2*K31*K33/SQRT($B$34))</f>
        <v/>
      </c>
      <c r="L37" s="170" t="n"/>
      <c r="M37" s="170" t="n"/>
      <c r="N37" s="170" t="n"/>
      <c r="O37" s="170" t="n"/>
      <c r="P37" s="170" t="n"/>
      <c r="Q37" s="170" t="n"/>
      <c r="R37" s="170" t="n"/>
      <c r="S37" s="170" t="n"/>
      <c r="T37" s="170" t="n"/>
      <c r="U37" s="170" t="n"/>
      <c r="V37" s="170" t="n"/>
      <c r="W37" s="170" t="n"/>
      <c r="X37" s="170" t="n"/>
      <c r="Y37" s="170" t="n"/>
      <c r="Z37" s="170" t="n"/>
      <c r="AA37" s="170" t="n"/>
      <c r="AB37" s="170" t="n"/>
      <c r="AC37" s="170" t="n"/>
      <c r="AD37" s="170" t="n"/>
      <c r="AE37" s="170" t="n"/>
      <c r="AF37" s="170" t="n"/>
    </row>
    <row r="38" ht="12.75" customFormat="1" customHeight="1" s="101">
      <c r="N38" s="101" t="n"/>
      <c r="O38" s="101" t="n"/>
      <c r="P38" s="101" t="n"/>
      <c r="Q38" s="101" t="n"/>
      <c r="R38" s="101" t="n"/>
      <c r="S38" s="101" t="n"/>
      <c r="T38" s="101" t="n"/>
    </row>
    <row r="39" ht="12.75" customFormat="1" customHeight="1" s="101">
      <c r="A39" s="101" t="inlineStr">
        <is>
          <t>face value</t>
        </is>
      </c>
      <c r="B39" s="122" t="n">
        <v>100</v>
      </c>
      <c r="N39" s="101" t="n"/>
      <c r="O39" s="101" t="n"/>
      <c r="P39" s="101" t="n"/>
      <c r="Q39" s="101" t="n"/>
      <c r="R39" s="101" t="n"/>
      <c r="S39" s="101" t="n"/>
      <c r="T39" s="101" t="n"/>
    </row>
    <row r="40" ht="12.75" customFormat="1" customHeight="1" s="101">
      <c r="A40" s="101" t="inlineStr">
        <is>
          <t>call price</t>
        </is>
      </c>
      <c r="B40" s="122" t="n">
        <v>100</v>
      </c>
      <c r="N40" s="101" t="n"/>
      <c r="O40" s="101" t="n"/>
      <c r="P40" s="101" t="n"/>
      <c r="Q40" s="101" t="n"/>
      <c r="R40" s="101" t="n"/>
      <c r="S40" s="101" t="n"/>
      <c r="T40" s="101" t="n"/>
    </row>
    <row r="41" ht="12.75" customFormat="1" customHeight="1" s="101">
      <c r="A41" s="101" t="inlineStr">
        <is>
          <t>coupon rate (annual compounding)</t>
        </is>
      </c>
      <c r="B41" s="122" t="n">
        <v>0.045</v>
      </c>
      <c r="N41" s="101" t="n"/>
      <c r="O41" s="101" t="n"/>
      <c r="P41" s="101" t="n"/>
      <c r="Q41" s="101" t="n"/>
      <c r="R41" s="101" t="n"/>
      <c r="S41" s="101" t="n"/>
      <c r="T41" s="101" t="n"/>
    </row>
    <row r="42" ht="12.75" customFormat="1" customHeight="1" s="101">
      <c r="A42" s="101" t="inlineStr">
        <is>
          <t>bond maturity</t>
        </is>
      </c>
      <c r="B42" s="122" t="n">
        <v>5</v>
      </c>
      <c r="N42" s="101" t="n"/>
      <c r="O42" s="101" t="n"/>
      <c r="P42" s="101" t="n"/>
      <c r="Q42" s="101" t="n"/>
      <c r="R42" s="101" t="n"/>
      <c r="S42" s="101" t="n"/>
      <c r="T42" s="101" t="n"/>
    </row>
    <row r="43" ht="12.75" customFormat="1" customHeight="1" s="101">
      <c r="N43" s="101" t="n"/>
      <c r="O43" s="101" t="n"/>
      <c r="P43" s="101" t="n"/>
      <c r="Q43" s="101" t="n"/>
      <c r="R43" s="101" t="n"/>
      <c r="S43" s="101" t="n"/>
      <c r="T43" s="101" t="n"/>
    </row>
    <row r="44" ht="12.75" customFormat="1" customHeight="1" s="99">
      <c r="A44" s="100" t="inlineStr">
        <is>
          <t>Outputs</t>
        </is>
      </c>
      <c r="B44" s="100" t="n"/>
      <c r="N44" s="99" t="n"/>
      <c r="O44" s="99" t="n"/>
      <c r="P44" s="99" t="n"/>
      <c r="Q44" s="99" t="n"/>
      <c r="R44" s="99" t="n"/>
      <c r="S44" s="99" t="n"/>
      <c r="T44" s="99" t="n"/>
    </row>
    <row r="45" ht="12.75" customFormat="1" customHeight="1" s="101">
      <c r="N45" s="101" t="n"/>
      <c r="O45" s="101" t="n"/>
      <c r="P45" s="101" t="n"/>
      <c r="Q45" s="101" t="n"/>
      <c r="R45" s="101" t="n"/>
      <c r="S45" s="101" t="n"/>
      <c r="T45" s="101" t="n"/>
    </row>
    <row r="46" ht="12.75" customFormat="1" customHeight="1" s="101">
      <c r="B46" s="171" t="n"/>
      <c r="C46" s="171" t="n"/>
      <c r="D46" s="171" t="n"/>
      <c r="E46" s="171" t="n"/>
      <c r="F46" s="171" t="n"/>
      <c r="G46" s="171">
        <f>$B$39</f>
        <v/>
      </c>
      <c r="N46" s="101" t="n"/>
      <c r="O46" s="101" t="n"/>
      <c r="P46" s="101" t="n"/>
      <c r="Q46" s="101" t="n"/>
      <c r="R46" s="101" t="n"/>
      <c r="S46" s="101" t="n"/>
      <c r="T46" s="101" t="n"/>
    </row>
    <row r="47" ht="12.75" customFormat="1" customHeight="1" s="101">
      <c r="B47" s="171" t="n"/>
      <c r="C47" s="171" t="n"/>
      <c r="D47" s="171" t="n"/>
      <c r="E47" s="171" t="n"/>
      <c r="F47" s="171">
        <f>IF(F48=0,0.5*(G46+G47)*F98,IF(0.5*(G70+G71)*F98&gt;$B$40,$B$40,0.5*(G46+G47)*F98))</f>
        <v/>
      </c>
      <c r="G47" s="171">
        <f>$B$39</f>
        <v/>
      </c>
      <c r="N47" s="101" t="n"/>
      <c r="O47" s="101" t="n"/>
      <c r="P47" s="101" t="n"/>
      <c r="Q47" s="101" t="n"/>
      <c r="R47" s="101" t="n"/>
      <c r="S47" s="101" t="n"/>
      <c r="T47" s="101" t="n"/>
    </row>
    <row r="48" ht="12.75" customFormat="1" customHeight="1" s="101">
      <c r="B48" s="171" t="n"/>
      <c r="C48" s="171" t="n"/>
      <c r="D48" s="171" t="n"/>
      <c r="E48" s="171">
        <f>IF(E49=0,0.5*(F47+F48)*E99,IF(0.5*(F71+F72)*E99&gt;$B$40,$B$40,0.5*(F47+F48)*E99))</f>
        <v/>
      </c>
      <c r="F48" s="171">
        <f>IF(F49=0,0.5*(G47+G48)*F99,IF(0.5*(G71+G72)*F99&gt;$B$40,$B$40,0.5*(G47+G48)*F99))</f>
        <v/>
      </c>
      <c r="G48" s="171">
        <f>$B$39</f>
        <v/>
      </c>
      <c r="N48" s="101" t="n"/>
      <c r="O48" s="101" t="n"/>
      <c r="P48" s="101" t="n"/>
      <c r="Q48" s="101" t="n"/>
      <c r="R48" s="101" t="n"/>
      <c r="S48" s="101" t="n"/>
      <c r="T48" s="101" t="n"/>
    </row>
    <row r="49" ht="12.75" customFormat="1" customHeight="1" s="101">
      <c r="B49" s="171" t="n"/>
      <c r="C49" s="171" t="n"/>
      <c r="D49" s="171">
        <f>IF(D50=0,0.5*(E48+E49)*D100,IF(0.5*(E72+E73)*D100&gt;$B$40,$B$40,0.5*(E48+E49)*D100))</f>
        <v/>
      </c>
      <c r="E49" s="171">
        <f>IF(E50=0,0.5*(F48+F49)*E100,IF(0.5*(F72+F73)*E100&gt;$B$40,$B$40,0.5*(F48+F49)*E100))</f>
        <v/>
      </c>
      <c r="F49" s="171">
        <f>IF(F50=0,0.5*(G48+G49)*F100,IF(0.5*(G72+G73)*F100&gt;$B$40,$B$40,0.5*(G48+G49)*F100))</f>
        <v/>
      </c>
      <c r="G49" s="171">
        <f>$B$39</f>
        <v/>
      </c>
      <c r="N49" s="101" t="n"/>
      <c r="O49" s="101" t="n"/>
      <c r="P49" s="101" t="n"/>
      <c r="Q49" s="101" t="n"/>
      <c r="R49" s="101" t="n"/>
      <c r="S49" s="101" t="n"/>
      <c r="T49" s="101" t="n"/>
    </row>
    <row r="50" ht="12.75" customFormat="1" customHeight="1" s="101">
      <c r="B50" s="171" t="n"/>
      <c r="C50" s="171">
        <f>IF(C51=0,0.5*(D49+D50)*C101,IF(0.5*(D73+D74)*C101&gt;$B$40,$B$40,0.5*(D49+D50)*C101))</f>
        <v/>
      </c>
      <c r="D50" s="171">
        <f>IF(D51=0,0.5*(E49+E50)*D101,IF(0.5*(E73+E74)*D101&gt;$B$40,$B$40,0.5*(E49+E50)*D101))</f>
        <v/>
      </c>
      <c r="E50" s="171">
        <f>IF(E51=0,0.5*(F49+F50)*E101,IF(0.5*(F73+F74)*E101&gt;$B$40,$B$40,0.5*(F49+F50)*E101))</f>
        <v/>
      </c>
      <c r="F50" s="171">
        <f>IF(F51=0,0.5*(G49+G50)*F101,IF(0.5*(G73+G74)*F101&gt;$B$40,$B$40,0.5*(G49+G50)*F101))</f>
        <v/>
      </c>
      <c r="G50" s="171">
        <f>$B$39</f>
        <v/>
      </c>
      <c r="N50" s="101" t="n"/>
      <c r="O50" s="101" t="n"/>
      <c r="P50" s="101" t="n"/>
      <c r="Q50" s="101" t="n"/>
      <c r="R50" s="101" t="n"/>
      <c r="S50" s="101" t="n"/>
      <c r="T50" s="101" t="n"/>
    </row>
    <row r="51" ht="12.75" customFormat="1" customHeight="1" s="101">
      <c r="A51" s="101" t="inlineStr">
        <is>
          <t>Principal Only</t>
        </is>
      </c>
      <c r="B51" s="171">
        <f>IF(B52=0,0.5*(C50+C51)*B102,IF(0.5*(C74+C75)*B102&gt;$B$40,$B$40,0.5*(C50+C51)*B102))</f>
        <v/>
      </c>
      <c r="C51" s="171">
        <f>IF(C52=0,0.5*(D50+D51)*C102,IF(0.5*(D74+D75)*C102&gt;$B$40,$B$40,0.5*(D50+D51)*C102))</f>
        <v/>
      </c>
      <c r="D51" s="171">
        <f>IF(D52=0,0.5*(E50+E51)*D102,IF(0.5*(E74+E75)*D102&gt;$B$40,$B$40,0.5*(E50+E51)*D102))</f>
        <v/>
      </c>
      <c r="E51" s="171">
        <f>IF(E52=0,0.5*(F50+F51)*E102,IF(0.5*(F74+F75)*E102&gt;$B$40,$B$40,0.5*(F50+F51)*E102))</f>
        <v/>
      </c>
      <c r="F51" s="171">
        <f>IF(F52=0,0.5*(G50+G51)*F102,IF(0.5*(G74+G75)*F102&gt;$B$40,$B$40,0.5*(G50+G51)*F102))</f>
        <v/>
      </c>
      <c r="G51" s="171">
        <f>$B$39</f>
        <v/>
      </c>
      <c r="N51" s="101" t="n"/>
      <c r="O51" s="101" t="n"/>
      <c r="P51" s="101" t="n"/>
      <c r="Q51" s="101" t="n"/>
      <c r="R51" s="101" t="n"/>
      <c r="S51" s="101" t="n"/>
      <c r="T51" s="101" t="n"/>
    </row>
    <row r="52" ht="12.75" customFormat="1" customHeight="1" s="101">
      <c r="A52" s="164" t="inlineStr">
        <is>
          <t>year</t>
        </is>
      </c>
      <c r="B52" s="164" t="n">
        <v>0</v>
      </c>
      <c r="C52" s="164" t="n">
        <v>1</v>
      </c>
      <c r="D52" s="164" t="n">
        <v>2</v>
      </c>
      <c r="E52" s="164" t="n">
        <v>3</v>
      </c>
      <c r="F52" s="164" t="n">
        <v>4</v>
      </c>
      <c r="G52" s="164" t="n">
        <v>5</v>
      </c>
      <c r="N52" s="101" t="n"/>
      <c r="O52" s="101" t="n"/>
      <c r="P52" s="101" t="n"/>
      <c r="Q52" s="101" t="n"/>
      <c r="R52" s="101" t="n"/>
      <c r="S52" s="101" t="n"/>
      <c r="T52" s="101" t="n"/>
    </row>
    <row r="53" ht="12.75" customFormat="1" customHeight="1" s="101">
      <c r="N53" s="101" t="n"/>
      <c r="O53" s="101" t="n"/>
      <c r="P53" s="101" t="n"/>
      <c r="Q53" s="101" t="n"/>
      <c r="R53" s="101" t="n"/>
      <c r="S53" s="101" t="n"/>
      <c r="T53" s="101" t="n"/>
    </row>
    <row r="54" ht="12.75" customFormat="1" customHeight="1" s="101">
      <c r="B54" s="171" t="n"/>
      <c r="C54" s="171" t="n"/>
      <c r="D54" s="171" t="n"/>
      <c r="E54" s="171" t="n"/>
      <c r="F54" s="171" t="n"/>
      <c r="G54" s="171">
        <f>$B$39*$B$41</f>
        <v/>
      </c>
      <c r="N54" s="101" t="n"/>
      <c r="O54" s="101" t="n"/>
      <c r="P54" s="101" t="n"/>
      <c r="Q54" s="101" t="n"/>
      <c r="R54" s="101" t="n"/>
      <c r="S54" s="101" t="n"/>
      <c r="T54" s="101" t="n"/>
    </row>
    <row r="55" ht="12.75" customFormat="1" customHeight="1" s="101">
      <c r="B55" s="171" t="n"/>
      <c r="C55" s="171" t="n"/>
      <c r="D55" s="171" t="n"/>
      <c r="E55" s="171" t="n"/>
      <c r="F55" s="171">
        <f>IF(F$60=0,0.5*(G54+G55)*F98,IF(0.5*(G70+G71)*F98&gt;$B$40,$B$39*$B$41,0.5*(G54+G55)*F98+$B$39*$B$41))</f>
        <v/>
      </c>
      <c r="G55" s="171">
        <f>$B$39*$B$41</f>
        <v/>
      </c>
      <c r="N55" s="101" t="n"/>
      <c r="O55" s="101" t="n"/>
      <c r="P55" s="101" t="n"/>
      <c r="Q55" s="101" t="n"/>
      <c r="R55" s="101" t="n"/>
      <c r="S55" s="101" t="n"/>
      <c r="T55" s="101" t="n"/>
    </row>
    <row r="56" ht="12.75" customFormat="1" customHeight="1" s="101">
      <c r="B56" s="171" t="n"/>
      <c r="C56" s="171" t="n"/>
      <c r="D56" s="171" t="n"/>
      <c r="E56" s="171">
        <f>IF(E$60=0,0.5*(F55+F56)*E99,IF(0.5*(F71+F72)*E99&gt;$B$40,$B$39*$B$41,0.5*(F55+F56)*E99+$B$39*$B$41))</f>
        <v/>
      </c>
      <c r="F56" s="171">
        <f>IF(F$60=0,0.5*(G55+G56)*F99,IF(0.5*(G71+G72)*F99&gt;$B$40,$B$39*$B$41,0.5*(G55+G56)*F99+$B$39*$B$41))</f>
        <v/>
      </c>
      <c r="G56" s="171">
        <f>$B$39*$B$41</f>
        <v/>
      </c>
      <c r="N56" s="101" t="n"/>
      <c r="O56" s="101" t="n"/>
      <c r="P56" s="101" t="n"/>
      <c r="Q56" s="101" t="n"/>
      <c r="R56" s="101" t="n"/>
      <c r="S56" s="101" t="n"/>
      <c r="T56" s="101" t="n"/>
    </row>
    <row r="57" ht="12.75" customFormat="1" customHeight="1" s="101">
      <c r="B57" s="171" t="n"/>
      <c r="C57" s="171" t="n"/>
      <c r="D57" s="171">
        <f>IF(D$60=0,0.5*(E56+E57)*D100,IF(0.5*(E72+E73)*D100&gt;$B$40,$B$39*$B$41,0.5*(E56+E57)*D100+$B$39*$B$41))</f>
        <v/>
      </c>
      <c r="E57" s="171">
        <f>IF(E$60=0,0.5*(F56+F57)*E100,IF(0.5*(F72+F73)*E100&gt;$B$40,$B$39*$B$41,0.5*(F56+F57)*E100+$B$39*$B$41))</f>
        <v/>
      </c>
      <c r="F57" s="171">
        <f>IF(F$60=0,0.5*(G56+G57)*F100,IF(0.5*(G72+G73)*F100&gt;$B$40,$B$39*$B$41,0.5*(G56+G57)*F100+$B$39*$B$41))</f>
        <v/>
      </c>
      <c r="G57" s="171">
        <f>$B$39*$B$41</f>
        <v/>
      </c>
      <c r="N57" s="101" t="n"/>
      <c r="O57" s="101" t="n"/>
      <c r="P57" s="101" t="n"/>
      <c r="Q57" s="101" t="n"/>
      <c r="R57" s="101" t="n"/>
      <c r="S57" s="101" t="n"/>
      <c r="T57" s="101" t="n"/>
    </row>
    <row r="58" ht="12.75" customFormat="1" customHeight="1" s="101">
      <c r="B58" s="171" t="n"/>
      <c r="C58" s="171">
        <f>IF(C$60=0,0.5*(D57+D58)*C101,IF(0.5*(D73+D74)*C101&gt;$B$40,$B$39*$B$41,0.5*(D57+D58)*C101+$B$39*$B$41))</f>
        <v/>
      </c>
      <c r="D58" s="171">
        <f>IF(D$60=0,0.5*(E57+E58)*D101,IF(0.5*(E73+E74)*D101&gt;$B$40,$B$39*$B$41,0.5*(E57+E58)*D101+$B$39*$B$41))</f>
        <v/>
      </c>
      <c r="E58" s="171">
        <f>IF(E$60=0,0.5*(F57+F58)*E101,IF(0.5*(F73+F74)*E101&gt;$B$40,$B$39*$B$41,0.5*(F57+F58)*E101+$B$39*$B$41))</f>
        <v/>
      </c>
      <c r="F58" s="171">
        <f>IF(F$60=0,0.5*(G57+G58)*F101,IF(0.5*(G73+G74)*F101&gt;$B$40,$B$39*$B$41,0.5*(G57+G58)*F101+$B$39*$B$41))</f>
        <v/>
      </c>
      <c r="G58" s="171">
        <f>$B$39*$B$41</f>
        <v/>
      </c>
      <c r="N58" s="101" t="n"/>
      <c r="O58" s="101" t="n"/>
      <c r="P58" s="101" t="n"/>
      <c r="Q58" s="101" t="n"/>
      <c r="R58" s="101" t="n"/>
      <c r="S58" s="101" t="n"/>
      <c r="T58" s="101" t="n"/>
    </row>
    <row r="59" ht="12.75" customFormat="1" customHeight="1" s="101">
      <c r="A59" s="101" t="inlineStr">
        <is>
          <t>Interest Only</t>
        </is>
      </c>
      <c r="B59" s="171">
        <f>IF(B$60=0,0.5*(C58+C59)*B102,IF(0.5*(C74+C75)*B102&gt;$B$40,$B$39*$B$41,0.5*(C58+C59)*B102+$B$39*$B$41))</f>
        <v/>
      </c>
      <c r="C59" s="171">
        <f>IF(C$60=0,0.5*(D58+D59)*C102,IF(0.5*(D74+D75)*C102&gt;$B$40,$B$39*$B$41,0.5*(D58+D59)*C102+$B$39*$B$41))</f>
        <v/>
      </c>
      <c r="D59" s="171">
        <f>IF(D$60=0,0.5*(E58+E59)*D102,IF(0.5*(E74+E75)*D102&gt;$B$40,$B$39*$B$41,0.5*(E58+E59)*D102+$B$39*$B$41))</f>
        <v/>
      </c>
      <c r="E59" s="171">
        <f>IF(E$60=0,0.5*(F58+F59)*E102,IF(0.5*(F74+F75)*E102&gt;$B$40,$B$39*$B$41,0.5*(F58+F59)*E102+$B$39*$B$41))</f>
        <v/>
      </c>
      <c r="F59" s="171">
        <f>IF(F$60=0,0.5*(G58+G59)*F102,IF(0.5*(G74+G75)*F102&gt;$B$40,$B$39*$B$41,0.5*(G58+G59)*F102+$B$39*$B$41))</f>
        <v/>
      </c>
      <c r="G59" s="171">
        <f>$B$39*$B$41</f>
        <v/>
      </c>
      <c r="N59" s="101" t="n"/>
      <c r="O59" s="101" t="n"/>
      <c r="P59" s="101" t="n"/>
      <c r="Q59" s="101" t="n"/>
      <c r="R59" s="101" t="n"/>
      <c r="S59" s="101" t="n"/>
      <c r="T59" s="101" t="n"/>
    </row>
    <row r="60" ht="12.75" customFormat="1" customHeight="1" s="101">
      <c r="A60" s="164" t="inlineStr">
        <is>
          <t>year</t>
        </is>
      </c>
      <c r="B60" s="164" t="n">
        <v>0</v>
      </c>
      <c r="C60" s="164" t="n">
        <v>1</v>
      </c>
      <c r="D60" s="164" t="n">
        <v>2</v>
      </c>
      <c r="E60" s="164" t="n">
        <v>3</v>
      </c>
      <c r="F60" s="164" t="n">
        <v>4</v>
      </c>
      <c r="G60" s="164" t="n">
        <v>5</v>
      </c>
      <c r="N60" s="101" t="n"/>
      <c r="O60" s="101" t="n"/>
      <c r="P60" s="101" t="n"/>
      <c r="Q60" s="101" t="n"/>
      <c r="R60" s="101" t="n"/>
      <c r="S60" s="101" t="n"/>
      <c r="T60" s="101" t="n"/>
    </row>
    <row r="61" ht="12.75" customFormat="1" customHeight="1" s="101">
      <c r="N61" s="101" t="n"/>
      <c r="O61" s="101" t="n"/>
      <c r="P61" s="101" t="n"/>
      <c r="Q61" s="101" t="n"/>
      <c r="R61" s="101" t="n"/>
      <c r="S61" s="101" t="n"/>
      <c r="T61" s="101" t="n"/>
    </row>
    <row r="62" ht="12.75" customFormat="1" customHeight="1" s="101">
      <c r="A62" s="101" t="inlineStr">
        <is>
          <t>effective duration of the callable bond</t>
        </is>
      </c>
      <c r="C62" s="177">
        <f>-($B$75-ex1!$B$71)/(ex1!B71*0.001)</f>
        <v/>
      </c>
      <c r="N62" s="101" t="n"/>
      <c r="O62" s="101" t="n"/>
      <c r="P62" s="101" t="n"/>
      <c r="Q62" s="101" t="n"/>
      <c r="R62" s="101" t="n"/>
      <c r="S62" s="101" t="n"/>
      <c r="T62" s="101" t="n"/>
    </row>
    <row r="63" ht="12.75" customFormat="1" customHeight="1" s="101">
      <c r="A63" s="101" t="inlineStr">
        <is>
          <t>effective duration of the principal only</t>
        </is>
      </c>
      <c r="C63" s="177">
        <f>-($B$51-ex1!$B$51)/(ex1!$B$51*0.001)</f>
        <v/>
      </c>
      <c r="N63" s="101" t="n"/>
      <c r="O63" s="101" t="n"/>
      <c r="P63" s="101" t="n"/>
      <c r="Q63" s="101" t="n"/>
      <c r="R63" s="101" t="n"/>
      <c r="S63" s="101" t="n"/>
      <c r="T63" s="101" t="n"/>
    </row>
    <row r="64" ht="12.75" customFormat="1" customHeight="1" s="101">
      <c r="A64" s="101" t="inlineStr">
        <is>
          <t>effective duration of the interest only</t>
        </is>
      </c>
      <c r="C64" s="177">
        <f>-($B$59-ex1!$B$59)/(ex1!$B$59*0.001)</f>
        <v/>
      </c>
      <c r="N64" s="101" t="n"/>
      <c r="O64" s="101" t="n"/>
      <c r="P64" s="101" t="n"/>
      <c r="Q64" s="101" t="n"/>
      <c r="R64" s="101" t="n"/>
      <c r="S64" s="101" t="n"/>
      <c r="T64" s="101" t="n"/>
    </row>
    <row r="65" ht="12.75" customFormat="1" customHeight="1" s="101">
      <c r="N65" s="101" t="n"/>
      <c r="O65" s="101" t="n"/>
      <c r="P65" s="101" t="n"/>
      <c r="Q65" s="101" t="n"/>
      <c r="R65" s="101" t="n"/>
      <c r="S65" s="101" t="n"/>
      <c r="T65" s="101" t="n"/>
    </row>
    <row r="66" ht="12.75" customFormat="1" customHeight="1" s="101">
      <c r="A66" s="101" t="inlineStr">
        <is>
          <t>IO + PO = Callable Bond</t>
        </is>
      </c>
      <c r="B66" s="172">
        <f>B51+B59</f>
        <v/>
      </c>
      <c r="N66" s="101" t="n"/>
      <c r="O66" s="101" t="n"/>
      <c r="P66" s="101" t="n"/>
      <c r="Q66" s="101" t="n"/>
      <c r="R66" s="101" t="n"/>
      <c r="S66" s="101" t="n"/>
      <c r="T66" s="101" t="n"/>
    </row>
    <row r="67" ht="12.75" customFormat="1" customHeight="1" s="101">
      <c r="N67" s="101" t="n"/>
      <c r="O67" s="101" t="n"/>
      <c r="P67" s="101" t="n"/>
      <c r="Q67" s="101" t="n"/>
      <c r="R67" s="101" t="n"/>
      <c r="S67" s="101" t="n"/>
      <c r="T67" s="101" t="n"/>
    </row>
    <row r="68" ht="12.75" customFormat="1" customHeight="1" s="99">
      <c r="A68" s="100" t="inlineStr">
        <is>
          <t>Interim Calculations</t>
        </is>
      </c>
      <c r="B68" s="100" t="n"/>
      <c r="N68" s="99" t="n"/>
      <c r="O68" s="99" t="n"/>
      <c r="P68" s="99" t="n"/>
      <c r="Q68" s="99" t="n"/>
      <c r="R68" s="99" t="n"/>
      <c r="S68" s="99" t="n"/>
      <c r="T68" s="99" t="n"/>
    </row>
    <row r="69" ht="12.75" customFormat="1" customHeight="1" s="101">
      <c r="N69" s="101" t="n"/>
      <c r="O69" s="101" t="n"/>
      <c r="P69" s="101" t="n"/>
      <c r="Q69" s="101" t="n"/>
      <c r="R69" s="101" t="n"/>
      <c r="S69" s="101" t="n"/>
      <c r="T69" s="101" t="n"/>
    </row>
    <row r="70" ht="12.75" customFormat="1" customHeight="1" s="101">
      <c r="B70" s="172" t="n"/>
      <c r="C70" s="172" t="n"/>
      <c r="D70" s="172" t="n"/>
      <c r="E70" s="172" t="n"/>
      <c r="F70" s="172" t="n"/>
      <c r="G70" s="172">
        <f>$B$39+$B$39*$B$41</f>
        <v/>
      </c>
      <c r="N70" s="101" t="n"/>
      <c r="O70" s="101" t="n"/>
      <c r="P70" s="101" t="n"/>
      <c r="Q70" s="101" t="n"/>
      <c r="R70" s="101" t="n"/>
      <c r="S70" s="101" t="n"/>
      <c r="T70" s="101" t="n"/>
    </row>
    <row r="71" ht="12.75" customFormat="1" customHeight="1" s="101">
      <c r="B71" s="172" t="n"/>
      <c r="C71" s="172" t="n"/>
      <c r="D71" s="172" t="n"/>
      <c r="E71" s="172" t="n"/>
      <c r="F71" s="172">
        <f>IF(F$76=0,0.5*(G70+G71)*F98,MIN($B$40,0.5*(G70+G71)*F98)+$B$39*$B$41)</f>
        <v/>
      </c>
      <c r="G71" s="172">
        <f>$B$39+$B$39*$B$41</f>
        <v/>
      </c>
      <c r="N71" s="101" t="n"/>
      <c r="O71" s="101" t="n"/>
      <c r="P71" s="101" t="n"/>
      <c r="Q71" s="101" t="n"/>
      <c r="R71" s="101" t="n"/>
      <c r="S71" s="101" t="n"/>
      <c r="T71" s="101" t="n"/>
    </row>
    <row r="72" ht="12.75" customFormat="1" customHeight="1" s="101">
      <c r="B72" s="172" t="n"/>
      <c r="C72" s="172" t="n"/>
      <c r="D72" s="172" t="n"/>
      <c r="E72" s="172">
        <f>IF(E$76=0,0.5*(F71+F72)*E99,MIN($B$40,0.5*(F71+F72)*E99)+$B$39*$B$41)</f>
        <v/>
      </c>
      <c r="F72" s="172">
        <f>IF(F$76=0,0.5*(G71+G72)*F99,MIN($B$40,0.5*(G71+G72)*F99)+$B$39*$B$41)</f>
        <v/>
      </c>
      <c r="G72" s="172">
        <f>$B$39+$B$39*$B$41</f>
        <v/>
      </c>
      <c r="N72" s="101" t="n"/>
      <c r="O72" s="101" t="n"/>
      <c r="P72" s="101" t="n"/>
      <c r="Q72" s="101" t="n"/>
      <c r="R72" s="101" t="n"/>
      <c r="S72" s="101" t="n"/>
      <c r="T72" s="101" t="n"/>
    </row>
    <row r="73" ht="12.75" customFormat="1" customHeight="1" s="101">
      <c r="B73" s="172" t="n"/>
      <c r="C73" s="172" t="n"/>
      <c r="D73" s="172">
        <f>IF(D$76=0,0.5*(E72+E73)*D100,MIN($B$40,0.5*(E72+E73)*D100)+$B$39*$B$41)</f>
        <v/>
      </c>
      <c r="E73" s="172">
        <f>IF(E$76=0,0.5*(F72+F73)*E100,MIN($B$40,0.5*(F72+F73)*E100)+$B$39*$B$41)</f>
        <v/>
      </c>
      <c r="F73" s="172">
        <f>IF(F$76=0,0.5*(G72+G73)*F100,MIN($B$40,0.5*(G72+G73)*F100)+$B$39*$B$41)</f>
        <v/>
      </c>
      <c r="G73" s="172">
        <f>$B$39+$B$39*$B$41</f>
        <v/>
      </c>
      <c r="N73" s="101" t="n"/>
      <c r="O73" s="101" t="n"/>
      <c r="P73" s="101" t="n"/>
      <c r="Q73" s="101" t="n"/>
      <c r="R73" s="101" t="n"/>
      <c r="S73" s="101" t="n"/>
      <c r="T73" s="101" t="n"/>
    </row>
    <row r="74" ht="12.75" customFormat="1" customHeight="1" s="101">
      <c r="B74" s="172" t="n"/>
      <c r="C74" s="172">
        <f>IF(C$76=0,0.5*(D73+D74)*C101,MIN($B$40,0.5*(D73+D74)*C101)+$B$39*$B$41)</f>
        <v/>
      </c>
      <c r="D74" s="172">
        <f>IF(D$76=0,0.5*(E73+E74)*D101,MIN($B$40,0.5*(E73+E74)*D101)+$B$39*$B$41)</f>
        <v/>
      </c>
      <c r="E74" s="172">
        <f>IF(E$76=0,0.5*(F73+F74)*E101,MIN($B$40,0.5*(F73+F74)*E101)+$B$39*$B$41)</f>
        <v/>
      </c>
      <c r="F74" s="172">
        <f>IF(F$76=0,0.5*(G73+G74)*F101,MIN($B$40,0.5*(G73+G74)*F101)+$B$39*$B$41)</f>
        <v/>
      </c>
      <c r="G74" s="172">
        <f>$B$39+$B$39*$B$41</f>
        <v/>
      </c>
      <c r="N74" s="101" t="n"/>
      <c r="O74" s="101" t="n"/>
      <c r="P74" s="101" t="n"/>
      <c r="Q74" s="101" t="n"/>
      <c r="R74" s="101" t="n"/>
      <c r="S74" s="101" t="n"/>
      <c r="T74" s="101" t="n"/>
    </row>
    <row r="75" ht="12.75" customFormat="1" customHeight="1" s="101">
      <c r="A75" s="101" t="inlineStr">
        <is>
          <t>callable bond price</t>
        </is>
      </c>
      <c r="B75" s="172">
        <f>IF(B$76=0,0.5*(C74+C75)*B102,MIN($B$40,0.5*(C74+C75)*B102)+$B$39*$B$41)</f>
        <v/>
      </c>
      <c r="C75" s="172">
        <f>IF(C$76=0,0.5*(D74+D75)*C102,MIN($B$40,0.5*(D74+D75)*C102)+$B$39*$B$41)</f>
        <v/>
      </c>
      <c r="D75" s="172">
        <f>IF(D$76=0,0.5*(E74+E75)*D102,MIN($B$40,0.5*(E74+E75)*D102)+$B$39*$B$41)</f>
        <v/>
      </c>
      <c r="E75" s="172">
        <f>IF(E$76=0,0.5*(F74+F75)*E102,MIN($B$40,0.5*(F74+F75)*E102)+$B$39*$B$41)</f>
        <v/>
      </c>
      <c r="F75" s="172">
        <f>IF(F$76=0,0.5*(G74+G75)*F102,MIN($B$40,0.5*(G74+G75)*F102)+$B$39*$B$41)</f>
        <v/>
      </c>
      <c r="G75" s="172">
        <f>$B$39+$B$39*$B$41</f>
        <v/>
      </c>
      <c r="N75" s="101" t="n"/>
      <c r="O75" s="101" t="n"/>
      <c r="P75" s="101" t="n"/>
      <c r="Q75" s="101" t="n"/>
      <c r="R75" s="101" t="n"/>
      <c r="S75" s="101" t="n"/>
      <c r="T75" s="101" t="n"/>
    </row>
    <row r="76" ht="12.75" customFormat="1" customHeight="1" s="101">
      <c r="A76" s="164" t="inlineStr">
        <is>
          <t>year</t>
        </is>
      </c>
      <c r="B76" s="164" t="n">
        <v>0</v>
      </c>
      <c r="C76" s="164" t="n">
        <v>1</v>
      </c>
      <c r="D76" s="164" t="n">
        <v>2</v>
      </c>
      <c r="E76" s="164" t="n">
        <v>3</v>
      </c>
      <c r="F76" s="164" t="n">
        <v>4</v>
      </c>
      <c r="G76" s="164" t="n">
        <v>5</v>
      </c>
      <c r="N76" s="101" t="n"/>
      <c r="O76" s="101" t="n"/>
      <c r="P76" s="101" t="n"/>
      <c r="Q76" s="101" t="n"/>
      <c r="R76" s="101" t="n"/>
      <c r="S76" s="101" t="n"/>
      <c r="T76" s="101" t="n"/>
    </row>
    <row r="77" ht="12.75" customFormat="1" customHeight="1" s="101">
      <c r="N77" s="101" t="n"/>
      <c r="O77" s="101" t="n"/>
      <c r="P77" s="101" t="n"/>
      <c r="Q77" s="101" t="n"/>
      <c r="R77" s="101" t="n"/>
      <c r="S77" s="101" t="n"/>
      <c r="T77" s="101" t="n"/>
    </row>
    <row r="78" ht="12.75" customFormat="1" customHeight="1" s="101">
      <c r="B78" s="173" t="n"/>
      <c r="C78" s="173" t="n"/>
      <c r="D78" s="173" t="n"/>
      <c r="E78" s="173" t="n"/>
      <c r="F78" s="173" t="n"/>
      <c r="G78" s="173">
        <f>$B$39+$B$39*$B$41</f>
        <v/>
      </c>
      <c r="N78" s="101" t="n"/>
      <c r="O78" s="101" t="n"/>
      <c r="P78" s="101" t="n"/>
      <c r="Q78" s="101" t="n"/>
      <c r="R78" s="101" t="n"/>
      <c r="S78" s="101" t="n"/>
      <c r="T78" s="101" t="n"/>
    </row>
    <row r="79" ht="12.75" customFormat="1" customHeight="1" s="101">
      <c r="B79" s="173" t="n"/>
      <c r="C79" s="173" t="n"/>
      <c r="D79" s="173" t="n"/>
      <c r="E79" s="173" t="n"/>
      <c r="F79" s="173">
        <f>IF(F$84=0,0.5*(G78+G79)*F98,0.5*(G78+G79)*F98+$B$39*$B$41/$B$34)</f>
        <v/>
      </c>
      <c r="G79" s="173">
        <f>$B$39+$B$39*$B$41</f>
        <v/>
      </c>
      <c r="N79" s="101" t="n"/>
      <c r="O79" s="101" t="n"/>
      <c r="P79" s="101" t="n"/>
      <c r="Q79" s="101" t="n"/>
      <c r="R79" s="101" t="n"/>
      <c r="S79" s="101" t="n"/>
      <c r="T79" s="101" t="n"/>
    </row>
    <row r="80" ht="12.75" customFormat="1" customHeight="1" s="101">
      <c r="B80" s="173" t="n"/>
      <c r="C80" s="173" t="n"/>
      <c r="D80" s="173" t="n"/>
      <c r="E80" s="173">
        <f>IF(E$84=0,0.5*(F79+F80)*E99,0.5*(F79+F80)*E99+$B$39*$B$41/$B$34)</f>
        <v/>
      </c>
      <c r="F80" s="173">
        <f>IF(F$84=0,0.5*(G79+G80)*F99,0.5*(G79+G80)*F99+$B$39*$B$41/$B$34)</f>
        <v/>
      </c>
      <c r="G80" s="173">
        <f>$B$39+$B$39*$B$41</f>
        <v/>
      </c>
      <c r="N80" s="101" t="n"/>
      <c r="O80" s="101" t="n"/>
      <c r="P80" s="101" t="n"/>
      <c r="Q80" s="101" t="n"/>
      <c r="R80" s="101" t="n"/>
      <c r="S80" s="101" t="n"/>
      <c r="T80" s="101" t="n"/>
    </row>
    <row r="81" ht="12.75" customFormat="1" customHeight="1" s="101">
      <c r="B81" s="173" t="n"/>
      <c r="C81" s="173" t="n"/>
      <c r="D81" s="173">
        <f>IF(D$84=0,0.5*(E80+E81)*D100,0.5*(E80+E81)*D100+$B$39*$B$41/$B$34)</f>
        <v/>
      </c>
      <c r="E81" s="173">
        <f>IF(E$84=0,0.5*(F80+F81)*E100,0.5*(F80+F81)*E100+$B$39*$B$41/$B$34)</f>
        <v/>
      </c>
      <c r="F81" s="173">
        <f>IF(F$84=0,0.5*(G80+G81)*F100,0.5*(G80+G81)*F100+$B$39*$B$41/$B$34)</f>
        <v/>
      </c>
      <c r="G81" s="173">
        <f>$B$39+$B$39*$B$41</f>
        <v/>
      </c>
      <c r="N81" s="101" t="n"/>
      <c r="O81" s="101" t="n"/>
      <c r="P81" s="101" t="n"/>
      <c r="Q81" s="101" t="n"/>
      <c r="R81" s="101" t="n"/>
      <c r="S81" s="101" t="n"/>
      <c r="T81" s="101" t="n"/>
    </row>
    <row r="82" ht="12.75" customFormat="1" customHeight="1" s="101">
      <c r="B82" s="173" t="n"/>
      <c r="C82" s="173">
        <f>IF(C$84=0,0.5*(D81+D82)*C101,0.5*(D81+D82)*C101+$B$39*$B$41/$B$34)</f>
        <v/>
      </c>
      <c r="D82" s="173">
        <f>IF(D$84=0,0.5*(E81+E82)*D101,0.5*(E81+E82)*D101+$B$39*$B$41/$B$34)</f>
        <v/>
      </c>
      <c r="E82" s="173">
        <f>IF(E$84=0,0.5*(F81+F82)*E101,0.5*(F81+F82)*E101+$B$39*$B$41/$B$34)</f>
        <v/>
      </c>
      <c r="F82" s="173">
        <f>IF(F$84=0,0.5*(G81+G82)*F101,0.5*(G81+G82)*F101+$B$39*$B$41/$B$34)</f>
        <v/>
      </c>
      <c r="G82" s="173">
        <f>$B$39+$B$39*$B$41</f>
        <v/>
      </c>
      <c r="N82" s="101" t="n"/>
      <c r="O82" s="101" t="n"/>
      <c r="P82" s="101" t="n"/>
      <c r="Q82" s="101" t="n"/>
      <c r="R82" s="101" t="n"/>
      <c r="S82" s="101" t="n"/>
      <c r="T82" s="101" t="n"/>
    </row>
    <row r="83" ht="12.75" customFormat="1" customHeight="1" s="101">
      <c r="A83" s="101" t="inlineStr">
        <is>
          <t>naive coupon bond price</t>
        </is>
      </c>
      <c r="B83" s="173">
        <f>IF(B$84=0,0.5*(C82+C83)*B102,0.5*(C82+C83)*B102+$B$39*$B$41/$B$34)</f>
        <v/>
      </c>
      <c r="C83" s="173">
        <f>IF(C$84=0,0.5*(D82+D83)*C102,0.5*(D82+D83)*C102+$B$39*$B$41/$B$34)</f>
        <v/>
      </c>
      <c r="D83" s="173">
        <f>IF(D$84=0,0.5*(E82+E83)*D102,0.5*(E82+E83)*D102+$B$39*$B$41/$B$34)</f>
        <v/>
      </c>
      <c r="E83" s="173">
        <f>IF(E$84=0,0.5*(F82+F83)*E102,0.5*(F82+F83)*E102+$B$39*$B$41/$B$34)</f>
        <v/>
      </c>
      <c r="F83" s="173">
        <f>IF(F$84=0,0.5*(G82+G83)*F102,0.5*(G82+G83)*F102+$B$39*$B$41/$B$34)</f>
        <v/>
      </c>
      <c r="G83" s="173">
        <f>$B$39+$B$39*$B$41</f>
        <v/>
      </c>
      <c r="N83" s="101" t="n"/>
      <c r="O83" s="101" t="n"/>
      <c r="P83" s="101" t="n"/>
      <c r="Q83" s="101" t="n"/>
      <c r="R83" s="101" t="n"/>
      <c r="S83" s="101" t="n"/>
      <c r="T83" s="101" t="n"/>
    </row>
    <row r="84" ht="12.75" customFormat="1" customHeight="1" s="101">
      <c r="A84" s="164" t="inlineStr">
        <is>
          <t>year</t>
        </is>
      </c>
      <c r="B84" s="164" t="n">
        <v>0</v>
      </c>
      <c r="C84" s="164" t="n">
        <v>1</v>
      </c>
      <c r="D84" s="164" t="n">
        <v>2</v>
      </c>
      <c r="E84" s="164" t="n">
        <v>3</v>
      </c>
      <c r="F84" s="164" t="n">
        <v>4</v>
      </c>
      <c r="G84" s="164" t="n">
        <v>5</v>
      </c>
      <c r="N84" s="101" t="n"/>
      <c r="O84" s="101" t="n"/>
      <c r="P84" s="101" t="n"/>
      <c r="Q84" s="101" t="n"/>
      <c r="R84" s="101" t="n"/>
      <c r="S84" s="101" t="n"/>
      <c r="T84" s="101" t="n"/>
    </row>
    <row r="85" ht="12.75" customFormat="1" customHeight="1" s="101">
      <c r="N85" s="101" t="n"/>
      <c r="O85" s="101" t="n"/>
      <c r="P85" s="101" t="n"/>
      <c r="Q85" s="101" t="n"/>
      <c r="R85" s="101" t="n"/>
      <c r="S85" s="101" t="n"/>
      <c r="T85" s="101" t="n"/>
    </row>
    <row r="86" ht="12.75" customFormat="1" customHeight="1" s="101">
      <c r="N86" s="101" t="n"/>
      <c r="O86" s="101" t="n"/>
      <c r="P86" s="101" t="n"/>
      <c r="Q86" s="101" t="n"/>
      <c r="R86" s="101" t="n"/>
      <c r="S86" s="101" t="n"/>
      <c r="T86" s="101" t="n"/>
    </row>
    <row r="87" ht="12.75" customFormat="1" customHeight="1" s="101">
      <c r="A87" s="101" t="inlineStr">
        <is>
          <t>convexity adjustment</t>
        </is>
      </c>
      <c r="B87" s="174">
        <f>B37</f>
        <v/>
      </c>
      <c r="C87" s="174">
        <f>1+PRODUCT($C37:C37)</f>
        <v/>
      </c>
      <c r="D87" s="174">
        <f>1+PRODUCT($C37:D37)</f>
        <v/>
      </c>
      <c r="E87" s="174">
        <f>1+PRODUCT($C37:E37)</f>
        <v/>
      </c>
      <c r="F87" s="174">
        <f>1+PRODUCT($C37:F37)</f>
        <v/>
      </c>
      <c r="G87" s="174">
        <f>1+PRODUCT($C37:G37)</f>
        <v/>
      </c>
      <c r="N87" s="101" t="n"/>
      <c r="O87" s="101" t="n"/>
      <c r="P87" s="101" t="n"/>
      <c r="Q87" s="101" t="n"/>
      <c r="R87" s="101" t="n"/>
      <c r="S87" s="101" t="n"/>
      <c r="T87" s="101" t="n"/>
    </row>
    <row r="88" ht="12.75" customFormat="1" customHeight="1" s="101">
      <c r="C88" s="174" t="n"/>
      <c r="D88" s="174">
        <f>1+PRODUCT($D37:D37)</f>
        <v/>
      </c>
      <c r="E88" s="174">
        <f>1+PRODUCT($D37:E37)</f>
        <v/>
      </c>
      <c r="F88" s="174">
        <f>1+PRODUCT($D37:F37)</f>
        <v/>
      </c>
      <c r="G88" s="174">
        <f>1+PRODUCT($D37:G37)</f>
        <v/>
      </c>
      <c r="N88" s="101" t="n"/>
      <c r="O88" s="101" t="n"/>
      <c r="P88" s="101" t="n"/>
      <c r="Q88" s="101" t="n"/>
      <c r="R88" s="101" t="n"/>
      <c r="S88" s="101" t="n"/>
      <c r="T88" s="101" t="n"/>
    </row>
    <row r="89" ht="12.75" customFormat="1" customHeight="1" s="101">
      <c r="E89" s="174">
        <f>1+PRODUCT($E37:E37)</f>
        <v/>
      </c>
      <c r="F89" s="174">
        <f>1+PRODUCT($E37:F37)</f>
        <v/>
      </c>
      <c r="G89" s="174">
        <f>1+PRODUCT($E37:G37)</f>
        <v/>
      </c>
      <c r="N89" s="101" t="n"/>
      <c r="O89" s="101" t="n"/>
      <c r="P89" s="101" t="n"/>
      <c r="Q89" s="101" t="n"/>
      <c r="R89" s="101" t="n"/>
      <c r="S89" s="101" t="n"/>
      <c r="T89" s="101" t="n"/>
    </row>
    <row r="90" ht="12.75" customFormat="1" customHeight="1" s="101">
      <c r="F90" s="174">
        <f>1+PRODUCT($F37:F37)</f>
        <v/>
      </c>
      <c r="G90" s="174">
        <f>1+PRODUCT($F37:G37)</f>
        <v/>
      </c>
      <c r="N90" s="101" t="n"/>
      <c r="O90" s="101" t="n"/>
      <c r="P90" s="101" t="n"/>
      <c r="Q90" s="101" t="n"/>
      <c r="R90" s="101" t="n"/>
      <c r="S90" s="101" t="n"/>
      <c r="T90" s="101" t="n"/>
    </row>
    <row r="91" ht="12.75" customFormat="1" customHeight="1" s="101">
      <c r="G91" s="174">
        <f>1+PRODUCT($G37:G37)</f>
        <v/>
      </c>
      <c r="N91" s="101" t="n"/>
      <c r="O91" s="101" t="n"/>
      <c r="P91" s="101" t="n"/>
      <c r="Q91" s="101" t="n"/>
      <c r="R91" s="101" t="n"/>
      <c r="S91" s="101" t="n"/>
      <c r="T91" s="101" t="n"/>
    </row>
    <row r="92" ht="12.75" customFormat="1" customHeight="1" s="101">
      <c r="G92" s="174" t="n"/>
      <c r="N92" s="101" t="n"/>
      <c r="O92" s="101" t="n"/>
      <c r="P92" s="101" t="n"/>
      <c r="Q92" s="101" t="n"/>
      <c r="R92" s="101" t="n"/>
      <c r="S92" s="101" t="n"/>
      <c r="T92" s="101" t="n"/>
    </row>
    <row r="93" ht="12.75" customFormat="1" customHeight="1" s="101">
      <c r="A93" s="101" t="inlineStr">
        <is>
          <t>numerator of convexity adjustment at time n</t>
        </is>
      </c>
      <c r="C93" s="175">
        <f>PRODUCT(B87:B91)</f>
        <v/>
      </c>
      <c r="D93" s="101">
        <f>PRODUCT(C87:C91)</f>
        <v/>
      </c>
      <c r="E93" s="101">
        <f>PRODUCT(D87:D91)</f>
        <v/>
      </c>
      <c r="F93" s="101">
        <f>PRODUCT(E87:E91)</f>
        <v/>
      </c>
      <c r="G93" s="101">
        <f>PRODUCT(F87:F91)</f>
        <v/>
      </c>
      <c r="N93" s="101" t="n"/>
      <c r="O93" s="101" t="n"/>
      <c r="P93" s="101" t="n"/>
      <c r="Q93" s="101" t="n"/>
      <c r="R93" s="101" t="n"/>
      <c r="S93" s="101" t="n"/>
      <c r="T93" s="101" t="n"/>
    </row>
    <row r="94" ht="12.75" customFormat="1" customHeight="1" s="101">
      <c r="A94" s="101" t="inlineStr">
        <is>
          <t>denominator of convexity adjustment at time n</t>
        </is>
      </c>
      <c r="C94" s="101">
        <f>PRODUCT(C$87:C91)</f>
        <v/>
      </c>
      <c r="D94" s="101">
        <f>PRODUCT(D$87:D91)</f>
        <v/>
      </c>
      <c r="E94" s="101">
        <f>PRODUCT(E$87:E91)</f>
        <v/>
      </c>
      <c r="F94" s="101">
        <f>PRODUCT(F$87:F91)</f>
        <v/>
      </c>
      <c r="G94" s="101">
        <f>PRODUCT(G$87:G91)</f>
        <v/>
      </c>
      <c r="N94" s="101" t="n"/>
      <c r="O94" s="101" t="n"/>
      <c r="P94" s="101" t="n"/>
      <c r="Q94" s="101" t="n"/>
      <c r="R94" s="101" t="n"/>
      <c r="S94" s="101" t="n"/>
      <c r="T94" s="101" t="n"/>
    </row>
    <row r="95" ht="12.75" customFormat="1" customHeight="1" s="101">
      <c r="N95" s="101" t="n"/>
      <c r="O95" s="101" t="n"/>
      <c r="P95" s="101" t="n"/>
      <c r="Q95" s="101" t="n"/>
      <c r="R95" s="101" t="n"/>
      <c r="S95" s="101" t="n"/>
      <c r="T95" s="101" t="n"/>
    </row>
    <row r="96" ht="12.75" customFormat="1" customHeight="1" s="101">
      <c r="G96" s="174" t="n"/>
      <c r="N96" s="101" t="n"/>
      <c r="O96" s="101" t="n"/>
      <c r="P96" s="101" t="n"/>
      <c r="Q96" s="101" t="n"/>
      <c r="R96" s="101" t="n"/>
      <c r="S96" s="101" t="n"/>
      <c r="T96" s="101" t="n"/>
    </row>
    <row r="97" ht="12.75" customFormat="1" customHeight="1" s="101">
      <c r="B97" s="176" t="n"/>
      <c r="C97" s="176" t="n"/>
      <c r="D97" s="176" t="n"/>
      <c r="E97" s="176" t="n"/>
      <c r="F97" s="176" t="n"/>
      <c r="G97" s="176">
        <f>G98*G$37</f>
        <v/>
      </c>
      <c r="N97" s="101" t="n"/>
      <c r="O97" s="101" t="n"/>
      <c r="P97" s="101" t="n"/>
      <c r="Q97" s="101" t="n"/>
      <c r="R97" s="101" t="n"/>
      <c r="S97" s="101" t="n"/>
      <c r="T97" s="101" t="n"/>
    </row>
    <row r="98" ht="12.75" customFormat="1" customHeight="1" s="101">
      <c r="B98" s="176" t="n"/>
      <c r="C98" s="176" t="n"/>
      <c r="D98" s="176" t="n"/>
      <c r="E98" s="176" t="n"/>
      <c r="F98" s="176">
        <f>F99*F$37</f>
        <v/>
      </c>
      <c r="G98" s="176">
        <f>G99*G$37</f>
        <v/>
      </c>
      <c r="N98" s="101" t="n"/>
      <c r="O98" s="101" t="n"/>
      <c r="P98" s="101" t="n"/>
      <c r="Q98" s="101" t="n"/>
      <c r="R98" s="101" t="n"/>
      <c r="S98" s="101" t="n"/>
      <c r="T98" s="101" t="n"/>
    </row>
    <row r="99" ht="12.75" customFormat="1" customHeight="1" s="101">
      <c r="B99" s="176" t="n"/>
      <c r="C99" s="176" t="n"/>
      <c r="D99" s="176" t="n"/>
      <c r="E99" s="176">
        <f>E100*E$37</f>
        <v/>
      </c>
      <c r="F99" s="176">
        <f>F100*F$37</f>
        <v/>
      </c>
      <c r="G99" s="176">
        <f>G100*G$37</f>
        <v/>
      </c>
      <c r="N99" s="101" t="n"/>
      <c r="O99" s="101" t="n"/>
      <c r="P99" s="101" t="n"/>
      <c r="Q99" s="101" t="n"/>
      <c r="R99" s="101" t="n"/>
      <c r="S99" s="101" t="n"/>
      <c r="T99" s="101" t="n"/>
    </row>
    <row r="100" ht="12.75" customFormat="1" customHeight="1" s="101">
      <c r="B100" s="176" t="n"/>
      <c r="C100" s="176" t="n"/>
      <c r="D100" s="176">
        <f>D101*D$37</f>
        <v/>
      </c>
      <c r="E100" s="176">
        <f>E101*E$37</f>
        <v/>
      </c>
      <c r="F100" s="176">
        <f>F101*F$37</f>
        <v/>
      </c>
      <c r="G100" s="176">
        <f>G101*G$37</f>
        <v/>
      </c>
      <c r="N100" s="101" t="n"/>
      <c r="O100" s="101" t="n"/>
      <c r="P100" s="101" t="n"/>
      <c r="Q100" s="101" t="n"/>
      <c r="R100" s="101" t="n"/>
      <c r="S100" s="101" t="n"/>
      <c r="T100" s="101" t="n"/>
    </row>
    <row r="101" ht="12.75" customFormat="1" customHeight="1" s="101">
      <c r="B101" s="176" t="n"/>
      <c r="C101" s="176">
        <f>C102*C$37</f>
        <v/>
      </c>
      <c r="D101" s="176">
        <f>D102*D$37</f>
        <v/>
      </c>
      <c r="E101" s="176">
        <f>E102*E$37</f>
        <v/>
      </c>
      <c r="F101" s="176">
        <f>F102*F$37</f>
        <v/>
      </c>
      <c r="G101" s="176">
        <f>G102*G$37</f>
        <v/>
      </c>
      <c r="N101" s="101" t="n"/>
      <c r="O101" s="101" t="n"/>
      <c r="P101" s="101" t="n"/>
      <c r="Q101" s="101" t="n"/>
      <c r="R101" s="101" t="n"/>
      <c r="S101" s="101" t="n"/>
      <c r="T101" s="101" t="n"/>
    </row>
    <row r="102" ht="12.75" customFormat="1" customHeight="1" s="101">
      <c r="A102" s="101" t="inlineStr">
        <is>
          <t>Discount function lattice</t>
        </is>
      </c>
      <c r="B102" s="176">
        <f>B36</f>
        <v/>
      </c>
      <c r="C102" s="176">
        <f>C36*C93/C94*2</f>
        <v/>
      </c>
      <c r="D102" s="176">
        <f>D36*D93/D94*2</f>
        <v/>
      </c>
      <c r="E102" s="176">
        <f>E36*E93/E94*2</f>
        <v/>
      </c>
      <c r="F102" s="176">
        <f>F36*F93/F94*2</f>
        <v/>
      </c>
      <c r="G102" s="176">
        <f>G36*G93/G94*2</f>
        <v/>
      </c>
      <c r="N102" s="101" t="n"/>
      <c r="O102" s="101" t="n"/>
      <c r="P102" s="101" t="n"/>
      <c r="Q102" s="101" t="n"/>
      <c r="R102" s="101" t="n"/>
      <c r="S102" s="101" t="n"/>
      <c r="T102" s="101" t="n"/>
    </row>
    <row r="103" ht="12.75" customFormat="1" customHeight="1" s="101">
      <c r="A103" s="164" t="inlineStr">
        <is>
          <t>year</t>
        </is>
      </c>
      <c r="B103" s="164" t="n">
        <v>0</v>
      </c>
      <c r="C103" s="164" t="n">
        <v>1</v>
      </c>
      <c r="D103" s="164" t="n">
        <v>2</v>
      </c>
      <c r="E103" s="164" t="n">
        <v>3</v>
      </c>
      <c r="F103" s="164" t="n">
        <v>4</v>
      </c>
      <c r="G103" s="164" t="n">
        <v>5</v>
      </c>
      <c r="N103" s="101" t="n"/>
      <c r="O103" s="101" t="n"/>
      <c r="P103" s="101" t="n"/>
      <c r="Q103" s="101" t="n"/>
      <c r="R103" s="101" t="n"/>
      <c r="S103" s="101" t="n"/>
      <c r="T103" s="101" t="n"/>
    </row>
    <row r="104" ht="13.5" customFormat="1" customHeight="1" s="101">
      <c r="I104" s="169" t="n"/>
      <c r="N104" s="101" t="n"/>
      <c r="O104" s="101" t="n"/>
      <c r="P104" s="101" t="n"/>
      <c r="Q104" s="101" t="n"/>
      <c r="R104" s="101" t="n"/>
      <c r="S104" s="101" t="n"/>
      <c r="T104" s="101" t="n"/>
    </row>
    <row r="105" ht="12.75" customFormat="1" customHeight="1" s="101">
      <c r="G105" s="101">
        <f>-LN(G97)</f>
        <v/>
      </c>
      <c r="N105" s="101" t="n"/>
      <c r="O105" s="101" t="n"/>
      <c r="P105" s="101" t="n"/>
      <c r="Q105" s="101" t="n"/>
      <c r="R105" s="101" t="n"/>
      <c r="S105" s="101" t="n"/>
      <c r="T105" s="101" t="n"/>
    </row>
    <row r="106" ht="12.75" customFormat="1" customHeight="1" s="101">
      <c r="F106" s="101">
        <f>-LN(F98)</f>
        <v/>
      </c>
      <c r="G106" s="101">
        <f>-LN(G98)</f>
        <v/>
      </c>
      <c r="N106" s="101" t="n"/>
      <c r="O106" s="101" t="n"/>
      <c r="P106" s="101" t="n"/>
      <c r="Q106" s="101" t="n"/>
      <c r="R106" s="101" t="n"/>
      <c r="S106" s="101" t="n"/>
      <c r="T106" s="101" t="n"/>
    </row>
    <row r="107" ht="12.75" customFormat="1" customHeight="1" s="101">
      <c r="E107" s="101">
        <f>-LN(E99)</f>
        <v/>
      </c>
      <c r="F107" s="101">
        <f>-LN(F99)</f>
        <v/>
      </c>
      <c r="G107" s="101">
        <f>-LN(G99)</f>
        <v/>
      </c>
      <c r="N107" s="101" t="n"/>
      <c r="O107" s="101" t="n"/>
      <c r="P107" s="101" t="n"/>
      <c r="Q107" s="101" t="n"/>
      <c r="R107" s="101" t="n"/>
      <c r="S107" s="101" t="n"/>
      <c r="T107" s="101" t="n"/>
    </row>
    <row r="108" ht="12.75" customFormat="1" customHeight="1" s="101">
      <c r="D108" s="101">
        <f>-LN(D100)</f>
        <v/>
      </c>
      <c r="E108" s="101">
        <f>-LN(E100)</f>
        <v/>
      </c>
      <c r="F108" s="101">
        <f>-LN(F100)</f>
        <v/>
      </c>
      <c r="G108" s="101">
        <f>-LN(G100)</f>
        <v/>
      </c>
      <c r="N108" s="101" t="n"/>
      <c r="O108" s="101" t="n"/>
      <c r="P108" s="101" t="n"/>
      <c r="Q108" s="101" t="n"/>
      <c r="R108" s="101" t="n"/>
      <c r="S108" s="101" t="n"/>
      <c r="T108" s="101" t="n"/>
    </row>
    <row r="109" ht="12.75" customFormat="1" customHeight="1" s="101">
      <c r="C109" s="101">
        <f>-LN(C101)</f>
        <v/>
      </c>
      <c r="D109" s="101">
        <f>-LN(D101)</f>
        <v/>
      </c>
      <c r="E109" s="101">
        <f>-LN(E101)</f>
        <v/>
      </c>
      <c r="F109" s="101">
        <f>-LN(F101)</f>
        <v/>
      </c>
      <c r="G109" s="101">
        <f>-LN(G101)</f>
        <v/>
      </c>
      <c r="N109" s="101" t="n"/>
      <c r="O109" s="101" t="n"/>
      <c r="P109" s="101" t="n"/>
      <c r="Q109" s="101" t="n"/>
      <c r="R109" s="101" t="n"/>
      <c r="S109" s="101" t="n"/>
      <c r="T109" s="101" t="n"/>
    </row>
    <row r="110" ht="12.75" customFormat="1" customHeight="1" s="101">
      <c r="A110" s="101" t="inlineStr">
        <is>
          <t>Interest rate lattice</t>
        </is>
      </c>
      <c r="B110" s="101">
        <f>-LN(B102)</f>
        <v/>
      </c>
      <c r="C110" s="101">
        <f>-LN(C102)</f>
        <v/>
      </c>
      <c r="D110" s="101">
        <f>-LN(D102)</f>
        <v/>
      </c>
      <c r="E110" s="101">
        <f>-LN(E102)</f>
        <v/>
      </c>
      <c r="F110" s="101">
        <f>-LN(F102)</f>
        <v/>
      </c>
      <c r="G110" s="101">
        <f>-LN(G102)</f>
        <v/>
      </c>
      <c r="N110" s="101" t="n"/>
      <c r="O110" s="101" t="n"/>
      <c r="P110" s="101" t="n"/>
      <c r="Q110" s="101" t="n"/>
      <c r="R110" s="101" t="n"/>
      <c r="S110" s="101" t="n"/>
      <c r="T110" s="101" t="n"/>
    </row>
    <row r="111" ht="12.75" customFormat="1" customHeight="1" s="101">
      <c r="A111" s="164" t="inlineStr">
        <is>
          <t>year</t>
        </is>
      </c>
      <c r="B111" s="164" t="n">
        <v>0</v>
      </c>
      <c r="C111" s="164" t="n">
        <v>1</v>
      </c>
      <c r="D111" s="164" t="n">
        <v>2</v>
      </c>
      <c r="E111" s="164" t="n">
        <v>3</v>
      </c>
      <c r="F111" s="164" t="n">
        <v>4</v>
      </c>
      <c r="G111" s="164" t="n">
        <v>5</v>
      </c>
      <c r="N111" s="101" t="n"/>
      <c r="O111" s="101" t="n"/>
      <c r="P111" s="101" t="n"/>
      <c r="Q111" s="101" t="n"/>
      <c r="R111" s="101" t="n"/>
      <c r="S111" s="101" t="n"/>
      <c r="T111" s="101" t="n"/>
    </row>
    <row r="112" ht="12.75" customFormat="1" customHeight="1" s="101">
      <c r="N112" s="101" t="n"/>
      <c r="O112" s="101" t="n"/>
      <c r="P112" s="101" t="n"/>
      <c r="Q112" s="101" t="n"/>
      <c r="R112" s="101" t="n"/>
      <c r="S112" s="101" t="n"/>
      <c r="T112" s="101" t="n"/>
    </row>
    <row r="113" ht="12.75" customFormat="1" customHeight="1" s="101">
      <c r="G113" s="101">
        <f>(G105-G106)/(2*G$31)</f>
        <v/>
      </c>
      <c r="N113" s="101" t="n"/>
      <c r="O113" s="101" t="n"/>
      <c r="P113" s="101" t="n"/>
      <c r="Q113" s="101" t="n"/>
      <c r="R113" s="101" t="n"/>
      <c r="S113" s="101" t="n"/>
      <c r="T113" s="101" t="n"/>
    </row>
    <row r="114" ht="12.75" customFormat="1" customHeight="1" s="101">
      <c r="F114" s="101">
        <f>(F106-F107)/(2*F$31)</f>
        <v/>
      </c>
      <c r="G114" s="101">
        <f>(G106-G107)/(2*G$31)</f>
        <v/>
      </c>
      <c r="N114" s="101" t="n"/>
      <c r="O114" s="101" t="n"/>
      <c r="P114" s="101" t="n"/>
      <c r="Q114" s="101" t="n"/>
      <c r="R114" s="101" t="n"/>
      <c r="S114" s="101" t="n"/>
      <c r="T114" s="101" t="n"/>
    </row>
    <row r="115" ht="12.75" customFormat="1" customHeight="1" s="101">
      <c r="E115" s="101">
        <f>(E107-E108)/(2*E$31)</f>
        <v/>
      </c>
      <c r="F115" s="101">
        <f>(F107-F108)/(2*F$31)</f>
        <v/>
      </c>
      <c r="G115" s="101">
        <f>(G107-G108)/(2*G$31)</f>
        <v/>
      </c>
      <c r="N115" s="101" t="n"/>
      <c r="O115" s="101" t="n"/>
      <c r="P115" s="101" t="n"/>
      <c r="Q115" s="101" t="n"/>
      <c r="R115" s="101" t="n"/>
      <c r="S115" s="101" t="n"/>
      <c r="T115" s="101" t="n"/>
    </row>
    <row r="116" ht="12.75" customFormat="1" customHeight="1" s="101">
      <c r="D116" s="101">
        <f>(D108-D109)/(2*D$31)</f>
        <v/>
      </c>
      <c r="E116" s="101">
        <f>(E108-E109)/(2*E$31)</f>
        <v/>
      </c>
      <c r="F116" s="101">
        <f>(F108-F109)/(2*F$31)</f>
        <v/>
      </c>
      <c r="G116" s="101">
        <f>(G108-G109)/(2*G$31)</f>
        <v/>
      </c>
      <c r="N116" s="101" t="n"/>
      <c r="O116" s="101" t="n"/>
      <c r="P116" s="101" t="n"/>
      <c r="Q116" s="101" t="n"/>
      <c r="R116" s="101" t="n"/>
      <c r="S116" s="101" t="n"/>
      <c r="T116" s="101" t="n"/>
    </row>
    <row r="117" ht="12.75" customFormat="1" customHeight="1" s="101">
      <c r="A117" s="101" t="inlineStr">
        <is>
          <t>Time-varying forward volatility lattice</t>
        </is>
      </c>
      <c r="C117" s="101">
        <f>(C109-C110)/(2*C$31)</f>
        <v/>
      </c>
      <c r="D117" s="101">
        <f>(D109-D110)/(2*D$31)</f>
        <v/>
      </c>
      <c r="E117" s="101">
        <f>(E109-E110)/(2*E$31)</f>
        <v/>
      </c>
      <c r="F117" s="101">
        <f>(F109-F110)/(2*F$31)</f>
        <v/>
      </c>
      <c r="G117" s="101">
        <f>(G109-G110)/(2*G$31)</f>
        <v/>
      </c>
      <c r="N117" s="101" t="n"/>
      <c r="O117" s="101" t="n"/>
      <c r="P117" s="101" t="n"/>
      <c r="Q117" s="101" t="n"/>
      <c r="R117" s="101" t="n"/>
      <c r="S117" s="101" t="n"/>
      <c r="T117" s="101" t="n"/>
    </row>
    <row r="118" ht="12.75" customFormat="1" customHeight="1" s="101">
      <c r="A118" s="164" t="inlineStr">
        <is>
          <t>year</t>
        </is>
      </c>
      <c r="B118" s="164" t="n">
        <v>0</v>
      </c>
      <c r="C118" s="164" t="n">
        <v>1</v>
      </c>
      <c r="D118" s="164" t="n">
        <v>2</v>
      </c>
      <c r="E118" s="164" t="n">
        <v>3</v>
      </c>
      <c r="F118" s="164" t="n">
        <v>4</v>
      </c>
      <c r="G118" s="164" t="n">
        <v>5</v>
      </c>
      <c r="N118" s="101" t="n"/>
      <c r="O118" s="101" t="n"/>
      <c r="P118" s="101" t="n"/>
      <c r="Q118" s="101" t="n"/>
      <c r="R118" s="101" t="n"/>
      <c r="S118" s="101" t="n"/>
      <c r="T118" s="101" t="n"/>
    </row>
  </sheetData>
  <hyperlinks>
    <hyperlink xmlns:r="http://schemas.openxmlformats.org/officeDocument/2006/relationships" ref="B7" display="leesb@hanyang.ac.kr" r:id="rId1"/>
    <hyperlink xmlns:r="http://schemas.openxmlformats.org/officeDocument/2006/relationships" ref="B23" display="http://www.federalreserve.gov/" r:id="rId2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T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45" activeCellId="0" sqref="F45"/>
    </sheetView>
  </sheetViews>
  <sheetFormatPr baseColWidth="8" defaultColWidth="6.21484375" defaultRowHeight="12.75" zeroHeight="0" outlineLevelRow="0"/>
  <cols>
    <col width="20.43" customWidth="1" style="178" min="1" max="1"/>
    <col width="6.22" customWidth="1" style="178" min="2" max="257"/>
  </cols>
  <sheetData>
    <row r="1" ht="12.75" customFormat="1" customHeight="1" s="99">
      <c r="A1" s="100" t="inlineStr">
        <is>
          <t xml:space="preserve">SMM, CRR, PSA </t>
        </is>
      </c>
      <c r="D1" s="99" t="inlineStr">
        <is>
          <t>© copyright THC 2003</t>
        </is>
      </c>
      <c r="K1" s="99" t="inlineStr">
        <is>
          <t>All rights reserved by Thomas Ho Company, NY, NY</t>
        </is>
      </c>
    </row>
    <row r="2" ht="12.75" customFormat="1" customHeight="1" s="101">
      <c r="A2" s="102" t="inlineStr">
        <is>
          <t>reference number</t>
        </is>
      </c>
      <c r="B2" s="101" t="inlineStr">
        <is>
          <t># 71</t>
        </is>
      </c>
      <c r="C2" s="103" t="inlineStr">
        <is>
          <t>classification#</t>
        </is>
      </c>
      <c r="D2" s="101" t="n">
        <v>100302</v>
      </c>
      <c r="E2" s="104" t="n"/>
    </row>
    <row r="3" ht="12.75" customFormat="1" customHeight="1" s="101">
      <c r="A3" s="102" t="inlineStr">
        <is>
          <t>Version</t>
        </is>
      </c>
      <c r="B3" s="105" t="n">
        <v>1</v>
      </c>
      <c r="C3" s="102" t="inlineStr">
        <is>
          <t>level</t>
        </is>
      </c>
      <c r="D3" s="106" t="inlineStr">
        <is>
          <t>advanced</t>
        </is>
      </c>
      <c r="F3" s="107" t="inlineStr">
        <is>
          <t>Instructions</t>
        </is>
      </c>
      <c r="G3" s="108" t="n"/>
      <c r="H3" s="108" t="n"/>
      <c r="I3" s="108" t="n"/>
      <c r="J3" s="108" t="n"/>
      <c r="K3" s="108" t="n"/>
      <c r="L3" s="108" t="n"/>
      <c r="M3" s="108" t="n"/>
      <c r="N3" s="108" t="n"/>
      <c r="O3" s="108" t="n"/>
      <c r="P3" s="108" t="n"/>
      <c r="Q3" s="108" t="n"/>
      <c r="R3" s="108" t="n"/>
      <c r="S3" s="109" t="n"/>
    </row>
    <row r="4" ht="12.75" customFormat="1" customHeight="1" s="101">
      <c r="A4" s="102" t="inlineStr">
        <is>
          <t>publication date</t>
        </is>
      </c>
      <c r="B4" s="110" t="n">
        <v>37774</v>
      </c>
      <c r="F4" s="111" t="inlineStr">
        <is>
          <t>We have three different ways to calculate the prepayment speed.</t>
        </is>
      </c>
      <c r="G4" s="112" t="n"/>
      <c r="H4" s="112" t="n"/>
      <c r="I4" s="112" t="n"/>
      <c r="J4" s="112" t="n"/>
      <c r="K4" s="112" t="n"/>
      <c r="L4" s="112" t="n"/>
      <c r="M4" s="112" t="n"/>
      <c r="N4" s="112" t="n"/>
      <c r="O4" s="112" t="n"/>
      <c r="P4" s="112" t="n"/>
      <c r="Q4" s="112" t="n"/>
      <c r="R4" s="112" t="n"/>
      <c r="S4" s="113" t="n"/>
    </row>
    <row r="5" ht="12.75" customFormat="1" customHeight="1" s="101">
      <c r="A5" s="102" t="inlineStr">
        <is>
          <t>author</t>
        </is>
      </c>
      <c r="B5" s="106" t="inlineStr">
        <is>
          <t>Hanyang Financial Engineering Lab.</t>
        </is>
      </c>
      <c r="C5" s="106" t="n"/>
      <c r="D5" s="106" t="n"/>
      <c r="E5" s="106" t="n"/>
      <c r="F5" s="114" t="n"/>
      <c r="G5" s="112" t="n"/>
      <c r="H5" s="112" t="n"/>
      <c r="I5" s="112" t="n"/>
      <c r="J5" s="112" t="n"/>
      <c r="K5" s="112" t="n"/>
      <c r="L5" s="112" t="n"/>
      <c r="M5" s="112" t="n"/>
      <c r="N5" s="112" t="n"/>
      <c r="O5" s="112" t="n"/>
      <c r="P5" s="112" t="n"/>
      <c r="Q5" s="112" t="n"/>
      <c r="R5" s="112" t="n"/>
      <c r="S5" s="113" t="n"/>
    </row>
    <row r="6" ht="12.75" customFormat="1" customHeight="1" s="101">
      <c r="A6" s="102" t="inlineStr">
        <is>
          <t>affiliation</t>
        </is>
      </c>
      <c r="B6" s="106" t="inlineStr">
        <is>
          <t>Hanyang University</t>
        </is>
      </c>
      <c r="C6" s="106" t="n"/>
      <c r="D6" s="106" t="n"/>
      <c r="F6" s="115" t="n"/>
      <c r="G6" s="116" t="n"/>
      <c r="H6" s="116" t="n"/>
      <c r="I6" s="116" t="n"/>
      <c r="J6" s="116" t="n"/>
      <c r="K6" s="116" t="n"/>
      <c r="L6" s="116" t="n"/>
      <c r="M6" s="116" t="n"/>
      <c r="N6" s="116" t="n"/>
      <c r="O6" s="116" t="n"/>
      <c r="P6" s="116" t="n"/>
      <c r="Q6" s="116" t="n"/>
      <c r="R6" s="116" t="n"/>
      <c r="S6" s="117" t="n"/>
    </row>
    <row r="7" ht="12.75" customFormat="1" customHeight="1" s="101">
      <c r="A7" s="102" t="inlineStr">
        <is>
          <t>email address</t>
        </is>
      </c>
      <c r="B7" s="118" t="inlineStr">
        <is>
          <t>leesb@hanyang.ac.kr</t>
        </is>
      </c>
      <c r="C7" s="118" t="n"/>
      <c r="D7" s="118" t="n"/>
      <c r="E7" s="119" t="n"/>
      <c r="F7" s="120" t="inlineStr">
        <is>
          <t>input</t>
        </is>
      </c>
      <c r="G7" s="121" t="inlineStr">
        <is>
          <t>Scheduled balance, Actual balance</t>
        </is>
      </c>
      <c r="H7" s="122" t="n"/>
      <c r="I7" s="122" t="n"/>
      <c r="J7" s="122" t="n"/>
      <c r="K7" s="122" t="n"/>
      <c r="L7" s="122" t="n"/>
      <c r="M7" s="122" t="n"/>
      <c r="N7" s="123" t="n"/>
      <c r="O7" s="123" t="n"/>
      <c r="P7" s="123" t="n"/>
      <c r="Q7" s="123" t="n"/>
      <c r="R7" s="123" t="n"/>
      <c r="S7" s="124" t="n"/>
    </row>
    <row r="8" ht="12.75" customFormat="1" customHeight="1" s="101">
      <c r="A8" s="102" t="inlineStr">
        <is>
          <t>last revised date</t>
        </is>
      </c>
      <c r="B8" s="125" t="n">
        <v>37952</v>
      </c>
      <c r="C8" s="119" t="n"/>
      <c r="D8" s="119" t="n"/>
      <c r="E8" s="119" t="n"/>
      <c r="F8" s="126" t="inlineStr">
        <is>
          <t>output</t>
        </is>
      </c>
      <c r="G8" s="127" t="inlineStr">
        <is>
          <t>SMM, CRR and PSA</t>
        </is>
      </c>
      <c r="H8" s="128" t="n"/>
      <c r="I8" s="128" t="n"/>
      <c r="J8" s="128" t="n"/>
      <c r="K8" s="128" t="n"/>
      <c r="L8" s="128" t="n"/>
      <c r="M8" s="128" t="n"/>
      <c r="N8" s="128" t="n"/>
      <c r="O8" s="128" t="n"/>
      <c r="P8" s="128" t="n"/>
      <c r="Q8" s="128" t="n"/>
      <c r="R8" s="128" t="n"/>
      <c r="S8" s="129" t="n"/>
    </row>
    <row r="9" ht="12.75" customFormat="1" customHeight="1" s="101">
      <c r="A9" s="102" t="inlineStr">
        <is>
          <t>references</t>
        </is>
      </c>
      <c r="B9" s="119" t="inlineStr">
        <is>
          <t>Ch.10 of "The Oxford Guide to Financial Modeling" by Thomas S.Y. Ho and Sang Bin Lee, 2003, Oxford University Press</t>
        </is>
      </c>
      <c r="C9" s="119" t="n"/>
      <c r="D9" s="119" t="n"/>
      <c r="E9" s="119" t="n"/>
      <c r="F9" s="119" t="n"/>
      <c r="G9" s="106" t="n"/>
      <c r="H9" s="101" t="n"/>
      <c r="I9" s="101" t="n"/>
      <c r="J9" s="101" t="n"/>
      <c r="K9" s="101" t="n"/>
      <c r="L9" s="101" t="n"/>
      <c r="M9" s="101" t="n"/>
      <c r="N9" s="101" t="n"/>
      <c r="O9" s="101" t="n"/>
      <c r="P9" s="101" t="n"/>
      <c r="Q9" s="101" t="n"/>
      <c r="R9" s="101" t="n"/>
    </row>
    <row r="10" ht="12.75" customFormat="1" customHeight="1" s="101">
      <c r="A10" s="102" t="n"/>
      <c r="C10" s="119" t="n"/>
      <c r="D10" s="119" t="n"/>
      <c r="E10" s="119" t="n"/>
      <c r="F10" s="119" t="n"/>
      <c r="G10" s="106" t="n"/>
      <c r="H10" s="101" t="n"/>
      <c r="I10" s="101" t="n"/>
      <c r="J10" s="101" t="n"/>
      <c r="K10" s="101" t="n"/>
      <c r="L10" s="101" t="n"/>
      <c r="M10" s="101" t="n"/>
      <c r="N10" s="101" t="n"/>
      <c r="O10" s="101" t="n"/>
      <c r="P10" s="101" t="n"/>
      <c r="Q10" s="101" t="n"/>
      <c r="R10" s="101" t="n"/>
    </row>
    <row r="11" ht="12.75" customFormat="1" customHeight="1" s="130">
      <c r="A11" s="131" t="inlineStr">
        <is>
          <t>Descriptions</t>
        </is>
      </c>
      <c r="B11" s="132" t="n"/>
      <c r="C11" s="132" t="n"/>
      <c r="D11" s="132" t="n"/>
      <c r="E11" s="132" t="n"/>
      <c r="F11" s="132" t="n"/>
      <c r="G11" s="133" t="n"/>
    </row>
    <row r="12" ht="12.75" customFormat="1" customHeight="1" s="101">
      <c r="A12" s="134" t="n"/>
      <c r="B12" s="135" t="n"/>
      <c r="C12" s="135" t="n"/>
      <c r="D12" s="135" t="n"/>
      <c r="E12" s="135" t="n"/>
      <c r="F12" s="135" t="n"/>
      <c r="G12" s="106" t="n"/>
      <c r="H12" s="101" t="n"/>
      <c r="I12" s="101" t="n"/>
      <c r="J12" s="101" t="n"/>
      <c r="K12" s="101" t="n"/>
      <c r="L12" s="101" t="n"/>
      <c r="M12" s="101" t="n"/>
      <c r="N12" s="101" t="n"/>
      <c r="P12" s="101" t="n"/>
      <c r="Q12" s="101" t="n"/>
      <c r="R12" s="101" t="n"/>
    </row>
    <row r="13" ht="12.75" customFormat="1" customHeight="1" s="101">
      <c r="A13" s="136" t="inlineStr">
        <is>
          <t>financial model class</t>
        </is>
      </c>
      <c r="B13" s="137" t="inlineStr">
        <is>
          <t>the behavioral models</t>
        </is>
      </c>
      <c r="C13" s="137" t="n"/>
      <c r="D13" s="137" t="n"/>
      <c r="E13" s="137" t="n"/>
      <c r="F13" s="138" t="n"/>
      <c r="G13" s="101" t="n"/>
      <c r="H13" s="101" t="n"/>
      <c r="I13" s="101" t="n"/>
      <c r="J13" s="101" t="n"/>
      <c r="K13" s="101" t="n"/>
      <c r="L13" s="101" t="n"/>
      <c r="M13" s="101" t="n"/>
      <c r="N13" s="101" t="n"/>
      <c r="P13" s="101" t="n"/>
      <c r="Q13" s="101" t="n"/>
      <c r="R13" s="101" t="n"/>
    </row>
    <row r="14" ht="12.75" customFormat="1" customHeight="1" s="101">
      <c r="A14" s="139" t="inlineStr">
        <is>
          <t>issuer/modeler</t>
        </is>
      </c>
      <c r="B14" s="135" t="inlineStr">
        <is>
          <t>N/A</t>
        </is>
      </c>
      <c r="C14" s="135" t="n"/>
      <c r="D14" s="135" t="n"/>
      <c r="E14" s="135" t="n"/>
      <c r="F14" s="140" t="n"/>
      <c r="P14" s="101" t="n"/>
      <c r="Q14" s="101" t="n"/>
      <c r="R14" s="101" t="n"/>
    </row>
    <row r="15" ht="12.75" customFormat="1" customHeight="1" s="101">
      <c r="A15" s="139" t="inlineStr">
        <is>
          <t>model type</t>
        </is>
      </c>
      <c r="B15" s="135" t="inlineStr">
        <is>
          <t>Collateralized Mortgage Obligations</t>
        </is>
      </c>
      <c r="C15" s="135" t="n"/>
      <c r="D15" s="135" t="n"/>
      <c r="E15" s="135" t="n"/>
      <c r="F15" s="140" t="n"/>
      <c r="P15" s="101" t="n"/>
      <c r="Q15" s="101" t="n"/>
      <c r="R15" s="101" t="n"/>
    </row>
    <row r="16" ht="12.75" customFormat="1" customHeight="1" s="101">
      <c r="A16" s="139" t="inlineStr">
        <is>
          <t>risk sources</t>
        </is>
      </c>
      <c r="B16" s="135" t="inlineStr">
        <is>
          <t>interest rate</t>
        </is>
      </c>
      <c r="C16" s="135" t="n"/>
      <c r="D16" s="135" t="n"/>
      <c r="E16" s="135" t="n"/>
      <c r="F16" s="140" t="n"/>
      <c r="H16" s="101" t="n"/>
      <c r="I16" s="101" t="n"/>
      <c r="P16" s="101" t="n"/>
      <c r="Q16" s="101" t="n"/>
      <c r="R16" s="101" t="n"/>
    </row>
    <row r="17" ht="12.75" customFormat="1" customHeight="1" s="101">
      <c r="A17" s="139" t="inlineStr">
        <is>
          <t>risk distribution</t>
        </is>
      </c>
      <c r="B17" s="135" t="inlineStr">
        <is>
          <t>normal</t>
        </is>
      </c>
      <c r="C17" s="135" t="n"/>
      <c r="D17" s="135" t="n"/>
      <c r="E17" s="135" t="n"/>
      <c r="F17" s="140" t="n"/>
      <c r="H17" s="141" t="n"/>
      <c r="I17" s="101" t="n"/>
      <c r="P17" s="101" t="n"/>
      <c r="Q17" s="101" t="n"/>
      <c r="R17" s="101" t="n"/>
    </row>
    <row r="18" ht="12.75" customFormat="1" customHeight="1" s="101">
      <c r="A18" s="139" t="inlineStr">
        <is>
          <t>economic assumptions</t>
        </is>
      </c>
      <c r="B18" s="114" t="inlineStr">
        <is>
          <t>contingent claim model</t>
        </is>
      </c>
      <c r="C18" s="135" t="n"/>
      <c r="D18" s="135" t="n"/>
      <c r="E18" s="135" t="n"/>
      <c r="F18" s="140" t="n"/>
      <c r="P18" s="101" t="n"/>
      <c r="Q18" s="101" t="n"/>
      <c r="R18" s="101" t="n"/>
    </row>
    <row r="19" ht="12.75" customFormat="1" customHeight="1" s="101">
      <c r="A19" s="142" t="inlineStr">
        <is>
          <t>technical assumptions</t>
        </is>
      </c>
      <c r="B19" s="143" t="inlineStr">
        <is>
          <t>m=1</t>
        </is>
      </c>
      <c r="C19" s="143" t="n"/>
      <c r="D19" s="143" t="n"/>
      <c r="E19" s="143" t="n"/>
      <c r="F19" s="144" t="n"/>
      <c r="P19" s="101" t="n"/>
      <c r="Q19" s="101" t="n"/>
      <c r="R19" s="101" t="n"/>
    </row>
    <row r="20" ht="12.75" customFormat="1" customHeight="1" s="101">
      <c r="A20" s="102" t="inlineStr">
        <is>
          <t>key words</t>
        </is>
      </c>
      <c r="B20" s="135" t="inlineStr">
        <is>
          <t>arbitrage-free interest rate model, contingent claim</t>
        </is>
      </c>
      <c r="C20" s="135" t="n"/>
      <c r="D20" s="135" t="n"/>
      <c r="E20" s="135" t="n"/>
      <c r="F20" s="135" t="n"/>
      <c r="P20" s="101" t="n"/>
      <c r="Q20" s="101" t="n"/>
      <c r="R20" s="101" t="n"/>
    </row>
    <row r="21" ht="12.75" customFormat="1" customHeight="1" s="101">
      <c r="A21" s="102" t="n"/>
      <c r="B21" s="125" t="n"/>
      <c r="C21" s="125" t="n"/>
      <c r="D21" s="125" t="n"/>
      <c r="E21" s="125" t="n"/>
      <c r="L21" s="101" t="n"/>
      <c r="M21" s="101" t="n"/>
      <c r="N21" s="101" t="n"/>
      <c r="O21" s="101" t="n"/>
      <c r="P21" s="101" t="n"/>
      <c r="Q21" s="101" t="n"/>
      <c r="R21" s="101" t="n"/>
    </row>
    <row r="22" ht="12.75" customFormat="1" customHeight="1" s="130">
      <c r="A22" s="131" t="inlineStr">
        <is>
          <t>Links</t>
        </is>
      </c>
      <c r="B22" s="145" t="n"/>
      <c r="C22" s="145" t="n"/>
      <c r="D22" s="145" t="n"/>
      <c r="E22" s="145" t="n"/>
    </row>
    <row r="23" ht="12.75" customFormat="1" customHeight="1" s="101">
      <c r="A23" s="102" t="inlineStr">
        <is>
          <t>data</t>
        </is>
      </c>
      <c r="B23" s="146" t="inlineStr">
        <is>
          <t>http://www.federalreserve.gov/</t>
        </is>
      </c>
      <c r="C23" s="125" t="n"/>
      <c r="D23" s="125" t="n"/>
      <c r="E23" s="125" t="n"/>
      <c r="L23" s="101" t="n"/>
      <c r="M23" s="101" t="n"/>
      <c r="N23" s="101" t="n"/>
      <c r="O23" s="101" t="n"/>
      <c r="P23" s="101" t="n"/>
      <c r="Q23" s="101" t="n"/>
      <c r="R23" s="101" t="n"/>
    </row>
    <row r="24" ht="12.75" customFormat="1" customHeight="1" s="101">
      <c r="A24" s="102" t="inlineStr">
        <is>
          <t>financial models</t>
        </is>
      </c>
      <c r="B24" s="147" t="inlineStr">
        <is>
          <t>7. Bond Arithmetic, 8. Bond Model, 21. Extended Ho-Lee Model, 53. Callable Bond Model</t>
        </is>
      </c>
      <c r="C24" s="125" t="n"/>
      <c r="D24" s="125" t="n"/>
      <c r="E24" s="125" t="n"/>
      <c r="F24" s="101" t="n"/>
      <c r="G24" s="101" t="n"/>
    </row>
    <row r="25" ht="12.75" customFormat="1" customHeight="1" s="101">
      <c r="A25" s="102" t="n"/>
      <c r="B25" s="118" t="n"/>
      <c r="C25" s="101" t="n"/>
      <c r="D25" s="101" t="n"/>
      <c r="E25" s="101" t="n"/>
      <c r="F25" s="101" t="n"/>
      <c r="G25" s="101" t="n"/>
    </row>
    <row r="26" ht="12.75" customFormat="1" customHeight="1" s="99">
      <c r="A26" s="100" t="inlineStr">
        <is>
          <t>Inputs</t>
        </is>
      </c>
      <c r="B26" s="100" t="n"/>
      <c r="N26" s="99" t="n"/>
      <c r="O26" s="99" t="n"/>
      <c r="P26" s="99" t="n"/>
      <c r="Q26" s="99" t="n"/>
      <c r="R26" s="99" t="n"/>
      <c r="S26" s="99" t="n"/>
      <c r="T26" s="99" t="n"/>
    </row>
    <row r="28" ht="12.75" customHeight="1" s="148">
      <c r="A28" s="98" t="inlineStr">
        <is>
          <t>Scheduled Balance($)</t>
        </is>
      </c>
      <c r="D28" s="179" t="n">
        <v>100</v>
      </c>
      <c r="E28" s="180" t="inlineStr">
        <is>
          <t>&lt;=</t>
        </is>
      </c>
      <c r="F28" s="178" t="inlineStr">
        <is>
          <t>Monthly</t>
        </is>
      </c>
    </row>
    <row r="29" ht="12.75" customHeight="1" s="148">
      <c r="A29" s="98" t="inlineStr">
        <is>
          <t>Actual Balace($)</t>
        </is>
      </c>
      <c r="D29" s="179" t="n">
        <v>90</v>
      </c>
      <c r="E29" s="180" t="inlineStr">
        <is>
          <t>&lt;=</t>
        </is>
      </c>
      <c r="F29" s="178" t="inlineStr">
        <is>
          <t>Monthly</t>
        </is>
      </c>
    </row>
    <row r="32" ht="12.75" customFormat="1" customHeight="1" s="99">
      <c r="A32" s="100" t="inlineStr">
        <is>
          <t>Outputs</t>
        </is>
      </c>
      <c r="B32" s="100" t="n"/>
      <c r="N32" s="99" t="n"/>
      <c r="O32" s="99" t="n"/>
      <c r="P32" s="99" t="n"/>
      <c r="Q32" s="99" t="n"/>
      <c r="R32" s="99" t="n"/>
      <c r="S32" s="99" t="n"/>
      <c r="T32" s="99" t="n"/>
    </row>
    <row r="34" ht="12.75" customHeight="1" s="148">
      <c r="A34" s="98" t="inlineStr">
        <is>
          <t>SMM</t>
        </is>
      </c>
      <c r="B34" s="181">
        <f>100*(D28-D29)/D28</f>
        <v/>
      </c>
    </row>
    <row r="35" ht="12.75" customHeight="1" s="148">
      <c r="A35" s="98" t="n"/>
      <c r="B35" s="181" t="n"/>
    </row>
    <row r="36" ht="12.75" customHeight="1" s="148">
      <c r="A36" s="98" t="inlineStr">
        <is>
          <t>CPR</t>
        </is>
      </c>
      <c r="B36" s="181">
        <f>100*(1-(1-B34/100)^12)</f>
        <v/>
      </c>
    </row>
    <row r="37" ht="12.75" customHeight="1" s="148">
      <c r="A37" s="98" t="n"/>
    </row>
    <row r="38" ht="12.75" customHeight="1" s="148">
      <c r="A38" s="98" t="n"/>
    </row>
    <row r="39" ht="12.75" customHeight="1" s="148">
      <c r="A39" s="98" t="inlineStr">
        <is>
          <t>PSA</t>
        </is>
      </c>
      <c r="B39" s="182" t="n">
        <v>0.002</v>
      </c>
      <c r="C39" s="183" t="n">
        <v>0</v>
      </c>
      <c r="D39" s="183" t="n">
        <v>10</v>
      </c>
      <c r="E39" s="183" t="n">
        <v>20</v>
      </c>
      <c r="F39" s="183" t="n">
        <v>30</v>
      </c>
      <c r="G39" s="183" t="n">
        <v>40</v>
      </c>
      <c r="H39" s="183" t="n">
        <v>50</v>
      </c>
      <c r="I39" s="183" t="n">
        <v>60</v>
      </c>
    </row>
    <row r="40" ht="12.75" customHeight="1" s="148">
      <c r="B40" s="184" t="n">
        <v>1</v>
      </c>
      <c r="C40" s="181" t="n">
        <v>0.02</v>
      </c>
      <c r="D40" s="181">
        <f>$B$39*D39</f>
        <v/>
      </c>
      <c r="E40" s="181">
        <f>$B$39*E39</f>
        <v/>
      </c>
      <c r="F40" s="181">
        <f>$B$39*F39</f>
        <v/>
      </c>
      <c r="G40" s="181">
        <f>F40</f>
        <v/>
      </c>
      <c r="H40" s="181">
        <f>G40</f>
        <v/>
      </c>
      <c r="I40" s="181">
        <f>H40</f>
        <v/>
      </c>
    </row>
    <row r="41" ht="12.75" customHeight="1" s="148">
      <c r="B41" s="184" t="n">
        <v>1.5</v>
      </c>
      <c r="C41" s="181" t="n">
        <v>0.02</v>
      </c>
      <c r="D41" s="181">
        <f>$D$40*B41</f>
        <v/>
      </c>
      <c r="E41" s="181">
        <f>E40*$B$41</f>
        <v/>
      </c>
      <c r="F41" s="181">
        <f>F40*$B$41</f>
        <v/>
      </c>
      <c r="G41" s="181">
        <f>G40*$B$41</f>
        <v/>
      </c>
      <c r="H41" s="181">
        <f>H40*$B$41</f>
        <v/>
      </c>
      <c r="I41" s="181">
        <f>I40*$B$41</f>
        <v/>
      </c>
    </row>
    <row r="42" ht="12.75" customHeight="1" s="148">
      <c r="B42" s="184" t="n">
        <v>2</v>
      </c>
      <c r="C42" s="181" t="n">
        <v>0.02</v>
      </c>
      <c r="D42" s="181">
        <f>$D$40*B42</f>
        <v/>
      </c>
      <c r="E42" s="181">
        <f>E40*$B$42</f>
        <v/>
      </c>
      <c r="F42" s="181">
        <f>F40*$B$42</f>
        <v/>
      </c>
      <c r="G42" s="181">
        <f>G40*$B$42</f>
        <v/>
      </c>
      <c r="H42" s="181">
        <f>H40*$B$42</f>
        <v/>
      </c>
      <c r="I42" s="181">
        <f>I40*$B$42</f>
        <v/>
      </c>
    </row>
    <row r="43" ht="12.75" customHeight="1" s="148">
      <c r="B43" s="184" t="n">
        <v>4</v>
      </c>
      <c r="C43" s="181" t="n">
        <v>0.02</v>
      </c>
      <c r="D43" s="181">
        <f>$D$40*B43</f>
        <v/>
      </c>
      <c r="E43" s="181">
        <f>E40*$B$43</f>
        <v/>
      </c>
      <c r="F43" s="181">
        <f>F40*$B$43</f>
        <v/>
      </c>
      <c r="G43" s="181">
        <f>G40*$B$43</f>
        <v/>
      </c>
      <c r="H43" s="181">
        <f>H40*$B$43</f>
        <v/>
      </c>
      <c r="I43" s="181">
        <f>I40*$B$43</f>
        <v/>
      </c>
    </row>
  </sheetData>
  <mergeCells count="2">
    <mergeCell ref="A29:C29"/>
    <mergeCell ref="A28:C28"/>
  </mergeCells>
  <hyperlinks>
    <hyperlink xmlns:r="http://schemas.openxmlformats.org/officeDocument/2006/relationships" ref="B7" display="leesb@hanyang.ac.kr" r:id="rId1"/>
    <hyperlink xmlns:r="http://schemas.openxmlformats.org/officeDocument/2006/relationships" ref="B23" display="http://www.federalreserve.gov/" r:id="rId2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3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BF6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K52" activeCellId="0" sqref="K52"/>
    </sheetView>
  </sheetViews>
  <sheetFormatPr baseColWidth="8" defaultColWidth="7.99609375" defaultRowHeight="12.75" zeroHeight="0" outlineLevelRow="0"/>
  <cols>
    <col width="14.77" customWidth="1" style="98" min="1" max="1"/>
    <col width="7.99" customWidth="1" style="98" min="2" max="257"/>
  </cols>
  <sheetData>
    <row r="1" ht="12.75" customFormat="1" customHeight="1" s="99">
      <c r="A1" s="100" t="inlineStr">
        <is>
          <t>Level Payment</t>
        </is>
      </c>
      <c r="D1" s="99" t="inlineStr">
        <is>
          <t>© copyright THC 2003</t>
        </is>
      </c>
      <c r="K1" s="99" t="inlineStr">
        <is>
          <t>All rights reserved by Thomas Ho Company, NY, NY</t>
        </is>
      </c>
    </row>
    <row r="2" ht="12.75" customFormat="1" customHeight="1" s="101">
      <c r="A2" s="102" t="inlineStr">
        <is>
          <t>reference number</t>
        </is>
      </c>
      <c r="B2" s="101" t="inlineStr">
        <is>
          <t># 71</t>
        </is>
      </c>
      <c r="C2" s="103" t="inlineStr">
        <is>
          <t>classification#</t>
        </is>
      </c>
      <c r="D2" s="101" t="n">
        <v>100302</v>
      </c>
      <c r="E2" s="104" t="n"/>
    </row>
    <row r="3" ht="12.75" customFormat="1" customHeight="1" s="101">
      <c r="A3" s="102" t="inlineStr">
        <is>
          <t>Version</t>
        </is>
      </c>
      <c r="B3" s="105" t="n">
        <v>1</v>
      </c>
      <c r="C3" s="102" t="inlineStr">
        <is>
          <t>level</t>
        </is>
      </c>
      <c r="D3" s="106" t="inlineStr">
        <is>
          <t>advanced</t>
        </is>
      </c>
      <c r="F3" s="107" t="inlineStr">
        <is>
          <t>Instructions</t>
        </is>
      </c>
      <c r="G3" s="108" t="n"/>
      <c r="H3" s="108" t="n"/>
      <c r="I3" s="108" t="n"/>
      <c r="J3" s="108" t="n"/>
      <c r="K3" s="108" t="n"/>
      <c r="L3" s="108" t="n"/>
      <c r="M3" s="108" t="n"/>
      <c r="N3" s="108" t="n"/>
      <c r="O3" s="108" t="n"/>
      <c r="P3" s="108" t="n"/>
      <c r="Q3" s="108" t="n"/>
      <c r="R3" s="108" t="n"/>
      <c r="S3" s="109" t="n"/>
    </row>
    <row r="4" ht="12.75" customFormat="1" customHeight="1" s="101">
      <c r="A4" s="102" t="inlineStr">
        <is>
          <t>publication date</t>
        </is>
      </c>
      <c r="B4" s="110" t="n">
        <v>37774</v>
      </c>
      <c r="F4" s="111" t="inlineStr">
        <is>
          <t xml:space="preserve">Given the yield curve and the loan interest rate, calculate the level payment over the loan term. </t>
        </is>
      </c>
      <c r="G4" s="112" t="n"/>
      <c r="H4" s="112" t="n"/>
      <c r="I4" s="112" t="n"/>
      <c r="J4" s="112" t="n"/>
      <c r="K4" s="112" t="n"/>
      <c r="L4" s="112" t="n"/>
      <c r="M4" s="112" t="n"/>
      <c r="N4" s="112" t="n"/>
      <c r="O4" s="112" t="n"/>
      <c r="P4" s="112" t="n"/>
      <c r="Q4" s="112" t="n"/>
      <c r="R4" s="112" t="n"/>
      <c r="S4" s="113" t="n"/>
    </row>
    <row r="5" ht="12.75" customFormat="1" customHeight="1" s="101">
      <c r="A5" s="102" t="inlineStr">
        <is>
          <t>author</t>
        </is>
      </c>
      <c r="B5" s="106" t="inlineStr">
        <is>
          <t>Hanyang Financial Engineering Lab.</t>
        </is>
      </c>
      <c r="C5" s="106" t="n"/>
      <c r="D5" s="106" t="n"/>
      <c r="E5" s="106" t="n"/>
      <c r="F5" s="114" t="n"/>
      <c r="G5" s="112" t="n"/>
      <c r="H5" s="112" t="n"/>
      <c r="I5" s="112" t="n"/>
      <c r="J5" s="112" t="n"/>
      <c r="K5" s="112" t="n"/>
      <c r="L5" s="112" t="n"/>
      <c r="M5" s="112" t="n"/>
      <c r="N5" s="112" t="n"/>
      <c r="O5" s="112" t="n"/>
      <c r="P5" s="112" t="n"/>
      <c r="Q5" s="112" t="n"/>
      <c r="R5" s="112" t="n"/>
      <c r="S5" s="113" t="n"/>
    </row>
    <row r="6" ht="12.75" customFormat="1" customHeight="1" s="101">
      <c r="A6" s="102" t="inlineStr">
        <is>
          <t>affiliation</t>
        </is>
      </c>
      <c r="B6" s="106" t="inlineStr">
        <is>
          <t>Hanyang University</t>
        </is>
      </c>
      <c r="C6" s="106" t="n"/>
      <c r="D6" s="106" t="n"/>
      <c r="F6" s="115" t="n"/>
      <c r="G6" s="116" t="n"/>
      <c r="H6" s="116" t="n"/>
      <c r="I6" s="116" t="n"/>
      <c r="J6" s="116" t="n"/>
      <c r="K6" s="116" t="n"/>
      <c r="L6" s="116" t="n"/>
      <c r="M6" s="116" t="n"/>
      <c r="N6" s="116" t="n"/>
      <c r="O6" s="116" t="n"/>
      <c r="P6" s="116" t="n"/>
      <c r="Q6" s="116" t="n"/>
      <c r="R6" s="116" t="n"/>
      <c r="S6" s="117" t="n"/>
    </row>
    <row r="7" ht="12.75" customFormat="1" customHeight="1" s="101">
      <c r="A7" s="102" t="inlineStr">
        <is>
          <t>email address</t>
        </is>
      </c>
      <c r="B7" s="118" t="inlineStr">
        <is>
          <t>leesb@hanyang.ac.kr</t>
        </is>
      </c>
      <c r="C7" s="118" t="n"/>
      <c r="D7" s="118" t="n"/>
      <c r="E7" s="119" t="n"/>
      <c r="F7" s="120" t="inlineStr">
        <is>
          <t>input</t>
        </is>
      </c>
      <c r="G7" s="121" t="inlineStr">
        <is>
          <t>yield curve, Loan interest rate, Loan term, Loan interest</t>
        </is>
      </c>
      <c r="H7" s="122" t="n"/>
      <c r="I7" s="122" t="n"/>
      <c r="J7" s="122" t="n"/>
      <c r="K7" s="122" t="n"/>
      <c r="L7" s="122" t="n"/>
      <c r="M7" s="122" t="n"/>
      <c r="N7" s="123" t="n"/>
      <c r="O7" s="123" t="n"/>
      <c r="P7" s="123" t="n"/>
      <c r="Q7" s="123" t="n"/>
      <c r="R7" s="123" t="n"/>
      <c r="S7" s="124" t="n"/>
    </row>
    <row r="8" ht="12.75" customFormat="1" customHeight="1" s="101">
      <c r="A8" s="102" t="inlineStr">
        <is>
          <t>last revised date</t>
        </is>
      </c>
      <c r="B8" s="125" t="n">
        <v>37952</v>
      </c>
      <c r="C8" s="119" t="n"/>
      <c r="D8" s="119" t="n"/>
      <c r="E8" s="119" t="n"/>
      <c r="F8" s="126" t="inlineStr">
        <is>
          <t>output</t>
        </is>
      </c>
      <c r="G8" s="127" t="inlineStr">
        <is>
          <t>Level payment</t>
        </is>
      </c>
      <c r="H8" s="128" t="n"/>
      <c r="I8" s="128" t="n"/>
      <c r="J8" s="128" t="n"/>
      <c r="K8" s="128" t="n"/>
      <c r="L8" s="128" t="n"/>
      <c r="M8" s="128" t="n"/>
      <c r="N8" s="128" t="n"/>
      <c r="O8" s="128" t="n"/>
      <c r="P8" s="128" t="n"/>
      <c r="Q8" s="128" t="n"/>
      <c r="R8" s="128" t="n"/>
      <c r="S8" s="129" t="n"/>
    </row>
    <row r="9" ht="12.75" customFormat="1" customHeight="1" s="101">
      <c r="A9" s="102" t="inlineStr">
        <is>
          <t>references</t>
        </is>
      </c>
      <c r="B9" s="119" t="inlineStr">
        <is>
          <t>Ch.10 of "The Oxford Guide to Financial Modeling" by Thomas S.Y. Ho and Sang Bin Lee, 2003, Oxford University Press</t>
        </is>
      </c>
      <c r="C9" s="119" t="n"/>
      <c r="D9" s="119" t="n"/>
      <c r="E9" s="119" t="n"/>
      <c r="F9" s="119" t="n"/>
      <c r="G9" s="106" t="n"/>
      <c r="H9" s="101" t="n"/>
      <c r="I9" s="101" t="n"/>
      <c r="J9" s="101" t="n"/>
      <c r="K9" s="101" t="n"/>
      <c r="L9" s="101" t="n"/>
      <c r="M9" s="101" t="n"/>
      <c r="N9" s="101" t="n"/>
      <c r="O9" s="101" t="n"/>
      <c r="P9" s="101" t="n"/>
      <c r="Q9" s="101" t="n"/>
      <c r="R9" s="101" t="n"/>
    </row>
    <row r="10" ht="12.75" customFormat="1" customHeight="1" s="101">
      <c r="A10" s="102" t="n"/>
      <c r="C10" s="119" t="n"/>
      <c r="D10" s="119" t="n"/>
      <c r="E10" s="119" t="n"/>
      <c r="F10" s="119" t="n"/>
      <c r="G10" s="106" t="n"/>
      <c r="H10" s="101" t="n"/>
      <c r="I10" s="101" t="n"/>
      <c r="J10" s="101" t="n"/>
      <c r="K10" s="101" t="n"/>
      <c r="L10" s="101" t="n"/>
      <c r="M10" s="101" t="n"/>
      <c r="N10" s="101" t="n"/>
      <c r="O10" s="101" t="n"/>
      <c r="P10" s="101" t="n"/>
      <c r="Q10" s="101" t="n"/>
      <c r="R10" s="101" t="n"/>
    </row>
    <row r="11" ht="12.75" customFormat="1" customHeight="1" s="130">
      <c r="A11" s="131" t="inlineStr">
        <is>
          <t>Descriptions</t>
        </is>
      </c>
      <c r="B11" s="132" t="n"/>
      <c r="C11" s="132" t="n"/>
      <c r="D11" s="132" t="n"/>
      <c r="E11" s="132" t="n"/>
      <c r="F11" s="132" t="n"/>
      <c r="G11" s="133" t="n"/>
    </row>
    <row r="12" ht="12.75" customFormat="1" customHeight="1" s="101">
      <c r="A12" s="134" t="n"/>
      <c r="B12" s="135" t="n"/>
      <c r="C12" s="135" t="n"/>
      <c r="D12" s="135" t="n"/>
      <c r="E12" s="135" t="n"/>
      <c r="F12" s="135" t="n"/>
      <c r="G12" s="106" t="n"/>
      <c r="H12" s="101" t="n"/>
      <c r="I12" s="101" t="n"/>
      <c r="J12" s="101" t="n"/>
      <c r="K12" s="101" t="n"/>
      <c r="L12" s="101" t="n"/>
      <c r="M12" s="101" t="n"/>
      <c r="N12" s="101" t="n"/>
      <c r="P12" s="101" t="n"/>
      <c r="Q12" s="101" t="n"/>
      <c r="R12" s="101" t="n"/>
    </row>
    <row r="13" ht="12.75" customFormat="1" customHeight="1" s="101">
      <c r="A13" s="136" t="inlineStr">
        <is>
          <t>financial model class</t>
        </is>
      </c>
      <c r="B13" s="137" t="inlineStr">
        <is>
          <t>the behavioral models</t>
        </is>
      </c>
      <c r="C13" s="137" t="n"/>
      <c r="D13" s="137" t="n"/>
      <c r="E13" s="137" t="n"/>
      <c r="F13" s="138" t="n"/>
      <c r="G13" s="101" t="n"/>
      <c r="H13" s="101" t="n"/>
      <c r="I13" s="101" t="n"/>
      <c r="J13" s="101" t="n"/>
      <c r="K13" s="101" t="n"/>
      <c r="L13" s="101" t="n"/>
      <c r="M13" s="101" t="n"/>
      <c r="N13" s="101" t="n"/>
      <c r="P13" s="101" t="n"/>
      <c r="Q13" s="101" t="n"/>
      <c r="R13" s="101" t="n"/>
    </row>
    <row r="14" ht="12.75" customFormat="1" customHeight="1" s="101">
      <c r="A14" s="139" t="inlineStr">
        <is>
          <t>issuer/modeler</t>
        </is>
      </c>
      <c r="B14" s="135" t="inlineStr">
        <is>
          <t>N/A</t>
        </is>
      </c>
      <c r="C14" s="135" t="n"/>
      <c r="D14" s="135" t="n"/>
      <c r="E14" s="135" t="n"/>
      <c r="F14" s="140" t="n"/>
      <c r="P14" s="101" t="n"/>
      <c r="Q14" s="101" t="n"/>
      <c r="R14" s="101" t="n"/>
    </row>
    <row r="15" ht="12.75" customFormat="1" customHeight="1" s="101">
      <c r="A15" s="139" t="inlineStr">
        <is>
          <t>model type</t>
        </is>
      </c>
      <c r="B15" s="135" t="inlineStr">
        <is>
          <t>Collateralized Mortgage Obligations</t>
        </is>
      </c>
      <c r="C15" s="135" t="n"/>
      <c r="D15" s="135" t="n"/>
      <c r="E15" s="135" t="n"/>
      <c r="F15" s="140" t="n"/>
      <c r="P15" s="101" t="n"/>
      <c r="Q15" s="101" t="n"/>
      <c r="R15" s="101" t="n"/>
    </row>
    <row r="16" ht="12.75" customFormat="1" customHeight="1" s="101">
      <c r="A16" s="139" t="inlineStr">
        <is>
          <t>risk sources</t>
        </is>
      </c>
      <c r="B16" s="135" t="inlineStr">
        <is>
          <t>interest rate</t>
        </is>
      </c>
      <c r="C16" s="135" t="n"/>
      <c r="D16" s="135" t="n"/>
      <c r="E16" s="135" t="n"/>
      <c r="F16" s="140" t="n"/>
      <c r="H16" s="101" t="n"/>
      <c r="I16" s="101" t="n"/>
      <c r="P16" s="101" t="n"/>
      <c r="Q16" s="101" t="n"/>
      <c r="R16" s="101" t="n"/>
    </row>
    <row r="17" ht="12.75" customFormat="1" customHeight="1" s="101">
      <c r="A17" s="139" t="inlineStr">
        <is>
          <t>risk distribution</t>
        </is>
      </c>
      <c r="B17" s="135" t="inlineStr">
        <is>
          <t>normal</t>
        </is>
      </c>
      <c r="C17" s="135" t="n"/>
      <c r="D17" s="135" t="n"/>
      <c r="E17" s="135" t="n"/>
      <c r="F17" s="140" t="n"/>
      <c r="H17" s="141" t="n"/>
      <c r="I17" s="101" t="n"/>
      <c r="P17" s="101" t="n"/>
      <c r="Q17" s="101" t="n"/>
      <c r="R17" s="101" t="n"/>
    </row>
    <row r="18" ht="12.75" customFormat="1" customHeight="1" s="101">
      <c r="A18" s="139" t="inlineStr">
        <is>
          <t>economic assumptions</t>
        </is>
      </c>
      <c r="B18" s="114" t="inlineStr">
        <is>
          <t>contingent claim model</t>
        </is>
      </c>
      <c r="C18" s="135" t="n"/>
      <c r="D18" s="135" t="n"/>
      <c r="E18" s="135" t="n"/>
      <c r="F18" s="140" t="n"/>
      <c r="P18" s="101" t="n"/>
      <c r="Q18" s="101" t="n"/>
      <c r="R18" s="101" t="n"/>
    </row>
    <row r="19" ht="12.75" customFormat="1" customHeight="1" s="101">
      <c r="A19" s="142" t="inlineStr">
        <is>
          <t>technical assumptions</t>
        </is>
      </c>
      <c r="B19" s="143" t="inlineStr">
        <is>
          <t>m=1</t>
        </is>
      </c>
      <c r="C19" s="143" t="n"/>
      <c r="D19" s="143" t="n"/>
      <c r="E19" s="143" t="n"/>
      <c r="F19" s="144" t="n"/>
      <c r="P19" s="101" t="n"/>
      <c r="Q19" s="101" t="n"/>
      <c r="R19" s="101" t="n"/>
    </row>
    <row r="20" ht="12.75" customFormat="1" customHeight="1" s="101">
      <c r="A20" s="102" t="inlineStr">
        <is>
          <t>key words</t>
        </is>
      </c>
      <c r="B20" s="135" t="inlineStr">
        <is>
          <t>arbitrage-free interest rate model, contingent claim</t>
        </is>
      </c>
      <c r="C20" s="135" t="n"/>
      <c r="D20" s="135" t="n"/>
      <c r="E20" s="135" t="n"/>
      <c r="F20" s="135" t="n"/>
      <c r="P20" s="101" t="n"/>
      <c r="Q20" s="101" t="n"/>
      <c r="R20" s="101" t="n"/>
    </row>
    <row r="21" ht="12.75" customFormat="1" customHeight="1" s="101">
      <c r="A21" s="102" t="n"/>
      <c r="B21" s="125" t="n"/>
      <c r="C21" s="125" t="n"/>
      <c r="D21" s="125" t="n"/>
      <c r="E21" s="125" t="n"/>
      <c r="L21" s="101" t="n"/>
      <c r="M21" s="101" t="n"/>
      <c r="N21" s="101" t="n"/>
      <c r="O21" s="101" t="n"/>
      <c r="P21" s="101" t="n"/>
      <c r="Q21" s="101" t="n"/>
      <c r="R21" s="101" t="n"/>
    </row>
    <row r="22" ht="12.75" customFormat="1" customHeight="1" s="130">
      <c r="A22" s="131" t="inlineStr">
        <is>
          <t>Links</t>
        </is>
      </c>
      <c r="B22" s="145" t="n"/>
      <c r="C22" s="145" t="n"/>
      <c r="D22" s="145" t="n"/>
      <c r="E22" s="145" t="n"/>
    </row>
    <row r="23" ht="12.75" customFormat="1" customHeight="1" s="101">
      <c r="A23" s="102" t="inlineStr">
        <is>
          <t>data</t>
        </is>
      </c>
      <c r="B23" s="146" t="inlineStr">
        <is>
          <t>http://www.federalreserve.gov/</t>
        </is>
      </c>
      <c r="C23" s="125" t="n"/>
      <c r="D23" s="125" t="n"/>
      <c r="E23" s="125" t="n"/>
      <c r="L23" s="101" t="n"/>
      <c r="M23" s="101" t="n"/>
      <c r="N23" s="101" t="n"/>
      <c r="O23" s="101" t="n"/>
      <c r="P23" s="101" t="n"/>
      <c r="Q23" s="101" t="n"/>
      <c r="R23" s="101" t="n"/>
    </row>
    <row r="24" ht="12.75" customFormat="1" customHeight="1" s="101">
      <c r="A24" s="102" t="inlineStr">
        <is>
          <t>financial models</t>
        </is>
      </c>
      <c r="B24" s="147" t="inlineStr">
        <is>
          <t>7. Bond Arithmetic, 8. Bond Model, 21. Extended Ho-Lee Model, 53. Callable Bond Model</t>
        </is>
      </c>
      <c r="C24" s="125" t="n"/>
      <c r="D24" s="125" t="n"/>
      <c r="E24" s="125" t="n"/>
      <c r="F24" s="101" t="n"/>
      <c r="G24" s="101" t="n"/>
    </row>
    <row r="25" ht="12.75" customFormat="1" customHeight="1" s="101">
      <c r="A25" s="102" t="n"/>
      <c r="B25" s="118" t="n"/>
      <c r="C25" s="101" t="n"/>
      <c r="D25" s="101" t="n"/>
      <c r="E25" s="101" t="n"/>
      <c r="F25" s="101" t="n"/>
      <c r="G25" s="101" t="n"/>
    </row>
    <row r="26" ht="12.75" customFormat="1" customHeight="1" s="99">
      <c r="A26" s="100" t="inlineStr">
        <is>
          <t>Inputs</t>
        </is>
      </c>
      <c r="B26" s="100" t="n"/>
      <c r="N26" s="99" t="n"/>
      <c r="O26" s="99" t="n"/>
      <c r="P26" s="99" t="n"/>
      <c r="Q26" s="99" t="n"/>
      <c r="R26" s="99" t="n"/>
      <c r="S26" s="99" t="n"/>
      <c r="T26" s="99" t="n"/>
    </row>
    <row r="28" ht="12.75" customFormat="1" customHeight="1" s="185">
      <c r="A28" s="186" t="inlineStr">
        <is>
          <t>Inputs</t>
        </is>
      </c>
    </row>
    <row r="30" ht="12.75" customHeight="1" s="148">
      <c r="B30" s="98" t="inlineStr">
        <is>
          <t>Spot curve (%)</t>
        </is>
      </c>
      <c r="E30" s="149" t="n">
        <v>0.105</v>
      </c>
    </row>
    <row r="31" ht="12.75" customHeight="1" s="148">
      <c r="B31" s="98" t="inlineStr">
        <is>
          <t>Annual interest payment(%)</t>
        </is>
      </c>
      <c r="E31" s="149" t="n">
        <v>0.1</v>
      </c>
      <c r="G31" s="98" t="inlineStr">
        <is>
          <t>&lt;=</t>
        </is>
      </c>
      <c r="H31" s="150" t="inlineStr">
        <is>
          <t>The interests are paid semiannually</t>
        </is>
      </c>
    </row>
    <row r="32" ht="12.75" customHeight="1" s="148">
      <c r="B32" s="98" t="inlineStr">
        <is>
          <t xml:space="preserve">The term of loan(year) </t>
        </is>
      </c>
      <c r="E32" s="151" t="n">
        <v>10</v>
      </c>
    </row>
    <row r="33" ht="12.75" customHeight="1" s="148">
      <c r="B33" s="98" t="inlineStr">
        <is>
          <t>The principal ($)</t>
        </is>
      </c>
      <c r="E33" s="151" t="n">
        <v>100</v>
      </c>
    </row>
    <row r="35" ht="12.75" customFormat="1" customHeight="1" s="185">
      <c r="A35" s="186" t="inlineStr">
        <is>
          <t xml:space="preserve">Outputs </t>
        </is>
      </c>
    </row>
    <row r="37" ht="12.75" customHeight="1" s="148">
      <c r="A37" s="98" t="inlineStr">
        <is>
          <t>Period</t>
        </is>
      </c>
      <c r="D37" s="98" t="n">
        <v>1</v>
      </c>
      <c r="E37" s="98" t="n">
        <v>2</v>
      </c>
      <c r="F37" s="98" t="n">
        <v>3</v>
      </c>
      <c r="G37" s="98" t="n">
        <v>4</v>
      </c>
      <c r="H37" s="98" t="n">
        <v>5</v>
      </c>
      <c r="I37" s="98" t="n">
        <v>6</v>
      </c>
      <c r="J37" s="98" t="n">
        <v>7</v>
      </c>
      <c r="K37" s="98" t="n">
        <v>8</v>
      </c>
      <c r="L37" s="98" t="n">
        <v>9</v>
      </c>
      <c r="M37" s="98" t="n">
        <v>10</v>
      </c>
      <c r="N37" s="98" t="n">
        <v>11</v>
      </c>
      <c r="O37" s="98" t="n">
        <v>12</v>
      </c>
      <c r="P37" s="98" t="n">
        <v>13</v>
      </c>
      <c r="Q37" s="98" t="n">
        <v>14</v>
      </c>
      <c r="R37" s="98" t="n">
        <v>15</v>
      </c>
      <c r="S37" s="98" t="n">
        <v>16</v>
      </c>
      <c r="T37" s="98" t="n">
        <v>17</v>
      </c>
      <c r="U37" s="98" t="n">
        <v>18</v>
      </c>
      <c r="V37" s="98" t="n">
        <v>19</v>
      </c>
      <c r="W37" s="98" t="n">
        <v>20</v>
      </c>
    </row>
    <row r="38" ht="12.75" customHeight="1" s="148">
      <c r="A38" s="98" t="inlineStr">
        <is>
          <t>Cash Flow</t>
        </is>
      </c>
      <c r="D38" s="98" t="n">
        <v>5</v>
      </c>
      <c r="E38" s="98" t="n">
        <v>5</v>
      </c>
      <c r="F38" s="98" t="n">
        <v>5</v>
      </c>
      <c r="G38" s="98" t="n">
        <v>5</v>
      </c>
      <c r="H38" s="98" t="n">
        <v>5</v>
      </c>
      <c r="I38" s="98" t="n">
        <v>5</v>
      </c>
      <c r="J38" s="98" t="n">
        <v>5</v>
      </c>
      <c r="K38" s="98" t="n">
        <v>5</v>
      </c>
      <c r="L38" s="98" t="n">
        <v>5</v>
      </c>
      <c r="M38" s="98" t="n">
        <v>5</v>
      </c>
      <c r="N38" s="98" t="n">
        <v>5</v>
      </c>
      <c r="O38" s="98" t="n">
        <v>5</v>
      </c>
      <c r="P38" s="98" t="n">
        <v>5</v>
      </c>
      <c r="Q38" s="98" t="n">
        <v>5</v>
      </c>
      <c r="R38" s="98" t="n">
        <v>5</v>
      </c>
      <c r="S38" s="98" t="n">
        <v>5</v>
      </c>
      <c r="T38" s="98" t="n">
        <v>5</v>
      </c>
      <c r="U38" s="98" t="n">
        <v>5</v>
      </c>
      <c r="V38" s="98" t="n">
        <v>5</v>
      </c>
      <c r="W38" s="98" t="n">
        <v>105</v>
      </c>
    </row>
    <row r="39" ht="12.75" customHeight="1" s="148">
      <c r="A39" s="98" t="inlineStr">
        <is>
          <t>PV of each period</t>
        </is>
      </c>
      <c r="D39" s="154">
        <f>D38/(1+($E$30/2))^D37</f>
        <v/>
      </c>
      <c r="E39" s="154">
        <f>E38/(1+($E$30/2))^E37</f>
        <v/>
      </c>
      <c r="F39" s="154">
        <f>F38/(1+($E$30/2))^F37</f>
        <v/>
      </c>
      <c r="G39" s="154">
        <f>G38/(1+($E$30/2))^G37</f>
        <v/>
      </c>
      <c r="H39" s="154">
        <f>H38/(1+($E$30/2))^H37</f>
        <v/>
      </c>
      <c r="I39" s="154">
        <f>I38/(1+($E$30/2))^I37</f>
        <v/>
      </c>
      <c r="J39" s="154">
        <f>J38/(1+($E$30/2))^J37</f>
        <v/>
      </c>
      <c r="K39" s="154">
        <f>K38/(1+($E$30/2))^K37</f>
        <v/>
      </c>
      <c r="L39" s="154">
        <f>L38/(1+($E$30/2))^L37</f>
        <v/>
      </c>
      <c r="M39" s="154">
        <f>M38/(1+($E$30/2))^M37</f>
        <v/>
      </c>
      <c r="N39" s="154">
        <f>N38/(1+($E$30/2))^N37</f>
        <v/>
      </c>
      <c r="O39" s="154">
        <f>O38/(1+($E$30/2))^O37</f>
        <v/>
      </c>
      <c r="P39" s="154">
        <f>P38/(1+($E$30/2))^P37</f>
        <v/>
      </c>
      <c r="Q39" s="154">
        <f>Q38/(1+($E$30/2))^Q37</f>
        <v/>
      </c>
      <c r="R39" s="154">
        <f>R38/(1+($E$30/2))^R37</f>
        <v/>
      </c>
      <c r="S39" s="154">
        <f>S38/(1+($E$30/2))^S37</f>
        <v/>
      </c>
      <c r="T39" s="154">
        <f>T38/(1+($E$30/2))^T37</f>
        <v/>
      </c>
      <c r="U39" s="154">
        <f>U38/(1+($E$30/2))^U37</f>
        <v/>
      </c>
      <c r="V39" s="154">
        <f>V38/(1+($E$30/2))^V37</f>
        <v/>
      </c>
      <c r="W39" s="154">
        <f>W38/(1+($E$30/2))^W37</f>
        <v/>
      </c>
      <c r="X39" s="154" t="n"/>
      <c r="Y39" s="154" t="n"/>
      <c r="Z39" s="154" t="n"/>
      <c r="AA39" s="154" t="n"/>
      <c r="AB39" s="154" t="n"/>
      <c r="AC39" s="154" t="n"/>
      <c r="AD39" s="154" t="n"/>
      <c r="AE39" s="154" t="n"/>
      <c r="AF39" s="154" t="n"/>
      <c r="AG39" s="154" t="n"/>
      <c r="AH39" s="154" t="n"/>
      <c r="AI39" s="154" t="n"/>
      <c r="AJ39" s="154" t="n"/>
      <c r="AK39" s="154" t="n"/>
      <c r="AL39" s="154" t="n"/>
      <c r="AM39" s="154" t="n"/>
      <c r="AN39" s="154" t="n"/>
      <c r="AO39" s="154" t="n"/>
    </row>
    <row r="40" ht="12.75" customHeight="1" s="148">
      <c r="D40" s="154" t="n"/>
      <c r="E40" s="154" t="n"/>
      <c r="F40" s="154" t="n"/>
      <c r="G40" s="154" t="n"/>
      <c r="H40" s="154" t="n"/>
      <c r="I40" s="154" t="n"/>
      <c r="J40" s="154" t="n"/>
      <c r="K40" s="154" t="n"/>
      <c r="L40" s="154" t="n"/>
      <c r="M40" s="154" t="n"/>
      <c r="N40" s="154" t="n"/>
      <c r="O40" s="154" t="n"/>
      <c r="P40" s="154" t="n"/>
      <c r="Q40" s="154" t="n"/>
      <c r="R40" s="154" t="n"/>
      <c r="S40" s="154" t="n"/>
      <c r="T40" s="154" t="n"/>
      <c r="U40" s="154" t="n"/>
      <c r="V40" s="154" t="n"/>
      <c r="W40" s="154" t="n"/>
      <c r="X40" s="154" t="n"/>
      <c r="Y40" s="154" t="n"/>
      <c r="Z40" s="154" t="n"/>
      <c r="AA40" s="154" t="n"/>
      <c r="AB40" s="154" t="n"/>
      <c r="AC40" s="154" t="n"/>
      <c r="AD40" s="154" t="n"/>
      <c r="AE40" s="154" t="n"/>
      <c r="AF40" s="154" t="n"/>
      <c r="AG40" s="154" t="n"/>
      <c r="AH40" s="154" t="n"/>
      <c r="AI40" s="154" t="n"/>
      <c r="AJ40" s="154" t="n"/>
      <c r="AK40" s="154" t="n"/>
      <c r="AL40" s="154" t="n"/>
      <c r="AM40" s="154" t="n"/>
      <c r="AN40" s="154" t="n"/>
      <c r="AO40" s="154" t="n"/>
    </row>
    <row r="41" ht="12.75" customFormat="1" customHeight="1" s="155">
      <c r="A41" s="155" t="inlineStr">
        <is>
          <t>Level Payment</t>
        </is>
      </c>
      <c r="C41" s="156">
        <f>PMT(E31/2,20,-D42)</f>
        <v/>
      </c>
      <c r="D41" s="98" t="n"/>
      <c r="E41" s="98" t="n"/>
      <c r="F41" s="98" t="n"/>
      <c r="G41" s="98" t="n"/>
      <c r="H41" s="98" t="n"/>
      <c r="I41" s="98" t="n"/>
      <c r="J41" s="98" t="n"/>
      <c r="K41" s="98" t="n"/>
      <c r="L41" s="98" t="n"/>
      <c r="M41" s="98" t="n"/>
      <c r="N41" s="98" t="n"/>
      <c r="O41" s="98" t="n"/>
      <c r="P41" s="98" t="n"/>
      <c r="Q41" s="98" t="n"/>
      <c r="R41" s="98" t="n"/>
      <c r="S41" s="98" t="n"/>
      <c r="T41" s="98" t="n"/>
      <c r="U41" s="98" t="n"/>
      <c r="V41" s="98" t="n"/>
      <c r="W41" s="98" t="n"/>
      <c r="X41" s="98" t="n"/>
      <c r="Y41" s="98" t="n"/>
      <c r="Z41" s="98" t="n"/>
      <c r="AA41" s="98" t="n"/>
    </row>
    <row r="42" ht="12.75" customFormat="1" customHeight="1" s="155">
      <c r="A42" s="98" t="inlineStr">
        <is>
          <t>PV of Loan</t>
        </is>
      </c>
      <c r="D42" s="157">
        <f>SUM(D39:$W$39)</f>
        <v/>
      </c>
      <c r="E42" s="158">
        <f>D42-D44</f>
        <v/>
      </c>
      <c r="F42" s="158">
        <f>E42-E44</f>
        <v/>
      </c>
      <c r="G42" s="158">
        <f>F42-F44</f>
        <v/>
      </c>
      <c r="H42" s="158">
        <f>G42-G44</f>
        <v/>
      </c>
      <c r="I42" s="158">
        <f>H42-H44</f>
        <v/>
      </c>
      <c r="J42" s="158">
        <f>I42-I44</f>
        <v/>
      </c>
      <c r="K42" s="158">
        <f>J42-J44</f>
        <v/>
      </c>
      <c r="L42" s="158">
        <f>K42-K44</f>
        <v/>
      </c>
      <c r="M42" s="158">
        <f>L42-L44</f>
        <v/>
      </c>
      <c r="N42" s="158">
        <f>M42-M44</f>
        <v/>
      </c>
      <c r="O42" s="158">
        <f>N42-N44</f>
        <v/>
      </c>
      <c r="P42" s="158">
        <f>O42-O44</f>
        <v/>
      </c>
      <c r="Q42" s="158">
        <f>P42-P44</f>
        <v/>
      </c>
      <c r="R42" s="158">
        <f>Q42-Q44</f>
        <v/>
      </c>
      <c r="S42" s="158">
        <f>R42-R44</f>
        <v/>
      </c>
      <c r="T42" s="158">
        <f>S42-S44</f>
        <v/>
      </c>
      <c r="U42" s="158">
        <f>T42-T44</f>
        <v/>
      </c>
      <c r="V42" s="158">
        <f>U42-U44</f>
        <v/>
      </c>
      <c r="W42" s="158">
        <f>V42-V44</f>
        <v/>
      </c>
      <c r="X42" s="158" t="n"/>
      <c r="Y42" s="158" t="n"/>
      <c r="Z42" s="158" t="n"/>
      <c r="AA42" s="158" t="n"/>
      <c r="AB42" s="158" t="n"/>
      <c r="AC42" s="158" t="n"/>
      <c r="AD42" s="158" t="n"/>
      <c r="AE42" s="158" t="n"/>
      <c r="AF42" s="158" t="n"/>
      <c r="AG42" s="158" t="n"/>
      <c r="AH42" s="158" t="n"/>
      <c r="AI42" s="158" t="n"/>
      <c r="AJ42" s="158" t="n"/>
      <c r="AK42" s="158" t="n"/>
      <c r="AL42" s="158" t="n"/>
      <c r="AM42" s="158" t="n"/>
      <c r="AN42" s="158" t="n"/>
      <c r="AO42" s="158" t="n"/>
      <c r="AP42" s="158" t="n"/>
      <c r="AQ42" s="158" t="n"/>
      <c r="AR42" s="158" t="n"/>
      <c r="AS42" s="158" t="n"/>
      <c r="AT42" s="158" t="n"/>
      <c r="AU42" s="158" t="n"/>
      <c r="AV42" s="158" t="n"/>
      <c r="AW42" s="158" t="n"/>
      <c r="AX42" s="158" t="n"/>
      <c r="AY42" s="158" t="n"/>
      <c r="AZ42" s="158" t="n"/>
      <c r="BA42" s="158" t="n"/>
      <c r="BB42" s="158" t="n"/>
      <c r="BC42" s="158" t="n"/>
      <c r="BD42" s="158" t="n"/>
      <c r="BE42" s="158" t="n"/>
      <c r="BF42" s="158" t="n"/>
    </row>
    <row r="43" ht="12.75" customFormat="1" customHeight="1" s="155">
      <c r="A43" s="155" t="inlineStr">
        <is>
          <t>Interest</t>
        </is>
      </c>
      <c r="D43" s="158">
        <f>D42*$E$31/2</f>
        <v/>
      </c>
      <c r="E43" s="158">
        <f>E42*$E$31/2</f>
        <v/>
      </c>
      <c r="F43" s="158">
        <f>F42*$E$31/2</f>
        <v/>
      </c>
      <c r="G43" s="158">
        <f>G42*$E$31/2</f>
        <v/>
      </c>
      <c r="H43" s="158">
        <f>H42*$E$31/2</f>
        <v/>
      </c>
      <c r="I43" s="158">
        <f>I42*$E$31/2</f>
        <v/>
      </c>
      <c r="J43" s="158">
        <f>J42*$E$31/2</f>
        <v/>
      </c>
      <c r="K43" s="158">
        <f>K42*$E$31/2</f>
        <v/>
      </c>
      <c r="L43" s="158">
        <f>L42*$E$31/2</f>
        <v/>
      </c>
      <c r="M43" s="158">
        <f>M42*$E$31/2</f>
        <v/>
      </c>
      <c r="N43" s="158">
        <f>N42*$E$31/2</f>
        <v/>
      </c>
      <c r="O43" s="158">
        <f>O42*$E$31/2</f>
        <v/>
      </c>
      <c r="P43" s="158">
        <f>P42*$E$31/2</f>
        <v/>
      </c>
      <c r="Q43" s="158">
        <f>Q42*$E$31/2</f>
        <v/>
      </c>
      <c r="R43" s="158">
        <f>R42*$E$31/2</f>
        <v/>
      </c>
      <c r="S43" s="158">
        <f>S42*$E$31/2</f>
        <v/>
      </c>
      <c r="T43" s="158">
        <f>T42*$E$31/2</f>
        <v/>
      </c>
      <c r="U43" s="158">
        <f>U42*$E$31/2</f>
        <v/>
      </c>
      <c r="V43" s="158">
        <f>V42*$E$31/2</f>
        <v/>
      </c>
      <c r="W43" s="158">
        <f>W42*$E$31/2</f>
        <v/>
      </c>
      <c r="X43" s="158" t="n"/>
      <c r="Y43" s="158" t="n"/>
      <c r="Z43" s="158" t="n"/>
      <c r="AA43" s="158" t="n"/>
      <c r="AB43" s="158" t="n"/>
      <c r="AC43" s="158" t="n"/>
      <c r="AD43" s="158" t="n"/>
      <c r="AE43" s="158" t="n"/>
      <c r="AF43" s="158" t="n"/>
      <c r="AG43" s="158" t="n"/>
      <c r="AH43" s="158" t="n"/>
      <c r="AI43" s="158" t="n"/>
      <c r="AJ43" s="158" t="n"/>
      <c r="AK43" s="158" t="n"/>
      <c r="AL43" s="158" t="n"/>
      <c r="AM43" s="158" t="n"/>
      <c r="AN43" s="158" t="n"/>
      <c r="AO43" s="158" t="n"/>
      <c r="AP43" s="158" t="n"/>
      <c r="AQ43" s="158" t="n"/>
      <c r="AR43" s="158" t="n"/>
      <c r="AS43" s="158" t="n"/>
      <c r="AT43" s="158" t="n"/>
      <c r="AU43" s="158" t="n"/>
      <c r="AV43" s="158" t="n"/>
      <c r="AW43" s="158" t="n"/>
      <c r="AX43" s="158" t="n"/>
      <c r="AY43" s="158" t="n"/>
      <c r="AZ43" s="158" t="n"/>
      <c r="BA43" s="158" t="n"/>
      <c r="BB43" s="158" t="n"/>
      <c r="BC43" s="158" t="n"/>
      <c r="BD43" s="158" t="n"/>
      <c r="BE43" s="158" t="n"/>
      <c r="BF43" s="158" t="n"/>
    </row>
    <row r="44" ht="12.75" customFormat="1" customHeight="1" s="155">
      <c r="A44" s="155" t="inlineStr">
        <is>
          <t>Principal</t>
        </is>
      </c>
      <c r="D44" s="158">
        <f>$C$41-D43</f>
        <v/>
      </c>
      <c r="E44" s="158">
        <f>$C$41-E43</f>
        <v/>
      </c>
      <c r="F44" s="158">
        <f>$C$41-F43</f>
        <v/>
      </c>
      <c r="G44" s="158">
        <f>$C$41-G43</f>
        <v/>
      </c>
      <c r="H44" s="158">
        <f>$C$41-H43</f>
        <v/>
      </c>
      <c r="I44" s="158">
        <f>$C$41-I43</f>
        <v/>
      </c>
      <c r="J44" s="158">
        <f>$C$41-J43</f>
        <v/>
      </c>
      <c r="K44" s="158">
        <f>$C$41-K43</f>
        <v/>
      </c>
      <c r="L44" s="158">
        <f>$C$41-L43</f>
        <v/>
      </c>
      <c r="M44" s="158">
        <f>$C$41-M43</f>
        <v/>
      </c>
      <c r="N44" s="158">
        <f>$C$41-N43</f>
        <v/>
      </c>
      <c r="O44" s="158">
        <f>$C$41-O43</f>
        <v/>
      </c>
      <c r="P44" s="158">
        <f>$C$41-P43</f>
        <v/>
      </c>
      <c r="Q44" s="158">
        <f>$C$41-Q43</f>
        <v/>
      </c>
      <c r="R44" s="158">
        <f>$C$41-R43</f>
        <v/>
      </c>
      <c r="S44" s="158">
        <f>$C$41-S43</f>
        <v/>
      </c>
      <c r="T44" s="158">
        <f>$C$41-T43</f>
        <v/>
      </c>
      <c r="U44" s="158">
        <f>$C$41-U43</f>
        <v/>
      </c>
      <c r="V44" s="158">
        <f>$C$41-V43</f>
        <v/>
      </c>
      <c r="W44" s="158">
        <f>$C$41-W43</f>
        <v/>
      </c>
      <c r="X44" s="158" t="n"/>
      <c r="Y44" s="158" t="n"/>
      <c r="Z44" s="158" t="n"/>
      <c r="AA44" s="158" t="n"/>
      <c r="AB44" s="158" t="n"/>
      <c r="AC44" s="158" t="n"/>
      <c r="AD44" s="158" t="n"/>
      <c r="AE44" s="158" t="n"/>
      <c r="AF44" s="158" t="n"/>
      <c r="AG44" s="158" t="n"/>
      <c r="AH44" s="158" t="n"/>
      <c r="AI44" s="158" t="n"/>
      <c r="AJ44" s="158" t="n"/>
      <c r="AK44" s="158" t="n"/>
      <c r="AL44" s="158" t="n"/>
      <c r="AM44" s="158" t="n"/>
      <c r="AN44" s="158" t="n"/>
      <c r="AO44" s="158" t="n"/>
      <c r="AP44" s="158" t="n"/>
      <c r="AQ44" s="158" t="n"/>
      <c r="AR44" s="158" t="n"/>
      <c r="AS44" s="158" t="n"/>
      <c r="AT44" s="158" t="n"/>
      <c r="AU44" s="158" t="n"/>
      <c r="AV44" s="158" t="n"/>
      <c r="AW44" s="158" t="n"/>
      <c r="AX44" s="158" t="n"/>
      <c r="AY44" s="158" t="n"/>
      <c r="AZ44" s="158" t="n"/>
      <c r="BA44" s="158" t="n"/>
      <c r="BB44" s="158" t="n"/>
      <c r="BC44" s="158" t="n"/>
      <c r="BD44" s="158" t="n"/>
      <c r="BE44" s="158" t="n"/>
      <c r="BF44" s="158" t="n"/>
    </row>
    <row r="45" ht="12.75" customFormat="1" customHeight="1" s="155">
      <c r="D45" s="158">
        <f>D43+D44</f>
        <v/>
      </c>
      <c r="E45" s="158">
        <f>E43+E44</f>
        <v/>
      </c>
      <c r="F45" s="158">
        <f>F43+F44</f>
        <v/>
      </c>
      <c r="G45" s="158">
        <f>G43+G44</f>
        <v/>
      </c>
      <c r="H45" s="158">
        <f>H43+H44</f>
        <v/>
      </c>
      <c r="I45" s="158">
        <f>I43+I44</f>
        <v/>
      </c>
      <c r="J45" s="158">
        <f>J43+J44</f>
        <v/>
      </c>
      <c r="K45" s="158">
        <f>K43+K44</f>
        <v/>
      </c>
      <c r="L45" s="158">
        <f>L43+L44</f>
        <v/>
      </c>
      <c r="M45" s="158">
        <f>M43+M44</f>
        <v/>
      </c>
      <c r="N45" s="158">
        <f>N43+N44</f>
        <v/>
      </c>
      <c r="O45" s="158">
        <f>O43+O44</f>
        <v/>
      </c>
      <c r="P45" s="158">
        <f>P43+P44</f>
        <v/>
      </c>
      <c r="Q45" s="158">
        <f>Q43+Q44</f>
        <v/>
      </c>
      <c r="R45" s="158">
        <f>R43+R44</f>
        <v/>
      </c>
      <c r="S45" s="158">
        <f>S43+S44</f>
        <v/>
      </c>
      <c r="T45" s="158">
        <f>T43+T44</f>
        <v/>
      </c>
      <c r="U45" s="158">
        <f>U43+U44</f>
        <v/>
      </c>
      <c r="V45" s="158">
        <f>V43+V44</f>
        <v/>
      </c>
      <c r="W45" s="158">
        <f>W43+W44</f>
        <v/>
      </c>
      <c r="X45" s="158" t="n"/>
      <c r="Y45" s="158" t="n"/>
      <c r="Z45" s="158" t="n"/>
      <c r="AA45" s="158" t="n"/>
      <c r="AB45" s="158" t="n"/>
      <c r="AC45" s="158" t="n"/>
      <c r="AD45" s="158" t="n"/>
      <c r="AE45" s="158" t="n"/>
      <c r="AF45" s="158" t="n"/>
      <c r="AG45" s="158" t="n"/>
      <c r="AH45" s="158" t="n"/>
      <c r="AI45" s="158" t="n"/>
      <c r="AJ45" s="158" t="n"/>
      <c r="AK45" s="158" t="n"/>
      <c r="AL45" s="158" t="n"/>
      <c r="AM45" s="158" t="n"/>
      <c r="AN45" s="158" t="n"/>
      <c r="AO45" s="158" t="n"/>
      <c r="AP45" s="158" t="n"/>
      <c r="AQ45" s="158" t="n"/>
      <c r="AR45" s="158" t="n"/>
      <c r="AS45" s="158" t="n"/>
      <c r="AT45" s="158" t="n"/>
      <c r="AU45" s="158" t="n"/>
      <c r="AV45" s="158" t="n"/>
      <c r="AW45" s="158" t="n"/>
      <c r="AX45" s="158" t="n"/>
      <c r="AY45" s="158" t="n"/>
      <c r="AZ45" s="158" t="n"/>
      <c r="BA45" s="158" t="n"/>
      <c r="BB45" s="158" t="n"/>
      <c r="BC45" s="158" t="n"/>
      <c r="BD45" s="158" t="n"/>
      <c r="BE45" s="158" t="n"/>
      <c r="BF45" s="158" t="n"/>
    </row>
    <row r="46" ht="12.75" customFormat="1" customHeight="1" s="155"/>
    <row r="47" ht="12.75" customHeight="1" s="148">
      <c r="C47" s="155" t="n"/>
      <c r="D47" s="155" t="n"/>
      <c r="E47" s="155" t="n"/>
      <c r="F47" s="155" t="n"/>
      <c r="G47" s="155" t="n"/>
      <c r="H47" s="155" t="n"/>
      <c r="I47" s="155" t="n"/>
      <c r="J47" s="155" t="n"/>
      <c r="K47" s="155" t="n"/>
      <c r="L47" s="155" t="n"/>
      <c r="M47" s="155" t="n"/>
      <c r="N47" s="155" t="n"/>
      <c r="O47" s="155" t="n"/>
      <c r="P47" s="155" t="n"/>
      <c r="Q47" s="155" t="n"/>
      <c r="R47" s="155" t="n"/>
      <c r="S47" s="155" t="n"/>
      <c r="T47" s="155" t="n"/>
      <c r="U47" s="155" t="n"/>
      <c r="V47" s="155" t="n"/>
      <c r="W47" s="155" t="n"/>
      <c r="X47" s="155" t="n"/>
      <c r="Y47" s="155" t="n"/>
      <c r="Z47" s="155" t="n"/>
      <c r="AA47" s="155" t="n"/>
    </row>
    <row r="49" ht="12.75" customHeight="1" s="148">
      <c r="C49" s="155" t="n"/>
      <c r="D49" s="155" t="n"/>
      <c r="E49" s="155" t="n"/>
      <c r="F49" s="155" t="n"/>
      <c r="G49" s="155" t="n"/>
      <c r="H49" s="155" t="n"/>
      <c r="I49" s="155" t="n"/>
      <c r="J49" s="155" t="n"/>
      <c r="K49" s="155" t="n"/>
      <c r="L49" s="155" t="n"/>
      <c r="M49" s="155" t="n"/>
      <c r="N49" s="155" t="n"/>
      <c r="O49" s="155" t="n"/>
      <c r="P49" s="155" t="n"/>
      <c r="Q49" s="155" t="n"/>
      <c r="R49" s="155" t="n"/>
      <c r="S49" s="155" t="n"/>
      <c r="T49" s="155" t="n"/>
      <c r="U49" s="155" t="n"/>
      <c r="V49" s="155" t="n"/>
    </row>
    <row r="63" ht="12.75" customHeight="1" s="148">
      <c r="C63" s="159" t="n"/>
    </row>
  </sheetData>
  <mergeCells count="4">
    <mergeCell ref="B31:D31"/>
    <mergeCell ref="B30:D30"/>
    <mergeCell ref="B32:D32"/>
    <mergeCell ref="B33:D33"/>
  </mergeCells>
  <hyperlinks>
    <hyperlink xmlns:r="http://schemas.openxmlformats.org/officeDocument/2006/relationships" ref="B7" display="leesb@hanyang.ac.kr" r:id="rId1"/>
    <hyperlink xmlns:r="http://schemas.openxmlformats.org/officeDocument/2006/relationships" ref="B23" display="http://www.federalreserve.gov/" r:id="rId2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AF1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41" activeCellId="0" sqref="F41"/>
    </sheetView>
  </sheetViews>
  <sheetFormatPr baseColWidth="8" defaultColWidth="8.87890625" defaultRowHeight="12.75" zeroHeight="0" outlineLevelRow="0"/>
  <cols>
    <col width="30.44" customWidth="1" style="160" min="1" max="1"/>
    <col width="6.66" customWidth="1" style="161" min="2" max="4"/>
    <col width="6.55" customWidth="1" style="161" min="5" max="6"/>
    <col width="6.99" customWidth="1" style="161" min="7" max="7"/>
    <col width="6.77" customWidth="1" style="161" min="8" max="8"/>
    <col width="6.55" customWidth="1" style="161" min="9" max="10"/>
    <col width="6.99" customWidth="1" style="161" min="11" max="12"/>
    <col width="5.99" customWidth="1" style="161" min="13" max="13"/>
    <col width="8.880000000000001" customWidth="1" style="161" min="14" max="257"/>
  </cols>
  <sheetData>
    <row r="1" ht="12.75" customFormat="1" customHeight="1" s="99">
      <c r="A1" s="100" t="inlineStr">
        <is>
          <t>Interest Only and Principal Only</t>
        </is>
      </c>
      <c r="D1" s="99" t="inlineStr">
        <is>
          <t>© copyright THC 2003</t>
        </is>
      </c>
      <c r="K1" s="99" t="inlineStr">
        <is>
          <t>All rights reserved by Thomas Ho Company, NY, NY</t>
        </is>
      </c>
    </row>
    <row r="2" ht="12.75" customFormat="1" customHeight="1" s="101">
      <c r="A2" s="102" t="inlineStr">
        <is>
          <t>reference number</t>
        </is>
      </c>
      <c r="B2" s="101" t="inlineStr">
        <is>
          <t># 71</t>
        </is>
      </c>
      <c r="C2" s="103" t="inlineStr">
        <is>
          <t>classification#</t>
        </is>
      </c>
      <c r="D2" s="101" t="n">
        <v>100302</v>
      </c>
      <c r="E2" s="104" t="n"/>
    </row>
    <row r="3" ht="12.75" customFormat="1" customHeight="1" s="101">
      <c r="A3" s="102" t="inlineStr">
        <is>
          <t>Version</t>
        </is>
      </c>
      <c r="B3" s="105" t="n">
        <v>1</v>
      </c>
      <c r="C3" s="102" t="inlineStr">
        <is>
          <t>level</t>
        </is>
      </c>
      <c r="D3" s="106" t="inlineStr">
        <is>
          <t>advanced</t>
        </is>
      </c>
      <c r="F3" s="107" t="inlineStr">
        <is>
          <t>Instructions</t>
        </is>
      </c>
      <c r="G3" s="108" t="n"/>
      <c r="H3" s="108" t="n"/>
      <c r="I3" s="108" t="n"/>
      <c r="J3" s="108" t="n"/>
      <c r="K3" s="108" t="n"/>
      <c r="L3" s="108" t="n"/>
      <c r="M3" s="108" t="n"/>
      <c r="N3" s="108" t="n"/>
      <c r="O3" s="108" t="n"/>
      <c r="P3" s="108" t="n"/>
      <c r="Q3" s="108" t="n"/>
      <c r="R3" s="108" t="n"/>
      <c r="S3" s="109" t="n"/>
    </row>
    <row r="4" ht="12.75" customFormat="1" customHeight="1" s="101">
      <c r="A4" s="102" t="inlineStr">
        <is>
          <t>publication date</t>
        </is>
      </c>
      <c r="B4" s="110" t="n">
        <v>37774</v>
      </c>
      <c r="F4" s="111" t="inlineStr">
        <is>
          <t xml:space="preserve">The sum of the principal only and the interest only is the callable bond at each node of the binomial lattice.  </t>
        </is>
      </c>
      <c r="G4" s="112" t="n"/>
      <c r="H4" s="112" t="n"/>
      <c r="I4" s="112" t="n"/>
      <c r="J4" s="112" t="n"/>
      <c r="K4" s="112" t="n"/>
      <c r="L4" s="112" t="n"/>
      <c r="M4" s="112" t="n"/>
      <c r="N4" s="112" t="n"/>
      <c r="O4" s="112" t="n"/>
      <c r="P4" s="112" t="n"/>
      <c r="Q4" s="112" t="n"/>
      <c r="R4" s="112" t="n"/>
      <c r="S4" s="113" t="n"/>
    </row>
    <row r="5" ht="12.75" customFormat="1" customHeight="1" s="101">
      <c r="A5" s="102" t="inlineStr">
        <is>
          <t>author</t>
        </is>
      </c>
      <c r="B5" s="106" t="inlineStr">
        <is>
          <t>Hanyang Financial Engineering Lab.</t>
        </is>
      </c>
      <c r="C5" s="106" t="n"/>
      <c r="D5" s="106" t="n"/>
      <c r="E5" s="106" t="n"/>
      <c r="F5" s="114" t="n"/>
      <c r="G5" s="112" t="n"/>
      <c r="H5" s="112" t="n"/>
      <c r="I5" s="112" t="n"/>
      <c r="J5" s="112" t="n"/>
      <c r="K5" s="112" t="n"/>
      <c r="L5" s="112" t="n"/>
      <c r="M5" s="112" t="n"/>
      <c r="N5" s="112" t="n"/>
      <c r="O5" s="112" t="n"/>
      <c r="P5" s="112" t="n"/>
      <c r="Q5" s="112" t="n"/>
      <c r="R5" s="112" t="n"/>
      <c r="S5" s="113" t="n"/>
    </row>
    <row r="6" ht="12.75" customFormat="1" customHeight="1" s="101">
      <c r="A6" s="102" t="inlineStr">
        <is>
          <t>affiliation</t>
        </is>
      </c>
      <c r="B6" s="106" t="inlineStr">
        <is>
          <t>Hanyang University</t>
        </is>
      </c>
      <c r="C6" s="106" t="n"/>
      <c r="D6" s="106" t="n"/>
      <c r="F6" s="115" t="n"/>
      <c r="G6" s="116" t="n"/>
      <c r="H6" s="116" t="n"/>
      <c r="I6" s="116" t="n"/>
      <c r="J6" s="116" t="n"/>
      <c r="K6" s="116" t="n"/>
      <c r="L6" s="116" t="n"/>
      <c r="M6" s="116" t="n"/>
      <c r="N6" s="116" t="n"/>
      <c r="O6" s="116" t="n"/>
      <c r="P6" s="116" t="n"/>
      <c r="Q6" s="116" t="n"/>
      <c r="R6" s="116" t="n"/>
      <c r="S6" s="117" t="n"/>
    </row>
    <row r="7" ht="12.75" customFormat="1" customHeight="1" s="101">
      <c r="A7" s="102" t="inlineStr">
        <is>
          <t>email address</t>
        </is>
      </c>
      <c r="B7" s="118" t="inlineStr">
        <is>
          <t>leesb@hanyang.ac.kr</t>
        </is>
      </c>
      <c r="C7" s="118" t="n"/>
      <c r="D7" s="118" t="n"/>
      <c r="E7" s="119" t="n"/>
      <c r="F7" s="120" t="inlineStr">
        <is>
          <t>input</t>
        </is>
      </c>
      <c r="G7" s="121" t="inlineStr">
        <is>
          <t>initial yield curve, lognormal spot volatility of interest rate, the number of partitions, time to maturity at each node, face value, call price, coupon rate, and bond maturity</t>
        </is>
      </c>
      <c r="H7" s="122" t="n"/>
      <c r="I7" s="122" t="n"/>
      <c r="J7" s="122" t="n"/>
      <c r="K7" s="122" t="n"/>
      <c r="L7" s="122" t="n"/>
      <c r="M7" s="122" t="n"/>
      <c r="N7" s="123" t="n"/>
      <c r="O7" s="123" t="n"/>
      <c r="P7" s="123" t="n"/>
      <c r="Q7" s="123" t="n"/>
      <c r="R7" s="123" t="n"/>
      <c r="S7" s="124" t="n"/>
    </row>
    <row r="8" ht="12.75" customFormat="1" customHeight="1" s="101">
      <c r="A8" s="102" t="inlineStr">
        <is>
          <t>last revised date</t>
        </is>
      </c>
      <c r="B8" s="125" t="n">
        <v>37952</v>
      </c>
      <c r="C8" s="119" t="n"/>
      <c r="D8" s="119" t="n"/>
      <c r="E8" s="119" t="n"/>
      <c r="F8" s="126" t="inlineStr">
        <is>
          <t>output</t>
        </is>
      </c>
      <c r="G8" s="127" t="inlineStr">
        <is>
          <t>principal only lattice, interest only lattice</t>
        </is>
      </c>
      <c r="H8" s="128" t="n"/>
      <c r="I8" s="128" t="n"/>
      <c r="J8" s="128" t="n"/>
      <c r="K8" s="128" t="n"/>
      <c r="L8" s="128" t="n"/>
      <c r="M8" s="128" t="n"/>
      <c r="N8" s="128" t="n"/>
      <c r="O8" s="128" t="n"/>
      <c r="P8" s="128" t="n"/>
      <c r="Q8" s="128" t="n"/>
      <c r="R8" s="128" t="n"/>
      <c r="S8" s="129" t="n"/>
    </row>
    <row r="9" ht="12.75" customFormat="1" customHeight="1" s="101">
      <c r="A9" s="102" t="inlineStr">
        <is>
          <t>references</t>
        </is>
      </c>
      <c r="B9" s="119" t="inlineStr">
        <is>
          <t>Ch.10 of "The Oxford Guide to Financial Modeling" by Thomas S.Y. Ho and Sang Bin Lee, 2003, Oxford University Press</t>
        </is>
      </c>
      <c r="C9" s="119" t="n"/>
      <c r="D9" s="119" t="n"/>
      <c r="E9" s="119" t="n"/>
      <c r="F9" s="119" t="n"/>
      <c r="G9" s="106" t="n"/>
      <c r="H9" s="101" t="n"/>
      <c r="I9" s="101" t="n"/>
      <c r="J9" s="101" t="n"/>
      <c r="K9" s="101" t="n"/>
      <c r="L9" s="101" t="n"/>
      <c r="M9" s="101" t="n"/>
      <c r="N9" s="101" t="n"/>
      <c r="O9" s="101" t="n"/>
      <c r="P9" s="101" t="n"/>
      <c r="Q9" s="101" t="n"/>
      <c r="R9" s="101" t="n"/>
    </row>
    <row r="10" ht="12.75" customFormat="1" customHeight="1" s="101">
      <c r="A10" s="102" t="n"/>
      <c r="C10" s="119" t="n"/>
      <c r="D10" s="119" t="n"/>
      <c r="E10" s="119" t="n"/>
      <c r="F10" s="119" t="n"/>
      <c r="G10" s="106" t="n"/>
      <c r="H10" s="101" t="n"/>
      <c r="I10" s="101" t="n"/>
      <c r="J10" s="101" t="n"/>
      <c r="K10" s="101" t="n"/>
      <c r="L10" s="101" t="n"/>
      <c r="M10" s="101" t="n"/>
      <c r="N10" s="101" t="n"/>
      <c r="O10" s="101" t="n"/>
      <c r="P10" s="101" t="n"/>
      <c r="Q10" s="101" t="n"/>
      <c r="R10" s="101" t="n"/>
    </row>
    <row r="11" ht="12.75" customFormat="1" customHeight="1" s="130">
      <c r="A11" s="131" t="inlineStr">
        <is>
          <t>Descriptions</t>
        </is>
      </c>
      <c r="B11" s="132" t="n"/>
      <c r="C11" s="132" t="n"/>
      <c r="D11" s="132" t="n"/>
      <c r="E11" s="132" t="n"/>
      <c r="F11" s="132" t="n"/>
      <c r="G11" s="133" t="n"/>
    </row>
    <row r="12" ht="12.75" customFormat="1" customHeight="1" s="101">
      <c r="A12" s="134" t="n"/>
      <c r="B12" s="135" t="n"/>
      <c r="C12" s="135" t="n"/>
      <c r="D12" s="135" t="n"/>
      <c r="E12" s="135" t="n"/>
      <c r="F12" s="135" t="n"/>
      <c r="G12" s="106" t="n"/>
      <c r="H12" s="101" t="n"/>
      <c r="I12" s="101" t="n"/>
      <c r="J12" s="101" t="n"/>
      <c r="K12" s="101" t="n"/>
      <c r="L12" s="101" t="n"/>
      <c r="M12" s="101" t="n"/>
      <c r="N12" s="101" t="n"/>
      <c r="P12" s="101" t="n"/>
      <c r="Q12" s="101" t="n"/>
      <c r="R12" s="101" t="n"/>
    </row>
    <row r="13" ht="12.75" customFormat="1" customHeight="1" s="101">
      <c r="A13" s="136" t="inlineStr">
        <is>
          <t>financial model class</t>
        </is>
      </c>
      <c r="B13" s="137" t="inlineStr">
        <is>
          <t>the behavioral models</t>
        </is>
      </c>
      <c r="C13" s="137" t="n"/>
      <c r="D13" s="137" t="n"/>
      <c r="E13" s="137" t="n"/>
      <c r="F13" s="138" t="n"/>
      <c r="G13" s="101" t="n"/>
      <c r="H13" s="101" t="n"/>
      <c r="I13" s="101" t="n"/>
      <c r="J13" s="101" t="n"/>
      <c r="K13" s="101" t="n"/>
      <c r="L13" s="101" t="n"/>
      <c r="M13" s="101" t="n"/>
      <c r="N13" s="101" t="n"/>
      <c r="P13" s="101" t="n"/>
      <c r="Q13" s="101" t="n"/>
      <c r="R13" s="101" t="n"/>
    </row>
    <row r="14" ht="12.75" customFormat="1" customHeight="1" s="101">
      <c r="A14" s="139" t="inlineStr">
        <is>
          <t>issuer/modeler</t>
        </is>
      </c>
      <c r="B14" s="135" t="inlineStr">
        <is>
          <t>N/A</t>
        </is>
      </c>
      <c r="C14" s="135" t="n"/>
      <c r="D14" s="135" t="n"/>
      <c r="E14" s="135" t="n"/>
      <c r="F14" s="140" t="n"/>
      <c r="P14" s="101" t="n"/>
      <c r="Q14" s="101" t="n"/>
      <c r="R14" s="101" t="n"/>
    </row>
    <row r="15" ht="12.75" customFormat="1" customHeight="1" s="101">
      <c r="A15" s="139" t="inlineStr">
        <is>
          <t>model type</t>
        </is>
      </c>
      <c r="B15" s="135" t="inlineStr">
        <is>
          <t>Collateralized Mortgage Obligations</t>
        </is>
      </c>
      <c r="C15" s="135" t="n"/>
      <c r="D15" s="135" t="n"/>
      <c r="E15" s="135" t="n"/>
      <c r="F15" s="140" t="n"/>
      <c r="P15" s="101" t="n"/>
      <c r="Q15" s="101" t="n"/>
      <c r="R15" s="101" t="n"/>
    </row>
    <row r="16" ht="12.75" customFormat="1" customHeight="1" s="101">
      <c r="A16" s="139" t="inlineStr">
        <is>
          <t>risk sources</t>
        </is>
      </c>
      <c r="B16" s="135" t="inlineStr">
        <is>
          <t>interest rate</t>
        </is>
      </c>
      <c r="C16" s="135" t="n"/>
      <c r="D16" s="135" t="n"/>
      <c r="E16" s="135" t="n"/>
      <c r="F16" s="140" t="n"/>
      <c r="H16" s="101" t="n"/>
      <c r="I16" s="101" t="n"/>
      <c r="P16" s="101" t="n"/>
      <c r="Q16" s="101" t="n"/>
      <c r="R16" s="101" t="n"/>
    </row>
    <row r="17" ht="12.75" customFormat="1" customHeight="1" s="101">
      <c r="A17" s="139" t="inlineStr">
        <is>
          <t>risk distribution</t>
        </is>
      </c>
      <c r="B17" s="135" t="inlineStr">
        <is>
          <t>normal</t>
        </is>
      </c>
      <c r="C17" s="135" t="n"/>
      <c r="D17" s="135" t="n"/>
      <c r="E17" s="135" t="n"/>
      <c r="F17" s="140" t="n"/>
      <c r="H17" s="141" t="n"/>
      <c r="I17" s="101" t="n"/>
      <c r="P17" s="101" t="n"/>
      <c r="Q17" s="101" t="n"/>
      <c r="R17" s="101" t="n"/>
    </row>
    <row r="18" ht="12.75" customFormat="1" customHeight="1" s="101">
      <c r="A18" s="139" t="inlineStr">
        <is>
          <t>economic assumptions</t>
        </is>
      </c>
      <c r="B18" s="114" t="inlineStr">
        <is>
          <t>contingent claim model</t>
        </is>
      </c>
      <c r="C18" s="135" t="n"/>
      <c r="D18" s="135" t="n"/>
      <c r="E18" s="135" t="n"/>
      <c r="F18" s="140" t="n"/>
      <c r="P18" s="101" t="n"/>
      <c r="Q18" s="101" t="n"/>
      <c r="R18" s="101" t="n"/>
    </row>
    <row r="19" ht="12.75" customFormat="1" customHeight="1" s="101">
      <c r="A19" s="142" t="inlineStr">
        <is>
          <t>technical assumptions</t>
        </is>
      </c>
      <c r="B19" s="143" t="inlineStr">
        <is>
          <t>m=1</t>
        </is>
      </c>
      <c r="C19" s="143" t="n"/>
      <c r="D19" s="143" t="n"/>
      <c r="E19" s="143" t="n"/>
      <c r="F19" s="144" t="n"/>
      <c r="P19" s="101" t="n"/>
      <c r="Q19" s="101" t="n"/>
      <c r="R19" s="101" t="n"/>
    </row>
    <row r="20" ht="12.75" customFormat="1" customHeight="1" s="101">
      <c r="A20" s="102" t="inlineStr">
        <is>
          <t>key words</t>
        </is>
      </c>
      <c r="B20" s="135" t="inlineStr">
        <is>
          <t>arbitrage-free interest rate model, contingent claim</t>
        </is>
      </c>
      <c r="C20" s="135" t="n"/>
      <c r="D20" s="135" t="n"/>
      <c r="E20" s="135" t="n"/>
      <c r="F20" s="135" t="n"/>
      <c r="P20" s="101" t="n"/>
      <c r="Q20" s="101" t="n"/>
      <c r="R20" s="101" t="n"/>
    </row>
    <row r="21" ht="12.75" customFormat="1" customHeight="1" s="101">
      <c r="A21" s="102" t="n"/>
      <c r="B21" s="125" t="n"/>
      <c r="C21" s="125" t="n"/>
      <c r="D21" s="125" t="n"/>
      <c r="E21" s="125" t="n"/>
      <c r="L21" s="101" t="n"/>
      <c r="M21" s="101" t="n"/>
      <c r="N21" s="101" t="n"/>
      <c r="O21" s="101" t="n"/>
      <c r="P21" s="101" t="n"/>
      <c r="Q21" s="101" t="n"/>
      <c r="R21" s="101" t="n"/>
    </row>
    <row r="22" ht="12.75" customFormat="1" customHeight="1" s="130">
      <c r="A22" s="131" t="inlineStr">
        <is>
          <t>Links</t>
        </is>
      </c>
      <c r="B22" s="145" t="n"/>
      <c r="C22" s="145" t="n"/>
      <c r="D22" s="145" t="n"/>
      <c r="E22" s="145" t="n"/>
    </row>
    <row r="23" ht="12.75" customFormat="1" customHeight="1" s="101">
      <c r="A23" s="102" t="inlineStr">
        <is>
          <t>data</t>
        </is>
      </c>
      <c r="B23" s="146" t="inlineStr">
        <is>
          <t>http://www.federalreserve.gov/</t>
        </is>
      </c>
      <c r="C23" s="125" t="n"/>
      <c r="D23" s="125" t="n"/>
      <c r="E23" s="125" t="n"/>
      <c r="L23" s="101" t="n"/>
      <c r="M23" s="101" t="n"/>
      <c r="N23" s="101" t="n"/>
      <c r="O23" s="101" t="n"/>
      <c r="P23" s="101" t="n"/>
      <c r="Q23" s="101" t="n"/>
      <c r="R23" s="101" t="n"/>
    </row>
    <row r="24" ht="12.75" customFormat="1" customHeight="1" s="101">
      <c r="A24" s="102" t="inlineStr">
        <is>
          <t>financial models</t>
        </is>
      </c>
      <c r="B24" s="147" t="inlineStr">
        <is>
          <t>7. Bond Arithmetic, 8. Bond Model, 21. Extended Ho-Lee Model, 53. Callable Bond Model</t>
        </is>
      </c>
      <c r="C24" s="125" t="n"/>
      <c r="D24" s="125" t="n"/>
      <c r="E24" s="125" t="n"/>
      <c r="F24" s="101" t="n"/>
      <c r="G24" s="101" t="n"/>
    </row>
    <row r="25" ht="12.75" customFormat="1" customHeight="1" s="101">
      <c r="A25" s="102" t="n"/>
      <c r="B25" s="118" t="n"/>
      <c r="C25" s="101" t="n"/>
      <c r="D25" s="101" t="n"/>
      <c r="E25" s="101" t="n"/>
      <c r="F25" s="101" t="n"/>
      <c r="G25" s="101" t="n"/>
    </row>
    <row r="26" ht="12.75" customFormat="1" customHeight="1" s="99">
      <c r="A26" s="100" t="inlineStr">
        <is>
          <t>Inputs</t>
        </is>
      </c>
      <c r="B26" s="100" t="n"/>
      <c r="N26" s="99" t="n"/>
      <c r="O26" s="99" t="n"/>
      <c r="P26" s="99" t="n"/>
      <c r="Q26" s="99" t="n"/>
      <c r="R26" s="99" t="n"/>
      <c r="S26" s="99" t="n"/>
      <c r="T26" s="99" t="n"/>
    </row>
    <row r="27" ht="12.75" customFormat="1" customHeight="1" s="162">
      <c r="A27" s="163" t="n"/>
      <c r="B27" s="163" t="n"/>
      <c r="N27" s="162" t="n"/>
      <c r="O27" s="162" t="n"/>
      <c r="P27" s="162" t="n"/>
      <c r="Q27" s="162" t="n"/>
      <c r="R27" s="162" t="n"/>
      <c r="S27" s="162" t="n"/>
      <c r="T27" s="162" t="n"/>
    </row>
    <row r="28" ht="12.75" customFormat="1" customHeight="1" s="101">
      <c r="A28" s="164" t="inlineStr">
        <is>
          <t>year</t>
        </is>
      </c>
      <c r="B28" s="164" t="n">
        <v>0</v>
      </c>
      <c r="C28" s="164" t="n">
        <v>1</v>
      </c>
      <c r="D28" s="164" t="n">
        <v>2</v>
      </c>
      <c r="E28" s="164" t="n">
        <v>3</v>
      </c>
      <c r="F28" s="164" t="n">
        <v>4</v>
      </c>
      <c r="G28" s="164" t="n">
        <v>5</v>
      </c>
      <c r="H28" s="164" t="n">
        <v>6</v>
      </c>
      <c r="I28" s="164" t="n">
        <v>7</v>
      </c>
      <c r="J28" s="164" t="n">
        <v>8</v>
      </c>
      <c r="K28" s="164" t="n">
        <v>9</v>
      </c>
      <c r="L28" s="164" t="n">
        <v>10</v>
      </c>
      <c r="M28" s="101" t="n"/>
      <c r="N28" s="101" t="n"/>
      <c r="O28" s="101" t="n"/>
      <c r="P28" s="101" t="n"/>
      <c r="Q28" s="101" t="n"/>
      <c r="R28" s="101" t="n"/>
      <c r="S28" s="101" t="n"/>
      <c r="T28" s="101" t="n"/>
      <c r="U28" s="101" t="n"/>
      <c r="V28" s="101" t="n"/>
      <c r="W28" s="101" t="n"/>
      <c r="X28" s="101" t="n"/>
      <c r="Y28" s="101" t="n"/>
      <c r="Z28" s="101" t="n"/>
      <c r="AA28" s="101" t="n"/>
      <c r="AB28" s="101" t="n"/>
      <c r="AC28" s="101" t="n"/>
      <c r="AD28" s="101" t="n"/>
      <c r="AE28" s="101" t="n"/>
      <c r="AF28" s="101" t="n"/>
    </row>
    <row r="29" ht="12.75" customFormat="1" customHeight="1" s="101">
      <c r="A29" s="165" t="inlineStr">
        <is>
          <t>initial yield curve (continuous compounding)</t>
        </is>
      </c>
      <c r="B29" s="166" t="n">
        <v>0.045</v>
      </c>
      <c r="C29" s="166" t="n">
        <v>0.045</v>
      </c>
      <c r="D29" s="166" t="n">
        <v>0.045</v>
      </c>
      <c r="E29" s="166" t="n">
        <v>0.045</v>
      </c>
      <c r="F29" s="166" t="n">
        <v>0.045</v>
      </c>
      <c r="G29" s="166" t="n">
        <v>0.045</v>
      </c>
      <c r="H29" s="166" t="n">
        <v>0.045</v>
      </c>
      <c r="I29" s="166" t="n">
        <v>0.045</v>
      </c>
      <c r="J29" s="166" t="n">
        <v>0.045</v>
      </c>
      <c r="K29" s="166" t="n">
        <v>0.045</v>
      </c>
      <c r="L29" s="166" t="n">
        <v>0.045</v>
      </c>
    </row>
    <row r="30" ht="12.75" customFormat="1" customHeight="1" s="162">
      <c r="A30" s="165" t="inlineStr">
        <is>
          <t>initial discount function p(n)</t>
        </is>
      </c>
      <c r="B30" s="167">
        <f>EXP(-B29*B28)</f>
        <v/>
      </c>
      <c r="C30" s="167">
        <f>EXP(-C29*C28)</f>
        <v/>
      </c>
      <c r="D30" s="167">
        <f>EXP(-D29*D28)</f>
        <v/>
      </c>
      <c r="E30" s="167">
        <f>EXP(-E29*E28)</f>
        <v/>
      </c>
      <c r="F30" s="167">
        <f>EXP(-F29*F28)</f>
        <v/>
      </c>
      <c r="G30" s="167">
        <f>EXP(-G29*G28)</f>
        <v/>
      </c>
      <c r="H30" s="167">
        <f>EXP(-H29*H28)</f>
        <v/>
      </c>
      <c r="I30" s="167">
        <f>EXP(-I29*I28)</f>
        <v/>
      </c>
      <c r="J30" s="167">
        <f>EXP(-J29*J28)</f>
        <v/>
      </c>
      <c r="K30" s="167">
        <f>EXP(-K29*K28)</f>
        <v/>
      </c>
      <c r="L30" s="167">
        <f>EXP(-L29*L28)</f>
        <v/>
      </c>
      <c r="M30" s="167" t="n"/>
      <c r="N30" s="167" t="n"/>
      <c r="O30" s="167" t="n"/>
      <c r="P30" s="167" t="n"/>
      <c r="Q30" s="167" t="n"/>
      <c r="R30" s="167" t="n"/>
      <c r="S30" s="167" t="n"/>
      <c r="T30" s="167" t="n"/>
      <c r="U30" s="167" t="n"/>
      <c r="V30" s="167" t="n"/>
      <c r="W30" s="167" t="n"/>
      <c r="X30" s="167" t="n"/>
      <c r="Y30" s="167" t="n"/>
      <c r="Z30" s="167" t="n"/>
      <c r="AA30" s="167" t="n"/>
      <c r="AB30" s="167" t="n"/>
      <c r="AC30" s="167" t="n"/>
      <c r="AD30" s="167" t="n"/>
      <c r="AE30" s="167" t="n"/>
      <c r="AF30" s="167" t="n"/>
    </row>
    <row r="31" ht="12.75" customFormat="1" customHeight="1" s="101">
      <c r="A31" s="165" t="inlineStr">
        <is>
          <t xml:space="preserve">forward curve </t>
        </is>
      </c>
      <c r="B31" s="168">
        <f>-LN(C30/B30)</f>
        <v/>
      </c>
      <c r="C31" s="168">
        <f>-LN(D30/C30)</f>
        <v/>
      </c>
      <c r="D31" s="168">
        <f>-LN(E30/D30)</f>
        <v/>
      </c>
      <c r="E31" s="168">
        <f>-LN(F30/E30)</f>
        <v/>
      </c>
      <c r="F31" s="168">
        <f>-LN(G30/F30)</f>
        <v/>
      </c>
      <c r="G31" s="168">
        <f>-LN(H30/G30)</f>
        <v/>
      </c>
      <c r="H31" s="168">
        <f>-LN(I30/H30)</f>
        <v/>
      </c>
      <c r="I31" s="168">
        <f>-LN(J30/I30)</f>
        <v/>
      </c>
      <c r="J31" s="168">
        <f>-LN(K30/J30)</f>
        <v/>
      </c>
      <c r="K31" s="168">
        <f>-LN(L30/K30)</f>
        <v/>
      </c>
      <c r="L31" s="168" t="n"/>
      <c r="M31" s="168" t="n"/>
      <c r="N31" s="168" t="n"/>
      <c r="O31" s="168" t="n"/>
      <c r="P31" s="168" t="n"/>
      <c r="Q31" s="168" t="n"/>
      <c r="R31" s="168" t="n"/>
      <c r="S31" s="168" t="n"/>
      <c r="T31" s="168" t="n"/>
      <c r="U31" s="168" t="n"/>
      <c r="V31" s="168" t="n"/>
      <c r="W31" s="168" t="n"/>
      <c r="X31" s="168" t="n"/>
      <c r="Y31" s="168" t="n"/>
      <c r="Z31" s="168" t="n"/>
      <c r="AA31" s="168" t="n"/>
      <c r="AB31" s="168" t="n"/>
      <c r="AC31" s="168" t="n"/>
      <c r="AD31" s="168" t="n"/>
      <c r="AE31" s="168" t="n"/>
      <c r="AF31" s="168" t="n"/>
    </row>
    <row r="32" ht="14.25" customFormat="1" customHeight="1" s="101">
      <c r="A32" s="101" t="inlineStr">
        <is>
          <t>lognormal spot volatility (σS)</t>
        </is>
      </c>
      <c r="B32" s="122" t="n">
        <v>0</v>
      </c>
      <c r="C32" s="122" t="n">
        <v>0.1</v>
      </c>
      <c r="D32" s="122" t="n">
        <v>0.095</v>
      </c>
      <c r="E32" s="122" t="n">
        <v>0.09</v>
      </c>
      <c r="F32" s="122" t="n">
        <v>0.08500000000000001</v>
      </c>
      <c r="G32" s="122" t="n">
        <v>0.08</v>
      </c>
      <c r="H32" s="122" t="n">
        <v>0.075</v>
      </c>
      <c r="I32" s="122" t="n">
        <v>0.07000000000000001</v>
      </c>
      <c r="J32" s="122" t="n">
        <v>0.065</v>
      </c>
      <c r="K32" s="122" t="n">
        <v>0.06</v>
      </c>
      <c r="L32" s="122" t="n">
        <v>0.055</v>
      </c>
    </row>
    <row r="33" ht="14.25" customFormat="1" customHeight="1" s="101">
      <c r="A33" s="101" t="inlineStr">
        <is>
          <t>lognormal forward volatility (σf)</t>
        </is>
      </c>
      <c r="B33" s="101" t="n">
        <v>0</v>
      </c>
      <c r="C33" s="101" t="n"/>
      <c r="D33" s="101" t="n"/>
      <c r="E33" s="101" t="n"/>
      <c r="F33" s="101" t="n"/>
      <c r="G33" s="101" t="n"/>
      <c r="H33" s="101" t="n"/>
      <c r="I33" s="101" t="n"/>
      <c r="J33" s="101" t="n"/>
      <c r="K33" s="101" t="n"/>
    </row>
    <row r="34" ht="13.5" customFormat="1" customHeight="1" s="101">
      <c r="A34" s="101" t="inlineStr">
        <is>
          <t>the number of partitions (m)</t>
        </is>
      </c>
      <c r="B34" s="122" t="n">
        <v>1</v>
      </c>
      <c r="C34" s="169" t="n"/>
      <c r="N34" s="101" t="n"/>
      <c r="O34" s="101" t="n"/>
      <c r="P34" s="101" t="n"/>
      <c r="Q34" s="101" t="n"/>
      <c r="R34" s="101" t="n"/>
      <c r="S34" s="101" t="n"/>
      <c r="T34" s="101" t="n"/>
    </row>
    <row r="35" ht="12.75" customFormat="1" customHeight="1" s="101">
      <c r="A35" s="101" t="inlineStr">
        <is>
          <t>time to maturity (T) at each node</t>
        </is>
      </c>
      <c r="B35" s="122" t="n">
        <v>1</v>
      </c>
      <c r="N35" s="101" t="n"/>
      <c r="O35" s="101" t="n"/>
      <c r="P35" s="101" t="n"/>
      <c r="Q35" s="101" t="n"/>
      <c r="R35" s="101" t="n"/>
      <c r="S35" s="101" t="n"/>
      <c r="T35" s="101" t="n"/>
    </row>
    <row r="36" ht="12.75" customFormat="1" customHeight="1" s="101">
      <c r="A36" s="101" t="inlineStr">
        <is>
          <t>forward price</t>
        </is>
      </c>
      <c r="B36" s="167" t="n"/>
      <c r="C36" s="167" t="n"/>
      <c r="D36" s="167" t="n"/>
      <c r="E36" s="167" t="n"/>
      <c r="F36" s="167" t="n"/>
      <c r="G36" s="167" t="n"/>
      <c r="H36" s="167" t="n"/>
      <c r="I36" s="167" t="n"/>
      <c r="J36" s="167" t="n"/>
      <c r="K36" s="167" t="n"/>
      <c r="L36" s="167" t="n"/>
      <c r="M36" s="167" t="n"/>
      <c r="N36" s="167" t="n"/>
      <c r="O36" s="167" t="n"/>
      <c r="P36" s="167" t="n"/>
      <c r="Q36" s="167" t="n"/>
      <c r="R36" s="167" t="n"/>
      <c r="S36" s="167" t="n"/>
      <c r="T36" s="167" t="n"/>
      <c r="U36" s="167" t="n"/>
      <c r="V36" s="167" t="n"/>
      <c r="W36" s="167" t="n"/>
      <c r="X36" s="167" t="n"/>
      <c r="Y36" s="167" t="n"/>
      <c r="Z36" s="167" t="n"/>
      <c r="AA36" s="167" t="n"/>
      <c r="AB36" s="167" t="n"/>
      <c r="AC36" s="167" t="n"/>
      <c r="AD36" s="167" t="n"/>
      <c r="AE36" s="167" t="n"/>
      <c r="AF36" s="167" t="n"/>
    </row>
    <row r="37" ht="12.75" customFormat="1" customHeight="1" s="101">
      <c r="A37" s="101" t="inlineStr">
        <is>
          <t>delta (δ)</t>
        </is>
      </c>
      <c r="B37" s="170">
        <f>EXP(-2*B31*B33/SQRT($B$34))</f>
        <v/>
      </c>
      <c r="C37" s="170">
        <f>EXP(-2*C31*C33/SQRT($B$34))</f>
        <v/>
      </c>
      <c r="D37" s="170">
        <f>EXP(-2*D31*D33/SQRT($B$34))</f>
        <v/>
      </c>
      <c r="E37" s="170">
        <f>EXP(-2*E31*E33/SQRT($B$34))</f>
        <v/>
      </c>
      <c r="F37" s="170">
        <f>EXP(-2*F31*F33/SQRT($B$34))</f>
        <v/>
      </c>
      <c r="G37" s="170">
        <f>EXP(-2*G31*G33/SQRT($B$34))</f>
        <v/>
      </c>
      <c r="H37" s="170">
        <f>EXP(-2*H31*H33/SQRT($B$34))</f>
        <v/>
      </c>
      <c r="I37" s="170">
        <f>EXP(-2*I31*I33/SQRT($B$34))</f>
        <v/>
      </c>
      <c r="J37" s="170">
        <f>EXP(-2*J31*J33/SQRT($B$34))</f>
        <v/>
      </c>
      <c r="K37" s="170">
        <f>EXP(-2*K31*K33/SQRT($B$34))</f>
        <v/>
      </c>
      <c r="L37" s="170" t="n"/>
      <c r="M37" s="170" t="n"/>
      <c r="N37" s="170" t="n"/>
      <c r="O37" s="170" t="n"/>
      <c r="P37" s="170" t="n"/>
      <c r="Q37" s="170" t="n"/>
      <c r="R37" s="170" t="n"/>
      <c r="S37" s="170" t="n"/>
      <c r="T37" s="170" t="n"/>
      <c r="U37" s="170" t="n"/>
      <c r="V37" s="170" t="n"/>
      <c r="W37" s="170" t="n"/>
      <c r="X37" s="170" t="n"/>
      <c r="Y37" s="170" t="n"/>
      <c r="Z37" s="170" t="n"/>
      <c r="AA37" s="170" t="n"/>
      <c r="AB37" s="170" t="n"/>
      <c r="AC37" s="170" t="n"/>
      <c r="AD37" s="170" t="n"/>
      <c r="AE37" s="170" t="n"/>
      <c r="AF37" s="170" t="n"/>
    </row>
    <row r="38" ht="12.75" customFormat="1" customHeight="1" s="101">
      <c r="N38" s="101" t="n"/>
      <c r="O38" s="101" t="n"/>
      <c r="P38" s="101" t="n"/>
      <c r="Q38" s="101" t="n"/>
      <c r="R38" s="101" t="n"/>
      <c r="S38" s="101" t="n"/>
      <c r="T38" s="101" t="n"/>
    </row>
    <row r="39" ht="12.75" customFormat="1" customHeight="1" s="101">
      <c r="A39" s="101" t="inlineStr">
        <is>
          <t>face value</t>
        </is>
      </c>
      <c r="B39" s="122" t="n">
        <v>100</v>
      </c>
      <c r="N39" s="101" t="n"/>
      <c r="O39" s="101" t="n"/>
      <c r="P39" s="101" t="n"/>
      <c r="Q39" s="101" t="n"/>
      <c r="R39" s="101" t="n"/>
      <c r="S39" s="101" t="n"/>
      <c r="T39" s="101" t="n"/>
    </row>
    <row r="40" ht="12.75" customFormat="1" customHeight="1" s="101">
      <c r="A40" s="101" t="inlineStr">
        <is>
          <t>call price</t>
        </is>
      </c>
      <c r="B40" s="122" t="n">
        <v>103</v>
      </c>
      <c r="N40" s="101" t="n"/>
      <c r="O40" s="101" t="n"/>
      <c r="P40" s="101" t="n"/>
      <c r="Q40" s="101" t="n"/>
      <c r="R40" s="101" t="n"/>
      <c r="S40" s="101" t="n"/>
      <c r="T40" s="101" t="n"/>
    </row>
    <row r="41" ht="12.75" customFormat="1" customHeight="1" s="101">
      <c r="A41" s="101" t="inlineStr">
        <is>
          <t>coupon rate (annual compounding)</t>
        </is>
      </c>
      <c r="B41" s="122" t="n">
        <v>0.055</v>
      </c>
      <c r="N41" s="101" t="n"/>
      <c r="O41" s="101" t="n"/>
      <c r="P41" s="101" t="n"/>
      <c r="Q41" s="101" t="n"/>
      <c r="R41" s="101" t="n"/>
      <c r="S41" s="101" t="n"/>
      <c r="T41" s="101" t="n"/>
    </row>
    <row r="42" ht="12.75" customFormat="1" customHeight="1" s="101">
      <c r="A42" s="101" t="inlineStr">
        <is>
          <t>bond maturity</t>
        </is>
      </c>
      <c r="B42" s="122" t="n">
        <v>5</v>
      </c>
      <c r="N42" s="101" t="n"/>
      <c r="O42" s="101" t="n"/>
      <c r="P42" s="101" t="n"/>
      <c r="Q42" s="101" t="n"/>
      <c r="R42" s="101" t="n"/>
      <c r="S42" s="101" t="n"/>
      <c r="T42" s="101" t="n"/>
    </row>
    <row r="43" ht="12.75" customFormat="1" customHeight="1" s="101">
      <c r="N43" s="101" t="n"/>
      <c r="O43" s="101" t="n"/>
      <c r="P43" s="101" t="n"/>
      <c r="Q43" s="101" t="n"/>
      <c r="R43" s="101" t="n"/>
      <c r="S43" s="101" t="n"/>
      <c r="T43" s="101" t="n"/>
    </row>
    <row r="44" ht="12.75" customFormat="1" customHeight="1" s="99">
      <c r="A44" s="100" t="inlineStr">
        <is>
          <t>Outputs</t>
        </is>
      </c>
      <c r="B44" s="100" t="n"/>
      <c r="N44" s="99" t="n"/>
      <c r="O44" s="99" t="n"/>
      <c r="P44" s="99" t="n"/>
      <c r="Q44" s="99" t="n"/>
      <c r="R44" s="99" t="n"/>
      <c r="S44" s="99" t="n"/>
      <c r="T44" s="99" t="n"/>
    </row>
    <row r="45" ht="12.75" customFormat="1" customHeight="1" s="101">
      <c r="N45" s="101" t="n"/>
      <c r="O45" s="101" t="n"/>
      <c r="P45" s="101" t="n"/>
      <c r="Q45" s="101" t="n"/>
      <c r="R45" s="101" t="n"/>
      <c r="S45" s="101" t="n"/>
      <c r="T45" s="101" t="n"/>
    </row>
    <row r="46" ht="12.75" customFormat="1" customHeight="1" s="101">
      <c r="B46" s="171" t="n"/>
      <c r="C46" s="171" t="n"/>
      <c r="D46" s="171" t="n"/>
      <c r="E46" s="171" t="n"/>
      <c r="F46" s="171" t="n"/>
      <c r="G46" s="171">
        <f>$B$39</f>
        <v/>
      </c>
      <c r="N46" s="101" t="n"/>
      <c r="O46" s="101" t="n"/>
      <c r="P46" s="101" t="n"/>
      <c r="Q46" s="101" t="n"/>
      <c r="R46" s="101" t="n"/>
      <c r="S46" s="101" t="n"/>
      <c r="T46" s="101" t="n"/>
    </row>
    <row r="47" ht="12.75" customFormat="1" customHeight="1" s="101">
      <c r="B47" s="171" t="n"/>
      <c r="C47" s="171" t="n"/>
      <c r="D47" s="171" t="n"/>
      <c r="E47" s="171" t="n"/>
      <c r="F47" s="171">
        <f>IF(F48=0,0.5*(G46+G47)*F94,IF(0.5*(G66+G67)*F94&gt;$B$40,$B$40,0.5*(G46+G47)*F94))</f>
        <v/>
      </c>
      <c r="G47" s="171">
        <f>$B$39</f>
        <v/>
      </c>
      <c r="N47" s="101" t="n"/>
      <c r="O47" s="101" t="n"/>
      <c r="P47" s="101" t="n"/>
      <c r="Q47" s="101" t="n"/>
      <c r="R47" s="101" t="n"/>
      <c r="S47" s="101" t="n"/>
      <c r="T47" s="101" t="n"/>
    </row>
    <row r="48" ht="12.75" customFormat="1" customHeight="1" s="101">
      <c r="B48" s="171" t="n"/>
      <c r="C48" s="171" t="n"/>
      <c r="D48" s="171" t="n"/>
      <c r="E48" s="171">
        <f>IF(E49=0,0.5*(F47+F48)*E95,IF(0.5*(F67+F68)*E95&gt;$B$40,$B$40,0.5*(F47+F48)*E95))</f>
        <v/>
      </c>
      <c r="F48" s="171">
        <f>IF(F49=0,0.5*(G47+G48)*F95,IF(0.5*(G67+G68)*F95&gt;$B$40,$B$40,0.5*(G47+G48)*F95))</f>
        <v/>
      </c>
      <c r="G48" s="171">
        <f>$B$39</f>
        <v/>
      </c>
      <c r="N48" s="101" t="n"/>
      <c r="O48" s="101" t="n"/>
      <c r="P48" s="101" t="n"/>
      <c r="Q48" s="101" t="n"/>
      <c r="R48" s="101" t="n"/>
      <c r="S48" s="101" t="n"/>
      <c r="T48" s="101" t="n"/>
    </row>
    <row r="49" ht="12.75" customFormat="1" customHeight="1" s="101">
      <c r="B49" s="171" t="n"/>
      <c r="C49" s="171" t="n"/>
      <c r="D49" s="171">
        <f>IF(D50=0,0.5*(E48+E49)*D96,IF(0.5*(E68+E69)*D96&gt;$B$40,$B$40,0.5*(E48+E49)*D96))</f>
        <v/>
      </c>
      <c r="E49" s="171">
        <f>IF(E50=0,0.5*(F48+F49)*E96,IF(0.5*(F68+F69)*E96&gt;$B$40,$B$40,0.5*(F48+F49)*E96))</f>
        <v/>
      </c>
      <c r="F49" s="171">
        <f>IF(F50=0,0.5*(G48+G49)*F96,IF(0.5*(G68+G69)*F96&gt;$B$40,$B$40,0.5*(G48+G49)*F96))</f>
        <v/>
      </c>
      <c r="G49" s="171">
        <f>$B$39</f>
        <v/>
      </c>
      <c r="N49" s="101" t="n"/>
      <c r="O49" s="101" t="n"/>
      <c r="P49" s="101" t="n"/>
      <c r="Q49" s="101" t="n"/>
      <c r="R49" s="101" t="n"/>
      <c r="S49" s="101" t="n"/>
      <c r="T49" s="101" t="n"/>
    </row>
    <row r="50" ht="12.75" customFormat="1" customHeight="1" s="101">
      <c r="B50" s="171" t="n"/>
      <c r="C50" s="171">
        <f>IF(C51=0,0.5*(D49+D50)*C97,IF(0.5*(D69+D70)*C97&gt;$B$40,$B$40,0.5*(D49+D50)*C97))</f>
        <v/>
      </c>
      <c r="D50" s="171">
        <f>IF(D51=0,0.5*(E49+E50)*D97,IF(0.5*(E69+E70)*D97&gt;$B$40,$B$40,0.5*(E49+E50)*D97))</f>
        <v/>
      </c>
      <c r="E50" s="171">
        <f>IF(E51=0,0.5*(F49+F50)*E97,IF(0.5*(F69+F70)*E97&gt;$B$40,$B$40,0.5*(F49+F50)*E97))</f>
        <v/>
      </c>
      <c r="F50" s="171">
        <f>IF(F51=0,0.5*(G49+G50)*F97,IF(0.5*(G69+G70)*F97&gt;$B$40,$B$40,0.5*(G49+G50)*F97))</f>
        <v/>
      </c>
      <c r="G50" s="171">
        <f>$B$39</f>
        <v/>
      </c>
      <c r="N50" s="101" t="n"/>
      <c r="O50" s="101" t="n"/>
      <c r="P50" s="101" t="n"/>
      <c r="Q50" s="101" t="n"/>
      <c r="R50" s="101" t="n"/>
      <c r="S50" s="101" t="n"/>
      <c r="T50" s="101" t="n"/>
    </row>
    <row r="51" ht="12.75" customFormat="1" customHeight="1" s="101">
      <c r="A51" s="101" t="inlineStr">
        <is>
          <t>Principal Only</t>
        </is>
      </c>
      <c r="B51" s="171">
        <f>IF(B52=0,0.5*(C50+C51)*B98,IF(0.5*(C70+C71)*B98&gt;$B$40,$B$40,0.5*(C50+C51)*B98))</f>
        <v/>
      </c>
      <c r="C51" s="171">
        <f>IF(C52=0,0.5*(D50+D51)*C98,IF(0.5*(D70+D71)*C98&gt;$B$40,$B$40,0.5*(D50+D51)*C98))</f>
        <v/>
      </c>
      <c r="D51" s="171">
        <f>IF(D52=0,0.5*(E50+E51)*D98,IF(0.5*(E70+E71)*D98&gt;$B$40,$B$40,0.5*(E50+E51)*D98))</f>
        <v/>
      </c>
      <c r="E51" s="171">
        <f>IF(E52=0,0.5*(F50+F51)*E98,IF(0.5*(F70+F71)*E98&gt;$B$40,$B$40,0.5*(F50+F51)*E98))</f>
        <v/>
      </c>
      <c r="F51" s="171">
        <f>IF(F52=0,0.5*(G50+G51)*F98,IF(0.5*(G70+G71)*F98&gt;$B$40,$B$40,0.5*(G50+G51)*F98))</f>
        <v/>
      </c>
      <c r="G51" s="171">
        <f>$B$39</f>
        <v/>
      </c>
      <c r="N51" s="101" t="n"/>
      <c r="O51" s="101" t="n"/>
      <c r="P51" s="101" t="n"/>
      <c r="Q51" s="101" t="n"/>
      <c r="R51" s="101" t="n"/>
      <c r="S51" s="101" t="n"/>
      <c r="T51" s="101" t="n"/>
    </row>
    <row r="52" ht="12.75" customFormat="1" customHeight="1" s="101">
      <c r="A52" s="164" t="inlineStr">
        <is>
          <t>year</t>
        </is>
      </c>
      <c r="B52" s="164" t="n">
        <v>0</v>
      </c>
      <c r="C52" s="164" t="n">
        <v>1</v>
      </c>
      <c r="D52" s="164" t="n">
        <v>2</v>
      </c>
      <c r="E52" s="164" t="n">
        <v>3</v>
      </c>
      <c r="F52" s="164" t="n">
        <v>4</v>
      </c>
      <c r="G52" s="164" t="n">
        <v>5</v>
      </c>
      <c r="N52" s="101" t="n"/>
      <c r="O52" s="101" t="n"/>
      <c r="P52" s="101" t="n"/>
      <c r="Q52" s="101" t="n"/>
      <c r="R52" s="101" t="n"/>
      <c r="S52" s="101" t="n"/>
      <c r="T52" s="101" t="n"/>
    </row>
    <row r="53" ht="12.75" customFormat="1" customHeight="1" s="101">
      <c r="N53" s="101" t="n"/>
      <c r="O53" s="101" t="n"/>
      <c r="P53" s="101" t="n"/>
      <c r="Q53" s="101" t="n"/>
      <c r="R53" s="101" t="n"/>
      <c r="S53" s="101" t="n"/>
      <c r="T53" s="101" t="n"/>
    </row>
    <row r="54" ht="12.75" customFormat="1" customHeight="1" s="101">
      <c r="B54" s="171" t="n"/>
      <c r="C54" s="171" t="n"/>
      <c r="D54" s="171" t="n"/>
      <c r="E54" s="171" t="n"/>
      <c r="F54" s="171" t="n"/>
      <c r="G54" s="171">
        <f>$B$39*$B$41</f>
        <v/>
      </c>
      <c r="N54" s="101" t="n"/>
      <c r="O54" s="101" t="n"/>
      <c r="P54" s="101" t="n"/>
      <c r="Q54" s="101" t="n"/>
      <c r="R54" s="101" t="n"/>
      <c r="S54" s="101" t="n"/>
      <c r="T54" s="101" t="n"/>
    </row>
    <row r="55" ht="12.75" customFormat="1" customHeight="1" s="101">
      <c r="B55" s="171" t="n"/>
      <c r="C55" s="171" t="n"/>
      <c r="D55" s="171" t="n"/>
      <c r="E55" s="171" t="n"/>
      <c r="F55" s="171">
        <f>IF(F$60=0,0.5*(G54+G55)*F94,IF(0.5*(G66+G67)*F94&gt;$B$40,$B$39*$B$41,0.5*(G54+G55)*F94+$B$39*$B$41))</f>
        <v/>
      </c>
      <c r="G55" s="171">
        <f>$B$39*$B$41</f>
        <v/>
      </c>
      <c r="N55" s="101" t="n"/>
      <c r="O55" s="101" t="n"/>
      <c r="P55" s="101" t="n"/>
      <c r="Q55" s="101" t="n"/>
      <c r="R55" s="101" t="n"/>
      <c r="S55" s="101" t="n"/>
      <c r="T55" s="101" t="n"/>
    </row>
    <row r="56" ht="12.75" customFormat="1" customHeight="1" s="101">
      <c r="B56" s="171" t="n"/>
      <c r="C56" s="171" t="n"/>
      <c r="D56" s="171" t="n"/>
      <c r="E56" s="171">
        <f>IF(E$60=0,0.5*(F55+F56)*E95,IF(0.5*(F67+F68)*E95&gt;$B$40,$B$39*$B$41,0.5*(F55+F56)*E95+$B$39*$B$41))</f>
        <v/>
      </c>
      <c r="F56" s="171">
        <f>IF(F$60=0,0.5*(G55+G56)*F95,IF(0.5*(G67+G68)*F95&gt;$B$40,$B$39*$B$41,0.5*(G55+G56)*F95+$B$39*$B$41))</f>
        <v/>
      </c>
      <c r="G56" s="171">
        <f>$B$39*$B$41</f>
        <v/>
      </c>
      <c r="N56" s="101" t="n"/>
      <c r="O56" s="101" t="n"/>
      <c r="P56" s="101" t="n"/>
      <c r="Q56" s="101" t="n"/>
      <c r="R56" s="101" t="n"/>
      <c r="S56" s="101" t="n"/>
      <c r="T56" s="101" t="n"/>
    </row>
    <row r="57" ht="12.75" customFormat="1" customHeight="1" s="101">
      <c r="B57" s="171" t="n"/>
      <c r="C57" s="171" t="n"/>
      <c r="D57" s="171">
        <f>IF(D$60=0,0.5*(E56+E57)*D96,IF(0.5*(E68+E69)*D96&gt;$B$40,$B$39*$B$41,0.5*(E56+E57)*D96+$B$39*$B$41))</f>
        <v/>
      </c>
      <c r="E57" s="171">
        <f>IF(E$60=0,0.5*(F56+F57)*E96,IF(0.5*(F68+F69)*E96&gt;$B$40,$B$39*$B$41,0.5*(F56+F57)*E96+$B$39*$B$41))</f>
        <v/>
      </c>
      <c r="F57" s="171">
        <f>IF(F$60=0,0.5*(G56+G57)*F96,IF(0.5*(G68+G69)*F96&gt;$B$40,$B$39*$B$41,0.5*(G56+G57)*F96+$B$39*$B$41))</f>
        <v/>
      </c>
      <c r="G57" s="171">
        <f>$B$39*$B$41</f>
        <v/>
      </c>
      <c r="N57" s="101" t="n"/>
      <c r="O57" s="101" t="n"/>
      <c r="P57" s="101" t="n"/>
      <c r="Q57" s="101" t="n"/>
      <c r="R57" s="101" t="n"/>
      <c r="S57" s="101" t="n"/>
      <c r="T57" s="101" t="n"/>
    </row>
    <row r="58" ht="12.75" customFormat="1" customHeight="1" s="101">
      <c r="B58" s="171" t="n"/>
      <c r="C58" s="171">
        <f>IF(C$60=0,0.5*(D57+D58)*C97,IF(0.5*(D69+D70)*C97&gt;$B$40,$B$39*$B$41,0.5*(D57+D58)*C97+$B$39*$B$41))</f>
        <v/>
      </c>
      <c r="D58" s="171">
        <f>IF(D$60=0,0.5*(E57+E58)*D97,IF(0.5*(E69+E70)*D97&gt;$B$40,$B$39*$B$41,0.5*(E57+E58)*D97+$B$39*$B$41))</f>
        <v/>
      </c>
      <c r="E58" s="171">
        <f>IF(E$60=0,0.5*(F57+F58)*E97,IF(0.5*(F69+F70)*E97&gt;$B$40,$B$39*$B$41,0.5*(F57+F58)*E97+$B$39*$B$41))</f>
        <v/>
      </c>
      <c r="F58" s="171">
        <f>IF(F$60=0,0.5*(G57+G58)*F97,IF(0.5*(G69+G70)*F97&gt;$B$40,$B$39*$B$41,0.5*(G57+G58)*F97+$B$39*$B$41))</f>
        <v/>
      </c>
      <c r="G58" s="171">
        <f>$B$39*$B$41</f>
        <v/>
      </c>
      <c r="N58" s="101" t="n"/>
      <c r="O58" s="101" t="n"/>
      <c r="P58" s="101" t="n"/>
      <c r="Q58" s="101" t="n"/>
      <c r="R58" s="101" t="n"/>
      <c r="S58" s="101" t="n"/>
      <c r="T58" s="101" t="n"/>
    </row>
    <row r="59" ht="12.75" customFormat="1" customHeight="1" s="101">
      <c r="A59" s="101" t="inlineStr">
        <is>
          <t>Interest Only</t>
        </is>
      </c>
      <c r="B59" s="171">
        <f>IF(B$60=0,0.5*(C58+C59)*B98,IF(0.5*(C70+C71)*B98&gt;$B$40,$B$39*$B$41,0.5*(C58+C59)*B98+$B$39*$B$41))</f>
        <v/>
      </c>
      <c r="C59" s="171">
        <f>IF(C$60=0,0.5*(D58+D59)*C98,IF(0.5*(D70+D71)*C98&gt;$B$40,$B$39*$B$41,0.5*(D58+D59)*C98+$B$39*$B$41))</f>
        <v/>
      </c>
      <c r="D59" s="171">
        <f>IF(D$60=0,0.5*(E58+E59)*D98,IF(0.5*(E70+E71)*D98&gt;$B$40,$B$39*$B$41,0.5*(E58+E59)*D98+$B$39*$B$41))</f>
        <v/>
      </c>
      <c r="E59" s="171">
        <f>IF(E$60=0,0.5*(F58+F59)*E98,IF(0.5*(F70+F71)*E98&gt;$B$40,$B$39*$B$41,0.5*(F58+F59)*E98+$B$39*$B$41))</f>
        <v/>
      </c>
      <c r="F59" s="171">
        <f>IF(F$60=0,0.5*(G58+G59)*F98,IF(0.5*(G70+G71)*F98&gt;$B$40,$B$39*$B$41,0.5*(G58+G59)*F98+$B$39*$B$41))</f>
        <v/>
      </c>
      <c r="G59" s="171">
        <f>$B$39*$B$41</f>
        <v/>
      </c>
      <c r="N59" s="101" t="n"/>
      <c r="O59" s="101" t="n"/>
      <c r="P59" s="101" t="n"/>
      <c r="Q59" s="101" t="n"/>
      <c r="R59" s="101" t="n"/>
      <c r="S59" s="101" t="n"/>
      <c r="T59" s="101" t="n"/>
    </row>
    <row r="60" ht="12.75" customFormat="1" customHeight="1" s="101">
      <c r="A60" s="164" t="inlineStr">
        <is>
          <t>year</t>
        </is>
      </c>
      <c r="B60" s="164" t="n">
        <v>0</v>
      </c>
      <c r="C60" s="164" t="n">
        <v>1</v>
      </c>
      <c r="D60" s="164" t="n">
        <v>2</v>
      </c>
      <c r="E60" s="164" t="n">
        <v>3</v>
      </c>
      <c r="F60" s="164" t="n">
        <v>4</v>
      </c>
      <c r="G60" s="164" t="n">
        <v>5</v>
      </c>
      <c r="N60" s="101" t="n"/>
      <c r="O60" s="101" t="n"/>
      <c r="P60" s="101" t="n"/>
      <c r="Q60" s="101" t="n"/>
      <c r="R60" s="101" t="n"/>
      <c r="S60" s="101" t="n"/>
      <c r="T60" s="101" t="n"/>
    </row>
    <row r="61" ht="12.75" customFormat="1" customHeight="1" s="101">
      <c r="N61" s="101" t="n"/>
      <c r="O61" s="101" t="n"/>
      <c r="P61" s="101" t="n"/>
      <c r="Q61" s="101" t="n"/>
      <c r="R61" s="101" t="n"/>
      <c r="S61" s="101" t="n"/>
      <c r="T61" s="101" t="n"/>
    </row>
    <row r="62" ht="12.75" customFormat="1" customHeight="1" s="101">
      <c r="A62" s="101" t="inlineStr">
        <is>
          <t>IO + PO = Callable Bond</t>
        </is>
      </c>
      <c r="B62" s="172">
        <f>B51+B59</f>
        <v/>
      </c>
      <c r="N62" s="101" t="n"/>
      <c r="O62" s="101" t="n"/>
      <c r="P62" s="101" t="n"/>
      <c r="Q62" s="101" t="n"/>
      <c r="R62" s="101" t="n"/>
      <c r="S62" s="101" t="n"/>
      <c r="T62" s="101" t="n"/>
    </row>
    <row r="63" ht="12.75" customFormat="1" customHeight="1" s="101">
      <c r="N63" s="101" t="n"/>
      <c r="O63" s="101" t="n"/>
      <c r="P63" s="101" t="n"/>
      <c r="Q63" s="101" t="n"/>
      <c r="R63" s="101" t="n"/>
      <c r="S63" s="101" t="n"/>
      <c r="T63" s="101" t="n"/>
    </row>
    <row r="64" ht="12.75" customFormat="1" customHeight="1" s="99">
      <c r="A64" s="100" t="inlineStr">
        <is>
          <t>Interim Calculations</t>
        </is>
      </c>
      <c r="B64" s="100" t="n"/>
      <c r="N64" s="99" t="n"/>
      <c r="O64" s="99" t="n"/>
      <c r="P64" s="99" t="n"/>
      <c r="Q64" s="99" t="n"/>
      <c r="R64" s="99" t="n"/>
      <c r="S64" s="99" t="n"/>
      <c r="T64" s="99" t="n"/>
    </row>
    <row r="65" ht="12.75" customFormat="1" customHeight="1" s="101">
      <c r="N65" s="101" t="n"/>
      <c r="O65" s="101" t="n"/>
      <c r="P65" s="101" t="n"/>
      <c r="Q65" s="101" t="n"/>
      <c r="R65" s="101" t="n"/>
      <c r="S65" s="101" t="n"/>
      <c r="T65" s="101" t="n"/>
    </row>
    <row r="66" ht="12.75" customFormat="1" customHeight="1" s="101">
      <c r="B66" s="172" t="n"/>
      <c r="C66" s="172" t="n"/>
      <c r="D66" s="172" t="n"/>
      <c r="E66" s="172" t="n"/>
      <c r="F66" s="172" t="n"/>
      <c r="G66" s="172">
        <f>$B$39+$B$39*$B$41</f>
        <v/>
      </c>
      <c r="N66" s="101" t="n"/>
      <c r="O66" s="101" t="n"/>
      <c r="P66" s="101" t="n"/>
      <c r="Q66" s="101" t="n"/>
      <c r="R66" s="101" t="n"/>
      <c r="S66" s="101" t="n"/>
      <c r="T66" s="101" t="n"/>
    </row>
    <row r="67" ht="12.75" customFormat="1" customHeight="1" s="101">
      <c r="B67" s="172" t="n"/>
      <c r="C67" s="172" t="n"/>
      <c r="D67" s="172" t="n"/>
      <c r="E67" s="172" t="n"/>
      <c r="F67" s="172">
        <f>IF(F$72=0,0.5*(G66+G67)*F94,MIN($B$40,0.5*(G66+G67)*F94)+$B$39*$B$41)</f>
        <v/>
      </c>
      <c r="G67" s="172">
        <f>$B$39+$B$39*$B$41</f>
        <v/>
      </c>
      <c r="N67" s="101" t="n"/>
      <c r="O67" s="101" t="n"/>
      <c r="P67" s="101" t="n"/>
      <c r="Q67" s="101" t="n"/>
      <c r="R67" s="101" t="n"/>
      <c r="S67" s="101" t="n"/>
      <c r="T67" s="101" t="n"/>
    </row>
    <row r="68" ht="12.75" customFormat="1" customHeight="1" s="101">
      <c r="B68" s="172" t="n"/>
      <c r="C68" s="172" t="n"/>
      <c r="D68" s="172" t="n"/>
      <c r="E68" s="172">
        <f>IF(E$72=0,0.5*(F67+F68)*E95,MIN($B$40,0.5*(F67+F68)*E95)+$B$39*$B$41)</f>
        <v/>
      </c>
      <c r="F68" s="172">
        <f>IF(F$72=0,0.5*(G67+G68)*F95,MIN($B$40,0.5*(G67+G68)*F95)+$B$39*$B$41)</f>
        <v/>
      </c>
      <c r="G68" s="172">
        <f>$B$39+$B$39*$B$41</f>
        <v/>
      </c>
      <c r="N68" s="101" t="n"/>
      <c r="O68" s="101" t="n"/>
      <c r="P68" s="101" t="n"/>
      <c r="Q68" s="101" t="n"/>
      <c r="R68" s="101" t="n"/>
      <c r="S68" s="101" t="n"/>
      <c r="T68" s="101" t="n"/>
    </row>
    <row r="69" ht="12.75" customFormat="1" customHeight="1" s="101">
      <c r="B69" s="172" t="n"/>
      <c r="C69" s="172" t="n"/>
      <c r="D69" s="172">
        <f>IF(D$72=0,0.5*(E68+E69)*D96,MIN($B$40,0.5*(E68+E69)*D96)+$B$39*$B$41)</f>
        <v/>
      </c>
      <c r="E69" s="172">
        <f>IF(E$72=0,0.5*(F68+F69)*E96,MIN($B$40,0.5*(F68+F69)*E96)+$B$39*$B$41)</f>
        <v/>
      </c>
      <c r="F69" s="172">
        <f>IF(F$72=0,0.5*(G68+G69)*F96,MIN($B$40,0.5*(G68+G69)*F96)+$B$39*$B$41)</f>
        <v/>
      </c>
      <c r="G69" s="172">
        <f>$B$39+$B$39*$B$41</f>
        <v/>
      </c>
      <c r="N69" s="101" t="n"/>
      <c r="O69" s="101" t="n"/>
      <c r="P69" s="101" t="n"/>
      <c r="Q69" s="101" t="n"/>
      <c r="R69" s="101" t="n"/>
      <c r="S69" s="101" t="n"/>
      <c r="T69" s="101" t="n"/>
    </row>
    <row r="70" ht="12.75" customFormat="1" customHeight="1" s="101">
      <c r="B70" s="172" t="n"/>
      <c r="C70" s="172">
        <f>IF(C$72=0,0.5*(D69+D70)*C97,MIN($B$40,0.5*(D69+D70)*C97)+$B$39*$B$41)</f>
        <v/>
      </c>
      <c r="D70" s="172">
        <f>IF(D$72=0,0.5*(E69+E70)*D97,MIN($B$40,0.5*(E69+E70)*D97)+$B$39*$B$41)</f>
        <v/>
      </c>
      <c r="E70" s="172">
        <f>IF(E$72=0,0.5*(F69+F70)*E97,MIN($B$40,0.5*(F69+F70)*E97)+$B$39*$B$41)</f>
        <v/>
      </c>
      <c r="F70" s="172">
        <f>IF(F$72=0,0.5*(G69+G70)*F97,MIN($B$40,0.5*(G69+G70)*F97)+$B$39*$B$41)</f>
        <v/>
      </c>
      <c r="G70" s="172">
        <f>$B$39+$B$39*$B$41</f>
        <v/>
      </c>
      <c r="N70" s="101" t="n"/>
      <c r="O70" s="101" t="n"/>
      <c r="P70" s="101" t="n"/>
      <c r="Q70" s="101" t="n"/>
      <c r="R70" s="101" t="n"/>
      <c r="S70" s="101" t="n"/>
      <c r="T70" s="101" t="n"/>
    </row>
    <row r="71" ht="12.75" customFormat="1" customHeight="1" s="101">
      <c r="A71" s="101" t="inlineStr">
        <is>
          <t>callable bond price</t>
        </is>
      </c>
      <c r="B71" s="172">
        <f>IF(B$72=0,0.5*(C70+C71)*B98,MIN($B$40,0.5*(C70+C71)*B98)+$B$39*$B$41)</f>
        <v/>
      </c>
      <c r="C71" s="172">
        <f>IF(C$72=0,0.5*(D70+D71)*C98,MIN($B$40,0.5*(D70+D71)*C98)+$B$39*$B$41)</f>
        <v/>
      </c>
      <c r="D71" s="172">
        <f>IF(D$72=0,0.5*(E70+E71)*D98,MIN($B$40,0.5*(E70+E71)*D98)+$B$39*$B$41)</f>
        <v/>
      </c>
      <c r="E71" s="172">
        <f>IF(E$72=0,0.5*(F70+F71)*E98,MIN($B$40,0.5*(F70+F71)*E98)+$B$39*$B$41)</f>
        <v/>
      </c>
      <c r="F71" s="172">
        <f>IF(F$72=0,0.5*(G70+G71)*F98,MIN($B$40,0.5*(G70+G71)*F98)+$B$39*$B$41)</f>
        <v/>
      </c>
      <c r="G71" s="172">
        <f>$B$39+$B$39*$B$41</f>
        <v/>
      </c>
      <c r="N71" s="101" t="n"/>
      <c r="O71" s="101" t="n"/>
      <c r="P71" s="101" t="n"/>
      <c r="Q71" s="101" t="n"/>
      <c r="R71" s="101" t="n"/>
      <c r="S71" s="101" t="n"/>
      <c r="T71" s="101" t="n"/>
    </row>
    <row r="72" ht="12.75" customFormat="1" customHeight="1" s="101">
      <c r="A72" s="164" t="inlineStr">
        <is>
          <t>year</t>
        </is>
      </c>
      <c r="B72" s="164" t="n">
        <v>0</v>
      </c>
      <c r="C72" s="164" t="n">
        <v>1</v>
      </c>
      <c r="D72" s="164" t="n">
        <v>2</v>
      </c>
      <c r="E72" s="164" t="n">
        <v>3</v>
      </c>
      <c r="F72" s="164" t="n">
        <v>4</v>
      </c>
      <c r="G72" s="164" t="n">
        <v>5</v>
      </c>
      <c r="N72" s="101" t="n"/>
      <c r="O72" s="101" t="n"/>
      <c r="P72" s="101" t="n"/>
      <c r="Q72" s="101" t="n"/>
      <c r="R72" s="101" t="n"/>
      <c r="S72" s="101" t="n"/>
      <c r="T72" s="101" t="n"/>
    </row>
    <row r="73" ht="12.75" customFormat="1" customHeight="1" s="101">
      <c r="N73" s="101" t="n"/>
      <c r="O73" s="101" t="n"/>
      <c r="P73" s="101" t="n"/>
      <c r="Q73" s="101" t="n"/>
      <c r="R73" s="101" t="n"/>
      <c r="S73" s="101" t="n"/>
      <c r="T73" s="101" t="n"/>
    </row>
    <row r="74" ht="12.75" customFormat="1" customHeight="1" s="101">
      <c r="B74" s="173" t="n"/>
      <c r="C74" s="173" t="n"/>
      <c r="D74" s="173" t="n"/>
      <c r="E74" s="173" t="n"/>
      <c r="F74" s="173" t="n"/>
      <c r="G74" s="173">
        <f>$B$39+$B$39*$B$41</f>
        <v/>
      </c>
      <c r="N74" s="101" t="n"/>
      <c r="O74" s="101" t="n"/>
      <c r="P74" s="101" t="n"/>
      <c r="Q74" s="101" t="n"/>
      <c r="R74" s="101" t="n"/>
      <c r="S74" s="101" t="n"/>
      <c r="T74" s="101" t="n"/>
    </row>
    <row r="75" ht="12.75" customFormat="1" customHeight="1" s="101">
      <c r="B75" s="173" t="n"/>
      <c r="C75" s="173" t="n"/>
      <c r="D75" s="173" t="n"/>
      <c r="E75" s="173" t="n"/>
      <c r="F75" s="173">
        <f>IF(F$80=0,0.5*(G74+G75)*F94,0.5*(G74+G75)*F94+$B$39*$B$41/$B$34)</f>
        <v/>
      </c>
      <c r="G75" s="173">
        <f>$B$39+$B$39*$B$41</f>
        <v/>
      </c>
      <c r="N75" s="101" t="n"/>
      <c r="O75" s="101" t="n"/>
      <c r="P75" s="101" t="n"/>
      <c r="Q75" s="101" t="n"/>
      <c r="R75" s="101" t="n"/>
      <c r="S75" s="101" t="n"/>
      <c r="T75" s="101" t="n"/>
    </row>
    <row r="76" ht="12.75" customFormat="1" customHeight="1" s="101">
      <c r="B76" s="173" t="n"/>
      <c r="C76" s="173" t="n"/>
      <c r="D76" s="173" t="n"/>
      <c r="E76" s="173">
        <f>IF(E$80=0,0.5*(F75+F76)*E95,0.5*(F75+F76)*E95+$B$39*$B$41/$B$34)</f>
        <v/>
      </c>
      <c r="F76" s="173">
        <f>IF(F$80=0,0.5*(G75+G76)*F95,0.5*(G75+G76)*F95+$B$39*$B$41/$B$34)</f>
        <v/>
      </c>
      <c r="G76" s="173">
        <f>$B$39+$B$39*$B$41</f>
        <v/>
      </c>
      <c r="N76" s="101" t="n"/>
      <c r="O76" s="101" t="n"/>
      <c r="P76" s="101" t="n"/>
      <c r="Q76" s="101" t="n"/>
      <c r="R76" s="101" t="n"/>
      <c r="S76" s="101" t="n"/>
      <c r="T76" s="101" t="n"/>
    </row>
    <row r="77" ht="12.75" customFormat="1" customHeight="1" s="101">
      <c r="B77" s="173" t="n"/>
      <c r="C77" s="173" t="n"/>
      <c r="D77" s="173">
        <f>IF(D$80=0,0.5*(E76+E77)*D96,0.5*(E76+E77)*D96+$B$39*$B$41/$B$34)</f>
        <v/>
      </c>
      <c r="E77" s="173">
        <f>IF(E$80=0,0.5*(F76+F77)*E96,0.5*(F76+F77)*E96+$B$39*$B$41/$B$34)</f>
        <v/>
      </c>
      <c r="F77" s="173">
        <f>IF(F$80=0,0.5*(G76+G77)*F96,0.5*(G76+G77)*F96+$B$39*$B$41/$B$34)</f>
        <v/>
      </c>
      <c r="G77" s="173">
        <f>$B$39+$B$39*$B$41</f>
        <v/>
      </c>
      <c r="N77" s="101" t="n"/>
      <c r="O77" s="101" t="n"/>
      <c r="P77" s="101" t="n"/>
      <c r="Q77" s="101" t="n"/>
      <c r="R77" s="101" t="n"/>
      <c r="S77" s="101" t="n"/>
      <c r="T77" s="101" t="n"/>
    </row>
    <row r="78" ht="12.75" customFormat="1" customHeight="1" s="101">
      <c r="B78" s="173" t="n"/>
      <c r="C78" s="173">
        <f>IF(C$80=0,0.5*(D77+D78)*C97,0.5*(D77+D78)*C97+$B$39*$B$41/$B$34)</f>
        <v/>
      </c>
      <c r="D78" s="173">
        <f>IF(D$80=0,0.5*(E77+E78)*D97,0.5*(E77+E78)*D97+$B$39*$B$41/$B$34)</f>
        <v/>
      </c>
      <c r="E78" s="173">
        <f>IF(E$80=0,0.5*(F77+F78)*E97,0.5*(F77+F78)*E97+$B$39*$B$41/$B$34)</f>
        <v/>
      </c>
      <c r="F78" s="173">
        <f>IF(F$80=0,0.5*(G77+G78)*F97,0.5*(G77+G78)*F97+$B$39*$B$41/$B$34)</f>
        <v/>
      </c>
      <c r="G78" s="173">
        <f>$B$39+$B$39*$B$41</f>
        <v/>
      </c>
      <c r="N78" s="101" t="n"/>
      <c r="O78" s="101" t="n"/>
      <c r="P78" s="101" t="n"/>
      <c r="Q78" s="101" t="n"/>
      <c r="R78" s="101" t="n"/>
      <c r="S78" s="101" t="n"/>
      <c r="T78" s="101" t="n"/>
    </row>
    <row r="79" ht="12.75" customFormat="1" customHeight="1" s="101">
      <c r="A79" s="101" t="inlineStr">
        <is>
          <t>naive coupon bond price</t>
        </is>
      </c>
      <c r="B79" s="173">
        <f>IF(B$80=0,0.5*(C78+C79)*B98,0.5*(C78+C79)*B98+$B$39*$B$41/$B$34)</f>
        <v/>
      </c>
      <c r="C79" s="173">
        <f>IF(C$80=0,0.5*(D78+D79)*C98,0.5*(D78+D79)*C98+$B$39*$B$41/$B$34)</f>
        <v/>
      </c>
      <c r="D79" s="173">
        <f>IF(D$80=0,0.5*(E78+E79)*D98,0.5*(E78+E79)*D98+$B$39*$B$41/$B$34)</f>
        <v/>
      </c>
      <c r="E79" s="173">
        <f>IF(E$80=0,0.5*(F78+F79)*E98,0.5*(F78+F79)*E98+$B$39*$B$41/$B$34)</f>
        <v/>
      </c>
      <c r="F79" s="173">
        <f>IF(F$80=0,0.5*(G78+G79)*F98,0.5*(G78+G79)*F98+$B$39*$B$41/$B$34)</f>
        <v/>
      </c>
      <c r="G79" s="173">
        <f>$B$39+$B$39*$B$41</f>
        <v/>
      </c>
      <c r="N79" s="101" t="n"/>
      <c r="O79" s="101" t="n"/>
      <c r="P79" s="101" t="n"/>
      <c r="Q79" s="101" t="n"/>
      <c r="R79" s="101" t="n"/>
      <c r="S79" s="101" t="n"/>
      <c r="T79" s="101" t="n"/>
    </row>
    <row r="80" ht="12.75" customFormat="1" customHeight="1" s="101">
      <c r="A80" s="164" t="inlineStr">
        <is>
          <t>year</t>
        </is>
      </c>
      <c r="B80" s="164" t="n">
        <v>0</v>
      </c>
      <c r="C80" s="164" t="n">
        <v>1</v>
      </c>
      <c r="D80" s="164" t="n">
        <v>2</v>
      </c>
      <c r="E80" s="164" t="n">
        <v>3</v>
      </c>
      <c r="F80" s="164" t="n">
        <v>4</v>
      </c>
      <c r="G80" s="164" t="n">
        <v>5</v>
      </c>
      <c r="N80" s="101" t="n"/>
      <c r="O80" s="101" t="n"/>
      <c r="P80" s="101" t="n"/>
      <c r="Q80" s="101" t="n"/>
      <c r="R80" s="101" t="n"/>
      <c r="S80" s="101" t="n"/>
      <c r="T80" s="101" t="n"/>
    </row>
    <row r="81" ht="12.75" customFormat="1" customHeight="1" s="101">
      <c r="N81" s="101" t="n"/>
      <c r="O81" s="101" t="n"/>
      <c r="P81" s="101" t="n"/>
      <c r="Q81" s="101" t="n"/>
      <c r="R81" s="101" t="n"/>
      <c r="S81" s="101" t="n"/>
      <c r="T81" s="101" t="n"/>
    </row>
    <row r="82" ht="12.75" customFormat="1" customHeight="1" s="101">
      <c r="N82" s="101" t="n"/>
      <c r="O82" s="101" t="n"/>
      <c r="P82" s="101" t="n"/>
      <c r="Q82" s="101" t="n"/>
      <c r="R82" s="101" t="n"/>
      <c r="S82" s="101" t="n"/>
      <c r="T82" s="101" t="n"/>
    </row>
    <row r="83" ht="12.75" customFormat="1" customHeight="1" s="101">
      <c r="A83" s="101" t="inlineStr">
        <is>
          <t>convexity adjustment</t>
        </is>
      </c>
      <c r="B83" s="174">
        <f>B37</f>
        <v/>
      </c>
      <c r="C83" s="174">
        <f>1+PRODUCT($C37:C37)</f>
        <v/>
      </c>
      <c r="D83" s="174">
        <f>1+PRODUCT($C37:D37)</f>
        <v/>
      </c>
      <c r="E83" s="174">
        <f>1+PRODUCT($C37:E37)</f>
        <v/>
      </c>
      <c r="F83" s="174">
        <f>1+PRODUCT($C37:F37)</f>
        <v/>
      </c>
      <c r="G83" s="174">
        <f>1+PRODUCT($C37:G37)</f>
        <v/>
      </c>
      <c r="N83" s="101" t="n"/>
      <c r="O83" s="101" t="n"/>
      <c r="P83" s="101" t="n"/>
      <c r="Q83" s="101" t="n"/>
      <c r="R83" s="101" t="n"/>
      <c r="S83" s="101" t="n"/>
      <c r="T83" s="101" t="n"/>
    </row>
    <row r="84" ht="12.75" customFormat="1" customHeight="1" s="101">
      <c r="C84" s="174" t="n"/>
      <c r="D84" s="174">
        <f>1+PRODUCT($D37:D37)</f>
        <v/>
      </c>
      <c r="E84" s="174">
        <f>1+PRODUCT($D37:E37)</f>
        <v/>
      </c>
      <c r="F84" s="174">
        <f>1+PRODUCT($D37:F37)</f>
        <v/>
      </c>
      <c r="G84" s="174">
        <f>1+PRODUCT($D37:G37)</f>
        <v/>
      </c>
      <c r="N84" s="101" t="n"/>
      <c r="O84" s="101" t="n"/>
      <c r="P84" s="101" t="n"/>
      <c r="Q84" s="101" t="n"/>
      <c r="R84" s="101" t="n"/>
      <c r="S84" s="101" t="n"/>
      <c r="T84" s="101" t="n"/>
    </row>
    <row r="85" ht="12.75" customFormat="1" customHeight="1" s="101">
      <c r="E85" s="174">
        <f>1+PRODUCT($E37:E37)</f>
        <v/>
      </c>
      <c r="F85" s="174">
        <f>1+PRODUCT($E37:F37)</f>
        <v/>
      </c>
      <c r="G85" s="174">
        <f>1+PRODUCT($E37:G37)</f>
        <v/>
      </c>
      <c r="N85" s="101" t="n"/>
      <c r="O85" s="101" t="n"/>
      <c r="P85" s="101" t="n"/>
      <c r="Q85" s="101" t="n"/>
      <c r="R85" s="101" t="n"/>
      <c r="S85" s="101" t="n"/>
      <c r="T85" s="101" t="n"/>
    </row>
    <row r="86" ht="12.75" customFormat="1" customHeight="1" s="101">
      <c r="F86" s="174">
        <f>1+PRODUCT($F37:F37)</f>
        <v/>
      </c>
      <c r="G86" s="174">
        <f>1+PRODUCT($F37:G37)</f>
        <v/>
      </c>
      <c r="N86" s="101" t="n"/>
      <c r="O86" s="101" t="n"/>
      <c r="P86" s="101" t="n"/>
      <c r="Q86" s="101" t="n"/>
      <c r="R86" s="101" t="n"/>
      <c r="S86" s="101" t="n"/>
      <c r="T86" s="101" t="n"/>
    </row>
    <row r="87" ht="12.75" customFormat="1" customHeight="1" s="101">
      <c r="G87" s="174">
        <f>1+PRODUCT($G37:G37)</f>
        <v/>
      </c>
      <c r="N87" s="101" t="n"/>
      <c r="O87" s="101" t="n"/>
      <c r="P87" s="101" t="n"/>
      <c r="Q87" s="101" t="n"/>
      <c r="R87" s="101" t="n"/>
      <c r="S87" s="101" t="n"/>
      <c r="T87" s="101" t="n"/>
    </row>
    <row r="88" ht="12.75" customFormat="1" customHeight="1" s="101">
      <c r="G88" s="174" t="n"/>
      <c r="N88" s="101" t="n"/>
      <c r="O88" s="101" t="n"/>
      <c r="P88" s="101" t="n"/>
      <c r="Q88" s="101" t="n"/>
      <c r="R88" s="101" t="n"/>
      <c r="S88" s="101" t="n"/>
      <c r="T88" s="101" t="n"/>
    </row>
    <row r="89" ht="12.75" customFormat="1" customHeight="1" s="101">
      <c r="A89" s="101" t="inlineStr">
        <is>
          <t>numerator of convexity adjustment at time n</t>
        </is>
      </c>
      <c r="C89" s="175">
        <f>PRODUCT(B83:B87)</f>
        <v/>
      </c>
      <c r="D89" s="101">
        <f>PRODUCT(C83:C87)</f>
        <v/>
      </c>
      <c r="E89" s="101">
        <f>PRODUCT(D83:D87)</f>
        <v/>
      </c>
      <c r="F89" s="101">
        <f>PRODUCT(E83:E87)</f>
        <v/>
      </c>
      <c r="G89" s="101">
        <f>PRODUCT(F83:F87)</f>
        <v/>
      </c>
      <c r="N89" s="101" t="n"/>
      <c r="O89" s="101" t="n"/>
      <c r="P89" s="101" t="n"/>
      <c r="Q89" s="101" t="n"/>
      <c r="R89" s="101" t="n"/>
      <c r="S89" s="101" t="n"/>
      <c r="T89" s="101" t="n"/>
    </row>
    <row r="90" ht="12.75" customFormat="1" customHeight="1" s="101">
      <c r="A90" s="101" t="inlineStr">
        <is>
          <t>denominator of convexity adjustment at time n</t>
        </is>
      </c>
      <c r="C90" s="101">
        <f>PRODUCT(C$83:C87)</f>
        <v/>
      </c>
      <c r="D90" s="101">
        <f>PRODUCT(D$83:D87)</f>
        <v/>
      </c>
      <c r="E90" s="101">
        <f>PRODUCT(E$83:E87)</f>
        <v/>
      </c>
      <c r="F90" s="101">
        <f>PRODUCT(F$83:F87)</f>
        <v/>
      </c>
      <c r="G90" s="101">
        <f>PRODUCT(G$83:G87)</f>
        <v/>
      </c>
      <c r="N90" s="101" t="n"/>
      <c r="O90" s="101" t="n"/>
      <c r="P90" s="101" t="n"/>
      <c r="Q90" s="101" t="n"/>
      <c r="R90" s="101" t="n"/>
      <c r="S90" s="101" t="n"/>
      <c r="T90" s="101" t="n"/>
    </row>
    <row r="91" ht="12.75" customFormat="1" customHeight="1" s="101">
      <c r="N91" s="101" t="n"/>
      <c r="O91" s="101" t="n"/>
      <c r="P91" s="101" t="n"/>
      <c r="Q91" s="101" t="n"/>
      <c r="R91" s="101" t="n"/>
      <c r="S91" s="101" t="n"/>
      <c r="T91" s="101" t="n"/>
    </row>
    <row r="92" ht="12.75" customFormat="1" customHeight="1" s="101">
      <c r="G92" s="174" t="n"/>
      <c r="N92" s="101" t="n"/>
      <c r="O92" s="101" t="n"/>
      <c r="P92" s="101" t="n"/>
      <c r="Q92" s="101" t="n"/>
      <c r="R92" s="101" t="n"/>
      <c r="S92" s="101" t="n"/>
      <c r="T92" s="101" t="n"/>
    </row>
    <row r="93" ht="12.75" customFormat="1" customHeight="1" s="101">
      <c r="B93" s="176" t="n"/>
      <c r="C93" s="176" t="n"/>
      <c r="D93" s="176" t="n"/>
      <c r="E93" s="176" t="n"/>
      <c r="F93" s="176" t="n"/>
      <c r="G93" s="176">
        <f>G94*G$37</f>
        <v/>
      </c>
      <c r="N93" s="101" t="n"/>
      <c r="O93" s="101" t="n"/>
      <c r="P93" s="101" t="n"/>
      <c r="Q93" s="101" t="n"/>
      <c r="R93" s="101" t="n"/>
      <c r="S93" s="101" t="n"/>
      <c r="T93" s="101" t="n"/>
    </row>
    <row r="94" ht="12.75" customFormat="1" customHeight="1" s="101">
      <c r="B94" s="176" t="n"/>
      <c r="C94" s="176" t="n"/>
      <c r="D94" s="176" t="n"/>
      <c r="E94" s="176" t="n"/>
      <c r="F94" s="176">
        <f>F95*F$37</f>
        <v/>
      </c>
      <c r="G94" s="176">
        <f>G95*G$37</f>
        <v/>
      </c>
      <c r="N94" s="101" t="n"/>
      <c r="O94" s="101" t="n"/>
      <c r="P94" s="101" t="n"/>
      <c r="Q94" s="101" t="n"/>
      <c r="R94" s="101" t="n"/>
      <c r="S94" s="101" t="n"/>
      <c r="T94" s="101" t="n"/>
    </row>
    <row r="95" ht="12.75" customFormat="1" customHeight="1" s="101">
      <c r="B95" s="176" t="n"/>
      <c r="C95" s="176" t="n"/>
      <c r="D95" s="176" t="n"/>
      <c r="E95" s="176">
        <f>E96*E$37</f>
        <v/>
      </c>
      <c r="F95" s="176">
        <f>F96*F$37</f>
        <v/>
      </c>
      <c r="G95" s="176">
        <f>G96*G$37</f>
        <v/>
      </c>
      <c r="N95" s="101" t="n"/>
      <c r="O95" s="101" t="n"/>
      <c r="P95" s="101" t="n"/>
      <c r="Q95" s="101" t="n"/>
      <c r="R95" s="101" t="n"/>
      <c r="S95" s="101" t="n"/>
      <c r="T95" s="101" t="n"/>
    </row>
    <row r="96" ht="12.75" customFormat="1" customHeight="1" s="101">
      <c r="B96" s="176" t="n"/>
      <c r="C96" s="176" t="n"/>
      <c r="D96" s="176">
        <f>D97*D$37</f>
        <v/>
      </c>
      <c r="E96" s="176">
        <f>E97*E$37</f>
        <v/>
      </c>
      <c r="F96" s="176">
        <f>F97*F$37</f>
        <v/>
      </c>
      <c r="G96" s="176">
        <f>G97*G$37</f>
        <v/>
      </c>
      <c r="N96" s="101" t="n"/>
      <c r="O96" s="101" t="n"/>
      <c r="P96" s="101" t="n"/>
      <c r="Q96" s="101" t="n"/>
      <c r="R96" s="101" t="n"/>
      <c r="S96" s="101" t="n"/>
      <c r="T96" s="101" t="n"/>
    </row>
    <row r="97" ht="12.75" customFormat="1" customHeight="1" s="101">
      <c r="B97" s="176" t="n"/>
      <c r="C97" s="176">
        <f>C98*C$37</f>
        <v/>
      </c>
      <c r="D97" s="176">
        <f>D98*D$37</f>
        <v/>
      </c>
      <c r="E97" s="176">
        <f>E98*E$37</f>
        <v/>
      </c>
      <c r="F97" s="176">
        <f>F98*F$37</f>
        <v/>
      </c>
      <c r="G97" s="176">
        <f>G98*G$37</f>
        <v/>
      </c>
      <c r="N97" s="101" t="n"/>
      <c r="O97" s="101" t="n"/>
      <c r="P97" s="101" t="n"/>
      <c r="Q97" s="101" t="n"/>
      <c r="R97" s="101" t="n"/>
      <c r="S97" s="101" t="n"/>
      <c r="T97" s="101" t="n"/>
    </row>
    <row r="98" ht="12.75" customFormat="1" customHeight="1" s="101">
      <c r="A98" s="101" t="inlineStr">
        <is>
          <t>Discount function lattice</t>
        </is>
      </c>
      <c r="B98" s="176" t="n"/>
      <c r="C98" s="176" t="n"/>
      <c r="D98" s="176" t="n"/>
      <c r="E98" s="176" t="n"/>
      <c r="F98" s="176" t="n"/>
      <c r="G98" s="176" t="n"/>
      <c r="N98" s="101" t="n"/>
      <c r="O98" s="101" t="n"/>
      <c r="P98" s="101" t="n"/>
      <c r="Q98" s="101" t="n"/>
      <c r="R98" s="101" t="n"/>
      <c r="S98" s="101" t="n"/>
      <c r="T98" s="101" t="n"/>
    </row>
    <row r="99" ht="12.75" customFormat="1" customHeight="1" s="101">
      <c r="A99" s="164" t="inlineStr">
        <is>
          <t>year</t>
        </is>
      </c>
      <c r="B99" s="164" t="n">
        <v>0</v>
      </c>
      <c r="C99" s="164" t="n">
        <v>1</v>
      </c>
      <c r="D99" s="164" t="n">
        <v>2</v>
      </c>
      <c r="E99" s="164" t="n">
        <v>3</v>
      </c>
      <c r="F99" s="164" t="n">
        <v>4</v>
      </c>
      <c r="G99" s="164" t="n">
        <v>5</v>
      </c>
      <c r="N99" s="101" t="n"/>
      <c r="O99" s="101" t="n"/>
      <c r="P99" s="101" t="n"/>
      <c r="Q99" s="101" t="n"/>
      <c r="R99" s="101" t="n"/>
      <c r="S99" s="101" t="n"/>
      <c r="T99" s="101" t="n"/>
    </row>
    <row r="100" ht="13.5" customFormat="1" customHeight="1" s="101">
      <c r="I100" s="169" t="n"/>
      <c r="N100" s="101" t="n"/>
      <c r="O100" s="101" t="n"/>
      <c r="P100" s="101" t="n"/>
      <c r="Q100" s="101" t="n"/>
      <c r="R100" s="101" t="n"/>
      <c r="S100" s="101" t="n"/>
      <c r="T100" s="101" t="n"/>
    </row>
    <row r="101" ht="12.75" customFormat="1" customHeight="1" s="101">
      <c r="G101" s="101">
        <f>-LN(G93)</f>
        <v/>
      </c>
      <c r="N101" s="101" t="n"/>
      <c r="O101" s="101" t="n"/>
      <c r="P101" s="101" t="n"/>
      <c r="Q101" s="101" t="n"/>
      <c r="R101" s="101" t="n"/>
      <c r="S101" s="101" t="n"/>
      <c r="T101" s="101" t="n"/>
    </row>
    <row r="102" ht="12.75" customFormat="1" customHeight="1" s="101">
      <c r="F102" s="101">
        <f>-LN(F94)</f>
        <v/>
      </c>
      <c r="G102" s="101">
        <f>-LN(G94)</f>
        <v/>
      </c>
      <c r="N102" s="101" t="n"/>
      <c r="O102" s="101" t="n"/>
      <c r="P102" s="101" t="n"/>
      <c r="Q102" s="101" t="n"/>
      <c r="R102" s="101" t="n"/>
      <c r="S102" s="101" t="n"/>
      <c r="T102" s="101" t="n"/>
    </row>
    <row r="103" ht="12.75" customFormat="1" customHeight="1" s="101">
      <c r="E103" s="101">
        <f>-LN(E95)</f>
        <v/>
      </c>
      <c r="F103" s="101">
        <f>-LN(F95)</f>
        <v/>
      </c>
      <c r="G103" s="101">
        <f>-LN(G95)</f>
        <v/>
      </c>
      <c r="N103" s="101" t="n"/>
      <c r="O103" s="101" t="n"/>
      <c r="P103" s="101" t="n"/>
      <c r="Q103" s="101" t="n"/>
      <c r="R103" s="101" t="n"/>
      <c r="S103" s="101" t="n"/>
      <c r="T103" s="101" t="n"/>
    </row>
    <row r="104" ht="12.75" customFormat="1" customHeight="1" s="101">
      <c r="D104" s="101">
        <f>-LN(D96)</f>
        <v/>
      </c>
      <c r="E104" s="101">
        <f>-LN(E96)</f>
        <v/>
      </c>
      <c r="F104" s="101">
        <f>-LN(F96)</f>
        <v/>
      </c>
      <c r="G104" s="101">
        <f>-LN(G96)</f>
        <v/>
      </c>
      <c r="N104" s="101" t="n"/>
      <c r="O104" s="101" t="n"/>
      <c r="P104" s="101" t="n"/>
      <c r="Q104" s="101" t="n"/>
      <c r="R104" s="101" t="n"/>
      <c r="S104" s="101" t="n"/>
      <c r="T104" s="101" t="n"/>
    </row>
    <row r="105" ht="12.75" customFormat="1" customHeight="1" s="101">
      <c r="C105" s="101">
        <f>-LN(C97)</f>
        <v/>
      </c>
      <c r="D105" s="101">
        <f>-LN(D97)</f>
        <v/>
      </c>
      <c r="E105" s="101">
        <f>-LN(E97)</f>
        <v/>
      </c>
      <c r="F105" s="101">
        <f>-LN(F97)</f>
        <v/>
      </c>
      <c r="G105" s="101">
        <f>-LN(G97)</f>
        <v/>
      </c>
      <c r="N105" s="101" t="n"/>
      <c r="O105" s="101" t="n"/>
      <c r="P105" s="101" t="n"/>
      <c r="Q105" s="101" t="n"/>
      <c r="R105" s="101" t="n"/>
      <c r="S105" s="101" t="n"/>
      <c r="T105" s="101" t="n"/>
    </row>
    <row r="106" ht="12.75" customFormat="1" customHeight="1" s="101">
      <c r="A106" s="101" t="inlineStr">
        <is>
          <t>Interest rate lattice</t>
        </is>
      </c>
      <c r="B106" s="101" t="n"/>
      <c r="C106" s="101" t="n"/>
      <c r="D106" s="101" t="n"/>
      <c r="E106" s="101" t="n"/>
      <c r="F106" s="101" t="n"/>
      <c r="G106" s="101" t="n"/>
      <c r="N106" s="101" t="n"/>
      <c r="O106" s="101" t="n"/>
      <c r="P106" s="101" t="n"/>
      <c r="Q106" s="101" t="n"/>
      <c r="R106" s="101" t="n"/>
      <c r="S106" s="101" t="n"/>
      <c r="T106" s="101" t="n"/>
    </row>
    <row r="107" ht="12.75" customFormat="1" customHeight="1" s="101">
      <c r="A107" s="164" t="inlineStr">
        <is>
          <t>year</t>
        </is>
      </c>
      <c r="B107" s="164" t="n">
        <v>0</v>
      </c>
      <c r="C107" s="164" t="n">
        <v>1</v>
      </c>
      <c r="D107" s="164" t="n">
        <v>2</v>
      </c>
      <c r="E107" s="164" t="n">
        <v>3</v>
      </c>
      <c r="F107" s="164" t="n">
        <v>4</v>
      </c>
      <c r="G107" s="164" t="n">
        <v>5</v>
      </c>
      <c r="N107" s="101" t="n"/>
      <c r="O107" s="101" t="n"/>
      <c r="P107" s="101" t="n"/>
      <c r="Q107" s="101" t="n"/>
      <c r="R107" s="101" t="n"/>
      <c r="S107" s="101" t="n"/>
      <c r="T107" s="101" t="n"/>
    </row>
    <row r="108" ht="12.75" customFormat="1" customHeight="1" s="101">
      <c r="N108" s="101" t="n"/>
      <c r="O108" s="101" t="n"/>
      <c r="P108" s="101" t="n"/>
      <c r="Q108" s="101" t="n"/>
      <c r="R108" s="101" t="n"/>
      <c r="S108" s="101" t="n"/>
      <c r="T108" s="101" t="n"/>
    </row>
    <row r="109" ht="12.75" customFormat="1" customHeight="1" s="101">
      <c r="G109" s="101">
        <f>(G101-G102)/(2*G$31)</f>
        <v/>
      </c>
      <c r="N109" s="101" t="n"/>
      <c r="O109" s="101" t="n"/>
      <c r="P109" s="101" t="n"/>
      <c r="Q109" s="101" t="n"/>
      <c r="R109" s="101" t="n"/>
      <c r="S109" s="101" t="n"/>
      <c r="T109" s="101" t="n"/>
    </row>
    <row r="110" ht="12.75" customFormat="1" customHeight="1" s="101">
      <c r="F110" s="101">
        <f>(F102-F103)/(2*F$31)</f>
        <v/>
      </c>
      <c r="G110" s="101">
        <f>(G102-G103)/(2*G$31)</f>
        <v/>
      </c>
      <c r="N110" s="101" t="n"/>
      <c r="O110" s="101" t="n"/>
      <c r="P110" s="101" t="n"/>
      <c r="Q110" s="101" t="n"/>
      <c r="R110" s="101" t="n"/>
      <c r="S110" s="101" t="n"/>
      <c r="T110" s="101" t="n"/>
    </row>
    <row r="111" ht="12.75" customFormat="1" customHeight="1" s="101">
      <c r="E111" s="101">
        <f>(E103-E104)/(2*E$31)</f>
        <v/>
      </c>
      <c r="F111" s="101">
        <f>(F103-F104)/(2*F$31)</f>
        <v/>
      </c>
      <c r="G111" s="101">
        <f>(G103-G104)/(2*G$31)</f>
        <v/>
      </c>
      <c r="N111" s="101" t="n"/>
      <c r="O111" s="101" t="n"/>
      <c r="P111" s="101" t="n"/>
      <c r="Q111" s="101" t="n"/>
      <c r="R111" s="101" t="n"/>
      <c r="S111" s="101" t="n"/>
      <c r="T111" s="101" t="n"/>
    </row>
    <row r="112" ht="12.75" customFormat="1" customHeight="1" s="101">
      <c r="D112" s="101">
        <f>(D104-D105)/(2*D$31)</f>
        <v/>
      </c>
      <c r="E112" s="101">
        <f>(E104-E105)/(2*E$31)</f>
        <v/>
      </c>
      <c r="F112" s="101">
        <f>(F104-F105)/(2*F$31)</f>
        <v/>
      </c>
      <c r="G112" s="101">
        <f>(G104-G105)/(2*G$31)</f>
        <v/>
      </c>
      <c r="N112" s="101" t="n"/>
      <c r="O112" s="101" t="n"/>
      <c r="P112" s="101" t="n"/>
      <c r="Q112" s="101" t="n"/>
      <c r="R112" s="101" t="n"/>
      <c r="S112" s="101" t="n"/>
      <c r="T112" s="101" t="n"/>
    </row>
    <row r="113" ht="12.75" customFormat="1" customHeight="1" s="101">
      <c r="A113" s="101" t="inlineStr">
        <is>
          <t>Time-varying forward volatility lattice</t>
        </is>
      </c>
      <c r="C113" s="101" t="n"/>
      <c r="D113" s="101" t="n"/>
      <c r="E113" s="101" t="n"/>
      <c r="F113" s="101" t="n"/>
      <c r="G113" s="101" t="n"/>
      <c r="N113" s="101" t="n"/>
      <c r="O113" s="101" t="n"/>
      <c r="P113" s="101" t="n"/>
      <c r="Q113" s="101" t="n"/>
      <c r="R113" s="101" t="n"/>
      <c r="S113" s="101" t="n"/>
      <c r="T113" s="101" t="n"/>
    </row>
    <row r="114" ht="12.75" customFormat="1" customHeight="1" s="101">
      <c r="A114" s="164" t="inlineStr">
        <is>
          <t>year</t>
        </is>
      </c>
      <c r="B114" s="164" t="n">
        <v>0</v>
      </c>
      <c r="C114" s="164" t="n">
        <v>1</v>
      </c>
      <c r="D114" s="164" t="n">
        <v>2</v>
      </c>
      <c r="E114" s="164" t="n">
        <v>3</v>
      </c>
      <c r="F114" s="164" t="n">
        <v>4</v>
      </c>
      <c r="G114" s="164" t="n">
        <v>5</v>
      </c>
      <c r="N114" s="101" t="n"/>
      <c r="O114" s="101" t="n"/>
      <c r="P114" s="101" t="n"/>
      <c r="Q114" s="101" t="n"/>
      <c r="R114" s="101" t="n"/>
      <c r="S114" s="101" t="n"/>
      <c r="T114" s="101" t="n"/>
    </row>
  </sheetData>
  <hyperlinks>
    <hyperlink xmlns:r="http://schemas.openxmlformats.org/officeDocument/2006/relationships" ref="B7" display="leesb@hanyang.ac.kr" r:id="rId1"/>
    <hyperlink xmlns:r="http://schemas.openxmlformats.org/officeDocument/2006/relationships" ref="B23" display="http://www.federalreserve.gov/" r:id="rId2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Hanyang Financial Engineering Lab</dc:creator>
  <dc:language>en-US</dc:language>
  <dcterms:created xsi:type="dcterms:W3CDTF">2003-04-22T19:49:47Z</dcterms:created>
  <dcterms:modified xsi:type="dcterms:W3CDTF">2026-08-18T05:06:54Z</dcterms:modified>
  <cp:lastModifiedBy>MIKE</cp:lastModifiedBy>
  <cp:revision>0</cp:revision>
</cp:coreProperties>
</file>