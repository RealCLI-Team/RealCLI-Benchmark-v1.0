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comments5.xml" ContentType="application/vnd.openxmlformats-officedocument.spreadsheetml.comments+xml"/>
  <Override PartName="/xl/comments4.xml" ContentType="application/vnd.openxmlformats-officedocument.spreadsheetml.comments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vmlDrawing4.vml" ContentType="application/vnd.openxmlformats-officedocument.vmlDrawing"/>
  <Override PartName="/xl/drawings/vmlDrawing2.vml" ContentType="application/vnd.openxmlformats-officedocument.vmlDrawing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vmlDrawing5.vml" ContentType="application/vnd.openxmlformats-officedocument.vmlDrawing"/>
  <Override PartName="/xl/drawings/drawing4.xml" ContentType="application/vnd.openxmlformats-officedocument.drawing+xml"/>
  <Override PartName="/xl/drawings/vmlDrawing6.vml" ContentType="application/vnd.openxmlformats-officedocument.vmlDrawing"/>
  <Override PartName="/xl/drawings/drawing5.xml" ContentType="application/vnd.openxmlformats-officedocument.drawing+xml"/>
  <Override PartName="/xl/drawings/drawing6.xml" ContentType="application/vnd.openxmlformats-officedocument.drawing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styles.xml" ContentType="application/vnd.openxmlformats-officedocument.spreadsheetml.styles+xml"/>
  <Override PartName="/xl/comments3.xml" ContentType="application/vnd.openxmlformats-officedocument.spreadsheetml.comments+xml"/>
  <Override PartName="/xl/theme/theme1.xml" ContentType="application/vnd.openxmlformats-officedocument.theme+xml"/>
  <Override PartName="/xl/workbook.xml" ContentType="application/vnd.openxmlformats-officedocument.spreadsheetml.sheet.main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umex" sheetId="1" state="visible" r:id="rId3"/>
    <sheet name="ex1" sheetId="2" state="visible" r:id="rId4"/>
    <sheet name="ex2" sheetId="3" state="visible" r:id="rId5"/>
    <sheet name="ex3" sheetId="4" state="visible" r:id="rId6"/>
    <sheet name="furtherex1" sheetId="5" state="visible" r:id="rId7"/>
    <sheet name="furtherex2" sheetId="6" state="visible" r:id="rId8"/>
  </sheets>
  <definedNames>
    <definedName function="false" hidden="false" localSheetId="1" name="ZEqnNum972760" vbProcedure="false">#REF!</definedName>
    <definedName function="false" hidden="false" localSheetId="2" name="ZEqnNum972760" vbProcedure="false">#REF!</definedName>
    <definedName function="false" hidden="false" localSheetId="5" name="ZEqnNum972760" vbProcedure="false">#REF!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" authorId="0">
      <text>
        <r>
          <rPr>
            <sz val="9"/>
            <color rgb="FF000000"/>
            <rFont val="굴림"/>
            <family val="3"/>
            <charset val="129"/>
          </rPr>
          <t xml:space="preserve">the date of publication of the excel model</t>
        </r>
      </text>
    </comment>
    <comment ref="A13" authorId="0">
      <text>
        <r>
          <rPr>
            <sz val="9"/>
            <color rgb="FF000000"/>
            <rFont val="굴림"/>
            <family val="3"/>
            <charset val="129"/>
          </rPr>
          <t xml:space="preserve">like the title of each chapter</t>
        </r>
      </text>
    </comment>
    <comment ref="A14" authorId="0">
      <text>
        <r>
          <rPr>
            <sz val="9"/>
            <color rgb="FF000000"/>
            <rFont val="굴림"/>
            <family val="3"/>
            <charset val="129"/>
          </rPr>
          <t xml:space="preserve">the group that would use the model</t>
        </r>
      </text>
    </comment>
    <comment ref="A15" authorId="0">
      <text>
        <r>
          <rPr>
            <sz val="9"/>
            <color rgb="FF000000"/>
            <rFont val="굴림"/>
            <family val="3"/>
            <charset val="129"/>
          </rPr>
          <t xml:space="preserve">like the subsection</t>
        </r>
      </text>
    </comment>
    <comment ref="B19" authorId="0">
      <text>
        <r>
          <rPr>
            <sz val="9"/>
            <color rgb="FF000000"/>
            <rFont val="굴림"/>
            <family val="3"/>
            <charset val="129"/>
          </rPr>
          <t xml:space="preserve">m is the number of partition a one-period</t>
        </r>
      </text>
    </comment>
    <comment ref="D2" authorId="0">
      <text>
        <r>
          <rPr>
            <sz val="9"/>
            <color rgb="FF000000"/>
            <rFont val="굴림"/>
            <family val="3"/>
            <charset val="129"/>
          </rPr>
          <t xml:space="preserve">the first 2 digits represent the chapter of the book, next 2 digits represent the section number, and last 2 digits just the ordering count.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" authorId="0">
      <text>
        <r>
          <rPr>
            <sz val="9"/>
            <color rgb="FF000000"/>
            <rFont val="굴림"/>
            <family val="3"/>
            <charset val="129"/>
          </rPr>
          <t xml:space="preserve">the date of publication of the excel model</t>
        </r>
      </text>
    </comment>
    <comment ref="A13" authorId="0">
      <text>
        <r>
          <rPr>
            <sz val="9"/>
            <color rgb="FF000000"/>
            <rFont val="굴림"/>
            <family val="3"/>
            <charset val="129"/>
          </rPr>
          <t xml:space="preserve">like the title of each chapter</t>
        </r>
      </text>
    </comment>
    <comment ref="A14" authorId="0">
      <text>
        <r>
          <rPr>
            <sz val="9"/>
            <color rgb="FF000000"/>
            <rFont val="굴림"/>
            <family val="3"/>
            <charset val="129"/>
          </rPr>
          <t xml:space="preserve">the group that would use the model</t>
        </r>
      </text>
    </comment>
    <comment ref="A15" authorId="0">
      <text>
        <r>
          <rPr>
            <sz val="9"/>
            <color rgb="FF000000"/>
            <rFont val="굴림"/>
            <family val="3"/>
            <charset val="129"/>
          </rPr>
          <t xml:space="preserve">like the subsection</t>
        </r>
      </text>
    </comment>
    <comment ref="A29" authorId="0">
      <text>
        <r>
          <rPr>
            <sz val="9"/>
            <color rgb="FF000000"/>
            <rFont val="굴림"/>
            <family val="3"/>
            <charset val="129"/>
          </rPr>
          <t xml:space="preserve">We can incorporate any shape of yield curve.</t>
        </r>
      </text>
    </comment>
    <comment ref="A31" authorId="0">
      <text>
        <r>
          <rPr>
            <sz val="9"/>
            <color rgb="FF000000"/>
            <rFont val="굴림"/>
            <family val="3"/>
            <charset val="129"/>
          </rPr>
          <t xml:space="preserve">f(n)=-ln(p(n+1)/p(n))</t>
        </r>
      </text>
    </comment>
    <comment ref="A32" authorId="0">
      <text>
        <r>
          <rPr>
            <sz val="9"/>
            <color rgb="FF000000"/>
            <rFont val="굴림"/>
            <family val="3"/>
            <charset val="129"/>
          </rPr>
          <t xml:space="preserve">the quoted volatility is conventionally lognormal.</t>
        </r>
      </text>
    </comment>
    <comment ref="A33" authorId="0">
      <text>
        <r>
          <rPr>
            <sz val="9"/>
            <color rgb="FF000000"/>
            <rFont val="굴림"/>
            <family val="3"/>
            <charset val="129"/>
          </rPr>
          <t xml:space="preserve">See the volatility conversion equation.</t>
        </r>
      </text>
    </comment>
    <comment ref="A40" authorId="0">
      <text>
        <r>
          <rPr>
            <sz val="9"/>
            <color rgb="FF000000"/>
            <rFont val="굴림"/>
            <family val="3"/>
            <charset val="129"/>
          </rPr>
          <t xml:space="preserve">call period is the same as coupon payment period.</t>
        </r>
      </text>
    </comment>
    <comment ref="A41" authorId="0">
      <text>
        <r>
          <rPr>
            <sz val="9"/>
            <color rgb="FF000000"/>
            <rFont val="굴림"/>
            <family val="3"/>
            <charset val="129"/>
          </rPr>
          <t xml:space="preserve">coupon is paid once a year</t>
        </r>
      </text>
    </comment>
    <comment ref="A62" authorId="0">
      <text>
        <r>
          <rPr>
            <sz val="9"/>
            <color rgb="FF000000"/>
            <rFont val="굴림"/>
            <family val="3"/>
            <charset val="129"/>
          </rPr>
          <t xml:space="preserve">This is a checking purpose.</t>
        </r>
      </text>
    </comment>
    <comment ref="B19" authorId="0">
      <text>
        <r>
          <rPr>
            <sz val="9"/>
            <color rgb="FF000000"/>
            <rFont val="굴림"/>
            <family val="3"/>
            <charset val="129"/>
          </rPr>
          <t xml:space="preserve">m is the number of partition a one-period</t>
        </r>
      </text>
    </comment>
    <comment ref="B34" authorId="0">
      <text>
        <r>
          <rPr>
            <sz val="9"/>
            <color rgb="FF000000"/>
            <rFont val="굴림"/>
            <family val="3"/>
            <charset val="129"/>
          </rPr>
          <t xml:space="preserve">for simplicity</t>
        </r>
      </text>
    </comment>
    <comment ref="B71" authorId="0">
      <text>
        <r>
          <rPr>
            <sz val="9"/>
            <color rgb="FF000000"/>
            <rFont val="굴림"/>
            <family val="3"/>
            <charset val="129"/>
          </rPr>
          <t xml:space="preserve">We can't call at initial node.</t>
        </r>
      </text>
    </comment>
    <comment ref="D2" authorId="0">
      <text>
        <r>
          <rPr>
            <sz val="9"/>
            <color rgb="FF000000"/>
            <rFont val="굴림"/>
            <family val="3"/>
            <charset val="129"/>
          </rPr>
          <t xml:space="preserve">the first 2 digits represent the chapter of the book, next 2 digits represent the section number, and last 2 digits just the ordering count.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" authorId="0">
      <text>
        <r>
          <rPr>
            <sz val="9"/>
            <color rgb="FF000000"/>
            <rFont val="굴림"/>
            <family val="3"/>
            <charset val="129"/>
          </rPr>
          <t xml:space="preserve">the date of publication of the excel model</t>
        </r>
      </text>
    </comment>
    <comment ref="A13" authorId="0">
      <text>
        <r>
          <rPr>
            <sz val="9"/>
            <color rgb="FF000000"/>
            <rFont val="굴림"/>
            <family val="3"/>
            <charset val="129"/>
          </rPr>
          <t xml:space="preserve">like the title of each chapter</t>
        </r>
      </text>
    </comment>
    <comment ref="A14" authorId="0">
      <text>
        <r>
          <rPr>
            <sz val="9"/>
            <color rgb="FF000000"/>
            <rFont val="굴림"/>
            <family val="3"/>
            <charset val="129"/>
          </rPr>
          <t xml:space="preserve">the group that would use the model</t>
        </r>
      </text>
    </comment>
    <comment ref="A15" authorId="0">
      <text>
        <r>
          <rPr>
            <sz val="9"/>
            <color rgb="FF000000"/>
            <rFont val="굴림"/>
            <family val="3"/>
            <charset val="129"/>
          </rPr>
          <t xml:space="preserve">like the subsection</t>
        </r>
      </text>
    </comment>
    <comment ref="A29" authorId="0">
      <text>
        <r>
          <rPr>
            <sz val="9"/>
            <color rgb="FF000000"/>
            <rFont val="굴림"/>
            <family val="3"/>
            <charset val="129"/>
          </rPr>
          <t xml:space="preserve">We can incorporate any shape of yield curve.</t>
        </r>
      </text>
    </comment>
    <comment ref="A31" authorId="0">
      <text>
        <r>
          <rPr>
            <sz val="9"/>
            <color rgb="FF000000"/>
            <rFont val="굴림"/>
            <family val="3"/>
            <charset val="129"/>
          </rPr>
          <t xml:space="preserve">f(n)=-ln(p(n+1)/p(n))</t>
        </r>
      </text>
    </comment>
    <comment ref="A32" authorId="0">
      <text>
        <r>
          <rPr>
            <sz val="9"/>
            <color rgb="FF000000"/>
            <rFont val="굴림"/>
            <family val="3"/>
            <charset val="129"/>
          </rPr>
          <t xml:space="preserve">the quoted volatility is conventionally lognormal.</t>
        </r>
      </text>
    </comment>
    <comment ref="A33" authorId="0">
      <text>
        <r>
          <rPr>
            <sz val="9"/>
            <color rgb="FF000000"/>
            <rFont val="굴림"/>
            <family val="3"/>
            <charset val="129"/>
          </rPr>
          <t xml:space="preserve">See the volatility conversion equation.</t>
        </r>
      </text>
    </comment>
    <comment ref="A40" authorId="0">
      <text>
        <r>
          <rPr>
            <sz val="9"/>
            <color rgb="FF000000"/>
            <rFont val="굴림"/>
            <family val="3"/>
            <charset val="129"/>
          </rPr>
          <t xml:space="preserve">call period is the same as coupon payment period.</t>
        </r>
      </text>
    </comment>
    <comment ref="A41" authorId="0">
      <text>
        <r>
          <rPr>
            <sz val="9"/>
            <color rgb="FF000000"/>
            <rFont val="굴림"/>
            <family val="3"/>
            <charset val="129"/>
          </rPr>
          <t xml:space="preserve">coupon is paid once a year</t>
        </r>
      </text>
    </comment>
    <comment ref="A66" authorId="0">
      <text>
        <r>
          <rPr>
            <sz val="9"/>
            <color rgb="FF000000"/>
            <rFont val="굴림"/>
            <family val="3"/>
            <charset val="129"/>
          </rPr>
          <t xml:space="preserve">This is a checking purpose.</t>
        </r>
      </text>
    </comment>
    <comment ref="B19" authorId="0">
      <text>
        <r>
          <rPr>
            <sz val="9"/>
            <color rgb="FF000000"/>
            <rFont val="굴림"/>
            <family val="3"/>
            <charset val="129"/>
          </rPr>
          <t xml:space="preserve">m is the number of partition a one-period</t>
        </r>
      </text>
    </comment>
    <comment ref="B34" authorId="0">
      <text>
        <r>
          <rPr>
            <sz val="9"/>
            <color rgb="FF000000"/>
            <rFont val="굴림"/>
            <family val="3"/>
            <charset val="129"/>
          </rPr>
          <t xml:space="preserve">for simplicity</t>
        </r>
      </text>
    </comment>
    <comment ref="B75" authorId="0">
      <text>
        <r>
          <rPr>
            <sz val="9"/>
            <color rgb="FF000000"/>
            <rFont val="굴림"/>
            <family val="3"/>
            <charset val="129"/>
          </rPr>
          <t xml:space="preserve">We can't call at initial node.</t>
        </r>
      </text>
    </comment>
    <comment ref="D2" authorId="0">
      <text>
        <r>
          <rPr>
            <sz val="9"/>
            <color rgb="FF000000"/>
            <rFont val="굴림"/>
            <family val="3"/>
            <charset val="129"/>
          </rPr>
          <t xml:space="preserve">the first 2 digits represent the chapter of the book, next 2 digits represent the section number, and last 2 digits just the ordering count.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" authorId="0">
      <text>
        <r>
          <rPr>
            <sz val="9"/>
            <color rgb="FF000000"/>
            <rFont val="굴림"/>
            <family val="3"/>
            <charset val="129"/>
          </rPr>
          <t xml:space="preserve">the date of publication of the excel model</t>
        </r>
      </text>
    </comment>
    <comment ref="A13" authorId="0">
      <text>
        <r>
          <rPr>
            <sz val="9"/>
            <color rgb="FF000000"/>
            <rFont val="굴림"/>
            <family val="3"/>
            <charset val="129"/>
          </rPr>
          <t xml:space="preserve">like the title of each chapter</t>
        </r>
      </text>
    </comment>
    <comment ref="A14" authorId="0">
      <text>
        <r>
          <rPr>
            <sz val="9"/>
            <color rgb="FF000000"/>
            <rFont val="굴림"/>
            <family val="3"/>
            <charset val="129"/>
          </rPr>
          <t xml:space="preserve">the group that would use the model</t>
        </r>
      </text>
    </comment>
    <comment ref="A15" authorId="0">
      <text>
        <r>
          <rPr>
            <sz val="9"/>
            <color rgb="FF000000"/>
            <rFont val="굴림"/>
            <family val="3"/>
            <charset val="129"/>
          </rPr>
          <t xml:space="preserve">like the subsection</t>
        </r>
      </text>
    </comment>
    <comment ref="B19" authorId="0">
      <text>
        <r>
          <rPr>
            <sz val="9"/>
            <color rgb="FF000000"/>
            <rFont val="굴림"/>
            <family val="3"/>
            <charset val="129"/>
          </rPr>
          <t xml:space="preserve">m is the number of partition a one-period</t>
        </r>
      </text>
    </comment>
    <comment ref="D2" authorId="0">
      <text>
        <r>
          <rPr>
            <sz val="9"/>
            <color rgb="FF000000"/>
            <rFont val="굴림"/>
            <family val="3"/>
            <charset val="129"/>
          </rPr>
          <t xml:space="preserve">the first 2 digits represent the chapter of the book, next 2 digits represent the section number, and last 2 digits just the ordering count.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" authorId="0">
      <text>
        <r>
          <rPr>
            <sz val="9"/>
            <color rgb="FF000000"/>
            <rFont val="굴림"/>
            <family val="3"/>
            <charset val="129"/>
          </rPr>
          <t xml:space="preserve">the date of publication of the excel model</t>
        </r>
      </text>
    </comment>
    <comment ref="A13" authorId="0">
      <text>
        <r>
          <rPr>
            <sz val="9"/>
            <color rgb="FF000000"/>
            <rFont val="굴림"/>
            <family val="3"/>
            <charset val="129"/>
          </rPr>
          <t xml:space="preserve">like the title of each chapter</t>
        </r>
      </text>
    </comment>
    <comment ref="A14" authorId="0">
      <text>
        <r>
          <rPr>
            <sz val="9"/>
            <color rgb="FF000000"/>
            <rFont val="굴림"/>
            <family val="3"/>
            <charset val="129"/>
          </rPr>
          <t xml:space="preserve">the group that would use the model</t>
        </r>
      </text>
    </comment>
    <comment ref="A15" authorId="0">
      <text>
        <r>
          <rPr>
            <sz val="9"/>
            <color rgb="FF000000"/>
            <rFont val="굴림"/>
            <family val="3"/>
            <charset val="129"/>
          </rPr>
          <t xml:space="preserve">like the subsection</t>
        </r>
      </text>
    </comment>
    <comment ref="B19" authorId="0">
      <text>
        <r>
          <rPr>
            <sz val="9"/>
            <color rgb="FF000000"/>
            <rFont val="굴림"/>
            <family val="3"/>
            <charset val="129"/>
          </rPr>
          <t xml:space="preserve">m is the number of partition a one-period</t>
        </r>
      </text>
    </comment>
    <comment ref="D2" authorId="0">
      <text>
        <r>
          <rPr>
            <sz val="9"/>
            <color rgb="FF000000"/>
            <rFont val="굴림"/>
            <family val="3"/>
            <charset val="129"/>
          </rPr>
          <t xml:space="preserve">the first 2 digits represent the chapter of the book, next 2 digits represent the section number, and last 2 digits just the ordering count.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" authorId="0">
      <text>
        <r>
          <rPr>
            <sz val="9"/>
            <color rgb="FF000000"/>
            <rFont val="굴림"/>
            <family val="3"/>
            <charset val="129"/>
          </rPr>
          <t xml:space="preserve">the date of publication of the excel model</t>
        </r>
      </text>
    </comment>
    <comment ref="A13" authorId="0">
      <text>
        <r>
          <rPr>
            <sz val="9"/>
            <color rgb="FF000000"/>
            <rFont val="굴림"/>
            <family val="3"/>
            <charset val="129"/>
          </rPr>
          <t xml:space="preserve">like the title of each chapter</t>
        </r>
      </text>
    </comment>
    <comment ref="A14" authorId="0">
      <text>
        <r>
          <rPr>
            <sz val="9"/>
            <color rgb="FF000000"/>
            <rFont val="굴림"/>
            <family val="3"/>
            <charset val="129"/>
          </rPr>
          <t xml:space="preserve">the group that would use the model</t>
        </r>
      </text>
    </comment>
    <comment ref="A15" authorId="0">
      <text>
        <r>
          <rPr>
            <sz val="9"/>
            <color rgb="FF000000"/>
            <rFont val="굴림"/>
            <family val="3"/>
            <charset val="129"/>
          </rPr>
          <t xml:space="preserve">like the subsection</t>
        </r>
      </text>
    </comment>
    <comment ref="A29" authorId="0">
      <text>
        <r>
          <rPr>
            <sz val="9"/>
            <color rgb="FF000000"/>
            <rFont val="굴림"/>
            <family val="3"/>
            <charset val="129"/>
          </rPr>
          <t xml:space="preserve">We can incorporate any shape of yield curve.</t>
        </r>
      </text>
    </comment>
    <comment ref="A31" authorId="0">
      <text>
        <r>
          <rPr>
            <sz val="9"/>
            <color rgb="FF000000"/>
            <rFont val="굴림"/>
            <family val="3"/>
            <charset val="129"/>
          </rPr>
          <t xml:space="preserve">f(n)=-ln(p(n+1)/p(n))</t>
        </r>
      </text>
    </comment>
    <comment ref="A32" authorId="0">
      <text>
        <r>
          <rPr>
            <sz val="9"/>
            <color rgb="FF000000"/>
            <rFont val="굴림"/>
            <family val="3"/>
            <charset val="129"/>
          </rPr>
          <t xml:space="preserve">the quoted volatility is conventionally lognormal.</t>
        </r>
      </text>
    </comment>
    <comment ref="A33" authorId="0">
      <text>
        <r>
          <rPr>
            <sz val="9"/>
            <color rgb="FF000000"/>
            <rFont val="굴림"/>
            <family val="3"/>
            <charset val="129"/>
          </rPr>
          <t xml:space="preserve">See the volatility conversion equation.</t>
        </r>
      </text>
    </comment>
    <comment ref="A40" authorId="0">
      <text>
        <r>
          <rPr>
            <sz val="9"/>
            <color rgb="FF000000"/>
            <rFont val="굴림"/>
            <family val="3"/>
            <charset val="129"/>
          </rPr>
          <t xml:space="preserve">call period is the same as coupon payment period.</t>
        </r>
      </text>
    </comment>
    <comment ref="A41" authorId="0">
      <text>
        <r>
          <rPr>
            <sz val="9"/>
            <color rgb="FF000000"/>
            <rFont val="굴림"/>
            <family val="3"/>
            <charset val="129"/>
          </rPr>
          <t xml:space="preserve">coupon is paid once a year</t>
        </r>
      </text>
    </comment>
    <comment ref="A62" authorId="0">
      <text>
        <r>
          <rPr>
            <sz val="9"/>
            <color rgb="FF000000"/>
            <rFont val="굴림"/>
            <family val="3"/>
            <charset val="129"/>
          </rPr>
          <t xml:space="preserve">This is a checking purpose.</t>
        </r>
      </text>
    </comment>
    <comment ref="B19" authorId="0">
      <text>
        <r>
          <rPr>
            <sz val="9"/>
            <color rgb="FF000000"/>
            <rFont val="굴림"/>
            <family val="3"/>
            <charset val="129"/>
          </rPr>
          <t xml:space="preserve">m is the number of partition a one-period</t>
        </r>
      </text>
    </comment>
    <comment ref="B34" authorId="0">
      <text>
        <r>
          <rPr>
            <sz val="9"/>
            <color rgb="FF000000"/>
            <rFont val="굴림"/>
            <family val="3"/>
            <charset val="129"/>
          </rPr>
          <t xml:space="preserve">for simplicity</t>
        </r>
      </text>
    </comment>
    <comment ref="B71" authorId="0">
      <text>
        <r>
          <rPr>
            <sz val="9"/>
            <color rgb="FF000000"/>
            <rFont val="굴림"/>
            <family val="3"/>
            <charset val="129"/>
          </rPr>
          <t xml:space="preserve">We can't call at initial node.</t>
        </r>
      </text>
    </comment>
    <comment ref="D2" authorId="0">
      <text>
        <r>
          <rPr>
            <sz val="9"/>
            <color rgb="FF000000"/>
            <rFont val="굴림"/>
            <family val="3"/>
            <charset val="129"/>
          </rPr>
          <t xml:space="preserve">the first 2 digits represent the chapter of the book, next 2 digits represent the section number, and last 2 digits just the ordering count.</t>
        </r>
      </text>
    </comment>
  </commentList>
</comments>
</file>

<file path=xl/sharedStrings.xml><?xml version="1.0" encoding="utf-8"?>
<sst xmlns="http://schemas.openxmlformats.org/spreadsheetml/2006/main" count="432" uniqueCount="109">
  <si>
    <t xml:space="preserve">Level Payment </t>
  </si>
  <si>
    <t xml:space="preserve">© copyright THC 2003</t>
  </si>
  <si>
    <t xml:space="preserve">All rights reserved by Thomas Ho Company, NY, NY</t>
  </si>
  <si>
    <t xml:space="preserve">reference number</t>
  </si>
  <si>
    <t xml:space="preserve"># 71</t>
  </si>
  <si>
    <t xml:space="preserve">classification#</t>
  </si>
  <si>
    <t xml:space="preserve">Version</t>
  </si>
  <si>
    <t xml:space="preserve">level</t>
  </si>
  <si>
    <t xml:space="preserve">advanced</t>
  </si>
  <si>
    <t xml:space="preserve">Instructions</t>
  </si>
  <si>
    <t xml:space="preserve">publication date</t>
  </si>
  <si>
    <t xml:space="preserve">Given the yield curve and the loan interest rate, calculate the level payment over the loan term. </t>
  </si>
  <si>
    <t xml:space="preserve">author</t>
  </si>
  <si>
    <t xml:space="preserve">Hanyang Financial Engineering Lab.</t>
  </si>
  <si>
    <t xml:space="preserve">affiliation</t>
  </si>
  <si>
    <t xml:space="preserve">Hanyang University</t>
  </si>
  <si>
    <t xml:space="preserve">email address</t>
  </si>
  <si>
    <t xml:space="preserve">leesb@hanyang.ac.kr</t>
  </si>
  <si>
    <t xml:space="preserve">input</t>
  </si>
  <si>
    <t xml:space="preserve">initial yield curve, Interest payment, Loan term, Principal</t>
  </si>
  <si>
    <t xml:space="preserve">last revised date</t>
  </si>
  <si>
    <t xml:space="preserve">output</t>
  </si>
  <si>
    <t xml:space="preserve">Level payment </t>
  </si>
  <si>
    <t xml:space="preserve">references</t>
  </si>
  <si>
    <r>
      <rPr>
        <sz val="10"/>
        <rFont val="Arial"/>
        <family val="2"/>
      </rPr>
      <t xml:space="preserve">Ch.10 of "The Oxford Guide to </t>
    </r>
    <r>
      <rPr>
        <i val="true"/>
        <sz val="10"/>
        <rFont val="Arial"/>
        <family val="2"/>
      </rPr>
      <t xml:space="preserve">Financial Modeling</t>
    </r>
    <r>
      <rPr>
        <sz val="10"/>
        <rFont val="Arial"/>
        <family val="2"/>
      </rPr>
      <t xml:space="preserve">" by Thomas S.Y. Ho and Sang Bin Lee, 2003, Oxford University Press</t>
    </r>
  </si>
  <si>
    <t xml:space="preserve">Descriptions</t>
  </si>
  <si>
    <t xml:space="preserve">financial model class</t>
  </si>
  <si>
    <t xml:space="preserve">the behavioral models</t>
  </si>
  <si>
    <t xml:space="preserve">issuer/modeler</t>
  </si>
  <si>
    <t xml:space="preserve">N/A</t>
  </si>
  <si>
    <t xml:space="preserve">model type</t>
  </si>
  <si>
    <t xml:space="preserve">Collateralized Mortgage Obligations</t>
  </si>
  <si>
    <t xml:space="preserve">risk sources</t>
  </si>
  <si>
    <t xml:space="preserve">interest rate</t>
  </si>
  <si>
    <t xml:space="preserve">risk distribution</t>
  </si>
  <si>
    <t xml:space="preserve">normal</t>
  </si>
  <si>
    <t xml:space="preserve">economic assumptions</t>
  </si>
  <si>
    <t xml:space="preserve">contingent claim model</t>
  </si>
  <si>
    <t xml:space="preserve">technical assumptions</t>
  </si>
  <si>
    <t xml:space="preserve">m=1</t>
  </si>
  <si>
    <t xml:space="preserve">key words</t>
  </si>
  <si>
    <t xml:space="preserve">arbitrage-free interest rate model, contingent claim</t>
  </si>
  <si>
    <t xml:space="preserve">Links</t>
  </si>
  <si>
    <t xml:space="preserve">data</t>
  </si>
  <si>
    <t xml:space="preserve">http://www.federalreserve.gov/</t>
  </si>
  <si>
    <t xml:space="preserve">financial models</t>
  </si>
  <si>
    <t xml:space="preserve">7. Bond Arithmetic, 8. Bond Model, 21. Extended Ho-Lee Model, 53. Callable Bond Model</t>
  </si>
  <si>
    <t xml:space="preserve">Inputs</t>
  </si>
  <si>
    <t xml:space="preserve">Spot curve (%)</t>
  </si>
  <si>
    <t xml:space="preserve">Annual interest payment(%)</t>
  </si>
  <si>
    <t xml:space="preserve">&lt;=</t>
  </si>
  <si>
    <t xml:space="preserve">The interests are paid semiannually</t>
  </si>
  <si>
    <t xml:space="preserve">The term of loan(year) </t>
  </si>
  <si>
    <t xml:space="preserve">The principal ($)</t>
  </si>
  <si>
    <t xml:space="preserve">Outputs </t>
  </si>
  <si>
    <t xml:space="preserve">Period</t>
  </si>
  <si>
    <t xml:space="preserve">Cash Flow</t>
  </si>
  <si>
    <t xml:space="preserve">PV of each period</t>
  </si>
  <si>
    <t xml:space="preserve">Level Payment</t>
  </si>
  <si>
    <t xml:space="preserve">PV of Loan</t>
  </si>
  <si>
    <t xml:space="preserve">Interest</t>
  </si>
  <si>
    <t xml:space="preserve">Principal</t>
  </si>
  <si>
    <t xml:space="preserve">Interest Only and Principal Only</t>
  </si>
  <si>
    <t xml:space="preserve">The sum of the principal only and the interest only is the callable bond at each node of the binomial lattice.  </t>
  </si>
  <si>
    <t xml:space="preserve">initial yield curve, lognormal spot volatility of interest rate, the number of partitions, time to maturity at each node, face value, call price, coupon rate, and bond maturity</t>
  </si>
  <si>
    <t xml:space="preserve">principal only lattice, interest only lattice</t>
  </si>
  <si>
    <t xml:space="preserve">year</t>
  </si>
  <si>
    <t xml:space="preserve">initial yield curve (continuous compounding)</t>
  </si>
  <si>
    <t xml:space="preserve">initial discount function p(n)</t>
  </si>
  <si>
    <t xml:space="preserve">forward curve </t>
  </si>
  <si>
    <r>
      <rPr>
        <sz val="10"/>
        <rFont val="Arial"/>
        <family val="2"/>
      </rPr>
      <t xml:space="preserve">lognormal spot volatility (σ</t>
    </r>
    <r>
      <rPr>
        <vertAlign val="superscript"/>
        <sz val="10"/>
        <rFont val="Arial"/>
        <family val="2"/>
      </rPr>
      <t xml:space="preserve">S</t>
    </r>
    <r>
      <rPr>
        <sz val="10"/>
        <rFont val="Arial"/>
        <family val="2"/>
      </rPr>
      <t xml:space="preserve">)</t>
    </r>
  </si>
  <si>
    <r>
      <rPr>
        <sz val="10"/>
        <rFont val="Arial"/>
        <family val="2"/>
      </rPr>
      <t xml:space="preserve">lognormal forward volatility (σ</t>
    </r>
    <r>
      <rPr>
        <vertAlign val="superscript"/>
        <sz val="10"/>
        <rFont val="Arial"/>
        <family val="2"/>
      </rPr>
      <t xml:space="preserve">f</t>
    </r>
    <r>
      <rPr>
        <sz val="10"/>
        <rFont val="Arial"/>
        <family val="2"/>
      </rPr>
      <t xml:space="preserve">)</t>
    </r>
  </si>
  <si>
    <t xml:space="preserve">the number of partitions (m)</t>
  </si>
  <si>
    <t xml:space="preserve">time to maturity (T) at each node</t>
  </si>
  <si>
    <t xml:space="preserve">forward price</t>
  </si>
  <si>
    <t xml:space="preserve">delta (δ)</t>
  </si>
  <si>
    <t xml:space="preserve">face value</t>
  </si>
  <si>
    <t xml:space="preserve">call price</t>
  </si>
  <si>
    <t xml:space="preserve">coupon rate (annual compounding)</t>
  </si>
  <si>
    <t xml:space="preserve">bond maturity</t>
  </si>
  <si>
    <t xml:space="preserve">Outputs</t>
  </si>
  <si>
    <t xml:space="preserve">Principal Only</t>
  </si>
  <si>
    <t xml:space="preserve">Interest Only</t>
  </si>
  <si>
    <t xml:space="preserve">IO + PO = Callable Bond</t>
  </si>
  <si>
    <t xml:space="preserve">Interim Calculations</t>
  </si>
  <si>
    <t xml:space="preserve">callable bond price</t>
  </si>
  <si>
    <t xml:space="preserve">naive coupon bond price</t>
  </si>
  <si>
    <t xml:space="preserve">convexity adjustment</t>
  </si>
  <si>
    <t xml:space="preserve">numerator of convexity adjustment at time n</t>
  </si>
  <si>
    <t xml:space="preserve">denominator of convexity adjustment at time n</t>
  </si>
  <si>
    <t xml:space="preserve">Discount function lattice</t>
  </si>
  <si>
    <t xml:space="preserve">Interest rate lattice</t>
  </si>
  <si>
    <t xml:space="preserve">Time-varying forward volatility lattice</t>
  </si>
  <si>
    <t xml:space="preserve">The sum of the principal only and the interest only is the callable bond at each node of the binomial lattice. </t>
  </si>
  <si>
    <t xml:space="preserve">effective duration of the callable bond</t>
  </si>
  <si>
    <t xml:space="preserve">effective duration of the principal only</t>
  </si>
  <si>
    <t xml:space="preserve">effective duration of the interest only</t>
  </si>
  <si>
    <t xml:space="preserve">SMM, CRR, PSA </t>
  </si>
  <si>
    <t xml:space="preserve">We have three different ways to calculate the prepayment speed.</t>
  </si>
  <si>
    <t xml:space="preserve">Scheduled balance, Actual balance</t>
  </si>
  <si>
    <t xml:space="preserve">SMM, CRR and PSA</t>
  </si>
  <si>
    <t xml:space="preserve">Scheduled Balance($)</t>
  </si>
  <si>
    <t xml:space="preserve">Monthly</t>
  </si>
  <si>
    <t xml:space="preserve">Actual Balace($)</t>
  </si>
  <si>
    <t xml:space="preserve">SMM</t>
  </si>
  <si>
    <t xml:space="preserve">CPR</t>
  </si>
  <si>
    <t xml:space="preserve">PSA</t>
  </si>
  <si>
    <t xml:space="preserve">yield curve, Loan interest rate, Loan term, Loan interest</t>
  </si>
  <si>
    <t xml:space="preserve">Level payment</t>
  </si>
</sst>
</file>

<file path=xl/styles.xml><?xml version="1.0" encoding="utf-8"?>
<styleSheet xmlns="http://schemas.openxmlformats.org/spreadsheetml/2006/main">
  <numFmts count="21">
    <numFmt numFmtId="164" formatCode="General"/>
    <numFmt numFmtId="165" formatCode="0.0"/>
    <numFmt numFmtId="166" formatCode="mmm\-yy"/>
    <numFmt numFmtId="167" formatCode="[$-409]mmm\-yy"/>
    <numFmt numFmtId="168" formatCode="0%"/>
    <numFmt numFmtId="169" formatCode="0.00000"/>
    <numFmt numFmtId="170" formatCode="#,##0.0000_ "/>
    <numFmt numFmtId="171" formatCode="#,##0.00000_ "/>
    <numFmt numFmtId="172" formatCode="#,##0_ "/>
    <numFmt numFmtId="173" formatCode="0.0_ "/>
    <numFmt numFmtId="174" formatCode="0.0000_ "/>
    <numFmt numFmtId="175" formatCode="0_ "/>
    <numFmt numFmtId="176" formatCode="0.000"/>
    <numFmt numFmtId="177" formatCode="0.0000"/>
    <numFmt numFmtId="178" formatCode="General"/>
    <numFmt numFmtId="179" formatCode="0.000_);[RED]\(0.000\)"/>
    <numFmt numFmtId="180" formatCode="0.000_ "/>
    <numFmt numFmtId="181" formatCode="0.000000"/>
    <numFmt numFmtId="182" formatCode="0.00000_);[RED]\(0.00000\)"/>
    <numFmt numFmtId="183" formatCode="0.00%"/>
    <numFmt numFmtId="184" formatCode="\$#,##0"/>
  </numFmts>
  <fonts count="21">
    <font>
      <sz val="11"/>
      <name val="돋움"/>
      <family val="3"/>
      <charset val="129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  <font>
      <sz val="10"/>
      <name val="Arial"/>
      <family val="2"/>
    </font>
    <font>
      <b val="true"/>
      <sz val="10"/>
      <color rgb="FFFFFFFF"/>
      <name val="Arial"/>
      <family val="2"/>
    </font>
    <font>
      <sz val="10"/>
      <color rgb="FFFFFFFF"/>
      <name val="Arial"/>
      <family val="2"/>
    </font>
    <font>
      <sz val="10"/>
      <color rgb="FF0000FF"/>
      <name val="Arial"/>
      <family val="2"/>
    </font>
    <font>
      <u val="single"/>
      <sz val="10"/>
      <color rgb="FF0000FF"/>
      <name val="Arial"/>
      <family val="2"/>
    </font>
    <font>
      <u val="single"/>
      <sz val="11"/>
      <color rgb="FF0000FF"/>
      <name val="돋움"/>
      <family val="3"/>
      <charset val="129"/>
    </font>
    <font>
      <i val="true"/>
      <sz val="10"/>
      <name val="Arial"/>
      <family val="2"/>
    </font>
    <font>
      <sz val="9"/>
      <color rgb="FF000000"/>
      <name val="굴림"/>
      <family val="3"/>
      <charset val="129"/>
    </font>
    <font>
      <sz val="10"/>
      <color rgb="FF000000"/>
      <name val="Times New Roman"/>
      <family val="2"/>
    </font>
    <font>
      <sz val="8.75"/>
      <color rgb="FF000000"/>
      <name val="Times New Roman"/>
      <family val="2"/>
    </font>
    <font>
      <sz val="8.05"/>
      <color rgb="FF000000"/>
      <name val="Times New Roman"/>
      <family val="2"/>
    </font>
    <font>
      <b val="true"/>
      <sz val="10"/>
      <name val="Arial"/>
      <family val="2"/>
    </font>
    <font>
      <vertAlign val="superscript"/>
      <sz val="10"/>
      <name val="Arial"/>
      <family val="2"/>
    </font>
    <font>
      <sz val="8.25"/>
      <color rgb="FF000000"/>
      <name val="Arial"/>
      <family val="2"/>
    </font>
    <font>
      <sz val="8"/>
      <color rgb="FF000000"/>
      <name val="Arial"/>
      <family val="2"/>
    </font>
    <font>
      <sz val="7.55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333333"/>
        <bgColor rgb="FF333300"/>
      </patternFill>
    </fill>
    <fill>
      <patternFill patternType="solid">
        <fgColor rgb="FF666699"/>
        <bgColor rgb="FF808080"/>
      </patternFill>
    </fill>
    <fill>
      <patternFill patternType="solid">
        <fgColor rgb="FFFFFFFF"/>
        <bgColor rgb="FFFFFFCC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3300"/>
      </patternFill>
    </fill>
    <fill>
      <patternFill patternType="solid">
        <fgColor rgb="FFC0C0C0"/>
        <bgColor rgb="FFCCCCFF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8" fontId="0" fillId="0" borderId="0" applyFont="true" applyBorder="false" applyAlignment="false" applyProtection="false"/>
    <xf numFmtId="164" fontId="10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9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1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4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5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5" fillId="6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6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5" fillId="0" borderId="0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5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21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5" borderId="0" xfId="21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7" borderId="9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7" borderId="9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5" fillId="0" borderId="0" xfId="21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5" fillId="0" borderId="0" xfId="21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5" fillId="6" borderId="0" xfId="21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5" fillId="0" borderId="0" xfId="21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5" fillId="0" borderId="0" xfId="21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5" fillId="0" borderId="0" xfId="21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1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5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6" fontId="5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7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6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8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9" fontId="5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9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80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81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2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80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1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8" fontId="5" fillId="6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5" fillId="0" borderId="8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7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5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9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9" xfId="21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표준_Ch_08_Mortgage-Backed Securities_0503" xfId="21"/>
    <cellStyle name="*unknown*" xfId="20" builtinId="8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000" spc="-1" strike="noStrike">
                <a:solidFill>
                  <a:srgbClr val="000000"/>
                </a:solidFill>
                <a:latin typeface="Times New Roman"/>
              </a:defRPr>
            </a:pPr>
            <a:r>
              <a:rPr b="0" sz="1000" spc="-1" strike="noStrike">
                <a:solidFill>
                  <a:srgbClr val="000000"/>
                </a:solidFill>
                <a:latin typeface="Times New Roman"/>
              </a:rPr>
              <a:t>Level payments in mortgage loans</a:t>
            </a:r>
          </a:p>
        </c:rich>
      </c:tx>
      <c:layout>
        <c:manualLayout>
          <c:xMode val="edge"/>
          <c:yMode val="edge"/>
          <c:x val="0.317722056948576"/>
          <c:y val="0.0772876412686839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440288992775181"/>
          <c:y val="0.170373070847005"/>
          <c:w val="0.933276668083298"/>
          <c:h val="0.64272694130514"/>
        </c:manualLayout>
      </c:layout>
      <c:scatterChart>
        <c:scatterStyle val="lineMarker"/>
        <c:varyColors val="0"/>
        <c:ser>
          <c:idx val="0"/>
          <c:order val="0"/>
          <c:tx>
            <c:strRef>
              <c:f>numex!$A$41</c:f>
              <c:strCache>
                <c:ptCount val="1"/>
                <c:pt idx="0">
                  <c:v>Interest</c:v>
                </c:pt>
              </c:strCache>
            </c:strRef>
          </c:tx>
          <c:spPr>
            <a:solidFill>
              <a:srgbClr val="000080"/>
            </a:solidFill>
            <a:ln w="12600">
              <a:solidFill>
                <a:srgbClr val="000080"/>
              </a:solidFill>
              <a:round/>
            </a:ln>
          </c:spPr>
          <c:marker>
            <c:symbol val="diamond"/>
            <c:size val="5"/>
            <c:spPr>
              <a:solidFill>
                <a:srgbClr val="00008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DejaVu San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numex!$D$35:$W$35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numex!$D$41:$W$41</c:f>
              <c:numCache>
                <c:formatCode>#,##0.00000_ </c:formatCode>
                <c:ptCount val="20"/>
                <c:pt idx="0">
                  <c:v>5</c:v>
                </c:pt>
                <c:pt idx="1">
                  <c:v>4.84878706404654</c:v>
                </c:pt>
                <c:pt idx="2">
                  <c:v>4.69001348129541</c:v>
                </c:pt>
                <c:pt idx="3">
                  <c:v>4.52330121940673</c:v>
                </c:pt>
                <c:pt idx="4">
                  <c:v>4.34825334442361</c:v>
                </c:pt>
                <c:pt idx="5">
                  <c:v>4.16445307569133</c:v>
                </c:pt>
                <c:pt idx="6">
                  <c:v>3.97146279352244</c:v>
                </c:pt>
                <c:pt idx="7">
                  <c:v>3.76882299724511</c:v>
                </c:pt>
                <c:pt idx="8">
                  <c:v>3.5560512111539</c:v>
                </c:pt>
                <c:pt idx="9">
                  <c:v>3.33264083575814</c:v>
                </c:pt>
                <c:pt idx="10">
                  <c:v>3.09805994159259</c:v>
                </c:pt>
                <c:pt idx="11">
                  <c:v>2.85175000271877</c:v>
                </c:pt>
                <c:pt idx="12">
                  <c:v>2.59312456690125</c:v>
                </c:pt>
                <c:pt idx="13">
                  <c:v>2.32156785929285</c:v>
                </c:pt>
                <c:pt idx="14">
                  <c:v>2.03643331630404</c:v>
                </c:pt>
                <c:pt idx="15">
                  <c:v>1.73704204616579</c:v>
                </c:pt>
                <c:pt idx="16">
                  <c:v>1.42268121252062</c:v>
                </c:pt>
                <c:pt idx="17">
                  <c:v>1.09260233719319</c:v>
                </c:pt>
                <c:pt idx="18">
                  <c:v>0.746019518099397</c:v>
                </c:pt>
                <c:pt idx="19">
                  <c:v>0.382107558050911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numex!$A$42</c:f>
              <c:strCache>
                <c:ptCount val="1"/>
                <c:pt idx="0">
                  <c:v>Principal</c:v>
                </c:pt>
              </c:strCache>
            </c:strRef>
          </c:tx>
          <c:spPr>
            <a:solidFill>
              <a:srgbClr val="ff00ff"/>
            </a:solidFill>
            <a:ln w="12600">
              <a:solidFill>
                <a:srgbClr val="ff00ff"/>
              </a:solidFill>
              <a:round/>
            </a:ln>
          </c:spPr>
          <c:marker>
            <c:symbol val="square"/>
            <c:size val="5"/>
            <c:spPr>
              <a:solidFill>
                <a:srgbClr val="ff00f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DejaVu San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yVal>
            <c:numRef>
              <c:f>numex!$D$42:$W$42</c:f>
              <c:numCache>
                <c:formatCode>#,##0.00000_ </c:formatCode>
                <c:ptCount val="20"/>
                <c:pt idx="0">
                  <c:v>3.02425871906913</c:v>
                </c:pt>
                <c:pt idx="1">
                  <c:v>3.17547165502259</c:v>
                </c:pt>
                <c:pt idx="2">
                  <c:v>3.33424523777372</c:v>
                </c:pt>
                <c:pt idx="3">
                  <c:v>3.5009574996624</c:v>
                </c:pt>
                <c:pt idx="4">
                  <c:v>3.67600537464552</c:v>
                </c:pt>
                <c:pt idx="5">
                  <c:v>3.8598056433778</c:v>
                </c:pt>
                <c:pt idx="6">
                  <c:v>4.05279592554669</c:v>
                </c:pt>
                <c:pt idx="7">
                  <c:v>4.25543572182402</c:v>
                </c:pt>
                <c:pt idx="8">
                  <c:v>4.46820750791522</c:v>
                </c:pt>
                <c:pt idx="9">
                  <c:v>4.69161788331099</c:v>
                </c:pt>
                <c:pt idx="10">
                  <c:v>4.92619877747653</c:v>
                </c:pt>
                <c:pt idx="11">
                  <c:v>5.17250871635036</c:v>
                </c:pt>
                <c:pt idx="12">
                  <c:v>5.43113415216788</c:v>
                </c:pt>
                <c:pt idx="13">
                  <c:v>5.70269085977627</c:v>
                </c:pt>
                <c:pt idx="14">
                  <c:v>5.98782540276509</c:v>
                </c:pt>
                <c:pt idx="15">
                  <c:v>6.28721667290334</c:v>
                </c:pt>
                <c:pt idx="16">
                  <c:v>6.60157750654851</c:v>
                </c:pt>
                <c:pt idx="17">
                  <c:v>6.93165638187593</c:v>
                </c:pt>
                <c:pt idx="18">
                  <c:v>7.27823920096973</c:v>
                </c:pt>
                <c:pt idx="19">
                  <c:v>7.64215116101822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numex!$A$39</c:f>
              <c:strCache>
                <c:ptCount val="1"/>
                <c:pt idx="0">
                  <c:v>Level Payment</c:v>
                </c:pt>
              </c:strCache>
            </c:strRef>
          </c:tx>
          <c:spPr>
            <a:solidFill>
              <a:srgbClr val="ffff00"/>
            </a:solidFill>
            <a:ln w="12600">
              <a:solidFill>
                <a:srgbClr val="ffff00"/>
              </a:solidFill>
              <a:round/>
            </a:ln>
          </c:spPr>
          <c:marker>
            <c:symbol val="triangle"/>
            <c:size val="5"/>
            <c:spPr>
              <a:solidFill>
                <a:srgbClr val="ffff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DejaVu San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yVal>
            <c:numRef>
              <c:f>numex!$D$43:$W$43</c:f>
              <c:numCache>
                <c:formatCode>#,##0.00000_ </c:formatCode>
                <c:ptCount val="20"/>
                <c:pt idx="0">
                  <c:v>8.02425871906913</c:v>
                </c:pt>
                <c:pt idx="1">
                  <c:v>8.02425871906913</c:v>
                </c:pt>
                <c:pt idx="2">
                  <c:v>8.02425871906913</c:v>
                </c:pt>
                <c:pt idx="3">
                  <c:v>8.02425871906913</c:v>
                </c:pt>
                <c:pt idx="4">
                  <c:v>8.02425871906913</c:v>
                </c:pt>
                <c:pt idx="5">
                  <c:v>8.02425871906913</c:v>
                </c:pt>
                <c:pt idx="6">
                  <c:v>8.02425871906913</c:v>
                </c:pt>
                <c:pt idx="7">
                  <c:v>8.02425871906913</c:v>
                </c:pt>
                <c:pt idx="8">
                  <c:v>8.02425871906913</c:v>
                </c:pt>
                <c:pt idx="9">
                  <c:v>8.02425871906913</c:v>
                </c:pt>
                <c:pt idx="10">
                  <c:v>8.02425871906913</c:v>
                </c:pt>
                <c:pt idx="11">
                  <c:v>8.02425871906913</c:v>
                </c:pt>
                <c:pt idx="12">
                  <c:v>8.02425871906913</c:v>
                </c:pt>
                <c:pt idx="13">
                  <c:v>8.02425871906913</c:v>
                </c:pt>
                <c:pt idx="14">
                  <c:v>8.02425871906913</c:v>
                </c:pt>
                <c:pt idx="15">
                  <c:v>8.02425871906913</c:v>
                </c:pt>
                <c:pt idx="16">
                  <c:v>8.02425871906913</c:v>
                </c:pt>
                <c:pt idx="17">
                  <c:v>8.02425871906913</c:v>
                </c:pt>
                <c:pt idx="18">
                  <c:v>8.02425871906913</c:v>
                </c:pt>
                <c:pt idx="19">
                  <c:v>8.02425871906913</c:v>
                </c:pt>
              </c:numCache>
            </c:numRef>
          </c:yVal>
          <c:smooth val="1"/>
        </c:ser>
        <c:axId val="66883992"/>
        <c:axId val="87685426"/>
      </c:scatterChart>
      <c:valAx>
        <c:axId val="66883992"/>
        <c:scaling>
          <c:orientation val="minMax"/>
          <c:max val="21"/>
          <c:min val="0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875" spc="-1" strike="noStrike">
                    <a:solidFill>
                      <a:srgbClr val="000000"/>
                    </a:solidFill>
                    <a:latin typeface="Times New Roman"/>
                  </a:defRPr>
                </a:pPr>
                <a:r>
                  <a:rPr b="0" sz="875" spc="-1" strike="noStrike">
                    <a:solidFill>
                      <a:srgbClr val="000000"/>
                    </a:solidFill>
                    <a:latin typeface="Times New Roman"/>
                  </a:rPr>
                  <a:t>Time period</a:t>
                </a:r>
              </a:p>
            </c:rich>
          </c:tx>
          <c:layout>
            <c:manualLayout>
              <c:xMode val="edge"/>
              <c:yMode val="edge"/>
              <c:x val="0.445218869528262"/>
              <c:y val="0.823307813829141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b="0" sz="875" spc="-1" strike="noStrike">
                <a:solidFill>
                  <a:srgbClr val="000000"/>
                </a:solidFill>
                <a:latin typeface="Times New Roman"/>
              </a:defRPr>
            </a:pPr>
          </a:p>
        </c:txPr>
        <c:crossAx val="87685426"/>
        <c:crossesAt val="0"/>
        <c:crossBetween val="midCat"/>
      </c:valAx>
      <c:valAx>
        <c:axId val="87685426"/>
        <c:scaling>
          <c:orientation val="minMax"/>
          <c:max val="8.5"/>
          <c:min val="0"/>
        </c:scaling>
        <c:delete val="0"/>
        <c:axPos val="l"/>
        <c:numFmt formatCode="#,##0_ " sourceLinked="0"/>
        <c:majorTickMark val="cross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b="0" sz="875" spc="-1" strike="noStrike">
                <a:solidFill>
                  <a:srgbClr val="000000"/>
                </a:solidFill>
                <a:latin typeface="Times New Roman"/>
              </a:defRPr>
            </a:pPr>
          </a:p>
        </c:txPr>
        <c:crossAx val="66883992"/>
        <c:crossesAt val="0"/>
        <c:crossBetween val="midCat"/>
      </c:valAx>
      <c:spPr>
        <a:solidFill>
          <a:srgbClr val="c0c0c0"/>
        </a:solidFill>
        <a:ln w="12600">
          <a:solidFill>
            <a:srgbClr val="808080"/>
          </a:solidFill>
          <a:round/>
        </a:ln>
      </c:spPr>
    </c:plotArea>
    <c:legend>
      <c:legendPos val="r"/>
      <c:layout>
        <c:manualLayout>
          <c:xMode val="edge"/>
          <c:yMode val="edge"/>
          <c:x val="0.210369740756481"/>
          <c:y val="0.888807874589865"/>
          <c:w val="0.596685082872928"/>
          <c:h val="0.0729128691213999"/>
        </c:manualLayout>
      </c:layout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b="0" sz="805" spc="-1" strike="noStrike">
              <a:solidFill>
                <a:srgbClr val="000000"/>
              </a:solidFill>
              <a:latin typeface="Times New Roman"/>
            </a:defRPr>
          </a:pPr>
        </a:p>
      </c:txPr>
    </c:legend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825" spc="-1" strike="noStrike">
                <a:solidFill>
                  <a:srgbClr val="000000"/>
                </a:solidFill>
                <a:latin typeface="Arial"/>
              </a:defRPr>
            </a:pPr>
            <a:r>
              <a:rPr b="0" sz="825" spc="-1" strike="noStrike">
                <a:solidFill>
                  <a:srgbClr val="000000"/>
                </a:solidFill>
                <a:latin typeface="Arial"/>
              </a:rPr>
              <a:t>Comparision of PSA Rates</a:t>
            </a:r>
          </a:p>
        </c:rich>
      </c:tx>
      <c:layout>
        <c:manualLayout>
          <c:xMode val="edge"/>
          <c:yMode val="edge"/>
          <c:x val="0.353564118536976"/>
          <c:y val="0.0525728629200948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958440864999555"/>
          <c:y val="0.177241667828755"/>
          <c:w val="0.825576221411409"/>
          <c:h val="0.620415562683029"/>
        </c:manualLayout>
      </c:layout>
      <c:lineChart>
        <c:grouping val="standard"/>
        <c:varyColors val="0"/>
        <c:ser>
          <c:idx val="0"/>
          <c:order val="0"/>
          <c:tx>
            <c:strRef>
              <c:f>"100%PSA"</c:f>
              <c:strCache>
                <c:ptCount val="1"/>
                <c:pt idx="0">
                  <c:v>100%PSA</c:v>
                </c:pt>
              </c:strCache>
            </c:strRef>
          </c:tx>
          <c:spPr>
            <a:solidFill>
              <a:srgbClr val="ff00ff"/>
            </a:solidFill>
            <a:ln w="12600">
              <a:solidFill>
                <a:srgbClr val="ff00ff"/>
              </a:solidFill>
              <a:round/>
            </a:ln>
          </c:spPr>
          <c:marker>
            <c:symbol val="square"/>
            <c:size val="5"/>
            <c:spPr>
              <a:solidFill>
                <a:srgbClr val="ff00f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DejaVu San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ex3!$C$39:$I$39</c:f>
              <c:multiLvlStrCache>
                <c:ptCount val="1"/>
                <c:lvl>
                  <c:pt idx="0">
                    <c:v>60</c:v>
                  </c:pt>
                </c:lvl>
                <c:lvl>
                  <c:pt idx="0">
                    <c:v>50</c:v>
                  </c:pt>
                </c:lvl>
                <c:lvl>
                  <c:pt idx="0">
                    <c:v>40</c:v>
                  </c:pt>
                </c:lvl>
                <c:lvl>
                  <c:pt idx="0">
                    <c:v>30</c:v>
                  </c:pt>
                </c:lvl>
                <c:lvl>
                  <c:pt idx="0">
                    <c:v>20</c:v>
                  </c:pt>
                </c:lvl>
                <c:lvl>
                  <c:pt idx="0">
                    <c:v>10</c:v>
                  </c:pt>
                </c:lvl>
                <c:lvl>
                  <c:pt idx="0">
                    <c:v>0</c:v>
                  </c:pt>
                </c:lvl>
              </c:multiLvlStrCache>
            </c:multiLvlStrRef>
          </c:cat>
          <c:val>
            <c:numRef>
              <c:f>ex3!$C$40:$I$40</c:f>
              <c:numCache>
                <c:formatCode>General</c:formatCode>
                <c:ptCount val="7"/>
                <c:pt idx="0">
                  <c:v>0.02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0.06</c:v>
                </c:pt>
                <c:pt idx="5">
                  <c:v>0.06</c:v>
                </c:pt>
                <c:pt idx="6">
                  <c:v>0.06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"150%PSA"</c:f>
              <c:strCache>
                <c:ptCount val="1"/>
                <c:pt idx="0">
                  <c:v>150%PSA</c:v>
                </c:pt>
              </c:strCache>
            </c:strRef>
          </c:tx>
          <c:spPr>
            <a:solidFill>
              <a:srgbClr val="ffff00"/>
            </a:solidFill>
            <a:ln w="12600">
              <a:solidFill>
                <a:srgbClr val="ffff00"/>
              </a:solidFill>
              <a:round/>
            </a:ln>
          </c:spPr>
          <c:marker>
            <c:symbol val="triangle"/>
            <c:size val="5"/>
            <c:spPr>
              <a:solidFill>
                <a:srgbClr val="ffff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DejaVu San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ex3!$C$39:$I$39</c:f>
              <c:multiLvlStrCache>
                <c:ptCount val="1"/>
                <c:lvl>
                  <c:pt idx="0">
                    <c:v>60</c:v>
                  </c:pt>
                </c:lvl>
                <c:lvl>
                  <c:pt idx="0">
                    <c:v>50</c:v>
                  </c:pt>
                </c:lvl>
                <c:lvl>
                  <c:pt idx="0">
                    <c:v>40</c:v>
                  </c:pt>
                </c:lvl>
                <c:lvl>
                  <c:pt idx="0">
                    <c:v>30</c:v>
                  </c:pt>
                </c:lvl>
                <c:lvl>
                  <c:pt idx="0">
                    <c:v>20</c:v>
                  </c:pt>
                </c:lvl>
                <c:lvl>
                  <c:pt idx="0">
                    <c:v>10</c:v>
                  </c:pt>
                </c:lvl>
                <c:lvl>
                  <c:pt idx="0">
                    <c:v>0</c:v>
                  </c:pt>
                </c:lvl>
              </c:multiLvlStrCache>
            </c:multiLvlStrRef>
          </c:cat>
          <c:val>
            <c:numRef>
              <c:f>ex3!$C$41:$I$41</c:f>
              <c:numCache>
                <c:formatCode>General</c:formatCode>
                <c:ptCount val="7"/>
                <c:pt idx="0">
                  <c:v>0.02</c:v>
                </c:pt>
                <c:pt idx="1">
                  <c:v>0.03</c:v>
                </c:pt>
                <c:pt idx="2">
                  <c:v>0.06</c:v>
                </c:pt>
                <c:pt idx="3">
                  <c:v>0.09</c:v>
                </c:pt>
                <c:pt idx="4">
                  <c:v>0.09</c:v>
                </c:pt>
                <c:pt idx="5">
                  <c:v>0.09</c:v>
                </c:pt>
                <c:pt idx="6">
                  <c:v>0.09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"200%PSA"</c:f>
              <c:strCache>
                <c:ptCount val="1"/>
                <c:pt idx="0">
                  <c:v>200%PSA</c:v>
                </c:pt>
              </c:strCache>
            </c:strRef>
          </c:tx>
          <c:spPr>
            <a:solidFill>
              <a:srgbClr val="00ffff"/>
            </a:solidFill>
            <a:ln w="12600">
              <a:solidFill>
                <a:srgbClr val="00ffff"/>
              </a:solidFill>
              <a:round/>
            </a:ln>
          </c:spPr>
          <c:marker>
            <c:symbol val="x"/>
            <c:size val="5"/>
            <c:spPr>
              <a:solidFill>
                <a:srgbClr val="00fff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DejaVu San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ex3!$C$39:$I$39</c:f>
              <c:multiLvlStrCache>
                <c:ptCount val="1"/>
                <c:lvl>
                  <c:pt idx="0">
                    <c:v>60</c:v>
                  </c:pt>
                </c:lvl>
                <c:lvl>
                  <c:pt idx="0">
                    <c:v>50</c:v>
                  </c:pt>
                </c:lvl>
                <c:lvl>
                  <c:pt idx="0">
                    <c:v>40</c:v>
                  </c:pt>
                </c:lvl>
                <c:lvl>
                  <c:pt idx="0">
                    <c:v>30</c:v>
                  </c:pt>
                </c:lvl>
                <c:lvl>
                  <c:pt idx="0">
                    <c:v>20</c:v>
                  </c:pt>
                </c:lvl>
                <c:lvl>
                  <c:pt idx="0">
                    <c:v>10</c:v>
                  </c:pt>
                </c:lvl>
                <c:lvl>
                  <c:pt idx="0">
                    <c:v>0</c:v>
                  </c:pt>
                </c:lvl>
              </c:multiLvlStrCache>
            </c:multiLvlStrRef>
          </c:cat>
          <c:val>
            <c:numRef>
              <c:f>ex3!$C$42:$I$42</c:f>
              <c:numCache>
                <c:formatCode>General</c:formatCode>
                <c:ptCount val="7"/>
                <c:pt idx="0">
                  <c:v>0.02</c:v>
                </c:pt>
                <c:pt idx="1">
                  <c:v>0.04</c:v>
                </c:pt>
                <c:pt idx="2">
                  <c:v>0.08</c:v>
                </c:pt>
                <c:pt idx="3">
                  <c:v>0.12</c:v>
                </c:pt>
                <c:pt idx="4">
                  <c:v>0.12</c:v>
                </c:pt>
                <c:pt idx="5">
                  <c:v>0.12</c:v>
                </c:pt>
                <c:pt idx="6">
                  <c:v>0.12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"400%PSA"</c:f>
              <c:strCache>
                <c:ptCount val="1"/>
                <c:pt idx="0">
                  <c:v>400%PSA</c:v>
                </c:pt>
              </c:strCache>
            </c:strRef>
          </c:tx>
          <c:spPr>
            <a:solidFill>
              <a:srgbClr val="800080"/>
            </a:solidFill>
            <a:ln w="12600">
              <a:solidFill>
                <a:srgbClr val="800080"/>
              </a:solidFill>
              <a:round/>
            </a:ln>
          </c:spPr>
          <c:marker>
            <c:symbol val="square"/>
            <c:size val="5"/>
            <c:spPr>
              <a:solidFill>
                <a:srgbClr val="80008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DejaVu San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ex3!$C$39:$I$39</c:f>
              <c:multiLvlStrCache>
                <c:ptCount val="1"/>
                <c:lvl>
                  <c:pt idx="0">
                    <c:v>60</c:v>
                  </c:pt>
                </c:lvl>
                <c:lvl>
                  <c:pt idx="0">
                    <c:v>50</c:v>
                  </c:pt>
                </c:lvl>
                <c:lvl>
                  <c:pt idx="0">
                    <c:v>40</c:v>
                  </c:pt>
                </c:lvl>
                <c:lvl>
                  <c:pt idx="0">
                    <c:v>30</c:v>
                  </c:pt>
                </c:lvl>
                <c:lvl>
                  <c:pt idx="0">
                    <c:v>20</c:v>
                  </c:pt>
                </c:lvl>
                <c:lvl>
                  <c:pt idx="0">
                    <c:v>10</c:v>
                  </c:pt>
                </c:lvl>
                <c:lvl>
                  <c:pt idx="0">
                    <c:v>0</c:v>
                  </c:pt>
                </c:lvl>
              </c:multiLvlStrCache>
            </c:multiLvlStrRef>
          </c:cat>
          <c:val>
            <c:numRef>
              <c:f>ex3!$C$43:$I$43</c:f>
              <c:numCache>
                <c:formatCode>General</c:formatCode>
                <c:ptCount val="7"/>
                <c:pt idx="0">
                  <c:v>0.02</c:v>
                </c:pt>
                <c:pt idx="1">
                  <c:v>0.08</c:v>
                </c:pt>
                <c:pt idx="2">
                  <c:v>0.16</c:v>
                </c:pt>
                <c:pt idx="3">
                  <c:v>0.24</c:v>
                </c:pt>
                <c:pt idx="4">
                  <c:v>0.24</c:v>
                </c:pt>
                <c:pt idx="5">
                  <c:v>0.24</c:v>
                </c:pt>
                <c:pt idx="6">
                  <c:v>0.24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6872186"/>
        <c:axId val="50568207"/>
      </c:lineChart>
      <c:catAx>
        <c:axId val="7687218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825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825" spc="-1" strike="noStrike">
                    <a:solidFill>
                      <a:srgbClr val="000000"/>
                    </a:solidFill>
                    <a:latin typeface="Arial"/>
                  </a:rPr>
                  <a:t>Month</a:t>
                </a:r>
              </a:p>
            </c:rich>
          </c:tx>
          <c:layout>
            <c:manualLayout>
              <c:xMode val="edge"/>
              <c:yMode val="edge"/>
              <c:x val="0.503693156536442"/>
              <c:y val="0.801840747455027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50568207"/>
        <c:crossesAt val="0"/>
        <c:auto val="1"/>
        <c:lblAlgn val="ctr"/>
        <c:lblOffset val="100"/>
        <c:noMultiLvlLbl val="0"/>
      </c:catAx>
      <c:valAx>
        <c:axId val="50568207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0" sz="825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825" spc="-1" strike="noStrike">
                    <a:solidFill>
                      <a:srgbClr val="000000"/>
                    </a:solidFill>
                    <a:latin typeface="Arial"/>
                  </a:rPr>
                  <a:t>CPR</a:t>
                </a:r>
              </a:p>
            </c:rich>
          </c:tx>
          <c:layout>
            <c:manualLayout>
              <c:xMode val="edge"/>
              <c:yMode val="edge"/>
              <c:x val="0.0222479309424224"/>
              <c:y val="0.315158276391019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76872186"/>
        <c:crossesAt val="1"/>
        <c:crossBetween val="midCat"/>
      </c:valAx>
      <c:spPr>
        <a:solidFill>
          <a:srgbClr val="c0c0c0"/>
        </a:solidFill>
        <a:ln w="12600">
          <a:solidFill>
            <a:srgbClr val="808080"/>
          </a:solidFill>
          <a:round/>
        </a:ln>
      </c:spPr>
    </c:plotArea>
    <c:legend>
      <c:legendPos val="r"/>
      <c:layout>
        <c:manualLayout>
          <c:xMode val="edge"/>
          <c:yMode val="edge"/>
          <c:x val="0.0958440864999555"/>
          <c:y val="0.865848556686655"/>
          <c:w val="0.803684257364065"/>
          <c:h val="0.0786501185329801"/>
        </c:manualLayout>
      </c:layout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b="0" sz="755" spc="-1" strike="noStrike">
              <a:solidFill>
                <a:srgbClr val="00000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000" spc="-1" strike="noStrike">
                <a:solidFill>
                  <a:srgbClr val="000000"/>
                </a:solidFill>
                <a:latin typeface="Times New Roman"/>
              </a:defRPr>
            </a:pPr>
            <a:r>
              <a:rPr b="0" sz="1000" spc="-1" strike="noStrike">
                <a:solidFill>
                  <a:srgbClr val="000000"/>
                </a:solidFill>
                <a:latin typeface="Times New Roman"/>
              </a:rPr>
              <a:t>Level payments in mortgage loans</a:t>
            </a:r>
          </a:p>
        </c:rich>
      </c:tx>
      <c:layout>
        <c:manualLayout>
          <c:xMode val="edge"/>
          <c:yMode val="edge"/>
          <c:x val="0.317722056948576"/>
          <c:y val="0.0772876412686839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440288992775181"/>
          <c:y val="0.170373070847005"/>
          <c:w val="0.933276668083298"/>
          <c:h val="0.64272694130514"/>
        </c:manualLayout>
      </c:layout>
      <c:scatterChart>
        <c:scatterStyle val="lineMarker"/>
        <c:varyColors val="0"/>
        <c:ser>
          <c:idx val="0"/>
          <c:order val="0"/>
          <c:tx>
            <c:strRef>
              <c:f>furtherex1!$A$43</c:f>
              <c:strCache>
                <c:ptCount val="1"/>
                <c:pt idx="0">
                  <c:v>Interest</c:v>
                </c:pt>
              </c:strCache>
            </c:strRef>
          </c:tx>
          <c:spPr>
            <a:solidFill>
              <a:srgbClr val="000080"/>
            </a:solidFill>
            <a:ln w="12600">
              <a:solidFill>
                <a:srgbClr val="000080"/>
              </a:solidFill>
              <a:round/>
            </a:ln>
          </c:spPr>
          <c:marker>
            <c:symbol val="diamond"/>
            <c:size val="5"/>
            <c:spPr>
              <a:solidFill>
                <a:srgbClr val="00008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DejaVu San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furtherex1!$D$37:$W$37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furtherex1!$D$43:$W$43</c:f>
              <c:numCache>
                <c:formatCode>#,##0.00000_ </c:formatCode>
                <c:ptCount val="20"/>
                <c:pt idx="0">
                  <c:v>4.84747221775608</c:v>
                </c:pt>
                <c:pt idx="1">
                  <c:v>4.70087211655614</c:v>
                </c:pt>
                <c:pt idx="2">
                  <c:v>4.5469420102962</c:v>
                </c:pt>
                <c:pt idx="3">
                  <c:v>4.38531539872326</c:v>
                </c:pt>
                <c:pt idx="4">
                  <c:v>4.21560745657168</c:v>
                </c:pt>
                <c:pt idx="5">
                  <c:v>4.03741411731252</c:v>
                </c:pt>
                <c:pt idx="6">
                  <c:v>3.8503111110904</c:v>
                </c:pt>
                <c:pt idx="7">
                  <c:v>3.65385295455717</c:v>
                </c:pt>
                <c:pt idx="8">
                  <c:v>3.44757189019728</c:v>
                </c:pt>
                <c:pt idx="9">
                  <c:v>3.2309767726194</c:v>
                </c:pt>
                <c:pt idx="10">
                  <c:v>3.00355189916263</c:v>
                </c:pt>
                <c:pt idx="11">
                  <c:v>2.76475578203301</c:v>
                </c:pt>
                <c:pt idx="12">
                  <c:v>2.51401985904691</c:v>
                </c:pt>
                <c:pt idx="13">
                  <c:v>2.25074713991151</c:v>
                </c:pt>
                <c:pt idx="14">
                  <c:v>1.97431078481934</c:v>
                </c:pt>
                <c:pt idx="15">
                  <c:v>1.68405261197257</c:v>
                </c:pt>
                <c:pt idx="16">
                  <c:v>1.37928153048345</c:v>
                </c:pt>
                <c:pt idx="17">
                  <c:v>1.05927189491987</c:v>
                </c:pt>
                <c:pt idx="18">
                  <c:v>0.723261777578122</c:v>
                </c:pt>
                <c:pt idx="19">
                  <c:v>0.370451154369282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furtherex1!$A$44</c:f>
              <c:strCache>
                <c:ptCount val="1"/>
                <c:pt idx="0">
                  <c:v>Principal</c:v>
                </c:pt>
              </c:strCache>
            </c:strRef>
          </c:tx>
          <c:spPr>
            <a:solidFill>
              <a:srgbClr val="ff00ff"/>
            </a:solidFill>
            <a:ln w="12600">
              <a:solidFill>
                <a:srgbClr val="ff00ff"/>
              </a:solidFill>
              <a:round/>
            </a:ln>
          </c:spPr>
          <c:marker>
            <c:symbol val="square"/>
            <c:size val="5"/>
            <c:spPr>
              <a:solidFill>
                <a:srgbClr val="ff00f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DejaVu San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yVal>
            <c:numRef>
              <c:f>furtherex1!$D$44:$W$44</c:f>
              <c:numCache>
                <c:formatCode>#,##0.00000_ </c:formatCode>
                <c:ptCount val="20"/>
                <c:pt idx="0">
                  <c:v>2.93200202399884</c:v>
                </c:pt>
                <c:pt idx="1">
                  <c:v>3.07860212519878</c:v>
                </c:pt>
                <c:pt idx="2">
                  <c:v>3.23253223145872</c:v>
                </c:pt>
                <c:pt idx="3">
                  <c:v>3.39415884303166</c:v>
                </c:pt>
                <c:pt idx="4">
                  <c:v>3.56386678518324</c:v>
                </c:pt>
                <c:pt idx="5">
                  <c:v>3.7420601244424</c:v>
                </c:pt>
                <c:pt idx="6">
                  <c:v>3.92916313066452</c:v>
                </c:pt>
                <c:pt idx="7">
                  <c:v>4.12562128719775</c:v>
                </c:pt>
                <c:pt idx="8">
                  <c:v>4.33190235155764</c:v>
                </c:pt>
                <c:pt idx="9">
                  <c:v>4.54849746913552</c:v>
                </c:pt>
                <c:pt idx="10">
                  <c:v>4.7759223425923</c:v>
                </c:pt>
                <c:pt idx="11">
                  <c:v>5.01471845972191</c:v>
                </c:pt>
                <c:pt idx="12">
                  <c:v>5.26545438270801</c:v>
                </c:pt>
                <c:pt idx="13">
                  <c:v>5.52872710184341</c:v>
                </c:pt>
                <c:pt idx="14">
                  <c:v>5.80516345693558</c:v>
                </c:pt>
                <c:pt idx="15">
                  <c:v>6.09542162978236</c:v>
                </c:pt>
                <c:pt idx="16">
                  <c:v>6.40019271127147</c:v>
                </c:pt>
                <c:pt idx="17">
                  <c:v>6.72020234683505</c:v>
                </c:pt>
                <c:pt idx="18">
                  <c:v>7.0562124641768</c:v>
                </c:pt>
                <c:pt idx="19">
                  <c:v>7.40902308738564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furtherex1!$A$41</c:f>
              <c:strCache>
                <c:ptCount val="1"/>
                <c:pt idx="0">
                  <c:v>Level Payment</c:v>
                </c:pt>
              </c:strCache>
            </c:strRef>
          </c:tx>
          <c:spPr>
            <a:solidFill>
              <a:srgbClr val="ffff00"/>
            </a:solidFill>
            <a:ln w="12600">
              <a:solidFill>
                <a:srgbClr val="ffff00"/>
              </a:solidFill>
              <a:round/>
            </a:ln>
          </c:spPr>
          <c:marker>
            <c:symbol val="triangle"/>
            <c:size val="5"/>
            <c:spPr>
              <a:solidFill>
                <a:srgbClr val="ffff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DejaVu San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yVal>
            <c:numRef>
              <c:f>furtherex1!$D$45:$W$45</c:f>
              <c:numCache>
                <c:formatCode>#,##0.00000_ </c:formatCode>
                <c:ptCount val="20"/>
                <c:pt idx="0">
                  <c:v>7.77947424175492</c:v>
                </c:pt>
                <c:pt idx="1">
                  <c:v>7.77947424175492</c:v>
                </c:pt>
                <c:pt idx="2">
                  <c:v>7.77947424175492</c:v>
                </c:pt>
                <c:pt idx="3">
                  <c:v>7.77947424175492</c:v>
                </c:pt>
                <c:pt idx="4">
                  <c:v>7.77947424175492</c:v>
                </c:pt>
                <c:pt idx="5">
                  <c:v>7.77947424175492</c:v>
                </c:pt>
                <c:pt idx="6">
                  <c:v>7.77947424175492</c:v>
                </c:pt>
                <c:pt idx="7">
                  <c:v>7.77947424175492</c:v>
                </c:pt>
                <c:pt idx="8">
                  <c:v>7.77947424175492</c:v>
                </c:pt>
                <c:pt idx="9">
                  <c:v>7.77947424175492</c:v>
                </c:pt>
                <c:pt idx="10">
                  <c:v>7.77947424175492</c:v>
                </c:pt>
                <c:pt idx="11">
                  <c:v>7.77947424175492</c:v>
                </c:pt>
                <c:pt idx="12">
                  <c:v>7.77947424175492</c:v>
                </c:pt>
                <c:pt idx="13">
                  <c:v>7.77947424175492</c:v>
                </c:pt>
                <c:pt idx="14">
                  <c:v>7.77947424175492</c:v>
                </c:pt>
                <c:pt idx="15">
                  <c:v>7.77947424175492</c:v>
                </c:pt>
                <c:pt idx="16">
                  <c:v>7.77947424175492</c:v>
                </c:pt>
                <c:pt idx="17">
                  <c:v>7.77947424175492</c:v>
                </c:pt>
                <c:pt idx="18">
                  <c:v>7.77947424175492</c:v>
                </c:pt>
                <c:pt idx="19">
                  <c:v>7.77947424175492</c:v>
                </c:pt>
              </c:numCache>
            </c:numRef>
          </c:yVal>
          <c:smooth val="1"/>
        </c:ser>
        <c:axId val="81903309"/>
        <c:axId val="35109159"/>
      </c:scatterChart>
      <c:valAx>
        <c:axId val="81903309"/>
        <c:scaling>
          <c:orientation val="minMax"/>
          <c:max val="21"/>
          <c:min val="0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875" spc="-1" strike="noStrike">
                    <a:solidFill>
                      <a:srgbClr val="000000"/>
                    </a:solidFill>
                    <a:latin typeface="Times New Roman"/>
                  </a:defRPr>
                </a:pPr>
                <a:r>
                  <a:rPr b="0" sz="875" spc="-1" strike="noStrike">
                    <a:solidFill>
                      <a:srgbClr val="000000"/>
                    </a:solidFill>
                    <a:latin typeface="Times New Roman"/>
                  </a:rPr>
                  <a:t>Time period</a:t>
                </a:r>
              </a:p>
            </c:rich>
          </c:tx>
          <c:layout>
            <c:manualLayout>
              <c:xMode val="edge"/>
              <c:yMode val="edge"/>
              <c:x val="0.449723756906077"/>
              <c:y val="0.823307813829141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b="0" sz="875" spc="-1" strike="noStrike">
                <a:solidFill>
                  <a:srgbClr val="000000"/>
                </a:solidFill>
                <a:latin typeface="Times New Roman"/>
              </a:defRPr>
            </a:pPr>
          </a:p>
        </c:txPr>
        <c:crossAx val="35109159"/>
        <c:crossesAt val="0"/>
        <c:crossBetween val="midCat"/>
      </c:valAx>
      <c:valAx>
        <c:axId val="35109159"/>
        <c:scaling>
          <c:orientation val="minMax"/>
          <c:max val="8.5"/>
          <c:min val="0"/>
        </c:scaling>
        <c:delete val="0"/>
        <c:axPos val="l"/>
        <c:numFmt formatCode="\$#,##0" sourceLinked="0"/>
        <c:majorTickMark val="cross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b="0" sz="875" spc="-1" strike="noStrike">
                <a:solidFill>
                  <a:srgbClr val="000000"/>
                </a:solidFill>
                <a:latin typeface="Times New Roman"/>
              </a:defRPr>
            </a:pPr>
          </a:p>
        </c:txPr>
        <c:crossAx val="81903309"/>
        <c:crossesAt val="0"/>
        <c:crossBetween val="midCat"/>
      </c:valAx>
      <c:spPr>
        <a:solidFill>
          <a:srgbClr val="c0c0c0"/>
        </a:solidFill>
        <a:ln w="12600">
          <a:solidFill>
            <a:srgbClr val="808080"/>
          </a:solidFill>
          <a:round/>
        </a:ln>
      </c:spPr>
    </c:plotArea>
    <c:legend>
      <c:legendPos val="r"/>
      <c:layout>
        <c:manualLayout>
          <c:xMode val="edge"/>
          <c:yMode val="edge"/>
          <c:x val="0.214874628134297"/>
          <c:y val="0.888807874589865"/>
          <c:w val="0.596685082872928"/>
          <c:h val="0.0729128691213999"/>
        </c:manualLayout>
      </c:layout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b="0" sz="805" spc="-1" strike="noStrike">
              <a:solidFill>
                <a:srgbClr val="000000"/>
              </a:solidFill>
              <a:latin typeface="Times New Roman"/>
            </a:defRPr>
          </a:pPr>
        </a:p>
      </c:txPr>
    </c:legend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19440</xdr:colOff>
      <xdr:row>44</xdr:row>
      <xdr:rowOff>19080</xdr:rowOff>
    </xdr:from>
    <xdr:to>
      <xdr:col>8</xdr:col>
      <xdr:colOff>701640</xdr:colOff>
      <xdr:row>62</xdr:row>
      <xdr:rowOff>66600</xdr:rowOff>
    </xdr:to>
    <xdr:graphicFrame>
      <xdr:nvGraphicFramePr>
        <xdr:cNvPr id="0" name="Chart 1"/>
        <xdr:cNvGraphicFramePr/>
      </xdr:nvGraphicFramePr>
      <xdr:xfrm>
        <a:off x="3257280" y="7143840"/>
        <a:ext cx="4235040" cy="2962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384840</xdr:colOff>
      <xdr:row>33</xdr:row>
      <xdr:rowOff>0</xdr:rowOff>
    </xdr:from>
    <xdr:to>
      <xdr:col>17</xdr:col>
      <xdr:colOff>10080</xdr:colOff>
      <xdr:row>48</xdr:row>
      <xdr:rowOff>152280</xdr:rowOff>
    </xdr:to>
    <xdr:graphicFrame>
      <xdr:nvGraphicFramePr>
        <xdr:cNvPr id="1" name="Chart 1"/>
        <xdr:cNvGraphicFramePr/>
      </xdr:nvGraphicFramePr>
      <xdr:xfrm>
        <a:off x="6621120" y="5343480"/>
        <a:ext cx="4044960" cy="2581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19440</xdr:colOff>
      <xdr:row>46</xdr:row>
      <xdr:rowOff>19080</xdr:rowOff>
    </xdr:from>
    <xdr:to>
      <xdr:col>8</xdr:col>
      <xdr:colOff>701640</xdr:colOff>
      <xdr:row>64</xdr:row>
      <xdr:rowOff>66240</xdr:rowOff>
    </xdr:to>
    <xdr:graphicFrame>
      <xdr:nvGraphicFramePr>
        <xdr:cNvPr id="2" name="Chart 1"/>
        <xdr:cNvGraphicFramePr/>
      </xdr:nvGraphicFramePr>
      <xdr:xfrm>
        <a:off x="2753640" y="7467480"/>
        <a:ext cx="4235040" cy="2962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mailto:leesb@hanyang.ac.kr" TargetMode="External"/><Relationship Id="rId3" Type="http://schemas.openxmlformats.org/officeDocument/2006/relationships/hyperlink" Target="http://www.federalreserve.gov/" TargetMode="Externa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mailto:leesb@hanyang.ac.kr" TargetMode="External"/><Relationship Id="rId3" Type="http://schemas.openxmlformats.org/officeDocument/2006/relationships/hyperlink" Target="http://www.federalreserve.gov/" TargetMode="Externa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2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hyperlink" Target="mailto:leesb@hanyang.ac.kr" TargetMode="External"/><Relationship Id="rId3" Type="http://schemas.openxmlformats.org/officeDocument/2006/relationships/hyperlink" Target="http://www.federalreserve.gov/" TargetMode="Externa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3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hyperlink" Target="mailto:leesb@hanyang.ac.kr" TargetMode="External"/><Relationship Id="rId3" Type="http://schemas.openxmlformats.org/officeDocument/2006/relationships/hyperlink" Target="http://www.federalreserve.gov/" TargetMode="Externa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4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hyperlink" Target="mailto:leesb@hanyang.ac.kr" TargetMode="External"/><Relationship Id="rId3" Type="http://schemas.openxmlformats.org/officeDocument/2006/relationships/hyperlink" Target="http://www.federalreserve.gov/" TargetMode="External"/><Relationship Id="rId4" Type="http://schemas.openxmlformats.org/officeDocument/2006/relationships/drawing" Target="../drawings/drawing5.xml"/><Relationship Id="rId5" Type="http://schemas.openxmlformats.org/officeDocument/2006/relationships/vmlDrawing" Target="../drawings/vmlDrawing5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hyperlink" Target="mailto:leesb@hanyang.ac.kr" TargetMode="External"/><Relationship Id="rId3" Type="http://schemas.openxmlformats.org/officeDocument/2006/relationships/hyperlink" Target="http://www.federalreserve.gov/" TargetMode="External"/><Relationship Id="rId4" Type="http://schemas.openxmlformats.org/officeDocument/2006/relationships/drawing" Target="../drawings/drawing6.xml"/><Relationship Id="rId5" Type="http://schemas.openxmlformats.org/officeDocument/2006/relationships/vmlDrawing" Target="../drawings/vmlDrawing6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F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99609375" defaultRowHeight="12.75" zeroHeight="false" outlineLevelRow="0" outlineLevelCol="0"/>
  <cols>
    <col collapsed="false" customWidth="true" hidden="false" outlineLevel="0" max="1" min="1" style="1" width="20.43"/>
    <col collapsed="false" customWidth="false" hidden="false" outlineLevel="0" max="257" min="2" style="1" width="7.99"/>
  </cols>
  <sheetData>
    <row r="1" s="3" customFormat="true" ht="12.75" hidden="false" customHeight="false" outlineLevel="0" collapsed="false">
      <c r="A1" s="2" t="s">
        <v>0</v>
      </c>
      <c r="D1" s="3" t="s">
        <v>1</v>
      </c>
      <c r="K1" s="3" t="s">
        <v>2</v>
      </c>
    </row>
    <row r="2" s="5" customFormat="true" ht="12.75" hidden="false" customHeight="true" outlineLevel="0" collapsed="false">
      <c r="A2" s="4" t="s">
        <v>3</v>
      </c>
      <c r="B2" s="5" t="s">
        <v>4</v>
      </c>
      <c r="C2" s="6" t="s">
        <v>5</v>
      </c>
      <c r="D2" s="7" t="n">
        <v>100302</v>
      </c>
      <c r="E2" s="8"/>
    </row>
    <row r="3" s="11" customFormat="true" ht="12.75" hidden="false" customHeight="true" outlineLevel="0" collapsed="false">
      <c r="A3" s="4" t="s">
        <v>6</v>
      </c>
      <c r="B3" s="9" t="n">
        <v>1</v>
      </c>
      <c r="C3" s="4" t="s">
        <v>7</v>
      </c>
      <c r="D3" s="10" t="s">
        <v>8</v>
      </c>
      <c r="F3" s="12" t="s">
        <v>9</v>
      </c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4"/>
    </row>
    <row r="4" s="11" customFormat="true" ht="12.75" hidden="false" customHeight="true" outlineLevel="0" collapsed="false">
      <c r="A4" s="4" t="s">
        <v>10</v>
      </c>
      <c r="B4" s="15" t="n">
        <v>37774</v>
      </c>
      <c r="F4" s="16" t="s">
        <v>11</v>
      </c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8"/>
    </row>
    <row r="5" s="11" customFormat="true" ht="12.75" hidden="false" customHeight="true" outlineLevel="0" collapsed="false">
      <c r="A5" s="4" t="s">
        <v>12</v>
      </c>
      <c r="B5" s="10" t="s">
        <v>13</v>
      </c>
      <c r="C5" s="10"/>
      <c r="D5" s="10"/>
      <c r="E5" s="10"/>
      <c r="F5" s="19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8"/>
    </row>
    <row r="6" s="11" customFormat="true" ht="12.75" hidden="false" customHeight="true" outlineLevel="0" collapsed="false">
      <c r="A6" s="4" t="s">
        <v>14</v>
      </c>
      <c r="B6" s="10" t="s">
        <v>15</v>
      </c>
      <c r="C6" s="10"/>
      <c r="D6" s="10"/>
      <c r="F6" s="20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2"/>
    </row>
    <row r="7" s="11" customFormat="true" ht="12.75" hidden="false" customHeight="true" outlineLevel="0" collapsed="false">
      <c r="A7" s="4" t="s">
        <v>16</v>
      </c>
      <c r="B7" s="23" t="s">
        <v>17</v>
      </c>
      <c r="C7" s="23"/>
      <c r="D7" s="23"/>
      <c r="E7" s="24"/>
      <c r="F7" s="25" t="s">
        <v>18</v>
      </c>
      <c r="G7" s="26" t="s">
        <v>19</v>
      </c>
      <c r="H7" s="27"/>
      <c r="I7" s="27"/>
      <c r="J7" s="27"/>
      <c r="K7" s="27"/>
      <c r="L7" s="27"/>
      <c r="M7" s="27"/>
      <c r="N7" s="28"/>
      <c r="O7" s="28"/>
      <c r="P7" s="28"/>
      <c r="Q7" s="28"/>
      <c r="R7" s="28"/>
      <c r="S7" s="29"/>
    </row>
    <row r="8" s="11" customFormat="true" ht="12.75" hidden="false" customHeight="true" outlineLevel="0" collapsed="false">
      <c r="A8" s="4" t="s">
        <v>20</v>
      </c>
      <c r="B8" s="30" t="n">
        <v>37952</v>
      </c>
      <c r="C8" s="24"/>
      <c r="D8" s="24"/>
      <c r="E8" s="24"/>
      <c r="F8" s="31" t="s">
        <v>21</v>
      </c>
      <c r="G8" s="32" t="s">
        <v>22</v>
      </c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4"/>
    </row>
    <row r="9" s="11" customFormat="true" ht="12.75" hidden="false" customHeight="true" outlineLevel="0" collapsed="false">
      <c r="A9" s="4" t="s">
        <v>23</v>
      </c>
      <c r="B9" s="24" t="s">
        <v>24</v>
      </c>
      <c r="C9" s="24"/>
      <c r="D9" s="24"/>
      <c r="E9" s="24"/>
      <c r="F9" s="24"/>
      <c r="G9" s="35"/>
      <c r="H9" s="5"/>
      <c r="I9" s="5"/>
      <c r="J9" s="5"/>
      <c r="K9" s="5"/>
      <c r="L9" s="5"/>
      <c r="M9" s="5"/>
      <c r="N9" s="5"/>
      <c r="O9" s="5"/>
      <c r="P9" s="5"/>
      <c r="Q9" s="5"/>
      <c r="R9" s="5"/>
    </row>
    <row r="10" s="11" customFormat="true" ht="12.75" hidden="false" customHeight="true" outlineLevel="0" collapsed="false">
      <c r="A10" s="4"/>
      <c r="C10" s="24"/>
      <c r="D10" s="24"/>
      <c r="E10" s="24"/>
      <c r="F10" s="24"/>
      <c r="G10" s="3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</row>
    <row r="11" s="39" customFormat="true" ht="12.75" hidden="false" customHeight="true" outlineLevel="0" collapsed="false">
      <c r="A11" s="36" t="s">
        <v>25</v>
      </c>
      <c r="B11" s="37"/>
      <c r="C11" s="37"/>
      <c r="D11" s="37"/>
      <c r="E11" s="37"/>
      <c r="F11" s="37"/>
      <c r="G11" s="38"/>
    </row>
    <row r="12" s="11" customFormat="true" ht="12.75" hidden="false" customHeight="true" outlineLevel="0" collapsed="false">
      <c r="A12" s="40"/>
      <c r="B12" s="41"/>
      <c r="C12" s="41"/>
      <c r="D12" s="41"/>
      <c r="E12" s="41"/>
      <c r="F12" s="41"/>
      <c r="G12" s="35"/>
      <c r="H12" s="5"/>
      <c r="I12" s="5"/>
      <c r="J12" s="5"/>
      <c r="K12" s="5"/>
      <c r="L12" s="5"/>
      <c r="M12" s="5"/>
      <c r="N12" s="5"/>
      <c r="P12" s="5"/>
      <c r="Q12" s="5"/>
      <c r="R12" s="5"/>
    </row>
    <row r="13" s="11" customFormat="true" ht="12.75" hidden="false" customHeight="true" outlineLevel="0" collapsed="false">
      <c r="A13" s="42" t="s">
        <v>26</v>
      </c>
      <c r="B13" s="43" t="s">
        <v>27</v>
      </c>
      <c r="C13" s="43"/>
      <c r="D13" s="43"/>
      <c r="E13" s="43"/>
      <c r="F13" s="44"/>
      <c r="G13" s="5"/>
      <c r="H13" s="5"/>
      <c r="I13" s="5"/>
      <c r="J13" s="5"/>
      <c r="K13" s="5"/>
      <c r="L13" s="5"/>
      <c r="M13" s="5"/>
      <c r="N13" s="5"/>
      <c r="P13" s="5"/>
      <c r="Q13" s="5"/>
      <c r="R13" s="5"/>
    </row>
    <row r="14" s="11" customFormat="true" ht="12.75" hidden="false" customHeight="true" outlineLevel="0" collapsed="false">
      <c r="A14" s="45" t="s">
        <v>28</v>
      </c>
      <c r="B14" s="41" t="s">
        <v>29</v>
      </c>
      <c r="C14" s="41"/>
      <c r="D14" s="41"/>
      <c r="E14" s="41"/>
      <c r="F14" s="46"/>
      <c r="P14" s="5"/>
      <c r="Q14" s="5"/>
      <c r="R14" s="5"/>
    </row>
    <row r="15" s="11" customFormat="true" ht="12.75" hidden="false" customHeight="true" outlineLevel="0" collapsed="false">
      <c r="A15" s="45" t="s">
        <v>30</v>
      </c>
      <c r="B15" s="41" t="s">
        <v>31</v>
      </c>
      <c r="C15" s="41"/>
      <c r="D15" s="41"/>
      <c r="E15" s="41"/>
      <c r="F15" s="46"/>
      <c r="P15" s="5"/>
      <c r="Q15" s="5"/>
      <c r="R15" s="5"/>
    </row>
    <row r="16" s="11" customFormat="true" ht="12.75" hidden="false" customHeight="true" outlineLevel="0" collapsed="false">
      <c r="A16" s="45" t="s">
        <v>32</v>
      </c>
      <c r="B16" s="41" t="s">
        <v>33</v>
      </c>
      <c r="C16" s="41"/>
      <c r="D16" s="41"/>
      <c r="E16" s="41"/>
      <c r="F16" s="46"/>
      <c r="H16" s="47"/>
      <c r="I16" s="47"/>
      <c r="P16" s="5"/>
      <c r="Q16" s="5"/>
      <c r="R16" s="5"/>
    </row>
    <row r="17" s="11" customFormat="true" ht="12.75" hidden="false" customHeight="true" outlineLevel="0" collapsed="false">
      <c r="A17" s="45" t="s">
        <v>34</v>
      </c>
      <c r="B17" s="41" t="s">
        <v>35</v>
      </c>
      <c r="C17" s="41"/>
      <c r="D17" s="41"/>
      <c r="E17" s="41"/>
      <c r="F17" s="46"/>
      <c r="H17" s="48"/>
      <c r="I17" s="47"/>
      <c r="P17" s="5"/>
      <c r="Q17" s="5"/>
      <c r="R17" s="5"/>
    </row>
    <row r="18" s="11" customFormat="true" ht="12.75" hidden="false" customHeight="true" outlineLevel="0" collapsed="false">
      <c r="A18" s="45" t="s">
        <v>36</v>
      </c>
      <c r="B18" s="49" t="s">
        <v>37</v>
      </c>
      <c r="C18" s="41"/>
      <c r="D18" s="41"/>
      <c r="E18" s="41"/>
      <c r="F18" s="46"/>
      <c r="P18" s="5"/>
      <c r="Q18" s="5"/>
      <c r="R18" s="5"/>
    </row>
    <row r="19" s="11" customFormat="true" ht="12.75" hidden="false" customHeight="true" outlineLevel="0" collapsed="false">
      <c r="A19" s="50" t="s">
        <v>38</v>
      </c>
      <c r="B19" s="51" t="s">
        <v>39</v>
      </c>
      <c r="C19" s="51"/>
      <c r="D19" s="51"/>
      <c r="E19" s="51"/>
      <c r="F19" s="52"/>
      <c r="P19" s="5"/>
      <c r="Q19" s="5"/>
      <c r="R19" s="5"/>
    </row>
    <row r="20" s="11" customFormat="true" ht="12.75" hidden="false" customHeight="true" outlineLevel="0" collapsed="false">
      <c r="A20" s="53" t="s">
        <v>40</v>
      </c>
      <c r="B20" s="41" t="s">
        <v>41</v>
      </c>
      <c r="C20" s="41"/>
      <c r="D20" s="41"/>
      <c r="E20" s="41"/>
      <c r="F20" s="41"/>
      <c r="P20" s="5"/>
      <c r="Q20" s="5"/>
      <c r="R20" s="5"/>
    </row>
    <row r="21" s="11" customFormat="true" ht="12.75" hidden="false" customHeight="true" outlineLevel="0" collapsed="false">
      <c r="A21" s="4"/>
      <c r="B21" s="30"/>
      <c r="C21" s="30"/>
      <c r="D21" s="30"/>
      <c r="E21" s="30"/>
      <c r="L21" s="5"/>
      <c r="M21" s="5"/>
      <c r="N21" s="5"/>
      <c r="O21" s="5"/>
      <c r="P21" s="5"/>
      <c r="Q21" s="5"/>
      <c r="R21" s="5"/>
    </row>
    <row r="22" s="39" customFormat="true" ht="12.75" hidden="false" customHeight="true" outlineLevel="0" collapsed="false">
      <c r="A22" s="36" t="s">
        <v>42</v>
      </c>
      <c r="B22" s="54"/>
      <c r="C22" s="54"/>
      <c r="D22" s="54"/>
      <c r="E22" s="54"/>
    </row>
    <row r="23" s="11" customFormat="true" ht="12.75" hidden="false" customHeight="true" outlineLevel="0" collapsed="false">
      <c r="A23" s="4" t="s">
        <v>43</v>
      </c>
      <c r="B23" s="55" t="s">
        <v>44</v>
      </c>
      <c r="C23" s="30"/>
      <c r="D23" s="30"/>
      <c r="E23" s="30"/>
      <c r="L23" s="5"/>
      <c r="M23" s="5"/>
      <c r="N23" s="5"/>
      <c r="O23" s="5"/>
      <c r="P23" s="5"/>
      <c r="Q23" s="5"/>
      <c r="R23" s="5"/>
    </row>
    <row r="24" s="5" customFormat="true" ht="12.75" hidden="false" customHeight="true" outlineLevel="0" collapsed="false">
      <c r="A24" s="4" t="s">
        <v>45</v>
      </c>
      <c r="B24" s="56" t="s">
        <v>46</v>
      </c>
      <c r="C24" s="30"/>
      <c r="D24" s="30"/>
      <c r="E24" s="30"/>
      <c r="F24" s="11"/>
      <c r="G24" s="11"/>
    </row>
    <row r="25" s="5" customFormat="true" ht="12.75" hidden="false" customHeight="false" outlineLevel="0" collapsed="false">
      <c r="A25" s="4"/>
      <c r="B25" s="23"/>
      <c r="C25" s="11"/>
      <c r="D25" s="11"/>
      <c r="E25" s="11"/>
      <c r="F25" s="11"/>
      <c r="G25" s="11"/>
    </row>
    <row r="26" s="3" customFormat="true" ht="12.75" hidden="false" customHeight="false" outlineLevel="0" collapsed="false">
      <c r="A26" s="2" t="s">
        <v>47</v>
      </c>
      <c r="B26" s="2"/>
      <c r="N26" s="57"/>
      <c r="O26" s="57"/>
      <c r="P26" s="57"/>
      <c r="Q26" s="57"/>
      <c r="R26" s="57"/>
      <c r="S26" s="57"/>
      <c r="T26" s="57"/>
    </row>
    <row r="28" customFormat="false" ht="12.75" hidden="false" customHeight="false" outlineLevel="0" collapsed="false">
      <c r="B28" s="58" t="s">
        <v>48</v>
      </c>
      <c r="C28" s="58"/>
      <c r="D28" s="58"/>
      <c r="E28" s="59" t="n">
        <v>0.1</v>
      </c>
    </row>
    <row r="29" customFormat="false" ht="12.75" hidden="false" customHeight="false" outlineLevel="0" collapsed="false">
      <c r="B29" s="58" t="s">
        <v>49</v>
      </c>
      <c r="C29" s="58"/>
      <c r="D29" s="58"/>
      <c r="E29" s="59" t="n">
        <v>0.1</v>
      </c>
      <c r="G29" s="1" t="s">
        <v>50</v>
      </c>
      <c r="H29" s="60" t="s">
        <v>51</v>
      </c>
    </row>
    <row r="30" customFormat="false" ht="12.75" hidden="false" customHeight="false" outlineLevel="0" collapsed="false">
      <c r="B30" s="58" t="s">
        <v>52</v>
      </c>
      <c r="C30" s="58"/>
      <c r="D30" s="58"/>
      <c r="E30" s="61" t="n">
        <v>10</v>
      </c>
    </row>
    <row r="31" customFormat="false" ht="12.75" hidden="false" customHeight="false" outlineLevel="0" collapsed="false">
      <c r="B31" s="58" t="s">
        <v>53</v>
      </c>
      <c r="C31" s="58"/>
      <c r="D31" s="58"/>
      <c r="E31" s="61" t="n">
        <v>100</v>
      </c>
    </row>
    <row r="33" s="63" customFormat="true" ht="12.75" hidden="false" customHeight="false" outlineLevel="0" collapsed="false">
      <c r="A33" s="62" t="s">
        <v>54</v>
      </c>
    </row>
    <row r="35" customFormat="false" ht="12.75" hidden="false" customHeight="false" outlineLevel="0" collapsed="false">
      <c r="A35" s="1" t="s">
        <v>55</v>
      </c>
      <c r="D35" s="1" t="n">
        <v>1</v>
      </c>
      <c r="E35" s="1" t="n">
        <v>2</v>
      </c>
      <c r="F35" s="1" t="n">
        <v>3</v>
      </c>
      <c r="G35" s="1" t="n">
        <v>4</v>
      </c>
      <c r="H35" s="1" t="n">
        <v>5</v>
      </c>
      <c r="I35" s="1" t="n">
        <v>6</v>
      </c>
      <c r="J35" s="1" t="n">
        <v>7</v>
      </c>
      <c r="K35" s="1" t="n">
        <v>8</v>
      </c>
      <c r="L35" s="1" t="n">
        <v>9</v>
      </c>
      <c r="M35" s="1" t="n">
        <v>10</v>
      </c>
      <c r="N35" s="1" t="n">
        <v>11</v>
      </c>
      <c r="O35" s="1" t="n">
        <v>12</v>
      </c>
      <c r="P35" s="1" t="n">
        <v>13</v>
      </c>
      <c r="Q35" s="1" t="n">
        <v>14</v>
      </c>
      <c r="R35" s="1" t="n">
        <v>15</v>
      </c>
      <c r="S35" s="1" t="n">
        <v>16</v>
      </c>
      <c r="T35" s="1" t="n">
        <v>17</v>
      </c>
      <c r="U35" s="1" t="n">
        <v>18</v>
      </c>
      <c r="V35" s="1" t="n">
        <v>19</v>
      </c>
      <c r="W35" s="1" t="n">
        <v>20</v>
      </c>
    </row>
    <row r="36" customFormat="false" ht="12.75" hidden="false" customHeight="false" outlineLevel="0" collapsed="false">
      <c r="A36" s="1" t="s">
        <v>56</v>
      </c>
      <c r="D36" s="1" t="n">
        <v>5</v>
      </c>
      <c r="E36" s="1" t="n">
        <v>5</v>
      </c>
      <c r="F36" s="1" t="n">
        <v>5</v>
      </c>
      <c r="G36" s="1" t="n">
        <v>5</v>
      </c>
      <c r="H36" s="1" t="n">
        <v>5</v>
      </c>
      <c r="I36" s="1" t="n">
        <v>5</v>
      </c>
      <c r="J36" s="1" t="n">
        <v>5</v>
      </c>
      <c r="K36" s="1" t="n">
        <v>5</v>
      </c>
      <c r="L36" s="1" t="n">
        <v>5</v>
      </c>
      <c r="M36" s="1" t="n">
        <v>5</v>
      </c>
      <c r="N36" s="1" t="n">
        <v>5</v>
      </c>
      <c r="O36" s="1" t="n">
        <v>5</v>
      </c>
      <c r="P36" s="1" t="n">
        <v>5</v>
      </c>
      <c r="Q36" s="1" t="n">
        <v>5</v>
      </c>
      <c r="R36" s="1" t="n">
        <v>5</v>
      </c>
      <c r="S36" s="1" t="n">
        <v>5</v>
      </c>
      <c r="T36" s="1" t="n">
        <v>5</v>
      </c>
      <c r="U36" s="1" t="n">
        <v>5</v>
      </c>
      <c r="V36" s="1" t="n">
        <v>5</v>
      </c>
      <c r="W36" s="1" t="n">
        <v>105</v>
      </c>
    </row>
    <row r="37" customFormat="false" ht="12.75" hidden="false" customHeight="false" outlineLevel="0" collapsed="false">
      <c r="A37" s="1" t="s">
        <v>57</v>
      </c>
      <c r="D37" s="64" t="n">
        <f aca="false">D36/(1+$E$28/2)^D35</f>
        <v>4.76190476190476</v>
      </c>
      <c r="E37" s="64" t="n">
        <f aca="false">E36/(1+$E$28/2)^E35</f>
        <v>4.53514739229025</v>
      </c>
      <c r="F37" s="64" t="n">
        <f aca="false">F36/(1+$E$28/2)^F35</f>
        <v>4.31918799265738</v>
      </c>
      <c r="G37" s="64" t="n">
        <f aca="false">G36/(1+$E$28/2)^G35</f>
        <v>4.11351237395941</v>
      </c>
      <c r="H37" s="64" t="n">
        <f aca="false">H36/(1+$E$28/2)^H35</f>
        <v>3.91763083234229</v>
      </c>
      <c r="I37" s="64" t="n">
        <f aca="false">I36/(1+$E$28/2)^I35</f>
        <v>3.73107698318314</v>
      </c>
      <c r="J37" s="64" t="n">
        <f aca="false">J36/(1+$E$28/2)^J35</f>
        <v>3.55340665065061</v>
      </c>
      <c r="K37" s="64" t="n">
        <f aca="false">K36/(1+$E$28/2)^K35</f>
        <v>3.38419681014343</v>
      </c>
      <c r="L37" s="64" t="n">
        <f aca="false">L36/(1+$E$28/2)^L35</f>
        <v>3.22304458108899</v>
      </c>
      <c r="M37" s="64" t="n">
        <f aca="false">M36/(1+$E$28/2)^M35</f>
        <v>3.0695662677038</v>
      </c>
      <c r="N37" s="64" t="n">
        <f aca="false">N36/(1+$E$28/2)^N35</f>
        <v>2.92339644543219</v>
      </c>
      <c r="O37" s="64" t="n">
        <f aca="false">O36/(1+$E$28/2)^O35</f>
        <v>2.7841870908878</v>
      </c>
      <c r="P37" s="64" t="n">
        <f aca="false">P36/(1+$E$28/2)^P35</f>
        <v>2.65160675322647</v>
      </c>
      <c r="Q37" s="64" t="n">
        <f aca="false">Q36/(1+$E$28/2)^Q35</f>
        <v>2.52533976497759</v>
      </c>
      <c r="R37" s="64" t="n">
        <f aca="false">R36/(1+$E$28/2)^R35</f>
        <v>2.40508549045485</v>
      </c>
      <c r="S37" s="64" t="n">
        <f aca="false">S36/(1+$E$28/2)^S35</f>
        <v>2.290557609957</v>
      </c>
      <c r="T37" s="64" t="n">
        <f aca="false">T36/(1+$E$28/2)^T35</f>
        <v>2.18148343805429</v>
      </c>
      <c r="U37" s="64" t="n">
        <f aca="false">U36/(1+$E$28/2)^U35</f>
        <v>2.07760327433742</v>
      </c>
      <c r="V37" s="64" t="n">
        <f aca="false">V36/(1+$E$28/2)^V35</f>
        <v>1.97866978508325</v>
      </c>
      <c r="W37" s="64" t="n">
        <f aca="false">W36/(1+$E$28/2)^W35</f>
        <v>39.573395701665</v>
      </c>
      <c r="X37" s="64"/>
      <c r="Y37" s="64"/>
      <c r="Z37" s="64"/>
      <c r="AA37" s="64"/>
      <c r="AB37" s="64"/>
      <c r="AC37" s="64"/>
      <c r="AD37" s="64"/>
      <c r="AE37" s="64"/>
      <c r="AF37" s="64"/>
      <c r="AG37" s="64"/>
      <c r="AH37" s="64"/>
      <c r="AI37" s="64"/>
      <c r="AJ37" s="64"/>
      <c r="AK37" s="64"/>
      <c r="AL37" s="64"/>
      <c r="AM37" s="64"/>
      <c r="AN37" s="64"/>
      <c r="AO37" s="64"/>
    </row>
    <row r="38" customFormat="false" ht="12.75" hidden="false" customHeight="false" outlineLevel="0" collapsed="false">
      <c r="D38" s="64"/>
      <c r="E38" s="64"/>
      <c r="F38" s="64"/>
      <c r="G38" s="64"/>
      <c r="H38" s="64"/>
      <c r="I38" s="64"/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  <c r="AD38" s="64"/>
      <c r="AE38" s="64"/>
      <c r="AF38" s="64"/>
      <c r="AG38" s="64"/>
      <c r="AH38" s="64"/>
      <c r="AI38" s="64"/>
      <c r="AJ38" s="64"/>
      <c r="AK38" s="64"/>
      <c r="AL38" s="64"/>
      <c r="AM38" s="64"/>
      <c r="AN38" s="64"/>
      <c r="AO38" s="64"/>
    </row>
    <row r="39" s="65" customFormat="true" ht="12.75" hidden="false" customHeight="false" outlineLevel="0" collapsed="false">
      <c r="A39" s="65" t="s">
        <v>58</v>
      </c>
      <c r="C39" s="66" t="n">
        <f aca="false">PMT(E29/2,20,-D40)</f>
        <v>8.02425871906913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="65" customFormat="true" ht="12.75" hidden="false" customHeight="false" outlineLevel="0" collapsed="false">
      <c r="A40" s="1" t="s">
        <v>59</v>
      </c>
      <c r="D40" s="67" t="n">
        <f aca="false">SUM(D37:$W$37)</f>
        <v>99.9999999999999</v>
      </c>
      <c r="E40" s="68" t="n">
        <f aca="false">D40-D42</f>
        <v>96.9757412809308</v>
      </c>
      <c r="F40" s="68" t="n">
        <f aca="false">E40-E42</f>
        <v>93.8002696259082</v>
      </c>
      <c r="G40" s="68" t="n">
        <f aca="false">F40-F42</f>
        <v>90.4660243881345</v>
      </c>
      <c r="H40" s="68" t="n">
        <f aca="false">G40-G42</f>
        <v>86.9650668884721</v>
      </c>
      <c r="I40" s="68" t="n">
        <f aca="false">H40-H42</f>
        <v>83.2890615138266</v>
      </c>
      <c r="J40" s="68" t="n">
        <f aca="false">I40-I42</f>
        <v>79.4292558704488</v>
      </c>
      <c r="K40" s="68" t="n">
        <f aca="false">J40-J42</f>
        <v>75.3764599449021</v>
      </c>
      <c r="L40" s="68" t="n">
        <f aca="false">K40-K42</f>
        <v>71.1210242230781</v>
      </c>
      <c r="M40" s="68" t="n">
        <f aca="false">L40-L42</f>
        <v>66.6528167151628</v>
      </c>
      <c r="N40" s="68" t="n">
        <f aca="false">M40-M42</f>
        <v>61.9611988318519</v>
      </c>
      <c r="O40" s="68" t="n">
        <f aca="false">N40-N42</f>
        <v>57.0350000543753</v>
      </c>
      <c r="P40" s="68" t="n">
        <f aca="false">O40-O42</f>
        <v>51.862491338025</v>
      </c>
      <c r="Q40" s="68" t="n">
        <f aca="false">P40-P42</f>
        <v>46.4313571858571</v>
      </c>
      <c r="R40" s="68" t="n">
        <f aca="false">Q40-Q42</f>
        <v>40.7286663260808</v>
      </c>
      <c r="S40" s="68" t="n">
        <f aca="false">R40-R42</f>
        <v>34.7408409233157</v>
      </c>
      <c r="T40" s="68" t="n">
        <f aca="false">S40-S42</f>
        <v>28.4536242504124</v>
      </c>
      <c r="U40" s="68" t="n">
        <f aca="false">T40-T42</f>
        <v>21.8520467438639</v>
      </c>
      <c r="V40" s="68" t="n">
        <f aca="false">U40-U42</f>
        <v>14.9203903619879</v>
      </c>
      <c r="W40" s="68" t="n">
        <f aca="false">V40-V42</f>
        <v>7.64215116101822</v>
      </c>
      <c r="X40" s="68"/>
      <c r="Y40" s="68"/>
      <c r="Z40" s="68"/>
      <c r="AA40" s="68"/>
      <c r="AB40" s="68"/>
      <c r="AC40" s="68"/>
      <c r="AD40" s="68"/>
      <c r="AE40" s="68"/>
      <c r="AF40" s="68"/>
      <c r="AG40" s="68"/>
      <c r="AH40" s="68"/>
      <c r="AI40" s="68"/>
      <c r="AJ40" s="68"/>
      <c r="AK40" s="68"/>
      <c r="AL40" s="68"/>
      <c r="AM40" s="68"/>
      <c r="AN40" s="68"/>
      <c r="AO40" s="68"/>
      <c r="AP40" s="68"/>
      <c r="AQ40" s="68"/>
      <c r="AR40" s="68"/>
      <c r="AS40" s="68"/>
      <c r="AT40" s="68"/>
      <c r="AU40" s="68"/>
      <c r="AV40" s="68"/>
      <c r="AW40" s="68"/>
      <c r="AX40" s="68"/>
      <c r="AY40" s="68"/>
      <c r="AZ40" s="68"/>
      <c r="BA40" s="68"/>
      <c r="BB40" s="68"/>
      <c r="BC40" s="68"/>
      <c r="BD40" s="68"/>
      <c r="BE40" s="68"/>
      <c r="BF40" s="68"/>
    </row>
    <row r="41" s="65" customFormat="true" ht="12.75" hidden="false" customHeight="false" outlineLevel="0" collapsed="false">
      <c r="A41" s="65" t="s">
        <v>60</v>
      </c>
      <c r="D41" s="68" t="n">
        <f aca="false">D40*$E$29/2</f>
        <v>5</v>
      </c>
      <c r="E41" s="68" t="n">
        <f aca="false">E40*$E$29/2</f>
        <v>4.84878706404654</v>
      </c>
      <c r="F41" s="68" t="n">
        <f aca="false">F40*$E$29/2</f>
        <v>4.69001348129541</v>
      </c>
      <c r="G41" s="68" t="n">
        <f aca="false">G40*$E$29/2</f>
        <v>4.52330121940673</v>
      </c>
      <c r="H41" s="68" t="n">
        <f aca="false">H40*$E$29/2</f>
        <v>4.34825334442361</v>
      </c>
      <c r="I41" s="68" t="n">
        <f aca="false">I40*$E$29/2</f>
        <v>4.16445307569133</v>
      </c>
      <c r="J41" s="68" t="n">
        <f aca="false">J40*$E$29/2</f>
        <v>3.97146279352244</v>
      </c>
      <c r="K41" s="68" t="n">
        <f aca="false">K40*$E$29/2</f>
        <v>3.76882299724511</v>
      </c>
      <c r="L41" s="68" t="n">
        <f aca="false">L40*$E$29/2</f>
        <v>3.5560512111539</v>
      </c>
      <c r="M41" s="68" t="n">
        <f aca="false">M40*$E$29/2</f>
        <v>3.33264083575814</v>
      </c>
      <c r="N41" s="68" t="n">
        <f aca="false">N40*$E$29/2</f>
        <v>3.09805994159259</v>
      </c>
      <c r="O41" s="68" t="n">
        <f aca="false">O40*$E$29/2</f>
        <v>2.85175000271877</v>
      </c>
      <c r="P41" s="68" t="n">
        <f aca="false">P40*$E$29/2</f>
        <v>2.59312456690125</v>
      </c>
      <c r="Q41" s="68" t="n">
        <f aca="false">Q40*$E$29/2</f>
        <v>2.32156785929285</v>
      </c>
      <c r="R41" s="68" t="n">
        <f aca="false">R40*$E$29/2</f>
        <v>2.03643331630404</v>
      </c>
      <c r="S41" s="68" t="n">
        <f aca="false">S40*$E$29/2</f>
        <v>1.73704204616579</v>
      </c>
      <c r="T41" s="68" t="n">
        <f aca="false">T40*$E$29/2</f>
        <v>1.42268121252062</v>
      </c>
      <c r="U41" s="68" t="n">
        <f aca="false">U40*$E$29/2</f>
        <v>1.09260233719319</v>
      </c>
      <c r="V41" s="68" t="n">
        <f aca="false">V40*$E$29/2</f>
        <v>0.746019518099397</v>
      </c>
      <c r="W41" s="68" t="n">
        <f aca="false">W40*$E$29/2</f>
        <v>0.382107558050911</v>
      </c>
      <c r="X41" s="68"/>
      <c r="Y41" s="68"/>
      <c r="Z41" s="68"/>
      <c r="AA41" s="68"/>
      <c r="AB41" s="68"/>
      <c r="AC41" s="68"/>
      <c r="AD41" s="68"/>
      <c r="AE41" s="68"/>
      <c r="AF41" s="68"/>
      <c r="AG41" s="68"/>
      <c r="AH41" s="68"/>
      <c r="AI41" s="68"/>
      <c r="AJ41" s="68"/>
      <c r="AK41" s="68"/>
      <c r="AL41" s="68"/>
      <c r="AM41" s="68"/>
      <c r="AN41" s="68"/>
      <c r="AO41" s="68"/>
      <c r="AP41" s="68"/>
      <c r="AQ41" s="68"/>
      <c r="AR41" s="68"/>
      <c r="AS41" s="68"/>
      <c r="AT41" s="68"/>
      <c r="AU41" s="68"/>
      <c r="AV41" s="68"/>
      <c r="AW41" s="68"/>
      <c r="AX41" s="68"/>
      <c r="AY41" s="68"/>
      <c r="AZ41" s="68"/>
      <c r="BA41" s="68"/>
      <c r="BB41" s="68"/>
      <c r="BC41" s="68"/>
      <c r="BD41" s="68"/>
      <c r="BE41" s="68"/>
      <c r="BF41" s="68"/>
    </row>
    <row r="42" s="65" customFormat="true" ht="12.75" hidden="false" customHeight="false" outlineLevel="0" collapsed="false">
      <c r="A42" s="65" t="s">
        <v>61</v>
      </c>
      <c r="D42" s="68" t="n">
        <f aca="false">$C$39-D41</f>
        <v>3.02425871906913</v>
      </c>
      <c r="E42" s="68" t="n">
        <f aca="false">$C$39-E41</f>
        <v>3.17547165502259</v>
      </c>
      <c r="F42" s="68" t="n">
        <f aca="false">$C$39-F41</f>
        <v>3.33424523777372</v>
      </c>
      <c r="G42" s="68" t="n">
        <f aca="false">$C$39-G41</f>
        <v>3.5009574996624</v>
      </c>
      <c r="H42" s="68" t="n">
        <f aca="false">$C$39-H41</f>
        <v>3.67600537464552</v>
      </c>
      <c r="I42" s="68" t="n">
        <f aca="false">$C$39-I41</f>
        <v>3.8598056433778</v>
      </c>
      <c r="J42" s="68" t="n">
        <f aca="false">$C$39-J41</f>
        <v>4.05279592554669</v>
      </c>
      <c r="K42" s="68" t="n">
        <f aca="false">$C$39-K41</f>
        <v>4.25543572182402</v>
      </c>
      <c r="L42" s="68" t="n">
        <f aca="false">$C$39-L41</f>
        <v>4.46820750791522</v>
      </c>
      <c r="M42" s="68" t="n">
        <f aca="false">$C$39-M41</f>
        <v>4.69161788331099</v>
      </c>
      <c r="N42" s="68" t="n">
        <f aca="false">$C$39-N41</f>
        <v>4.92619877747653</v>
      </c>
      <c r="O42" s="68" t="n">
        <f aca="false">$C$39-O41</f>
        <v>5.17250871635036</v>
      </c>
      <c r="P42" s="68" t="n">
        <f aca="false">$C$39-P41</f>
        <v>5.43113415216788</v>
      </c>
      <c r="Q42" s="68" t="n">
        <f aca="false">$C$39-Q41</f>
        <v>5.70269085977627</v>
      </c>
      <c r="R42" s="68" t="n">
        <f aca="false">$C$39-R41</f>
        <v>5.98782540276509</v>
      </c>
      <c r="S42" s="68" t="n">
        <f aca="false">$C$39-S41</f>
        <v>6.28721667290334</v>
      </c>
      <c r="T42" s="68" t="n">
        <f aca="false">$C$39-T41</f>
        <v>6.60157750654851</v>
      </c>
      <c r="U42" s="68" t="n">
        <f aca="false">$C$39-U41</f>
        <v>6.93165638187593</v>
      </c>
      <c r="V42" s="68" t="n">
        <f aca="false">$C$39-V41</f>
        <v>7.27823920096973</v>
      </c>
      <c r="W42" s="68" t="n">
        <f aca="false">$C$39-W41</f>
        <v>7.64215116101822</v>
      </c>
      <c r="X42" s="68"/>
      <c r="Y42" s="68"/>
      <c r="Z42" s="68"/>
      <c r="AA42" s="68"/>
      <c r="AB42" s="68"/>
      <c r="AC42" s="68"/>
      <c r="AD42" s="68"/>
      <c r="AE42" s="68"/>
      <c r="AF42" s="68"/>
      <c r="AG42" s="68"/>
      <c r="AH42" s="68"/>
      <c r="AI42" s="68"/>
      <c r="AJ42" s="68"/>
      <c r="AK42" s="68"/>
      <c r="AL42" s="68"/>
      <c r="AM42" s="68"/>
      <c r="AN42" s="68"/>
      <c r="AO42" s="68"/>
      <c r="AP42" s="68"/>
      <c r="AQ42" s="68"/>
      <c r="AR42" s="68"/>
      <c r="AS42" s="68"/>
      <c r="AT42" s="68"/>
      <c r="AU42" s="68"/>
      <c r="AV42" s="68"/>
      <c r="AW42" s="68"/>
      <c r="AX42" s="68"/>
      <c r="AY42" s="68"/>
      <c r="AZ42" s="68"/>
      <c r="BA42" s="68"/>
      <c r="BB42" s="68"/>
      <c r="BC42" s="68"/>
      <c r="BD42" s="68"/>
      <c r="BE42" s="68"/>
      <c r="BF42" s="68"/>
    </row>
    <row r="43" s="65" customFormat="true" ht="12.75" hidden="false" customHeight="false" outlineLevel="0" collapsed="false">
      <c r="D43" s="68" t="n">
        <f aca="false">D41+D42</f>
        <v>8.02425871906913</v>
      </c>
      <c r="E43" s="68" t="n">
        <f aca="false">E41+E42</f>
        <v>8.02425871906913</v>
      </c>
      <c r="F43" s="68" t="n">
        <f aca="false">F41+F42</f>
        <v>8.02425871906913</v>
      </c>
      <c r="G43" s="68" t="n">
        <f aca="false">G41+G42</f>
        <v>8.02425871906913</v>
      </c>
      <c r="H43" s="68" t="n">
        <f aca="false">H41+H42</f>
        <v>8.02425871906913</v>
      </c>
      <c r="I43" s="68" t="n">
        <f aca="false">I41+I42</f>
        <v>8.02425871906913</v>
      </c>
      <c r="J43" s="68" t="n">
        <f aca="false">J41+J42</f>
        <v>8.02425871906913</v>
      </c>
      <c r="K43" s="68" t="n">
        <f aca="false">K41+K42</f>
        <v>8.02425871906913</v>
      </c>
      <c r="L43" s="68" t="n">
        <f aca="false">L41+L42</f>
        <v>8.02425871906913</v>
      </c>
      <c r="M43" s="68" t="n">
        <f aca="false">M41+M42</f>
        <v>8.02425871906913</v>
      </c>
      <c r="N43" s="68" t="n">
        <f aca="false">N41+N42</f>
        <v>8.02425871906913</v>
      </c>
      <c r="O43" s="68" t="n">
        <f aca="false">O41+O42</f>
        <v>8.02425871906913</v>
      </c>
      <c r="P43" s="68" t="n">
        <f aca="false">P41+P42</f>
        <v>8.02425871906913</v>
      </c>
      <c r="Q43" s="68" t="n">
        <f aca="false">Q41+Q42</f>
        <v>8.02425871906913</v>
      </c>
      <c r="R43" s="68" t="n">
        <f aca="false">R41+R42</f>
        <v>8.02425871906913</v>
      </c>
      <c r="S43" s="68" t="n">
        <f aca="false">S41+S42</f>
        <v>8.02425871906913</v>
      </c>
      <c r="T43" s="68" t="n">
        <f aca="false">T41+T42</f>
        <v>8.02425871906913</v>
      </c>
      <c r="U43" s="68" t="n">
        <f aca="false">U41+U42</f>
        <v>8.02425871906913</v>
      </c>
      <c r="V43" s="68" t="n">
        <f aca="false">V41+V42</f>
        <v>8.02425871906913</v>
      </c>
      <c r="W43" s="68" t="n">
        <f aca="false">W41+W42</f>
        <v>8.02425871906913</v>
      </c>
      <c r="X43" s="68"/>
      <c r="Y43" s="68"/>
      <c r="Z43" s="68"/>
      <c r="AA43" s="68"/>
      <c r="AB43" s="68"/>
      <c r="AC43" s="68"/>
      <c r="AD43" s="68"/>
      <c r="AE43" s="68"/>
      <c r="AF43" s="68"/>
      <c r="AG43" s="68"/>
      <c r="AH43" s="68"/>
      <c r="AI43" s="68"/>
      <c r="AJ43" s="68"/>
      <c r="AK43" s="68"/>
      <c r="AL43" s="68"/>
      <c r="AM43" s="68"/>
      <c r="AN43" s="68"/>
      <c r="AO43" s="68"/>
      <c r="AP43" s="68"/>
      <c r="AQ43" s="68"/>
      <c r="AR43" s="68"/>
      <c r="AS43" s="68"/>
      <c r="AT43" s="68"/>
      <c r="AU43" s="68"/>
      <c r="AV43" s="68"/>
      <c r="AW43" s="68"/>
      <c r="AX43" s="68"/>
      <c r="AY43" s="68"/>
      <c r="AZ43" s="68"/>
      <c r="BA43" s="68"/>
      <c r="BB43" s="68"/>
      <c r="BC43" s="68"/>
      <c r="BD43" s="68"/>
      <c r="BE43" s="68"/>
      <c r="BF43" s="68"/>
    </row>
    <row r="44" s="65" customFormat="true" ht="12.75" hidden="false" customHeight="false" outlineLevel="0" collapsed="false"/>
    <row r="45" customFormat="false" ht="12.75" hidden="false" customHeight="false" outlineLevel="0" collapsed="false">
      <c r="C45" s="65"/>
      <c r="D45" s="65"/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  <c r="AA45" s="65"/>
    </row>
    <row r="47" customFormat="false" ht="12.75" hidden="false" customHeight="false" outlineLevel="0" collapsed="false"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</row>
    <row r="61" customFormat="false" ht="12.75" hidden="false" customHeight="false" outlineLevel="0" collapsed="false">
      <c r="C61" s="69"/>
    </row>
  </sheetData>
  <mergeCells count="4">
    <mergeCell ref="B28:D28"/>
    <mergeCell ref="B29:D29"/>
    <mergeCell ref="B30:D30"/>
    <mergeCell ref="B31:D31"/>
  </mergeCells>
  <hyperlinks>
    <hyperlink ref="B7" r:id="rId2" display="leesb@hanyang.ac.kr"/>
    <hyperlink ref="B23" r:id="rId3" display="http://www.federalreserve.gov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1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57" activeCellId="0" sqref="H57"/>
    </sheetView>
  </sheetViews>
  <sheetFormatPr defaultColWidth="8.87890625" defaultRowHeight="12.75" zeroHeight="false" outlineLevelRow="0" outlineLevelCol="0"/>
  <cols>
    <col collapsed="false" customWidth="true" hidden="false" outlineLevel="0" max="1" min="1" style="70" width="30.44"/>
    <col collapsed="false" customWidth="true" hidden="false" outlineLevel="0" max="4" min="2" style="71" width="6.66"/>
    <col collapsed="false" customWidth="true" hidden="false" outlineLevel="0" max="6" min="5" style="71" width="6.55"/>
    <col collapsed="false" customWidth="true" hidden="false" outlineLevel="0" max="7" min="7" style="71" width="6.99"/>
    <col collapsed="false" customWidth="true" hidden="false" outlineLevel="0" max="8" min="8" style="71" width="6.77"/>
    <col collapsed="false" customWidth="true" hidden="false" outlineLevel="0" max="10" min="9" style="71" width="6.55"/>
    <col collapsed="false" customWidth="true" hidden="false" outlineLevel="0" max="12" min="11" style="71" width="6.99"/>
    <col collapsed="false" customWidth="true" hidden="false" outlineLevel="0" max="13" min="13" style="71" width="5.99"/>
    <col collapsed="false" customWidth="false" hidden="false" outlineLevel="0" max="257" min="14" style="71" width="8.88"/>
  </cols>
  <sheetData>
    <row r="1" s="3" customFormat="true" ht="12.75" hidden="false" customHeight="false" outlineLevel="0" collapsed="false">
      <c r="A1" s="2" t="s">
        <v>62</v>
      </c>
      <c r="D1" s="3" t="s">
        <v>1</v>
      </c>
      <c r="K1" s="3" t="s">
        <v>2</v>
      </c>
    </row>
    <row r="2" s="5" customFormat="true" ht="12.75" hidden="false" customHeight="true" outlineLevel="0" collapsed="false">
      <c r="A2" s="4" t="s">
        <v>3</v>
      </c>
      <c r="B2" s="5" t="s">
        <v>4</v>
      </c>
      <c r="C2" s="6" t="s">
        <v>5</v>
      </c>
      <c r="D2" s="7" t="n">
        <v>100302</v>
      </c>
      <c r="E2" s="8"/>
    </row>
    <row r="3" s="11" customFormat="true" ht="12.75" hidden="false" customHeight="true" outlineLevel="0" collapsed="false">
      <c r="A3" s="4" t="s">
        <v>6</v>
      </c>
      <c r="B3" s="9" t="n">
        <v>1</v>
      </c>
      <c r="C3" s="4" t="s">
        <v>7</v>
      </c>
      <c r="D3" s="10" t="s">
        <v>8</v>
      </c>
      <c r="F3" s="12" t="s">
        <v>9</v>
      </c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4"/>
    </row>
    <row r="4" s="11" customFormat="true" ht="12.75" hidden="false" customHeight="true" outlineLevel="0" collapsed="false">
      <c r="A4" s="4" t="s">
        <v>10</v>
      </c>
      <c r="B4" s="15" t="n">
        <v>37774</v>
      </c>
      <c r="F4" s="16" t="s">
        <v>63</v>
      </c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8"/>
    </row>
    <row r="5" s="11" customFormat="true" ht="12.75" hidden="false" customHeight="true" outlineLevel="0" collapsed="false">
      <c r="A5" s="4" t="s">
        <v>12</v>
      </c>
      <c r="B5" s="10" t="s">
        <v>13</v>
      </c>
      <c r="C5" s="10"/>
      <c r="D5" s="10"/>
      <c r="E5" s="10"/>
      <c r="F5" s="19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8"/>
    </row>
    <row r="6" s="11" customFormat="true" ht="12.75" hidden="false" customHeight="true" outlineLevel="0" collapsed="false">
      <c r="A6" s="4" t="s">
        <v>14</v>
      </c>
      <c r="B6" s="10" t="s">
        <v>15</v>
      </c>
      <c r="C6" s="10"/>
      <c r="D6" s="10"/>
      <c r="F6" s="20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2"/>
    </row>
    <row r="7" s="11" customFormat="true" ht="12.75" hidden="false" customHeight="true" outlineLevel="0" collapsed="false">
      <c r="A7" s="4" t="s">
        <v>16</v>
      </c>
      <c r="B7" s="23" t="s">
        <v>17</v>
      </c>
      <c r="C7" s="23"/>
      <c r="D7" s="23"/>
      <c r="E7" s="24"/>
      <c r="F7" s="25" t="s">
        <v>18</v>
      </c>
      <c r="G7" s="26" t="s">
        <v>64</v>
      </c>
      <c r="H7" s="27"/>
      <c r="I7" s="27"/>
      <c r="J7" s="27"/>
      <c r="K7" s="27"/>
      <c r="L7" s="27"/>
      <c r="M7" s="27"/>
      <c r="N7" s="28"/>
      <c r="O7" s="28"/>
      <c r="P7" s="28"/>
      <c r="Q7" s="28"/>
      <c r="R7" s="28"/>
      <c r="S7" s="29"/>
    </row>
    <row r="8" s="11" customFormat="true" ht="12.75" hidden="false" customHeight="true" outlineLevel="0" collapsed="false">
      <c r="A8" s="4" t="s">
        <v>20</v>
      </c>
      <c r="B8" s="30" t="n">
        <v>37952</v>
      </c>
      <c r="C8" s="24"/>
      <c r="D8" s="24"/>
      <c r="E8" s="24"/>
      <c r="F8" s="31" t="s">
        <v>21</v>
      </c>
      <c r="G8" s="32" t="s">
        <v>65</v>
      </c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4"/>
    </row>
    <row r="9" s="11" customFormat="true" ht="12.75" hidden="false" customHeight="true" outlineLevel="0" collapsed="false">
      <c r="A9" s="4" t="s">
        <v>23</v>
      </c>
      <c r="B9" s="24" t="s">
        <v>24</v>
      </c>
      <c r="C9" s="24"/>
      <c r="D9" s="24"/>
      <c r="E9" s="24"/>
      <c r="F9" s="24"/>
      <c r="G9" s="35"/>
      <c r="H9" s="5"/>
      <c r="I9" s="5"/>
      <c r="J9" s="5"/>
      <c r="K9" s="5"/>
      <c r="L9" s="5"/>
      <c r="M9" s="5"/>
      <c r="N9" s="5"/>
      <c r="O9" s="5"/>
      <c r="P9" s="5"/>
      <c r="Q9" s="5"/>
      <c r="R9" s="5"/>
    </row>
    <row r="10" s="11" customFormat="true" ht="12.75" hidden="false" customHeight="true" outlineLevel="0" collapsed="false">
      <c r="A10" s="4"/>
      <c r="C10" s="24"/>
      <c r="D10" s="24"/>
      <c r="E10" s="24"/>
      <c r="F10" s="24"/>
      <c r="G10" s="3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</row>
    <row r="11" s="39" customFormat="true" ht="12.75" hidden="false" customHeight="true" outlineLevel="0" collapsed="false">
      <c r="A11" s="36" t="s">
        <v>25</v>
      </c>
      <c r="B11" s="37"/>
      <c r="C11" s="37"/>
      <c r="D11" s="37"/>
      <c r="E11" s="37"/>
      <c r="F11" s="37"/>
      <c r="G11" s="38"/>
    </row>
    <row r="12" s="11" customFormat="true" ht="12.75" hidden="false" customHeight="true" outlineLevel="0" collapsed="false">
      <c r="A12" s="40"/>
      <c r="B12" s="41"/>
      <c r="C12" s="41"/>
      <c r="D12" s="41"/>
      <c r="E12" s="41"/>
      <c r="F12" s="41"/>
      <c r="G12" s="35"/>
      <c r="H12" s="5"/>
      <c r="I12" s="5"/>
      <c r="J12" s="5"/>
      <c r="K12" s="5"/>
      <c r="L12" s="5"/>
      <c r="M12" s="5"/>
      <c r="N12" s="5"/>
      <c r="P12" s="5"/>
      <c r="Q12" s="5"/>
      <c r="R12" s="5"/>
    </row>
    <row r="13" s="11" customFormat="true" ht="12.75" hidden="false" customHeight="true" outlineLevel="0" collapsed="false">
      <c r="A13" s="42" t="s">
        <v>26</v>
      </c>
      <c r="B13" s="43" t="s">
        <v>27</v>
      </c>
      <c r="C13" s="43"/>
      <c r="D13" s="43"/>
      <c r="E13" s="43"/>
      <c r="F13" s="44"/>
      <c r="G13" s="5"/>
      <c r="H13" s="5"/>
      <c r="I13" s="5"/>
      <c r="J13" s="5"/>
      <c r="K13" s="5"/>
      <c r="L13" s="5"/>
      <c r="M13" s="5"/>
      <c r="N13" s="5"/>
      <c r="P13" s="5"/>
      <c r="Q13" s="5"/>
      <c r="R13" s="5"/>
    </row>
    <row r="14" s="11" customFormat="true" ht="12.75" hidden="false" customHeight="true" outlineLevel="0" collapsed="false">
      <c r="A14" s="45" t="s">
        <v>28</v>
      </c>
      <c r="B14" s="41" t="s">
        <v>29</v>
      </c>
      <c r="C14" s="41"/>
      <c r="D14" s="41"/>
      <c r="E14" s="41"/>
      <c r="F14" s="46"/>
      <c r="P14" s="5"/>
      <c r="Q14" s="5"/>
      <c r="R14" s="5"/>
    </row>
    <row r="15" s="11" customFormat="true" ht="12.75" hidden="false" customHeight="true" outlineLevel="0" collapsed="false">
      <c r="A15" s="45" t="s">
        <v>30</v>
      </c>
      <c r="B15" s="41" t="s">
        <v>31</v>
      </c>
      <c r="C15" s="41"/>
      <c r="D15" s="41"/>
      <c r="E15" s="41"/>
      <c r="F15" s="46"/>
      <c r="P15" s="5"/>
      <c r="Q15" s="5"/>
      <c r="R15" s="5"/>
    </row>
    <row r="16" s="11" customFormat="true" ht="12.75" hidden="false" customHeight="true" outlineLevel="0" collapsed="false">
      <c r="A16" s="45" t="s">
        <v>32</v>
      </c>
      <c r="B16" s="41" t="s">
        <v>33</v>
      </c>
      <c r="C16" s="41"/>
      <c r="D16" s="41"/>
      <c r="E16" s="41"/>
      <c r="F16" s="46"/>
      <c r="H16" s="47"/>
      <c r="I16" s="47"/>
      <c r="P16" s="5"/>
      <c r="Q16" s="5"/>
      <c r="R16" s="5"/>
    </row>
    <row r="17" s="11" customFormat="true" ht="12.75" hidden="false" customHeight="true" outlineLevel="0" collapsed="false">
      <c r="A17" s="45" t="s">
        <v>34</v>
      </c>
      <c r="B17" s="41" t="s">
        <v>35</v>
      </c>
      <c r="C17" s="41"/>
      <c r="D17" s="41"/>
      <c r="E17" s="41"/>
      <c r="F17" s="46"/>
      <c r="H17" s="48"/>
      <c r="I17" s="47"/>
      <c r="P17" s="5"/>
      <c r="Q17" s="5"/>
      <c r="R17" s="5"/>
    </row>
    <row r="18" s="11" customFormat="true" ht="12.75" hidden="false" customHeight="true" outlineLevel="0" collapsed="false">
      <c r="A18" s="45" t="s">
        <v>36</v>
      </c>
      <c r="B18" s="49" t="s">
        <v>37</v>
      </c>
      <c r="C18" s="41"/>
      <c r="D18" s="41"/>
      <c r="E18" s="41"/>
      <c r="F18" s="46"/>
      <c r="P18" s="5"/>
      <c r="Q18" s="5"/>
      <c r="R18" s="5"/>
    </row>
    <row r="19" s="11" customFormat="true" ht="12.75" hidden="false" customHeight="true" outlineLevel="0" collapsed="false">
      <c r="A19" s="50" t="s">
        <v>38</v>
      </c>
      <c r="B19" s="51" t="s">
        <v>39</v>
      </c>
      <c r="C19" s="51"/>
      <c r="D19" s="51"/>
      <c r="E19" s="51"/>
      <c r="F19" s="52"/>
      <c r="P19" s="5"/>
      <c r="Q19" s="5"/>
      <c r="R19" s="5"/>
    </row>
    <row r="20" s="11" customFormat="true" ht="12.75" hidden="false" customHeight="true" outlineLevel="0" collapsed="false">
      <c r="A20" s="53" t="s">
        <v>40</v>
      </c>
      <c r="B20" s="41" t="s">
        <v>41</v>
      </c>
      <c r="C20" s="41"/>
      <c r="D20" s="41"/>
      <c r="E20" s="41"/>
      <c r="F20" s="41"/>
      <c r="P20" s="5"/>
      <c r="Q20" s="5"/>
      <c r="R20" s="5"/>
    </row>
    <row r="21" s="11" customFormat="true" ht="12.75" hidden="false" customHeight="true" outlineLevel="0" collapsed="false">
      <c r="A21" s="4"/>
      <c r="B21" s="30"/>
      <c r="C21" s="30"/>
      <c r="D21" s="30"/>
      <c r="E21" s="30"/>
      <c r="L21" s="5"/>
      <c r="M21" s="5"/>
      <c r="N21" s="5"/>
      <c r="O21" s="5"/>
      <c r="P21" s="5"/>
      <c r="Q21" s="5"/>
      <c r="R21" s="5"/>
    </row>
    <row r="22" s="39" customFormat="true" ht="12.75" hidden="false" customHeight="true" outlineLevel="0" collapsed="false">
      <c r="A22" s="36" t="s">
        <v>42</v>
      </c>
      <c r="B22" s="54"/>
      <c r="C22" s="54"/>
      <c r="D22" s="54"/>
      <c r="E22" s="54"/>
    </row>
    <row r="23" s="11" customFormat="true" ht="12.75" hidden="false" customHeight="true" outlineLevel="0" collapsed="false">
      <c r="A23" s="4" t="s">
        <v>43</v>
      </c>
      <c r="B23" s="55" t="s">
        <v>44</v>
      </c>
      <c r="C23" s="30"/>
      <c r="D23" s="30"/>
      <c r="E23" s="30"/>
      <c r="L23" s="5"/>
      <c r="M23" s="5"/>
      <c r="N23" s="5"/>
      <c r="O23" s="5"/>
      <c r="P23" s="5"/>
      <c r="Q23" s="5"/>
      <c r="R23" s="5"/>
    </row>
    <row r="24" s="5" customFormat="true" ht="12.75" hidden="false" customHeight="true" outlineLevel="0" collapsed="false">
      <c r="A24" s="4" t="s">
        <v>45</v>
      </c>
      <c r="B24" s="56" t="s">
        <v>46</v>
      </c>
      <c r="C24" s="30"/>
      <c r="D24" s="30"/>
      <c r="E24" s="30"/>
      <c r="F24" s="11"/>
      <c r="G24" s="11"/>
    </row>
    <row r="25" s="5" customFormat="true" ht="12.75" hidden="false" customHeight="false" outlineLevel="0" collapsed="false">
      <c r="A25" s="4"/>
      <c r="B25" s="23"/>
      <c r="C25" s="11"/>
      <c r="D25" s="11"/>
      <c r="E25" s="11"/>
      <c r="F25" s="11"/>
      <c r="G25" s="11"/>
    </row>
    <row r="26" s="3" customFormat="true" ht="12.75" hidden="false" customHeight="false" outlineLevel="0" collapsed="false">
      <c r="A26" s="2" t="s">
        <v>47</v>
      </c>
      <c r="B26" s="2"/>
      <c r="N26" s="57"/>
      <c r="O26" s="57"/>
      <c r="P26" s="57"/>
      <c r="Q26" s="57"/>
      <c r="R26" s="57"/>
      <c r="S26" s="57"/>
      <c r="T26" s="57"/>
    </row>
    <row r="27" s="73" customFormat="true" ht="12.75" hidden="false" customHeight="false" outlineLevel="0" collapsed="false">
      <c r="A27" s="72"/>
      <c r="B27" s="72"/>
      <c r="N27" s="74"/>
      <c r="O27" s="74"/>
      <c r="P27" s="74"/>
      <c r="Q27" s="74"/>
      <c r="R27" s="74"/>
      <c r="S27" s="74"/>
      <c r="T27" s="74"/>
    </row>
    <row r="28" s="11" customFormat="true" ht="12.75" hidden="false" customHeight="false" outlineLevel="0" collapsed="false">
      <c r="A28" s="75" t="s">
        <v>66</v>
      </c>
      <c r="B28" s="75" t="n">
        <v>0</v>
      </c>
      <c r="C28" s="75" t="n">
        <v>1</v>
      </c>
      <c r="D28" s="75" t="n">
        <v>2</v>
      </c>
      <c r="E28" s="75" t="n">
        <v>3</v>
      </c>
      <c r="F28" s="75" t="n">
        <v>4</v>
      </c>
      <c r="G28" s="75" t="n">
        <v>5</v>
      </c>
      <c r="H28" s="75" t="n">
        <v>6</v>
      </c>
      <c r="I28" s="75" t="n">
        <v>7</v>
      </c>
      <c r="J28" s="75" t="n">
        <v>8</v>
      </c>
      <c r="K28" s="75" t="n">
        <v>9</v>
      </c>
      <c r="L28" s="75" t="n">
        <v>10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 s="5" customFormat="true" ht="12.75" hidden="false" customHeight="false" outlineLevel="0" collapsed="false">
      <c r="A29" s="76" t="s">
        <v>67</v>
      </c>
      <c r="B29" s="77" t="n">
        <v>0.045</v>
      </c>
      <c r="C29" s="77" t="n">
        <v>0.045</v>
      </c>
      <c r="D29" s="77" t="n">
        <v>0.045</v>
      </c>
      <c r="E29" s="77" t="n">
        <v>0.045</v>
      </c>
      <c r="F29" s="77" t="n">
        <v>0.045</v>
      </c>
      <c r="G29" s="77" t="n">
        <v>0.045</v>
      </c>
      <c r="H29" s="77" t="n">
        <v>0.045</v>
      </c>
      <c r="I29" s="77" t="n">
        <v>0.045</v>
      </c>
      <c r="J29" s="77" t="n">
        <v>0.045</v>
      </c>
      <c r="K29" s="77" t="n">
        <v>0.045</v>
      </c>
      <c r="L29" s="77" t="n">
        <v>0.045</v>
      </c>
    </row>
    <row r="30" s="73" customFormat="true" ht="12.75" hidden="false" customHeight="false" outlineLevel="0" collapsed="false">
      <c r="A30" s="76" t="s">
        <v>68</v>
      </c>
      <c r="B30" s="78" t="n">
        <f aca="false">EXP(-B29*B28)</f>
        <v>1</v>
      </c>
      <c r="C30" s="78" t="n">
        <f aca="false">EXP(-C29*C28)</f>
        <v>0.9559974818331</v>
      </c>
      <c r="D30" s="78" t="n">
        <f aca="false">EXP(-D29*D28)</f>
        <v>0.913931185271228</v>
      </c>
      <c r="E30" s="78" t="n">
        <f aca="false">EXP(-E29*E28)</f>
        <v>0.873715911688034</v>
      </c>
      <c r="F30" s="78" t="n">
        <f aca="false">EXP(-F29*F28)</f>
        <v>0.835270211411272</v>
      </c>
      <c r="G30" s="78" t="n">
        <f aca="false">EXP(-G29*G28)</f>
        <v>0.798516218759377</v>
      </c>
      <c r="H30" s="78" t="n">
        <f aca="false">EXP(-H29*H28)</f>
        <v>0.763379494336853</v>
      </c>
      <c r="I30" s="78" t="n">
        <f aca="false">EXP(-I29*I28)</f>
        <v>0.729788874269057</v>
      </c>
      <c r="J30" s="78" t="n">
        <f aca="false">EXP(-J29*J28)</f>
        <v>0.697676326071031</v>
      </c>
      <c r="K30" s="78" t="n">
        <f aca="false">EXP(-K29*K28)</f>
        <v>0.666976810858474</v>
      </c>
      <c r="L30" s="78" t="n">
        <f aca="false">EXP(-L29*L28)</f>
        <v>0.637628151621773</v>
      </c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78"/>
      <c r="AB30" s="78"/>
      <c r="AC30" s="78"/>
      <c r="AD30" s="78"/>
      <c r="AE30" s="78"/>
      <c r="AF30" s="78"/>
    </row>
    <row r="31" s="5" customFormat="true" ht="12.75" hidden="false" customHeight="false" outlineLevel="0" collapsed="false">
      <c r="A31" s="76" t="s">
        <v>69</v>
      </c>
      <c r="B31" s="79" t="n">
        <f aca="false">-LN(C30/B30)</f>
        <v>0.0449999999999999</v>
      </c>
      <c r="C31" s="79" t="n">
        <f aca="false">-LN(D30/C30)</f>
        <v>0.0450000000000001</v>
      </c>
      <c r="D31" s="79" t="n">
        <f aca="false">-LN(E30/D30)</f>
        <v>0.0450000000000001</v>
      </c>
      <c r="E31" s="79" t="n">
        <f aca="false">-LN(F30/E30)</f>
        <v>0.0450000000000001</v>
      </c>
      <c r="F31" s="79" t="n">
        <f aca="false">-LN(G30/F30)</f>
        <v>0.0449999999999999</v>
      </c>
      <c r="G31" s="79" t="n">
        <f aca="false">-LN(H30/G30)</f>
        <v>0.0450000000000001</v>
      </c>
      <c r="H31" s="79" t="n">
        <f aca="false">-LN(I30/H30)</f>
        <v>0.0449999999999999</v>
      </c>
      <c r="I31" s="79" t="n">
        <f aca="false">-LN(J30/I30)</f>
        <v>0.0450000000000001</v>
      </c>
      <c r="J31" s="79" t="n">
        <f aca="false">-LN(K30/J30)</f>
        <v>0.0449999999999999</v>
      </c>
      <c r="K31" s="79" t="n">
        <f aca="false">-LN(L30/K30)</f>
        <v>0.0449999999999999</v>
      </c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79"/>
    </row>
    <row r="32" s="5" customFormat="true" ht="14.25" hidden="false" customHeight="false" outlineLevel="0" collapsed="false">
      <c r="A32" s="5" t="s">
        <v>70</v>
      </c>
      <c r="B32" s="80" t="n">
        <v>0</v>
      </c>
      <c r="C32" s="80" t="n">
        <v>0.1</v>
      </c>
      <c r="D32" s="80" t="n">
        <v>0.095</v>
      </c>
      <c r="E32" s="80" t="n">
        <v>0.09</v>
      </c>
      <c r="F32" s="80" t="n">
        <v>0.085</v>
      </c>
      <c r="G32" s="80" t="n">
        <v>0.08</v>
      </c>
      <c r="H32" s="80" t="n">
        <v>0.075</v>
      </c>
      <c r="I32" s="80" t="n">
        <v>0.07</v>
      </c>
      <c r="J32" s="80" t="n">
        <v>0.065</v>
      </c>
      <c r="K32" s="80" t="n">
        <v>0.06</v>
      </c>
      <c r="L32" s="80" t="n">
        <v>0.055</v>
      </c>
    </row>
    <row r="33" s="5" customFormat="true" ht="14.25" hidden="false" customHeight="false" outlineLevel="0" collapsed="false">
      <c r="A33" s="5" t="s">
        <v>71</v>
      </c>
      <c r="B33" s="5" t="n">
        <v>0</v>
      </c>
      <c r="C33" s="5" t="n">
        <f aca="false">(C28*C29*C32-B28*B29*B32)/C31</f>
        <v>0.0999999999999999</v>
      </c>
      <c r="D33" s="5" t="n">
        <f aca="false">(D28*D29*D32-C28*C29*C32)/D31</f>
        <v>0.0899999999999999</v>
      </c>
      <c r="E33" s="5" t="n">
        <f aca="false">(E28*E29*E32-D28*D29*D32)/E31</f>
        <v>0.0799999999999999</v>
      </c>
      <c r="F33" s="5" t="n">
        <f aca="false">(F28*F29*F32-E28*E29*E32)/F31</f>
        <v>0.0700000000000001</v>
      </c>
      <c r="G33" s="5" t="n">
        <f aca="false">(G28*G29*G32-F28*F29*F32)/G31</f>
        <v>0.0599999999999999</v>
      </c>
      <c r="H33" s="5" t="n">
        <f aca="false">(H28*H29*H32-G28*G29*G32)/H31</f>
        <v>0.0500000000000001</v>
      </c>
      <c r="I33" s="5" t="n">
        <f aca="false">(I28*I29*I32-H28*H29*H32)/I31</f>
        <v>0.04</v>
      </c>
      <c r="J33" s="5" t="n">
        <f aca="false">(J28*J29*J32-I28*I29*I32)/J31</f>
        <v>0.03</v>
      </c>
      <c r="K33" s="5" t="n">
        <f aca="false">(K28*K29*K32-J28*J29*J32)/K31</f>
        <v>0.02</v>
      </c>
    </row>
    <row r="34" s="5" customFormat="true" ht="13.5" hidden="false" customHeight="false" outlineLevel="0" collapsed="false">
      <c r="A34" s="5" t="s">
        <v>72</v>
      </c>
      <c r="B34" s="80" t="n">
        <v>1</v>
      </c>
      <c r="C34" s="0"/>
      <c r="N34" s="47"/>
      <c r="O34" s="47"/>
      <c r="P34" s="47"/>
      <c r="Q34" s="47"/>
      <c r="R34" s="47"/>
      <c r="S34" s="47"/>
      <c r="T34" s="47"/>
    </row>
    <row r="35" s="5" customFormat="true" ht="12.75" hidden="false" customHeight="false" outlineLevel="0" collapsed="false">
      <c r="A35" s="5" t="s">
        <v>73</v>
      </c>
      <c r="B35" s="80" t="n">
        <v>1</v>
      </c>
      <c r="N35" s="47"/>
      <c r="O35" s="47"/>
      <c r="P35" s="47"/>
      <c r="Q35" s="47"/>
      <c r="R35" s="47"/>
      <c r="S35" s="47"/>
      <c r="T35" s="47"/>
    </row>
    <row r="36" s="5" customFormat="true" ht="12.75" hidden="false" customHeight="false" outlineLevel="0" collapsed="false">
      <c r="A36" s="5" t="s">
        <v>74</v>
      </c>
      <c r="B36" s="78" t="n">
        <f aca="false">C30/B30</f>
        <v>0.9559974818331</v>
      </c>
      <c r="C36" s="78" t="n">
        <f aca="false">D30/C30</f>
        <v>0.9559974818331</v>
      </c>
      <c r="D36" s="78" t="n">
        <f aca="false">E30/D30</f>
        <v>0.9559974818331</v>
      </c>
      <c r="E36" s="78" t="n">
        <f aca="false">F30/E30</f>
        <v>0.9559974818331</v>
      </c>
      <c r="F36" s="78" t="n">
        <f aca="false">G30/F30</f>
        <v>0.9559974818331</v>
      </c>
      <c r="G36" s="78" t="n">
        <f aca="false">H30/G30</f>
        <v>0.9559974818331</v>
      </c>
      <c r="H36" s="78" t="n">
        <f aca="false">I30/H30</f>
        <v>0.9559974818331</v>
      </c>
      <c r="I36" s="78" t="n">
        <f aca="false">J30/I30</f>
        <v>0.9559974818331</v>
      </c>
      <c r="J36" s="78" t="n">
        <f aca="false">K30/J30</f>
        <v>0.9559974818331</v>
      </c>
      <c r="K36" s="78" t="n">
        <f aca="false">L30/K30</f>
        <v>0.9559974818331</v>
      </c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  <c r="AA36" s="78"/>
      <c r="AB36" s="78"/>
      <c r="AC36" s="78"/>
      <c r="AD36" s="78"/>
      <c r="AE36" s="78"/>
      <c r="AF36" s="78"/>
    </row>
    <row r="37" s="5" customFormat="true" ht="12.75" hidden="false" customHeight="false" outlineLevel="0" collapsed="false">
      <c r="A37" s="5" t="s">
        <v>75</v>
      </c>
      <c r="B37" s="81" t="n">
        <f aca="false">EXP(-2*B31*B33/SQRT($B$34))</f>
        <v>1</v>
      </c>
      <c r="C37" s="81" t="n">
        <f aca="false">EXP(-2*C31*C33/SQRT($B$34))</f>
        <v>0.991040378772884</v>
      </c>
      <c r="D37" s="81" t="n">
        <f aca="false">EXP(-2*D31*D33/SQRT($B$34))</f>
        <v>0.991932716605571</v>
      </c>
      <c r="E37" s="81" t="n">
        <f aca="false">EXP(-2*E31*E33/SQRT($B$34))</f>
        <v>0.992825857903813</v>
      </c>
      <c r="F37" s="81" t="n">
        <f aca="false">EXP(-2*F31*F33/SQRT($B$34))</f>
        <v>0.993719803391055</v>
      </c>
      <c r="G37" s="81" t="n">
        <f aca="false">EXP(-2*G31*G33/SQRT($B$34))</f>
        <v>0.994614553791391</v>
      </c>
      <c r="H37" s="81" t="n">
        <f aca="false">EXP(-2*H31*H33/SQRT($B$34))</f>
        <v>0.995510109829571</v>
      </c>
      <c r="I37" s="81" t="n">
        <f aca="false">EXP(-2*I31*I33/SQRT($B$34))</f>
        <v>0.996406472230993</v>
      </c>
      <c r="J37" s="81" t="n">
        <f aca="false">EXP(-2*J31*J33/SQRT($B$34))</f>
        <v>0.997303641721713</v>
      </c>
      <c r="K37" s="81" t="n">
        <f aca="false">EXP(-2*K31*K33/SQRT($B$34))</f>
        <v>0.998201619028437</v>
      </c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/>
      <c r="W37" s="81"/>
      <c r="X37" s="81"/>
      <c r="Y37" s="81"/>
      <c r="Z37" s="81"/>
      <c r="AA37" s="81"/>
      <c r="AB37" s="81"/>
      <c r="AC37" s="81"/>
      <c r="AD37" s="81"/>
      <c r="AE37" s="81"/>
      <c r="AF37" s="81"/>
    </row>
    <row r="38" s="5" customFormat="true" ht="12.75" hidden="false" customHeight="false" outlineLevel="0" collapsed="false">
      <c r="N38" s="47"/>
      <c r="O38" s="47"/>
      <c r="P38" s="47"/>
      <c r="Q38" s="47"/>
      <c r="R38" s="47"/>
      <c r="S38" s="47"/>
      <c r="T38" s="47"/>
    </row>
    <row r="39" s="5" customFormat="true" ht="12.75" hidden="false" customHeight="false" outlineLevel="0" collapsed="false">
      <c r="A39" s="5" t="s">
        <v>76</v>
      </c>
      <c r="B39" s="80" t="n">
        <v>100</v>
      </c>
      <c r="N39" s="47"/>
      <c r="O39" s="47"/>
      <c r="P39" s="47"/>
      <c r="Q39" s="47"/>
      <c r="R39" s="47"/>
      <c r="S39" s="47"/>
      <c r="T39" s="47"/>
    </row>
    <row r="40" s="5" customFormat="true" ht="12.75" hidden="false" customHeight="false" outlineLevel="0" collapsed="false">
      <c r="A40" s="5" t="s">
        <v>77</v>
      </c>
      <c r="B40" s="80" t="n">
        <v>100</v>
      </c>
      <c r="N40" s="47"/>
      <c r="O40" s="47"/>
      <c r="P40" s="47"/>
      <c r="Q40" s="47"/>
      <c r="R40" s="47"/>
      <c r="S40" s="47"/>
      <c r="T40" s="47"/>
    </row>
    <row r="41" s="5" customFormat="true" ht="12.75" hidden="false" customHeight="false" outlineLevel="0" collapsed="false">
      <c r="A41" s="5" t="s">
        <v>78</v>
      </c>
      <c r="B41" s="80" t="n">
        <v>0.045</v>
      </c>
      <c r="N41" s="47"/>
      <c r="O41" s="47"/>
      <c r="P41" s="47"/>
      <c r="Q41" s="47"/>
      <c r="R41" s="47"/>
      <c r="S41" s="47"/>
      <c r="T41" s="47"/>
    </row>
    <row r="42" s="5" customFormat="true" ht="12.75" hidden="false" customHeight="false" outlineLevel="0" collapsed="false">
      <c r="A42" s="5" t="s">
        <v>79</v>
      </c>
      <c r="B42" s="80" t="n">
        <v>5</v>
      </c>
      <c r="N42" s="47"/>
      <c r="O42" s="47"/>
      <c r="P42" s="47"/>
      <c r="Q42" s="47"/>
      <c r="R42" s="47"/>
      <c r="S42" s="47"/>
      <c r="T42" s="47"/>
    </row>
    <row r="43" s="5" customFormat="true" ht="12.75" hidden="false" customHeight="false" outlineLevel="0" collapsed="false">
      <c r="N43" s="47"/>
      <c r="O43" s="47"/>
      <c r="P43" s="47"/>
      <c r="Q43" s="47"/>
      <c r="R43" s="47"/>
      <c r="S43" s="47"/>
      <c r="T43" s="47"/>
    </row>
    <row r="44" s="3" customFormat="true" ht="12.75" hidden="false" customHeight="false" outlineLevel="0" collapsed="false">
      <c r="A44" s="2" t="s">
        <v>80</v>
      </c>
      <c r="B44" s="2"/>
      <c r="N44" s="57"/>
      <c r="O44" s="57"/>
      <c r="P44" s="57"/>
      <c r="Q44" s="57"/>
      <c r="R44" s="57"/>
      <c r="S44" s="57"/>
      <c r="T44" s="57"/>
    </row>
    <row r="45" s="5" customFormat="true" ht="12.75" hidden="false" customHeight="false" outlineLevel="0" collapsed="false">
      <c r="N45" s="47"/>
      <c r="O45" s="47"/>
      <c r="P45" s="47"/>
      <c r="Q45" s="47"/>
      <c r="R45" s="47"/>
      <c r="S45" s="47"/>
      <c r="T45" s="47"/>
    </row>
    <row r="46" s="5" customFormat="true" ht="12.75" hidden="false" customHeight="false" outlineLevel="0" collapsed="false">
      <c r="B46" s="82"/>
      <c r="C46" s="82"/>
      <c r="D46" s="82"/>
      <c r="E46" s="82"/>
      <c r="F46" s="82"/>
      <c r="G46" s="82" t="n">
        <f aca="false">$B$39</f>
        <v>100</v>
      </c>
      <c r="N46" s="47"/>
      <c r="O46" s="47"/>
      <c r="P46" s="47"/>
      <c r="Q46" s="47"/>
      <c r="R46" s="47"/>
      <c r="S46" s="47"/>
      <c r="T46" s="47"/>
    </row>
    <row r="47" s="5" customFormat="true" ht="12.75" hidden="false" customHeight="false" outlineLevel="0" collapsed="false">
      <c r="B47" s="82"/>
      <c r="C47" s="82"/>
      <c r="D47" s="82"/>
      <c r="E47" s="82"/>
      <c r="F47" s="82" t="n">
        <f aca="false">IF(F48=0,0.5*(G46+G47)*F94,IF(0.5*(G66+G67)*F94&gt;$B$40,$B$40,0.5*(G46+G47)*F94))</f>
        <v>94.3939172112516</v>
      </c>
      <c r="G47" s="82" t="n">
        <f aca="false">$B$39</f>
        <v>100</v>
      </c>
      <c r="N47" s="47"/>
      <c r="O47" s="47"/>
      <c r="P47" s="47"/>
      <c r="Q47" s="47"/>
      <c r="R47" s="47"/>
      <c r="S47" s="47"/>
      <c r="T47" s="47"/>
    </row>
    <row r="48" s="5" customFormat="true" ht="12.75" hidden="false" customHeight="false" outlineLevel="0" collapsed="false">
      <c r="B48" s="82"/>
      <c r="C48" s="82"/>
      <c r="D48" s="82"/>
      <c r="E48" s="82" t="n">
        <f aca="false">IF(E49=0,0.5*(F47+F48)*E95,IF(0.5*(F67+F68)*E95&gt;$B$40,$B$40,0.5*(F47+F48)*E95))</f>
        <v>89.5472839123691</v>
      </c>
      <c r="F48" s="82" t="n">
        <f aca="false">IF(F49=0,0.5*(G47+G48)*F95,IF(0.5*(G67+G68)*F95&gt;$B$40,$B$40,0.5*(G47+G48)*F95))</f>
        <v>94.9904760769925</v>
      </c>
      <c r="G48" s="82" t="n">
        <f aca="false">$B$39</f>
        <v>100</v>
      </c>
      <c r="N48" s="47"/>
      <c r="O48" s="47"/>
      <c r="P48" s="47"/>
      <c r="Q48" s="47"/>
      <c r="R48" s="47"/>
      <c r="S48" s="47"/>
      <c r="T48" s="47"/>
    </row>
    <row r="49" s="5" customFormat="true" ht="12.75" hidden="false" customHeight="false" outlineLevel="0" collapsed="false">
      <c r="B49" s="82"/>
      <c r="C49" s="82"/>
      <c r="D49" s="82" t="n">
        <f aca="false">IF(D50=0,0.5*(E48+E49)*D96,IF(0.5*(E68+E69)*D96&gt;$B$40,$B$40,0.5*(E48+E49)*D96))</f>
        <v>85.4904737540396</v>
      </c>
      <c r="E49" s="82" t="n">
        <f aca="false">IF(E50=0,0.5*(F48+F49)*E96,IF(0.5*(F68+F69)*E96&gt;$B$40,$B$40,0.5*(F48+F49)*E96))</f>
        <v>90.764369085681</v>
      </c>
      <c r="F49" s="82" t="n">
        <f aca="false">IF(F50=0,0.5*(G48+G49)*F96,IF(0.5*(G68+G69)*F96&gt;$B$40,$B$40,0.5*(G48+G49)*F96))</f>
        <v>95.5908051271986</v>
      </c>
      <c r="G49" s="82" t="n">
        <f aca="false">$B$39</f>
        <v>100</v>
      </c>
      <c r="N49" s="47"/>
      <c r="O49" s="47"/>
      <c r="P49" s="47"/>
      <c r="Q49" s="47"/>
      <c r="R49" s="47"/>
      <c r="S49" s="47"/>
      <c r="T49" s="47"/>
    </row>
    <row r="50" s="5" customFormat="true" ht="12.75" hidden="false" customHeight="false" outlineLevel="0" collapsed="false">
      <c r="B50" s="82"/>
      <c r="C50" s="82" t="n">
        <f aca="false">IF(C51=0,0.5*(D49+D50)*C97,IF(0.5*(D69+D70)*C97&gt;$B$40,$B$40,0.5*(D49+D50)*C97))</f>
        <v>84.0691871969234</v>
      </c>
      <c r="D50" s="82" t="n">
        <f aca="false">IF(D51=0,0.5*(E49+E50)*D97,IF(0.5*(E69+E70)*D97&gt;$B$40,$B$40,0.5*(E49+E50)*D97))</f>
        <v>91.1819708158692</v>
      </c>
      <c r="E50" s="82" t="n">
        <f aca="false">IF(E51=0,0.5*(F49+F50)*E97,IF(0.5*(F69+F70)*E97&gt;$B$40,$B$40,0.5*(F49+F50)*E97))</f>
        <v>100</v>
      </c>
      <c r="F50" s="82" t="n">
        <f aca="false">IF(F51=0,0.5*(G49+G50)*F97,IF(0.5*(G69+G70)*F97&gt;$B$40,$B$40,0.5*(G49+G50)*F97))</f>
        <v>100</v>
      </c>
      <c r="G50" s="82" t="n">
        <f aca="false">$B$39</f>
        <v>100</v>
      </c>
      <c r="N50" s="47"/>
      <c r="O50" s="47"/>
      <c r="P50" s="47"/>
      <c r="Q50" s="47"/>
      <c r="R50" s="47"/>
      <c r="S50" s="47"/>
      <c r="T50" s="47"/>
    </row>
    <row r="51" s="5" customFormat="true" ht="12.75" hidden="false" customHeight="false" outlineLevel="0" collapsed="false">
      <c r="A51" s="5" t="s">
        <v>81</v>
      </c>
      <c r="B51" s="82" t="n">
        <f aca="false">IF(B52=0,0.5*(C50+C51)*B98,IF(0.5*(C70+C71)*B98&gt;$B$40,$B$40,0.5*(C50+C51)*B98))</f>
        <v>87.9848397216621</v>
      </c>
      <c r="C51" s="82" t="n">
        <f aca="false">IF(C52=0,0.5*(D50+D51)*C98,IF(0.5*(D70+D71)*C98&gt;$B$40,$B$40,0.5*(D50+D51)*C98))</f>
        <v>100</v>
      </c>
      <c r="D51" s="82" t="n">
        <f aca="false">IF(D52=0,0.5*(E50+E51)*D98,IF(0.5*(E70+E71)*D98&gt;$B$40,$B$40,0.5*(E50+E51)*D98))</f>
        <v>100</v>
      </c>
      <c r="E51" s="82" t="n">
        <f aca="false">IF(E52=0,0.5*(F50+F51)*E98,IF(0.5*(F70+F71)*E98&gt;$B$40,$B$40,0.5*(F50+F51)*E98))</f>
        <v>100</v>
      </c>
      <c r="F51" s="82" t="n">
        <f aca="false">IF(F52=0,0.5*(G50+G51)*F98,IF(0.5*(G70+G71)*F98&gt;$B$40,$B$40,0.5*(G50+G51)*F98))</f>
        <v>100</v>
      </c>
      <c r="G51" s="82" t="n">
        <f aca="false">$B$39</f>
        <v>100</v>
      </c>
      <c r="N51" s="47"/>
      <c r="O51" s="47"/>
      <c r="P51" s="47"/>
      <c r="Q51" s="47"/>
      <c r="R51" s="47"/>
      <c r="S51" s="47"/>
      <c r="T51" s="47"/>
    </row>
    <row r="52" s="5" customFormat="true" ht="12.75" hidden="false" customHeight="false" outlineLevel="0" collapsed="false">
      <c r="A52" s="75" t="s">
        <v>66</v>
      </c>
      <c r="B52" s="75" t="n">
        <v>0</v>
      </c>
      <c r="C52" s="75" t="n">
        <v>1</v>
      </c>
      <c r="D52" s="75" t="n">
        <v>2</v>
      </c>
      <c r="E52" s="75" t="n">
        <v>3</v>
      </c>
      <c r="F52" s="75" t="n">
        <v>4</v>
      </c>
      <c r="G52" s="75" t="n">
        <v>5</v>
      </c>
      <c r="N52" s="47"/>
      <c r="O52" s="47"/>
      <c r="P52" s="47"/>
      <c r="Q52" s="47"/>
      <c r="R52" s="47"/>
      <c r="S52" s="47"/>
      <c r="T52" s="47"/>
    </row>
    <row r="53" s="5" customFormat="true" ht="12.75" hidden="false" customHeight="false" outlineLevel="0" collapsed="false">
      <c r="N53" s="47"/>
      <c r="O53" s="47"/>
      <c r="P53" s="47"/>
      <c r="Q53" s="47"/>
      <c r="R53" s="47"/>
      <c r="S53" s="47"/>
      <c r="T53" s="47"/>
    </row>
    <row r="54" s="5" customFormat="true" ht="12.75" hidden="false" customHeight="false" outlineLevel="0" collapsed="false">
      <c r="B54" s="82"/>
      <c r="C54" s="82"/>
      <c r="D54" s="82"/>
      <c r="E54" s="82"/>
      <c r="F54" s="82"/>
      <c r="G54" s="82" t="n">
        <f aca="false">$B$39*$B$41</f>
        <v>4.5</v>
      </c>
      <c r="N54" s="47"/>
      <c r="O54" s="47"/>
      <c r="P54" s="47"/>
      <c r="Q54" s="47"/>
      <c r="R54" s="47"/>
      <c r="S54" s="47"/>
      <c r="T54" s="47"/>
    </row>
    <row r="55" s="5" customFormat="true" ht="12.75" hidden="false" customHeight="false" outlineLevel="0" collapsed="false">
      <c r="B55" s="82"/>
      <c r="C55" s="82"/>
      <c r="D55" s="82"/>
      <c r="E55" s="82"/>
      <c r="F55" s="82" t="n">
        <f aca="false">IF(F$60=0,0.5*(G54+G55)*F94,IF(0.5*(G66+G67)*F94&gt;$B$40,$B$39*$B$41,0.5*(G54+G55)*F94+$B$39*$B$41))</f>
        <v>8.74772627450632</v>
      </c>
      <c r="G55" s="82" t="n">
        <f aca="false">$B$39*$B$41</f>
        <v>4.5</v>
      </c>
      <c r="N55" s="47"/>
      <c r="O55" s="47"/>
      <c r="P55" s="47"/>
      <c r="Q55" s="47"/>
      <c r="R55" s="47"/>
      <c r="S55" s="47"/>
      <c r="T55" s="47"/>
    </row>
    <row r="56" s="5" customFormat="true" ht="12.75" hidden="false" customHeight="false" outlineLevel="0" collapsed="false">
      <c r="B56" s="82"/>
      <c r="C56" s="82"/>
      <c r="D56" s="82"/>
      <c r="E56" s="82" t="n">
        <f aca="false">IF(E$60=0,0.5*(F55+F56)*E95,IF(0.5*(F67+F68)*E95&gt;$B$40,$B$39*$B$41,0.5*(F55+F56)*E95+$B$39*$B$41))</f>
        <v>12.7851291994748</v>
      </c>
      <c r="F56" s="82" t="n">
        <f aca="false">IF(F$60=0,0.5*(G55+G56)*F95,IF(0.5*(G67+G68)*F95&gt;$B$40,$B$39*$B$41,0.5*(G55+G56)*F95+$B$39*$B$41))</f>
        <v>8.77457142346466</v>
      </c>
      <c r="G56" s="82" t="n">
        <f aca="false">$B$39*$B$41</f>
        <v>4.5</v>
      </c>
      <c r="N56" s="47"/>
      <c r="O56" s="47"/>
      <c r="P56" s="47"/>
      <c r="Q56" s="47"/>
      <c r="R56" s="47"/>
      <c r="S56" s="47"/>
      <c r="T56" s="47"/>
    </row>
    <row r="57" s="5" customFormat="true" ht="12.75" hidden="false" customHeight="false" outlineLevel="0" collapsed="false">
      <c r="B57" s="82"/>
      <c r="C57" s="82"/>
      <c r="D57" s="82" t="n">
        <f aca="false">IF(D$60=0,0.5*(E56+E57)*D96,IF(0.5*(E68+E69)*D96&gt;$B$40,$B$39*$B$41,0.5*(E56+E57)*D96+$B$39*$B$41))</f>
        <v>16.6640755260311</v>
      </c>
      <c r="E57" s="82" t="n">
        <f aca="false">IF(E$60=0,0.5*(F56+F57)*E96,IF(0.5*(F68+F69)*E96&gt;$B$40,$B$39*$B$41,0.5*(F56+F57)*E96+$B$39*$B$41))</f>
        <v>12.8706482103228</v>
      </c>
      <c r="F57" s="82" t="n">
        <f aca="false">IF(F$60=0,0.5*(G56+G57)*F96,IF(0.5*(G68+G69)*F96&gt;$B$40,$B$39*$B$41,0.5*(G56+G57)*F96+$B$39*$B$41))</f>
        <v>8.80158623072394</v>
      </c>
      <c r="G57" s="82" t="n">
        <f aca="false">$B$39*$B$41</f>
        <v>4.5</v>
      </c>
      <c r="N57" s="47"/>
      <c r="O57" s="47"/>
      <c r="P57" s="47"/>
      <c r="Q57" s="47"/>
      <c r="R57" s="47"/>
      <c r="S57" s="47"/>
      <c r="T57" s="47"/>
    </row>
    <row r="58" s="5" customFormat="true" ht="12.75" hidden="false" customHeight="false" outlineLevel="0" collapsed="false">
      <c r="B58" s="82"/>
      <c r="C58" s="82" t="n">
        <f aca="false">IF(C$60=0,0.5*(D57+D58)*C97,IF(0.5*(D69+D70)*C97&gt;$B$40,$B$39*$B$41,0.5*(D57+D58)*C97+$B$39*$B$41))</f>
        <v>18.5217755177397</v>
      </c>
      <c r="D58" s="82" t="n">
        <f aca="false">IF(D$60=0,0.5*(E57+E58)*D97,IF(0.5*(E69+E70)*D97&gt;$B$40,$B$39*$B$41,0.5*(E57+E58)*D97+$B$39*$B$41))</f>
        <v>12.80286046476</v>
      </c>
      <c r="E58" s="82" t="n">
        <f aca="false">IF(E$60=0,0.5*(F57+F58)*E97,IF(0.5*(F69+F70)*E97&gt;$B$40,$B$39*$B$41,0.5*(F57+F58)*E97+$B$39*$B$41))</f>
        <v>4.5</v>
      </c>
      <c r="F58" s="82" t="n">
        <f aca="false">IF(F$60=0,0.5*(G57+G58)*F97,IF(0.5*(G69+G70)*F97&gt;$B$40,$B$39*$B$41,0.5*(G57+G58)*F97+$B$39*$B$41))</f>
        <v>4.5</v>
      </c>
      <c r="G58" s="82" t="n">
        <f aca="false">$B$39*$B$41</f>
        <v>4.5</v>
      </c>
      <c r="N58" s="47"/>
      <c r="O58" s="47"/>
      <c r="P58" s="47"/>
      <c r="Q58" s="47"/>
      <c r="R58" s="47"/>
      <c r="S58" s="47"/>
      <c r="T58" s="47"/>
    </row>
    <row r="59" s="5" customFormat="true" ht="12.75" hidden="false" customHeight="false" outlineLevel="0" collapsed="false">
      <c r="A59" s="5" t="s">
        <v>82</v>
      </c>
      <c r="B59" s="82" t="n">
        <f aca="false">IF(B$60=0,0.5*(C58+C59)*B98,IF(0.5*(C70+C71)*B98&gt;$B$40,$B$39*$B$41,0.5*(C58+C59)*B98+$B$39*$B$41))</f>
        <v>11.004379711143</v>
      </c>
      <c r="C59" s="82" t="n">
        <f aca="false">IF(C$60=0,0.5*(D58+D59)*C98,IF(0.5*(D70+D71)*C98&gt;$B$40,$B$39*$B$41,0.5*(D58+D59)*C98+$B$39*$B$41))</f>
        <v>4.5</v>
      </c>
      <c r="D59" s="82" t="n">
        <f aca="false">IF(D$60=0,0.5*(E58+E59)*D98,IF(0.5*(E70+E71)*D98&gt;$B$40,$B$39*$B$41,0.5*(E58+E59)*D98+$B$39*$B$41))</f>
        <v>4.5</v>
      </c>
      <c r="E59" s="82" t="n">
        <f aca="false">IF(E$60=0,0.5*(F58+F59)*E98,IF(0.5*(F70+F71)*E98&gt;$B$40,$B$39*$B$41,0.5*(F58+F59)*E98+$B$39*$B$41))</f>
        <v>4.5</v>
      </c>
      <c r="F59" s="82" t="n">
        <f aca="false">IF(F$60=0,0.5*(G58+G59)*F98,IF(0.5*(G70+G71)*F98&gt;$B$40,$B$39*$B$41,0.5*(G58+G59)*F98+$B$39*$B$41))</f>
        <v>4.5</v>
      </c>
      <c r="G59" s="82" t="n">
        <f aca="false">$B$39*$B$41</f>
        <v>4.5</v>
      </c>
      <c r="N59" s="47"/>
      <c r="O59" s="47"/>
      <c r="P59" s="47"/>
      <c r="Q59" s="47"/>
      <c r="R59" s="47"/>
      <c r="S59" s="47"/>
      <c r="T59" s="47"/>
    </row>
    <row r="60" s="5" customFormat="true" ht="12.75" hidden="false" customHeight="false" outlineLevel="0" collapsed="false">
      <c r="A60" s="75" t="s">
        <v>66</v>
      </c>
      <c r="B60" s="75" t="n">
        <v>0</v>
      </c>
      <c r="C60" s="75" t="n">
        <v>1</v>
      </c>
      <c r="D60" s="75" t="n">
        <v>2</v>
      </c>
      <c r="E60" s="75" t="n">
        <v>3</v>
      </c>
      <c r="F60" s="75" t="n">
        <v>4</v>
      </c>
      <c r="G60" s="75" t="n">
        <v>5</v>
      </c>
      <c r="N60" s="47"/>
      <c r="O60" s="47"/>
      <c r="P60" s="47"/>
      <c r="Q60" s="47"/>
      <c r="R60" s="47"/>
      <c r="S60" s="47"/>
      <c r="T60" s="47"/>
    </row>
    <row r="61" s="5" customFormat="true" ht="12.75" hidden="false" customHeight="false" outlineLevel="0" collapsed="false">
      <c r="N61" s="47"/>
      <c r="O61" s="47"/>
      <c r="P61" s="47"/>
      <c r="Q61" s="47"/>
      <c r="R61" s="47"/>
      <c r="S61" s="47"/>
      <c r="T61" s="47"/>
    </row>
    <row r="62" s="5" customFormat="true" ht="12.75" hidden="false" customHeight="false" outlineLevel="0" collapsed="false">
      <c r="A62" s="5" t="s">
        <v>83</v>
      </c>
      <c r="B62" s="83" t="n">
        <f aca="false">B51+B59</f>
        <v>98.9892194328052</v>
      </c>
      <c r="N62" s="47"/>
      <c r="O62" s="47"/>
      <c r="P62" s="47"/>
      <c r="Q62" s="47"/>
      <c r="R62" s="47"/>
      <c r="S62" s="47"/>
      <c r="T62" s="47"/>
    </row>
    <row r="63" s="5" customFormat="true" ht="12.75" hidden="false" customHeight="false" outlineLevel="0" collapsed="false">
      <c r="N63" s="47"/>
      <c r="O63" s="47"/>
      <c r="P63" s="47"/>
      <c r="Q63" s="47"/>
      <c r="R63" s="47"/>
      <c r="S63" s="47"/>
      <c r="T63" s="47"/>
    </row>
    <row r="64" s="3" customFormat="true" ht="12.75" hidden="false" customHeight="false" outlineLevel="0" collapsed="false">
      <c r="A64" s="2" t="s">
        <v>84</v>
      </c>
      <c r="B64" s="2"/>
      <c r="N64" s="57"/>
      <c r="O64" s="57"/>
      <c r="P64" s="57"/>
      <c r="Q64" s="57"/>
      <c r="R64" s="57"/>
      <c r="S64" s="57"/>
      <c r="T64" s="57"/>
    </row>
    <row r="65" s="5" customFormat="true" ht="12.75" hidden="false" customHeight="false" outlineLevel="0" collapsed="false">
      <c r="N65" s="47"/>
      <c r="O65" s="47"/>
      <c r="P65" s="47"/>
      <c r="Q65" s="47"/>
      <c r="R65" s="47"/>
      <c r="S65" s="47"/>
      <c r="T65" s="47"/>
    </row>
    <row r="66" s="5" customFormat="true" ht="12.75" hidden="false" customHeight="false" outlineLevel="0" collapsed="false">
      <c r="B66" s="83"/>
      <c r="C66" s="83"/>
      <c r="D66" s="83"/>
      <c r="E66" s="83"/>
      <c r="F66" s="83"/>
      <c r="G66" s="83" t="n">
        <f aca="false">$B$39+$B$39*$B$41</f>
        <v>104.5</v>
      </c>
      <c r="N66" s="47"/>
      <c r="O66" s="47"/>
      <c r="P66" s="47"/>
      <c r="Q66" s="47"/>
      <c r="R66" s="47"/>
      <c r="S66" s="47"/>
      <c r="T66" s="47"/>
    </row>
    <row r="67" s="5" customFormat="true" ht="12.75" hidden="false" customHeight="false" outlineLevel="0" collapsed="false">
      <c r="B67" s="83"/>
      <c r="C67" s="83"/>
      <c r="D67" s="83"/>
      <c r="E67" s="83"/>
      <c r="F67" s="83" t="n">
        <f aca="false">IF(F$72=0,0.5*(G66+G67)*F94,MIN($B$40,0.5*(G66+G67)*F94)+$B$39*$B$41)</f>
        <v>103.141643485758</v>
      </c>
      <c r="G67" s="83" t="n">
        <f aca="false">$B$39+$B$39*$B$41</f>
        <v>104.5</v>
      </c>
      <c r="N67" s="47"/>
      <c r="O67" s="47"/>
      <c r="P67" s="47"/>
      <c r="Q67" s="47"/>
      <c r="R67" s="47"/>
      <c r="S67" s="47"/>
      <c r="T67" s="47"/>
    </row>
    <row r="68" s="5" customFormat="true" ht="12.75" hidden="false" customHeight="false" outlineLevel="0" collapsed="false">
      <c r="B68" s="83"/>
      <c r="C68" s="83"/>
      <c r="D68" s="83"/>
      <c r="E68" s="83" t="n">
        <f aca="false">IF(E$72=0,0.5*(F67+F68)*E95,MIN($B$40,0.5*(F67+F68)*E95)+$B$39*$B$41)</f>
        <v>102.332413111844</v>
      </c>
      <c r="F68" s="83" t="n">
        <f aca="false">IF(F$72=0,0.5*(G67+G68)*F95,MIN($B$40,0.5*(G67+G68)*F95)+$B$39*$B$41)</f>
        <v>103.765047500457</v>
      </c>
      <c r="G68" s="83" t="n">
        <f aca="false">$B$39+$B$39*$B$41</f>
        <v>104.5</v>
      </c>
      <c r="N68" s="47"/>
      <c r="O68" s="47"/>
      <c r="P68" s="47"/>
      <c r="Q68" s="47"/>
      <c r="R68" s="47"/>
      <c r="S68" s="47"/>
      <c r="T68" s="47"/>
    </row>
    <row r="69" s="5" customFormat="true" ht="12.75" hidden="false" customHeight="false" outlineLevel="0" collapsed="false">
      <c r="B69" s="83"/>
      <c r="C69" s="83"/>
      <c r="D69" s="83" t="n">
        <f aca="false">IF(D$72=0,0.5*(E68+E69)*D96,MIN($B$40,0.5*(E68+E69)*D96)+$B$39*$B$41)</f>
        <v>102.154549280071</v>
      </c>
      <c r="E69" s="83" t="n">
        <f aca="false">IF(E$72=0,0.5*(F68+F69)*E96,MIN($B$40,0.5*(F68+F69)*E96)+$B$39*$B$41)</f>
        <v>103.635017296004</v>
      </c>
      <c r="F69" s="83" t="n">
        <f aca="false">IF(F$72=0,0.5*(G68+G69)*F96,MIN($B$40,0.5*(G68+G69)*F96)+$B$39*$B$41)</f>
        <v>104.392391357923</v>
      </c>
      <c r="G69" s="83" t="n">
        <f aca="false">$B$39+$B$39*$B$41</f>
        <v>104.5</v>
      </c>
      <c r="N69" s="47"/>
      <c r="O69" s="47"/>
      <c r="P69" s="47"/>
      <c r="Q69" s="47"/>
      <c r="R69" s="47"/>
      <c r="S69" s="47"/>
      <c r="T69" s="47"/>
    </row>
    <row r="70" s="5" customFormat="true" ht="12.75" hidden="false" customHeight="false" outlineLevel="0" collapsed="false">
      <c r="B70" s="83"/>
      <c r="C70" s="83" t="n">
        <f aca="false">IF(C$72=0,0.5*(D69+D70)*C97,MIN($B$40,0.5*(D69+D70)*C97)+$B$39*$B$41)</f>
        <v>102.590962714663</v>
      </c>
      <c r="D70" s="83" t="n">
        <f aca="false">IF(D$72=0,0.5*(E69+E70)*D97,MIN($B$40,0.5*(E69+E70)*D97)+$B$39*$B$41)</f>
        <v>103.984831280629</v>
      </c>
      <c r="E70" s="83" t="n">
        <f aca="false">IF(E$72=0,0.5*(F69+F70)*E97,MIN($B$40,0.5*(F69+F70)*E97)+$B$39*$B$41)</f>
        <v>104.5</v>
      </c>
      <c r="F70" s="83" t="n">
        <f aca="false">IF(F$72=0,0.5*(G69+G70)*F97,MIN($B$40,0.5*(G69+G70)*F97)+$B$39*$B$41)</f>
        <v>104.5</v>
      </c>
      <c r="G70" s="83" t="n">
        <f aca="false">$B$39+$B$39*$B$41</f>
        <v>104.5</v>
      </c>
      <c r="N70" s="47"/>
      <c r="O70" s="47"/>
      <c r="P70" s="47"/>
      <c r="Q70" s="47"/>
      <c r="R70" s="47"/>
      <c r="S70" s="47"/>
      <c r="T70" s="47"/>
    </row>
    <row r="71" s="5" customFormat="true" ht="12.75" hidden="false" customHeight="false" outlineLevel="0" collapsed="false">
      <c r="A71" s="5" t="s">
        <v>85</v>
      </c>
      <c r="B71" s="83" t="n">
        <f aca="false">IF(B$72=0,0.5*(C70+C71)*B98,MIN($B$40,0.5*(C70+C71)*B98)+$B$39*$B$41)</f>
        <v>98.9892194328052</v>
      </c>
      <c r="C71" s="83" t="n">
        <f aca="false">IF(C$72=0,0.5*(D70+D71)*C98,MIN($B$40,0.5*(D70+D71)*C98)+$B$39*$B$41)</f>
        <v>104.5</v>
      </c>
      <c r="D71" s="83" t="n">
        <f aca="false">IF(D$72=0,0.5*(E70+E71)*D98,MIN($B$40,0.5*(E70+E71)*D98)+$B$39*$B$41)</f>
        <v>104.5</v>
      </c>
      <c r="E71" s="83" t="n">
        <f aca="false">IF(E$72=0,0.5*(F70+F71)*E98,MIN($B$40,0.5*(F70+F71)*E98)+$B$39*$B$41)</f>
        <v>104.5</v>
      </c>
      <c r="F71" s="83" t="n">
        <f aca="false">IF(F$72=0,0.5*(G70+G71)*F98,MIN($B$40,0.5*(G70+G71)*F98)+$B$39*$B$41)</f>
        <v>104.5</v>
      </c>
      <c r="G71" s="83" t="n">
        <f aca="false">$B$39+$B$39*$B$41</f>
        <v>104.5</v>
      </c>
      <c r="N71" s="47"/>
      <c r="O71" s="47"/>
      <c r="P71" s="47"/>
      <c r="Q71" s="47"/>
      <c r="R71" s="47"/>
      <c r="S71" s="47"/>
      <c r="T71" s="47"/>
    </row>
    <row r="72" s="5" customFormat="true" ht="12.75" hidden="false" customHeight="false" outlineLevel="0" collapsed="false">
      <c r="A72" s="75" t="s">
        <v>66</v>
      </c>
      <c r="B72" s="75" t="n">
        <v>0</v>
      </c>
      <c r="C72" s="75" t="n">
        <v>1</v>
      </c>
      <c r="D72" s="75" t="n">
        <v>2</v>
      </c>
      <c r="E72" s="75" t="n">
        <v>3</v>
      </c>
      <c r="F72" s="75" t="n">
        <v>4</v>
      </c>
      <c r="G72" s="75" t="n">
        <v>5</v>
      </c>
      <c r="N72" s="47"/>
      <c r="O72" s="47"/>
      <c r="P72" s="47"/>
      <c r="Q72" s="47"/>
      <c r="R72" s="47"/>
      <c r="S72" s="47"/>
      <c r="T72" s="47"/>
    </row>
    <row r="73" s="5" customFormat="true" ht="12.75" hidden="false" customHeight="false" outlineLevel="0" collapsed="false">
      <c r="N73" s="47"/>
      <c r="O73" s="47"/>
      <c r="P73" s="47"/>
      <c r="Q73" s="47"/>
      <c r="R73" s="47"/>
      <c r="S73" s="47"/>
      <c r="T73" s="47"/>
    </row>
    <row r="74" s="5" customFormat="true" ht="12.75" hidden="false" customHeight="false" outlineLevel="0" collapsed="false">
      <c r="B74" s="84"/>
      <c r="C74" s="84"/>
      <c r="D74" s="84"/>
      <c r="E74" s="84"/>
      <c r="F74" s="84"/>
      <c r="G74" s="84" t="n">
        <f aca="false">$B$39+$B$39*$B$41</f>
        <v>104.5</v>
      </c>
      <c r="N74" s="47"/>
      <c r="O74" s="47"/>
      <c r="P74" s="47"/>
      <c r="Q74" s="47"/>
      <c r="R74" s="47"/>
      <c r="S74" s="47"/>
      <c r="T74" s="47"/>
    </row>
    <row r="75" s="5" customFormat="true" ht="12.75" hidden="false" customHeight="false" outlineLevel="0" collapsed="false">
      <c r="B75" s="84"/>
      <c r="C75" s="84"/>
      <c r="D75" s="84"/>
      <c r="E75" s="84"/>
      <c r="F75" s="84" t="n">
        <f aca="false">IF(F$80=0,0.5*(G74+G75)*F94,0.5*(G74+G75)*F94+$B$39*$B$41/$B$34)</f>
        <v>103.141643485758</v>
      </c>
      <c r="G75" s="84" t="n">
        <f aca="false">$B$39+$B$39*$B$41</f>
        <v>104.5</v>
      </c>
      <c r="N75" s="47"/>
      <c r="O75" s="47"/>
      <c r="P75" s="47"/>
      <c r="Q75" s="47"/>
      <c r="R75" s="47"/>
      <c r="S75" s="47"/>
      <c r="T75" s="47"/>
    </row>
    <row r="76" s="5" customFormat="true" ht="12.75" hidden="false" customHeight="false" outlineLevel="0" collapsed="false">
      <c r="B76" s="84"/>
      <c r="C76" s="84"/>
      <c r="D76" s="84"/>
      <c r="E76" s="84" t="n">
        <f aca="false">IF(E$80=0,0.5*(F75+F76)*E95,0.5*(F75+F76)*E95+$B$39*$B$41/$B$34)</f>
        <v>102.332413111844</v>
      </c>
      <c r="F76" s="84" t="n">
        <f aca="false">IF(F$80=0,0.5*(G75+G76)*F95,0.5*(G75+G76)*F95+$B$39*$B$41/$B$34)</f>
        <v>103.765047500457</v>
      </c>
      <c r="G76" s="84" t="n">
        <f aca="false">$B$39+$B$39*$B$41</f>
        <v>104.5</v>
      </c>
      <c r="N76" s="47"/>
      <c r="O76" s="47"/>
      <c r="P76" s="47"/>
      <c r="Q76" s="47"/>
      <c r="R76" s="47"/>
      <c r="S76" s="47"/>
      <c r="T76" s="47"/>
    </row>
    <row r="77" s="5" customFormat="true" ht="12.75" hidden="false" customHeight="false" outlineLevel="0" collapsed="false">
      <c r="B77" s="84"/>
      <c r="C77" s="84"/>
      <c r="D77" s="84" t="n">
        <f aca="false">IF(D$80=0,0.5*(E76+E77)*D96,0.5*(E76+E77)*D96+$B$39*$B$41/$B$34)</f>
        <v>102.154549280071</v>
      </c>
      <c r="E77" s="84" t="n">
        <f aca="false">IF(E$80=0,0.5*(F76+F77)*E96,0.5*(F76+F77)*E96+$B$39*$B$41/$B$34)</f>
        <v>103.635017296004</v>
      </c>
      <c r="F77" s="84" t="n">
        <f aca="false">IF(F$80=0,0.5*(G76+G77)*F96,0.5*(G76+G77)*F96+$B$39*$B$41/$B$34)</f>
        <v>104.392391357923</v>
      </c>
      <c r="G77" s="84" t="n">
        <f aca="false">$B$39+$B$39*$B$41</f>
        <v>104.5</v>
      </c>
      <c r="N77" s="47"/>
      <c r="O77" s="47"/>
      <c r="P77" s="47"/>
      <c r="Q77" s="47"/>
      <c r="R77" s="47"/>
      <c r="S77" s="47"/>
      <c r="T77" s="47"/>
    </row>
    <row r="78" s="5" customFormat="true" ht="12.75" hidden="false" customHeight="false" outlineLevel="0" collapsed="false">
      <c r="B78" s="84"/>
      <c r="C78" s="84" t="n">
        <f aca="false">IF(C$80=0,0.5*(D77+D78)*C97,0.5*(D77+D78)*C97+$B$39*$B$41/$B$34)</f>
        <v>102.69448058582</v>
      </c>
      <c r="D78" s="84" t="n">
        <f aca="false">IF(D$80=0,0.5*(E77+E78)*D97,0.5*(E77+E78)*D97+$B$39*$B$41/$B$34)</f>
        <v>104.202375376912</v>
      </c>
      <c r="E78" s="84" t="n">
        <f aca="false">IF(E$80=0,0.5*(F77+F78)*E97,0.5*(F77+F78)*E97+$B$39*$B$41/$B$34)</f>
        <v>104.95513013049</v>
      </c>
      <c r="F78" s="84" t="n">
        <f aca="false">IF(F$80=0,0.5*(G77+G78)*F97,0.5*(G77+G78)*F97+$B$39*$B$41/$B$34)</f>
        <v>105.023699957514</v>
      </c>
      <c r="G78" s="84" t="n">
        <f aca="false">$B$39+$B$39*$B$41</f>
        <v>104.5</v>
      </c>
      <c r="N78" s="47"/>
      <c r="O78" s="47"/>
      <c r="P78" s="47"/>
      <c r="Q78" s="47"/>
      <c r="R78" s="47"/>
      <c r="S78" s="47"/>
      <c r="T78" s="47"/>
    </row>
    <row r="79" s="5" customFormat="true" ht="12.75" hidden="false" customHeight="false" outlineLevel="0" collapsed="false">
      <c r="A79" s="5" t="s">
        <v>86</v>
      </c>
      <c r="B79" s="84" t="n">
        <f aca="false">IF(B$80=0,0.5*(C78+C79)*B98,0.5*(C78+C79)*B98+$B$39*$B$41/$B$34)</f>
        <v>99.5500614162713</v>
      </c>
      <c r="C79" s="84" t="n">
        <f aca="false">IF(C$80=0,0.5*(D78+D79)*C98,0.5*(D78+D79)*C98+$B$39*$B$41/$B$34)</f>
        <v>105.569794808267</v>
      </c>
      <c r="D79" s="84" t="n">
        <f aca="false">IF(D$80=0,0.5*(E78+E79)*D98,0.5*(E78+E79)*D98+$B$39*$B$41/$B$34)</f>
        <v>106.29403947942</v>
      </c>
      <c r="E79" s="84" t="n">
        <f aca="false">IF(E$80=0,0.5*(F78+F79)*E98,0.5*(F78+F79)*E98+$B$39*$B$41/$B$34)</f>
        <v>106.292988170334</v>
      </c>
      <c r="F79" s="84" t="n">
        <f aca="false">IF(F$80=0,0.5*(G78+G79)*F98,0.5*(G78+G79)*F98+$B$39*$B$41/$B$34)</f>
        <v>105.658998355954</v>
      </c>
      <c r="G79" s="84" t="n">
        <f aca="false">$B$39+$B$39*$B$41</f>
        <v>104.5</v>
      </c>
      <c r="N79" s="47"/>
      <c r="O79" s="47"/>
      <c r="P79" s="47"/>
      <c r="Q79" s="47"/>
      <c r="R79" s="47"/>
      <c r="S79" s="47"/>
      <c r="T79" s="47"/>
    </row>
    <row r="80" s="5" customFormat="true" ht="12.75" hidden="false" customHeight="false" outlineLevel="0" collapsed="false">
      <c r="A80" s="75" t="s">
        <v>66</v>
      </c>
      <c r="B80" s="75" t="n">
        <v>0</v>
      </c>
      <c r="C80" s="75" t="n">
        <v>1</v>
      </c>
      <c r="D80" s="75" t="n">
        <v>2</v>
      </c>
      <c r="E80" s="75" t="n">
        <v>3</v>
      </c>
      <c r="F80" s="75" t="n">
        <v>4</v>
      </c>
      <c r="G80" s="75" t="n">
        <v>5</v>
      </c>
      <c r="N80" s="47"/>
      <c r="O80" s="47"/>
      <c r="P80" s="47"/>
      <c r="Q80" s="47"/>
      <c r="R80" s="47"/>
      <c r="S80" s="47"/>
      <c r="T80" s="47"/>
    </row>
    <row r="81" s="5" customFormat="true" ht="12.75" hidden="false" customHeight="false" outlineLevel="0" collapsed="false">
      <c r="N81" s="47"/>
      <c r="O81" s="47"/>
      <c r="P81" s="47"/>
      <c r="Q81" s="47"/>
      <c r="R81" s="47"/>
      <c r="S81" s="47"/>
      <c r="T81" s="47"/>
    </row>
    <row r="82" s="5" customFormat="true" ht="12.75" hidden="false" customHeight="false" outlineLevel="0" collapsed="false">
      <c r="N82" s="47"/>
      <c r="O82" s="47"/>
      <c r="P82" s="47"/>
      <c r="Q82" s="47"/>
      <c r="R82" s="47"/>
      <c r="S82" s="47"/>
      <c r="T82" s="47"/>
    </row>
    <row r="83" s="5" customFormat="true" ht="12.75" hidden="false" customHeight="false" outlineLevel="0" collapsed="false">
      <c r="A83" s="5" t="s">
        <v>87</v>
      </c>
      <c r="B83" s="85" t="n">
        <f aca="false">B37</f>
        <v>1</v>
      </c>
      <c r="C83" s="85" t="n">
        <f aca="false">1+PRODUCT($C37:C37)</f>
        <v>1.99104037877288</v>
      </c>
      <c r="D83" s="85" t="n">
        <f aca="false">1+PRODUCT($C37:D37)</f>
        <v>1.983045375182</v>
      </c>
      <c r="E83" s="85" t="n">
        <f aca="false">1+PRODUCT($C37:E37)</f>
        <v>1.97599286797345</v>
      </c>
      <c r="F83" s="85" t="n">
        <f aca="false">1+PRODUCT($C37:F37)</f>
        <v>1.96986344087364</v>
      </c>
      <c r="G83" s="85" t="n">
        <f aca="false">1+PRODUCT($C37:G37)</f>
        <v>1.96464029348312</v>
      </c>
      <c r="N83" s="47"/>
      <c r="O83" s="47"/>
      <c r="P83" s="47"/>
      <c r="Q83" s="47"/>
      <c r="R83" s="47"/>
      <c r="S83" s="47"/>
      <c r="T83" s="47"/>
    </row>
    <row r="84" s="5" customFormat="true" ht="12.75" hidden="false" customHeight="false" outlineLevel="0" collapsed="false">
      <c r="C84" s="85"/>
      <c r="D84" s="85" t="n">
        <f aca="false">1+PRODUCT($D37:D37)</f>
        <v>1.99193271660557</v>
      </c>
      <c r="E84" s="85" t="n">
        <f aca="false">1+PRODUCT($D37:E37)</f>
        <v>1.98481645034679</v>
      </c>
      <c r="F84" s="85" t="n">
        <f aca="false">1+PRODUCT($D37:F37)</f>
        <v>1.97863160941488</v>
      </c>
      <c r="G84" s="85" t="n">
        <f aca="false">1+PRODUCT($D37:G37)</f>
        <v>1.97336124152434</v>
      </c>
      <c r="N84" s="47"/>
      <c r="O84" s="47"/>
      <c r="P84" s="47"/>
      <c r="Q84" s="47"/>
      <c r="R84" s="47"/>
      <c r="S84" s="47"/>
      <c r="T84" s="47"/>
    </row>
    <row r="85" s="5" customFormat="true" ht="12.75" hidden="false" customHeight="false" outlineLevel="0" collapsed="false">
      <c r="E85" s="85" t="n">
        <f aca="false">1+PRODUCT($E37:E37)</f>
        <v>1.99282585790381</v>
      </c>
      <c r="F85" s="85" t="n">
        <f aca="false">1+PRODUCT($E37:F37)</f>
        <v>1.98659071631773</v>
      </c>
      <c r="G85" s="85" t="n">
        <f aca="false">1+PRODUCT($E37:G37)</f>
        <v>1.98127748508509</v>
      </c>
      <c r="N85" s="47"/>
      <c r="O85" s="47"/>
      <c r="P85" s="47"/>
      <c r="Q85" s="47"/>
      <c r="R85" s="47"/>
      <c r="S85" s="47"/>
      <c r="T85" s="47"/>
    </row>
    <row r="86" s="5" customFormat="true" ht="12.75" hidden="false" customHeight="false" outlineLevel="0" collapsed="false">
      <c r="F86" s="85" t="n">
        <f aca="false">1+PRODUCT($F37:F37)</f>
        <v>1.99371980339105</v>
      </c>
      <c r="G86" s="85" t="n">
        <f aca="false">1+PRODUCT($F37:G37)</f>
        <v>1.98836817884346</v>
      </c>
      <c r="N86" s="47"/>
      <c r="O86" s="47"/>
      <c r="P86" s="47"/>
      <c r="Q86" s="47"/>
      <c r="R86" s="47"/>
      <c r="S86" s="47"/>
      <c r="T86" s="47"/>
    </row>
    <row r="87" s="5" customFormat="true" ht="12.75" hidden="false" customHeight="false" outlineLevel="0" collapsed="false">
      <c r="G87" s="85" t="n">
        <f aca="false">1+PRODUCT($G37:G37)</f>
        <v>1.99461455379139</v>
      </c>
      <c r="N87" s="47"/>
      <c r="O87" s="47"/>
      <c r="P87" s="47"/>
      <c r="Q87" s="47"/>
      <c r="R87" s="47"/>
      <c r="S87" s="47"/>
      <c r="T87" s="47"/>
    </row>
    <row r="88" s="5" customFormat="true" ht="12.75" hidden="false" customHeight="false" outlineLevel="0" collapsed="false">
      <c r="G88" s="85"/>
      <c r="N88" s="47"/>
      <c r="O88" s="47"/>
      <c r="P88" s="47"/>
      <c r="Q88" s="47"/>
      <c r="R88" s="47"/>
      <c r="S88" s="47"/>
      <c r="T88" s="47"/>
    </row>
    <row r="89" s="5" customFormat="true" ht="12.75" hidden="false" customHeight="false" outlineLevel="0" collapsed="false">
      <c r="A89" s="5" t="s">
        <v>88</v>
      </c>
      <c r="C89" s="86" t="n">
        <f aca="false">PRODUCT(B83:B87)</f>
        <v>1</v>
      </c>
      <c r="D89" s="5" t="n">
        <f aca="false">PRODUCT(C83:C87)</f>
        <v>1.99104037877288</v>
      </c>
      <c r="E89" s="5" t="n">
        <f aca="false">PRODUCT(D83:D87)</f>
        <v>3.9500929613384</v>
      </c>
      <c r="F89" s="5" t="n">
        <f aca="false">PRODUCT(E83:E87)</f>
        <v>7.81582943582542</v>
      </c>
      <c r="G89" s="5" t="n">
        <f aca="false">PRODUCT(F83:F87)</f>
        <v>15.4373797341686</v>
      </c>
      <c r="N89" s="47"/>
      <c r="O89" s="47"/>
      <c r="P89" s="47"/>
      <c r="Q89" s="47"/>
      <c r="R89" s="47"/>
      <c r="S89" s="47"/>
      <c r="T89" s="47"/>
    </row>
    <row r="90" s="5" customFormat="true" ht="12.75" hidden="false" customHeight="false" outlineLevel="0" collapsed="false">
      <c r="A90" s="5" t="s">
        <v>89</v>
      </c>
      <c r="C90" s="5" t="n">
        <f aca="false">PRODUCT(C$83:C87)</f>
        <v>1.99104037877288</v>
      </c>
      <c r="D90" s="5" t="n">
        <f aca="false">PRODUCT(D$83:D87)</f>
        <v>3.9500929613384</v>
      </c>
      <c r="E90" s="5" t="n">
        <f aca="false">PRODUCT(E$83:E87)</f>
        <v>7.81582943582542</v>
      </c>
      <c r="F90" s="5" t="n">
        <f aca="false">PRODUCT(F$83:F87)</f>
        <v>15.4373797341686</v>
      </c>
      <c r="G90" s="5" t="n">
        <f aca="false">PRODUCT(G$83:G87)</f>
        <v>30.4642670001305</v>
      </c>
      <c r="N90" s="47"/>
      <c r="O90" s="47"/>
      <c r="P90" s="47"/>
      <c r="Q90" s="47"/>
      <c r="R90" s="47"/>
      <c r="S90" s="47"/>
      <c r="T90" s="47"/>
    </row>
    <row r="91" s="5" customFormat="true" ht="12.75" hidden="false" customHeight="false" outlineLevel="0" collapsed="false">
      <c r="N91" s="47"/>
      <c r="O91" s="47"/>
      <c r="P91" s="47"/>
      <c r="Q91" s="47"/>
      <c r="R91" s="47"/>
      <c r="S91" s="47"/>
      <c r="T91" s="47"/>
    </row>
    <row r="92" s="5" customFormat="true" ht="12.75" hidden="false" customHeight="false" outlineLevel="0" collapsed="false">
      <c r="G92" s="85"/>
      <c r="N92" s="47"/>
      <c r="O92" s="47"/>
      <c r="P92" s="47"/>
      <c r="Q92" s="47"/>
      <c r="R92" s="47"/>
      <c r="S92" s="47"/>
      <c r="T92" s="47"/>
    </row>
    <row r="93" s="5" customFormat="true" ht="12.75" hidden="false" customHeight="false" outlineLevel="0" collapsed="false">
      <c r="B93" s="87"/>
      <c r="C93" s="87"/>
      <c r="D93" s="87"/>
      <c r="E93" s="87"/>
      <c r="F93" s="87"/>
      <c r="G93" s="87" t="n">
        <f aca="false">G94*G$37</f>
        <v>0.943069386370083</v>
      </c>
      <c r="N93" s="47"/>
      <c r="O93" s="47"/>
      <c r="P93" s="47"/>
      <c r="Q93" s="47"/>
      <c r="R93" s="47"/>
      <c r="S93" s="47"/>
      <c r="T93" s="47"/>
    </row>
    <row r="94" s="5" customFormat="true" ht="12.75" hidden="false" customHeight="false" outlineLevel="0" collapsed="false">
      <c r="B94" s="87"/>
      <c r="C94" s="87"/>
      <c r="D94" s="87"/>
      <c r="E94" s="87"/>
      <c r="F94" s="87" t="n">
        <f aca="false">F95*F$37</f>
        <v>0.943939172112516</v>
      </c>
      <c r="G94" s="87" t="n">
        <f aca="false">G95*G$37</f>
        <v>0.948175735791496</v>
      </c>
      <c r="N94" s="47"/>
      <c r="O94" s="47"/>
      <c r="P94" s="47"/>
      <c r="Q94" s="47"/>
      <c r="R94" s="47"/>
      <c r="S94" s="47"/>
      <c r="T94" s="47"/>
    </row>
    <row r="95" s="5" customFormat="true" ht="12.75" hidden="false" customHeight="false" outlineLevel="0" collapsed="false">
      <c r="B95" s="87"/>
      <c r="C95" s="87"/>
      <c r="D95" s="87"/>
      <c r="E95" s="87" t="n">
        <f aca="false">E96*E$37</f>
        <v>0.94566698298183</v>
      </c>
      <c r="F95" s="87" t="n">
        <f aca="false">F96*F$37</f>
        <v>0.949904760769925</v>
      </c>
      <c r="G95" s="87" t="n">
        <f aca="false">G96*G$37</f>
        <v>0.953309734084552</v>
      </c>
      <c r="N95" s="47"/>
      <c r="O95" s="47"/>
      <c r="P95" s="47"/>
      <c r="Q95" s="47"/>
      <c r="R95" s="47"/>
      <c r="S95" s="47"/>
      <c r="T95" s="47"/>
    </row>
    <row r="96" s="5" customFormat="true" ht="12.75" hidden="false" customHeight="false" outlineLevel="0" collapsed="false">
      <c r="B96" s="87"/>
      <c r="C96" s="87"/>
      <c r="D96" s="87" t="n">
        <f aca="false">D97*D$37</f>
        <v>0.948252343457404</v>
      </c>
      <c r="E96" s="87" t="n">
        <f aca="false">E97*E$37</f>
        <v>0.952500355881593</v>
      </c>
      <c r="F96" s="87" t="n">
        <f aca="false">F97*F$37</f>
        <v>0.955908051271986</v>
      </c>
      <c r="G96" s="87" t="n">
        <f aca="false">G97*G$37</f>
        <v>0.958471530957003</v>
      </c>
      <c r="N96" s="47"/>
      <c r="O96" s="47"/>
      <c r="P96" s="47"/>
      <c r="Q96" s="47"/>
      <c r="R96" s="47"/>
      <c r="S96" s="47"/>
      <c r="T96" s="47"/>
    </row>
    <row r="97" s="5" customFormat="true" ht="12.75" hidden="false" customHeight="false" outlineLevel="0" collapsed="false">
      <c r="B97" s="87"/>
      <c r="C97" s="87" t="n">
        <f aca="false">C98*C$37</f>
        <v>0.951695522203039</v>
      </c>
      <c r="D97" s="87" t="n">
        <f aca="false">D98*D$37</f>
        <v>0.955964379017921</v>
      </c>
      <c r="E97" s="87" t="n">
        <f aca="false">E98*E$37</f>
        <v>0.959383106613117</v>
      </c>
      <c r="F97" s="87" t="n">
        <f aca="false">F98*F$37</f>
        <v>0.96194928189009</v>
      </c>
      <c r="G97" s="87" t="n">
        <f aca="false">G98*G$37</f>
        <v>0.963661276927214</v>
      </c>
      <c r="N97" s="47"/>
      <c r="O97" s="47"/>
      <c r="P97" s="47"/>
      <c r="Q97" s="47"/>
      <c r="R97" s="47"/>
      <c r="S97" s="47"/>
      <c r="T97" s="47"/>
    </row>
    <row r="98" s="5" customFormat="true" ht="12.75" hidden="false" customHeight="false" outlineLevel="0" collapsed="false">
      <c r="A98" s="11" t="s">
        <v>90</v>
      </c>
      <c r="B98" s="87" t="n">
        <f aca="false">B36</f>
        <v>0.9559974818331</v>
      </c>
      <c r="C98" s="87" t="n">
        <f aca="false">C36*C89/C90*2</f>
        <v>0.960299441463161</v>
      </c>
      <c r="D98" s="87" t="n">
        <f aca="false">D36*D89/D90*2</f>
        <v>0.963739135744272</v>
      </c>
      <c r="E98" s="87" t="n">
        <f aca="false">E36*E89/E90*2</f>
        <v>0.96631559197974</v>
      </c>
      <c r="F98" s="87" t="n">
        <f aca="false">F36*F89/F90*2</f>
        <v>0.968028692401471</v>
      </c>
      <c r="G98" s="87" t="n">
        <f aca="false">G36*G89/G90*2</f>
        <v>0.968879123328544</v>
      </c>
      <c r="N98" s="47"/>
      <c r="O98" s="47"/>
      <c r="P98" s="47"/>
      <c r="Q98" s="47"/>
      <c r="R98" s="47"/>
      <c r="S98" s="47"/>
      <c r="T98" s="47"/>
    </row>
    <row r="99" s="5" customFormat="true" ht="12.75" hidden="false" customHeight="false" outlineLevel="0" collapsed="false">
      <c r="A99" s="75" t="s">
        <v>66</v>
      </c>
      <c r="B99" s="75" t="n">
        <v>0</v>
      </c>
      <c r="C99" s="75" t="n">
        <v>1</v>
      </c>
      <c r="D99" s="75" t="n">
        <v>2</v>
      </c>
      <c r="E99" s="75" t="n">
        <v>3</v>
      </c>
      <c r="F99" s="75" t="n">
        <v>4</v>
      </c>
      <c r="G99" s="75" t="n">
        <v>5</v>
      </c>
      <c r="N99" s="47"/>
      <c r="O99" s="47"/>
      <c r="P99" s="47"/>
      <c r="Q99" s="47"/>
      <c r="R99" s="47"/>
      <c r="S99" s="47"/>
      <c r="T99" s="47"/>
    </row>
    <row r="100" s="5" customFormat="true" ht="13.5" hidden="false" customHeight="false" outlineLevel="0" collapsed="false">
      <c r="I100" s="0"/>
      <c r="N100" s="47"/>
      <c r="O100" s="47"/>
      <c r="P100" s="47"/>
      <c r="Q100" s="47"/>
      <c r="R100" s="47"/>
      <c r="S100" s="47"/>
      <c r="T100" s="47"/>
    </row>
    <row r="101" s="5" customFormat="true" ht="12.75" hidden="false" customHeight="false" outlineLevel="0" collapsed="false">
      <c r="G101" s="5" t="n">
        <f aca="false">-LN(G93)</f>
        <v>0.0586154185995091</v>
      </c>
      <c r="N101" s="47"/>
      <c r="O101" s="47"/>
      <c r="P101" s="47"/>
      <c r="Q101" s="47"/>
      <c r="R101" s="47"/>
      <c r="S101" s="47"/>
      <c r="T101" s="47"/>
    </row>
    <row r="102" s="5" customFormat="true" ht="12.75" hidden="false" customHeight="false" outlineLevel="0" collapsed="false">
      <c r="F102" s="5" t="n">
        <f aca="false">-LN(F94)</f>
        <v>0.0576935512342323</v>
      </c>
      <c r="G102" s="5" t="n">
        <f aca="false">-LN(G94)</f>
        <v>0.0532154185995092</v>
      </c>
      <c r="N102" s="47"/>
      <c r="O102" s="47"/>
      <c r="P102" s="47"/>
      <c r="Q102" s="47"/>
      <c r="R102" s="47"/>
      <c r="S102" s="47"/>
      <c r="T102" s="47"/>
    </row>
    <row r="103" s="5" customFormat="true" ht="12.75" hidden="false" customHeight="false" outlineLevel="0" collapsed="false">
      <c r="E103" s="5" t="n">
        <f aca="false">-LN(E95)</f>
        <v>0.0558647983523815</v>
      </c>
      <c r="F103" s="5" t="n">
        <f aca="false">-LN(F95)</f>
        <v>0.0513935512342323</v>
      </c>
      <c r="G103" s="5" t="n">
        <f aca="false">-LN(G95)</f>
        <v>0.0478154185995092</v>
      </c>
      <c r="N103" s="47"/>
      <c r="O103" s="47"/>
      <c r="P103" s="47"/>
      <c r="Q103" s="47"/>
      <c r="R103" s="47"/>
      <c r="S103" s="47"/>
      <c r="T103" s="47"/>
    </row>
    <row r="104" s="5" customFormat="true" ht="12.75" hidden="false" customHeight="false" outlineLevel="0" collapsed="false">
      <c r="D104" s="5" t="n">
        <f aca="false">-LN(D96)</f>
        <v>0.0531346270664291</v>
      </c>
      <c r="E104" s="5" t="n">
        <f aca="false">-LN(E96)</f>
        <v>0.0486647983523816</v>
      </c>
      <c r="F104" s="5" t="n">
        <f aca="false">-LN(F96)</f>
        <v>0.0450935512342322</v>
      </c>
      <c r="G104" s="5" t="n">
        <f aca="false">-LN(G96)</f>
        <v>0.0424154185995092</v>
      </c>
      <c r="N104" s="47"/>
      <c r="O104" s="47"/>
      <c r="P104" s="47"/>
      <c r="Q104" s="47"/>
      <c r="R104" s="47"/>
      <c r="S104" s="47"/>
      <c r="T104" s="47"/>
    </row>
    <row r="105" s="5" customFormat="true" ht="12.75" hidden="false" customHeight="false" outlineLevel="0" collapsed="false">
      <c r="C105" s="5" t="n">
        <f aca="false">-LN(C97)</f>
        <v>0.0495101249658284</v>
      </c>
      <c r="D105" s="5" t="n">
        <f aca="false">-LN(D97)</f>
        <v>0.045034627066429</v>
      </c>
      <c r="E105" s="5" t="n">
        <f aca="false">-LN(E97)</f>
        <v>0.0414647983523816</v>
      </c>
      <c r="F105" s="5" t="n">
        <f aca="false">-LN(F97)</f>
        <v>0.0387935512342323</v>
      </c>
      <c r="G105" s="5" t="n">
        <f aca="false">-LN(G97)</f>
        <v>0.0370154185995092</v>
      </c>
      <c r="N105" s="47"/>
      <c r="O105" s="47"/>
      <c r="P105" s="47"/>
      <c r="Q105" s="47"/>
      <c r="R105" s="47"/>
      <c r="S105" s="47"/>
      <c r="T105" s="47"/>
    </row>
    <row r="106" s="5" customFormat="true" ht="12.75" hidden="false" customHeight="false" outlineLevel="0" collapsed="false">
      <c r="A106" s="11" t="s">
        <v>91</v>
      </c>
      <c r="B106" s="5" t="n">
        <f aca="false">-LN(B98)</f>
        <v>0.0449999999999999</v>
      </c>
      <c r="C106" s="5" t="n">
        <f aca="false">-LN(C98)</f>
        <v>0.0405101249658284</v>
      </c>
      <c r="D106" s="5" t="n">
        <f aca="false">-LN(D98)</f>
        <v>0.036934627066429</v>
      </c>
      <c r="E106" s="5" t="n">
        <f aca="false">-LN(E98)</f>
        <v>0.0342647983523816</v>
      </c>
      <c r="F106" s="5" t="n">
        <f aca="false">-LN(F98)</f>
        <v>0.0324935512342322</v>
      </c>
      <c r="G106" s="5" t="n">
        <f aca="false">-LN(G98)</f>
        <v>0.0316154185995092</v>
      </c>
      <c r="N106" s="47"/>
      <c r="O106" s="47"/>
      <c r="P106" s="47"/>
      <c r="Q106" s="47"/>
      <c r="R106" s="47"/>
      <c r="S106" s="47"/>
      <c r="T106" s="47"/>
    </row>
    <row r="107" s="5" customFormat="true" ht="12.75" hidden="false" customHeight="false" outlineLevel="0" collapsed="false">
      <c r="A107" s="75" t="s">
        <v>66</v>
      </c>
      <c r="B107" s="75" t="n">
        <v>0</v>
      </c>
      <c r="C107" s="75" t="n">
        <v>1</v>
      </c>
      <c r="D107" s="75" t="n">
        <v>2</v>
      </c>
      <c r="E107" s="75" t="n">
        <v>3</v>
      </c>
      <c r="F107" s="75" t="n">
        <v>4</v>
      </c>
      <c r="G107" s="75" t="n">
        <v>5</v>
      </c>
      <c r="N107" s="47"/>
      <c r="O107" s="47"/>
      <c r="P107" s="47"/>
      <c r="Q107" s="47"/>
      <c r="R107" s="47"/>
      <c r="S107" s="47"/>
      <c r="T107" s="47"/>
    </row>
    <row r="108" s="5" customFormat="true" ht="12.75" hidden="false" customHeight="false" outlineLevel="0" collapsed="false">
      <c r="N108" s="47"/>
      <c r="O108" s="47"/>
      <c r="P108" s="47"/>
      <c r="Q108" s="47"/>
      <c r="R108" s="47"/>
      <c r="S108" s="47"/>
      <c r="T108" s="47"/>
    </row>
    <row r="109" s="5" customFormat="true" ht="12.75" hidden="false" customHeight="false" outlineLevel="0" collapsed="false">
      <c r="G109" s="5" t="n">
        <f aca="false">(G101-G102)/(2*G$31)</f>
        <v>0.0599999999999999</v>
      </c>
      <c r="N109" s="47"/>
      <c r="O109" s="47"/>
      <c r="P109" s="47"/>
      <c r="Q109" s="47"/>
      <c r="R109" s="47"/>
      <c r="S109" s="47"/>
      <c r="T109" s="47"/>
    </row>
    <row r="110" s="5" customFormat="true" ht="12.75" hidden="false" customHeight="false" outlineLevel="0" collapsed="false">
      <c r="F110" s="5" t="n">
        <f aca="false">(F102-F103)/(2*F$31)</f>
        <v>0.0700000000000002</v>
      </c>
      <c r="G110" s="5" t="n">
        <f aca="false">(G102-G103)/(2*G$31)</f>
        <v>0.0599999999999994</v>
      </c>
      <c r="N110" s="47"/>
      <c r="O110" s="47"/>
      <c r="P110" s="47"/>
      <c r="Q110" s="47"/>
      <c r="R110" s="47"/>
      <c r="S110" s="47"/>
      <c r="T110" s="47"/>
    </row>
    <row r="111" s="5" customFormat="true" ht="12.75" hidden="false" customHeight="false" outlineLevel="0" collapsed="false">
      <c r="E111" s="5" t="n">
        <f aca="false">(E103-E104)/(2*E$31)</f>
        <v>0.079999999999999</v>
      </c>
      <c r="F111" s="5" t="n">
        <f aca="false">(F103-F104)/(2*F$31)</f>
        <v>0.0700000000000002</v>
      </c>
      <c r="G111" s="5" t="n">
        <f aca="false">(G103-G104)/(2*G$31)</f>
        <v>0.0599999999999998</v>
      </c>
      <c r="N111" s="47"/>
      <c r="O111" s="47"/>
      <c r="P111" s="47"/>
      <c r="Q111" s="47"/>
      <c r="R111" s="47"/>
      <c r="S111" s="47"/>
      <c r="T111" s="47"/>
    </row>
    <row r="112" s="5" customFormat="true" ht="12.75" hidden="false" customHeight="false" outlineLevel="0" collapsed="false">
      <c r="D112" s="5" t="n">
        <f aca="false">(D104-D105)/(2*D$31)</f>
        <v>0.0900000000000006</v>
      </c>
      <c r="E112" s="5" t="n">
        <f aca="false">(E104-E105)/(2*E$31)</f>
        <v>0.0799999999999995</v>
      </c>
      <c r="F112" s="5" t="n">
        <f aca="false">(F104-F105)/(2*F$31)</f>
        <v>0.0699999999999998</v>
      </c>
      <c r="G112" s="5" t="n">
        <f aca="false">(G104-G105)/(2*G$31)</f>
        <v>0.0600000000000001</v>
      </c>
      <c r="N112" s="47"/>
      <c r="O112" s="47"/>
      <c r="P112" s="47"/>
      <c r="Q112" s="47"/>
      <c r="R112" s="47"/>
      <c r="S112" s="47"/>
      <c r="T112" s="47"/>
    </row>
    <row r="113" s="5" customFormat="true" ht="12.75" hidden="false" customHeight="false" outlineLevel="0" collapsed="false">
      <c r="A113" s="11" t="s">
        <v>92</v>
      </c>
      <c r="C113" s="5" t="n">
        <f aca="false">(C105-C106)/(2*C$31)</f>
        <v>0.0999999999999996</v>
      </c>
      <c r="D113" s="5" t="n">
        <f aca="false">(D105-D106)/(2*D$31)</f>
        <v>0.09</v>
      </c>
      <c r="E113" s="5" t="n">
        <f aca="false">(E105-E106)/(2*E$31)</f>
        <v>0.08</v>
      </c>
      <c r="F113" s="5" t="n">
        <f aca="false">(F105-F106)/(2*F$31)</f>
        <v>0.0700000000000006</v>
      </c>
      <c r="G113" s="5" t="n">
        <f aca="false">(G105-G106)/(2*G$31)</f>
        <v>0.0599999999999998</v>
      </c>
      <c r="N113" s="47"/>
      <c r="O113" s="47"/>
      <c r="P113" s="47"/>
      <c r="Q113" s="47"/>
      <c r="R113" s="47"/>
      <c r="S113" s="47"/>
      <c r="T113" s="47"/>
    </row>
    <row r="114" s="5" customFormat="true" ht="12.75" hidden="false" customHeight="false" outlineLevel="0" collapsed="false">
      <c r="A114" s="75" t="s">
        <v>66</v>
      </c>
      <c r="B114" s="75" t="n">
        <v>0</v>
      </c>
      <c r="C114" s="75" t="n">
        <v>1</v>
      </c>
      <c r="D114" s="75" t="n">
        <v>2</v>
      </c>
      <c r="E114" s="75" t="n">
        <v>3</v>
      </c>
      <c r="F114" s="75" t="n">
        <v>4</v>
      </c>
      <c r="G114" s="75" t="n">
        <v>5</v>
      </c>
      <c r="N114" s="47"/>
      <c r="O114" s="47"/>
      <c r="P114" s="47"/>
      <c r="Q114" s="47"/>
      <c r="R114" s="47"/>
      <c r="S114" s="47"/>
      <c r="T114" s="47"/>
    </row>
  </sheetData>
  <hyperlinks>
    <hyperlink ref="B7" r:id="rId2" display="leesb@hanyang.ac.kr"/>
    <hyperlink ref="B23" r:id="rId3" display="http://www.federalreserve.gov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1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5" activeCellId="0" sqref="I15"/>
    </sheetView>
  </sheetViews>
  <sheetFormatPr defaultColWidth="8.87890625" defaultRowHeight="12.75" zeroHeight="false" outlineLevelRow="0" outlineLevelCol="0"/>
  <cols>
    <col collapsed="false" customWidth="true" hidden="false" outlineLevel="0" max="1" min="1" style="70" width="30.32"/>
    <col collapsed="false" customWidth="true" hidden="false" outlineLevel="0" max="4" min="2" style="71" width="6.66"/>
    <col collapsed="false" customWidth="true" hidden="false" outlineLevel="0" max="6" min="5" style="71" width="6.55"/>
    <col collapsed="false" customWidth="true" hidden="false" outlineLevel="0" max="7" min="7" style="71" width="6.99"/>
    <col collapsed="false" customWidth="true" hidden="false" outlineLevel="0" max="8" min="8" style="71" width="6.77"/>
    <col collapsed="false" customWidth="true" hidden="false" outlineLevel="0" max="10" min="9" style="71" width="6.55"/>
    <col collapsed="false" customWidth="true" hidden="false" outlineLevel="0" max="12" min="11" style="71" width="6.99"/>
    <col collapsed="false" customWidth="true" hidden="false" outlineLevel="0" max="13" min="13" style="71" width="5.99"/>
    <col collapsed="false" customWidth="false" hidden="false" outlineLevel="0" max="257" min="14" style="71" width="8.88"/>
  </cols>
  <sheetData>
    <row r="1" s="3" customFormat="true" ht="12.75" hidden="false" customHeight="false" outlineLevel="0" collapsed="false">
      <c r="A1" s="2" t="s">
        <v>62</v>
      </c>
      <c r="D1" s="3" t="s">
        <v>1</v>
      </c>
      <c r="K1" s="3" t="s">
        <v>2</v>
      </c>
    </row>
    <row r="2" s="5" customFormat="true" ht="12.75" hidden="false" customHeight="true" outlineLevel="0" collapsed="false">
      <c r="A2" s="4" t="s">
        <v>3</v>
      </c>
      <c r="B2" s="5" t="s">
        <v>4</v>
      </c>
      <c r="C2" s="6" t="s">
        <v>5</v>
      </c>
      <c r="D2" s="7" t="n">
        <v>100302</v>
      </c>
      <c r="E2" s="8"/>
    </row>
    <row r="3" s="11" customFormat="true" ht="12.75" hidden="false" customHeight="true" outlineLevel="0" collapsed="false">
      <c r="A3" s="4" t="s">
        <v>6</v>
      </c>
      <c r="B3" s="9" t="n">
        <v>1</v>
      </c>
      <c r="C3" s="4" t="s">
        <v>7</v>
      </c>
      <c r="D3" s="10" t="s">
        <v>8</v>
      </c>
      <c r="F3" s="12" t="s">
        <v>9</v>
      </c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4"/>
    </row>
    <row r="4" s="11" customFormat="true" ht="12.75" hidden="false" customHeight="true" outlineLevel="0" collapsed="false">
      <c r="A4" s="4" t="s">
        <v>10</v>
      </c>
      <c r="B4" s="15" t="n">
        <v>37774</v>
      </c>
      <c r="F4" s="16" t="s">
        <v>93</v>
      </c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8"/>
    </row>
    <row r="5" s="11" customFormat="true" ht="12.75" hidden="false" customHeight="true" outlineLevel="0" collapsed="false">
      <c r="A5" s="4" t="s">
        <v>12</v>
      </c>
      <c r="B5" s="10" t="s">
        <v>13</v>
      </c>
      <c r="C5" s="10"/>
      <c r="D5" s="10"/>
      <c r="E5" s="10"/>
      <c r="F5" s="19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8"/>
    </row>
    <row r="6" s="11" customFormat="true" ht="12.75" hidden="false" customHeight="true" outlineLevel="0" collapsed="false">
      <c r="A6" s="4" t="s">
        <v>14</v>
      </c>
      <c r="B6" s="10" t="s">
        <v>15</v>
      </c>
      <c r="C6" s="10"/>
      <c r="D6" s="10"/>
      <c r="F6" s="20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2"/>
    </row>
    <row r="7" s="11" customFormat="true" ht="12.75" hidden="false" customHeight="true" outlineLevel="0" collapsed="false">
      <c r="A7" s="4" t="s">
        <v>16</v>
      </c>
      <c r="B7" s="23" t="s">
        <v>17</v>
      </c>
      <c r="C7" s="23"/>
      <c r="D7" s="23"/>
      <c r="E7" s="24"/>
      <c r="F7" s="25" t="s">
        <v>18</v>
      </c>
      <c r="G7" s="26" t="s">
        <v>64</v>
      </c>
      <c r="H7" s="27"/>
      <c r="I7" s="27"/>
      <c r="J7" s="27"/>
      <c r="K7" s="27"/>
      <c r="L7" s="27"/>
      <c r="M7" s="27"/>
      <c r="N7" s="28"/>
      <c r="O7" s="28"/>
      <c r="P7" s="28"/>
      <c r="Q7" s="28"/>
      <c r="R7" s="28"/>
      <c r="S7" s="29"/>
    </row>
    <row r="8" s="11" customFormat="true" ht="12.75" hidden="false" customHeight="true" outlineLevel="0" collapsed="false">
      <c r="A8" s="4" t="s">
        <v>20</v>
      </c>
      <c r="B8" s="30" t="n">
        <v>37952</v>
      </c>
      <c r="C8" s="24"/>
      <c r="D8" s="24"/>
      <c r="E8" s="24"/>
      <c r="F8" s="31" t="s">
        <v>21</v>
      </c>
      <c r="G8" s="32" t="s">
        <v>65</v>
      </c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4"/>
    </row>
    <row r="9" s="11" customFormat="true" ht="12.75" hidden="false" customHeight="true" outlineLevel="0" collapsed="false">
      <c r="A9" s="4" t="s">
        <v>23</v>
      </c>
      <c r="B9" s="24" t="s">
        <v>24</v>
      </c>
      <c r="C9" s="24"/>
      <c r="D9" s="24"/>
      <c r="E9" s="24"/>
      <c r="F9" s="24"/>
      <c r="G9" s="35"/>
      <c r="H9" s="5"/>
      <c r="I9" s="5"/>
      <c r="J9" s="5"/>
      <c r="K9" s="5"/>
      <c r="L9" s="5"/>
      <c r="M9" s="5"/>
      <c r="N9" s="5"/>
      <c r="O9" s="5"/>
      <c r="P9" s="5"/>
      <c r="Q9" s="5"/>
      <c r="R9" s="5"/>
    </row>
    <row r="10" s="11" customFormat="true" ht="12.75" hidden="false" customHeight="true" outlineLevel="0" collapsed="false">
      <c r="A10" s="4"/>
      <c r="C10" s="24"/>
      <c r="D10" s="24"/>
      <c r="E10" s="24"/>
      <c r="F10" s="24"/>
      <c r="G10" s="3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</row>
    <row r="11" s="39" customFormat="true" ht="12.75" hidden="false" customHeight="true" outlineLevel="0" collapsed="false">
      <c r="A11" s="36" t="s">
        <v>25</v>
      </c>
      <c r="B11" s="37"/>
      <c r="C11" s="37"/>
      <c r="D11" s="37"/>
      <c r="E11" s="37"/>
      <c r="F11" s="37"/>
      <c r="G11" s="38"/>
    </row>
    <row r="12" s="11" customFormat="true" ht="12.75" hidden="false" customHeight="true" outlineLevel="0" collapsed="false">
      <c r="A12" s="40"/>
      <c r="B12" s="41"/>
      <c r="C12" s="41"/>
      <c r="D12" s="41"/>
      <c r="E12" s="41"/>
      <c r="F12" s="41"/>
      <c r="G12" s="35"/>
      <c r="H12" s="5"/>
      <c r="I12" s="5"/>
      <c r="J12" s="5"/>
      <c r="K12" s="5"/>
      <c r="L12" s="5"/>
      <c r="M12" s="5"/>
      <c r="N12" s="5"/>
      <c r="P12" s="5"/>
      <c r="Q12" s="5"/>
      <c r="R12" s="5"/>
    </row>
    <row r="13" s="11" customFormat="true" ht="12.75" hidden="false" customHeight="true" outlineLevel="0" collapsed="false">
      <c r="A13" s="42" t="s">
        <v>26</v>
      </c>
      <c r="B13" s="43" t="s">
        <v>27</v>
      </c>
      <c r="C13" s="43"/>
      <c r="D13" s="43"/>
      <c r="E13" s="43"/>
      <c r="F13" s="44"/>
      <c r="G13" s="5"/>
      <c r="H13" s="5"/>
      <c r="I13" s="5"/>
      <c r="J13" s="5"/>
      <c r="K13" s="5"/>
      <c r="L13" s="5"/>
      <c r="M13" s="5"/>
      <c r="N13" s="5"/>
      <c r="P13" s="5"/>
      <c r="Q13" s="5"/>
      <c r="R13" s="5"/>
    </row>
    <row r="14" s="11" customFormat="true" ht="12.75" hidden="false" customHeight="true" outlineLevel="0" collapsed="false">
      <c r="A14" s="45" t="s">
        <v>28</v>
      </c>
      <c r="B14" s="41" t="s">
        <v>29</v>
      </c>
      <c r="C14" s="41"/>
      <c r="D14" s="41"/>
      <c r="E14" s="41"/>
      <c r="F14" s="46"/>
      <c r="P14" s="5"/>
      <c r="Q14" s="5"/>
      <c r="R14" s="5"/>
    </row>
    <row r="15" s="11" customFormat="true" ht="12.75" hidden="false" customHeight="true" outlineLevel="0" collapsed="false">
      <c r="A15" s="45" t="s">
        <v>30</v>
      </c>
      <c r="B15" s="41" t="s">
        <v>31</v>
      </c>
      <c r="C15" s="41"/>
      <c r="D15" s="41"/>
      <c r="E15" s="41"/>
      <c r="F15" s="46"/>
      <c r="P15" s="5"/>
      <c r="Q15" s="5"/>
      <c r="R15" s="5"/>
    </row>
    <row r="16" s="11" customFormat="true" ht="12.75" hidden="false" customHeight="true" outlineLevel="0" collapsed="false">
      <c r="A16" s="45" t="s">
        <v>32</v>
      </c>
      <c r="B16" s="41" t="s">
        <v>33</v>
      </c>
      <c r="C16" s="41"/>
      <c r="D16" s="41"/>
      <c r="E16" s="41"/>
      <c r="F16" s="46"/>
      <c r="H16" s="47"/>
      <c r="I16" s="47"/>
      <c r="P16" s="5"/>
      <c r="Q16" s="5"/>
      <c r="R16" s="5"/>
    </row>
    <row r="17" s="11" customFormat="true" ht="12.75" hidden="false" customHeight="true" outlineLevel="0" collapsed="false">
      <c r="A17" s="45" t="s">
        <v>34</v>
      </c>
      <c r="B17" s="41" t="s">
        <v>35</v>
      </c>
      <c r="C17" s="41"/>
      <c r="D17" s="41"/>
      <c r="E17" s="41"/>
      <c r="F17" s="46"/>
      <c r="H17" s="48"/>
      <c r="I17" s="47"/>
      <c r="P17" s="5"/>
      <c r="Q17" s="5"/>
      <c r="R17" s="5"/>
    </row>
    <row r="18" s="11" customFormat="true" ht="12.75" hidden="false" customHeight="true" outlineLevel="0" collapsed="false">
      <c r="A18" s="45" t="s">
        <v>36</v>
      </c>
      <c r="B18" s="49" t="s">
        <v>37</v>
      </c>
      <c r="C18" s="41"/>
      <c r="D18" s="41"/>
      <c r="E18" s="41"/>
      <c r="F18" s="46"/>
      <c r="P18" s="5"/>
      <c r="Q18" s="5"/>
      <c r="R18" s="5"/>
    </row>
    <row r="19" s="11" customFormat="true" ht="12.75" hidden="false" customHeight="true" outlineLevel="0" collapsed="false">
      <c r="A19" s="50" t="s">
        <v>38</v>
      </c>
      <c r="B19" s="51" t="s">
        <v>39</v>
      </c>
      <c r="C19" s="51"/>
      <c r="D19" s="51"/>
      <c r="E19" s="51"/>
      <c r="F19" s="52"/>
      <c r="P19" s="5"/>
      <c r="Q19" s="5"/>
      <c r="R19" s="5"/>
    </row>
    <row r="20" s="11" customFormat="true" ht="12.75" hidden="false" customHeight="true" outlineLevel="0" collapsed="false">
      <c r="A20" s="53" t="s">
        <v>40</v>
      </c>
      <c r="B20" s="41" t="s">
        <v>41</v>
      </c>
      <c r="C20" s="41"/>
      <c r="D20" s="41"/>
      <c r="E20" s="41"/>
      <c r="F20" s="41"/>
      <c r="P20" s="5"/>
      <c r="Q20" s="5"/>
      <c r="R20" s="5"/>
    </row>
    <row r="21" s="11" customFormat="true" ht="12.75" hidden="false" customHeight="true" outlineLevel="0" collapsed="false">
      <c r="A21" s="4"/>
      <c r="B21" s="30"/>
      <c r="C21" s="30"/>
      <c r="D21" s="30"/>
      <c r="E21" s="30"/>
      <c r="L21" s="5"/>
      <c r="M21" s="5"/>
      <c r="N21" s="5"/>
      <c r="O21" s="5"/>
      <c r="P21" s="5"/>
      <c r="Q21" s="5"/>
      <c r="R21" s="5"/>
    </row>
    <row r="22" s="39" customFormat="true" ht="12.75" hidden="false" customHeight="true" outlineLevel="0" collapsed="false">
      <c r="A22" s="36" t="s">
        <v>42</v>
      </c>
      <c r="B22" s="54"/>
      <c r="C22" s="54"/>
      <c r="D22" s="54"/>
      <c r="E22" s="54"/>
    </row>
    <row r="23" s="11" customFormat="true" ht="12.75" hidden="false" customHeight="true" outlineLevel="0" collapsed="false">
      <c r="A23" s="4" t="s">
        <v>43</v>
      </c>
      <c r="B23" s="55" t="s">
        <v>44</v>
      </c>
      <c r="C23" s="30"/>
      <c r="D23" s="30"/>
      <c r="E23" s="30"/>
      <c r="L23" s="5"/>
      <c r="M23" s="5"/>
      <c r="N23" s="5"/>
      <c r="O23" s="5"/>
      <c r="P23" s="5"/>
      <c r="Q23" s="5"/>
      <c r="R23" s="5"/>
    </row>
    <row r="24" s="5" customFormat="true" ht="12.75" hidden="false" customHeight="true" outlineLevel="0" collapsed="false">
      <c r="A24" s="4" t="s">
        <v>45</v>
      </c>
      <c r="B24" s="56" t="s">
        <v>46</v>
      </c>
      <c r="C24" s="30"/>
      <c r="D24" s="30"/>
      <c r="E24" s="30"/>
      <c r="F24" s="11"/>
      <c r="G24" s="11"/>
    </row>
    <row r="25" s="5" customFormat="true" ht="12.75" hidden="false" customHeight="false" outlineLevel="0" collapsed="false">
      <c r="A25" s="4"/>
      <c r="B25" s="23"/>
      <c r="C25" s="11"/>
      <c r="D25" s="11"/>
      <c r="E25" s="11"/>
      <c r="F25" s="11"/>
      <c r="G25" s="11"/>
    </row>
    <row r="26" s="3" customFormat="true" ht="12.75" hidden="false" customHeight="false" outlineLevel="0" collapsed="false">
      <c r="A26" s="2" t="s">
        <v>47</v>
      </c>
      <c r="B26" s="2"/>
      <c r="N26" s="57"/>
      <c r="O26" s="57"/>
      <c r="P26" s="57"/>
      <c r="Q26" s="57"/>
      <c r="R26" s="57"/>
      <c r="S26" s="57"/>
      <c r="T26" s="57"/>
    </row>
    <row r="27" s="73" customFormat="true" ht="12.75" hidden="false" customHeight="false" outlineLevel="0" collapsed="false">
      <c r="A27" s="72"/>
      <c r="B27" s="72"/>
      <c r="N27" s="74"/>
      <c r="O27" s="74"/>
      <c r="P27" s="74"/>
      <c r="Q27" s="74"/>
      <c r="R27" s="74"/>
      <c r="S27" s="74"/>
      <c r="T27" s="74"/>
    </row>
    <row r="28" s="11" customFormat="true" ht="12.75" hidden="false" customHeight="false" outlineLevel="0" collapsed="false">
      <c r="A28" s="75" t="s">
        <v>66</v>
      </c>
      <c r="B28" s="75" t="n">
        <v>0</v>
      </c>
      <c r="C28" s="75" t="n">
        <v>1</v>
      </c>
      <c r="D28" s="75" t="n">
        <v>2</v>
      </c>
      <c r="E28" s="75" t="n">
        <v>3</v>
      </c>
      <c r="F28" s="75" t="n">
        <v>4</v>
      </c>
      <c r="G28" s="75" t="n">
        <v>5</v>
      </c>
      <c r="H28" s="75" t="n">
        <v>6</v>
      </c>
      <c r="I28" s="75" t="n">
        <v>7</v>
      </c>
      <c r="J28" s="75" t="n">
        <v>8</v>
      </c>
      <c r="K28" s="75" t="n">
        <v>9</v>
      </c>
      <c r="L28" s="75" t="n">
        <v>10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 s="5" customFormat="true" ht="12.75" hidden="false" customHeight="false" outlineLevel="0" collapsed="false">
      <c r="A29" s="76" t="s">
        <v>67</v>
      </c>
      <c r="B29" s="77" t="n">
        <v>0.046</v>
      </c>
      <c r="C29" s="77" t="n">
        <v>0.046</v>
      </c>
      <c r="D29" s="77" t="n">
        <v>0.046</v>
      </c>
      <c r="E29" s="77" t="n">
        <v>0.046</v>
      </c>
      <c r="F29" s="77" t="n">
        <v>0.046</v>
      </c>
      <c r="G29" s="77" t="n">
        <v>0.046</v>
      </c>
      <c r="H29" s="77" t="n">
        <v>0.046</v>
      </c>
      <c r="I29" s="77" t="n">
        <v>0.046</v>
      </c>
      <c r="J29" s="77" t="n">
        <v>0.046</v>
      </c>
      <c r="K29" s="77" t="n">
        <v>0.046</v>
      </c>
      <c r="L29" s="77" t="n">
        <v>0.046</v>
      </c>
    </row>
    <row r="30" s="73" customFormat="true" ht="12.75" hidden="false" customHeight="false" outlineLevel="0" collapsed="false">
      <c r="A30" s="76" t="s">
        <v>68</v>
      </c>
      <c r="B30" s="78" t="n">
        <f aca="false">EXP(-B29*B28)</f>
        <v>1</v>
      </c>
      <c r="C30" s="78" t="n">
        <f aca="false">EXP(-C29*C28)</f>
        <v>0.955041962190715</v>
      </c>
      <c r="D30" s="78" t="n">
        <f aca="false">EXP(-D29*D28)</f>
        <v>0.91210514954509</v>
      </c>
      <c r="E30" s="78" t="n">
        <f aca="false">EXP(-E29*E28)</f>
        <v>0.871098691745798</v>
      </c>
      <c r="F30" s="78" t="n">
        <f aca="false">EXP(-F29*F28)</f>
        <v>0.831935803826672</v>
      </c>
      <c r="G30" s="78" t="n">
        <f aca="false">EXP(-G29*G28)</f>
        <v>0.794533602503334</v>
      </c>
      <c r="H30" s="78" t="n">
        <f aca="false">EXP(-H29*H28)</f>
        <v>0.758812930761241</v>
      </c>
      <c r="I30" s="78" t="n">
        <f aca="false">EXP(-I29*I28)</f>
        <v>0.724698190329903</v>
      </c>
      <c r="J30" s="78" t="n">
        <f aca="false">EXP(-J29*J28)</f>
        <v>0.69211718168873</v>
      </c>
      <c r="K30" s="78" t="n">
        <f aca="false">EXP(-K29*K28)</f>
        <v>0.661000951265913</v>
      </c>
      <c r="L30" s="78" t="n">
        <f aca="false">EXP(-L29*L28)</f>
        <v>0.631283645506926</v>
      </c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78"/>
      <c r="AB30" s="78"/>
      <c r="AC30" s="78"/>
      <c r="AD30" s="78"/>
      <c r="AE30" s="78"/>
      <c r="AF30" s="78"/>
    </row>
    <row r="31" s="5" customFormat="true" ht="12.75" hidden="false" customHeight="false" outlineLevel="0" collapsed="false">
      <c r="A31" s="76" t="s">
        <v>69</v>
      </c>
      <c r="B31" s="79" t="n">
        <f aca="false">-LN(C30/B30)</f>
        <v>0.0459999999999999</v>
      </c>
      <c r="C31" s="79" t="n">
        <f aca="false">-LN(D30/C30)</f>
        <v>0.0460000000000001</v>
      </c>
      <c r="D31" s="79" t="n">
        <f aca="false">-LN(E30/D30)</f>
        <v>0.0459999999999999</v>
      </c>
      <c r="E31" s="79" t="n">
        <f aca="false">-LN(F30/E30)</f>
        <v>0.0459999999999999</v>
      </c>
      <c r="F31" s="79" t="n">
        <f aca="false">-LN(G30/F30)</f>
        <v>0.0459999999999999</v>
      </c>
      <c r="G31" s="79" t="n">
        <f aca="false">-LN(H30/G30)</f>
        <v>0.0460000000000002</v>
      </c>
      <c r="H31" s="79" t="n">
        <f aca="false">-LN(I30/H30)</f>
        <v>0.0459999999999998</v>
      </c>
      <c r="I31" s="79" t="n">
        <f aca="false">-LN(J30/I30)</f>
        <v>0.0460000000000001</v>
      </c>
      <c r="J31" s="79" t="n">
        <f aca="false">-LN(K30/J30)</f>
        <v>0.0459999999999998</v>
      </c>
      <c r="K31" s="79" t="n">
        <f aca="false">-LN(L30/K30)</f>
        <v>0.0460000000000002</v>
      </c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79"/>
    </row>
    <row r="32" s="5" customFormat="true" ht="14.25" hidden="false" customHeight="false" outlineLevel="0" collapsed="false">
      <c r="A32" s="5" t="s">
        <v>70</v>
      </c>
      <c r="B32" s="80" t="n">
        <v>0</v>
      </c>
      <c r="C32" s="80" t="n">
        <v>0.1</v>
      </c>
      <c r="D32" s="80" t="n">
        <v>0.095</v>
      </c>
      <c r="E32" s="80" t="n">
        <v>0.09</v>
      </c>
      <c r="F32" s="80" t="n">
        <v>0.085</v>
      </c>
      <c r="G32" s="80" t="n">
        <v>0.08</v>
      </c>
      <c r="H32" s="80" t="n">
        <v>0.075</v>
      </c>
      <c r="I32" s="80" t="n">
        <v>0.07</v>
      </c>
      <c r="J32" s="80" t="n">
        <v>0.065</v>
      </c>
      <c r="K32" s="80" t="n">
        <v>0.06</v>
      </c>
      <c r="L32" s="80" t="n">
        <v>0.055</v>
      </c>
    </row>
    <row r="33" s="5" customFormat="true" ht="14.25" hidden="false" customHeight="false" outlineLevel="0" collapsed="false">
      <c r="A33" s="5" t="s">
        <v>71</v>
      </c>
      <c r="B33" s="5" t="n">
        <v>0</v>
      </c>
      <c r="C33" s="5" t="n">
        <f aca="false">(C28*C29*C32-B28*B29*B32)/C31</f>
        <v>0.0999999999999999</v>
      </c>
      <c r="D33" s="5" t="n">
        <f aca="false">(D28*D29*D32-C28*C29*C32)/D31</f>
        <v>0.0900000000000001</v>
      </c>
      <c r="E33" s="5" t="n">
        <f aca="false">(E28*E29*E32-D28*D29*D32)/E31</f>
        <v>0.0800000000000001</v>
      </c>
      <c r="F33" s="5" t="n">
        <f aca="false">(F28*F29*F32-E28*E29*E32)/F31</f>
        <v>0.0700000000000001</v>
      </c>
      <c r="G33" s="5" t="n">
        <f aca="false">(G28*G29*G32-F28*F29*F32)/G31</f>
        <v>0.0599999999999997</v>
      </c>
      <c r="H33" s="5" t="n">
        <f aca="false">(H28*H29*H32-G28*G29*G32)/H31</f>
        <v>0.0500000000000002</v>
      </c>
      <c r="I33" s="5" t="n">
        <f aca="false">(I28*I29*I32-H28*H29*H32)/I31</f>
        <v>0.04</v>
      </c>
      <c r="J33" s="5" t="n">
        <f aca="false">(J28*J29*J32-I28*I29*I32)/J31</f>
        <v>0.0300000000000001</v>
      </c>
      <c r="K33" s="5" t="n">
        <f aca="false">(K28*K29*K32-J28*J29*J32)/K31</f>
        <v>0.0199999999999999</v>
      </c>
    </row>
    <row r="34" s="5" customFormat="true" ht="13.5" hidden="false" customHeight="false" outlineLevel="0" collapsed="false">
      <c r="A34" s="5" t="s">
        <v>72</v>
      </c>
      <c r="B34" s="80" t="n">
        <v>1</v>
      </c>
      <c r="C34" s="0"/>
      <c r="N34" s="47"/>
      <c r="O34" s="47"/>
      <c r="P34" s="47"/>
      <c r="Q34" s="47"/>
      <c r="R34" s="47"/>
      <c r="S34" s="47"/>
      <c r="T34" s="47"/>
    </row>
    <row r="35" s="5" customFormat="true" ht="12.75" hidden="false" customHeight="false" outlineLevel="0" collapsed="false">
      <c r="A35" s="5" t="s">
        <v>73</v>
      </c>
      <c r="B35" s="80" t="n">
        <v>1</v>
      </c>
      <c r="N35" s="47"/>
      <c r="O35" s="47"/>
      <c r="P35" s="47"/>
      <c r="Q35" s="47"/>
      <c r="R35" s="47"/>
      <c r="S35" s="47"/>
      <c r="T35" s="47"/>
    </row>
    <row r="36" s="5" customFormat="true" ht="12.75" hidden="false" customHeight="false" outlineLevel="0" collapsed="false">
      <c r="A36" s="5" t="s">
        <v>74</v>
      </c>
      <c r="B36" s="78" t="n">
        <f aca="false">C30/B30</f>
        <v>0.955041962190715</v>
      </c>
      <c r="C36" s="78" t="n">
        <f aca="false">D30/C30</f>
        <v>0.955041962190715</v>
      </c>
      <c r="D36" s="78" t="n">
        <f aca="false">E30/D30</f>
        <v>0.955041962190715</v>
      </c>
      <c r="E36" s="78" t="n">
        <f aca="false">F30/E30</f>
        <v>0.955041962190715</v>
      </c>
      <c r="F36" s="78" t="n">
        <f aca="false">G30/F30</f>
        <v>0.955041962190715</v>
      </c>
      <c r="G36" s="78" t="n">
        <f aca="false">H30/G30</f>
        <v>0.955041962190715</v>
      </c>
      <c r="H36" s="78" t="n">
        <f aca="false">I30/H30</f>
        <v>0.955041962190715</v>
      </c>
      <c r="I36" s="78" t="n">
        <f aca="false">J30/I30</f>
        <v>0.955041962190715</v>
      </c>
      <c r="J36" s="78" t="n">
        <f aca="false">K30/J30</f>
        <v>0.955041962190715</v>
      </c>
      <c r="K36" s="78" t="n">
        <f aca="false">L30/K30</f>
        <v>0.955041962190715</v>
      </c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  <c r="AA36" s="78"/>
      <c r="AB36" s="78"/>
      <c r="AC36" s="78"/>
      <c r="AD36" s="78"/>
      <c r="AE36" s="78"/>
      <c r="AF36" s="78"/>
    </row>
    <row r="37" s="5" customFormat="true" ht="12.75" hidden="false" customHeight="false" outlineLevel="0" collapsed="false">
      <c r="A37" s="5" t="s">
        <v>75</v>
      </c>
      <c r="B37" s="81" t="n">
        <f aca="false">EXP(-2*B31*B33/SQRT($B$34))</f>
        <v>1</v>
      </c>
      <c r="C37" s="81" t="n">
        <f aca="false">EXP(-2*C31*C33/SQRT($B$34))</f>
        <v>0.990842190516615</v>
      </c>
      <c r="D37" s="81" t="n">
        <f aca="false">EXP(-2*D31*D33/SQRT($B$34))</f>
        <v>0.991754184784928</v>
      </c>
      <c r="E37" s="81" t="n">
        <f aca="false">EXP(-2*E31*E33/SQRT($B$34))</f>
        <v>0.992667018474042</v>
      </c>
      <c r="F37" s="81" t="n">
        <f aca="false">EXP(-2*F31*F33/SQRT($B$34))</f>
        <v>0.99358069235658</v>
      </c>
      <c r="G37" s="81" t="n">
        <f aca="false">EXP(-2*G31*G33/SQRT($B$34))</f>
        <v>0.994495207205875</v>
      </c>
      <c r="H37" s="81" t="n">
        <f aca="false">EXP(-2*H31*H33/SQRT($B$34))</f>
        <v>0.995410563795972</v>
      </c>
      <c r="I37" s="81" t="n">
        <f aca="false">EXP(-2*I31*I33/SQRT($B$34))</f>
        <v>0.996326762901631</v>
      </c>
      <c r="J37" s="81" t="n">
        <f aca="false">EXP(-2*J31*J33/SQRT($B$34))</f>
        <v>0.997243805298321</v>
      </c>
      <c r="K37" s="81" t="n">
        <f aca="false">EXP(-2*K31*K33/SQRT($B$34))</f>
        <v>0.998161691762227</v>
      </c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/>
      <c r="W37" s="81"/>
      <c r="X37" s="81"/>
      <c r="Y37" s="81"/>
      <c r="Z37" s="81"/>
      <c r="AA37" s="81"/>
      <c r="AB37" s="81"/>
      <c r="AC37" s="81"/>
      <c r="AD37" s="81"/>
      <c r="AE37" s="81"/>
      <c r="AF37" s="81"/>
    </row>
    <row r="38" s="5" customFormat="true" ht="12.75" hidden="false" customHeight="false" outlineLevel="0" collapsed="false">
      <c r="N38" s="47"/>
      <c r="O38" s="47"/>
      <c r="P38" s="47"/>
      <c r="Q38" s="47"/>
      <c r="R38" s="47"/>
      <c r="S38" s="47"/>
      <c r="T38" s="47"/>
    </row>
    <row r="39" s="5" customFormat="true" ht="12.75" hidden="false" customHeight="false" outlineLevel="0" collapsed="false">
      <c r="A39" s="5" t="s">
        <v>76</v>
      </c>
      <c r="B39" s="80" t="n">
        <v>100</v>
      </c>
      <c r="N39" s="47"/>
      <c r="O39" s="47"/>
      <c r="P39" s="47"/>
      <c r="Q39" s="47"/>
      <c r="R39" s="47"/>
      <c r="S39" s="47"/>
      <c r="T39" s="47"/>
    </row>
    <row r="40" s="5" customFormat="true" ht="12.75" hidden="false" customHeight="false" outlineLevel="0" collapsed="false">
      <c r="A40" s="5" t="s">
        <v>77</v>
      </c>
      <c r="B40" s="80" t="n">
        <v>100</v>
      </c>
      <c r="N40" s="47"/>
      <c r="O40" s="47"/>
      <c r="P40" s="47"/>
      <c r="Q40" s="47"/>
      <c r="R40" s="47"/>
      <c r="S40" s="47"/>
      <c r="T40" s="47"/>
    </row>
    <row r="41" s="5" customFormat="true" ht="12.75" hidden="false" customHeight="false" outlineLevel="0" collapsed="false">
      <c r="A41" s="5" t="s">
        <v>78</v>
      </c>
      <c r="B41" s="80" t="n">
        <v>0.045</v>
      </c>
      <c r="N41" s="47"/>
      <c r="O41" s="47"/>
      <c r="P41" s="47"/>
      <c r="Q41" s="47"/>
      <c r="R41" s="47"/>
      <c r="S41" s="47"/>
      <c r="T41" s="47"/>
    </row>
    <row r="42" s="5" customFormat="true" ht="12.75" hidden="false" customHeight="false" outlineLevel="0" collapsed="false">
      <c r="A42" s="5" t="s">
        <v>79</v>
      </c>
      <c r="B42" s="80" t="n">
        <v>5</v>
      </c>
      <c r="N42" s="47"/>
      <c r="O42" s="47"/>
      <c r="P42" s="47"/>
      <c r="Q42" s="47"/>
      <c r="R42" s="47"/>
      <c r="S42" s="47"/>
      <c r="T42" s="47"/>
    </row>
    <row r="43" s="5" customFormat="true" ht="12.75" hidden="false" customHeight="false" outlineLevel="0" collapsed="false">
      <c r="N43" s="47"/>
      <c r="O43" s="47"/>
      <c r="P43" s="47"/>
      <c r="Q43" s="47"/>
      <c r="R43" s="47"/>
      <c r="S43" s="47"/>
      <c r="T43" s="47"/>
    </row>
    <row r="44" s="3" customFormat="true" ht="12.75" hidden="false" customHeight="false" outlineLevel="0" collapsed="false">
      <c r="A44" s="2" t="s">
        <v>80</v>
      </c>
      <c r="B44" s="2"/>
      <c r="N44" s="57"/>
      <c r="O44" s="57"/>
      <c r="P44" s="57"/>
      <c r="Q44" s="57"/>
      <c r="R44" s="57"/>
      <c r="S44" s="57"/>
      <c r="T44" s="57"/>
    </row>
    <row r="45" s="5" customFormat="true" ht="12.75" hidden="false" customHeight="false" outlineLevel="0" collapsed="false">
      <c r="N45" s="47"/>
      <c r="O45" s="47"/>
      <c r="P45" s="47"/>
      <c r="Q45" s="47"/>
      <c r="R45" s="47"/>
      <c r="S45" s="47"/>
      <c r="T45" s="47"/>
    </row>
    <row r="46" s="5" customFormat="true" ht="12.75" hidden="false" customHeight="false" outlineLevel="0" collapsed="false">
      <c r="B46" s="82"/>
      <c r="C46" s="82"/>
      <c r="D46" s="82"/>
      <c r="E46" s="82"/>
      <c r="F46" s="82"/>
      <c r="G46" s="82" t="n">
        <f aca="false">$B$39</f>
        <v>100</v>
      </c>
      <c r="N46" s="47"/>
      <c r="O46" s="47"/>
      <c r="P46" s="47"/>
      <c r="Q46" s="47"/>
      <c r="R46" s="47"/>
      <c r="S46" s="47"/>
      <c r="T46" s="47"/>
    </row>
    <row r="47" s="5" customFormat="true" ht="12.75" hidden="false" customHeight="false" outlineLevel="0" collapsed="false">
      <c r="B47" s="82"/>
      <c r="C47" s="82"/>
      <c r="D47" s="82"/>
      <c r="E47" s="82"/>
      <c r="F47" s="82" t="n">
        <f aca="false">IF(F48=0,0.5*(G46+G47)*F98,IF(0.5*(G70+G71)*F98&gt;$B$40,$B$40,0.5*(G46+G47)*F98))</f>
        <v>94.2727739819291</v>
      </c>
      <c r="G47" s="82" t="n">
        <f aca="false">$B$39</f>
        <v>100</v>
      </c>
      <c r="N47" s="47"/>
      <c r="O47" s="47"/>
      <c r="P47" s="47"/>
      <c r="Q47" s="47"/>
      <c r="R47" s="47"/>
      <c r="S47" s="47"/>
      <c r="T47" s="47"/>
    </row>
    <row r="48" s="5" customFormat="true" ht="12.75" hidden="false" customHeight="false" outlineLevel="0" collapsed="false">
      <c r="B48" s="82"/>
      <c r="C48" s="82"/>
      <c r="D48" s="82"/>
      <c r="E48" s="82" t="n">
        <f aca="false">IF(E49=0,0.5*(F47+F48)*E99,IF(0.5*(F71+F72)*E99&gt;$B$40,$B$40,0.5*(F47+F48)*E99))</f>
        <v>89.327545886363</v>
      </c>
      <c r="F48" s="82" t="n">
        <f aca="false">IF(F49=0,0.5*(G47+G48)*F99,IF(0.5*(G71+G72)*F99&gt;$B$40,$B$40,0.5*(G47+G48)*F99))</f>
        <v>94.8818497653497</v>
      </c>
      <c r="G48" s="82" t="n">
        <f aca="false">$B$39</f>
        <v>100</v>
      </c>
      <c r="N48" s="47"/>
      <c r="O48" s="47"/>
      <c r="P48" s="47"/>
      <c r="Q48" s="47"/>
      <c r="R48" s="47"/>
      <c r="S48" s="47"/>
      <c r="T48" s="47"/>
    </row>
    <row r="49" s="5" customFormat="true" ht="12.75" hidden="false" customHeight="false" outlineLevel="0" collapsed="false">
      <c r="B49" s="82"/>
      <c r="C49" s="82"/>
      <c r="D49" s="82" t="n">
        <f aca="false">IF(D50=0,0.5*(E48+E49)*D100,IF(0.5*(E72+E73)*D100&gt;$B$40,$B$40,0.5*(E48+E49)*D100))</f>
        <v>85.1928514012959</v>
      </c>
      <c r="E49" s="82" t="n">
        <f aca="false">IF(E50=0,0.5*(F48+F49)*E100,IF(0.5*(F72+F73)*E100&gt;$B$40,$B$40,0.5*(F48+F49)*E100))</f>
        <v>90.5688110504111</v>
      </c>
      <c r="F49" s="82" t="n">
        <f aca="false">IF(F50=0,0.5*(G48+G49)*F100,IF(0.5*(G72+G73)*F100&gt;$B$40,$B$40,0.5*(G48+G49)*F100))</f>
        <v>95.4948606542549</v>
      </c>
      <c r="G49" s="82" t="n">
        <f aca="false">$B$39</f>
        <v>100</v>
      </c>
      <c r="N49" s="47"/>
      <c r="O49" s="47"/>
      <c r="P49" s="47"/>
      <c r="Q49" s="47"/>
      <c r="R49" s="47"/>
      <c r="S49" s="47"/>
      <c r="T49" s="47"/>
    </row>
    <row r="50" s="5" customFormat="true" ht="12.75" hidden="false" customHeight="false" outlineLevel="0" collapsed="false">
      <c r="B50" s="82"/>
      <c r="C50" s="82" t="n">
        <f aca="false">IF(C51=0,0.5*(D49+D50)*C101,IF(0.5*(D73+D74)*C101&gt;$B$40,$B$40,0.5*(D49+D50)*C101))</f>
        <v>83.7474841894995</v>
      </c>
      <c r="D50" s="82" t="n">
        <f aca="false">IF(D51=0,0.5*(E49+E50)*D101,IF(0.5*(E73+E74)*D101&gt;$B$40,$B$40,0.5*(E49+E50)*D101))</f>
        <v>90.9973129921047</v>
      </c>
      <c r="E50" s="82" t="n">
        <f aca="false">IF(E51=0,0.5*(F49+F50)*E101,IF(0.5*(F73+F74)*E101&gt;$B$40,$B$40,0.5*(F49+F50)*E101))</f>
        <v>100</v>
      </c>
      <c r="F50" s="82" t="n">
        <f aca="false">IF(F51=0,0.5*(G49+G50)*F101,IF(0.5*(G73+G74)*F101&gt;$B$40,$B$40,0.5*(G49+G50)*F101))</f>
        <v>100</v>
      </c>
      <c r="G50" s="82" t="n">
        <f aca="false">$B$39</f>
        <v>100</v>
      </c>
      <c r="N50" s="47"/>
      <c r="O50" s="47"/>
      <c r="P50" s="47"/>
      <c r="Q50" s="47"/>
      <c r="R50" s="47"/>
      <c r="S50" s="47"/>
      <c r="T50" s="47"/>
    </row>
    <row r="51" s="5" customFormat="true" ht="12.75" hidden="false" customHeight="false" outlineLevel="0" collapsed="false">
      <c r="A51" s="5" t="s">
        <v>81</v>
      </c>
      <c r="B51" s="82" t="n">
        <f aca="false">IF(B52=0,0.5*(C50+C51)*B102,IF(0.5*(C74+C75)*B102&gt;$B$40,$B$40,0.5*(C50+C51)*B102))</f>
        <v>83.7439286613596</v>
      </c>
      <c r="C51" s="82" t="n">
        <f aca="false">IF(C52=0,0.5*(D50+D51)*C102,IF(0.5*(D74+D75)*C102&gt;$B$40,$B$40,0.5*(D50+D51)*C102))</f>
        <v>91.6247653591262</v>
      </c>
      <c r="D51" s="82" t="n">
        <f aca="false">IF(D52=0,0.5*(E50+E51)*D102,IF(0.5*(E74+E75)*D102&gt;$B$40,$B$40,0.5*(E50+E51)*D102))</f>
        <v>100</v>
      </c>
      <c r="E51" s="82" t="n">
        <f aca="false">IF(E52=0,0.5*(F50+F51)*E102,IF(0.5*(F74+F75)*E102&gt;$B$40,$B$40,0.5*(F50+F51)*E102))</f>
        <v>100</v>
      </c>
      <c r="F51" s="82" t="n">
        <f aca="false">IF(F52=0,0.5*(G50+G51)*F102,IF(0.5*(G74+G75)*F102&gt;$B$40,$B$40,0.5*(G50+G51)*F102))</f>
        <v>100</v>
      </c>
      <c r="G51" s="82" t="n">
        <f aca="false">$B$39</f>
        <v>100</v>
      </c>
      <c r="N51" s="47"/>
      <c r="O51" s="47"/>
      <c r="P51" s="47"/>
      <c r="Q51" s="47"/>
      <c r="R51" s="47"/>
      <c r="S51" s="47"/>
      <c r="T51" s="47"/>
    </row>
    <row r="52" s="5" customFormat="true" ht="12.75" hidden="false" customHeight="false" outlineLevel="0" collapsed="false">
      <c r="A52" s="75" t="s">
        <v>66</v>
      </c>
      <c r="B52" s="75" t="n">
        <v>0</v>
      </c>
      <c r="C52" s="75" t="n">
        <v>1</v>
      </c>
      <c r="D52" s="75" t="n">
        <v>2</v>
      </c>
      <c r="E52" s="75" t="n">
        <v>3</v>
      </c>
      <c r="F52" s="75" t="n">
        <v>4</v>
      </c>
      <c r="G52" s="75" t="n">
        <v>5</v>
      </c>
      <c r="N52" s="47"/>
      <c r="O52" s="47"/>
      <c r="P52" s="47"/>
      <c r="Q52" s="47"/>
      <c r="R52" s="47"/>
      <c r="S52" s="47"/>
      <c r="T52" s="47"/>
    </row>
    <row r="53" s="5" customFormat="true" ht="12.75" hidden="false" customHeight="false" outlineLevel="0" collapsed="false">
      <c r="N53" s="47"/>
      <c r="O53" s="47"/>
      <c r="P53" s="47"/>
      <c r="Q53" s="47"/>
      <c r="R53" s="47"/>
      <c r="S53" s="47"/>
      <c r="T53" s="47"/>
    </row>
    <row r="54" s="5" customFormat="true" ht="12.75" hidden="false" customHeight="false" outlineLevel="0" collapsed="false">
      <c r="B54" s="82"/>
      <c r="C54" s="82"/>
      <c r="D54" s="82"/>
      <c r="E54" s="82"/>
      <c r="F54" s="82"/>
      <c r="G54" s="82" t="n">
        <f aca="false">$B$39*$B$41</f>
        <v>4.5</v>
      </c>
      <c r="N54" s="47"/>
      <c r="O54" s="47"/>
      <c r="P54" s="47"/>
      <c r="Q54" s="47"/>
      <c r="R54" s="47"/>
      <c r="S54" s="47"/>
      <c r="T54" s="47"/>
    </row>
    <row r="55" s="5" customFormat="true" ht="12.75" hidden="false" customHeight="false" outlineLevel="0" collapsed="false">
      <c r="B55" s="82"/>
      <c r="C55" s="82"/>
      <c r="D55" s="82"/>
      <c r="E55" s="82"/>
      <c r="F55" s="82" t="n">
        <f aca="false">IF(F$60=0,0.5*(G54+G55)*F98,IF(0.5*(G70+G71)*F98&gt;$B$40,$B$39*$B$41,0.5*(G54+G55)*F98+$B$39*$B$41))</f>
        <v>8.74227482918681</v>
      </c>
      <c r="G55" s="82" t="n">
        <f aca="false">$B$39*$B$41</f>
        <v>4.5</v>
      </c>
      <c r="N55" s="47"/>
      <c r="O55" s="47"/>
      <c r="P55" s="47"/>
      <c r="Q55" s="47"/>
      <c r="R55" s="47"/>
      <c r="S55" s="47"/>
      <c r="T55" s="47"/>
    </row>
    <row r="56" s="5" customFormat="true" ht="12.75" hidden="false" customHeight="false" outlineLevel="0" collapsed="false">
      <c r="B56" s="82"/>
      <c r="C56" s="82"/>
      <c r="D56" s="82"/>
      <c r="E56" s="82" t="n">
        <f aca="false">IF(E$60=0,0.5*(F55+F56)*E99,IF(0.5*(F71+F72)*E99&gt;$B$40,$B$39*$B$41,0.5*(F55+F56)*E99+$B$39*$B$41))</f>
        <v>12.7699550608151</v>
      </c>
      <c r="F56" s="82" t="n">
        <f aca="false">IF(F$60=0,0.5*(G55+G56)*F99,IF(0.5*(G71+G72)*F99&gt;$B$40,$B$39*$B$41,0.5*(G55+G56)*F99+$B$39*$B$41))</f>
        <v>8.76968323944073</v>
      </c>
      <c r="G56" s="82" t="n">
        <f aca="false">$B$39*$B$41</f>
        <v>4.5</v>
      </c>
      <c r="N56" s="47"/>
      <c r="O56" s="47"/>
      <c r="P56" s="47"/>
      <c r="Q56" s="47"/>
      <c r="R56" s="47"/>
      <c r="S56" s="47"/>
      <c r="T56" s="47"/>
    </row>
    <row r="57" s="5" customFormat="true" ht="12.75" hidden="false" customHeight="false" outlineLevel="0" collapsed="false">
      <c r="B57" s="82"/>
      <c r="C57" s="82"/>
      <c r="D57" s="82" t="n">
        <f aca="false">IF(D$60=0,0.5*(E56+E57)*D100,IF(0.5*(E72+E73)*D100&gt;$B$40,$B$39*$B$41,0.5*(E56+E57)*D100+$B$39*$B$41))</f>
        <v>16.6361611486038</v>
      </c>
      <c r="E57" s="82" t="n">
        <f aca="false">IF(E$60=0,0.5*(F56+F57)*E100,IF(0.5*(F72+F73)*E100&gt;$B$40,$B$39*$B$41,0.5*(F56+F57)*E100+$B$39*$B$41))</f>
        <v>12.8572089784229</v>
      </c>
      <c r="F57" s="82" t="n">
        <f aca="false">IF(F$60=0,0.5*(G56+G57)*F100,IF(0.5*(G72+G73)*F100&gt;$B$40,$B$39*$B$41,0.5*(G56+G57)*F100+$B$39*$B$41))</f>
        <v>8.79726872944147</v>
      </c>
      <c r="G57" s="82" t="n">
        <f aca="false">$B$39*$B$41</f>
        <v>4.5</v>
      </c>
      <c r="N57" s="47"/>
      <c r="O57" s="47"/>
      <c r="P57" s="47"/>
      <c r="Q57" s="47"/>
      <c r="R57" s="47"/>
      <c r="S57" s="47"/>
      <c r="T57" s="47"/>
    </row>
    <row r="58" s="5" customFormat="true" ht="12.75" hidden="false" customHeight="false" outlineLevel="0" collapsed="false">
      <c r="B58" s="82"/>
      <c r="C58" s="82" t="n">
        <f aca="false">IF(C$60=0,0.5*(D57+D58)*C101,IF(0.5*(D73+D74)*C101&gt;$B$40,$B$39*$B$41,0.5*(D57+D58)*C101+$B$39*$B$41))</f>
        <v>18.4860842815093</v>
      </c>
      <c r="D58" s="82" t="n">
        <f aca="false">IF(D$60=0,0.5*(E57+E58)*D101,IF(0.5*(E73+E74)*D101&gt;$B$40,$B$39*$B$41,0.5*(E57+E58)*D101+$B$39*$B$41))</f>
        <v>12.7881315645145</v>
      </c>
      <c r="E58" s="82" t="n">
        <f aca="false">IF(E$60=0,0.5*(F57+F58)*E101,IF(0.5*(F73+F74)*E101&gt;$B$40,$B$39*$B$41,0.5*(F57+F58)*E101+$B$39*$B$41))</f>
        <v>4.5</v>
      </c>
      <c r="F58" s="82" t="n">
        <f aca="false">IF(F$60=0,0.5*(G57+G58)*F101,IF(0.5*(G73+G74)*F101&gt;$B$40,$B$39*$B$41,0.5*(G57+G58)*F101+$B$39*$B$41))</f>
        <v>4.5</v>
      </c>
      <c r="G58" s="82" t="n">
        <f aca="false">$B$39*$B$41</f>
        <v>4.5</v>
      </c>
      <c r="N58" s="47"/>
      <c r="O58" s="47"/>
      <c r="P58" s="47"/>
      <c r="Q58" s="47"/>
      <c r="R58" s="47"/>
      <c r="S58" s="47"/>
      <c r="T58" s="47"/>
    </row>
    <row r="59" s="5" customFormat="true" ht="12.75" hidden="false" customHeight="false" outlineLevel="0" collapsed="false">
      <c r="A59" s="5" t="s">
        <v>82</v>
      </c>
      <c r="B59" s="82" t="n">
        <f aca="false">IF(B$60=0,0.5*(C58+C59)*B102,IF(0.5*(C74+C75)*B102&gt;$B$40,$B$39*$B$41,0.5*(C58+C59)*B102+$B$39*$B$41))</f>
        <v>14.9366197291453</v>
      </c>
      <c r="C59" s="82" t="n">
        <f aca="false">IF(C$60=0,0.5*(D58+D59)*C102,IF(0.5*(D74+D75)*C102&gt;$B$40,$B$39*$B$41,0.5*(D58+D59)*C102+$B$39*$B$41))</f>
        <v>12.7934203276557</v>
      </c>
      <c r="D59" s="82" t="n">
        <f aca="false">IF(D$60=0,0.5*(E58+E59)*D102,IF(0.5*(E74+E75)*D102&gt;$B$40,$B$39*$B$41,0.5*(E58+E59)*D102+$B$39*$B$41))</f>
        <v>4.5</v>
      </c>
      <c r="E59" s="82" t="n">
        <f aca="false">IF(E$60=0,0.5*(F58+F59)*E102,IF(0.5*(F74+F75)*E102&gt;$B$40,$B$39*$B$41,0.5*(F58+F59)*E102+$B$39*$B$41))</f>
        <v>4.5</v>
      </c>
      <c r="F59" s="82" t="n">
        <f aca="false">IF(F$60=0,0.5*(G58+G59)*F102,IF(0.5*(G74+G75)*F102&gt;$B$40,$B$39*$B$41,0.5*(G58+G59)*F102+$B$39*$B$41))</f>
        <v>4.5</v>
      </c>
      <c r="G59" s="82" t="n">
        <f aca="false">$B$39*$B$41</f>
        <v>4.5</v>
      </c>
      <c r="N59" s="47"/>
      <c r="O59" s="47"/>
      <c r="P59" s="47"/>
      <c r="Q59" s="47"/>
      <c r="R59" s="47"/>
      <c r="S59" s="47"/>
      <c r="T59" s="47"/>
    </row>
    <row r="60" s="5" customFormat="true" ht="12.75" hidden="false" customHeight="false" outlineLevel="0" collapsed="false">
      <c r="A60" s="75" t="s">
        <v>66</v>
      </c>
      <c r="B60" s="75" t="n">
        <v>0</v>
      </c>
      <c r="C60" s="75" t="n">
        <v>1</v>
      </c>
      <c r="D60" s="75" t="n">
        <v>2</v>
      </c>
      <c r="E60" s="75" t="n">
        <v>3</v>
      </c>
      <c r="F60" s="75" t="n">
        <v>4</v>
      </c>
      <c r="G60" s="75" t="n">
        <v>5</v>
      </c>
      <c r="N60" s="47"/>
      <c r="O60" s="47"/>
      <c r="P60" s="47"/>
      <c r="Q60" s="47"/>
      <c r="R60" s="47"/>
      <c r="S60" s="47"/>
      <c r="T60" s="47"/>
    </row>
    <row r="61" s="5" customFormat="true" ht="12.75" hidden="false" customHeight="false" outlineLevel="0" collapsed="false">
      <c r="N61" s="47"/>
      <c r="O61" s="47"/>
      <c r="P61" s="47"/>
      <c r="Q61" s="47"/>
      <c r="R61" s="47"/>
      <c r="S61" s="47"/>
      <c r="T61" s="47"/>
    </row>
    <row r="62" s="5" customFormat="true" ht="12.75" hidden="false" customHeight="false" outlineLevel="0" collapsed="false">
      <c r="A62" s="5" t="s">
        <v>94</v>
      </c>
      <c r="C62" s="88" t="n">
        <f aca="false">-($B$75-ex1!$B$71)/(ex1!B71*0.001)</f>
        <v>3.1182288745075</v>
      </c>
      <c r="N62" s="47"/>
      <c r="O62" s="47"/>
      <c r="P62" s="47"/>
      <c r="Q62" s="47"/>
      <c r="R62" s="47"/>
      <c r="S62" s="47"/>
      <c r="T62" s="47"/>
    </row>
    <row r="63" s="5" customFormat="true" ht="12.75" hidden="false" customHeight="false" outlineLevel="0" collapsed="false">
      <c r="A63" s="5" t="s">
        <v>95</v>
      </c>
      <c r="C63" s="88" t="n">
        <f aca="false">-($B$51-ex1!$B$51)/(ex1!$B$51*0.001)</f>
        <v>48.2004749195267</v>
      </c>
      <c r="N63" s="47"/>
      <c r="O63" s="47"/>
      <c r="P63" s="47"/>
      <c r="Q63" s="47"/>
      <c r="R63" s="47"/>
      <c r="S63" s="47"/>
      <c r="T63" s="47"/>
    </row>
    <row r="64" s="5" customFormat="true" ht="12.75" hidden="false" customHeight="false" outlineLevel="0" collapsed="false">
      <c r="A64" s="5" t="s">
        <v>96</v>
      </c>
      <c r="C64" s="88" t="n">
        <f aca="false">-($B$59-ex1!$B$59)/(ex1!$B$59*0.001)</f>
        <v>-357.334090718483</v>
      </c>
      <c r="N64" s="47"/>
      <c r="O64" s="47"/>
      <c r="P64" s="47"/>
      <c r="Q64" s="47"/>
      <c r="R64" s="47"/>
      <c r="S64" s="47"/>
      <c r="T64" s="47"/>
    </row>
    <row r="65" s="5" customFormat="true" ht="12.75" hidden="false" customHeight="false" outlineLevel="0" collapsed="false">
      <c r="N65" s="47"/>
      <c r="O65" s="47"/>
      <c r="P65" s="47"/>
      <c r="Q65" s="47"/>
      <c r="R65" s="47"/>
      <c r="S65" s="47"/>
      <c r="T65" s="47"/>
    </row>
    <row r="66" s="5" customFormat="true" ht="12.75" hidden="false" customHeight="false" outlineLevel="0" collapsed="false">
      <c r="A66" s="5" t="s">
        <v>83</v>
      </c>
      <c r="B66" s="83" t="n">
        <f aca="false">B51+B59</f>
        <v>98.6805483905049</v>
      </c>
      <c r="N66" s="47"/>
      <c r="O66" s="47"/>
      <c r="P66" s="47"/>
      <c r="Q66" s="47"/>
      <c r="R66" s="47"/>
      <c r="S66" s="47"/>
      <c r="T66" s="47"/>
    </row>
    <row r="67" s="5" customFormat="true" ht="12.75" hidden="false" customHeight="false" outlineLevel="0" collapsed="false">
      <c r="N67" s="47"/>
      <c r="O67" s="47"/>
      <c r="P67" s="47"/>
      <c r="Q67" s="47"/>
      <c r="R67" s="47"/>
      <c r="S67" s="47"/>
      <c r="T67" s="47"/>
    </row>
    <row r="68" s="3" customFormat="true" ht="12.75" hidden="false" customHeight="false" outlineLevel="0" collapsed="false">
      <c r="A68" s="2" t="s">
        <v>84</v>
      </c>
      <c r="B68" s="2"/>
      <c r="N68" s="57"/>
      <c r="O68" s="57"/>
      <c r="P68" s="57"/>
      <c r="Q68" s="57"/>
      <c r="R68" s="57"/>
      <c r="S68" s="57"/>
      <c r="T68" s="57"/>
    </row>
    <row r="69" s="5" customFormat="true" ht="12.75" hidden="false" customHeight="false" outlineLevel="0" collapsed="false">
      <c r="N69" s="47"/>
      <c r="O69" s="47"/>
      <c r="P69" s="47"/>
      <c r="Q69" s="47"/>
      <c r="R69" s="47"/>
      <c r="S69" s="47"/>
      <c r="T69" s="47"/>
    </row>
    <row r="70" s="5" customFormat="true" ht="12.75" hidden="false" customHeight="false" outlineLevel="0" collapsed="false">
      <c r="B70" s="83"/>
      <c r="C70" s="83"/>
      <c r="D70" s="83"/>
      <c r="E70" s="83"/>
      <c r="F70" s="83"/>
      <c r="G70" s="83" t="n">
        <f aca="false">$B$39+$B$39*$B$41</f>
        <v>104.5</v>
      </c>
      <c r="N70" s="47"/>
      <c r="O70" s="47"/>
      <c r="P70" s="47"/>
      <c r="Q70" s="47"/>
      <c r="R70" s="47"/>
      <c r="S70" s="47"/>
      <c r="T70" s="47"/>
    </row>
    <row r="71" s="5" customFormat="true" ht="12.75" hidden="false" customHeight="false" outlineLevel="0" collapsed="false">
      <c r="B71" s="83"/>
      <c r="C71" s="83"/>
      <c r="D71" s="83"/>
      <c r="E71" s="83"/>
      <c r="F71" s="83" t="n">
        <f aca="false">IF(F$76=0,0.5*(G70+G71)*F98,MIN($B$40,0.5*(G70+G71)*F98)+$B$39*$B$41)</f>
        <v>103.015048811116</v>
      </c>
      <c r="G71" s="83" t="n">
        <f aca="false">$B$39+$B$39*$B$41</f>
        <v>104.5</v>
      </c>
      <c r="N71" s="47"/>
      <c r="O71" s="47"/>
      <c r="P71" s="47"/>
      <c r="Q71" s="47"/>
      <c r="R71" s="47"/>
      <c r="S71" s="47"/>
      <c r="T71" s="47"/>
    </row>
    <row r="72" s="5" customFormat="true" ht="12.75" hidden="false" customHeight="false" outlineLevel="0" collapsed="false">
      <c r="B72" s="83"/>
      <c r="C72" s="83"/>
      <c r="D72" s="83"/>
      <c r="E72" s="83" t="n">
        <f aca="false">IF(E$76=0,0.5*(F71+F72)*E99,MIN($B$40,0.5*(F71+F72)*E99)+$B$39*$B$41)</f>
        <v>102.097500947178</v>
      </c>
      <c r="F72" s="83" t="n">
        <f aca="false">IF(F$76=0,0.5*(G71+G72)*F99,MIN($B$40,0.5*(G71+G72)*F99)+$B$39*$B$41)</f>
        <v>103.65153300479</v>
      </c>
      <c r="G72" s="83" t="n">
        <f aca="false">$B$39+$B$39*$B$41</f>
        <v>104.5</v>
      </c>
      <c r="N72" s="47"/>
      <c r="O72" s="47"/>
      <c r="P72" s="47"/>
      <c r="Q72" s="47"/>
      <c r="R72" s="47"/>
      <c r="S72" s="47"/>
      <c r="T72" s="47"/>
    </row>
    <row r="73" s="5" customFormat="true" ht="12.75" hidden="false" customHeight="false" outlineLevel="0" collapsed="false">
      <c r="B73" s="83"/>
      <c r="C73" s="83"/>
      <c r="D73" s="83" t="n">
        <f aca="false">IF(D$76=0,0.5*(E72+E73)*D100,MIN($B$40,0.5*(E72+E73)*D100)+$B$39*$B$41)</f>
        <v>101.8290125499</v>
      </c>
      <c r="E73" s="83" t="n">
        <f aca="false">IF(E$76=0,0.5*(F72+F73)*E100,MIN($B$40,0.5*(F72+F73)*E100)+$B$39*$B$41)</f>
        <v>103.426020028834</v>
      </c>
      <c r="F73" s="83" t="n">
        <f aca="false">IF(F$76=0,0.5*(G72+G73)*F100,MIN($B$40,0.5*(G72+G73)*F100)+$B$39*$B$41)</f>
        <v>104.292129383696</v>
      </c>
      <c r="G73" s="83" t="n">
        <f aca="false">$B$39+$B$39*$B$41</f>
        <v>104.5</v>
      </c>
      <c r="N73" s="47"/>
      <c r="O73" s="47"/>
      <c r="P73" s="47"/>
      <c r="Q73" s="47"/>
      <c r="R73" s="47"/>
      <c r="S73" s="47"/>
      <c r="T73" s="47"/>
    </row>
    <row r="74" s="5" customFormat="true" ht="12.75" hidden="false" customHeight="false" outlineLevel="0" collapsed="false">
      <c r="B74" s="83"/>
      <c r="C74" s="83" t="n">
        <f aca="false">IF(C$76=0,0.5*(D73+D74)*C101,MIN($B$40,0.5*(D73+D74)*C101)+$B$39*$B$41)</f>
        <v>102.233568471009</v>
      </c>
      <c r="D74" s="83" t="n">
        <f aca="false">IF(D$76=0,0.5*(E73+E74)*D101,MIN($B$40,0.5*(E73+E74)*D101)+$B$39*$B$41)</f>
        <v>103.785444556619</v>
      </c>
      <c r="E74" s="83" t="n">
        <f aca="false">IF(E$76=0,0.5*(F73+F74)*E101,MIN($B$40,0.5*(F73+F74)*E101)+$B$39*$B$41)</f>
        <v>104.5</v>
      </c>
      <c r="F74" s="83" t="n">
        <f aca="false">IF(F$76=0,0.5*(G73+G74)*F101,MIN($B$40,0.5*(G73+G74)*F101)+$B$39*$B$41)</f>
        <v>104.5</v>
      </c>
      <c r="G74" s="83" t="n">
        <f aca="false">$B$39+$B$39*$B$41</f>
        <v>104.5</v>
      </c>
      <c r="N74" s="47"/>
      <c r="O74" s="47"/>
      <c r="P74" s="47"/>
      <c r="Q74" s="47"/>
      <c r="R74" s="47"/>
      <c r="S74" s="47"/>
      <c r="T74" s="47"/>
    </row>
    <row r="75" s="5" customFormat="true" ht="12.75" hidden="false" customHeight="false" outlineLevel="0" collapsed="false">
      <c r="A75" s="5" t="s">
        <v>85</v>
      </c>
      <c r="B75" s="83" t="n">
        <f aca="false">IF(B$76=0,0.5*(C74+C75)*B102,MIN($B$40,0.5*(C74+C75)*B102)+$B$39*$B$41)</f>
        <v>98.6805483905049</v>
      </c>
      <c r="C75" s="83" t="n">
        <f aca="false">IF(C$76=0,0.5*(D74+D75)*C102,MIN($B$40,0.5*(D74+D75)*C102)+$B$39*$B$41)</f>
        <v>104.418185686782</v>
      </c>
      <c r="D75" s="83" t="n">
        <f aca="false">IF(D$76=0,0.5*(E74+E75)*D102,MIN($B$40,0.5*(E74+E75)*D102)+$B$39*$B$41)</f>
        <v>104.5</v>
      </c>
      <c r="E75" s="83" t="n">
        <f aca="false">IF(E$76=0,0.5*(F74+F75)*E102,MIN($B$40,0.5*(F74+F75)*E102)+$B$39*$B$41)</f>
        <v>104.5</v>
      </c>
      <c r="F75" s="83" t="n">
        <f aca="false">IF(F$76=0,0.5*(G74+G75)*F102,MIN($B$40,0.5*(G74+G75)*F102)+$B$39*$B$41)</f>
        <v>104.5</v>
      </c>
      <c r="G75" s="83" t="n">
        <f aca="false">$B$39+$B$39*$B$41</f>
        <v>104.5</v>
      </c>
      <c r="N75" s="47"/>
      <c r="O75" s="47"/>
      <c r="P75" s="47"/>
      <c r="Q75" s="47"/>
      <c r="R75" s="47"/>
      <c r="S75" s="47"/>
      <c r="T75" s="47"/>
    </row>
    <row r="76" s="5" customFormat="true" ht="12.75" hidden="false" customHeight="false" outlineLevel="0" collapsed="false">
      <c r="A76" s="75" t="s">
        <v>66</v>
      </c>
      <c r="B76" s="75" t="n">
        <v>0</v>
      </c>
      <c r="C76" s="75" t="n">
        <v>1</v>
      </c>
      <c r="D76" s="75" t="n">
        <v>2</v>
      </c>
      <c r="E76" s="75" t="n">
        <v>3</v>
      </c>
      <c r="F76" s="75" t="n">
        <v>4</v>
      </c>
      <c r="G76" s="75" t="n">
        <v>5</v>
      </c>
      <c r="N76" s="47"/>
      <c r="O76" s="47"/>
      <c r="P76" s="47"/>
      <c r="Q76" s="47"/>
      <c r="R76" s="47"/>
      <c r="S76" s="47"/>
      <c r="T76" s="47"/>
    </row>
    <row r="77" s="5" customFormat="true" ht="12.75" hidden="false" customHeight="false" outlineLevel="0" collapsed="false">
      <c r="N77" s="47"/>
      <c r="O77" s="47"/>
      <c r="P77" s="47"/>
      <c r="Q77" s="47"/>
      <c r="R77" s="47"/>
      <c r="S77" s="47"/>
      <c r="T77" s="47"/>
    </row>
    <row r="78" s="5" customFormat="true" ht="12.75" hidden="false" customHeight="false" outlineLevel="0" collapsed="false">
      <c r="B78" s="84"/>
      <c r="C78" s="84"/>
      <c r="D78" s="84"/>
      <c r="E78" s="84"/>
      <c r="F78" s="84"/>
      <c r="G78" s="84" t="n">
        <f aca="false">$B$39+$B$39*$B$41</f>
        <v>104.5</v>
      </c>
      <c r="N78" s="47"/>
      <c r="O78" s="47"/>
      <c r="P78" s="47"/>
      <c r="Q78" s="47"/>
      <c r="R78" s="47"/>
      <c r="S78" s="47"/>
      <c r="T78" s="47"/>
    </row>
    <row r="79" s="5" customFormat="true" ht="12.75" hidden="false" customHeight="false" outlineLevel="0" collapsed="false">
      <c r="B79" s="84"/>
      <c r="C79" s="84"/>
      <c r="D79" s="84"/>
      <c r="E79" s="84"/>
      <c r="F79" s="84" t="n">
        <f aca="false">IF(F$84=0,0.5*(G78+G79)*F98,0.5*(G78+G79)*F98+$B$39*$B$41/$B$34)</f>
        <v>103.015048811116</v>
      </c>
      <c r="G79" s="84" t="n">
        <f aca="false">$B$39+$B$39*$B$41</f>
        <v>104.5</v>
      </c>
      <c r="N79" s="47"/>
      <c r="O79" s="47"/>
      <c r="P79" s="47"/>
      <c r="Q79" s="47"/>
      <c r="R79" s="47"/>
      <c r="S79" s="47"/>
      <c r="T79" s="47"/>
    </row>
    <row r="80" s="5" customFormat="true" ht="12.75" hidden="false" customHeight="false" outlineLevel="0" collapsed="false">
      <c r="B80" s="84"/>
      <c r="C80" s="84"/>
      <c r="D80" s="84"/>
      <c r="E80" s="84" t="n">
        <f aca="false">IF(E$84=0,0.5*(F79+F80)*E99,0.5*(F79+F80)*E99+$B$39*$B$41/$B$34)</f>
        <v>102.097500947178</v>
      </c>
      <c r="F80" s="84" t="n">
        <f aca="false">IF(F$84=0,0.5*(G79+G80)*F99,0.5*(G79+G80)*F99+$B$39*$B$41/$B$34)</f>
        <v>103.65153300479</v>
      </c>
      <c r="G80" s="84" t="n">
        <f aca="false">$B$39+$B$39*$B$41</f>
        <v>104.5</v>
      </c>
      <c r="N80" s="47"/>
      <c r="O80" s="47"/>
      <c r="P80" s="47"/>
      <c r="Q80" s="47"/>
      <c r="R80" s="47"/>
      <c r="S80" s="47"/>
      <c r="T80" s="47"/>
    </row>
    <row r="81" s="5" customFormat="true" ht="12.75" hidden="false" customHeight="false" outlineLevel="0" collapsed="false">
      <c r="B81" s="84"/>
      <c r="C81" s="84"/>
      <c r="D81" s="84" t="n">
        <f aca="false">IF(D$84=0,0.5*(E80+E81)*D100,0.5*(E80+E81)*D100+$B$39*$B$41/$B$34)</f>
        <v>101.8290125499</v>
      </c>
      <c r="E81" s="84" t="n">
        <f aca="false">IF(E$84=0,0.5*(F80+F81)*E100,0.5*(F80+F81)*E100+$B$39*$B$41/$B$34)</f>
        <v>103.426020028834</v>
      </c>
      <c r="F81" s="84" t="n">
        <f aca="false">IF(F$84=0,0.5*(G80+G81)*F100,0.5*(G80+G81)*F100+$B$39*$B$41/$B$34)</f>
        <v>104.292129383696</v>
      </c>
      <c r="G81" s="84" t="n">
        <f aca="false">$B$39+$B$39*$B$41</f>
        <v>104.5</v>
      </c>
      <c r="N81" s="47"/>
      <c r="O81" s="47"/>
      <c r="P81" s="47"/>
      <c r="Q81" s="47"/>
      <c r="R81" s="47"/>
      <c r="S81" s="47"/>
      <c r="T81" s="47"/>
    </row>
    <row r="82" s="5" customFormat="true" ht="12.75" hidden="false" customHeight="false" outlineLevel="0" collapsed="false">
      <c r="B82" s="84"/>
      <c r="C82" s="84" t="n">
        <f aca="false">IF(C$84=0,0.5*(D81+D82)*C101,0.5*(D81+D82)*C101+$B$39*$B$41/$B$34)</f>
        <v>102.295484616818</v>
      </c>
      <c r="D82" s="84" t="n">
        <f aca="false">IF(D$84=0,0.5*(E81+E82)*D101,0.5*(E81+E82)*D101+$B$39*$B$41/$B$34)</f>
        <v>103.915705375966</v>
      </c>
      <c r="E82" s="84" t="n">
        <f aca="false">IF(E$84=0,0.5*(F81+F82)*E101,0.5*(F81+F82)*E101+$B$39*$B$41/$B$34)</f>
        <v>104.77279541179</v>
      </c>
      <c r="F82" s="84" t="n">
        <f aca="false">IF(F$84=0,0.5*(G81+G82)*F101,0.5*(G81+G82)*F101+$B$39*$B$41/$B$34)</f>
        <v>104.936864515764</v>
      </c>
      <c r="G82" s="84" t="n">
        <f aca="false">$B$39+$B$39*$B$41</f>
        <v>104.5</v>
      </c>
      <c r="N82" s="47"/>
      <c r="O82" s="47"/>
      <c r="P82" s="47"/>
      <c r="Q82" s="47"/>
      <c r="R82" s="47"/>
      <c r="S82" s="47"/>
      <c r="T82" s="47"/>
    </row>
    <row r="83" s="5" customFormat="true" ht="12.75" hidden="false" customHeight="false" outlineLevel="0" collapsed="false">
      <c r="A83" s="5" t="s">
        <v>86</v>
      </c>
      <c r="B83" s="84" t="n">
        <f aca="false">IF(B$84=0,0.5*(C82+C83)*B102,0.5*(C82+C83)*B102+$B$39*$B$41/$B$34)</f>
        <v>99.0945786944857</v>
      </c>
      <c r="C83" s="84" t="n">
        <f aca="false">IF(C$84=0,0.5*(D82+D83)*C102,0.5*(D82+D83)*C102+$B$39*$B$41/$B$34)</f>
        <v>105.22331061429</v>
      </c>
      <c r="D83" s="84" t="n">
        <f aca="false">IF(D$84=0,0.5*(E82+E83)*D102,0.5*(E82+E83)*D102+$B$39*$B$41/$B$34)</f>
        <v>106.048070330254</v>
      </c>
      <c r="E83" s="84" t="n">
        <f aca="false">IF(E$84=0,0.5*(F82+F83)*E102,0.5*(F82+F83)*E102+$B$39*$B$41/$B$34)</f>
        <v>106.138079269846</v>
      </c>
      <c r="F83" s="84" t="n">
        <f aca="false">IF(F$84=0,0.5*(G82+G83)*F102,0.5*(G82+G83)*F102+$B$39*$B$41/$B$34)</f>
        <v>105.585765140571</v>
      </c>
      <c r="G83" s="84" t="n">
        <f aca="false">$B$39+$B$39*$B$41</f>
        <v>104.5</v>
      </c>
      <c r="N83" s="47"/>
      <c r="O83" s="47"/>
      <c r="P83" s="47"/>
      <c r="Q83" s="47"/>
      <c r="R83" s="47"/>
      <c r="S83" s="47"/>
      <c r="T83" s="47"/>
    </row>
    <row r="84" s="5" customFormat="true" ht="12.75" hidden="false" customHeight="false" outlineLevel="0" collapsed="false">
      <c r="A84" s="75" t="s">
        <v>66</v>
      </c>
      <c r="B84" s="75" t="n">
        <v>0</v>
      </c>
      <c r="C84" s="75" t="n">
        <v>1</v>
      </c>
      <c r="D84" s="75" t="n">
        <v>2</v>
      </c>
      <c r="E84" s="75" t="n">
        <v>3</v>
      </c>
      <c r="F84" s="75" t="n">
        <v>4</v>
      </c>
      <c r="G84" s="75" t="n">
        <v>5</v>
      </c>
      <c r="N84" s="47"/>
      <c r="O84" s="47"/>
      <c r="P84" s="47"/>
      <c r="Q84" s="47"/>
      <c r="R84" s="47"/>
      <c r="S84" s="47"/>
      <c r="T84" s="47"/>
    </row>
    <row r="85" s="5" customFormat="true" ht="12.75" hidden="false" customHeight="false" outlineLevel="0" collapsed="false">
      <c r="N85" s="47"/>
      <c r="O85" s="47"/>
      <c r="P85" s="47"/>
      <c r="Q85" s="47"/>
      <c r="R85" s="47"/>
      <c r="S85" s="47"/>
      <c r="T85" s="47"/>
    </row>
    <row r="86" s="5" customFormat="true" ht="12.75" hidden="false" customHeight="false" outlineLevel="0" collapsed="false">
      <c r="N86" s="47"/>
      <c r="O86" s="47"/>
      <c r="P86" s="47"/>
      <c r="Q86" s="47"/>
      <c r="R86" s="47"/>
      <c r="S86" s="47"/>
      <c r="T86" s="47"/>
    </row>
    <row r="87" s="5" customFormat="true" ht="12.75" hidden="false" customHeight="false" outlineLevel="0" collapsed="false">
      <c r="A87" s="5" t="s">
        <v>87</v>
      </c>
      <c r="B87" s="85" t="n">
        <f aca="false">B37</f>
        <v>1</v>
      </c>
      <c r="C87" s="85" t="n">
        <f aca="false">1+PRODUCT($C37:C37)</f>
        <v>1.99084219051662</v>
      </c>
      <c r="D87" s="85" t="n">
        <f aca="false">1+PRODUCT($C37:D37)</f>
        <v>1.98267188890632</v>
      </c>
      <c r="E87" s="85" t="n">
        <f aca="false">1+PRODUCT($C37:E37)</f>
        <v>1.97546597409889</v>
      </c>
      <c r="F87" s="85" t="n">
        <f aca="false">1+PRODUCT($C37:F37)</f>
        <v>1.96920415791546</v>
      </c>
      <c r="G87" s="85" t="n">
        <f aca="false">1+PRODUCT($C37:G37)</f>
        <v>1.96386888985093</v>
      </c>
      <c r="N87" s="47"/>
      <c r="O87" s="47"/>
      <c r="P87" s="47"/>
      <c r="Q87" s="47"/>
      <c r="R87" s="47"/>
      <c r="S87" s="47"/>
      <c r="T87" s="47"/>
    </row>
    <row r="88" s="5" customFormat="true" ht="12.75" hidden="false" customHeight="false" outlineLevel="0" collapsed="false">
      <c r="C88" s="85"/>
      <c r="D88" s="85" t="n">
        <f aca="false">1+PRODUCT($D37:D37)</f>
        <v>1.99175418478493</v>
      </c>
      <c r="E88" s="85" t="n">
        <f aca="false">1+PRODUCT($D37:E37)</f>
        <v>1.98448166966961</v>
      </c>
      <c r="F88" s="85" t="n">
        <f aca="false">1+PRODUCT($D37:F37)</f>
        <v>1.97816197896269</v>
      </c>
      <c r="G88" s="85" t="n">
        <f aca="false">1+PRODUCT($D37:G37)</f>
        <v>1.97277739994941</v>
      </c>
      <c r="N88" s="47"/>
      <c r="O88" s="47"/>
      <c r="P88" s="47"/>
      <c r="Q88" s="47"/>
      <c r="R88" s="47"/>
      <c r="S88" s="47"/>
      <c r="T88" s="47"/>
    </row>
    <row r="89" s="5" customFormat="true" ht="12.75" hidden="false" customHeight="false" outlineLevel="0" collapsed="false">
      <c r="E89" s="85" t="n">
        <f aca="false">1+PRODUCT($E37:E37)</f>
        <v>1.99266701847404</v>
      </c>
      <c r="F89" s="85" t="n">
        <f aca="false">1+PRODUCT($E37:F37)</f>
        <v>1.98629478349498</v>
      </c>
      <c r="G89" s="85" t="n">
        <f aca="false">1+PRODUCT($E37:G37)</f>
        <v>1.98086543507791</v>
      </c>
      <c r="N89" s="47"/>
      <c r="O89" s="47"/>
      <c r="P89" s="47"/>
      <c r="Q89" s="47"/>
      <c r="R89" s="47"/>
      <c r="S89" s="47"/>
      <c r="T89" s="47"/>
    </row>
    <row r="90" s="5" customFormat="true" ht="12.75" hidden="false" customHeight="false" outlineLevel="0" collapsed="false">
      <c r="F90" s="85" t="n">
        <f aca="false">1+PRODUCT($F37:F37)</f>
        <v>1.99358069235658</v>
      </c>
      <c r="G90" s="85" t="n">
        <f aca="false">1+PRODUCT($F37:G37)</f>
        <v>1.98811123652091</v>
      </c>
      <c r="N90" s="47"/>
      <c r="O90" s="47"/>
      <c r="P90" s="47"/>
      <c r="Q90" s="47"/>
      <c r="R90" s="47"/>
      <c r="S90" s="47"/>
      <c r="T90" s="47"/>
    </row>
    <row r="91" s="5" customFormat="true" ht="12.75" hidden="false" customHeight="false" outlineLevel="0" collapsed="false">
      <c r="G91" s="85" t="n">
        <f aca="false">1+PRODUCT($G37:G37)</f>
        <v>1.99449520720587</v>
      </c>
      <c r="N91" s="47"/>
      <c r="O91" s="47"/>
      <c r="P91" s="47"/>
      <c r="Q91" s="47"/>
      <c r="R91" s="47"/>
      <c r="S91" s="47"/>
      <c r="T91" s="47"/>
    </row>
    <row r="92" s="5" customFormat="true" ht="12.75" hidden="false" customHeight="false" outlineLevel="0" collapsed="false">
      <c r="G92" s="85"/>
      <c r="N92" s="47"/>
      <c r="O92" s="47"/>
      <c r="P92" s="47"/>
      <c r="Q92" s="47"/>
      <c r="R92" s="47"/>
      <c r="S92" s="47"/>
      <c r="T92" s="47"/>
    </row>
    <row r="93" s="5" customFormat="true" ht="12.75" hidden="false" customHeight="false" outlineLevel="0" collapsed="false">
      <c r="A93" s="5" t="s">
        <v>88</v>
      </c>
      <c r="C93" s="86" t="n">
        <f aca="false">PRODUCT(B87:B91)</f>
        <v>1</v>
      </c>
      <c r="D93" s="5" t="n">
        <f aca="false">PRODUCT(C87:C91)</f>
        <v>1.99084219051662</v>
      </c>
      <c r="E93" s="5" t="n">
        <f aca="false">PRODUCT(D87:D91)</f>
        <v>3.9489950317846</v>
      </c>
      <c r="F93" s="5" t="n">
        <f aca="false">PRODUCT(E87:E91)</f>
        <v>7.81180471771841</v>
      </c>
      <c r="G93" s="5" t="n">
        <f aca="false">PRODUCT(F87:F91)</f>
        <v>15.4251755502518</v>
      </c>
      <c r="N93" s="47"/>
      <c r="O93" s="47"/>
      <c r="P93" s="47"/>
      <c r="Q93" s="47"/>
      <c r="R93" s="47"/>
      <c r="S93" s="47"/>
      <c r="T93" s="47"/>
    </row>
    <row r="94" s="5" customFormat="true" ht="12.75" hidden="false" customHeight="false" outlineLevel="0" collapsed="false">
      <c r="A94" s="5" t="s">
        <v>89</v>
      </c>
      <c r="C94" s="5" t="n">
        <f aca="false">PRODUCT(C$87:C91)</f>
        <v>1.99084219051662</v>
      </c>
      <c r="D94" s="5" t="n">
        <f aca="false">PRODUCT(D$87:D91)</f>
        <v>3.9489950317846</v>
      </c>
      <c r="E94" s="5" t="n">
        <f aca="false">PRODUCT(E$87:E91)</f>
        <v>7.81180471771841</v>
      </c>
      <c r="F94" s="5" t="n">
        <f aca="false">PRODUCT(F$87:F91)</f>
        <v>15.4251755502518</v>
      </c>
      <c r="G94" s="5" t="n">
        <f aca="false">PRODUCT(G$87:G91)</f>
        <v>30.4312102945678</v>
      </c>
      <c r="N94" s="47"/>
      <c r="O94" s="47"/>
      <c r="P94" s="47"/>
      <c r="Q94" s="47"/>
      <c r="R94" s="47"/>
      <c r="S94" s="47"/>
      <c r="T94" s="47"/>
    </row>
    <row r="95" s="5" customFormat="true" ht="12.75" hidden="false" customHeight="false" outlineLevel="0" collapsed="false">
      <c r="N95" s="47"/>
      <c r="O95" s="47"/>
      <c r="P95" s="47"/>
      <c r="Q95" s="47"/>
      <c r="R95" s="47"/>
      <c r="S95" s="47"/>
      <c r="T95" s="47"/>
    </row>
    <row r="96" s="5" customFormat="true" ht="12.75" hidden="false" customHeight="false" outlineLevel="0" collapsed="false">
      <c r="G96" s="85"/>
      <c r="N96" s="47"/>
      <c r="O96" s="47"/>
      <c r="P96" s="47"/>
      <c r="Q96" s="47"/>
      <c r="R96" s="47"/>
      <c r="S96" s="47"/>
      <c r="T96" s="47"/>
    </row>
    <row r="97" s="5" customFormat="true" ht="12.75" hidden="false" customHeight="false" outlineLevel="0" collapsed="false">
      <c r="B97" s="87"/>
      <c r="C97" s="87"/>
      <c r="D97" s="87"/>
      <c r="E97" s="87"/>
      <c r="F97" s="87"/>
      <c r="G97" s="87" t="n">
        <f aca="false">G98*G$37</f>
        <v>0.941839307937011</v>
      </c>
      <c r="N97" s="47"/>
      <c r="O97" s="47"/>
      <c r="P97" s="47"/>
      <c r="Q97" s="47"/>
      <c r="R97" s="47"/>
      <c r="S97" s="47"/>
      <c r="T97" s="47"/>
    </row>
    <row r="98" s="5" customFormat="true" ht="12.75" hidden="false" customHeight="false" outlineLevel="0" collapsed="false">
      <c r="B98" s="87"/>
      <c r="C98" s="87"/>
      <c r="D98" s="87"/>
      <c r="E98" s="87"/>
      <c r="F98" s="87" t="n">
        <f aca="false">F99*F$37</f>
        <v>0.942727739819291</v>
      </c>
      <c r="G98" s="87" t="n">
        <f aca="false">G99*G$37</f>
        <v>0.947052636465886</v>
      </c>
      <c r="N98" s="47"/>
      <c r="O98" s="47"/>
      <c r="P98" s="47"/>
      <c r="Q98" s="47"/>
      <c r="R98" s="47"/>
      <c r="S98" s="47"/>
      <c r="T98" s="47"/>
    </row>
    <row r="99" s="5" customFormat="true" ht="12.75" hidden="false" customHeight="false" outlineLevel="0" collapsed="false">
      <c r="B99" s="87"/>
      <c r="C99" s="87"/>
      <c r="D99" s="87"/>
      <c r="E99" s="87" t="n">
        <f aca="false">E100*E$37</f>
        <v>0.944492332428623</v>
      </c>
      <c r="F99" s="87" t="n">
        <f aca="false">F100*F$37</f>
        <v>0.948818497653497</v>
      </c>
      <c r="G99" s="87" t="n">
        <f aca="false">G100*G$37</f>
        <v>0.952294822140689</v>
      </c>
      <c r="N99" s="47"/>
      <c r="O99" s="47"/>
      <c r="P99" s="47"/>
      <c r="Q99" s="47"/>
      <c r="R99" s="47"/>
      <c r="S99" s="47"/>
      <c r="T99" s="47"/>
    </row>
    <row r="100" s="5" customFormat="true" ht="12.75" hidden="false" customHeight="false" outlineLevel="0" collapsed="false">
      <c r="B100" s="87"/>
      <c r="C100" s="87"/>
      <c r="D100" s="87" t="n">
        <f aca="false">D101*D$37</f>
        <v>0.947132591809378</v>
      </c>
      <c r="E100" s="87" t="n">
        <f aca="false">E101*E$37</f>
        <v>0.951469440256538</v>
      </c>
      <c r="F100" s="87" t="n">
        <f aca="false">F101*F$37</f>
        <v>0.954948606542549</v>
      </c>
      <c r="G100" s="87" t="n">
        <f aca="false">G101*G$37</f>
        <v>0.95756602469332</v>
      </c>
      <c r="N100" s="47"/>
      <c r="O100" s="47"/>
      <c r="P100" s="47"/>
      <c r="Q100" s="47"/>
      <c r="R100" s="47"/>
      <c r="S100" s="47"/>
      <c r="T100" s="47"/>
    </row>
    <row r="101" s="5" customFormat="true" ht="12.75" hidden="false" customHeight="false" outlineLevel="0" collapsed="false">
      <c r="B101" s="87"/>
      <c r="C101" s="87" t="n">
        <f aca="false">C102*C$37</f>
        <v>0.95064880015103</v>
      </c>
      <c r="D101" s="87" t="n">
        <f aca="false">D102*D$37</f>
        <v>0.955007406411674</v>
      </c>
      <c r="E101" s="87" t="n">
        <f aca="false">E102*E$37</f>
        <v>0.958498089036106</v>
      </c>
      <c r="F101" s="87" t="n">
        <f aca="false">F102*F$37</f>
        <v>0.96111832072501</v>
      </c>
      <c r="G101" s="87" t="n">
        <f aca="false">G102*G$37</f>
        <v>0.962866404739838</v>
      </c>
      <c r="N101" s="47"/>
      <c r="O101" s="47"/>
      <c r="P101" s="47"/>
      <c r="Q101" s="47"/>
      <c r="R101" s="47"/>
      <c r="S101" s="47"/>
      <c r="T101" s="47"/>
    </row>
    <row r="102" s="5" customFormat="true" ht="12.75" hidden="false" customHeight="false" outlineLevel="0" collapsed="false">
      <c r="A102" s="11" t="s">
        <v>90</v>
      </c>
      <c r="B102" s="87" t="n">
        <f aca="false">B36</f>
        <v>0.955041962190715</v>
      </c>
      <c r="C102" s="87" t="n">
        <f aca="false">C36*C93/C94*2</f>
        <v>0.959435124230399</v>
      </c>
      <c r="D102" s="87" t="n">
        <f aca="false">D36*D93/D94*2</f>
        <v>0.962947695167807</v>
      </c>
      <c r="E102" s="87" t="n">
        <f aca="false">E36*E93/E94*2</f>
        <v>0.965578659508139</v>
      </c>
      <c r="F102" s="87" t="n">
        <f aca="false">F36*F93/F94*2</f>
        <v>0.967327896082023</v>
      </c>
      <c r="G102" s="87" t="n">
        <f aca="false">G36*G93/G94*2</f>
        <v>0.968196123785351</v>
      </c>
      <c r="N102" s="47"/>
      <c r="O102" s="47"/>
      <c r="P102" s="47"/>
      <c r="Q102" s="47"/>
      <c r="R102" s="47"/>
      <c r="S102" s="47"/>
      <c r="T102" s="47"/>
    </row>
    <row r="103" s="5" customFormat="true" ht="12.75" hidden="false" customHeight="false" outlineLevel="0" collapsed="false">
      <c r="A103" s="75" t="s">
        <v>66</v>
      </c>
      <c r="B103" s="75" t="n">
        <v>0</v>
      </c>
      <c r="C103" s="75" t="n">
        <v>1</v>
      </c>
      <c r="D103" s="75" t="n">
        <v>2</v>
      </c>
      <c r="E103" s="75" t="n">
        <v>3</v>
      </c>
      <c r="F103" s="75" t="n">
        <v>4</v>
      </c>
      <c r="G103" s="75" t="n">
        <v>5</v>
      </c>
      <c r="N103" s="47"/>
      <c r="O103" s="47"/>
      <c r="P103" s="47"/>
      <c r="Q103" s="47"/>
      <c r="R103" s="47"/>
      <c r="S103" s="47"/>
      <c r="T103" s="47"/>
    </row>
    <row r="104" s="5" customFormat="true" ht="13.5" hidden="false" customHeight="false" outlineLevel="0" collapsed="false">
      <c r="I104" s="0"/>
      <c r="N104" s="47"/>
      <c r="O104" s="47"/>
      <c r="P104" s="47"/>
      <c r="Q104" s="47"/>
      <c r="R104" s="47"/>
      <c r="S104" s="47"/>
      <c r="T104" s="47"/>
    </row>
    <row r="105" s="5" customFormat="true" ht="12.75" hidden="false" customHeight="false" outlineLevel="0" collapsed="false">
      <c r="G105" s="5" t="n">
        <f aca="false">-LN(G97)</f>
        <v>0.0599206050113582</v>
      </c>
      <c r="N105" s="47"/>
      <c r="O105" s="47"/>
      <c r="P105" s="47"/>
      <c r="Q105" s="47"/>
      <c r="R105" s="47"/>
      <c r="S105" s="47"/>
      <c r="T105" s="47"/>
    </row>
    <row r="106" s="5" customFormat="true" ht="12.75" hidden="false" customHeight="false" outlineLevel="0" collapsed="false">
      <c r="F106" s="5" t="n">
        <f aca="false">-LN(F98)</f>
        <v>0.0589777550881856</v>
      </c>
      <c r="G106" s="5" t="n">
        <f aca="false">-LN(G98)</f>
        <v>0.0544006050113582</v>
      </c>
      <c r="N106" s="47"/>
      <c r="O106" s="47"/>
      <c r="P106" s="47"/>
      <c r="Q106" s="47"/>
      <c r="R106" s="47"/>
      <c r="S106" s="47"/>
      <c r="T106" s="47"/>
    </row>
    <row r="107" s="5" customFormat="true" ht="12.75" hidden="false" customHeight="false" outlineLevel="0" collapsed="false">
      <c r="E107" s="5" t="n">
        <f aca="false">-LN(E99)</f>
        <v>0.0571077102009752</v>
      </c>
      <c r="F107" s="5" t="n">
        <f aca="false">-LN(F99)</f>
        <v>0.0525377550881856</v>
      </c>
      <c r="G107" s="5" t="n">
        <f aca="false">-LN(G99)</f>
        <v>0.0488806050113581</v>
      </c>
      <c r="N107" s="47"/>
      <c r="O107" s="47"/>
      <c r="P107" s="47"/>
      <c r="Q107" s="47"/>
      <c r="R107" s="47"/>
      <c r="S107" s="47"/>
      <c r="T107" s="47"/>
    </row>
    <row r="108" s="5" customFormat="true" ht="12.75" hidden="false" customHeight="false" outlineLevel="0" collapsed="false">
      <c r="D108" s="5" t="n">
        <f aca="false">-LN(D100)</f>
        <v>0.0543161831265859</v>
      </c>
      <c r="E108" s="5" t="n">
        <f aca="false">-LN(E100)</f>
        <v>0.0497477102009752</v>
      </c>
      <c r="F108" s="5" t="n">
        <f aca="false">-LN(F100)</f>
        <v>0.0460977550881856</v>
      </c>
      <c r="G108" s="5" t="n">
        <f aca="false">-LN(G100)</f>
        <v>0.0433606050113582</v>
      </c>
      <c r="N108" s="47"/>
      <c r="O108" s="47"/>
      <c r="P108" s="47"/>
      <c r="Q108" s="47"/>
      <c r="R108" s="47"/>
      <c r="S108" s="47"/>
      <c r="T108" s="47"/>
    </row>
    <row r="109" s="5" customFormat="true" ht="12.75" hidden="false" customHeight="false" outlineLevel="0" collapsed="false">
      <c r="C109" s="5" t="n">
        <f aca="false">-LN(C101)</f>
        <v>0.050610579962688</v>
      </c>
      <c r="D109" s="5" t="n">
        <f aca="false">-LN(D101)</f>
        <v>0.0460361831265859</v>
      </c>
      <c r="E109" s="5" t="n">
        <f aca="false">-LN(E101)</f>
        <v>0.0423877102009751</v>
      </c>
      <c r="F109" s="5" t="n">
        <f aca="false">-LN(F101)</f>
        <v>0.0396577550881857</v>
      </c>
      <c r="G109" s="5" t="n">
        <f aca="false">-LN(G101)</f>
        <v>0.0378406050113582</v>
      </c>
      <c r="N109" s="47"/>
      <c r="O109" s="47"/>
      <c r="P109" s="47"/>
      <c r="Q109" s="47"/>
      <c r="R109" s="47"/>
      <c r="S109" s="47"/>
      <c r="T109" s="47"/>
    </row>
    <row r="110" s="5" customFormat="true" ht="12.75" hidden="false" customHeight="false" outlineLevel="0" collapsed="false">
      <c r="A110" s="11" t="s">
        <v>91</v>
      </c>
      <c r="B110" s="5" t="n">
        <f aca="false">-LN(B102)</f>
        <v>0.0459999999999999</v>
      </c>
      <c r="C110" s="5" t="n">
        <f aca="false">-LN(C102)</f>
        <v>0.0414105799626881</v>
      </c>
      <c r="D110" s="5" t="n">
        <f aca="false">-LN(D102)</f>
        <v>0.0377561831265859</v>
      </c>
      <c r="E110" s="5" t="n">
        <f aca="false">-LN(E102)</f>
        <v>0.035027710200975</v>
      </c>
      <c r="F110" s="5" t="n">
        <f aca="false">-LN(F102)</f>
        <v>0.0332177550881857</v>
      </c>
      <c r="G110" s="5" t="n">
        <f aca="false">-LN(G102)</f>
        <v>0.0323206050113582</v>
      </c>
      <c r="N110" s="47"/>
      <c r="O110" s="47"/>
      <c r="P110" s="47"/>
      <c r="Q110" s="47"/>
      <c r="R110" s="47"/>
      <c r="S110" s="47"/>
      <c r="T110" s="47"/>
    </row>
    <row r="111" s="5" customFormat="true" ht="12.75" hidden="false" customHeight="false" outlineLevel="0" collapsed="false">
      <c r="A111" s="75" t="s">
        <v>66</v>
      </c>
      <c r="B111" s="75" t="n">
        <v>0</v>
      </c>
      <c r="C111" s="75" t="n">
        <v>1</v>
      </c>
      <c r="D111" s="75" t="n">
        <v>2</v>
      </c>
      <c r="E111" s="75" t="n">
        <v>3</v>
      </c>
      <c r="F111" s="75" t="n">
        <v>4</v>
      </c>
      <c r="G111" s="75" t="n">
        <v>5</v>
      </c>
      <c r="N111" s="47"/>
      <c r="O111" s="47"/>
      <c r="P111" s="47"/>
      <c r="Q111" s="47"/>
      <c r="R111" s="47"/>
      <c r="S111" s="47"/>
      <c r="T111" s="47"/>
    </row>
    <row r="112" s="5" customFormat="true" ht="12.75" hidden="false" customHeight="false" outlineLevel="0" collapsed="false">
      <c r="N112" s="47"/>
      <c r="O112" s="47"/>
      <c r="P112" s="47"/>
      <c r="Q112" s="47"/>
      <c r="R112" s="47"/>
      <c r="S112" s="47"/>
      <c r="T112" s="47"/>
    </row>
    <row r="113" s="5" customFormat="true" ht="12.75" hidden="false" customHeight="false" outlineLevel="0" collapsed="false">
      <c r="G113" s="5" t="n">
        <f aca="false">(G105-G106)/(2*G$31)</f>
        <v>0.0599999999999997</v>
      </c>
      <c r="N113" s="47"/>
      <c r="O113" s="47"/>
      <c r="P113" s="47"/>
      <c r="Q113" s="47"/>
      <c r="R113" s="47"/>
      <c r="S113" s="47"/>
      <c r="T113" s="47"/>
    </row>
    <row r="114" s="5" customFormat="true" ht="12.75" hidden="false" customHeight="false" outlineLevel="0" collapsed="false">
      <c r="F114" s="5" t="n">
        <f aca="false">(F106-F107)/(2*F$31)</f>
        <v>0.0700000000000003</v>
      </c>
      <c r="G114" s="5" t="n">
        <f aca="false">(G106-G107)/(2*G$31)</f>
        <v>0.06</v>
      </c>
      <c r="N114" s="47"/>
      <c r="O114" s="47"/>
      <c r="P114" s="47"/>
      <c r="Q114" s="47"/>
      <c r="R114" s="47"/>
      <c r="S114" s="47"/>
      <c r="T114" s="47"/>
    </row>
    <row r="115" s="5" customFormat="true" ht="12.75" hidden="false" customHeight="false" outlineLevel="0" collapsed="false">
      <c r="E115" s="5" t="n">
        <f aca="false">(E107-E108)/(2*E$31)</f>
        <v>0.0800000000000002</v>
      </c>
      <c r="F115" s="5" t="n">
        <f aca="false">(F107-F108)/(2*F$31)</f>
        <v>0.0699999999999994</v>
      </c>
      <c r="G115" s="5" t="n">
        <f aca="false">(G107-G108)/(2*G$31)</f>
        <v>0.0599999999999997</v>
      </c>
      <c r="N115" s="47"/>
      <c r="O115" s="47"/>
      <c r="P115" s="47"/>
      <c r="Q115" s="47"/>
      <c r="R115" s="47"/>
      <c r="S115" s="47"/>
      <c r="T115" s="47"/>
    </row>
    <row r="116" s="5" customFormat="true" ht="12.75" hidden="false" customHeight="false" outlineLevel="0" collapsed="false">
      <c r="D116" s="5" t="n">
        <f aca="false">(D108-D109)/(2*D$31)</f>
        <v>0.0900000000000001</v>
      </c>
      <c r="E116" s="5" t="n">
        <f aca="false">(E108-E109)/(2*E$31)</f>
        <v>0.0800000000000007</v>
      </c>
      <c r="F116" s="5" t="n">
        <f aca="false">(F108-F109)/(2*F$31)</f>
        <v>0.0699999999999993</v>
      </c>
      <c r="G116" s="5" t="n">
        <f aca="false">(G108-G109)/(2*G$31)</f>
        <v>0.0599999999999997</v>
      </c>
      <c r="N116" s="47"/>
      <c r="O116" s="47"/>
      <c r="P116" s="47"/>
      <c r="Q116" s="47"/>
      <c r="R116" s="47"/>
      <c r="S116" s="47"/>
      <c r="T116" s="47"/>
    </row>
    <row r="117" s="5" customFormat="true" ht="12.75" hidden="false" customHeight="false" outlineLevel="0" collapsed="false">
      <c r="A117" s="11" t="s">
        <v>92</v>
      </c>
      <c r="C117" s="5" t="n">
        <f aca="false">(C109-C110)/(2*C$31)</f>
        <v>0.099999999999999</v>
      </c>
      <c r="D117" s="5" t="n">
        <f aca="false">(D109-D110)/(2*D$31)</f>
        <v>0.0900000000000002</v>
      </c>
      <c r="E117" s="5" t="n">
        <f aca="false">(E109-E110)/(2*E$31)</f>
        <v>0.0800000000000012</v>
      </c>
      <c r="F117" s="5" t="n">
        <f aca="false">(F109-F110)/(2*F$31)</f>
        <v>0.0699999999999995</v>
      </c>
      <c r="G117" s="5" t="n">
        <f aca="false">(G109-G110)/(2*G$31)</f>
        <v>0.0599999999999989</v>
      </c>
      <c r="N117" s="47"/>
      <c r="O117" s="47"/>
      <c r="P117" s="47"/>
      <c r="Q117" s="47"/>
      <c r="R117" s="47"/>
      <c r="S117" s="47"/>
      <c r="T117" s="47"/>
    </row>
    <row r="118" s="5" customFormat="true" ht="12.75" hidden="false" customHeight="false" outlineLevel="0" collapsed="false">
      <c r="A118" s="75" t="s">
        <v>66</v>
      </c>
      <c r="B118" s="75" t="n">
        <v>0</v>
      </c>
      <c r="C118" s="75" t="n">
        <v>1</v>
      </c>
      <c r="D118" s="75" t="n">
        <v>2</v>
      </c>
      <c r="E118" s="75" t="n">
        <v>3</v>
      </c>
      <c r="F118" s="75" t="n">
        <v>4</v>
      </c>
      <c r="G118" s="75" t="n">
        <v>5</v>
      </c>
      <c r="N118" s="47"/>
      <c r="O118" s="47"/>
      <c r="P118" s="47"/>
      <c r="Q118" s="47"/>
      <c r="R118" s="47"/>
      <c r="S118" s="47"/>
      <c r="T118" s="47"/>
    </row>
  </sheetData>
  <hyperlinks>
    <hyperlink ref="B7" r:id="rId2" display="leesb@hanyang.ac.kr"/>
    <hyperlink ref="B23" r:id="rId3" display="http://www.federalreserve.gov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4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45" activeCellId="0" sqref="F45"/>
    </sheetView>
  </sheetViews>
  <sheetFormatPr defaultColWidth="6.21484375" defaultRowHeight="12.75" zeroHeight="false" outlineLevelRow="0" outlineLevelCol="0"/>
  <cols>
    <col collapsed="false" customWidth="true" hidden="false" outlineLevel="0" max="1" min="1" style="89" width="20.43"/>
    <col collapsed="false" customWidth="false" hidden="false" outlineLevel="0" max="257" min="2" style="89" width="6.22"/>
  </cols>
  <sheetData>
    <row r="1" s="3" customFormat="true" ht="12.75" hidden="false" customHeight="false" outlineLevel="0" collapsed="false">
      <c r="A1" s="2" t="s">
        <v>97</v>
      </c>
      <c r="D1" s="3" t="s">
        <v>1</v>
      </c>
      <c r="K1" s="3" t="s">
        <v>2</v>
      </c>
    </row>
    <row r="2" s="5" customFormat="true" ht="12.75" hidden="false" customHeight="true" outlineLevel="0" collapsed="false">
      <c r="A2" s="4" t="s">
        <v>3</v>
      </c>
      <c r="B2" s="5" t="s">
        <v>4</v>
      </c>
      <c r="C2" s="6" t="s">
        <v>5</v>
      </c>
      <c r="D2" s="7" t="n">
        <v>100302</v>
      </c>
      <c r="E2" s="8"/>
    </row>
    <row r="3" s="11" customFormat="true" ht="12.75" hidden="false" customHeight="true" outlineLevel="0" collapsed="false">
      <c r="A3" s="4" t="s">
        <v>6</v>
      </c>
      <c r="B3" s="9" t="n">
        <v>1</v>
      </c>
      <c r="C3" s="4" t="s">
        <v>7</v>
      </c>
      <c r="D3" s="10" t="s">
        <v>8</v>
      </c>
      <c r="F3" s="12" t="s">
        <v>9</v>
      </c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4"/>
    </row>
    <row r="4" s="11" customFormat="true" ht="12.75" hidden="false" customHeight="true" outlineLevel="0" collapsed="false">
      <c r="A4" s="4" t="s">
        <v>10</v>
      </c>
      <c r="B4" s="15" t="n">
        <v>37774</v>
      </c>
      <c r="F4" s="16" t="s">
        <v>98</v>
      </c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8"/>
    </row>
    <row r="5" s="11" customFormat="true" ht="12.75" hidden="false" customHeight="true" outlineLevel="0" collapsed="false">
      <c r="A5" s="4" t="s">
        <v>12</v>
      </c>
      <c r="B5" s="10" t="s">
        <v>13</v>
      </c>
      <c r="C5" s="10"/>
      <c r="D5" s="10"/>
      <c r="E5" s="10"/>
      <c r="F5" s="19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8"/>
    </row>
    <row r="6" s="11" customFormat="true" ht="12.75" hidden="false" customHeight="true" outlineLevel="0" collapsed="false">
      <c r="A6" s="4" t="s">
        <v>14</v>
      </c>
      <c r="B6" s="10" t="s">
        <v>15</v>
      </c>
      <c r="C6" s="10"/>
      <c r="D6" s="10"/>
      <c r="F6" s="20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2"/>
    </row>
    <row r="7" s="11" customFormat="true" ht="12.75" hidden="false" customHeight="true" outlineLevel="0" collapsed="false">
      <c r="A7" s="4" t="s">
        <v>16</v>
      </c>
      <c r="B7" s="23" t="s">
        <v>17</v>
      </c>
      <c r="C7" s="23"/>
      <c r="D7" s="23"/>
      <c r="E7" s="24"/>
      <c r="F7" s="25" t="s">
        <v>18</v>
      </c>
      <c r="G7" s="26" t="s">
        <v>99</v>
      </c>
      <c r="H7" s="27"/>
      <c r="I7" s="27"/>
      <c r="J7" s="27"/>
      <c r="K7" s="27"/>
      <c r="L7" s="27"/>
      <c r="M7" s="27"/>
      <c r="N7" s="28"/>
      <c r="O7" s="28"/>
      <c r="P7" s="28"/>
      <c r="Q7" s="28"/>
      <c r="R7" s="28"/>
      <c r="S7" s="29"/>
    </row>
    <row r="8" s="11" customFormat="true" ht="12.75" hidden="false" customHeight="true" outlineLevel="0" collapsed="false">
      <c r="A8" s="4" t="s">
        <v>20</v>
      </c>
      <c r="B8" s="30" t="n">
        <v>37952</v>
      </c>
      <c r="C8" s="24"/>
      <c r="D8" s="24"/>
      <c r="E8" s="24"/>
      <c r="F8" s="31" t="s">
        <v>21</v>
      </c>
      <c r="G8" s="32" t="s">
        <v>100</v>
      </c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4"/>
    </row>
    <row r="9" s="11" customFormat="true" ht="12.75" hidden="false" customHeight="true" outlineLevel="0" collapsed="false">
      <c r="A9" s="4" t="s">
        <v>23</v>
      </c>
      <c r="B9" s="24" t="s">
        <v>24</v>
      </c>
      <c r="C9" s="24"/>
      <c r="D9" s="24"/>
      <c r="E9" s="24"/>
      <c r="F9" s="24"/>
      <c r="G9" s="35"/>
      <c r="H9" s="5"/>
      <c r="I9" s="5"/>
      <c r="J9" s="5"/>
      <c r="K9" s="5"/>
      <c r="L9" s="5"/>
      <c r="M9" s="5"/>
      <c r="N9" s="5"/>
      <c r="O9" s="5"/>
      <c r="P9" s="5"/>
      <c r="Q9" s="5"/>
      <c r="R9" s="5"/>
    </row>
    <row r="10" s="11" customFormat="true" ht="12.75" hidden="false" customHeight="true" outlineLevel="0" collapsed="false">
      <c r="A10" s="4"/>
      <c r="C10" s="24"/>
      <c r="D10" s="24"/>
      <c r="E10" s="24"/>
      <c r="F10" s="24"/>
      <c r="G10" s="3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</row>
    <row r="11" s="39" customFormat="true" ht="12.75" hidden="false" customHeight="true" outlineLevel="0" collapsed="false">
      <c r="A11" s="36" t="s">
        <v>25</v>
      </c>
      <c r="B11" s="37"/>
      <c r="C11" s="37"/>
      <c r="D11" s="37"/>
      <c r="E11" s="37"/>
      <c r="F11" s="37"/>
      <c r="G11" s="38"/>
    </row>
    <row r="12" s="11" customFormat="true" ht="12.75" hidden="false" customHeight="true" outlineLevel="0" collapsed="false">
      <c r="A12" s="40"/>
      <c r="B12" s="41"/>
      <c r="C12" s="41"/>
      <c r="D12" s="41"/>
      <c r="E12" s="41"/>
      <c r="F12" s="41"/>
      <c r="G12" s="35"/>
      <c r="H12" s="5"/>
      <c r="I12" s="5"/>
      <c r="J12" s="5"/>
      <c r="K12" s="5"/>
      <c r="L12" s="5"/>
      <c r="M12" s="5"/>
      <c r="N12" s="5"/>
      <c r="P12" s="5"/>
      <c r="Q12" s="5"/>
      <c r="R12" s="5"/>
    </row>
    <row r="13" s="11" customFormat="true" ht="12.75" hidden="false" customHeight="true" outlineLevel="0" collapsed="false">
      <c r="A13" s="42" t="s">
        <v>26</v>
      </c>
      <c r="B13" s="43" t="s">
        <v>27</v>
      </c>
      <c r="C13" s="43"/>
      <c r="D13" s="43"/>
      <c r="E13" s="43"/>
      <c r="F13" s="44"/>
      <c r="G13" s="5"/>
      <c r="H13" s="5"/>
      <c r="I13" s="5"/>
      <c r="J13" s="5"/>
      <c r="K13" s="5"/>
      <c r="L13" s="5"/>
      <c r="M13" s="5"/>
      <c r="N13" s="5"/>
      <c r="P13" s="5"/>
      <c r="Q13" s="5"/>
      <c r="R13" s="5"/>
    </row>
    <row r="14" s="11" customFormat="true" ht="12.75" hidden="false" customHeight="true" outlineLevel="0" collapsed="false">
      <c r="A14" s="45" t="s">
        <v>28</v>
      </c>
      <c r="B14" s="41" t="s">
        <v>29</v>
      </c>
      <c r="C14" s="41"/>
      <c r="D14" s="41"/>
      <c r="E14" s="41"/>
      <c r="F14" s="46"/>
      <c r="P14" s="5"/>
      <c r="Q14" s="5"/>
      <c r="R14" s="5"/>
    </row>
    <row r="15" s="11" customFormat="true" ht="12.75" hidden="false" customHeight="true" outlineLevel="0" collapsed="false">
      <c r="A15" s="45" t="s">
        <v>30</v>
      </c>
      <c r="B15" s="41" t="s">
        <v>31</v>
      </c>
      <c r="C15" s="41"/>
      <c r="D15" s="41"/>
      <c r="E15" s="41"/>
      <c r="F15" s="46"/>
      <c r="P15" s="5"/>
      <c r="Q15" s="5"/>
      <c r="R15" s="5"/>
    </row>
    <row r="16" s="11" customFormat="true" ht="12.75" hidden="false" customHeight="true" outlineLevel="0" collapsed="false">
      <c r="A16" s="45" t="s">
        <v>32</v>
      </c>
      <c r="B16" s="41" t="s">
        <v>33</v>
      </c>
      <c r="C16" s="41"/>
      <c r="D16" s="41"/>
      <c r="E16" s="41"/>
      <c r="F16" s="46"/>
      <c r="H16" s="47"/>
      <c r="I16" s="47"/>
      <c r="P16" s="5"/>
      <c r="Q16" s="5"/>
      <c r="R16" s="5"/>
    </row>
    <row r="17" s="11" customFormat="true" ht="12.75" hidden="false" customHeight="true" outlineLevel="0" collapsed="false">
      <c r="A17" s="45" t="s">
        <v>34</v>
      </c>
      <c r="B17" s="41" t="s">
        <v>35</v>
      </c>
      <c r="C17" s="41"/>
      <c r="D17" s="41"/>
      <c r="E17" s="41"/>
      <c r="F17" s="46"/>
      <c r="H17" s="48"/>
      <c r="I17" s="47"/>
      <c r="P17" s="5"/>
      <c r="Q17" s="5"/>
      <c r="R17" s="5"/>
    </row>
    <row r="18" s="11" customFormat="true" ht="12.75" hidden="false" customHeight="true" outlineLevel="0" collapsed="false">
      <c r="A18" s="45" t="s">
        <v>36</v>
      </c>
      <c r="B18" s="49" t="s">
        <v>37</v>
      </c>
      <c r="C18" s="41"/>
      <c r="D18" s="41"/>
      <c r="E18" s="41"/>
      <c r="F18" s="46"/>
      <c r="P18" s="5"/>
      <c r="Q18" s="5"/>
      <c r="R18" s="5"/>
    </row>
    <row r="19" s="11" customFormat="true" ht="12.75" hidden="false" customHeight="true" outlineLevel="0" collapsed="false">
      <c r="A19" s="50" t="s">
        <v>38</v>
      </c>
      <c r="B19" s="51" t="s">
        <v>39</v>
      </c>
      <c r="C19" s="51"/>
      <c r="D19" s="51"/>
      <c r="E19" s="51"/>
      <c r="F19" s="52"/>
      <c r="P19" s="5"/>
      <c r="Q19" s="5"/>
      <c r="R19" s="5"/>
    </row>
    <row r="20" s="11" customFormat="true" ht="12.75" hidden="false" customHeight="true" outlineLevel="0" collapsed="false">
      <c r="A20" s="53" t="s">
        <v>40</v>
      </c>
      <c r="B20" s="41" t="s">
        <v>41</v>
      </c>
      <c r="C20" s="41"/>
      <c r="D20" s="41"/>
      <c r="E20" s="41"/>
      <c r="F20" s="41"/>
      <c r="P20" s="5"/>
      <c r="Q20" s="5"/>
      <c r="R20" s="5"/>
    </row>
    <row r="21" s="11" customFormat="true" ht="12.75" hidden="false" customHeight="true" outlineLevel="0" collapsed="false">
      <c r="A21" s="4"/>
      <c r="B21" s="30"/>
      <c r="C21" s="30"/>
      <c r="D21" s="30"/>
      <c r="E21" s="30"/>
      <c r="L21" s="5"/>
      <c r="M21" s="5"/>
      <c r="N21" s="5"/>
      <c r="O21" s="5"/>
      <c r="P21" s="5"/>
      <c r="Q21" s="5"/>
      <c r="R21" s="5"/>
    </row>
    <row r="22" s="39" customFormat="true" ht="12.75" hidden="false" customHeight="true" outlineLevel="0" collapsed="false">
      <c r="A22" s="36" t="s">
        <v>42</v>
      </c>
      <c r="B22" s="54"/>
      <c r="C22" s="54"/>
      <c r="D22" s="54"/>
      <c r="E22" s="54"/>
    </row>
    <row r="23" s="11" customFormat="true" ht="12.75" hidden="false" customHeight="true" outlineLevel="0" collapsed="false">
      <c r="A23" s="4" t="s">
        <v>43</v>
      </c>
      <c r="B23" s="55" t="s">
        <v>44</v>
      </c>
      <c r="C23" s="30"/>
      <c r="D23" s="30"/>
      <c r="E23" s="30"/>
      <c r="L23" s="5"/>
      <c r="M23" s="5"/>
      <c r="N23" s="5"/>
      <c r="O23" s="5"/>
      <c r="P23" s="5"/>
      <c r="Q23" s="5"/>
      <c r="R23" s="5"/>
    </row>
    <row r="24" s="5" customFormat="true" ht="12.75" hidden="false" customHeight="true" outlineLevel="0" collapsed="false">
      <c r="A24" s="4" t="s">
        <v>45</v>
      </c>
      <c r="B24" s="56" t="s">
        <v>46</v>
      </c>
      <c r="C24" s="30"/>
      <c r="D24" s="30"/>
      <c r="E24" s="30"/>
      <c r="F24" s="11"/>
      <c r="G24" s="11"/>
    </row>
    <row r="25" s="5" customFormat="true" ht="12.75" hidden="false" customHeight="false" outlineLevel="0" collapsed="false">
      <c r="A25" s="4"/>
      <c r="B25" s="23"/>
      <c r="C25" s="11"/>
      <c r="D25" s="11"/>
      <c r="E25" s="11"/>
      <c r="F25" s="11"/>
      <c r="G25" s="11"/>
    </row>
    <row r="26" s="3" customFormat="true" ht="12.75" hidden="false" customHeight="false" outlineLevel="0" collapsed="false">
      <c r="A26" s="2" t="s">
        <v>47</v>
      </c>
      <c r="B26" s="2"/>
      <c r="N26" s="57"/>
      <c r="O26" s="57"/>
      <c r="P26" s="57"/>
      <c r="Q26" s="57"/>
      <c r="R26" s="57"/>
      <c r="S26" s="57"/>
      <c r="T26" s="57"/>
    </row>
    <row r="28" customFormat="false" ht="12.75" hidden="false" customHeight="false" outlineLevel="0" collapsed="false">
      <c r="A28" s="58" t="s">
        <v>101</v>
      </c>
      <c r="B28" s="58"/>
      <c r="C28" s="58"/>
      <c r="D28" s="90" t="n">
        <v>100</v>
      </c>
      <c r="E28" s="91" t="s">
        <v>50</v>
      </c>
      <c r="F28" s="89" t="s">
        <v>102</v>
      </c>
    </row>
    <row r="29" customFormat="false" ht="12.75" hidden="false" customHeight="false" outlineLevel="0" collapsed="false">
      <c r="A29" s="58" t="s">
        <v>103</v>
      </c>
      <c r="B29" s="58"/>
      <c r="C29" s="58"/>
      <c r="D29" s="90" t="n">
        <v>90</v>
      </c>
      <c r="E29" s="91" t="s">
        <v>50</v>
      </c>
      <c r="F29" s="89" t="s">
        <v>102</v>
      </c>
    </row>
    <row r="32" s="3" customFormat="true" ht="12.75" hidden="false" customHeight="false" outlineLevel="0" collapsed="false">
      <c r="A32" s="2" t="s">
        <v>80</v>
      </c>
      <c r="B32" s="2"/>
      <c r="N32" s="57"/>
      <c r="O32" s="57"/>
      <c r="P32" s="57"/>
      <c r="Q32" s="57"/>
      <c r="R32" s="57"/>
      <c r="S32" s="57"/>
      <c r="T32" s="57"/>
    </row>
    <row r="34" customFormat="false" ht="12.75" hidden="false" customHeight="false" outlineLevel="0" collapsed="false">
      <c r="A34" s="1" t="s">
        <v>104</v>
      </c>
      <c r="B34" s="92" t="n">
        <f aca="false">100*(D28-D29)/D28</f>
        <v>10</v>
      </c>
    </row>
    <row r="35" customFormat="false" ht="12.75" hidden="false" customHeight="false" outlineLevel="0" collapsed="false">
      <c r="A35" s="1"/>
      <c r="B35" s="92"/>
    </row>
    <row r="36" customFormat="false" ht="12.75" hidden="false" customHeight="false" outlineLevel="0" collapsed="false">
      <c r="A36" s="1" t="s">
        <v>105</v>
      </c>
      <c r="B36" s="92" t="n">
        <f aca="false">100*(1-(1-B34/100)^12)</f>
        <v>71.7570463519</v>
      </c>
    </row>
    <row r="37" customFormat="false" ht="12.75" hidden="false" customHeight="false" outlineLevel="0" collapsed="false">
      <c r="A37" s="1"/>
    </row>
    <row r="38" customFormat="false" ht="12.75" hidden="false" customHeight="false" outlineLevel="0" collapsed="false">
      <c r="A38" s="1"/>
    </row>
    <row r="39" customFormat="false" ht="12.75" hidden="false" customHeight="false" outlineLevel="0" collapsed="false">
      <c r="A39" s="1" t="s">
        <v>106</v>
      </c>
      <c r="B39" s="93" t="n">
        <v>0.002</v>
      </c>
      <c r="C39" s="94" t="n">
        <v>0</v>
      </c>
      <c r="D39" s="94" t="n">
        <v>10</v>
      </c>
      <c r="E39" s="94" t="n">
        <v>20</v>
      </c>
      <c r="F39" s="94" t="n">
        <v>30</v>
      </c>
      <c r="G39" s="94" t="n">
        <v>40</v>
      </c>
      <c r="H39" s="94" t="n">
        <v>50</v>
      </c>
      <c r="I39" s="94" t="n">
        <v>60</v>
      </c>
    </row>
    <row r="40" customFormat="false" ht="12.75" hidden="false" customHeight="false" outlineLevel="0" collapsed="false">
      <c r="B40" s="95" t="n">
        <v>1</v>
      </c>
      <c r="C40" s="92" t="n">
        <v>0.02</v>
      </c>
      <c r="D40" s="92" t="n">
        <f aca="false">$B$39*D39</f>
        <v>0.02</v>
      </c>
      <c r="E40" s="92" t="n">
        <f aca="false">$B$39*E39</f>
        <v>0.04</v>
      </c>
      <c r="F40" s="92" t="n">
        <f aca="false">$B$39*F39</f>
        <v>0.06</v>
      </c>
      <c r="G40" s="92" t="n">
        <f aca="false">F40</f>
        <v>0.06</v>
      </c>
      <c r="H40" s="92" t="n">
        <f aca="false">G40</f>
        <v>0.06</v>
      </c>
      <c r="I40" s="92" t="n">
        <f aca="false">H40</f>
        <v>0.06</v>
      </c>
    </row>
    <row r="41" customFormat="false" ht="12.75" hidden="false" customHeight="false" outlineLevel="0" collapsed="false">
      <c r="B41" s="95" t="n">
        <v>1.5</v>
      </c>
      <c r="C41" s="92" t="n">
        <v>0.02</v>
      </c>
      <c r="D41" s="92" t="n">
        <f aca="false">$D$40*B41</f>
        <v>0.03</v>
      </c>
      <c r="E41" s="92" t="n">
        <f aca="false">E40*$B$41</f>
        <v>0.06</v>
      </c>
      <c r="F41" s="92" t="n">
        <f aca="false">F40*$B$41</f>
        <v>0.09</v>
      </c>
      <c r="G41" s="92" t="n">
        <f aca="false">G40*$B$41</f>
        <v>0.09</v>
      </c>
      <c r="H41" s="92" t="n">
        <f aca="false">H40*$B$41</f>
        <v>0.09</v>
      </c>
      <c r="I41" s="92" t="n">
        <f aca="false">I40*$B$41</f>
        <v>0.09</v>
      </c>
    </row>
    <row r="42" customFormat="false" ht="12.75" hidden="false" customHeight="false" outlineLevel="0" collapsed="false">
      <c r="B42" s="95" t="n">
        <v>2</v>
      </c>
      <c r="C42" s="92" t="n">
        <v>0.02</v>
      </c>
      <c r="D42" s="92" t="n">
        <f aca="false">$D$40*B42</f>
        <v>0.04</v>
      </c>
      <c r="E42" s="92" t="n">
        <f aca="false">E40*$B$42</f>
        <v>0.08</v>
      </c>
      <c r="F42" s="92" t="n">
        <f aca="false">F40*$B$42</f>
        <v>0.12</v>
      </c>
      <c r="G42" s="92" t="n">
        <f aca="false">G40*$B$42</f>
        <v>0.12</v>
      </c>
      <c r="H42" s="92" t="n">
        <f aca="false">H40*$B$42</f>
        <v>0.12</v>
      </c>
      <c r="I42" s="92" t="n">
        <f aca="false">I40*$B$42</f>
        <v>0.12</v>
      </c>
    </row>
    <row r="43" customFormat="false" ht="12.75" hidden="false" customHeight="false" outlineLevel="0" collapsed="false">
      <c r="B43" s="95" t="n">
        <v>4</v>
      </c>
      <c r="C43" s="92" t="n">
        <v>0.02</v>
      </c>
      <c r="D43" s="92" t="n">
        <f aca="false">$D$40*B43</f>
        <v>0.08</v>
      </c>
      <c r="E43" s="92" t="n">
        <f aca="false">E40*$B$43</f>
        <v>0.16</v>
      </c>
      <c r="F43" s="92" t="n">
        <f aca="false">F40*$B$43</f>
        <v>0.24</v>
      </c>
      <c r="G43" s="92" t="n">
        <f aca="false">G40*$B$43</f>
        <v>0.24</v>
      </c>
      <c r="H43" s="92" t="n">
        <f aca="false">H40*$B$43</f>
        <v>0.24</v>
      </c>
      <c r="I43" s="92" t="n">
        <f aca="false">I40*$B$43</f>
        <v>0.24</v>
      </c>
    </row>
  </sheetData>
  <mergeCells count="2">
    <mergeCell ref="A28:C28"/>
    <mergeCell ref="A29:C29"/>
  </mergeCells>
  <hyperlinks>
    <hyperlink ref="B7" r:id="rId2" display="leesb@hanyang.ac.kr"/>
    <hyperlink ref="B23" r:id="rId3" display="http://www.federalreserve.gov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F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52" activeCellId="0" sqref="K52"/>
    </sheetView>
  </sheetViews>
  <sheetFormatPr defaultColWidth="7.99609375" defaultRowHeight="12.75" zeroHeight="false" outlineLevelRow="0" outlineLevelCol="0"/>
  <cols>
    <col collapsed="false" customWidth="true" hidden="false" outlineLevel="0" max="1" min="1" style="1" width="14.77"/>
    <col collapsed="false" customWidth="false" hidden="false" outlineLevel="0" max="257" min="2" style="1" width="7.99"/>
  </cols>
  <sheetData>
    <row r="1" s="3" customFormat="true" ht="12.75" hidden="false" customHeight="false" outlineLevel="0" collapsed="false">
      <c r="A1" s="2" t="s">
        <v>58</v>
      </c>
      <c r="D1" s="3" t="s">
        <v>1</v>
      </c>
      <c r="K1" s="3" t="s">
        <v>2</v>
      </c>
    </row>
    <row r="2" s="5" customFormat="true" ht="12.75" hidden="false" customHeight="true" outlineLevel="0" collapsed="false">
      <c r="A2" s="4" t="s">
        <v>3</v>
      </c>
      <c r="B2" s="5" t="s">
        <v>4</v>
      </c>
      <c r="C2" s="6" t="s">
        <v>5</v>
      </c>
      <c r="D2" s="7" t="n">
        <v>100302</v>
      </c>
      <c r="E2" s="8"/>
    </row>
    <row r="3" s="11" customFormat="true" ht="12.75" hidden="false" customHeight="true" outlineLevel="0" collapsed="false">
      <c r="A3" s="4" t="s">
        <v>6</v>
      </c>
      <c r="B3" s="9" t="n">
        <v>1</v>
      </c>
      <c r="C3" s="4" t="s">
        <v>7</v>
      </c>
      <c r="D3" s="10" t="s">
        <v>8</v>
      </c>
      <c r="F3" s="12" t="s">
        <v>9</v>
      </c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4"/>
    </row>
    <row r="4" s="11" customFormat="true" ht="12.75" hidden="false" customHeight="true" outlineLevel="0" collapsed="false">
      <c r="A4" s="4" t="s">
        <v>10</v>
      </c>
      <c r="B4" s="15" t="n">
        <v>37774</v>
      </c>
      <c r="F4" s="16" t="s">
        <v>11</v>
      </c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8"/>
    </row>
    <row r="5" s="11" customFormat="true" ht="12.75" hidden="false" customHeight="true" outlineLevel="0" collapsed="false">
      <c r="A5" s="4" t="s">
        <v>12</v>
      </c>
      <c r="B5" s="10" t="s">
        <v>13</v>
      </c>
      <c r="C5" s="10"/>
      <c r="D5" s="10"/>
      <c r="E5" s="10"/>
      <c r="F5" s="19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8"/>
    </row>
    <row r="6" s="11" customFormat="true" ht="12.75" hidden="false" customHeight="true" outlineLevel="0" collapsed="false">
      <c r="A6" s="4" t="s">
        <v>14</v>
      </c>
      <c r="B6" s="10" t="s">
        <v>15</v>
      </c>
      <c r="C6" s="10"/>
      <c r="D6" s="10"/>
      <c r="F6" s="20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2"/>
    </row>
    <row r="7" s="11" customFormat="true" ht="12.75" hidden="false" customHeight="true" outlineLevel="0" collapsed="false">
      <c r="A7" s="4" t="s">
        <v>16</v>
      </c>
      <c r="B7" s="23" t="s">
        <v>17</v>
      </c>
      <c r="C7" s="23"/>
      <c r="D7" s="23"/>
      <c r="E7" s="24"/>
      <c r="F7" s="25" t="s">
        <v>18</v>
      </c>
      <c r="G7" s="26" t="s">
        <v>107</v>
      </c>
      <c r="H7" s="27"/>
      <c r="I7" s="27"/>
      <c r="J7" s="27"/>
      <c r="K7" s="27"/>
      <c r="L7" s="27"/>
      <c r="M7" s="27"/>
      <c r="N7" s="28"/>
      <c r="O7" s="28"/>
      <c r="P7" s="28"/>
      <c r="Q7" s="28"/>
      <c r="R7" s="28"/>
      <c r="S7" s="29"/>
    </row>
    <row r="8" s="11" customFormat="true" ht="12.75" hidden="false" customHeight="true" outlineLevel="0" collapsed="false">
      <c r="A8" s="4" t="s">
        <v>20</v>
      </c>
      <c r="B8" s="30" t="n">
        <v>37952</v>
      </c>
      <c r="C8" s="24"/>
      <c r="D8" s="24"/>
      <c r="E8" s="24"/>
      <c r="F8" s="31" t="s">
        <v>21</v>
      </c>
      <c r="G8" s="32" t="s">
        <v>108</v>
      </c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4"/>
    </row>
    <row r="9" s="11" customFormat="true" ht="12.75" hidden="false" customHeight="true" outlineLevel="0" collapsed="false">
      <c r="A9" s="4" t="s">
        <v>23</v>
      </c>
      <c r="B9" s="24" t="s">
        <v>24</v>
      </c>
      <c r="C9" s="24"/>
      <c r="D9" s="24"/>
      <c r="E9" s="24"/>
      <c r="F9" s="24"/>
      <c r="G9" s="35"/>
      <c r="H9" s="5"/>
      <c r="I9" s="5"/>
      <c r="J9" s="5"/>
      <c r="K9" s="5"/>
      <c r="L9" s="5"/>
      <c r="M9" s="5"/>
      <c r="N9" s="5"/>
      <c r="O9" s="5"/>
      <c r="P9" s="5"/>
      <c r="Q9" s="5"/>
      <c r="R9" s="5"/>
    </row>
    <row r="10" s="11" customFormat="true" ht="12.75" hidden="false" customHeight="true" outlineLevel="0" collapsed="false">
      <c r="A10" s="4"/>
      <c r="C10" s="24"/>
      <c r="D10" s="24"/>
      <c r="E10" s="24"/>
      <c r="F10" s="24"/>
      <c r="G10" s="3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</row>
    <row r="11" s="39" customFormat="true" ht="12.75" hidden="false" customHeight="true" outlineLevel="0" collapsed="false">
      <c r="A11" s="36" t="s">
        <v>25</v>
      </c>
      <c r="B11" s="37"/>
      <c r="C11" s="37"/>
      <c r="D11" s="37"/>
      <c r="E11" s="37"/>
      <c r="F11" s="37"/>
      <c r="G11" s="38"/>
    </row>
    <row r="12" s="11" customFormat="true" ht="12.75" hidden="false" customHeight="true" outlineLevel="0" collapsed="false">
      <c r="A12" s="40"/>
      <c r="B12" s="41"/>
      <c r="C12" s="41"/>
      <c r="D12" s="41"/>
      <c r="E12" s="41"/>
      <c r="F12" s="41"/>
      <c r="G12" s="35"/>
      <c r="H12" s="5"/>
      <c r="I12" s="5"/>
      <c r="J12" s="5"/>
      <c r="K12" s="5"/>
      <c r="L12" s="5"/>
      <c r="M12" s="5"/>
      <c r="N12" s="5"/>
      <c r="P12" s="5"/>
      <c r="Q12" s="5"/>
      <c r="R12" s="5"/>
    </row>
    <row r="13" s="11" customFormat="true" ht="12.75" hidden="false" customHeight="true" outlineLevel="0" collapsed="false">
      <c r="A13" s="42" t="s">
        <v>26</v>
      </c>
      <c r="B13" s="43" t="s">
        <v>27</v>
      </c>
      <c r="C13" s="43"/>
      <c r="D13" s="43"/>
      <c r="E13" s="43"/>
      <c r="F13" s="44"/>
      <c r="G13" s="5"/>
      <c r="H13" s="5"/>
      <c r="I13" s="5"/>
      <c r="J13" s="5"/>
      <c r="K13" s="5"/>
      <c r="L13" s="5"/>
      <c r="M13" s="5"/>
      <c r="N13" s="5"/>
      <c r="P13" s="5"/>
      <c r="Q13" s="5"/>
      <c r="R13" s="5"/>
    </row>
    <row r="14" s="11" customFormat="true" ht="12.75" hidden="false" customHeight="true" outlineLevel="0" collapsed="false">
      <c r="A14" s="45" t="s">
        <v>28</v>
      </c>
      <c r="B14" s="41" t="s">
        <v>29</v>
      </c>
      <c r="C14" s="41"/>
      <c r="D14" s="41"/>
      <c r="E14" s="41"/>
      <c r="F14" s="46"/>
      <c r="P14" s="5"/>
      <c r="Q14" s="5"/>
      <c r="R14" s="5"/>
    </row>
    <row r="15" s="11" customFormat="true" ht="12.75" hidden="false" customHeight="true" outlineLevel="0" collapsed="false">
      <c r="A15" s="45" t="s">
        <v>30</v>
      </c>
      <c r="B15" s="41" t="s">
        <v>31</v>
      </c>
      <c r="C15" s="41"/>
      <c r="D15" s="41"/>
      <c r="E15" s="41"/>
      <c r="F15" s="46"/>
      <c r="P15" s="5"/>
      <c r="Q15" s="5"/>
      <c r="R15" s="5"/>
    </row>
    <row r="16" s="11" customFormat="true" ht="12.75" hidden="false" customHeight="true" outlineLevel="0" collapsed="false">
      <c r="A16" s="45" t="s">
        <v>32</v>
      </c>
      <c r="B16" s="41" t="s">
        <v>33</v>
      </c>
      <c r="C16" s="41"/>
      <c r="D16" s="41"/>
      <c r="E16" s="41"/>
      <c r="F16" s="46"/>
      <c r="H16" s="47"/>
      <c r="I16" s="47"/>
      <c r="P16" s="5"/>
      <c r="Q16" s="5"/>
      <c r="R16" s="5"/>
    </row>
    <row r="17" s="11" customFormat="true" ht="12.75" hidden="false" customHeight="true" outlineLevel="0" collapsed="false">
      <c r="A17" s="45" t="s">
        <v>34</v>
      </c>
      <c r="B17" s="41" t="s">
        <v>35</v>
      </c>
      <c r="C17" s="41"/>
      <c r="D17" s="41"/>
      <c r="E17" s="41"/>
      <c r="F17" s="46"/>
      <c r="H17" s="48"/>
      <c r="I17" s="47"/>
      <c r="P17" s="5"/>
      <c r="Q17" s="5"/>
      <c r="R17" s="5"/>
    </row>
    <row r="18" s="11" customFormat="true" ht="12.75" hidden="false" customHeight="true" outlineLevel="0" collapsed="false">
      <c r="A18" s="45" t="s">
        <v>36</v>
      </c>
      <c r="B18" s="49" t="s">
        <v>37</v>
      </c>
      <c r="C18" s="41"/>
      <c r="D18" s="41"/>
      <c r="E18" s="41"/>
      <c r="F18" s="46"/>
      <c r="P18" s="5"/>
      <c r="Q18" s="5"/>
      <c r="R18" s="5"/>
    </row>
    <row r="19" s="11" customFormat="true" ht="12.75" hidden="false" customHeight="true" outlineLevel="0" collapsed="false">
      <c r="A19" s="50" t="s">
        <v>38</v>
      </c>
      <c r="B19" s="51" t="s">
        <v>39</v>
      </c>
      <c r="C19" s="51"/>
      <c r="D19" s="51"/>
      <c r="E19" s="51"/>
      <c r="F19" s="52"/>
      <c r="P19" s="5"/>
      <c r="Q19" s="5"/>
      <c r="R19" s="5"/>
    </row>
    <row r="20" s="11" customFormat="true" ht="12.75" hidden="false" customHeight="true" outlineLevel="0" collapsed="false">
      <c r="A20" s="53" t="s">
        <v>40</v>
      </c>
      <c r="B20" s="41" t="s">
        <v>41</v>
      </c>
      <c r="C20" s="41"/>
      <c r="D20" s="41"/>
      <c r="E20" s="41"/>
      <c r="F20" s="41"/>
      <c r="P20" s="5"/>
      <c r="Q20" s="5"/>
      <c r="R20" s="5"/>
    </row>
    <row r="21" s="11" customFormat="true" ht="12.75" hidden="false" customHeight="true" outlineLevel="0" collapsed="false">
      <c r="A21" s="4"/>
      <c r="B21" s="30"/>
      <c r="C21" s="30"/>
      <c r="D21" s="30"/>
      <c r="E21" s="30"/>
      <c r="L21" s="5"/>
      <c r="M21" s="5"/>
      <c r="N21" s="5"/>
      <c r="O21" s="5"/>
      <c r="P21" s="5"/>
      <c r="Q21" s="5"/>
      <c r="R21" s="5"/>
    </row>
    <row r="22" s="39" customFormat="true" ht="12.75" hidden="false" customHeight="true" outlineLevel="0" collapsed="false">
      <c r="A22" s="36" t="s">
        <v>42</v>
      </c>
      <c r="B22" s="54"/>
      <c r="C22" s="54"/>
      <c r="D22" s="54"/>
      <c r="E22" s="54"/>
    </row>
    <row r="23" s="11" customFormat="true" ht="12.75" hidden="false" customHeight="true" outlineLevel="0" collapsed="false">
      <c r="A23" s="4" t="s">
        <v>43</v>
      </c>
      <c r="B23" s="55" t="s">
        <v>44</v>
      </c>
      <c r="C23" s="30"/>
      <c r="D23" s="30"/>
      <c r="E23" s="30"/>
      <c r="L23" s="5"/>
      <c r="M23" s="5"/>
      <c r="N23" s="5"/>
      <c r="O23" s="5"/>
      <c r="P23" s="5"/>
      <c r="Q23" s="5"/>
      <c r="R23" s="5"/>
    </row>
    <row r="24" s="5" customFormat="true" ht="12.75" hidden="false" customHeight="true" outlineLevel="0" collapsed="false">
      <c r="A24" s="4" t="s">
        <v>45</v>
      </c>
      <c r="B24" s="56" t="s">
        <v>46</v>
      </c>
      <c r="C24" s="30"/>
      <c r="D24" s="30"/>
      <c r="E24" s="30"/>
      <c r="F24" s="11"/>
      <c r="G24" s="11"/>
    </row>
    <row r="25" s="5" customFormat="true" ht="12.75" hidden="false" customHeight="false" outlineLevel="0" collapsed="false">
      <c r="A25" s="4"/>
      <c r="B25" s="23"/>
      <c r="C25" s="11"/>
      <c r="D25" s="11"/>
      <c r="E25" s="11"/>
      <c r="F25" s="11"/>
      <c r="G25" s="11"/>
    </row>
    <row r="26" s="3" customFormat="true" ht="12.75" hidden="false" customHeight="false" outlineLevel="0" collapsed="false">
      <c r="A26" s="2" t="s">
        <v>47</v>
      </c>
      <c r="B26" s="2"/>
      <c r="N26" s="57"/>
      <c r="O26" s="57"/>
      <c r="P26" s="57"/>
      <c r="Q26" s="57"/>
      <c r="R26" s="57"/>
      <c r="S26" s="57"/>
      <c r="T26" s="57"/>
    </row>
    <row r="28" s="97" customFormat="true" ht="12.75" hidden="false" customHeight="false" outlineLevel="0" collapsed="false">
      <c r="A28" s="96" t="s">
        <v>47</v>
      </c>
    </row>
    <row r="30" customFormat="false" ht="12.75" hidden="false" customHeight="false" outlineLevel="0" collapsed="false">
      <c r="B30" s="58" t="s">
        <v>48</v>
      </c>
      <c r="C30" s="58"/>
      <c r="D30" s="58"/>
      <c r="E30" s="59" t="n">
        <v>0.105</v>
      </c>
    </row>
    <row r="31" customFormat="false" ht="12.75" hidden="false" customHeight="false" outlineLevel="0" collapsed="false">
      <c r="B31" s="58" t="s">
        <v>49</v>
      </c>
      <c r="C31" s="58"/>
      <c r="D31" s="58"/>
      <c r="E31" s="59" t="n">
        <v>0.1</v>
      </c>
      <c r="G31" s="1" t="s">
        <v>50</v>
      </c>
      <c r="H31" s="60" t="s">
        <v>51</v>
      </c>
    </row>
    <row r="32" customFormat="false" ht="12.75" hidden="false" customHeight="false" outlineLevel="0" collapsed="false">
      <c r="B32" s="58" t="s">
        <v>52</v>
      </c>
      <c r="C32" s="58"/>
      <c r="D32" s="58"/>
      <c r="E32" s="61" t="n">
        <v>10</v>
      </c>
    </row>
    <row r="33" customFormat="false" ht="12.75" hidden="false" customHeight="false" outlineLevel="0" collapsed="false">
      <c r="B33" s="58" t="s">
        <v>53</v>
      </c>
      <c r="C33" s="58"/>
      <c r="D33" s="58"/>
      <c r="E33" s="61" t="n">
        <v>100</v>
      </c>
    </row>
    <row r="35" s="97" customFormat="true" ht="12.75" hidden="false" customHeight="false" outlineLevel="0" collapsed="false">
      <c r="A35" s="96" t="s">
        <v>54</v>
      </c>
    </row>
    <row r="37" customFormat="false" ht="12.75" hidden="false" customHeight="false" outlineLevel="0" collapsed="false">
      <c r="A37" s="1" t="s">
        <v>55</v>
      </c>
      <c r="D37" s="1" t="n">
        <v>1</v>
      </c>
      <c r="E37" s="1" t="n">
        <v>2</v>
      </c>
      <c r="F37" s="1" t="n">
        <v>3</v>
      </c>
      <c r="G37" s="1" t="n">
        <v>4</v>
      </c>
      <c r="H37" s="1" t="n">
        <v>5</v>
      </c>
      <c r="I37" s="1" t="n">
        <v>6</v>
      </c>
      <c r="J37" s="1" t="n">
        <v>7</v>
      </c>
      <c r="K37" s="1" t="n">
        <v>8</v>
      </c>
      <c r="L37" s="1" t="n">
        <v>9</v>
      </c>
      <c r="M37" s="1" t="n">
        <v>10</v>
      </c>
      <c r="N37" s="1" t="n">
        <v>11</v>
      </c>
      <c r="O37" s="1" t="n">
        <v>12</v>
      </c>
      <c r="P37" s="1" t="n">
        <v>13</v>
      </c>
      <c r="Q37" s="1" t="n">
        <v>14</v>
      </c>
      <c r="R37" s="1" t="n">
        <v>15</v>
      </c>
      <c r="S37" s="1" t="n">
        <v>16</v>
      </c>
      <c r="T37" s="1" t="n">
        <v>17</v>
      </c>
      <c r="U37" s="1" t="n">
        <v>18</v>
      </c>
      <c r="V37" s="1" t="n">
        <v>19</v>
      </c>
      <c r="W37" s="1" t="n">
        <v>20</v>
      </c>
    </row>
    <row r="38" customFormat="false" ht="12.75" hidden="false" customHeight="false" outlineLevel="0" collapsed="false">
      <c r="A38" s="1" t="s">
        <v>56</v>
      </c>
      <c r="D38" s="1" t="n">
        <v>5</v>
      </c>
      <c r="E38" s="1" t="n">
        <v>5</v>
      </c>
      <c r="F38" s="1" t="n">
        <v>5</v>
      </c>
      <c r="G38" s="1" t="n">
        <v>5</v>
      </c>
      <c r="H38" s="1" t="n">
        <v>5</v>
      </c>
      <c r="I38" s="1" t="n">
        <v>5</v>
      </c>
      <c r="J38" s="1" t="n">
        <v>5</v>
      </c>
      <c r="K38" s="1" t="n">
        <v>5</v>
      </c>
      <c r="L38" s="1" t="n">
        <v>5</v>
      </c>
      <c r="M38" s="1" t="n">
        <v>5</v>
      </c>
      <c r="N38" s="1" t="n">
        <v>5</v>
      </c>
      <c r="O38" s="1" t="n">
        <v>5</v>
      </c>
      <c r="P38" s="1" t="n">
        <v>5</v>
      </c>
      <c r="Q38" s="1" t="n">
        <v>5</v>
      </c>
      <c r="R38" s="1" t="n">
        <v>5</v>
      </c>
      <c r="S38" s="1" t="n">
        <v>5</v>
      </c>
      <c r="T38" s="1" t="n">
        <v>5</v>
      </c>
      <c r="U38" s="1" t="n">
        <v>5</v>
      </c>
      <c r="V38" s="1" t="n">
        <v>5</v>
      </c>
      <c r="W38" s="1" t="n">
        <v>105</v>
      </c>
    </row>
    <row r="39" customFormat="false" ht="12.75" hidden="false" customHeight="false" outlineLevel="0" collapsed="false">
      <c r="A39" s="1" t="s">
        <v>57</v>
      </c>
      <c r="D39" s="64" t="n">
        <f aca="false">D38/(1+($E$30/2))^D37</f>
        <v>4.75059382422803</v>
      </c>
      <c r="E39" s="64" t="n">
        <f aca="false">E38/(1+($E$30/2))^E37</f>
        <v>4.5136283365587</v>
      </c>
      <c r="F39" s="64" t="n">
        <f aca="false">F38/(1+($E$30/2))^F37</f>
        <v>4.28848298010328</v>
      </c>
      <c r="G39" s="64" t="n">
        <f aca="false">G38/(1+($E$30/2))^G37</f>
        <v>4.07456815211713</v>
      </c>
      <c r="H39" s="64" t="n">
        <f aca="false">H38/(1+($E$30/2))^H37</f>
        <v>3.87132365996877</v>
      </c>
      <c r="I39" s="64" t="n">
        <f aca="false">I38/(1+($E$30/2))^I37</f>
        <v>3.67821725412709</v>
      </c>
      <c r="J39" s="64" t="n">
        <f aca="false">J38/(1+($E$30/2))^J37</f>
        <v>3.49474323432503</v>
      </c>
      <c r="K39" s="64" t="n">
        <f aca="false">K38/(1+($E$30/2))^K37</f>
        <v>3.32042112524943</v>
      </c>
      <c r="L39" s="64" t="n">
        <f aca="false">L38/(1+($E$30/2))^L37</f>
        <v>3.15479441828925</v>
      </c>
      <c r="M39" s="64" t="n">
        <f aca="false">M38/(1+($E$30/2))^M37</f>
        <v>2.99742937604679</v>
      </c>
      <c r="N39" s="64" t="n">
        <f aca="false">N38/(1+($E$30/2))^N37</f>
        <v>2.84791389648151</v>
      </c>
      <c r="O39" s="64" t="n">
        <f aca="false">O38/(1+($E$30/2))^O37</f>
        <v>2.70585643371165</v>
      </c>
      <c r="P39" s="64" t="n">
        <f aca="false">P38/(1+($E$30/2))^P37</f>
        <v>2.57088497264765</v>
      </c>
      <c r="Q39" s="64" t="n">
        <f aca="false">Q38/(1+($E$30/2))^Q37</f>
        <v>2.44264605477211</v>
      </c>
      <c r="R39" s="64" t="n">
        <f aca="false">R38/(1+($E$30/2))^R37</f>
        <v>2.32080385251507</v>
      </c>
      <c r="S39" s="64" t="n">
        <f aca="false">S38/(1+($E$30/2))^S37</f>
        <v>2.20503928980054</v>
      </c>
      <c r="T39" s="64" t="n">
        <f aca="false">T38/(1+($E$30/2))^T37</f>
        <v>2.09504920646132</v>
      </c>
      <c r="U39" s="64" t="n">
        <f aca="false">U38/(1+($E$30/2))^U37</f>
        <v>1.9905455643338</v>
      </c>
      <c r="V39" s="64" t="n">
        <f aca="false">V38/(1+($E$30/2))^V37</f>
        <v>1.89125469295373</v>
      </c>
      <c r="W39" s="64" t="n">
        <f aca="false">W38/(1+($E$30/2))^W37</f>
        <v>37.7352480304307</v>
      </c>
      <c r="X39" s="64"/>
      <c r="Y39" s="64"/>
      <c r="Z39" s="64"/>
      <c r="AA39" s="64"/>
      <c r="AB39" s="64"/>
      <c r="AC39" s="64"/>
      <c r="AD39" s="64"/>
      <c r="AE39" s="64"/>
      <c r="AF39" s="64"/>
      <c r="AG39" s="64"/>
      <c r="AH39" s="64"/>
      <c r="AI39" s="64"/>
      <c r="AJ39" s="64"/>
      <c r="AK39" s="64"/>
      <c r="AL39" s="64"/>
      <c r="AM39" s="64"/>
      <c r="AN39" s="64"/>
      <c r="AO39" s="64"/>
    </row>
    <row r="40" customFormat="false" ht="12.75" hidden="false" customHeight="false" outlineLevel="0" collapsed="false"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4"/>
      <c r="AG40" s="64"/>
      <c r="AH40" s="64"/>
      <c r="AI40" s="64"/>
      <c r="AJ40" s="64"/>
      <c r="AK40" s="64"/>
      <c r="AL40" s="64"/>
      <c r="AM40" s="64"/>
      <c r="AN40" s="64"/>
      <c r="AO40" s="64"/>
    </row>
    <row r="41" s="65" customFormat="true" ht="12.75" hidden="false" customHeight="false" outlineLevel="0" collapsed="false">
      <c r="A41" s="65" t="s">
        <v>58</v>
      </c>
      <c r="C41" s="66" t="n">
        <f aca="false">PMT(E31/2,20,-D42)</f>
        <v>7.77947424175492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="65" customFormat="true" ht="12.75" hidden="false" customHeight="false" outlineLevel="0" collapsed="false">
      <c r="A42" s="1" t="s">
        <v>59</v>
      </c>
      <c r="D42" s="67" t="n">
        <f aca="false">SUM(D39:$W$39)</f>
        <v>96.9494443551216</v>
      </c>
      <c r="E42" s="68" t="n">
        <f aca="false">D42-D44</f>
        <v>94.0174423311227</v>
      </c>
      <c r="F42" s="68" t="n">
        <f aca="false">E42-E44</f>
        <v>90.938840205924</v>
      </c>
      <c r="G42" s="68" t="n">
        <f aca="false">F42-F44</f>
        <v>87.7063079744652</v>
      </c>
      <c r="H42" s="68" t="n">
        <f aca="false">G42-G44</f>
        <v>84.3121491314336</v>
      </c>
      <c r="I42" s="68" t="n">
        <f aca="false">H42-H44</f>
        <v>80.7482823462503</v>
      </c>
      <c r="J42" s="68" t="n">
        <f aca="false">I42-I44</f>
        <v>77.0062222218079</v>
      </c>
      <c r="K42" s="68" t="n">
        <f aca="false">J42-J44</f>
        <v>73.0770590911434</v>
      </c>
      <c r="L42" s="68" t="n">
        <f aca="false">K42-K44</f>
        <v>68.9514378039457</v>
      </c>
      <c r="M42" s="68" t="n">
        <f aca="false">L42-L44</f>
        <v>64.619535452388</v>
      </c>
      <c r="N42" s="68" t="n">
        <f aca="false">M42-M44</f>
        <v>60.0710379832525</v>
      </c>
      <c r="O42" s="68" t="n">
        <f aca="false">N42-N44</f>
        <v>55.2951156406602</v>
      </c>
      <c r="P42" s="68" t="n">
        <f aca="false">O42-O44</f>
        <v>50.2803971809383</v>
      </c>
      <c r="Q42" s="68" t="n">
        <f aca="false">P42-P44</f>
        <v>45.0149427982303</v>
      </c>
      <c r="R42" s="68" t="n">
        <f aca="false">Q42-Q44</f>
        <v>39.4862156963869</v>
      </c>
      <c r="S42" s="68" t="n">
        <f aca="false">R42-R44</f>
        <v>33.6810522394513</v>
      </c>
      <c r="T42" s="68" t="n">
        <f aca="false">S42-S44</f>
        <v>27.585630609669</v>
      </c>
      <c r="U42" s="68" t="n">
        <f aca="false">T42-T44</f>
        <v>21.1854378983975</v>
      </c>
      <c r="V42" s="68" t="n">
        <f aca="false">U42-U44</f>
        <v>14.4652355515624</v>
      </c>
      <c r="W42" s="68" t="n">
        <f aca="false">V42-V44</f>
        <v>7.40902308738563</v>
      </c>
      <c r="X42" s="68"/>
      <c r="Y42" s="68"/>
      <c r="Z42" s="68"/>
      <c r="AA42" s="68"/>
      <c r="AB42" s="68"/>
      <c r="AC42" s="68"/>
      <c r="AD42" s="68"/>
      <c r="AE42" s="68"/>
      <c r="AF42" s="68"/>
      <c r="AG42" s="68"/>
      <c r="AH42" s="68"/>
      <c r="AI42" s="68"/>
      <c r="AJ42" s="68"/>
      <c r="AK42" s="68"/>
      <c r="AL42" s="68"/>
      <c r="AM42" s="68"/>
      <c r="AN42" s="68"/>
      <c r="AO42" s="68"/>
      <c r="AP42" s="68"/>
      <c r="AQ42" s="68"/>
      <c r="AR42" s="68"/>
      <c r="AS42" s="68"/>
      <c r="AT42" s="68"/>
      <c r="AU42" s="68"/>
      <c r="AV42" s="68"/>
      <c r="AW42" s="68"/>
      <c r="AX42" s="68"/>
      <c r="AY42" s="68"/>
      <c r="AZ42" s="68"/>
      <c r="BA42" s="68"/>
      <c r="BB42" s="68"/>
      <c r="BC42" s="68"/>
      <c r="BD42" s="68"/>
      <c r="BE42" s="68"/>
      <c r="BF42" s="68"/>
    </row>
    <row r="43" s="65" customFormat="true" ht="12.75" hidden="false" customHeight="false" outlineLevel="0" collapsed="false">
      <c r="A43" s="65" t="s">
        <v>60</v>
      </c>
      <c r="D43" s="68" t="n">
        <f aca="false">D42*$E$31/2</f>
        <v>4.84747221775608</v>
      </c>
      <c r="E43" s="68" t="n">
        <f aca="false">E42*$E$31/2</f>
        <v>4.70087211655614</v>
      </c>
      <c r="F43" s="68" t="n">
        <f aca="false">F42*$E$31/2</f>
        <v>4.5469420102962</v>
      </c>
      <c r="G43" s="68" t="n">
        <f aca="false">G42*$E$31/2</f>
        <v>4.38531539872326</v>
      </c>
      <c r="H43" s="68" t="n">
        <f aca="false">H42*$E$31/2</f>
        <v>4.21560745657168</v>
      </c>
      <c r="I43" s="68" t="n">
        <f aca="false">I42*$E$31/2</f>
        <v>4.03741411731252</v>
      </c>
      <c r="J43" s="68" t="n">
        <f aca="false">J42*$E$31/2</f>
        <v>3.8503111110904</v>
      </c>
      <c r="K43" s="68" t="n">
        <f aca="false">K42*$E$31/2</f>
        <v>3.65385295455717</v>
      </c>
      <c r="L43" s="68" t="n">
        <f aca="false">L42*$E$31/2</f>
        <v>3.44757189019728</v>
      </c>
      <c r="M43" s="68" t="n">
        <f aca="false">M42*$E$31/2</f>
        <v>3.2309767726194</v>
      </c>
      <c r="N43" s="68" t="n">
        <f aca="false">N42*$E$31/2</f>
        <v>3.00355189916263</v>
      </c>
      <c r="O43" s="68" t="n">
        <f aca="false">O42*$E$31/2</f>
        <v>2.76475578203301</v>
      </c>
      <c r="P43" s="68" t="n">
        <f aca="false">P42*$E$31/2</f>
        <v>2.51401985904691</v>
      </c>
      <c r="Q43" s="68" t="n">
        <f aca="false">Q42*$E$31/2</f>
        <v>2.25074713991151</v>
      </c>
      <c r="R43" s="68" t="n">
        <f aca="false">R42*$E$31/2</f>
        <v>1.97431078481934</v>
      </c>
      <c r="S43" s="68" t="n">
        <f aca="false">S42*$E$31/2</f>
        <v>1.68405261197257</v>
      </c>
      <c r="T43" s="68" t="n">
        <f aca="false">T42*$E$31/2</f>
        <v>1.37928153048345</v>
      </c>
      <c r="U43" s="68" t="n">
        <f aca="false">U42*$E$31/2</f>
        <v>1.05927189491987</v>
      </c>
      <c r="V43" s="68" t="n">
        <f aca="false">V42*$E$31/2</f>
        <v>0.723261777578122</v>
      </c>
      <c r="W43" s="68" t="n">
        <f aca="false">W42*$E$31/2</f>
        <v>0.370451154369282</v>
      </c>
      <c r="X43" s="68"/>
      <c r="Y43" s="68"/>
      <c r="Z43" s="68"/>
      <c r="AA43" s="68"/>
      <c r="AB43" s="68"/>
      <c r="AC43" s="68"/>
      <c r="AD43" s="68"/>
      <c r="AE43" s="68"/>
      <c r="AF43" s="68"/>
      <c r="AG43" s="68"/>
      <c r="AH43" s="68"/>
      <c r="AI43" s="68"/>
      <c r="AJ43" s="68"/>
      <c r="AK43" s="68"/>
      <c r="AL43" s="68"/>
      <c r="AM43" s="68"/>
      <c r="AN43" s="68"/>
      <c r="AO43" s="68"/>
      <c r="AP43" s="68"/>
      <c r="AQ43" s="68"/>
      <c r="AR43" s="68"/>
      <c r="AS43" s="68"/>
      <c r="AT43" s="68"/>
      <c r="AU43" s="68"/>
      <c r="AV43" s="68"/>
      <c r="AW43" s="68"/>
      <c r="AX43" s="68"/>
      <c r="AY43" s="68"/>
      <c r="AZ43" s="68"/>
      <c r="BA43" s="68"/>
      <c r="BB43" s="68"/>
      <c r="BC43" s="68"/>
      <c r="BD43" s="68"/>
      <c r="BE43" s="68"/>
      <c r="BF43" s="68"/>
    </row>
    <row r="44" s="65" customFormat="true" ht="12.75" hidden="false" customHeight="false" outlineLevel="0" collapsed="false">
      <c r="A44" s="65" t="s">
        <v>61</v>
      </c>
      <c r="D44" s="68" t="n">
        <f aca="false">$C$41-D43</f>
        <v>2.93200202399884</v>
      </c>
      <c r="E44" s="68" t="n">
        <f aca="false">$C$41-E43</f>
        <v>3.07860212519878</v>
      </c>
      <c r="F44" s="68" t="n">
        <f aca="false">$C$41-F43</f>
        <v>3.23253223145872</v>
      </c>
      <c r="G44" s="68" t="n">
        <f aca="false">$C$41-G43</f>
        <v>3.39415884303166</v>
      </c>
      <c r="H44" s="68" t="n">
        <f aca="false">$C$41-H43</f>
        <v>3.56386678518324</v>
      </c>
      <c r="I44" s="68" t="n">
        <f aca="false">$C$41-I43</f>
        <v>3.7420601244424</v>
      </c>
      <c r="J44" s="68" t="n">
        <f aca="false">$C$41-J43</f>
        <v>3.92916313066452</v>
      </c>
      <c r="K44" s="68" t="n">
        <f aca="false">$C$41-K43</f>
        <v>4.12562128719775</v>
      </c>
      <c r="L44" s="68" t="n">
        <f aca="false">$C$41-L43</f>
        <v>4.33190235155764</v>
      </c>
      <c r="M44" s="68" t="n">
        <f aca="false">$C$41-M43</f>
        <v>4.54849746913552</v>
      </c>
      <c r="N44" s="68" t="n">
        <f aca="false">$C$41-N43</f>
        <v>4.7759223425923</v>
      </c>
      <c r="O44" s="68" t="n">
        <f aca="false">$C$41-O43</f>
        <v>5.01471845972191</v>
      </c>
      <c r="P44" s="68" t="n">
        <f aca="false">$C$41-P43</f>
        <v>5.26545438270801</v>
      </c>
      <c r="Q44" s="68" t="n">
        <f aca="false">$C$41-Q43</f>
        <v>5.52872710184341</v>
      </c>
      <c r="R44" s="68" t="n">
        <f aca="false">$C$41-R43</f>
        <v>5.80516345693558</v>
      </c>
      <c r="S44" s="68" t="n">
        <f aca="false">$C$41-S43</f>
        <v>6.09542162978236</v>
      </c>
      <c r="T44" s="68" t="n">
        <f aca="false">$C$41-T43</f>
        <v>6.40019271127147</v>
      </c>
      <c r="U44" s="68" t="n">
        <f aca="false">$C$41-U43</f>
        <v>6.72020234683505</v>
      </c>
      <c r="V44" s="68" t="n">
        <f aca="false">$C$41-V43</f>
        <v>7.0562124641768</v>
      </c>
      <c r="W44" s="68" t="n">
        <f aca="false">$C$41-W43</f>
        <v>7.40902308738564</v>
      </c>
      <c r="X44" s="68"/>
      <c r="Y44" s="68"/>
      <c r="Z44" s="68"/>
      <c r="AA44" s="68"/>
      <c r="AB44" s="68"/>
      <c r="AC44" s="68"/>
      <c r="AD44" s="68"/>
      <c r="AE44" s="68"/>
      <c r="AF44" s="68"/>
      <c r="AG44" s="68"/>
      <c r="AH44" s="68"/>
      <c r="AI44" s="68"/>
      <c r="AJ44" s="68"/>
      <c r="AK44" s="68"/>
      <c r="AL44" s="68"/>
      <c r="AM44" s="68"/>
      <c r="AN44" s="68"/>
      <c r="AO44" s="68"/>
      <c r="AP44" s="68"/>
      <c r="AQ44" s="68"/>
      <c r="AR44" s="68"/>
      <c r="AS44" s="68"/>
      <c r="AT44" s="68"/>
      <c r="AU44" s="68"/>
      <c r="AV44" s="68"/>
      <c r="AW44" s="68"/>
      <c r="AX44" s="68"/>
      <c r="AY44" s="68"/>
      <c r="AZ44" s="68"/>
      <c r="BA44" s="68"/>
      <c r="BB44" s="68"/>
      <c r="BC44" s="68"/>
      <c r="BD44" s="68"/>
      <c r="BE44" s="68"/>
      <c r="BF44" s="68"/>
    </row>
    <row r="45" s="65" customFormat="true" ht="12.75" hidden="false" customHeight="false" outlineLevel="0" collapsed="false">
      <c r="D45" s="68" t="n">
        <f aca="false">D43+D44</f>
        <v>7.77947424175492</v>
      </c>
      <c r="E45" s="68" t="n">
        <f aca="false">E43+E44</f>
        <v>7.77947424175492</v>
      </c>
      <c r="F45" s="68" t="n">
        <f aca="false">F43+F44</f>
        <v>7.77947424175492</v>
      </c>
      <c r="G45" s="68" t="n">
        <f aca="false">G43+G44</f>
        <v>7.77947424175492</v>
      </c>
      <c r="H45" s="68" t="n">
        <f aca="false">H43+H44</f>
        <v>7.77947424175492</v>
      </c>
      <c r="I45" s="68" t="n">
        <f aca="false">I43+I44</f>
        <v>7.77947424175492</v>
      </c>
      <c r="J45" s="68" t="n">
        <f aca="false">J43+J44</f>
        <v>7.77947424175492</v>
      </c>
      <c r="K45" s="68" t="n">
        <f aca="false">K43+K44</f>
        <v>7.77947424175492</v>
      </c>
      <c r="L45" s="68" t="n">
        <f aca="false">L43+L44</f>
        <v>7.77947424175492</v>
      </c>
      <c r="M45" s="68" t="n">
        <f aca="false">M43+M44</f>
        <v>7.77947424175492</v>
      </c>
      <c r="N45" s="68" t="n">
        <f aca="false">N43+N44</f>
        <v>7.77947424175492</v>
      </c>
      <c r="O45" s="68" t="n">
        <f aca="false">O43+O44</f>
        <v>7.77947424175492</v>
      </c>
      <c r="P45" s="68" t="n">
        <f aca="false">P43+P44</f>
        <v>7.77947424175492</v>
      </c>
      <c r="Q45" s="68" t="n">
        <f aca="false">Q43+Q44</f>
        <v>7.77947424175492</v>
      </c>
      <c r="R45" s="68" t="n">
        <f aca="false">R43+R44</f>
        <v>7.77947424175492</v>
      </c>
      <c r="S45" s="68" t="n">
        <f aca="false">S43+S44</f>
        <v>7.77947424175492</v>
      </c>
      <c r="T45" s="68" t="n">
        <f aca="false">T43+T44</f>
        <v>7.77947424175492</v>
      </c>
      <c r="U45" s="68" t="n">
        <f aca="false">U43+U44</f>
        <v>7.77947424175492</v>
      </c>
      <c r="V45" s="68" t="n">
        <f aca="false">V43+V44</f>
        <v>7.77947424175492</v>
      </c>
      <c r="W45" s="68" t="n">
        <f aca="false">W43+W44</f>
        <v>7.77947424175492</v>
      </c>
      <c r="X45" s="68"/>
      <c r="Y45" s="68"/>
      <c r="Z45" s="68"/>
      <c r="AA45" s="68"/>
      <c r="AB45" s="68"/>
      <c r="AC45" s="68"/>
      <c r="AD45" s="68"/>
      <c r="AE45" s="68"/>
      <c r="AF45" s="68"/>
      <c r="AG45" s="68"/>
      <c r="AH45" s="68"/>
      <c r="AI45" s="68"/>
      <c r="AJ45" s="68"/>
      <c r="AK45" s="68"/>
      <c r="AL45" s="68"/>
      <c r="AM45" s="68"/>
      <c r="AN45" s="68"/>
      <c r="AO45" s="68"/>
      <c r="AP45" s="68"/>
      <c r="AQ45" s="68"/>
      <c r="AR45" s="68"/>
      <c r="AS45" s="68"/>
      <c r="AT45" s="68"/>
      <c r="AU45" s="68"/>
      <c r="AV45" s="68"/>
      <c r="AW45" s="68"/>
      <c r="AX45" s="68"/>
      <c r="AY45" s="68"/>
      <c r="AZ45" s="68"/>
      <c r="BA45" s="68"/>
      <c r="BB45" s="68"/>
      <c r="BC45" s="68"/>
      <c r="BD45" s="68"/>
      <c r="BE45" s="68"/>
      <c r="BF45" s="68"/>
    </row>
    <row r="46" s="65" customFormat="true" ht="12.75" hidden="false" customHeight="false" outlineLevel="0" collapsed="false"/>
    <row r="47" customFormat="false" ht="12.75" hidden="false" customHeight="false" outlineLevel="0" collapsed="false"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  <c r="AA47" s="65"/>
    </row>
    <row r="49" customFormat="false" ht="12.75" hidden="false" customHeight="false" outlineLevel="0" collapsed="false">
      <c r="C49" s="65"/>
      <c r="D49" s="65"/>
      <c r="E49" s="65"/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</row>
    <row r="63" customFormat="false" ht="12.75" hidden="false" customHeight="false" outlineLevel="0" collapsed="false">
      <c r="C63" s="69"/>
    </row>
  </sheetData>
  <mergeCells count="4">
    <mergeCell ref="B30:D30"/>
    <mergeCell ref="B31:D31"/>
    <mergeCell ref="B32:D32"/>
    <mergeCell ref="B33:D33"/>
  </mergeCells>
  <hyperlinks>
    <hyperlink ref="B7" r:id="rId2" display="leesb@hanyang.ac.kr"/>
    <hyperlink ref="B23" r:id="rId3" display="http://www.federalreserve.gov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4"/>
  <legacy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1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41" activeCellId="0" sqref="F41"/>
    </sheetView>
  </sheetViews>
  <sheetFormatPr defaultColWidth="8.87890625" defaultRowHeight="12.75" zeroHeight="false" outlineLevelRow="0" outlineLevelCol="0"/>
  <cols>
    <col collapsed="false" customWidth="true" hidden="false" outlineLevel="0" max="1" min="1" style="70" width="30.44"/>
    <col collapsed="false" customWidth="true" hidden="false" outlineLevel="0" max="4" min="2" style="71" width="6.66"/>
    <col collapsed="false" customWidth="true" hidden="false" outlineLevel="0" max="6" min="5" style="71" width="6.55"/>
    <col collapsed="false" customWidth="true" hidden="false" outlineLevel="0" max="7" min="7" style="71" width="6.99"/>
    <col collapsed="false" customWidth="true" hidden="false" outlineLevel="0" max="8" min="8" style="71" width="6.77"/>
    <col collapsed="false" customWidth="true" hidden="false" outlineLevel="0" max="10" min="9" style="71" width="6.55"/>
    <col collapsed="false" customWidth="true" hidden="false" outlineLevel="0" max="12" min="11" style="71" width="6.99"/>
    <col collapsed="false" customWidth="true" hidden="false" outlineLevel="0" max="13" min="13" style="71" width="5.99"/>
    <col collapsed="false" customWidth="false" hidden="false" outlineLevel="0" max="257" min="14" style="71" width="8.88"/>
  </cols>
  <sheetData>
    <row r="1" s="3" customFormat="true" ht="12.75" hidden="false" customHeight="false" outlineLevel="0" collapsed="false">
      <c r="A1" s="2" t="s">
        <v>62</v>
      </c>
      <c r="D1" s="3" t="s">
        <v>1</v>
      </c>
      <c r="K1" s="3" t="s">
        <v>2</v>
      </c>
    </row>
    <row r="2" s="5" customFormat="true" ht="12.75" hidden="false" customHeight="true" outlineLevel="0" collapsed="false">
      <c r="A2" s="4" t="s">
        <v>3</v>
      </c>
      <c r="B2" s="5" t="s">
        <v>4</v>
      </c>
      <c r="C2" s="6" t="s">
        <v>5</v>
      </c>
      <c r="D2" s="7" t="n">
        <v>100302</v>
      </c>
      <c r="E2" s="8"/>
    </row>
    <row r="3" s="11" customFormat="true" ht="12.75" hidden="false" customHeight="true" outlineLevel="0" collapsed="false">
      <c r="A3" s="4" t="s">
        <v>6</v>
      </c>
      <c r="B3" s="9" t="n">
        <v>1</v>
      </c>
      <c r="C3" s="4" t="s">
        <v>7</v>
      </c>
      <c r="D3" s="10" t="s">
        <v>8</v>
      </c>
      <c r="F3" s="12" t="s">
        <v>9</v>
      </c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4"/>
    </row>
    <row r="4" s="11" customFormat="true" ht="12.75" hidden="false" customHeight="true" outlineLevel="0" collapsed="false">
      <c r="A4" s="4" t="s">
        <v>10</v>
      </c>
      <c r="B4" s="15" t="n">
        <v>37774</v>
      </c>
      <c r="F4" s="16" t="s">
        <v>63</v>
      </c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8"/>
    </row>
    <row r="5" s="11" customFormat="true" ht="12.75" hidden="false" customHeight="true" outlineLevel="0" collapsed="false">
      <c r="A5" s="4" t="s">
        <v>12</v>
      </c>
      <c r="B5" s="10" t="s">
        <v>13</v>
      </c>
      <c r="C5" s="10"/>
      <c r="D5" s="10"/>
      <c r="E5" s="10"/>
      <c r="F5" s="19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8"/>
    </row>
    <row r="6" s="11" customFormat="true" ht="12.75" hidden="false" customHeight="true" outlineLevel="0" collapsed="false">
      <c r="A6" s="4" t="s">
        <v>14</v>
      </c>
      <c r="B6" s="10" t="s">
        <v>15</v>
      </c>
      <c r="C6" s="10"/>
      <c r="D6" s="10"/>
      <c r="F6" s="20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2"/>
    </row>
    <row r="7" s="11" customFormat="true" ht="12.75" hidden="false" customHeight="true" outlineLevel="0" collapsed="false">
      <c r="A7" s="4" t="s">
        <v>16</v>
      </c>
      <c r="B7" s="23" t="s">
        <v>17</v>
      </c>
      <c r="C7" s="23"/>
      <c r="D7" s="23"/>
      <c r="E7" s="24"/>
      <c r="F7" s="25" t="s">
        <v>18</v>
      </c>
      <c r="G7" s="26" t="s">
        <v>64</v>
      </c>
      <c r="H7" s="27"/>
      <c r="I7" s="27"/>
      <c r="J7" s="27"/>
      <c r="K7" s="27"/>
      <c r="L7" s="27"/>
      <c r="M7" s="27"/>
      <c r="N7" s="28"/>
      <c r="O7" s="28"/>
      <c r="P7" s="28"/>
      <c r="Q7" s="28"/>
      <c r="R7" s="28"/>
      <c r="S7" s="29"/>
    </row>
    <row r="8" s="11" customFormat="true" ht="12.75" hidden="false" customHeight="true" outlineLevel="0" collapsed="false">
      <c r="A8" s="4" t="s">
        <v>20</v>
      </c>
      <c r="B8" s="30" t="n">
        <v>37952</v>
      </c>
      <c r="C8" s="24"/>
      <c r="D8" s="24"/>
      <c r="E8" s="24"/>
      <c r="F8" s="31" t="s">
        <v>21</v>
      </c>
      <c r="G8" s="32" t="s">
        <v>65</v>
      </c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4"/>
    </row>
    <row r="9" s="11" customFormat="true" ht="12.75" hidden="false" customHeight="true" outlineLevel="0" collapsed="false">
      <c r="A9" s="4" t="s">
        <v>23</v>
      </c>
      <c r="B9" s="24" t="s">
        <v>24</v>
      </c>
      <c r="C9" s="24"/>
      <c r="D9" s="24"/>
      <c r="E9" s="24"/>
      <c r="F9" s="24"/>
      <c r="G9" s="35"/>
      <c r="H9" s="5"/>
      <c r="I9" s="5"/>
      <c r="J9" s="5"/>
      <c r="K9" s="5"/>
      <c r="L9" s="5"/>
      <c r="M9" s="5"/>
      <c r="N9" s="5"/>
      <c r="O9" s="5"/>
      <c r="P9" s="5"/>
      <c r="Q9" s="5"/>
      <c r="R9" s="5"/>
    </row>
    <row r="10" s="11" customFormat="true" ht="12.75" hidden="false" customHeight="true" outlineLevel="0" collapsed="false">
      <c r="A10" s="4"/>
      <c r="C10" s="24"/>
      <c r="D10" s="24"/>
      <c r="E10" s="24"/>
      <c r="F10" s="24"/>
      <c r="G10" s="3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</row>
    <row r="11" s="39" customFormat="true" ht="12.75" hidden="false" customHeight="true" outlineLevel="0" collapsed="false">
      <c r="A11" s="36" t="s">
        <v>25</v>
      </c>
      <c r="B11" s="37"/>
      <c r="C11" s="37"/>
      <c r="D11" s="37"/>
      <c r="E11" s="37"/>
      <c r="F11" s="37"/>
      <c r="G11" s="38"/>
    </row>
    <row r="12" s="11" customFormat="true" ht="12.75" hidden="false" customHeight="true" outlineLevel="0" collapsed="false">
      <c r="A12" s="40"/>
      <c r="B12" s="41"/>
      <c r="C12" s="41"/>
      <c r="D12" s="41"/>
      <c r="E12" s="41"/>
      <c r="F12" s="41"/>
      <c r="G12" s="35"/>
      <c r="H12" s="5"/>
      <c r="I12" s="5"/>
      <c r="J12" s="5"/>
      <c r="K12" s="5"/>
      <c r="L12" s="5"/>
      <c r="M12" s="5"/>
      <c r="N12" s="5"/>
      <c r="P12" s="5"/>
      <c r="Q12" s="5"/>
      <c r="R12" s="5"/>
    </row>
    <row r="13" s="11" customFormat="true" ht="12.75" hidden="false" customHeight="true" outlineLevel="0" collapsed="false">
      <c r="A13" s="42" t="s">
        <v>26</v>
      </c>
      <c r="B13" s="43" t="s">
        <v>27</v>
      </c>
      <c r="C13" s="43"/>
      <c r="D13" s="43"/>
      <c r="E13" s="43"/>
      <c r="F13" s="44"/>
      <c r="G13" s="5"/>
      <c r="H13" s="5"/>
      <c r="I13" s="5"/>
      <c r="J13" s="5"/>
      <c r="K13" s="5"/>
      <c r="L13" s="5"/>
      <c r="M13" s="5"/>
      <c r="N13" s="5"/>
      <c r="P13" s="5"/>
      <c r="Q13" s="5"/>
      <c r="R13" s="5"/>
    </row>
    <row r="14" s="11" customFormat="true" ht="12.75" hidden="false" customHeight="true" outlineLevel="0" collapsed="false">
      <c r="A14" s="45" t="s">
        <v>28</v>
      </c>
      <c r="B14" s="41" t="s">
        <v>29</v>
      </c>
      <c r="C14" s="41"/>
      <c r="D14" s="41"/>
      <c r="E14" s="41"/>
      <c r="F14" s="46"/>
      <c r="P14" s="5"/>
      <c r="Q14" s="5"/>
      <c r="R14" s="5"/>
    </row>
    <row r="15" s="11" customFormat="true" ht="12.75" hidden="false" customHeight="true" outlineLevel="0" collapsed="false">
      <c r="A15" s="45" t="s">
        <v>30</v>
      </c>
      <c r="B15" s="41" t="s">
        <v>31</v>
      </c>
      <c r="C15" s="41"/>
      <c r="D15" s="41"/>
      <c r="E15" s="41"/>
      <c r="F15" s="46"/>
      <c r="P15" s="5"/>
      <c r="Q15" s="5"/>
      <c r="R15" s="5"/>
    </row>
    <row r="16" s="11" customFormat="true" ht="12.75" hidden="false" customHeight="true" outlineLevel="0" collapsed="false">
      <c r="A16" s="45" t="s">
        <v>32</v>
      </c>
      <c r="B16" s="41" t="s">
        <v>33</v>
      </c>
      <c r="C16" s="41"/>
      <c r="D16" s="41"/>
      <c r="E16" s="41"/>
      <c r="F16" s="46"/>
      <c r="H16" s="47"/>
      <c r="I16" s="47"/>
      <c r="P16" s="5"/>
      <c r="Q16" s="5"/>
      <c r="R16" s="5"/>
    </row>
    <row r="17" s="11" customFormat="true" ht="12.75" hidden="false" customHeight="true" outlineLevel="0" collapsed="false">
      <c r="A17" s="45" t="s">
        <v>34</v>
      </c>
      <c r="B17" s="41" t="s">
        <v>35</v>
      </c>
      <c r="C17" s="41"/>
      <c r="D17" s="41"/>
      <c r="E17" s="41"/>
      <c r="F17" s="46"/>
      <c r="H17" s="48"/>
      <c r="I17" s="47"/>
      <c r="P17" s="5"/>
      <c r="Q17" s="5"/>
      <c r="R17" s="5"/>
    </row>
    <row r="18" s="11" customFormat="true" ht="12.75" hidden="false" customHeight="true" outlineLevel="0" collapsed="false">
      <c r="A18" s="45" t="s">
        <v>36</v>
      </c>
      <c r="B18" s="49" t="s">
        <v>37</v>
      </c>
      <c r="C18" s="41"/>
      <c r="D18" s="41"/>
      <c r="E18" s="41"/>
      <c r="F18" s="46"/>
      <c r="P18" s="5"/>
      <c r="Q18" s="5"/>
      <c r="R18" s="5"/>
    </row>
    <row r="19" s="11" customFormat="true" ht="12.75" hidden="false" customHeight="true" outlineLevel="0" collapsed="false">
      <c r="A19" s="50" t="s">
        <v>38</v>
      </c>
      <c r="B19" s="51" t="s">
        <v>39</v>
      </c>
      <c r="C19" s="51"/>
      <c r="D19" s="51"/>
      <c r="E19" s="51"/>
      <c r="F19" s="52"/>
      <c r="P19" s="5"/>
      <c r="Q19" s="5"/>
      <c r="R19" s="5"/>
    </row>
    <row r="20" s="11" customFormat="true" ht="12.75" hidden="false" customHeight="true" outlineLevel="0" collapsed="false">
      <c r="A20" s="53" t="s">
        <v>40</v>
      </c>
      <c r="B20" s="41" t="s">
        <v>41</v>
      </c>
      <c r="C20" s="41"/>
      <c r="D20" s="41"/>
      <c r="E20" s="41"/>
      <c r="F20" s="41"/>
      <c r="P20" s="5"/>
      <c r="Q20" s="5"/>
      <c r="R20" s="5"/>
    </row>
    <row r="21" s="11" customFormat="true" ht="12.75" hidden="false" customHeight="true" outlineLevel="0" collapsed="false">
      <c r="A21" s="4"/>
      <c r="B21" s="30"/>
      <c r="C21" s="30"/>
      <c r="D21" s="30"/>
      <c r="E21" s="30"/>
      <c r="L21" s="5"/>
      <c r="M21" s="5"/>
      <c r="N21" s="5"/>
      <c r="O21" s="5"/>
      <c r="P21" s="5"/>
      <c r="Q21" s="5"/>
      <c r="R21" s="5"/>
    </row>
    <row r="22" s="39" customFormat="true" ht="12.75" hidden="false" customHeight="true" outlineLevel="0" collapsed="false">
      <c r="A22" s="36" t="s">
        <v>42</v>
      </c>
      <c r="B22" s="54"/>
      <c r="C22" s="54"/>
      <c r="D22" s="54"/>
      <c r="E22" s="54"/>
    </row>
    <row r="23" s="11" customFormat="true" ht="12.75" hidden="false" customHeight="true" outlineLevel="0" collapsed="false">
      <c r="A23" s="4" t="s">
        <v>43</v>
      </c>
      <c r="B23" s="55" t="s">
        <v>44</v>
      </c>
      <c r="C23" s="30"/>
      <c r="D23" s="30"/>
      <c r="E23" s="30"/>
      <c r="L23" s="5"/>
      <c r="M23" s="5"/>
      <c r="N23" s="5"/>
      <c r="O23" s="5"/>
      <c r="P23" s="5"/>
      <c r="Q23" s="5"/>
      <c r="R23" s="5"/>
    </row>
    <row r="24" s="5" customFormat="true" ht="12.75" hidden="false" customHeight="true" outlineLevel="0" collapsed="false">
      <c r="A24" s="4" t="s">
        <v>45</v>
      </c>
      <c r="B24" s="56" t="s">
        <v>46</v>
      </c>
      <c r="C24" s="30"/>
      <c r="D24" s="30"/>
      <c r="E24" s="30"/>
      <c r="F24" s="11"/>
      <c r="G24" s="11"/>
    </row>
    <row r="25" s="5" customFormat="true" ht="12.75" hidden="false" customHeight="false" outlineLevel="0" collapsed="false">
      <c r="A25" s="4"/>
      <c r="B25" s="23"/>
      <c r="C25" s="11"/>
      <c r="D25" s="11"/>
      <c r="E25" s="11"/>
      <c r="F25" s="11"/>
      <c r="G25" s="11"/>
    </row>
    <row r="26" s="3" customFormat="true" ht="12.75" hidden="false" customHeight="false" outlineLevel="0" collapsed="false">
      <c r="A26" s="2" t="s">
        <v>47</v>
      </c>
      <c r="B26" s="2"/>
      <c r="N26" s="57"/>
      <c r="O26" s="57"/>
      <c r="P26" s="57"/>
      <c r="Q26" s="57"/>
      <c r="R26" s="57"/>
      <c r="S26" s="57"/>
      <c r="T26" s="57"/>
    </row>
    <row r="27" s="73" customFormat="true" ht="12.75" hidden="false" customHeight="false" outlineLevel="0" collapsed="false">
      <c r="A27" s="72"/>
      <c r="B27" s="72"/>
      <c r="N27" s="74"/>
      <c r="O27" s="74"/>
      <c r="P27" s="74"/>
      <c r="Q27" s="74"/>
      <c r="R27" s="74"/>
      <c r="S27" s="74"/>
      <c r="T27" s="74"/>
    </row>
    <row r="28" s="11" customFormat="true" ht="12.75" hidden="false" customHeight="false" outlineLevel="0" collapsed="false">
      <c r="A28" s="75" t="s">
        <v>66</v>
      </c>
      <c r="B28" s="75" t="n">
        <v>0</v>
      </c>
      <c r="C28" s="75" t="n">
        <v>1</v>
      </c>
      <c r="D28" s="75" t="n">
        <v>2</v>
      </c>
      <c r="E28" s="75" t="n">
        <v>3</v>
      </c>
      <c r="F28" s="75" t="n">
        <v>4</v>
      </c>
      <c r="G28" s="75" t="n">
        <v>5</v>
      </c>
      <c r="H28" s="75" t="n">
        <v>6</v>
      </c>
      <c r="I28" s="75" t="n">
        <v>7</v>
      </c>
      <c r="J28" s="75" t="n">
        <v>8</v>
      </c>
      <c r="K28" s="75" t="n">
        <v>9</v>
      </c>
      <c r="L28" s="75" t="n">
        <v>10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 s="5" customFormat="true" ht="12.75" hidden="false" customHeight="false" outlineLevel="0" collapsed="false">
      <c r="A29" s="76" t="s">
        <v>67</v>
      </c>
      <c r="B29" s="77" t="n">
        <v>0.045</v>
      </c>
      <c r="C29" s="77" t="n">
        <v>0.045</v>
      </c>
      <c r="D29" s="77" t="n">
        <v>0.045</v>
      </c>
      <c r="E29" s="77" t="n">
        <v>0.045</v>
      </c>
      <c r="F29" s="77" t="n">
        <v>0.045</v>
      </c>
      <c r="G29" s="77" t="n">
        <v>0.045</v>
      </c>
      <c r="H29" s="77" t="n">
        <v>0.045</v>
      </c>
      <c r="I29" s="77" t="n">
        <v>0.045</v>
      </c>
      <c r="J29" s="77" t="n">
        <v>0.045</v>
      </c>
      <c r="K29" s="77" t="n">
        <v>0.045</v>
      </c>
      <c r="L29" s="77" t="n">
        <v>0.045</v>
      </c>
    </row>
    <row r="30" s="73" customFormat="true" ht="12.75" hidden="false" customHeight="false" outlineLevel="0" collapsed="false">
      <c r="A30" s="76" t="s">
        <v>68</v>
      </c>
      <c r="B30" s="78" t="n">
        <f aca="false">EXP(-B29*B28)</f>
        <v>1</v>
      </c>
      <c r="C30" s="78" t="n">
        <f aca="false">EXP(-C29*C28)</f>
        <v>0.9559974818331</v>
      </c>
      <c r="D30" s="78" t="n">
        <f aca="false">EXP(-D29*D28)</f>
        <v>0.913931185271228</v>
      </c>
      <c r="E30" s="78" t="n">
        <f aca="false">EXP(-E29*E28)</f>
        <v>0.873715911688034</v>
      </c>
      <c r="F30" s="78" t="n">
        <f aca="false">EXP(-F29*F28)</f>
        <v>0.835270211411272</v>
      </c>
      <c r="G30" s="78" t="n">
        <f aca="false">EXP(-G29*G28)</f>
        <v>0.798516218759377</v>
      </c>
      <c r="H30" s="78" t="n">
        <f aca="false">EXP(-H29*H28)</f>
        <v>0.763379494336853</v>
      </c>
      <c r="I30" s="78" t="n">
        <f aca="false">EXP(-I29*I28)</f>
        <v>0.729788874269057</v>
      </c>
      <c r="J30" s="78" t="n">
        <f aca="false">EXP(-J29*J28)</f>
        <v>0.697676326071031</v>
      </c>
      <c r="K30" s="78" t="n">
        <f aca="false">EXP(-K29*K28)</f>
        <v>0.666976810858474</v>
      </c>
      <c r="L30" s="78" t="n">
        <f aca="false">EXP(-L29*L28)</f>
        <v>0.637628151621773</v>
      </c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78"/>
      <c r="AB30" s="78"/>
      <c r="AC30" s="78"/>
      <c r="AD30" s="78"/>
      <c r="AE30" s="78"/>
      <c r="AF30" s="78"/>
    </row>
    <row r="31" s="5" customFormat="true" ht="12.75" hidden="false" customHeight="false" outlineLevel="0" collapsed="false">
      <c r="A31" s="76" t="s">
        <v>69</v>
      </c>
      <c r="B31" s="79" t="n">
        <f aca="false">-LN(C30/B30)</f>
        <v>0.0449999999999999</v>
      </c>
      <c r="C31" s="79" t="n">
        <f aca="false">-LN(D30/C30)</f>
        <v>0.0450000000000001</v>
      </c>
      <c r="D31" s="79" t="n">
        <f aca="false">-LN(E30/D30)</f>
        <v>0.0450000000000001</v>
      </c>
      <c r="E31" s="79" t="n">
        <f aca="false">-LN(F30/E30)</f>
        <v>0.0450000000000001</v>
      </c>
      <c r="F31" s="79" t="n">
        <f aca="false">-LN(G30/F30)</f>
        <v>0.0449999999999999</v>
      </c>
      <c r="G31" s="79" t="n">
        <f aca="false">-LN(H30/G30)</f>
        <v>0.0450000000000001</v>
      </c>
      <c r="H31" s="79" t="n">
        <f aca="false">-LN(I30/H30)</f>
        <v>0.0449999999999999</v>
      </c>
      <c r="I31" s="79" t="n">
        <f aca="false">-LN(J30/I30)</f>
        <v>0.0450000000000001</v>
      </c>
      <c r="J31" s="79" t="n">
        <f aca="false">-LN(K30/J30)</f>
        <v>0.0449999999999999</v>
      </c>
      <c r="K31" s="79" t="n">
        <f aca="false">-LN(L30/K30)</f>
        <v>0.0449999999999999</v>
      </c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79"/>
    </row>
    <row r="32" s="5" customFormat="true" ht="14.25" hidden="false" customHeight="false" outlineLevel="0" collapsed="false">
      <c r="A32" s="5" t="s">
        <v>70</v>
      </c>
      <c r="B32" s="80" t="n">
        <v>0</v>
      </c>
      <c r="C32" s="80" t="n">
        <v>0.1</v>
      </c>
      <c r="D32" s="80" t="n">
        <v>0.095</v>
      </c>
      <c r="E32" s="80" t="n">
        <v>0.09</v>
      </c>
      <c r="F32" s="80" t="n">
        <v>0.085</v>
      </c>
      <c r="G32" s="80" t="n">
        <v>0.08</v>
      </c>
      <c r="H32" s="80" t="n">
        <v>0.075</v>
      </c>
      <c r="I32" s="80" t="n">
        <v>0.07</v>
      </c>
      <c r="J32" s="80" t="n">
        <v>0.065</v>
      </c>
      <c r="K32" s="80" t="n">
        <v>0.06</v>
      </c>
      <c r="L32" s="80" t="n">
        <v>0.055</v>
      </c>
    </row>
    <row r="33" s="5" customFormat="true" ht="14.25" hidden="false" customHeight="false" outlineLevel="0" collapsed="false">
      <c r="A33" s="5" t="s">
        <v>71</v>
      </c>
      <c r="B33" s="5" t="n">
        <v>0</v>
      </c>
      <c r="C33" s="5" t="n">
        <f aca="false">(C28*C29*C32-B28*B29*B32)/C31</f>
        <v>0.0999999999999999</v>
      </c>
      <c r="D33" s="5" t="n">
        <f aca="false">(D28*D29*D32-C28*C29*C32)/D31</f>
        <v>0.0899999999999999</v>
      </c>
      <c r="E33" s="5" t="n">
        <f aca="false">(E28*E29*E32-D28*D29*D32)/E31</f>
        <v>0.0799999999999999</v>
      </c>
      <c r="F33" s="5" t="n">
        <f aca="false">(F28*F29*F32-E28*E29*E32)/F31</f>
        <v>0.0700000000000001</v>
      </c>
      <c r="G33" s="5" t="n">
        <f aca="false">(G28*G29*G32-F28*F29*F32)/G31</f>
        <v>0.0599999999999999</v>
      </c>
      <c r="H33" s="5" t="n">
        <f aca="false">(H28*H29*H32-G28*G29*G32)/H31</f>
        <v>0.0500000000000001</v>
      </c>
      <c r="I33" s="5" t="n">
        <f aca="false">(I28*I29*I32-H28*H29*H32)/I31</f>
        <v>0.04</v>
      </c>
      <c r="J33" s="5" t="n">
        <f aca="false">(J28*J29*J32-I28*I29*I32)/J31</f>
        <v>0.03</v>
      </c>
      <c r="K33" s="5" t="n">
        <f aca="false">(K28*K29*K32-J28*J29*J32)/K31</f>
        <v>0.02</v>
      </c>
    </row>
    <row r="34" s="5" customFormat="true" ht="13.5" hidden="false" customHeight="false" outlineLevel="0" collapsed="false">
      <c r="A34" s="5" t="s">
        <v>72</v>
      </c>
      <c r="B34" s="80" t="n">
        <v>1</v>
      </c>
      <c r="C34" s="0"/>
      <c r="N34" s="47"/>
      <c r="O34" s="47"/>
      <c r="P34" s="47"/>
      <c r="Q34" s="47"/>
      <c r="R34" s="47"/>
      <c r="S34" s="47"/>
      <c r="T34" s="47"/>
    </row>
    <row r="35" s="5" customFormat="true" ht="12.75" hidden="false" customHeight="false" outlineLevel="0" collapsed="false">
      <c r="A35" s="5" t="s">
        <v>73</v>
      </c>
      <c r="B35" s="80" t="n">
        <v>1</v>
      </c>
      <c r="N35" s="47"/>
      <c r="O35" s="47"/>
      <c r="P35" s="47"/>
      <c r="Q35" s="47"/>
      <c r="R35" s="47"/>
      <c r="S35" s="47"/>
      <c r="T35" s="47"/>
    </row>
    <row r="36" s="5" customFormat="true" ht="12.75" hidden="false" customHeight="false" outlineLevel="0" collapsed="false">
      <c r="A36" s="5" t="s">
        <v>74</v>
      </c>
      <c r="B36" s="78" t="n">
        <f aca="false">C30/B30</f>
        <v>0.9559974818331</v>
      </c>
      <c r="C36" s="78" t="n">
        <f aca="false">D30/C30</f>
        <v>0.9559974818331</v>
      </c>
      <c r="D36" s="78" t="n">
        <f aca="false">E30/D30</f>
        <v>0.9559974818331</v>
      </c>
      <c r="E36" s="78" t="n">
        <f aca="false">F30/E30</f>
        <v>0.9559974818331</v>
      </c>
      <c r="F36" s="78" t="n">
        <f aca="false">G30/F30</f>
        <v>0.9559974818331</v>
      </c>
      <c r="G36" s="78" t="n">
        <f aca="false">H30/G30</f>
        <v>0.9559974818331</v>
      </c>
      <c r="H36" s="78" t="n">
        <f aca="false">I30/H30</f>
        <v>0.9559974818331</v>
      </c>
      <c r="I36" s="78" t="n">
        <f aca="false">J30/I30</f>
        <v>0.9559974818331</v>
      </c>
      <c r="J36" s="78" t="n">
        <f aca="false">K30/J30</f>
        <v>0.9559974818331</v>
      </c>
      <c r="K36" s="78" t="n">
        <f aca="false">L30/K30</f>
        <v>0.9559974818331</v>
      </c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  <c r="AA36" s="78"/>
      <c r="AB36" s="78"/>
      <c r="AC36" s="78"/>
      <c r="AD36" s="78"/>
      <c r="AE36" s="78"/>
      <c r="AF36" s="78"/>
    </row>
    <row r="37" s="5" customFormat="true" ht="12.75" hidden="false" customHeight="false" outlineLevel="0" collapsed="false">
      <c r="A37" s="5" t="s">
        <v>75</v>
      </c>
      <c r="B37" s="81" t="n">
        <f aca="false">EXP(-2*B31*B33/SQRT($B$34))</f>
        <v>1</v>
      </c>
      <c r="C37" s="81" t="n">
        <f aca="false">EXP(-2*C31*C33/SQRT($B$34))</f>
        <v>0.991040378772884</v>
      </c>
      <c r="D37" s="81" t="n">
        <f aca="false">EXP(-2*D31*D33/SQRT($B$34))</f>
        <v>0.991932716605571</v>
      </c>
      <c r="E37" s="81" t="n">
        <f aca="false">EXP(-2*E31*E33/SQRT($B$34))</f>
        <v>0.992825857903813</v>
      </c>
      <c r="F37" s="81" t="n">
        <f aca="false">EXP(-2*F31*F33/SQRT($B$34))</f>
        <v>0.993719803391055</v>
      </c>
      <c r="G37" s="81" t="n">
        <f aca="false">EXP(-2*G31*G33/SQRT($B$34))</f>
        <v>0.994614553791391</v>
      </c>
      <c r="H37" s="81" t="n">
        <f aca="false">EXP(-2*H31*H33/SQRT($B$34))</f>
        <v>0.995510109829571</v>
      </c>
      <c r="I37" s="81" t="n">
        <f aca="false">EXP(-2*I31*I33/SQRT($B$34))</f>
        <v>0.996406472230993</v>
      </c>
      <c r="J37" s="81" t="n">
        <f aca="false">EXP(-2*J31*J33/SQRT($B$34))</f>
        <v>0.997303641721713</v>
      </c>
      <c r="K37" s="81" t="n">
        <f aca="false">EXP(-2*K31*K33/SQRT($B$34))</f>
        <v>0.998201619028437</v>
      </c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/>
      <c r="W37" s="81"/>
      <c r="X37" s="81"/>
      <c r="Y37" s="81"/>
      <c r="Z37" s="81"/>
      <c r="AA37" s="81"/>
      <c r="AB37" s="81"/>
      <c r="AC37" s="81"/>
      <c r="AD37" s="81"/>
      <c r="AE37" s="81"/>
      <c r="AF37" s="81"/>
    </row>
    <row r="38" s="5" customFormat="true" ht="12.75" hidden="false" customHeight="false" outlineLevel="0" collapsed="false">
      <c r="N38" s="47"/>
      <c r="O38" s="47"/>
      <c r="P38" s="47"/>
      <c r="Q38" s="47"/>
      <c r="R38" s="47"/>
      <c r="S38" s="47"/>
      <c r="T38" s="47"/>
    </row>
    <row r="39" s="5" customFormat="true" ht="12.75" hidden="false" customHeight="false" outlineLevel="0" collapsed="false">
      <c r="A39" s="5" t="s">
        <v>76</v>
      </c>
      <c r="B39" s="80" t="n">
        <v>100</v>
      </c>
      <c r="N39" s="47"/>
      <c r="O39" s="47"/>
      <c r="P39" s="47"/>
      <c r="Q39" s="47"/>
      <c r="R39" s="47"/>
      <c r="S39" s="47"/>
      <c r="T39" s="47"/>
    </row>
    <row r="40" s="5" customFormat="true" ht="12.75" hidden="false" customHeight="false" outlineLevel="0" collapsed="false">
      <c r="A40" s="5" t="s">
        <v>77</v>
      </c>
      <c r="B40" s="80" t="n">
        <v>103</v>
      </c>
      <c r="N40" s="47"/>
      <c r="O40" s="47"/>
      <c r="P40" s="47"/>
      <c r="Q40" s="47"/>
      <c r="R40" s="47"/>
      <c r="S40" s="47"/>
      <c r="T40" s="47"/>
    </row>
    <row r="41" s="5" customFormat="true" ht="12.75" hidden="false" customHeight="false" outlineLevel="0" collapsed="false">
      <c r="A41" s="5" t="s">
        <v>78</v>
      </c>
      <c r="B41" s="80" t="n">
        <v>0.055</v>
      </c>
      <c r="N41" s="47"/>
      <c r="O41" s="47"/>
      <c r="P41" s="47"/>
      <c r="Q41" s="47"/>
      <c r="R41" s="47"/>
      <c r="S41" s="47"/>
      <c r="T41" s="47"/>
    </row>
    <row r="42" s="5" customFormat="true" ht="12.75" hidden="false" customHeight="false" outlineLevel="0" collapsed="false">
      <c r="A42" s="5" t="s">
        <v>79</v>
      </c>
      <c r="B42" s="80" t="n">
        <v>5</v>
      </c>
      <c r="N42" s="47"/>
      <c r="O42" s="47"/>
      <c r="P42" s="47"/>
      <c r="Q42" s="47"/>
      <c r="R42" s="47"/>
      <c r="S42" s="47"/>
      <c r="T42" s="47"/>
    </row>
    <row r="43" s="5" customFormat="true" ht="12.75" hidden="false" customHeight="false" outlineLevel="0" collapsed="false">
      <c r="N43" s="47"/>
      <c r="O43" s="47"/>
      <c r="P43" s="47"/>
      <c r="Q43" s="47"/>
      <c r="R43" s="47"/>
      <c r="S43" s="47"/>
      <c r="T43" s="47"/>
    </row>
    <row r="44" s="3" customFormat="true" ht="12.75" hidden="false" customHeight="false" outlineLevel="0" collapsed="false">
      <c r="A44" s="2" t="s">
        <v>80</v>
      </c>
      <c r="B44" s="2"/>
      <c r="N44" s="57"/>
      <c r="O44" s="57"/>
      <c r="P44" s="57"/>
      <c r="Q44" s="57"/>
      <c r="R44" s="57"/>
      <c r="S44" s="57"/>
      <c r="T44" s="57"/>
    </row>
    <row r="45" s="5" customFormat="true" ht="12.75" hidden="false" customHeight="false" outlineLevel="0" collapsed="false">
      <c r="N45" s="47"/>
      <c r="O45" s="47"/>
      <c r="P45" s="47"/>
      <c r="Q45" s="47"/>
      <c r="R45" s="47"/>
      <c r="S45" s="47"/>
      <c r="T45" s="47"/>
    </row>
    <row r="46" s="5" customFormat="true" ht="12.75" hidden="false" customHeight="false" outlineLevel="0" collapsed="false">
      <c r="B46" s="82"/>
      <c r="C46" s="82"/>
      <c r="D46" s="82"/>
      <c r="E46" s="82"/>
      <c r="F46" s="82"/>
      <c r="G46" s="82" t="n">
        <f aca="false">$B$39</f>
        <v>100</v>
      </c>
      <c r="N46" s="47"/>
      <c r="O46" s="47"/>
      <c r="P46" s="47"/>
      <c r="Q46" s="47"/>
      <c r="R46" s="47"/>
      <c r="S46" s="47"/>
      <c r="T46" s="47"/>
    </row>
    <row r="47" s="5" customFormat="true" ht="12.75" hidden="false" customHeight="false" outlineLevel="0" collapsed="false">
      <c r="B47" s="82"/>
      <c r="C47" s="82"/>
      <c r="D47" s="82"/>
      <c r="E47" s="82"/>
      <c r="F47" s="82" t="n">
        <f aca="false">IF(F48=0,0.5*(G46+G47)*F94,IF(0.5*(G66+G67)*F94&gt;$B$40,$B$40,0.5*(G46+G47)*F94))</f>
        <v>94.3939172112516</v>
      </c>
      <c r="G47" s="82" t="n">
        <f aca="false">$B$39</f>
        <v>100</v>
      </c>
      <c r="N47" s="47"/>
      <c r="O47" s="47"/>
      <c r="P47" s="47"/>
      <c r="Q47" s="47"/>
      <c r="R47" s="47"/>
      <c r="S47" s="47"/>
      <c r="T47" s="47"/>
    </row>
    <row r="48" s="5" customFormat="true" ht="12.75" hidden="false" customHeight="false" outlineLevel="0" collapsed="false">
      <c r="B48" s="82"/>
      <c r="C48" s="82"/>
      <c r="D48" s="82"/>
      <c r="E48" s="82" t="n">
        <f aca="false">IF(E49=0,0.5*(F47+F48)*E95,IF(0.5*(F67+F68)*E95&gt;$B$40,$B$40,0.5*(F47+F48)*E95))</f>
        <v>89.5472839123691</v>
      </c>
      <c r="F48" s="82" t="n">
        <f aca="false">IF(F49=0,0.5*(G47+G48)*F95,IF(0.5*(G67+G68)*F95&gt;$B$40,$B$40,0.5*(G47+G48)*F95))</f>
        <v>94.9904760769925</v>
      </c>
      <c r="G48" s="82" t="n">
        <f aca="false">$B$39</f>
        <v>100</v>
      </c>
      <c r="N48" s="47"/>
      <c r="O48" s="47"/>
      <c r="P48" s="47"/>
      <c r="Q48" s="47"/>
      <c r="R48" s="47"/>
      <c r="S48" s="47"/>
      <c r="T48" s="47"/>
    </row>
    <row r="49" s="5" customFormat="true" ht="12.75" hidden="false" customHeight="false" outlineLevel="0" collapsed="false">
      <c r="B49" s="82"/>
      <c r="C49" s="82"/>
      <c r="D49" s="82" t="n">
        <f aca="false">IF(D50=0,0.5*(E48+E49)*D96,IF(0.5*(E68+E69)*D96&gt;$B$40,$B$40,0.5*(E48+E49)*D96))</f>
        <v>85.4904737540396</v>
      </c>
      <c r="E49" s="82" t="n">
        <f aca="false">IF(E50=0,0.5*(F48+F49)*E96,IF(0.5*(F68+F69)*E96&gt;$B$40,$B$40,0.5*(F48+F49)*E96))</f>
        <v>90.764369085681</v>
      </c>
      <c r="F49" s="82" t="n">
        <f aca="false">IF(F50=0,0.5*(G48+G49)*F96,IF(0.5*(G68+G69)*F96&gt;$B$40,$B$40,0.5*(G48+G49)*F96))</f>
        <v>95.5908051271986</v>
      </c>
      <c r="G49" s="82" t="n">
        <f aca="false">$B$39</f>
        <v>100</v>
      </c>
      <c r="N49" s="47"/>
      <c r="O49" s="47"/>
      <c r="P49" s="47"/>
      <c r="Q49" s="47"/>
      <c r="R49" s="47"/>
      <c r="S49" s="47"/>
      <c r="T49" s="47"/>
    </row>
    <row r="50" s="5" customFormat="true" ht="12.75" hidden="false" customHeight="false" outlineLevel="0" collapsed="false">
      <c r="B50" s="82"/>
      <c r="C50" s="82" t="n">
        <f aca="false">IF(C51=0,0.5*(D49+D50)*C97,IF(0.5*(D69+D70)*C97&gt;$B$40,$B$40,0.5*(D49+D50)*C97))</f>
        <v>82.2491574278174</v>
      </c>
      <c r="D50" s="82" t="n">
        <f aca="false">IF(D51=0,0.5*(E49+E50)*D97,IF(0.5*(E69+E70)*D97&gt;$B$40,$B$40,0.5*(E49+E50)*D97))</f>
        <v>87.3571555747659</v>
      </c>
      <c r="E50" s="82" t="n">
        <f aca="false">IF(E51=0,0.5*(F49+F50)*E97,IF(0.5*(F69+F70)*E97&gt;$B$40,$B$40,0.5*(F49+F50)*E97))</f>
        <v>91.997996316489</v>
      </c>
      <c r="F50" s="82" t="n">
        <f aca="false">IF(F51=0,0.5*(G49+G50)*F97,IF(0.5*(G69+G70)*F97&gt;$B$40,$B$40,0.5*(G49+G50)*F97))</f>
        <v>96.194928189009</v>
      </c>
      <c r="G50" s="82" t="n">
        <f aca="false">$B$39</f>
        <v>100</v>
      </c>
      <c r="N50" s="47"/>
      <c r="O50" s="47"/>
      <c r="P50" s="47"/>
      <c r="Q50" s="47"/>
      <c r="R50" s="47"/>
      <c r="S50" s="47"/>
      <c r="T50" s="47"/>
    </row>
    <row r="51" s="5" customFormat="true" ht="12.75" hidden="false" customHeight="false" outlineLevel="0" collapsed="false">
      <c r="A51" s="5" t="s">
        <v>81</v>
      </c>
      <c r="B51" s="82" t="n">
        <f aca="false">IF(B52=0,0.5*(C50+C51)*B98,IF(0.5*(C70+C71)*B98&gt;$B$40,$B$40,0.5*(C50+C51)*B98))</f>
        <v>88.5488640063485</v>
      </c>
      <c r="C51" s="82" t="n">
        <f aca="false">IF(C52=0,0.5*(D50+D51)*C98,IF(0.5*(D70+D71)*C98&gt;$B$40,$B$40,0.5*(D50+D51)*C98))</f>
        <v>103</v>
      </c>
      <c r="D51" s="82" t="n">
        <f aca="false">IF(D52=0,0.5*(E50+E51)*D98,IF(0.5*(E70+E71)*D98&gt;$B$40,$B$40,0.5*(E50+E51)*D98))</f>
        <v>103</v>
      </c>
      <c r="E51" s="82" t="n">
        <f aca="false">IF(E52=0,0.5*(F50+F51)*E98,IF(0.5*(F70+F71)*E98&gt;$B$40,$B$40,0.5*(F50+F51)*E98))</f>
        <v>103</v>
      </c>
      <c r="F51" s="82" t="n">
        <f aca="false">IF(F52=0,0.5*(G50+G51)*F98,IF(0.5*(G70+G71)*F98&gt;$B$40,$B$40,0.5*(G50+G51)*F98))</f>
        <v>96.8028692401471</v>
      </c>
      <c r="G51" s="82" t="n">
        <f aca="false">$B$39</f>
        <v>100</v>
      </c>
      <c r="N51" s="47"/>
      <c r="O51" s="47"/>
      <c r="P51" s="47"/>
      <c r="Q51" s="47"/>
      <c r="R51" s="47"/>
      <c r="S51" s="47"/>
      <c r="T51" s="47"/>
    </row>
    <row r="52" s="5" customFormat="true" ht="12.75" hidden="false" customHeight="false" outlineLevel="0" collapsed="false">
      <c r="A52" s="75" t="s">
        <v>66</v>
      </c>
      <c r="B52" s="75" t="n">
        <v>0</v>
      </c>
      <c r="C52" s="75" t="n">
        <v>1</v>
      </c>
      <c r="D52" s="75" t="n">
        <v>2</v>
      </c>
      <c r="E52" s="75" t="n">
        <v>3</v>
      </c>
      <c r="F52" s="75" t="n">
        <v>4</v>
      </c>
      <c r="G52" s="75" t="n">
        <v>5</v>
      </c>
      <c r="N52" s="47"/>
      <c r="O52" s="47"/>
      <c r="P52" s="47"/>
      <c r="Q52" s="47"/>
      <c r="R52" s="47"/>
      <c r="S52" s="47"/>
      <c r="T52" s="47"/>
    </row>
    <row r="53" s="5" customFormat="true" ht="12.75" hidden="false" customHeight="false" outlineLevel="0" collapsed="false">
      <c r="N53" s="47"/>
      <c r="O53" s="47"/>
      <c r="P53" s="47"/>
      <c r="Q53" s="47"/>
      <c r="R53" s="47"/>
      <c r="S53" s="47"/>
      <c r="T53" s="47"/>
    </row>
    <row r="54" s="5" customFormat="true" ht="12.75" hidden="false" customHeight="false" outlineLevel="0" collapsed="false">
      <c r="B54" s="82"/>
      <c r="C54" s="82"/>
      <c r="D54" s="82"/>
      <c r="E54" s="82"/>
      <c r="F54" s="82"/>
      <c r="G54" s="82" t="n">
        <f aca="false">$B$39*$B$41</f>
        <v>5.5</v>
      </c>
      <c r="N54" s="47"/>
      <c r="O54" s="47"/>
      <c r="P54" s="47"/>
      <c r="Q54" s="47"/>
      <c r="R54" s="47"/>
      <c r="S54" s="47"/>
      <c r="T54" s="47"/>
    </row>
    <row r="55" s="5" customFormat="true" ht="12.75" hidden="false" customHeight="false" outlineLevel="0" collapsed="false">
      <c r="B55" s="82"/>
      <c r="C55" s="82"/>
      <c r="D55" s="82"/>
      <c r="E55" s="82"/>
      <c r="F55" s="82" t="n">
        <f aca="false">IF(F$60=0,0.5*(G54+G55)*F94,IF(0.5*(G66+G67)*F94&gt;$B$40,$B$39*$B$41,0.5*(G54+G55)*F94+$B$39*$B$41))</f>
        <v>10.6916654466188</v>
      </c>
      <c r="G55" s="82" t="n">
        <f aca="false">$B$39*$B$41</f>
        <v>5.5</v>
      </c>
      <c r="N55" s="47"/>
      <c r="O55" s="47"/>
      <c r="P55" s="47"/>
      <c r="Q55" s="47"/>
      <c r="R55" s="47"/>
      <c r="S55" s="47"/>
      <c r="T55" s="47"/>
    </row>
    <row r="56" s="5" customFormat="true" ht="12.75" hidden="false" customHeight="false" outlineLevel="0" collapsed="false">
      <c r="B56" s="82"/>
      <c r="C56" s="82"/>
      <c r="D56" s="82"/>
      <c r="E56" s="82" t="n">
        <f aca="false">IF(E$60=0,0.5*(F55+F56)*E95,IF(0.5*(F67+F68)*E95&gt;$B$40,$B$39*$B$41,0.5*(F55+F56)*E95+$B$39*$B$41))</f>
        <v>15.6262690215804</v>
      </c>
      <c r="F56" s="82" t="n">
        <f aca="false">IF(F$60=0,0.5*(G55+G56)*F95,IF(0.5*(G67+G68)*F95&gt;$B$40,$B$39*$B$41,0.5*(G55+G56)*F95+$B$39*$B$41))</f>
        <v>10.7244761842346</v>
      </c>
      <c r="G56" s="82" t="n">
        <f aca="false">$B$39*$B$41</f>
        <v>5.5</v>
      </c>
      <c r="N56" s="47"/>
      <c r="O56" s="47"/>
      <c r="P56" s="47"/>
      <c r="Q56" s="47"/>
      <c r="R56" s="47"/>
      <c r="S56" s="47"/>
      <c r="T56" s="47"/>
    </row>
    <row r="57" s="5" customFormat="true" ht="12.75" hidden="false" customHeight="false" outlineLevel="0" collapsed="false">
      <c r="B57" s="82"/>
      <c r="C57" s="82"/>
      <c r="D57" s="82" t="n">
        <f aca="false">IF(D$60=0,0.5*(E56+E57)*D96,IF(0.5*(E68+E69)*D96&gt;$B$40,$B$39*$B$41,0.5*(E56+E57)*D96+$B$39*$B$41))</f>
        <v>20.3672034207046</v>
      </c>
      <c r="E57" s="82" t="n">
        <f aca="false">IF(E$60=0,0.5*(F56+F57)*E96,IF(0.5*(F68+F69)*E96&gt;$B$40,$B$39*$B$41,0.5*(F56+F57)*E96+$B$39*$B$41))</f>
        <v>15.7307922570612</v>
      </c>
      <c r="F57" s="82" t="n">
        <f aca="false">IF(F$60=0,0.5*(G56+G57)*F96,IF(0.5*(G68+G69)*F96&gt;$B$40,$B$39*$B$41,0.5*(G56+G57)*F96+$B$39*$B$41))</f>
        <v>10.7574942819959</v>
      </c>
      <c r="G57" s="82" t="n">
        <f aca="false">$B$39*$B$41</f>
        <v>5.5</v>
      </c>
      <c r="N57" s="47"/>
      <c r="O57" s="47"/>
      <c r="P57" s="47"/>
      <c r="Q57" s="47"/>
      <c r="R57" s="47"/>
      <c r="S57" s="47"/>
      <c r="T57" s="47"/>
    </row>
    <row r="58" s="5" customFormat="true" ht="12.75" hidden="false" customHeight="false" outlineLevel="0" collapsed="false">
      <c r="B58" s="82"/>
      <c r="C58" s="82" t="n">
        <f aca="false">IF(C$60=0,0.5*(D57+D58)*C97,IF(0.5*(D69+D70)*C97&gt;$B$40,$B$39*$B$41,0.5*(D57+D58)*C97+$B$39*$B$41))</f>
        <v>24.9887283042258</v>
      </c>
      <c r="D58" s="82" t="n">
        <f aca="false">IF(D$60=0,0.5*(E57+E58)*D97,IF(0.5*(E69+E70)*D97&gt;$B$40,$B$39*$B$41,0.5*(E57+E58)*D97+$B$39*$B$41))</f>
        <v>20.5886019804013</v>
      </c>
      <c r="E58" s="82" t="n">
        <f aca="false">IF(E$60=0,0.5*(F57+F58)*E97,IF(0.5*(F69+F70)*E97&gt;$B$40,$B$39*$B$41,0.5*(F57+F58)*E97+$B$39*$B$41))</f>
        <v>15.836496883779</v>
      </c>
      <c r="F58" s="82" t="n">
        <f aca="false">IF(F$60=0,0.5*(G57+G58)*F97,IF(0.5*(G69+G70)*F97&gt;$B$40,$B$39*$B$41,0.5*(G57+G58)*F97+$B$39*$B$41))</f>
        <v>10.7907210503955</v>
      </c>
      <c r="G58" s="82" t="n">
        <f aca="false">$B$39*$B$41</f>
        <v>5.5</v>
      </c>
      <c r="N58" s="47"/>
      <c r="O58" s="47"/>
      <c r="P58" s="47"/>
      <c r="Q58" s="47"/>
      <c r="R58" s="47"/>
      <c r="S58" s="47"/>
      <c r="T58" s="47"/>
    </row>
    <row r="59" s="5" customFormat="true" ht="12.75" hidden="false" customHeight="false" outlineLevel="0" collapsed="false">
      <c r="A59" s="5" t="s">
        <v>82</v>
      </c>
      <c r="B59" s="82" t="n">
        <f aca="false">IF(B$60=0,0.5*(C58+C59)*B98,IF(0.5*(C70+C71)*B98&gt;$B$40,$B$39*$B$41,0.5*(C58+C59)*B98+$B$39*$B$41))</f>
        <v>14.5735737415667</v>
      </c>
      <c r="C59" s="82" t="n">
        <f aca="false">IF(C$60=0,0.5*(D58+D59)*C98,IF(0.5*(D70+D71)*C98&gt;$B$40,$B$39*$B$41,0.5*(D58+D59)*C98+$B$39*$B$41))</f>
        <v>5.5</v>
      </c>
      <c r="D59" s="82" t="n">
        <f aca="false">IF(D$60=0,0.5*(E58+E59)*D98,IF(0.5*(E70+E71)*D98&gt;$B$40,$B$39*$B$41,0.5*(E58+E59)*D98+$B$39*$B$41))</f>
        <v>5.5</v>
      </c>
      <c r="E59" s="82" t="n">
        <f aca="false">IF(E$60=0,0.5*(F58+F59)*E98,IF(0.5*(F70+F71)*E98&gt;$B$40,$B$39*$B$41,0.5*(F58+F59)*E98+$B$39*$B$41))</f>
        <v>5.5</v>
      </c>
      <c r="F59" s="82" t="n">
        <f aca="false">IF(F$60=0,0.5*(G58+G59)*F98,IF(0.5*(G70+G71)*F98&gt;$B$40,$B$39*$B$41,0.5*(G58+G59)*F98+$B$39*$B$41))</f>
        <v>10.8241578082081</v>
      </c>
      <c r="G59" s="82" t="n">
        <f aca="false">$B$39*$B$41</f>
        <v>5.5</v>
      </c>
      <c r="N59" s="47"/>
      <c r="O59" s="47"/>
      <c r="P59" s="47"/>
      <c r="Q59" s="47"/>
      <c r="R59" s="47"/>
      <c r="S59" s="47"/>
      <c r="T59" s="47"/>
    </row>
    <row r="60" s="5" customFormat="true" ht="12.75" hidden="false" customHeight="false" outlineLevel="0" collapsed="false">
      <c r="A60" s="75" t="s">
        <v>66</v>
      </c>
      <c r="B60" s="75" t="n">
        <v>0</v>
      </c>
      <c r="C60" s="75" t="n">
        <v>1</v>
      </c>
      <c r="D60" s="75" t="n">
        <v>2</v>
      </c>
      <c r="E60" s="75" t="n">
        <v>3</v>
      </c>
      <c r="F60" s="75" t="n">
        <v>4</v>
      </c>
      <c r="G60" s="75" t="n">
        <v>5</v>
      </c>
      <c r="N60" s="47"/>
      <c r="O60" s="47"/>
      <c r="P60" s="47"/>
      <c r="Q60" s="47"/>
      <c r="R60" s="47"/>
      <c r="S60" s="47"/>
      <c r="T60" s="47"/>
    </row>
    <row r="61" s="5" customFormat="true" ht="12.75" hidden="false" customHeight="false" outlineLevel="0" collapsed="false">
      <c r="N61" s="47"/>
      <c r="O61" s="47"/>
      <c r="P61" s="47"/>
      <c r="Q61" s="47"/>
      <c r="R61" s="47"/>
      <c r="S61" s="47"/>
      <c r="T61" s="47"/>
    </row>
    <row r="62" s="5" customFormat="true" ht="12.75" hidden="false" customHeight="false" outlineLevel="0" collapsed="false">
      <c r="A62" s="5" t="s">
        <v>83</v>
      </c>
      <c r="B62" s="83" t="n">
        <f aca="false">B51+B59</f>
        <v>103.122437747915</v>
      </c>
      <c r="N62" s="47"/>
      <c r="O62" s="47"/>
      <c r="P62" s="47"/>
      <c r="Q62" s="47"/>
      <c r="R62" s="47"/>
      <c r="S62" s="47"/>
      <c r="T62" s="47"/>
    </row>
    <row r="63" s="5" customFormat="true" ht="12.75" hidden="false" customHeight="false" outlineLevel="0" collapsed="false">
      <c r="N63" s="47"/>
      <c r="O63" s="47"/>
      <c r="P63" s="47"/>
      <c r="Q63" s="47"/>
      <c r="R63" s="47"/>
      <c r="S63" s="47"/>
      <c r="T63" s="47"/>
    </row>
    <row r="64" s="3" customFormat="true" ht="12.75" hidden="false" customHeight="false" outlineLevel="0" collapsed="false">
      <c r="A64" s="2" t="s">
        <v>84</v>
      </c>
      <c r="B64" s="2"/>
      <c r="N64" s="57"/>
      <c r="O64" s="57"/>
      <c r="P64" s="57"/>
      <c r="Q64" s="57"/>
      <c r="R64" s="57"/>
      <c r="S64" s="57"/>
      <c r="T64" s="57"/>
    </row>
    <row r="65" s="5" customFormat="true" ht="12.75" hidden="false" customHeight="false" outlineLevel="0" collapsed="false">
      <c r="N65" s="47"/>
      <c r="O65" s="47"/>
      <c r="P65" s="47"/>
      <c r="Q65" s="47"/>
      <c r="R65" s="47"/>
      <c r="S65" s="47"/>
      <c r="T65" s="47"/>
    </row>
    <row r="66" s="5" customFormat="true" ht="12.75" hidden="false" customHeight="false" outlineLevel="0" collapsed="false">
      <c r="B66" s="83"/>
      <c r="C66" s="83"/>
      <c r="D66" s="83"/>
      <c r="E66" s="83"/>
      <c r="F66" s="83"/>
      <c r="G66" s="83" t="n">
        <f aca="false">$B$39+$B$39*$B$41</f>
        <v>105.5</v>
      </c>
      <c r="N66" s="47"/>
      <c r="O66" s="47"/>
      <c r="P66" s="47"/>
      <c r="Q66" s="47"/>
      <c r="R66" s="47"/>
      <c r="S66" s="47"/>
      <c r="T66" s="47"/>
    </row>
    <row r="67" s="5" customFormat="true" ht="12.75" hidden="false" customHeight="false" outlineLevel="0" collapsed="false">
      <c r="B67" s="83"/>
      <c r="C67" s="83"/>
      <c r="D67" s="83"/>
      <c r="E67" s="83"/>
      <c r="F67" s="83" t="n">
        <f aca="false">IF(F$72=0,0.5*(G66+G67)*F94,MIN($B$40,0.5*(G66+G67)*F94)+$B$39*$B$41)</f>
        <v>105.08558265787</v>
      </c>
      <c r="G67" s="83" t="n">
        <f aca="false">$B$39+$B$39*$B$41</f>
        <v>105.5</v>
      </c>
      <c r="N67" s="47"/>
      <c r="O67" s="47"/>
      <c r="P67" s="47"/>
      <c r="Q67" s="47"/>
      <c r="R67" s="47"/>
      <c r="S67" s="47"/>
      <c r="T67" s="47"/>
    </row>
    <row r="68" s="5" customFormat="true" ht="12.75" hidden="false" customHeight="false" outlineLevel="0" collapsed="false">
      <c r="B68" s="83"/>
      <c r="C68" s="83"/>
      <c r="D68" s="83"/>
      <c r="E68" s="83" t="n">
        <f aca="false">IF(E$72=0,0.5*(F67+F68)*E95,MIN($B$40,0.5*(F67+F68)*E95)+$B$39*$B$41)</f>
        <v>105.173552933949</v>
      </c>
      <c r="F68" s="83" t="n">
        <f aca="false">IF(F$72=0,0.5*(G67+G68)*F95,MIN($B$40,0.5*(G67+G68)*F95)+$B$39*$B$41)</f>
        <v>105.714952261227</v>
      </c>
      <c r="G68" s="83" t="n">
        <f aca="false">$B$39+$B$39*$B$41</f>
        <v>105.5</v>
      </c>
      <c r="N68" s="47"/>
      <c r="O68" s="47"/>
      <c r="P68" s="47"/>
      <c r="Q68" s="47"/>
      <c r="R68" s="47"/>
      <c r="S68" s="47"/>
      <c r="T68" s="47"/>
    </row>
    <row r="69" s="5" customFormat="true" ht="12.75" hidden="false" customHeight="false" outlineLevel="0" collapsed="false">
      <c r="B69" s="83"/>
      <c r="C69" s="83"/>
      <c r="D69" s="83" t="n">
        <f aca="false">IF(D$72=0,0.5*(E68+E69)*D96,MIN($B$40,0.5*(E68+E69)*D96)+$B$39*$B$41)</f>
        <v>105.857677174744</v>
      </c>
      <c r="E69" s="83" t="n">
        <f aca="false">IF(E$72=0,0.5*(F68+F69)*E96,MIN($B$40,0.5*(F68+F69)*E96)+$B$39*$B$41)</f>
        <v>106.495161342742</v>
      </c>
      <c r="F69" s="83" t="n">
        <f aca="false">IF(F$72=0,0.5*(G68+G69)*F96,MIN($B$40,0.5*(G68+G69)*F96)+$B$39*$B$41)</f>
        <v>106.348299409195</v>
      </c>
      <c r="G69" s="83" t="n">
        <f aca="false">$B$39+$B$39*$B$41</f>
        <v>105.5</v>
      </c>
      <c r="N69" s="47"/>
      <c r="O69" s="47"/>
      <c r="P69" s="47"/>
      <c r="Q69" s="47"/>
      <c r="R69" s="47"/>
      <c r="S69" s="47"/>
      <c r="T69" s="47"/>
    </row>
    <row r="70" s="5" customFormat="true" ht="12.75" hidden="false" customHeight="false" outlineLevel="0" collapsed="false">
      <c r="B70" s="83"/>
      <c r="C70" s="83" t="n">
        <f aca="false">IF(C$72=0,0.5*(D69+D70)*C97,MIN($B$40,0.5*(D69+D70)*C97)+$B$39*$B$41)</f>
        <v>107.237885732043</v>
      </c>
      <c r="D70" s="83" t="n">
        <f aca="false">IF(D$72=0,0.5*(E69+E70)*D97,MIN($B$40,0.5*(E69+E70)*D97)+$B$39*$B$41)</f>
        <v>107.945757555167</v>
      </c>
      <c r="E70" s="83" t="n">
        <f aca="false">IF(E$72=0,0.5*(F69+F70)*E97,MIN($B$40,0.5*(F69+F70)*E97)+$B$39*$B$41)</f>
        <v>107.834493200268</v>
      </c>
      <c r="F70" s="83" t="n">
        <f aca="false">IF(F$72=0,0.5*(G69+G70)*F97,MIN($B$40,0.5*(G69+G70)*F97)+$B$39*$B$41)</f>
        <v>106.985649239404</v>
      </c>
      <c r="G70" s="83" t="n">
        <f aca="false">$B$39+$B$39*$B$41</f>
        <v>105.5</v>
      </c>
      <c r="N70" s="47"/>
      <c r="O70" s="47"/>
      <c r="P70" s="47"/>
      <c r="Q70" s="47"/>
      <c r="R70" s="47"/>
      <c r="S70" s="47"/>
      <c r="T70" s="47"/>
    </row>
    <row r="71" s="5" customFormat="true" ht="12.75" hidden="false" customHeight="false" outlineLevel="0" collapsed="false">
      <c r="A71" s="5" t="s">
        <v>85</v>
      </c>
      <c r="B71" s="83" t="n">
        <f aca="false">IF(B$72=0,0.5*(C70+C71)*B98,MIN($B$40,0.5*(C70+C71)*B98)+$B$39*$B$41)</f>
        <v>103.122437747915</v>
      </c>
      <c r="C71" s="83" t="n">
        <f aca="false">IF(C$72=0,0.5*(D70+D71)*C98,MIN($B$40,0.5*(D70+D71)*C98)+$B$39*$B$41)</f>
        <v>108.5</v>
      </c>
      <c r="D71" s="83" t="n">
        <f aca="false">IF(D$72=0,0.5*(E70+E71)*D98,MIN($B$40,0.5*(E70+E71)*D98)+$B$39*$B$41)</f>
        <v>108.5</v>
      </c>
      <c r="E71" s="83" t="n">
        <f aca="false">IF(E$72=0,0.5*(F70+F71)*E98,MIN($B$40,0.5*(F70+F71)*E98)+$B$39*$B$41)</f>
        <v>108.5</v>
      </c>
      <c r="F71" s="83" t="n">
        <f aca="false">IF(F$72=0,0.5*(G70+G71)*F98,MIN($B$40,0.5*(G70+G71)*F98)+$B$39*$B$41)</f>
        <v>107.627027048355</v>
      </c>
      <c r="G71" s="83" t="n">
        <f aca="false">$B$39+$B$39*$B$41</f>
        <v>105.5</v>
      </c>
      <c r="N71" s="47"/>
      <c r="O71" s="47"/>
      <c r="P71" s="47"/>
      <c r="Q71" s="47"/>
      <c r="R71" s="47"/>
      <c r="S71" s="47"/>
      <c r="T71" s="47"/>
    </row>
    <row r="72" s="5" customFormat="true" ht="12.75" hidden="false" customHeight="false" outlineLevel="0" collapsed="false">
      <c r="A72" s="75" t="s">
        <v>66</v>
      </c>
      <c r="B72" s="75" t="n">
        <v>0</v>
      </c>
      <c r="C72" s="75" t="n">
        <v>1</v>
      </c>
      <c r="D72" s="75" t="n">
        <v>2</v>
      </c>
      <c r="E72" s="75" t="n">
        <v>3</v>
      </c>
      <c r="F72" s="75" t="n">
        <v>4</v>
      </c>
      <c r="G72" s="75" t="n">
        <v>5</v>
      </c>
      <c r="N72" s="47"/>
      <c r="O72" s="47"/>
      <c r="P72" s="47"/>
      <c r="Q72" s="47"/>
      <c r="R72" s="47"/>
      <c r="S72" s="47"/>
      <c r="T72" s="47"/>
    </row>
    <row r="73" s="5" customFormat="true" ht="12.75" hidden="false" customHeight="false" outlineLevel="0" collapsed="false">
      <c r="N73" s="47"/>
      <c r="O73" s="47"/>
      <c r="P73" s="47"/>
      <c r="Q73" s="47"/>
      <c r="R73" s="47"/>
      <c r="S73" s="47"/>
      <c r="T73" s="47"/>
    </row>
    <row r="74" s="5" customFormat="true" ht="12.75" hidden="false" customHeight="false" outlineLevel="0" collapsed="false">
      <c r="B74" s="84"/>
      <c r="C74" s="84"/>
      <c r="D74" s="84"/>
      <c r="E74" s="84"/>
      <c r="F74" s="84"/>
      <c r="G74" s="84" t="n">
        <f aca="false">$B$39+$B$39*$B$41</f>
        <v>105.5</v>
      </c>
      <c r="N74" s="47"/>
      <c r="O74" s="47"/>
      <c r="P74" s="47"/>
      <c r="Q74" s="47"/>
      <c r="R74" s="47"/>
      <c r="S74" s="47"/>
      <c r="T74" s="47"/>
    </row>
    <row r="75" s="5" customFormat="true" ht="12.75" hidden="false" customHeight="false" outlineLevel="0" collapsed="false">
      <c r="B75" s="84"/>
      <c r="C75" s="84"/>
      <c r="D75" s="84"/>
      <c r="E75" s="84"/>
      <c r="F75" s="84" t="n">
        <f aca="false">IF(F$80=0,0.5*(G74+G75)*F94,0.5*(G74+G75)*F94+$B$39*$B$41/$B$34)</f>
        <v>105.08558265787</v>
      </c>
      <c r="G75" s="84" t="n">
        <f aca="false">$B$39+$B$39*$B$41</f>
        <v>105.5</v>
      </c>
      <c r="N75" s="47"/>
      <c r="O75" s="47"/>
      <c r="P75" s="47"/>
      <c r="Q75" s="47"/>
      <c r="R75" s="47"/>
      <c r="S75" s="47"/>
      <c r="T75" s="47"/>
    </row>
    <row r="76" s="5" customFormat="true" ht="12.75" hidden="false" customHeight="false" outlineLevel="0" collapsed="false">
      <c r="B76" s="84"/>
      <c r="C76" s="84"/>
      <c r="D76" s="84"/>
      <c r="E76" s="84" t="n">
        <f aca="false">IF(E$80=0,0.5*(F75+F76)*E95,0.5*(F75+F76)*E95+$B$39*$B$41/$B$34)</f>
        <v>105.173552933949</v>
      </c>
      <c r="F76" s="84" t="n">
        <f aca="false">IF(F$80=0,0.5*(G75+G76)*F95,0.5*(G75+G76)*F95+$B$39*$B$41/$B$34)</f>
        <v>105.714952261227</v>
      </c>
      <c r="G76" s="84" t="n">
        <f aca="false">$B$39+$B$39*$B$41</f>
        <v>105.5</v>
      </c>
      <c r="N76" s="47"/>
      <c r="O76" s="47"/>
      <c r="P76" s="47"/>
      <c r="Q76" s="47"/>
      <c r="R76" s="47"/>
      <c r="S76" s="47"/>
      <c r="T76" s="47"/>
    </row>
    <row r="77" s="5" customFormat="true" ht="12.75" hidden="false" customHeight="false" outlineLevel="0" collapsed="false">
      <c r="B77" s="84"/>
      <c r="C77" s="84"/>
      <c r="D77" s="84" t="n">
        <f aca="false">IF(D$80=0,0.5*(E76+E77)*D96,0.5*(E76+E77)*D96+$B$39*$B$41/$B$34)</f>
        <v>105.857677174744</v>
      </c>
      <c r="E77" s="84" t="n">
        <f aca="false">IF(E$80=0,0.5*(F76+F77)*E96,0.5*(F76+F77)*E96+$B$39*$B$41/$B$34)</f>
        <v>106.495161342742</v>
      </c>
      <c r="F77" s="84" t="n">
        <f aca="false">IF(F$80=0,0.5*(G76+G77)*F96,0.5*(G76+G77)*F96+$B$39*$B$41/$B$34)</f>
        <v>106.348299409195</v>
      </c>
      <c r="G77" s="84" t="n">
        <f aca="false">$B$39+$B$39*$B$41</f>
        <v>105.5</v>
      </c>
      <c r="N77" s="47"/>
      <c r="O77" s="47"/>
      <c r="P77" s="47"/>
      <c r="Q77" s="47"/>
      <c r="R77" s="47"/>
      <c r="S77" s="47"/>
      <c r="T77" s="47"/>
    </row>
    <row r="78" s="5" customFormat="true" ht="12.75" hidden="false" customHeight="false" outlineLevel="0" collapsed="false">
      <c r="B78" s="84"/>
      <c r="C78" s="84" t="n">
        <f aca="false">IF(C$80=0,0.5*(D77+D78)*C97,0.5*(D77+D78)*C97+$B$39*$B$41/$B$34)</f>
        <v>107.237885732043</v>
      </c>
      <c r="D78" s="84" t="n">
        <f aca="false">IF(D$80=0,0.5*(E77+E78)*D97,0.5*(E77+E78)*D97+$B$39*$B$41/$B$34)</f>
        <v>107.945757555167</v>
      </c>
      <c r="E78" s="84" t="n">
        <f aca="false">IF(E$80=0,0.5*(F77+F78)*E97,0.5*(F77+F78)*E97+$B$39*$B$41/$B$34)</f>
        <v>107.834493200268</v>
      </c>
      <c r="F78" s="84" t="n">
        <f aca="false">IF(F$80=0,0.5*(G77+G78)*F97,0.5*(G77+G78)*F97+$B$39*$B$41/$B$34)</f>
        <v>106.985649239404</v>
      </c>
      <c r="G78" s="84" t="n">
        <f aca="false">$B$39+$B$39*$B$41</f>
        <v>105.5</v>
      </c>
      <c r="N78" s="47"/>
      <c r="O78" s="47"/>
      <c r="P78" s="47"/>
      <c r="Q78" s="47"/>
      <c r="R78" s="47"/>
      <c r="S78" s="47"/>
      <c r="T78" s="47"/>
    </row>
    <row r="79" s="5" customFormat="true" ht="12.75" hidden="false" customHeight="false" outlineLevel="0" collapsed="false">
      <c r="A79" s="5" t="s">
        <v>86</v>
      </c>
      <c r="B79" s="84" t="n">
        <f aca="false">IF(B$80=0,0.5*(C78+C79)*B98,0.5*(C78+C79)*B98+$B$39*$B$41/$B$34)</f>
        <v>103.927492425234</v>
      </c>
      <c r="C79" s="84" t="n">
        <f aca="false">IF(C$80=0,0.5*(D78+D79)*C98,0.5*(D78+D79)*C98+$B$39*$B$41/$B$34)</f>
        <v>110.184219242451</v>
      </c>
      <c r="D79" s="84" t="n">
        <f aca="false">IF(D$80=0,0.5*(E78+E79)*D98,0.5*(E78+E79)*D98+$B$39*$B$41/$B$34)</f>
        <v>110.078360178254</v>
      </c>
      <c r="E79" s="84" t="n">
        <f aca="false">IF(E$80=0,0.5*(F78+F79)*E98,0.5*(F78+F79)*E98+$B$39*$B$41/$B$34)</f>
        <v>109.191787666681</v>
      </c>
      <c r="F79" s="84" t="n">
        <f aca="false">IF(F$80=0,0.5*(G78+G79)*F98,0.5*(G78+G79)*F98+$B$39*$B$41/$B$34)</f>
        <v>107.627027048355</v>
      </c>
      <c r="G79" s="84" t="n">
        <f aca="false">$B$39+$B$39*$B$41</f>
        <v>105.5</v>
      </c>
      <c r="N79" s="47"/>
      <c r="O79" s="47"/>
      <c r="P79" s="47"/>
      <c r="Q79" s="47"/>
      <c r="R79" s="47"/>
      <c r="S79" s="47"/>
      <c r="T79" s="47"/>
    </row>
    <row r="80" s="5" customFormat="true" ht="12.75" hidden="false" customHeight="false" outlineLevel="0" collapsed="false">
      <c r="A80" s="75" t="s">
        <v>66</v>
      </c>
      <c r="B80" s="75" t="n">
        <v>0</v>
      </c>
      <c r="C80" s="75" t="n">
        <v>1</v>
      </c>
      <c r="D80" s="75" t="n">
        <v>2</v>
      </c>
      <c r="E80" s="75" t="n">
        <v>3</v>
      </c>
      <c r="F80" s="75" t="n">
        <v>4</v>
      </c>
      <c r="G80" s="75" t="n">
        <v>5</v>
      </c>
      <c r="N80" s="47"/>
      <c r="O80" s="47"/>
      <c r="P80" s="47"/>
      <c r="Q80" s="47"/>
      <c r="R80" s="47"/>
      <c r="S80" s="47"/>
      <c r="T80" s="47"/>
    </row>
    <row r="81" s="5" customFormat="true" ht="12.75" hidden="false" customHeight="false" outlineLevel="0" collapsed="false">
      <c r="N81" s="47"/>
      <c r="O81" s="47"/>
      <c r="P81" s="47"/>
      <c r="Q81" s="47"/>
      <c r="R81" s="47"/>
      <c r="S81" s="47"/>
      <c r="T81" s="47"/>
    </row>
    <row r="82" s="5" customFormat="true" ht="12.75" hidden="false" customHeight="false" outlineLevel="0" collapsed="false">
      <c r="N82" s="47"/>
      <c r="O82" s="47"/>
      <c r="P82" s="47"/>
      <c r="Q82" s="47"/>
      <c r="R82" s="47"/>
      <c r="S82" s="47"/>
      <c r="T82" s="47"/>
    </row>
    <row r="83" s="5" customFormat="true" ht="12.75" hidden="false" customHeight="false" outlineLevel="0" collapsed="false">
      <c r="A83" s="5" t="s">
        <v>87</v>
      </c>
      <c r="B83" s="85" t="n">
        <f aca="false">B37</f>
        <v>1</v>
      </c>
      <c r="C83" s="85" t="n">
        <f aca="false">1+PRODUCT($C37:C37)</f>
        <v>1.99104037877288</v>
      </c>
      <c r="D83" s="85" t="n">
        <f aca="false">1+PRODUCT($C37:D37)</f>
        <v>1.983045375182</v>
      </c>
      <c r="E83" s="85" t="n">
        <f aca="false">1+PRODUCT($C37:E37)</f>
        <v>1.97599286797345</v>
      </c>
      <c r="F83" s="85" t="n">
        <f aca="false">1+PRODUCT($C37:F37)</f>
        <v>1.96986344087364</v>
      </c>
      <c r="G83" s="85" t="n">
        <f aca="false">1+PRODUCT($C37:G37)</f>
        <v>1.96464029348312</v>
      </c>
      <c r="N83" s="47"/>
      <c r="O83" s="47"/>
      <c r="P83" s="47"/>
      <c r="Q83" s="47"/>
      <c r="R83" s="47"/>
      <c r="S83" s="47"/>
      <c r="T83" s="47"/>
    </row>
    <row r="84" s="5" customFormat="true" ht="12.75" hidden="false" customHeight="false" outlineLevel="0" collapsed="false">
      <c r="C84" s="85"/>
      <c r="D84" s="85" t="n">
        <f aca="false">1+PRODUCT($D37:D37)</f>
        <v>1.99193271660557</v>
      </c>
      <c r="E84" s="85" t="n">
        <f aca="false">1+PRODUCT($D37:E37)</f>
        <v>1.98481645034679</v>
      </c>
      <c r="F84" s="85" t="n">
        <f aca="false">1+PRODUCT($D37:F37)</f>
        <v>1.97863160941488</v>
      </c>
      <c r="G84" s="85" t="n">
        <f aca="false">1+PRODUCT($D37:G37)</f>
        <v>1.97336124152434</v>
      </c>
      <c r="N84" s="47"/>
      <c r="O84" s="47"/>
      <c r="P84" s="47"/>
      <c r="Q84" s="47"/>
      <c r="R84" s="47"/>
      <c r="S84" s="47"/>
      <c r="T84" s="47"/>
    </row>
    <row r="85" s="5" customFormat="true" ht="12.75" hidden="false" customHeight="false" outlineLevel="0" collapsed="false">
      <c r="E85" s="85" t="n">
        <f aca="false">1+PRODUCT($E37:E37)</f>
        <v>1.99282585790381</v>
      </c>
      <c r="F85" s="85" t="n">
        <f aca="false">1+PRODUCT($E37:F37)</f>
        <v>1.98659071631773</v>
      </c>
      <c r="G85" s="85" t="n">
        <f aca="false">1+PRODUCT($E37:G37)</f>
        <v>1.98127748508509</v>
      </c>
      <c r="N85" s="47"/>
      <c r="O85" s="47"/>
      <c r="P85" s="47"/>
      <c r="Q85" s="47"/>
      <c r="R85" s="47"/>
      <c r="S85" s="47"/>
      <c r="T85" s="47"/>
    </row>
    <row r="86" s="5" customFormat="true" ht="12.75" hidden="false" customHeight="false" outlineLevel="0" collapsed="false">
      <c r="F86" s="85" t="n">
        <f aca="false">1+PRODUCT($F37:F37)</f>
        <v>1.99371980339105</v>
      </c>
      <c r="G86" s="85" t="n">
        <f aca="false">1+PRODUCT($F37:G37)</f>
        <v>1.98836817884346</v>
      </c>
      <c r="N86" s="47"/>
      <c r="O86" s="47"/>
      <c r="P86" s="47"/>
      <c r="Q86" s="47"/>
      <c r="R86" s="47"/>
      <c r="S86" s="47"/>
      <c r="T86" s="47"/>
    </row>
    <row r="87" s="5" customFormat="true" ht="12.75" hidden="false" customHeight="false" outlineLevel="0" collapsed="false">
      <c r="G87" s="85" t="n">
        <f aca="false">1+PRODUCT($G37:G37)</f>
        <v>1.99461455379139</v>
      </c>
      <c r="N87" s="47"/>
      <c r="O87" s="47"/>
      <c r="P87" s="47"/>
      <c r="Q87" s="47"/>
      <c r="R87" s="47"/>
      <c r="S87" s="47"/>
      <c r="T87" s="47"/>
    </row>
    <row r="88" s="5" customFormat="true" ht="12.75" hidden="false" customHeight="false" outlineLevel="0" collapsed="false">
      <c r="G88" s="85"/>
      <c r="N88" s="47"/>
      <c r="O88" s="47"/>
      <c r="P88" s="47"/>
      <c r="Q88" s="47"/>
      <c r="R88" s="47"/>
      <c r="S88" s="47"/>
      <c r="T88" s="47"/>
    </row>
    <row r="89" s="5" customFormat="true" ht="12.75" hidden="false" customHeight="false" outlineLevel="0" collapsed="false">
      <c r="A89" s="5" t="s">
        <v>88</v>
      </c>
      <c r="C89" s="86" t="n">
        <f aca="false">PRODUCT(B83:B87)</f>
        <v>1</v>
      </c>
      <c r="D89" s="5" t="n">
        <f aca="false">PRODUCT(C83:C87)</f>
        <v>1.99104037877288</v>
      </c>
      <c r="E89" s="5" t="n">
        <f aca="false">PRODUCT(D83:D87)</f>
        <v>3.9500929613384</v>
      </c>
      <c r="F89" s="5" t="n">
        <f aca="false">PRODUCT(E83:E87)</f>
        <v>7.81582943582542</v>
      </c>
      <c r="G89" s="5" t="n">
        <f aca="false">PRODUCT(F83:F87)</f>
        <v>15.4373797341686</v>
      </c>
      <c r="N89" s="47"/>
      <c r="O89" s="47"/>
      <c r="P89" s="47"/>
      <c r="Q89" s="47"/>
      <c r="R89" s="47"/>
      <c r="S89" s="47"/>
      <c r="T89" s="47"/>
    </row>
    <row r="90" s="5" customFormat="true" ht="12.75" hidden="false" customHeight="false" outlineLevel="0" collapsed="false">
      <c r="A90" s="5" t="s">
        <v>89</v>
      </c>
      <c r="C90" s="5" t="n">
        <f aca="false">PRODUCT(C$83:C87)</f>
        <v>1.99104037877288</v>
      </c>
      <c r="D90" s="5" t="n">
        <f aca="false">PRODUCT(D$83:D87)</f>
        <v>3.9500929613384</v>
      </c>
      <c r="E90" s="5" t="n">
        <f aca="false">PRODUCT(E$83:E87)</f>
        <v>7.81582943582542</v>
      </c>
      <c r="F90" s="5" t="n">
        <f aca="false">PRODUCT(F$83:F87)</f>
        <v>15.4373797341686</v>
      </c>
      <c r="G90" s="5" t="n">
        <f aca="false">PRODUCT(G$83:G87)</f>
        <v>30.4642670001305</v>
      </c>
      <c r="N90" s="47"/>
      <c r="O90" s="47"/>
      <c r="P90" s="47"/>
      <c r="Q90" s="47"/>
      <c r="R90" s="47"/>
      <c r="S90" s="47"/>
      <c r="T90" s="47"/>
    </row>
    <row r="91" s="5" customFormat="true" ht="12.75" hidden="false" customHeight="false" outlineLevel="0" collapsed="false">
      <c r="N91" s="47"/>
      <c r="O91" s="47"/>
      <c r="P91" s="47"/>
      <c r="Q91" s="47"/>
      <c r="R91" s="47"/>
      <c r="S91" s="47"/>
      <c r="T91" s="47"/>
    </row>
    <row r="92" s="5" customFormat="true" ht="12.75" hidden="false" customHeight="false" outlineLevel="0" collapsed="false">
      <c r="G92" s="85"/>
      <c r="N92" s="47"/>
      <c r="O92" s="47"/>
      <c r="P92" s="47"/>
      <c r="Q92" s="47"/>
      <c r="R92" s="47"/>
      <c r="S92" s="47"/>
      <c r="T92" s="47"/>
    </row>
    <row r="93" s="5" customFormat="true" ht="12.75" hidden="false" customHeight="false" outlineLevel="0" collapsed="false">
      <c r="B93" s="87"/>
      <c r="C93" s="87"/>
      <c r="D93" s="87"/>
      <c r="E93" s="87"/>
      <c r="F93" s="87"/>
      <c r="G93" s="87" t="n">
        <f aca="false">G94*G$37</f>
        <v>0.943069386370083</v>
      </c>
      <c r="N93" s="47"/>
      <c r="O93" s="47"/>
      <c r="P93" s="47"/>
      <c r="Q93" s="47"/>
      <c r="R93" s="47"/>
      <c r="S93" s="47"/>
      <c r="T93" s="47"/>
    </row>
    <row r="94" s="5" customFormat="true" ht="12.75" hidden="false" customHeight="false" outlineLevel="0" collapsed="false">
      <c r="B94" s="87"/>
      <c r="C94" s="87"/>
      <c r="D94" s="87"/>
      <c r="E94" s="87"/>
      <c r="F94" s="87" t="n">
        <f aca="false">F95*F$37</f>
        <v>0.943939172112516</v>
      </c>
      <c r="G94" s="87" t="n">
        <f aca="false">G95*G$37</f>
        <v>0.948175735791496</v>
      </c>
      <c r="N94" s="47"/>
      <c r="O94" s="47"/>
      <c r="P94" s="47"/>
      <c r="Q94" s="47"/>
      <c r="R94" s="47"/>
      <c r="S94" s="47"/>
      <c r="T94" s="47"/>
    </row>
    <row r="95" s="5" customFormat="true" ht="12.75" hidden="false" customHeight="false" outlineLevel="0" collapsed="false">
      <c r="B95" s="87"/>
      <c r="C95" s="87"/>
      <c r="D95" s="87"/>
      <c r="E95" s="87" t="n">
        <f aca="false">E96*E$37</f>
        <v>0.94566698298183</v>
      </c>
      <c r="F95" s="87" t="n">
        <f aca="false">F96*F$37</f>
        <v>0.949904760769925</v>
      </c>
      <c r="G95" s="87" t="n">
        <f aca="false">G96*G$37</f>
        <v>0.953309734084552</v>
      </c>
      <c r="N95" s="47"/>
      <c r="O95" s="47"/>
      <c r="P95" s="47"/>
      <c r="Q95" s="47"/>
      <c r="R95" s="47"/>
      <c r="S95" s="47"/>
      <c r="T95" s="47"/>
    </row>
    <row r="96" s="5" customFormat="true" ht="12.75" hidden="false" customHeight="false" outlineLevel="0" collapsed="false">
      <c r="B96" s="87"/>
      <c r="C96" s="87"/>
      <c r="D96" s="87" t="n">
        <f aca="false">D97*D$37</f>
        <v>0.948252343457404</v>
      </c>
      <c r="E96" s="87" t="n">
        <f aca="false">E97*E$37</f>
        <v>0.952500355881593</v>
      </c>
      <c r="F96" s="87" t="n">
        <f aca="false">F97*F$37</f>
        <v>0.955908051271986</v>
      </c>
      <c r="G96" s="87" t="n">
        <f aca="false">G97*G$37</f>
        <v>0.958471530957003</v>
      </c>
      <c r="N96" s="47"/>
      <c r="O96" s="47"/>
      <c r="P96" s="47"/>
      <c r="Q96" s="47"/>
      <c r="R96" s="47"/>
      <c r="S96" s="47"/>
      <c r="T96" s="47"/>
    </row>
    <row r="97" s="5" customFormat="true" ht="12.75" hidden="false" customHeight="false" outlineLevel="0" collapsed="false">
      <c r="B97" s="87"/>
      <c r="C97" s="87" t="n">
        <f aca="false">C98*C$37</f>
        <v>0.951695522203039</v>
      </c>
      <c r="D97" s="87" t="n">
        <f aca="false">D98*D$37</f>
        <v>0.955964379017921</v>
      </c>
      <c r="E97" s="87" t="n">
        <f aca="false">E98*E$37</f>
        <v>0.959383106613117</v>
      </c>
      <c r="F97" s="87" t="n">
        <f aca="false">F98*F$37</f>
        <v>0.96194928189009</v>
      </c>
      <c r="G97" s="87" t="n">
        <f aca="false">G98*G$37</f>
        <v>0.963661276927214</v>
      </c>
      <c r="N97" s="47"/>
      <c r="O97" s="47"/>
      <c r="P97" s="47"/>
      <c r="Q97" s="47"/>
      <c r="R97" s="47"/>
      <c r="S97" s="47"/>
      <c r="T97" s="47"/>
    </row>
    <row r="98" s="5" customFormat="true" ht="12.75" hidden="false" customHeight="false" outlineLevel="0" collapsed="false">
      <c r="A98" s="11" t="s">
        <v>90</v>
      </c>
      <c r="B98" s="87" t="n">
        <f aca="false">B36</f>
        <v>0.9559974818331</v>
      </c>
      <c r="C98" s="87" t="n">
        <f aca="false">C36*C89/C90*2</f>
        <v>0.960299441463161</v>
      </c>
      <c r="D98" s="87" t="n">
        <f aca="false">D36*D89/D90*2</f>
        <v>0.963739135744272</v>
      </c>
      <c r="E98" s="87" t="n">
        <f aca="false">E36*E89/E90*2</f>
        <v>0.96631559197974</v>
      </c>
      <c r="F98" s="87" t="n">
        <f aca="false">F36*F89/F90*2</f>
        <v>0.968028692401471</v>
      </c>
      <c r="G98" s="87" t="n">
        <f aca="false">G36*G89/G90*2</f>
        <v>0.968879123328544</v>
      </c>
      <c r="N98" s="47"/>
      <c r="O98" s="47"/>
      <c r="P98" s="47"/>
      <c r="Q98" s="47"/>
      <c r="R98" s="47"/>
      <c r="S98" s="47"/>
      <c r="T98" s="47"/>
    </row>
    <row r="99" s="5" customFormat="true" ht="12.75" hidden="false" customHeight="false" outlineLevel="0" collapsed="false">
      <c r="A99" s="75" t="s">
        <v>66</v>
      </c>
      <c r="B99" s="75" t="n">
        <v>0</v>
      </c>
      <c r="C99" s="75" t="n">
        <v>1</v>
      </c>
      <c r="D99" s="75" t="n">
        <v>2</v>
      </c>
      <c r="E99" s="75" t="n">
        <v>3</v>
      </c>
      <c r="F99" s="75" t="n">
        <v>4</v>
      </c>
      <c r="G99" s="75" t="n">
        <v>5</v>
      </c>
      <c r="N99" s="47"/>
      <c r="O99" s="47"/>
      <c r="P99" s="47"/>
      <c r="Q99" s="47"/>
      <c r="R99" s="47"/>
      <c r="S99" s="47"/>
      <c r="T99" s="47"/>
    </row>
    <row r="100" s="5" customFormat="true" ht="13.5" hidden="false" customHeight="false" outlineLevel="0" collapsed="false">
      <c r="I100" s="0"/>
      <c r="N100" s="47"/>
      <c r="O100" s="47"/>
      <c r="P100" s="47"/>
      <c r="Q100" s="47"/>
      <c r="R100" s="47"/>
      <c r="S100" s="47"/>
      <c r="T100" s="47"/>
    </row>
    <row r="101" s="5" customFormat="true" ht="12.75" hidden="false" customHeight="false" outlineLevel="0" collapsed="false">
      <c r="G101" s="5" t="n">
        <f aca="false">-LN(G93)</f>
        <v>0.0586154185995091</v>
      </c>
      <c r="N101" s="47"/>
      <c r="O101" s="47"/>
      <c r="P101" s="47"/>
      <c r="Q101" s="47"/>
      <c r="R101" s="47"/>
      <c r="S101" s="47"/>
      <c r="T101" s="47"/>
    </row>
    <row r="102" s="5" customFormat="true" ht="12.75" hidden="false" customHeight="false" outlineLevel="0" collapsed="false">
      <c r="F102" s="5" t="n">
        <f aca="false">-LN(F94)</f>
        <v>0.0576935512342323</v>
      </c>
      <c r="G102" s="5" t="n">
        <f aca="false">-LN(G94)</f>
        <v>0.0532154185995092</v>
      </c>
      <c r="N102" s="47"/>
      <c r="O102" s="47"/>
      <c r="P102" s="47"/>
      <c r="Q102" s="47"/>
      <c r="R102" s="47"/>
      <c r="S102" s="47"/>
      <c r="T102" s="47"/>
    </row>
    <row r="103" s="5" customFormat="true" ht="12.75" hidden="false" customHeight="false" outlineLevel="0" collapsed="false">
      <c r="E103" s="5" t="n">
        <f aca="false">-LN(E95)</f>
        <v>0.0558647983523815</v>
      </c>
      <c r="F103" s="5" t="n">
        <f aca="false">-LN(F95)</f>
        <v>0.0513935512342323</v>
      </c>
      <c r="G103" s="5" t="n">
        <f aca="false">-LN(G95)</f>
        <v>0.0478154185995092</v>
      </c>
      <c r="N103" s="47"/>
      <c r="O103" s="47"/>
      <c r="P103" s="47"/>
      <c r="Q103" s="47"/>
      <c r="R103" s="47"/>
      <c r="S103" s="47"/>
      <c r="T103" s="47"/>
    </row>
    <row r="104" s="5" customFormat="true" ht="12.75" hidden="false" customHeight="false" outlineLevel="0" collapsed="false">
      <c r="D104" s="5" t="n">
        <f aca="false">-LN(D96)</f>
        <v>0.0531346270664291</v>
      </c>
      <c r="E104" s="5" t="n">
        <f aca="false">-LN(E96)</f>
        <v>0.0486647983523816</v>
      </c>
      <c r="F104" s="5" t="n">
        <f aca="false">-LN(F96)</f>
        <v>0.0450935512342322</v>
      </c>
      <c r="G104" s="5" t="n">
        <f aca="false">-LN(G96)</f>
        <v>0.0424154185995092</v>
      </c>
      <c r="N104" s="47"/>
      <c r="O104" s="47"/>
      <c r="P104" s="47"/>
      <c r="Q104" s="47"/>
      <c r="R104" s="47"/>
      <c r="S104" s="47"/>
      <c r="T104" s="47"/>
    </row>
    <row r="105" s="5" customFormat="true" ht="12.75" hidden="false" customHeight="false" outlineLevel="0" collapsed="false">
      <c r="C105" s="5" t="n">
        <f aca="false">-LN(C97)</f>
        <v>0.0495101249658284</v>
      </c>
      <c r="D105" s="5" t="n">
        <f aca="false">-LN(D97)</f>
        <v>0.045034627066429</v>
      </c>
      <c r="E105" s="5" t="n">
        <f aca="false">-LN(E97)</f>
        <v>0.0414647983523816</v>
      </c>
      <c r="F105" s="5" t="n">
        <f aca="false">-LN(F97)</f>
        <v>0.0387935512342323</v>
      </c>
      <c r="G105" s="5" t="n">
        <f aca="false">-LN(G97)</f>
        <v>0.0370154185995092</v>
      </c>
      <c r="N105" s="47"/>
      <c r="O105" s="47"/>
      <c r="P105" s="47"/>
      <c r="Q105" s="47"/>
      <c r="R105" s="47"/>
      <c r="S105" s="47"/>
      <c r="T105" s="47"/>
    </row>
    <row r="106" s="5" customFormat="true" ht="12.75" hidden="false" customHeight="false" outlineLevel="0" collapsed="false">
      <c r="A106" s="11" t="s">
        <v>91</v>
      </c>
      <c r="B106" s="5" t="n">
        <f aca="false">-LN(B98)</f>
        <v>0.0449999999999999</v>
      </c>
      <c r="C106" s="5" t="n">
        <f aca="false">-LN(C98)</f>
        <v>0.0405101249658284</v>
      </c>
      <c r="D106" s="5" t="n">
        <f aca="false">-LN(D98)</f>
        <v>0.036934627066429</v>
      </c>
      <c r="E106" s="5" t="n">
        <f aca="false">-LN(E98)</f>
        <v>0.0342647983523816</v>
      </c>
      <c r="F106" s="5" t="n">
        <f aca="false">-LN(F98)</f>
        <v>0.0324935512342322</v>
      </c>
      <c r="G106" s="5" t="n">
        <f aca="false">-LN(G98)</f>
        <v>0.0316154185995092</v>
      </c>
      <c r="N106" s="47"/>
      <c r="O106" s="47"/>
      <c r="P106" s="47"/>
      <c r="Q106" s="47"/>
      <c r="R106" s="47"/>
      <c r="S106" s="47"/>
      <c r="T106" s="47"/>
    </row>
    <row r="107" s="5" customFormat="true" ht="12.75" hidden="false" customHeight="false" outlineLevel="0" collapsed="false">
      <c r="A107" s="75" t="s">
        <v>66</v>
      </c>
      <c r="B107" s="75" t="n">
        <v>0</v>
      </c>
      <c r="C107" s="75" t="n">
        <v>1</v>
      </c>
      <c r="D107" s="75" t="n">
        <v>2</v>
      </c>
      <c r="E107" s="75" t="n">
        <v>3</v>
      </c>
      <c r="F107" s="75" t="n">
        <v>4</v>
      </c>
      <c r="G107" s="75" t="n">
        <v>5</v>
      </c>
      <c r="N107" s="47"/>
      <c r="O107" s="47"/>
      <c r="P107" s="47"/>
      <c r="Q107" s="47"/>
      <c r="R107" s="47"/>
      <c r="S107" s="47"/>
      <c r="T107" s="47"/>
    </row>
    <row r="108" s="5" customFormat="true" ht="12.75" hidden="false" customHeight="false" outlineLevel="0" collapsed="false">
      <c r="N108" s="47"/>
      <c r="O108" s="47"/>
      <c r="P108" s="47"/>
      <c r="Q108" s="47"/>
      <c r="R108" s="47"/>
      <c r="S108" s="47"/>
      <c r="T108" s="47"/>
    </row>
    <row r="109" s="5" customFormat="true" ht="12.75" hidden="false" customHeight="false" outlineLevel="0" collapsed="false">
      <c r="G109" s="5" t="n">
        <f aca="false">(G101-G102)/(2*G$31)</f>
        <v>0.0599999999999999</v>
      </c>
      <c r="N109" s="47"/>
      <c r="O109" s="47"/>
      <c r="P109" s="47"/>
      <c r="Q109" s="47"/>
      <c r="R109" s="47"/>
      <c r="S109" s="47"/>
      <c r="T109" s="47"/>
    </row>
    <row r="110" s="5" customFormat="true" ht="12.75" hidden="false" customHeight="false" outlineLevel="0" collapsed="false">
      <c r="F110" s="5" t="n">
        <f aca="false">(F102-F103)/(2*F$31)</f>
        <v>0.0700000000000002</v>
      </c>
      <c r="G110" s="5" t="n">
        <f aca="false">(G102-G103)/(2*G$31)</f>
        <v>0.0599999999999994</v>
      </c>
      <c r="N110" s="47"/>
      <c r="O110" s="47"/>
      <c r="P110" s="47"/>
      <c r="Q110" s="47"/>
      <c r="R110" s="47"/>
      <c r="S110" s="47"/>
      <c r="T110" s="47"/>
    </row>
    <row r="111" s="5" customFormat="true" ht="12.75" hidden="false" customHeight="false" outlineLevel="0" collapsed="false">
      <c r="E111" s="5" t="n">
        <f aca="false">(E103-E104)/(2*E$31)</f>
        <v>0.079999999999999</v>
      </c>
      <c r="F111" s="5" t="n">
        <f aca="false">(F103-F104)/(2*F$31)</f>
        <v>0.0700000000000002</v>
      </c>
      <c r="G111" s="5" t="n">
        <f aca="false">(G103-G104)/(2*G$31)</f>
        <v>0.0599999999999998</v>
      </c>
      <c r="N111" s="47"/>
      <c r="O111" s="47"/>
      <c r="P111" s="47"/>
      <c r="Q111" s="47"/>
      <c r="R111" s="47"/>
      <c r="S111" s="47"/>
      <c r="T111" s="47"/>
    </row>
    <row r="112" s="5" customFormat="true" ht="12.75" hidden="false" customHeight="false" outlineLevel="0" collapsed="false">
      <c r="D112" s="5" t="n">
        <f aca="false">(D104-D105)/(2*D$31)</f>
        <v>0.0900000000000006</v>
      </c>
      <c r="E112" s="5" t="n">
        <f aca="false">(E104-E105)/(2*E$31)</f>
        <v>0.0799999999999995</v>
      </c>
      <c r="F112" s="5" t="n">
        <f aca="false">(F104-F105)/(2*F$31)</f>
        <v>0.0699999999999998</v>
      </c>
      <c r="G112" s="5" t="n">
        <f aca="false">(G104-G105)/(2*G$31)</f>
        <v>0.0600000000000001</v>
      </c>
      <c r="N112" s="47"/>
      <c r="O112" s="47"/>
      <c r="P112" s="47"/>
      <c r="Q112" s="47"/>
      <c r="R112" s="47"/>
      <c r="S112" s="47"/>
      <c r="T112" s="47"/>
    </row>
    <row r="113" s="5" customFormat="true" ht="12.75" hidden="false" customHeight="false" outlineLevel="0" collapsed="false">
      <c r="A113" s="11" t="s">
        <v>92</v>
      </c>
      <c r="C113" s="5" t="n">
        <f aca="false">(C105-C106)/(2*C$31)</f>
        <v>0.0999999999999996</v>
      </c>
      <c r="D113" s="5" t="n">
        <f aca="false">(D105-D106)/(2*D$31)</f>
        <v>0.09</v>
      </c>
      <c r="E113" s="5" t="n">
        <f aca="false">(E105-E106)/(2*E$31)</f>
        <v>0.08</v>
      </c>
      <c r="F113" s="5" t="n">
        <f aca="false">(F105-F106)/(2*F$31)</f>
        <v>0.0700000000000006</v>
      </c>
      <c r="G113" s="5" t="n">
        <f aca="false">(G105-G106)/(2*G$31)</f>
        <v>0.0599999999999998</v>
      </c>
      <c r="N113" s="47"/>
      <c r="O113" s="47"/>
      <c r="P113" s="47"/>
      <c r="Q113" s="47"/>
      <c r="R113" s="47"/>
      <c r="S113" s="47"/>
      <c r="T113" s="47"/>
    </row>
    <row r="114" s="5" customFormat="true" ht="12.75" hidden="false" customHeight="false" outlineLevel="0" collapsed="false">
      <c r="A114" s="75" t="s">
        <v>66</v>
      </c>
      <c r="B114" s="75" t="n">
        <v>0</v>
      </c>
      <c r="C114" s="75" t="n">
        <v>1</v>
      </c>
      <c r="D114" s="75" t="n">
        <v>2</v>
      </c>
      <c r="E114" s="75" t="n">
        <v>3</v>
      </c>
      <c r="F114" s="75" t="n">
        <v>4</v>
      </c>
      <c r="G114" s="75" t="n">
        <v>5</v>
      </c>
      <c r="N114" s="47"/>
      <c r="O114" s="47"/>
      <c r="P114" s="47"/>
      <c r="Q114" s="47"/>
      <c r="R114" s="47"/>
      <c r="S114" s="47"/>
      <c r="T114" s="47"/>
    </row>
  </sheetData>
  <hyperlinks>
    <hyperlink ref="B7" r:id="rId2" display="leesb@hanyang.ac.kr"/>
    <hyperlink ref="B23" r:id="rId3" display="http://www.federalreserve.gov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4"/>
  <legacy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2003-04-22T19:49:47Z</dcterms:created>
  <dc:creator>Hanyang Financial Engineering Lab</dc:creator>
  <dc:description/>
  <dc:language>en-US</dc:language>
  <cp:lastModifiedBy>MIKE</cp:lastModifiedBy>
  <dcterms:modified xsi:type="dcterms:W3CDTF">2012-05-31T07:50:10Z</dcterms:modified>
  <cp:revision>0</cp:revision>
  <dc:subject/>
  <dc:title/>
</cp:coreProperties>
</file>