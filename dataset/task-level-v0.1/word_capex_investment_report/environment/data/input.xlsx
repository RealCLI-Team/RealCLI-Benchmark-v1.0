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ed IS" sheetId="1" state="visible" r:id="rId3"/>
    <sheet name="WACC" sheetId="2" state="visible" r:id="rId4"/>
    <sheet name="DCF Model" sheetId="3" state="visible" r:id="rId5"/>
    <sheet name="Share Value" sheetId="4" state="visible" r:id="rId6"/>
    <sheet name="Question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<sst xmlns="http://schemas.openxmlformats.org/spreadsheetml/2006/main" count="65" uniqueCount="58">
  <si>
    <t xml:space="preserve">Appendix A - Projected Income Statement</t>
  </si>
  <si>
    <t xml:space="preserve">Newtech Limited</t>
  </si>
  <si>
    <t xml:space="preserve">Projected Income Statement</t>
  </si>
  <si>
    <t xml:space="preserve">Canadian 000's</t>
  </si>
  <si>
    <t xml:space="preserve">Fiscal Year Ending June 30th</t>
  </si>
  <si>
    <t xml:space="preserve">Revenue</t>
  </si>
  <si>
    <t xml:space="preserve">Software</t>
  </si>
  <si>
    <t xml:space="preserve">Contracts</t>
  </si>
  <si>
    <t xml:space="preserve">Cost of Sales</t>
  </si>
  <si>
    <t xml:space="preserve">Gross Profit</t>
  </si>
  <si>
    <t xml:space="preserve">Operating Expenses</t>
  </si>
  <si>
    <t xml:space="preserve">Sales and Marketing</t>
  </si>
  <si>
    <t xml:space="preserve">General and Administrative</t>
  </si>
  <si>
    <t xml:space="preserve">Research</t>
  </si>
  <si>
    <t xml:space="preserve">Amortization of Capital Assets</t>
  </si>
  <si>
    <t xml:space="preserve">Amortization of Development Costs</t>
  </si>
  <si>
    <t xml:space="preserve">Exchange loss (gain)</t>
  </si>
  <si>
    <t xml:space="preserve">Restructuriong and other</t>
  </si>
  <si>
    <t xml:space="preserve">Interest expense</t>
  </si>
  <si>
    <t xml:space="preserve">Net Income</t>
  </si>
  <si>
    <t xml:space="preserve">Opening Balance</t>
  </si>
  <si>
    <t xml:space="preserve">Ending Balance</t>
  </si>
  <si>
    <t xml:space="preserve">Appendix B - Weighted Average Cost of Capital</t>
  </si>
  <si>
    <t xml:space="preserve">Weighted Average Cost of Capital</t>
  </si>
  <si>
    <t xml:space="preserve">Cost of Equity</t>
  </si>
  <si>
    <t xml:space="preserve">Mkt val of equity</t>
  </si>
  <si>
    <t xml:space="preserve">   Required Rate of return on Equity</t>
  </si>
  <si>
    <t xml:space="preserve">Value of Firm</t>
  </si>
  <si>
    <t xml:space="preserve">   Add - Company Risk</t>
  </si>
  <si>
    <t xml:space="preserve">Debt Value</t>
  </si>
  <si>
    <t xml:space="preserve">Interest (6%)</t>
  </si>
  <si>
    <t xml:space="preserve">*assume constant cause don’t </t>
  </si>
  <si>
    <t xml:space="preserve">know how equity value changes</t>
  </si>
  <si>
    <t xml:space="preserve">Cost of Debt</t>
  </si>
  <si>
    <t xml:space="preserve">After Tax Cost of Debt</t>
  </si>
  <si>
    <t xml:space="preserve">Weight of Equity </t>
  </si>
  <si>
    <t xml:space="preserve">Weight of Debt</t>
  </si>
  <si>
    <t xml:space="preserve">WACC</t>
  </si>
  <si>
    <t xml:space="preserve">Appendix C - Discounted Cash Flow Model</t>
  </si>
  <si>
    <t xml:space="preserve">Valuation Report</t>
  </si>
  <si>
    <t xml:space="preserve">Discounted Cash Flow Valuation</t>
  </si>
  <si>
    <t xml:space="preserve">TV</t>
  </si>
  <si>
    <t xml:space="preserve">Less: Change in Working Capital</t>
  </si>
  <si>
    <t xml:space="preserve">Add: Depreciation</t>
  </si>
  <si>
    <t xml:space="preserve">Less:CAPEX (net of CCA tax shield)</t>
  </si>
  <si>
    <t xml:space="preserve">Free Cash Flows</t>
  </si>
  <si>
    <t xml:space="preserve">*Terminal value perpetuity</t>
  </si>
  <si>
    <t xml:space="preserve">PV Cash Flows</t>
  </si>
  <si>
    <t xml:space="preserve">Enterprise Value </t>
  </si>
  <si>
    <t xml:space="preserve">Appendix D - Share Value Analysis</t>
  </si>
  <si>
    <t xml:space="preserve">Estimated Value of Shares</t>
  </si>
  <si>
    <t xml:space="preserve">Canadian $000's</t>
  </si>
  <si>
    <t xml:space="preserve">Calculated Enterprise Value</t>
  </si>
  <si>
    <t xml:space="preserve">Add: Present Value of Tax Pools</t>
  </si>
  <si>
    <t xml:space="preserve">En Block Common Share Value</t>
  </si>
  <si>
    <t xml:space="preserve">Shares outstanding</t>
  </si>
  <si>
    <t xml:space="preserve">Value Per Share</t>
  </si>
  <si>
    <t xml:space="preserve">1. is the en block common share value supposed to be way higher then enterprise value cause tax pools are included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</si>
</sst>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00%"/>
    <numFmt numFmtId="168" formatCode="#,#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FFFFFF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078125" defaultRowHeight="12.75" zeroHeight="false" outlineLevelRow="0" outlineLevelCol="0"/>
  <sheetData>
    <row r="2" customFormat="false" ht="12.75" hidden="false" customHeight="false" outlineLevel="0" collapsed="false">
      <c r="B2" s="1" t="s">
        <v>0</v>
      </c>
    </row>
    <row r="5" customFormat="false" ht="12.75" hidden="false" customHeight="false" outlineLevel="0" collapsed="false">
      <c r="F5" s="2" t="s">
        <v>1</v>
      </c>
      <c r="G5" s="2"/>
      <c r="H5" s="3"/>
    </row>
    <row r="6" customFormat="false" ht="12.75" hidden="false" customHeight="false" outlineLevel="0" collapsed="false">
      <c r="F6" s="2" t="s">
        <v>2</v>
      </c>
      <c r="G6" s="2"/>
      <c r="H6" s="3"/>
    </row>
    <row r="7" customFormat="false" ht="12.75" hidden="false" customHeight="false" outlineLevel="0" collapsed="false">
      <c r="F7" s="2" t="s">
        <v>3</v>
      </c>
      <c r="G7" s="2"/>
      <c r="H7" s="3"/>
    </row>
    <row r="8" customFormat="false" ht="12.75" hidden="false" customHeight="false" outlineLevel="0" collapsed="false">
      <c r="F8" s="2" t="s">
        <v>4</v>
      </c>
      <c r="G8" s="2"/>
      <c r="H8" s="3"/>
    </row>
    <row r="9" customFormat="false" ht="12.75" hidden="false" customHeight="false" outlineLevel="0" collapsed="false">
      <c r="F9" s="3"/>
      <c r="G9" s="3"/>
      <c r="H9" s="3"/>
    </row>
    <row r="11" customFormat="false" ht="12.75" hidden="false" customHeight="false" outlineLevel="0" collapsed="false">
      <c r="G11" s="2" t="n">
        <v>2008</v>
      </c>
      <c r="H11" s="2" t="n">
        <v>2009</v>
      </c>
      <c r="I11" s="2" t="n">
        <v>2010</v>
      </c>
      <c r="J11" s="2" t="n">
        <v>2011</v>
      </c>
      <c r="K11" s="2" t="n">
        <v>2012</v>
      </c>
      <c r="L11" s="2" t="n">
        <v>2013</v>
      </c>
    </row>
    <row r="13" customFormat="false" ht="12.75" hidden="false" customHeight="false" outlineLevel="0" collapsed="false">
      <c r="B13" s="1" t="s">
        <v>5</v>
      </c>
      <c r="G13" s="4" t="n">
        <v>12349</v>
      </c>
      <c r="H13" s="5" t="n">
        <f aca="false">G13*1.15</f>
        <v>14201.35</v>
      </c>
      <c r="I13" s="5" t="n">
        <f aca="false">H13*1.15</f>
        <v>16331.5525</v>
      </c>
      <c r="J13" s="5" t="n">
        <f aca="false">I13*1.05</f>
        <v>17148.130125</v>
      </c>
      <c r="K13" s="5" t="n">
        <f aca="false">J13*1.05</f>
        <v>18005.53663125</v>
      </c>
      <c r="L13" s="5" t="n">
        <f aca="false">K13*1.05</f>
        <v>18905.8134628125</v>
      </c>
    </row>
    <row r="14" customFormat="false" ht="12.75" hidden="false" customHeight="false" outlineLevel="0" collapsed="false">
      <c r="C14" s="6" t="s">
        <v>6</v>
      </c>
      <c r="H14" s="6" t="n">
        <f aca="false">H13-H15</f>
        <v>11201.35</v>
      </c>
      <c r="I14" s="6" t="n">
        <f aca="false">I13-I15</f>
        <v>10331.5525</v>
      </c>
      <c r="J14" s="6" t="n">
        <f aca="false">J13-J15</f>
        <v>14148.130125</v>
      </c>
      <c r="K14" s="6" t="n">
        <f aca="false">K13-K15</f>
        <v>15005.53663125</v>
      </c>
      <c r="L14" s="6" t="n">
        <f aca="false">L13-L15</f>
        <v>15905.8134628125</v>
      </c>
    </row>
    <row r="15" customFormat="false" ht="12.75" hidden="false" customHeight="false" outlineLevel="0" collapsed="false">
      <c r="C15" s="6" t="s">
        <v>7</v>
      </c>
      <c r="G15" s="7"/>
      <c r="H15" s="7" t="n">
        <v>3000</v>
      </c>
      <c r="I15" s="7" t="n">
        <v>6000</v>
      </c>
      <c r="J15" s="7" t="n">
        <v>3000</v>
      </c>
      <c r="K15" s="7" t="n">
        <v>3000</v>
      </c>
      <c r="L15" s="7" t="n">
        <v>3000</v>
      </c>
    </row>
    <row r="16" customFormat="false" ht="12.75" hidden="false" customHeight="false" outlineLevel="0" collapsed="false">
      <c r="G16" s="6" t="n">
        <v>12349</v>
      </c>
      <c r="H16" s="6" t="n">
        <f aca="false">H14+H15</f>
        <v>14201.35</v>
      </c>
      <c r="I16" s="6" t="n">
        <f aca="false">I14+I15</f>
        <v>16331.5525</v>
      </c>
      <c r="J16" s="6" t="n">
        <f aca="false">J14+J15</f>
        <v>17148.130125</v>
      </c>
      <c r="K16" s="6" t="n">
        <f aca="false">K14+K15</f>
        <v>18005.53663125</v>
      </c>
      <c r="L16" s="6" t="n">
        <f aca="false">L14+L15</f>
        <v>18905.8134628125</v>
      </c>
    </row>
    <row r="18" customFormat="false" ht="12.75" hidden="false" customHeight="false" outlineLevel="0" collapsed="false">
      <c r="B18" s="6" t="s">
        <v>8</v>
      </c>
      <c r="G18" s="7" t="n">
        <v>6026</v>
      </c>
      <c r="H18" s="7" t="n">
        <f aca="false">H16-H20</f>
        <v>6800.675</v>
      </c>
      <c r="I18" s="7" t="n">
        <f aca="false">I16-I20</f>
        <v>7565.77625</v>
      </c>
      <c r="J18" s="7" t="n">
        <f aca="false">J16-J20</f>
        <v>8274.0650625</v>
      </c>
      <c r="K18" s="7" t="n">
        <f aca="false">K16-K20</f>
        <v>8702.768315625</v>
      </c>
      <c r="L18" s="7" t="n">
        <f aca="false">L16-L20</f>
        <v>9152.90673140625</v>
      </c>
    </row>
    <row r="20" customFormat="false" ht="12.75" hidden="false" customHeight="false" outlineLevel="0" collapsed="false">
      <c r="B20" s="1" t="s">
        <v>9</v>
      </c>
      <c r="G20" s="6" t="n">
        <v>6323</v>
      </c>
      <c r="H20" s="6" t="n">
        <f aca="false">(H14*0.5)+(H15*0.6)</f>
        <v>7400.675</v>
      </c>
      <c r="I20" s="6" t="n">
        <f aca="false">(I14*0.5)+(I15*0.6)</f>
        <v>8765.77625</v>
      </c>
      <c r="J20" s="6" t="n">
        <f aca="false">(J14*0.5)+(J15*0.6)</f>
        <v>8874.0650625</v>
      </c>
      <c r="K20" s="6" t="n">
        <f aca="false">(K14*0.5)+(K15*0.6)</f>
        <v>9302.768315625</v>
      </c>
      <c r="L20" s="6" t="n">
        <f aca="false">(L14*0.5)+(L15*0.6)</f>
        <v>9752.90673140625</v>
      </c>
    </row>
    <row r="22" customFormat="false" ht="12.75" hidden="false" customHeight="false" outlineLevel="0" collapsed="false">
      <c r="B22" s="6" t="s">
        <v>10</v>
      </c>
    </row>
    <row r="23" customFormat="false" ht="12.75" hidden="false" customHeight="false" outlineLevel="0" collapsed="false">
      <c r="C23" s="6" t="s">
        <v>11</v>
      </c>
      <c r="G23" s="6" t="n">
        <v>2533</v>
      </c>
      <c r="H23" s="6" t="n">
        <f aca="false">H13*0.2</f>
        <v>2840.27</v>
      </c>
      <c r="I23" s="6" t="n">
        <f aca="false">I13*0.2</f>
        <v>3266.3105</v>
      </c>
      <c r="J23" s="6" t="n">
        <f aca="false">J13*0.2</f>
        <v>3429.626025</v>
      </c>
      <c r="K23" s="6" t="n">
        <f aca="false">K13*0.2</f>
        <v>3601.10732625</v>
      </c>
      <c r="L23" s="6" t="n">
        <f aca="false">L13*0.2</f>
        <v>3781.1626925625</v>
      </c>
    </row>
    <row r="24" customFormat="false" ht="12.75" hidden="false" customHeight="false" outlineLevel="0" collapsed="false">
      <c r="C24" s="6" t="s">
        <v>12</v>
      </c>
      <c r="G24" s="6" t="n">
        <v>1494</v>
      </c>
      <c r="H24" s="6" t="n">
        <f aca="false">G24*1.05</f>
        <v>1568.7</v>
      </c>
      <c r="I24" s="6" t="n">
        <f aca="false">H24*1.05</f>
        <v>1647.135</v>
      </c>
      <c r="J24" s="6" t="n">
        <f aca="false">I24*1.05</f>
        <v>1729.49175</v>
      </c>
      <c r="K24" s="6" t="n">
        <f aca="false">J24*1.05</f>
        <v>1815.9663375</v>
      </c>
      <c r="L24" s="6" t="n">
        <f aca="false">K24*1.05</f>
        <v>1906.764654375</v>
      </c>
    </row>
    <row r="25" customFormat="false" ht="12.75" hidden="false" customHeight="false" outlineLevel="0" collapsed="false">
      <c r="C25" s="6" t="s">
        <v>13</v>
      </c>
      <c r="G25" s="6" t="n">
        <v>1013</v>
      </c>
      <c r="H25" s="6" t="n">
        <f aca="false">H13*0.15/2</f>
        <v>1065.10125</v>
      </c>
      <c r="I25" s="6" t="n">
        <f aca="false">I13*0.15/2</f>
        <v>1224.8664375</v>
      </c>
      <c r="J25" s="6" t="n">
        <f aca="false">J13*0.15/2</f>
        <v>1286.109759375</v>
      </c>
      <c r="K25" s="6" t="n">
        <f aca="false">K13*0.15/2</f>
        <v>1350.41524734375</v>
      </c>
      <c r="L25" s="6" t="n">
        <f aca="false">L13*0.15/2</f>
        <v>1417.93600971094</v>
      </c>
    </row>
    <row r="26" customFormat="false" ht="12.75" hidden="false" customHeight="false" outlineLevel="0" collapsed="false">
      <c r="C26" s="6" t="s">
        <v>14</v>
      </c>
      <c r="G26" s="6" t="n">
        <v>406</v>
      </c>
      <c r="H26" s="8" t="n">
        <v>400</v>
      </c>
      <c r="I26" s="8" t="n">
        <v>400</v>
      </c>
      <c r="J26" s="8" t="n">
        <v>400</v>
      </c>
      <c r="K26" s="8" t="n">
        <v>400</v>
      </c>
      <c r="L26" s="8" t="n">
        <v>400</v>
      </c>
    </row>
    <row r="27" customFormat="false" ht="12.75" hidden="false" customHeight="false" outlineLevel="0" collapsed="false">
      <c r="C27" s="6" t="s">
        <v>15</v>
      </c>
      <c r="G27" s="6" t="n">
        <v>1808</v>
      </c>
      <c r="H27" s="8" t="n">
        <v>1207</v>
      </c>
      <c r="I27" s="8" t="n">
        <v>1568</v>
      </c>
      <c r="J27" s="8" t="n">
        <v>1345</v>
      </c>
      <c r="K27" s="8" t="n">
        <v>1405</v>
      </c>
      <c r="L27" s="8" t="n">
        <v>1469</v>
      </c>
    </row>
    <row r="28" customFormat="false" ht="12.75" hidden="false" customHeight="false" outlineLevel="0" collapsed="false">
      <c r="C28" s="6" t="s">
        <v>16</v>
      </c>
      <c r="G28" s="6" t="n">
        <v>-25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 customFormat="false" ht="12.75" hidden="false" customHeight="false" outlineLevel="0" collapsed="false">
      <c r="C29" s="6" t="s">
        <v>17</v>
      </c>
      <c r="G29" s="6" t="n">
        <v>500</v>
      </c>
      <c r="H29" s="6" t="n">
        <v>500</v>
      </c>
      <c r="I29" s="6" t="n">
        <v>0</v>
      </c>
      <c r="J29" s="6" t="n">
        <v>0</v>
      </c>
      <c r="K29" s="6" t="n">
        <v>0</v>
      </c>
      <c r="L29" s="6" t="n">
        <v>0</v>
      </c>
    </row>
    <row r="30" customFormat="false" ht="12.75" hidden="false" customHeight="false" outlineLevel="0" collapsed="false">
      <c r="C30" s="6" t="s">
        <v>18</v>
      </c>
      <c r="G30" s="7" t="n">
        <v>647</v>
      </c>
      <c r="H30" s="7" t="n">
        <v>199.71</v>
      </c>
      <c r="I30" s="7" t="n">
        <v>199.71</v>
      </c>
      <c r="J30" s="7" t="n">
        <v>199.71</v>
      </c>
      <c r="K30" s="7" t="n">
        <v>199.71</v>
      </c>
      <c r="L30" s="7" t="n">
        <v>199.71</v>
      </c>
    </row>
    <row r="31" customFormat="false" ht="12.75" hidden="false" customHeight="false" outlineLevel="0" collapsed="false">
      <c r="G31" s="6" t="n">
        <f aca="false">SUM(G23:G30)</f>
        <v>8376</v>
      </c>
      <c r="H31" s="6" t="n">
        <f aca="false">SUM(H23:H30)</f>
        <v>7780.78125</v>
      </c>
      <c r="I31" s="6" t="n">
        <f aca="false">SUM(I23:I30)</f>
        <v>8306.0219375</v>
      </c>
      <c r="J31" s="6" t="n">
        <f aca="false">SUM(J23:J30)</f>
        <v>8389.937534375</v>
      </c>
      <c r="K31" s="6" t="n">
        <f aca="false">SUM(K23:K30)</f>
        <v>8772.19891109375</v>
      </c>
      <c r="L31" s="6" t="n">
        <f aca="false">SUM(L23:L30)</f>
        <v>9174.57335664844</v>
      </c>
    </row>
    <row r="33" customFormat="false" ht="12.75" hidden="false" customHeight="false" outlineLevel="0" collapsed="false">
      <c r="B33" s="1" t="s">
        <v>19</v>
      </c>
      <c r="G33" s="6" t="n">
        <f aca="false">G20-G31</f>
        <v>-2053</v>
      </c>
      <c r="H33" s="6" t="n">
        <f aca="false">H20-H31</f>
        <v>-380.106250000001</v>
      </c>
      <c r="I33" s="6" t="n">
        <f aca="false">I20-I31</f>
        <v>459.754312499999</v>
      </c>
      <c r="J33" s="6" t="n">
        <f aca="false">J20-J31</f>
        <v>484.127528125</v>
      </c>
      <c r="K33" s="6" t="n">
        <f aca="false">K20-K31</f>
        <v>530.56940453125</v>
      </c>
      <c r="L33" s="6" t="n">
        <f aca="false">L20-L31</f>
        <v>578.333374757813</v>
      </c>
    </row>
    <row r="36" customFormat="false" ht="12.75" hidden="false" customHeight="false" outlineLevel="0" collapsed="false">
      <c r="B36" s="6" t="s">
        <v>20</v>
      </c>
      <c r="G36" s="7" t="n">
        <v>-16439</v>
      </c>
      <c r="H36" s="7" t="n">
        <v>-18492</v>
      </c>
      <c r="I36" s="7" t="n">
        <f aca="false">H37</f>
        <v>-18872.10625</v>
      </c>
      <c r="J36" s="7" t="n">
        <f aca="false">I37</f>
        <v>-18412.3519375</v>
      </c>
      <c r="K36" s="7" t="n">
        <f aca="false">J37</f>
        <v>-17928.224409375</v>
      </c>
      <c r="L36" s="7" t="n">
        <f aca="false">K37</f>
        <v>-17397.6550048438</v>
      </c>
    </row>
    <row r="37" customFormat="false" ht="13.5" hidden="false" customHeight="false" outlineLevel="0" collapsed="false">
      <c r="B37" s="1" t="s">
        <v>21</v>
      </c>
      <c r="G37" s="9" t="n">
        <f aca="false">G33+G36</f>
        <v>-18492</v>
      </c>
      <c r="H37" s="9" t="n">
        <f aca="false">H36+H33</f>
        <v>-18872.10625</v>
      </c>
      <c r="I37" s="9" t="n">
        <f aca="false">I36+I33</f>
        <v>-18412.3519375</v>
      </c>
      <c r="J37" s="9" t="n">
        <f aca="false">J36+J33</f>
        <v>-17928.224409375</v>
      </c>
      <c r="K37" s="9" t="n">
        <f aca="false">K36+K33</f>
        <v>-17397.6550048438</v>
      </c>
      <c r="L37" s="9" t="n">
        <f aca="false">L36+L33</f>
        <v>-16819.3216300859</v>
      </c>
    </row>
    <row r="38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9.05078125" defaultRowHeight="12.75" zeroHeight="false" outlineLevelRow="0" outlineLevelCol="0"/>
  <cols>
    <col collapsed="false" customWidth="true" hidden="false" outlineLevel="0" max="8" min="8" style="6" width="14.56"/>
    <col collapsed="false" customWidth="true" hidden="false" outlineLevel="0" max="10" min="10" style="6" width="10.7"/>
  </cols>
  <sheetData>
    <row r="2" customFormat="false" ht="12.75" hidden="false" customHeight="false" outlineLevel="0" collapsed="false">
      <c r="B2" s="1" t="s">
        <v>22</v>
      </c>
    </row>
    <row r="5" customFormat="false" ht="12.75" hidden="false" customHeight="false" outlineLevel="0" collapsed="false">
      <c r="D5" s="2" t="s">
        <v>1</v>
      </c>
    </row>
    <row r="6" customFormat="false" ht="12.75" hidden="false" customHeight="false" outlineLevel="0" collapsed="false">
      <c r="D6" s="2" t="s">
        <v>23</v>
      </c>
    </row>
    <row r="8" customFormat="false" ht="12.75" hidden="false" customHeight="false" outlineLevel="0" collapsed="false">
      <c r="B8" s="6" t="s">
        <v>24</v>
      </c>
      <c r="H8" s="6" t="s">
        <v>25</v>
      </c>
      <c r="I8" s="6" t="n">
        <f aca="false">17752*0.75</f>
        <v>13314</v>
      </c>
    </row>
    <row r="9" customFormat="false" ht="12.75" hidden="false" customHeight="false" outlineLevel="0" collapsed="false">
      <c r="B9" s="6" t="s">
        <v>26</v>
      </c>
      <c r="F9" s="10" t="n">
        <v>0.15</v>
      </c>
      <c r="H9" s="6" t="s">
        <v>27</v>
      </c>
      <c r="I9" s="6" t="n">
        <f aca="false">I8/0.8</f>
        <v>16642.5</v>
      </c>
    </row>
    <row r="10" customFormat="false" ht="12.75" hidden="false" customHeight="false" outlineLevel="0" collapsed="false">
      <c r="B10" s="6" t="s">
        <v>28</v>
      </c>
      <c r="F10" s="10" t="n">
        <v>0.1</v>
      </c>
      <c r="H10" s="6" t="s">
        <v>29</v>
      </c>
      <c r="I10" s="6" t="n">
        <f aca="false">I9-I8</f>
        <v>3328.5</v>
      </c>
    </row>
    <row r="11" customFormat="false" ht="12.75" hidden="false" customHeight="false" outlineLevel="0" collapsed="false">
      <c r="B11" s="1" t="s">
        <v>24</v>
      </c>
      <c r="F11" s="10" t="n">
        <f aca="false">F9+F10</f>
        <v>0.25</v>
      </c>
      <c r="H11" s="6" t="s">
        <v>30</v>
      </c>
      <c r="I11" s="6" t="n">
        <f aca="false">0.06*I10</f>
        <v>199.71</v>
      </c>
      <c r="K11" s="6" t="s">
        <v>31</v>
      </c>
    </row>
    <row r="12" customFormat="false" ht="12.75" hidden="false" customHeight="false" outlineLevel="0" collapsed="false">
      <c r="K12" s="6" t="s">
        <v>32</v>
      </c>
    </row>
    <row r="13" customFormat="false" ht="12.75" hidden="false" customHeight="false" outlineLevel="0" collapsed="false">
      <c r="B13" s="6" t="s">
        <v>33</v>
      </c>
      <c r="F13" s="10" t="n">
        <v>0.06</v>
      </c>
    </row>
    <row r="14" customFormat="false" ht="12.75" hidden="false" customHeight="false" outlineLevel="0" collapsed="false">
      <c r="B14" s="1" t="s">
        <v>34</v>
      </c>
      <c r="F14" s="10" t="n">
        <v>0.04</v>
      </c>
    </row>
    <row r="16" customFormat="false" ht="12.75" hidden="false" customHeight="false" outlineLevel="0" collapsed="false">
      <c r="B16" s="6" t="s">
        <v>35</v>
      </c>
      <c r="F16" s="10" t="n">
        <v>0.8</v>
      </c>
    </row>
    <row r="17" customFormat="false" ht="12.75" hidden="false" customHeight="false" outlineLevel="0" collapsed="false">
      <c r="B17" s="6" t="s">
        <v>36</v>
      </c>
      <c r="F17" s="10" t="n">
        <v>0.2</v>
      </c>
    </row>
    <row r="19" customFormat="false" ht="13.5" hidden="false" customHeight="false" outlineLevel="0" collapsed="false">
      <c r="B19" s="1" t="s">
        <v>37</v>
      </c>
      <c r="F19" s="11" t="n">
        <f aca="false">(F11*F16)+F14*F17</f>
        <v>0.208</v>
      </c>
    </row>
    <row r="20" customFormat="false" ht="13.5" hidden="false" customHeight="false" outlineLevel="0" collapsed="false"/>
    <row r="27" customFormat="false" ht="12.75" hidden="false" customHeight="false" outlineLevel="0" collapsed="false">
      <c r="D27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9.05078125" defaultRowHeight="12.75" zeroHeight="false" outlineLevelRow="0" outlineLevelCol="0"/>
  <sheetData>
    <row r="2" customFormat="false" ht="12.75" hidden="false" customHeight="false" outlineLevel="0" collapsed="false">
      <c r="B2" s="1" t="s">
        <v>38</v>
      </c>
    </row>
    <row r="5" customFormat="false" ht="12.75" hidden="false" customHeight="false" outlineLevel="0" collapsed="false">
      <c r="D5" s="1"/>
      <c r="E5" s="2" t="s">
        <v>1</v>
      </c>
      <c r="F5" s="1"/>
    </row>
    <row r="6" customFormat="false" ht="12.75" hidden="false" customHeight="false" outlineLevel="0" collapsed="false">
      <c r="D6" s="1"/>
      <c r="E6" s="2" t="s">
        <v>39</v>
      </c>
      <c r="F6" s="1"/>
    </row>
    <row r="7" customFormat="false" ht="12.75" hidden="false" customHeight="false" outlineLevel="0" collapsed="false">
      <c r="D7" s="1"/>
      <c r="E7" s="2" t="s">
        <v>40</v>
      </c>
      <c r="F7" s="1"/>
    </row>
    <row r="8" customFormat="false" ht="12.75" hidden="false" customHeight="false" outlineLevel="0" collapsed="false">
      <c r="D8" s="1"/>
      <c r="E8" s="2" t="s">
        <v>3</v>
      </c>
      <c r="F8" s="1"/>
    </row>
    <row r="10" customFormat="false" ht="12.75" hidden="false" customHeight="false" outlineLevel="0" collapsed="false">
      <c r="F10" s="3" t="n">
        <v>2009</v>
      </c>
      <c r="G10" s="3" t="n">
        <v>2010</v>
      </c>
      <c r="H10" s="3" t="n">
        <v>2011</v>
      </c>
      <c r="I10" s="3" t="n">
        <v>2012</v>
      </c>
      <c r="J10" s="3" t="n">
        <v>2013</v>
      </c>
      <c r="K10" s="3" t="s">
        <v>41</v>
      </c>
    </row>
    <row r="11" customFormat="false" ht="12.75" hidden="false" customHeight="false" outlineLevel="0" collapsed="false">
      <c r="F11" s="3"/>
      <c r="G11" s="3"/>
      <c r="H11" s="3"/>
      <c r="I11" s="3"/>
      <c r="J11" s="3"/>
      <c r="K11" s="3"/>
    </row>
    <row r="12" customFormat="false" ht="12.75" hidden="false" customHeight="false" outlineLevel="0" collapsed="false">
      <c r="B12" s="6" t="s">
        <v>19</v>
      </c>
      <c r="F12" s="6" t="n">
        <f aca="false">'Projected IS'!H33</f>
        <v>-380.106250000001</v>
      </c>
      <c r="G12" s="6" t="n">
        <f aca="false">'Projected IS'!I33</f>
        <v>459.754312499999</v>
      </c>
      <c r="H12" s="6" t="n">
        <f aca="false">'Projected IS'!J33</f>
        <v>484.127528125</v>
      </c>
      <c r="I12" s="6" t="n">
        <f aca="false">'Projected IS'!K33</f>
        <v>530.56940453125</v>
      </c>
      <c r="J12" s="6" t="n">
        <f aca="false">'Projected IS'!L33</f>
        <v>578.333374757813</v>
      </c>
      <c r="K12" s="6" t="n">
        <f aca="false">J12*1.03</f>
        <v>595.683376000547</v>
      </c>
    </row>
    <row r="13" customFormat="false" ht="12.75" hidden="false" customHeight="false" outlineLevel="0" collapsed="false">
      <c r="B13" s="6" t="s">
        <v>42</v>
      </c>
      <c r="F13" s="6" t="n">
        <f aca="false">0.2*('Projected IS'!H16-'Projected IS'!G16)</f>
        <v>370.47</v>
      </c>
      <c r="G13" s="6" t="n">
        <f aca="false">0.2*('Projected IS'!I16-'Projected IS'!H16)</f>
        <v>426.0405</v>
      </c>
      <c r="H13" s="6" t="n">
        <f aca="false">0.2*('Projected IS'!J16-'Projected IS'!I16)</f>
        <v>163.315525</v>
      </c>
      <c r="I13" s="6" t="n">
        <f aca="false">0.2*('Projected IS'!K16-'Projected IS'!J16)</f>
        <v>171.48130125</v>
      </c>
      <c r="J13" s="6" t="n">
        <f aca="false">0.2*('Projected IS'!L16-'Projected IS'!K16)</f>
        <v>180.0553663125</v>
      </c>
      <c r="K13" s="6" t="n">
        <f aca="false">J13*1.03</f>
        <v>185.457027301875</v>
      </c>
    </row>
    <row r="14" customFormat="false" ht="12.75" hidden="false" customHeight="false" outlineLevel="0" collapsed="false">
      <c r="B14" s="6" t="s">
        <v>43</v>
      </c>
      <c r="F14" s="6" t="n">
        <v>2200</v>
      </c>
      <c r="G14" s="6" t="n">
        <v>2200</v>
      </c>
      <c r="H14" s="6" t="n">
        <v>2200</v>
      </c>
      <c r="I14" s="6" t="n">
        <v>2200</v>
      </c>
      <c r="J14" s="6" t="n">
        <v>2200</v>
      </c>
      <c r="K14" s="6" t="n">
        <f aca="false">J14*1.03</f>
        <v>2266</v>
      </c>
    </row>
    <row r="15" customFormat="false" ht="12.75" hidden="false" customHeight="false" outlineLevel="0" collapsed="false">
      <c r="B15" s="6" t="s">
        <v>44</v>
      </c>
      <c r="F15" s="7" t="n">
        <f aca="false">0.7*350</f>
        <v>245</v>
      </c>
      <c r="G15" s="7" t="n">
        <f aca="false">0.7*350</f>
        <v>245</v>
      </c>
      <c r="H15" s="7" t="n">
        <f aca="false">0.7*350</f>
        <v>245</v>
      </c>
      <c r="I15" s="7" t="n">
        <f aca="false">0.7*350</f>
        <v>245</v>
      </c>
      <c r="J15" s="7" t="n">
        <f aca="false">0.7*350</f>
        <v>245</v>
      </c>
      <c r="K15" s="7" t="n">
        <f aca="false">J15*1.03</f>
        <v>252.35</v>
      </c>
    </row>
    <row r="16" customFormat="false" ht="12.75" hidden="false" customHeight="false" outlineLevel="0" collapsed="false">
      <c r="B16" s="1" t="s">
        <v>45</v>
      </c>
      <c r="F16" s="6" t="n">
        <f aca="false">F12-F13+F14-F15</f>
        <v>1204.42375</v>
      </c>
      <c r="G16" s="6" t="n">
        <f aca="false">G12-G13+G14-G15</f>
        <v>1988.7138125</v>
      </c>
      <c r="H16" s="6" t="n">
        <f aca="false">H12-H13+H14-H15</f>
        <v>2275.812003125</v>
      </c>
      <c r="I16" s="6" t="n">
        <f aca="false">I12-I13+I14-I15</f>
        <v>2314.08810328125</v>
      </c>
      <c r="J16" s="6" t="n">
        <f aca="false">J12-J13+J14-J15</f>
        <v>2353.27800844531</v>
      </c>
      <c r="K16" s="6" t="n">
        <f aca="false">K12-K13+K14-K15</f>
        <v>2423.87634869867</v>
      </c>
    </row>
    <row r="18" customFormat="false" ht="12.75" hidden="false" customHeight="false" outlineLevel="0" collapsed="false">
      <c r="H18" s="6" t="s">
        <v>46</v>
      </c>
      <c r="K18" s="6" t="n">
        <f aca="false">K16/(WACC!F19-0.03)</f>
        <v>13617.2828578577</v>
      </c>
    </row>
    <row r="20" customFormat="false" ht="12.75" hidden="false" customHeight="false" outlineLevel="0" collapsed="false">
      <c r="B20" s="1" t="s">
        <v>47</v>
      </c>
      <c r="F20" s="6" t="n">
        <f aca="false">F16/(1+WACC!$F$19)^1</f>
        <v>997.039528145695</v>
      </c>
      <c r="G20" s="6" t="n">
        <f aca="false">G16/(1+WACC!$F$19)^2</f>
        <v>1362.81975879621</v>
      </c>
      <c r="H20" s="6" t="n">
        <f aca="false">H16/(1+WACC!$F$19)^3</f>
        <v>1291.02776037286</v>
      </c>
      <c r="I20" s="6" t="n">
        <f aca="false">I16/(1+WACC!$F$19)^4</f>
        <v>1086.70621912483</v>
      </c>
      <c r="J20" s="6" t="n">
        <f aca="false">J16/(1+WACC!$F$19)^5</f>
        <v>914.826138653656</v>
      </c>
      <c r="K20" s="6" t="n">
        <f aca="false">K18/(1+WACC!$F$19)^5</f>
        <v>5293.65686973745</v>
      </c>
    </row>
    <row r="22" customFormat="false" ht="13.5" hidden="false" customHeight="false" outlineLevel="0" collapsed="false">
      <c r="B22" s="1" t="s">
        <v>48</v>
      </c>
      <c r="F22" s="12" t="n">
        <f aca="false">SUM(F20:K20)</f>
        <v>10946.0762748307</v>
      </c>
    </row>
    <row r="23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9.05078125" defaultRowHeight="12.75" zeroHeight="false" outlineLevelRow="0" outlineLevelCol="0"/>
  <sheetData>
    <row r="2" customFormat="false" ht="12.75" hidden="false" customHeight="false" outlineLevel="0" collapsed="false">
      <c r="B2" s="1" t="s">
        <v>49</v>
      </c>
    </row>
    <row r="5" customFormat="false" ht="12.75" hidden="false" customHeight="false" outlineLevel="0" collapsed="false">
      <c r="D5" s="1"/>
      <c r="E5" s="2" t="s">
        <v>1</v>
      </c>
      <c r="F5" s="2"/>
    </row>
    <row r="6" customFormat="false" ht="12.75" hidden="false" customHeight="false" outlineLevel="0" collapsed="false">
      <c r="D6" s="1"/>
      <c r="E6" s="2" t="s">
        <v>50</v>
      </c>
      <c r="F6" s="2"/>
    </row>
    <row r="7" customFormat="false" ht="12.75" hidden="false" customHeight="false" outlineLevel="0" collapsed="false">
      <c r="D7" s="1"/>
      <c r="E7" s="2" t="s">
        <v>51</v>
      </c>
      <c r="F7" s="2"/>
    </row>
    <row r="8" customFormat="false" ht="12.75" hidden="false" customHeight="false" outlineLevel="0" collapsed="false">
      <c r="E8" s="3"/>
      <c r="F8" s="3"/>
    </row>
    <row r="9" customFormat="false" ht="12.75" hidden="false" customHeight="false" outlineLevel="0" collapsed="false">
      <c r="B9" s="6" t="s">
        <v>48</v>
      </c>
      <c r="F9" s="6" t="n">
        <f aca="false">'DCF Model'!F22</f>
        <v>10946.0762748307</v>
      </c>
    </row>
    <row r="11" customFormat="false" ht="12.75" hidden="false" customHeight="false" outlineLevel="0" collapsed="false">
      <c r="B11" s="6" t="s">
        <v>52</v>
      </c>
      <c r="F11" s="6" t="n">
        <f aca="false">F9</f>
        <v>10946.0762748307</v>
      </c>
    </row>
    <row r="12" customFormat="false" ht="12.75" hidden="false" customHeight="false" outlineLevel="0" collapsed="false">
      <c r="B12" s="6" t="s">
        <v>53</v>
      </c>
      <c r="F12" s="13" t="n">
        <v>11500</v>
      </c>
    </row>
    <row r="14" customFormat="false" ht="12.75" hidden="false" customHeight="false" outlineLevel="0" collapsed="false">
      <c r="B14" s="1" t="s">
        <v>54</v>
      </c>
      <c r="F14" s="1" t="n">
        <f aca="false">F11+F12</f>
        <v>22446.0762748307</v>
      </c>
    </row>
    <row r="16" customFormat="false" ht="12.75" hidden="false" customHeight="false" outlineLevel="0" collapsed="false">
      <c r="B16" s="6" t="s">
        <v>55</v>
      </c>
      <c r="F16" s="6" t="n">
        <v>17752</v>
      </c>
    </row>
    <row r="18" customFormat="false" ht="13.5" hidden="false" customHeight="false" outlineLevel="0" collapsed="false">
      <c r="B18" s="1" t="s">
        <v>56</v>
      </c>
      <c r="F18" s="12" t="n">
        <f aca="false">F14/F16</f>
        <v>1.26442520700939</v>
      </c>
    </row>
    <row r="19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5078125" defaultRowHeight="12.75" zeroHeight="false" outlineLevelRow="0" outlineLevelCol="0"/>
  <sheetData>
    <row r="3" customFormat="false" ht="12.75" hidden="false" customHeight="false" outlineLevel="0" collapsed="false">
      <c r="B3" s="6" t="s">
        <v>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2009-03-03T04:24:59Z</dcterms:created>
  <dc:creator>Mike Evans</dc:creator>
  <dc:description/>
  <dc:language>en-US</dc:language>
  <cp:lastModifiedBy>Mike Evans</cp:lastModifiedBy>
  <dcterms:modified xsi:type="dcterms:W3CDTF">2009-03-04T02:19:15Z</dcterms:modified>
  <cp:revision>0</cp:revision>
  <dc:subject/>
  <dc:title/>
</cp:coreProperties>
</file>