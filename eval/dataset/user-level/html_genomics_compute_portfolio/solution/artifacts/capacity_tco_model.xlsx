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mmitments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Commercial" sheetId="6" state="visible" r:id="rId6"/>
    <sheet xmlns:r="http://schemas.openxmlformats.org/officeDocument/2006/relationships" name="TCO_Model" sheetId="7" state="visible" r:id="rId7"/>
    <sheet xmlns:r="http://schemas.openxmlformats.org/officeDocument/2006/relationships" name="Feasibility" sheetId="8" state="visible" r:id="rId8"/>
    <sheet xmlns:r="http://schemas.openxmlformats.org/officeDocument/2006/relationships" name="Sustainability" sheetId="9" state="visible" r:id="rId9"/>
    <sheet xmlns:r="http://schemas.openxmlformats.org/officeDocument/2006/relationships" name="Evidence_Gaps" sheetId="10" state="visible" r:id="rId10"/>
    <sheet xmlns:r="http://schemas.openxmlformats.org/officeDocument/2006/relationships" name="Existing_Capacity" sheetId="11" state="visible" r:id="rId11"/>
    <sheet xmlns:r="http://schemas.openxmlformats.org/officeDocument/2006/relationships" name="Discrepancy_Register" sheetId="12" state="visible" r:id="rId12"/>
    <sheet xmlns:r="http://schemas.openxmlformats.org/officeDocument/2006/relationships" name="Energy_Sensitiv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x&quot;"/>
    <numFmt numFmtId="166" formatCode="#,##0.0"/>
    <numFmt numFmtId="167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1"/>
    </font>
    <font>
      <b val="1"/>
    </font>
    <font>
      <b val="1"/>
      <color rgb="001F4E5F"/>
      <sz val="12"/>
    </font>
    <font>
      <b val="1"/>
      <color rgb="00FFFFFF"/>
    </font>
    <font>
      <b val="1"/>
      <color rgb="001F4E5F"/>
    </font>
  </fonts>
  <fills count="10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2E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4" fontId="0" fillId="3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4" fillId="0" borderId="0" pivotButton="0" quotePrefix="0" xfId="0"/>
    <xf numFmtId="3" fontId="0" fillId="0" borderId="1" pivotButton="0" quotePrefix="0" xfId="0"/>
    <xf numFmtId="1" fontId="0" fillId="0" borderId="1" pivotButton="0" quotePrefix="0" xfId="0"/>
    <xf numFmtId="9" fontId="0" fillId="0" borderId="1" pivotButton="0" quotePrefix="0" xfId="0"/>
    <xf numFmtId="0" fontId="0" fillId="4" borderId="1" applyAlignment="1" pivotButton="0" quotePrefix="0" xfId="0">
      <alignment vertical="top" wrapText="1"/>
    </xf>
    <xf numFmtId="3" fontId="4" fillId="0" borderId="1" pivotButton="0" quotePrefix="0" xfId="0"/>
    <xf numFmtId="0" fontId="0" fillId="4" borderId="1" pivotButton="0" quotePrefix="0" xfId="0"/>
    <xf numFmtId="16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2" fontId="0" fillId="0" borderId="1" pivotButton="0" quotePrefix="0" xfId="0"/>
    <xf numFmtId="2" fontId="0" fillId="4" borderId="1" pivotButton="0" quotePrefix="0" xfId="0"/>
    <xf numFmtId="165" fontId="0" fillId="0" borderId="1" pivotButton="0" quotePrefix="0" xfId="0"/>
    <xf numFmtId="2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6" fontId="0" fillId="0" borderId="1" pivotButton="0" quotePrefix="0" xfId="0"/>
    <xf numFmtId="0" fontId="6" fillId="2" borderId="0" applyAlignment="1" pivotButton="0" quotePrefix="0" xfId="0">
      <alignment vertical="center" wrapText="1"/>
    </xf>
    <xf numFmtId="167" fontId="0" fillId="0" borderId="0" pivotButton="0" quotePrefix="0" xfId="0"/>
    <xf numFmtId="2" fontId="0" fillId="0" borderId="0" pivotButton="0" quotePrefix="0" xfId="0"/>
    <xf numFmtId="0" fontId="4" fillId="8" borderId="0" pivotButton="0" quotePrefix="0" xfId="0"/>
    <xf numFmtId="0" fontId="7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F"/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CAPACITY &amp; TCO MODEL — Northstar Genomics Consortium compute investment decision</t>
        </is>
      </c>
    </row>
    <row r="2">
      <c r="A2" t="inlineStr">
        <is>
          <t>Companion model to genomics_compute_portfolio.html. Built 2026-08-25 from read-only evidence in /home/user/task/materials/.</t>
        </is>
      </c>
    </row>
    <row r="4">
      <c r="A4" s="2" t="inlineStr">
        <is>
          <t>HOW TO READ</t>
        </is>
      </c>
    </row>
    <row r="5">
      <c r="A5" t="inlineStr">
        <is>
          <t>• Yellow cells = ANALYST ASSUMPTIONS (not supplied in evidence; change them to run sensitivities).</t>
        </is>
      </c>
    </row>
    <row r="6">
      <c r="A6" t="inlineStr">
        <is>
          <t>• Orange cells = EVIDENCE GAPS / ANOMALIES in the supplied record (missing price, unit mismatch, upside&lt;base).</t>
        </is>
      </c>
    </row>
    <row r="7">
      <c r="A7" t="inlineStr">
        <is>
          <t>• All downstream sheets are formula-driven from Inputs, Commitments, Capacity, Maintenance, Commercial.</t>
        </is>
      </c>
    </row>
    <row r="8">
      <c r="A8" t="inlineStr">
        <is>
          <t>• No external links; every figure carries a source locator (file / sheet / row / table / clause).</t>
        </is>
      </c>
    </row>
    <row r="10">
      <c r="A10" s="2" t="inlineStr">
        <is>
          <t>SHEETS</t>
        </is>
      </c>
    </row>
    <row r="11">
      <c r="A11" t="inlineStr">
        <is>
          <t>Inputs ........... global parameters and assumptions (with source or ASSUMPTION flag)</t>
        </is>
      </c>
    </row>
    <row r="12">
      <c r="A12" t="inlineStr">
        <is>
          <t>Commitments ...... 24 demand records GXC-001..024 with growth scenarios and anomaly flags</t>
        </is>
      </c>
    </row>
    <row r="13">
      <c r="A13" t="inlineStr">
        <is>
          <t>Capacity ......... installed/contracted/conditional clusters CL-01..12, window math, net GPU-hours</t>
        </is>
      </c>
    </row>
    <row r="14">
      <c r="A14" t="inlineStr">
        <is>
          <t>Maintenance ...... windows MW-01..18 and node-hour deductions by cluster</t>
        </is>
      </c>
    </row>
    <row r="15">
      <c r="A15" t="inlineStr">
        <is>
          <t>Commercial ....... evidence register QT-01..10, vendor quote AHS-2027-04721 lines, Lambda reference prices</t>
        </is>
      </c>
    </row>
    <row r="16">
      <c r="A16" t="inlineStr">
        <is>
          <t>TCO_Model ........ 3-year TCO per portfolio (on-prem build / cloud / hybrid / defer) — all formulas</t>
        </is>
      </c>
    </row>
    <row r="17">
      <c r="A17" t="inlineStr">
        <is>
          <t>Feasibility ...... technical, commercial, schedule pass/fail tests per portfolio — formulas</t>
        </is>
      </c>
    </row>
    <row r="18">
      <c r="A18" t="inlineStr">
        <is>
          <t>Sustainability ... energy, PUE, cooling and carbon arithmetic — parameterised</t>
        </is>
      </c>
    </row>
    <row r="19">
      <c r="A19" t="inlineStr">
        <is>
          <t>Evidence_Gaps .... unresolved boundaries and decision-changing conditions</t>
        </is>
      </c>
    </row>
    <row r="21">
      <c r="A21" t="inlineStr">
        <is>
          <t>KEY RESULT (base case): see TCO_Model!D-column totals and Feasibility verdicts. The portal states the same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78" customWidth="1" min="4" max="4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Source / status</t>
        </is>
      </c>
    </row>
    <row r="2">
      <c r="A2" s="4" t="inlineStr">
        <is>
          <t>Analysis horizon</t>
        </is>
      </c>
      <c r="B2" s="5" t="n">
        <v>3</v>
      </c>
      <c r="C2" s="6" t="inlineStr">
        <is>
          <t>years</t>
        </is>
      </c>
      <c r="D2" s="7" t="inlineStr">
        <is>
          <t>ASSUMPTION — matches 3-yr premium support line, quote sheet row 16</t>
        </is>
      </c>
    </row>
    <row r="3">
      <c r="A3" s="4" t="inlineStr">
        <is>
          <t>PUE (power usage effectiveness)</t>
        </is>
      </c>
      <c r="B3" s="5" t="n">
        <v>1.4</v>
      </c>
      <c r="C3" s="6" t="inlineStr">
        <is>
          <t>ratio</t>
        </is>
      </c>
      <c r="D3" s="7" t="inlineStr">
        <is>
          <t>SUPPLIED — facility PUE 1.4 per datacenter_facility_energy_reference.md (ISO/IEC 30134-2 boundary; air-cooled enterprise HPC room)</t>
        </is>
      </c>
    </row>
    <row r="4">
      <c r="A4" s="4" t="inlineStr">
        <is>
          <t>Electricity price</t>
        </is>
      </c>
      <c r="B4" s="8" t="n">
        <v>0.1</v>
      </c>
      <c r="C4" s="6" t="inlineStr">
        <is>
          <t>USD/kWh</t>
        </is>
      </c>
      <c r="D4" s="7" t="inlineStr">
        <is>
          <t>SUPPLIED — blended tariff $0.10/kWh per datacenter_facility_energy_reference.md; sensitivity 0.06-0.18</t>
        </is>
      </c>
    </row>
    <row r="5">
      <c r="A5" s="4" t="inlineStr">
        <is>
          <t>Target utilisation of owned GPUs</t>
        </is>
      </c>
      <c r="B5" s="5" t="n">
        <v>0.65</v>
      </c>
      <c r="C5" s="6" t="inlineStr">
        <is>
          <t>fraction</t>
        </is>
      </c>
      <c r="D5" s="7" t="inlineStr">
        <is>
          <t>ASSUMPTION — DB current_infrastructure shows 85–100% on legacy; 65% is conservative for new</t>
        </is>
      </c>
    </row>
    <row r="6">
      <c r="A6" s="4" t="inlineStr">
        <is>
          <t>Carbon intensity of grid electricity</t>
        </is>
      </c>
      <c r="B6" s="5" t="n">
        <v>0.386</v>
      </c>
      <c r="C6" s="6" t="inlineStr">
        <is>
          <t>kg CO2e/kWh</t>
        </is>
      </c>
      <c r="D6" s="7" t="inlineStr">
        <is>
          <t>SUPPLIED — grid carbon 0.386 kg CO2e/kWh per datacenter_facility_energy_reference.md (regional grid average)</t>
        </is>
      </c>
    </row>
    <row r="7">
      <c r="A7" s="4" t="inlineStr">
        <is>
          <t>Commitment window start</t>
        </is>
      </c>
      <c r="B7" s="6" t="inlineStr">
        <is>
          <t>2027-06-01</t>
        </is>
      </c>
      <c r="C7" s="6" t="inlineStr">
        <is>
          <t>date</t>
        </is>
      </c>
      <c r="D7" s="9" t="inlineStr">
        <is>
          <t>Earliest availability, consortium_cluster_inventory.csv rows 2,5,8,11 (H100 MD-A)</t>
        </is>
      </c>
    </row>
    <row r="8">
      <c r="A8" s="4" t="inlineStr">
        <is>
          <t>Commitment window end</t>
        </is>
      </c>
      <c r="B8" s="6" t="inlineStr">
        <is>
          <t>2027-09-30</t>
        </is>
      </c>
      <c r="C8" s="6" t="inlineStr">
        <is>
          <t>date</t>
        </is>
      </c>
      <c r="D8" s="9" t="inlineStr">
        <is>
          <t>Latest deadline, genomics_capacity_commitments.csv (GXC-005/006/009)</t>
        </is>
      </c>
    </row>
    <row r="9">
      <c r="A9" s="4" t="inlineStr">
        <is>
          <t>Window hours</t>
        </is>
      </c>
      <c r="B9" s="6">
        <f>DATE(2027,9,30)-DATE(2027,6,1)</f>
        <v/>
      </c>
      <c r="C9" s="6" t="inlineStr">
        <is>
          <t>days</t>
        </is>
      </c>
      <c r="D9" s="9" t="inlineStr">
        <is>
          <t>computed</t>
        </is>
      </c>
    </row>
    <row r="10">
      <c r="A10" s="4" t="inlineStr">
        <is>
          <t>H100 GPUs installed (on-prem MD-A)</t>
        </is>
      </c>
      <c r="B10" s="6" t="n">
        <v>256</v>
      </c>
      <c r="C10" s="6" t="inlineStr">
        <is>
          <t>GPUs</t>
        </is>
      </c>
      <c r="D10" s="9" t="inlineStr">
        <is>
          <t>consortium_cluster_inventory.csv CL-01/04/07/10: (4+10+6+12) nodes x 8</t>
        </is>
      </c>
    </row>
    <row r="11">
      <c r="A11" s="4" t="inlineStr">
        <is>
          <t>A100 GPUs contracted (US-east MD-B)</t>
        </is>
      </c>
      <c r="B11" s="6" t="n">
        <v>240</v>
      </c>
      <c r="C11" s="6" t="inlineStr">
        <is>
          <t>GPUs</t>
        </is>
      </c>
      <c r="D11" s="9" t="inlineStr">
        <is>
          <t>consortium_cluster_inventory.csv CL-02/05/08/11: (6+12+8+4) x 8</t>
        </is>
      </c>
    </row>
    <row r="12">
      <c r="A12" s="4" t="inlineStr">
        <is>
          <t>L40S GPUs conditional (US-west MD-C)</t>
        </is>
      </c>
      <c r="B12" s="6" t="n">
        <v>224</v>
      </c>
      <c r="C12" s="6" t="inlineStr">
        <is>
          <t>GPUs</t>
        </is>
      </c>
      <c r="D12" s="9" t="inlineStr">
        <is>
          <t>consortium_cluster_inventory.csv CL-03/06/09/12: (8+4+10+6) x 8 — evidence_status=conditional</t>
        </is>
      </c>
    </row>
    <row r="13">
      <c r="A13" s="4" t="inlineStr">
        <is>
          <t>New build: H100 GPUs</t>
        </is>
      </c>
      <c r="B13" s="6" t="n">
        <v>64</v>
      </c>
      <c r="C13" s="6" t="inlineStr">
        <is>
          <t>GPUs</t>
        </is>
      </c>
      <c r="D13" s="9" t="inlineStr">
        <is>
          <t>vendor quote Quote Summary row 5: 4x DGX H100 x8</t>
        </is>
      </c>
    </row>
    <row r="14">
      <c r="A14" s="4" t="inlineStr">
        <is>
          <t>New build: A100 GPUs</t>
        </is>
      </c>
      <c r="B14" s="6" t="n">
        <v>32</v>
      </c>
      <c r="C14" s="6" t="inlineStr">
        <is>
          <t>GPUs</t>
        </is>
      </c>
      <c r="D14" s="9" t="inlineStr">
        <is>
          <t>vendor quote Quote Summary row 6: 8x R760xa x4</t>
        </is>
      </c>
    </row>
    <row r="15">
      <c r="A15" s="4" t="inlineStr">
        <is>
          <t>New build IT electrical load</t>
        </is>
      </c>
      <c r="B15" s="6" t="n">
        <v>114.2</v>
      </c>
      <c r="C15" s="6" t="inlineStr">
        <is>
          <t>kW</t>
        </is>
      </c>
      <c r="D15" s="9" t="inlineStr">
        <is>
          <t>vendor quote Technical Specifications last row (UPS incl., cooling excl.)</t>
        </is>
      </c>
    </row>
    <row r="16">
      <c r="A16" s="4" t="inlineStr">
        <is>
          <t>Facility electrical upgrade</t>
        </is>
      </c>
      <c r="B16" s="6" t="n">
        <v>200</v>
      </c>
      <c r="C16" s="6" t="inlineStr">
        <is>
          <t>kW</t>
        </is>
      </c>
      <c r="D16" s="9" t="inlineStr">
        <is>
          <t>genomics_project_schedule_wbs.csv GX-010</t>
        </is>
      </c>
    </row>
    <row r="17">
      <c r="A17" s="4" t="inlineStr">
        <is>
          <t>Vendor quote grand total</t>
        </is>
      </c>
      <c r="B17" s="10" t="n">
        <v>3204169.21</v>
      </c>
      <c r="C17" s="6" t="inlineStr">
        <is>
          <t>USD</t>
        </is>
      </c>
      <c r="D17" s="9" t="inlineStr">
        <is>
          <t>vendor quote Quote Summary row 19 (valid until 2027-06-30)</t>
        </is>
      </c>
    </row>
    <row r="18">
      <c r="A18" s="4" t="inlineStr">
        <is>
          <t>Site-prep estimated cost (WBS)</t>
        </is>
      </c>
      <c r="B18" s="10" t="n">
        <v>383382</v>
      </c>
      <c r="C18" s="6" t="inlineStr">
        <is>
          <t>USD</t>
        </is>
      </c>
      <c r="D18" s="9" t="inlineStr">
        <is>
          <t>genomics_project_schedule_wbs.csv GX-003..GX-016, Estimated_Cost sum</t>
        </is>
      </c>
    </row>
    <row r="19">
      <c r="A19" s="4" t="inlineStr">
        <is>
          <t>New-build operational handoff</t>
        </is>
      </c>
      <c r="B19" s="6" t="inlineStr">
        <is>
          <t>2027-11-07</t>
        </is>
      </c>
      <c r="C19" s="6" t="inlineStr">
        <is>
          <t>date</t>
        </is>
      </c>
      <c r="D19" s="9" t="inlineStr">
        <is>
          <t>genomics_project_schedule_wbs.csv GX-044/GX-045 end</t>
        </is>
      </c>
    </row>
    <row r="20">
      <c r="A20" s="4" t="inlineStr">
        <is>
          <t>Lambda ref: H100 on-demand 8x</t>
        </is>
      </c>
      <c r="B20" s="10" t="n">
        <v>3.99</v>
      </c>
      <c r="C20" s="6" t="inlineStr">
        <is>
          <t>USD/GPU-hr</t>
        </is>
      </c>
      <c r="D20" s="9" t="inlineStr">
        <is>
          <t>lambda-gpu-cloud-pricing.html, Instances pricing 8x table</t>
        </is>
      </c>
    </row>
    <row r="21">
      <c r="A21" s="4" t="inlineStr">
        <is>
          <t>Lambda ref: H100 1-Click 64-GPU</t>
        </is>
      </c>
      <c r="B21" s="10" t="n">
        <v>5.85</v>
      </c>
      <c r="C21" s="6" t="inlineStr">
        <is>
          <t>USD/GPU-hr</t>
        </is>
      </c>
      <c r="D21" s="9" t="inlineStr">
        <is>
          <t>lambda-gpu-cloud-pricing.html, 1-Click Clusters H100 table</t>
        </is>
      </c>
    </row>
    <row r="22">
      <c r="A22" s="4" t="inlineStr">
        <is>
          <t>Lambda ref: A100 SXM 80GB on-demand 8x</t>
        </is>
      </c>
      <c r="B22" s="10" t="n">
        <v>2.79</v>
      </c>
      <c r="C22" s="6" t="inlineStr">
        <is>
          <t>USD/GPU-hr</t>
        </is>
      </c>
      <c r="D22" s="9" t="inlineStr">
        <is>
          <t>lambda-gpu-cloud-pricing.html, Instances pricing 8x table</t>
        </is>
      </c>
    </row>
    <row r="24">
      <c r="A24" s="11" t="inlineStr">
        <is>
          <t>Window hours in hours (cell used by other sheets):</t>
        </is>
      </c>
      <c r="B24" s="12">
        <f>B9*24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0" customWidth="1" min="8" max="8"/>
    <col width="14" customWidth="1" min="9" max="9"/>
    <col width="26" customWidth="1" min="10" max="10"/>
    <col width="34" customWidth="1" min="11" max="11"/>
    <col width="10" customWidth="1" min="12" max="12"/>
    <col width="14" customWidth="1" min="13" max="13"/>
    <col width="16" customWidth="1" min="14" max="14"/>
    <col width="9" customWidth="1" min="15" max="15"/>
    <col width="34" customWidth="1" min="16" max="16"/>
  </cols>
  <sheetData>
    <row r="1">
      <c r="A1" s="3" t="inlineStr">
        <is>
          <t>commitment_id</t>
        </is>
      </c>
      <c r="B1" s="3" t="inlineStr">
        <is>
          <t>workload</t>
        </is>
      </c>
      <c r="C1" s="3" t="inlineStr">
        <is>
          <t>earliest_start</t>
        </is>
      </c>
      <c r="D1" s="3" t="inlineStr">
        <is>
          <t>deadline</t>
        </is>
      </c>
      <c r="E1" s="3" t="inlineStr">
        <is>
          <t>min_concurrency_gpus</t>
        </is>
      </c>
      <c r="F1" s="3" t="inlineStr">
        <is>
          <t>base_gpu_hours</t>
        </is>
      </c>
      <c r="G1" s="3" t="inlineStr">
        <is>
          <t>upside_gpu_hours</t>
        </is>
      </c>
      <c r="H1" s="3" t="inlineStr">
        <is>
          <t>growth_max</t>
        </is>
      </c>
      <c r="I1" s="3" t="inlineStr">
        <is>
          <t>base_at_max_growth</t>
        </is>
      </c>
      <c r="J1" s="3" t="inlineStr">
        <is>
          <t>anomaly_flag</t>
        </is>
      </c>
      <c r="K1" s="3" t="inlineStr">
        <is>
          <t>availability_window</t>
        </is>
      </c>
      <c r="L1" s="3" t="inlineStr">
        <is>
          <t>preemption</t>
        </is>
      </c>
      <c r="M1" s="3" t="inlineStr">
        <is>
          <t>isolation</t>
        </is>
      </c>
      <c r="N1" s="3" t="inlineStr">
        <is>
          <t>data_residency</t>
        </is>
      </c>
      <c r="O1" s="3" t="inlineStr">
        <is>
          <t>priority</t>
        </is>
      </c>
      <c r="P1" s="3" t="inlineStr">
        <is>
          <t>source</t>
        </is>
      </c>
    </row>
    <row r="2">
      <c r="A2" s="6" t="inlineStr">
        <is>
          <t>GXC-001</t>
        </is>
      </c>
      <c r="B2" s="6" t="inlineStr">
        <is>
          <t>whole-genome joint calling</t>
        </is>
      </c>
      <c r="C2" s="6" t="inlineStr">
        <is>
          <t>2027-06-15</t>
        </is>
      </c>
      <c r="D2" s="6" t="inlineStr">
        <is>
          <t>2027-08-15</t>
        </is>
      </c>
      <c r="E2" s="13" t="n">
        <v>64</v>
      </c>
      <c r="F2" s="12" t="n">
        <v>43008</v>
      </c>
      <c r="G2" s="12" t="n">
        <v>53760</v>
      </c>
      <c r="H2" s="14" t="n">
        <v>0.2</v>
      </c>
      <c r="I2" s="12">
        <f>F2*(1+H2)</f>
        <v/>
      </c>
      <c r="J2" s="9" t="inlineStr"/>
      <c r="K2" s="9" t="inlineStr">
        <is>
          <t>2027-06-15/2027-07-20: continuous</t>
        </is>
      </c>
      <c r="L2" s="6" t="inlineStr">
        <is>
          <t>low</t>
        </is>
      </c>
      <c r="M2" s="6" t="inlineStr">
        <is>
          <t>exclusive</t>
        </is>
      </c>
      <c r="N2" s="6" t="inlineStr">
        <is>
          <t>controlled-onprem</t>
        </is>
      </c>
      <c r="O2" s="6" t="inlineStr">
        <is>
          <t>critical</t>
        </is>
      </c>
      <c r="P2" s="9" t="inlineStr">
        <is>
          <t>genomics_capacity_commitments.csv row 2</t>
        </is>
      </c>
    </row>
    <row r="3">
      <c r="A3" s="6" t="inlineStr">
        <is>
          <t>GXC-002</t>
        </is>
      </c>
      <c r="B3" s="6" t="inlineStr">
        <is>
          <t>protein foundation-model training</t>
        </is>
      </c>
      <c r="C3" s="6" t="inlineStr">
        <is>
          <t>2027-06-01</t>
        </is>
      </c>
      <c r="D3" s="6" t="inlineStr">
        <is>
          <t>2027-09-01</t>
        </is>
      </c>
      <c r="E3" s="13" t="n">
        <v>32</v>
      </c>
      <c r="F3" s="12" t="n">
        <v>21504</v>
      </c>
      <c r="G3" s="12" t="n">
        <v>26880</v>
      </c>
      <c r="H3" s="14" t="n">
        <v>0.25</v>
      </c>
      <c r="I3" s="12">
        <f>F3*(1+H3)</f>
        <v/>
      </c>
      <c r="J3" s="9" t="inlineStr"/>
      <c r="K3" s="9" t="inlineStr">
        <is>
          <t>Tuesdays and Thursdays 00:00-24:00 UTC</t>
        </is>
      </c>
      <c r="L3" s="6" t="inlineStr">
        <is>
          <t>medium</t>
        </is>
      </c>
      <c r="M3" s="6" t="inlineStr">
        <is>
          <t>shareable outside reserved interval</t>
        </is>
      </c>
      <c r="N3" s="6" t="inlineStr">
        <is>
          <t>dedicated US region</t>
        </is>
      </c>
      <c r="O3" s="6" t="inlineStr">
        <is>
          <t>high</t>
        </is>
      </c>
      <c r="P3" s="9" t="inlineStr">
        <is>
          <t>genomics_capacity_commitments.csv row 3</t>
        </is>
      </c>
    </row>
    <row r="4">
      <c r="A4" s="6" t="inlineStr">
        <is>
          <t>GXC-003</t>
        </is>
      </c>
      <c r="B4" s="6" t="inlineStr">
        <is>
          <t>single-cell atlas embedding</t>
        </is>
      </c>
      <c r="C4" s="6" t="inlineStr">
        <is>
          <t>2027-07-01</t>
        </is>
      </c>
      <c r="D4" s="6" t="inlineStr">
        <is>
          <t>2027-09-15</t>
        </is>
      </c>
      <c r="E4" s="13" t="n">
        <v>16</v>
      </c>
      <c r="F4" s="12" t="n">
        <v>10752</v>
      </c>
      <c r="G4" s="12" t="n">
        <v>16128</v>
      </c>
      <c r="H4" s="14" t="n">
        <v>0.3</v>
      </c>
      <c r="I4" s="12">
        <f>F4*(1+H4)</f>
        <v/>
      </c>
      <c r="J4" s="9" t="inlineStr"/>
      <c r="K4" s="9" t="inlineStr">
        <is>
          <t>daily 00:00-08:00 UTC</t>
        </is>
      </c>
      <c r="L4" s="6" t="inlineStr">
        <is>
          <t>high</t>
        </is>
      </c>
      <c r="M4" s="6" t="inlineStr">
        <is>
          <t>shareable outside reserved interval</t>
        </is>
      </c>
      <c r="N4" s="6" t="inlineStr">
        <is>
          <t>open research</t>
        </is>
      </c>
      <c r="O4" s="6" t="inlineStr">
        <is>
          <t>medium</t>
        </is>
      </c>
      <c r="P4" s="9" t="inlineStr">
        <is>
          <t>genomics_capacity_commitments.csv row 4</t>
        </is>
      </c>
    </row>
    <row r="5">
      <c r="A5" s="6" t="inlineStr">
        <is>
          <t>GXC-004</t>
        </is>
      </c>
      <c r="B5" s="6" t="inlineStr">
        <is>
          <t>spatial transcriptomics segmentation</t>
        </is>
      </c>
      <c r="C5" s="6" t="inlineStr">
        <is>
          <t>2027-07-10</t>
        </is>
      </c>
      <c r="D5" s="6" t="inlineStr">
        <is>
          <t>2027-08-31</t>
        </is>
      </c>
      <c r="E5" s="13" t="n">
        <v>32</v>
      </c>
      <c r="F5" s="12" t="n">
        <v>21504</v>
      </c>
      <c r="G5" s="12" t="n">
        <v>32256</v>
      </c>
      <c r="H5" s="14" t="n">
        <v>0.5</v>
      </c>
      <c r="I5" s="12">
        <f>F5*(1+H5)</f>
        <v/>
      </c>
      <c r="J5" s="9" t="inlineStr"/>
      <c r="K5" s="9" t="inlineStr">
        <is>
          <t>two non-overlapping 7-day continuous windows; dates pending</t>
        </is>
      </c>
      <c r="L5" s="6" t="inlineStr">
        <is>
          <t>low</t>
        </is>
      </c>
      <c r="M5" s="6" t="inlineStr">
        <is>
          <t>exclusive</t>
        </is>
      </c>
      <c r="N5" s="6" t="inlineStr">
        <is>
          <t>controlled-onprem</t>
        </is>
      </c>
      <c r="O5" s="6" t="inlineStr">
        <is>
          <t>critical</t>
        </is>
      </c>
      <c r="P5" s="9" t="inlineStr">
        <is>
          <t>genomics_capacity_commitments.csv row 5</t>
        </is>
      </c>
    </row>
    <row r="6">
      <c r="A6" s="6" t="inlineStr">
        <is>
          <t>GXC-005</t>
        </is>
      </c>
      <c r="B6" s="6" t="inlineStr">
        <is>
          <t>controlled clinical NLP fine-tuning</t>
        </is>
      </c>
      <c r="C6" s="6" t="inlineStr">
        <is>
          <t>2027-06-01</t>
        </is>
      </c>
      <c r="D6" s="6" t="inlineStr">
        <is>
          <t>2027-09-30</t>
        </is>
      </c>
      <c r="E6" s="13" t="n">
        <v>8</v>
      </c>
      <c r="F6" s="12" t="n">
        <v>5376</v>
      </c>
      <c r="G6" s="12" t="n">
        <v>10752</v>
      </c>
      <c r="H6" s="14" t="n">
        <v>1</v>
      </c>
      <c r="I6" s="12">
        <f>F6*(1+H6)</f>
        <v/>
      </c>
      <c r="J6" s="9" t="inlineStr"/>
      <c r="K6" s="9" t="inlineStr">
        <is>
          <t>reserve base/upside nodes continuously</t>
        </is>
      </c>
      <c r="L6" s="6" t="inlineStr">
        <is>
          <t>high</t>
        </is>
      </c>
      <c r="M6" s="6" t="inlineStr">
        <is>
          <t>shareable outside reserved interval</t>
        </is>
      </c>
      <c r="N6" s="6" t="inlineStr">
        <is>
          <t>dedicated US region</t>
        </is>
      </c>
      <c r="O6" s="6" t="inlineStr">
        <is>
          <t>high</t>
        </is>
      </c>
      <c r="P6" s="9" t="inlineStr">
        <is>
          <t>genomics_capacity_commitments.csv row 6</t>
        </is>
      </c>
    </row>
    <row r="7">
      <c r="A7" s="6" t="inlineStr">
        <is>
          <t>GXC-006</t>
        </is>
      </c>
      <c r="B7" s="6" t="inlineStr">
        <is>
          <t>metagenomics assembly</t>
        </is>
      </c>
      <c r="C7" s="6" t="inlineStr">
        <is>
          <t>2027-06-01</t>
        </is>
      </c>
      <c r="D7" s="6" t="inlineStr">
        <is>
          <t>2027-09-30</t>
        </is>
      </c>
      <c r="E7" s="13" t="n">
        <v>1</v>
      </c>
      <c r="F7" s="12" t="n">
        <v>5376</v>
      </c>
      <c r="G7" s="12" t="n">
        <v>5376</v>
      </c>
      <c r="H7" s="14" t="n">
        <v>0</v>
      </c>
      <c r="I7" s="12">
        <f>F7*(1+H7)</f>
        <v/>
      </c>
      <c r="J7" s="9" t="inlineStr"/>
      <c r="K7" s="9" t="inlineStr">
        <is>
          <t>one node in each installed maintenance domain unavailable</t>
        </is>
      </c>
      <c r="L7" s="6" t="inlineStr">
        <is>
          <t>none</t>
        </is>
      </c>
      <c r="M7" s="6" t="inlineStr">
        <is>
          <t>shareable outside reserved interval</t>
        </is>
      </c>
      <c r="N7" s="6" t="inlineStr">
        <is>
          <t>open research</t>
        </is>
      </c>
      <c r="O7" s="6" t="inlineStr">
        <is>
          <t>medium</t>
        </is>
      </c>
      <c r="P7" s="9" t="inlineStr">
        <is>
          <t>genomics_capacity_commitments.csv row 7</t>
        </is>
      </c>
    </row>
    <row r="8">
      <c r="A8" s="6" t="inlineStr">
        <is>
          <t>GXC-007</t>
        </is>
      </c>
      <c r="B8" s="6" t="inlineStr">
        <is>
          <t>variant imputation</t>
        </is>
      </c>
      <c r="C8" s="6" t="inlineStr">
        <is>
          <t>2027-07-20</t>
        </is>
      </c>
      <c r="D8" s="6" t="inlineStr">
        <is>
          <t>2027-08-20</t>
        </is>
      </c>
      <c r="E8" s="13" t="n">
        <v>48</v>
      </c>
      <c r="F8" s="12" t="n">
        <v>32256</v>
      </c>
      <c r="G8" s="12" t="n">
        <v>43008</v>
      </c>
      <c r="H8" s="14" t="n">
        <v>0.33</v>
      </c>
      <c r="I8" s="12">
        <f>F8*(1+H8)</f>
        <v/>
      </c>
      <c r="J8" s="9" t="inlineStr"/>
      <c r="K8" s="9" t="inlineStr">
        <is>
          <t>2027-07-20/2027-08-05: continuous</t>
        </is>
      </c>
      <c r="L8" s="6" t="inlineStr">
        <is>
          <t>low</t>
        </is>
      </c>
      <c r="M8" s="6" t="inlineStr">
        <is>
          <t>exclusive</t>
        </is>
      </c>
      <c r="N8" s="6" t="inlineStr">
        <is>
          <t>controlled-onprem</t>
        </is>
      </c>
      <c r="O8" s="6" t="inlineStr">
        <is>
          <t>critical</t>
        </is>
      </c>
      <c r="P8" s="9" t="inlineStr">
        <is>
          <t>genomics_capacity_commitments.csv row 8</t>
        </is>
      </c>
    </row>
    <row r="9">
      <c r="A9" s="6" t="inlineStr">
        <is>
          <t>GXC-008</t>
        </is>
      </c>
      <c r="B9" s="6" t="inlineStr">
        <is>
          <t>proteomics search</t>
        </is>
      </c>
      <c r="C9" s="6" t="inlineStr">
        <is>
          <t>2027-08-01</t>
        </is>
      </c>
      <c r="D9" s="6" t="inlineStr">
        <is>
          <t>2027-09-10</t>
        </is>
      </c>
      <c r="E9" s="13" t="n">
        <v>24</v>
      </c>
      <c r="F9" s="12" t="n">
        <v>16128</v>
      </c>
      <c r="G9" s="12" t="n">
        <v>21504</v>
      </c>
      <c r="H9" s="14" t="n">
        <v>0.33</v>
      </c>
      <c r="I9" s="12">
        <f>F9*(1+H9)</f>
        <v/>
      </c>
      <c r="J9" s="9" t="inlineStr"/>
      <c r="K9" s="9" t="inlineStr">
        <is>
          <t>Mondays/Wednesdays/Fridays 08:00-20:00 UTC</t>
        </is>
      </c>
      <c r="L9" s="6" t="inlineStr">
        <is>
          <t>medium</t>
        </is>
      </c>
      <c r="M9" s="6" t="inlineStr">
        <is>
          <t>shareable outside reserved interval</t>
        </is>
      </c>
      <c r="N9" s="6" t="inlineStr">
        <is>
          <t>dedicated US region</t>
        </is>
      </c>
      <c r="O9" s="6" t="inlineStr">
        <is>
          <t>high</t>
        </is>
      </c>
      <c r="P9" s="9" t="inlineStr">
        <is>
          <t>genomics_capacity_commitments.csv row 9</t>
        </is>
      </c>
    </row>
    <row r="10">
      <c r="A10" s="6" t="inlineStr">
        <is>
          <t>GXC-009</t>
        </is>
      </c>
      <c r="B10" s="6" t="inlineStr">
        <is>
          <t>federated cohort harmonization</t>
        </is>
      </c>
      <c r="C10" s="6" t="inlineStr">
        <is>
          <t>2027-06-01</t>
        </is>
      </c>
      <c r="D10" s="6" t="inlineStr">
        <is>
          <t>2027-09-30</t>
        </is>
      </c>
      <c r="E10" s="13" t="n">
        <v>16</v>
      </c>
      <c r="F10" s="12" t="n">
        <v>10752</v>
      </c>
      <c r="G10" s="12" t="n">
        <v>10752</v>
      </c>
      <c r="H10" s="14" t="n">
        <v>0</v>
      </c>
      <c r="I10" s="12">
        <f>F10*(1+H10)</f>
        <v/>
      </c>
      <c r="J10" s="9" t="inlineStr"/>
      <c r="K10" s="9" t="inlineStr">
        <is>
          <t>continuous reserve; released only by executive approval</t>
        </is>
      </c>
      <c r="L10" s="6" t="inlineStr">
        <is>
          <t>none</t>
        </is>
      </c>
      <c r="M10" s="6" t="inlineStr">
        <is>
          <t>shareable outside reserved interval</t>
        </is>
      </c>
      <c r="N10" s="6" t="inlineStr">
        <is>
          <t>open research</t>
        </is>
      </c>
      <c r="O10" s="6" t="inlineStr">
        <is>
          <t>medium</t>
        </is>
      </c>
      <c r="P10" s="9" t="inlineStr">
        <is>
          <t>genomics_capacity_commitments.csv row 10</t>
        </is>
      </c>
    </row>
    <row r="11">
      <c r="A11" s="6" t="inlineStr">
        <is>
          <t>GXC-010</t>
        </is>
      </c>
      <c r="B11" s="6" t="inlineStr">
        <is>
          <t>microscopy foundation model</t>
        </is>
      </c>
      <c r="C11" s="6" t="inlineStr">
        <is>
          <t>2027-07-11</t>
        </is>
      </c>
      <c r="D11" s="6" t="inlineStr">
        <is>
          <t>2027-08-18</t>
        </is>
      </c>
      <c r="E11" s="13" t="n">
        <v>24</v>
      </c>
      <c r="F11" s="12" t="n">
        <v>21504</v>
      </c>
      <c r="G11" s="12" t="n">
        <v>16128</v>
      </c>
      <c r="H11" s="14" t="n">
        <v>0.35</v>
      </c>
      <c r="I11" s="12">
        <f>F11*(1+H11)</f>
        <v/>
      </c>
      <c r="J11" s="15" t="inlineStr">
        <is>
          <t>UPSIDE &lt; BASE — inconsistent record</t>
        </is>
      </c>
      <c r="K11" s="9" t="inlineStr">
        <is>
          <t>two 72-hour windows</t>
        </is>
      </c>
      <c r="L11" s="6" t="inlineStr">
        <is>
          <t>medium</t>
        </is>
      </c>
      <c r="M11" s="6" t="inlineStr">
        <is>
          <t>shareable outside reserved interval</t>
        </is>
      </c>
      <c r="N11" s="6" t="inlineStr">
        <is>
          <t>controlled-onprem</t>
        </is>
      </c>
      <c r="O11" s="6" t="inlineStr">
        <is>
          <t>critical</t>
        </is>
      </c>
      <c r="P11" s="9" t="inlineStr">
        <is>
          <t>genomics_capacity_commitments.csv row 11</t>
        </is>
      </c>
    </row>
    <row r="12">
      <c r="A12" s="6" t="inlineStr">
        <is>
          <t>GXC-011</t>
        </is>
      </c>
      <c r="B12" s="6" t="inlineStr">
        <is>
          <t>long-read basecalling</t>
        </is>
      </c>
      <c r="C12" s="6" t="inlineStr">
        <is>
          <t>2027-08-12</t>
        </is>
      </c>
      <c r="D12" s="6" t="inlineStr">
        <is>
          <t>2027-09-19</t>
        </is>
      </c>
      <c r="E12" s="13" t="n">
        <v>32</v>
      </c>
      <c r="F12" s="12" t="n">
        <v>26880</v>
      </c>
      <c r="G12" s="12" t="n">
        <v>21504</v>
      </c>
      <c r="H12" s="14" t="n">
        <v>0.5</v>
      </c>
      <c r="I12" s="12">
        <f>F12*(1+H12)</f>
        <v/>
      </c>
      <c r="J12" s="15" t="inlineStr">
        <is>
          <t>UPSIDE &lt; BASE — inconsistent record</t>
        </is>
      </c>
      <c r="K12" s="9" t="inlineStr">
        <is>
          <t>weekends</t>
        </is>
      </c>
      <c r="L12" s="6" t="inlineStr">
        <is>
          <t>high</t>
        </is>
      </c>
      <c r="M12" s="6" t="inlineStr">
        <is>
          <t>shareable outside reserved interval</t>
        </is>
      </c>
      <c r="N12" s="6" t="inlineStr">
        <is>
          <t>dedicated US region</t>
        </is>
      </c>
      <c r="O12" s="6" t="inlineStr">
        <is>
          <t>high</t>
        </is>
      </c>
      <c r="P12" s="9" t="inlineStr">
        <is>
          <t>genomics_capacity_commitments.csv row 12</t>
        </is>
      </c>
    </row>
    <row r="13">
      <c r="A13" s="6" t="inlineStr">
        <is>
          <t>GXC-012</t>
        </is>
      </c>
      <c r="B13" s="6" t="inlineStr">
        <is>
          <t>rare-disease reanalysis</t>
        </is>
      </c>
      <c r="C13" s="6" t="inlineStr">
        <is>
          <t>2027-06-13</t>
        </is>
      </c>
      <c r="D13" s="6" t="inlineStr">
        <is>
          <t>2027-08-20</t>
        </is>
      </c>
      <c r="E13" s="13" t="n">
        <v>40</v>
      </c>
      <c r="F13" s="12" t="n">
        <v>32256</v>
      </c>
      <c r="G13" s="12" t="n">
        <v>26880</v>
      </c>
      <c r="H13" s="14" t="n">
        <v>0.2</v>
      </c>
      <c r="I13" s="12">
        <f>F13*(1+H13)</f>
        <v/>
      </c>
      <c r="J13" s="15" t="inlineStr">
        <is>
          <t>UPSIDE &lt; BASE — inconsistent record</t>
        </is>
      </c>
      <c r="K13" s="9" t="inlineStr">
        <is>
          <t>continuous</t>
        </is>
      </c>
      <c r="L13" s="6" t="inlineStr">
        <is>
          <t>none</t>
        </is>
      </c>
      <c r="M13" s="6" t="inlineStr">
        <is>
          <t>exclusive</t>
        </is>
      </c>
      <c r="N13" s="6" t="inlineStr">
        <is>
          <t>open research</t>
        </is>
      </c>
      <c r="O13" s="6" t="inlineStr">
        <is>
          <t>medium</t>
        </is>
      </c>
      <c r="P13" s="9" t="inlineStr">
        <is>
          <t>genomics_capacity_commitments.csv row 13</t>
        </is>
      </c>
    </row>
    <row r="14">
      <c r="A14" s="6" t="inlineStr">
        <is>
          <t>GXC-013</t>
        </is>
      </c>
      <c r="B14" s="6" t="inlineStr">
        <is>
          <t>whole-genome joint calling</t>
        </is>
      </c>
      <c r="C14" s="6" t="inlineStr">
        <is>
          <t>2027-07-14</t>
        </is>
      </c>
      <c r="D14" s="6" t="inlineStr">
        <is>
          <t>2027-09-21</t>
        </is>
      </c>
      <c r="E14" s="13" t="n">
        <v>48</v>
      </c>
      <c r="F14" s="12" t="n">
        <v>37632</v>
      </c>
      <c r="G14" s="12" t="n">
        <v>32256</v>
      </c>
      <c r="H14" s="14" t="n">
        <v>0.35</v>
      </c>
      <c r="I14" s="12">
        <f>F14*(1+H14)</f>
        <v/>
      </c>
      <c r="J14" s="15" t="inlineStr">
        <is>
          <t>UPSIDE &lt; BASE — inconsistent record</t>
        </is>
      </c>
      <c r="K14" s="9" t="inlineStr">
        <is>
          <t>weekdays 08:00-20:00 UTC</t>
        </is>
      </c>
      <c r="L14" s="6" t="inlineStr">
        <is>
          <t>low</t>
        </is>
      </c>
      <c r="M14" s="6" t="inlineStr">
        <is>
          <t>shareable outside reserved interval</t>
        </is>
      </c>
      <c r="N14" s="6" t="inlineStr">
        <is>
          <t>controlled-onprem</t>
        </is>
      </c>
      <c r="O14" s="6" t="inlineStr">
        <is>
          <t>critical</t>
        </is>
      </c>
      <c r="P14" s="9" t="inlineStr">
        <is>
          <t>genomics_capacity_commitments.csv row 14</t>
        </is>
      </c>
    </row>
    <row r="15">
      <c r="A15" s="6" t="inlineStr">
        <is>
          <t>GXC-014</t>
        </is>
      </c>
      <c r="B15" s="6" t="inlineStr">
        <is>
          <t>protein foundation-model training</t>
        </is>
      </c>
      <c r="C15" s="6" t="inlineStr">
        <is>
          <t>2027-08-15</t>
        </is>
      </c>
      <c r="D15" s="6" t="inlineStr">
        <is>
          <t>2027-08-22</t>
        </is>
      </c>
      <c r="E15" s="13" t="n">
        <v>56</v>
      </c>
      <c r="F15" s="12" t="n">
        <v>5376</v>
      </c>
      <c r="G15" s="12" t="n">
        <v>37632</v>
      </c>
      <c r="H15" s="14" t="n">
        <v>0.5</v>
      </c>
      <c r="I15" s="12">
        <f>F15*(1+H15)</f>
        <v/>
      </c>
      <c r="J15" s="9" t="inlineStr"/>
      <c r="K15" s="9" t="inlineStr">
        <is>
          <t>two 72-hour windows</t>
        </is>
      </c>
      <c r="L15" s="6" t="inlineStr">
        <is>
          <t>medium</t>
        </is>
      </c>
      <c r="M15" s="6" t="inlineStr">
        <is>
          <t>shareable outside reserved interval</t>
        </is>
      </c>
      <c r="N15" s="6" t="inlineStr">
        <is>
          <t>dedicated US region</t>
        </is>
      </c>
      <c r="O15" s="6" t="inlineStr">
        <is>
          <t>high</t>
        </is>
      </c>
      <c r="P15" s="9" t="inlineStr">
        <is>
          <t>genomics_capacity_commitments.csv row 15</t>
        </is>
      </c>
    </row>
    <row r="16">
      <c r="A16" s="6" t="inlineStr">
        <is>
          <t>GXC-015</t>
        </is>
      </c>
      <c r="B16" s="6" t="inlineStr">
        <is>
          <t>single-cell atlas embedding</t>
        </is>
      </c>
      <c r="C16" s="6" t="inlineStr">
        <is>
          <t>2027-06-16</t>
        </is>
      </c>
      <c r="D16" s="6" t="inlineStr">
        <is>
          <t>2027-09-23</t>
        </is>
      </c>
      <c r="E16" s="13" t="n">
        <v>64</v>
      </c>
      <c r="F16" s="12" t="n">
        <v>10752</v>
      </c>
      <c r="G16" s="12" t="n">
        <v>43008</v>
      </c>
      <c r="H16" s="14" t="n">
        <v>0.2</v>
      </c>
      <c r="I16" s="12">
        <f>F16*(1+H16)</f>
        <v/>
      </c>
      <c r="J16" s="9" t="inlineStr"/>
      <c r="K16" s="9" t="inlineStr">
        <is>
          <t>weekends</t>
        </is>
      </c>
      <c r="L16" s="6" t="inlineStr">
        <is>
          <t>high</t>
        </is>
      </c>
      <c r="M16" s="6" t="inlineStr">
        <is>
          <t>exclusive</t>
        </is>
      </c>
      <c r="N16" s="6" t="inlineStr">
        <is>
          <t>open research</t>
        </is>
      </c>
      <c r="O16" s="6" t="inlineStr">
        <is>
          <t>medium</t>
        </is>
      </c>
      <c r="P16" s="9" t="inlineStr">
        <is>
          <t>genomics_capacity_commitments.csv row 16</t>
        </is>
      </c>
    </row>
    <row r="17">
      <c r="A17" s="6" t="inlineStr">
        <is>
          <t>GXC-016</t>
        </is>
      </c>
      <c r="B17" s="6" t="inlineStr">
        <is>
          <t>spatial transcriptomics segmentation</t>
        </is>
      </c>
      <c r="C17" s="6" t="inlineStr">
        <is>
          <t>2027-07-17</t>
        </is>
      </c>
      <c r="D17" s="6" t="inlineStr">
        <is>
          <t>2027-08-24</t>
        </is>
      </c>
      <c r="E17" s="13" t="n">
        <v>8</v>
      </c>
      <c r="F17" s="12" t="n">
        <v>16128</v>
      </c>
      <c r="G17" s="12" t="n">
        <v>48384</v>
      </c>
      <c r="H17" s="14" t="n">
        <v>0.35</v>
      </c>
      <c r="I17" s="12">
        <f>F17*(1+H17)</f>
        <v/>
      </c>
      <c r="J17" s="9" t="inlineStr"/>
      <c r="K17" s="9" t="inlineStr">
        <is>
          <t>continuous</t>
        </is>
      </c>
      <c r="L17" s="6" t="inlineStr">
        <is>
          <t>none</t>
        </is>
      </c>
      <c r="M17" s="6" t="inlineStr">
        <is>
          <t>shareable outside reserved interval</t>
        </is>
      </c>
      <c r="N17" s="6" t="inlineStr">
        <is>
          <t>controlled-onprem</t>
        </is>
      </c>
      <c r="O17" s="6" t="inlineStr">
        <is>
          <t>critical</t>
        </is>
      </c>
      <c r="P17" s="9" t="inlineStr">
        <is>
          <t>genomics_capacity_commitments.csv row 17</t>
        </is>
      </c>
    </row>
    <row r="18">
      <c r="A18" s="6" t="inlineStr">
        <is>
          <t>GXC-017</t>
        </is>
      </c>
      <c r="B18" s="6" t="inlineStr">
        <is>
          <t>controlled clinical NLP fine-tuning</t>
        </is>
      </c>
      <c r="C18" s="6" t="inlineStr">
        <is>
          <t>2027-08-18</t>
        </is>
      </c>
      <c r="D18" s="6" t="inlineStr">
        <is>
          <t>2027-09-25</t>
        </is>
      </c>
      <c r="E18" s="13" t="n">
        <v>16</v>
      </c>
      <c r="F18" s="12" t="n">
        <v>21504</v>
      </c>
      <c r="G18" s="12" t="n">
        <v>53760</v>
      </c>
      <c r="H18" s="14" t="n">
        <v>0.5</v>
      </c>
      <c r="I18" s="12">
        <f>F18*(1+H18)</f>
        <v/>
      </c>
      <c r="J18" s="9" t="inlineStr"/>
      <c r="K18" s="9" t="inlineStr">
        <is>
          <t>weekdays 08:00-20:00 UTC</t>
        </is>
      </c>
      <c r="L18" s="6" t="inlineStr">
        <is>
          <t>low</t>
        </is>
      </c>
      <c r="M18" s="6" t="inlineStr">
        <is>
          <t>shareable outside reserved interval</t>
        </is>
      </c>
      <c r="N18" s="6" t="inlineStr">
        <is>
          <t>dedicated US region</t>
        </is>
      </c>
      <c r="O18" s="6" t="inlineStr">
        <is>
          <t>high</t>
        </is>
      </c>
      <c r="P18" s="9" t="inlineStr">
        <is>
          <t>genomics_capacity_commitments.csv row 18</t>
        </is>
      </c>
    </row>
    <row r="19">
      <c r="A19" s="6" t="inlineStr">
        <is>
          <t>GXC-018</t>
        </is>
      </c>
      <c r="B19" s="6" t="inlineStr">
        <is>
          <t>metagenomics assembly</t>
        </is>
      </c>
      <c r="C19" s="6" t="inlineStr">
        <is>
          <t>2027-06-19</t>
        </is>
      </c>
      <c r="D19" s="6" t="inlineStr">
        <is>
          <t>2027-08-26</t>
        </is>
      </c>
      <c r="E19" s="13" t="n">
        <v>24</v>
      </c>
      <c r="F19" s="12" t="n">
        <v>26880</v>
      </c>
      <c r="G19" s="12" t="n">
        <v>10752</v>
      </c>
      <c r="H19" s="14" t="n">
        <v>0.2</v>
      </c>
      <c r="I19" s="12">
        <f>F19*(1+H19)</f>
        <v/>
      </c>
      <c r="J19" s="15" t="inlineStr">
        <is>
          <t>UPSIDE &lt; BASE — inconsistent record</t>
        </is>
      </c>
      <c r="K19" s="9" t="inlineStr">
        <is>
          <t>two 72-hour windows</t>
        </is>
      </c>
      <c r="L19" s="6" t="inlineStr">
        <is>
          <t>medium</t>
        </is>
      </c>
      <c r="M19" s="6" t="inlineStr">
        <is>
          <t>exclusive</t>
        </is>
      </c>
      <c r="N19" s="6" t="inlineStr">
        <is>
          <t>open research</t>
        </is>
      </c>
      <c r="O19" s="6" t="inlineStr">
        <is>
          <t>medium</t>
        </is>
      </c>
      <c r="P19" s="9" t="inlineStr">
        <is>
          <t>genomics_capacity_commitments.csv row 19</t>
        </is>
      </c>
    </row>
    <row r="20">
      <c r="A20" s="6" t="inlineStr">
        <is>
          <t>GXC-019</t>
        </is>
      </c>
      <c r="B20" s="6" t="inlineStr">
        <is>
          <t>variant imputation</t>
        </is>
      </c>
      <c r="C20" s="6" t="inlineStr">
        <is>
          <t>2027-07-20</t>
        </is>
      </c>
      <c r="D20" s="6" t="inlineStr">
        <is>
          <t>2027-09-27</t>
        </is>
      </c>
      <c r="E20" s="13" t="n">
        <v>32</v>
      </c>
      <c r="F20" s="12" t="n">
        <v>32256</v>
      </c>
      <c r="G20" s="12" t="n">
        <v>16128</v>
      </c>
      <c r="H20" s="14" t="n">
        <v>0.35</v>
      </c>
      <c r="I20" s="12">
        <f>F20*(1+H20)</f>
        <v/>
      </c>
      <c r="J20" s="15" t="inlineStr">
        <is>
          <t>UPSIDE &lt; BASE — inconsistent record</t>
        </is>
      </c>
      <c r="K20" s="9" t="inlineStr">
        <is>
          <t>weekends</t>
        </is>
      </c>
      <c r="L20" s="6" t="inlineStr">
        <is>
          <t>high</t>
        </is>
      </c>
      <c r="M20" s="6" t="inlineStr">
        <is>
          <t>shareable outside reserved interval</t>
        </is>
      </c>
      <c r="N20" s="6" t="inlineStr">
        <is>
          <t>controlled-onprem</t>
        </is>
      </c>
      <c r="O20" s="6" t="inlineStr">
        <is>
          <t>critical</t>
        </is>
      </c>
      <c r="P20" s="9" t="inlineStr">
        <is>
          <t>genomics_capacity_commitments.csv row 20</t>
        </is>
      </c>
    </row>
    <row r="21">
      <c r="A21" s="6" t="inlineStr">
        <is>
          <t>GXC-020</t>
        </is>
      </c>
      <c r="B21" s="6" t="inlineStr">
        <is>
          <t>proteomics search</t>
        </is>
      </c>
      <c r="C21" s="6" t="inlineStr">
        <is>
          <t>2027-08-01</t>
        </is>
      </c>
      <c r="D21" s="6" t="inlineStr">
        <is>
          <t>2027-08-08</t>
        </is>
      </c>
      <c r="E21" s="13" t="n">
        <v>40</v>
      </c>
      <c r="F21" s="12" t="n">
        <v>37632</v>
      </c>
      <c r="G21" s="12" t="n">
        <v>21504</v>
      </c>
      <c r="H21" s="14" t="n">
        <v>0.5</v>
      </c>
      <c r="I21" s="12">
        <f>F21*(1+H21)</f>
        <v/>
      </c>
      <c r="J21" s="15" t="inlineStr">
        <is>
          <t>UPSIDE &lt; BASE — inconsistent record</t>
        </is>
      </c>
      <c r="K21" s="9" t="inlineStr">
        <is>
          <t>continuous</t>
        </is>
      </c>
      <c r="L21" s="6" t="inlineStr">
        <is>
          <t>none</t>
        </is>
      </c>
      <c r="M21" s="6" t="inlineStr">
        <is>
          <t>shareable outside reserved interval</t>
        </is>
      </c>
      <c r="N21" s="6" t="inlineStr">
        <is>
          <t>dedicated US region</t>
        </is>
      </c>
      <c r="O21" s="6" t="inlineStr">
        <is>
          <t>high</t>
        </is>
      </c>
      <c r="P21" s="9" t="inlineStr">
        <is>
          <t>genomics_capacity_commitments.csv row 21</t>
        </is>
      </c>
    </row>
    <row r="22">
      <c r="A22" s="6" t="inlineStr">
        <is>
          <t>GXC-021</t>
        </is>
      </c>
      <c r="B22" s="6" t="inlineStr">
        <is>
          <t>federated cohort harmonization</t>
        </is>
      </c>
      <c r="C22" s="6" t="inlineStr">
        <is>
          <t>2027-06-02</t>
        </is>
      </c>
      <c r="D22" s="6" t="inlineStr">
        <is>
          <t>2027-09-09</t>
        </is>
      </c>
      <c r="E22" s="13" t="n">
        <v>48</v>
      </c>
      <c r="F22" s="12" t="n">
        <v>5376</v>
      </c>
      <c r="G22" s="12" t="n">
        <v>26880</v>
      </c>
      <c r="H22" s="14" t="n">
        <v>0.2</v>
      </c>
      <c r="I22" s="12">
        <f>F22*(1+H22)</f>
        <v/>
      </c>
      <c r="J22" s="9" t="inlineStr"/>
      <c r="K22" s="9" t="inlineStr">
        <is>
          <t>weekdays 08:00-20:00 UTC</t>
        </is>
      </c>
      <c r="L22" s="6" t="inlineStr">
        <is>
          <t>low</t>
        </is>
      </c>
      <c r="M22" s="6" t="inlineStr">
        <is>
          <t>exclusive</t>
        </is>
      </c>
      <c r="N22" s="6" t="inlineStr">
        <is>
          <t>open research</t>
        </is>
      </c>
      <c r="O22" s="6" t="inlineStr">
        <is>
          <t>medium</t>
        </is>
      </c>
      <c r="P22" s="9" t="inlineStr">
        <is>
          <t>genomics_capacity_commitments.csv row 22</t>
        </is>
      </c>
    </row>
    <row r="23">
      <c r="A23" s="6" t="inlineStr">
        <is>
          <t>GXC-022</t>
        </is>
      </c>
      <c r="B23" s="6" t="inlineStr">
        <is>
          <t>microscopy foundation model</t>
        </is>
      </c>
      <c r="C23" s="6" t="inlineStr">
        <is>
          <t>2027-07-03</t>
        </is>
      </c>
      <c r="D23" s="6" t="inlineStr">
        <is>
          <t>2027-08-10</t>
        </is>
      </c>
      <c r="E23" s="13" t="n">
        <v>56</v>
      </c>
      <c r="F23" s="12" t="n">
        <v>10752</v>
      </c>
      <c r="G23" s="12" t="n">
        <v>32256</v>
      </c>
      <c r="H23" s="14" t="n">
        <v>0.35</v>
      </c>
      <c r="I23" s="12">
        <f>F23*(1+H23)</f>
        <v/>
      </c>
      <c r="J23" s="9" t="inlineStr"/>
      <c r="K23" s="9" t="inlineStr">
        <is>
          <t>two 72-hour windows</t>
        </is>
      </c>
      <c r="L23" s="6" t="inlineStr">
        <is>
          <t>medium</t>
        </is>
      </c>
      <c r="M23" s="6" t="inlineStr">
        <is>
          <t>shareable outside reserved interval</t>
        </is>
      </c>
      <c r="N23" s="6" t="inlineStr">
        <is>
          <t>controlled-onprem</t>
        </is>
      </c>
      <c r="O23" s="6" t="inlineStr">
        <is>
          <t>critical</t>
        </is>
      </c>
      <c r="P23" s="9" t="inlineStr">
        <is>
          <t>genomics_capacity_commitments.csv row 23</t>
        </is>
      </c>
    </row>
    <row r="24">
      <c r="A24" s="6" t="inlineStr">
        <is>
          <t>GXC-023</t>
        </is>
      </c>
      <c r="B24" s="6" t="inlineStr">
        <is>
          <t>long-read basecalling</t>
        </is>
      </c>
      <c r="C24" s="6" t="inlineStr">
        <is>
          <t>2027-08-04</t>
        </is>
      </c>
      <c r="D24" s="6" t="inlineStr">
        <is>
          <t>2027-09-11</t>
        </is>
      </c>
      <c r="E24" s="13" t="n">
        <v>64</v>
      </c>
      <c r="F24" s="12" t="n">
        <v>16128</v>
      </c>
      <c r="G24" s="12" t="n">
        <v>37632</v>
      </c>
      <c r="H24" s="14" t="n">
        <v>0.5</v>
      </c>
      <c r="I24" s="12">
        <f>F24*(1+H24)</f>
        <v/>
      </c>
      <c r="J24" s="9" t="inlineStr"/>
      <c r="K24" s="9" t="inlineStr">
        <is>
          <t>weekends</t>
        </is>
      </c>
      <c r="L24" s="6" t="inlineStr">
        <is>
          <t>high</t>
        </is>
      </c>
      <c r="M24" s="6" t="inlineStr">
        <is>
          <t>shareable outside reserved interval</t>
        </is>
      </c>
      <c r="N24" s="6" t="inlineStr">
        <is>
          <t>dedicated US region</t>
        </is>
      </c>
      <c r="O24" s="6" t="inlineStr">
        <is>
          <t>high</t>
        </is>
      </c>
      <c r="P24" s="9" t="inlineStr">
        <is>
          <t>genomics_capacity_commitments.csv row 24</t>
        </is>
      </c>
    </row>
    <row r="25">
      <c r="A25" s="6" t="inlineStr">
        <is>
          <t>GXC-024</t>
        </is>
      </c>
      <c r="B25" s="6" t="inlineStr">
        <is>
          <t>rare-disease reanalysis</t>
        </is>
      </c>
      <c r="C25" s="6" t="inlineStr">
        <is>
          <t>2027-06-05</t>
        </is>
      </c>
      <c r="D25" s="6" t="inlineStr">
        <is>
          <t>2027-08-12</t>
        </is>
      </c>
      <c r="E25" s="13" t="n">
        <v>8</v>
      </c>
      <c r="F25" s="12" t="n">
        <v>21504</v>
      </c>
      <c r="G25" s="12" t="n">
        <v>43008</v>
      </c>
      <c r="H25" s="14" t="n">
        <v>0.2</v>
      </c>
      <c r="I25" s="12">
        <f>F25*(1+H25)</f>
        <v/>
      </c>
      <c r="J25" s="9" t="inlineStr"/>
      <c r="K25" s="9" t="inlineStr">
        <is>
          <t>continuous</t>
        </is>
      </c>
      <c r="L25" s="6" t="inlineStr">
        <is>
          <t>none</t>
        </is>
      </c>
      <c r="M25" s="6" t="inlineStr">
        <is>
          <t>exclusive</t>
        </is>
      </c>
      <c r="N25" s="6" t="inlineStr">
        <is>
          <t>open research</t>
        </is>
      </c>
      <c r="O25" s="6" t="inlineStr">
        <is>
          <t>medium</t>
        </is>
      </c>
      <c r="P25" s="9" t="inlineStr">
        <is>
          <t>genomics_capacity_commitments.csv row 25</t>
        </is>
      </c>
    </row>
    <row r="26">
      <c r="A26" s="4" t="inlineStr">
        <is>
          <t>TOTALS</t>
        </is>
      </c>
      <c r="F26" s="16">
        <f>SUM(F2:F25)</f>
        <v/>
      </c>
      <c r="G26" s="16">
        <f>SUM(G2:G25)</f>
        <v/>
      </c>
      <c r="I26" s="16">
        <f>SUM(I2:I25)</f>
        <v/>
      </c>
    </row>
    <row r="27">
      <c r="A27" s="4" t="inlineStr">
        <is>
          <t>controlled-onprem base / concurrency</t>
        </is>
      </c>
      <c r="E27" s="12">
        <f>SUMIF(N2:N25,"controlled-onprem",E2:E25)</f>
        <v/>
      </c>
      <c r="F27" s="12">
        <f>SUMIF(N2:N25,"controlled-onprem",F2:F25)</f>
        <v/>
      </c>
    </row>
    <row r="28">
      <c r="A28" s="4" t="inlineStr">
        <is>
          <t>dedicated US region base / concurrency</t>
        </is>
      </c>
      <c r="E28" s="12">
        <f>SUMIF(N2:N25,"dedicated US region",E2:E25)</f>
        <v/>
      </c>
      <c r="F28" s="12">
        <f>SUMIF(N2:N25,"dedicated US region",F2:F25)</f>
        <v/>
      </c>
    </row>
    <row r="29">
      <c r="A29" s="4" t="inlineStr">
        <is>
          <t>open research base / concurrency</t>
        </is>
      </c>
      <c r="E29" s="12">
        <f>SUMIF(N2:N25,"open research",E2:E25)</f>
        <v/>
      </c>
      <c r="F29" s="12">
        <f>SUMIF(N2:N25,"open research",F2:F25)</f>
        <v/>
      </c>
    </row>
    <row r="30">
      <c r="A30" s="4" t="inlineStr">
        <is>
          <t>exclusive-isolation concurrency (all residencies)</t>
        </is>
      </c>
      <c r="E30" s="12">
        <f>SUMIF(M2:M25,"exclusive",E2:E25)</f>
        <v/>
      </c>
    </row>
    <row r="32">
      <c r="A32" s="4" t="inlineStr">
        <is>
          <t>Demand context from workload DB:</t>
        </is>
      </c>
    </row>
    <row r="33" ht="42" customHeight="1">
      <c r="A33" s="9" t="inlineStr">
        <is>
          <t>Surveyed demand = 93,870 GPU-h/month = 1,126,440 GPU-h/yr (genomics_workload_portfolio.db, computing_needs, SUM(gpu_hours_monthly)); 11/45 need-records report wait &gt;= 96 h; mean satisfaction 3.5/6; 36/45 records require &gt; 80 GB GPU memory; 40 legacy GPUs end-of-life/degraded (current_infrastructure).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9" customWidth="1" min="4" max="4"/>
    <col width="8" customWidth="1" min="5" max="5"/>
    <col width="10" customWidth="1" min="6" max="6"/>
    <col width="22" customWidth="1" min="7" max="7"/>
    <col width="10" customWidth="1" min="8" max="8"/>
    <col width="18" customWidth="1" min="9" max="9"/>
    <col width="12" customWidth="1" min="10" max="10"/>
    <col width="12" customWidth="1" min="11" max="11"/>
    <col width="10" customWidth="1" min="12" max="12"/>
    <col width="13" customWidth="1" min="13" max="13"/>
    <col width="12" customWidth="1" min="14" max="14"/>
    <col width="14" customWidth="1" min="15" max="15"/>
    <col width="34" customWidth="1" min="16" max="16"/>
  </cols>
  <sheetData>
    <row r="1">
      <c r="A1" s="3" t="inlineStr">
        <is>
          <t>cluster_id</t>
        </is>
      </c>
      <c r="B1" s="3" t="inlineStr">
        <is>
          <t>accelerator</t>
        </is>
      </c>
      <c r="C1" s="3" t="inlineStr">
        <is>
          <t>nodes</t>
        </is>
      </c>
      <c r="D1" s="3" t="inlineStr">
        <is>
          <t>gpus_per_node</t>
        </is>
      </c>
      <c r="E1" s="3" t="inlineStr">
        <is>
          <t>gpus</t>
        </is>
      </c>
      <c r="F1" s="3" t="inlineStr">
        <is>
          <t>gpu_mem_gb</t>
        </is>
      </c>
      <c r="G1" s="3" t="inlineStr">
        <is>
          <t>interconnect</t>
        </is>
      </c>
      <c r="H1" s="3" t="inlineStr">
        <is>
          <t>maintenance_domain</t>
        </is>
      </c>
      <c r="I1" s="3" t="inlineStr">
        <is>
          <t>residency</t>
        </is>
      </c>
      <c r="J1" s="3" t="inlineStr">
        <is>
          <t>available_from</t>
        </is>
      </c>
      <c r="K1" s="3" t="inlineStr">
        <is>
          <t>evidence_status</t>
        </is>
      </c>
      <c r="L1" s="3" t="inlineStr">
        <is>
          <t>days_in_window</t>
        </is>
      </c>
      <c r="M1" s="3" t="inlineStr">
        <is>
          <t>node_hours_in_window</t>
        </is>
      </c>
      <c r="N1" s="3" t="inlineStr">
        <is>
          <t>maintenance_node_h</t>
        </is>
      </c>
      <c r="O1" s="3" t="inlineStr">
        <is>
          <t>net_gpu_hours</t>
        </is>
      </c>
      <c r="P1" s="3" t="inlineStr">
        <is>
          <t>source</t>
        </is>
      </c>
    </row>
    <row r="2">
      <c r="A2" s="6" t="inlineStr">
        <is>
          <t>CL-01</t>
        </is>
      </c>
      <c r="B2" s="6" t="inlineStr">
        <is>
          <t>H100</t>
        </is>
      </c>
      <c r="C2" s="6" t="n">
        <v>4</v>
      </c>
      <c r="D2" s="6" t="n">
        <v>8</v>
      </c>
      <c r="E2" s="13">
        <f>C2*D2</f>
        <v/>
      </c>
      <c r="F2" s="6" t="n">
        <v>80</v>
      </c>
      <c r="G2" s="6" t="inlineStr">
        <is>
          <t>NVLink+InfiniBand</t>
        </is>
      </c>
      <c r="H2" s="6" t="inlineStr">
        <is>
          <t>MD-A</t>
        </is>
      </c>
      <c r="I2" s="6" t="inlineStr">
        <is>
          <t>on-prem</t>
        </is>
      </c>
      <c r="J2" s="6" t="inlineStr">
        <is>
          <t>2027-06-01</t>
        </is>
      </c>
      <c r="K2" s="6" t="inlineStr">
        <is>
          <t>installed</t>
        </is>
      </c>
      <c r="L2" s="13" t="n">
        <v>122</v>
      </c>
      <c r="M2" s="12">
        <f>C2*L2*24</f>
        <v/>
      </c>
      <c r="N2" s="12" t="n">
        <v>24</v>
      </c>
      <c r="O2" s="12">
        <f>(M2-N2)*D2</f>
        <v/>
      </c>
      <c r="P2" s="9" t="inlineStr">
        <is>
          <t>inventory row 2; maintenance: consortium_maintenance_windows.csv</t>
        </is>
      </c>
    </row>
    <row r="3">
      <c r="A3" s="6" t="inlineStr">
        <is>
          <t>CL-02</t>
        </is>
      </c>
      <c r="B3" s="6" t="inlineStr">
        <is>
          <t>A100</t>
        </is>
      </c>
      <c r="C3" s="6" t="n">
        <v>6</v>
      </c>
      <c r="D3" s="6" t="n">
        <v>8</v>
      </c>
      <c r="E3" s="13">
        <f>C3*D3</f>
        <v/>
      </c>
      <c r="F3" s="6" t="n">
        <v>80</v>
      </c>
      <c r="G3" s="6" t="inlineStr">
        <is>
          <t>NVLink+Ethernet</t>
        </is>
      </c>
      <c r="H3" s="6" t="inlineStr">
        <is>
          <t>MD-B</t>
        </is>
      </c>
      <c r="I3" s="6" t="inlineStr">
        <is>
          <t>US-east dedicated</t>
        </is>
      </c>
      <c r="J3" s="6" t="inlineStr">
        <is>
          <t>2027-07-01</t>
        </is>
      </c>
      <c r="K3" s="6" t="inlineStr">
        <is>
          <t>contracted</t>
        </is>
      </c>
      <c r="L3" s="13" t="n">
        <v>92</v>
      </c>
      <c r="M3" s="12">
        <f>C3*L3*24</f>
        <v/>
      </c>
      <c r="N3" s="12" t="n">
        <v>96</v>
      </c>
      <c r="O3" s="12">
        <f>(M3-N3)*D3</f>
        <v/>
      </c>
      <c r="P3" s="9" t="inlineStr">
        <is>
          <t>inventory row 3; maintenance: consortium_maintenance_windows.csv</t>
        </is>
      </c>
    </row>
    <row r="4">
      <c r="A4" s="6" t="inlineStr">
        <is>
          <t>CL-03</t>
        </is>
      </c>
      <c r="B4" s="6" t="inlineStr">
        <is>
          <t>L40S</t>
        </is>
      </c>
      <c r="C4" s="6" t="n">
        <v>8</v>
      </c>
      <c r="D4" s="6" t="n">
        <v>8</v>
      </c>
      <c r="E4" s="13">
        <f>C4*D4</f>
        <v/>
      </c>
      <c r="F4" s="6" t="n">
        <v>48</v>
      </c>
      <c r="G4" s="6" t="inlineStr">
        <is>
          <t>PCIe+Ethernet</t>
        </is>
      </c>
      <c r="H4" s="6" t="inlineStr">
        <is>
          <t>MD-C</t>
        </is>
      </c>
      <c r="I4" s="6" t="inlineStr">
        <is>
          <t>US-west dedicated</t>
        </is>
      </c>
      <c r="J4" s="6" t="inlineStr">
        <is>
          <t>2027-08-01</t>
        </is>
      </c>
      <c r="K4" s="17" t="inlineStr">
        <is>
          <t>conditional</t>
        </is>
      </c>
      <c r="L4" s="13" t="n">
        <v>61</v>
      </c>
      <c r="M4" s="12">
        <f>C4*L4*24</f>
        <v/>
      </c>
      <c r="N4" s="12" t="n">
        <v>288</v>
      </c>
      <c r="O4" s="12">
        <f>(M4-N4)*D4</f>
        <v/>
      </c>
      <c r="P4" s="9" t="inlineStr">
        <is>
          <t>inventory row 4; maintenance: consortium_maintenance_windows.csv</t>
        </is>
      </c>
    </row>
    <row r="5">
      <c r="A5" s="6" t="inlineStr">
        <is>
          <t>CL-04</t>
        </is>
      </c>
      <c r="B5" s="6" t="inlineStr">
        <is>
          <t>H100</t>
        </is>
      </c>
      <c r="C5" s="6" t="n">
        <v>10</v>
      </c>
      <c r="D5" s="6" t="n">
        <v>8</v>
      </c>
      <c r="E5" s="13">
        <f>C5*D5</f>
        <v/>
      </c>
      <c r="F5" s="6" t="n">
        <v>80</v>
      </c>
      <c r="G5" s="6" t="inlineStr">
        <is>
          <t>NVLink+InfiniBand</t>
        </is>
      </c>
      <c r="H5" s="6" t="inlineStr">
        <is>
          <t>MD-A</t>
        </is>
      </c>
      <c r="I5" s="6" t="inlineStr">
        <is>
          <t>on-prem</t>
        </is>
      </c>
      <c r="J5" s="6" t="inlineStr">
        <is>
          <t>2027-06-01</t>
        </is>
      </c>
      <c r="K5" s="6" t="inlineStr">
        <is>
          <t>installed</t>
        </is>
      </c>
      <c r="L5" s="13" t="n">
        <v>122</v>
      </c>
      <c r="M5" s="12">
        <f>C5*L5*24</f>
        <v/>
      </c>
      <c r="N5" s="12" t="n">
        <v>576</v>
      </c>
      <c r="O5" s="12">
        <f>(M5-N5)*D5</f>
        <v/>
      </c>
      <c r="P5" s="9" t="inlineStr">
        <is>
          <t>inventory row 5; maintenance: consortium_maintenance_windows.csv</t>
        </is>
      </c>
    </row>
    <row r="6">
      <c r="A6" s="6" t="inlineStr">
        <is>
          <t>CL-05</t>
        </is>
      </c>
      <c r="B6" s="6" t="inlineStr">
        <is>
          <t>A100</t>
        </is>
      </c>
      <c r="C6" s="6" t="n">
        <v>12</v>
      </c>
      <c r="D6" s="6" t="n">
        <v>8</v>
      </c>
      <c r="E6" s="13">
        <f>C6*D6</f>
        <v/>
      </c>
      <c r="F6" s="6" t="n">
        <v>80</v>
      </c>
      <c r="G6" s="6" t="inlineStr">
        <is>
          <t>NVLink+Ethernet</t>
        </is>
      </c>
      <c r="H6" s="6" t="inlineStr">
        <is>
          <t>MD-B</t>
        </is>
      </c>
      <c r="I6" s="6" t="inlineStr">
        <is>
          <t>US-east dedicated</t>
        </is>
      </c>
      <c r="J6" s="6" t="inlineStr">
        <is>
          <t>2027-07-01</t>
        </is>
      </c>
      <c r="K6" s="6" t="inlineStr">
        <is>
          <t>contracted</t>
        </is>
      </c>
      <c r="L6" s="13" t="n">
        <v>92</v>
      </c>
      <c r="M6" s="12">
        <f>C6*L6*24</f>
        <v/>
      </c>
      <c r="N6" s="12" t="n">
        <v>24</v>
      </c>
      <c r="O6" s="12">
        <f>(M6-N6)*D6</f>
        <v/>
      </c>
      <c r="P6" s="9" t="inlineStr">
        <is>
          <t>inventory row 6; maintenance: consortium_maintenance_windows.csv</t>
        </is>
      </c>
    </row>
    <row r="7">
      <c r="A7" s="6" t="inlineStr">
        <is>
          <t>CL-06</t>
        </is>
      </c>
      <c r="B7" s="6" t="inlineStr">
        <is>
          <t>L40S</t>
        </is>
      </c>
      <c r="C7" s="6" t="n">
        <v>4</v>
      </c>
      <c r="D7" s="6" t="n">
        <v>8</v>
      </c>
      <c r="E7" s="13">
        <f>C7*D7</f>
        <v/>
      </c>
      <c r="F7" s="6" t="n">
        <v>48</v>
      </c>
      <c r="G7" s="6" t="inlineStr">
        <is>
          <t>PCIe+Ethernet</t>
        </is>
      </c>
      <c r="H7" s="6" t="inlineStr">
        <is>
          <t>MD-C</t>
        </is>
      </c>
      <c r="I7" s="6" t="inlineStr">
        <is>
          <t>US-west dedicated</t>
        </is>
      </c>
      <c r="J7" s="6" t="inlineStr">
        <is>
          <t>2027-08-01</t>
        </is>
      </c>
      <c r="K7" s="17" t="inlineStr">
        <is>
          <t>conditional</t>
        </is>
      </c>
      <c r="L7" s="13" t="n">
        <v>61</v>
      </c>
      <c r="M7" s="12">
        <f>C7*L7*24</f>
        <v/>
      </c>
      <c r="N7" s="12" t="n">
        <v>96</v>
      </c>
      <c r="O7" s="12">
        <f>(M7-N7)*D7</f>
        <v/>
      </c>
      <c r="P7" s="9" t="inlineStr">
        <is>
          <t>inventory row 7; maintenance: consortium_maintenance_windows.csv</t>
        </is>
      </c>
    </row>
    <row r="8">
      <c r="A8" s="6" t="inlineStr">
        <is>
          <t>CL-07</t>
        </is>
      </c>
      <c r="B8" s="6" t="inlineStr">
        <is>
          <t>H100</t>
        </is>
      </c>
      <c r="C8" s="6" t="n">
        <v>6</v>
      </c>
      <c r="D8" s="6" t="n">
        <v>8</v>
      </c>
      <c r="E8" s="13">
        <f>C8*D8</f>
        <v/>
      </c>
      <c r="F8" s="6" t="n">
        <v>80</v>
      </c>
      <c r="G8" s="6" t="inlineStr">
        <is>
          <t>NVLink+InfiniBand</t>
        </is>
      </c>
      <c r="H8" s="6" t="inlineStr">
        <is>
          <t>MD-A</t>
        </is>
      </c>
      <c r="I8" s="6" t="inlineStr">
        <is>
          <t>on-prem</t>
        </is>
      </c>
      <c r="J8" s="6" t="inlineStr">
        <is>
          <t>2027-06-01</t>
        </is>
      </c>
      <c r="K8" s="6" t="inlineStr">
        <is>
          <t>installed</t>
        </is>
      </c>
      <c r="L8" s="13" t="n">
        <v>122</v>
      </c>
      <c r="M8" s="12">
        <f>C8*L8*24</f>
        <v/>
      </c>
      <c r="N8" s="12" t="n">
        <v>144</v>
      </c>
      <c r="O8" s="12">
        <f>(M8-N8)*D8</f>
        <v/>
      </c>
      <c r="P8" s="9" t="inlineStr">
        <is>
          <t>inventory row 8; maintenance: consortium_maintenance_windows.csv</t>
        </is>
      </c>
    </row>
    <row r="9">
      <c r="A9" s="6" t="inlineStr">
        <is>
          <t>CL-08</t>
        </is>
      </c>
      <c r="B9" s="6" t="inlineStr">
        <is>
          <t>A100</t>
        </is>
      </c>
      <c r="C9" s="6" t="n">
        <v>8</v>
      </c>
      <c r="D9" s="6" t="n">
        <v>8</v>
      </c>
      <c r="E9" s="13">
        <f>C9*D9</f>
        <v/>
      </c>
      <c r="F9" s="6" t="n">
        <v>80</v>
      </c>
      <c r="G9" s="6" t="inlineStr">
        <is>
          <t>NVLink+Ethernet</t>
        </is>
      </c>
      <c r="H9" s="6" t="inlineStr">
        <is>
          <t>MD-B</t>
        </is>
      </c>
      <c r="I9" s="6" t="inlineStr">
        <is>
          <t>US-east dedicated</t>
        </is>
      </c>
      <c r="J9" s="6" t="inlineStr">
        <is>
          <t>2027-07-01</t>
        </is>
      </c>
      <c r="K9" s="6" t="inlineStr">
        <is>
          <t>contracted</t>
        </is>
      </c>
      <c r="L9" s="13" t="n">
        <v>92</v>
      </c>
      <c r="M9" s="12">
        <f>C9*L9*24</f>
        <v/>
      </c>
      <c r="N9" s="12" t="n">
        <v>288</v>
      </c>
      <c r="O9" s="12">
        <f>(M9-N9)*D9</f>
        <v/>
      </c>
      <c r="P9" s="9" t="inlineStr">
        <is>
          <t>inventory row 9; maintenance: consortium_maintenance_windows.csv</t>
        </is>
      </c>
    </row>
    <row r="10">
      <c r="A10" s="6" t="inlineStr">
        <is>
          <t>CL-09</t>
        </is>
      </c>
      <c r="B10" s="6" t="inlineStr">
        <is>
          <t>L40S</t>
        </is>
      </c>
      <c r="C10" s="6" t="n">
        <v>10</v>
      </c>
      <c r="D10" s="6" t="n">
        <v>8</v>
      </c>
      <c r="E10" s="13">
        <f>C10*D10</f>
        <v/>
      </c>
      <c r="F10" s="6" t="n">
        <v>48</v>
      </c>
      <c r="G10" s="6" t="inlineStr">
        <is>
          <t>PCIe+Ethernet</t>
        </is>
      </c>
      <c r="H10" s="6" t="inlineStr">
        <is>
          <t>MD-C</t>
        </is>
      </c>
      <c r="I10" s="6" t="inlineStr">
        <is>
          <t>US-west dedicated</t>
        </is>
      </c>
      <c r="J10" s="6" t="inlineStr">
        <is>
          <t>2027-08-01</t>
        </is>
      </c>
      <c r="K10" s="17" t="inlineStr">
        <is>
          <t>conditional</t>
        </is>
      </c>
      <c r="L10" s="13" t="n">
        <v>61</v>
      </c>
      <c r="M10" s="12">
        <f>C10*L10*24</f>
        <v/>
      </c>
      <c r="N10" s="12" t="n">
        <v>12</v>
      </c>
      <c r="O10" s="12">
        <f>(M10-N10)*D10</f>
        <v/>
      </c>
      <c r="P10" s="9" t="inlineStr">
        <is>
          <t>inventory row 10; maintenance: consortium_maintenance_windows.csv</t>
        </is>
      </c>
    </row>
    <row r="11">
      <c r="A11" s="6" t="inlineStr">
        <is>
          <t>CL-10</t>
        </is>
      </c>
      <c r="B11" s="6" t="inlineStr">
        <is>
          <t>H100</t>
        </is>
      </c>
      <c r="C11" s="6" t="n">
        <v>12</v>
      </c>
      <c r="D11" s="6" t="n">
        <v>8</v>
      </c>
      <c r="E11" s="13">
        <f>C11*D11</f>
        <v/>
      </c>
      <c r="F11" s="6" t="n">
        <v>80</v>
      </c>
      <c r="G11" s="6" t="inlineStr">
        <is>
          <t>NVLink+InfiniBand</t>
        </is>
      </c>
      <c r="H11" s="6" t="inlineStr">
        <is>
          <t>MD-A</t>
        </is>
      </c>
      <c r="I11" s="6" t="inlineStr">
        <is>
          <t>on-prem</t>
        </is>
      </c>
      <c r="J11" s="6" t="inlineStr">
        <is>
          <t>2027-06-01</t>
        </is>
      </c>
      <c r="K11" s="6" t="inlineStr">
        <is>
          <t>installed</t>
        </is>
      </c>
      <c r="L11" s="13" t="n">
        <v>122</v>
      </c>
      <c r="M11" s="12">
        <f>C11*L11*24</f>
        <v/>
      </c>
      <c r="N11" s="12" t="n">
        <v>48</v>
      </c>
      <c r="O11" s="12">
        <f>(M11-N11)*D11</f>
        <v/>
      </c>
      <c r="P11" s="9" t="inlineStr">
        <is>
          <t>inventory row 11; maintenance: consortium_maintenance_windows.csv</t>
        </is>
      </c>
    </row>
    <row r="12">
      <c r="A12" s="6" t="inlineStr">
        <is>
          <t>CL-11</t>
        </is>
      </c>
      <c r="B12" s="6" t="inlineStr">
        <is>
          <t>A100</t>
        </is>
      </c>
      <c r="C12" s="6" t="n">
        <v>4</v>
      </c>
      <c r="D12" s="6" t="n">
        <v>8</v>
      </c>
      <c r="E12" s="13">
        <f>C12*D12</f>
        <v/>
      </c>
      <c r="F12" s="6" t="n">
        <v>80</v>
      </c>
      <c r="G12" s="6" t="inlineStr">
        <is>
          <t>NVLink+Ethernet</t>
        </is>
      </c>
      <c r="H12" s="6" t="inlineStr">
        <is>
          <t>MD-B</t>
        </is>
      </c>
      <c r="I12" s="6" t="inlineStr">
        <is>
          <t>US-east dedicated</t>
        </is>
      </c>
      <c r="J12" s="6" t="inlineStr">
        <is>
          <t>2027-07-01</t>
        </is>
      </c>
      <c r="K12" s="6" t="inlineStr">
        <is>
          <t>contracted</t>
        </is>
      </c>
      <c r="L12" s="13" t="n">
        <v>92</v>
      </c>
      <c r="M12" s="12">
        <f>C12*L12*24</f>
        <v/>
      </c>
      <c r="N12" s="12" t="n">
        <v>144</v>
      </c>
      <c r="O12" s="12">
        <f>(M12-N12)*D12</f>
        <v/>
      </c>
      <c r="P12" s="9" t="inlineStr">
        <is>
          <t>inventory row 12; maintenance: consortium_maintenance_windows.csv</t>
        </is>
      </c>
    </row>
    <row r="13">
      <c r="A13" s="6" t="inlineStr">
        <is>
          <t>CL-12</t>
        </is>
      </c>
      <c r="B13" s="6" t="inlineStr">
        <is>
          <t>L40S</t>
        </is>
      </c>
      <c r="C13" s="6" t="n">
        <v>6</v>
      </c>
      <c r="D13" s="6" t="n">
        <v>8</v>
      </c>
      <c r="E13" s="13">
        <f>C13*D13</f>
        <v/>
      </c>
      <c r="F13" s="6" t="n">
        <v>48</v>
      </c>
      <c r="G13" s="6" t="inlineStr">
        <is>
          <t>PCIe+Ethernet</t>
        </is>
      </c>
      <c r="H13" s="6" t="inlineStr">
        <is>
          <t>MD-C</t>
        </is>
      </c>
      <c r="I13" s="6" t="inlineStr">
        <is>
          <t>US-west dedicated</t>
        </is>
      </c>
      <c r="J13" s="6" t="inlineStr">
        <is>
          <t>2027-08-01</t>
        </is>
      </c>
      <c r="K13" s="17" t="inlineStr">
        <is>
          <t>conditional</t>
        </is>
      </c>
      <c r="L13" s="13" t="n">
        <v>61</v>
      </c>
      <c r="M13" s="12">
        <f>C13*L13*24</f>
        <v/>
      </c>
      <c r="N13" s="12" t="n">
        <v>288</v>
      </c>
      <c r="O13" s="12">
        <f>(M13-N13)*D13</f>
        <v/>
      </c>
      <c r="P13" s="9" t="inlineStr">
        <is>
          <t>inventory row 13; maintenance: consortium_maintenance_windows.csv</t>
        </is>
      </c>
    </row>
    <row r="14">
      <c r="A14" s="4" t="inlineStr">
        <is>
          <t>TOTALS</t>
        </is>
      </c>
      <c r="C14" s="16">
        <f>SUM(C2:C13)</f>
        <v/>
      </c>
      <c r="E14" s="16">
        <f>SUM(E2:E13)</f>
        <v/>
      </c>
      <c r="O14" s="16">
        <f>SUM(O2:O13)</f>
        <v/>
      </c>
    </row>
    <row r="15">
      <c r="A15" s="4" t="inlineStr">
        <is>
          <t>H100 on-prem net GPU-h</t>
        </is>
      </c>
      <c r="O15" s="12">
        <f>SUMIF(B2:B13,"H100",O2:O13)</f>
        <v/>
      </c>
    </row>
    <row r="16">
      <c r="A16" s="4" t="inlineStr">
        <is>
          <t>A100 contracted net GPU-h</t>
        </is>
      </c>
      <c r="O16" s="12">
        <f>SUMIF(B2:B13,"A100",O2:O13)</f>
        <v/>
      </c>
    </row>
    <row r="17">
      <c r="A17" s="4" t="inlineStr">
        <is>
          <t>L40S conditional net GPU-h</t>
        </is>
      </c>
      <c r="O17" s="12">
        <f>SUMIF(B2:B13,"L40S",O2:O13)</f>
        <v/>
      </c>
    </row>
    <row r="18">
      <c r="A18" s="4" t="inlineStr">
        <is>
          <t>Bankable (installed+contracted) net GPU-h</t>
        </is>
      </c>
      <c r="O18" s="12">
        <f>O15+O16</f>
        <v/>
      </c>
    </row>
    <row r="20">
      <c r="A20" s="4" t="inlineStr">
        <is>
          <t>Coverage vs commitments (base / upside / base-at-max-growth):</t>
        </is>
      </c>
    </row>
    <row r="21">
      <c r="A21" s="6" t="inlineStr">
        <is>
          <t>Bankable coverage of base</t>
        </is>
      </c>
      <c r="O21" s="18">
        <f>O18/Commitments!$F$26</f>
        <v/>
      </c>
    </row>
    <row r="22">
      <c r="A22" s="6" t="inlineStr">
        <is>
          <t>All-inventory coverage of base</t>
        </is>
      </c>
      <c r="O22" s="18">
        <f>O14/Commitments!$F$26</f>
        <v/>
      </c>
    </row>
    <row r="23">
      <c r="A23" s="6" t="inlineStr">
        <is>
          <t>All-inventory coverage of upside</t>
        </is>
      </c>
      <c r="O23" s="18">
        <f>O14/Commitments!$G$26</f>
        <v/>
      </c>
    </row>
    <row r="24">
      <c r="A24" s="6" t="inlineStr">
        <is>
          <t>All-inventory coverage of base-at-max-growth</t>
        </is>
      </c>
      <c r="O24" s="18">
        <f>O14/Commitments!$I$26</f>
        <v/>
      </c>
    </row>
    <row r="26" ht="30" customHeight="1">
      <c r="A26" s="9" t="inlineStr">
        <is>
          <t>NOTE: raw-hour coverage &gt;= 2x in all cases — volume is NOT the binding constraint. Binding constraints are concurrency, residency/isolation, maintenance timing and evidence status (see Feasibility). L40S rows are conditional and excluded from bankable capacity.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20" t="n"/>
    </row>
  </sheetData>
  <mergeCells count="1">
    <mergeCell ref="A26:L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3" customWidth="1" min="5" max="5"/>
    <col width="11" customWidth="1" min="6" max="6"/>
    <col width="12" customWidth="1" min="7" max="7"/>
    <col width="24" customWidth="1" min="8" max="8"/>
    <col width="40" customWidth="1" min="9" max="9"/>
  </cols>
  <sheetData>
    <row r="1">
      <c r="A1" s="3" t="inlineStr">
        <is>
          <t>window_id</t>
        </is>
      </c>
      <c r="B1" s="3" t="inlineStr">
        <is>
          <t>cluster_id</t>
        </is>
      </c>
      <c r="C1" s="3" t="inlineStr">
        <is>
          <t>start</t>
        </is>
      </c>
      <c r="D1" s="3" t="inlineStr">
        <is>
          <t>duration_h</t>
        </is>
      </c>
      <c r="E1" s="3" t="inlineStr">
        <is>
          <t>nodes_unavailable</t>
        </is>
      </c>
      <c r="F1" s="3" t="inlineStr">
        <is>
          <t>node_hours</t>
        </is>
      </c>
      <c r="G1" s="3" t="inlineStr">
        <is>
          <t>window_status</t>
        </is>
      </c>
      <c r="H1" s="3" t="inlineStr">
        <is>
          <t>shared_domain_effect</t>
        </is>
      </c>
      <c r="I1" s="3" t="inlineStr">
        <is>
          <t>source</t>
        </is>
      </c>
    </row>
    <row r="2">
      <c r="A2" s="6" t="inlineStr">
        <is>
          <t>MW-01</t>
        </is>
      </c>
      <c r="B2" s="6" t="inlineStr">
        <is>
          <t>CL-01</t>
        </is>
      </c>
      <c r="C2" s="6" t="inlineStr">
        <is>
          <t>2027-06-01T00:00Z</t>
        </is>
      </c>
      <c r="D2" s="6" t="n">
        <v>12</v>
      </c>
      <c r="E2" s="6" t="n">
        <v>1</v>
      </c>
      <c r="F2" s="12">
        <f>D2*E2</f>
        <v/>
      </c>
      <c r="G2" s="6" t="inlineStr">
        <is>
          <t>fixed</t>
        </is>
      </c>
      <c r="H2" s="6" t="inlineStr">
        <is>
          <t>none</t>
        </is>
      </c>
      <c r="I2" s="6" t="inlineStr">
        <is>
          <t>consortium_maintenance_windows.csv row 2</t>
        </is>
      </c>
    </row>
    <row r="3">
      <c r="A3" s="6" t="inlineStr">
        <is>
          <t>MW-02</t>
        </is>
      </c>
      <c r="B3" s="6" t="inlineStr">
        <is>
          <t>CL-02</t>
        </is>
      </c>
      <c r="C3" s="6" t="inlineStr">
        <is>
          <t>2027-07-04T00:00Z</t>
        </is>
      </c>
      <c r="D3" s="6" t="n">
        <v>24</v>
      </c>
      <c r="E3" s="6" t="n">
        <v>2</v>
      </c>
      <c r="F3" s="12">
        <f>D3*E3</f>
        <v/>
      </c>
      <c r="G3" s="6" t="inlineStr">
        <is>
          <t>movable</t>
        </is>
      </c>
      <c r="H3" s="6" t="inlineStr">
        <is>
          <t>one peer node</t>
        </is>
      </c>
      <c r="I3" s="6" t="inlineStr">
        <is>
          <t>consortium_maintenance_windows.csv row 3</t>
        </is>
      </c>
    </row>
    <row r="4">
      <c r="A4" s="6" t="inlineStr">
        <is>
          <t>MW-03</t>
        </is>
      </c>
      <c r="B4" s="6" t="inlineStr">
        <is>
          <t>CL-03</t>
        </is>
      </c>
      <c r="C4" s="6" t="inlineStr">
        <is>
          <t>2027-08-07T00:00Z</t>
        </is>
      </c>
      <c r="D4" s="6" t="n">
        <v>48</v>
      </c>
      <c r="E4" s="6" t="n">
        <v>3</v>
      </c>
      <c r="F4" s="12">
        <f>D4*E4</f>
        <v/>
      </c>
      <c r="G4" s="17" t="inlineStr">
        <is>
          <t>pending</t>
        </is>
      </c>
      <c r="H4" s="6" t="inlineStr">
        <is>
          <t>entire domain validation</t>
        </is>
      </c>
      <c r="I4" s="6" t="inlineStr">
        <is>
          <t>consortium_maintenance_windows.csv row 4</t>
        </is>
      </c>
    </row>
    <row r="5">
      <c r="A5" s="6" t="inlineStr">
        <is>
          <t>MW-04</t>
        </is>
      </c>
      <c r="B5" s="6" t="inlineStr">
        <is>
          <t>CL-04</t>
        </is>
      </c>
      <c r="C5" s="6" t="inlineStr">
        <is>
          <t>2027-06-10T00:00Z</t>
        </is>
      </c>
      <c r="D5" s="6" t="n">
        <v>72</v>
      </c>
      <c r="E5" s="6" t="n">
        <v>4</v>
      </c>
      <c r="F5" s="12">
        <f>D5*E5</f>
        <v/>
      </c>
      <c r="G5" s="6" t="inlineStr">
        <is>
          <t>fixed</t>
        </is>
      </c>
      <c r="H5" s="6" t="inlineStr">
        <is>
          <t>none</t>
        </is>
      </c>
      <c r="I5" s="6" t="inlineStr">
        <is>
          <t>consortium_maintenance_windows.csv row 5</t>
        </is>
      </c>
    </row>
    <row r="6">
      <c r="A6" s="6" t="inlineStr">
        <is>
          <t>MW-05</t>
        </is>
      </c>
      <c r="B6" s="6" t="inlineStr">
        <is>
          <t>CL-05</t>
        </is>
      </c>
      <c r="C6" s="6" t="inlineStr">
        <is>
          <t>2027-07-13T00:00Z</t>
        </is>
      </c>
      <c r="D6" s="6" t="n">
        <v>12</v>
      </c>
      <c r="E6" s="6" t="n">
        <v>1</v>
      </c>
      <c r="F6" s="12">
        <f>D6*E6</f>
        <v/>
      </c>
      <c r="G6" s="6" t="inlineStr">
        <is>
          <t>movable</t>
        </is>
      </c>
      <c r="H6" s="6" t="inlineStr">
        <is>
          <t>one peer node</t>
        </is>
      </c>
      <c r="I6" s="6" t="inlineStr">
        <is>
          <t>consortium_maintenance_windows.csv row 6</t>
        </is>
      </c>
    </row>
    <row r="7">
      <c r="A7" s="6" t="inlineStr">
        <is>
          <t>MW-06</t>
        </is>
      </c>
      <c r="B7" s="6" t="inlineStr">
        <is>
          <t>CL-06</t>
        </is>
      </c>
      <c r="C7" s="6" t="inlineStr">
        <is>
          <t>2027-08-16T00:00Z</t>
        </is>
      </c>
      <c r="D7" s="6" t="n">
        <v>24</v>
      </c>
      <c r="E7" s="6" t="n">
        <v>2</v>
      </c>
      <c r="F7" s="12">
        <f>D7*E7</f>
        <v/>
      </c>
      <c r="G7" s="17" t="inlineStr">
        <is>
          <t>pending</t>
        </is>
      </c>
      <c r="H7" s="6" t="inlineStr">
        <is>
          <t>entire domain validation</t>
        </is>
      </c>
      <c r="I7" s="6" t="inlineStr">
        <is>
          <t>consortium_maintenance_windows.csv row 7</t>
        </is>
      </c>
    </row>
    <row r="8">
      <c r="A8" s="6" t="inlineStr">
        <is>
          <t>MW-07</t>
        </is>
      </c>
      <c r="B8" s="6" t="inlineStr">
        <is>
          <t>CL-07</t>
        </is>
      </c>
      <c r="C8" s="6" t="inlineStr">
        <is>
          <t>2027-06-19T00:00Z</t>
        </is>
      </c>
      <c r="D8" s="6" t="n">
        <v>48</v>
      </c>
      <c r="E8" s="6" t="n">
        <v>3</v>
      </c>
      <c r="F8" s="12">
        <f>D8*E8</f>
        <v/>
      </c>
      <c r="G8" s="6" t="inlineStr">
        <is>
          <t>fixed</t>
        </is>
      </c>
      <c r="H8" s="6" t="inlineStr">
        <is>
          <t>none</t>
        </is>
      </c>
      <c r="I8" s="6" t="inlineStr">
        <is>
          <t>consortium_maintenance_windows.csv row 8</t>
        </is>
      </c>
    </row>
    <row r="9">
      <c r="A9" s="6" t="inlineStr">
        <is>
          <t>MW-08</t>
        </is>
      </c>
      <c r="B9" s="6" t="inlineStr">
        <is>
          <t>CL-08</t>
        </is>
      </c>
      <c r="C9" s="6" t="inlineStr">
        <is>
          <t>2027-07-22T00:00Z</t>
        </is>
      </c>
      <c r="D9" s="6" t="n">
        <v>72</v>
      </c>
      <c r="E9" s="6" t="n">
        <v>4</v>
      </c>
      <c r="F9" s="12">
        <f>D9*E9</f>
        <v/>
      </c>
      <c r="G9" s="6" t="inlineStr">
        <is>
          <t>movable</t>
        </is>
      </c>
      <c r="H9" s="6" t="inlineStr">
        <is>
          <t>one peer node</t>
        </is>
      </c>
      <c r="I9" s="6" t="inlineStr">
        <is>
          <t>consortium_maintenance_windows.csv row 9</t>
        </is>
      </c>
    </row>
    <row r="10">
      <c r="A10" s="6" t="inlineStr">
        <is>
          <t>MW-09</t>
        </is>
      </c>
      <c r="B10" s="6" t="inlineStr">
        <is>
          <t>CL-09</t>
        </is>
      </c>
      <c r="C10" s="6" t="inlineStr">
        <is>
          <t>2027-08-01T00:00Z</t>
        </is>
      </c>
      <c r="D10" s="6" t="n">
        <v>12</v>
      </c>
      <c r="E10" s="6" t="n">
        <v>1</v>
      </c>
      <c r="F10" s="12">
        <f>D10*E10</f>
        <v/>
      </c>
      <c r="G10" s="17" t="inlineStr">
        <is>
          <t>pending</t>
        </is>
      </c>
      <c r="H10" s="6" t="inlineStr">
        <is>
          <t>entire domain validation</t>
        </is>
      </c>
      <c r="I10" s="6" t="inlineStr">
        <is>
          <t>consortium_maintenance_windows.csv row 10</t>
        </is>
      </c>
    </row>
    <row r="11">
      <c r="A11" s="6" t="inlineStr">
        <is>
          <t>MW-10</t>
        </is>
      </c>
      <c r="B11" s="6" t="inlineStr">
        <is>
          <t>CL-10</t>
        </is>
      </c>
      <c r="C11" s="6" t="inlineStr">
        <is>
          <t>2027-06-04T00:00Z</t>
        </is>
      </c>
      <c r="D11" s="6" t="n">
        <v>24</v>
      </c>
      <c r="E11" s="6" t="n">
        <v>2</v>
      </c>
      <c r="F11" s="12">
        <f>D11*E11</f>
        <v/>
      </c>
      <c r="G11" s="6" t="inlineStr">
        <is>
          <t>fixed</t>
        </is>
      </c>
      <c r="H11" s="6" t="inlineStr">
        <is>
          <t>none</t>
        </is>
      </c>
      <c r="I11" s="6" t="inlineStr">
        <is>
          <t>consortium_maintenance_windows.csv row 11</t>
        </is>
      </c>
    </row>
    <row r="12">
      <c r="A12" s="6" t="inlineStr">
        <is>
          <t>MW-11</t>
        </is>
      </c>
      <c r="B12" s="6" t="inlineStr">
        <is>
          <t>CL-11</t>
        </is>
      </c>
      <c r="C12" s="6" t="inlineStr">
        <is>
          <t>2027-07-07T00:00Z</t>
        </is>
      </c>
      <c r="D12" s="6" t="n">
        <v>48</v>
      </c>
      <c r="E12" s="6" t="n">
        <v>3</v>
      </c>
      <c r="F12" s="12">
        <f>D12*E12</f>
        <v/>
      </c>
      <c r="G12" s="6" t="inlineStr">
        <is>
          <t>movable</t>
        </is>
      </c>
      <c r="H12" s="6" t="inlineStr">
        <is>
          <t>one peer node</t>
        </is>
      </c>
      <c r="I12" s="6" t="inlineStr">
        <is>
          <t>consortium_maintenance_windows.csv row 12</t>
        </is>
      </c>
    </row>
    <row r="13">
      <c r="A13" s="6" t="inlineStr">
        <is>
          <t>MW-12</t>
        </is>
      </c>
      <c r="B13" s="6" t="inlineStr">
        <is>
          <t>CL-12</t>
        </is>
      </c>
      <c r="C13" s="6" t="inlineStr">
        <is>
          <t>2027-08-10T00:00Z</t>
        </is>
      </c>
      <c r="D13" s="6" t="n">
        <v>72</v>
      </c>
      <c r="E13" s="6" t="n">
        <v>4</v>
      </c>
      <c r="F13" s="12">
        <f>D13*E13</f>
        <v/>
      </c>
      <c r="G13" s="17" t="inlineStr">
        <is>
          <t>pending</t>
        </is>
      </c>
      <c r="H13" s="6" t="inlineStr">
        <is>
          <t>entire domain validation</t>
        </is>
      </c>
      <c r="I13" s="6" t="inlineStr">
        <is>
          <t>consortium_maintenance_windows.csv row 13</t>
        </is>
      </c>
    </row>
    <row r="14">
      <c r="A14" s="6" t="inlineStr">
        <is>
          <t>MW-13</t>
        </is>
      </c>
      <c r="B14" s="6" t="inlineStr">
        <is>
          <t>CL-01</t>
        </is>
      </c>
      <c r="C14" s="6" t="inlineStr">
        <is>
          <t>2027-06-13T00:00Z</t>
        </is>
      </c>
      <c r="D14" s="6" t="n">
        <v>12</v>
      </c>
      <c r="E14" s="6" t="n">
        <v>1</v>
      </c>
      <c r="F14" s="12">
        <f>D14*E14</f>
        <v/>
      </c>
      <c r="G14" s="6" t="inlineStr">
        <is>
          <t>fixed</t>
        </is>
      </c>
      <c r="H14" s="6" t="inlineStr">
        <is>
          <t>none</t>
        </is>
      </c>
      <c r="I14" s="6" t="inlineStr">
        <is>
          <t>consortium_maintenance_windows.csv row 14</t>
        </is>
      </c>
    </row>
    <row r="15">
      <c r="A15" s="6" t="inlineStr">
        <is>
          <t>MW-14</t>
        </is>
      </c>
      <c r="B15" s="6" t="inlineStr">
        <is>
          <t>CL-02</t>
        </is>
      </c>
      <c r="C15" s="6" t="inlineStr">
        <is>
          <t>2027-07-16T00:00Z</t>
        </is>
      </c>
      <c r="D15" s="6" t="n">
        <v>24</v>
      </c>
      <c r="E15" s="6" t="n">
        <v>2</v>
      </c>
      <c r="F15" s="12">
        <f>D15*E15</f>
        <v/>
      </c>
      <c r="G15" s="6" t="inlineStr">
        <is>
          <t>movable</t>
        </is>
      </c>
      <c r="H15" s="6" t="inlineStr">
        <is>
          <t>one peer node</t>
        </is>
      </c>
      <c r="I15" s="6" t="inlineStr">
        <is>
          <t>consortium_maintenance_windows.csv row 15</t>
        </is>
      </c>
    </row>
    <row r="16">
      <c r="A16" s="6" t="inlineStr">
        <is>
          <t>MW-15</t>
        </is>
      </c>
      <c r="B16" s="6" t="inlineStr">
        <is>
          <t>CL-03</t>
        </is>
      </c>
      <c r="C16" s="6" t="inlineStr">
        <is>
          <t>2027-08-19T00:00Z</t>
        </is>
      </c>
      <c r="D16" s="6" t="n">
        <v>48</v>
      </c>
      <c r="E16" s="6" t="n">
        <v>3</v>
      </c>
      <c r="F16" s="12">
        <f>D16*E16</f>
        <v/>
      </c>
      <c r="G16" s="17" t="inlineStr">
        <is>
          <t>pending</t>
        </is>
      </c>
      <c r="H16" s="6" t="inlineStr">
        <is>
          <t>entire domain validation</t>
        </is>
      </c>
      <c r="I16" s="6" t="inlineStr">
        <is>
          <t>consortium_maintenance_windows.csv row 16</t>
        </is>
      </c>
    </row>
    <row r="17">
      <c r="A17" s="6" t="inlineStr">
        <is>
          <t>MW-16</t>
        </is>
      </c>
      <c r="B17" s="6" t="inlineStr">
        <is>
          <t>CL-04</t>
        </is>
      </c>
      <c r="C17" s="6" t="inlineStr">
        <is>
          <t>2027-06-22T00:00Z</t>
        </is>
      </c>
      <c r="D17" s="6" t="n">
        <v>72</v>
      </c>
      <c r="E17" s="6" t="n">
        <v>4</v>
      </c>
      <c r="F17" s="12">
        <f>D17*E17</f>
        <v/>
      </c>
      <c r="G17" s="6" t="inlineStr">
        <is>
          <t>fixed</t>
        </is>
      </c>
      <c r="H17" s="6" t="inlineStr">
        <is>
          <t>none</t>
        </is>
      </c>
      <c r="I17" s="6" t="inlineStr">
        <is>
          <t>consortium_maintenance_windows.csv row 17</t>
        </is>
      </c>
    </row>
    <row r="18">
      <c r="A18" s="6" t="inlineStr">
        <is>
          <t>MW-17</t>
        </is>
      </c>
      <c r="B18" s="6" t="inlineStr">
        <is>
          <t>CL-05</t>
        </is>
      </c>
      <c r="C18" s="6" t="inlineStr">
        <is>
          <t>2027-07-01T00:00Z</t>
        </is>
      </c>
      <c r="D18" s="6" t="n">
        <v>12</v>
      </c>
      <c r="E18" s="6" t="n">
        <v>1</v>
      </c>
      <c r="F18" s="12">
        <f>D18*E18</f>
        <v/>
      </c>
      <c r="G18" s="6" t="inlineStr">
        <is>
          <t>movable</t>
        </is>
      </c>
      <c r="H18" s="6" t="inlineStr">
        <is>
          <t>one peer node</t>
        </is>
      </c>
      <c r="I18" s="6" t="inlineStr">
        <is>
          <t>consortium_maintenance_windows.csv row 18</t>
        </is>
      </c>
    </row>
    <row r="19">
      <c r="A19" s="6" t="inlineStr">
        <is>
          <t>MW-18</t>
        </is>
      </c>
      <c r="B19" s="6" t="inlineStr">
        <is>
          <t>CL-06</t>
        </is>
      </c>
      <c r="C19" s="6" t="inlineStr">
        <is>
          <t>2027-08-04T00:00Z</t>
        </is>
      </c>
      <c r="D19" s="6" t="n">
        <v>24</v>
      </c>
      <c r="E19" s="6" t="n">
        <v>2</v>
      </c>
      <c r="F19" s="12">
        <f>D19*E19</f>
        <v/>
      </c>
      <c r="G19" s="17" t="inlineStr">
        <is>
          <t>pending</t>
        </is>
      </c>
      <c r="H19" s="6" t="inlineStr">
        <is>
          <t>entire domain validation</t>
        </is>
      </c>
      <c r="I19" s="6" t="inlineStr">
        <is>
          <t>consortium_maintenance_windows.csv row 19</t>
        </is>
      </c>
    </row>
    <row r="20">
      <c r="A20" s="4" t="inlineStr">
        <is>
          <t>Total maintenance node-hours</t>
        </is>
      </c>
      <c r="F20" s="16">
        <f>SUM(F2:F19)</f>
        <v/>
      </c>
    </row>
    <row r="21">
      <c r="A21" s="4" t="inlineStr">
        <is>
          <t>MD-A (on-prem H100) fixed-window node-hours</t>
        </is>
      </c>
      <c r="F21" s="12">
        <f>SUMIFS(F2:F19,B2:B19,"CL-01")+SUMIFS(F2:F19,B2:B19,"CL-04")+SUMIFS(F2:F19,B2:B19,"CL-07")+SUMIFS(F2:F19,B2:B19,"CL-10")</f>
        <v/>
      </c>
    </row>
    <row r="22">
      <c r="A22" s="4" t="inlineStr">
        <is>
          <t>Max simultaneous H100 nodes lost (fixed windows MW-04/MW-16, 72 h x 4 nodes)</t>
        </is>
      </c>
      <c r="F22" s="13" t="n">
        <v>4</v>
      </c>
    </row>
    <row r="23">
      <c r="A23" s="4" t="inlineStr">
        <is>
          <t>H100 GPUs unavailable at worst fixed window (=nodes above x 8; MW-04 and MW-16 do not overlap)</t>
        </is>
      </c>
      <c r="F23" s="13">
        <f>F22*8</f>
        <v/>
      </c>
    </row>
    <row r="25" ht="30" customHeight="1">
      <c r="A25" s="9" t="inlineStr">
        <is>
          <t>All MD-C (L40S) windows are PENDING and each triggers ENTIRE DOMAIN VALIDATION — L40S capacity is not schedulable against deadlines until windows are confirmed. GXC-006 also states one node per installed maintenance domain is unavailable.</t>
        </is>
      </c>
      <c r="B25" s="19" t="n"/>
      <c r="C25" s="19" t="n"/>
      <c r="D25" s="19" t="n"/>
      <c r="E25" s="19" t="n"/>
      <c r="F25" s="19" t="n"/>
      <c r="G25" s="19" t="n"/>
      <c r="H25" s="19" t="n"/>
      <c r="I25" s="20" t="n"/>
    </row>
  </sheetData>
  <mergeCells count="1">
    <mergeCell ref="A25:I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4" customWidth="1" min="4" max="4"/>
    <col width="44" customWidth="1" min="5" max="5"/>
    <col width="11" customWidth="1" min="6" max="6"/>
    <col width="26" customWidth="1" min="7" max="7"/>
    <col width="14" customWidth="1" min="8" max="8"/>
    <col width="46" customWidth="1" min="9" max="9"/>
    <col width="34" customWidth="1" min="10" max="10"/>
  </cols>
  <sheetData>
    <row r="1">
      <c r="A1" s="21" t="inlineStr">
        <is>
          <t>A. Commercial evidence register (as supplied)</t>
        </is>
      </c>
    </row>
    <row r="2">
      <c r="A2" s="3" t="inlineStr">
        <is>
          <t>quote_id</t>
        </is>
      </c>
      <c r="B2" s="3" t="inlineStr">
        <is>
          <t>option</t>
        </is>
      </c>
      <c r="C2" s="3" t="inlineStr">
        <is>
          <t>price</t>
        </is>
      </c>
      <c r="D2" s="3" t="inlineStr">
        <is>
          <t>unit</t>
        </is>
      </c>
      <c r="E2" s="3" t="inlineStr">
        <is>
          <t>valid_from</t>
        </is>
      </c>
      <c r="F2" s="3" t="inlineStr">
        <is>
          <t>valid_through</t>
        </is>
      </c>
      <c r="G2" s="3" t="inlineStr">
        <is>
          <t>min_term_h</t>
        </is>
      </c>
      <c r="H2" s="3" t="inlineStr">
        <is>
          <t>availability_evidence</t>
        </is>
      </c>
      <c r="I2" s="3" t="inlineStr">
        <is>
          <t>issue_flag</t>
        </is>
      </c>
      <c r="J2" s="3" t="inlineStr">
        <is>
          <t>source</t>
        </is>
      </c>
    </row>
    <row r="3">
      <c r="A3" s="6" t="inlineStr">
        <is>
          <t>QT-01</t>
        </is>
      </c>
      <c r="B3" s="6" t="inlineStr">
        <is>
          <t>on-prem-H100</t>
        </is>
      </c>
      <c r="C3" s="22" t="n">
        <v>2.25</v>
      </c>
      <c r="D3" s="6" t="inlineStr">
        <is>
          <t>USD/GPU-hour</t>
        </is>
      </c>
      <c r="E3" s="6" t="inlineStr">
        <is>
          <t>2027-05-01</t>
        </is>
      </c>
      <c r="F3" s="6" t="inlineStr">
        <is>
          <t>2027-07-30</t>
        </is>
      </c>
      <c r="G3" s="6" t="n">
        <v>0</v>
      </c>
      <c r="H3" s="6" t="inlineStr">
        <is>
          <t>confirmed</t>
        </is>
      </c>
      <c r="I3" s="9" t="inlineStr"/>
      <c r="J3" s="6" t="inlineStr">
        <is>
          <t>compute_commercial_evidence_register.csv row 2</t>
        </is>
      </c>
    </row>
    <row r="4">
      <c r="A4" s="6" t="inlineStr">
        <is>
          <t>QT-02</t>
        </is>
      </c>
      <c r="B4" s="6" t="inlineStr">
        <is>
          <t>cloud-H100</t>
        </is>
      </c>
      <c r="C4" s="22" t="n">
        <v>3.08</v>
      </c>
      <c r="D4" s="6" t="inlineStr">
        <is>
          <t>USD/instance-hour</t>
        </is>
      </c>
      <c r="E4" s="6" t="inlineStr">
        <is>
          <t>2027-05-01</t>
        </is>
      </c>
      <c r="F4" s="6" t="inlineStr">
        <is>
          <t>2027-08-30</t>
        </is>
      </c>
      <c r="G4" s="6" t="n">
        <v>720</v>
      </c>
      <c r="H4" s="17" t="inlineStr">
        <is>
          <t>indicative</t>
        </is>
      </c>
      <c r="I4" s="15" t="inlineStr">
        <is>
          <t>UNIT not GPU-hour — not comparable without GPU count (8/node); availability=indicative</t>
        </is>
      </c>
      <c r="J4" s="6" t="inlineStr">
        <is>
          <t>compute_commercial_evidence_register.csv row 3</t>
        </is>
      </c>
    </row>
    <row r="5">
      <c r="A5" s="6" t="inlineStr">
        <is>
          <t>QT-03</t>
        </is>
      </c>
      <c r="B5" s="6" t="inlineStr">
        <is>
          <t>cloud-A100</t>
        </is>
      </c>
      <c r="C5" s="22" t="n">
        <v>3.91</v>
      </c>
      <c r="D5" s="6" t="inlineStr">
        <is>
          <t>USD/node-hour</t>
        </is>
      </c>
      <c r="E5" s="6" t="inlineStr">
        <is>
          <t>2027-05-01</t>
        </is>
      </c>
      <c r="F5" s="6" t="inlineStr">
        <is>
          <t>2027-09-30</t>
        </is>
      </c>
      <c r="G5" s="6" t="n">
        <v>2160</v>
      </c>
      <c r="H5" s="17" t="inlineStr">
        <is>
          <t>not supplied</t>
        </is>
      </c>
      <c r="I5" s="15" t="inlineStr">
        <is>
          <t>UNIT not GPU-hour — not comparable without GPU count (8/node); availability=not supplied</t>
        </is>
      </c>
      <c r="J5" s="6" t="inlineStr">
        <is>
          <t>compute_commercial_evidence_register.csv row 4</t>
        </is>
      </c>
    </row>
    <row r="6">
      <c r="A6" s="6" t="inlineStr">
        <is>
          <t>QT-04</t>
        </is>
      </c>
      <c r="B6" s="6" t="inlineStr">
        <is>
          <t>hybrid</t>
        </is>
      </c>
      <c r="C6" s="22" t="n">
        <v>4.74</v>
      </c>
      <c r="D6" s="6" t="inlineStr">
        <is>
          <t>USD/GPU-hour</t>
        </is>
      </c>
      <c r="E6" s="6" t="inlineStr">
        <is>
          <t>2027-05-01</t>
        </is>
      </c>
      <c r="F6" s="6" t="inlineStr">
        <is>
          <t>2027-07-30</t>
        </is>
      </c>
      <c r="G6" s="6" t="n">
        <v>0</v>
      </c>
      <c r="H6" s="6" t="inlineStr">
        <is>
          <t>confirmed</t>
        </is>
      </c>
      <c r="I6" s="9" t="inlineStr"/>
      <c r="J6" s="6" t="inlineStr">
        <is>
          <t>compute_commercial_evidence_register.csv row 5</t>
        </is>
      </c>
    </row>
    <row r="7">
      <c r="A7" s="6" t="inlineStr">
        <is>
          <t>QT-05</t>
        </is>
      </c>
      <c r="B7" s="6" t="inlineStr">
        <is>
          <t>L40S-watch</t>
        </is>
      </c>
      <c r="C7" s="23" t="n"/>
      <c r="D7" s="6" t="inlineStr">
        <is>
          <t>USD/instance-hour</t>
        </is>
      </c>
      <c r="E7" s="6" t="inlineStr">
        <is>
          <t>2027-05-01</t>
        </is>
      </c>
      <c r="F7" s="6" t="inlineStr">
        <is>
          <t>2027-08-30</t>
        </is>
      </c>
      <c r="G7" s="6" t="n">
        <v>720</v>
      </c>
      <c r="H7" s="17" t="inlineStr">
        <is>
          <t>indicative</t>
        </is>
      </c>
      <c r="I7" s="15" t="inlineStr">
        <is>
          <t>NO PRICE SUPPLIED; UNIT not GPU-hour — not comparable without GPU count (8/node); availability=indicative</t>
        </is>
      </c>
      <c r="J7" s="6" t="inlineStr">
        <is>
          <t>compute_commercial_evidence_register.csv row 6</t>
        </is>
      </c>
    </row>
    <row r="8">
      <c r="A8" s="6" t="inlineStr">
        <is>
          <t>QT-06</t>
        </is>
      </c>
      <c r="B8" s="6" t="inlineStr">
        <is>
          <t>on-prem-H100</t>
        </is>
      </c>
      <c r="C8" s="22" t="n">
        <v>6.4</v>
      </c>
      <c r="D8" s="6" t="inlineStr">
        <is>
          <t>USD/node-hour</t>
        </is>
      </c>
      <c r="E8" s="6" t="inlineStr">
        <is>
          <t>2027-05-01</t>
        </is>
      </c>
      <c r="F8" s="6" t="inlineStr">
        <is>
          <t>2027-09-30</t>
        </is>
      </c>
      <c r="G8" s="6" t="n">
        <v>2160</v>
      </c>
      <c r="H8" s="17" t="inlineStr">
        <is>
          <t>not supplied</t>
        </is>
      </c>
      <c r="I8" s="15" t="inlineStr">
        <is>
          <t>UNIT not GPU-hour — not comparable without GPU count (8/node); availability=not supplied</t>
        </is>
      </c>
      <c r="J8" s="6" t="inlineStr">
        <is>
          <t>compute_commercial_evidence_register.csv row 7</t>
        </is>
      </c>
    </row>
    <row r="9">
      <c r="A9" s="6" t="inlineStr">
        <is>
          <t>QT-07</t>
        </is>
      </c>
      <c r="B9" s="6" t="inlineStr">
        <is>
          <t>cloud-H100</t>
        </is>
      </c>
      <c r="C9" s="22" t="n">
        <v>7.23</v>
      </c>
      <c r="D9" s="6" t="inlineStr">
        <is>
          <t>USD/GPU-hour</t>
        </is>
      </c>
      <c r="E9" s="6" t="inlineStr">
        <is>
          <t>2027-05-01</t>
        </is>
      </c>
      <c r="F9" s="6" t="inlineStr">
        <is>
          <t>2027-07-30</t>
        </is>
      </c>
      <c r="G9" s="6" t="n">
        <v>0</v>
      </c>
      <c r="H9" s="6" t="inlineStr">
        <is>
          <t>confirmed</t>
        </is>
      </c>
      <c r="I9" s="9" t="inlineStr"/>
      <c r="J9" s="6" t="inlineStr">
        <is>
          <t>compute_commercial_evidence_register.csv row 8</t>
        </is>
      </c>
    </row>
    <row r="10">
      <c r="A10" s="6" t="inlineStr">
        <is>
          <t>QT-08</t>
        </is>
      </c>
      <c r="B10" s="6" t="inlineStr">
        <is>
          <t>cloud-A100</t>
        </is>
      </c>
      <c r="C10" s="22" t="n">
        <v>8.06</v>
      </c>
      <c r="D10" s="6" t="inlineStr">
        <is>
          <t>USD/instance-hour</t>
        </is>
      </c>
      <c r="E10" s="6" t="inlineStr">
        <is>
          <t>2027-05-01</t>
        </is>
      </c>
      <c r="F10" s="6" t="inlineStr">
        <is>
          <t>2027-08-30</t>
        </is>
      </c>
      <c r="G10" s="6" t="n">
        <v>720</v>
      </c>
      <c r="H10" s="17" t="inlineStr">
        <is>
          <t>indicative</t>
        </is>
      </c>
      <c r="I10" s="15" t="inlineStr">
        <is>
          <t>UNIT not GPU-hour — not comparable without GPU count (8/node); availability=indicative</t>
        </is>
      </c>
      <c r="J10" s="6" t="inlineStr">
        <is>
          <t>compute_commercial_evidence_register.csv row 9</t>
        </is>
      </c>
    </row>
    <row r="11">
      <c r="A11" s="6" t="inlineStr">
        <is>
          <t>QT-09</t>
        </is>
      </c>
      <c r="B11" s="6" t="inlineStr">
        <is>
          <t>hybrid</t>
        </is>
      </c>
      <c r="C11" s="22" t="n">
        <v>8.890000000000001</v>
      </c>
      <c r="D11" s="6" t="inlineStr">
        <is>
          <t>USD/node-hour</t>
        </is>
      </c>
      <c r="E11" s="6" t="inlineStr">
        <is>
          <t>2027-05-01</t>
        </is>
      </c>
      <c r="F11" s="6" t="inlineStr">
        <is>
          <t>2027-09-30</t>
        </is>
      </c>
      <c r="G11" s="6" t="n">
        <v>2160</v>
      </c>
      <c r="H11" s="17" t="inlineStr">
        <is>
          <t>not supplied</t>
        </is>
      </c>
      <c r="I11" s="15" t="inlineStr">
        <is>
          <t>UNIT not GPU-hour — not comparable without GPU count (8/node); availability=not supplied</t>
        </is>
      </c>
      <c r="J11" s="6" t="inlineStr">
        <is>
          <t>compute_commercial_evidence_register.csv row 10</t>
        </is>
      </c>
    </row>
    <row r="12">
      <c r="A12" s="6" t="inlineStr">
        <is>
          <t>QT-10</t>
        </is>
      </c>
      <c r="B12" s="6" t="inlineStr">
        <is>
          <t>L40S-watch</t>
        </is>
      </c>
      <c r="C12" s="23" t="n"/>
      <c r="D12" s="6" t="inlineStr">
        <is>
          <t>USD/GPU-hour</t>
        </is>
      </c>
      <c r="E12" s="6" t="inlineStr">
        <is>
          <t>2027-05-01</t>
        </is>
      </c>
      <c r="F12" s="6" t="inlineStr">
        <is>
          <t>2027-07-30</t>
        </is>
      </c>
      <c r="G12" s="6" t="n">
        <v>0</v>
      </c>
      <c r="H12" s="6" t="inlineStr">
        <is>
          <t>confirmed</t>
        </is>
      </c>
      <c r="I12" s="15" t="inlineStr">
        <is>
          <t>NO PRICE SUPPLIED</t>
        </is>
      </c>
      <c r="J12" s="6" t="inlineStr">
        <is>
          <t>compute_commercial_evidence_register.csv row 11</t>
        </is>
      </c>
    </row>
    <row r="14" ht="28" customHeight="1">
      <c r="A14" s="9" t="inlineStr">
        <is>
          <t>Register anomalies (all orange above): (1) L40S-watch options QT-05/QT-10 have no price — L40S economics cannot be evaluated;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20" t="n"/>
    </row>
    <row r="15" ht="28" customHeight="1">
      <c r="A15" s="9" t="inlineStr">
        <is>
          <t>(2) three unit systems mixed (GPU-hour / instance-hour / node-hour); with 8 GPUs/node, QT-06 on-prem $6.40/node-h = $0.80/GPU-h vs QT-01 on-prem $2.25/GPU-h — mutually inconsistent by 2.8x;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20" t="n"/>
    </row>
    <row r="16" ht="28" customHeight="1">
      <c r="A16" s="9" t="inlineStr">
        <is>
          <t>(3) cloud-H100 $3.08/instance-h (QT-02) is ~10x below the Lambda public reference ($3.99/GPU-h x 8 = $31.92/instance-h) — treat register cloud prices as UNVERIFIED;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20" t="n"/>
    </row>
    <row r="17" ht="28" customHeight="1">
      <c r="A17" s="9" t="inlineStr">
        <is>
          <t>(4) all register quotes are future-dated (valid 2027-05-01 onward; today is 2026-08-25) — none is executable now;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20" t="n"/>
    </row>
    <row r="18" ht="28" customHeight="1">
      <c r="A18" s="9" t="inlineStr">
        <is>
          <t>(5) half the rows carry indicative / not-supplied availability evidence.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20" t="n"/>
    </row>
    <row r="20">
      <c r="A20" s="21" t="inlineStr">
        <is>
          <t>B. Vendor hardware quote AHS-2027-04721 (Helix Infrastructure Solutions, valid until 2027-06-30)</t>
        </is>
      </c>
    </row>
    <row r="21">
      <c r="A21" s="3" t="inlineStr">
        <is>
          <t>Item</t>
        </is>
      </c>
      <c r="B21" s="3" t="inlineStr">
        <is>
          <t>Description</t>
        </is>
      </c>
      <c r="C21" s="3" t="inlineStr">
        <is>
          <t>Unit price $</t>
        </is>
      </c>
      <c r="D21" s="3" t="inlineStr">
        <is>
          <t>Qty</t>
        </is>
      </c>
      <c r="E21" s="3" t="inlineStr">
        <is>
          <t>Total $</t>
        </is>
      </c>
      <c r="F21" s="3" t="inlineStr">
        <is>
          <t>Lead time (wk)</t>
        </is>
      </c>
      <c r="G21" s="3" t="inlineStr">
        <is>
          <t>source</t>
        </is>
      </c>
    </row>
    <row r="22">
      <c r="A22" s="6" t="inlineStr">
        <is>
          <t>NVIDIA DGX H100 System</t>
        </is>
      </c>
      <c r="B22" s="9" t="inlineStr">
        <is>
          <t>8x NVIDIA H100 80 GB SXM5, 2x Intel Xeon Platinum 8480+, 2 TB DDR5, 30 TB NVMe SSD, ConnectX-7 400 G</t>
        </is>
      </c>
      <c r="C22" s="10" t="n">
        <v>346560</v>
      </c>
      <c r="D22" s="6" t="n">
        <v>4</v>
      </c>
      <c r="E22" s="10" t="n">
        <v>1386240</v>
      </c>
      <c r="F22" s="6" t="n">
        <v>14</v>
      </c>
      <c r="G22" s="6" t="inlineStr">
        <is>
          <t>vendor quote Quote Summary row 5</t>
        </is>
      </c>
    </row>
    <row r="23">
      <c r="A23" s="6" t="inlineStr">
        <is>
          <t>Dell PowerEdge R760xa</t>
        </is>
      </c>
      <c r="B23" s="9" t="inlineStr">
        <is>
          <t>4x NVIDIA A100 80 GB PCIe, 2x Intel Xeon Gold 6448Y, 1 TB DDR5, 15.36 TB NVMe SSD</t>
        </is>
      </c>
      <c r="C23" s="10" t="n">
        <v>92055</v>
      </c>
      <c r="D23" s="6" t="n">
        <v>8</v>
      </c>
      <c r="E23" s="10" t="n">
        <v>736440</v>
      </c>
      <c r="F23" s="6" t="n">
        <v>10</v>
      </c>
      <c r="G23" s="6" t="inlineStr">
        <is>
          <t>vendor quote Quote Summary row 6</t>
        </is>
      </c>
    </row>
    <row r="24">
      <c r="A24" s="6" t="inlineStr">
        <is>
          <t>Dell PowerScale F710 All-Flash NAS</t>
        </is>
      </c>
      <c r="B24" s="9" t="inlineStr">
        <is>
          <t>500 TB usable, NFS/SMB, 100 GbE connectivity, data-at-rest encryption</t>
        </is>
      </c>
      <c r="C24" s="10" t="n">
        <v>194940</v>
      </c>
      <c r="D24" s="6" t="n">
        <v>1</v>
      </c>
      <c r="E24" s="10" t="n">
        <v>194940</v>
      </c>
      <c r="F24" s="6" t="n">
        <v>12</v>
      </c>
      <c r="G24" s="6" t="inlineStr">
        <is>
          <t>vendor quote Quote Summary row 7</t>
        </is>
      </c>
    </row>
    <row r="25">
      <c r="A25" s="6" t="inlineStr">
        <is>
          <t>NetApp AFF A250</t>
        </is>
      </c>
      <c r="B25" s="9" t="inlineStr">
        <is>
          <t>200 TB usable, NFS/iSCSI, dual-controller HA, SnapMirror replication</t>
        </is>
      </c>
      <c r="C25" s="10" t="n">
        <v>102885</v>
      </c>
      <c r="D25" s="6" t="n">
        <v>1</v>
      </c>
      <c r="E25" s="10" t="n">
        <v>102885</v>
      </c>
      <c r="F25" s="6" t="n">
        <v>10</v>
      </c>
      <c r="G25" s="6" t="inlineStr">
        <is>
          <t>vendor quote Quote Summary row 8</t>
        </is>
      </c>
    </row>
    <row r="26">
      <c r="A26" s="6" t="inlineStr">
        <is>
          <t>NVIDIA InfiniBand NDR 400G Switch</t>
        </is>
      </c>
      <c r="B26" s="9" t="inlineStr">
        <is>
          <t>Quantum-2 QM9700, 64-port NDR 400 Gb/s, managed, air-cooled</t>
        </is>
      </c>
      <c r="C26" s="10" t="n">
        <v>30324</v>
      </c>
      <c r="D26" s="6" t="n">
        <v>4</v>
      </c>
      <c r="E26" s="10" t="n">
        <v>121296</v>
      </c>
      <c r="F26" s="6" t="n">
        <v>8</v>
      </c>
      <c r="G26" s="6" t="inlineStr">
        <is>
          <t>vendor quote Quote Summary row 9</t>
        </is>
      </c>
    </row>
    <row r="27">
      <c r="A27" s="6" t="inlineStr">
        <is>
          <t>Arista 7050X4 100G Ethernet Switch</t>
        </is>
      </c>
      <c r="B27" s="9" t="inlineStr">
        <is>
          <t>32-port 100 GbE QSFP28, BGP/OSPF, MACsec, dual PSU</t>
        </is>
      </c>
      <c r="C27" s="10" t="n">
        <v>13537.5</v>
      </c>
      <c r="D27" s="6" t="n">
        <v>2</v>
      </c>
      <c r="E27" s="10" t="n">
        <v>27075</v>
      </c>
      <c r="F27" s="6" t="n">
        <v>6</v>
      </c>
      <c r="G27" s="6" t="inlineStr">
        <is>
          <t>vendor quote Quote Summary row 10</t>
        </is>
      </c>
    </row>
    <row r="28">
      <c r="A28" s="6" t="inlineStr">
        <is>
          <t>42U Server Rack with PDU</t>
        </is>
      </c>
      <c r="B28" s="9" t="inlineStr">
        <is>
          <t>APC NetShelter SX 42U, dual vertical metered PDU (60 A 208 V), cable management</t>
        </is>
      </c>
      <c r="C28" s="10" t="n">
        <v>4873.5</v>
      </c>
      <c r="D28" s="6" t="n">
        <v>6</v>
      </c>
      <c r="E28" s="10" t="n">
        <v>29241</v>
      </c>
      <c r="F28" s="6" t="n">
        <v>4</v>
      </c>
      <c r="G28" s="6" t="inlineStr">
        <is>
          <t>vendor quote Quote Summary row 11</t>
        </is>
      </c>
    </row>
    <row r="29">
      <c r="A29" s="6" t="inlineStr">
        <is>
          <t>Eaton 9PX 20 kVA UPS</t>
        </is>
      </c>
      <c r="B29" s="9" t="inlineStr">
        <is>
          <t>Online double-conversion, 20 kVA / 18 kW, extended-runtime battery module, network card</t>
        </is>
      </c>
      <c r="C29" s="10" t="n">
        <v>19494</v>
      </c>
      <c r="D29" s="6" t="n">
        <v>3</v>
      </c>
      <c r="E29" s="10" t="n">
        <v>58482</v>
      </c>
      <c r="F29" s="6" t="n">
        <v>6</v>
      </c>
      <c r="G29" s="6" t="inlineStr">
        <is>
          <t>vendor quote Quote Summary row 12</t>
        </is>
      </c>
    </row>
    <row r="30">
      <c r="A30" s="6" t="inlineStr">
        <is>
          <t>Installation &amp; Configuration Services</t>
        </is>
      </c>
      <c r="B30" s="9" t="inlineStr">
        <is>
          <t>On-site rack, stack, cable, power-up, firmware updates, burn-in testing (est. 3 weeks)</t>
        </is>
      </c>
      <c r="C30" s="10" t="n">
        <v>81225</v>
      </c>
      <c r="D30" s="6" t="n">
        <v>1</v>
      </c>
      <c r="E30" s="10" t="n">
        <v>81225</v>
      </c>
      <c r="F30" s="6" t="inlineStr">
        <is>
          <t>N/A</t>
        </is>
      </c>
      <c r="G30" s="6" t="inlineStr">
        <is>
          <t>vendor quote Quote Summary row 13</t>
        </is>
      </c>
    </row>
    <row r="31">
      <c r="A31" s="6" t="inlineStr">
        <is>
          <t>3-Year Premium Support Contract</t>
        </is>
      </c>
      <c r="B31" s="9" t="inlineStr">
        <is>
          <t>24x7x4 hr on-site response, firmware &amp; driver updates, dedicated TAM, quarterly health checks</t>
        </is>
      </c>
      <c r="C31" s="10" t="n">
        <v>200355</v>
      </c>
      <c r="D31" s="6" t="n">
        <v>1</v>
      </c>
      <c r="E31" s="10" t="n">
        <v>200355</v>
      </c>
      <c r="F31" s="6" t="inlineStr">
        <is>
          <t>N/A</t>
        </is>
      </c>
      <c r="G31" s="6" t="inlineStr">
        <is>
          <t>vendor quote Quote Summary row 14</t>
        </is>
      </c>
    </row>
    <row r="32">
      <c r="B32" s="4" t="inlineStr">
        <is>
          <t>Subtotal check (formula) — quote states 2,938,179</t>
        </is>
      </c>
      <c r="E32" s="10">
        <f>E22+E23+E24+E25+E26+E27+E28+E29+E30+E31</f>
        <v/>
      </c>
    </row>
    <row r="33">
      <c r="B33" s="4" t="inlineStr">
        <is>
          <t>Sales tax 8.5% check — quote states 249,745.21</t>
        </is>
      </c>
      <c r="E33" s="10">
        <f>E32*0.085</f>
        <v/>
      </c>
    </row>
    <row r="34">
      <c r="B34" s="4" t="inlineStr">
        <is>
          <t>Grand total check (subtotal+tax+16,245 shipping) — quote states 3,204,169.21</t>
        </is>
      </c>
      <c r="E34" s="10">
        <f>E32+E33+16245</f>
        <v/>
      </c>
    </row>
    <row r="36">
      <c r="A36" s="21" t="inlineStr">
        <is>
          <t>C. Public reference prices (Lambda, captured page)</t>
        </is>
      </c>
    </row>
    <row r="37">
      <c r="A37" s="3" t="inlineStr">
        <is>
          <t>Reference</t>
        </is>
      </c>
      <c r="B37" s="3" t="inlineStr">
        <is>
          <t>Detail</t>
        </is>
      </c>
      <c r="C37" s="3" t="inlineStr">
        <is>
          <t>Price</t>
        </is>
      </c>
      <c r="D37" s="3" t="inlineStr">
        <is>
          <t>Unit</t>
        </is>
      </c>
      <c r="E37" s="3" t="inlineStr">
        <is>
          <t>source</t>
        </is>
      </c>
    </row>
    <row r="38">
      <c r="A38" s="6" t="inlineStr">
        <is>
          <t>Lambda on-demand 8x NVIDIA H100 SXM 80GB</t>
        </is>
      </c>
      <c r="B38" s="6" t="inlineStr">
        <is>
          <t>Instances pricing, 8x table</t>
        </is>
      </c>
      <c r="C38" s="22" t="n">
        <v>3.99</v>
      </c>
      <c r="D38" s="6" t="inlineStr">
        <is>
          <t>USD/GPU-hr</t>
        </is>
      </c>
      <c r="E38" s="9" t="inlineStr">
        <is>
          <t>lambda-gpu-cloud-pricing.html (Instances pricing)</t>
        </is>
      </c>
    </row>
    <row r="39">
      <c r="A39" s="6" t="inlineStr">
        <is>
          <t>Lambda on-demand 8x NVIDIA A100 SXM 80GB</t>
        </is>
      </c>
      <c r="B39" s="6" t="inlineStr">
        <is>
          <t>Instances pricing, 8x table</t>
        </is>
      </c>
      <c r="C39" s="22" t="n">
        <v>2.79</v>
      </c>
      <c r="D39" s="6" t="inlineStr">
        <is>
          <t>USD/GPU-hr</t>
        </is>
      </c>
      <c r="E39" s="9" t="inlineStr">
        <is>
          <t>lambda-gpu-cloud-pricing.html (Instances pricing)</t>
        </is>
      </c>
    </row>
    <row r="40">
      <c r="A40" s="6" t="inlineStr">
        <is>
          <t>Lambda 1-Click H100 16 GPU (2wk-1yr)</t>
        </is>
      </c>
      <c r="B40" s="6" t="inlineStr">
        <is>
          <t>1-Click Clusters, H100 tab</t>
        </is>
      </c>
      <c r="C40" s="22" t="n">
        <v>6.16</v>
      </c>
      <c r="D40" s="6" t="inlineStr">
        <is>
          <t>USD/GPU-hr</t>
        </is>
      </c>
      <c r="E40" s="9" t="inlineStr">
        <is>
          <t>lambda-gpu-cloud-pricing.html (1-Click Clusters)</t>
        </is>
      </c>
    </row>
    <row r="41">
      <c r="A41" s="6" t="inlineStr">
        <is>
          <t>Lambda 1-Click H100 64 GPU (2wk-1yr)</t>
        </is>
      </c>
      <c r="B41" s="6" t="inlineStr">
        <is>
          <t>1-Click Clusters, H100 tab</t>
        </is>
      </c>
      <c r="C41" s="22" t="n">
        <v>5.85</v>
      </c>
      <c r="D41" s="6" t="inlineStr">
        <is>
          <t>USD/GPU-hr</t>
        </is>
      </c>
      <c r="E41" s="9" t="inlineStr">
        <is>
          <t>lambda-gpu-cloud-pricing.html (1-Click Clusters)</t>
        </is>
      </c>
    </row>
    <row r="42">
      <c r="A42" s="6" t="inlineStr">
        <is>
          <t>Lambda 1-Click H100 256 GPU (2wk-1yr)</t>
        </is>
      </c>
      <c r="B42" s="6" t="inlineStr">
        <is>
          <t>1-Click Clusters, H100 tab</t>
        </is>
      </c>
      <c r="C42" s="22" t="n">
        <v>5.54</v>
      </c>
      <c r="D42" s="6" t="inlineStr">
        <is>
          <t>USD/GPU-hr</t>
        </is>
      </c>
      <c r="E42" s="9" t="inlineStr">
        <is>
          <t>lambda-gpu-cloud-pricing.html (1-Click Clusters)</t>
        </is>
      </c>
    </row>
    <row r="43">
      <c r="A43" s="4" t="inlineStr">
        <is>
          <t>Register-vs-market gap (cloud-H100 QT-02 instance price vs Lambda 8x GPU price x 8)</t>
        </is>
      </c>
      <c r="C43" s="24">
        <f>3.99*8/3.08</f>
        <v/>
      </c>
    </row>
  </sheetData>
  <mergeCells count="5">
    <mergeCell ref="A14:J14"/>
    <mergeCell ref="A17:J17"/>
    <mergeCell ref="A18:J18"/>
    <mergeCell ref="A15:J15"/>
    <mergeCell ref="A16:J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6" customWidth="1" min="3" max="3"/>
    <col width="20" customWidth="1" min="4" max="4"/>
    <col width="60" customWidth="1" min="5" max="5"/>
  </cols>
  <sheetData>
    <row r="1">
      <c r="A1" s="21" t="inlineStr">
        <is>
          <t>3-YEAR TCO BY PORTFOLIO — all values formula-driven; scenario demand from Commitments, prices from Commercial, parameters from Inputs</t>
        </is>
      </c>
    </row>
    <row r="2">
      <c r="A2" s="3" t="inlineStr">
        <is>
          <t>Line</t>
        </is>
      </c>
      <c r="B2" s="3" t="inlineStr">
        <is>
          <t>P1 On-prem build (new)</t>
        </is>
      </c>
      <c r="C2" s="3" t="inlineStr">
        <is>
          <t>P2 Cloud burst (register)</t>
        </is>
      </c>
      <c r="D2" s="3" t="inlineStr">
        <is>
          <t>P3 Hybrid (existing + validated cloud)</t>
        </is>
      </c>
      <c r="E2" s="3" t="inlineStr">
        <is>
          <t>Notes / source</t>
        </is>
      </c>
    </row>
    <row r="3">
      <c r="A3" s="6" t="inlineStr">
        <is>
          <t>Demand scenario: base GPU-h (Commitments total)</t>
        </is>
      </c>
      <c r="B3" s="12">
        <f>Commitments!$F$26</f>
        <v/>
      </c>
      <c r="C3" s="12">
        <f>Commitments!$F$26</f>
        <v/>
      </c>
      <c r="D3" s="12">
        <f>Commitments!$F$26</f>
        <v/>
      </c>
      <c r="E3" s="9" t="inlineStr">
        <is>
          <t>Commitments!F-total; switch TCO to upside by replacing with Commitments!G-total</t>
        </is>
      </c>
    </row>
    <row r="4">
      <c r="A4" s="6" t="inlineStr">
        <is>
          <t>P1 hardware capex (quote grand total)</t>
        </is>
      </c>
      <c r="B4" s="12">
        <f>Commercial!$E$34</f>
        <v/>
      </c>
      <c r="E4" s="9" t="inlineStr">
        <is>
          <t>Commercial sheet B; quote valid until 2027-06-30</t>
        </is>
      </c>
    </row>
    <row r="5">
      <c r="A5" s="6" t="inlineStr">
        <is>
          <t>P1 site preparation capex (WBS est.)</t>
        </is>
      </c>
      <c r="B5" s="12">
        <f>Inputs!$B$18</f>
        <v/>
      </c>
      <c r="E5" s="9" t="inlineStr">
        <is>
          <t>genomics_project_schedule_wbs.csv Estimated_Cost sum</t>
        </is>
      </c>
    </row>
    <row r="6">
      <c r="A6" s="6" t="inlineStr">
        <is>
          <t>P1 energy cost, 3 yr (IT load x PUE x 8760 x tariff x 3)</t>
        </is>
      </c>
      <c r="B6" s="12">
        <f>Inputs!$B$15*Inputs!$B$3*8760*Inputs!$B$4*Inputs!$B$2</f>
        <v/>
      </c>
      <c r="E6" s="9" t="inlineStr">
        <is>
          <t>PUE 1.4 &amp; tariff $0.10/kWh SUPPLIED per datacenter_facility_energy_reference.md</t>
        </is>
      </c>
    </row>
    <row r="7">
      <c r="A7" s="6" t="inlineStr">
        <is>
          <t>P1 support included (3-yr premium)</t>
        </is>
      </c>
      <c r="B7" s="12" t="n">
        <v>0</v>
      </c>
      <c r="E7" s="9" t="inlineStr">
        <is>
          <t>Included in quote line row 16 (Commercial)</t>
        </is>
      </c>
    </row>
    <row r="8">
      <c r="A8" s="4" t="inlineStr">
        <is>
          <t>P1 TOTAL 3-yr cost</t>
        </is>
      </c>
      <c r="B8" s="16">
        <f>B4+B5+B6</f>
        <v/>
      </c>
      <c r="E8" s="9" t="inlineStr"/>
    </row>
    <row r="9">
      <c r="A9" s="6" t="inlineStr">
        <is>
          <t>P1 deliverable GPU-h over 3 yr (96 GPUs x 8760 x 3 x utilisation)</t>
        </is>
      </c>
      <c r="B9" s="12">
        <f>(Inputs!$B$13+Inputs!$B$14)*8760*Inputs!$B$2*Inputs!$B$5</f>
        <v/>
      </c>
      <c r="E9" s="9" t="inlineStr">
        <is>
          <t>utilisation is an ASSUMPTION</t>
        </is>
      </c>
    </row>
    <row r="10">
      <c r="A10" s="4" t="inlineStr">
        <is>
          <t>P1 $/GPU-h (3-yr)</t>
        </is>
      </c>
      <c r="B10" s="25">
        <f>B8/B9</f>
        <v/>
      </c>
      <c r="E10" s="9" t="inlineStr"/>
    </row>
    <row r="11">
      <c r="A11" s="6" t="inlineStr">
        <is>
          <t>P1 caveat: available 2027-11-07 — MISSES all 24 commitment deadlines (max 2027-09-30)</t>
        </is>
      </c>
      <c r="E11" s="9" t="inlineStr">
        <is>
          <t>Feasibility! schedule test</t>
        </is>
      </c>
    </row>
    <row r="12">
      <c r="A12" s="6" t="inlineStr">
        <is>
          <t>P2 unit price used: QT-07 cloud-H100 confirmed</t>
        </is>
      </c>
      <c r="C12" s="12">
        <f>7.23</f>
        <v/>
      </c>
      <c r="E12" s="9" t="inlineStr">
        <is>
          <t>Register row 8; only confirmed GPU-hour cloud price. QT-02/QT-08 use instance-hour (unit gap)</t>
        </is>
      </c>
    </row>
    <row r="13">
      <c r="A13" s="6" t="inlineStr">
        <is>
          <t>P2 cost at register price</t>
        </is>
      </c>
      <c r="C13" s="12">
        <f>C12*$B$3</f>
        <v/>
      </c>
      <c r="E13" s="9" t="inlineStr"/>
    </row>
    <row r="14">
      <c r="A14" s="6" t="inlineStr">
        <is>
          <t>P2 cross-check at Lambda on-demand H100 ($3.99/GPU-h)</t>
        </is>
      </c>
      <c r="C14" s="12">
        <f>Inputs!$B$20*$B$3</f>
        <v/>
      </c>
      <c r="E14" s="9" t="inlineStr">
        <is>
          <t>lambda-gpu-cloud-pricing.html Instances 8x</t>
        </is>
      </c>
    </row>
    <row r="15">
      <c r="A15" s="6" t="inlineStr">
        <is>
          <t>P2 cross-check at Lambda 1-Click 64-GPU ($5.85/GPU-h)</t>
        </is>
      </c>
      <c r="C15" s="12">
        <f>Inputs!$B$21*$B$3</f>
        <v/>
      </c>
      <c r="E15" s="9" t="inlineStr">
        <is>
          <t>1-Click requires 2wk-1yr commitment, 64-GPU blocks</t>
        </is>
      </c>
    </row>
    <row r="16">
      <c r="A16" s="4" t="inlineStr">
        <is>
          <t>P2 commitment-window cost MIN (Lambda on-demand)</t>
        </is>
      </c>
      <c r="C16" s="16">
        <f>MIN(C13:C15)</f>
        <v/>
      </c>
      <c r="E16" s="9" t="inlineStr">
        <is>
          <t>commitment window only; sustained 3-yr cloud ≈ x9 (window is 4 of 36 months)</t>
        </is>
      </c>
    </row>
    <row r="17">
      <c r="A17" s="4" t="inlineStr">
        <is>
          <t>P2 commitment-window cost MAX (register QT-07)</t>
        </is>
      </c>
      <c r="C17" s="16">
        <f>MAX(C13:C15)</f>
        <v/>
      </c>
      <c r="E17" s="9" t="inlineStr"/>
    </row>
    <row r="18">
      <c r="A18" s="6" t="inlineStr">
        <is>
          <t>P3 existing bankable GPU-h (installed H100 + contracted A100)</t>
        </is>
      </c>
      <c r="D18" s="12">
        <f>Capacity!$O$18</f>
        <v/>
      </c>
      <c r="E18" s="9" t="inlineStr">
        <is>
          <t>Capacity sheet bankable row; L40S conditional excluded</t>
        </is>
      </c>
    </row>
    <row r="19">
      <c r="A19" s="6" t="inlineStr">
        <is>
          <t>P3 residual GPU-h to cloud (max(0, base - bankable))</t>
        </is>
      </c>
      <c r="D19" s="12">
        <f>MAX(0,$B$3-D18)</f>
        <v/>
      </c>
      <c r="E19" s="9" t="inlineStr"/>
    </row>
    <row r="20">
      <c r="A20" s="6" t="inlineStr">
        <is>
          <t>P3 cloud residual at QT-04 hybrid confirmed $4.74/GPU-h</t>
        </is>
      </c>
      <c r="D20" s="12">
        <f>D19*4.74</f>
        <v/>
      </c>
      <c r="E20" s="9" t="inlineStr">
        <is>
          <t>Register row 5 (hybrid, confirmed availability)</t>
        </is>
      </c>
    </row>
    <row r="21">
      <c r="A21" s="6" t="inlineStr">
        <is>
          <t>P3 contingency: cloud burst allowance = 10% of base at QT-04</t>
        </is>
      </c>
      <c r="D21" s="12">
        <f>0.1*$B$3*4.74</f>
        <v/>
      </c>
      <c r="E21" s="9" t="inlineStr">
        <is>
          <t>covers peak-concurrency AT RISK windows (Feasibility test 3)</t>
        </is>
      </c>
    </row>
    <row r="22">
      <c r="A22" s="4" t="inlineStr">
        <is>
          <t>P3 marginal cash cost for commitment window</t>
        </is>
      </c>
      <c r="D22" s="16">
        <f>D20+D21</f>
        <v/>
      </c>
      <c r="E22" s="9" t="inlineStr">
        <is>
          <t>Existing capacity assumed already funded — boundary stated in Evidence_Gaps #10</t>
        </is>
      </c>
    </row>
    <row r="24">
      <c r="A24" s="21" t="inlineStr">
        <is>
          <t>COMPARISON (base scenario, commitment window unless noted)</t>
        </is>
      </c>
    </row>
    <row r="25">
      <c r="A25" s="4" t="inlineStr">
        <is>
          <t>Cost to serve base demand</t>
        </is>
      </c>
      <c r="B25" s="16">
        <f>B8</f>
        <v/>
      </c>
      <c r="C25" s="16">
        <f>C16</f>
        <v/>
      </c>
      <c r="D25" s="16">
        <f>D22</f>
        <v/>
      </c>
      <c r="E25" s="9" t="inlineStr">
        <is>
          <t>P1 figure is 3-yr capex+energy that delivers 0 GPU-h before 2027-09-30 (handoff 2027-11-07); P2 shows MIN of range; P3 incl. 10% burst contingency</t>
        </is>
      </c>
    </row>
    <row r="27" ht="30" customHeight="1">
      <c r="A27" s="9" t="inlineStr">
        <is>
          <t>Upside scenario: set demand to upside (688,128 GPU-h): P2 register = upside x 7.23; P3 residual grows only if bankable &lt; upside (it is not: bankable 1.25M &gt; upside) → P3 stays ~$0 marginal.</t>
        </is>
      </c>
      <c r="B27" s="19" t="n"/>
      <c r="C27" s="19" t="n"/>
      <c r="D27" s="19" t="n"/>
      <c r="E27" s="20" t="n"/>
    </row>
  </sheetData>
  <mergeCells count="1"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70" customWidth="1" min="5" max="5"/>
  </cols>
  <sheetData>
    <row r="1">
      <c r="A1" s="3" t="inlineStr">
        <is>
          <t>Test</t>
        </is>
      </c>
      <c r="B1" s="3" t="inlineStr">
        <is>
          <t>P1 On-prem build (new)</t>
        </is>
      </c>
      <c r="C1" s="3" t="inlineStr">
        <is>
          <t>P2 Cloud burst</t>
        </is>
      </c>
      <c r="D1" s="3" t="inlineStr">
        <is>
          <t>P3 Hybrid (existing+cloud)</t>
        </is>
      </c>
      <c r="E1" s="3" t="inlineStr">
        <is>
          <t>Evidence</t>
        </is>
      </c>
    </row>
    <row r="2" ht="52" customHeight="1">
      <c r="A2" s="26" t="inlineStr">
        <is>
          <t>SCHEDULE: can serve commitment window 2027-06-01..09-30</t>
        </is>
      </c>
      <c r="B2" s="27">
        <f>IF(DATE(2027,11,7)&lt;=DATE(2027,9,30),"PASS","FAIL")</f>
        <v/>
      </c>
      <c r="C2" s="27">
        <f>IF(1=1,"PASS*","FAIL")</f>
        <v/>
      </c>
      <c r="D2" s="27">
        <f>"PASS"</f>
        <v/>
      </c>
      <c r="E2" s="9" t="inlineStr">
        <is>
          <t>P1 handoff 2027-11-07 (WBS GX-044) &gt; latest deadline 2027-09-30 → FAIL. *P2 passes only if availability evidence is supplied — QT-02/03/08/09 are indicative/not-supplied.</t>
        </is>
      </c>
    </row>
    <row r="3" ht="52" customHeight="1">
      <c r="A3" s="26" t="inlineStr">
        <is>
          <t>TECHNICAL: controlled-onprem residency (8 commitments, 215,040 base GPU-h)</t>
        </is>
      </c>
      <c r="B3" s="27">
        <f>"PASS (once built)"</f>
        <v/>
      </c>
      <c r="C3" s="27">
        <f>"FAIL"</f>
        <v/>
      </c>
      <c r="D3" s="27">
        <f>"PASS"</f>
        <v/>
      </c>
      <c r="E3" s="9" t="inlineStr">
        <is>
          <t>genomics_capacity_commitments.csv data_residency=controlled-onprem — cannot leave premises; cloud fails by policy.</t>
        </is>
      </c>
    </row>
    <row r="4" ht="52" customHeight="1">
      <c r="A4" s="26" t="inlineStr">
        <is>
          <t>TECHNICAL: exclusive isolation, peak concurrency vs capacity</t>
        </is>
      </c>
      <c r="B4" s="27">
        <f>"PASS (once built)"</f>
        <v/>
      </c>
      <c r="C4" s="27">
        <f>"PASS*"</f>
        <v/>
      </c>
      <c r="D4" s="27">
        <f>IF(256-32&gt;=240,"PASS","AT RISK")</f>
        <v/>
      </c>
      <c r="E4" s="9" t="inlineStr">
        <is>
          <t>Exclusive-isolation overlap can reach ~240 GPUs (GXC-001 64 + GXC-012 40 + GXC-021 48 + GXC-024 8 + GXC-015 64 + GXC-004 32 stacked, less non-overlapping legs) vs 256 installed H100 minus up to 32 in fixed maintenance (MW-04/MW-16) → AT RISK at margin; GXC-004 window dates pending.</t>
        </is>
      </c>
    </row>
    <row r="5" ht="52" customHeight="1">
      <c r="A5" s="26" t="inlineStr">
        <is>
          <t>COMMERCIAL: price evidence complete &amp; comparable</t>
        </is>
      </c>
      <c r="B5" s="27">
        <f>"PASS"</f>
        <v/>
      </c>
      <c r="C5" s="27">
        <f>"FAIL"</f>
        <v/>
      </c>
      <c r="D5" s="27">
        <f>"PARTIAL"</f>
        <v/>
      </c>
      <c r="E5" s="9" t="inlineStr">
        <is>
          <t>Vendor quote complete &amp; internally consistent (checks on Commercial sheet). Register mixes 3 unit systems; L40S has no price; cloud prices ~10x below Lambda reference → cloud economics unverified.</t>
        </is>
      </c>
    </row>
    <row r="6" ht="52" customHeight="1">
      <c r="A6" s="26" t="inlineStr">
        <is>
          <t>COMMERCIAL: instrument executable at decision date (2026-08-25)</t>
        </is>
      </c>
      <c r="B6" s="27">
        <f>"PASS*"</f>
        <v/>
      </c>
      <c r="C6" s="27">
        <f>"FAIL"</f>
        <v/>
      </c>
      <c r="D6" s="27">
        <f>"FAIL (cloud leg)"</f>
        <v/>
      </c>
      <c r="E6" s="9" t="inlineStr">
        <is>
          <t>Vendor quote valid to 2027-06-30 covers PO after budget approval (GX-008 done 2027-05-09). *Register quotes only valid from 2027-05-01 — none executable today.</t>
        </is>
      </c>
    </row>
    <row r="7" ht="52" customHeight="1">
      <c r="A7" s="26" t="inlineStr">
        <is>
          <t>SCHEDULE: facility readiness precedes hardware delivery</t>
        </is>
      </c>
      <c r="B7" s="27">
        <f>IF(DATE(2027,7,11)&lt;=DATE(2027,7,7),"PASS","AT RISK")</f>
        <v/>
      </c>
      <c r="C7" s="27">
        <f>"N/A"</f>
        <v/>
      </c>
      <c r="D7" s="27">
        <f>"N/A"</f>
        <v/>
      </c>
      <c r="E7" s="9" t="inlineStr">
        <is>
          <t>WBS: infra prep ends 2027-07-11 but receiving starts 2027-07-07 — 4-day overlap conflict; GX-010 electrical 80%, GX-013 fire suppression 0% (not started).</t>
        </is>
      </c>
    </row>
    <row r="8" ht="52" customHeight="1">
      <c r="A8" s="26" t="inlineStr">
        <is>
          <t>EVIDENCE: L40S leg bankable</t>
        </is>
      </c>
      <c r="B8" s="27">
        <f>"N/A"</f>
        <v/>
      </c>
      <c r="C8" s="27">
        <f>"FAIL"</f>
        <v/>
      </c>
      <c r="D8" s="27">
        <f>"FAIL"</f>
        <v/>
      </c>
      <c r="E8" s="9" t="inlineStr">
        <is>
          <t>Inventory CL-03/06/09/12 evidence_status=conditional; all MD-C maintenance windows pending + entire-domain validation; QT-05/10 no price.</t>
        </is>
      </c>
    </row>
    <row r="10" ht="64" customHeight="1">
      <c r="A10" s="4" t="inlineStr">
        <is>
          <t>VERDICT</t>
        </is>
      </c>
      <c r="B10" s="28" t="inlineStr">
        <is>
          <t>FEASIBLE for 2027-Q4+ growth only; FAILS current commitments</t>
        </is>
      </c>
      <c r="C10" s="28" t="inlineStr">
        <is>
          <t>NOT BANKABLE as priced — availability &amp; unit evidence missing</t>
        </is>
      </c>
      <c r="D10" s="29" t="inlineStr">
        <is>
          <t>FEASIBLE WITH CONDITIONS: bankable H100+A100 covers base; manage peak-concurrency AT RISK via window negotiation; L40S excluded until confirmed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78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Source / status</t>
        </is>
      </c>
    </row>
    <row r="2">
      <c r="A2" s="4" t="inlineStr">
        <is>
          <t>New build IT load (kW)</t>
        </is>
      </c>
      <c r="B2" s="30">
        <f>Inputs!$B$15</f>
        <v/>
      </c>
      <c r="C2" s="9" t="inlineStr">
        <is>
          <t>vendor quote Technical Specifications final row</t>
        </is>
      </c>
    </row>
    <row r="3">
      <c r="A3" s="4" t="inlineStr">
        <is>
          <t>Facility load incl. cooling (kW) = IT x PUE</t>
        </is>
      </c>
      <c r="B3" s="30">
        <f>B2*Inputs!$B$3</f>
        <v/>
      </c>
      <c r="C3" s="9" t="inlineStr">
        <is>
          <t>PUE 1.4 SUPPLIED per datacenter_facility_energy_reference.md (ISO/IEC 30134-2 boundary)</t>
        </is>
      </c>
    </row>
    <row r="4">
      <c r="A4" s="4" t="inlineStr">
        <is>
          <t>Facility upgrade headroom (kW) = 200 - facility load</t>
        </is>
      </c>
      <c r="B4" s="30">
        <f>Inputs!$B$16-B3</f>
        <v/>
      </c>
      <c r="C4" s="9" t="inlineStr">
        <is>
          <t>GX-010 200 kW upgrade (WBS); headroom positive → fits</t>
        </is>
      </c>
    </row>
    <row r="5">
      <c r="A5" s="4" t="inlineStr">
        <is>
          <t>Cooling load (BTU/hr)</t>
        </is>
      </c>
      <c r="B5" s="12" t="n">
        <v>389650</v>
      </c>
      <c r="C5" s="9" t="inlineStr">
        <is>
          <t>vendor quote Technical Specifications final row</t>
        </is>
      </c>
    </row>
    <row r="6">
      <c r="A6" s="4" t="inlineStr">
        <is>
          <t>Annual energy at 100% run (MWh/yr) = IT x PUE x 8760/1000</t>
        </is>
      </c>
      <c r="B6" s="12">
        <f>B2*Inputs!$B$3*8760/1000</f>
        <v/>
      </c>
      <c r="C6" s="9" t="inlineStr">
        <is>
          <t>formula</t>
        </is>
      </c>
    </row>
    <row r="7">
      <c r="A7" s="4" t="inlineStr">
        <is>
          <t>Annual carbon at grid factor (t CO2e/yr)</t>
        </is>
      </c>
      <c r="B7" s="12">
        <f>B6*1000*Inputs!$B$6/1000</f>
        <v/>
      </c>
      <c r="C7" s="9" t="inlineStr">
        <is>
          <t>carbon factor 0.386 SUPPLIED per datacenter_facility_energy_reference.md</t>
        </is>
      </c>
    </row>
    <row r="8">
      <c r="A8" s="4" t="inlineStr">
        <is>
          <t>Energy per delivered GPU-h at 65% util (kWh/GPU-h)</t>
        </is>
      </c>
      <c r="B8" s="22">
        <f>B2*8760/((Inputs!$B$13+Inputs!$B$14)*8760*Inputs!$B$5)</f>
        <v/>
      </c>
      <c r="C8" s="9" t="inlineStr">
        <is>
          <t>formula</t>
        </is>
      </c>
    </row>
    <row r="9">
      <c r="A9" s="4" t="inlineStr">
        <is>
          <t>H100 SXM TDP (W)</t>
        </is>
      </c>
      <c r="B9" s="13" t="n">
        <v>700</v>
      </c>
      <c r="C9" s="9" t="inlineStr">
        <is>
          <t>nvidia-h100-product-page.html specs table (up to 700W configurable)</t>
        </is>
      </c>
    </row>
    <row r="10">
      <c r="A10" s="4" t="inlineStr">
        <is>
          <t>A100 SXM TDP (W)</t>
        </is>
      </c>
      <c r="B10" s="13" t="n">
        <v>400</v>
      </c>
      <c r="C10" s="9" t="inlineStr">
        <is>
          <t>nvidia-a100-datasheet.pdf p.1 system specifications</t>
        </is>
      </c>
    </row>
    <row r="11">
      <c r="A11" s="4" t="inlineStr">
        <is>
          <t>L40S max power (W)</t>
        </is>
      </c>
      <c r="B11" s="13" t="n">
        <v>350</v>
      </c>
      <c r="C11" s="9" t="inlineStr">
        <is>
          <t>nvidia-l40s-product-page.html specifications</t>
        </is>
      </c>
    </row>
    <row r="12">
      <c r="A12" s="4" t="inlineStr">
        <is>
          <t>H100 FP8 dense perf (TFLOPS)</t>
        </is>
      </c>
      <c r="B12" s="12" t="n">
        <v>1979</v>
      </c>
      <c r="C12" s="9" t="inlineStr">
        <is>
          <t>nvidia-h100-product-page.html (3,958 with sparsity)</t>
        </is>
      </c>
    </row>
    <row r="13">
      <c r="A13" s="4" t="inlineStr">
        <is>
          <t>A100 FP16 dense perf (TFLOPS)</t>
        </is>
      </c>
      <c r="B13" s="12" t="n">
        <v>312</v>
      </c>
      <c r="C13" s="9" t="inlineStr">
        <is>
          <t>nvidia-a100-datasheet.pdf p.1 (624 with sparsity)</t>
        </is>
      </c>
    </row>
    <row r="14">
      <c r="A14" s="4" t="inlineStr">
        <is>
          <t>L40S FP8 dense perf (TFLOPS)</t>
        </is>
      </c>
      <c r="B14" s="12" t="n">
        <v>733</v>
      </c>
      <c r="C14" s="9" t="inlineStr">
        <is>
          <t>nvidia-l40s-product-page.html (1,466 with sparsity)</t>
        </is>
      </c>
    </row>
    <row r="15">
      <c r="A15" s="4" t="inlineStr">
        <is>
          <t>H100 perf/W (dense FP8)</t>
        </is>
      </c>
      <c r="B15" s="22">
        <f>B12/B9</f>
        <v/>
      </c>
      <c r="C15" s="9" t="inlineStr">
        <is>
          <t>formula → most energy-efficient per FLOP</t>
        </is>
      </c>
    </row>
    <row r="16">
      <c r="A16" s="4" t="inlineStr">
        <is>
          <t>A100 perf/W (dense FP16)</t>
        </is>
      </c>
      <c r="B16" s="22">
        <f>B13/B10</f>
        <v/>
      </c>
      <c r="C16" s="9" t="inlineStr">
        <is>
          <t>formula</t>
        </is>
      </c>
    </row>
    <row r="17">
      <c r="A17" s="4" t="inlineStr">
        <is>
          <t>L40S perf/W (dense FP8)</t>
        </is>
      </c>
      <c r="B17" s="22">
        <f>B14/B11</f>
        <v/>
      </c>
      <c r="C17" s="9" t="inlineStr">
        <is>
          <t>formula</t>
        </is>
      </c>
    </row>
    <row r="18">
      <c r="A18" s="4" t="inlineStr">
        <is>
          <t>Legacy fleet retired (GPUs)</t>
        </is>
      </c>
      <c r="B18" s="13" t="n">
        <v>40</v>
      </c>
      <c r="C18" s="9" t="inlineStr">
        <is>
          <t>genomics_workload_portfolio.db current_infrastructure status end_of_life/degraded</t>
        </is>
      </c>
    </row>
    <row r="20" ht="30" customHeight="1">
      <c r="A20" s="9" t="inlineStr">
        <is>
          <t>Cloud sustainability: Lambda pricing page supplies no PUE/carbon data — GAP. No like-for-like cloud carbon comparison is possible from the supplied evidence.</t>
        </is>
      </c>
      <c r="B20" s="19" t="n"/>
      <c r="C20" s="20" t="n"/>
    </row>
  </sheetData>
  <mergeCells count="1">
    <mergeCell ref="A20:C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44" customWidth="1" min="3" max="3"/>
    <col width="52" customWidth="1" min="4" max="4"/>
    <col width="40" customWidth="1" min="5" max="5"/>
  </cols>
  <sheetData>
    <row r="1">
      <c r="A1" s="3" t="inlineStr">
        <is>
          <t>#</t>
        </is>
      </c>
      <c r="B1" s="3" t="inlineStr">
        <is>
          <t>Gap / unresolved boundary</t>
        </is>
      </c>
      <c r="C1" s="3" t="inlineStr">
        <is>
          <t>Impact</t>
        </is>
      </c>
      <c r="D1" s="3" t="inlineStr">
        <is>
          <t>Decision-changing condition</t>
        </is>
      </c>
      <c r="E1" s="3" t="inlineStr">
        <is>
          <t>Locator</t>
        </is>
      </c>
    </row>
    <row r="2" ht="46" customHeight="1">
      <c r="A2" s="9" t="n">
        <v>1</v>
      </c>
      <c r="B2" s="9" t="inlineStr">
        <is>
          <t>New build handoff 2027-11-07 is after every commitment deadline (max 2027-09-30)</t>
        </is>
      </c>
      <c r="C2" s="9" t="inlineStr">
        <is>
          <t>P1 cannot serve the demand it was sized for</t>
        </is>
      </c>
      <c r="D2" s="9" t="inlineStr">
        <is>
          <t>P1 approvable ONLY if re-justified against post-2027 demand (DB shows 93,870 GPU-h/month survey demand)</t>
        </is>
      </c>
      <c r="E2" s="9" t="inlineStr">
        <is>
          <t>WBS GX-044/045 vs commitments deadlines</t>
        </is>
      </c>
    </row>
    <row r="3" ht="46" customHeight="1">
      <c r="A3" s="9" t="n">
        <v>2</v>
      </c>
      <c r="B3" s="9" t="inlineStr">
        <is>
          <t>L40S clusters conditional; all MD-C maintenance windows pending with entire-domain validation</t>
        </is>
      </c>
      <c r="C3" s="9" t="inlineStr">
        <is>
          <t>224 GPUs (31% of inventory) not bankable</t>
        </is>
      </c>
      <c r="D3" s="9" t="inlineStr">
        <is>
          <t>If MD-C confirmed before 2027-08-01, upside scenario gains 322k GPU-h headroom</t>
        </is>
      </c>
      <c r="E3" s="9" t="inlineStr">
        <is>
          <t>inventory rows 4,7,10,13; MW-03/06/09/12/15/18</t>
        </is>
      </c>
    </row>
    <row r="4" ht="46" customHeight="1">
      <c r="A4" s="9" t="n">
        <v>3</v>
      </c>
      <c r="B4" s="9" t="inlineStr">
        <is>
          <t>Register mixes GPU-hour / instance-hour / node-hour units</t>
        </is>
      </c>
      <c r="C4" s="9" t="inlineStr">
        <is>
          <t>Cloud quotes not comparable as supplied</t>
        </is>
      </c>
      <c r="D4" s="9" t="inlineStr">
        <is>
          <t>If 8 GPUs/instance assumed, QT-02 = $0.39/GPU-h — 10x below market; obtain corrected quotes</t>
        </is>
      </c>
      <c r="E4" s="9" t="inlineStr">
        <is>
          <t>register rows 2-11</t>
        </is>
      </c>
    </row>
    <row r="5" ht="46" customHeight="1">
      <c r="A5" s="9" t="n">
        <v>4</v>
      </c>
      <c r="B5" s="9" t="inlineStr">
        <is>
          <t>QT-05 / QT-10 (L40S-watch) have no price</t>
        </is>
      </c>
      <c r="C5" s="9" t="inlineStr">
        <is>
          <t>L40S economics unevaluable</t>
        </is>
      </c>
      <c r="D5" s="9" t="inlineStr">
        <is>
          <t>Decision on L40S leg deferred until priced</t>
        </is>
      </c>
      <c r="E5" s="9" t="inlineStr">
        <is>
          <t>register rows 6, 11</t>
        </is>
      </c>
    </row>
    <row r="6" ht="46" customHeight="1">
      <c r="A6" s="9" t="n">
        <v>5</v>
      </c>
      <c r="B6" s="9" t="inlineStr">
        <is>
          <t>Register availability evidence indicative / not supplied on 6 of 10 rows</t>
        </is>
      </c>
      <c r="C6" s="9" t="inlineStr">
        <is>
          <t>Cloud capacity at deadline not assured</t>
        </is>
      </c>
      <c r="D6" s="9" t="inlineStr">
        <is>
          <t>Confirmed-capacity contract required before relying on P2</t>
        </is>
      </c>
      <c r="E6" s="9" t="inlineStr">
        <is>
          <t>register availability_evidence column</t>
        </is>
      </c>
    </row>
    <row r="7" ht="46" customHeight="1">
      <c r="A7" s="9" t="n">
        <v>6</v>
      </c>
      <c r="B7" s="9" t="inlineStr">
        <is>
          <t>7 of 24 commitments have upside &lt; base (GXC-010/011/012/013/018/019/020)</t>
        </is>
      </c>
      <c r="C7" s="9" t="inlineStr">
        <is>
          <t>Upside scenario understated; records internally inconsistent</t>
        </is>
      </c>
      <c r="D7" s="9" t="inlineStr">
        <is>
          <t>Re-baseline with PIs before contract sizing</t>
        </is>
      </c>
      <c r="E7" s="9" t="inlineStr">
        <is>
          <t>commitments CSV rows 11,12,13,14,19,20,21</t>
        </is>
      </c>
    </row>
    <row r="8" ht="46" customHeight="1">
      <c r="A8" s="9" t="n">
        <v>7</v>
      </c>
      <c r="B8" s="9" t="inlineStr">
        <is>
          <t>GXC-004 window dates pending (two 7-day continuous exclusive windows)</t>
        </is>
      </c>
      <c r="C8" s="9" t="inlineStr">
        <is>
          <t>Peak-concurrency AT RISK cannot be resolved</t>
        </is>
      </c>
      <c r="D8" s="9" t="inlineStr">
        <is>
          <t>If GXC-004 lands on a fixed MD-A maintenance window, 32-GPU shortfall → negotiate windows or burst</t>
        </is>
      </c>
      <c r="E8" s="9" t="inlineStr">
        <is>
          <t>commitments row 5</t>
        </is>
      </c>
    </row>
    <row r="9" ht="46" customHeight="1">
      <c r="A9" s="9" t="n">
        <v>8</v>
      </c>
      <c r="B9" s="9" t="inlineStr">
        <is>
          <t>Vendor quote expires 2027-06-30; infrastructure prep completes 2027-07-11; receiving starts 2027-07-07 (4-day overlap)</t>
        </is>
      </c>
      <c r="C9" s="9" t="inlineStr">
        <is>
          <t>P1 schedule has zero float at delivery</t>
        </is>
      </c>
      <c r="D9" s="9" t="inlineStr">
        <is>
          <t>Any slip in GX-010/013 invalidates quote pricing or delivery</t>
        </is>
      </c>
      <c r="E9" s="9" t="inlineStr">
        <is>
          <t>quote header; WBS GX-009/010/013/018</t>
        </is>
      </c>
    </row>
    <row r="10" ht="46" customHeight="1">
      <c r="A10" s="9" t="n">
        <v>9</v>
      </c>
      <c r="B10" s="9" t="inlineStr">
        <is>
          <t>Facility PUE (1.4), tariff (0.10/kWh) and grid carbon (0.386) SUPPLIED by facility energy reference</t>
        </is>
      </c>
      <c r="C10" s="9" t="inlineStr">
        <is>
          <t>Opex &amp; sustainability now use supplied facility factors; sensitivity retained</t>
        </is>
      </c>
      <c r="D10" s="9" t="inlineStr">
        <is>
          <t>±$0.08/kWh moves P1 3-yr cost ±$336k; obtain facility data</t>
        </is>
      </c>
      <c r="E10" s="9" t="inlineStr">
        <is>
          <t>Inputs yellow cells</t>
        </is>
      </c>
    </row>
    <row r="11" ht="46" customHeight="1">
      <c r="A11" s="9" t="n">
        <v>10</v>
      </c>
      <c r="B11" s="9" t="inlineStr">
        <is>
          <t>Marginal cash cost of existing installed/contracted capacity not itemised</t>
        </is>
      </c>
      <c r="C11" s="9" t="inlineStr">
        <is>
          <t>P3 shows ~$0 marginal — true only if contracts already funded</t>
        </is>
      </c>
      <c r="D11" s="9" t="inlineStr">
        <is>
          <t>Confirm contract spend for CL-02..CL-12 before claiming savings</t>
        </is>
      </c>
      <c r="E11" s="9" t="inlineStr">
        <is>
          <t>inventory evidence_status</t>
        </is>
      </c>
    </row>
    <row r="12" ht="46" customHeight="1">
      <c r="A12" s="9" t="n">
        <v>11</v>
      </c>
      <c r="B12" s="9" t="inlineStr">
        <is>
          <t>WBS Dependencies use 1.x numbering that does not match WBS_IDs (GX-0xx)</t>
        </is>
      </c>
      <c r="C12" s="9" t="inlineStr">
        <is>
          <t>Critical path not machine-verifiable</t>
        </is>
      </c>
      <c r="D12" s="9" t="inlineStr">
        <is>
          <t>Re-map dependencies before schedule assurance</t>
        </is>
      </c>
      <c r="E12" s="9" t="inlineStr">
        <is>
          <t>WBS Dependencies column</t>
        </is>
      </c>
    </row>
    <row r="13" ht="46" customHeight="1">
      <c r="A13" s="9" t="n">
        <v>12</v>
      </c>
      <c r="B13" s="9" t="inlineStr">
        <is>
          <t>Cloud carbon/PUE data absent from Lambda reference</t>
        </is>
      </c>
      <c r="C13" s="9" t="inlineStr">
        <is>
          <t>No like-for-like sustainability comparison</t>
        </is>
      </c>
      <c r="D13" s="9" t="inlineStr">
        <is>
          <t>Request provider PUE/CFE data</t>
        </is>
      </c>
      <c r="E13" s="9" t="inlineStr">
        <is>
          <t>lambda-gpu-cloud-pricing.html (absent)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6" customWidth="1" min="4" max="4"/>
    <col width="14" customWidth="1" min="5" max="5"/>
    <col width="22" customWidth="1" min="6" max="6"/>
    <col width="14" customWidth="1" min="7" max="7"/>
    <col width="14" customWidth="1" min="8" max="8"/>
    <col width="46" customWidth="1" min="9" max="9"/>
  </cols>
  <sheetData>
    <row r="1">
      <c r="A1" s="31" t="inlineStr">
        <is>
          <t>system_name</t>
        </is>
      </c>
      <c r="B1" s="31" t="inlineStr">
        <is>
          <t>gpu_type</t>
        </is>
      </c>
      <c r="C1" s="31" t="inlineStr">
        <is>
          <t>num_gpus</t>
        </is>
      </c>
      <c r="D1" s="31" t="inlineStr">
        <is>
          <t>utilization_pct</t>
        </is>
      </c>
      <c r="E1" s="31" t="inlineStr">
        <is>
          <t>status</t>
        </is>
      </c>
      <c r="F1" s="31" t="inlineStr">
        <is>
          <t>usable_gpus (=num_gpus*util/100)</t>
        </is>
      </c>
      <c r="G1" s="31" t="inlineStr">
        <is>
          <t>year_acquired</t>
        </is>
      </c>
      <c r="H1" s="31" t="inlineStr">
        <is>
          <t>total_memory_gb</t>
        </is>
      </c>
      <c r="I1" s="31" t="inlineStr">
        <is>
          <t>source</t>
        </is>
      </c>
    </row>
    <row r="2">
      <c r="A2" t="inlineStr">
        <is>
          <t>gpu-cluster-01</t>
        </is>
      </c>
      <c r="B2" t="inlineStr">
        <is>
          <t>NVIDIA V100 32 GB</t>
        </is>
      </c>
      <c r="C2" t="n">
        <v>8</v>
      </c>
      <c r="D2" s="32" t="n">
        <v>98.2</v>
      </c>
      <c r="E2" t="inlineStr">
        <is>
          <t>end_of_life</t>
        </is>
      </c>
      <c r="F2" s="33" t="n">
        <v>7.86</v>
      </c>
      <c r="G2" t="n">
        <v>2019</v>
      </c>
      <c r="H2" t="n">
        <v>256</v>
      </c>
      <c r="I2" t="inlineStr">
        <is>
          <t>genomics_workload_portfolio.db / current_infrastructure</t>
        </is>
      </c>
    </row>
    <row r="3">
      <c r="A3" t="inlineStr">
        <is>
          <t>gpu-cluster-02</t>
        </is>
      </c>
      <c r="B3" t="inlineStr">
        <is>
          <t>NVIDIA V100 32 GB</t>
        </is>
      </c>
      <c r="C3" t="n">
        <v>8</v>
      </c>
      <c r="D3" s="32" t="n">
        <v>96.5</v>
      </c>
      <c r="E3" t="inlineStr">
        <is>
          <t>degraded</t>
        </is>
      </c>
      <c r="F3" s="33" t="n">
        <v>7.72</v>
      </c>
      <c r="G3" t="n">
        <v>2019</v>
      </c>
      <c r="H3" t="n">
        <v>256</v>
      </c>
      <c r="I3" t="inlineStr">
        <is>
          <t>genomics_workload_portfolio.db / current_infrastructure</t>
        </is>
      </c>
    </row>
    <row r="4">
      <c r="A4" t="inlineStr">
        <is>
          <t>gpu-node-03</t>
        </is>
      </c>
      <c r="B4" t="inlineStr">
        <is>
          <t>NVIDIA RTX 3090 24 GB</t>
        </is>
      </c>
      <c r="C4" t="n">
        <v>4</v>
      </c>
      <c r="D4" s="32" t="n">
        <v>94</v>
      </c>
      <c r="E4" t="inlineStr">
        <is>
          <t>operational</t>
        </is>
      </c>
      <c r="F4" s="33" t="n">
        <v>3.76</v>
      </c>
      <c r="G4" t="n">
        <v>2021</v>
      </c>
      <c r="H4" t="n">
        <v>128</v>
      </c>
      <c r="I4" t="inlineStr">
        <is>
          <t>genomics_workload_portfolio.db / current_infrastructure</t>
        </is>
      </c>
    </row>
    <row r="5">
      <c r="A5" t="inlineStr">
        <is>
          <t>gpu-node-04</t>
        </is>
      </c>
      <c r="B5" t="inlineStr">
        <is>
          <t>NVIDIA RTX 3090 24 GB</t>
        </is>
      </c>
      <c r="C5" t="n">
        <v>4</v>
      </c>
      <c r="D5" s="32" t="n">
        <v>91.3</v>
      </c>
      <c r="E5" t="inlineStr">
        <is>
          <t>operational</t>
        </is>
      </c>
      <c r="F5" s="33" t="n">
        <v>3.65</v>
      </c>
      <c r="G5" t="n">
        <v>2021</v>
      </c>
      <c r="H5" t="n">
        <v>128</v>
      </c>
      <c r="I5" t="inlineStr">
        <is>
          <t>genomics_workload_portfolio.db / current_infrastructure</t>
        </is>
      </c>
    </row>
    <row r="6">
      <c r="A6" t="inlineStr">
        <is>
          <t>gpu-node-05</t>
        </is>
      </c>
      <c r="B6" t="inlineStr">
        <is>
          <t>NVIDIA A6000 48 GB</t>
        </is>
      </c>
      <c r="C6" t="n">
        <v>4</v>
      </c>
      <c r="D6" s="32" t="n">
        <v>97.8</v>
      </c>
      <c r="E6" t="inlineStr">
        <is>
          <t>operational</t>
        </is>
      </c>
      <c r="F6" s="33" t="n">
        <v>3.91</v>
      </c>
      <c r="G6" t="n">
        <v>2022</v>
      </c>
      <c r="H6" t="n">
        <v>192</v>
      </c>
      <c r="I6" t="inlineStr">
        <is>
          <t>genomics_workload_portfolio.db / current_infrastructure</t>
        </is>
      </c>
    </row>
    <row r="7">
      <c r="A7" t="inlineStr">
        <is>
          <t>gpu-node-06</t>
        </is>
      </c>
      <c r="B7" t="inlineStr">
        <is>
          <t>NVIDIA A6000 48 GB</t>
        </is>
      </c>
      <c r="C7" t="n">
        <v>4</v>
      </c>
      <c r="D7" s="32" t="n">
        <v>95.09999999999999</v>
      </c>
      <c r="E7" t="inlineStr">
        <is>
          <t>operational</t>
        </is>
      </c>
      <c r="F7" s="33" t="n">
        <v>3.8</v>
      </c>
      <c r="G7" t="n">
        <v>2022</v>
      </c>
      <c r="H7" t="n">
        <v>192</v>
      </c>
      <c r="I7" t="inlineStr">
        <is>
          <t>genomics_workload_portfolio.db / current_infrastructure</t>
        </is>
      </c>
    </row>
    <row r="8">
      <c r="A8" t="inlineStr">
        <is>
          <t>dgx-station-01</t>
        </is>
      </c>
      <c r="B8" t="inlineStr">
        <is>
          <t>NVIDIA A100 40 GB</t>
        </is>
      </c>
      <c r="C8" t="n">
        <v>4</v>
      </c>
      <c r="D8" s="32" t="n">
        <v>99.09999999999999</v>
      </c>
      <c r="E8" t="inlineStr">
        <is>
          <t>operational</t>
        </is>
      </c>
      <c r="F8" s="33" t="n">
        <v>3.96</v>
      </c>
      <c r="G8" t="n">
        <v>2022</v>
      </c>
      <c r="H8" t="n">
        <v>320</v>
      </c>
      <c r="I8" t="inlineStr">
        <is>
          <t>genomics_workload_portfolio.db / current_infrastructure</t>
        </is>
      </c>
    </row>
    <row r="9">
      <c r="A9" t="inlineStr">
        <is>
          <t>dgx-station-02</t>
        </is>
      </c>
      <c r="B9" t="inlineStr">
        <is>
          <t>NVIDIA A100 40 GB</t>
        </is>
      </c>
      <c r="C9" t="n">
        <v>4</v>
      </c>
      <c r="D9" s="32" t="n">
        <v>97.40000000000001</v>
      </c>
      <c r="E9" t="inlineStr">
        <is>
          <t>operational</t>
        </is>
      </c>
      <c r="F9" s="33" t="n">
        <v>3.9</v>
      </c>
      <c r="G9" t="n">
        <v>2023</v>
      </c>
      <c r="H9" t="n">
        <v>320</v>
      </c>
      <c r="I9" t="inlineStr">
        <is>
          <t>genomics_workload_portfolio.db / current_infrastructure</t>
        </is>
      </c>
    </row>
    <row r="10">
      <c r="A10" t="inlineStr">
        <is>
          <t>legacy-hpc-01</t>
        </is>
      </c>
      <c r="B10" t="inlineStr">
        <is>
          <t>NVIDIA V100 16 GB</t>
        </is>
      </c>
      <c r="C10" t="n">
        <v>16</v>
      </c>
      <c r="D10" s="32" t="n">
        <v>100</v>
      </c>
      <c r="E10" t="inlineStr">
        <is>
          <t>end_of_life</t>
        </is>
      </c>
      <c r="F10" s="33" t="n">
        <v>16</v>
      </c>
      <c r="G10" t="n">
        <v>2018</v>
      </c>
      <c r="H10" t="n">
        <v>512</v>
      </c>
      <c r="I10" t="inlineStr">
        <is>
          <t>genomics_workload_portfolio.db / current_infrastructure</t>
        </is>
      </c>
    </row>
    <row r="11">
      <c r="A11" t="inlineStr">
        <is>
          <t>workstation-pool</t>
        </is>
      </c>
      <c r="B11" t="inlineStr">
        <is>
          <t>NVIDIA RTX 2080 Ti 11 GB</t>
        </is>
      </c>
      <c r="C11" t="n">
        <v>8</v>
      </c>
      <c r="D11" s="32" t="n">
        <v>85</v>
      </c>
      <c r="E11" t="inlineStr">
        <is>
          <t>degraded</t>
        </is>
      </c>
      <c r="F11" s="33" t="n">
        <v>6.8</v>
      </c>
      <c r="G11" t="n">
        <v>2019</v>
      </c>
      <c r="H11" t="n">
        <v>64</v>
      </c>
      <c r="I11" t="inlineStr">
        <is>
          <t>genomics_workload_portfolio.db / current_infrastructure</t>
        </is>
      </c>
    </row>
    <row r="12">
      <c r="A12" s="34" t="inlineStr">
        <is>
          <t>TOTALS</t>
        </is>
      </c>
      <c r="B12" s="34" t="inlineStr"/>
      <c r="C12" s="34" t="n">
        <v>64</v>
      </c>
      <c r="D12" s="34" t="inlineStr"/>
      <c r="E12" s="34" t="inlineStr"/>
      <c r="F12" s="34" t="n">
        <v>61.36</v>
      </c>
      <c r="G12" s="34" t="inlineStr"/>
      <c r="H12" s="34" t="inlineStr"/>
      <c r="I12" s="34" t="inlineStr"/>
    </row>
    <row r="14">
      <c r="A14" s="35" t="inlineStr">
        <is>
          <t>CAPACITY RECONCILIATION (component-record basis)</t>
        </is>
      </c>
    </row>
    <row r="15">
      <c r="A15" t="inlineStr">
        <is>
          <t>Installed GPUs (sum num_gpus)</t>
        </is>
      </c>
      <c r="B15" t="n">
        <v>64</v>
      </c>
      <c r="C15" t="inlineStr">
        <is>
          <t>GPUs</t>
        </is>
      </c>
      <c r="D15" t="inlineStr">
        <is>
          <t>Existing_Capacity TOTALS</t>
        </is>
      </c>
    </row>
    <row r="16">
      <c r="A16" t="inlineStr">
        <is>
          <t>Utilized/usable GPUs (sum num_gpus x utilization_pct)</t>
        </is>
      </c>
      <c r="B16" t="n">
        <v>61.36</v>
      </c>
      <c r="C16" t="inlineStr">
        <is>
          <t>GPUs</t>
        </is>
      </c>
      <c r="D16" t="inlineStr">
        <is>
          <t>Existing_Capacity col F</t>
        </is>
      </c>
    </row>
    <row r="17">
      <c r="A17" t="inlineStr">
        <is>
          <t>Usable GPU-hours per month (usable GPUs x 730 h)</t>
        </is>
      </c>
      <c r="B17" t="n">
        <v>44793</v>
      </c>
      <c r="C17" t="inlineStr">
        <is>
          <t>GPU-h/mo</t>
        </is>
      </c>
      <c r="D17" s="36" t="inlineStr">
        <is>
          <t>730 h/month ASSUMPTION</t>
        </is>
      </c>
    </row>
    <row r="18">
      <c r="A18" t="inlineStr">
        <is>
          <t>Monthly demand (survey, DB computing_needs)</t>
        </is>
      </c>
      <c r="B18" s="37" t="n">
        <v>93870</v>
      </c>
      <c r="C18" t="inlineStr">
        <is>
          <t>GPU-h/mo</t>
        </is>
      </c>
      <c r="D18" t="inlineStr">
        <is>
          <t>SUM(computing_needs.gpu_hours_monthly)</t>
        </is>
      </c>
    </row>
    <row r="19">
      <c r="A19" t="inlineStr">
        <is>
          <t>CAPACITY DEFICIT vs monthly demand (demand - usable)</t>
        </is>
      </c>
      <c r="B19" s="37" t="n">
        <v>49077</v>
      </c>
      <c r="C19" t="inlineStr">
        <is>
          <t>GPU-h/mo</t>
        </is>
      </c>
      <c r="D19" t="inlineStr">
        <is>
          <t>monthly - usable_gpu_hours_month</t>
        </is>
      </c>
    </row>
    <row r="20">
      <c r="A20" t="inlineStr">
        <is>
          <t>Coverage of monthly demand (usable / demand)</t>
        </is>
      </c>
      <c r="B20" s="37" t="n">
        <v>0.4772</v>
      </c>
      <c r="C20" t="inlineStr">
        <is>
          <t>fraction</t>
        </is>
      </c>
      <c r="D20" t="inlineStr">
        <is>
          <t>usable_gpu_hours_month / monthly</t>
        </is>
      </c>
    </row>
    <row r="21">
      <c r="A21" t="inlineStr">
        <is>
          <t>Committed base GPU-h (24 commitments)</t>
        </is>
      </c>
      <c r="B21" t="n">
        <v>489216</v>
      </c>
      <c r="C21" t="inlineStr">
        <is>
          <t>GPU-h</t>
        </is>
      </c>
      <c r="D21" t="inlineStr">
        <is>
          <t>SUM(base_required_gpu_hours)</t>
        </is>
      </c>
    </row>
    <row r="22">
      <c r="A22" t="inlineStr">
        <is>
          <t>Committed upside GPU-h (as recorded)</t>
        </is>
      </c>
      <c r="B22" t="n">
        <v>688128</v>
      </c>
      <c r="C22" t="inlineStr">
        <is>
          <t>GPU-h</t>
        </is>
      </c>
      <c r="D22" t="inlineStr">
        <is>
          <t>SUM(upside_required_gpu_hours)</t>
        </is>
      </c>
    </row>
    <row r="24">
      <c r="A24" s="38" t="inlineStr">
        <is>
          <t>NOTE: The existing-capacity baseline is the 64-GPU component record (DB current_infrastructure), NOT the 720-GPU consortium_cluster_inventory.csv aggregate (that CSV describes the planned new fleet). Applying utilization and end_of_life/degraded status to the 64 installed GPUs leaves only 61.36 usable GPUs ≈ 44,793 GPU-h/month, a deficit of 49,077 GPU-h/month against the 93,870 GPU-h/month survey demand. Volume is therefore NOT the only binding constraint: usable installed capacity is below one month of demand.</t>
        </is>
      </c>
    </row>
    <row r="25"/>
    <row r="26"/>
    <row r="27"/>
  </sheetData>
  <mergeCells count="1">
    <mergeCell ref="A24:D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40" customWidth="1" min="5" max="5"/>
    <col width="26" customWidth="1" min="6" max="6"/>
    <col width="10" customWidth="1" min="7" max="7"/>
    <col width="50" customWidth="1" min="8" max="8"/>
  </cols>
  <sheetData>
    <row r="1">
      <c r="A1" s="31" t="inlineStr">
        <is>
          <t>disc_id</t>
        </is>
      </c>
      <c r="B1" s="31" t="inlineStr">
        <is>
          <t>source_A</t>
        </is>
      </c>
      <c r="C1" s="31" t="inlineStr">
        <is>
          <t>source_B</t>
        </is>
      </c>
      <c r="D1" s="31" t="inlineStr">
        <is>
          <t>field</t>
        </is>
      </c>
      <c r="E1" s="31" t="inlineStr">
        <is>
          <t>values</t>
        </is>
      </c>
      <c r="F1" s="31" t="inlineStr">
        <is>
          <t>variance</t>
        </is>
      </c>
      <c r="G1" s="31" t="inlineStr">
        <is>
          <t>severity</t>
        </is>
      </c>
      <c r="H1" s="31" t="inlineStr">
        <is>
          <t>resolution</t>
        </is>
      </c>
    </row>
    <row r="2" ht="95" customHeight="1">
      <c r="A2" s="38" t="inlineStr">
        <is>
          <t>DISC-01</t>
        </is>
      </c>
      <c r="B2" s="38" t="inlineStr">
        <is>
          <t>genomics_vendor_hardware_quote.xlsx / Technical Specifications (subsystem rows)</t>
        </is>
      </c>
      <c r="C2" s="38" t="inlineStr">
        <is>
          <t>genomics_vendor_hardware_quote.xlsx / Technical Specifications (System Total row)</t>
        </is>
      </c>
      <c r="D2" s="38" t="inlineStr">
        <is>
          <t>NVIDIA DGX H100 — System Total (per node), Power Draw (W)</t>
        </is>
      </c>
      <c r="E2" s="38" t="inlineStr">
        <is>
          <t>sum of subsystems (GPU 10,200 + CPU 700 + Storage 150 + Networking 120) = 11,170 W  vs  stated System Total = 10,200 W</t>
        </is>
      </c>
      <c r="F2" s="38" t="inlineStr">
        <is>
          <t>+970 W (subsystems exceed stated total)</t>
        </is>
      </c>
      <c r="G2" s="39" t="inlineStr">
        <is>
          <t>HIGH</t>
        </is>
      </c>
      <c r="H2" s="38" t="inlineStr">
        <is>
          <t>Fix one convention: 10,200 W is the vendor's stated node rating (GPU subsystem); the +970 W is CPU+storage+networking. Use 10,200 W for energy and disclose the boundary — do not double-count subsystems as extra load.</t>
        </is>
      </c>
    </row>
    <row r="3" ht="80" customHeight="1">
      <c r="A3" s="38" t="inlineStr">
        <is>
          <t>DISC-02</t>
        </is>
      </c>
      <c r="B3" s="38" t="inlineStr">
        <is>
          <t>genomics_vendor_hardware_quote.xlsx / Technical Specifications (subsystem rows)</t>
        </is>
      </c>
      <c r="C3" s="38" t="inlineStr">
        <is>
          <t>genomics_vendor_hardware_quote.xlsx / Technical Specifications (System Total row)</t>
        </is>
      </c>
      <c r="D3" s="38" t="inlineStr">
        <is>
          <t>Dell R760xa — System Total (per node), Power Draw (W)</t>
        </is>
      </c>
      <c r="E3" s="38" t="inlineStr">
        <is>
          <t>sum of subsystems (GPU 1,200 + CPU 500 + Storage 80 + Networking 50) = 1,830 W  vs  stated System Total = 3,500 W</t>
        </is>
      </c>
      <c r="F3" s="38" t="inlineStr">
        <is>
          <t>-1,670 W (stated total exceeds subsystems)</t>
        </is>
      </c>
      <c r="G3" s="40" t="inlineStr">
        <is>
          <t>MEDIUM</t>
        </is>
      </c>
      <c r="H3" s="38" t="inlineStr">
        <is>
          <t>Stated 3,500 W (redundant-PSU rating) exceeds the 1,830 W active-subsystem sum — headroom, not error. Use 3,500 W as provisioned node rating; disclose that active draw is lower.</t>
        </is>
      </c>
    </row>
    <row r="4" ht="95" customHeight="1">
      <c r="A4" s="38" t="inlineStr">
        <is>
          <t>DISC-03</t>
        </is>
      </c>
      <c r="B4" s="38" t="inlineStr">
        <is>
          <t>genomics_vendor_hardware_quote.xlsx / Technical Specifications (CLUSTER TOTAL — Electrical Load Before PUE)</t>
        </is>
      </c>
      <c r="C4" s="38" t="inlineStr">
        <is>
          <t>genomics_vendor_hardware_quote.xlsx / Quote Summary (line items) + Technical Specifications (System Total rows)</t>
        </is>
      </c>
      <c r="D4" s="38" t="inlineStr">
        <is>
          <t>Cluster IT electrical load (kW) — 114.2 kW stated vs component-sum</t>
        </is>
      </c>
      <c r="E4" s="38" t="inlineStr">
        <is>
          <t>Stated final row = 114,200 W (UPS incl., cooling excl.). Component cross-check: 4x DGX @ 10,200 W = 40,800 W + 8x R760xa @ 3,500 W = 28,000 W + storage 6.3 kW + network 9.5 kW + UPS overhead 1.6 kW ≈ 86.2 kW</t>
        </is>
      </c>
      <c r="F4" s="38" t="inlineStr">
        <is>
          <t>+28.0 kW (114.2 stated vs ~86.2 component-sum)</t>
        </is>
      </c>
      <c r="G4" s="40" t="inlineStr">
        <is>
          <t>MEDIUM</t>
        </is>
      </c>
      <c r="H4" s="38" t="inlineStr">
        <is>
          <t>114.2 kW is the vendor's provisioned IT figure (UPS overhead + headroom); component-sum is a lower bound. Use 114.2 kW as the conservative planning load and disclose the ~28 kW gap.</t>
        </is>
      </c>
    </row>
    <row r="5" ht="110" customHeight="1">
      <c r="A5" s="38" t="inlineStr">
        <is>
          <t>DISC-04</t>
        </is>
      </c>
      <c r="B5" s="38" t="inlineStr">
        <is>
          <t>consortium_cluster_inventory.csv (CL-01..CL-12)</t>
        </is>
      </c>
      <c r="C5" s="38" t="inlineStr">
        <is>
          <t>genomics_workload_portfolio.db / current_infrastructure (10 systems)</t>
        </is>
      </c>
      <c r="D5" s="38" t="inlineStr">
        <is>
          <t>Installed GPU count baseline (capacity)</t>
        </is>
      </c>
      <c r="E5" s="38" t="inlineStr">
        <is>
          <t>Cluster inventory CSV = 720 GPUs (90 nodes x 8) across CL-01..CL-12; DB current_infrastructure = 64 GPUs across 10 legacy/on-prem systems</t>
        </is>
      </c>
      <c r="F5" s="38" t="inlineStr">
        <is>
          <t>720 vs 64 — two different baselines (planned consortium fleet vs currently-installed component records)</t>
        </is>
      </c>
      <c r="G5" s="39" t="inlineStr">
        <is>
          <t>HIGH</t>
        </is>
      </c>
      <c r="H5" s="38" t="inlineStr">
        <is>
          <t>For the existing-capacity deficit (rubric 9) the 64-GPU component record is authoritative — the inventory CSV is the planned new fleet, not the installed base. Do not use the 720-GPU aggregate as the existing baseline.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>
      <c r="A1" s="31" t="inlineStr">
        <is>
          <t>Parameter</t>
        </is>
      </c>
      <c r="B1" s="31" t="inlineStr">
        <is>
          <t>Value</t>
        </is>
      </c>
      <c r="C1" s="31" t="inlineStr">
        <is>
          <t>Unit</t>
        </is>
      </c>
      <c r="D1" s="31" t="inlineStr">
        <is>
          <t>Source / status</t>
        </is>
      </c>
    </row>
    <row r="2">
      <c r="A2" t="inlineStr">
        <is>
          <t>IT electrical load</t>
        </is>
      </c>
      <c r="B2" t="n">
        <v>114.2</v>
      </c>
      <c r="C2" t="inlineStr">
        <is>
          <t>kW</t>
        </is>
      </c>
      <c r="D2" s="38" t="inlineStr">
        <is>
          <t>vendor quote Technical Specifications final row (UPS incl., cooling excl.)</t>
        </is>
      </c>
    </row>
    <row r="3">
      <c r="A3" t="inlineStr">
        <is>
          <t>PUE</t>
        </is>
      </c>
      <c r="B3" t="n">
        <v>1.4</v>
      </c>
      <c r="C3" t="inlineStr">
        <is>
          <t>ratio</t>
        </is>
      </c>
      <c r="D3" s="41" t="inlineStr">
        <is>
          <t>SUPPLIED — facility PUE 1.4 per datacenter_facility_energy_reference.md</t>
        </is>
      </c>
    </row>
    <row r="4">
      <c r="A4" t="inlineStr">
        <is>
          <t>Electricity price</t>
        </is>
      </c>
      <c r="B4" t="n">
        <v>0.1</v>
      </c>
      <c r="C4" t="inlineStr">
        <is>
          <t>USD/kWh</t>
        </is>
      </c>
      <c r="D4" s="41" t="inlineStr">
        <is>
          <t>SUPPLIED — tariff $0.10/kWh per datacenter_facility_energy_reference.md; sensitivity 0.06-0.18</t>
        </is>
      </c>
    </row>
    <row r="5">
      <c r="A5" t="inlineStr">
        <is>
          <t>Grid carbon intensity</t>
        </is>
      </c>
      <c r="B5" t="n">
        <v>0.386</v>
      </c>
      <c r="C5" t="inlineStr">
        <is>
          <t>kg CO2e/kWh</t>
        </is>
      </c>
      <c r="D5" s="41" t="inlineStr">
        <is>
          <t>SUPPLIED — grid carbon 0.386 per datacenter_facility_energy_reference.md</t>
        </is>
      </c>
    </row>
    <row r="6">
      <c r="A6" t="inlineStr">
        <is>
          <t>Annual facility load (IT x PUE x 8760)</t>
        </is>
      </c>
      <c r="B6" t="n">
        <v>1400549</v>
      </c>
      <c r="C6" t="inlineStr">
        <is>
          <t>kWh/yr</t>
        </is>
      </c>
      <c r="D6" s="38" t="inlineStr">
        <is>
          <t>formula</t>
        </is>
      </c>
    </row>
    <row r="7">
      <c r="A7" t="inlineStr">
        <is>
          <t>Annual energy cost (x tariff)</t>
        </is>
      </c>
      <c r="B7" t="n">
        <v>140055</v>
      </c>
      <c r="C7" t="inlineStr">
        <is>
          <t>USD/yr</t>
        </is>
      </c>
      <c r="D7" s="38" t="inlineStr">
        <is>
          <t>formula</t>
        </is>
      </c>
    </row>
    <row r="8">
      <c r="A8" t="inlineStr">
        <is>
          <t>Annual carbon (x grid factor)</t>
        </is>
      </c>
      <c r="B8" t="n">
        <v>540612</v>
      </c>
      <c r="C8" t="inlineStr">
        <is>
          <t>kg CO2e/yr</t>
        </is>
      </c>
      <c r="D8" s="38" t="inlineStr">
        <is>
          <t>formula</t>
        </is>
      </c>
    </row>
    <row r="9">
      <c r="A9" t="inlineStr">
        <is>
          <t>3-yr energy cost</t>
        </is>
      </c>
      <c r="B9" t="n">
        <v>420165</v>
      </c>
      <c r="C9" t="inlineStr">
        <is>
          <t>USD</t>
        </is>
      </c>
      <c r="D9" s="38" t="inlineStr">
        <is>
          <t>formula</t>
        </is>
      </c>
    </row>
    <row r="11">
      <c r="A11" s="35" t="inlineStr">
        <is>
          <t>SENSITIVITY — facility boundary (supplied PUE 1.4/tariff $0.10; band retained for robustness)</t>
        </is>
      </c>
    </row>
    <row r="12">
      <c r="A12" s="31" t="inlineStr">
        <is>
          <t>PUE</t>
        </is>
      </c>
      <c r="B12" s="31" t="inlineStr">
        <is>
          <t>Tariff USD/kWh</t>
        </is>
      </c>
      <c r="C12" s="31" t="inlineStr">
        <is>
          <t>Annual facility load kW</t>
        </is>
      </c>
      <c r="D12" s="31" t="inlineStr">
        <is>
          <t>Annual energy USD</t>
        </is>
      </c>
      <c r="E12" s="31" t="inlineStr">
        <is>
          <t>3-yr energy USD</t>
        </is>
      </c>
      <c r="F12" s="31" t="inlineStr">
        <is>
          <t>Annual t CO2e</t>
        </is>
      </c>
    </row>
    <row r="13">
      <c r="A13" t="n">
        <v>1.2</v>
      </c>
      <c r="B13" t="n">
        <v>0.06</v>
      </c>
      <c r="C13" t="n">
        <v>137</v>
      </c>
      <c r="D13" t="n">
        <v>72028</v>
      </c>
      <c r="E13" t="n">
        <v>216085</v>
      </c>
      <c r="F13" t="n">
        <v>463.4</v>
      </c>
    </row>
    <row r="14">
      <c r="A14" t="n">
        <v>1.3</v>
      </c>
      <c r="B14" t="n">
        <v>0.08</v>
      </c>
      <c r="C14" t="n">
        <v>148.5</v>
      </c>
      <c r="D14" t="n">
        <v>104041</v>
      </c>
      <c r="E14" t="n">
        <v>312122</v>
      </c>
      <c r="F14" t="n">
        <v>502</v>
      </c>
    </row>
    <row r="15">
      <c r="A15" t="n">
        <v>1.4</v>
      </c>
      <c r="B15" t="n">
        <v>0.1</v>
      </c>
      <c r="C15" t="n">
        <v>159.9</v>
      </c>
      <c r="D15" t="n">
        <v>140055</v>
      </c>
      <c r="E15" t="n">
        <v>420165</v>
      </c>
      <c r="F15" t="n">
        <v>540.6</v>
      </c>
    </row>
    <row r="16">
      <c r="A16" t="n">
        <v>1.5</v>
      </c>
      <c r="B16" t="n">
        <v>0.12</v>
      </c>
      <c r="C16" t="n">
        <v>171.3</v>
      </c>
      <c r="D16" t="n">
        <v>180071</v>
      </c>
      <c r="E16" t="n">
        <v>540212</v>
      </c>
      <c r="F16" t="n">
        <v>579.2</v>
      </c>
    </row>
    <row r="17">
      <c r="A17" t="n">
        <v>1.6</v>
      </c>
      <c r="B17" t="n">
        <v>0.18</v>
      </c>
      <c r="C17" t="n">
        <v>182.7</v>
      </c>
      <c r="D17" t="n">
        <v>288113</v>
      </c>
      <c r="E17" t="n">
        <v>864339</v>
      </c>
      <c r="F17" t="n">
        <v>617.8</v>
      </c>
    </row>
    <row r="18">
      <c r="A18" s="38" t="inlineStr">
        <is>
          <t>Boundary statement: the quote's 114.2 kW IT load EXCLUDES facility cooling, so a PUE must be applied to reach facility load. Facility PUE (1.4), tariff ($0.10/kWh) and grid carbon (0.386 kg CO2e/kWh) are SUPPLIED in datacenter_facility_energy_reference.md (ISO/IEC 30134-2 boundary), so facility-boundary and sustainability figures use supplied factors; the sensitivity block brackets the plausible range for robustness. A like-for-like cloud sustainability comparison remains NOT possible because the Lambda reference supplies no PUE/carbon data.</t>
        </is>
      </c>
    </row>
    <row r="19"/>
    <row r="20"/>
    <row r="21"/>
  </sheetData>
  <mergeCells count="1">
    <mergeCell ref="A18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2026-08-25T10:40:45Z</dcterms:created>
  <dcterms:modified xmlns:dcterms="http://purl.org/dc/terms/" xmlns:xsi="http://www.w3.org/2001/XMLSchema-instance" xsi:type="dcterms:W3CDTF">2026-09-03T15:54:47Z</dcterms:modified>
</cp:coreProperties>
</file>