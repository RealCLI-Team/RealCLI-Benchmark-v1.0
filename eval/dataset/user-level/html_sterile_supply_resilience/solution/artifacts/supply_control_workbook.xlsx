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ots_Data" sheetId="3" state="visible" r:id="rId3"/>
    <sheet xmlns:r="http://schemas.openxmlformats.org/officeDocument/2006/relationships" name="Usage_Data" sheetId="4" state="visible" r:id="rId4"/>
    <sheet xmlns:r="http://schemas.openxmlformats.org/officeDocument/2006/relationships" name="Usage_Summary" sheetId="5" state="visible" r:id="rId5"/>
    <sheet xmlns:r="http://schemas.openxmlformats.org/officeDocument/2006/relationships" name="ABC_Classification" sheetId="6" state="visible" r:id="rId6"/>
    <sheet xmlns:r="http://schemas.openxmlformats.org/officeDocument/2006/relationships" name="Volatility_Reorder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Supplier_Info" sheetId="9" state="visible" r:id="rId9"/>
    <sheet xmlns:r="http://schemas.openxmlformats.org/officeDocument/2006/relationships" name="PO_Data" sheetId="10" state="visible" r:id="rId10"/>
    <sheet xmlns:r="http://schemas.openxmlformats.org/officeDocument/2006/relationships" name="Delivery_Data" sheetId="11" state="visible" r:id="rId11"/>
    <sheet xmlns:r="http://schemas.openxmlformats.org/officeDocument/2006/relationships" name="Quality_Data" sheetId="12" state="visible" r:id="rId12"/>
    <sheet xmlns:r="http://schemas.openxmlformats.org/officeDocument/2006/relationships" name="Exceptions" sheetId="13" state="visible" r:id="rId13"/>
    <sheet xmlns:r="http://schemas.openxmlformats.org/officeDocument/2006/relationships" name="Site_Constraints" sheetId="14" state="visible" r:id="rId14"/>
    <sheet xmlns:r="http://schemas.openxmlformats.org/officeDocument/2006/relationships" name="Action_Catalog" sheetId="15" state="visible" r:id="rId15"/>
    <sheet xmlns:r="http://schemas.openxmlformats.org/officeDocument/2006/relationships" name="SKU_Exposure" sheetId="16" state="visible" r:id="rId16"/>
    <sheet xmlns:r="http://schemas.openxmlformats.org/officeDocument/2006/relationships" name="Supplier_Scorecard" sheetId="17" state="visible" r:id="rId17"/>
    <sheet xmlns:r="http://schemas.openxmlformats.org/officeDocument/2006/relationships" name="Scenario_Decision" sheetId="18" state="visible" r:id="rId18"/>
    <sheet xmlns:r="http://schemas.openxmlformats.org/officeDocument/2006/relationships" name="Dashboard" sheetId="19" state="visible" r:id="rId19"/>
    <sheet xmlns:r="http://schemas.openxmlformats.org/officeDocument/2006/relationships" name="Uncertainty_Regist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>
      <i val="1"/>
      <color rgb="00595959"/>
      <sz val="9"/>
    </font>
    <font>
      <b val="1"/>
      <color rgb="00FFFFFF"/>
      <sz val="10"/>
    </font>
    <font>
      <b val="1"/>
      <color rgb="001F3864"/>
      <sz val="12"/>
    </font>
    <font>
      <b val="1"/>
      <color rgb="00FFFFFF"/>
    </font>
    <font>
      <b val="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NORTH SOUND HEALTH NETWORK — Sterile Supply Control Workbook</t>
        </is>
      </c>
    </row>
    <row r="2">
      <c r="A2" t="inlineStr">
        <is>
          <t>Purpose: control workbook behind the Sterile Supply Resilience Portal. Quantifies shortage exposure,</t>
        </is>
      </c>
    </row>
    <row r="3">
      <c r="A3" t="inlineStr">
        <is>
          <t>expiry/recall exposure, supplier performance and the adverse/base/upside action program for the supplier</t>
        </is>
      </c>
    </row>
    <row r="4">
      <c r="A4" t="inlineStr">
        <is>
          <t>renewal decision. Analysis cells are live formulas over raw data sheets (Lots_Data, Usage_Data, PO_Data,</t>
        </is>
      </c>
    </row>
    <row r="5">
      <c r="A5" t="inlineStr">
        <is>
          <t>Delivery_Data, Quality_Data, Exceptions, Site_Constraints, Action_Catalog).</t>
        </is>
      </c>
    </row>
    <row r="7">
      <c r="A7" s="2" t="inlineStr">
        <is>
          <t>Sheet map:</t>
        </is>
      </c>
    </row>
    <row r="8">
      <c r="A8" t="inlineStr">
        <is>
          <t xml:space="preserve">  Inputs — editable scenario assumptions: multipliers, target cover, score weights, snapshot date, window.</t>
        </is>
      </c>
    </row>
    <row r="9">
      <c r="A9" t="inlineStr">
        <is>
          <t xml:space="preserve">  Dashboard — KPI summary; the figures that must reconcile with the portal.</t>
        </is>
      </c>
    </row>
    <row r="10">
      <c r="A10" t="inlineStr">
        <is>
          <t xml:space="preserve">  SKU_Exposure — per-SKU demand, days-of-cover, scenario gaps, reorder-point adequacy.</t>
        </is>
      </c>
    </row>
    <row r="11">
      <c r="A11" t="inlineStr">
        <is>
          <t xml:space="preserve">  Scenario_Decision — action catalog per scenario with capacity/mutual-exclusion/eligibility checks.</t>
        </is>
      </c>
    </row>
    <row r="12">
      <c r="A12" t="inlineStr">
        <is>
          <t xml:space="preserve">  Supplier_Scorecard — delivery, quality and renewal scoring over the supplier database extracts.</t>
        </is>
      </c>
    </row>
    <row r="13">
      <c r="A13" t="inlineStr">
        <is>
          <t xml:space="preserve">  Exceptions — exception register with evidence grading (invoice/statement = documented).</t>
        </is>
      </c>
    </row>
    <row r="14">
      <c r="A14" t="inlineStr">
        <is>
          <t xml:space="preserve">  Uncertainty_Register — assumptions, unresolved boundaries and evidence locators.</t>
        </is>
      </c>
    </row>
    <row r="15">
      <c r="A15" t="inlineStr">
        <is>
          <t>Data sheets: Lots_Data, Usage_Data, Usage_Summary, Supplier_Info, PO_Data, Delivery_Data, Quality_Data,</t>
        </is>
      </c>
    </row>
    <row r="16">
      <c r="A16" t="inlineStr">
        <is>
          <t>Exceptions, Site_Constraints, Action_Catalog.</t>
        </is>
      </c>
    </row>
    <row r="18">
      <c r="A18" t="inlineStr">
        <is>
          <t>Validation rule: no analysis cell contains a hard-coded result; yellow cells are editable inputs or the</t>
        </is>
      </c>
    </row>
    <row r="19">
      <c r="A19" t="inlineStr">
        <is>
          <t>greedy-selected 0/1 flags only. Recalculate (Ctrl+Alt+F9) after changing inputs or Selected flags.</t>
        </is>
      </c>
    </row>
    <row r="21">
      <c r="A21" s="2" t="inlineStr">
        <is>
          <t>Source extracts (read-only, /home/user/task/materials/):</t>
        </is>
      </c>
    </row>
    <row r="22">
      <c r="A22" t="inlineStr">
        <is>
          <t xml:space="preserve">  current_sterile_replenishment_process.docx — SOP-WH-2024-003 v2.1, effective 2024-08-12, review 2025-08-12 (past due).</t>
        </is>
      </c>
    </row>
    <row r="23">
      <c r="A23" t="inlineStr">
        <is>
          <t xml:space="preserve">  sterile_inventory_lot_snapshot.csv — 233 lots, one per SKU.</t>
        </is>
      </c>
    </row>
    <row r="24">
      <c r="A24" t="inlineStr">
        <is>
          <t xml:space="preserve">  sterile_daily_monthly_usage.csv — 5,000 rows, periods 2025-01..2026-11.</t>
        </is>
      </c>
    </row>
    <row r="25">
      <c r="A25" t="inlineStr">
        <is>
          <t xml:space="preserve">  sterile_supplier_performance.db — supplier_info, purchase_orders, delivery_performance_monthly, quality_recall_events.</t>
        </is>
      </c>
    </row>
    <row r="26">
      <c r="A26" t="inlineStr">
        <is>
          <t xml:space="preserve">  site_storage_clinical_constraints.csv — 12 site/pool rows.</t>
        </is>
      </c>
    </row>
    <row r="27">
      <c r="A27" t="inlineStr">
        <is>
          <t xml:space="preserve">  supply_action_constraints.csv — 24 actions.</t>
        </is>
      </c>
    </row>
    <row r="28">
      <c r="A28" t="inlineStr">
        <is>
          <t xml:space="preserve">  sterile_exception_records.csv — 48 exception rows.</t>
        </is>
      </c>
    </row>
    <row r="30">
      <c r="A30" t="inlineStr">
        <is>
          <t>Prepared 2026-08-25. Source estimates and annotations are treated as evidence claims, not approved</t>
        </is>
      </c>
    </row>
    <row r="31">
      <c r="A31" t="inlineStr">
        <is>
          <t>conclusions (see Uncertainty_Register). No contract terms, prices or authorities beyond the sources are asserted.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0" customWidth="1" min="3" max="3"/>
  </cols>
  <sheetData>
    <row r="1">
      <c r="A1" s="1" t="inlineStr">
        <is>
          <t>Editable Inputs &amp; Scenario Assumptions</t>
        </is>
      </c>
    </row>
    <row r="2">
      <c r="A2" s="3" t="inlineStr">
        <is>
          <t>Yellow cells are the only editable inputs; downstream sheets recalculate from them. Locators cited per row.</t>
        </is>
      </c>
    </row>
    <row r="4">
      <c r="A4" t="inlineStr">
        <is>
          <t>Snapshot / analysis date</t>
        </is>
      </c>
      <c r="B4" s="4" t="n">
        <v>46259</v>
      </c>
    </row>
    <row r="5">
      <c r="A5" t="inlineStr">
        <is>
          <t>Window start</t>
        </is>
      </c>
      <c r="B5" s="5" t="inlineStr">
        <is>
          <t>2026-01</t>
        </is>
      </c>
    </row>
    <row r="6">
      <c r="A6" t="inlineStr">
        <is>
          <t>Window end</t>
        </is>
      </c>
      <c r="B6" s="5" t="inlineStr">
        <is>
          <t>2026-08</t>
        </is>
      </c>
    </row>
    <row r="7">
      <c r="A7" t="inlineStr">
        <is>
          <t>Target days of cover</t>
        </is>
      </c>
      <c r="B7" s="5" t="n">
        <v>30</v>
      </c>
    </row>
    <row r="9">
      <c r="A9" s="6" t="inlineStr">
        <is>
          <t>Scenario</t>
        </is>
      </c>
      <c r="B9" s="6" t="inlineStr">
        <is>
          <t>Demand multiplier</t>
        </is>
      </c>
      <c r="C9" s="6" t="inlineStr">
        <is>
          <t>Basis / evidence locator</t>
        </is>
      </c>
    </row>
    <row r="10">
      <c r="A10" t="inlineStr">
        <is>
          <t>adverse</t>
        </is>
      </c>
      <c r="B10" s="5" t="n">
        <v>1.315</v>
      </c>
      <c r="C10" t="inlineStr">
        <is>
          <t>Observed surge ratio (usage file exception_flag="surge"): mean of per-SKU surge/non-surge usage ratios over 16 flagged rows in window. Small sample — see U-03.</t>
        </is>
      </c>
    </row>
    <row r="11">
      <c r="A11" t="inlineStr">
        <is>
          <t>base</t>
        </is>
      </c>
      <c r="B11" s="5" t="n">
        <v>1</v>
      </c>
      <c r="C11" t="inlineStr">
        <is>
          <t>Trailing 8 complete months (Inputs B5..B6) average monthly usage.</t>
        </is>
      </c>
    </row>
    <row r="12">
      <c r="A12" t="inlineStr">
        <is>
          <t>upside</t>
        </is>
      </c>
      <c r="B12" s="5" t="n">
        <v>0.9</v>
      </c>
      <c r="C12" t="inlineStr">
        <is>
          <t>Planning judgment — demand relief; no direct evidence in sources. Editable.</t>
        </is>
      </c>
    </row>
    <row r="14">
      <c r="A14" s="6" t="inlineStr">
        <is>
          <t>Score weight</t>
        </is>
      </c>
      <c r="B14" s="6" t="inlineStr">
        <is>
          <t>Value</t>
        </is>
      </c>
      <c r="C14" s="6" t="inlineStr">
        <is>
          <t>Component</t>
        </is>
      </c>
    </row>
    <row r="15">
      <c r="A15" t="inlineStr">
        <is>
          <t>OTD weight</t>
        </is>
      </c>
      <c r="B15" s="5" t="n">
        <v>0.4</v>
      </c>
      <c r="C15" t="inlineStr">
        <is>
          <t>on-time/placed</t>
        </is>
      </c>
    </row>
    <row r="16">
      <c r="A16" t="inlineStr">
        <is>
          <t>Lead-time weight</t>
        </is>
      </c>
      <c r="B16" s="5" t="n">
        <v>0.25</v>
      </c>
      <c r="C16" t="inlineStr">
        <is>
          <t>min lead / supplier lead</t>
        </is>
      </c>
    </row>
    <row r="17">
      <c r="A17" t="inlineStr">
        <is>
          <t>Quality-closure weight</t>
        </is>
      </c>
      <c r="B17" s="5" t="n">
        <v>0.2</v>
      </c>
      <c r="C17" t="inlineStr">
        <is>
          <t>1 - not-closed/max not-closed</t>
        </is>
      </c>
    </row>
    <row r="18">
      <c r="A18" t="inlineStr">
        <is>
          <t>Fill weight</t>
        </is>
      </c>
      <c r="B18" s="5" t="n">
        <v>0.15</v>
      </c>
      <c r="C18" t="inlineStr">
        <is>
          <t>items received/ordered (PO_Data)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20" customWidth="1" min="4" max="4"/>
    <col width="9" customWidth="1" min="5" max="5"/>
    <col width="11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12" customWidth="1" min="17" max="17"/>
    <col width="11" customWidth="1" min="18" max="18"/>
    <col width="12" customWidth="1" min="19" max="19"/>
  </cols>
  <sheetData>
    <row r="1">
      <c r="A1" s="6" t="inlineStr">
        <is>
          <t>sku_id</t>
        </is>
      </c>
      <c r="B1" s="6" t="inlineStr">
        <is>
          <t>item_description</t>
        </is>
      </c>
      <c r="C1" s="6" t="inlineStr">
        <is>
          <t>clinical_family</t>
        </is>
      </c>
      <c r="D1" s="6" t="inlineStr">
        <is>
          <t>supplier</t>
        </is>
      </c>
      <c r="E1" s="6" t="inlineStr">
        <is>
          <t>site_id</t>
        </is>
      </c>
      <c r="F1" s="6" t="inlineStr">
        <is>
          <t>lot_id</t>
        </is>
      </c>
      <c r="G1" s="6" t="inlineStr">
        <is>
          <t>unit_cost_usd</t>
        </is>
      </c>
      <c r="H1" s="6" t="inlineStr">
        <is>
          <t>on_hand_qty</t>
        </is>
      </c>
      <c r="I1" s="6" t="inlineStr">
        <is>
          <t>quarantine_qty</t>
        </is>
      </c>
      <c r="J1" s="6" t="inlineStr">
        <is>
          <t>recall_state</t>
        </is>
      </c>
      <c r="K1" s="6" t="inlineStr">
        <is>
          <t>usable_qty</t>
        </is>
      </c>
      <c r="L1" s="6" t="inlineStr">
        <is>
          <t>usable_value</t>
        </is>
      </c>
      <c r="M1" s="6" t="inlineStr">
        <is>
          <t>onhand_value</t>
        </is>
      </c>
      <c r="N1" s="6" t="inlineStr">
        <is>
          <t>lead_time_days</t>
        </is>
      </c>
      <c r="O1" s="6" t="inlineStr">
        <is>
          <t>storage_zone</t>
        </is>
      </c>
      <c r="P1" s="6" t="inlineStr">
        <is>
          <t>expiry_date</t>
        </is>
      </c>
      <c r="Q1" s="6" t="inlineStr">
        <is>
          <t>days_to_expiry</t>
        </is>
      </c>
      <c r="R1" s="6" t="inlineStr">
        <is>
          <t>expiry_bucket</t>
        </is>
      </c>
      <c r="S1" s="6" t="inlineStr">
        <is>
          <t>static_reorder_point</t>
        </is>
      </c>
    </row>
    <row r="2">
      <c r="A2" t="inlineStr">
        <is>
          <t>SS-01001</t>
        </is>
      </c>
      <c r="B2" t="inlineStr">
        <is>
          <t>vascular access kit 100</t>
        </is>
      </c>
      <c r="C2" t="inlineStr">
        <is>
          <t>vascular</t>
        </is>
      </c>
      <c r="D2" t="inlineStr">
        <is>
          <t>Northstar Surgical</t>
        </is>
      </c>
      <c r="E2" t="inlineStr">
        <is>
          <t>HOSP-1</t>
        </is>
      </c>
      <c r="F2" t="inlineStr">
        <is>
          <t>LOT-07001</t>
        </is>
      </c>
      <c r="G2" t="n">
        <v>16.47</v>
      </c>
      <c r="H2" t="n">
        <v>13</v>
      </c>
      <c r="I2" t="n">
        <v>0</v>
      </c>
      <c r="J2" t="inlineStr">
        <is>
          <t>recalled</t>
        </is>
      </c>
      <c r="K2">
        <f>IF(J2="recalled",0,MAX(0,H2-I2))</f>
        <v/>
      </c>
      <c r="L2">
        <f>K2*G2</f>
        <v/>
      </c>
      <c r="M2">
        <f>H2*G2</f>
        <v/>
      </c>
      <c r="N2" t="n">
        <v>6</v>
      </c>
      <c r="O2" t="inlineStr">
        <is>
          <t>D2-21</t>
        </is>
      </c>
      <c r="P2" s="7" t="n">
        <v>46388</v>
      </c>
      <c r="Q2">
        <f>P2-Inputs!$B$4</f>
        <v/>
      </c>
      <c r="R2">
        <f>IF(Q2&lt;0,"expired",IF(Q2&lt;=30,"&lt;=30d",IF(Q2&lt;=90,"31-90d",IF(Q2&lt;=180,"91-180d","&gt;180d"))))</f>
        <v/>
      </c>
      <c r="S2" t="n">
        <v>5</v>
      </c>
    </row>
    <row r="3">
      <c r="A3" t="inlineStr">
        <is>
          <t>SS-01002</t>
        </is>
      </c>
      <c r="B3" t="inlineStr">
        <is>
          <t>respiratory circuit 101</t>
        </is>
      </c>
      <c r="C3" t="inlineStr">
        <is>
          <t>respiratory</t>
        </is>
      </c>
      <c r="D3" t="inlineStr">
        <is>
          <t>MedAxis Distribution</t>
        </is>
      </c>
      <c r="E3" t="inlineStr">
        <is>
          <t>HOSP-2</t>
        </is>
      </c>
      <c r="F3" t="inlineStr">
        <is>
          <t>LOT-07002</t>
        </is>
      </c>
      <c r="G3" t="n">
        <v>37.23</v>
      </c>
      <c r="H3" t="n">
        <v>3</v>
      </c>
      <c r="I3" t="n">
        <v>0</v>
      </c>
      <c r="J3" t="inlineStr">
        <is>
          <t>clear</t>
        </is>
      </c>
      <c r="K3">
        <f>IF(J3="recalled",0,MAX(0,H3-I3))</f>
        <v/>
      </c>
      <c r="L3">
        <f>K3*G3</f>
        <v/>
      </c>
      <c r="M3">
        <f>H3*G3</f>
        <v/>
      </c>
      <c r="N3" t="n">
        <v>6</v>
      </c>
      <c r="O3" t="inlineStr">
        <is>
          <t>A5-08</t>
        </is>
      </c>
      <c r="P3" s="7" t="n">
        <v>46420</v>
      </c>
      <c r="Q3">
        <f>P3-Inputs!$B$4</f>
        <v/>
      </c>
      <c r="R3">
        <f>IF(Q3&lt;0,"expired",IF(Q3&lt;=30,"&lt;=30d",IF(Q3&lt;=90,"31-90d",IF(Q3&lt;=180,"91-180d","&gt;180d"))))</f>
        <v/>
      </c>
      <c r="S3" t="n">
        <v>5</v>
      </c>
    </row>
    <row r="4">
      <c r="A4" t="inlineStr">
        <is>
          <t>SS-01003</t>
        </is>
      </c>
      <c r="B4" t="inlineStr">
        <is>
          <t>sterile surgical pack 102</t>
        </is>
      </c>
      <c r="C4" t="inlineStr">
        <is>
          <t>surgical</t>
        </is>
      </c>
      <c r="D4" t="inlineStr">
        <is>
          <t>SterilePath Medical</t>
        </is>
      </c>
      <c r="E4" t="inlineStr">
        <is>
          <t>HOSP-3</t>
        </is>
      </c>
      <c r="F4" t="inlineStr">
        <is>
          <t>LOT-07003</t>
        </is>
      </c>
      <c r="G4" t="n">
        <v>23.98</v>
      </c>
      <c r="H4" t="n">
        <v>3</v>
      </c>
      <c r="I4" t="n">
        <v>0</v>
      </c>
      <c r="J4" t="inlineStr">
        <is>
          <t>clear</t>
        </is>
      </c>
      <c r="K4">
        <f>IF(J4="recalled",0,MAX(0,H4-I4))</f>
        <v/>
      </c>
      <c r="L4">
        <f>K4*G4</f>
        <v/>
      </c>
      <c r="M4">
        <f>H4*G4</f>
        <v/>
      </c>
      <c r="N4" t="n">
        <v>3</v>
      </c>
      <c r="O4" t="inlineStr">
        <is>
          <t>B8-03</t>
        </is>
      </c>
      <c r="P4" s="7" t="n">
        <v>46449</v>
      </c>
      <c r="Q4">
        <f>P4-Inputs!$B$4</f>
        <v/>
      </c>
      <c r="R4">
        <f>IF(Q4&lt;0,"expired",IF(Q4&lt;=30,"&lt;=30d",IF(Q4&lt;=90,"31-90d",IF(Q4&lt;=180,"91-180d","&gt;180d"))))</f>
        <v/>
      </c>
      <c r="S4" t="n">
        <v>5</v>
      </c>
    </row>
    <row r="5">
      <c r="A5" t="inlineStr">
        <is>
          <t>SS-01004</t>
        </is>
      </c>
      <c r="B5" t="inlineStr">
        <is>
          <t>diagnostic collection set 103</t>
        </is>
      </c>
      <c r="C5" t="inlineStr">
        <is>
          <t>diagnostic</t>
        </is>
      </c>
      <c r="D5" t="inlineStr">
        <is>
          <t>Aegis Clinical Supply</t>
        </is>
      </c>
      <c r="E5" t="inlineStr">
        <is>
          <t>HOSP-4</t>
        </is>
      </c>
      <c r="F5" t="inlineStr">
        <is>
          <t>LOT-07004</t>
        </is>
      </c>
      <c r="G5" t="n">
        <v>23.77</v>
      </c>
      <c r="H5" t="n">
        <v>50</v>
      </c>
      <c r="I5" t="n">
        <v>0</v>
      </c>
      <c r="J5" t="inlineStr">
        <is>
          <t>clear</t>
        </is>
      </c>
      <c r="K5">
        <f>IF(J5="recalled",0,MAX(0,H5-I5))</f>
        <v/>
      </c>
      <c r="L5">
        <f>K5*G5</f>
        <v/>
      </c>
      <c r="M5">
        <f>H5*G5</f>
        <v/>
      </c>
      <c r="N5" t="n">
        <v>7</v>
      </c>
      <c r="O5" t="inlineStr">
        <is>
          <t>A12-07</t>
        </is>
      </c>
      <c r="P5" s="7" t="n">
        <v>46481</v>
      </c>
      <c r="Q5">
        <f>P5-Inputs!$B$4</f>
        <v/>
      </c>
      <c r="R5">
        <f>IF(Q5&lt;0,"expired",IF(Q5&lt;=30,"&lt;=30d",IF(Q5&lt;=90,"31-90d",IF(Q5&lt;=180,"91-180d","&gt;180d"))))</f>
        <v/>
      </c>
      <c r="S5" t="n">
        <v>5</v>
      </c>
    </row>
    <row r="6">
      <c r="A6" t="inlineStr">
        <is>
          <t>SS-01005</t>
        </is>
      </c>
      <c r="B6" t="inlineStr">
        <is>
          <t>advanced wound dressing 104</t>
        </is>
      </c>
      <c r="C6" t="inlineStr">
        <is>
          <t>wound</t>
        </is>
      </c>
      <c r="D6" t="inlineStr">
        <is>
          <t>HarborMed Logistics</t>
        </is>
      </c>
      <c r="E6" t="inlineStr">
        <is>
          <t>HOSP-1</t>
        </is>
      </c>
      <c r="F6" t="inlineStr">
        <is>
          <t>LOT-07005</t>
        </is>
      </c>
      <c r="G6" t="n">
        <v>12.46</v>
      </c>
      <c r="H6" t="n">
        <v>3</v>
      </c>
      <c r="I6" t="n">
        <v>0</v>
      </c>
      <c r="J6" t="inlineStr">
        <is>
          <t>clear</t>
        </is>
      </c>
      <c r="K6">
        <f>IF(J6="recalled",0,MAX(0,H6-I6))</f>
        <v/>
      </c>
      <c r="L6">
        <f>K6*G6</f>
        <v/>
      </c>
      <c r="M6">
        <f>H6*G6</f>
        <v/>
      </c>
      <c r="N6" t="n">
        <v>11</v>
      </c>
      <c r="O6" t="inlineStr">
        <is>
          <t>F4-01</t>
        </is>
      </c>
      <c r="P6" s="7" t="n">
        <v>46512</v>
      </c>
      <c r="Q6">
        <f>P6-Inputs!$B$4</f>
        <v/>
      </c>
      <c r="R6">
        <f>IF(Q6&lt;0,"expired",IF(Q6&lt;=30,"&lt;=30d",IF(Q6&lt;=90,"31-90d",IF(Q6&lt;=180,"91-180d","&gt;180d"))))</f>
        <v/>
      </c>
      <c r="S6" t="n">
        <v>5</v>
      </c>
    </row>
    <row r="7">
      <c r="A7" t="inlineStr">
        <is>
          <t>SS-01006</t>
        </is>
      </c>
      <c r="B7" t="inlineStr">
        <is>
          <t>vascular access kit 105</t>
        </is>
      </c>
      <c r="C7" t="inlineStr">
        <is>
          <t>vascular</t>
        </is>
      </c>
      <c r="D7" t="inlineStr">
        <is>
          <t>Northstar Surgical</t>
        </is>
      </c>
      <c r="E7" t="inlineStr">
        <is>
          <t>HOSP-2</t>
        </is>
      </c>
      <c r="F7" t="inlineStr">
        <is>
          <t>LOT-07006</t>
        </is>
      </c>
      <c r="G7" t="n">
        <v>21.42</v>
      </c>
      <c r="H7" t="n">
        <v>13</v>
      </c>
      <c r="I7" t="n">
        <v>0</v>
      </c>
      <c r="J7" t="inlineStr">
        <is>
          <t>clear</t>
        </is>
      </c>
      <c r="K7">
        <f>IF(J7="recalled",0,MAX(0,H7-I7))</f>
        <v/>
      </c>
      <c r="L7">
        <f>K7*G7</f>
        <v/>
      </c>
      <c r="M7">
        <f>H7*G7</f>
        <v/>
      </c>
      <c r="N7" t="n">
        <v>7</v>
      </c>
      <c r="O7" t="inlineStr">
        <is>
          <t>B6-11</t>
        </is>
      </c>
      <c r="P7" s="7" t="n">
        <v>46544</v>
      </c>
      <c r="Q7">
        <f>P7-Inputs!$B$4</f>
        <v/>
      </c>
      <c r="R7">
        <f>IF(Q7&lt;0,"expired",IF(Q7&lt;=30,"&lt;=30d",IF(Q7&lt;=90,"31-90d",IF(Q7&lt;=180,"91-180d","&gt;180d"))))</f>
        <v/>
      </c>
      <c r="S7" t="n">
        <v>5</v>
      </c>
    </row>
    <row r="8">
      <c r="A8" t="inlineStr">
        <is>
          <t>SS-01007</t>
        </is>
      </c>
      <c r="B8" t="inlineStr">
        <is>
          <t>respiratory circuit 106</t>
        </is>
      </c>
      <c r="C8" t="inlineStr">
        <is>
          <t>respiratory</t>
        </is>
      </c>
      <c r="D8" t="inlineStr">
        <is>
          <t>MedAxis Distribution</t>
        </is>
      </c>
      <c r="E8" t="inlineStr">
        <is>
          <t>HOSP-3</t>
        </is>
      </c>
      <c r="F8" t="inlineStr">
        <is>
          <t>LOT-07007</t>
        </is>
      </c>
      <c r="G8" t="n">
        <v>34.4</v>
      </c>
      <c r="H8" t="n">
        <v>26</v>
      </c>
      <c r="I8" t="n">
        <v>0</v>
      </c>
      <c r="J8" t="inlineStr">
        <is>
          <t>clear</t>
        </is>
      </c>
      <c r="K8">
        <f>IF(J8="recalled",0,MAX(0,H8-I8))</f>
        <v/>
      </c>
      <c r="L8">
        <f>K8*G8</f>
        <v/>
      </c>
      <c r="M8">
        <f>H8*G8</f>
        <v/>
      </c>
      <c r="N8" t="n">
        <v>3</v>
      </c>
      <c r="O8" t="inlineStr">
        <is>
          <t>A2-06</t>
        </is>
      </c>
      <c r="P8" s="7" t="n">
        <v>46575</v>
      </c>
      <c r="Q8">
        <f>P8-Inputs!$B$4</f>
        <v/>
      </c>
      <c r="R8">
        <f>IF(Q8&lt;0,"expired",IF(Q8&lt;=30,"&lt;=30d",IF(Q8&lt;=90,"31-90d",IF(Q8&lt;=180,"91-180d","&gt;180d"))))</f>
        <v/>
      </c>
      <c r="S8" t="n">
        <v>5</v>
      </c>
    </row>
    <row r="9">
      <c r="A9" t="inlineStr">
        <is>
          <t>SS-01008</t>
        </is>
      </c>
      <c r="B9" t="inlineStr">
        <is>
          <t>sterile surgical pack 107</t>
        </is>
      </c>
      <c r="C9" t="inlineStr">
        <is>
          <t>surgical</t>
        </is>
      </c>
      <c r="D9" t="inlineStr">
        <is>
          <t>SterilePath Medical</t>
        </is>
      </c>
      <c r="E9" t="inlineStr">
        <is>
          <t>HOSP-4</t>
        </is>
      </c>
      <c r="F9" t="inlineStr">
        <is>
          <t>LOT-07008</t>
        </is>
      </c>
      <c r="G9" t="n">
        <v>19.54</v>
      </c>
      <c r="H9" t="n">
        <v>0</v>
      </c>
      <c r="I9" t="n">
        <v>0</v>
      </c>
      <c r="J9" t="inlineStr">
        <is>
          <t>clear</t>
        </is>
      </c>
      <c r="K9">
        <f>IF(J9="recalled",0,MAX(0,H9-I9))</f>
        <v/>
      </c>
      <c r="L9">
        <f>K9*G9</f>
        <v/>
      </c>
      <c r="M9">
        <f>H9*G9</f>
        <v/>
      </c>
      <c r="N9" t="n">
        <v>7</v>
      </c>
      <c r="O9" t="inlineStr">
        <is>
          <t>C8-21</t>
        </is>
      </c>
      <c r="P9" s="7" t="n">
        <v>46607</v>
      </c>
      <c r="Q9">
        <f>P9-Inputs!$B$4</f>
        <v/>
      </c>
      <c r="R9">
        <f>IF(Q9&lt;0,"expired",IF(Q9&lt;=30,"&lt;=30d",IF(Q9&lt;=90,"31-90d",IF(Q9&lt;=180,"91-180d","&gt;180d"))))</f>
        <v/>
      </c>
      <c r="S9" t="n">
        <v>5</v>
      </c>
    </row>
    <row r="10">
      <c r="A10" t="inlineStr">
        <is>
          <t>SS-01009</t>
        </is>
      </c>
      <c r="B10" t="inlineStr">
        <is>
          <t>diagnostic collection set 108</t>
        </is>
      </c>
      <c r="C10" t="inlineStr">
        <is>
          <t>diagnostic</t>
        </is>
      </c>
      <c r="D10" t="inlineStr">
        <is>
          <t>Aegis Clinical Supply</t>
        </is>
      </c>
      <c r="E10" t="inlineStr">
        <is>
          <t>HOSP-1</t>
        </is>
      </c>
      <c r="F10" t="inlineStr">
        <is>
          <t>LOT-07009</t>
        </is>
      </c>
      <c r="G10" t="n">
        <v>9.960000000000001</v>
      </c>
      <c r="H10" t="n">
        <v>19</v>
      </c>
      <c r="I10" t="n">
        <v>0</v>
      </c>
      <c r="J10" t="inlineStr">
        <is>
          <t>clear</t>
        </is>
      </c>
      <c r="K10">
        <f>IF(J10="recalled",0,MAX(0,H10-I10))</f>
        <v/>
      </c>
      <c r="L10">
        <f>K10*G10</f>
        <v/>
      </c>
      <c r="M10">
        <f>H10*G10</f>
        <v/>
      </c>
      <c r="N10" t="n">
        <v>8</v>
      </c>
      <c r="O10" t="inlineStr">
        <is>
          <t>D7-20</t>
        </is>
      </c>
      <c r="P10" s="7" t="n">
        <v>46639</v>
      </c>
      <c r="Q10">
        <f>P10-Inputs!$B$4</f>
        <v/>
      </c>
      <c r="R10">
        <f>IF(Q10&lt;0,"expired",IF(Q10&lt;=30,"&lt;=30d",IF(Q10&lt;=90,"31-90d",IF(Q10&lt;=180,"91-180d","&gt;180d"))))</f>
        <v/>
      </c>
      <c r="S10" t="n">
        <v>16</v>
      </c>
    </row>
    <row r="11">
      <c r="A11" t="inlineStr">
        <is>
          <t>SS-01010</t>
        </is>
      </c>
      <c r="B11" t="inlineStr">
        <is>
          <t>advanced wound dressing 109</t>
        </is>
      </c>
      <c r="C11" t="inlineStr">
        <is>
          <t>wound</t>
        </is>
      </c>
      <c r="D11" t="inlineStr">
        <is>
          <t>HarborMed Logistics</t>
        </is>
      </c>
      <c r="E11" t="inlineStr">
        <is>
          <t>HOSP-2</t>
        </is>
      </c>
      <c r="F11" t="inlineStr">
        <is>
          <t>LOT-07010</t>
        </is>
      </c>
      <c r="G11" t="n">
        <v>8.34</v>
      </c>
      <c r="H11" t="n">
        <v>10</v>
      </c>
      <c r="I11" t="n">
        <v>0</v>
      </c>
      <c r="J11" t="inlineStr">
        <is>
          <t>clear</t>
        </is>
      </c>
      <c r="K11">
        <f>IF(J11="recalled",0,MAX(0,H11-I11))</f>
        <v/>
      </c>
      <c r="L11">
        <f>K11*G11</f>
        <v/>
      </c>
      <c r="M11">
        <f>H11*G11</f>
        <v/>
      </c>
      <c r="N11" t="n">
        <v>6</v>
      </c>
      <c r="O11" t="inlineStr">
        <is>
          <t>D4-02</t>
        </is>
      </c>
      <c r="P11" s="7" t="n">
        <v>46670</v>
      </c>
      <c r="Q11">
        <f>P11-Inputs!$B$4</f>
        <v/>
      </c>
      <c r="R11">
        <f>IF(Q11&lt;0,"expired",IF(Q11&lt;=30,"&lt;=30d",IF(Q11&lt;=90,"31-90d",IF(Q11&lt;=180,"91-180d","&gt;180d"))))</f>
        <v/>
      </c>
      <c r="S11" t="n">
        <v>5</v>
      </c>
    </row>
    <row r="12">
      <c r="A12" t="inlineStr">
        <is>
          <t>SS-01011</t>
        </is>
      </c>
      <c r="B12" t="inlineStr">
        <is>
          <t>vascular access kit 110</t>
        </is>
      </c>
      <c r="C12" t="inlineStr">
        <is>
          <t>vascular</t>
        </is>
      </c>
      <c r="D12" t="inlineStr">
        <is>
          <t>Northstar Surgical</t>
        </is>
      </c>
      <c r="E12" t="inlineStr">
        <is>
          <t>HOSP-3</t>
        </is>
      </c>
      <c r="F12" t="inlineStr">
        <is>
          <t>LOT-07011</t>
        </is>
      </c>
      <c r="G12" t="n">
        <v>3.58</v>
      </c>
      <c r="H12" t="n">
        <v>16</v>
      </c>
      <c r="I12" t="n">
        <v>0</v>
      </c>
      <c r="J12" t="inlineStr">
        <is>
          <t>clear</t>
        </is>
      </c>
      <c r="K12">
        <f>IF(J12="recalled",0,MAX(0,H12-I12))</f>
        <v/>
      </c>
      <c r="L12">
        <f>K12*G12</f>
        <v/>
      </c>
      <c r="M12">
        <f>H12*G12</f>
        <v/>
      </c>
      <c r="N12" t="n">
        <v>7</v>
      </c>
      <c r="O12" t="inlineStr">
        <is>
          <t>E12-03</t>
        </is>
      </c>
      <c r="P12" s="7" t="n">
        <v>46702</v>
      </c>
      <c r="Q12">
        <f>P12-Inputs!$B$4</f>
        <v/>
      </c>
      <c r="R12">
        <f>IF(Q12&lt;0,"expired",IF(Q12&lt;=30,"&lt;=30d",IF(Q12&lt;=90,"31-90d",IF(Q12&lt;=180,"91-180d","&gt;180d"))))</f>
        <v/>
      </c>
      <c r="S12" t="n">
        <v>5</v>
      </c>
    </row>
    <row r="13">
      <c r="A13" t="inlineStr">
        <is>
          <t>SS-01012</t>
        </is>
      </c>
      <c r="B13" t="inlineStr">
        <is>
          <t>respiratory circuit 111</t>
        </is>
      </c>
      <c r="C13" t="inlineStr">
        <is>
          <t>respiratory</t>
        </is>
      </c>
      <c r="D13" t="inlineStr">
        <is>
          <t>MedAxis Distribution</t>
        </is>
      </c>
      <c r="E13" t="inlineStr">
        <is>
          <t>HOSP-4</t>
        </is>
      </c>
      <c r="F13" t="inlineStr">
        <is>
          <t>LOT-07012</t>
        </is>
      </c>
      <c r="G13" t="n">
        <v>20.76</v>
      </c>
      <c r="H13" t="n">
        <v>3</v>
      </c>
      <c r="I13" t="n">
        <v>3</v>
      </c>
      <c r="J13" t="inlineStr">
        <is>
          <t>clear</t>
        </is>
      </c>
      <c r="K13">
        <f>IF(J13="recalled",0,MAX(0,H13-I13))</f>
        <v/>
      </c>
      <c r="L13">
        <f>K13*G13</f>
        <v/>
      </c>
      <c r="M13">
        <f>H13*G13</f>
        <v/>
      </c>
      <c r="N13" t="n">
        <v>6</v>
      </c>
      <c r="O13" t="inlineStr">
        <is>
          <t>C9-19</t>
        </is>
      </c>
      <c r="P13" s="7" t="n">
        <v>46733</v>
      </c>
      <c r="Q13">
        <f>P13-Inputs!$B$4</f>
        <v/>
      </c>
      <c r="R13">
        <f>IF(Q13&lt;0,"expired",IF(Q13&lt;=30,"&lt;=30d",IF(Q13&lt;=90,"31-90d",IF(Q13&lt;=180,"91-180d","&gt;180d"))))</f>
        <v/>
      </c>
      <c r="S13" t="n">
        <v>5</v>
      </c>
    </row>
    <row r="14">
      <c r="A14" t="inlineStr">
        <is>
          <t>SS-01013</t>
        </is>
      </c>
      <c r="B14" t="inlineStr">
        <is>
          <t>sterile surgical pack 112</t>
        </is>
      </c>
      <c r="C14" t="inlineStr">
        <is>
          <t>surgical</t>
        </is>
      </c>
      <c r="D14" t="inlineStr">
        <is>
          <t>SterilePath Medical</t>
        </is>
      </c>
      <c r="E14" t="inlineStr">
        <is>
          <t>HOSP-1</t>
        </is>
      </c>
      <c r="F14" t="inlineStr">
        <is>
          <t>LOT-07013</t>
        </is>
      </c>
      <c r="G14" t="n">
        <v>19.12</v>
      </c>
      <c r="H14" t="n">
        <v>28</v>
      </c>
      <c r="I14" t="n">
        <v>0</v>
      </c>
      <c r="J14" t="inlineStr">
        <is>
          <t>clear</t>
        </is>
      </c>
      <c r="K14">
        <f>IF(J14="recalled",0,MAX(0,H14-I14))</f>
        <v/>
      </c>
      <c r="L14">
        <f>K14*G14</f>
        <v/>
      </c>
      <c r="M14">
        <f>H14*G14</f>
        <v/>
      </c>
      <c r="N14" t="n">
        <v>7</v>
      </c>
      <c r="O14" t="inlineStr">
        <is>
          <t>D2-18</t>
        </is>
      </c>
      <c r="P14" s="7" t="n">
        <v>46400</v>
      </c>
      <c r="Q14">
        <f>P14-Inputs!$B$4</f>
        <v/>
      </c>
      <c r="R14">
        <f>IF(Q14&lt;0,"expired",IF(Q14&lt;=30,"&lt;=30d",IF(Q14&lt;=90,"31-90d",IF(Q14&lt;=180,"91-180d","&gt;180d"))))</f>
        <v/>
      </c>
      <c r="S14" t="n">
        <v>12</v>
      </c>
    </row>
    <row r="15">
      <c r="A15" t="inlineStr">
        <is>
          <t>SS-01014</t>
        </is>
      </c>
      <c r="B15" t="inlineStr">
        <is>
          <t>diagnostic collection set 113</t>
        </is>
      </c>
      <c r="C15" t="inlineStr">
        <is>
          <t>diagnostic</t>
        </is>
      </c>
      <c r="D15" t="inlineStr">
        <is>
          <t>Aegis Clinical Supply</t>
        </is>
      </c>
      <c r="E15" t="inlineStr">
        <is>
          <t>HOSP-2</t>
        </is>
      </c>
      <c r="F15" t="inlineStr">
        <is>
          <t>LOT-07014</t>
        </is>
      </c>
      <c r="G15" t="n">
        <v>31.54</v>
      </c>
      <c r="H15" t="n">
        <v>0</v>
      </c>
      <c r="I15" t="n">
        <v>0</v>
      </c>
      <c r="J15" t="inlineStr">
        <is>
          <t>clear</t>
        </is>
      </c>
      <c r="K15">
        <f>IF(J15="recalled",0,MAX(0,H15-I15))</f>
        <v/>
      </c>
      <c r="L15">
        <f>K15*G15</f>
        <v/>
      </c>
      <c r="M15">
        <f>H15*G15</f>
        <v/>
      </c>
      <c r="N15" t="n">
        <v>7</v>
      </c>
      <c r="O15" t="inlineStr">
        <is>
          <t>C2-12</t>
        </is>
      </c>
      <c r="P15" s="7" t="n">
        <v>46432</v>
      </c>
      <c r="Q15">
        <f>P15-Inputs!$B$4</f>
        <v/>
      </c>
      <c r="R15">
        <f>IF(Q15&lt;0,"expired",IF(Q15&lt;=30,"&lt;=30d",IF(Q15&lt;=90,"31-90d",IF(Q15&lt;=180,"91-180d","&gt;180d"))))</f>
        <v/>
      </c>
      <c r="S15" t="n">
        <v>5</v>
      </c>
    </row>
    <row r="16">
      <c r="A16" t="inlineStr">
        <is>
          <t>SS-01015</t>
        </is>
      </c>
      <c r="B16" t="inlineStr">
        <is>
          <t>advanced wound dressing 114</t>
        </is>
      </c>
      <c r="C16" t="inlineStr">
        <is>
          <t>wound</t>
        </is>
      </c>
      <c r="D16" t="inlineStr">
        <is>
          <t>HarborMed Logistics</t>
        </is>
      </c>
      <c r="E16" t="inlineStr">
        <is>
          <t>HOSP-3</t>
        </is>
      </c>
      <c r="F16" t="inlineStr">
        <is>
          <t>LOT-07015</t>
        </is>
      </c>
      <c r="G16" t="n">
        <v>14.3</v>
      </c>
      <c r="H16" t="n">
        <v>8</v>
      </c>
      <c r="I16" t="n">
        <v>0</v>
      </c>
      <c r="J16" t="inlineStr">
        <is>
          <t>clear</t>
        </is>
      </c>
      <c r="K16">
        <f>IF(J16="recalled",0,MAX(0,H16-I16))</f>
        <v/>
      </c>
      <c r="L16">
        <f>K16*G16</f>
        <v/>
      </c>
      <c r="M16">
        <f>H16*G16</f>
        <v/>
      </c>
      <c r="N16" t="n">
        <v>8</v>
      </c>
      <c r="O16" t="inlineStr">
        <is>
          <t>D1-11</t>
        </is>
      </c>
      <c r="P16" s="7" t="n">
        <v>46461</v>
      </c>
      <c r="Q16">
        <f>P16-Inputs!$B$4</f>
        <v/>
      </c>
      <c r="R16">
        <f>IF(Q16&lt;0,"expired",IF(Q16&lt;=30,"&lt;=30d",IF(Q16&lt;=90,"31-90d",IF(Q16&lt;=180,"91-180d","&gt;180d"))))</f>
        <v/>
      </c>
      <c r="S16" t="n">
        <v>5</v>
      </c>
    </row>
    <row r="17">
      <c r="A17" t="inlineStr">
        <is>
          <t>SS-01016</t>
        </is>
      </c>
      <c r="B17" t="inlineStr">
        <is>
          <t>vascular access kit 115</t>
        </is>
      </c>
      <c r="C17" t="inlineStr">
        <is>
          <t>vascular</t>
        </is>
      </c>
      <c r="D17" t="inlineStr">
        <is>
          <t>Northstar Surgical</t>
        </is>
      </c>
      <c r="E17" t="inlineStr">
        <is>
          <t>HOSP-4</t>
        </is>
      </c>
      <c r="F17" t="inlineStr">
        <is>
          <t>LOT-07016</t>
        </is>
      </c>
      <c r="G17" t="n">
        <v>9.609999999999999</v>
      </c>
      <c r="H17" t="n">
        <v>32</v>
      </c>
      <c r="I17" t="n">
        <v>0</v>
      </c>
      <c r="J17" t="inlineStr">
        <is>
          <t>clear</t>
        </is>
      </c>
      <c r="K17">
        <f>IF(J17="recalled",0,MAX(0,H17-I17))</f>
        <v/>
      </c>
      <c r="L17">
        <f>K17*G17</f>
        <v/>
      </c>
      <c r="M17">
        <f>H17*G17</f>
        <v/>
      </c>
      <c r="N17" t="n">
        <v>3</v>
      </c>
      <c r="O17" t="inlineStr">
        <is>
          <t>A2-12</t>
        </is>
      </c>
      <c r="P17" s="7" t="n">
        <v>46493</v>
      </c>
      <c r="Q17">
        <f>P17-Inputs!$B$4</f>
        <v/>
      </c>
      <c r="R17">
        <f>IF(Q17&lt;0,"expired",IF(Q17&lt;=30,"&lt;=30d",IF(Q17&lt;=90,"31-90d",IF(Q17&lt;=180,"91-180d","&gt;180d"))))</f>
        <v/>
      </c>
      <c r="S17" t="n">
        <v>7</v>
      </c>
    </row>
    <row r="18">
      <c r="A18" t="inlineStr">
        <is>
          <t>SS-01017</t>
        </is>
      </c>
      <c r="B18" t="inlineStr">
        <is>
          <t>respiratory circuit 116</t>
        </is>
      </c>
      <c r="C18" t="inlineStr">
        <is>
          <t>respiratory</t>
        </is>
      </c>
      <c r="D18" t="inlineStr">
        <is>
          <t>MedAxis Distribution</t>
        </is>
      </c>
      <c r="E18" t="inlineStr">
        <is>
          <t>HOSP-1</t>
        </is>
      </c>
      <c r="F18" t="inlineStr">
        <is>
          <t>LOT-07017</t>
        </is>
      </c>
      <c r="G18" t="n">
        <v>6.24</v>
      </c>
      <c r="H18" t="n">
        <v>47</v>
      </c>
      <c r="I18" t="n">
        <v>0</v>
      </c>
      <c r="J18" t="inlineStr">
        <is>
          <t>clear</t>
        </is>
      </c>
      <c r="K18">
        <f>IF(J18="recalled",0,MAX(0,H18-I18))</f>
        <v/>
      </c>
      <c r="L18">
        <f>K18*G18</f>
        <v/>
      </c>
      <c r="M18">
        <f>H18*G18</f>
        <v/>
      </c>
      <c r="N18" t="n">
        <v>14</v>
      </c>
      <c r="O18" t="inlineStr">
        <is>
          <t>F7-11</t>
        </is>
      </c>
      <c r="P18" s="7" t="n">
        <v>46524</v>
      </c>
      <c r="Q18">
        <f>P18-Inputs!$B$4</f>
        <v/>
      </c>
      <c r="R18">
        <f>IF(Q18&lt;0,"expired",IF(Q18&lt;=30,"&lt;=30d",IF(Q18&lt;=90,"31-90d",IF(Q18&lt;=180,"91-180d","&gt;180d"))))</f>
        <v/>
      </c>
      <c r="S18" t="n">
        <v>6</v>
      </c>
    </row>
    <row r="19">
      <c r="A19" t="inlineStr">
        <is>
          <t>SS-01018</t>
        </is>
      </c>
      <c r="B19" t="inlineStr">
        <is>
          <t>sterile surgical pack 117</t>
        </is>
      </c>
      <c r="C19" t="inlineStr">
        <is>
          <t>surgical</t>
        </is>
      </c>
      <c r="D19" t="inlineStr">
        <is>
          <t>SterilePath Medical</t>
        </is>
      </c>
      <c r="E19" t="inlineStr">
        <is>
          <t>HOSP-2</t>
        </is>
      </c>
      <c r="F19" t="inlineStr">
        <is>
          <t>LOT-07018</t>
        </is>
      </c>
      <c r="G19" t="n">
        <v>14.41</v>
      </c>
      <c r="H19" t="n">
        <v>12</v>
      </c>
      <c r="I19" t="n">
        <v>0</v>
      </c>
      <c r="J19" t="inlineStr">
        <is>
          <t>clear</t>
        </is>
      </c>
      <c r="K19">
        <f>IF(J19="recalled",0,MAX(0,H19-I19))</f>
        <v/>
      </c>
      <c r="L19">
        <f>K19*G19</f>
        <v/>
      </c>
      <c r="M19">
        <f>H19*G19</f>
        <v/>
      </c>
      <c r="N19" t="n">
        <v>3</v>
      </c>
      <c r="O19" t="inlineStr">
        <is>
          <t>F1-16</t>
        </is>
      </c>
      <c r="P19" s="7" t="n">
        <v>46556</v>
      </c>
      <c r="Q19">
        <f>P19-Inputs!$B$4</f>
        <v/>
      </c>
      <c r="R19">
        <f>IF(Q19&lt;0,"expired",IF(Q19&lt;=30,"&lt;=30d",IF(Q19&lt;=90,"31-90d",IF(Q19&lt;=180,"91-180d","&gt;180d"))))</f>
        <v/>
      </c>
      <c r="S19" t="n">
        <v>5</v>
      </c>
    </row>
    <row r="20">
      <c r="A20" t="inlineStr">
        <is>
          <t>SS-01019</t>
        </is>
      </c>
      <c r="B20" t="inlineStr">
        <is>
          <t>diagnostic collection set 118</t>
        </is>
      </c>
      <c r="C20" t="inlineStr">
        <is>
          <t>diagnostic</t>
        </is>
      </c>
      <c r="D20" t="inlineStr">
        <is>
          <t>Aegis Clinical Supply</t>
        </is>
      </c>
      <c r="E20" t="inlineStr">
        <is>
          <t>HOSP-3</t>
        </is>
      </c>
      <c r="F20" t="inlineStr">
        <is>
          <t>LOT-07019</t>
        </is>
      </c>
      <c r="G20" t="n">
        <v>34.22</v>
      </c>
      <c r="H20" t="n">
        <v>31</v>
      </c>
      <c r="I20" t="n">
        <v>0</v>
      </c>
      <c r="J20" t="inlineStr">
        <is>
          <t>clear</t>
        </is>
      </c>
      <c r="K20">
        <f>IF(J20="recalled",0,MAX(0,H20-I20))</f>
        <v/>
      </c>
      <c r="L20">
        <f>K20*G20</f>
        <v/>
      </c>
      <c r="M20">
        <f>H20*G20</f>
        <v/>
      </c>
      <c r="N20" t="n">
        <v>10</v>
      </c>
      <c r="O20" t="inlineStr">
        <is>
          <t>A12-18</t>
        </is>
      </c>
      <c r="P20" s="7" t="n">
        <v>46587</v>
      </c>
      <c r="Q20">
        <f>P20-Inputs!$B$4</f>
        <v/>
      </c>
      <c r="R20">
        <f>IF(Q20&lt;0,"expired",IF(Q20&lt;=30,"&lt;=30d",IF(Q20&lt;=90,"31-90d",IF(Q20&lt;=180,"91-180d","&gt;180d"))))</f>
        <v/>
      </c>
      <c r="S20" t="n">
        <v>5</v>
      </c>
    </row>
    <row r="21">
      <c r="A21" t="inlineStr">
        <is>
          <t>SS-01020</t>
        </is>
      </c>
      <c r="B21" t="inlineStr">
        <is>
          <t>advanced wound dressing 119</t>
        </is>
      </c>
      <c r="C21" t="inlineStr">
        <is>
          <t>wound</t>
        </is>
      </c>
      <c r="D21" t="inlineStr">
        <is>
          <t>HarborMed Logistics</t>
        </is>
      </c>
      <c r="E21" t="inlineStr">
        <is>
          <t>HOSP-4</t>
        </is>
      </c>
      <c r="F21" t="inlineStr">
        <is>
          <t>LOT-07020</t>
        </is>
      </c>
      <c r="G21" t="n">
        <v>31.28</v>
      </c>
      <c r="H21" t="n">
        <v>46</v>
      </c>
      <c r="I21" t="n">
        <v>0</v>
      </c>
      <c r="J21" t="inlineStr">
        <is>
          <t>clear</t>
        </is>
      </c>
      <c r="K21">
        <f>IF(J21="recalled",0,MAX(0,H21-I21))</f>
        <v/>
      </c>
      <c r="L21">
        <f>K21*G21</f>
        <v/>
      </c>
      <c r="M21">
        <f>H21*G21</f>
        <v/>
      </c>
      <c r="N21" t="n">
        <v>3</v>
      </c>
      <c r="O21" t="inlineStr">
        <is>
          <t>C7-02</t>
        </is>
      </c>
      <c r="P21" s="7" t="n">
        <v>46619</v>
      </c>
      <c r="Q21">
        <f>P21-Inputs!$B$4</f>
        <v/>
      </c>
      <c r="R21">
        <f>IF(Q21&lt;0,"expired",IF(Q21&lt;=30,"&lt;=30d",IF(Q21&lt;=90,"31-90d",IF(Q21&lt;=180,"91-180d","&gt;180d"))))</f>
        <v/>
      </c>
      <c r="S21" t="n">
        <v>5</v>
      </c>
    </row>
    <row r="22">
      <c r="A22" t="inlineStr">
        <is>
          <t>SS-01021</t>
        </is>
      </c>
      <c r="B22" t="inlineStr">
        <is>
          <t>vascular access kit 120</t>
        </is>
      </c>
      <c r="C22" t="inlineStr">
        <is>
          <t>vascular</t>
        </is>
      </c>
      <c r="D22" t="inlineStr">
        <is>
          <t>Northstar Surgical</t>
        </is>
      </c>
      <c r="E22" t="inlineStr">
        <is>
          <t>HOSP-1</t>
        </is>
      </c>
      <c r="F22" t="inlineStr">
        <is>
          <t>LOT-07021</t>
        </is>
      </c>
      <c r="G22" t="n">
        <v>14.48</v>
      </c>
      <c r="H22" t="n">
        <v>77</v>
      </c>
      <c r="I22" t="n">
        <v>0</v>
      </c>
      <c r="J22" t="inlineStr">
        <is>
          <t>clear</t>
        </is>
      </c>
      <c r="K22">
        <f>IF(J22="recalled",0,MAX(0,H22-I22))</f>
        <v/>
      </c>
      <c r="L22">
        <f>K22*G22</f>
        <v/>
      </c>
      <c r="M22">
        <f>H22*G22</f>
        <v/>
      </c>
      <c r="N22" t="n">
        <v>7</v>
      </c>
      <c r="O22" t="inlineStr">
        <is>
          <t>G4-24</t>
        </is>
      </c>
      <c r="P22" s="7" t="n">
        <v>46651</v>
      </c>
      <c r="Q22">
        <f>P22-Inputs!$B$4</f>
        <v/>
      </c>
      <c r="R22">
        <f>IF(Q22&lt;0,"expired",IF(Q22&lt;=30,"&lt;=30d",IF(Q22&lt;=90,"31-90d",IF(Q22&lt;=180,"91-180d","&gt;180d"))))</f>
        <v/>
      </c>
      <c r="S22" t="n">
        <v>12</v>
      </c>
    </row>
    <row r="23">
      <c r="A23" t="inlineStr">
        <is>
          <t>SS-01022</t>
        </is>
      </c>
      <c r="B23" t="inlineStr">
        <is>
          <t>respiratory circuit 121</t>
        </is>
      </c>
      <c r="C23" t="inlineStr">
        <is>
          <t>respiratory</t>
        </is>
      </c>
      <c r="D23" t="inlineStr">
        <is>
          <t>MedAxis Distribution</t>
        </is>
      </c>
      <c r="E23" t="inlineStr">
        <is>
          <t>HOSP-2</t>
        </is>
      </c>
      <c r="F23" t="inlineStr">
        <is>
          <t>LOT-07022</t>
        </is>
      </c>
      <c r="G23" t="n">
        <v>32.21</v>
      </c>
      <c r="H23" t="n">
        <v>6</v>
      </c>
      <c r="I23" t="n">
        <v>0</v>
      </c>
      <c r="J23" t="inlineStr">
        <is>
          <t>clear</t>
        </is>
      </c>
      <c r="K23">
        <f>IF(J23="recalled",0,MAX(0,H23-I23))</f>
        <v/>
      </c>
      <c r="L23">
        <f>K23*G23</f>
        <v/>
      </c>
      <c r="M23">
        <f>H23*G23</f>
        <v/>
      </c>
      <c r="N23" t="n">
        <v>5</v>
      </c>
      <c r="O23" t="inlineStr">
        <is>
          <t>B10-23</t>
        </is>
      </c>
      <c r="P23" s="7" t="n">
        <v>46682</v>
      </c>
      <c r="Q23">
        <f>P23-Inputs!$B$4</f>
        <v/>
      </c>
      <c r="R23">
        <f>IF(Q23&lt;0,"expired",IF(Q23&lt;=30,"&lt;=30d",IF(Q23&lt;=90,"31-90d",IF(Q23&lt;=180,"91-180d","&gt;180d"))))</f>
        <v/>
      </c>
      <c r="S23" t="n">
        <v>5</v>
      </c>
    </row>
    <row r="24">
      <c r="A24" t="inlineStr">
        <is>
          <t>SS-01023</t>
        </is>
      </c>
      <c r="B24" t="inlineStr">
        <is>
          <t>sterile surgical pack 122</t>
        </is>
      </c>
      <c r="C24" t="inlineStr">
        <is>
          <t>surgical</t>
        </is>
      </c>
      <c r="D24" t="inlineStr">
        <is>
          <t>SterilePath Medical</t>
        </is>
      </c>
      <c r="E24" t="inlineStr">
        <is>
          <t>HOSP-3</t>
        </is>
      </c>
      <c r="F24" t="inlineStr">
        <is>
          <t>LOT-07023</t>
        </is>
      </c>
      <c r="G24" t="n">
        <v>22.02</v>
      </c>
      <c r="H24" t="n">
        <v>4</v>
      </c>
      <c r="I24" t="n">
        <v>1</v>
      </c>
      <c r="J24" t="inlineStr">
        <is>
          <t>clear</t>
        </is>
      </c>
      <c r="K24">
        <f>IF(J24="recalled",0,MAX(0,H24-I24))</f>
        <v/>
      </c>
      <c r="L24">
        <f>K24*G24</f>
        <v/>
      </c>
      <c r="M24">
        <f>H24*G24</f>
        <v/>
      </c>
      <c r="N24" t="n">
        <v>4</v>
      </c>
      <c r="O24" t="inlineStr">
        <is>
          <t>D10-08</t>
        </is>
      </c>
      <c r="P24" s="7" t="n">
        <v>46714</v>
      </c>
      <c r="Q24">
        <f>P24-Inputs!$B$4</f>
        <v/>
      </c>
      <c r="R24">
        <f>IF(Q24&lt;0,"expired",IF(Q24&lt;=30,"&lt;=30d",IF(Q24&lt;=90,"31-90d",IF(Q24&lt;=180,"91-180d","&gt;180d"))))</f>
        <v/>
      </c>
      <c r="S24" t="n">
        <v>5</v>
      </c>
    </row>
    <row r="25">
      <c r="A25" t="inlineStr">
        <is>
          <t>SS-01024</t>
        </is>
      </c>
      <c r="B25" t="inlineStr">
        <is>
          <t>diagnostic collection set 123</t>
        </is>
      </c>
      <c r="C25" t="inlineStr">
        <is>
          <t>diagnostic</t>
        </is>
      </c>
      <c r="D25" t="inlineStr">
        <is>
          <t>Aegis Clinical Supply</t>
        </is>
      </c>
      <c r="E25" t="inlineStr">
        <is>
          <t>HOSP-4</t>
        </is>
      </c>
      <c r="F25" t="inlineStr">
        <is>
          <t>LOT-07024</t>
        </is>
      </c>
      <c r="G25" t="n">
        <v>15.42</v>
      </c>
      <c r="H25" t="n">
        <v>14</v>
      </c>
      <c r="I25" t="n">
        <v>0</v>
      </c>
      <c r="J25" t="inlineStr">
        <is>
          <t>clear</t>
        </is>
      </c>
      <c r="K25">
        <f>IF(J25="recalled",0,MAX(0,H25-I25))</f>
        <v/>
      </c>
      <c r="L25">
        <f>K25*G25</f>
        <v/>
      </c>
      <c r="M25">
        <f>H25*G25</f>
        <v/>
      </c>
      <c r="N25" t="n">
        <v>6</v>
      </c>
      <c r="O25" t="inlineStr">
        <is>
          <t>C4-05</t>
        </is>
      </c>
      <c r="P25" s="7" t="n">
        <v>46745</v>
      </c>
      <c r="Q25">
        <f>P25-Inputs!$B$4</f>
        <v/>
      </c>
      <c r="R25">
        <f>IF(Q25&lt;0,"expired",IF(Q25&lt;=30,"&lt;=30d",IF(Q25&lt;=90,"31-90d",IF(Q25&lt;=180,"91-180d","&gt;180d"))))</f>
        <v/>
      </c>
      <c r="S25" t="n">
        <v>5</v>
      </c>
    </row>
    <row r="26">
      <c r="A26" t="inlineStr">
        <is>
          <t>SS-01025</t>
        </is>
      </c>
      <c r="B26" t="inlineStr">
        <is>
          <t>advanced wound dressing 124</t>
        </is>
      </c>
      <c r="C26" t="inlineStr">
        <is>
          <t>wound</t>
        </is>
      </c>
      <c r="D26" t="inlineStr">
        <is>
          <t>HarborMed Logistics</t>
        </is>
      </c>
      <c r="E26" t="inlineStr">
        <is>
          <t>HOSP-1</t>
        </is>
      </c>
      <c r="F26" t="inlineStr">
        <is>
          <t>LOT-07025</t>
        </is>
      </c>
      <c r="G26" t="n">
        <v>3.58</v>
      </c>
      <c r="H26" t="n">
        <v>0</v>
      </c>
      <c r="I26" t="n">
        <v>0</v>
      </c>
      <c r="J26" t="inlineStr">
        <is>
          <t>clear</t>
        </is>
      </c>
      <c r="K26">
        <f>IF(J26="recalled",0,MAX(0,H26-I26))</f>
        <v/>
      </c>
      <c r="L26">
        <f>K26*G26</f>
        <v/>
      </c>
      <c r="M26">
        <f>H26*G26</f>
        <v/>
      </c>
      <c r="N26" t="n">
        <v>3</v>
      </c>
      <c r="O26" t="inlineStr">
        <is>
          <t>B6-23</t>
        </is>
      </c>
      <c r="P26" s="7" t="n">
        <v>46412</v>
      </c>
      <c r="Q26">
        <f>P26-Inputs!$B$4</f>
        <v/>
      </c>
      <c r="R26">
        <f>IF(Q26&lt;0,"expired",IF(Q26&lt;=30,"&lt;=30d",IF(Q26&lt;=90,"31-90d",IF(Q26&lt;=180,"91-180d","&gt;180d"))))</f>
        <v/>
      </c>
      <c r="S26" t="n">
        <v>5</v>
      </c>
    </row>
    <row r="27">
      <c r="A27" t="inlineStr">
        <is>
          <t>SS-01026</t>
        </is>
      </c>
      <c r="B27" t="inlineStr">
        <is>
          <t>vascular access kit 125</t>
        </is>
      </c>
      <c r="C27" t="inlineStr">
        <is>
          <t>vascular</t>
        </is>
      </c>
      <c r="D27" t="inlineStr">
        <is>
          <t>Northstar Surgical</t>
        </is>
      </c>
      <c r="E27" t="inlineStr">
        <is>
          <t>HOSP-2</t>
        </is>
      </c>
      <c r="F27" t="inlineStr">
        <is>
          <t>LOT-07026</t>
        </is>
      </c>
      <c r="G27" t="n">
        <v>5.95</v>
      </c>
      <c r="H27" t="n">
        <v>0</v>
      </c>
      <c r="I27" t="n">
        <v>0</v>
      </c>
      <c r="J27" t="inlineStr">
        <is>
          <t>clear</t>
        </is>
      </c>
      <c r="K27">
        <f>IF(J27="recalled",0,MAX(0,H27-I27))</f>
        <v/>
      </c>
      <c r="L27">
        <f>K27*G27</f>
        <v/>
      </c>
      <c r="M27">
        <f>H27*G27</f>
        <v/>
      </c>
      <c r="N27" t="n">
        <v>2</v>
      </c>
      <c r="O27" t="inlineStr">
        <is>
          <t>J7-13</t>
        </is>
      </c>
      <c r="P27" s="7" t="n">
        <v>46444</v>
      </c>
      <c r="Q27">
        <f>P27-Inputs!$B$4</f>
        <v/>
      </c>
      <c r="R27">
        <f>IF(Q27&lt;0,"expired",IF(Q27&lt;=30,"&lt;=30d",IF(Q27&lt;=90,"31-90d",IF(Q27&lt;=180,"91-180d","&gt;180d"))))</f>
        <v/>
      </c>
      <c r="S27" t="n">
        <v>5</v>
      </c>
    </row>
    <row r="28">
      <c r="A28" t="inlineStr">
        <is>
          <t>SS-01027</t>
        </is>
      </c>
      <c r="B28" t="inlineStr">
        <is>
          <t>respiratory circuit 126</t>
        </is>
      </c>
      <c r="C28" t="inlineStr">
        <is>
          <t>respiratory</t>
        </is>
      </c>
      <c r="D28" t="inlineStr">
        <is>
          <t>MedAxis Distribution</t>
        </is>
      </c>
      <c r="E28" t="inlineStr">
        <is>
          <t>HOSP-3</t>
        </is>
      </c>
      <c r="F28" t="inlineStr">
        <is>
          <t>LOT-07027</t>
        </is>
      </c>
      <c r="G28" t="n">
        <v>7.76</v>
      </c>
      <c r="H28" t="n">
        <v>58</v>
      </c>
      <c r="I28" t="n">
        <v>0</v>
      </c>
      <c r="J28" t="inlineStr">
        <is>
          <t>clear</t>
        </is>
      </c>
      <c r="K28">
        <f>IF(J28="recalled",0,MAX(0,H28-I28))</f>
        <v/>
      </c>
      <c r="L28">
        <f>K28*G28</f>
        <v/>
      </c>
      <c r="M28">
        <f>H28*G28</f>
        <v/>
      </c>
      <c r="N28" t="n">
        <v>5</v>
      </c>
      <c r="O28" t="inlineStr">
        <is>
          <t>D1-14</t>
        </is>
      </c>
      <c r="P28" s="7" t="n">
        <v>46473</v>
      </c>
      <c r="Q28">
        <f>P28-Inputs!$B$4</f>
        <v/>
      </c>
      <c r="R28">
        <f>IF(Q28&lt;0,"expired",IF(Q28&lt;=30,"&lt;=30d",IF(Q28&lt;=90,"31-90d",IF(Q28&lt;=180,"91-180d","&gt;180d"))))</f>
        <v/>
      </c>
      <c r="S28" t="n">
        <v>5</v>
      </c>
    </row>
    <row r="29">
      <c r="A29" t="inlineStr">
        <is>
          <t>SS-01028</t>
        </is>
      </c>
      <c r="B29" t="inlineStr">
        <is>
          <t>sterile surgical pack 127</t>
        </is>
      </c>
      <c r="C29" t="inlineStr">
        <is>
          <t>surgical</t>
        </is>
      </c>
      <c r="D29" t="inlineStr">
        <is>
          <t>SterilePath Medical</t>
        </is>
      </c>
      <c r="E29" t="inlineStr">
        <is>
          <t>HOSP-4</t>
        </is>
      </c>
      <c r="F29" t="inlineStr">
        <is>
          <t>LOT-07028</t>
        </is>
      </c>
      <c r="G29" t="n">
        <v>5.06</v>
      </c>
      <c r="H29" t="n">
        <v>21</v>
      </c>
      <c r="I29" t="n">
        <v>0</v>
      </c>
      <c r="J29" t="inlineStr">
        <is>
          <t>clear</t>
        </is>
      </c>
      <c r="K29">
        <f>IF(J29="recalled",0,MAX(0,H29-I29))</f>
        <v/>
      </c>
      <c r="L29">
        <f>K29*G29</f>
        <v/>
      </c>
      <c r="M29">
        <f>H29*G29</f>
        <v/>
      </c>
      <c r="N29" t="n">
        <v>13</v>
      </c>
      <c r="O29" t="inlineStr">
        <is>
          <t>J6-03</t>
        </is>
      </c>
      <c r="P29" s="7" t="n">
        <v>46478</v>
      </c>
      <c r="Q29">
        <f>P29-Inputs!$B$4</f>
        <v/>
      </c>
      <c r="R29">
        <f>IF(Q29&lt;0,"expired",IF(Q29&lt;=30,"&lt;=30d",IF(Q29&lt;=90,"31-90d",IF(Q29&lt;=180,"91-180d","&gt;180d"))))</f>
        <v/>
      </c>
      <c r="S29" t="n">
        <v>5</v>
      </c>
    </row>
    <row r="30">
      <c r="A30" t="inlineStr">
        <is>
          <t>SS-01029</t>
        </is>
      </c>
      <c r="B30" t="inlineStr">
        <is>
          <t>diagnostic collection set 128</t>
        </is>
      </c>
      <c r="C30" t="inlineStr">
        <is>
          <t>diagnostic</t>
        </is>
      </c>
      <c r="D30" t="inlineStr">
        <is>
          <t>Aegis Clinical Supply</t>
        </is>
      </c>
      <c r="E30" t="inlineStr">
        <is>
          <t>HOSP-1</t>
        </is>
      </c>
      <c r="F30" t="inlineStr">
        <is>
          <t>LOT-07029</t>
        </is>
      </c>
      <c r="G30" t="n">
        <v>29.7</v>
      </c>
      <c r="H30" t="n">
        <v>57</v>
      </c>
      <c r="I30" t="n">
        <v>0</v>
      </c>
      <c r="J30" t="inlineStr">
        <is>
          <t>clear</t>
        </is>
      </c>
      <c r="K30">
        <f>IF(J30="recalled",0,MAX(0,H30-I30))</f>
        <v/>
      </c>
      <c r="L30">
        <f>K30*G30</f>
        <v/>
      </c>
      <c r="M30">
        <f>H30*G30</f>
        <v/>
      </c>
      <c r="N30" t="n">
        <v>6</v>
      </c>
      <c r="O30" t="inlineStr">
        <is>
          <t>H9-20</t>
        </is>
      </c>
      <c r="P30" s="7" t="n">
        <v>46509</v>
      </c>
      <c r="Q30">
        <f>P30-Inputs!$B$4</f>
        <v/>
      </c>
      <c r="R30">
        <f>IF(Q30&lt;0,"expired",IF(Q30&lt;=30,"&lt;=30d",IF(Q30&lt;=90,"31-90d",IF(Q30&lt;=180,"91-180d","&gt;180d"))))</f>
        <v/>
      </c>
      <c r="S30" t="n">
        <v>5</v>
      </c>
    </row>
    <row r="31">
      <c r="A31" t="inlineStr">
        <is>
          <t>SS-01030</t>
        </is>
      </c>
      <c r="B31" t="inlineStr">
        <is>
          <t>advanced wound dressing 129</t>
        </is>
      </c>
      <c r="C31" t="inlineStr">
        <is>
          <t>wound</t>
        </is>
      </c>
      <c r="D31" t="inlineStr">
        <is>
          <t>HarborMed Logistics</t>
        </is>
      </c>
      <c r="E31" t="inlineStr">
        <is>
          <t>HOSP-2</t>
        </is>
      </c>
      <c r="F31" t="inlineStr">
        <is>
          <t>LOT-07030</t>
        </is>
      </c>
      <c r="G31" t="n">
        <v>12.8</v>
      </c>
      <c r="H31" t="n">
        <v>8</v>
      </c>
      <c r="I31" t="n">
        <v>0</v>
      </c>
      <c r="J31" t="inlineStr">
        <is>
          <t>clear</t>
        </is>
      </c>
      <c r="K31">
        <f>IF(J31="recalled",0,MAX(0,H31-I31))</f>
        <v/>
      </c>
      <c r="L31">
        <f>K31*G31</f>
        <v/>
      </c>
      <c r="M31">
        <f>H31*G31</f>
        <v/>
      </c>
      <c r="N31" t="n">
        <v>8</v>
      </c>
      <c r="O31" t="inlineStr">
        <is>
          <t>C2-05</t>
        </is>
      </c>
      <c r="P31" s="7" t="n">
        <v>46541</v>
      </c>
      <c r="Q31">
        <f>P31-Inputs!$B$4</f>
        <v/>
      </c>
      <c r="R31">
        <f>IF(Q31&lt;0,"expired",IF(Q31&lt;=30,"&lt;=30d",IF(Q31&lt;=90,"31-90d",IF(Q31&lt;=180,"91-180d","&gt;180d"))))</f>
        <v/>
      </c>
      <c r="S31" t="n">
        <v>5</v>
      </c>
    </row>
    <row r="32">
      <c r="A32" t="inlineStr">
        <is>
          <t>SS-01031</t>
        </is>
      </c>
      <c r="B32" t="inlineStr">
        <is>
          <t>vascular access kit 130</t>
        </is>
      </c>
      <c r="C32" t="inlineStr">
        <is>
          <t>vascular</t>
        </is>
      </c>
      <c r="D32" t="inlineStr">
        <is>
          <t>Northstar Surgical</t>
        </is>
      </c>
      <c r="E32" t="inlineStr">
        <is>
          <t>HOSP-3</t>
        </is>
      </c>
      <c r="F32" t="inlineStr">
        <is>
          <t>LOT-07031</t>
        </is>
      </c>
      <c r="G32" t="n">
        <v>18.48</v>
      </c>
      <c r="H32" t="n">
        <v>11</v>
      </c>
      <c r="I32" t="n">
        <v>0</v>
      </c>
      <c r="J32" t="inlineStr">
        <is>
          <t>clear</t>
        </is>
      </c>
      <c r="K32">
        <f>IF(J32="recalled",0,MAX(0,H32-I32))</f>
        <v/>
      </c>
      <c r="L32">
        <f>K32*G32</f>
        <v/>
      </c>
      <c r="M32">
        <f>H32*G32</f>
        <v/>
      </c>
      <c r="N32" t="n">
        <v>8</v>
      </c>
      <c r="O32" t="inlineStr">
        <is>
          <t>C8-10</t>
        </is>
      </c>
      <c r="P32" s="7" t="n">
        <v>46572</v>
      </c>
      <c r="Q32">
        <f>P32-Inputs!$B$4</f>
        <v/>
      </c>
      <c r="R32">
        <f>IF(Q32&lt;0,"expired",IF(Q32&lt;=30,"&lt;=30d",IF(Q32&lt;=90,"31-90d",IF(Q32&lt;=180,"91-180d","&gt;180d"))))</f>
        <v/>
      </c>
      <c r="S32" t="n">
        <v>5</v>
      </c>
    </row>
    <row r="33">
      <c r="A33" t="inlineStr">
        <is>
          <t>SS-01032</t>
        </is>
      </c>
      <c r="B33" t="inlineStr">
        <is>
          <t>respiratory circuit 131</t>
        </is>
      </c>
      <c r="C33" t="inlineStr">
        <is>
          <t>respiratory</t>
        </is>
      </c>
      <c r="D33" t="inlineStr">
        <is>
          <t>MedAxis Distribution</t>
        </is>
      </c>
      <c r="E33" t="inlineStr">
        <is>
          <t>HOSP-4</t>
        </is>
      </c>
      <c r="F33" t="inlineStr">
        <is>
          <t>LOT-07032</t>
        </is>
      </c>
      <c r="G33" t="n">
        <v>14.31</v>
      </c>
      <c r="H33" t="n">
        <v>14</v>
      </c>
      <c r="I33" t="n">
        <v>0</v>
      </c>
      <c r="J33" t="inlineStr">
        <is>
          <t>clear</t>
        </is>
      </c>
      <c r="K33">
        <f>IF(J33="recalled",0,MAX(0,H33-I33))</f>
        <v/>
      </c>
      <c r="L33">
        <f>K33*G33</f>
        <v/>
      </c>
      <c r="M33">
        <f>H33*G33</f>
        <v/>
      </c>
      <c r="N33" t="n">
        <v>7</v>
      </c>
      <c r="O33" t="inlineStr">
        <is>
          <t>H10-01</t>
        </is>
      </c>
      <c r="P33" s="7" t="n">
        <v>46604</v>
      </c>
      <c r="Q33">
        <f>P33-Inputs!$B$4</f>
        <v/>
      </c>
      <c r="R33">
        <f>IF(Q33&lt;0,"expired",IF(Q33&lt;=30,"&lt;=30d",IF(Q33&lt;=90,"31-90d",IF(Q33&lt;=180,"91-180d","&gt;180d"))))</f>
        <v/>
      </c>
      <c r="S33" t="n">
        <v>5</v>
      </c>
    </row>
    <row r="34">
      <c r="A34" t="inlineStr">
        <is>
          <t>SS-01033</t>
        </is>
      </c>
      <c r="B34" t="inlineStr">
        <is>
          <t>sterile surgical pack 132</t>
        </is>
      </c>
      <c r="C34" t="inlineStr">
        <is>
          <t>surgical</t>
        </is>
      </c>
      <c r="D34" t="inlineStr">
        <is>
          <t>SterilePath Medical</t>
        </is>
      </c>
      <c r="E34" t="inlineStr">
        <is>
          <t>HOSP-1</t>
        </is>
      </c>
      <c r="F34" t="inlineStr">
        <is>
          <t>LOT-07033</t>
        </is>
      </c>
      <c r="G34" t="n">
        <v>75.95999999999999</v>
      </c>
      <c r="H34" t="n">
        <v>17</v>
      </c>
      <c r="I34" t="n">
        <v>0</v>
      </c>
      <c r="J34" t="inlineStr">
        <is>
          <t>clear</t>
        </is>
      </c>
      <c r="K34">
        <f>IF(J34="recalled",0,MAX(0,H34-I34))</f>
        <v/>
      </c>
      <c r="L34">
        <f>K34*G34</f>
        <v/>
      </c>
      <c r="M34">
        <f>H34*G34</f>
        <v/>
      </c>
      <c r="N34" t="n">
        <v>6</v>
      </c>
      <c r="O34" t="inlineStr">
        <is>
          <t>C5-02</t>
        </is>
      </c>
      <c r="P34" s="7" t="n">
        <v>46636</v>
      </c>
      <c r="Q34">
        <f>P34-Inputs!$B$4</f>
        <v/>
      </c>
      <c r="R34">
        <f>IF(Q34&lt;0,"expired",IF(Q34&lt;=30,"&lt;=30d",IF(Q34&lt;=90,"31-90d",IF(Q34&lt;=180,"91-180d","&gt;180d"))))</f>
        <v/>
      </c>
      <c r="S34" t="n">
        <v>5</v>
      </c>
    </row>
    <row r="35">
      <c r="A35" t="inlineStr">
        <is>
          <t>SS-01034</t>
        </is>
      </c>
      <c r="B35" t="inlineStr">
        <is>
          <t>diagnostic collection set 133</t>
        </is>
      </c>
      <c r="C35" t="inlineStr">
        <is>
          <t>diagnostic</t>
        </is>
      </c>
      <c r="D35" t="inlineStr">
        <is>
          <t>Aegis Clinical Supply</t>
        </is>
      </c>
      <c r="E35" t="inlineStr">
        <is>
          <t>HOSP-2</t>
        </is>
      </c>
      <c r="F35" t="inlineStr">
        <is>
          <t>LOT-07034</t>
        </is>
      </c>
      <c r="G35" t="n">
        <v>40.77</v>
      </c>
      <c r="H35" t="n">
        <v>0</v>
      </c>
      <c r="I35" t="n">
        <v>0</v>
      </c>
      <c r="J35" t="inlineStr">
        <is>
          <t>clear</t>
        </is>
      </c>
      <c r="K35">
        <f>IF(J35="recalled",0,MAX(0,H35-I35))</f>
        <v/>
      </c>
      <c r="L35">
        <f>K35*G35</f>
        <v/>
      </c>
      <c r="M35">
        <f>H35*G35</f>
        <v/>
      </c>
      <c r="N35" t="n">
        <v>4</v>
      </c>
      <c r="O35" t="inlineStr">
        <is>
          <t>C2-22</t>
        </is>
      </c>
      <c r="P35" s="7" t="n">
        <v>46667</v>
      </c>
      <c r="Q35">
        <f>P35-Inputs!$B$4</f>
        <v/>
      </c>
      <c r="R35">
        <f>IF(Q35&lt;0,"expired",IF(Q35&lt;=30,"&lt;=30d",IF(Q35&lt;=90,"31-90d",IF(Q35&lt;=180,"91-180d","&gt;180d"))))</f>
        <v/>
      </c>
      <c r="S35" t="n">
        <v>5</v>
      </c>
    </row>
    <row r="36">
      <c r="A36" t="inlineStr">
        <is>
          <t>SS-01035</t>
        </is>
      </c>
      <c r="B36" t="inlineStr">
        <is>
          <t>advanced wound dressing 134</t>
        </is>
      </c>
      <c r="C36" t="inlineStr">
        <is>
          <t>wound</t>
        </is>
      </c>
      <c r="D36" t="inlineStr">
        <is>
          <t>HarborMed Logistics</t>
        </is>
      </c>
      <c r="E36" t="inlineStr">
        <is>
          <t>HOSP-3</t>
        </is>
      </c>
      <c r="F36" t="inlineStr">
        <is>
          <t>LOT-07035</t>
        </is>
      </c>
      <c r="G36" t="n">
        <v>25.84</v>
      </c>
      <c r="H36" t="n">
        <v>18</v>
      </c>
      <c r="I36" t="n">
        <v>0</v>
      </c>
      <c r="J36" t="inlineStr">
        <is>
          <t>clear</t>
        </is>
      </c>
      <c r="K36">
        <f>IF(J36="recalled",0,MAX(0,H36-I36))</f>
        <v/>
      </c>
      <c r="L36">
        <f>K36*G36</f>
        <v/>
      </c>
      <c r="M36">
        <f>H36*G36</f>
        <v/>
      </c>
      <c r="N36" t="n">
        <v>4</v>
      </c>
      <c r="O36" t="inlineStr">
        <is>
          <t>B12-19</t>
        </is>
      </c>
      <c r="P36" s="7" t="n">
        <v>46699</v>
      </c>
      <c r="Q36">
        <f>P36-Inputs!$B$4</f>
        <v/>
      </c>
      <c r="R36">
        <f>IF(Q36&lt;0,"expired",IF(Q36&lt;=30,"&lt;=30d",IF(Q36&lt;=90,"31-90d",IF(Q36&lt;=180,"91-180d","&gt;180d"))))</f>
        <v/>
      </c>
      <c r="S36" t="n">
        <v>5</v>
      </c>
    </row>
    <row r="37">
      <c r="A37" t="inlineStr">
        <is>
          <t>SS-01036</t>
        </is>
      </c>
      <c r="B37" t="inlineStr">
        <is>
          <t>vascular access kit 135</t>
        </is>
      </c>
      <c r="C37" t="inlineStr">
        <is>
          <t>vascular</t>
        </is>
      </c>
      <c r="D37" t="inlineStr">
        <is>
          <t>Northstar Surgical</t>
        </is>
      </c>
      <c r="E37" t="inlineStr">
        <is>
          <t>HOSP-4</t>
        </is>
      </c>
      <c r="F37" t="inlineStr">
        <is>
          <t>LOT-07036</t>
        </is>
      </c>
      <c r="G37" t="n">
        <v>9</v>
      </c>
      <c r="H37" t="n">
        <v>15</v>
      </c>
      <c r="I37" t="n">
        <v>0</v>
      </c>
      <c r="J37" t="inlineStr">
        <is>
          <t>clear</t>
        </is>
      </c>
      <c r="K37">
        <f>IF(J37="recalled",0,MAX(0,H37-I37))</f>
        <v/>
      </c>
      <c r="L37">
        <f>K37*G37</f>
        <v/>
      </c>
      <c r="M37">
        <f>H37*G37</f>
        <v/>
      </c>
      <c r="N37" t="n">
        <v>12</v>
      </c>
      <c r="O37" t="inlineStr">
        <is>
          <t>F2-11</t>
        </is>
      </c>
      <c r="P37" s="7" t="n">
        <v>46730</v>
      </c>
      <c r="Q37">
        <f>P37-Inputs!$B$4</f>
        <v/>
      </c>
      <c r="R37">
        <f>IF(Q37&lt;0,"expired",IF(Q37&lt;=30,"&lt;=30d",IF(Q37&lt;=90,"31-90d",IF(Q37&lt;=180,"91-180d","&gt;180d"))))</f>
        <v/>
      </c>
      <c r="S37" t="n">
        <v>5</v>
      </c>
    </row>
    <row r="38">
      <c r="A38" t="inlineStr">
        <is>
          <t>SS-01037</t>
        </is>
      </c>
      <c r="B38" t="inlineStr">
        <is>
          <t>respiratory circuit 136</t>
        </is>
      </c>
      <c r="C38" t="inlineStr">
        <is>
          <t>respiratory</t>
        </is>
      </c>
      <c r="D38" t="inlineStr">
        <is>
          <t>MedAxis Distribution</t>
        </is>
      </c>
      <c r="E38" t="inlineStr">
        <is>
          <t>HOSP-1</t>
        </is>
      </c>
      <c r="F38" t="inlineStr">
        <is>
          <t>LOT-07037</t>
        </is>
      </c>
      <c r="G38" t="n">
        <v>68.40000000000001</v>
      </c>
      <c r="H38" t="n">
        <v>4</v>
      </c>
      <c r="I38" t="n">
        <v>0</v>
      </c>
      <c r="J38" t="inlineStr">
        <is>
          <t>clear</t>
        </is>
      </c>
      <c r="K38">
        <f>IF(J38="recalled",0,MAX(0,H38-I38))</f>
        <v/>
      </c>
      <c r="L38">
        <f>K38*G38</f>
        <v/>
      </c>
      <c r="M38">
        <f>H38*G38</f>
        <v/>
      </c>
      <c r="N38" t="n">
        <v>4</v>
      </c>
      <c r="O38" t="inlineStr">
        <is>
          <t>D4-11</t>
        </is>
      </c>
      <c r="P38" s="7" t="n">
        <v>46397</v>
      </c>
      <c r="Q38">
        <f>P38-Inputs!$B$4</f>
        <v/>
      </c>
      <c r="R38">
        <f>IF(Q38&lt;0,"expired",IF(Q38&lt;=30,"&lt;=30d",IF(Q38&lt;=90,"31-90d",IF(Q38&lt;=180,"91-180d","&gt;180d"))))</f>
        <v/>
      </c>
      <c r="S38" t="n">
        <v>5</v>
      </c>
    </row>
    <row r="39">
      <c r="A39" t="inlineStr">
        <is>
          <t>SS-01038</t>
        </is>
      </c>
      <c r="B39" t="inlineStr">
        <is>
          <t>sterile surgical pack 100</t>
        </is>
      </c>
      <c r="C39" t="inlineStr">
        <is>
          <t>surgical</t>
        </is>
      </c>
      <c r="D39" t="inlineStr">
        <is>
          <t>SterilePath Medical</t>
        </is>
      </c>
      <c r="E39" t="inlineStr">
        <is>
          <t>HOSP-2</t>
        </is>
      </c>
      <c r="F39" t="inlineStr">
        <is>
          <t>LOT-07038</t>
        </is>
      </c>
      <c r="G39" t="n">
        <v>20.82</v>
      </c>
      <c r="H39" t="n">
        <v>1</v>
      </c>
      <c r="I39" t="n">
        <v>0</v>
      </c>
      <c r="J39" t="inlineStr">
        <is>
          <t>clear</t>
        </is>
      </c>
      <c r="K39">
        <f>IF(J39="recalled",0,MAX(0,H39-I39))</f>
        <v/>
      </c>
      <c r="L39">
        <f>K39*G39</f>
        <v/>
      </c>
      <c r="M39">
        <f>H39*G39</f>
        <v/>
      </c>
      <c r="N39" t="n">
        <v>3</v>
      </c>
      <c r="O39" t="inlineStr">
        <is>
          <t>A9-10</t>
        </is>
      </c>
      <c r="P39" s="7" t="n">
        <v>46429</v>
      </c>
      <c r="Q39">
        <f>P39-Inputs!$B$4</f>
        <v/>
      </c>
      <c r="R39">
        <f>IF(Q39&lt;0,"expired",IF(Q39&lt;=30,"&lt;=30d",IF(Q39&lt;=90,"31-90d",IF(Q39&lt;=180,"91-180d","&gt;180d"))))</f>
        <v/>
      </c>
      <c r="S39" t="n">
        <v>5</v>
      </c>
    </row>
    <row r="40">
      <c r="A40" t="inlineStr">
        <is>
          <t>SS-01039</t>
        </is>
      </c>
      <c r="B40" t="inlineStr">
        <is>
          <t>diagnostic collection set 101</t>
        </is>
      </c>
      <c r="C40" t="inlineStr">
        <is>
          <t>diagnostic</t>
        </is>
      </c>
      <c r="D40" t="inlineStr">
        <is>
          <t>Aegis Clinical Supply</t>
        </is>
      </c>
      <c r="E40" t="inlineStr">
        <is>
          <t>HOSP-3</t>
        </is>
      </c>
      <c r="F40" t="inlineStr">
        <is>
          <t>LOT-07039</t>
        </is>
      </c>
      <c r="G40" t="n">
        <v>34.2</v>
      </c>
      <c r="H40" t="n">
        <v>3</v>
      </c>
      <c r="I40" t="n">
        <v>0</v>
      </c>
      <c r="J40" t="inlineStr">
        <is>
          <t>clear</t>
        </is>
      </c>
      <c r="K40">
        <f>IF(J40="recalled",0,MAX(0,H40-I40))</f>
        <v/>
      </c>
      <c r="L40">
        <f>K40*G40</f>
        <v/>
      </c>
      <c r="M40">
        <f>H40*G40</f>
        <v/>
      </c>
      <c r="N40" t="n">
        <v>8</v>
      </c>
      <c r="O40" t="inlineStr">
        <is>
          <t>D11-21</t>
        </is>
      </c>
      <c r="P40" s="7" t="n">
        <v>46458</v>
      </c>
      <c r="Q40">
        <f>P40-Inputs!$B$4</f>
        <v/>
      </c>
      <c r="R40">
        <f>IF(Q40&lt;0,"expired",IF(Q40&lt;=30,"&lt;=30d",IF(Q40&lt;=90,"31-90d",IF(Q40&lt;=180,"91-180d","&gt;180d"))))</f>
        <v/>
      </c>
      <c r="S40" t="n">
        <v>5</v>
      </c>
    </row>
    <row r="41">
      <c r="A41" t="inlineStr">
        <is>
          <t>SS-01040</t>
        </is>
      </c>
      <c r="B41" t="inlineStr">
        <is>
          <t>advanced wound dressing 102</t>
        </is>
      </c>
      <c r="C41" t="inlineStr">
        <is>
          <t>wound</t>
        </is>
      </c>
      <c r="D41" t="inlineStr">
        <is>
          <t>HarborMed Logistics</t>
        </is>
      </c>
      <c r="E41" t="inlineStr">
        <is>
          <t>HOSP-4</t>
        </is>
      </c>
      <c r="F41" t="inlineStr">
        <is>
          <t>LOT-07040</t>
        </is>
      </c>
      <c r="G41" t="n">
        <v>26.74</v>
      </c>
      <c r="H41" t="n">
        <v>0</v>
      </c>
      <c r="I41" t="n">
        <v>0</v>
      </c>
      <c r="J41" t="inlineStr">
        <is>
          <t>clear</t>
        </is>
      </c>
      <c r="K41">
        <f>IF(J41="recalled",0,MAX(0,H41-I41))</f>
        <v/>
      </c>
      <c r="L41">
        <f>K41*G41</f>
        <v/>
      </c>
      <c r="M41">
        <f>H41*G41</f>
        <v/>
      </c>
      <c r="N41" t="n">
        <v>4</v>
      </c>
      <c r="O41" t="inlineStr">
        <is>
          <t>C1-05</t>
        </is>
      </c>
      <c r="P41" s="7" t="n">
        <v>46490</v>
      </c>
      <c r="Q41">
        <f>P41-Inputs!$B$4</f>
        <v/>
      </c>
      <c r="R41">
        <f>IF(Q41&lt;0,"expired",IF(Q41&lt;=30,"&lt;=30d",IF(Q41&lt;=90,"31-90d",IF(Q41&lt;=180,"91-180d","&gt;180d"))))</f>
        <v/>
      </c>
      <c r="S41" t="n">
        <v>5</v>
      </c>
    </row>
    <row r="42">
      <c r="A42" t="inlineStr">
        <is>
          <t>SS-01041</t>
        </is>
      </c>
      <c r="B42" t="inlineStr">
        <is>
          <t>vascular access kit 103</t>
        </is>
      </c>
      <c r="C42" t="inlineStr">
        <is>
          <t>vascular</t>
        </is>
      </c>
      <c r="D42" t="inlineStr">
        <is>
          <t>Northstar Surgical</t>
        </is>
      </c>
      <c r="E42" t="inlineStr">
        <is>
          <t>HOSP-1</t>
        </is>
      </c>
      <c r="F42" t="inlineStr">
        <is>
          <t>LOT-07041</t>
        </is>
      </c>
      <c r="G42" t="n">
        <v>6.87</v>
      </c>
      <c r="H42" t="n">
        <v>0</v>
      </c>
      <c r="I42" t="n">
        <v>0</v>
      </c>
      <c r="J42" t="inlineStr">
        <is>
          <t>clear</t>
        </is>
      </c>
      <c r="K42">
        <f>IF(J42="recalled",0,MAX(0,H42-I42))</f>
        <v/>
      </c>
      <c r="L42">
        <f>K42*G42</f>
        <v/>
      </c>
      <c r="M42">
        <f>H42*G42</f>
        <v/>
      </c>
      <c r="N42" t="n">
        <v>8</v>
      </c>
      <c r="O42" t="inlineStr">
        <is>
          <t>E12-06</t>
        </is>
      </c>
      <c r="P42" s="7" t="n">
        <v>46521</v>
      </c>
      <c r="Q42">
        <f>P42-Inputs!$B$4</f>
        <v/>
      </c>
      <c r="R42">
        <f>IF(Q42&lt;0,"expired",IF(Q42&lt;=30,"&lt;=30d",IF(Q42&lt;=90,"31-90d",IF(Q42&lt;=180,"91-180d","&gt;180d"))))</f>
        <v/>
      </c>
      <c r="S42" t="n">
        <v>5</v>
      </c>
    </row>
    <row r="43">
      <c r="A43" t="inlineStr">
        <is>
          <t>SS-01042</t>
        </is>
      </c>
      <c r="B43" t="inlineStr">
        <is>
          <t>respiratory circuit 104</t>
        </is>
      </c>
      <c r="C43" t="inlineStr">
        <is>
          <t>respiratory</t>
        </is>
      </c>
      <c r="D43" t="inlineStr">
        <is>
          <t>MedAxis Distribution</t>
        </is>
      </c>
      <c r="E43" t="inlineStr">
        <is>
          <t>HOSP-2</t>
        </is>
      </c>
      <c r="F43" t="inlineStr">
        <is>
          <t>LOT-07042</t>
        </is>
      </c>
      <c r="G43" t="n">
        <v>20.8</v>
      </c>
      <c r="H43" t="n">
        <v>25</v>
      </c>
      <c r="I43" t="n">
        <v>0</v>
      </c>
      <c r="J43" t="inlineStr">
        <is>
          <t>clear</t>
        </is>
      </c>
      <c r="K43">
        <f>IF(J43="recalled",0,MAX(0,H43-I43))</f>
        <v/>
      </c>
      <c r="L43">
        <f>K43*G43</f>
        <v/>
      </c>
      <c r="M43">
        <f>H43*G43</f>
        <v/>
      </c>
      <c r="N43" t="n">
        <v>5</v>
      </c>
      <c r="O43" t="inlineStr">
        <is>
          <t>C11-07</t>
        </is>
      </c>
      <c r="P43" s="7" t="n">
        <v>46553</v>
      </c>
      <c r="Q43">
        <f>P43-Inputs!$B$4</f>
        <v/>
      </c>
      <c r="R43">
        <f>IF(Q43&lt;0,"expired",IF(Q43&lt;=30,"&lt;=30d",IF(Q43&lt;=90,"31-90d",IF(Q43&lt;=180,"91-180d","&gt;180d"))))</f>
        <v/>
      </c>
      <c r="S43" t="n">
        <v>5</v>
      </c>
    </row>
    <row r="44">
      <c r="A44" t="inlineStr">
        <is>
          <t>SS-01043</t>
        </is>
      </c>
      <c r="B44" t="inlineStr">
        <is>
          <t>sterile surgical pack 105</t>
        </is>
      </c>
      <c r="C44" t="inlineStr">
        <is>
          <t>surgical</t>
        </is>
      </c>
      <c r="D44" t="inlineStr">
        <is>
          <t>SterilePath Medical</t>
        </is>
      </c>
      <c r="E44" t="inlineStr">
        <is>
          <t>HOSP-3</t>
        </is>
      </c>
      <c r="F44" t="inlineStr">
        <is>
          <t>LOT-07043</t>
        </is>
      </c>
      <c r="G44" t="n">
        <v>18.76</v>
      </c>
      <c r="H44" t="n">
        <v>22</v>
      </c>
      <c r="I44" t="n">
        <v>0</v>
      </c>
      <c r="J44" t="inlineStr">
        <is>
          <t>clear</t>
        </is>
      </c>
      <c r="K44">
        <f>IF(J44="recalled",0,MAX(0,H44-I44))</f>
        <v/>
      </c>
      <c r="L44">
        <f>K44*G44</f>
        <v/>
      </c>
      <c r="M44">
        <f>H44*G44</f>
        <v/>
      </c>
      <c r="N44" t="n">
        <v>7</v>
      </c>
      <c r="O44" t="inlineStr">
        <is>
          <t>D2-17</t>
        </is>
      </c>
      <c r="P44" s="7" t="n">
        <v>46584</v>
      </c>
      <c r="Q44">
        <f>P44-Inputs!$B$4</f>
        <v/>
      </c>
      <c r="R44">
        <f>IF(Q44&lt;0,"expired",IF(Q44&lt;=30,"&lt;=30d",IF(Q44&lt;=90,"31-90d",IF(Q44&lt;=180,"91-180d","&gt;180d"))))</f>
        <v/>
      </c>
      <c r="S44" t="n">
        <v>5</v>
      </c>
    </row>
    <row r="45">
      <c r="A45" t="inlineStr">
        <is>
          <t>SS-01044</t>
        </is>
      </c>
      <c r="B45" t="inlineStr">
        <is>
          <t>diagnostic collection set 106</t>
        </is>
      </c>
      <c r="C45" t="inlineStr">
        <is>
          <t>diagnostic</t>
        </is>
      </c>
      <c r="D45" t="inlineStr">
        <is>
          <t>Aegis Clinical Supply</t>
        </is>
      </c>
      <c r="E45" t="inlineStr">
        <is>
          <t>HOSP-4</t>
        </is>
      </c>
      <c r="F45" t="inlineStr">
        <is>
          <t>LOT-07044</t>
        </is>
      </c>
      <c r="G45" t="n">
        <v>6.62</v>
      </c>
      <c r="H45" t="n">
        <v>2</v>
      </c>
      <c r="I45" t="n">
        <v>0</v>
      </c>
      <c r="J45" t="inlineStr">
        <is>
          <t>clear</t>
        </is>
      </c>
      <c r="K45">
        <f>IF(J45="recalled",0,MAX(0,H45-I45))</f>
        <v/>
      </c>
      <c r="L45">
        <f>K45*G45</f>
        <v/>
      </c>
      <c r="M45">
        <f>H45*G45</f>
        <v/>
      </c>
      <c r="N45" t="n">
        <v>14</v>
      </c>
      <c r="O45" t="inlineStr">
        <is>
          <t>E6-19</t>
        </is>
      </c>
      <c r="P45" s="7" t="n">
        <v>46616</v>
      </c>
      <c r="Q45">
        <f>P45-Inputs!$B$4</f>
        <v/>
      </c>
      <c r="R45">
        <f>IF(Q45&lt;0,"expired",IF(Q45&lt;=30,"&lt;=30d",IF(Q45&lt;=90,"31-90d",IF(Q45&lt;=180,"91-180d","&gt;180d"))))</f>
        <v/>
      </c>
      <c r="S45" t="n">
        <v>5</v>
      </c>
    </row>
    <row r="46">
      <c r="A46" t="inlineStr">
        <is>
          <t>SS-01045</t>
        </is>
      </c>
      <c r="B46" t="inlineStr">
        <is>
          <t>advanced wound dressing 107</t>
        </is>
      </c>
      <c r="C46" t="inlineStr">
        <is>
          <t>wound</t>
        </is>
      </c>
      <c r="D46" t="inlineStr">
        <is>
          <t>HarborMed Logistics</t>
        </is>
      </c>
      <c r="E46" t="inlineStr">
        <is>
          <t>HOSP-1</t>
        </is>
      </c>
      <c r="F46" t="inlineStr">
        <is>
          <t>LOT-07045</t>
        </is>
      </c>
      <c r="G46" t="n">
        <v>25.06</v>
      </c>
      <c r="H46" t="n">
        <v>45</v>
      </c>
      <c r="I46" t="n">
        <v>2</v>
      </c>
      <c r="J46" t="inlineStr">
        <is>
          <t>clear</t>
        </is>
      </c>
      <c r="K46">
        <f>IF(J46="recalled",0,MAX(0,H46-I46))</f>
        <v/>
      </c>
      <c r="L46">
        <f>K46*G46</f>
        <v/>
      </c>
      <c r="M46">
        <f>H46*G46</f>
        <v/>
      </c>
      <c r="N46" t="n">
        <v>3</v>
      </c>
      <c r="O46" t="inlineStr">
        <is>
          <t>B6-17</t>
        </is>
      </c>
      <c r="P46" s="7" t="n">
        <v>46648</v>
      </c>
      <c r="Q46">
        <f>P46-Inputs!$B$4</f>
        <v/>
      </c>
      <c r="R46">
        <f>IF(Q46&lt;0,"expired",IF(Q46&lt;=30,"&lt;=30d",IF(Q46&lt;=90,"31-90d",IF(Q46&lt;=180,"91-180d","&gt;180d"))))</f>
        <v/>
      </c>
      <c r="S46" t="n">
        <v>5</v>
      </c>
    </row>
    <row r="47">
      <c r="A47" t="inlineStr">
        <is>
          <t>SS-01046</t>
        </is>
      </c>
      <c r="B47" t="inlineStr">
        <is>
          <t>vascular access kit 108</t>
        </is>
      </c>
      <c r="C47" t="inlineStr">
        <is>
          <t>vascular</t>
        </is>
      </c>
      <c r="D47" t="inlineStr">
        <is>
          <t>Northstar Surgical</t>
        </is>
      </c>
      <c r="E47" t="inlineStr">
        <is>
          <t>HOSP-2</t>
        </is>
      </c>
      <c r="F47" t="inlineStr">
        <is>
          <t>LOT-07046</t>
        </is>
      </c>
      <c r="G47" t="n">
        <v>11.14</v>
      </c>
      <c r="H47" t="n">
        <v>12</v>
      </c>
      <c r="I47" t="n">
        <v>0</v>
      </c>
      <c r="J47" t="inlineStr">
        <is>
          <t>clear</t>
        </is>
      </c>
      <c r="K47">
        <f>IF(J47="recalled",0,MAX(0,H47-I47))</f>
        <v/>
      </c>
      <c r="L47">
        <f>K47*G47</f>
        <v/>
      </c>
      <c r="M47">
        <f>H47*G47</f>
        <v/>
      </c>
      <c r="N47" t="n">
        <v>3</v>
      </c>
      <c r="O47" t="inlineStr">
        <is>
          <t>J12-07</t>
        </is>
      </c>
      <c r="P47" s="7" t="n">
        <v>46679</v>
      </c>
      <c r="Q47">
        <f>P47-Inputs!$B$4</f>
        <v/>
      </c>
      <c r="R47">
        <f>IF(Q47&lt;0,"expired",IF(Q47&lt;=30,"&lt;=30d",IF(Q47&lt;=90,"31-90d",IF(Q47&lt;=180,"91-180d","&gt;180d"))))</f>
        <v/>
      </c>
      <c r="S47" t="n">
        <v>5</v>
      </c>
    </row>
    <row r="48">
      <c r="A48" t="inlineStr">
        <is>
          <t>SS-01047</t>
        </is>
      </c>
      <c r="B48" t="inlineStr">
        <is>
          <t>respiratory circuit 109</t>
        </is>
      </c>
      <c r="C48" t="inlineStr">
        <is>
          <t>respiratory</t>
        </is>
      </c>
      <c r="D48" t="inlineStr">
        <is>
          <t>MedAxis Distribution</t>
        </is>
      </c>
      <c r="E48" t="inlineStr">
        <is>
          <t>HOSP-3</t>
        </is>
      </c>
      <c r="F48" t="inlineStr">
        <is>
          <t>LOT-07047</t>
        </is>
      </c>
      <c r="G48" t="n">
        <v>31.69</v>
      </c>
      <c r="H48" t="n">
        <v>7</v>
      </c>
      <c r="I48" t="n">
        <v>0</v>
      </c>
      <c r="J48" t="inlineStr">
        <is>
          <t>clear</t>
        </is>
      </c>
      <c r="K48">
        <f>IF(J48="recalled",0,MAX(0,H48-I48))</f>
        <v/>
      </c>
      <c r="L48">
        <f>K48*G48</f>
        <v/>
      </c>
      <c r="M48">
        <f>H48*G48</f>
        <v/>
      </c>
      <c r="N48" t="n">
        <v>2</v>
      </c>
      <c r="O48" t="inlineStr">
        <is>
          <t>H5-05</t>
        </is>
      </c>
      <c r="P48" s="7" t="n">
        <v>46711</v>
      </c>
      <c r="Q48">
        <f>P48-Inputs!$B$4</f>
        <v/>
      </c>
      <c r="R48">
        <f>IF(Q48&lt;0,"expired",IF(Q48&lt;=30,"&lt;=30d",IF(Q48&lt;=90,"31-90d",IF(Q48&lt;=180,"91-180d","&gt;180d"))))</f>
        <v/>
      </c>
      <c r="S48" t="n">
        <v>5</v>
      </c>
    </row>
    <row r="49">
      <c r="A49" t="inlineStr">
        <is>
          <t>SS-01048</t>
        </is>
      </c>
      <c r="B49" t="inlineStr">
        <is>
          <t>sterile surgical pack 110</t>
        </is>
      </c>
      <c r="C49" t="inlineStr">
        <is>
          <t>surgical</t>
        </is>
      </c>
      <c r="D49" t="inlineStr">
        <is>
          <t>SterilePath Medical</t>
        </is>
      </c>
      <c r="E49" t="inlineStr">
        <is>
          <t>HOSP-4</t>
        </is>
      </c>
      <c r="F49" t="inlineStr">
        <is>
          <t>LOT-07048</t>
        </is>
      </c>
      <c r="G49" t="n">
        <v>5.84</v>
      </c>
      <c r="H49" t="n">
        <v>9</v>
      </c>
      <c r="I49" t="n">
        <v>0</v>
      </c>
      <c r="J49" t="inlineStr">
        <is>
          <t>recalled</t>
        </is>
      </c>
      <c r="K49">
        <f>IF(J49="recalled",0,MAX(0,H49-I49))</f>
        <v/>
      </c>
      <c r="L49">
        <f>K49*G49</f>
        <v/>
      </c>
      <c r="M49">
        <f>H49*G49</f>
        <v/>
      </c>
      <c r="N49" t="n">
        <v>6</v>
      </c>
      <c r="O49" t="inlineStr">
        <is>
          <t>C2-11</t>
        </is>
      </c>
      <c r="P49" s="7" t="n">
        <v>46742</v>
      </c>
      <c r="Q49">
        <f>P49-Inputs!$B$4</f>
        <v/>
      </c>
      <c r="R49">
        <f>IF(Q49&lt;0,"expired",IF(Q49&lt;=30,"&lt;=30d",IF(Q49&lt;=90,"31-90d",IF(Q49&lt;=180,"91-180d","&gt;180d"))))</f>
        <v/>
      </c>
      <c r="S49" t="n">
        <v>5</v>
      </c>
    </row>
    <row r="50">
      <c r="A50" t="inlineStr">
        <is>
          <t>SS-01049</t>
        </is>
      </c>
      <c r="B50" t="inlineStr">
        <is>
          <t>diagnostic collection set 111</t>
        </is>
      </c>
      <c r="C50" t="inlineStr">
        <is>
          <t>diagnostic</t>
        </is>
      </c>
      <c r="D50" t="inlineStr">
        <is>
          <t>Aegis Clinical Supply</t>
        </is>
      </c>
      <c r="E50" t="inlineStr">
        <is>
          <t>HOSP-1</t>
        </is>
      </c>
      <c r="F50" t="inlineStr">
        <is>
          <t>LOT-07049</t>
        </is>
      </c>
      <c r="G50" t="n">
        <v>32.2</v>
      </c>
      <c r="H50" t="n">
        <v>7</v>
      </c>
      <c r="I50" t="n">
        <v>0</v>
      </c>
      <c r="J50" t="inlineStr">
        <is>
          <t>clear</t>
        </is>
      </c>
      <c r="K50">
        <f>IF(J50="recalled",0,MAX(0,H50-I50))</f>
        <v/>
      </c>
      <c r="L50">
        <f>K50*G50</f>
        <v/>
      </c>
      <c r="M50">
        <f>H50*G50</f>
        <v/>
      </c>
      <c r="N50" t="n">
        <v>8</v>
      </c>
      <c r="O50" t="inlineStr">
        <is>
          <t>B12-04</t>
        </is>
      </c>
      <c r="P50" s="7" t="n">
        <v>46409</v>
      </c>
      <c r="Q50">
        <f>P50-Inputs!$B$4</f>
        <v/>
      </c>
      <c r="R50">
        <f>IF(Q50&lt;0,"expired",IF(Q50&lt;=30,"&lt;=30d",IF(Q50&lt;=90,"31-90d",IF(Q50&lt;=180,"91-180d","&gt;180d"))))</f>
        <v/>
      </c>
      <c r="S50" t="n">
        <v>5</v>
      </c>
    </row>
    <row r="51">
      <c r="A51" t="inlineStr">
        <is>
          <t>SS-01050</t>
        </is>
      </c>
      <c r="B51" t="inlineStr">
        <is>
          <t>advanced wound dressing 112</t>
        </is>
      </c>
      <c r="C51" t="inlineStr">
        <is>
          <t>wound</t>
        </is>
      </c>
      <c r="D51" t="inlineStr">
        <is>
          <t>HarborMed Logistics</t>
        </is>
      </c>
      <c r="E51" t="inlineStr">
        <is>
          <t>HOSP-2</t>
        </is>
      </c>
      <c r="F51" t="inlineStr">
        <is>
          <t>LOT-07050</t>
        </is>
      </c>
      <c r="G51" t="n">
        <v>47</v>
      </c>
      <c r="H51" t="n">
        <v>8</v>
      </c>
      <c r="I51" t="n">
        <v>0</v>
      </c>
      <c r="J51" t="inlineStr">
        <is>
          <t>clear</t>
        </is>
      </c>
      <c r="K51">
        <f>IF(J51="recalled",0,MAX(0,H51-I51))</f>
        <v/>
      </c>
      <c r="L51">
        <f>K51*G51</f>
        <v/>
      </c>
      <c r="M51">
        <f>H51*G51</f>
        <v/>
      </c>
      <c r="N51" t="n">
        <v>6</v>
      </c>
      <c r="O51" t="inlineStr">
        <is>
          <t>H7-11</t>
        </is>
      </c>
      <c r="P51" s="7" t="n">
        <v>46441</v>
      </c>
      <c r="Q51">
        <f>P51-Inputs!$B$4</f>
        <v/>
      </c>
      <c r="R51">
        <f>IF(Q51&lt;0,"expired",IF(Q51&lt;=30,"&lt;=30d",IF(Q51&lt;=90,"31-90d",IF(Q51&lt;=180,"91-180d","&gt;180d"))))</f>
        <v/>
      </c>
      <c r="S51" t="n">
        <v>5</v>
      </c>
    </row>
    <row r="52">
      <c r="A52" t="inlineStr">
        <is>
          <t>SS-01051</t>
        </is>
      </c>
      <c r="B52" t="inlineStr">
        <is>
          <t>vascular access kit 113</t>
        </is>
      </c>
      <c r="C52" t="inlineStr">
        <is>
          <t>vascular</t>
        </is>
      </c>
      <c r="D52" t="inlineStr">
        <is>
          <t>Northstar Surgical</t>
        </is>
      </c>
      <c r="E52" t="inlineStr">
        <is>
          <t>HOSP-3</t>
        </is>
      </c>
      <c r="F52" t="inlineStr">
        <is>
          <t>LOT-07051</t>
        </is>
      </c>
      <c r="G52" t="n">
        <v>5.79</v>
      </c>
      <c r="H52" t="n">
        <v>1</v>
      </c>
      <c r="I52" t="n">
        <v>0</v>
      </c>
      <c r="J52" t="inlineStr">
        <is>
          <t>clear</t>
        </is>
      </c>
      <c r="K52">
        <f>IF(J52="recalled",0,MAX(0,H52-I52))</f>
        <v/>
      </c>
      <c r="L52">
        <f>K52*G52</f>
        <v/>
      </c>
      <c r="M52">
        <f>H52*G52</f>
        <v/>
      </c>
      <c r="N52" t="n">
        <v>14</v>
      </c>
      <c r="O52" t="inlineStr">
        <is>
          <t>E6-05</t>
        </is>
      </c>
      <c r="P52" s="7" t="n">
        <v>46470</v>
      </c>
      <c r="Q52">
        <f>P52-Inputs!$B$4</f>
        <v/>
      </c>
      <c r="R52">
        <f>IF(Q52&lt;0,"expired",IF(Q52&lt;=30,"&lt;=30d",IF(Q52&lt;=90,"31-90d",IF(Q52&lt;=180,"91-180d","&gt;180d"))))</f>
        <v/>
      </c>
      <c r="S52" t="n">
        <v>5</v>
      </c>
    </row>
    <row r="53">
      <c r="A53" t="inlineStr">
        <is>
          <t>SS-01052</t>
        </is>
      </c>
      <c r="B53" t="inlineStr">
        <is>
          <t>respiratory circuit 114</t>
        </is>
      </c>
      <c r="C53" t="inlineStr">
        <is>
          <t>respiratory</t>
        </is>
      </c>
      <c r="D53" t="inlineStr">
        <is>
          <t>MedAxis Distribution</t>
        </is>
      </c>
      <c r="E53" t="inlineStr">
        <is>
          <t>HOSP-4</t>
        </is>
      </c>
      <c r="F53" t="inlineStr">
        <is>
          <t>LOT-07052</t>
        </is>
      </c>
      <c r="G53" t="n">
        <v>25.19</v>
      </c>
      <c r="H53" t="n">
        <v>14</v>
      </c>
      <c r="I53" t="n">
        <v>0</v>
      </c>
      <c r="J53" t="inlineStr">
        <is>
          <t>clear</t>
        </is>
      </c>
      <c r="K53">
        <f>IF(J53="recalled",0,MAX(0,H53-I53))</f>
        <v/>
      </c>
      <c r="L53">
        <f>K53*G53</f>
        <v/>
      </c>
      <c r="M53">
        <f>H53*G53</f>
        <v/>
      </c>
      <c r="N53" t="n">
        <v>4</v>
      </c>
      <c r="O53" t="inlineStr">
        <is>
          <t>B3-02</t>
        </is>
      </c>
      <c r="P53" s="7" t="n">
        <v>46502</v>
      </c>
      <c r="Q53">
        <f>P53-Inputs!$B$4</f>
        <v/>
      </c>
      <c r="R53">
        <f>IF(Q53&lt;0,"expired",IF(Q53&lt;=30,"&lt;=30d",IF(Q53&lt;=90,"31-90d",IF(Q53&lt;=180,"91-180d","&gt;180d"))))</f>
        <v/>
      </c>
      <c r="S53" t="n">
        <v>5</v>
      </c>
    </row>
    <row r="54">
      <c r="A54" t="inlineStr">
        <is>
          <t>SS-01053</t>
        </is>
      </c>
      <c r="B54" t="inlineStr">
        <is>
          <t>sterile surgical pack 115</t>
        </is>
      </c>
      <c r="C54" t="inlineStr">
        <is>
          <t>surgical</t>
        </is>
      </c>
      <c r="D54" t="inlineStr">
        <is>
          <t>SterilePath Medical</t>
        </is>
      </c>
      <c r="E54" t="inlineStr">
        <is>
          <t>HOSP-1</t>
        </is>
      </c>
      <c r="F54" t="inlineStr">
        <is>
          <t>LOT-07053</t>
        </is>
      </c>
      <c r="G54" t="n">
        <v>11.3</v>
      </c>
      <c r="H54" t="n">
        <v>57</v>
      </c>
      <c r="I54" t="n">
        <v>0</v>
      </c>
      <c r="J54" t="inlineStr">
        <is>
          <t>clear</t>
        </is>
      </c>
      <c r="K54">
        <f>IF(J54="recalled",0,MAX(0,H54-I54))</f>
        <v/>
      </c>
      <c r="L54">
        <f>K54*G54</f>
        <v/>
      </c>
      <c r="M54">
        <f>H54*G54</f>
        <v/>
      </c>
      <c r="N54" t="n">
        <v>2</v>
      </c>
      <c r="O54" t="inlineStr">
        <is>
          <t>A7-13</t>
        </is>
      </c>
      <c r="P54" s="7" t="n">
        <v>46533</v>
      </c>
      <c r="Q54">
        <f>P54-Inputs!$B$4</f>
        <v/>
      </c>
      <c r="R54">
        <f>IF(Q54&lt;0,"expired",IF(Q54&lt;=30,"&lt;=30d",IF(Q54&lt;=90,"31-90d",IF(Q54&lt;=180,"91-180d","&gt;180d"))))</f>
        <v/>
      </c>
      <c r="S54" t="n">
        <v>5</v>
      </c>
    </row>
    <row r="55">
      <c r="A55" t="inlineStr">
        <is>
          <t>SS-01054</t>
        </is>
      </c>
      <c r="B55" t="inlineStr">
        <is>
          <t>diagnostic collection set 116</t>
        </is>
      </c>
      <c r="C55" t="inlineStr">
        <is>
          <t>diagnostic</t>
        </is>
      </c>
      <c r="D55" t="inlineStr">
        <is>
          <t>Aegis Clinical Supply</t>
        </is>
      </c>
      <c r="E55" t="inlineStr">
        <is>
          <t>HOSP-2</t>
        </is>
      </c>
      <c r="F55" t="inlineStr">
        <is>
          <t>LOT-07054</t>
        </is>
      </c>
      <c r="G55" t="n">
        <v>2.63</v>
      </c>
      <c r="H55" t="n">
        <v>21</v>
      </c>
      <c r="I55" t="n">
        <v>0</v>
      </c>
      <c r="J55" t="inlineStr">
        <is>
          <t>clear</t>
        </is>
      </c>
      <c r="K55">
        <f>IF(J55="recalled",0,MAX(0,H55-I55))</f>
        <v/>
      </c>
      <c r="L55">
        <f>K55*G55</f>
        <v/>
      </c>
      <c r="M55">
        <f>H55*G55</f>
        <v/>
      </c>
      <c r="N55" t="n">
        <v>7</v>
      </c>
      <c r="O55" t="inlineStr">
        <is>
          <t>E11-18</t>
        </is>
      </c>
      <c r="P55" s="7" t="n">
        <v>46565</v>
      </c>
      <c r="Q55">
        <f>P55-Inputs!$B$4</f>
        <v/>
      </c>
      <c r="R55">
        <f>IF(Q55&lt;0,"expired",IF(Q55&lt;=30,"&lt;=30d",IF(Q55&lt;=90,"31-90d",IF(Q55&lt;=180,"91-180d","&gt;180d"))))</f>
        <v/>
      </c>
      <c r="S55" t="n">
        <v>5</v>
      </c>
    </row>
    <row r="56">
      <c r="A56" t="inlineStr">
        <is>
          <t>SS-01055</t>
        </is>
      </c>
      <c r="B56" t="inlineStr">
        <is>
          <t>advanced wound dressing 117</t>
        </is>
      </c>
      <c r="C56" t="inlineStr">
        <is>
          <t>wound</t>
        </is>
      </c>
      <c r="D56" t="inlineStr">
        <is>
          <t>HarborMed Logistics</t>
        </is>
      </c>
      <c r="E56" t="inlineStr">
        <is>
          <t>HOSP-3</t>
        </is>
      </c>
      <c r="F56" t="inlineStr">
        <is>
          <t>LOT-07055</t>
        </is>
      </c>
      <c r="G56" t="n">
        <v>5.33</v>
      </c>
      <c r="H56" t="n">
        <v>8</v>
      </c>
      <c r="I56" t="n">
        <v>0</v>
      </c>
      <c r="J56" t="inlineStr">
        <is>
          <t>clear</t>
        </is>
      </c>
      <c r="K56">
        <f>IF(J56="recalled",0,MAX(0,H56-I56))</f>
        <v/>
      </c>
      <c r="L56">
        <f>K56*G56</f>
        <v/>
      </c>
      <c r="M56">
        <f>H56*G56</f>
        <v/>
      </c>
      <c r="N56" t="n">
        <v>4</v>
      </c>
      <c r="O56" t="inlineStr">
        <is>
          <t>B1-14</t>
        </is>
      </c>
      <c r="P56" s="7" t="n">
        <v>46569</v>
      </c>
      <c r="Q56">
        <f>P56-Inputs!$B$4</f>
        <v/>
      </c>
      <c r="R56">
        <f>IF(Q56&lt;0,"expired",IF(Q56&lt;=30,"&lt;=30d",IF(Q56&lt;=90,"31-90d",IF(Q56&lt;=180,"91-180d","&gt;180d"))))</f>
        <v/>
      </c>
      <c r="S56" t="n">
        <v>5</v>
      </c>
    </row>
    <row r="57">
      <c r="A57" t="inlineStr">
        <is>
          <t>SS-01056</t>
        </is>
      </c>
      <c r="B57" t="inlineStr">
        <is>
          <t>vascular access kit 118</t>
        </is>
      </c>
      <c r="C57" t="inlineStr">
        <is>
          <t>vascular</t>
        </is>
      </c>
      <c r="D57" t="inlineStr">
        <is>
          <t>Northstar Surgical</t>
        </is>
      </c>
      <c r="E57" t="inlineStr">
        <is>
          <t>HOSP-4</t>
        </is>
      </c>
      <c r="F57" t="inlineStr">
        <is>
          <t>LOT-07056</t>
        </is>
      </c>
      <c r="G57" t="n">
        <v>26.66</v>
      </c>
      <c r="H57" t="n">
        <v>8</v>
      </c>
      <c r="I57" t="n">
        <v>6</v>
      </c>
      <c r="J57" t="inlineStr">
        <is>
          <t>clear</t>
        </is>
      </c>
      <c r="K57">
        <f>IF(J57="recalled",0,MAX(0,H57-I57))</f>
        <v/>
      </c>
      <c r="L57">
        <f>K57*G57</f>
        <v/>
      </c>
      <c r="M57">
        <f>H57*G57</f>
        <v/>
      </c>
      <c r="N57" t="n">
        <v>6</v>
      </c>
      <c r="O57" t="inlineStr">
        <is>
          <t>D9-24</t>
        </is>
      </c>
      <c r="P57" s="7" t="n">
        <v>46601</v>
      </c>
      <c r="Q57">
        <f>P57-Inputs!$B$4</f>
        <v/>
      </c>
      <c r="R57">
        <f>IF(Q57&lt;0,"expired",IF(Q57&lt;=30,"&lt;=30d",IF(Q57&lt;=90,"31-90d",IF(Q57&lt;=180,"91-180d","&gt;180d"))))</f>
        <v/>
      </c>
      <c r="S57" t="n">
        <v>5</v>
      </c>
    </row>
    <row r="58">
      <c r="A58" t="inlineStr">
        <is>
          <t>SS-01057</t>
        </is>
      </c>
      <c r="B58" t="inlineStr">
        <is>
          <t>respiratory circuit 119</t>
        </is>
      </c>
      <c r="C58" t="inlineStr">
        <is>
          <t>respiratory</t>
        </is>
      </c>
      <c r="D58" t="inlineStr">
        <is>
          <t>MedAxis Distribution</t>
        </is>
      </c>
      <c r="E58" t="inlineStr">
        <is>
          <t>HOSP-1</t>
        </is>
      </c>
      <c r="F58" t="inlineStr">
        <is>
          <t>LOT-07057</t>
        </is>
      </c>
      <c r="G58" t="n">
        <v>29.16</v>
      </c>
      <c r="H58" t="n">
        <v>4</v>
      </c>
      <c r="I58" t="n">
        <v>0</v>
      </c>
      <c r="J58" t="inlineStr">
        <is>
          <t>clear</t>
        </is>
      </c>
      <c r="K58">
        <f>IF(J58="recalled",0,MAX(0,H58-I58))</f>
        <v/>
      </c>
      <c r="L58">
        <f>K58*G58</f>
        <v/>
      </c>
      <c r="M58">
        <f>H58*G58</f>
        <v/>
      </c>
      <c r="N58" t="n">
        <v>11</v>
      </c>
      <c r="O58" t="inlineStr">
        <is>
          <t>C9-05</t>
        </is>
      </c>
      <c r="P58" s="7" t="n">
        <v>46633</v>
      </c>
      <c r="Q58">
        <f>P58-Inputs!$B$4</f>
        <v/>
      </c>
      <c r="R58">
        <f>IF(Q58&lt;0,"expired",IF(Q58&lt;=30,"&lt;=30d",IF(Q58&lt;=90,"31-90d",IF(Q58&lt;=180,"91-180d","&gt;180d"))))</f>
        <v/>
      </c>
      <c r="S58" t="n">
        <v>5</v>
      </c>
    </row>
    <row r="59">
      <c r="A59" t="inlineStr">
        <is>
          <t>SS-01058</t>
        </is>
      </c>
      <c r="B59" t="inlineStr">
        <is>
          <t>sterile surgical pack 120</t>
        </is>
      </c>
      <c r="C59" t="inlineStr">
        <is>
          <t>surgical</t>
        </is>
      </c>
      <c r="D59" t="inlineStr">
        <is>
          <t>SterilePath Medical</t>
        </is>
      </c>
      <c r="E59" t="inlineStr">
        <is>
          <t>HOSP-2</t>
        </is>
      </c>
      <c r="F59" t="inlineStr">
        <is>
          <t>LOT-07058</t>
        </is>
      </c>
      <c r="G59" t="n">
        <v>32.46</v>
      </c>
      <c r="H59" t="n">
        <v>43</v>
      </c>
      <c r="I59" t="n">
        <v>0</v>
      </c>
      <c r="J59" t="inlineStr">
        <is>
          <t>clear</t>
        </is>
      </c>
      <c r="K59">
        <f>IF(J59="recalled",0,MAX(0,H59-I59))</f>
        <v/>
      </c>
      <c r="L59">
        <f>K59*G59</f>
        <v/>
      </c>
      <c r="M59">
        <f>H59*G59</f>
        <v/>
      </c>
      <c r="N59" t="n">
        <v>10</v>
      </c>
      <c r="O59" t="inlineStr">
        <is>
          <t>A8-01</t>
        </is>
      </c>
      <c r="P59" s="7" t="n">
        <v>46664</v>
      </c>
      <c r="Q59">
        <f>P59-Inputs!$B$4</f>
        <v/>
      </c>
      <c r="R59">
        <f>IF(Q59&lt;0,"expired",IF(Q59&lt;=30,"&lt;=30d",IF(Q59&lt;=90,"31-90d",IF(Q59&lt;=180,"91-180d","&gt;180d"))))</f>
        <v/>
      </c>
      <c r="S59" t="n">
        <v>5</v>
      </c>
    </row>
    <row r="60">
      <c r="A60" t="inlineStr">
        <is>
          <t>SS-01059</t>
        </is>
      </c>
      <c r="B60" t="inlineStr">
        <is>
          <t>diagnostic collection set 121</t>
        </is>
      </c>
      <c r="C60" t="inlineStr">
        <is>
          <t>diagnostic</t>
        </is>
      </c>
      <c r="D60" t="inlineStr">
        <is>
          <t>Aegis Clinical Supply</t>
        </is>
      </c>
      <c r="E60" t="inlineStr">
        <is>
          <t>HOSP-3</t>
        </is>
      </c>
      <c r="F60" t="inlineStr">
        <is>
          <t>LOT-07059</t>
        </is>
      </c>
      <c r="G60" t="n">
        <v>9.529999999999999</v>
      </c>
      <c r="H60" t="n">
        <v>2</v>
      </c>
      <c r="I60" t="n">
        <v>0</v>
      </c>
      <c r="J60" t="inlineStr">
        <is>
          <t>clear</t>
        </is>
      </c>
      <c r="K60">
        <f>IF(J60="recalled",0,MAX(0,H60-I60))</f>
        <v/>
      </c>
      <c r="L60">
        <f>K60*G60</f>
        <v/>
      </c>
      <c r="M60">
        <f>H60*G60</f>
        <v/>
      </c>
      <c r="N60" t="n">
        <v>13</v>
      </c>
      <c r="O60" t="inlineStr">
        <is>
          <t>E6-02</t>
        </is>
      </c>
      <c r="P60" s="7" t="n">
        <v>46696</v>
      </c>
      <c r="Q60">
        <f>P60-Inputs!$B$4</f>
        <v/>
      </c>
      <c r="R60">
        <f>IF(Q60&lt;0,"expired",IF(Q60&lt;=30,"&lt;=30d",IF(Q60&lt;=90,"31-90d",IF(Q60&lt;=180,"91-180d","&gt;180d"))))</f>
        <v/>
      </c>
      <c r="S60" t="n">
        <v>5</v>
      </c>
    </row>
    <row r="61">
      <c r="A61" t="inlineStr">
        <is>
          <t>SS-01060</t>
        </is>
      </c>
      <c r="B61" t="inlineStr">
        <is>
          <t>advanced wound dressing 122</t>
        </is>
      </c>
      <c r="C61" t="inlineStr">
        <is>
          <t>wound</t>
        </is>
      </c>
      <c r="D61" t="inlineStr">
        <is>
          <t>HarborMed Logistics</t>
        </is>
      </c>
      <c r="E61" t="inlineStr">
        <is>
          <t>HOSP-4</t>
        </is>
      </c>
      <c r="F61" t="inlineStr">
        <is>
          <t>LOT-07060</t>
        </is>
      </c>
      <c r="G61" t="n">
        <v>12.21</v>
      </c>
      <c r="H61" t="n">
        <v>14</v>
      </c>
      <c r="I61" t="n">
        <v>0</v>
      </c>
      <c r="J61" t="inlineStr">
        <is>
          <t>clear</t>
        </is>
      </c>
      <c r="K61">
        <f>IF(J61="recalled",0,MAX(0,H61-I61))</f>
        <v/>
      </c>
      <c r="L61">
        <f>K61*G61</f>
        <v/>
      </c>
      <c r="M61">
        <f>H61*G61</f>
        <v/>
      </c>
      <c r="N61" t="n">
        <v>7</v>
      </c>
      <c r="O61" t="inlineStr">
        <is>
          <t>B7-18</t>
        </is>
      </c>
      <c r="P61" s="7" t="n">
        <v>46727</v>
      </c>
      <c r="Q61">
        <f>P61-Inputs!$B$4</f>
        <v/>
      </c>
      <c r="R61">
        <f>IF(Q61&lt;0,"expired",IF(Q61&lt;=30,"&lt;=30d",IF(Q61&lt;=90,"31-90d",IF(Q61&lt;=180,"91-180d","&gt;180d"))))</f>
        <v/>
      </c>
      <c r="S61" t="n">
        <v>14</v>
      </c>
    </row>
    <row r="62">
      <c r="A62" t="inlineStr">
        <is>
          <t>SS-01061</t>
        </is>
      </c>
      <c r="B62" t="inlineStr">
        <is>
          <t>vascular access kit 123</t>
        </is>
      </c>
      <c r="C62" t="inlineStr">
        <is>
          <t>vascular</t>
        </is>
      </c>
      <c r="D62" t="inlineStr">
        <is>
          <t>Northstar Surgical</t>
        </is>
      </c>
      <c r="E62" t="inlineStr">
        <is>
          <t>HOSP-1</t>
        </is>
      </c>
      <c r="F62" t="inlineStr">
        <is>
          <t>LOT-07061</t>
        </is>
      </c>
      <c r="G62" t="n">
        <v>13.7</v>
      </c>
      <c r="H62" t="n">
        <v>36</v>
      </c>
      <c r="I62" t="n">
        <v>0</v>
      </c>
      <c r="J62" t="inlineStr">
        <is>
          <t>clear</t>
        </is>
      </c>
      <c r="K62">
        <f>IF(J62="recalled",0,MAX(0,H62-I62))</f>
        <v/>
      </c>
      <c r="L62">
        <f>K62*G62</f>
        <v/>
      </c>
      <c r="M62">
        <f>H62*G62</f>
        <v/>
      </c>
      <c r="N62" t="n">
        <v>3</v>
      </c>
      <c r="O62" t="inlineStr">
        <is>
          <t>A1-04</t>
        </is>
      </c>
      <c r="P62" s="7" t="n">
        <v>46394</v>
      </c>
      <c r="Q62">
        <f>P62-Inputs!$B$4</f>
        <v/>
      </c>
      <c r="R62">
        <f>IF(Q62&lt;0,"expired",IF(Q62&lt;=30,"&lt;=30d",IF(Q62&lt;=90,"31-90d",IF(Q62&lt;=180,"91-180d","&gt;180d"))))</f>
        <v/>
      </c>
      <c r="S62" t="n">
        <v>5</v>
      </c>
    </row>
    <row r="63">
      <c r="A63" t="inlineStr">
        <is>
          <t>SS-01062</t>
        </is>
      </c>
      <c r="B63" t="inlineStr">
        <is>
          <t>respiratory circuit 124</t>
        </is>
      </c>
      <c r="C63" t="inlineStr">
        <is>
          <t>respiratory</t>
        </is>
      </c>
      <c r="D63" t="inlineStr">
        <is>
          <t>MedAxis Distribution</t>
        </is>
      </c>
      <c r="E63" t="inlineStr">
        <is>
          <t>HOSP-2</t>
        </is>
      </c>
      <c r="F63" t="inlineStr">
        <is>
          <t>LOT-07062</t>
        </is>
      </c>
      <c r="G63" t="n">
        <v>19.27</v>
      </c>
      <c r="H63" t="n">
        <v>15</v>
      </c>
      <c r="I63" t="n">
        <v>0</v>
      </c>
      <c r="J63" t="inlineStr">
        <is>
          <t>clear</t>
        </is>
      </c>
      <c r="K63">
        <f>IF(J63="recalled",0,MAX(0,H63-I63))</f>
        <v/>
      </c>
      <c r="L63">
        <f>K63*G63</f>
        <v/>
      </c>
      <c r="M63">
        <f>H63*G63</f>
        <v/>
      </c>
      <c r="N63" t="n">
        <v>6</v>
      </c>
      <c r="O63" t="inlineStr">
        <is>
          <t>A8-19</t>
        </is>
      </c>
      <c r="P63" s="7" t="n">
        <v>46426</v>
      </c>
      <c r="Q63">
        <f>P63-Inputs!$B$4</f>
        <v/>
      </c>
      <c r="R63">
        <f>IF(Q63&lt;0,"expired",IF(Q63&lt;=30,"&lt;=30d",IF(Q63&lt;=90,"31-90d",IF(Q63&lt;=180,"91-180d","&gt;180d"))))</f>
        <v/>
      </c>
      <c r="S63" t="n">
        <v>5</v>
      </c>
    </row>
    <row r="64">
      <c r="A64" t="inlineStr">
        <is>
          <t>SS-01063</t>
        </is>
      </c>
      <c r="B64" t="inlineStr">
        <is>
          <t>sterile surgical pack 125</t>
        </is>
      </c>
      <c r="C64" t="inlineStr">
        <is>
          <t>surgical</t>
        </is>
      </c>
      <c r="D64" t="inlineStr">
        <is>
          <t>SterilePath Medical</t>
        </is>
      </c>
      <c r="E64" t="inlineStr">
        <is>
          <t>HOSP-3</t>
        </is>
      </c>
      <c r="F64" t="inlineStr">
        <is>
          <t>LOT-07063</t>
        </is>
      </c>
      <c r="G64" t="n">
        <v>22.01</v>
      </c>
      <c r="H64" t="n">
        <v>14</v>
      </c>
      <c r="I64" t="n">
        <v>0</v>
      </c>
      <c r="J64" t="inlineStr">
        <is>
          <t>clear</t>
        </is>
      </c>
      <c r="K64">
        <f>IF(J64="recalled",0,MAX(0,H64-I64))</f>
        <v/>
      </c>
      <c r="L64">
        <f>K64*G64</f>
        <v/>
      </c>
      <c r="M64">
        <f>H64*G64</f>
        <v/>
      </c>
      <c r="N64" t="n">
        <v>5</v>
      </c>
      <c r="O64" t="inlineStr">
        <is>
          <t>A3-01</t>
        </is>
      </c>
      <c r="P64" s="7" t="n">
        <v>46455</v>
      </c>
      <c r="Q64">
        <f>P64-Inputs!$B$4</f>
        <v/>
      </c>
      <c r="R64">
        <f>IF(Q64&lt;0,"expired",IF(Q64&lt;=30,"&lt;=30d",IF(Q64&lt;=90,"31-90d",IF(Q64&lt;=180,"91-180d","&gt;180d"))))</f>
        <v/>
      </c>
      <c r="S64" t="n">
        <v>5</v>
      </c>
    </row>
    <row r="65">
      <c r="A65" t="inlineStr">
        <is>
          <t>SS-01064</t>
        </is>
      </c>
      <c r="B65" t="inlineStr">
        <is>
          <t>diagnostic collection set 126</t>
        </is>
      </c>
      <c r="C65" t="inlineStr">
        <is>
          <t>diagnostic</t>
        </is>
      </c>
      <c r="D65" t="inlineStr">
        <is>
          <t>Aegis Clinical Supply</t>
        </is>
      </c>
      <c r="E65" t="inlineStr">
        <is>
          <t>HOSP-4</t>
        </is>
      </c>
      <c r="F65" t="inlineStr">
        <is>
          <t>LOT-07064</t>
        </is>
      </c>
      <c r="G65" t="n">
        <v>2.91</v>
      </c>
      <c r="H65" t="n">
        <v>18</v>
      </c>
      <c r="I65" t="n">
        <v>0</v>
      </c>
      <c r="J65" t="inlineStr">
        <is>
          <t>clear</t>
        </is>
      </c>
      <c r="K65">
        <f>IF(J65="recalled",0,MAX(0,H65-I65))</f>
        <v/>
      </c>
      <c r="L65">
        <f>K65*G65</f>
        <v/>
      </c>
      <c r="M65">
        <f>H65*G65</f>
        <v/>
      </c>
      <c r="N65" t="n">
        <v>5</v>
      </c>
      <c r="O65" t="inlineStr">
        <is>
          <t>B5-10</t>
        </is>
      </c>
      <c r="P65" s="7" t="n">
        <v>46487</v>
      </c>
      <c r="Q65">
        <f>P65-Inputs!$B$4</f>
        <v/>
      </c>
      <c r="R65">
        <f>IF(Q65&lt;0,"expired",IF(Q65&lt;=30,"&lt;=30d",IF(Q65&lt;=90,"31-90d",IF(Q65&lt;=180,"91-180d","&gt;180d"))))</f>
        <v/>
      </c>
      <c r="S65" t="n">
        <v>5</v>
      </c>
    </row>
    <row r="66">
      <c r="A66" t="inlineStr">
        <is>
          <t>SS-01065</t>
        </is>
      </c>
      <c r="B66" t="inlineStr">
        <is>
          <t>advanced wound dressing 127</t>
        </is>
      </c>
      <c r="C66" t="inlineStr">
        <is>
          <t>wound</t>
        </is>
      </c>
      <c r="D66" t="inlineStr">
        <is>
          <t>HarborMed Logistics</t>
        </is>
      </c>
      <c r="E66" t="inlineStr">
        <is>
          <t>HOSP-1</t>
        </is>
      </c>
      <c r="F66" t="inlineStr">
        <is>
          <t>LOT-07065</t>
        </is>
      </c>
      <c r="G66" t="n">
        <v>24.79</v>
      </c>
      <c r="H66" t="n">
        <v>2</v>
      </c>
      <c r="I66" t="n">
        <v>0</v>
      </c>
      <c r="J66" t="inlineStr">
        <is>
          <t>clear</t>
        </is>
      </c>
      <c r="K66">
        <f>IF(J66="recalled",0,MAX(0,H66-I66))</f>
        <v/>
      </c>
      <c r="L66">
        <f>K66*G66</f>
        <v/>
      </c>
      <c r="M66">
        <f>H66*G66</f>
        <v/>
      </c>
      <c r="N66" t="n">
        <v>8</v>
      </c>
      <c r="O66" t="inlineStr">
        <is>
          <t>H9-10</t>
        </is>
      </c>
      <c r="P66" s="7" t="n">
        <v>46518</v>
      </c>
      <c r="Q66">
        <f>P66-Inputs!$B$4</f>
        <v/>
      </c>
      <c r="R66">
        <f>IF(Q66&lt;0,"expired",IF(Q66&lt;=30,"&lt;=30d",IF(Q66&lt;=90,"31-90d",IF(Q66&lt;=180,"91-180d","&gt;180d"))))</f>
        <v/>
      </c>
      <c r="S66" t="n">
        <v>5</v>
      </c>
    </row>
    <row r="67">
      <c r="A67" t="inlineStr">
        <is>
          <t>SS-01066</t>
        </is>
      </c>
      <c r="B67" t="inlineStr">
        <is>
          <t>vascular access kit 128</t>
        </is>
      </c>
      <c r="C67" t="inlineStr">
        <is>
          <t>vascular</t>
        </is>
      </c>
      <c r="D67" t="inlineStr">
        <is>
          <t>Northstar Surgical</t>
        </is>
      </c>
      <c r="E67" t="inlineStr">
        <is>
          <t>HOSP-2</t>
        </is>
      </c>
      <c r="F67" t="inlineStr">
        <is>
          <t>LOT-07066</t>
        </is>
      </c>
      <c r="G67" t="n">
        <v>18.24</v>
      </c>
      <c r="H67" t="n">
        <v>3</v>
      </c>
      <c r="I67" t="n">
        <v>0</v>
      </c>
      <c r="J67" t="inlineStr">
        <is>
          <t>clear</t>
        </is>
      </c>
      <c r="K67">
        <f>IF(J67="recalled",0,MAX(0,H67-I67))</f>
        <v/>
      </c>
      <c r="L67">
        <f>K67*G67</f>
        <v/>
      </c>
      <c r="M67">
        <f>H67*G67</f>
        <v/>
      </c>
      <c r="N67" t="n">
        <v>4</v>
      </c>
      <c r="O67" t="inlineStr">
        <is>
          <t>A9-14</t>
        </is>
      </c>
      <c r="P67" s="7" t="n">
        <v>46550</v>
      </c>
      <c r="Q67">
        <f>P67-Inputs!$B$4</f>
        <v/>
      </c>
      <c r="R67">
        <f>IF(Q67&lt;0,"expired",IF(Q67&lt;=30,"&lt;=30d",IF(Q67&lt;=90,"31-90d",IF(Q67&lt;=180,"91-180d","&gt;180d"))))</f>
        <v/>
      </c>
      <c r="S67" t="n">
        <v>5</v>
      </c>
    </row>
    <row r="68">
      <c r="A68" t="inlineStr">
        <is>
          <t>SS-01067</t>
        </is>
      </c>
      <c r="B68" t="inlineStr">
        <is>
          <t>respiratory circuit 129</t>
        </is>
      </c>
      <c r="C68" t="inlineStr">
        <is>
          <t>respiratory</t>
        </is>
      </c>
      <c r="D68" t="inlineStr">
        <is>
          <t>MedAxis Distribution</t>
        </is>
      </c>
      <c r="E68" t="inlineStr">
        <is>
          <t>HOSP-3</t>
        </is>
      </c>
      <c r="F68" t="inlineStr">
        <is>
          <t>LOT-07067</t>
        </is>
      </c>
      <c r="G68" t="n">
        <v>29.84</v>
      </c>
      <c r="H68" t="n">
        <v>49</v>
      </c>
      <c r="I68" t="n">
        <v>3</v>
      </c>
      <c r="J68" t="inlineStr">
        <is>
          <t>clear</t>
        </is>
      </c>
      <c r="K68">
        <f>IF(J68="recalled",0,MAX(0,H68-I68))</f>
        <v/>
      </c>
      <c r="L68">
        <f>K68*G68</f>
        <v/>
      </c>
      <c r="M68">
        <f>H68*G68</f>
        <v/>
      </c>
      <c r="N68" t="n">
        <v>5</v>
      </c>
      <c r="O68" t="inlineStr">
        <is>
          <t>G9-06</t>
        </is>
      </c>
      <c r="P68" s="7" t="n">
        <v>46581</v>
      </c>
      <c r="Q68">
        <f>P68-Inputs!$B$4</f>
        <v/>
      </c>
      <c r="R68">
        <f>IF(Q68&lt;0,"expired",IF(Q68&lt;=30,"&lt;=30d",IF(Q68&lt;=90,"31-90d",IF(Q68&lt;=180,"91-180d","&gt;180d"))))</f>
        <v/>
      </c>
      <c r="S68" t="n">
        <v>5</v>
      </c>
    </row>
    <row r="69">
      <c r="A69" t="inlineStr">
        <is>
          <t>SS-01068</t>
        </is>
      </c>
      <c r="B69" t="inlineStr">
        <is>
          <t>sterile surgical pack 130</t>
        </is>
      </c>
      <c r="C69" t="inlineStr">
        <is>
          <t>surgical</t>
        </is>
      </c>
      <c r="D69" t="inlineStr">
        <is>
          <t>SterilePath Medical</t>
        </is>
      </c>
      <c r="E69" t="inlineStr">
        <is>
          <t>HOSP-4</t>
        </is>
      </c>
      <c r="F69" t="inlineStr">
        <is>
          <t>LOT-07068</t>
        </is>
      </c>
      <c r="G69" t="n">
        <v>13.04</v>
      </c>
      <c r="H69" t="n">
        <v>18</v>
      </c>
      <c r="I69" t="n">
        <v>0</v>
      </c>
      <c r="J69" t="inlineStr">
        <is>
          <t>clear</t>
        </is>
      </c>
      <c r="K69">
        <f>IF(J69="recalled",0,MAX(0,H69-I69))</f>
        <v/>
      </c>
      <c r="L69">
        <f>K69*G69</f>
        <v/>
      </c>
      <c r="M69">
        <f>H69*G69</f>
        <v/>
      </c>
      <c r="N69" t="n">
        <v>7</v>
      </c>
      <c r="O69" t="inlineStr">
        <is>
          <t>D4-01</t>
        </is>
      </c>
      <c r="P69" s="7" t="n">
        <v>46613</v>
      </c>
      <c r="Q69">
        <f>P69-Inputs!$B$4</f>
        <v/>
      </c>
      <c r="R69">
        <f>IF(Q69&lt;0,"expired",IF(Q69&lt;=30,"&lt;=30d",IF(Q69&lt;=90,"31-90d",IF(Q69&lt;=180,"91-180d","&gt;180d"))))</f>
        <v/>
      </c>
      <c r="S69" t="n">
        <v>5</v>
      </c>
    </row>
    <row r="70">
      <c r="A70" t="inlineStr">
        <is>
          <t>SS-01069</t>
        </is>
      </c>
      <c r="B70" t="inlineStr">
        <is>
          <t>diagnostic collection set 131</t>
        </is>
      </c>
      <c r="C70" t="inlineStr">
        <is>
          <t>diagnostic</t>
        </is>
      </c>
      <c r="D70" t="inlineStr">
        <is>
          <t>Aegis Clinical Supply</t>
        </is>
      </c>
      <c r="E70" t="inlineStr">
        <is>
          <t>HOSP-1</t>
        </is>
      </c>
      <c r="F70" t="inlineStr">
        <is>
          <t>LOT-07069</t>
        </is>
      </c>
      <c r="G70" t="n">
        <v>33.75</v>
      </c>
      <c r="H70" t="n">
        <v>63</v>
      </c>
      <c r="I70" t="n">
        <v>0</v>
      </c>
      <c r="J70" t="inlineStr">
        <is>
          <t>clear</t>
        </is>
      </c>
      <c r="K70">
        <f>IF(J70="recalled",0,MAX(0,H70-I70))</f>
        <v/>
      </c>
      <c r="L70">
        <f>K70*G70</f>
        <v/>
      </c>
      <c r="M70">
        <f>H70*G70</f>
        <v/>
      </c>
      <c r="N70" t="n">
        <v>7</v>
      </c>
      <c r="O70" t="inlineStr">
        <is>
          <t>D11-05</t>
        </is>
      </c>
      <c r="P70" s="7" t="n">
        <v>46645</v>
      </c>
      <c r="Q70">
        <f>P70-Inputs!$B$4</f>
        <v/>
      </c>
      <c r="R70">
        <f>IF(Q70&lt;0,"expired",IF(Q70&lt;=30,"&lt;=30d",IF(Q70&lt;=90,"31-90d",IF(Q70&lt;=180,"91-180d","&gt;180d"))))</f>
        <v/>
      </c>
      <c r="S70" t="n">
        <v>5</v>
      </c>
    </row>
    <row r="71">
      <c r="A71" t="inlineStr">
        <is>
          <t>SS-01070</t>
        </is>
      </c>
      <c r="B71" t="inlineStr">
        <is>
          <t>advanced wound dressing 132</t>
        </is>
      </c>
      <c r="C71" t="inlineStr">
        <is>
          <t>wound</t>
        </is>
      </c>
      <c r="D71" t="inlineStr">
        <is>
          <t>HarborMed Logistics</t>
        </is>
      </c>
      <c r="E71" t="inlineStr">
        <is>
          <t>HOSP-2</t>
        </is>
      </c>
      <c r="F71" t="inlineStr">
        <is>
          <t>LOT-07070</t>
        </is>
      </c>
      <c r="G71" t="n">
        <v>19.99</v>
      </c>
      <c r="H71" t="n">
        <v>45</v>
      </c>
      <c r="I71" t="n">
        <v>0</v>
      </c>
      <c r="J71" t="inlineStr">
        <is>
          <t>clear</t>
        </is>
      </c>
      <c r="K71">
        <f>IF(J71="recalled",0,MAX(0,H71-I71))</f>
        <v/>
      </c>
      <c r="L71">
        <f>K71*G71</f>
        <v/>
      </c>
      <c r="M71">
        <f>H71*G71</f>
        <v/>
      </c>
      <c r="N71" t="n">
        <v>4</v>
      </c>
      <c r="O71" t="inlineStr">
        <is>
          <t>D8-04</t>
        </is>
      </c>
      <c r="P71" s="7" t="n">
        <v>46676</v>
      </c>
      <c r="Q71">
        <f>P71-Inputs!$B$4</f>
        <v/>
      </c>
      <c r="R71">
        <f>IF(Q71&lt;0,"expired",IF(Q71&lt;=30,"&lt;=30d",IF(Q71&lt;=90,"31-90d",IF(Q71&lt;=180,"91-180d","&gt;180d"))))</f>
        <v/>
      </c>
      <c r="S71" t="n">
        <v>5</v>
      </c>
    </row>
    <row r="72">
      <c r="A72" t="inlineStr">
        <is>
          <t>SS-01071</t>
        </is>
      </c>
      <c r="B72" t="inlineStr">
        <is>
          <t>vascular access kit 133</t>
        </is>
      </c>
      <c r="C72" t="inlineStr">
        <is>
          <t>vascular</t>
        </is>
      </c>
      <c r="D72" t="inlineStr">
        <is>
          <t>Northstar Surgical</t>
        </is>
      </c>
      <c r="E72" t="inlineStr">
        <is>
          <t>HOSP-3</t>
        </is>
      </c>
      <c r="F72" t="inlineStr">
        <is>
          <t>LOT-07071</t>
        </is>
      </c>
      <c r="G72" t="n">
        <v>15.79</v>
      </c>
      <c r="H72" t="n">
        <v>0</v>
      </c>
      <c r="I72" t="n">
        <v>0</v>
      </c>
      <c r="J72" t="inlineStr">
        <is>
          <t>clear</t>
        </is>
      </c>
      <c r="K72">
        <f>IF(J72="recalled",0,MAX(0,H72-I72))</f>
        <v/>
      </c>
      <c r="L72">
        <f>K72*G72</f>
        <v/>
      </c>
      <c r="M72">
        <f>H72*G72</f>
        <v/>
      </c>
      <c r="N72" t="n">
        <v>10</v>
      </c>
      <c r="O72" t="inlineStr">
        <is>
          <t>B8-08</t>
        </is>
      </c>
      <c r="P72" s="7" t="n">
        <v>46708</v>
      </c>
      <c r="Q72">
        <f>P72-Inputs!$B$4</f>
        <v/>
      </c>
      <c r="R72">
        <f>IF(Q72&lt;0,"expired",IF(Q72&lt;=30,"&lt;=30d",IF(Q72&lt;=90,"31-90d",IF(Q72&lt;=180,"91-180d","&gt;180d"))))</f>
        <v/>
      </c>
      <c r="S72" t="n">
        <v>5</v>
      </c>
    </row>
    <row r="73">
      <c r="A73" t="inlineStr">
        <is>
          <t>SS-01072</t>
        </is>
      </c>
      <c r="B73" t="inlineStr">
        <is>
          <t>respiratory circuit 134</t>
        </is>
      </c>
      <c r="C73" t="inlineStr">
        <is>
          <t>respiratory</t>
        </is>
      </c>
      <c r="D73" t="inlineStr">
        <is>
          <t>MedAxis Distribution</t>
        </is>
      </c>
      <c r="E73" t="inlineStr">
        <is>
          <t>HOSP-4</t>
        </is>
      </c>
      <c r="F73" t="inlineStr">
        <is>
          <t>LOT-07072</t>
        </is>
      </c>
      <c r="G73" t="n">
        <v>10.6</v>
      </c>
      <c r="H73" t="n">
        <v>17</v>
      </c>
      <c r="I73" t="n">
        <v>0</v>
      </c>
      <c r="J73" t="inlineStr">
        <is>
          <t>clear</t>
        </is>
      </c>
      <c r="K73">
        <f>IF(J73="recalled",0,MAX(0,H73-I73))</f>
        <v/>
      </c>
      <c r="L73">
        <f>K73*G73</f>
        <v/>
      </c>
      <c r="M73">
        <f>H73*G73</f>
        <v/>
      </c>
      <c r="N73" t="n">
        <v>6</v>
      </c>
      <c r="O73" t="inlineStr">
        <is>
          <t>D12-18</t>
        </is>
      </c>
      <c r="P73" s="7" t="n">
        <v>46739</v>
      </c>
      <c r="Q73">
        <f>P73-Inputs!$B$4</f>
        <v/>
      </c>
      <c r="R73">
        <f>IF(Q73&lt;0,"expired",IF(Q73&lt;=30,"&lt;=30d",IF(Q73&lt;=90,"31-90d",IF(Q73&lt;=180,"91-180d","&gt;180d"))))</f>
        <v/>
      </c>
      <c r="S73" t="n">
        <v>5</v>
      </c>
    </row>
    <row r="74">
      <c r="A74" t="inlineStr">
        <is>
          <t>SS-01073</t>
        </is>
      </c>
      <c r="B74" t="inlineStr">
        <is>
          <t>sterile surgical pack 135</t>
        </is>
      </c>
      <c r="C74" t="inlineStr">
        <is>
          <t>surgical</t>
        </is>
      </c>
      <c r="D74" t="inlineStr">
        <is>
          <t>SterilePath Medical</t>
        </is>
      </c>
      <c r="E74" t="inlineStr">
        <is>
          <t>HOSP-1</t>
        </is>
      </c>
      <c r="F74" t="inlineStr">
        <is>
          <t>LOT-07073</t>
        </is>
      </c>
      <c r="G74" t="n">
        <v>14.89</v>
      </c>
      <c r="H74" t="n">
        <v>7</v>
      </c>
      <c r="I74" t="n">
        <v>0</v>
      </c>
      <c r="J74" t="inlineStr">
        <is>
          <t>clear</t>
        </is>
      </c>
      <c r="K74">
        <f>IF(J74="recalled",0,MAX(0,H74-I74))</f>
        <v/>
      </c>
      <c r="L74">
        <f>K74*G74</f>
        <v/>
      </c>
      <c r="M74">
        <f>H74*G74</f>
        <v/>
      </c>
      <c r="N74" t="n">
        <v>8</v>
      </c>
      <c r="O74" t="inlineStr">
        <is>
          <t>A6-14</t>
        </is>
      </c>
      <c r="P74" s="7" t="n">
        <v>46406</v>
      </c>
      <c r="Q74">
        <f>P74-Inputs!$B$4</f>
        <v/>
      </c>
      <c r="R74">
        <f>IF(Q74&lt;0,"expired",IF(Q74&lt;=30,"&lt;=30d",IF(Q74&lt;=90,"31-90d",IF(Q74&lt;=180,"91-180d","&gt;180d"))))</f>
        <v/>
      </c>
      <c r="S74" t="n">
        <v>5</v>
      </c>
    </row>
    <row r="75">
      <c r="A75" t="inlineStr">
        <is>
          <t>SS-01074</t>
        </is>
      </c>
      <c r="B75" t="inlineStr">
        <is>
          <t>diagnostic collection set 136</t>
        </is>
      </c>
      <c r="C75" t="inlineStr">
        <is>
          <t>diagnostic</t>
        </is>
      </c>
      <c r="D75" t="inlineStr">
        <is>
          <t>Aegis Clinical Supply</t>
        </is>
      </c>
      <c r="E75" t="inlineStr">
        <is>
          <t>HOSP-2</t>
        </is>
      </c>
      <c r="F75" t="inlineStr">
        <is>
          <t>LOT-07074</t>
        </is>
      </c>
      <c r="G75" t="n">
        <v>22.23</v>
      </c>
      <c r="H75" t="n">
        <v>74</v>
      </c>
      <c r="I75" t="n">
        <v>0</v>
      </c>
      <c r="J75" t="inlineStr">
        <is>
          <t>clear</t>
        </is>
      </c>
      <c r="K75">
        <f>IF(J75="recalled",0,MAX(0,H75-I75))</f>
        <v/>
      </c>
      <c r="L75">
        <f>K75*G75</f>
        <v/>
      </c>
      <c r="M75">
        <f>H75*G75</f>
        <v/>
      </c>
      <c r="N75" t="n">
        <v>3</v>
      </c>
      <c r="O75" t="inlineStr">
        <is>
          <t>A2-11</t>
        </is>
      </c>
      <c r="P75" s="7" t="n">
        <v>46438</v>
      </c>
      <c r="Q75">
        <f>P75-Inputs!$B$4</f>
        <v/>
      </c>
      <c r="R75">
        <f>IF(Q75&lt;0,"expired",IF(Q75&lt;=30,"&lt;=30d",IF(Q75&lt;=90,"31-90d",IF(Q75&lt;=180,"91-180d","&gt;180d"))))</f>
        <v/>
      </c>
      <c r="S75" t="n">
        <v>5</v>
      </c>
    </row>
    <row r="76">
      <c r="A76" t="inlineStr">
        <is>
          <t>SS-01075</t>
        </is>
      </c>
      <c r="B76" t="inlineStr">
        <is>
          <t>advanced wound dressing 100</t>
        </is>
      </c>
      <c r="C76" t="inlineStr">
        <is>
          <t>wound</t>
        </is>
      </c>
      <c r="D76" t="inlineStr">
        <is>
          <t>HarborMed Logistics</t>
        </is>
      </c>
      <c r="E76" t="inlineStr">
        <is>
          <t>HOSP-3</t>
        </is>
      </c>
      <c r="F76" t="inlineStr">
        <is>
          <t>LOT-07075</t>
        </is>
      </c>
      <c r="G76" t="n">
        <v>4.17</v>
      </c>
      <c r="H76" t="n">
        <v>12</v>
      </c>
      <c r="I76" t="n">
        <v>0</v>
      </c>
      <c r="J76" t="inlineStr">
        <is>
          <t>clear</t>
        </is>
      </c>
      <c r="K76">
        <f>IF(J76="recalled",0,MAX(0,H76-I76))</f>
        <v/>
      </c>
      <c r="L76">
        <f>K76*G76</f>
        <v/>
      </c>
      <c r="M76">
        <f>H76*G76</f>
        <v/>
      </c>
      <c r="N76" t="n">
        <v>7</v>
      </c>
      <c r="O76" t="inlineStr">
        <is>
          <t>C1-01</t>
        </is>
      </c>
      <c r="P76" s="7" t="n">
        <v>46467</v>
      </c>
      <c r="Q76">
        <f>P76-Inputs!$B$4</f>
        <v/>
      </c>
      <c r="R76">
        <f>IF(Q76&lt;0,"expired",IF(Q76&lt;=30,"&lt;=30d",IF(Q76&lt;=90,"31-90d",IF(Q76&lt;=180,"91-180d","&gt;180d"))))</f>
        <v/>
      </c>
      <c r="S76" t="n">
        <v>5</v>
      </c>
    </row>
    <row r="77">
      <c r="A77" t="inlineStr">
        <is>
          <t>SS-01076</t>
        </is>
      </c>
      <c r="B77" t="inlineStr">
        <is>
          <t>vascular access kit 101</t>
        </is>
      </c>
      <c r="C77" t="inlineStr">
        <is>
          <t>vascular</t>
        </is>
      </c>
      <c r="D77" t="inlineStr">
        <is>
          <t>Northstar Surgical</t>
        </is>
      </c>
      <c r="E77" t="inlineStr">
        <is>
          <t>HOSP-4</t>
        </is>
      </c>
      <c r="F77" t="inlineStr">
        <is>
          <t>LOT-07076</t>
        </is>
      </c>
      <c r="G77" t="n">
        <v>18.15</v>
      </c>
      <c r="H77" t="n">
        <v>2</v>
      </c>
      <c r="I77" t="n">
        <v>0</v>
      </c>
      <c r="J77" t="inlineStr">
        <is>
          <t>clear</t>
        </is>
      </c>
      <c r="K77">
        <f>IF(J77="recalled",0,MAX(0,H77-I77))</f>
        <v/>
      </c>
      <c r="L77">
        <f>K77*G77</f>
        <v/>
      </c>
      <c r="M77">
        <f>H77*G77</f>
        <v/>
      </c>
      <c r="N77" t="n">
        <v>5</v>
      </c>
      <c r="O77" t="inlineStr">
        <is>
          <t>C9-01</t>
        </is>
      </c>
      <c r="P77" s="7" t="n">
        <v>46499</v>
      </c>
      <c r="Q77">
        <f>P77-Inputs!$B$4</f>
        <v/>
      </c>
      <c r="R77">
        <f>IF(Q77&lt;0,"expired",IF(Q77&lt;=30,"&lt;=30d",IF(Q77&lt;=90,"31-90d",IF(Q77&lt;=180,"91-180d","&gt;180d"))))</f>
        <v/>
      </c>
      <c r="S77" t="n">
        <v>5</v>
      </c>
    </row>
    <row r="78">
      <c r="A78" t="inlineStr">
        <is>
          <t>SS-01077</t>
        </is>
      </c>
      <c r="B78" t="inlineStr">
        <is>
          <t>respiratory circuit 102</t>
        </is>
      </c>
      <c r="C78" t="inlineStr">
        <is>
          <t>respiratory</t>
        </is>
      </c>
      <c r="D78" t="inlineStr">
        <is>
          <t>MedAxis Distribution</t>
        </is>
      </c>
      <c r="E78" t="inlineStr">
        <is>
          <t>HOSP-1</t>
        </is>
      </c>
      <c r="F78" t="inlineStr">
        <is>
          <t>LOT-07077</t>
        </is>
      </c>
      <c r="G78" t="n">
        <v>35.16</v>
      </c>
      <c r="H78" t="n">
        <v>9</v>
      </c>
      <c r="I78" t="n">
        <v>0</v>
      </c>
      <c r="J78" t="inlineStr">
        <is>
          <t>clear</t>
        </is>
      </c>
      <c r="K78">
        <f>IF(J78="recalled",0,MAX(0,H78-I78))</f>
        <v/>
      </c>
      <c r="L78">
        <f>K78*G78</f>
        <v/>
      </c>
      <c r="M78">
        <f>H78*G78</f>
        <v/>
      </c>
      <c r="N78" t="n">
        <v>7</v>
      </c>
      <c r="O78" t="inlineStr">
        <is>
          <t>D5-01</t>
        </is>
      </c>
      <c r="P78" s="7" t="n">
        <v>46530</v>
      </c>
      <c r="Q78">
        <f>P78-Inputs!$B$4</f>
        <v/>
      </c>
      <c r="R78">
        <f>IF(Q78&lt;0,"expired",IF(Q78&lt;=30,"&lt;=30d",IF(Q78&lt;=90,"31-90d",IF(Q78&lt;=180,"91-180d","&gt;180d"))))</f>
        <v/>
      </c>
      <c r="S78" t="n">
        <v>5</v>
      </c>
    </row>
    <row r="79">
      <c r="A79" t="inlineStr">
        <is>
          <t>SS-01078</t>
        </is>
      </c>
      <c r="B79" t="inlineStr">
        <is>
          <t>sterile surgical pack 103</t>
        </is>
      </c>
      <c r="C79" t="inlineStr">
        <is>
          <t>surgical</t>
        </is>
      </c>
      <c r="D79" t="inlineStr">
        <is>
          <t>SterilePath Medical</t>
        </is>
      </c>
      <c r="E79" t="inlineStr">
        <is>
          <t>HOSP-2</t>
        </is>
      </c>
      <c r="F79" t="inlineStr">
        <is>
          <t>LOT-07078</t>
        </is>
      </c>
      <c r="G79" t="n">
        <v>9.359999999999999</v>
      </c>
      <c r="H79" t="n">
        <v>62</v>
      </c>
      <c r="I79" t="n">
        <v>0</v>
      </c>
      <c r="J79" t="inlineStr">
        <is>
          <t>clear</t>
        </is>
      </c>
      <c r="K79">
        <f>IF(J79="recalled",0,MAX(0,H79-I79))</f>
        <v/>
      </c>
      <c r="L79">
        <f>K79*G79</f>
        <v/>
      </c>
      <c r="M79">
        <f>H79*G79</f>
        <v/>
      </c>
      <c r="N79" t="n">
        <v>5</v>
      </c>
      <c r="O79" t="inlineStr">
        <is>
          <t>B1-03</t>
        </is>
      </c>
      <c r="P79" s="7" t="n">
        <v>46562</v>
      </c>
      <c r="Q79">
        <f>P79-Inputs!$B$4</f>
        <v/>
      </c>
      <c r="R79">
        <f>IF(Q79&lt;0,"expired",IF(Q79&lt;=30,"&lt;=30d",IF(Q79&lt;=90,"31-90d",IF(Q79&lt;=180,"91-180d","&gt;180d"))))</f>
        <v/>
      </c>
      <c r="S79" t="n">
        <v>5</v>
      </c>
    </row>
    <row r="80">
      <c r="A80" t="inlineStr">
        <is>
          <t>SS-01079</t>
        </is>
      </c>
      <c r="B80" t="inlineStr">
        <is>
          <t>diagnostic collection set 104</t>
        </is>
      </c>
      <c r="C80" t="inlineStr">
        <is>
          <t>diagnostic</t>
        </is>
      </c>
      <c r="D80" t="inlineStr">
        <is>
          <t>Aegis Clinical Supply</t>
        </is>
      </c>
      <c r="E80" t="inlineStr">
        <is>
          <t>HOSP-3</t>
        </is>
      </c>
      <c r="F80" t="inlineStr">
        <is>
          <t>LOT-07079</t>
        </is>
      </c>
      <c r="G80" t="n">
        <v>36.01</v>
      </c>
      <c r="H80" t="n">
        <v>0</v>
      </c>
      <c r="I80" t="n">
        <v>0</v>
      </c>
      <c r="J80" t="inlineStr">
        <is>
          <t>clear</t>
        </is>
      </c>
      <c r="K80">
        <f>IF(J80="recalled",0,MAX(0,H80-I80))</f>
        <v/>
      </c>
      <c r="L80">
        <f>K80*G80</f>
        <v/>
      </c>
      <c r="M80">
        <f>H80*G80</f>
        <v/>
      </c>
      <c r="N80" t="n">
        <v>6</v>
      </c>
      <c r="O80" t="inlineStr">
        <is>
          <t>H6-18</t>
        </is>
      </c>
      <c r="P80" s="7" t="n">
        <v>46593</v>
      </c>
      <c r="Q80">
        <f>P80-Inputs!$B$4</f>
        <v/>
      </c>
      <c r="R80">
        <f>IF(Q80&lt;0,"expired",IF(Q80&lt;=30,"&lt;=30d",IF(Q80&lt;=90,"31-90d",IF(Q80&lt;=180,"91-180d","&gt;180d"))))</f>
        <v/>
      </c>
      <c r="S80" t="n">
        <v>5</v>
      </c>
    </row>
    <row r="81">
      <c r="A81" t="inlineStr">
        <is>
          <t>SS-01080</t>
        </is>
      </c>
      <c r="B81" t="inlineStr">
        <is>
          <t>advanced wound dressing 105</t>
        </is>
      </c>
      <c r="C81" t="inlineStr">
        <is>
          <t>wound</t>
        </is>
      </c>
      <c r="D81" t="inlineStr">
        <is>
          <t>HarborMed Logistics</t>
        </is>
      </c>
      <c r="E81" t="inlineStr">
        <is>
          <t>HOSP-4</t>
        </is>
      </c>
      <c r="F81" t="inlineStr">
        <is>
          <t>LOT-07080</t>
        </is>
      </c>
      <c r="G81" t="n">
        <v>11.78</v>
      </c>
      <c r="H81" t="n">
        <v>3</v>
      </c>
      <c r="I81" t="n">
        <v>0</v>
      </c>
      <c r="J81" t="inlineStr">
        <is>
          <t>clear</t>
        </is>
      </c>
      <c r="K81">
        <f>IF(J81="recalled",0,MAX(0,H81-I81))</f>
        <v/>
      </c>
      <c r="L81">
        <f>K81*G81</f>
        <v/>
      </c>
      <c r="M81">
        <f>H81*G81</f>
        <v/>
      </c>
      <c r="N81" t="n">
        <v>12</v>
      </c>
      <c r="O81" t="inlineStr">
        <is>
          <t>E10-05</t>
        </is>
      </c>
      <c r="P81" s="7" t="n">
        <v>46625</v>
      </c>
      <c r="Q81">
        <f>P81-Inputs!$B$4</f>
        <v/>
      </c>
      <c r="R81">
        <f>IF(Q81&lt;0,"expired",IF(Q81&lt;=30,"&lt;=30d",IF(Q81&lt;=90,"31-90d",IF(Q81&lt;=180,"91-180d","&gt;180d"))))</f>
        <v/>
      </c>
      <c r="S81" t="n">
        <v>5</v>
      </c>
    </row>
    <row r="82">
      <c r="A82" t="inlineStr">
        <is>
          <t>SS-01081</t>
        </is>
      </c>
      <c r="B82" t="inlineStr">
        <is>
          <t>vascular access kit 106</t>
        </is>
      </c>
      <c r="C82" t="inlineStr">
        <is>
          <t>vascular</t>
        </is>
      </c>
      <c r="D82" t="inlineStr">
        <is>
          <t>Northstar Surgical</t>
        </is>
      </c>
      <c r="E82" t="inlineStr">
        <is>
          <t>HOSP-1</t>
        </is>
      </c>
      <c r="F82" t="inlineStr">
        <is>
          <t>LOT-07081</t>
        </is>
      </c>
      <c r="G82" t="n">
        <v>20.25</v>
      </c>
      <c r="H82" t="n">
        <v>11</v>
      </c>
      <c r="I82" t="n">
        <v>0</v>
      </c>
      <c r="J82" t="inlineStr">
        <is>
          <t>clear</t>
        </is>
      </c>
      <c r="K82">
        <f>IF(J82="recalled",0,MAX(0,H82-I82))</f>
        <v/>
      </c>
      <c r="L82">
        <f>K82*G82</f>
        <v/>
      </c>
      <c r="M82">
        <f>H82*G82</f>
        <v/>
      </c>
      <c r="N82" t="n">
        <v>6</v>
      </c>
      <c r="O82" t="inlineStr">
        <is>
          <t>D2-19</t>
        </is>
      </c>
      <c r="P82" s="7" t="n">
        <v>46657</v>
      </c>
      <c r="Q82">
        <f>P82-Inputs!$B$4</f>
        <v/>
      </c>
      <c r="R82">
        <f>IF(Q82&lt;0,"expired",IF(Q82&lt;=30,"&lt;=30d",IF(Q82&lt;=90,"31-90d",IF(Q82&lt;=180,"91-180d","&gt;180d"))))</f>
        <v/>
      </c>
      <c r="S82" t="n">
        <v>5</v>
      </c>
    </row>
    <row r="83">
      <c r="A83" t="inlineStr">
        <is>
          <t>SS-01082</t>
        </is>
      </c>
      <c r="B83" t="inlineStr">
        <is>
          <t>respiratory circuit 107</t>
        </is>
      </c>
      <c r="C83" t="inlineStr">
        <is>
          <t>respiratory</t>
        </is>
      </c>
      <c r="D83" t="inlineStr">
        <is>
          <t>MedAxis Distribution</t>
        </is>
      </c>
      <c r="E83" t="inlineStr">
        <is>
          <t>HOSP-2</t>
        </is>
      </c>
      <c r="F83" t="inlineStr">
        <is>
          <t>LOT-07082</t>
        </is>
      </c>
      <c r="G83" t="n">
        <v>4.84</v>
      </c>
      <c r="H83" t="n">
        <v>10</v>
      </c>
      <c r="I83" t="n">
        <v>0</v>
      </c>
      <c r="J83" t="inlineStr">
        <is>
          <t>clear</t>
        </is>
      </c>
      <c r="K83">
        <f>IF(J83="recalled",0,MAX(0,H83-I83))</f>
        <v/>
      </c>
      <c r="L83">
        <f>K83*G83</f>
        <v/>
      </c>
      <c r="M83">
        <f>H83*G83</f>
        <v/>
      </c>
      <c r="N83" t="n">
        <v>6</v>
      </c>
      <c r="O83" t="inlineStr">
        <is>
          <t>E4-10</t>
        </is>
      </c>
      <c r="P83" s="7" t="n">
        <v>46661</v>
      </c>
      <c r="Q83">
        <f>P83-Inputs!$B$4</f>
        <v/>
      </c>
      <c r="R83">
        <f>IF(Q83&lt;0,"expired",IF(Q83&lt;=30,"&lt;=30d",IF(Q83&lt;=90,"31-90d",IF(Q83&lt;=180,"91-180d","&gt;180d"))))</f>
        <v/>
      </c>
      <c r="S83" t="n">
        <v>5</v>
      </c>
    </row>
    <row r="84">
      <c r="A84" t="inlineStr">
        <is>
          <t>SS-01083</t>
        </is>
      </c>
      <c r="B84" t="inlineStr">
        <is>
          <t>sterile surgical pack 108</t>
        </is>
      </c>
      <c r="C84" t="inlineStr">
        <is>
          <t>surgical</t>
        </is>
      </c>
      <c r="D84" t="inlineStr">
        <is>
          <t>SterilePath Medical</t>
        </is>
      </c>
      <c r="E84" t="inlineStr">
        <is>
          <t>HOSP-3</t>
        </is>
      </c>
      <c r="F84" t="inlineStr">
        <is>
          <t>LOT-07083</t>
        </is>
      </c>
      <c r="G84" t="n">
        <v>18.69</v>
      </c>
      <c r="H84" t="n">
        <v>45</v>
      </c>
      <c r="I84" t="n">
        <v>0</v>
      </c>
      <c r="J84" t="inlineStr">
        <is>
          <t>clear</t>
        </is>
      </c>
      <c r="K84">
        <f>IF(J84="recalled",0,MAX(0,H84-I84))</f>
        <v/>
      </c>
      <c r="L84">
        <f>K84*G84</f>
        <v/>
      </c>
      <c r="M84">
        <f>H84*G84</f>
        <v/>
      </c>
      <c r="N84" t="n">
        <v>5</v>
      </c>
      <c r="O84" t="inlineStr">
        <is>
          <t>H2-21</t>
        </is>
      </c>
      <c r="P84" s="7" t="n">
        <v>46693</v>
      </c>
      <c r="Q84">
        <f>P84-Inputs!$B$4</f>
        <v/>
      </c>
      <c r="R84">
        <f>IF(Q84&lt;0,"expired",IF(Q84&lt;=30,"&lt;=30d",IF(Q84&lt;=90,"31-90d",IF(Q84&lt;=180,"91-180d","&gt;180d"))))</f>
        <v/>
      </c>
      <c r="S84" t="n">
        <v>5</v>
      </c>
    </row>
    <row r="85">
      <c r="A85" t="inlineStr">
        <is>
          <t>SS-01084</t>
        </is>
      </c>
      <c r="B85" t="inlineStr">
        <is>
          <t>diagnostic collection set 109</t>
        </is>
      </c>
      <c r="C85" t="inlineStr">
        <is>
          <t>diagnostic</t>
        </is>
      </c>
      <c r="D85" t="inlineStr">
        <is>
          <t>Aegis Clinical Supply</t>
        </is>
      </c>
      <c r="E85" t="inlineStr">
        <is>
          <t>HOSP-4</t>
        </is>
      </c>
      <c r="F85" t="inlineStr">
        <is>
          <t>LOT-07084</t>
        </is>
      </c>
      <c r="G85" t="n">
        <v>20.52</v>
      </c>
      <c r="H85" t="n">
        <v>17</v>
      </c>
      <c r="I85" t="n">
        <v>0</v>
      </c>
      <c r="J85" t="inlineStr">
        <is>
          <t>clear</t>
        </is>
      </c>
      <c r="K85">
        <f>IF(J85="recalled",0,MAX(0,H85-I85))</f>
        <v/>
      </c>
      <c r="L85">
        <f>K85*G85</f>
        <v/>
      </c>
      <c r="M85">
        <f>H85*G85</f>
        <v/>
      </c>
      <c r="N85" t="n">
        <v>4</v>
      </c>
      <c r="O85" t="inlineStr">
        <is>
          <t>A10-13</t>
        </is>
      </c>
      <c r="P85" s="7" t="n">
        <v>46724</v>
      </c>
      <c r="Q85">
        <f>P85-Inputs!$B$4</f>
        <v/>
      </c>
      <c r="R85">
        <f>IF(Q85&lt;0,"expired",IF(Q85&lt;=30,"&lt;=30d",IF(Q85&lt;=90,"31-90d",IF(Q85&lt;=180,"91-180d","&gt;180d"))))</f>
        <v/>
      </c>
      <c r="S85" t="n">
        <v>5</v>
      </c>
    </row>
    <row r="86">
      <c r="A86" t="inlineStr">
        <is>
          <t>SS-01085</t>
        </is>
      </c>
      <c r="B86" t="inlineStr">
        <is>
          <t>advanced wound dressing 110</t>
        </is>
      </c>
      <c r="C86" t="inlineStr">
        <is>
          <t>wound</t>
        </is>
      </c>
      <c r="D86" t="inlineStr">
        <is>
          <t>HarborMed Logistics</t>
        </is>
      </c>
      <c r="E86" t="inlineStr">
        <is>
          <t>HOSP-1</t>
        </is>
      </c>
      <c r="F86" t="inlineStr">
        <is>
          <t>LOT-07085</t>
        </is>
      </c>
      <c r="G86" t="n">
        <v>25.9</v>
      </c>
      <c r="H86" t="n">
        <v>3</v>
      </c>
      <c r="I86" t="n">
        <v>0</v>
      </c>
      <c r="J86" t="inlineStr">
        <is>
          <t>clear</t>
        </is>
      </c>
      <c r="K86">
        <f>IF(J86="recalled",0,MAX(0,H86-I86))</f>
        <v/>
      </c>
      <c r="L86">
        <f>K86*G86</f>
        <v/>
      </c>
      <c r="M86">
        <f>H86*G86</f>
        <v/>
      </c>
      <c r="N86" t="n">
        <v>5</v>
      </c>
      <c r="O86" t="inlineStr">
        <is>
          <t>A5-16</t>
        </is>
      </c>
      <c r="P86" s="7" t="n">
        <v>46391</v>
      </c>
      <c r="Q86">
        <f>P86-Inputs!$B$4</f>
        <v/>
      </c>
      <c r="R86">
        <f>IF(Q86&lt;0,"expired",IF(Q86&lt;=30,"&lt;=30d",IF(Q86&lt;=90,"31-90d",IF(Q86&lt;=180,"91-180d","&gt;180d"))))</f>
        <v/>
      </c>
      <c r="S86" t="n">
        <v>5</v>
      </c>
    </row>
    <row r="87">
      <c r="A87" t="inlineStr">
        <is>
          <t>SS-01086</t>
        </is>
      </c>
      <c r="B87" t="inlineStr">
        <is>
          <t>vascular access kit 111</t>
        </is>
      </c>
      <c r="C87" t="inlineStr">
        <is>
          <t>vascular</t>
        </is>
      </c>
      <c r="D87" t="inlineStr">
        <is>
          <t>Northstar Surgical</t>
        </is>
      </c>
      <c r="E87" t="inlineStr">
        <is>
          <t>HOSP-2</t>
        </is>
      </c>
      <c r="F87" t="inlineStr">
        <is>
          <t>LOT-07086</t>
        </is>
      </c>
      <c r="G87" t="n">
        <v>23.79</v>
      </c>
      <c r="H87" t="n">
        <v>2</v>
      </c>
      <c r="I87" t="n">
        <v>0</v>
      </c>
      <c r="J87" t="inlineStr">
        <is>
          <t>clear</t>
        </is>
      </c>
      <c r="K87">
        <f>IF(J87="recalled",0,MAX(0,H87-I87))</f>
        <v/>
      </c>
      <c r="L87">
        <f>K87*G87</f>
        <v/>
      </c>
      <c r="M87">
        <f>H87*G87</f>
        <v/>
      </c>
      <c r="N87" t="n">
        <v>8</v>
      </c>
      <c r="O87" t="inlineStr">
        <is>
          <t>G10-19</t>
        </is>
      </c>
      <c r="P87" s="7" t="n">
        <v>46423</v>
      </c>
      <c r="Q87">
        <f>P87-Inputs!$B$4</f>
        <v/>
      </c>
      <c r="R87">
        <f>IF(Q87&lt;0,"expired",IF(Q87&lt;=30,"&lt;=30d",IF(Q87&lt;=90,"31-90d",IF(Q87&lt;=180,"91-180d","&gt;180d"))))</f>
        <v/>
      </c>
      <c r="S87" t="n">
        <v>5</v>
      </c>
    </row>
    <row r="88">
      <c r="A88" t="inlineStr">
        <is>
          <t>SS-01087</t>
        </is>
      </c>
      <c r="B88" t="inlineStr">
        <is>
          <t>respiratory circuit 112</t>
        </is>
      </c>
      <c r="C88" t="inlineStr">
        <is>
          <t>respiratory</t>
        </is>
      </c>
      <c r="D88" t="inlineStr">
        <is>
          <t>MedAxis Distribution</t>
        </is>
      </c>
      <c r="E88" t="inlineStr">
        <is>
          <t>HOSP-3</t>
        </is>
      </c>
      <c r="F88" t="inlineStr">
        <is>
          <t>LOT-07087</t>
        </is>
      </c>
      <c r="G88" t="n">
        <v>9.619999999999999</v>
      </c>
      <c r="H88" t="n">
        <v>32</v>
      </c>
      <c r="I88" t="n">
        <v>0</v>
      </c>
      <c r="J88" t="inlineStr">
        <is>
          <t>clear</t>
        </is>
      </c>
      <c r="K88">
        <f>IF(J88="recalled",0,MAX(0,H88-I88))</f>
        <v/>
      </c>
      <c r="L88">
        <f>K88*G88</f>
        <v/>
      </c>
      <c r="M88">
        <f>H88*G88</f>
        <v/>
      </c>
      <c r="N88" t="n">
        <v>8</v>
      </c>
      <c r="O88" t="inlineStr">
        <is>
          <t>C8-23</t>
        </is>
      </c>
      <c r="P88" s="7" t="n">
        <v>46452</v>
      </c>
      <c r="Q88">
        <f>P88-Inputs!$B$4</f>
        <v/>
      </c>
      <c r="R88">
        <f>IF(Q88&lt;0,"expired",IF(Q88&lt;=30,"&lt;=30d",IF(Q88&lt;=90,"31-90d",IF(Q88&lt;=180,"91-180d","&gt;180d"))))</f>
        <v/>
      </c>
      <c r="S88" t="n">
        <v>5</v>
      </c>
    </row>
    <row r="89">
      <c r="A89" t="inlineStr">
        <is>
          <t>SS-01088</t>
        </is>
      </c>
      <c r="B89" t="inlineStr">
        <is>
          <t>sterile surgical pack 113</t>
        </is>
      </c>
      <c r="C89" t="inlineStr">
        <is>
          <t>surgical</t>
        </is>
      </c>
      <c r="D89" t="inlineStr">
        <is>
          <t>SterilePath Medical</t>
        </is>
      </c>
      <c r="E89" t="inlineStr">
        <is>
          <t>HOSP-4</t>
        </is>
      </c>
      <c r="F89" t="inlineStr">
        <is>
          <t>LOT-07088</t>
        </is>
      </c>
      <c r="G89" t="n">
        <v>9.42</v>
      </c>
      <c r="H89" t="n">
        <v>3</v>
      </c>
      <c r="I89" t="n">
        <v>0</v>
      </c>
      <c r="J89" t="inlineStr">
        <is>
          <t>clear</t>
        </is>
      </c>
      <c r="K89">
        <f>IF(J89="recalled",0,MAX(0,H89-I89))</f>
        <v/>
      </c>
      <c r="L89">
        <f>K89*G89</f>
        <v/>
      </c>
      <c r="M89">
        <f>H89*G89</f>
        <v/>
      </c>
      <c r="N89" t="n">
        <v>12</v>
      </c>
      <c r="O89" t="inlineStr">
        <is>
          <t>F5-11</t>
        </is>
      </c>
      <c r="P89" s="7" t="n">
        <v>46484</v>
      </c>
      <c r="Q89">
        <f>P89-Inputs!$B$4</f>
        <v/>
      </c>
      <c r="R89">
        <f>IF(Q89&lt;0,"expired",IF(Q89&lt;=30,"&lt;=30d",IF(Q89&lt;=90,"31-90d",IF(Q89&lt;=180,"91-180d","&gt;180d"))))</f>
        <v/>
      </c>
      <c r="S89" t="n">
        <v>5</v>
      </c>
    </row>
    <row r="90">
      <c r="A90" t="inlineStr">
        <is>
          <t>SS-01089</t>
        </is>
      </c>
      <c r="B90" t="inlineStr">
        <is>
          <t>diagnostic collection set 114</t>
        </is>
      </c>
      <c r="C90" t="inlineStr">
        <is>
          <t>diagnostic</t>
        </is>
      </c>
      <c r="D90" t="inlineStr">
        <is>
          <t>Aegis Clinical Supply</t>
        </is>
      </c>
      <c r="E90" t="inlineStr">
        <is>
          <t>HOSP-1</t>
        </is>
      </c>
      <c r="F90" t="inlineStr">
        <is>
          <t>LOT-07089</t>
        </is>
      </c>
      <c r="G90" t="n">
        <v>15.49</v>
      </c>
      <c r="H90" t="n">
        <v>8</v>
      </c>
      <c r="I90" t="n">
        <v>4</v>
      </c>
      <c r="J90" t="inlineStr">
        <is>
          <t>clear</t>
        </is>
      </c>
      <c r="K90">
        <f>IF(J90="recalled",0,MAX(0,H90-I90))</f>
        <v/>
      </c>
      <c r="L90">
        <f>K90*G90</f>
        <v/>
      </c>
      <c r="M90">
        <f>H90*G90</f>
        <v/>
      </c>
      <c r="N90" t="n">
        <v>5</v>
      </c>
      <c r="O90" t="inlineStr">
        <is>
          <t>C2-18</t>
        </is>
      </c>
      <c r="P90" s="7" t="n">
        <v>46515</v>
      </c>
      <c r="Q90">
        <f>P90-Inputs!$B$4</f>
        <v/>
      </c>
      <c r="R90">
        <f>IF(Q90&lt;0,"expired",IF(Q90&lt;=30,"&lt;=30d",IF(Q90&lt;=90,"31-90d",IF(Q90&lt;=180,"91-180d","&gt;180d"))))</f>
        <v/>
      </c>
      <c r="S90" t="n">
        <v>5</v>
      </c>
    </row>
    <row r="91">
      <c r="A91" t="inlineStr">
        <is>
          <t>SS-01090</t>
        </is>
      </c>
      <c r="B91" t="inlineStr">
        <is>
          <t>advanced wound dressing 115</t>
        </is>
      </c>
      <c r="C91" t="inlineStr">
        <is>
          <t>wound</t>
        </is>
      </c>
      <c r="D91" t="inlineStr">
        <is>
          <t>HarborMed Logistics</t>
        </is>
      </c>
      <c r="E91" t="inlineStr">
        <is>
          <t>HOSP-2</t>
        </is>
      </c>
      <c r="F91" t="inlineStr">
        <is>
          <t>LOT-07090</t>
        </is>
      </c>
      <c r="G91" t="n">
        <v>10.5</v>
      </c>
      <c r="H91" t="n">
        <v>4</v>
      </c>
      <c r="I91" t="n">
        <v>0</v>
      </c>
      <c r="J91" t="inlineStr">
        <is>
          <t>clear</t>
        </is>
      </c>
      <c r="K91">
        <f>IF(J91="recalled",0,MAX(0,H91-I91))</f>
        <v/>
      </c>
      <c r="L91">
        <f>K91*G91</f>
        <v/>
      </c>
      <c r="M91">
        <f>H91*G91</f>
        <v/>
      </c>
      <c r="N91" t="n">
        <v>7</v>
      </c>
      <c r="O91" t="inlineStr">
        <is>
          <t>B9-16</t>
        </is>
      </c>
      <c r="P91" s="7" t="n">
        <v>46547</v>
      </c>
      <c r="Q91">
        <f>P91-Inputs!$B$4</f>
        <v/>
      </c>
      <c r="R91">
        <f>IF(Q91&lt;0,"expired",IF(Q91&lt;=30,"&lt;=30d",IF(Q91&lt;=90,"31-90d",IF(Q91&lt;=180,"91-180d","&gt;180d"))))</f>
        <v/>
      </c>
      <c r="S91" t="n">
        <v>5</v>
      </c>
    </row>
    <row r="92">
      <c r="A92" t="inlineStr">
        <is>
          <t>SS-01091</t>
        </is>
      </c>
      <c r="B92" t="inlineStr">
        <is>
          <t>vascular access kit 116</t>
        </is>
      </c>
      <c r="C92" t="inlineStr">
        <is>
          <t>vascular</t>
        </is>
      </c>
      <c r="D92" t="inlineStr">
        <is>
          <t>Northstar Surgical</t>
        </is>
      </c>
      <c r="E92" t="inlineStr">
        <is>
          <t>HOSP-3</t>
        </is>
      </c>
      <c r="F92" t="inlineStr">
        <is>
          <t>LOT-07091</t>
        </is>
      </c>
      <c r="G92" t="n">
        <v>9.81</v>
      </c>
      <c r="H92" t="n">
        <v>3</v>
      </c>
      <c r="I92" t="n">
        <v>0</v>
      </c>
      <c r="J92" t="inlineStr">
        <is>
          <t>clear</t>
        </is>
      </c>
      <c r="K92">
        <f>IF(J92="recalled",0,MAX(0,H92-I92))</f>
        <v/>
      </c>
      <c r="L92">
        <f>K92*G92</f>
        <v/>
      </c>
      <c r="M92">
        <f>H92*G92</f>
        <v/>
      </c>
      <c r="N92" t="n">
        <v>3</v>
      </c>
      <c r="O92" t="inlineStr">
        <is>
          <t>J2-02</t>
        </is>
      </c>
      <c r="P92" s="7" t="n">
        <v>46578</v>
      </c>
      <c r="Q92">
        <f>P92-Inputs!$B$4</f>
        <v/>
      </c>
      <c r="R92">
        <f>IF(Q92&lt;0,"expired",IF(Q92&lt;=30,"&lt;=30d",IF(Q92&lt;=90,"31-90d",IF(Q92&lt;=180,"91-180d","&gt;180d"))))</f>
        <v/>
      </c>
      <c r="S92" t="n">
        <v>5</v>
      </c>
    </row>
    <row r="93">
      <c r="A93" t="inlineStr">
        <is>
          <t>SS-01092</t>
        </is>
      </c>
      <c r="B93" t="inlineStr">
        <is>
          <t>respiratory circuit 117</t>
        </is>
      </c>
      <c r="C93" t="inlineStr">
        <is>
          <t>respiratory</t>
        </is>
      </c>
      <c r="D93" t="inlineStr">
        <is>
          <t>MedAxis Distribution</t>
        </is>
      </c>
      <c r="E93" t="inlineStr">
        <is>
          <t>HOSP-4</t>
        </is>
      </c>
      <c r="F93" t="inlineStr">
        <is>
          <t>LOT-07092</t>
        </is>
      </c>
      <c r="G93" t="n">
        <v>26.42</v>
      </c>
      <c r="H93" t="n">
        <v>7</v>
      </c>
      <c r="I93" t="n">
        <v>0</v>
      </c>
      <c r="J93" t="inlineStr">
        <is>
          <t>clear</t>
        </is>
      </c>
      <c r="K93">
        <f>IF(J93="recalled",0,MAX(0,H93-I93))</f>
        <v/>
      </c>
      <c r="L93">
        <f>K93*G93</f>
        <v/>
      </c>
      <c r="M93">
        <f>H93*G93</f>
        <v/>
      </c>
      <c r="N93" t="n">
        <v>7</v>
      </c>
      <c r="O93" t="inlineStr">
        <is>
          <t>D2-20</t>
        </is>
      </c>
      <c r="P93" s="7" t="n">
        <v>46610</v>
      </c>
      <c r="Q93">
        <f>P93-Inputs!$B$4</f>
        <v/>
      </c>
      <c r="R93">
        <f>IF(Q93&lt;0,"expired",IF(Q93&lt;=30,"&lt;=30d",IF(Q93&lt;=90,"31-90d",IF(Q93&lt;=180,"91-180d","&gt;180d"))))</f>
        <v/>
      </c>
      <c r="S93" t="n">
        <v>5</v>
      </c>
    </row>
    <row r="94">
      <c r="A94" t="inlineStr">
        <is>
          <t>SS-01093</t>
        </is>
      </c>
      <c r="B94" t="inlineStr">
        <is>
          <t>sterile surgical pack 118</t>
        </is>
      </c>
      <c r="C94" t="inlineStr">
        <is>
          <t>surgical</t>
        </is>
      </c>
      <c r="D94" t="inlineStr">
        <is>
          <t>SterilePath Medical</t>
        </is>
      </c>
      <c r="E94" t="inlineStr">
        <is>
          <t>HOSP-1</t>
        </is>
      </c>
      <c r="F94" t="inlineStr">
        <is>
          <t>LOT-07093</t>
        </is>
      </c>
      <c r="G94" t="n">
        <v>4.91</v>
      </c>
      <c r="H94" t="n">
        <v>5</v>
      </c>
      <c r="I94" t="n">
        <v>0</v>
      </c>
      <c r="J94" t="inlineStr">
        <is>
          <t>clear</t>
        </is>
      </c>
      <c r="K94">
        <f>IF(J94="recalled",0,MAX(0,H94-I94))</f>
        <v/>
      </c>
      <c r="L94">
        <f>K94*G94</f>
        <v/>
      </c>
      <c r="M94">
        <f>H94*G94</f>
        <v/>
      </c>
      <c r="N94" t="n">
        <v>7</v>
      </c>
      <c r="O94" t="inlineStr">
        <is>
          <t>E3-23</t>
        </is>
      </c>
      <c r="P94" s="7" t="n">
        <v>46642</v>
      </c>
      <c r="Q94">
        <f>P94-Inputs!$B$4</f>
        <v/>
      </c>
      <c r="R94">
        <f>IF(Q94&lt;0,"expired",IF(Q94&lt;=30,"&lt;=30d",IF(Q94&lt;=90,"31-90d",IF(Q94&lt;=180,"91-180d","&gt;180d"))))</f>
        <v/>
      </c>
      <c r="S94" t="n">
        <v>5</v>
      </c>
    </row>
    <row r="95">
      <c r="A95" t="inlineStr">
        <is>
          <t>SS-01094</t>
        </is>
      </c>
      <c r="B95" t="inlineStr">
        <is>
          <t>diagnostic collection set 119</t>
        </is>
      </c>
      <c r="C95" t="inlineStr">
        <is>
          <t>diagnostic</t>
        </is>
      </c>
      <c r="D95" t="inlineStr">
        <is>
          <t>Aegis Clinical Supply</t>
        </is>
      </c>
      <c r="E95" t="inlineStr">
        <is>
          <t>HOSP-2</t>
        </is>
      </c>
      <c r="F95" t="inlineStr">
        <is>
          <t>LOT-07094</t>
        </is>
      </c>
      <c r="G95" t="n">
        <v>7.81</v>
      </c>
      <c r="H95" t="n">
        <v>78</v>
      </c>
      <c r="I95" t="n">
        <v>0</v>
      </c>
      <c r="J95" t="inlineStr">
        <is>
          <t>clear</t>
        </is>
      </c>
      <c r="K95">
        <f>IF(J95="recalled",0,MAX(0,H95-I95))</f>
        <v/>
      </c>
      <c r="L95">
        <f>K95*G95</f>
        <v/>
      </c>
      <c r="M95">
        <f>H95*G95</f>
        <v/>
      </c>
      <c r="N95" t="n">
        <v>4</v>
      </c>
      <c r="O95" t="inlineStr">
        <is>
          <t>D12-07</t>
        </is>
      </c>
      <c r="P95" s="7" t="n">
        <v>46673</v>
      </c>
      <c r="Q95">
        <f>P95-Inputs!$B$4</f>
        <v/>
      </c>
      <c r="R95">
        <f>IF(Q95&lt;0,"expired",IF(Q95&lt;=30,"&lt;=30d",IF(Q95&lt;=90,"31-90d",IF(Q95&lt;=180,"91-180d","&gt;180d"))))</f>
        <v/>
      </c>
      <c r="S95" t="n">
        <v>11</v>
      </c>
    </row>
    <row r="96">
      <c r="A96" t="inlineStr">
        <is>
          <t>SS-01095</t>
        </is>
      </c>
      <c r="B96" t="inlineStr">
        <is>
          <t>advanced wound dressing 120</t>
        </is>
      </c>
      <c r="C96" t="inlineStr">
        <is>
          <t>wound</t>
        </is>
      </c>
      <c r="D96" t="inlineStr">
        <is>
          <t>HarborMed Logistics</t>
        </is>
      </c>
      <c r="E96" t="inlineStr">
        <is>
          <t>HOSP-3</t>
        </is>
      </c>
      <c r="F96" t="inlineStr">
        <is>
          <t>LOT-07095</t>
        </is>
      </c>
      <c r="G96" t="n">
        <v>16.02</v>
      </c>
      <c r="H96" t="n">
        <v>1</v>
      </c>
      <c r="I96" t="n">
        <v>0</v>
      </c>
      <c r="J96" t="inlineStr">
        <is>
          <t>recalled</t>
        </is>
      </c>
      <c r="K96">
        <f>IF(J96="recalled",0,MAX(0,H96-I96))</f>
        <v/>
      </c>
      <c r="L96">
        <f>K96*G96</f>
        <v/>
      </c>
      <c r="M96">
        <f>H96*G96</f>
        <v/>
      </c>
      <c r="N96" t="n">
        <v>3</v>
      </c>
      <c r="O96" t="inlineStr">
        <is>
          <t>D7-22</t>
        </is>
      </c>
      <c r="P96" s="7" t="n">
        <v>46705</v>
      </c>
      <c r="Q96">
        <f>P96-Inputs!$B$4</f>
        <v/>
      </c>
      <c r="R96">
        <f>IF(Q96&lt;0,"expired",IF(Q96&lt;=30,"&lt;=30d",IF(Q96&lt;=90,"31-90d",IF(Q96&lt;=180,"91-180d","&gt;180d"))))</f>
        <v/>
      </c>
      <c r="S96" t="n">
        <v>5</v>
      </c>
    </row>
    <row r="97">
      <c r="A97" t="inlineStr">
        <is>
          <t>SS-01096</t>
        </is>
      </c>
      <c r="B97" t="inlineStr">
        <is>
          <t>vascular access kit 121</t>
        </is>
      </c>
      <c r="C97" t="inlineStr">
        <is>
          <t>vascular</t>
        </is>
      </c>
      <c r="D97" t="inlineStr">
        <is>
          <t>Northstar Surgical</t>
        </is>
      </c>
      <c r="E97" t="inlineStr">
        <is>
          <t>HOSP-4</t>
        </is>
      </c>
      <c r="F97" t="inlineStr">
        <is>
          <t>LOT-07096</t>
        </is>
      </c>
      <c r="G97" t="n">
        <v>5.25</v>
      </c>
      <c r="H97" t="n">
        <v>1</v>
      </c>
      <c r="I97" t="n">
        <v>0</v>
      </c>
      <c r="J97" t="inlineStr">
        <is>
          <t>clear</t>
        </is>
      </c>
      <c r="K97">
        <f>IF(J97="recalled",0,MAX(0,H97-I97))</f>
        <v/>
      </c>
      <c r="L97">
        <f>K97*G97</f>
        <v/>
      </c>
      <c r="M97">
        <f>H97*G97</f>
        <v/>
      </c>
      <c r="N97" t="n">
        <v>5</v>
      </c>
      <c r="O97" t="inlineStr">
        <is>
          <t>D2-09</t>
        </is>
      </c>
      <c r="P97" s="7" t="n">
        <v>46736</v>
      </c>
      <c r="Q97">
        <f>P97-Inputs!$B$4</f>
        <v/>
      </c>
      <c r="R97">
        <f>IF(Q97&lt;0,"expired",IF(Q97&lt;=30,"&lt;=30d",IF(Q97&lt;=90,"31-90d",IF(Q97&lt;=180,"91-180d","&gt;180d"))))</f>
        <v/>
      </c>
      <c r="S97" t="n">
        <v>5</v>
      </c>
    </row>
    <row r="98">
      <c r="A98" t="inlineStr">
        <is>
          <t>SS-01097</t>
        </is>
      </c>
      <c r="B98" t="inlineStr">
        <is>
          <t>respiratory circuit 122</t>
        </is>
      </c>
      <c r="C98" t="inlineStr">
        <is>
          <t>respiratory</t>
        </is>
      </c>
      <c r="D98" t="inlineStr">
        <is>
          <t>MedAxis Distribution</t>
        </is>
      </c>
      <c r="E98" t="inlineStr">
        <is>
          <t>HOSP-1</t>
        </is>
      </c>
      <c r="F98" t="inlineStr">
        <is>
          <t>LOT-07097</t>
        </is>
      </c>
      <c r="G98" t="n">
        <v>9.07</v>
      </c>
      <c r="H98" t="n">
        <v>2</v>
      </c>
      <c r="I98" t="n">
        <v>0</v>
      </c>
      <c r="J98" t="inlineStr">
        <is>
          <t>clear</t>
        </is>
      </c>
      <c r="K98">
        <f>IF(J98="recalled",0,MAX(0,H98-I98))</f>
        <v/>
      </c>
      <c r="L98">
        <f>K98*G98</f>
        <v/>
      </c>
      <c r="M98">
        <f>H98*G98</f>
        <v/>
      </c>
      <c r="N98" t="n">
        <v>6</v>
      </c>
      <c r="O98" t="inlineStr">
        <is>
          <t>F9-05</t>
        </is>
      </c>
      <c r="P98" s="7" t="n">
        <v>46403</v>
      </c>
      <c r="Q98">
        <f>P98-Inputs!$B$4</f>
        <v/>
      </c>
      <c r="R98">
        <f>IF(Q98&lt;0,"expired",IF(Q98&lt;=30,"&lt;=30d",IF(Q98&lt;=90,"31-90d",IF(Q98&lt;=180,"91-180d","&gt;180d"))))</f>
        <v/>
      </c>
      <c r="S98" t="n">
        <v>5</v>
      </c>
    </row>
    <row r="99">
      <c r="A99" t="inlineStr">
        <is>
          <t>SS-01098</t>
        </is>
      </c>
      <c r="B99" t="inlineStr">
        <is>
          <t>sterile surgical pack 123</t>
        </is>
      </c>
      <c r="C99" t="inlineStr">
        <is>
          <t>surgical</t>
        </is>
      </c>
      <c r="D99" t="inlineStr">
        <is>
          <t>SterilePath Medical</t>
        </is>
      </c>
      <c r="E99" t="inlineStr">
        <is>
          <t>HOSP-2</t>
        </is>
      </c>
      <c r="F99" t="inlineStr">
        <is>
          <t>LOT-07098</t>
        </is>
      </c>
      <c r="G99" t="n">
        <v>11.27</v>
      </c>
      <c r="H99" t="n">
        <v>65</v>
      </c>
      <c r="I99" t="n">
        <v>0</v>
      </c>
      <c r="J99" t="inlineStr">
        <is>
          <t>clear</t>
        </is>
      </c>
      <c r="K99">
        <f>IF(J99="recalled",0,MAX(0,H99-I99))</f>
        <v/>
      </c>
      <c r="L99">
        <f>K99*G99</f>
        <v/>
      </c>
      <c r="M99">
        <f>H99*G99</f>
        <v/>
      </c>
      <c r="N99" t="n">
        <v>8</v>
      </c>
      <c r="O99" t="inlineStr">
        <is>
          <t>B12-07</t>
        </is>
      </c>
      <c r="P99" s="7" t="n">
        <v>46435</v>
      </c>
      <c r="Q99">
        <f>P99-Inputs!$B$4</f>
        <v/>
      </c>
      <c r="R99">
        <f>IF(Q99&lt;0,"expired",IF(Q99&lt;=30,"&lt;=30d",IF(Q99&lt;=90,"31-90d",IF(Q99&lt;=180,"91-180d","&gt;180d"))))</f>
        <v/>
      </c>
      <c r="S99" t="n">
        <v>11</v>
      </c>
    </row>
    <row r="100">
      <c r="A100" t="inlineStr">
        <is>
          <t>SS-01099</t>
        </is>
      </c>
      <c r="B100" t="inlineStr">
        <is>
          <t>diagnostic collection set 124</t>
        </is>
      </c>
      <c r="C100" t="inlineStr">
        <is>
          <t>diagnostic</t>
        </is>
      </c>
      <c r="D100" t="inlineStr">
        <is>
          <t>Aegis Clinical Supply</t>
        </is>
      </c>
      <c r="E100" t="inlineStr">
        <is>
          <t>HOSP-3</t>
        </is>
      </c>
      <c r="F100" t="inlineStr">
        <is>
          <t>LOT-07099</t>
        </is>
      </c>
      <c r="G100" t="n">
        <v>2.32</v>
      </c>
      <c r="H100" t="n">
        <v>11</v>
      </c>
      <c r="I100" t="n">
        <v>0</v>
      </c>
      <c r="J100" t="inlineStr">
        <is>
          <t>clear</t>
        </is>
      </c>
      <c r="K100">
        <f>IF(J100="recalled",0,MAX(0,H100-I100))</f>
        <v/>
      </c>
      <c r="L100">
        <f>K100*G100</f>
        <v/>
      </c>
      <c r="M100">
        <f>H100*G100</f>
        <v/>
      </c>
      <c r="N100" t="n">
        <v>2</v>
      </c>
      <c r="O100" t="inlineStr">
        <is>
          <t>J11-12</t>
        </is>
      </c>
      <c r="P100" s="7" t="n">
        <v>46464</v>
      </c>
      <c r="Q100">
        <f>P100-Inputs!$B$4</f>
        <v/>
      </c>
      <c r="R100">
        <f>IF(Q100&lt;0,"expired",IF(Q100&lt;=30,"&lt;=30d",IF(Q100&lt;=90,"31-90d",IF(Q100&lt;=180,"91-180d","&gt;180d"))))</f>
        <v/>
      </c>
      <c r="S100" t="n">
        <v>5</v>
      </c>
    </row>
    <row r="101">
      <c r="A101" t="inlineStr">
        <is>
          <t>SS-01100</t>
        </is>
      </c>
      <c r="B101" t="inlineStr">
        <is>
          <t>advanced wound dressing 125</t>
        </is>
      </c>
      <c r="C101" t="inlineStr">
        <is>
          <t>wound</t>
        </is>
      </c>
      <c r="D101" t="inlineStr">
        <is>
          <t>HarborMed Logistics</t>
        </is>
      </c>
      <c r="E101" t="inlineStr">
        <is>
          <t>HOSP-4</t>
        </is>
      </c>
      <c r="F101" t="inlineStr">
        <is>
          <t>LOT-07100</t>
        </is>
      </c>
      <c r="G101" t="n">
        <v>7.35</v>
      </c>
      <c r="H101" t="n">
        <v>8</v>
      </c>
      <c r="I101" t="n">
        <v>1</v>
      </c>
      <c r="J101" t="inlineStr">
        <is>
          <t>clear</t>
        </is>
      </c>
      <c r="K101">
        <f>IF(J101="recalled",0,MAX(0,H101-I101))</f>
        <v/>
      </c>
      <c r="L101">
        <f>K101*G101</f>
        <v/>
      </c>
      <c r="M101">
        <f>H101*G101</f>
        <v/>
      </c>
      <c r="N101" t="n">
        <v>4</v>
      </c>
      <c r="O101" t="inlineStr">
        <is>
          <t>A11-15</t>
        </is>
      </c>
      <c r="P101" s="7" t="n">
        <v>46496</v>
      </c>
      <c r="Q101">
        <f>P101-Inputs!$B$4</f>
        <v/>
      </c>
      <c r="R101">
        <f>IF(Q101&lt;0,"expired",IF(Q101&lt;=30,"&lt;=30d",IF(Q101&lt;=90,"31-90d",IF(Q101&lt;=180,"91-180d","&gt;180d"))))</f>
        <v/>
      </c>
      <c r="S101" t="n">
        <v>5</v>
      </c>
    </row>
    <row r="102">
      <c r="A102" t="inlineStr">
        <is>
          <t>SS-01101</t>
        </is>
      </c>
      <c r="B102" t="inlineStr">
        <is>
          <t>vascular access kit 126</t>
        </is>
      </c>
      <c r="C102" t="inlineStr">
        <is>
          <t>vascular</t>
        </is>
      </c>
      <c r="D102" t="inlineStr">
        <is>
          <t>Northstar Surgical</t>
        </is>
      </c>
      <c r="E102" t="inlineStr">
        <is>
          <t>HOSP-1</t>
        </is>
      </c>
      <c r="F102" t="inlineStr">
        <is>
          <t>LOT-07101</t>
        </is>
      </c>
      <c r="G102" t="n">
        <v>17.03</v>
      </c>
      <c r="H102" t="n">
        <v>0</v>
      </c>
      <c r="I102" t="n">
        <v>0</v>
      </c>
      <c r="J102" t="inlineStr">
        <is>
          <t>clear</t>
        </is>
      </c>
      <c r="K102">
        <f>IF(J102="recalled",0,MAX(0,H102-I102))</f>
        <v/>
      </c>
      <c r="L102">
        <f>K102*G102</f>
        <v/>
      </c>
      <c r="M102">
        <f>H102*G102</f>
        <v/>
      </c>
      <c r="N102" t="n">
        <v>2</v>
      </c>
      <c r="O102" t="inlineStr">
        <is>
          <t>A10-03</t>
        </is>
      </c>
      <c r="P102" s="7" t="n">
        <v>46527</v>
      </c>
      <c r="Q102">
        <f>P102-Inputs!$B$4</f>
        <v/>
      </c>
      <c r="R102">
        <f>IF(Q102&lt;0,"expired",IF(Q102&lt;=30,"&lt;=30d",IF(Q102&lt;=90,"31-90d",IF(Q102&lt;=180,"91-180d","&gt;180d"))))</f>
        <v/>
      </c>
      <c r="S102" t="n">
        <v>5</v>
      </c>
    </row>
    <row r="103">
      <c r="A103" t="inlineStr">
        <is>
          <t>SS-01102</t>
        </is>
      </c>
      <c r="B103" t="inlineStr">
        <is>
          <t>respiratory circuit 127</t>
        </is>
      </c>
      <c r="C103" t="inlineStr">
        <is>
          <t>respiratory</t>
        </is>
      </c>
      <c r="D103" t="inlineStr">
        <is>
          <t>MedAxis Distribution</t>
        </is>
      </c>
      <c r="E103" t="inlineStr">
        <is>
          <t>HOSP-2</t>
        </is>
      </c>
      <c r="F103" t="inlineStr">
        <is>
          <t>LOT-07102</t>
        </is>
      </c>
      <c r="G103" t="n">
        <v>17.22</v>
      </c>
      <c r="H103" t="n">
        <v>91</v>
      </c>
      <c r="I103" t="n">
        <v>0</v>
      </c>
      <c r="J103" t="inlineStr">
        <is>
          <t>clear</t>
        </is>
      </c>
      <c r="K103">
        <f>IF(J103="recalled",0,MAX(0,H103-I103))</f>
        <v/>
      </c>
      <c r="L103">
        <f>K103*G103</f>
        <v/>
      </c>
      <c r="M103">
        <f>H103*G103</f>
        <v/>
      </c>
      <c r="N103" t="n">
        <v>6</v>
      </c>
      <c r="O103" t="inlineStr">
        <is>
          <t>E7-23</t>
        </is>
      </c>
      <c r="P103" s="7" t="n">
        <v>46559</v>
      </c>
      <c r="Q103">
        <f>P103-Inputs!$B$4</f>
        <v/>
      </c>
      <c r="R103">
        <f>IF(Q103&lt;0,"expired",IF(Q103&lt;=30,"&lt;=30d",IF(Q103&lt;=90,"31-90d",IF(Q103&lt;=180,"91-180d","&gt;180d"))))</f>
        <v/>
      </c>
      <c r="S103" t="n">
        <v>13</v>
      </c>
    </row>
    <row r="104">
      <c r="A104" t="inlineStr">
        <is>
          <t>SS-01103</t>
        </is>
      </c>
      <c r="B104" t="inlineStr">
        <is>
          <t>sterile surgical pack 128</t>
        </is>
      </c>
      <c r="C104" t="inlineStr">
        <is>
          <t>surgical</t>
        </is>
      </c>
      <c r="D104" t="inlineStr">
        <is>
          <t>SterilePath Medical</t>
        </is>
      </c>
      <c r="E104" t="inlineStr">
        <is>
          <t>HOSP-3</t>
        </is>
      </c>
      <c r="F104" t="inlineStr">
        <is>
          <t>LOT-07103</t>
        </is>
      </c>
      <c r="G104" t="n">
        <v>7.46</v>
      </c>
      <c r="H104" t="n">
        <v>0</v>
      </c>
      <c r="I104" t="n">
        <v>0</v>
      </c>
      <c r="J104" t="inlineStr">
        <is>
          <t>clear</t>
        </is>
      </c>
      <c r="K104">
        <f>IF(J104="recalled",0,MAX(0,H104-I104))</f>
        <v/>
      </c>
      <c r="L104">
        <f>K104*G104</f>
        <v/>
      </c>
      <c r="M104">
        <f>H104*G104</f>
        <v/>
      </c>
      <c r="N104" t="n">
        <v>8</v>
      </c>
      <c r="O104" t="inlineStr">
        <is>
          <t>F7-06</t>
        </is>
      </c>
      <c r="P104" s="7" t="n">
        <v>46590</v>
      </c>
      <c r="Q104">
        <f>P104-Inputs!$B$4</f>
        <v/>
      </c>
      <c r="R104">
        <f>IF(Q104&lt;0,"expired",IF(Q104&lt;=30,"&lt;=30d",IF(Q104&lt;=90,"31-90d",IF(Q104&lt;=180,"91-180d","&gt;180d"))))</f>
        <v/>
      </c>
      <c r="S104" t="n">
        <v>5</v>
      </c>
    </row>
    <row r="105">
      <c r="A105" t="inlineStr">
        <is>
          <t>SS-01104</t>
        </is>
      </c>
      <c r="B105" t="inlineStr">
        <is>
          <t>diagnostic collection set 129</t>
        </is>
      </c>
      <c r="C105" t="inlineStr">
        <is>
          <t>diagnostic</t>
        </is>
      </c>
      <c r="D105" t="inlineStr">
        <is>
          <t>Aegis Clinical Supply</t>
        </is>
      </c>
      <c r="E105" t="inlineStr">
        <is>
          <t>HOSP-4</t>
        </is>
      </c>
      <c r="F105" t="inlineStr">
        <is>
          <t>LOT-07104</t>
        </is>
      </c>
      <c r="G105" t="n">
        <v>19.59</v>
      </c>
      <c r="H105" t="n">
        <v>27</v>
      </c>
      <c r="I105" t="n">
        <v>0</v>
      </c>
      <c r="J105" t="inlineStr">
        <is>
          <t>clear</t>
        </is>
      </c>
      <c r="K105">
        <f>IF(J105="recalled",0,MAX(0,H105-I105))</f>
        <v/>
      </c>
      <c r="L105">
        <f>K105*G105</f>
        <v/>
      </c>
      <c r="M105">
        <f>H105*G105</f>
        <v/>
      </c>
      <c r="N105" t="n">
        <v>4</v>
      </c>
      <c r="O105" t="inlineStr">
        <is>
          <t>G3-14</t>
        </is>
      </c>
      <c r="P105" s="7" t="n">
        <v>46622</v>
      </c>
      <c r="Q105">
        <f>P105-Inputs!$B$4</f>
        <v/>
      </c>
      <c r="R105">
        <f>IF(Q105&lt;0,"expired",IF(Q105&lt;=30,"&lt;=30d",IF(Q105&lt;=90,"31-90d",IF(Q105&lt;=180,"91-180d","&gt;180d"))))</f>
        <v/>
      </c>
      <c r="S105" t="n">
        <v>5</v>
      </c>
    </row>
    <row r="106">
      <c r="A106" t="inlineStr">
        <is>
          <t>SS-01105</t>
        </is>
      </c>
      <c r="B106" t="inlineStr">
        <is>
          <t>advanced wound dressing 130</t>
        </is>
      </c>
      <c r="C106" t="inlineStr">
        <is>
          <t>wound</t>
        </is>
      </c>
      <c r="D106" t="inlineStr">
        <is>
          <t>HarborMed Logistics</t>
        </is>
      </c>
      <c r="E106" t="inlineStr">
        <is>
          <t>HOSP-1</t>
        </is>
      </c>
      <c r="F106" t="inlineStr">
        <is>
          <t>LOT-07105</t>
        </is>
      </c>
      <c r="G106" t="n">
        <v>5.01</v>
      </c>
      <c r="H106" t="n">
        <v>48</v>
      </c>
      <c r="I106" t="n">
        <v>0</v>
      </c>
      <c r="J106" t="inlineStr">
        <is>
          <t>clear</t>
        </is>
      </c>
      <c r="K106">
        <f>IF(J106="recalled",0,MAX(0,H106-I106))</f>
        <v/>
      </c>
      <c r="L106">
        <f>K106*G106</f>
        <v/>
      </c>
      <c r="M106">
        <f>H106*G106</f>
        <v/>
      </c>
      <c r="N106" t="n">
        <v>2</v>
      </c>
      <c r="O106" t="inlineStr">
        <is>
          <t>C1-13</t>
        </is>
      </c>
      <c r="P106" s="7" t="n">
        <v>46654</v>
      </c>
      <c r="Q106">
        <f>P106-Inputs!$B$4</f>
        <v/>
      </c>
      <c r="R106">
        <f>IF(Q106&lt;0,"expired",IF(Q106&lt;=30,"&lt;=30d",IF(Q106&lt;=90,"31-90d",IF(Q106&lt;=180,"91-180d","&gt;180d"))))</f>
        <v/>
      </c>
      <c r="S106" t="n">
        <v>5</v>
      </c>
    </row>
    <row r="107">
      <c r="A107" t="inlineStr">
        <is>
          <t>SS-01106</t>
        </is>
      </c>
      <c r="B107" t="inlineStr">
        <is>
          <t>vascular access kit 131</t>
        </is>
      </c>
      <c r="C107" t="inlineStr">
        <is>
          <t>vascular</t>
        </is>
      </c>
      <c r="D107" t="inlineStr">
        <is>
          <t>Northstar Surgical</t>
        </is>
      </c>
      <c r="E107" t="inlineStr">
        <is>
          <t>HOSP-2</t>
        </is>
      </c>
      <c r="F107" t="inlineStr">
        <is>
          <t>LOT-07106</t>
        </is>
      </c>
      <c r="G107" t="n">
        <v>6.35</v>
      </c>
      <c r="H107" t="n">
        <v>11</v>
      </c>
      <c r="I107" t="n">
        <v>0</v>
      </c>
      <c r="J107" t="inlineStr">
        <is>
          <t>clear</t>
        </is>
      </c>
      <c r="K107">
        <f>IF(J107="recalled",0,MAX(0,H107-I107))</f>
        <v/>
      </c>
      <c r="L107">
        <f>K107*G107</f>
        <v/>
      </c>
      <c r="M107">
        <f>H107*G107</f>
        <v/>
      </c>
      <c r="N107" t="n">
        <v>4</v>
      </c>
      <c r="O107" t="inlineStr">
        <is>
          <t>D3-06</t>
        </is>
      </c>
      <c r="P107" s="7" t="n">
        <v>46685</v>
      </c>
      <c r="Q107">
        <f>P107-Inputs!$B$4</f>
        <v/>
      </c>
      <c r="R107">
        <f>IF(Q107&lt;0,"expired",IF(Q107&lt;=30,"&lt;=30d",IF(Q107&lt;=90,"31-90d",IF(Q107&lt;=180,"91-180d","&gt;180d"))))</f>
        <v/>
      </c>
      <c r="S107" t="n">
        <v>5</v>
      </c>
    </row>
    <row r="108">
      <c r="A108" t="inlineStr">
        <is>
          <t>SS-01107</t>
        </is>
      </c>
      <c r="B108" t="inlineStr">
        <is>
          <t>respiratory circuit 132</t>
        </is>
      </c>
      <c r="C108" t="inlineStr">
        <is>
          <t>respiratory</t>
        </is>
      </c>
      <c r="D108" t="inlineStr">
        <is>
          <t>MedAxis Distribution</t>
        </is>
      </c>
      <c r="E108" t="inlineStr">
        <is>
          <t>HOSP-3</t>
        </is>
      </c>
      <c r="F108" t="inlineStr">
        <is>
          <t>LOT-07107</t>
        </is>
      </c>
      <c r="G108" t="n">
        <v>28.89</v>
      </c>
      <c r="H108" t="n">
        <v>29</v>
      </c>
      <c r="I108" t="n">
        <v>0</v>
      </c>
      <c r="J108" t="inlineStr">
        <is>
          <t>clear</t>
        </is>
      </c>
      <c r="K108">
        <f>IF(J108="recalled",0,MAX(0,H108-I108))</f>
        <v/>
      </c>
      <c r="L108">
        <f>K108*G108</f>
        <v/>
      </c>
      <c r="M108">
        <f>H108*G108</f>
        <v/>
      </c>
      <c r="N108" t="n">
        <v>6</v>
      </c>
      <c r="O108" t="inlineStr">
        <is>
          <t>D11-07</t>
        </is>
      </c>
      <c r="P108" s="7" t="n">
        <v>46717</v>
      </c>
      <c r="Q108">
        <f>P108-Inputs!$B$4</f>
        <v/>
      </c>
      <c r="R108">
        <f>IF(Q108&lt;0,"expired",IF(Q108&lt;=30,"&lt;=30d",IF(Q108&lt;=90,"31-90d",IF(Q108&lt;=180,"91-180d","&gt;180d"))))</f>
        <v/>
      </c>
      <c r="S108" t="n">
        <v>5</v>
      </c>
    </row>
    <row r="109">
      <c r="A109" t="inlineStr">
        <is>
          <t>SS-01108</t>
        </is>
      </c>
      <c r="B109" t="inlineStr">
        <is>
          <t>sterile surgical pack 133</t>
        </is>
      </c>
      <c r="C109" t="inlineStr">
        <is>
          <t>surgical</t>
        </is>
      </c>
      <c r="D109" t="inlineStr">
        <is>
          <t>SterilePath Medical</t>
        </is>
      </c>
      <c r="E109" t="inlineStr">
        <is>
          <t>HOSP-4</t>
        </is>
      </c>
      <c r="F109" t="inlineStr">
        <is>
          <t>LOT-07108</t>
        </is>
      </c>
      <c r="G109" t="n">
        <v>27.42</v>
      </c>
      <c r="H109" t="n">
        <v>2</v>
      </c>
      <c r="I109" t="n">
        <v>0</v>
      </c>
      <c r="J109" t="inlineStr">
        <is>
          <t>clear</t>
        </is>
      </c>
      <c r="K109">
        <f>IF(J109="recalled",0,MAX(0,H109-I109))</f>
        <v/>
      </c>
      <c r="L109">
        <f>K109*G109</f>
        <v/>
      </c>
      <c r="M109">
        <f>H109*G109</f>
        <v/>
      </c>
      <c r="N109" t="n">
        <v>3</v>
      </c>
      <c r="O109" t="inlineStr">
        <is>
          <t>D5-17</t>
        </is>
      </c>
      <c r="P109" s="7" t="n">
        <v>46748</v>
      </c>
      <c r="Q109">
        <f>P109-Inputs!$B$4</f>
        <v/>
      </c>
      <c r="R109">
        <f>IF(Q109&lt;0,"expired",IF(Q109&lt;=30,"&lt;=30d",IF(Q109&lt;=90,"31-90d",IF(Q109&lt;=180,"91-180d","&gt;180d"))))</f>
        <v/>
      </c>
      <c r="S109" t="n">
        <v>5</v>
      </c>
    </row>
    <row r="110">
      <c r="A110" t="inlineStr">
        <is>
          <t>SS-01109</t>
        </is>
      </c>
      <c r="B110" t="inlineStr">
        <is>
          <t>diagnostic collection set 134</t>
        </is>
      </c>
      <c r="C110" t="inlineStr">
        <is>
          <t>diagnostic</t>
        </is>
      </c>
      <c r="D110" t="inlineStr">
        <is>
          <t>Aegis Clinical Supply</t>
        </is>
      </c>
      <c r="E110" t="inlineStr">
        <is>
          <t>HOSP-1</t>
        </is>
      </c>
      <c r="F110" t="inlineStr">
        <is>
          <t>LOT-07109</t>
        </is>
      </c>
      <c r="G110" t="n">
        <v>2.56</v>
      </c>
      <c r="H110" t="n">
        <v>1</v>
      </c>
      <c r="I110" t="n">
        <v>0</v>
      </c>
      <c r="J110" t="inlineStr">
        <is>
          <t>clear</t>
        </is>
      </c>
      <c r="K110">
        <f>IF(J110="recalled",0,MAX(0,H110-I110))</f>
        <v/>
      </c>
      <c r="L110">
        <f>K110*G110</f>
        <v/>
      </c>
      <c r="M110">
        <f>H110*G110</f>
        <v/>
      </c>
      <c r="N110" t="n">
        <v>5</v>
      </c>
      <c r="O110" t="inlineStr">
        <is>
          <t>E4-08</t>
        </is>
      </c>
      <c r="P110" s="7" t="n">
        <v>46388</v>
      </c>
      <c r="Q110">
        <f>P110-Inputs!$B$4</f>
        <v/>
      </c>
      <c r="R110">
        <f>IF(Q110&lt;0,"expired",IF(Q110&lt;=30,"&lt;=30d",IF(Q110&lt;=90,"31-90d",IF(Q110&lt;=180,"91-180d","&gt;180d"))))</f>
        <v/>
      </c>
      <c r="S110" t="n">
        <v>5</v>
      </c>
    </row>
    <row r="111">
      <c r="A111" t="inlineStr">
        <is>
          <t>SS-01110</t>
        </is>
      </c>
      <c r="B111" t="inlineStr">
        <is>
          <t>advanced wound dressing 135</t>
        </is>
      </c>
      <c r="C111" t="inlineStr">
        <is>
          <t>wound</t>
        </is>
      </c>
      <c r="D111" t="inlineStr">
        <is>
          <t>HarborMed Logistics</t>
        </is>
      </c>
      <c r="E111" t="inlineStr">
        <is>
          <t>HOSP-2</t>
        </is>
      </c>
      <c r="F111" t="inlineStr">
        <is>
          <t>LOT-07110</t>
        </is>
      </c>
      <c r="G111" t="n">
        <v>5.69</v>
      </c>
      <c r="H111" t="n">
        <v>3</v>
      </c>
      <c r="I111" t="n">
        <v>0</v>
      </c>
      <c r="J111" t="inlineStr">
        <is>
          <t>clear</t>
        </is>
      </c>
      <c r="K111">
        <f>IF(J111="recalled",0,MAX(0,H111-I111))</f>
        <v/>
      </c>
      <c r="L111">
        <f>K111*G111</f>
        <v/>
      </c>
      <c r="M111">
        <f>H111*G111</f>
        <v/>
      </c>
      <c r="N111" t="n">
        <v>11</v>
      </c>
      <c r="O111" t="inlineStr">
        <is>
          <t>F3-01</t>
        </is>
      </c>
      <c r="P111" s="7" t="n">
        <v>46420</v>
      </c>
      <c r="Q111">
        <f>P111-Inputs!$B$4</f>
        <v/>
      </c>
      <c r="R111">
        <f>IF(Q111&lt;0,"expired",IF(Q111&lt;=30,"&lt;=30d",IF(Q111&lt;=90,"31-90d",IF(Q111&lt;=180,"91-180d","&gt;180d"))))</f>
        <v/>
      </c>
      <c r="S111" t="n">
        <v>5</v>
      </c>
    </row>
    <row r="112">
      <c r="A112" t="inlineStr">
        <is>
          <t>SS-01111</t>
        </is>
      </c>
      <c r="B112" t="inlineStr">
        <is>
          <t>vascular access kit 136</t>
        </is>
      </c>
      <c r="C112" t="inlineStr">
        <is>
          <t>vascular</t>
        </is>
      </c>
      <c r="D112" t="inlineStr">
        <is>
          <t>Northstar Surgical</t>
        </is>
      </c>
      <c r="E112" t="inlineStr">
        <is>
          <t>HOSP-3</t>
        </is>
      </c>
      <c r="F112" t="inlineStr">
        <is>
          <t>LOT-07111</t>
        </is>
      </c>
      <c r="G112" t="n">
        <v>9.880000000000001</v>
      </c>
      <c r="H112" t="n">
        <v>1</v>
      </c>
      <c r="I112" t="n">
        <v>1</v>
      </c>
      <c r="J112" t="inlineStr">
        <is>
          <t>clear</t>
        </is>
      </c>
      <c r="K112">
        <f>IF(J112="recalled",0,MAX(0,H112-I112))</f>
        <v/>
      </c>
      <c r="L112">
        <f>K112*G112</f>
        <v/>
      </c>
      <c r="M112">
        <f>H112*G112</f>
        <v/>
      </c>
      <c r="N112" t="n">
        <v>13</v>
      </c>
      <c r="O112" t="inlineStr">
        <is>
          <t>E6-13</t>
        </is>
      </c>
      <c r="P112" s="7" t="n">
        <v>46449</v>
      </c>
      <c r="Q112">
        <f>P112-Inputs!$B$4</f>
        <v/>
      </c>
      <c r="R112">
        <f>IF(Q112&lt;0,"expired",IF(Q112&lt;=30,"&lt;=30d",IF(Q112&lt;=90,"31-90d",IF(Q112&lt;=180,"91-180d","&gt;180d"))))</f>
        <v/>
      </c>
      <c r="S112" t="n">
        <v>5</v>
      </c>
    </row>
    <row r="113">
      <c r="A113" t="inlineStr">
        <is>
          <t>SS-01112</t>
        </is>
      </c>
      <c r="B113" t="inlineStr">
        <is>
          <t>respiratory circuit 100</t>
        </is>
      </c>
      <c r="C113" t="inlineStr">
        <is>
          <t>respiratory</t>
        </is>
      </c>
      <c r="D113" t="inlineStr">
        <is>
          <t>MedAxis Distribution</t>
        </is>
      </c>
      <c r="E113" t="inlineStr">
        <is>
          <t>HOSP-4</t>
        </is>
      </c>
      <c r="F113" t="inlineStr">
        <is>
          <t>LOT-07112</t>
        </is>
      </c>
      <c r="G113" t="n">
        <v>25.97</v>
      </c>
      <c r="H113" t="n">
        <v>29</v>
      </c>
      <c r="I113" t="n">
        <v>0</v>
      </c>
      <c r="J113" t="inlineStr">
        <is>
          <t>clear</t>
        </is>
      </c>
      <c r="K113">
        <f>IF(J113="recalled",0,MAX(0,H113-I113))</f>
        <v/>
      </c>
      <c r="L113">
        <f>K113*G113</f>
        <v/>
      </c>
      <c r="M113">
        <f>H113*G113</f>
        <v/>
      </c>
      <c r="N113" t="n">
        <v>2</v>
      </c>
      <c r="O113" t="inlineStr">
        <is>
          <t>A6-19</t>
        </is>
      </c>
      <c r="P113" s="7" t="n">
        <v>46481</v>
      </c>
      <c r="Q113">
        <f>P113-Inputs!$B$4</f>
        <v/>
      </c>
      <c r="R113">
        <f>IF(Q113&lt;0,"expired",IF(Q113&lt;=30,"&lt;=30d",IF(Q113&lt;=90,"31-90d",IF(Q113&lt;=180,"91-180d","&gt;180d"))))</f>
        <v/>
      </c>
      <c r="S113" t="n">
        <v>5</v>
      </c>
    </row>
    <row r="114">
      <c r="A114" t="inlineStr">
        <is>
          <t>SS-01113</t>
        </is>
      </c>
      <c r="B114" t="inlineStr">
        <is>
          <t>sterile surgical pack 101</t>
        </is>
      </c>
      <c r="C114" t="inlineStr">
        <is>
          <t>surgical</t>
        </is>
      </c>
      <c r="D114" t="inlineStr">
        <is>
          <t>SterilePath Medical</t>
        </is>
      </c>
      <c r="E114" t="inlineStr">
        <is>
          <t>HOSP-1</t>
        </is>
      </c>
      <c r="F114" t="inlineStr">
        <is>
          <t>LOT-07113</t>
        </is>
      </c>
      <c r="G114" t="n">
        <v>14.95</v>
      </c>
      <c r="H114" t="n">
        <v>11</v>
      </c>
      <c r="I114" t="n">
        <v>0</v>
      </c>
      <c r="J114" t="inlineStr">
        <is>
          <t>clear</t>
        </is>
      </c>
      <c r="K114">
        <f>IF(J114="recalled",0,MAX(0,H114-I114))</f>
        <v/>
      </c>
      <c r="L114">
        <f>K114*G114</f>
        <v/>
      </c>
      <c r="M114">
        <f>H114*G114</f>
        <v/>
      </c>
      <c r="N114" t="n">
        <v>7</v>
      </c>
      <c r="O114" t="inlineStr">
        <is>
          <t>D10-06</t>
        </is>
      </c>
      <c r="P114" s="7" t="n">
        <v>46512</v>
      </c>
      <c r="Q114">
        <f>P114-Inputs!$B$4</f>
        <v/>
      </c>
      <c r="R114">
        <f>IF(Q114&lt;0,"expired",IF(Q114&lt;=30,"&lt;=30d",IF(Q114&lt;=90,"31-90d",IF(Q114&lt;=180,"91-180d","&gt;180d"))))</f>
        <v/>
      </c>
      <c r="S114" t="n">
        <v>5</v>
      </c>
    </row>
    <row r="115">
      <c r="A115" t="inlineStr">
        <is>
          <t>SS-01114</t>
        </is>
      </c>
      <c r="B115" t="inlineStr">
        <is>
          <t>diagnostic collection set 102</t>
        </is>
      </c>
      <c r="C115" t="inlineStr">
        <is>
          <t>diagnostic</t>
        </is>
      </c>
      <c r="D115" t="inlineStr">
        <is>
          <t>Aegis Clinical Supply</t>
        </is>
      </c>
      <c r="E115" t="inlineStr">
        <is>
          <t>HOSP-2</t>
        </is>
      </c>
      <c r="F115" t="inlineStr">
        <is>
          <t>LOT-07114</t>
        </is>
      </c>
      <c r="G115" t="n">
        <v>14.64</v>
      </c>
      <c r="H115" t="n">
        <v>4</v>
      </c>
      <c r="I115" t="n">
        <v>0</v>
      </c>
      <c r="J115" t="inlineStr">
        <is>
          <t>clear</t>
        </is>
      </c>
      <c r="K115">
        <f>IF(J115="recalled",0,MAX(0,H115-I115))</f>
        <v/>
      </c>
      <c r="L115">
        <f>K115*G115</f>
        <v/>
      </c>
      <c r="M115">
        <f>H115*G115</f>
        <v/>
      </c>
      <c r="N115" t="n">
        <v>4</v>
      </c>
      <c r="O115" t="inlineStr">
        <is>
          <t>F3-22</t>
        </is>
      </c>
      <c r="P115" s="7" t="n">
        <v>46544</v>
      </c>
      <c r="Q115">
        <f>P115-Inputs!$B$4</f>
        <v/>
      </c>
      <c r="R115">
        <f>IF(Q115&lt;0,"expired",IF(Q115&lt;=30,"&lt;=30d",IF(Q115&lt;=90,"31-90d",IF(Q115&lt;=180,"91-180d","&gt;180d"))))</f>
        <v/>
      </c>
      <c r="S115" t="n">
        <v>5</v>
      </c>
    </row>
    <row r="116">
      <c r="A116" t="inlineStr">
        <is>
          <t>SS-01115</t>
        </is>
      </c>
      <c r="B116" t="inlineStr">
        <is>
          <t>advanced wound dressing 103</t>
        </is>
      </c>
      <c r="C116" t="inlineStr">
        <is>
          <t>wound</t>
        </is>
      </c>
      <c r="D116" t="inlineStr">
        <is>
          <t>HarborMed Logistics</t>
        </is>
      </c>
      <c r="E116" t="inlineStr">
        <is>
          <t>HOSP-3</t>
        </is>
      </c>
      <c r="F116" t="inlineStr">
        <is>
          <t>LOT-07115</t>
        </is>
      </c>
      <c r="G116" t="n">
        <v>17.69</v>
      </c>
      <c r="H116" t="n">
        <v>20</v>
      </c>
      <c r="I116" t="n">
        <v>0</v>
      </c>
      <c r="J116" t="inlineStr">
        <is>
          <t>clear</t>
        </is>
      </c>
      <c r="K116">
        <f>IF(J116="recalled",0,MAX(0,H116-I116))</f>
        <v/>
      </c>
      <c r="L116">
        <f>K116*G116</f>
        <v/>
      </c>
      <c r="M116">
        <f>H116*G116</f>
        <v/>
      </c>
      <c r="N116" t="n">
        <v>4</v>
      </c>
      <c r="O116" t="inlineStr">
        <is>
          <t>A3-22</t>
        </is>
      </c>
      <c r="P116" s="7" t="n">
        <v>46575</v>
      </c>
      <c r="Q116">
        <f>P116-Inputs!$B$4</f>
        <v/>
      </c>
      <c r="R116">
        <f>IF(Q116&lt;0,"expired",IF(Q116&lt;=30,"&lt;=30d",IF(Q116&lt;=90,"31-90d",IF(Q116&lt;=180,"91-180d","&gt;180d"))))</f>
        <v/>
      </c>
      <c r="S116" t="n">
        <v>5</v>
      </c>
    </row>
    <row r="117">
      <c r="A117" t="inlineStr">
        <is>
          <t>SS-01116</t>
        </is>
      </c>
      <c r="B117" t="inlineStr">
        <is>
          <t>vascular access kit 104</t>
        </is>
      </c>
      <c r="C117" t="inlineStr">
        <is>
          <t>vascular</t>
        </is>
      </c>
      <c r="D117" t="inlineStr">
        <is>
          <t>Northstar Surgical</t>
        </is>
      </c>
      <c r="E117" t="inlineStr">
        <is>
          <t>HOSP-4</t>
        </is>
      </c>
      <c r="F117" t="inlineStr">
        <is>
          <t>LOT-07116</t>
        </is>
      </c>
      <c r="G117" t="n">
        <v>35.05</v>
      </c>
      <c r="H117" t="n">
        <v>1</v>
      </c>
      <c r="I117" t="n">
        <v>0</v>
      </c>
      <c r="J117" t="inlineStr">
        <is>
          <t>clear</t>
        </is>
      </c>
      <c r="K117">
        <f>IF(J117="recalled",0,MAX(0,H117-I117))</f>
        <v/>
      </c>
      <c r="L117">
        <f>K117*G117</f>
        <v/>
      </c>
      <c r="M117">
        <f>H117*G117</f>
        <v/>
      </c>
      <c r="N117" t="n">
        <v>8</v>
      </c>
      <c r="O117" t="inlineStr">
        <is>
          <t>B3-13</t>
        </is>
      </c>
      <c r="P117" s="7" t="n">
        <v>46607</v>
      </c>
      <c r="Q117">
        <f>P117-Inputs!$B$4</f>
        <v/>
      </c>
      <c r="R117">
        <f>IF(Q117&lt;0,"expired",IF(Q117&lt;=30,"&lt;=30d",IF(Q117&lt;=90,"31-90d",IF(Q117&lt;=180,"91-180d","&gt;180d"))))</f>
        <v/>
      </c>
      <c r="S117" t="n">
        <v>5</v>
      </c>
    </row>
    <row r="118">
      <c r="A118" t="inlineStr">
        <is>
          <t>SS-01117</t>
        </is>
      </c>
      <c r="B118" t="inlineStr">
        <is>
          <t>respiratory circuit 105</t>
        </is>
      </c>
      <c r="C118" t="inlineStr">
        <is>
          <t>respiratory</t>
        </is>
      </c>
      <c r="D118" t="inlineStr">
        <is>
          <t>MedAxis Distribution</t>
        </is>
      </c>
      <c r="E118" t="inlineStr">
        <is>
          <t>HOSP-1</t>
        </is>
      </c>
      <c r="F118" t="inlineStr">
        <is>
          <t>LOT-07117</t>
        </is>
      </c>
      <c r="G118" t="n">
        <v>6.55</v>
      </c>
      <c r="H118" t="n">
        <v>36</v>
      </c>
      <c r="I118" t="n">
        <v>0</v>
      </c>
      <c r="J118" t="inlineStr">
        <is>
          <t>clear</t>
        </is>
      </c>
      <c r="K118">
        <f>IF(J118="recalled",0,MAX(0,H118-I118))</f>
        <v/>
      </c>
      <c r="L118">
        <f>K118*G118</f>
        <v/>
      </c>
      <c r="M118">
        <f>H118*G118</f>
        <v/>
      </c>
      <c r="N118" t="n">
        <v>10</v>
      </c>
      <c r="O118" t="inlineStr">
        <is>
          <t>F7-17</t>
        </is>
      </c>
      <c r="P118" s="7" t="n">
        <v>46639</v>
      </c>
      <c r="Q118">
        <f>P118-Inputs!$B$4</f>
        <v/>
      </c>
      <c r="R118">
        <f>IF(Q118&lt;0,"expired",IF(Q118&lt;=30,"&lt;=30d",IF(Q118&lt;=90,"31-90d",IF(Q118&lt;=180,"91-180d","&gt;180d"))))</f>
        <v/>
      </c>
      <c r="S118" t="n">
        <v>5</v>
      </c>
    </row>
    <row r="119">
      <c r="A119" t="inlineStr">
        <is>
          <t>SS-01118</t>
        </is>
      </c>
      <c r="B119" t="inlineStr">
        <is>
          <t>sterile surgical pack 106</t>
        </is>
      </c>
      <c r="C119" t="inlineStr">
        <is>
          <t>surgical</t>
        </is>
      </c>
      <c r="D119" t="inlineStr">
        <is>
          <t>SterilePath Medical</t>
        </is>
      </c>
      <c r="E119" t="inlineStr">
        <is>
          <t>HOSP-2</t>
        </is>
      </c>
      <c r="F119" t="inlineStr">
        <is>
          <t>LOT-07118</t>
        </is>
      </c>
      <c r="G119" t="n">
        <v>6.64</v>
      </c>
      <c r="H119" t="n">
        <v>1</v>
      </c>
      <c r="I119" t="n">
        <v>0</v>
      </c>
      <c r="J119" t="inlineStr">
        <is>
          <t>clear</t>
        </is>
      </c>
      <c r="K119">
        <f>IF(J119="recalled",0,MAX(0,H119-I119))</f>
        <v/>
      </c>
      <c r="L119">
        <f>K119*G119</f>
        <v/>
      </c>
      <c r="M119">
        <f>H119*G119</f>
        <v/>
      </c>
      <c r="N119" t="n">
        <v>4</v>
      </c>
      <c r="O119" t="inlineStr">
        <is>
          <t>A6-07</t>
        </is>
      </c>
      <c r="P119" s="7" t="n">
        <v>46670</v>
      </c>
      <c r="Q119">
        <f>P119-Inputs!$B$4</f>
        <v/>
      </c>
      <c r="R119">
        <f>IF(Q119&lt;0,"expired",IF(Q119&lt;=30,"&lt;=30d",IF(Q119&lt;=90,"31-90d",IF(Q119&lt;=180,"91-180d","&gt;180d"))))</f>
        <v/>
      </c>
      <c r="S119" t="n">
        <v>5</v>
      </c>
    </row>
    <row r="120">
      <c r="A120" t="inlineStr">
        <is>
          <t>SS-01119</t>
        </is>
      </c>
      <c r="B120" t="inlineStr">
        <is>
          <t>diagnostic collection set 107</t>
        </is>
      </c>
      <c r="C120" t="inlineStr">
        <is>
          <t>diagnostic</t>
        </is>
      </c>
      <c r="D120" t="inlineStr">
        <is>
          <t>Aegis Clinical Supply</t>
        </is>
      </c>
      <c r="E120" t="inlineStr">
        <is>
          <t>HOSP-3</t>
        </is>
      </c>
      <c r="F120" t="inlineStr">
        <is>
          <t>LOT-07119</t>
        </is>
      </c>
      <c r="G120" t="n">
        <v>17.84</v>
      </c>
      <c r="H120" t="n">
        <v>3</v>
      </c>
      <c r="I120" t="n">
        <v>0</v>
      </c>
      <c r="J120" t="inlineStr">
        <is>
          <t>clear</t>
        </is>
      </c>
      <c r="K120">
        <f>IF(J120="recalled",0,MAX(0,H120-I120))</f>
        <v/>
      </c>
      <c r="L120">
        <f>K120*G120</f>
        <v/>
      </c>
      <c r="M120">
        <f>H120*G120</f>
        <v/>
      </c>
      <c r="N120" t="n">
        <v>5</v>
      </c>
      <c r="O120" t="inlineStr">
        <is>
          <t>C3-08</t>
        </is>
      </c>
      <c r="P120" s="7" t="n">
        <v>46702</v>
      </c>
      <c r="Q120">
        <f>P120-Inputs!$B$4</f>
        <v/>
      </c>
      <c r="R120">
        <f>IF(Q120&lt;0,"expired",IF(Q120&lt;=30,"&lt;=30d",IF(Q120&lt;=90,"31-90d",IF(Q120&lt;=180,"91-180d","&gt;180d"))))</f>
        <v/>
      </c>
      <c r="S120" t="n">
        <v>5</v>
      </c>
    </row>
    <row r="121">
      <c r="A121" t="inlineStr">
        <is>
          <t>SS-01120</t>
        </is>
      </c>
      <c r="B121" t="inlineStr">
        <is>
          <t>advanced wound dressing 108</t>
        </is>
      </c>
      <c r="C121" t="inlineStr">
        <is>
          <t>wound</t>
        </is>
      </c>
      <c r="D121" t="inlineStr">
        <is>
          <t>HarborMed Logistics</t>
        </is>
      </c>
      <c r="E121" t="inlineStr">
        <is>
          <t>HOSP-4</t>
        </is>
      </c>
      <c r="F121" t="inlineStr">
        <is>
          <t>LOT-07120</t>
        </is>
      </c>
      <c r="G121" t="n">
        <v>13.7</v>
      </c>
      <c r="H121" t="n">
        <v>10</v>
      </c>
      <c r="I121" t="n">
        <v>0</v>
      </c>
      <c r="J121" t="inlineStr">
        <is>
          <t>clear</t>
        </is>
      </c>
      <c r="K121">
        <f>IF(J121="recalled",0,MAX(0,H121-I121))</f>
        <v/>
      </c>
      <c r="L121">
        <f>K121*G121</f>
        <v/>
      </c>
      <c r="M121">
        <f>H121*G121</f>
        <v/>
      </c>
      <c r="N121" t="n">
        <v>6</v>
      </c>
      <c r="O121" t="inlineStr">
        <is>
          <t>C4-10</t>
        </is>
      </c>
      <c r="P121" s="7" t="n">
        <v>46733</v>
      </c>
      <c r="Q121">
        <f>P121-Inputs!$B$4</f>
        <v/>
      </c>
      <c r="R121">
        <f>IF(Q121&lt;0,"expired",IF(Q121&lt;=30,"&lt;=30d",IF(Q121&lt;=90,"31-90d",IF(Q121&lt;=180,"91-180d","&gt;180d"))))</f>
        <v/>
      </c>
      <c r="S121" t="n">
        <v>5</v>
      </c>
    </row>
    <row r="122">
      <c r="A122" t="inlineStr">
        <is>
          <t>SS-01121</t>
        </is>
      </c>
      <c r="B122" t="inlineStr">
        <is>
          <t>vascular access kit 109</t>
        </is>
      </c>
      <c r="C122" t="inlineStr">
        <is>
          <t>vascular</t>
        </is>
      </c>
      <c r="D122" t="inlineStr">
        <is>
          <t>Northstar Surgical</t>
        </is>
      </c>
      <c r="E122" t="inlineStr">
        <is>
          <t>HOSP-1</t>
        </is>
      </c>
      <c r="F122" t="inlineStr">
        <is>
          <t>LOT-07121</t>
        </is>
      </c>
      <c r="G122" t="n">
        <v>8.380000000000001</v>
      </c>
      <c r="H122" t="n">
        <v>33</v>
      </c>
      <c r="I122" t="n">
        <v>0</v>
      </c>
      <c r="J122" t="inlineStr">
        <is>
          <t>clear</t>
        </is>
      </c>
      <c r="K122">
        <f>IF(J122="recalled",0,MAX(0,H122-I122))</f>
        <v/>
      </c>
      <c r="L122">
        <f>K122*G122</f>
        <v/>
      </c>
      <c r="M122">
        <f>H122*G122</f>
        <v/>
      </c>
      <c r="N122" t="n">
        <v>6</v>
      </c>
      <c r="O122" t="inlineStr">
        <is>
          <t>D3-11</t>
        </is>
      </c>
      <c r="P122" s="7" t="n">
        <v>46400</v>
      </c>
      <c r="Q122">
        <f>P122-Inputs!$B$4</f>
        <v/>
      </c>
      <c r="R122">
        <f>IF(Q122&lt;0,"expired",IF(Q122&lt;=30,"&lt;=30d",IF(Q122&lt;=90,"31-90d",IF(Q122&lt;=180,"91-180d","&gt;180d"))))</f>
        <v/>
      </c>
      <c r="S122" t="n">
        <v>5</v>
      </c>
    </row>
    <row r="123">
      <c r="A123" t="inlineStr">
        <is>
          <t>SS-01122</t>
        </is>
      </c>
      <c r="B123" t="inlineStr">
        <is>
          <t>respiratory circuit 110</t>
        </is>
      </c>
      <c r="C123" t="inlineStr">
        <is>
          <t>respiratory</t>
        </is>
      </c>
      <c r="D123" t="inlineStr">
        <is>
          <t>MedAxis Distribution</t>
        </is>
      </c>
      <c r="E123" t="inlineStr">
        <is>
          <t>HOSP-2</t>
        </is>
      </c>
      <c r="F123" t="inlineStr">
        <is>
          <t>LOT-07122</t>
        </is>
      </c>
      <c r="G123" t="n">
        <v>55.51</v>
      </c>
      <c r="H123" t="n">
        <v>24</v>
      </c>
      <c r="I123" t="n">
        <v>2</v>
      </c>
      <c r="J123" t="inlineStr">
        <is>
          <t>clear</t>
        </is>
      </c>
      <c r="K123">
        <f>IF(J123="recalled",0,MAX(0,H123-I123))</f>
        <v/>
      </c>
      <c r="L123">
        <f>K123*G123</f>
        <v/>
      </c>
      <c r="M123">
        <f>H123*G123</f>
        <v/>
      </c>
      <c r="N123" t="n">
        <v>6</v>
      </c>
      <c r="O123" t="inlineStr">
        <is>
          <t>H5-07</t>
        </is>
      </c>
      <c r="P123" s="7" t="n">
        <v>46432</v>
      </c>
      <c r="Q123">
        <f>P123-Inputs!$B$4</f>
        <v/>
      </c>
      <c r="R123">
        <f>IF(Q123&lt;0,"expired",IF(Q123&lt;=30,"&lt;=30d",IF(Q123&lt;=90,"31-90d",IF(Q123&lt;=180,"91-180d","&gt;180d"))))</f>
        <v/>
      </c>
      <c r="S123" t="n">
        <v>5</v>
      </c>
    </row>
    <row r="124">
      <c r="A124" t="inlineStr">
        <is>
          <t>SS-01123</t>
        </is>
      </c>
      <c r="B124" t="inlineStr">
        <is>
          <t>sterile surgical pack 111</t>
        </is>
      </c>
      <c r="C124" t="inlineStr">
        <is>
          <t>surgical</t>
        </is>
      </c>
      <c r="D124" t="inlineStr">
        <is>
          <t>SterilePath Medical</t>
        </is>
      </c>
      <c r="E124" t="inlineStr">
        <is>
          <t>HOSP-3</t>
        </is>
      </c>
      <c r="F124" t="inlineStr">
        <is>
          <t>LOT-07123</t>
        </is>
      </c>
      <c r="G124" t="n">
        <v>11.68</v>
      </c>
      <c r="H124" t="n">
        <v>5</v>
      </c>
      <c r="I124" t="n">
        <v>0</v>
      </c>
      <c r="J124" t="inlineStr">
        <is>
          <t>clear</t>
        </is>
      </c>
      <c r="K124">
        <f>IF(J124="recalled",0,MAX(0,H124-I124))</f>
        <v/>
      </c>
      <c r="L124">
        <f>K124*G124</f>
        <v/>
      </c>
      <c r="M124">
        <f>H124*G124</f>
        <v/>
      </c>
      <c r="N124" t="n">
        <v>9</v>
      </c>
      <c r="O124" t="inlineStr">
        <is>
          <t>E1-18</t>
        </is>
      </c>
      <c r="P124" s="7" t="n">
        <v>46461</v>
      </c>
      <c r="Q124">
        <f>P124-Inputs!$B$4</f>
        <v/>
      </c>
      <c r="R124">
        <f>IF(Q124&lt;0,"expired",IF(Q124&lt;=30,"&lt;=30d",IF(Q124&lt;=90,"31-90d",IF(Q124&lt;=180,"91-180d","&gt;180d"))))</f>
        <v/>
      </c>
      <c r="S124" t="n">
        <v>5</v>
      </c>
    </row>
    <row r="125">
      <c r="A125" t="inlineStr">
        <is>
          <t>SS-01124</t>
        </is>
      </c>
      <c r="B125" t="inlineStr">
        <is>
          <t>diagnostic collection set 112</t>
        </is>
      </c>
      <c r="C125" t="inlineStr">
        <is>
          <t>diagnostic</t>
        </is>
      </c>
      <c r="D125" t="inlineStr">
        <is>
          <t>Aegis Clinical Supply</t>
        </is>
      </c>
      <c r="E125" t="inlineStr">
        <is>
          <t>HOSP-4</t>
        </is>
      </c>
      <c r="F125" t="inlineStr">
        <is>
          <t>LOT-07124</t>
        </is>
      </c>
      <c r="G125" t="n">
        <v>20.52</v>
      </c>
      <c r="H125" t="n">
        <v>4</v>
      </c>
      <c r="I125" t="n">
        <v>0</v>
      </c>
      <c r="J125" t="inlineStr">
        <is>
          <t>clear</t>
        </is>
      </c>
      <c r="K125">
        <f>IF(J125="recalled",0,MAX(0,H125-I125))</f>
        <v/>
      </c>
      <c r="L125">
        <f>K125*G125</f>
        <v/>
      </c>
      <c r="M125">
        <f>H125*G125</f>
        <v/>
      </c>
      <c r="N125" t="n">
        <v>5</v>
      </c>
      <c r="O125" t="inlineStr">
        <is>
          <t>A2-02</t>
        </is>
      </c>
      <c r="P125" s="7" t="n">
        <v>46493</v>
      </c>
      <c r="Q125">
        <f>P125-Inputs!$B$4</f>
        <v/>
      </c>
      <c r="R125">
        <f>IF(Q125&lt;0,"expired",IF(Q125&lt;=30,"&lt;=30d",IF(Q125&lt;=90,"31-90d",IF(Q125&lt;=180,"91-180d","&gt;180d"))))</f>
        <v/>
      </c>
      <c r="S125" t="n">
        <v>5</v>
      </c>
    </row>
    <row r="126">
      <c r="A126" t="inlineStr">
        <is>
          <t>SS-01125</t>
        </is>
      </c>
      <c r="B126" t="inlineStr">
        <is>
          <t>advanced wound dressing 113</t>
        </is>
      </c>
      <c r="C126" t="inlineStr">
        <is>
          <t>wound</t>
        </is>
      </c>
      <c r="D126" t="inlineStr">
        <is>
          <t>HarborMed Logistics</t>
        </is>
      </c>
      <c r="E126" t="inlineStr">
        <is>
          <t>HOSP-1</t>
        </is>
      </c>
      <c r="F126" t="inlineStr">
        <is>
          <t>LOT-07125</t>
        </is>
      </c>
      <c r="G126" t="n">
        <v>20.2</v>
      </c>
      <c r="H126" t="n">
        <v>1</v>
      </c>
      <c r="I126" t="n">
        <v>0</v>
      </c>
      <c r="J126" t="inlineStr">
        <is>
          <t>clear</t>
        </is>
      </c>
      <c r="K126">
        <f>IF(J126="recalled",0,MAX(0,H126-I126))</f>
        <v/>
      </c>
      <c r="L126">
        <f>K126*G126</f>
        <v/>
      </c>
      <c r="M126">
        <f>H126*G126</f>
        <v/>
      </c>
      <c r="N126" t="n">
        <v>3</v>
      </c>
      <c r="O126" t="inlineStr">
        <is>
          <t>C11-14</t>
        </is>
      </c>
      <c r="P126" s="7" t="n">
        <v>46524</v>
      </c>
      <c r="Q126">
        <f>P126-Inputs!$B$4</f>
        <v/>
      </c>
      <c r="R126">
        <f>IF(Q126&lt;0,"expired",IF(Q126&lt;=30,"&lt;=30d",IF(Q126&lt;=90,"31-90d",IF(Q126&lt;=180,"91-180d","&gt;180d"))))</f>
        <v/>
      </c>
      <c r="S126" t="n">
        <v>5</v>
      </c>
    </row>
    <row r="127">
      <c r="A127" t="inlineStr">
        <is>
          <t>SS-01126</t>
        </is>
      </c>
      <c r="B127" t="inlineStr">
        <is>
          <t>vascular access kit 114</t>
        </is>
      </c>
      <c r="C127" t="inlineStr">
        <is>
          <t>vascular</t>
        </is>
      </c>
      <c r="D127" t="inlineStr">
        <is>
          <t>Northstar Surgical</t>
        </is>
      </c>
      <c r="E127" t="inlineStr">
        <is>
          <t>HOSP-2</t>
        </is>
      </c>
      <c r="F127" t="inlineStr">
        <is>
          <t>LOT-07126</t>
        </is>
      </c>
      <c r="G127" t="n">
        <v>12.8</v>
      </c>
      <c r="H127" t="n">
        <v>36</v>
      </c>
      <c r="I127" t="n">
        <v>0</v>
      </c>
      <c r="J127" t="inlineStr">
        <is>
          <t>clear</t>
        </is>
      </c>
      <c r="K127">
        <f>IF(J127="recalled",0,MAX(0,H127-I127))</f>
        <v/>
      </c>
      <c r="L127">
        <f>K127*G127</f>
        <v/>
      </c>
      <c r="M127">
        <f>H127*G127</f>
        <v/>
      </c>
      <c r="N127" t="n">
        <v>8</v>
      </c>
      <c r="O127" t="inlineStr">
        <is>
          <t>C4-20</t>
        </is>
      </c>
      <c r="P127" s="7" t="n">
        <v>46556</v>
      </c>
      <c r="Q127">
        <f>P127-Inputs!$B$4</f>
        <v/>
      </c>
      <c r="R127">
        <f>IF(Q127&lt;0,"expired",IF(Q127&lt;=30,"&lt;=30d",IF(Q127&lt;=90,"31-90d",IF(Q127&lt;=180,"91-180d","&gt;180d"))))</f>
        <v/>
      </c>
      <c r="S127" t="n">
        <v>5</v>
      </c>
    </row>
    <row r="128">
      <c r="A128" t="inlineStr">
        <is>
          <t>SS-01127</t>
        </is>
      </c>
      <c r="B128" t="inlineStr">
        <is>
          <t>respiratory circuit 115</t>
        </is>
      </c>
      <c r="C128" t="inlineStr">
        <is>
          <t>respiratory</t>
        </is>
      </c>
      <c r="D128" t="inlineStr">
        <is>
          <t>MedAxis Distribution</t>
        </is>
      </c>
      <c r="E128" t="inlineStr">
        <is>
          <t>HOSP-3</t>
        </is>
      </c>
      <c r="F128" t="inlineStr">
        <is>
          <t>LOT-07127</t>
        </is>
      </c>
      <c r="G128" t="n">
        <v>18.14</v>
      </c>
      <c r="H128" t="n">
        <v>6</v>
      </c>
      <c r="I128" t="n">
        <v>0</v>
      </c>
      <c r="J128" t="inlineStr">
        <is>
          <t>clear</t>
        </is>
      </c>
      <c r="K128">
        <f>IF(J128="recalled",0,MAX(0,H128-I128))</f>
        <v/>
      </c>
      <c r="L128">
        <f>K128*G128</f>
        <v/>
      </c>
      <c r="M128">
        <f>H128*G128</f>
        <v/>
      </c>
      <c r="N128" t="n">
        <v>8</v>
      </c>
      <c r="O128" t="inlineStr">
        <is>
          <t>A7-04</t>
        </is>
      </c>
      <c r="P128" s="7" t="n">
        <v>46587</v>
      </c>
      <c r="Q128">
        <f>P128-Inputs!$B$4</f>
        <v/>
      </c>
      <c r="R128">
        <f>IF(Q128&lt;0,"expired",IF(Q128&lt;=30,"&lt;=30d",IF(Q128&lt;=90,"31-90d",IF(Q128&lt;=180,"91-180d","&gt;180d"))))</f>
        <v/>
      </c>
      <c r="S128" t="n">
        <v>5</v>
      </c>
    </row>
    <row r="129">
      <c r="A129" t="inlineStr">
        <is>
          <t>SS-01128</t>
        </is>
      </c>
      <c r="B129" t="inlineStr">
        <is>
          <t>sterile surgical pack 116</t>
        </is>
      </c>
      <c r="C129" t="inlineStr">
        <is>
          <t>surgical</t>
        </is>
      </c>
      <c r="D129" t="inlineStr">
        <is>
          <t>SterilePath Medical</t>
        </is>
      </c>
      <c r="E129" t="inlineStr">
        <is>
          <t>HOSP-4</t>
        </is>
      </c>
      <c r="F129" t="inlineStr">
        <is>
          <t>LOT-07128</t>
        </is>
      </c>
      <c r="G129" t="n">
        <v>13.97</v>
      </c>
      <c r="H129" t="n">
        <v>43</v>
      </c>
      <c r="I129" t="n">
        <v>0</v>
      </c>
      <c r="J129" t="inlineStr">
        <is>
          <t>clear</t>
        </is>
      </c>
      <c r="K129">
        <f>IF(J129="recalled",0,MAX(0,H129-I129))</f>
        <v/>
      </c>
      <c r="L129">
        <f>K129*G129</f>
        <v/>
      </c>
      <c r="M129">
        <f>H129*G129</f>
        <v/>
      </c>
      <c r="N129" t="n">
        <v>2</v>
      </c>
      <c r="O129" t="inlineStr">
        <is>
          <t>B5-02</t>
        </is>
      </c>
      <c r="P129" s="7" t="n">
        <v>46619</v>
      </c>
      <c r="Q129">
        <f>P129-Inputs!$B$4</f>
        <v/>
      </c>
      <c r="R129">
        <f>IF(Q129&lt;0,"expired",IF(Q129&lt;=30,"&lt;=30d",IF(Q129&lt;=90,"31-90d",IF(Q129&lt;=180,"91-180d","&gt;180d"))))</f>
        <v/>
      </c>
      <c r="S129" t="n">
        <v>5</v>
      </c>
    </row>
    <row r="130">
      <c r="A130" t="inlineStr">
        <is>
          <t>SS-01129</t>
        </is>
      </c>
      <c r="B130" t="inlineStr">
        <is>
          <t>diagnostic collection set 117</t>
        </is>
      </c>
      <c r="C130" t="inlineStr">
        <is>
          <t>diagnostic</t>
        </is>
      </c>
      <c r="D130" t="inlineStr">
        <is>
          <t>Aegis Clinical Supply</t>
        </is>
      </c>
      <c r="E130" t="inlineStr">
        <is>
          <t>HOSP-1</t>
        </is>
      </c>
      <c r="F130" t="inlineStr">
        <is>
          <t>LOT-07129</t>
        </is>
      </c>
      <c r="G130" t="n">
        <v>27.73</v>
      </c>
      <c r="H130" t="n">
        <v>1</v>
      </c>
      <c r="I130" t="n">
        <v>0</v>
      </c>
      <c r="J130" t="inlineStr">
        <is>
          <t>clear</t>
        </is>
      </c>
      <c r="K130">
        <f>IF(J130="recalled",0,MAX(0,H130-I130))</f>
        <v/>
      </c>
      <c r="L130">
        <f>K130*G130</f>
        <v/>
      </c>
      <c r="M130">
        <f>H130*G130</f>
        <v/>
      </c>
      <c r="N130" t="n">
        <v>6</v>
      </c>
      <c r="O130" t="inlineStr">
        <is>
          <t>B8-24</t>
        </is>
      </c>
      <c r="P130" s="7" t="n">
        <v>46651</v>
      </c>
      <c r="Q130">
        <f>P130-Inputs!$B$4</f>
        <v/>
      </c>
      <c r="R130">
        <f>IF(Q130&lt;0,"expired",IF(Q130&lt;=30,"&lt;=30d",IF(Q130&lt;=90,"31-90d",IF(Q130&lt;=180,"91-180d","&gt;180d"))))</f>
        <v/>
      </c>
      <c r="S130" t="n">
        <v>5</v>
      </c>
    </row>
    <row r="131">
      <c r="A131" t="inlineStr">
        <is>
          <t>SS-01130</t>
        </is>
      </c>
      <c r="B131" t="inlineStr">
        <is>
          <t>advanced wound dressing 118</t>
        </is>
      </c>
      <c r="C131" t="inlineStr">
        <is>
          <t>wound</t>
        </is>
      </c>
      <c r="D131" t="inlineStr">
        <is>
          <t>HarborMed Logistics</t>
        </is>
      </c>
      <c r="E131" t="inlineStr">
        <is>
          <t>HOSP-2</t>
        </is>
      </c>
      <c r="F131" t="inlineStr">
        <is>
          <t>LOT-07130</t>
        </is>
      </c>
      <c r="G131" t="n">
        <v>21.71</v>
      </c>
      <c r="H131" t="n">
        <v>4</v>
      </c>
      <c r="I131" t="n">
        <v>0</v>
      </c>
      <c r="J131" t="inlineStr">
        <is>
          <t>clear</t>
        </is>
      </c>
      <c r="K131">
        <f>IF(J131="recalled",0,MAX(0,H131-I131))</f>
        <v/>
      </c>
      <c r="L131">
        <f>K131*G131</f>
        <v/>
      </c>
      <c r="M131">
        <f>H131*G131</f>
        <v/>
      </c>
      <c r="N131" t="n">
        <v>9</v>
      </c>
      <c r="O131" t="inlineStr">
        <is>
          <t>C3-09</t>
        </is>
      </c>
      <c r="P131" s="7" t="n">
        <v>46682</v>
      </c>
      <c r="Q131">
        <f>P131-Inputs!$B$4</f>
        <v/>
      </c>
      <c r="R131">
        <f>IF(Q131&lt;0,"expired",IF(Q131&lt;=30,"&lt;=30d",IF(Q131&lt;=90,"31-90d",IF(Q131&lt;=180,"91-180d","&gt;180d"))))</f>
        <v/>
      </c>
      <c r="S131" t="n">
        <v>5</v>
      </c>
    </row>
    <row r="132">
      <c r="A132" t="inlineStr">
        <is>
          <t>SS-01131</t>
        </is>
      </c>
      <c r="B132" t="inlineStr">
        <is>
          <t>vascular access kit 119</t>
        </is>
      </c>
      <c r="C132" t="inlineStr">
        <is>
          <t>vascular</t>
        </is>
      </c>
      <c r="D132" t="inlineStr">
        <is>
          <t>Northstar Surgical</t>
        </is>
      </c>
      <c r="E132" t="inlineStr">
        <is>
          <t>HOSP-3</t>
        </is>
      </c>
      <c r="F132" t="inlineStr">
        <is>
          <t>LOT-07131</t>
        </is>
      </c>
      <c r="G132" t="n">
        <v>68.58</v>
      </c>
      <c r="H132" t="n">
        <v>4</v>
      </c>
      <c r="I132" t="n">
        <v>0</v>
      </c>
      <c r="J132" t="inlineStr">
        <is>
          <t>clear</t>
        </is>
      </c>
      <c r="K132">
        <f>IF(J132="recalled",0,MAX(0,H132-I132))</f>
        <v/>
      </c>
      <c r="L132">
        <f>K132*G132</f>
        <v/>
      </c>
      <c r="M132">
        <f>H132*G132</f>
        <v/>
      </c>
      <c r="N132" t="n">
        <v>5</v>
      </c>
      <c r="O132" t="inlineStr">
        <is>
          <t>G12-18</t>
        </is>
      </c>
      <c r="P132" s="7" t="n">
        <v>46714</v>
      </c>
      <c r="Q132">
        <f>P132-Inputs!$B$4</f>
        <v/>
      </c>
      <c r="R132">
        <f>IF(Q132&lt;0,"expired",IF(Q132&lt;=30,"&lt;=30d",IF(Q132&lt;=90,"31-90d",IF(Q132&lt;=180,"91-180d","&gt;180d"))))</f>
        <v/>
      </c>
      <c r="S132" t="n">
        <v>5</v>
      </c>
    </row>
    <row r="133">
      <c r="A133" t="inlineStr">
        <is>
          <t>SS-01132</t>
        </is>
      </c>
      <c r="B133" t="inlineStr">
        <is>
          <t>respiratory circuit 120</t>
        </is>
      </c>
      <c r="C133" t="inlineStr">
        <is>
          <t>respiratory</t>
        </is>
      </c>
      <c r="D133" t="inlineStr">
        <is>
          <t>MedAxis Distribution</t>
        </is>
      </c>
      <c r="E133" t="inlineStr">
        <is>
          <t>HOSP-4</t>
        </is>
      </c>
      <c r="F133" t="inlineStr">
        <is>
          <t>LOT-07132</t>
        </is>
      </c>
      <c r="G133" t="n">
        <v>8.15</v>
      </c>
      <c r="H133" t="n">
        <v>24</v>
      </c>
      <c r="I133" t="n">
        <v>0</v>
      </c>
      <c r="J133" t="inlineStr">
        <is>
          <t>clear</t>
        </is>
      </c>
      <c r="K133">
        <f>IF(J133="recalled",0,MAX(0,H133-I133))</f>
        <v/>
      </c>
      <c r="L133">
        <f>K133*G133</f>
        <v/>
      </c>
      <c r="M133">
        <f>H133*G133</f>
        <v/>
      </c>
      <c r="N133" t="n">
        <v>5</v>
      </c>
      <c r="O133" t="inlineStr">
        <is>
          <t>C3-03</t>
        </is>
      </c>
      <c r="P133" s="7" t="n">
        <v>46745</v>
      </c>
      <c r="Q133">
        <f>P133-Inputs!$B$4</f>
        <v/>
      </c>
      <c r="R133">
        <f>IF(Q133&lt;0,"expired",IF(Q133&lt;=30,"&lt;=30d",IF(Q133&lt;=90,"31-90d",IF(Q133&lt;=180,"91-180d","&gt;180d"))))</f>
        <v/>
      </c>
      <c r="S133" t="n">
        <v>5</v>
      </c>
    </row>
    <row r="134">
      <c r="A134" t="inlineStr">
        <is>
          <t>SS-01133</t>
        </is>
      </c>
      <c r="B134" t="inlineStr">
        <is>
          <t>sterile surgical pack 121</t>
        </is>
      </c>
      <c r="C134" t="inlineStr">
        <is>
          <t>surgical</t>
        </is>
      </c>
      <c r="D134" t="inlineStr">
        <is>
          <t>SterilePath Medical</t>
        </is>
      </c>
      <c r="E134" t="inlineStr">
        <is>
          <t>HOSP-1</t>
        </is>
      </c>
      <c r="F134" t="inlineStr">
        <is>
          <t>LOT-07133</t>
        </is>
      </c>
      <c r="G134" t="n">
        <v>26.97</v>
      </c>
      <c r="H134" t="n">
        <v>4</v>
      </c>
      <c r="I134" t="n">
        <v>4</v>
      </c>
      <c r="J134" t="inlineStr">
        <is>
          <t>clear</t>
        </is>
      </c>
      <c r="K134">
        <f>IF(J134="recalled",0,MAX(0,H134-I134))</f>
        <v/>
      </c>
      <c r="L134">
        <f>K134*G134</f>
        <v/>
      </c>
      <c r="M134">
        <f>H134*G134</f>
        <v/>
      </c>
      <c r="N134" t="n">
        <v>8</v>
      </c>
      <c r="O134" t="inlineStr">
        <is>
          <t>B4-24</t>
        </is>
      </c>
      <c r="P134" s="7" t="n">
        <v>46412</v>
      </c>
      <c r="Q134">
        <f>P134-Inputs!$B$4</f>
        <v/>
      </c>
      <c r="R134">
        <f>IF(Q134&lt;0,"expired",IF(Q134&lt;=30,"&lt;=30d",IF(Q134&lt;=90,"31-90d",IF(Q134&lt;=180,"91-180d","&gt;180d"))))</f>
        <v/>
      </c>
      <c r="S134" t="n">
        <v>5</v>
      </c>
    </row>
    <row r="135">
      <c r="A135" t="inlineStr">
        <is>
          <t>SS-01134</t>
        </is>
      </c>
      <c r="B135" t="inlineStr">
        <is>
          <t>diagnostic collection set 122</t>
        </is>
      </c>
      <c r="C135" t="inlineStr">
        <is>
          <t>diagnostic</t>
        </is>
      </c>
      <c r="D135" t="inlineStr">
        <is>
          <t>Aegis Clinical Supply</t>
        </is>
      </c>
      <c r="E135" t="inlineStr">
        <is>
          <t>HOSP-2</t>
        </is>
      </c>
      <c r="F135" t="inlineStr">
        <is>
          <t>LOT-07134</t>
        </is>
      </c>
      <c r="G135" t="n">
        <v>51.67</v>
      </c>
      <c r="H135" t="n">
        <v>8</v>
      </c>
      <c r="I135" t="n">
        <v>0</v>
      </c>
      <c r="J135" t="inlineStr">
        <is>
          <t>clear</t>
        </is>
      </c>
      <c r="K135">
        <f>IF(J135="recalled",0,MAX(0,H135-I135))</f>
        <v/>
      </c>
      <c r="L135">
        <f>K135*G135</f>
        <v/>
      </c>
      <c r="M135">
        <f>H135*G135</f>
        <v/>
      </c>
      <c r="N135" t="n">
        <v>3</v>
      </c>
      <c r="O135" t="inlineStr">
        <is>
          <t>H3-13</t>
        </is>
      </c>
      <c r="P135" s="7" t="n">
        <v>46444</v>
      </c>
      <c r="Q135">
        <f>P135-Inputs!$B$4</f>
        <v/>
      </c>
      <c r="R135">
        <f>IF(Q135&lt;0,"expired",IF(Q135&lt;=30,"&lt;=30d",IF(Q135&lt;=90,"31-90d",IF(Q135&lt;=180,"91-180d","&gt;180d"))))</f>
        <v/>
      </c>
      <c r="S135" t="n">
        <v>5</v>
      </c>
    </row>
    <row r="136">
      <c r="A136" t="inlineStr">
        <is>
          <t>SS-01135</t>
        </is>
      </c>
      <c r="B136" t="inlineStr">
        <is>
          <t>advanced wound dressing 123</t>
        </is>
      </c>
      <c r="C136" t="inlineStr">
        <is>
          <t>wound</t>
        </is>
      </c>
      <c r="D136" t="inlineStr">
        <is>
          <t>HarborMed Logistics</t>
        </is>
      </c>
      <c r="E136" t="inlineStr">
        <is>
          <t>HOSP-3</t>
        </is>
      </c>
      <c r="F136" t="inlineStr">
        <is>
          <t>LOT-07135</t>
        </is>
      </c>
      <c r="G136" t="n">
        <v>40.69</v>
      </c>
      <c r="H136" t="n">
        <v>11</v>
      </c>
      <c r="I136" t="n">
        <v>0</v>
      </c>
      <c r="J136" t="inlineStr">
        <is>
          <t>clear</t>
        </is>
      </c>
      <c r="K136">
        <f>IF(J136="recalled",0,MAX(0,H136-I136))</f>
        <v/>
      </c>
      <c r="L136">
        <f>K136*G136</f>
        <v/>
      </c>
      <c r="M136">
        <f>H136*G136</f>
        <v/>
      </c>
      <c r="N136" t="n">
        <v>3</v>
      </c>
      <c r="O136" t="inlineStr">
        <is>
          <t>H1-14</t>
        </is>
      </c>
      <c r="P136" s="7" t="n">
        <v>46473</v>
      </c>
      <c r="Q136">
        <f>P136-Inputs!$B$4</f>
        <v/>
      </c>
      <c r="R136">
        <f>IF(Q136&lt;0,"expired",IF(Q136&lt;=30,"&lt;=30d",IF(Q136&lt;=90,"31-90d",IF(Q136&lt;=180,"91-180d","&gt;180d"))))</f>
        <v/>
      </c>
      <c r="S136" t="n">
        <v>5</v>
      </c>
    </row>
    <row r="137">
      <c r="A137" t="inlineStr">
        <is>
          <t>SS-01136</t>
        </is>
      </c>
      <c r="B137" t="inlineStr">
        <is>
          <t>vascular access kit 124</t>
        </is>
      </c>
      <c r="C137" t="inlineStr">
        <is>
          <t>vascular</t>
        </is>
      </c>
      <c r="D137" t="inlineStr">
        <is>
          <t>Northstar Surgical</t>
        </is>
      </c>
      <c r="E137" t="inlineStr">
        <is>
          <t>HOSP-4</t>
        </is>
      </c>
      <c r="F137" t="inlineStr">
        <is>
          <t>LOT-07136</t>
        </is>
      </c>
      <c r="G137" t="n">
        <v>32.14</v>
      </c>
      <c r="H137" t="n">
        <v>3</v>
      </c>
      <c r="I137" t="n">
        <v>0</v>
      </c>
      <c r="J137" t="inlineStr">
        <is>
          <t>clear</t>
        </is>
      </c>
      <c r="K137">
        <f>IF(J137="recalled",0,MAX(0,H137-I137))</f>
        <v/>
      </c>
      <c r="L137">
        <f>K137*G137</f>
        <v/>
      </c>
      <c r="M137">
        <f>H137*G137</f>
        <v/>
      </c>
      <c r="N137" t="n">
        <v>10</v>
      </c>
      <c r="O137" t="inlineStr">
        <is>
          <t>B8-23</t>
        </is>
      </c>
      <c r="P137" s="7" t="n">
        <v>46478</v>
      </c>
      <c r="Q137">
        <f>P137-Inputs!$B$4</f>
        <v/>
      </c>
      <c r="R137">
        <f>IF(Q137&lt;0,"expired",IF(Q137&lt;=30,"&lt;=30d",IF(Q137&lt;=90,"31-90d",IF(Q137&lt;=180,"91-180d","&gt;180d"))))</f>
        <v/>
      </c>
      <c r="S137" t="n">
        <v>5</v>
      </c>
    </row>
    <row r="138">
      <c r="A138" t="inlineStr">
        <is>
          <t>SS-01137</t>
        </is>
      </c>
      <c r="B138" t="inlineStr">
        <is>
          <t>respiratory circuit 125</t>
        </is>
      </c>
      <c r="C138" t="inlineStr">
        <is>
          <t>respiratory</t>
        </is>
      </c>
      <c r="D138" t="inlineStr">
        <is>
          <t>MedAxis Distribution</t>
        </is>
      </c>
      <c r="E138" t="inlineStr">
        <is>
          <t>HOSP-1</t>
        </is>
      </c>
      <c r="F138" t="inlineStr">
        <is>
          <t>LOT-07137</t>
        </is>
      </c>
      <c r="G138" t="n">
        <v>22.28</v>
      </c>
      <c r="H138" t="n">
        <v>19</v>
      </c>
      <c r="I138" t="n">
        <v>0</v>
      </c>
      <c r="J138" t="inlineStr">
        <is>
          <t>clear</t>
        </is>
      </c>
      <c r="K138">
        <f>IF(J138="recalled",0,MAX(0,H138-I138))</f>
        <v/>
      </c>
      <c r="L138">
        <f>K138*G138</f>
        <v/>
      </c>
      <c r="M138">
        <f>H138*G138</f>
        <v/>
      </c>
      <c r="N138" t="n">
        <v>6</v>
      </c>
      <c r="O138" t="inlineStr">
        <is>
          <t>B11-09</t>
        </is>
      </c>
      <c r="P138" s="7" t="n">
        <v>46509</v>
      </c>
      <c r="Q138">
        <f>P138-Inputs!$B$4</f>
        <v/>
      </c>
      <c r="R138">
        <f>IF(Q138&lt;0,"expired",IF(Q138&lt;=30,"&lt;=30d",IF(Q138&lt;=90,"31-90d",IF(Q138&lt;=180,"91-180d","&gt;180d"))))</f>
        <v/>
      </c>
      <c r="S138" t="n">
        <v>5</v>
      </c>
    </row>
    <row r="139">
      <c r="A139" t="inlineStr">
        <is>
          <t>SS-01138</t>
        </is>
      </c>
      <c r="B139" t="inlineStr">
        <is>
          <t>sterile surgical pack 126</t>
        </is>
      </c>
      <c r="C139" t="inlineStr">
        <is>
          <t>surgical</t>
        </is>
      </c>
      <c r="D139" t="inlineStr">
        <is>
          <t>SterilePath Medical</t>
        </is>
      </c>
      <c r="E139" t="inlineStr">
        <is>
          <t>HOSP-2</t>
        </is>
      </c>
      <c r="F139" t="inlineStr">
        <is>
          <t>LOT-07138</t>
        </is>
      </c>
      <c r="G139" t="n">
        <v>29.32</v>
      </c>
      <c r="H139" t="n">
        <v>6</v>
      </c>
      <c r="I139" t="n">
        <v>0</v>
      </c>
      <c r="J139" t="inlineStr">
        <is>
          <t>clear</t>
        </is>
      </c>
      <c r="K139">
        <f>IF(J139="recalled",0,MAX(0,H139-I139))</f>
        <v/>
      </c>
      <c r="L139">
        <f>K139*G139</f>
        <v/>
      </c>
      <c r="M139">
        <f>H139*G139</f>
        <v/>
      </c>
      <c r="N139" t="n">
        <v>6</v>
      </c>
      <c r="O139" t="inlineStr">
        <is>
          <t>H8-03</t>
        </is>
      </c>
      <c r="P139" s="7" t="n">
        <v>46541</v>
      </c>
      <c r="Q139">
        <f>P139-Inputs!$B$4</f>
        <v/>
      </c>
      <c r="R139">
        <f>IF(Q139&lt;0,"expired",IF(Q139&lt;=30,"&lt;=30d",IF(Q139&lt;=90,"31-90d",IF(Q139&lt;=180,"91-180d","&gt;180d"))))</f>
        <v/>
      </c>
      <c r="S139" t="n">
        <v>5</v>
      </c>
    </row>
    <row r="140">
      <c r="A140" t="inlineStr">
        <is>
          <t>SS-01139</t>
        </is>
      </c>
      <c r="B140" t="inlineStr">
        <is>
          <t>diagnostic collection set 127</t>
        </is>
      </c>
      <c r="C140" t="inlineStr">
        <is>
          <t>diagnostic</t>
        </is>
      </c>
      <c r="D140" t="inlineStr">
        <is>
          <t>Aegis Clinical Supply</t>
        </is>
      </c>
      <c r="E140" t="inlineStr">
        <is>
          <t>HOSP-3</t>
        </is>
      </c>
      <c r="F140" t="inlineStr">
        <is>
          <t>LOT-07139</t>
        </is>
      </c>
      <c r="G140" t="n">
        <v>27.73</v>
      </c>
      <c r="H140" t="n">
        <v>22</v>
      </c>
      <c r="I140" t="n">
        <v>0</v>
      </c>
      <c r="J140" t="inlineStr">
        <is>
          <t>clear</t>
        </is>
      </c>
      <c r="K140">
        <f>IF(J140="recalled",0,MAX(0,H140-I140))</f>
        <v/>
      </c>
      <c r="L140">
        <f>K140*G140</f>
        <v/>
      </c>
      <c r="M140">
        <f>H140*G140</f>
        <v/>
      </c>
      <c r="N140" t="n">
        <v>2</v>
      </c>
      <c r="O140" t="inlineStr">
        <is>
          <t>D8-16</t>
        </is>
      </c>
      <c r="P140" s="7" t="n">
        <v>46572</v>
      </c>
      <c r="Q140">
        <f>P140-Inputs!$B$4</f>
        <v/>
      </c>
      <c r="R140">
        <f>IF(Q140&lt;0,"expired",IF(Q140&lt;=30,"&lt;=30d",IF(Q140&lt;=90,"31-90d",IF(Q140&lt;=180,"91-180d","&gt;180d"))))</f>
        <v/>
      </c>
      <c r="S140" t="n">
        <v>5</v>
      </c>
    </row>
    <row r="141">
      <c r="A141" t="inlineStr">
        <is>
          <t>SS-01140</t>
        </is>
      </c>
      <c r="B141" t="inlineStr">
        <is>
          <t>advanced wound dressing 128</t>
        </is>
      </c>
      <c r="C141" t="inlineStr">
        <is>
          <t>wound</t>
        </is>
      </c>
      <c r="D141" t="inlineStr">
        <is>
          <t>HarborMed Logistics</t>
        </is>
      </c>
      <c r="E141" t="inlineStr">
        <is>
          <t>HOSP-4</t>
        </is>
      </c>
      <c r="F141" t="inlineStr">
        <is>
          <t>LOT-07140</t>
        </is>
      </c>
      <c r="G141" t="n">
        <v>11.14</v>
      </c>
      <c r="H141" t="n">
        <v>3</v>
      </c>
      <c r="I141" t="n">
        <v>0</v>
      </c>
      <c r="J141" t="inlineStr">
        <is>
          <t>clear</t>
        </is>
      </c>
      <c r="K141">
        <f>IF(J141="recalled",0,MAX(0,H141-I141))</f>
        <v/>
      </c>
      <c r="L141">
        <f>K141*G141</f>
        <v/>
      </c>
      <c r="M141">
        <f>H141*G141</f>
        <v/>
      </c>
      <c r="N141" t="n">
        <v>14</v>
      </c>
      <c r="O141" t="inlineStr">
        <is>
          <t>F2-17</t>
        </is>
      </c>
      <c r="P141" s="7" t="n">
        <v>46604</v>
      </c>
      <c r="Q141">
        <f>P141-Inputs!$B$4</f>
        <v/>
      </c>
      <c r="R141">
        <f>IF(Q141&lt;0,"expired",IF(Q141&lt;=30,"&lt;=30d",IF(Q141&lt;=90,"31-90d",IF(Q141&lt;=180,"91-180d","&gt;180d"))))</f>
        <v/>
      </c>
      <c r="S141" t="n">
        <v>5</v>
      </c>
    </row>
    <row r="142">
      <c r="A142" t="inlineStr">
        <is>
          <t>SS-01141</t>
        </is>
      </c>
      <c r="B142" t="inlineStr">
        <is>
          <t>vascular access kit 129</t>
        </is>
      </c>
      <c r="C142" t="inlineStr">
        <is>
          <t>vascular</t>
        </is>
      </c>
      <c r="D142" t="inlineStr">
        <is>
          <t>Northstar Surgical</t>
        </is>
      </c>
      <c r="E142" t="inlineStr">
        <is>
          <t>HOSP-1</t>
        </is>
      </c>
      <c r="F142" t="inlineStr">
        <is>
          <t>LOT-07141</t>
        </is>
      </c>
      <c r="G142" t="n">
        <v>8.92</v>
      </c>
      <c r="H142" t="n">
        <v>15</v>
      </c>
      <c r="I142" t="n">
        <v>0</v>
      </c>
      <c r="J142" t="inlineStr">
        <is>
          <t>clear</t>
        </is>
      </c>
      <c r="K142">
        <f>IF(J142="recalled",0,MAX(0,H142-I142))</f>
        <v/>
      </c>
      <c r="L142">
        <f>K142*G142</f>
        <v/>
      </c>
      <c r="M142">
        <f>H142*G142</f>
        <v/>
      </c>
      <c r="N142" t="n">
        <v>4</v>
      </c>
      <c r="O142" t="inlineStr">
        <is>
          <t>D11-12</t>
        </is>
      </c>
      <c r="P142" s="7" t="n">
        <v>46636</v>
      </c>
      <c r="Q142">
        <f>P142-Inputs!$B$4</f>
        <v/>
      </c>
      <c r="R142">
        <f>IF(Q142&lt;0,"expired",IF(Q142&lt;=30,"&lt;=30d",IF(Q142&lt;=90,"31-90d",IF(Q142&lt;=180,"91-180d","&gt;180d"))))</f>
        <v/>
      </c>
      <c r="S142" t="n">
        <v>5</v>
      </c>
    </row>
    <row r="143">
      <c r="A143" t="inlineStr">
        <is>
          <t>SS-01142</t>
        </is>
      </c>
      <c r="B143" t="inlineStr">
        <is>
          <t>respiratory circuit 130</t>
        </is>
      </c>
      <c r="C143" t="inlineStr">
        <is>
          <t>respiratory</t>
        </is>
      </c>
      <c r="D143" t="inlineStr">
        <is>
          <t>MedAxis Distribution</t>
        </is>
      </c>
      <c r="E143" t="inlineStr">
        <is>
          <t>HOSP-2</t>
        </is>
      </c>
      <c r="F143" t="inlineStr">
        <is>
          <t>LOT-07142</t>
        </is>
      </c>
      <c r="G143" t="n">
        <v>11.75</v>
      </c>
      <c r="H143" t="n">
        <v>15</v>
      </c>
      <c r="I143" t="n">
        <v>0</v>
      </c>
      <c r="J143" t="inlineStr">
        <is>
          <t>recalled</t>
        </is>
      </c>
      <c r="K143">
        <f>IF(J143="recalled",0,MAX(0,H143-I143))</f>
        <v/>
      </c>
      <c r="L143">
        <f>K143*G143</f>
        <v/>
      </c>
      <c r="M143">
        <f>H143*G143</f>
        <v/>
      </c>
      <c r="N143" t="n">
        <v>6</v>
      </c>
      <c r="O143" t="inlineStr">
        <is>
          <t>E9-12</t>
        </is>
      </c>
      <c r="P143" s="7" t="n">
        <v>46667</v>
      </c>
      <c r="Q143">
        <f>P143-Inputs!$B$4</f>
        <v/>
      </c>
      <c r="R143">
        <f>IF(Q143&lt;0,"expired",IF(Q143&lt;=30,"&lt;=30d",IF(Q143&lt;=90,"31-90d",IF(Q143&lt;=180,"91-180d","&gt;180d"))))</f>
        <v/>
      </c>
      <c r="S143" t="n">
        <v>5</v>
      </c>
    </row>
    <row r="144">
      <c r="A144" t="inlineStr">
        <is>
          <t>SS-01143</t>
        </is>
      </c>
      <c r="B144" t="inlineStr">
        <is>
          <t>sterile surgical pack 131</t>
        </is>
      </c>
      <c r="C144" t="inlineStr">
        <is>
          <t>surgical</t>
        </is>
      </c>
      <c r="D144" t="inlineStr">
        <is>
          <t>SterilePath Medical</t>
        </is>
      </c>
      <c r="E144" t="inlineStr">
        <is>
          <t>HOSP-3</t>
        </is>
      </c>
      <c r="F144" t="inlineStr">
        <is>
          <t>LOT-07143</t>
        </is>
      </c>
      <c r="G144" t="n">
        <v>2.73</v>
      </c>
      <c r="H144" t="n">
        <v>5</v>
      </c>
      <c r="I144" t="n">
        <v>0</v>
      </c>
      <c r="J144" t="inlineStr">
        <is>
          <t>clear</t>
        </is>
      </c>
      <c r="K144">
        <f>IF(J144="recalled",0,MAX(0,H144-I144))</f>
        <v/>
      </c>
      <c r="L144">
        <f>K144*G144</f>
        <v/>
      </c>
      <c r="M144">
        <f>H144*G144</f>
        <v/>
      </c>
      <c r="N144" t="n">
        <v>4</v>
      </c>
      <c r="O144" t="inlineStr">
        <is>
          <t>B9-24</t>
        </is>
      </c>
      <c r="P144" s="7" t="n">
        <v>46699</v>
      </c>
      <c r="Q144">
        <f>P144-Inputs!$B$4</f>
        <v/>
      </c>
      <c r="R144">
        <f>IF(Q144&lt;0,"expired",IF(Q144&lt;=30,"&lt;=30d",IF(Q144&lt;=90,"31-90d",IF(Q144&lt;=180,"91-180d","&gt;180d"))))</f>
        <v/>
      </c>
      <c r="S144" t="n">
        <v>5</v>
      </c>
    </row>
    <row r="145">
      <c r="A145" t="inlineStr">
        <is>
          <t>SS-01144</t>
        </is>
      </c>
      <c r="B145" t="inlineStr">
        <is>
          <t>diagnostic collection set 132</t>
        </is>
      </c>
      <c r="C145" t="inlineStr">
        <is>
          <t>diagnostic</t>
        </is>
      </c>
      <c r="D145" t="inlineStr">
        <is>
          <t>Aegis Clinical Supply</t>
        </is>
      </c>
      <c r="E145" t="inlineStr">
        <is>
          <t>HOSP-4</t>
        </is>
      </c>
      <c r="F145" t="inlineStr">
        <is>
          <t>LOT-07144</t>
        </is>
      </c>
      <c r="G145" t="n">
        <v>18.25</v>
      </c>
      <c r="H145" t="n">
        <v>7</v>
      </c>
      <c r="I145" t="n">
        <v>3</v>
      </c>
      <c r="J145" t="inlineStr">
        <is>
          <t>clear</t>
        </is>
      </c>
      <c r="K145">
        <f>IF(J145="recalled",0,MAX(0,H145-I145))</f>
        <v/>
      </c>
      <c r="L145">
        <f>K145*G145</f>
        <v/>
      </c>
      <c r="M145">
        <f>H145*G145</f>
        <v/>
      </c>
      <c r="N145" t="n">
        <v>6</v>
      </c>
      <c r="O145" t="inlineStr">
        <is>
          <t>C12-09</t>
        </is>
      </c>
      <c r="P145" s="7" t="n">
        <v>46730</v>
      </c>
      <c r="Q145">
        <f>P145-Inputs!$B$4</f>
        <v/>
      </c>
      <c r="R145">
        <f>IF(Q145&lt;0,"expired",IF(Q145&lt;=30,"&lt;=30d",IF(Q145&lt;=90,"31-90d",IF(Q145&lt;=180,"91-180d","&gt;180d"))))</f>
        <v/>
      </c>
      <c r="S145" t="n">
        <v>5</v>
      </c>
    </row>
    <row r="146">
      <c r="A146" t="inlineStr">
        <is>
          <t>SS-01145</t>
        </is>
      </c>
      <c r="B146" t="inlineStr">
        <is>
          <t>advanced wound dressing 133</t>
        </is>
      </c>
      <c r="C146" t="inlineStr">
        <is>
          <t>wound</t>
        </is>
      </c>
      <c r="D146" t="inlineStr">
        <is>
          <t>HarborMed Logistics</t>
        </is>
      </c>
      <c r="E146" t="inlineStr">
        <is>
          <t>HOSP-1</t>
        </is>
      </c>
      <c r="F146" t="inlineStr">
        <is>
          <t>LOT-07145</t>
        </is>
      </c>
      <c r="G146" t="n">
        <v>10.17</v>
      </c>
      <c r="H146" t="n">
        <v>8</v>
      </c>
      <c r="I146" t="n">
        <v>0</v>
      </c>
      <c r="J146" t="inlineStr">
        <is>
          <t>clear</t>
        </is>
      </c>
      <c r="K146">
        <f>IF(J146="recalled",0,MAX(0,H146-I146))</f>
        <v/>
      </c>
      <c r="L146">
        <f>K146*G146</f>
        <v/>
      </c>
      <c r="M146">
        <f>H146*G146</f>
        <v/>
      </c>
      <c r="N146" t="n">
        <v>7</v>
      </c>
      <c r="O146" t="inlineStr">
        <is>
          <t>F7-23</t>
        </is>
      </c>
      <c r="P146" s="7" t="n">
        <v>46397</v>
      </c>
      <c r="Q146">
        <f>P146-Inputs!$B$4</f>
        <v/>
      </c>
      <c r="R146">
        <f>IF(Q146&lt;0,"expired",IF(Q146&lt;=30,"&lt;=30d",IF(Q146&lt;=90,"31-90d",IF(Q146&lt;=180,"91-180d","&gt;180d"))))</f>
        <v/>
      </c>
      <c r="S146" t="n">
        <v>5</v>
      </c>
    </row>
    <row r="147">
      <c r="A147" t="inlineStr">
        <is>
          <t>SS-01146</t>
        </is>
      </c>
      <c r="B147" t="inlineStr">
        <is>
          <t>vascular access kit 134</t>
        </is>
      </c>
      <c r="C147" t="inlineStr">
        <is>
          <t>vascular</t>
        </is>
      </c>
      <c r="D147" t="inlineStr">
        <is>
          <t>Northstar Surgical</t>
        </is>
      </c>
      <c r="E147" t="inlineStr">
        <is>
          <t>HOSP-2</t>
        </is>
      </c>
      <c r="F147" t="inlineStr">
        <is>
          <t>LOT-07146</t>
        </is>
      </c>
      <c r="G147" t="n">
        <v>3.65</v>
      </c>
      <c r="H147" t="n">
        <v>4</v>
      </c>
      <c r="I147" t="n">
        <v>0</v>
      </c>
      <c r="J147" t="inlineStr">
        <is>
          <t>clear</t>
        </is>
      </c>
      <c r="K147">
        <f>IF(J147="recalled",0,MAX(0,H147-I147))</f>
        <v/>
      </c>
      <c r="L147">
        <f>K147*G147</f>
        <v/>
      </c>
      <c r="M147">
        <f>H147*G147</f>
        <v/>
      </c>
      <c r="N147" t="n">
        <v>14</v>
      </c>
      <c r="O147" t="inlineStr">
        <is>
          <t>F1-15</t>
        </is>
      </c>
      <c r="P147" s="7" t="n">
        <v>46429</v>
      </c>
      <c r="Q147">
        <f>P147-Inputs!$B$4</f>
        <v/>
      </c>
      <c r="R147">
        <f>IF(Q147&lt;0,"expired",IF(Q147&lt;=30,"&lt;=30d",IF(Q147&lt;=90,"31-90d",IF(Q147&lt;=180,"91-180d","&gt;180d"))))</f>
        <v/>
      </c>
      <c r="S147" t="n">
        <v>5</v>
      </c>
    </row>
    <row r="148">
      <c r="A148" t="inlineStr">
        <is>
          <t>SS-01147</t>
        </is>
      </c>
      <c r="B148" t="inlineStr">
        <is>
          <t>respiratory circuit 135</t>
        </is>
      </c>
      <c r="C148" t="inlineStr">
        <is>
          <t>respiratory</t>
        </is>
      </c>
      <c r="D148" t="inlineStr">
        <is>
          <t>MedAxis Distribution</t>
        </is>
      </c>
      <c r="E148" t="inlineStr">
        <is>
          <t>HOSP-3</t>
        </is>
      </c>
      <c r="F148" t="inlineStr">
        <is>
          <t>LOT-07147</t>
        </is>
      </c>
      <c r="G148" t="n">
        <v>24.9</v>
      </c>
      <c r="H148" t="n">
        <v>3</v>
      </c>
      <c r="I148" t="n">
        <v>0</v>
      </c>
      <c r="J148" t="inlineStr">
        <is>
          <t>clear</t>
        </is>
      </c>
      <c r="K148">
        <f>IF(J148="recalled",0,MAX(0,H148-I148))</f>
        <v/>
      </c>
      <c r="L148">
        <f>K148*G148</f>
        <v/>
      </c>
      <c r="M148">
        <f>H148*G148</f>
        <v/>
      </c>
      <c r="N148" t="n">
        <v>5</v>
      </c>
      <c r="O148" t="inlineStr">
        <is>
          <t>C9-08</t>
        </is>
      </c>
      <c r="P148" s="7" t="n">
        <v>46458</v>
      </c>
      <c r="Q148">
        <f>P148-Inputs!$B$4</f>
        <v/>
      </c>
      <c r="R148">
        <f>IF(Q148&lt;0,"expired",IF(Q148&lt;=30,"&lt;=30d",IF(Q148&lt;=90,"31-90d",IF(Q148&lt;=180,"91-180d","&gt;180d"))))</f>
        <v/>
      </c>
      <c r="S148" t="n">
        <v>5</v>
      </c>
    </row>
    <row r="149">
      <c r="A149" t="inlineStr">
        <is>
          <t>SS-01148</t>
        </is>
      </c>
      <c r="B149" t="inlineStr">
        <is>
          <t>sterile surgical pack 136</t>
        </is>
      </c>
      <c r="C149" t="inlineStr">
        <is>
          <t>surgical</t>
        </is>
      </c>
      <c r="D149" t="inlineStr">
        <is>
          <t>SterilePath Medical</t>
        </is>
      </c>
      <c r="E149" t="inlineStr">
        <is>
          <t>HOSP-4</t>
        </is>
      </c>
      <c r="F149" t="inlineStr">
        <is>
          <t>LOT-07148</t>
        </is>
      </c>
      <c r="G149" t="n">
        <v>14.12</v>
      </c>
      <c r="H149" t="n">
        <v>9</v>
      </c>
      <c r="I149" t="n">
        <v>0</v>
      </c>
      <c r="J149" t="inlineStr">
        <is>
          <t>clear</t>
        </is>
      </c>
      <c r="K149">
        <f>IF(J149="recalled",0,MAX(0,H149-I149))</f>
        <v/>
      </c>
      <c r="L149">
        <f>K149*G149</f>
        <v/>
      </c>
      <c r="M149">
        <f>H149*G149</f>
        <v/>
      </c>
      <c r="N149" t="n">
        <v>7</v>
      </c>
      <c r="O149" t="inlineStr">
        <is>
          <t>B8-04</t>
        </is>
      </c>
      <c r="P149" s="7" t="n">
        <v>46490</v>
      </c>
      <c r="Q149">
        <f>P149-Inputs!$B$4</f>
        <v/>
      </c>
      <c r="R149">
        <f>IF(Q149&lt;0,"expired",IF(Q149&lt;=30,"&lt;=30d",IF(Q149&lt;=90,"31-90d",IF(Q149&lt;=180,"91-180d","&gt;180d"))))</f>
        <v/>
      </c>
      <c r="S149" t="n">
        <v>5</v>
      </c>
    </row>
    <row r="150">
      <c r="A150" t="inlineStr">
        <is>
          <t>SS-01149</t>
        </is>
      </c>
      <c r="B150" t="inlineStr">
        <is>
          <t>diagnostic collection set 100</t>
        </is>
      </c>
      <c r="C150" t="inlineStr">
        <is>
          <t>diagnostic</t>
        </is>
      </c>
      <c r="D150" t="inlineStr">
        <is>
          <t>Aegis Clinical Supply</t>
        </is>
      </c>
      <c r="E150" t="inlineStr">
        <is>
          <t>HOSP-1</t>
        </is>
      </c>
      <c r="F150" t="inlineStr">
        <is>
          <t>LOT-07149</t>
        </is>
      </c>
      <c r="G150" t="n">
        <v>34.27</v>
      </c>
      <c r="H150" t="n">
        <v>1</v>
      </c>
      <c r="I150" t="n">
        <v>0</v>
      </c>
      <c r="J150" t="inlineStr">
        <is>
          <t>clear</t>
        </is>
      </c>
      <c r="K150">
        <f>IF(J150="recalled",0,MAX(0,H150-I150))</f>
        <v/>
      </c>
      <c r="L150">
        <f>K150*G150</f>
        <v/>
      </c>
      <c r="M150">
        <f>H150*G150</f>
        <v/>
      </c>
      <c r="N150" t="n">
        <v>7</v>
      </c>
      <c r="O150" t="inlineStr">
        <is>
          <t>D9-19</t>
        </is>
      </c>
      <c r="P150" s="7" t="n">
        <v>46521</v>
      </c>
      <c r="Q150">
        <f>P150-Inputs!$B$4</f>
        <v/>
      </c>
      <c r="R150">
        <f>IF(Q150&lt;0,"expired",IF(Q150&lt;=30,"&lt;=30d",IF(Q150&lt;=90,"31-90d",IF(Q150&lt;=180,"91-180d","&gt;180d"))))</f>
        <v/>
      </c>
      <c r="S150" t="n">
        <v>5</v>
      </c>
    </row>
    <row r="151">
      <c r="A151" t="inlineStr">
        <is>
          <t>SS-01150</t>
        </is>
      </c>
      <c r="B151" t="inlineStr">
        <is>
          <t>advanced wound dressing 101</t>
        </is>
      </c>
      <c r="C151" t="inlineStr">
        <is>
          <t>wound</t>
        </is>
      </c>
      <c r="D151" t="inlineStr">
        <is>
          <t>HarborMed Logistics</t>
        </is>
      </c>
      <c r="E151" t="inlineStr">
        <is>
          <t>HOSP-2</t>
        </is>
      </c>
      <c r="F151" t="inlineStr">
        <is>
          <t>LOT-07150</t>
        </is>
      </c>
      <c r="G151" t="n">
        <v>10.87</v>
      </c>
      <c r="H151" t="n">
        <v>24</v>
      </c>
      <c r="I151" t="n">
        <v>0</v>
      </c>
      <c r="J151" t="inlineStr">
        <is>
          <t>clear</t>
        </is>
      </c>
      <c r="K151">
        <f>IF(J151="recalled",0,MAX(0,H151-I151))</f>
        <v/>
      </c>
      <c r="L151">
        <f>K151*G151</f>
        <v/>
      </c>
      <c r="M151">
        <f>H151*G151</f>
        <v/>
      </c>
      <c r="N151" t="n">
        <v>6</v>
      </c>
      <c r="O151" t="inlineStr">
        <is>
          <t>A3-17</t>
        </is>
      </c>
      <c r="P151" s="7" t="n">
        <v>46553</v>
      </c>
      <c r="Q151">
        <f>P151-Inputs!$B$4</f>
        <v/>
      </c>
      <c r="R151">
        <f>IF(Q151&lt;0,"expired",IF(Q151&lt;=30,"&lt;=30d",IF(Q151&lt;=90,"31-90d",IF(Q151&lt;=180,"91-180d","&gt;180d"))))</f>
        <v/>
      </c>
      <c r="S151" t="n">
        <v>5</v>
      </c>
    </row>
    <row r="152">
      <c r="A152" t="inlineStr">
        <is>
          <t>SS-01151</t>
        </is>
      </c>
      <c r="B152" t="inlineStr">
        <is>
          <t>vascular access kit 102</t>
        </is>
      </c>
      <c r="C152" t="inlineStr">
        <is>
          <t>vascular</t>
        </is>
      </c>
      <c r="D152" t="inlineStr">
        <is>
          <t>Northstar Surgical</t>
        </is>
      </c>
      <c r="E152" t="inlineStr">
        <is>
          <t>HOSP-3</t>
        </is>
      </c>
      <c r="F152" t="inlineStr">
        <is>
          <t>LOT-07151</t>
        </is>
      </c>
      <c r="G152" t="n">
        <v>32.23</v>
      </c>
      <c r="H152" t="n">
        <v>1</v>
      </c>
      <c r="I152" t="n">
        <v>0</v>
      </c>
      <c r="J152" t="inlineStr">
        <is>
          <t>clear</t>
        </is>
      </c>
      <c r="K152">
        <f>IF(J152="recalled",0,MAX(0,H152-I152))</f>
        <v/>
      </c>
      <c r="L152">
        <f>K152*G152</f>
        <v/>
      </c>
      <c r="M152">
        <f>H152*G152</f>
        <v/>
      </c>
      <c r="N152" t="n">
        <v>6</v>
      </c>
      <c r="O152" t="inlineStr">
        <is>
          <t>G10-02</t>
        </is>
      </c>
      <c r="P152" s="7" t="n">
        <v>46584</v>
      </c>
      <c r="Q152">
        <f>P152-Inputs!$B$4</f>
        <v/>
      </c>
      <c r="R152">
        <f>IF(Q152&lt;0,"expired",IF(Q152&lt;=30,"&lt;=30d",IF(Q152&lt;=90,"31-90d",IF(Q152&lt;=180,"91-180d","&gt;180d"))))</f>
        <v/>
      </c>
      <c r="S152" t="n">
        <v>5</v>
      </c>
    </row>
    <row r="153">
      <c r="A153" t="inlineStr">
        <is>
          <t>SS-01152</t>
        </is>
      </c>
      <c r="B153" t="inlineStr">
        <is>
          <t>respiratory circuit 103</t>
        </is>
      </c>
      <c r="C153" t="inlineStr">
        <is>
          <t>respiratory</t>
        </is>
      </c>
      <c r="D153" t="inlineStr">
        <is>
          <t>MedAxis Distribution</t>
        </is>
      </c>
      <c r="E153" t="inlineStr">
        <is>
          <t>HOSP-4</t>
        </is>
      </c>
      <c r="F153" t="inlineStr">
        <is>
          <t>LOT-07152</t>
        </is>
      </c>
      <c r="G153" t="n">
        <v>25.97</v>
      </c>
      <c r="H153" t="n">
        <v>4</v>
      </c>
      <c r="I153" t="n">
        <v>0</v>
      </c>
      <c r="J153" t="inlineStr">
        <is>
          <t>clear</t>
        </is>
      </c>
      <c r="K153">
        <f>IF(J153="recalled",0,MAX(0,H153-I153))</f>
        <v/>
      </c>
      <c r="L153">
        <f>K153*G153</f>
        <v/>
      </c>
      <c r="M153">
        <f>H153*G153</f>
        <v/>
      </c>
      <c r="N153" t="n">
        <v>8</v>
      </c>
      <c r="O153" t="inlineStr">
        <is>
          <t>C5-03</t>
        </is>
      </c>
      <c r="P153" s="7" t="n">
        <v>46616</v>
      </c>
      <c r="Q153">
        <f>P153-Inputs!$B$4</f>
        <v/>
      </c>
      <c r="R153">
        <f>IF(Q153&lt;0,"expired",IF(Q153&lt;=30,"&lt;=30d",IF(Q153&lt;=90,"31-90d",IF(Q153&lt;=180,"91-180d","&gt;180d"))))</f>
        <v/>
      </c>
      <c r="S153" t="n">
        <v>5</v>
      </c>
    </row>
    <row r="154">
      <c r="A154" t="inlineStr">
        <is>
          <t>SS-01153</t>
        </is>
      </c>
      <c r="B154" t="inlineStr">
        <is>
          <t>sterile surgical pack 104</t>
        </is>
      </c>
      <c r="C154" t="inlineStr">
        <is>
          <t>surgical</t>
        </is>
      </c>
      <c r="D154" t="inlineStr">
        <is>
          <t>SterilePath Medical</t>
        </is>
      </c>
      <c r="E154" t="inlineStr">
        <is>
          <t>HOSP-1</t>
        </is>
      </c>
      <c r="F154" t="inlineStr">
        <is>
          <t>LOT-07153</t>
        </is>
      </c>
      <c r="G154" t="n">
        <v>19.82</v>
      </c>
      <c r="H154" t="n">
        <v>14</v>
      </c>
      <c r="I154" t="n">
        <v>0</v>
      </c>
      <c r="J154" t="inlineStr">
        <is>
          <t>clear</t>
        </is>
      </c>
      <c r="K154">
        <f>IF(J154="recalled",0,MAX(0,H154-I154))</f>
        <v/>
      </c>
      <c r="L154">
        <f>K154*G154</f>
        <v/>
      </c>
      <c r="M154">
        <f>H154*G154</f>
        <v/>
      </c>
      <c r="N154" t="n">
        <v>8</v>
      </c>
      <c r="O154" t="inlineStr">
        <is>
          <t>D2-10</t>
        </is>
      </c>
      <c r="P154" s="7" t="n">
        <v>46648</v>
      </c>
      <c r="Q154">
        <f>P154-Inputs!$B$4</f>
        <v/>
      </c>
      <c r="R154">
        <f>IF(Q154&lt;0,"expired",IF(Q154&lt;=30,"&lt;=30d",IF(Q154&lt;=90,"31-90d",IF(Q154&lt;=180,"91-180d","&gt;180d"))))</f>
        <v/>
      </c>
      <c r="S154" t="n">
        <v>10</v>
      </c>
    </row>
    <row r="155">
      <c r="A155" t="inlineStr">
        <is>
          <t>SS-01154</t>
        </is>
      </c>
      <c r="B155" t="inlineStr">
        <is>
          <t>diagnostic collection set 105</t>
        </is>
      </c>
      <c r="C155" t="inlineStr">
        <is>
          <t>diagnostic</t>
        </is>
      </c>
      <c r="D155" t="inlineStr">
        <is>
          <t>Aegis Clinical Supply</t>
        </is>
      </c>
      <c r="E155" t="inlineStr">
        <is>
          <t>HOSP-2</t>
        </is>
      </c>
      <c r="F155" t="inlineStr">
        <is>
          <t>LOT-07154</t>
        </is>
      </c>
      <c r="G155" t="n">
        <v>33.26</v>
      </c>
      <c r="H155" t="n">
        <v>22</v>
      </c>
      <c r="I155" t="n">
        <v>0</v>
      </c>
      <c r="J155" t="inlineStr">
        <is>
          <t>clear</t>
        </is>
      </c>
      <c r="K155">
        <f>IF(J155="recalled",0,MAX(0,H155-I155))</f>
        <v/>
      </c>
      <c r="L155">
        <f>K155*G155</f>
        <v/>
      </c>
      <c r="M155">
        <f>H155*G155</f>
        <v/>
      </c>
      <c r="N155" t="n">
        <v>10</v>
      </c>
      <c r="O155" t="inlineStr">
        <is>
          <t>A3-21</t>
        </is>
      </c>
      <c r="P155" s="7" t="n">
        <v>46679</v>
      </c>
      <c r="Q155">
        <f>P155-Inputs!$B$4</f>
        <v/>
      </c>
      <c r="R155">
        <f>IF(Q155&lt;0,"expired",IF(Q155&lt;=30,"&lt;=30d",IF(Q155&lt;=90,"31-90d",IF(Q155&lt;=180,"91-180d","&gt;180d"))))</f>
        <v/>
      </c>
      <c r="S155" t="n">
        <v>5</v>
      </c>
    </row>
    <row r="156">
      <c r="A156" t="inlineStr">
        <is>
          <t>SS-01155</t>
        </is>
      </c>
      <c r="B156" t="inlineStr">
        <is>
          <t>advanced wound dressing 106</t>
        </is>
      </c>
      <c r="C156" t="inlineStr">
        <is>
          <t>wound</t>
        </is>
      </c>
      <c r="D156" t="inlineStr">
        <is>
          <t>HarborMed Logistics</t>
        </is>
      </c>
      <c r="E156" t="inlineStr">
        <is>
          <t>HOSP-3</t>
        </is>
      </c>
      <c r="F156" t="inlineStr">
        <is>
          <t>LOT-07155</t>
        </is>
      </c>
      <c r="G156" t="n">
        <v>14.54</v>
      </c>
      <c r="H156" t="n">
        <v>0</v>
      </c>
      <c r="I156" t="n">
        <v>0</v>
      </c>
      <c r="J156" t="inlineStr">
        <is>
          <t>clear</t>
        </is>
      </c>
      <c r="K156">
        <f>IF(J156="recalled",0,MAX(0,H156-I156))</f>
        <v/>
      </c>
      <c r="L156">
        <f>K156*G156</f>
        <v/>
      </c>
      <c r="M156">
        <f>H156*G156</f>
        <v/>
      </c>
      <c r="N156" t="n">
        <v>4</v>
      </c>
      <c r="O156" t="inlineStr">
        <is>
          <t>B4-11</t>
        </is>
      </c>
      <c r="P156" s="7" t="n">
        <v>46711</v>
      </c>
      <c r="Q156">
        <f>P156-Inputs!$B$4</f>
        <v/>
      </c>
      <c r="R156">
        <f>IF(Q156&lt;0,"expired",IF(Q156&lt;=30,"&lt;=30d",IF(Q156&lt;=90,"31-90d",IF(Q156&lt;=180,"91-180d","&gt;180d"))))</f>
        <v/>
      </c>
      <c r="S156" t="n">
        <v>5</v>
      </c>
    </row>
    <row r="157">
      <c r="A157" t="inlineStr">
        <is>
          <t>SS-01156</t>
        </is>
      </c>
      <c r="B157" t="inlineStr">
        <is>
          <t>vascular access kit 107</t>
        </is>
      </c>
      <c r="C157" t="inlineStr">
        <is>
          <t>vascular</t>
        </is>
      </c>
      <c r="D157" t="inlineStr">
        <is>
          <t>Northstar Surgical</t>
        </is>
      </c>
      <c r="E157" t="inlineStr">
        <is>
          <t>HOSP-4</t>
        </is>
      </c>
      <c r="F157" t="inlineStr">
        <is>
          <t>LOT-07156</t>
        </is>
      </c>
      <c r="G157" t="n">
        <v>22.87</v>
      </c>
      <c r="H157" t="n">
        <v>2</v>
      </c>
      <c r="I157" t="n">
        <v>0</v>
      </c>
      <c r="J157" t="inlineStr">
        <is>
          <t>clear</t>
        </is>
      </c>
      <c r="K157">
        <f>IF(J157="recalled",0,MAX(0,H157-I157))</f>
        <v/>
      </c>
      <c r="L157">
        <f>K157*G157</f>
        <v/>
      </c>
      <c r="M157">
        <f>H157*G157</f>
        <v/>
      </c>
      <c r="N157" t="n">
        <v>6</v>
      </c>
      <c r="O157" t="inlineStr">
        <is>
          <t>D4-16</t>
        </is>
      </c>
      <c r="P157" s="7" t="n">
        <v>46742</v>
      </c>
      <c r="Q157">
        <f>P157-Inputs!$B$4</f>
        <v/>
      </c>
      <c r="R157">
        <f>IF(Q157&lt;0,"expired",IF(Q157&lt;=30,"&lt;=30d",IF(Q157&lt;=90,"31-90d",IF(Q157&lt;=180,"91-180d","&gt;180d"))))</f>
        <v/>
      </c>
      <c r="S157" t="n">
        <v>5</v>
      </c>
    </row>
    <row r="158">
      <c r="A158" t="inlineStr">
        <is>
          <t>SS-01157</t>
        </is>
      </c>
      <c r="B158" t="inlineStr">
        <is>
          <t>respiratory circuit 108</t>
        </is>
      </c>
      <c r="C158" t="inlineStr">
        <is>
          <t>respiratory</t>
        </is>
      </c>
      <c r="D158" t="inlineStr">
        <is>
          <t>MedAxis Distribution</t>
        </is>
      </c>
      <c r="E158" t="inlineStr">
        <is>
          <t>HOSP-1</t>
        </is>
      </c>
      <c r="F158" t="inlineStr">
        <is>
          <t>LOT-07157</t>
        </is>
      </c>
      <c r="G158" t="n">
        <v>32.69</v>
      </c>
      <c r="H158" t="n">
        <v>75</v>
      </c>
      <c r="I158" t="n">
        <v>0</v>
      </c>
      <c r="J158" t="inlineStr">
        <is>
          <t>clear</t>
        </is>
      </c>
      <c r="K158">
        <f>IF(J158="recalled",0,MAX(0,H158-I158))</f>
        <v/>
      </c>
      <c r="L158">
        <f>K158*G158</f>
        <v/>
      </c>
      <c r="M158">
        <f>H158*G158</f>
        <v/>
      </c>
      <c r="N158" t="n">
        <v>4</v>
      </c>
      <c r="O158" t="inlineStr">
        <is>
          <t>B6-07</t>
        </is>
      </c>
      <c r="P158" s="7" t="n">
        <v>46409</v>
      </c>
      <c r="Q158">
        <f>P158-Inputs!$B$4</f>
        <v/>
      </c>
      <c r="R158">
        <f>IF(Q158&lt;0,"expired",IF(Q158&lt;=30,"&lt;=30d",IF(Q158&lt;=90,"31-90d",IF(Q158&lt;=180,"91-180d","&gt;180d"))))</f>
        <v/>
      </c>
      <c r="S158" t="n">
        <v>5</v>
      </c>
    </row>
    <row r="159">
      <c r="A159" t="inlineStr">
        <is>
          <t>SS-01158</t>
        </is>
      </c>
      <c r="B159" t="inlineStr">
        <is>
          <t>sterile surgical pack 109</t>
        </is>
      </c>
      <c r="C159" t="inlineStr">
        <is>
          <t>surgical</t>
        </is>
      </c>
      <c r="D159" t="inlineStr">
        <is>
          <t>SterilePath Medical</t>
        </is>
      </c>
      <c r="E159" t="inlineStr">
        <is>
          <t>HOSP-2</t>
        </is>
      </c>
      <c r="F159" t="inlineStr">
        <is>
          <t>LOT-07158</t>
        </is>
      </c>
      <c r="G159" t="n">
        <v>20.23</v>
      </c>
      <c r="H159" t="n">
        <v>13</v>
      </c>
      <c r="I159" t="n">
        <v>0</v>
      </c>
      <c r="J159" t="inlineStr">
        <is>
          <t>clear</t>
        </is>
      </c>
      <c r="K159">
        <f>IF(J159="recalled",0,MAX(0,H159-I159))</f>
        <v/>
      </c>
      <c r="L159">
        <f>K159*G159</f>
        <v/>
      </c>
      <c r="M159">
        <f>H159*G159</f>
        <v/>
      </c>
      <c r="N159" t="n">
        <v>5</v>
      </c>
      <c r="O159" t="inlineStr">
        <is>
          <t>D12-10</t>
        </is>
      </c>
      <c r="P159" s="7" t="n">
        <v>46441</v>
      </c>
      <c r="Q159">
        <f>P159-Inputs!$B$4</f>
        <v/>
      </c>
      <c r="R159">
        <f>IF(Q159&lt;0,"expired",IF(Q159&lt;=30,"&lt;=30d",IF(Q159&lt;=90,"31-90d",IF(Q159&lt;=180,"91-180d","&gt;180d"))))</f>
        <v/>
      </c>
      <c r="S159" t="n">
        <v>5</v>
      </c>
    </row>
    <row r="160">
      <c r="A160" t="inlineStr">
        <is>
          <t>SS-01159</t>
        </is>
      </c>
      <c r="B160" t="inlineStr">
        <is>
          <t>diagnostic collection set 110</t>
        </is>
      </c>
      <c r="C160" t="inlineStr">
        <is>
          <t>diagnostic</t>
        </is>
      </c>
      <c r="D160" t="inlineStr">
        <is>
          <t>Aegis Clinical Supply</t>
        </is>
      </c>
      <c r="E160" t="inlineStr">
        <is>
          <t>HOSP-3</t>
        </is>
      </c>
      <c r="F160" t="inlineStr">
        <is>
          <t>LOT-07159</t>
        </is>
      </c>
      <c r="G160" t="n">
        <v>5.17</v>
      </c>
      <c r="H160" t="n">
        <v>32</v>
      </c>
      <c r="I160" t="n">
        <v>0</v>
      </c>
      <c r="J160" t="inlineStr">
        <is>
          <t>clear</t>
        </is>
      </c>
      <c r="K160">
        <f>IF(J160="recalled",0,MAX(0,H160-I160))</f>
        <v/>
      </c>
      <c r="L160">
        <f>K160*G160</f>
        <v/>
      </c>
      <c r="M160">
        <f>H160*G160</f>
        <v/>
      </c>
      <c r="N160" t="n">
        <v>6</v>
      </c>
      <c r="O160" t="inlineStr">
        <is>
          <t>B7-15</t>
        </is>
      </c>
      <c r="P160" s="7" t="n">
        <v>46470</v>
      </c>
      <c r="Q160">
        <f>P160-Inputs!$B$4</f>
        <v/>
      </c>
      <c r="R160">
        <f>IF(Q160&lt;0,"expired",IF(Q160&lt;=30,"&lt;=30d",IF(Q160&lt;=90,"31-90d",IF(Q160&lt;=180,"91-180d","&gt;180d"))))</f>
        <v/>
      </c>
      <c r="S160" t="n">
        <v>5</v>
      </c>
    </row>
    <row r="161">
      <c r="A161" t="inlineStr">
        <is>
          <t>SS-01160</t>
        </is>
      </c>
      <c r="B161" t="inlineStr">
        <is>
          <t>advanced wound dressing 111</t>
        </is>
      </c>
      <c r="C161" t="inlineStr">
        <is>
          <t>wound</t>
        </is>
      </c>
      <c r="D161" t="inlineStr">
        <is>
          <t>HarborMed Logistics</t>
        </is>
      </c>
      <c r="E161" t="inlineStr">
        <is>
          <t>HOSP-4</t>
        </is>
      </c>
      <c r="F161" t="inlineStr">
        <is>
          <t>LOT-07160</t>
        </is>
      </c>
      <c r="G161" t="n">
        <v>29.96</v>
      </c>
      <c r="H161" t="n">
        <v>19</v>
      </c>
      <c r="I161" t="n">
        <v>0</v>
      </c>
      <c r="J161" t="inlineStr">
        <is>
          <t>clear</t>
        </is>
      </c>
      <c r="K161">
        <f>IF(J161="recalled",0,MAX(0,H161-I161))</f>
        <v/>
      </c>
      <c r="L161">
        <f>K161*G161</f>
        <v/>
      </c>
      <c r="M161">
        <f>H161*G161</f>
        <v/>
      </c>
      <c r="N161" t="n">
        <v>7</v>
      </c>
      <c r="O161" t="inlineStr">
        <is>
          <t>A4-08</t>
        </is>
      </c>
      <c r="P161" s="7" t="n">
        <v>46502</v>
      </c>
      <c r="Q161">
        <f>P161-Inputs!$B$4</f>
        <v/>
      </c>
      <c r="R161">
        <f>IF(Q161&lt;0,"expired",IF(Q161&lt;=30,"&lt;=30d",IF(Q161&lt;=90,"31-90d",IF(Q161&lt;=180,"91-180d","&gt;180d"))))</f>
        <v/>
      </c>
      <c r="S161" t="n">
        <v>5</v>
      </c>
    </row>
    <row r="162">
      <c r="A162" t="inlineStr">
        <is>
          <t>SS-01161</t>
        </is>
      </c>
      <c r="B162" t="inlineStr">
        <is>
          <t>vascular access kit 112</t>
        </is>
      </c>
      <c r="C162" t="inlineStr">
        <is>
          <t>vascular</t>
        </is>
      </c>
      <c r="D162" t="inlineStr">
        <is>
          <t>Northstar Surgical</t>
        </is>
      </c>
      <c r="E162" t="inlineStr">
        <is>
          <t>HOSP-1</t>
        </is>
      </c>
      <c r="F162" t="inlineStr">
        <is>
          <t>LOT-07161</t>
        </is>
      </c>
      <c r="G162" t="n">
        <v>50.49</v>
      </c>
      <c r="H162" t="n">
        <v>2</v>
      </c>
      <c r="I162" t="n">
        <v>0</v>
      </c>
      <c r="J162" t="inlineStr">
        <is>
          <t>clear</t>
        </is>
      </c>
      <c r="K162">
        <f>IF(J162="recalled",0,MAX(0,H162-I162))</f>
        <v/>
      </c>
      <c r="L162">
        <f>K162*G162</f>
        <v/>
      </c>
      <c r="M162">
        <f>H162*G162</f>
        <v/>
      </c>
      <c r="N162" t="n">
        <v>6</v>
      </c>
      <c r="O162" t="inlineStr">
        <is>
          <t>G4-03</t>
        </is>
      </c>
      <c r="P162" s="7" t="n">
        <v>46533</v>
      </c>
      <c r="Q162">
        <f>P162-Inputs!$B$4</f>
        <v/>
      </c>
      <c r="R162">
        <f>IF(Q162&lt;0,"expired",IF(Q162&lt;=30,"&lt;=30d",IF(Q162&lt;=90,"31-90d",IF(Q162&lt;=180,"91-180d","&gt;180d"))))</f>
        <v/>
      </c>
      <c r="S162" t="n">
        <v>5</v>
      </c>
    </row>
    <row r="163">
      <c r="A163" t="inlineStr">
        <is>
          <t>SS-01162</t>
        </is>
      </c>
      <c r="B163" t="inlineStr">
        <is>
          <t>respiratory circuit 113</t>
        </is>
      </c>
      <c r="C163" t="inlineStr">
        <is>
          <t>respiratory</t>
        </is>
      </c>
      <c r="D163" t="inlineStr">
        <is>
          <t>MedAxis Distribution</t>
        </is>
      </c>
      <c r="E163" t="inlineStr">
        <is>
          <t>HOSP-2</t>
        </is>
      </c>
      <c r="F163" t="inlineStr">
        <is>
          <t>LOT-07162</t>
        </is>
      </c>
      <c r="G163" t="n">
        <v>18.96</v>
      </c>
      <c r="H163" t="n">
        <v>3</v>
      </c>
      <c r="I163" t="n">
        <v>0</v>
      </c>
      <c r="J163" t="inlineStr">
        <is>
          <t>clear</t>
        </is>
      </c>
      <c r="K163">
        <f>IF(J163="recalled",0,MAX(0,H163-I163))</f>
        <v/>
      </c>
      <c r="L163">
        <f>K163*G163</f>
        <v/>
      </c>
      <c r="M163">
        <f>H163*G163</f>
        <v/>
      </c>
      <c r="N163" t="n">
        <v>2</v>
      </c>
      <c r="O163" t="inlineStr">
        <is>
          <t>B10-03</t>
        </is>
      </c>
      <c r="P163" s="7" t="n">
        <v>46565</v>
      </c>
      <c r="Q163">
        <f>P163-Inputs!$B$4</f>
        <v/>
      </c>
      <c r="R163">
        <f>IF(Q163&lt;0,"expired",IF(Q163&lt;=30,"&lt;=30d",IF(Q163&lt;=90,"31-90d",IF(Q163&lt;=180,"91-180d","&gt;180d"))))</f>
        <v/>
      </c>
      <c r="S163" t="n">
        <v>5</v>
      </c>
    </row>
    <row r="164">
      <c r="A164" t="inlineStr">
        <is>
          <t>SS-01163</t>
        </is>
      </c>
      <c r="B164" t="inlineStr">
        <is>
          <t>sterile surgical pack 114</t>
        </is>
      </c>
      <c r="C164" t="inlineStr">
        <is>
          <t>surgical</t>
        </is>
      </c>
      <c r="D164" t="inlineStr">
        <is>
          <t>SterilePath Medical</t>
        </is>
      </c>
      <c r="E164" t="inlineStr">
        <is>
          <t>HOSP-3</t>
        </is>
      </c>
      <c r="F164" t="inlineStr">
        <is>
          <t>LOT-07163</t>
        </is>
      </c>
      <c r="G164" t="n">
        <v>13.68</v>
      </c>
      <c r="H164" t="n">
        <v>8</v>
      </c>
      <c r="I164" t="n">
        <v>0</v>
      </c>
      <c r="J164" t="inlineStr">
        <is>
          <t>clear</t>
        </is>
      </c>
      <c r="K164">
        <f>IF(J164="recalled",0,MAX(0,H164-I164))</f>
        <v/>
      </c>
      <c r="L164">
        <f>K164*G164</f>
        <v/>
      </c>
      <c r="M164">
        <f>H164*G164</f>
        <v/>
      </c>
      <c r="N164" t="n">
        <v>6</v>
      </c>
      <c r="O164" t="inlineStr">
        <is>
          <t>D6-24</t>
        </is>
      </c>
      <c r="P164" s="7" t="n">
        <v>46569</v>
      </c>
      <c r="Q164">
        <f>P164-Inputs!$B$4</f>
        <v/>
      </c>
      <c r="R164">
        <f>IF(Q164&lt;0,"expired",IF(Q164&lt;=30,"&lt;=30d",IF(Q164&lt;=90,"31-90d",IF(Q164&lt;=180,"91-180d","&gt;180d"))))</f>
        <v/>
      </c>
      <c r="S164" t="n">
        <v>5</v>
      </c>
    </row>
    <row r="165">
      <c r="A165" t="inlineStr">
        <is>
          <t>SS-01164</t>
        </is>
      </c>
      <c r="B165" t="inlineStr">
        <is>
          <t>diagnostic collection set 115</t>
        </is>
      </c>
      <c r="C165" t="inlineStr">
        <is>
          <t>diagnostic</t>
        </is>
      </c>
      <c r="D165" t="inlineStr">
        <is>
          <t>Aegis Clinical Supply</t>
        </is>
      </c>
      <c r="E165" t="inlineStr">
        <is>
          <t>HOSP-4</t>
        </is>
      </c>
      <c r="F165" t="inlineStr">
        <is>
          <t>LOT-07164</t>
        </is>
      </c>
      <c r="G165" t="n">
        <v>35.93</v>
      </c>
      <c r="H165" t="n">
        <v>0</v>
      </c>
      <c r="I165" t="n">
        <v>0</v>
      </c>
      <c r="J165" t="inlineStr">
        <is>
          <t>clear</t>
        </is>
      </c>
      <c r="K165">
        <f>IF(J165="recalled",0,MAX(0,H165-I165))</f>
        <v/>
      </c>
      <c r="L165">
        <f>K165*G165</f>
        <v/>
      </c>
      <c r="M165">
        <f>H165*G165</f>
        <v/>
      </c>
      <c r="N165" t="n">
        <v>3</v>
      </c>
      <c r="O165" t="inlineStr">
        <is>
          <t>B1-22</t>
        </is>
      </c>
      <c r="P165" s="7" t="n">
        <v>46601</v>
      </c>
      <c r="Q165">
        <f>P165-Inputs!$B$4</f>
        <v/>
      </c>
      <c r="R165">
        <f>IF(Q165&lt;0,"expired",IF(Q165&lt;=30,"&lt;=30d",IF(Q165&lt;=90,"31-90d",IF(Q165&lt;=180,"91-180d","&gt;180d"))))</f>
        <v/>
      </c>
      <c r="S165" t="n">
        <v>5</v>
      </c>
    </row>
    <row r="166">
      <c r="A166" t="inlineStr">
        <is>
          <t>SS-01165</t>
        </is>
      </c>
      <c r="B166" t="inlineStr">
        <is>
          <t>advanced wound dressing 116</t>
        </is>
      </c>
      <c r="C166" t="inlineStr">
        <is>
          <t>wound</t>
        </is>
      </c>
      <c r="D166" t="inlineStr">
        <is>
          <t>HarborMed Logistics</t>
        </is>
      </c>
      <c r="E166" t="inlineStr">
        <is>
          <t>HOSP-1</t>
        </is>
      </c>
      <c r="F166" t="inlineStr">
        <is>
          <t>LOT-07165</t>
        </is>
      </c>
      <c r="G166" t="n">
        <v>24.28</v>
      </c>
      <c r="H166" t="n">
        <v>0</v>
      </c>
      <c r="I166" t="n">
        <v>0</v>
      </c>
      <c r="J166" t="inlineStr">
        <is>
          <t>clear</t>
        </is>
      </c>
      <c r="K166">
        <f>IF(J166="recalled",0,MAX(0,H166-I166))</f>
        <v/>
      </c>
      <c r="L166">
        <f>K166*G166</f>
        <v/>
      </c>
      <c r="M166">
        <f>H166*G166</f>
        <v/>
      </c>
      <c r="N166" t="n">
        <v>5</v>
      </c>
      <c r="O166" t="inlineStr">
        <is>
          <t>D6-12</t>
        </is>
      </c>
      <c r="P166" s="7" t="n">
        <v>46633</v>
      </c>
      <c r="Q166">
        <f>P166-Inputs!$B$4</f>
        <v/>
      </c>
      <c r="R166">
        <f>IF(Q166&lt;0,"expired",IF(Q166&lt;=30,"&lt;=30d",IF(Q166&lt;=90,"31-90d",IF(Q166&lt;=180,"91-180d","&gt;180d"))))</f>
        <v/>
      </c>
      <c r="S166" t="n">
        <v>5</v>
      </c>
    </row>
    <row r="167">
      <c r="A167" t="inlineStr">
        <is>
          <t>SS-01166</t>
        </is>
      </c>
      <c r="B167" t="inlineStr">
        <is>
          <t>vascular access kit 117</t>
        </is>
      </c>
      <c r="C167" t="inlineStr">
        <is>
          <t>vascular</t>
        </is>
      </c>
      <c r="D167" t="inlineStr">
        <is>
          <t>Northstar Surgical</t>
        </is>
      </c>
      <c r="E167" t="inlineStr">
        <is>
          <t>HOSP-2</t>
        </is>
      </c>
      <c r="F167" t="inlineStr">
        <is>
          <t>LOT-07166</t>
        </is>
      </c>
      <c r="G167" t="n">
        <v>49.12</v>
      </c>
      <c r="H167" t="n">
        <v>8</v>
      </c>
      <c r="I167" t="n">
        <v>4</v>
      </c>
      <c r="J167" t="inlineStr">
        <is>
          <t>clear</t>
        </is>
      </c>
      <c r="K167">
        <f>IF(J167="recalled",0,MAX(0,H167-I167))</f>
        <v/>
      </c>
      <c r="L167">
        <f>K167*G167</f>
        <v/>
      </c>
      <c r="M167">
        <f>H167*G167</f>
        <v/>
      </c>
      <c r="N167" t="n">
        <v>3</v>
      </c>
      <c r="O167" t="inlineStr">
        <is>
          <t>G2-13</t>
        </is>
      </c>
      <c r="P167" s="7" t="n">
        <v>46664</v>
      </c>
      <c r="Q167">
        <f>P167-Inputs!$B$4</f>
        <v/>
      </c>
      <c r="R167">
        <f>IF(Q167&lt;0,"expired",IF(Q167&lt;=30,"&lt;=30d",IF(Q167&lt;=90,"31-90d",IF(Q167&lt;=180,"91-180d","&gt;180d"))))</f>
        <v/>
      </c>
      <c r="S167" t="n">
        <v>5</v>
      </c>
    </row>
    <row r="168">
      <c r="A168" t="inlineStr">
        <is>
          <t>SS-01167</t>
        </is>
      </c>
      <c r="B168" t="inlineStr">
        <is>
          <t>respiratory circuit 118</t>
        </is>
      </c>
      <c r="C168" t="inlineStr">
        <is>
          <t>respiratory</t>
        </is>
      </c>
      <c r="D168" t="inlineStr">
        <is>
          <t>MedAxis Distribution</t>
        </is>
      </c>
      <c r="E168" t="inlineStr">
        <is>
          <t>HOSP-3</t>
        </is>
      </c>
      <c r="F168" t="inlineStr">
        <is>
          <t>LOT-07167</t>
        </is>
      </c>
      <c r="G168" t="n">
        <v>10.57</v>
      </c>
      <c r="H168" t="n">
        <v>21</v>
      </c>
      <c r="I168" t="n">
        <v>0</v>
      </c>
      <c r="J168" t="inlineStr">
        <is>
          <t>clear</t>
        </is>
      </c>
      <c r="K168">
        <f>IF(J168="recalled",0,MAX(0,H168-I168))</f>
        <v/>
      </c>
      <c r="L168">
        <f>K168*G168</f>
        <v/>
      </c>
      <c r="M168">
        <f>H168*G168</f>
        <v/>
      </c>
      <c r="N168" t="n">
        <v>8</v>
      </c>
      <c r="O168" t="inlineStr">
        <is>
          <t>D3-18</t>
        </is>
      </c>
      <c r="P168" s="7" t="n">
        <v>46696</v>
      </c>
      <c r="Q168">
        <f>P168-Inputs!$B$4</f>
        <v/>
      </c>
      <c r="R168">
        <f>IF(Q168&lt;0,"expired",IF(Q168&lt;=30,"&lt;=30d",IF(Q168&lt;=90,"31-90d",IF(Q168&lt;=180,"91-180d","&gt;180d"))))</f>
        <v/>
      </c>
      <c r="S168" t="n">
        <v>5</v>
      </c>
    </row>
    <row r="169">
      <c r="A169" t="inlineStr">
        <is>
          <t>SS-01168</t>
        </is>
      </c>
      <c r="B169" t="inlineStr">
        <is>
          <t>sterile surgical pack 119</t>
        </is>
      </c>
      <c r="C169" t="inlineStr">
        <is>
          <t>surgical</t>
        </is>
      </c>
      <c r="D169" t="inlineStr">
        <is>
          <t>SterilePath Medical</t>
        </is>
      </c>
      <c r="E169" t="inlineStr">
        <is>
          <t>HOSP-4</t>
        </is>
      </c>
      <c r="F169" t="inlineStr">
        <is>
          <t>LOT-07168</t>
        </is>
      </c>
      <c r="G169" t="n">
        <v>27.91</v>
      </c>
      <c r="H169" t="n">
        <v>4</v>
      </c>
      <c r="I169" t="n">
        <v>0</v>
      </c>
      <c r="J169" t="inlineStr">
        <is>
          <t>clear</t>
        </is>
      </c>
      <c r="K169">
        <f>IF(J169="recalled",0,MAX(0,H169-I169))</f>
        <v/>
      </c>
      <c r="L169">
        <f>K169*G169</f>
        <v/>
      </c>
      <c r="M169">
        <f>H169*G169</f>
        <v/>
      </c>
      <c r="N169" t="n">
        <v>4</v>
      </c>
      <c r="O169" t="inlineStr">
        <is>
          <t>B8-05</t>
        </is>
      </c>
      <c r="P169" s="7" t="n">
        <v>46727</v>
      </c>
      <c r="Q169">
        <f>P169-Inputs!$B$4</f>
        <v/>
      </c>
      <c r="R169">
        <f>IF(Q169&lt;0,"expired",IF(Q169&lt;=30,"&lt;=30d",IF(Q169&lt;=90,"31-90d",IF(Q169&lt;=180,"91-180d","&gt;180d"))))</f>
        <v/>
      </c>
      <c r="S169" t="n">
        <v>5</v>
      </c>
    </row>
    <row r="170">
      <c r="A170" t="inlineStr">
        <is>
          <t>SS-01169</t>
        </is>
      </c>
      <c r="B170" t="inlineStr">
        <is>
          <t>diagnostic collection set 120</t>
        </is>
      </c>
      <c r="C170" t="inlineStr">
        <is>
          <t>diagnostic</t>
        </is>
      </c>
      <c r="D170" t="inlineStr">
        <is>
          <t>Aegis Clinical Supply</t>
        </is>
      </c>
      <c r="E170" t="inlineStr">
        <is>
          <t>HOSP-1</t>
        </is>
      </c>
      <c r="F170" t="inlineStr">
        <is>
          <t>LOT-07169</t>
        </is>
      </c>
      <c r="G170" t="n">
        <v>18.82</v>
      </c>
      <c r="H170" t="n">
        <v>0</v>
      </c>
      <c r="I170" t="n">
        <v>0</v>
      </c>
      <c r="J170" t="inlineStr">
        <is>
          <t>clear</t>
        </is>
      </c>
      <c r="K170">
        <f>IF(J170="recalled",0,MAX(0,H170-I170))</f>
        <v/>
      </c>
      <c r="L170">
        <f>K170*G170</f>
        <v/>
      </c>
      <c r="M170">
        <f>H170*G170</f>
        <v/>
      </c>
      <c r="N170" t="n">
        <v>4</v>
      </c>
      <c r="O170" t="inlineStr">
        <is>
          <t>B12-03</t>
        </is>
      </c>
      <c r="P170" s="7" t="n">
        <v>46394</v>
      </c>
      <c r="Q170">
        <f>P170-Inputs!$B$4</f>
        <v/>
      </c>
      <c r="R170">
        <f>IF(Q170&lt;0,"expired",IF(Q170&lt;=30,"&lt;=30d",IF(Q170&lt;=90,"31-90d",IF(Q170&lt;=180,"91-180d","&gt;180d"))))</f>
        <v/>
      </c>
      <c r="S170" t="n">
        <v>5</v>
      </c>
    </row>
    <row r="171">
      <c r="A171" t="inlineStr">
        <is>
          <t>SS-01170</t>
        </is>
      </c>
      <c r="B171" t="inlineStr">
        <is>
          <t>advanced wound dressing 121</t>
        </is>
      </c>
      <c r="C171" t="inlineStr">
        <is>
          <t>wound</t>
        </is>
      </c>
      <c r="D171" t="inlineStr">
        <is>
          <t>HarborMed Logistics</t>
        </is>
      </c>
      <c r="E171" t="inlineStr">
        <is>
          <t>HOSP-2</t>
        </is>
      </c>
      <c r="F171" t="inlineStr">
        <is>
          <t>LOT-07170</t>
        </is>
      </c>
      <c r="G171" t="n">
        <v>10.54</v>
      </c>
      <c r="H171" t="n">
        <v>43</v>
      </c>
      <c r="I171" t="n">
        <v>0</v>
      </c>
      <c r="J171" t="inlineStr">
        <is>
          <t>clear</t>
        </is>
      </c>
      <c r="K171">
        <f>IF(J171="recalled",0,MAX(0,H171-I171))</f>
        <v/>
      </c>
      <c r="L171">
        <f>K171*G171</f>
        <v/>
      </c>
      <c r="M171">
        <f>H171*G171</f>
        <v/>
      </c>
      <c r="N171" t="n">
        <v>3</v>
      </c>
      <c r="O171" t="inlineStr">
        <is>
          <t>F8-17</t>
        </is>
      </c>
      <c r="P171" s="7" t="n">
        <v>46426</v>
      </c>
      <c r="Q171">
        <f>P171-Inputs!$B$4</f>
        <v/>
      </c>
      <c r="R171">
        <f>IF(Q171&lt;0,"expired",IF(Q171&lt;=30,"&lt;=30d",IF(Q171&lt;=90,"31-90d",IF(Q171&lt;=180,"91-180d","&gt;180d"))))</f>
        <v/>
      </c>
      <c r="S171" t="n">
        <v>11</v>
      </c>
    </row>
    <row r="172">
      <c r="A172" t="inlineStr">
        <is>
          <t>SS-01171</t>
        </is>
      </c>
      <c r="B172" t="inlineStr">
        <is>
          <t>vascular access kit 122</t>
        </is>
      </c>
      <c r="C172" t="inlineStr">
        <is>
          <t>vascular</t>
        </is>
      </c>
      <c r="D172" t="inlineStr">
        <is>
          <t>Northstar Surgical</t>
        </is>
      </c>
      <c r="E172" t="inlineStr">
        <is>
          <t>HOSP-3</t>
        </is>
      </c>
      <c r="F172" t="inlineStr">
        <is>
          <t>LOT-07171</t>
        </is>
      </c>
      <c r="G172" t="n">
        <v>10.67</v>
      </c>
      <c r="H172" t="n">
        <v>31</v>
      </c>
      <c r="I172" t="n">
        <v>0</v>
      </c>
      <c r="J172" t="inlineStr">
        <is>
          <t>clear</t>
        </is>
      </c>
      <c r="K172">
        <f>IF(J172="recalled",0,MAX(0,H172-I172))</f>
        <v/>
      </c>
      <c r="L172">
        <f>K172*G172</f>
        <v/>
      </c>
      <c r="M172">
        <f>H172*G172</f>
        <v/>
      </c>
      <c r="N172" t="n">
        <v>3</v>
      </c>
      <c r="O172" t="inlineStr">
        <is>
          <t>B12-22</t>
        </is>
      </c>
      <c r="P172" s="7" t="n">
        <v>46455</v>
      </c>
      <c r="Q172">
        <f>P172-Inputs!$B$4</f>
        <v/>
      </c>
      <c r="R172">
        <f>IF(Q172&lt;0,"expired",IF(Q172&lt;=30,"&lt;=30d",IF(Q172&lt;=90,"31-90d",IF(Q172&lt;=180,"91-180d","&gt;180d"))))</f>
        <v/>
      </c>
      <c r="S172" t="n">
        <v>5</v>
      </c>
    </row>
    <row r="173">
      <c r="A173" t="inlineStr">
        <is>
          <t>SS-01172</t>
        </is>
      </c>
      <c r="B173" t="inlineStr">
        <is>
          <t>respiratory circuit 123</t>
        </is>
      </c>
      <c r="C173" t="inlineStr">
        <is>
          <t>respiratory</t>
        </is>
      </c>
      <c r="D173" t="inlineStr">
        <is>
          <t>MedAxis Distribution</t>
        </is>
      </c>
      <c r="E173" t="inlineStr">
        <is>
          <t>HOSP-4</t>
        </is>
      </c>
      <c r="F173" t="inlineStr">
        <is>
          <t>LOT-07172</t>
        </is>
      </c>
      <c r="G173" t="n">
        <v>32.39</v>
      </c>
      <c r="H173" t="n">
        <v>72</v>
      </c>
      <c r="I173" t="n">
        <v>0</v>
      </c>
      <c r="J173" t="inlineStr">
        <is>
          <t>clear</t>
        </is>
      </c>
      <c r="K173">
        <f>IF(J173="recalled",0,MAX(0,H173-I173))</f>
        <v/>
      </c>
      <c r="L173">
        <f>K173*G173</f>
        <v/>
      </c>
      <c r="M173">
        <f>H173*G173</f>
        <v/>
      </c>
      <c r="N173" t="n">
        <v>9</v>
      </c>
      <c r="O173" t="inlineStr">
        <is>
          <t>D4-22</t>
        </is>
      </c>
      <c r="P173" s="7" t="n">
        <v>46487</v>
      </c>
      <c r="Q173">
        <f>P173-Inputs!$B$4</f>
        <v/>
      </c>
      <c r="R173">
        <f>IF(Q173&lt;0,"expired",IF(Q173&lt;=30,"&lt;=30d",IF(Q173&lt;=90,"31-90d",IF(Q173&lt;=180,"91-180d","&gt;180d"))))</f>
        <v/>
      </c>
      <c r="S173" t="n">
        <v>5</v>
      </c>
    </row>
    <row r="174">
      <c r="A174" t="inlineStr">
        <is>
          <t>SS-01173</t>
        </is>
      </c>
      <c r="B174" t="inlineStr">
        <is>
          <t>sterile surgical pack 124</t>
        </is>
      </c>
      <c r="C174" t="inlineStr">
        <is>
          <t>surgical</t>
        </is>
      </c>
      <c r="D174" t="inlineStr">
        <is>
          <t>SterilePath Medical</t>
        </is>
      </c>
      <c r="E174" t="inlineStr">
        <is>
          <t>HOSP-1</t>
        </is>
      </c>
      <c r="F174" t="inlineStr">
        <is>
          <t>LOT-07173</t>
        </is>
      </c>
      <c r="G174" t="n">
        <v>20.83</v>
      </c>
      <c r="H174" t="n">
        <v>5</v>
      </c>
      <c r="I174" t="n">
        <v>0</v>
      </c>
      <c r="J174" t="inlineStr">
        <is>
          <t>clear</t>
        </is>
      </c>
      <c r="K174">
        <f>IF(J174="recalled",0,MAX(0,H174-I174))</f>
        <v/>
      </c>
      <c r="L174">
        <f>K174*G174</f>
        <v/>
      </c>
      <c r="M174">
        <f>H174*G174</f>
        <v/>
      </c>
      <c r="N174" t="n">
        <v>4</v>
      </c>
      <c r="O174" t="inlineStr">
        <is>
          <t>A6-13</t>
        </is>
      </c>
      <c r="P174" s="7" t="n">
        <v>46518</v>
      </c>
      <c r="Q174">
        <f>P174-Inputs!$B$4</f>
        <v/>
      </c>
      <c r="R174">
        <f>IF(Q174&lt;0,"expired",IF(Q174&lt;=30,"&lt;=30d",IF(Q174&lt;=90,"31-90d",IF(Q174&lt;=180,"91-180d","&gt;180d"))))</f>
        <v/>
      </c>
      <c r="S174" t="n">
        <v>5</v>
      </c>
    </row>
    <row r="175">
      <c r="A175" t="inlineStr">
        <is>
          <t>SS-01174</t>
        </is>
      </c>
      <c r="B175" t="inlineStr">
        <is>
          <t>diagnostic collection set 125</t>
        </is>
      </c>
      <c r="C175" t="inlineStr">
        <is>
          <t>diagnostic</t>
        </is>
      </c>
      <c r="D175" t="inlineStr">
        <is>
          <t>Aegis Clinical Supply</t>
        </is>
      </c>
      <c r="E175" t="inlineStr">
        <is>
          <t>HOSP-2</t>
        </is>
      </c>
      <c r="F175" t="inlineStr">
        <is>
          <t>LOT-07174</t>
        </is>
      </c>
      <c r="G175" t="n">
        <v>13.35</v>
      </c>
      <c r="H175" t="n">
        <v>3</v>
      </c>
      <c r="I175" t="n">
        <v>0</v>
      </c>
      <c r="J175" t="inlineStr">
        <is>
          <t>clear</t>
        </is>
      </c>
      <c r="K175">
        <f>IF(J175="recalled",0,MAX(0,H175-I175))</f>
        <v/>
      </c>
      <c r="L175">
        <f>K175*G175</f>
        <v/>
      </c>
      <c r="M175">
        <f>H175*G175</f>
        <v/>
      </c>
      <c r="N175" t="n">
        <v>6</v>
      </c>
      <c r="O175" t="inlineStr">
        <is>
          <t>D9-14</t>
        </is>
      </c>
      <c r="P175" s="7" t="n">
        <v>46550</v>
      </c>
      <c r="Q175">
        <f>P175-Inputs!$B$4</f>
        <v/>
      </c>
      <c r="R175">
        <f>IF(Q175&lt;0,"expired",IF(Q175&lt;=30,"&lt;=30d",IF(Q175&lt;=90,"31-90d",IF(Q175&lt;=180,"91-180d","&gt;180d"))))</f>
        <v/>
      </c>
      <c r="S175" t="n">
        <v>5</v>
      </c>
    </row>
    <row r="176">
      <c r="A176" t="inlineStr">
        <is>
          <t>SS-01175</t>
        </is>
      </c>
      <c r="B176" t="inlineStr">
        <is>
          <t>advanced wound dressing 126</t>
        </is>
      </c>
      <c r="C176" t="inlineStr">
        <is>
          <t>wound</t>
        </is>
      </c>
      <c r="D176" t="inlineStr">
        <is>
          <t>HarborMed Logistics</t>
        </is>
      </c>
      <c r="E176" t="inlineStr">
        <is>
          <t>HOSP-3</t>
        </is>
      </c>
      <c r="F176" t="inlineStr">
        <is>
          <t>LOT-07175</t>
        </is>
      </c>
      <c r="G176" t="n">
        <v>10.16</v>
      </c>
      <c r="H176" t="n">
        <v>57</v>
      </c>
      <c r="I176" t="n">
        <v>0</v>
      </c>
      <c r="J176" t="inlineStr">
        <is>
          <t>clear</t>
        </is>
      </c>
      <c r="K176">
        <f>IF(J176="recalled",0,MAX(0,H176-I176))</f>
        <v/>
      </c>
      <c r="L176">
        <f>K176*G176</f>
        <v/>
      </c>
      <c r="M176">
        <f>H176*G176</f>
        <v/>
      </c>
      <c r="N176" t="n">
        <v>7</v>
      </c>
      <c r="O176" t="inlineStr">
        <is>
          <t>E6-08</t>
        </is>
      </c>
      <c r="P176" s="7" t="n">
        <v>46581</v>
      </c>
      <c r="Q176">
        <f>P176-Inputs!$B$4</f>
        <v/>
      </c>
      <c r="R176">
        <f>IF(Q176&lt;0,"expired",IF(Q176&lt;=30,"&lt;=30d",IF(Q176&lt;=90,"31-90d",IF(Q176&lt;=180,"91-180d","&gt;180d"))))</f>
        <v/>
      </c>
      <c r="S176" t="n">
        <v>5</v>
      </c>
    </row>
    <row r="177">
      <c r="A177" t="inlineStr">
        <is>
          <t>SS-01176</t>
        </is>
      </c>
      <c r="B177" t="inlineStr">
        <is>
          <t>vascular access kit 127</t>
        </is>
      </c>
      <c r="C177" t="inlineStr">
        <is>
          <t>vascular</t>
        </is>
      </c>
      <c r="D177" t="inlineStr">
        <is>
          <t>Northstar Surgical</t>
        </is>
      </c>
      <c r="E177" t="inlineStr">
        <is>
          <t>HOSP-4</t>
        </is>
      </c>
      <c r="F177" t="inlineStr">
        <is>
          <t>LOT-07176</t>
        </is>
      </c>
      <c r="G177" t="n">
        <v>7.6</v>
      </c>
      <c r="H177" t="n">
        <v>0</v>
      </c>
      <c r="I177" t="n">
        <v>0</v>
      </c>
      <c r="J177" t="inlineStr">
        <is>
          <t>clear</t>
        </is>
      </c>
      <c r="K177">
        <f>IF(J177="recalled",0,MAX(0,H177-I177))</f>
        <v/>
      </c>
      <c r="L177">
        <f>K177*G177</f>
        <v/>
      </c>
      <c r="M177">
        <f>H177*G177</f>
        <v/>
      </c>
      <c r="N177" t="n">
        <v>2</v>
      </c>
      <c r="O177" t="inlineStr">
        <is>
          <t>J1-01</t>
        </is>
      </c>
      <c r="P177" s="7" t="n">
        <v>46613</v>
      </c>
      <c r="Q177">
        <f>P177-Inputs!$B$4</f>
        <v/>
      </c>
      <c r="R177">
        <f>IF(Q177&lt;0,"expired",IF(Q177&lt;=30,"&lt;=30d",IF(Q177&lt;=90,"31-90d",IF(Q177&lt;=180,"91-180d","&gt;180d"))))</f>
        <v/>
      </c>
      <c r="S177" t="n">
        <v>5</v>
      </c>
    </row>
    <row r="178">
      <c r="A178" t="inlineStr">
        <is>
          <t>SS-01177</t>
        </is>
      </c>
      <c r="B178" t="inlineStr">
        <is>
          <t>respiratory circuit 128</t>
        </is>
      </c>
      <c r="C178" t="inlineStr">
        <is>
          <t>respiratory</t>
        </is>
      </c>
      <c r="D178" t="inlineStr">
        <is>
          <t>MedAxis Distribution</t>
        </is>
      </c>
      <c r="E178" t="inlineStr">
        <is>
          <t>HOSP-1</t>
        </is>
      </c>
      <c r="F178" t="inlineStr">
        <is>
          <t>LOT-07177</t>
        </is>
      </c>
      <c r="G178" t="n">
        <v>18.03</v>
      </c>
      <c r="H178" t="n">
        <v>37</v>
      </c>
      <c r="I178" t="n">
        <v>1</v>
      </c>
      <c r="J178" t="inlineStr">
        <is>
          <t>clear</t>
        </is>
      </c>
      <c r="K178">
        <f>IF(J178="recalled",0,MAX(0,H178-I178))</f>
        <v/>
      </c>
      <c r="L178">
        <f>K178*G178</f>
        <v/>
      </c>
      <c r="M178">
        <f>H178*G178</f>
        <v/>
      </c>
      <c r="N178" t="n">
        <v>8</v>
      </c>
      <c r="O178" t="inlineStr">
        <is>
          <t>C5-05</t>
        </is>
      </c>
      <c r="P178" s="7" t="n">
        <v>46645</v>
      </c>
      <c r="Q178">
        <f>P178-Inputs!$B$4</f>
        <v/>
      </c>
      <c r="R178">
        <f>IF(Q178&lt;0,"expired",IF(Q178&lt;=30,"&lt;=30d",IF(Q178&lt;=90,"31-90d",IF(Q178&lt;=180,"91-180d","&gt;180d"))))</f>
        <v/>
      </c>
      <c r="S178" t="n">
        <v>5</v>
      </c>
    </row>
    <row r="179">
      <c r="A179" t="inlineStr">
        <is>
          <t>SS-01178</t>
        </is>
      </c>
      <c r="B179" t="inlineStr">
        <is>
          <t>sterile surgical pack 129</t>
        </is>
      </c>
      <c r="C179" t="inlineStr">
        <is>
          <t>surgical</t>
        </is>
      </c>
      <c r="D179" t="inlineStr">
        <is>
          <t>SterilePath Medical</t>
        </is>
      </c>
      <c r="E179" t="inlineStr">
        <is>
          <t>HOSP-2</t>
        </is>
      </c>
      <c r="F179" t="inlineStr">
        <is>
          <t>LOT-07178</t>
        </is>
      </c>
      <c r="G179" t="n">
        <v>12.93</v>
      </c>
      <c r="H179" t="n">
        <v>1</v>
      </c>
      <c r="I179" t="n">
        <v>0</v>
      </c>
      <c r="J179" t="inlineStr">
        <is>
          <t>clear</t>
        </is>
      </c>
      <c r="K179">
        <f>IF(J179="recalled",0,MAX(0,H179-I179))</f>
        <v/>
      </c>
      <c r="L179">
        <f>K179*G179</f>
        <v/>
      </c>
      <c r="M179">
        <f>H179*G179</f>
        <v/>
      </c>
      <c r="N179" t="n">
        <v>13</v>
      </c>
      <c r="O179" t="inlineStr">
        <is>
          <t>E2-13</t>
        </is>
      </c>
      <c r="P179" s="7" t="n">
        <v>46676</v>
      </c>
      <c r="Q179">
        <f>P179-Inputs!$B$4</f>
        <v/>
      </c>
      <c r="R179">
        <f>IF(Q179&lt;0,"expired",IF(Q179&lt;=30,"&lt;=30d",IF(Q179&lt;=90,"31-90d",IF(Q179&lt;=180,"91-180d","&gt;180d"))))</f>
        <v/>
      </c>
      <c r="S179" t="n">
        <v>5</v>
      </c>
    </row>
    <row r="180">
      <c r="A180" t="inlineStr">
        <is>
          <t>SS-01179</t>
        </is>
      </c>
      <c r="B180" t="inlineStr">
        <is>
          <t>diagnostic collection set 130</t>
        </is>
      </c>
      <c r="C180" t="inlineStr">
        <is>
          <t>diagnostic</t>
        </is>
      </c>
      <c r="D180" t="inlineStr">
        <is>
          <t>Aegis Clinical Supply</t>
        </is>
      </c>
      <c r="E180" t="inlineStr">
        <is>
          <t>HOSP-3</t>
        </is>
      </c>
      <c r="F180" t="inlineStr">
        <is>
          <t>LOT-07179</t>
        </is>
      </c>
      <c r="G180" t="n">
        <v>4.05</v>
      </c>
      <c r="H180" t="n">
        <v>8</v>
      </c>
      <c r="I180" t="n">
        <v>0</v>
      </c>
      <c r="J180" t="inlineStr">
        <is>
          <t>clear</t>
        </is>
      </c>
      <c r="K180">
        <f>IF(J180="recalled",0,MAX(0,H180-I180))</f>
        <v/>
      </c>
      <c r="L180">
        <f>K180*G180</f>
        <v/>
      </c>
      <c r="M180">
        <f>H180*G180</f>
        <v/>
      </c>
      <c r="N180" t="n">
        <v>7</v>
      </c>
      <c r="O180" t="inlineStr">
        <is>
          <t>E1-23</t>
        </is>
      </c>
      <c r="P180" s="7" t="n">
        <v>46708</v>
      </c>
      <c r="Q180">
        <f>P180-Inputs!$B$4</f>
        <v/>
      </c>
      <c r="R180">
        <f>IF(Q180&lt;0,"expired",IF(Q180&lt;=30,"&lt;=30d",IF(Q180&lt;=90,"31-90d",IF(Q180&lt;=180,"91-180d","&gt;180d"))))</f>
        <v/>
      </c>
      <c r="S180" t="n">
        <v>5</v>
      </c>
    </row>
    <row r="181">
      <c r="A181" t="inlineStr">
        <is>
          <t>SS-01180</t>
        </is>
      </c>
      <c r="B181" t="inlineStr">
        <is>
          <t>advanced wound dressing 131</t>
        </is>
      </c>
      <c r="C181" t="inlineStr">
        <is>
          <t>wound</t>
        </is>
      </c>
      <c r="D181" t="inlineStr">
        <is>
          <t>HarborMed Logistics</t>
        </is>
      </c>
      <c r="E181" t="inlineStr">
        <is>
          <t>HOSP-4</t>
        </is>
      </c>
      <c r="F181" t="inlineStr">
        <is>
          <t>LOT-07180</t>
        </is>
      </c>
      <c r="G181" t="n">
        <v>7.34</v>
      </c>
      <c r="H181" t="n">
        <v>15</v>
      </c>
      <c r="I181" t="n">
        <v>0</v>
      </c>
      <c r="J181" t="inlineStr">
        <is>
          <t>clear</t>
        </is>
      </c>
      <c r="K181">
        <f>IF(J181="recalled",0,MAX(0,H181-I181))</f>
        <v/>
      </c>
      <c r="L181">
        <f>K181*G181</f>
        <v/>
      </c>
      <c r="M181">
        <f>H181*G181</f>
        <v/>
      </c>
      <c r="N181" t="n">
        <v>5</v>
      </c>
      <c r="O181" t="inlineStr">
        <is>
          <t>B8-09</t>
        </is>
      </c>
      <c r="P181" s="7" t="n">
        <v>46739</v>
      </c>
      <c r="Q181">
        <f>P181-Inputs!$B$4</f>
        <v/>
      </c>
      <c r="R181">
        <f>IF(Q181&lt;0,"expired",IF(Q181&lt;=30,"&lt;=30d",IF(Q181&lt;=90,"31-90d",IF(Q181&lt;=180,"91-180d","&gt;180d"))))</f>
        <v/>
      </c>
      <c r="S181" t="n">
        <v>5</v>
      </c>
    </row>
    <row r="182">
      <c r="A182" t="inlineStr">
        <is>
          <t>SS-01181</t>
        </is>
      </c>
      <c r="B182" t="inlineStr">
        <is>
          <t>vascular access kit 132</t>
        </is>
      </c>
      <c r="C182" t="inlineStr">
        <is>
          <t>vascular</t>
        </is>
      </c>
      <c r="D182" t="inlineStr">
        <is>
          <t>Northstar Surgical</t>
        </is>
      </c>
      <c r="E182" t="inlineStr">
        <is>
          <t>HOSP-1</t>
        </is>
      </c>
      <c r="F182" t="inlineStr">
        <is>
          <t>LOT-07181</t>
        </is>
      </c>
      <c r="G182" t="n">
        <v>6.87</v>
      </c>
      <c r="H182" t="n">
        <v>20</v>
      </c>
      <c r="I182" t="n">
        <v>0</v>
      </c>
      <c r="J182" t="inlineStr">
        <is>
          <t>clear</t>
        </is>
      </c>
      <c r="K182">
        <f>IF(J182="recalled",0,MAX(0,H182-I182))</f>
        <v/>
      </c>
      <c r="L182">
        <f>K182*G182</f>
        <v/>
      </c>
      <c r="M182">
        <f>H182*G182</f>
        <v/>
      </c>
      <c r="N182" t="n">
        <v>9</v>
      </c>
      <c r="O182" t="inlineStr">
        <is>
          <t>F1-14</t>
        </is>
      </c>
      <c r="P182" s="7" t="n">
        <v>46406</v>
      </c>
      <c r="Q182">
        <f>P182-Inputs!$B$4</f>
        <v/>
      </c>
      <c r="R182">
        <f>IF(Q182&lt;0,"expired",IF(Q182&lt;=30,"&lt;=30d",IF(Q182&lt;=90,"31-90d",IF(Q182&lt;=180,"91-180d","&gt;180d"))))</f>
        <v/>
      </c>
      <c r="S182" t="n">
        <v>5</v>
      </c>
    </row>
    <row r="183">
      <c r="A183" t="inlineStr">
        <is>
          <t>SS-01182</t>
        </is>
      </c>
      <c r="B183" t="inlineStr">
        <is>
          <t>respiratory circuit 133</t>
        </is>
      </c>
      <c r="C183" t="inlineStr">
        <is>
          <t>respiratory</t>
        </is>
      </c>
      <c r="D183" t="inlineStr">
        <is>
          <t>MedAxis Distribution</t>
        </is>
      </c>
      <c r="E183" t="inlineStr">
        <is>
          <t>HOSP-2</t>
        </is>
      </c>
      <c r="F183" t="inlineStr">
        <is>
          <t>LOT-07182</t>
        </is>
      </c>
      <c r="G183" t="n">
        <v>26.25</v>
      </c>
      <c r="H183" t="n">
        <v>8</v>
      </c>
      <c r="I183" t="n">
        <v>0</v>
      </c>
      <c r="J183" t="inlineStr">
        <is>
          <t>clear</t>
        </is>
      </c>
      <c r="K183">
        <f>IF(J183="recalled",0,MAX(0,H183-I183))</f>
        <v/>
      </c>
      <c r="L183">
        <f>K183*G183</f>
        <v/>
      </c>
      <c r="M183">
        <f>H183*G183</f>
        <v/>
      </c>
      <c r="N183" t="n">
        <v>9</v>
      </c>
      <c r="O183" t="inlineStr">
        <is>
          <t>A8-18</t>
        </is>
      </c>
      <c r="P183" s="7" t="n">
        <v>46438</v>
      </c>
      <c r="Q183">
        <f>P183-Inputs!$B$4</f>
        <v/>
      </c>
      <c r="R183">
        <f>IF(Q183&lt;0,"expired",IF(Q183&lt;=30,"&lt;=30d",IF(Q183&lt;=90,"31-90d",IF(Q183&lt;=180,"91-180d","&gt;180d"))))</f>
        <v/>
      </c>
      <c r="S183" t="n">
        <v>5</v>
      </c>
    </row>
    <row r="184">
      <c r="A184" t="inlineStr">
        <is>
          <t>SS-01183</t>
        </is>
      </c>
      <c r="B184" t="inlineStr">
        <is>
          <t>sterile surgical pack 134</t>
        </is>
      </c>
      <c r="C184" t="inlineStr">
        <is>
          <t>surgical</t>
        </is>
      </c>
      <c r="D184" t="inlineStr">
        <is>
          <t>SterilePath Medical</t>
        </is>
      </c>
      <c r="E184" t="inlineStr">
        <is>
          <t>HOSP-3</t>
        </is>
      </c>
      <c r="F184" t="inlineStr">
        <is>
          <t>LOT-07183</t>
        </is>
      </c>
      <c r="G184" t="n">
        <v>13.65</v>
      </c>
      <c r="H184" t="n">
        <v>18</v>
      </c>
      <c r="I184" t="n">
        <v>0</v>
      </c>
      <c r="J184" t="inlineStr">
        <is>
          <t>clear</t>
        </is>
      </c>
      <c r="K184">
        <f>IF(J184="recalled",0,MAX(0,H184-I184))</f>
        <v/>
      </c>
      <c r="L184">
        <f>K184*G184</f>
        <v/>
      </c>
      <c r="M184">
        <f>H184*G184</f>
        <v/>
      </c>
      <c r="N184" t="n">
        <v>9</v>
      </c>
      <c r="O184" t="inlineStr">
        <is>
          <t>B4-16</t>
        </is>
      </c>
      <c r="P184" s="7" t="n">
        <v>46467</v>
      </c>
      <c r="Q184">
        <f>P184-Inputs!$B$4</f>
        <v/>
      </c>
      <c r="R184">
        <f>IF(Q184&lt;0,"expired",IF(Q184&lt;=30,"&lt;=30d",IF(Q184&lt;=90,"31-90d",IF(Q184&lt;=180,"91-180d","&gt;180d"))))</f>
        <v/>
      </c>
      <c r="S184" t="n">
        <v>5</v>
      </c>
    </row>
    <row r="185">
      <c r="A185" t="inlineStr">
        <is>
          <t>SS-01184</t>
        </is>
      </c>
      <c r="B185" t="inlineStr">
        <is>
          <t>diagnostic collection set 135</t>
        </is>
      </c>
      <c r="C185" t="inlineStr">
        <is>
          <t>diagnostic</t>
        </is>
      </c>
      <c r="D185" t="inlineStr">
        <is>
          <t>Aegis Clinical Supply</t>
        </is>
      </c>
      <c r="E185" t="inlineStr">
        <is>
          <t>HOSP-4</t>
        </is>
      </c>
      <c r="F185" t="inlineStr">
        <is>
          <t>LOT-07184</t>
        </is>
      </c>
      <c r="G185" t="n">
        <v>30.5</v>
      </c>
      <c r="H185" t="n">
        <v>26</v>
      </c>
      <c r="I185" t="n">
        <v>0</v>
      </c>
      <c r="J185" t="inlineStr">
        <is>
          <t>clear</t>
        </is>
      </c>
      <c r="K185">
        <f>IF(J185="recalled",0,MAX(0,H185-I185))</f>
        <v/>
      </c>
      <c r="L185">
        <f>K185*G185</f>
        <v/>
      </c>
      <c r="M185">
        <f>H185*G185</f>
        <v/>
      </c>
      <c r="N185" t="n">
        <v>2</v>
      </c>
      <c r="O185" t="inlineStr">
        <is>
          <t>D10-01</t>
        </is>
      </c>
      <c r="P185" s="7" t="n">
        <v>46499</v>
      </c>
      <c r="Q185">
        <f>P185-Inputs!$B$4</f>
        <v/>
      </c>
      <c r="R185">
        <f>IF(Q185&lt;0,"expired",IF(Q185&lt;=30,"&lt;=30d",IF(Q185&lt;=90,"31-90d",IF(Q185&lt;=180,"91-180d","&gt;180d"))))</f>
        <v/>
      </c>
      <c r="S185" t="n">
        <v>5</v>
      </c>
    </row>
    <row r="186">
      <c r="A186" t="inlineStr">
        <is>
          <t>SS-01185</t>
        </is>
      </c>
      <c r="B186" t="inlineStr">
        <is>
          <t>advanced wound dressing 136</t>
        </is>
      </c>
      <c r="C186" t="inlineStr">
        <is>
          <t>wound</t>
        </is>
      </c>
      <c r="D186" t="inlineStr">
        <is>
          <t>HarborMed Logistics</t>
        </is>
      </c>
      <c r="E186" t="inlineStr">
        <is>
          <t>HOSP-1</t>
        </is>
      </c>
      <c r="F186" t="inlineStr">
        <is>
          <t>LOT-07185</t>
        </is>
      </c>
      <c r="G186" t="n">
        <v>14.87</v>
      </c>
      <c r="H186" t="n">
        <v>6</v>
      </c>
      <c r="I186" t="n">
        <v>0</v>
      </c>
      <c r="J186" t="inlineStr">
        <is>
          <t>clear</t>
        </is>
      </c>
      <c r="K186">
        <f>IF(J186="recalled",0,MAX(0,H186-I186))</f>
        <v/>
      </c>
      <c r="L186">
        <f>K186*G186</f>
        <v/>
      </c>
      <c r="M186">
        <f>H186*G186</f>
        <v/>
      </c>
      <c r="N186" t="n">
        <v>5</v>
      </c>
      <c r="O186" t="inlineStr">
        <is>
          <t>D6-02</t>
        </is>
      </c>
      <c r="P186" s="7" t="n">
        <v>46530</v>
      </c>
      <c r="Q186">
        <f>P186-Inputs!$B$4</f>
        <v/>
      </c>
      <c r="R186">
        <f>IF(Q186&lt;0,"expired",IF(Q186&lt;=30,"&lt;=30d",IF(Q186&lt;=90,"31-90d",IF(Q186&lt;=180,"91-180d","&gt;180d"))))</f>
        <v/>
      </c>
      <c r="S186" t="n">
        <v>5</v>
      </c>
    </row>
    <row r="187">
      <c r="A187" t="inlineStr">
        <is>
          <t>SS-01186</t>
        </is>
      </c>
      <c r="B187" t="inlineStr">
        <is>
          <t>vascular access kit 100</t>
        </is>
      </c>
      <c r="C187" t="inlineStr">
        <is>
          <t>vascular</t>
        </is>
      </c>
      <c r="D187" t="inlineStr">
        <is>
          <t>Northstar Surgical</t>
        </is>
      </c>
      <c r="E187" t="inlineStr">
        <is>
          <t>HOSP-2</t>
        </is>
      </c>
      <c r="F187" t="inlineStr">
        <is>
          <t>LOT-07186</t>
        </is>
      </c>
      <c r="G187" t="n">
        <v>21.82</v>
      </c>
      <c r="H187" t="n">
        <v>5</v>
      </c>
      <c r="I187" t="n">
        <v>0</v>
      </c>
      <c r="J187" t="inlineStr">
        <is>
          <t>clear</t>
        </is>
      </c>
      <c r="K187">
        <f>IF(J187="recalled",0,MAX(0,H187-I187))</f>
        <v/>
      </c>
      <c r="L187">
        <f>K187*G187</f>
        <v/>
      </c>
      <c r="M187">
        <f>H187*G187</f>
        <v/>
      </c>
      <c r="N187" t="n">
        <v>8</v>
      </c>
      <c r="O187" t="inlineStr">
        <is>
          <t>A8-13</t>
        </is>
      </c>
      <c r="P187" s="7" t="n">
        <v>46562</v>
      </c>
      <c r="Q187">
        <f>P187-Inputs!$B$4</f>
        <v/>
      </c>
      <c r="R187">
        <f>IF(Q187&lt;0,"expired",IF(Q187&lt;=30,"&lt;=30d",IF(Q187&lt;=90,"31-90d",IF(Q187&lt;=180,"91-180d","&gt;180d"))))</f>
        <v/>
      </c>
      <c r="S187" t="n">
        <v>5</v>
      </c>
    </row>
    <row r="188">
      <c r="A188" t="inlineStr">
        <is>
          <t>SS-01187</t>
        </is>
      </c>
      <c r="B188" t="inlineStr">
        <is>
          <t>respiratory circuit 101</t>
        </is>
      </c>
      <c r="C188" t="inlineStr">
        <is>
          <t>respiratory</t>
        </is>
      </c>
      <c r="D188" t="inlineStr">
        <is>
          <t>MedAxis Distribution</t>
        </is>
      </c>
      <c r="E188" t="inlineStr">
        <is>
          <t>HOSP-3</t>
        </is>
      </c>
      <c r="F188" t="inlineStr">
        <is>
          <t>LOT-07187</t>
        </is>
      </c>
      <c r="G188" t="n">
        <v>7.89</v>
      </c>
      <c r="H188" t="n">
        <v>63</v>
      </c>
      <c r="I188" t="n">
        <v>0</v>
      </c>
      <c r="J188" t="inlineStr">
        <is>
          <t>clear</t>
        </is>
      </c>
      <c r="K188">
        <f>IF(J188="recalled",0,MAX(0,H188-I188))</f>
        <v/>
      </c>
      <c r="L188">
        <f>K188*G188</f>
        <v/>
      </c>
      <c r="M188">
        <f>H188*G188</f>
        <v/>
      </c>
      <c r="N188" t="n">
        <v>5</v>
      </c>
      <c r="O188" t="inlineStr">
        <is>
          <t>C4-17</t>
        </is>
      </c>
      <c r="P188" s="7" t="n">
        <v>46593</v>
      </c>
      <c r="Q188">
        <f>P188-Inputs!$B$4</f>
        <v/>
      </c>
      <c r="R188">
        <f>IF(Q188&lt;0,"expired",IF(Q188&lt;=30,"&lt;=30d",IF(Q188&lt;=90,"31-90d",IF(Q188&lt;=180,"91-180d","&gt;180d"))))</f>
        <v/>
      </c>
      <c r="S188" t="n">
        <v>5</v>
      </c>
    </row>
    <row r="189">
      <c r="A189" t="inlineStr">
        <is>
          <t>SS-01188</t>
        </is>
      </c>
      <c r="B189" t="inlineStr">
        <is>
          <t>sterile surgical pack 102</t>
        </is>
      </c>
      <c r="C189" t="inlineStr">
        <is>
          <t>surgical</t>
        </is>
      </c>
      <c r="D189" t="inlineStr">
        <is>
          <t>SterilePath Medical</t>
        </is>
      </c>
      <c r="E189" t="inlineStr">
        <is>
          <t>HOSP-4</t>
        </is>
      </c>
      <c r="F189" t="inlineStr">
        <is>
          <t>LOT-07188</t>
        </is>
      </c>
      <c r="G189" t="n">
        <v>16.21</v>
      </c>
      <c r="H189" t="n">
        <v>3</v>
      </c>
      <c r="I189" t="n">
        <v>3</v>
      </c>
      <c r="J189" t="inlineStr">
        <is>
          <t>clear</t>
        </is>
      </c>
      <c r="K189">
        <f>IF(J189="recalled",0,MAX(0,H189-I189))</f>
        <v/>
      </c>
      <c r="L189">
        <f>K189*G189</f>
        <v/>
      </c>
      <c r="M189">
        <f>H189*G189</f>
        <v/>
      </c>
      <c r="N189" t="n">
        <v>5</v>
      </c>
      <c r="O189" t="inlineStr">
        <is>
          <t>D8-12</t>
        </is>
      </c>
      <c r="P189" s="7" t="n">
        <v>46625</v>
      </c>
      <c r="Q189">
        <f>P189-Inputs!$B$4</f>
        <v/>
      </c>
      <c r="R189">
        <f>IF(Q189&lt;0,"expired",IF(Q189&lt;=30,"&lt;=30d",IF(Q189&lt;=90,"31-90d",IF(Q189&lt;=180,"91-180d","&gt;180d"))))</f>
        <v/>
      </c>
      <c r="S189" t="n">
        <v>5</v>
      </c>
    </row>
    <row r="190">
      <c r="A190" t="inlineStr">
        <is>
          <t>SS-01189</t>
        </is>
      </c>
      <c r="B190" t="inlineStr">
        <is>
          <t>diagnostic collection set 103</t>
        </is>
      </c>
      <c r="C190" t="inlineStr">
        <is>
          <t>diagnostic</t>
        </is>
      </c>
      <c r="D190" t="inlineStr">
        <is>
          <t>Aegis Clinical Supply</t>
        </is>
      </c>
      <c r="E190" t="inlineStr">
        <is>
          <t>HOSP-1</t>
        </is>
      </c>
      <c r="F190" t="inlineStr">
        <is>
          <t>LOT-07189</t>
        </is>
      </c>
      <c r="G190" t="n">
        <v>7.13</v>
      </c>
      <c r="H190" t="n">
        <v>25</v>
      </c>
      <c r="I190" t="n">
        <v>0</v>
      </c>
      <c r="J190" t="inlineStr">
        <is>
          <t>recalled</t>
        </is>
      </c>
      <c r="K190">
        <f>IF(J190="recalled",0,MAX(0,H190-I190))</f>
        <v/>
      </c>
      <c r="L190">
        <f>K190*G190</f>
        <v/>
      </c>
      <c r="M190">
        <f>H190*G190</f>
        <v/>
      </c>
      <c r="N190" t="n">
        <v>10</v>
      </c>
      <c r="O190" t="inlineStr">
        <is>
          <t>E6-12</t>
        </is>
      </c>
      <c r="P190" s="7" t="n">
        <v>46657</v>
      </c>
      <c r="Q190">
        <f>P190-Inputs!$B$4</f>
        <v/>
      </c>
      <c r="R190">
        <f>IF(Q190&lt;0,"expired",IF(Q190&lt;=30,"&lt;=30d",IF(Q190&lt;=90,"31-90d",IF(Q190&lt;=180,"91-180d","&gt;180d"))))</f>
        <v/>
      </c>
      <c r="S190" t="n">
        <v>6</v>
      </c>
    </row>
    <row r="191">
      <c r="A191" t="inlineStr">
        <is>
          <t>SS-01190</t>
        </is>
      </c>
      <c r="B191" t="inlineStr">
        <is>
          <t>advanced wound dressing 104</t>
        </is>
      </c>
      <c r="C191" t="inlineStr">
        <is>
          <t>wound</t>
        </is>
      </c>
      <c r="D191" t="inlineStr">
        <is>
          <t>HarborMed Logistics</t>
        </is>
      </c>
      <c r="E191" t="inlineStr">
        <is>
          <t>HOSP-2</t>
        </is>
      </c>
      <c r="F191" t="inlineStr">
        <is>
          <t>LOT-07190</t>
        </is>
      </c>
      <c r="G191" t="n">
        <v>28.5</v>
      </c>
      <c r="H191" t="n">
        <v>21</v>
      </c>
      <c r="I191" t="n">
        <v>0</v>
      </c>
      <c r="J191" t="inlineStr">
        <is>
          <t>clear</t>
        </is>
      </c>
      <c r="K191">
        <f>IF(J191="recalled",0,MAX(0,H191-I191))</f>
        <v/>
      </c>
      <c r="L191">
        <f>K191*G191</f>
        <v/>
      </c>
      <c r="M191">
        <f>H191*G191</f>
        <v/>
      </c>
      <c r="N191" t="n">
        <v>5</v>
      </c>
      <c r="O191" t="inlineStr">
        <is>
          <t>B5-09</t>
        </is>
      </c>
      <c r="P191" s="7" t="n">
        <v>46661</v>
      </c>
      <c r="Q191">
        <f>P191-Inputs!$B$4</f>
        <v/>
      </c>
      <c r="R191">
        <f>IF(Q191&lt;0,"expired",IF(Q191&lt;=30,"&lt;=30d",IF(Q191&lt;=90,"31-90d",IF(Q191&lt;=180,"91-180d","&gt;180d"))))</f>
        <v/>
      </c>
      <c r="S191" t="n">
        <v>5</v>
      </c>
    </row>
    <row r="192">
      <c r="A192" t="inlineStr">
        <is>
          <t>SS-01191</t>
        </is>
      </c>
      <c r="B192" t="inlineStr">
        <is>
          <t>vascular access kit 105</t>
        </is>
      </c>
      <c r="C192" t="inlineStr">
        <is>
          <t>vascular</t>
        </is>
      </c>
      <c r="D192" t="inlineStr">
        <is>
          <t>Northstar Surgical</t>
        </is>
      </c>
      <c r="E192" t="inlineStr">
        <is>
          <t>HOSP-3</t>
        </is>
      </c>
      <c r="F192" t="inlineStr">
        <is>
          <t>LOT-07191</t>
        </is>
      </c>
      <c r="G192" t="n">
        <v>6.74</v>
      </c>
      <c r="H192" t="n">
        <v>3</v>
      </c>
      <c r="I192" t="n">
        <v>0</v>
      </c>
      <c r="J192" t="inlineStr">
        <is>
          <t>clear</t>
        </is>
      </c>
      <c r="K192">
        <f>IF(J192="recalled",0,MAX(0,H192-I192))</f>
        <v/>
      </c>
      <c r="L192">
        <f>K192*G192</f>
        <v/>
      </c>
      <c r="M192">
        <f>H192*G192</f>
        <v/>
      </c>
      <c r="N192" t="n">
        <v>8</v>
      </c>
      <c r="O192" t="inlineStr">
        <is>
          <t>B7-22</t>
        </is>
      </c>
      <c r="P192" s="7" t="n">
        <v>46693</v>
      </c>
      <c r="Q192">
        <f>P192-Inputs!$B$4</f>
        <v/>
      </c>
      <c r="R192">
        <f>IF(Q192&lt;0,"expired",IF(Q192&lt;=30,"&lt;=30d",IF(Q192&lt;=90,"31-90d",IF(Q192&lt;=180,"91-180d","&gt;180d"))))</f>
        <v/>
      </c>
      <c r="S192" t="n">
        <v>7</v>
      </c>
    </row>
    <row r="193">
      <c r="A193" t="inlineStr">
        <is>
          <t>SS-01192</t>
        </is>
      </c>
      <c r="B193" t="inlineStr">
        <is>
          <t>respiratory circuit 106</t>
        </is>
      </c>
      <c r="C193" t="inlineStr">
        <is>
          <t>respiratory</t>
        </is>
      </c>
      <c r="D193" t="inlineStr">
        <is>
          <t>MedAxis Distribution</t>
        </is>
      </c>
      <c r="E193" t="inlineStr">
        <is>
          <t>HOSP-4</t>
        </is>
      </c>
      <c r="F193" t="inlineStr">
        <is>
          <t>LOT-07192</t>
        </is>
      </c>
      <c r="G193" t="n">
        <v>32.07</v>
      </c>
      <c r="H193" t="n">
        <v>0</v>
      </c>
      <c r="I193" t="n">
        <v>0</v>
      </c>
      <c r="J193" t="inlineStr">
        <is>
          <t>clear</t>
        </is>
      </c>
      <c r="K193">
        <f>IF(J193="recalled",0,MAX(0,H193-I193))</f>
        <v/>
      </c>
      <c r="L193">
        <f>K193*G193</f>
        <v/>
      </c>
      <c r="M193">
        <f>H193*G193</f>
        <v/>
      </c>
      <c r="N193" t="n">
        <v>6</v>
      </c>
      <c r="O193" t="inlineStr">
        <is>
          <t>G9-02</t>
        </is>
      </c>
      <c r="P193" s="7" t="n">
        <v>46724</v>
      </c>
      <c r="Q193">
        <f>P193-Inputs!$B$4</f>
        <v/>
      </c>
      <c r="R193">
        <f>IF(Q193&lt;0,"expired",IF(Q193&lt;=30,"&lt;=30d",IF(Q193&lt;=90,"31-90d",IF(Q193&lt;=180,"91-180d","&gt;180d"))))</f>
        <v/>
      </c>
      <c r="S193" t="n">
        <v>5</v>
      </c>
    </row>
    <row r="194">
      <c r="A194" t="inlineStr">
        <is>
          <t>SS-01193</t>
        </is>
      </c>
      <c r="B194" t="inlineStr">
        <is>
          <t>sterile surgical pack 107</t>
        </is>
      </c>
      <c r="C194" t="inlineStr">
        <is>
          <t>surgical</t>
        </is>
      </c>
      <c r="D194" t="inlineStr">
        <is>
          <t>SterilePath Medical</t>
        </is>
      </c>
      <c r="E194" t="inlineStr">
        <is>
          <t>HOSP-1</t>
        </is>
      </c>
      <c r="F194" t="inlineStr">
        <is>
          <t>LOT-07193</t>
        </is>
      </c>
      <c r="G194" t="n">
        <v>5.26</v>
      </c>
      <c r="H194" t="n">
        <v>4</v>
      </c>
      <c r="I194" t="n">
        <v>0</v>
      </c>
      <c r="J194" t="inlineStr">
        <is>
          <t>clear</t>
        </is>
      </c>
      <c r="K194">
        <f>IF(J194="recalled",0,MAX(0,H194-I194))</f>
        <v/>
      </c>
      <c r="L194">
        <f>K194*G194</f>
        <v/>
      </c>
      <c r="M194">
        <f>H194*G194</f>
        <v/>
      </c>
      <c r="N194" t="n">
        <v>4</v>
      </c>
      <c r="O194" t="inlineStr">
        <is>
          <t>B4-02</t>
        </is>
      </c>
      <c r="P194" s="7" t="n">
        <v>46391</v>
      </c>
      <c r="Q194">
        <f>P194-Inputs!$B$4</f>
        <v/>
      </c>
      <c r="R194">
        <f>IF(Q194&lt;0,"expired",IF(Q194&lt;=30,"&lt;=30d",IF(Q194&lt;=90,"31-90d",IF(Q194&lt;=180,"91-180d","&gt;180d"))))</f>
        <v/>
      </c>
      <c r="S194" t="n">
        <v>5</v>
      </c>
    </row>
    <row r="195">
      <c r="A195" t="inlineStr">
        <is>
          <t>SS-01194</t>
        </is>
      </c>
      <c r="B195" t="inlineStr">
        <is>
          <t>diagnostic collection set 108</t>
        </is>
      </c>
      <c r="C195" t="inlineStr">
        <is>
          <t>diagnostic</t>
        </is>
      </c>
      <c r="D195" t="inlineStr">
        <is>
          <t>Aegis Clinical Supply</t>
        </is>
      </c>
      <c r="E195" t="inlineStr">
        <is>
          <t>HOSP-2</t>
        </is>
      </c>
      <c r="F195" t="inlineStr">
        <is>
          <t>LOT-07194</t>
        </is>
      </c>
      <c r="G195" t="n">
        <v>5.25</v>
      </c>
      <c r="H195" t="n">
        <v>26</v>
      </c>
      <c r="I195" t="n">
        <v>0</v>
      </c>
      <c r="J195" t="inlineStr">
        <is>
          <t>clear</t>
        </is>
      </c>
      <c r="K195">
        <f>IF(J195="recalled",0,MAX(0,H195-I195))</f>
        <v/>
      </c>
      <c r="L195">
        <f>K195*G195</f>
        <v/>
      </c>
      <c r="M195">
        <f>H195*G195</f>
        <v/>
      </c>
      <c r="N195" t="n">
        <v>5</v>
      </c>
      <c r="O195" t="inlineStr">
        <is>
          <t>J12-10</t>
        </is>
      </c>
      <c r="P195" s="7" t="n">
        <v>46423</v>
      </c>
      <c r="Q195">
        <f>P195-Inputs!$B$4</f>
        <v/>
      </c>
      <c r="R195">
        <f>IF(Q195&lt;0,"expired",IF(Q195&lt;=30,"&lt;=30d",IF(Q195&lt;=90,"31-90d",IF(Q195&lt;=180,"91-180d","&gt;180d"))))</f>
        <v/>
      </c>
      <c r="S195" t="n">
        <v>5</v>
      </c>
    </row>
    <row r="196">
      <c r="A196" t="inlineStr">
        <is>
          <t>SS-01195</t>
        </is>
      </c>
      <c r="B196" t="inlineStr">
        <is>
          <t>advanced wound dressing 109</t>
        </is>
      </c>
      <c r="C196" t="inlineStr">
        <is>
          <t>wound</t>
        </is>
      </c>
      <c r="D196" t="inlineStr">
        <is>
          <t>HarborMed Logistics</t>
        </is>
      </c>
      <c r="E196" t="inlineStr">
        <is>
          <t>HOSP-3</t>
        </is>
      </c>
      <c r="F196" t="inlineStr">
        <is>
          <t>LOT-07195</t>
        </is>
      </c>
      <c r="G196" t="n">
        <v>32.04</v>
      </c>
      <c r="H196" t="n">
        <v>30</v>
      </c>
      <c r="I196" t="n">
        <v>0</v>
      </c>
      <c r="J196" t="inlineStr">
        <is>
          <t>clear</t>
        </is>
      </c>
      <c r="K196">
        <f>IF(J196="recalled",0,MAX(0,H196-I196))</f>
        <v/>
      </c>
      <c r="L196">
        <f>K196*G196</f>
        <v/>
      </c>
      <c r="M196">
        <f>H196*G196</f>
        <v/>
      </c>
      <c r="N196" t="n">
        <v>5</v>
      </c>
      <c r="O196" t="inlineStr">
        <is>
          <t>B5-01</t>
        </is>
      </c>
      <c r="P196" s="7" t="n">
        <v>46452</v>
      </c>
      <c r="Q196">
        <f>P196-Inputs!$B$4</f>
        <v/>
      </c>
      <c r="R196">
        <f>IF(Q196&lt;0,"expired",IF(Q196&lt;=30,"&lt;=30d",IF(Q196&lt;=90,"31-90d",IF(Q196&lt;=180,"91-180d","&gt;180d"))))</f>
        <v/>
      </c>
      <c r="S196" t="n">
        <v>5</v>
      </c>
    </row>
    <row r="197">
      <c r="A197" t="inlineStr">
        <is>
          <t>SS-01196</t>
        </is>
      </c>
      <c r="B197" t="inlineStr">
        <is>
          <t>vascular access kit 110</t>
        </is>
      </c>
      <c r="C197" t="inlineStr">
        <is>
          <t>vascular</t>
        </is>
      </c>
      <c r="D197" t="inlineStr">
        <is>
          <t>Northstar Surgical</t>
        </is>
      </c>
      <c r="E197" t="inlineStr">
        <is>
          <t>HOSP-4</t>
        </is>
      </c>
      <c r="F197" t="inlineStr">
        <is>
          <t>LOT-07196</t>
        </is>
      </c>
      <c r="G197" t="n">
        <v>15.16</v>
      </c>
      <c r="H197" t="n">
        <v>3</v>
      </c>
      <c r="I197" t="n">
        <v>0</v>
      </c>
      <c r="J197" t="inlineStr">
        <is>
          <t>clear</t>
        </is>
      </c>
      <c r="K197">
        <f>IF(J197="recalled",0,MAX(0,H197-I197))</f>
        <v/>
      </c>
      <c r="L197">
        <f>K197*G197</f>
        <v/>
      </c>
      <c r="M197">
        <f>H197*G197</f>
        <v/>
      </c>
      <c r="N197" t="n">
        <v>4</v>
      </c>
      <c r="O197" t="inlineStr">
        <is>
          <t>B3-16</t>
        </is>
      </c>
      <c r="P197" s="7" t="n">
        <v>46484</v>
      </c>
      <c r="Q197">
        <f>P197-Inputs!$B$4</f>
        <v/>
      </c>
      <c r="R197">
        <f>IF(Q197&lt;0,"expired",IF(Q197&lt;=30,"&lt;=30d",IF(Q197&lt;=90,"31-90d",IF(Q197&lt;=180,"91-180d","&gt;180d"))))</f>
        <v/>
      </c>
      <c r="S197" t="n">
        <v>5</v>
      </c>
    </row>
    <row r="198">
      <c r="A198" t="inlineStr">
        <is>
          <t>SS-01197</t>
        </is>
      </c>
      <c r="B198" t="inlineStr">
        <is>
          <t>respiratory circuit 111</t>
        </is>
      </c>
      <c r="C198" t="inlineStr">
        <is>
          <t>respiratory</t>
        </is>
      </c>
      <c r="D198" t="inlineStr">
        <is>
          <t>MedAxis Distribution</t>
        </is>
      </c>
      <c r="E198" t="inlineStr">
        <is>
          <t>HOSP-1</t>
        </is>
      </c>
      <c r="F198" t="inlineStr">
        <is>
          <t>LOT-07197</t>
        </is>
      </c>
      <c r="G198" t="n">
        <v>28.89</v>
      </c>
      <c r="H198" t="n">
        <v>16</v>
      </c>
      <c r="I198" t="n">
        <v>0</v>
      </c>
      <c r="J198" t="inlineStr">
        <is>
          <t>clear</t>
        </is>
      </c>
      <c r="K198">
        <f>IF(J198="recalled",0,MAX(0,H198-I198))</f>
        <v/>
      </c>
      <c r="L198">
        <f>K198*G198</f>
        <v/>
      </c>
      <c r="M198">
        <f>H198*G198</f>
        <v/>
      </c>
      <c r="N198" t="n">
        <v>8</v>
      </c>
      <c r="O198" t="inlineStr">
        <is>
          <t>A8-02</t>
        </is>
      </c>
      <c r="P198" s="7" t="n">
        <v>46515</v>
      </c>
      <c r="Q198">
        <f>P198-Inputs!$B$4</f>
        <v/>
      </c>
      <c r="R198">
        <f>IF(Q198&lt;0,"expired",IF(Q198&lt;=30,"&lt;=30d",IF(Q198&lt;=90,"31-90d",IF(Q198&lt;=180,"91-180d","&gt;180d"))))</f>
        <v/>
      </c>
      <c r="S198" t="n">
        <v>5</v>
      </c>
    </row>
    <row r="199">
      <c r="A199" t="inlineStr">
        <is>
          <t>SS-01198</t>
        </is>
      </c>
      <c r="B199" t="inlineStr">
        <is>
          <t>sterile surgical pack 112</t>
        </is>
      </c>
      <c r="C199" t="inlineStr">
        <is>
          <t>surgical</t>
        </is>
      </c>
      <c r="D199" t="inlineStr">
        <is>
          <t>SterilePath Medical</t>
        </is>
      </c>
      <c r="E199" t="inlineStr">
        <is>
          <t>HOSP-2</t>
        </is>
      </c>
      <c r="F199" t="inlineStr">
        <is>
          <t>LOT-07198</t>
        </is>
      </c>
      <c r="G199" t="n">
        <v>3.4</v>
      </c>
      <c r="H199" t="n">
        <v>9</v>
      </c>
      <c r="I199" t="n">
        <v>0</v>
      </c>
      <c r="J199" t="inlineStr">
        <is>
          <t>clear</t>
        </is>
      </c>
      <c r="K199">
        <f>IF(J199="recalled",0,MAX(0,H199-I199))</f>
        <v/>
      </c>
      <c r="L199">
        <f>K199*G199</f>
        <v/>
      </c>
      <c r="M199">
        <f>H199*G199</f>
        <v/>
      </c>
      <c r="N199" t="n">
        <v>3</v>
      </c>
      <c r="O199" t="inlineStr">
        <is>
          <t>J5-06</t>
        </is>
      </c>
      <c r="P199" s="7" t="n">
        <v>46547</v>
      </c>
      <c r="Q199">
        <f>P199-Inputs!$B$4</f>
        <v/>
      </c>
      <c r="R199">
        <f>IF(Q199&lt;0,"expired",IF(Q199&lt;=30,"&lt;=30d",IF(Q199&lt;=90,"31-90d",IF(Q199&lt;=180,"91-180d","&gt;180d"))))</f>
        <v/>
      </c>
      <c r="S199" t="n">
        <v>5</v>
      </c>
    </row>
    <row r="200">
      <c r="A200" t="inlineStr">
        <is>
          <t>SS-01199</t>
        </is>
      </c>
      <c r="B200" t="inlineStr">
        <is>
          <t>diagnostic collection set 113</t>
        </is>
      </c>
      <c r="C200" t="inlineStr">
        <is>
          <t>diagnostic</t>
        </is>
      </c>
      <c r="D200" t="inlineStr">
        <is>
          <t>Aegis Clinical Supply</t>
        </is>
      </c>
      <c r="E200" t="inlineStr">
        <is>
          <t>HOSP-3</t>
        </is>
      </c>
      <c r="F200" t="inlineStr">
        <is>
          <t>LOT-07199</t>
        </is>
      </c>
      <c r="G200" t="n">
        <v>43.38</v>
      </c>
      <c r="H200" t="n">
        <v>44</v>
      </c>
      <c r="I200" t="n">
        <v>2</v>
      </c>
      <c r="J200" t="inlineStr">
        <is>
          <t>clear</t>
        </is>
      </c>
      <c r="K200">
        <f>IF(J200="recalled",0,MAX(0,H200-I200))</f>
        <v/>
      </c>
      <c r="L200">
        <f>K200*G200</f>
        <v/>
      </c>
      <c r="M200">
        <f>H200*G200</f>
        <v/>
      </c>
      <c r="N200" t="n">
        <v>7</v>
      </c>
      <c r="O200" t="inlineStr">
        <is>
          <t>H7-09</t>
        </is>
      </c>
      <c r="P200" s="7" t="n">
        <v>46578</v>
      </c>
      <c r="Q200">
        <f>P200-Inputs!$B$4</f>
        <v/>
      </c>
      <c r="R200">
        <f>IF(Q200&lt;0,"expired",IF(Q200&lt;=30,"&lt;=30d",IF(Q200&lt;=90,"31-90d",IF(Q200&lt;=180,"91-180d","&gt;180d"))))</f>
        <v/>
      </c>
      <c r="S200" t="n">
        <v>5</v>
      </c>
    </row>
    <row r="201">
      <c r="A201" t="inlineStr">
        <is>
          <t>SS-01200</t>
        </is>
      </c>
      <c r="B201" t="inlineStr">
        <is>
          <t>advanced wound dressing 114</t>
        </is>
      </c>
      <c r="C201" t="inlineStr">
        <is>
          <t>wound</t>
        </is>
      </c>
      <c r="D201" t="inlineStr">
        <is>
          <t>HarborMed Logistics</t>
        </is>
      </c>
      <c r="E201" t="inlineStr">
        <is>
          <t>HOSP-4</t>
        </is>
      </c>
      <c r="F201" t="inlineStr">
        <is>
          <t>LOT-07200</t>
        </is>
      </c>
      <c r="G201" t="n">
        <v>32.5</v>
      </c>
      <c r="H201" t="n">
        <v>12</v>
      </c>
      <c r="I201" t="n">
        <v>0</v>
      </c>
      <c r="J201" t="inlineStr">
        <is>
          <t>clear</t>
        </is>
      </c>
      <c r="K201">
        <f>IF(J201="recalled",0,MAX(0,H201-I201))</f>
        <v/>
      </c>
      <c r="L201">
        <f>K201*G201</f>
        <v/>
      </c>
      <c r="M201">
        <f>H201*G201</f>
        <v/>
      </c>
      <c r="N201" t="n">
        <v>7</v>
      </c>
      <c r="O201" t="inlineStr">
        <is>
          <t>A8-12</t>
        </is>
      </c>
      <c r="P201" s="7" t="n">
        <v>46610</v>
      </c>
      <c r="Q201">
        <f>P201-Inputs!$B$4</f>
        <v/>
      </c>
      <c r="R201">
        <f>IF(Q201&lt;0,"expired",IF(Q201&lt;=30,"&lt;=30d",IF(Q201&lt;=90,"31-90d",IF(Q201&lt;=180,"91-180d","&gt;180d"))))</f>
        <v/>
      </c>
      <c r="S201" t="n">
        <v>5</v>
      </c>
    </row>
    <row r="202">
      <c r="A202" t="inlineStr">
        <is>
          <t>SS-01201</t>
        </is>
      </c>
      <c r="B202" t="inlineStr">
        <is>
          <t>vascular access kit 115</t>
        </is>
      </c>
      <c r="C202" t="inlineStr">
        <is>
          <t>vascular</t>
        </is>
      </c>
      <c r="D202" t="inlineStr">
        <is>
          <t>Northstar Surgical</t>
        </is>
      </c>
      <c r="E202" t="inlineStr">
        <is>
          <t>HOSP-1</t>
        </is>
      </c>
      <c r="F202" t="inlineStr">
        <is>
          <t>LOT-07201</t>
        </is>
      </c>
      <c r="G202" t="n">
        <v>38.09</v>
      </c>
      <c r="H202" t="n">
        <v>9</v>
      </c>
      <c r="I202" t="n">
        <v>0</v>
      </c>
      <c r="J202" t="inlineStr">
        <is>
          <t>clear</t>
        </is>
      </c>
      <c r="K202">
        <f>IF(J202="recalled",0,MAX(0,H202-I202))</f>
        <v/>
      </c>
      <c r="L202">
        <f>K202*G202</f>
        <v/>
      </c>
      <c r="M202">
        <f>H202*G202</f>
        <v/>
      </c>
      <c r="N202" t="n">
        <v>7</v>
      </c>
      <c r="O202" t="inlineStr">
        <is>
          <t>G10-07</t>
        </is>
      </c>
      <c r="P202" s="7" t="n">
        <v>46642</v>
      </c>
      <c r="Q202">
        <f>P202-Inputs!$B$4</f>
        <v/>
      </c>
      <c r="R202">
        <f>IF(Q202&lt;0,"expired",IF(Q202&lt;=30,"&lt;=30d",IF(Q202&lt;=90,"31-90d",IF(Q202&lt;=180,"91-180d","&gt;180d"))))</f>
        <v/>
      </c>
      <c r="S202" t="n">
        <v>5</v>
      </c>
    </row>
    <row r="203">
      <c r="A203" t="inlineStr">
        <is>
          <t>SS-01202</t>
        </is>
      </c>
      <c r="B203" t="inlineStr">
        <is>
          <t>respiratory circuit 116</t>
        </is>
      </c>
      <c r="C203" t="inlineStr">
        <is>
          <t>respiratory</t>
        </is>
      </c>
      <c r="D203" t="inlineStr">
        <is>
          <t>MedAxis Distribution</t>
        </is>
      </c>
      <c r="E203" t="inlineStr">
        <is>
          <t>HOSP-2</t>
        </is>
      </c>
      <c r="F203" t="inlineStr">
        <is>
          <t>LOT-07202</t>
        </is>
      </c>
      <c r="G203" t="n">
        <v>9.59</v>
      </c>
      <c r="H203" t="n">
        <v>30</v>
      </c>
      <c r="I203" t="n">
        <v>0</v>
      </c>
      <c r="J203" t="inlineStr">
        <is>
          <t>clear</t>
        </is>
      </c>
      <c r="K203">
        <f>IF(J203="recalled",0,MAX(0,H203-I203))</f>
        <v/>
      </c>
      <c r="L203">
        <f>K203*G203</f>
        <v/>
      </c>
      <c r="M203">
        <f>H203*G203</f>
        <v/>
      </c>
      <c r="N203" t="n">
        <v>7</v>
      </c>
      <c r="O203" t="inlineStr">
        <is>
          <t>C7-24</t>
        </is>
      </c>
      <c r="P203" s="7" t="n">
        <v>46673</v>
      </c>
      <c r="Q203">
        <f>P203-Inputs!$B$4</f>
        <v/>
      </c>
      <c r="R203">
        <f>IF(Q203&lt;0,"expired",IF(Q203&lt;=30,"&lt;=30d",IF(Q203&lt;=90,"31-90d",IF(Q203&lt;=180,"91-180d","&gt;180d"))))</f>
        <v/>
      </c>
      <c r="S203" t="n">
        <v>5</v>
      </c>
    </row>
    <row r="204">
      <c r="A204" t="inlineStr">
        <is>
          <t>SS-01203</t>
        </is>
      </c>
      <c r="B204" t="inlineStr">
        <is>
          <t>sterile surgical pack 117</t>
        </is>
      </c>
      <c r="C204" t="inlineStr">
        <is>
          <t>surgical</t>
        </is>
      </c>
      <c r="D204" t="inlineStr">
        <is>
          <t>SterilePath Medical</t>
        </is>
      </c>
      <c r="E204" t="inlineStr">
        <is>
          <t>HOSP-3</t>
        </is>
      </c>
      <c r="F204" t="inlineStr">
        <is>
          <t>LOT-07203</t>
        </is>
      </c>
      <c r="G204" t="n">
        <v>22.57</v>
      </c>
      <c r="H204" t="n">
        <v>2</v>
      </c>
      <c r="I204" t="n">
        <v>0</v>
      </c>
      <c r="J204" t="inlineStr">
        <is>
          <t>clear</t>
        </is>
      </c>
      <c r="K204">
        <f>IF(J204="recalled",0,MAX(0,H204-I204))</f>
        <v/>
      </c>
      <c r="L204">
        <f>K204*G204</f>
        <v/>
      </c>
      <c r="M204">
        <f>H204*G204</f>
        <v/>
      </c>
      <c r="N204" t="n">
        <v>3</v>
      </c>
      <c r="O204" t="inlineStr">
        <is>
          <t>A6-18</t>
        </is>
      </c>
      <c r="P204" s="7" t="n">
        <v>46705</v>
      </c>
      <c r="Q204">
        <f>P204-Inputs!$B$4</f>
        <v/>
      </c>
      <c r="R204">
        <f>IF(Q204&lt;0,"expired",IF(Q204&lt;=30,"&lt;=30d",IF(Q204&lt;=90,"31-90d",IF(Q204&lt;=180,"91-180d","&gt;180d"))))</f>
        <v/>
      </c>
      <c r="S204" t="n">
        <v>5</v>
      </c>
    </row>
    <row r="205">
      <c r="A205" t="inlineStr">
        <is>
          <t>SS-01204</t>
        </is>
      </c>
      <c r="B205" t="inlineStr">
        <is>
          <t>diagnostic collection set 118</t>
        </is>
      </c>
      <c r="C205" t="inlineStr">
        <is>
          <t>diagnostic</t>
        </is>
      </c>
      <c r="D205" t="inlineStr">
        <is>
          <t>Aegis Clinical Supply</t>
        </is>
      </c>
      <c r="E205" t="inlineStr">
        <is>
          <t>HOSP-4</t>
        </is>
      </c>
      <c r="F205" t="inlineStr">
        <is>
          <t>LOT-07204</t>
        </is>
      </c>
      <c r="G205" t="n">
        <v>26.56</v>
      </c>
      <c r="H205" t="n">
        <v>2</v>
      </c>
      <c r="I205" t="n">
        <v>0</v>
      </c>
      <c r="J205" t="inlineStr">
        <is>
          <t>clear</t>
        </is>
      </c>
      <c r="K205">
        <f>IF(J205="recalled",0,MAX(0,H205-I205))</f>
        <v/>
      </c>
      <c r="L205">
        <f>K205*G205</f>
        <v/>
      </c>
      <c r="M205">
        <f>H205*G205</f>
        <v/>
      </c>
      <c r="N205" t="n">
        <v>8</v>
      </c>
      <c r="O205" t="inlineStr">
        <is>
          <t>B2-09</t>
        </is>
      </c>
      <c r="P205" s="7" t="n">
        <v>46736</v>
      </c>
      <c r="Q205">
        <f>P205-Inputs!$B$4</f>
        <v/>
      </c>
      <c r="R205">
        <f>IF(Q205&lt;0,"expired",IF(Q205&lt;=30,"&lt;=30d",IF(Q205&lt;=90,"31-90d",IF(Q205&lt;=180,"91-180d","&gt;180d"))))</f>
        <v/>
      </c>
      <c r="S205" t="n">
        <v>5</v>
      </c>
    </row>
    <row r="206">
      <c r="A206" t="inlineStr">
        <is>
          <t>SS-01205</t>
        </is>
      </c>
      <c r="B206" t="inlineStr">
        <is>
          <t>advanced wound dressing 119</t>
        </is>
      </c>
      <c r="C206" t="inlineStr">
        <is>
          <t>wound</t>
        </is>
      </c>
      <c r="D206" t="inlineStr">
        <is>
          <t>HarborMed Logistics</t>
        </is>
      </c>
      <c r="E206" t="inlineStr">
        <is>
          <t>HOSP-1</t>
        </is>
      </c>
      <c r="F206" t="inlineStr">
        <is>
          <t>LOT-07205</t>
        </is>
      </c>
      <c r="G206" t="n">
        <v>5.88</v>
      </c>
      <c r="H206" t="n">
        <v>4</v>
      </c>
      <c r="I206" t="n">
        <v>0</v>
      </c>
      <c r="J206" t="inlineStr">
        <is>
          <t>clear</t>
        </is>
      </c>
      <c r="K206">
        <f>IF(J206="recalled",0,MAX(0,H206-I206))</f>
        <v/>
      </c>
      <c r="L206">
        <f>K206*G206</f>
        <v/>
      </c>
      <c r="M206">
        <f>H206*G206</f>
        <v/>
      </c>
      <c r="N206" t="n">
        <v>8</v>
      </c>
      <c r="O206" t="inlineStr">
        <is>
          <t>F11-12</t>
        </is>
      </c>
      <c r="P206" s="7" t="n">
        <v>46403</v>
      </c>
      <c r="Q206">
        <f>P206-Inputs!$B$4</f>
        <v/>
      </c>
      <c r="R206">
        <f>IF(Q206&lt;0,"expired",IF(Q206&lt;=30,"&lt;=30d",IF(Q206&lt;=90,"31-90d",IF(Q206&lt;=180,"91-180d","&gt;180d"))))</f>
        <v/>
      </c>
      <c r="S206" t="n">
        <v>5</v>
      </c>
    </row>
    <row r="207">
      <c r="A207" t="inlineStr">
        <is>
          <t>SS-01206</t>
        </is>
      </c>
      <c r="B207" t="inlineStr">
        <is>
          <t>vascular access kit 120</t>
        </is>
      </c>
      <c r="C207" t="inlineStr">
        <is>
          <t>vascular</t>
        </is>
      </c>
      <c r="D207" t="inlineStr">
        <is>
          <t>Northstar Surgical</t>
        </is>
      </c>
      <c r="E207" t="inlineStr">
        <is>
          <t>HOSP-2</t>
        </is>
      </c>
      <c r="F207" t="inlineStr">
        <is>
          <t>LOT-07206</t>
        </is>
      </c>
      <c r="G207" t="n">
        <v>2.63</v>
      </c>
      <c r="H207" t="n">
        <v>39</v>
      </c>
      <c r="I207" t="n">
        <v>0</v>
      </c>
      <c r="J207" t="inlineStr">
        <is>
          <t>clear</t>
        </is>
      </c>
      <c r="K207">
        <f>IF(J207="recalled",0,MAX(0,H207-I207))</f>
        <v/>
      </c>
      <c r="L207">
        <f>K207*G207</f>
        <v/>
      </c>
      <c r="M207">
        <f>H207*G207</f>
        <v/>
      </c>
      <c r="N207" t="n">
        <v>3</v>
      </c>
      <c r="O207" t="inlineStr">
        <is>
          <t>C1-12</t>
        </is>
      </c>
      <c r="P207" s="7" t="n">
        <v>46435</v>
      </c>
      <c r="Q207">
        <f>P207-Inputs!$B$4</f>
        <v/>
      </c>
      <c r="R207">
        <f>IF(Q207&lt;0,"expired",IF(Q207&lt;=30,"&lt;=30d",IF(Q207&lt;=90,"31-90d",IF(Q207&lt;=180,"91-180d","&gt;180d"))))</f>
        <v/>
      </c>
      <c r="S207" t="n">
        <v>5</v>
      </c>
    </row>
    <row r="208">
      <c r="A208" t="inlineStr">
        <is>
          <t>SS-01207</t>
        </is>
      </c>
      <c r="B208" t="inlineStr">
        <is>
          <t>respiratory circuit 121</t>
        </is>
      </c>
      <c r="C208" t="inlineStr">
        <is>
          <t>respiratory</t>
        </is>
      </c>
      <c r="D208" t="inlineStr">
        <is>
          <t>MedAxis Distribution</t>
        </is>
      </c>
      <c r="E208" t="inlineStr">
        <is>
          <t>HOSP-3</t>
        </is>
      </c>
      <c r="F208" t="inlineStr">
        <is>
          <t>LOT-07207</t>
        </is>
      </c>
      <c r="G208" t="n">
        <v>22.22</v>
      </c>
      <c r="H208" t="n">
        <v>18</v>
      </c>
      <c r="I208" t="n">
        <v>0</v>
      </c>
      <c r="J208" t="inlineStr">
        <is>
          <t>clear</t>
        </is>
      </c>
      <c r="K208">
        <f>IF(J208="recalled",0,MAX(0,H208-I208))</f>
        <v/>
      </c>
      <c r="L208">
        <f>K208*G208</f>
        <v/>
      </c>
      <c r="M208">
        <f>H208*G208</f>
        <v/>
      </c>
      <c r="N208" t="n">
        <v>2</v>
      </c>
      <c r="O208" t="inlineStr">
        <is>
          <t>B3-06</t>
        </is>
      </c>
      <c r="P208" s="7" t="n">
        <v>46464</v>
      </c>
      <c r="Q208">
        <f>P208-Inputs!$B$4</f>
        <v/>
      </c>
      <c r="R208">
        <f>IF(Q208&lt;0,"expired",IF(Q208&lt;=30,"&lt;=30d",IF(Q208&lt;=90,"31-90d",IF(Q208&lt;=180,"91-180d","&gt;180d"))))</f>
        <v/>
      </c>
      <c r="S208" t="n">
        <v>5</v>
      </c>
    </row>
    <row r="209">
      <c r="A209" t="inlineStr">
        <is>
          <t>SS-01208</t>
        </is>
      </c>
      <c r="B209" t="inlineStr">
        <is>
          <t>sterile surgical pack 122</t>
        </is>
      </c>
      <c r="C209" t="inlineStr">
        <is>
          <t>surgical</t>
        </is>
      </c>
      <c r="D209" t="inlineStr">
        <is>
          <t>SterilePath Medical</t>
        </is>
      </c>
      <c r="E209" t="inlineStr">
        <is>
          <t>HOSP-4</t>
        </is>
      </c>
      <c r="F209" t="inlineStr">
        <is>
          <t>LOT-07208</t>
        </is>
      </c>
      <c r="G209" t="n">
        <v>36.82</v>
      </c>
      <c r="H209" t="n">
        <v>7</v>
      </c>
      <c r="I209" t="n">
        <v>0</v>
      </c>
      <c r="J209" t="inlineStr">
        <is>
          <t>clear</t>
        </is>
      </c>
      <c r="K209">
        <f>IF(J209="recalled",0,MAX(0,H209-I209))</f>
        <v/>
      </c>
      <c r="L209">
        <f>K209*G209</f>
        <v/>
      </c>
      <c r="M209">
        <f>H209*G209</f>
        <v/>
      </c>
      <c r="N209" t="n">
        <v>4</v>
      </c>
      <c r="O209" t="inlineStr">
        <is>
          <t>B2-04</t>
        </is>
      </c>
      <c r="P209" s="7" t="n">
        <v>46496</v>
      </c>
      <c r="Q209">
        <f>P209-Inputs!$B$4</f>
        <v/>
      </c>
      <c r="R209">
        <f>IF(Q209&lt;0,"expired",IF(Q209&lt;=30,"&lt;=30d",IF(Q209&lt;=90,"31-90d",IF(Q209&lt;=180,"91-180d","&gt;180d"))))</f>
        <v/>
      </c>
      <c r="S209" t="n">
        <v>5</v>
      </c>
    </row>
    <row r="210">
      <c r="A210" t="inlineStr">
        <is>
          <t>SS-01209</t>
        </is>
      </c>
      <c r="B210" t="inlineStr">
        <is>
          <t>diagnostic collection set 123</t>
        </is>
      </c>
      <c r="C210" t="inlineStr">
        <is>
          <t>diagnostic</t>
        </is>
      </c>
      <c r="D210" t="inlineStr">
        <is>
          <t>Aegis Clinical Supply</t>
        </is>
      </c>
      <c r="E210" t="inlineStr">
        <is>
          <t>HOSP-1</t>
        </is>
      </c>
      <c r="F210" t="inlineStr">
        <is>
          <t>LOT-07209</t>
        </is>
      </c>
      <c r="G210" t="n">
        <v>26.25</v>
      </c>
      <c r="H210" t="n">
        <v>26</v>
      </c>
      <c r="I210" t="n">
        <v>0</v>
      </c>
      <c r="J210" t="inlineStr">
        <is>
          <t>clear</t>
        </is>
      </c>
      <c r="K210">
        <f>IF(J210="recalled",0,MAX(0,H210-I210))</f>
        <v/>
      </c>
      <c r="L210">
        <f>K210*G210</f>
        <v/>
      </c>
      <c r="M210">
        <f>H210*G210</f>
        <v/>
      </c>
      <c r="N210" t="n">
        <v>5</v>
      </c>
      <c r="O210" t="inlineStr">
        <is>
          <t>C6-05</t>
        </is>
      </c>
      <c r="P210" s="7" t="n">
        <v>46527</v>
      </c>
      <c r="Q210">
        <f>P210-Inputs!$B$4</f>
        <v/>
      </c>
      <c r="R210">
        <f>IF(Q210&lt;0,"expired",IF(Q210&lt;=30,"&lt;=30d",IF(Q210&lt;=90,"31-90d",IF(Q210&lt;=180,"91-180d","&gt;180d"))))</f>
        <v/>
      </c>
      <c r="S210" t="n">
        <v>5</v>
      </c>
    </row>
    <row r="211">
      <c r="A211" t="inlineStr">
        <is>
          <t>SS-01210</t>
        </is>
      </c>
      <c r="B211" t="inlineStr">
        <is>
          <t>advanced wound dressing 124</t>
        </is>
      </c>
      <c r="C211" t="inlineStr">
        <is>
          <t>wound</t>
        </is>
      </c>
      <c r="D211" t="inlineStr">
        <is>
          <t>HarborMed Logistics</t>
        </is>
      </c>
      <c r="E211" t="inlineStr">
        <is>
          <t>HOSP-2</t>
        </is>
      </c>
      <c r="F211" t="inlineStr">
        <is>
          <t>LOT-07210</t>
        </is>
      </c>
      <c r="G211" t="n">
        <v>7.74</v>
      </c>
      <c r="H211" t="n">
        <v>0</v>
      </c>
      <c r="I211" t="n">
        <v>0</v>
      </c>
      <c r="J211" t="inlineStr">
        <is>
          <t>clear</t>
        </is>
      </c>
      <c r="K211">
        <f>IF(J211="recalled",0,MAX(0,H211-I211))</f>
        <v/>
      </c>
      <c r="L211">
        <f>K211*G211</f>
        <v/>
      </c>
      <c r="M211">
        <f>H211*G211</f>
        <v/>
      </c>
      <c r="N211" t="n">
        <v>4</v>
      </c>
      <c r="O211" t="inlineStr">
        <is>
          <t>A2-01</t>
        </is>
      </c>
      <c r="P211" s="7" t="n">
        <v>46559</v>
      </c>
      <c r="Q211">
        <f>P211-Inputs!$B$4</f>
        <v/>
      </c>
      <c r="R211">
        <f>IF(Q211&lt;0,"expired",IF(Q211&lt;=30,"&lt;=30d",IF(Q211&lt;=90,"31-90d",IF(Q211&lt;=180,"91-180d","&gt;180d"))))</f>
        <v/>
      </c>
      <c r="S211" t="n">
        <v>5</v>
      </c>
    </row>
    <row r="212">
      <c r="A212" t="inlineStr">
        <is>
          <t>SS-01211</t>
        </is>
      </c>
      <c r="B212" t="inlineStr">
        <is>
          <t>vascular access kit 125</t>
        </is>
      </c>
      <c r="C212" t="inlineStr">
        <is>
          <t>vascular</t>
        </is>
      </c>
      <c r="D212" t="inlineStr">
        <is>
          <t>Northstar Surgical</t>
        </is>
      </c>
      <c r="E212" t="inlineStr">
        <is>
          <t>HOSP-3</t>
        </is>
      </c>
      <c r="F212" t="inlineStr">
        <is>
          <t>LOT-07211</t>
        </is>
      </c>
      <c r="G212" t="n">
        <v>10.07</v>
      </c>
      <c r="H212" t="n">
        <v>1</v>
      </c>
      <c r="I212" t="n">
        <v>0</v>
      </c>
      <c r="J212" t="inlineStr">
        <is>
          <t>clear</t>
        </is>
      </c>
      <c r="K212">
        <f>IF(J212="recalled",0,MAX(0,H212-I212))</f>
        <v/>
      </c>
      <c r="L212">
        <f>K212*G212</f>
        <v/>
      </c>
      <c r="M212">
        <f>H212*G212</f>
        <v/>
      </c>
      <c r="N212" t="n">
        <v>6</v>
      </c>
      <c r="O212" t="inlineStr">
        <is>
          <t>C10-10</t>
        </is>
      </c>
      <c r="P212" s="7" t="n">
        <v>46590</v>
      </c>
      <c r="Q212">
        <f>P212-Inputs!$B$4</f>
        <v/>
      </c>
      <c r="R212">
        <f>IF(Q212&lt;0,"expired",IF(Q212&lt;=30,"&lt;=30d",IF(Q212&lt;=90,"31-90d",IF(Q212&lt;=180,"91-180d","&gt;180d"))))</f>
        <v/>
      </c>
      <c r="S212" t="n">
        <v>5</v>
      </c>
    </row>
    <row r="213">
      <c r="A213" t="inlineStr">
        <is>
          <t>SS-01212</t>
        </is>
      </c>
      <c r="B213" t="inlineStr">
        <is>
          <t>respiratory circuit 126</t>
        </is>
      </c>
      <c r="C213" t="inlineStr">
        <is>
          <t>respiratory</t>
        </is>
      </c>
      <c r="D213" t="inlineStr">
        <is>
          <t>MedAxis Distribution</t>
        </is>
      </c>
      <c r="E213" t="inlineStr">
        <is>
          <t>HOSP-4</t>
        </is>
      </c>
      <c r="F213" t="inlineStr">
        <is>
          <t>LOT-07212</t>
        </is>
      </c>
      <c r="G213" t="n">
        <v>31.34</v>
      </c>
      <c r="H213" t="n">
        <v>43</v>
      </c>
      <c r="I213" t="n">
        <v>0</v>
      </c>
      <c r="J213" t="inlineStr">
        <is>
          <t>clear</t>
        </is>
      </c>
      <c r="K213">
        <f>IF(J213="recalled",0,MAX(0,H213-I213))</f>
        <v/>
      </c>
      <c r="L213">
        <f>K213*G213</f>
        <v/>
      </c>
      <c r="M213">
        <f>H213*G213</f>
        <v/>
      </c>
      <c r="N213" t="n">
        <v>6</v>
      </c>
      <c r="O213" t="inlineStr">
        <is>
          <t>B9-23</t>
        </is>
      </c>
      <c r="P213" s="7" t="n">
        <v>46622</v>
      </c>
      <c r="Q213">
        <f>P213-Inputs!$B$4</f>
        <v/>
      </c>
      <c r="R213">
        <f>IF(Q213&lt;0,"expired",IF(Q213&lt;=30,"&lt;=30d",IF(Q213&lt;=90,"31-90d",IF(Q213&lt;=180,"91-180d","&gt;180d"))))</f>
        <v/>
      </c>
      <c r="S213" t="n">
        <v>5</v>
      </c>
    </row>
    <row r="214">
      <c r="A214" t="inlineStr">
        <is>
          <t>SS-01213</t>
        </is>
      </c>
      <c r="B214" t="inlineStr">
        <is>
          <t>sterile surgical pack 127</t>
        </is>
      </c>
      <c r="C214" t="inlineStr">
        <is>
          <t>surgical</t>
        </is>
      </c>
      <c r="D214" t="inlineStr">
        <is>
          <t>SterilePath Medical</t>
        </is>
      </c>
      <c r="E214" t="inlineStr">
        <is>
          <t>HOSP-1</t>
        </is>
      </c>
      <c r="F214" t="inlineStr">
        <is>
          <t>LOT-07213</t>
        </is>
      </c>
      <c r="G214" t="n">
        <v>20.79</v>
      </c>
      <c r="H214" t="n">
        <v>9</v>
      </c>
      <c r="I214" t="n">
        <v>0</v>
      </c>
      <c r="J214" t="inlineStr">
        <is>
          <t>clear</t>
        </is>
      </c>
      <c r="K214">
        <f>IF(J214="recalled",0,MAX(0,H214-I214))</f>
        <v/>
      </c>
      <c r="L214">
        <f>K214*G214</f>
        <v/>
      </c>
      <c r="M214">
        <f>H214*G214</f>
        <v/>
      </c>
      <c r="N214" t="n">
        <v>7</v>
      </c>
      <c r="O214" t="inlineStr">
        <is>
          <t>A11-18</t>
        </is>
      </c>
      <c r="P214" s="7" t="n">
        <v>46654</v>
      </c>
      <c r="Q214">
        <f>P214-Inputs!$B$4</f>
        <v/>
      </c>
      <c r="R214">
        <f>IF(Q214&lt;0,"expired",IF(Q214&lt;=30,"&lt;=30d",IF(Q214&lt;=90,"31-90d",IF(Q214&lt;=180,"91-180d","&gt;180d"))))</f>
        <v/>
      </c>
      <c r="S214" t="n">
        <v>5</v>
      </c>
    </row>
    <row r="215">
      <c r="A215" t="inlineStr">
        <is>
          <t>SS-01214</t>
        </is>
      </c>
      <c r="B215" t="inlineStr">
        <is>
          <t>diagnostic collection set 128</t>
        </is>
      </c>
      <c r="C215" t="inlineStr">
        <is>
          <t>diagnostic</t>
        </is>
      </c>
      <c r="D215" t="inlineStr">
        <is>
          <t>Aegis Clinical Supply</t>
        </is>
      </c>
      <c r="E215" t="inlineStr">
        <is>
          <t>HOSP-2</t>
        </is>
      </c>
      <c r="F215" t="inlineStr">
        <is>
          <t>LOT-07214</t>
        </is>
      </c>
      <c r="G215" t="n">
        <v>12.07</v>
      </c>
      <c r="H215" t="n">
        <v>10</v>
      </c>
      <c r="I215" t="n">
        <v>0</v>
      </c>
      <c r="J215" t="inlineStr">
        <is>
          <t>clear</t>
        </is>
      </c>
      <c r="K215">
        <f>IF(J215="recalled",0,MAX(0,H215-I215))</f>
        <v/>
      </c>
      <c r="L215">
        <f>K215*G215</f>
        <v/>
      </c>
      <c r="M215">
        <f>H215*G215</f>
        <v/>
      </c>
      <c r="N215" t="n">
        <v>5</v>
      </c>
      <c r="O215" t="inlineStr">
        <is>
          <t>C9-04</t>
        </is>
      </c>
      <c r="P215" s="7" t="n">
        <v>46685</v>
      </c>
      <c r="Q215">
        <f>P215-Inputs!$B$4</f>
        <v/>
      </c>
      <c r="R215">
        <f>IF(Q215&lt;0,"expired",IF(Q215&lt;=30,"&lt;=30d",IF(Q215&lt;=90,"31-90d",IF(Q215&lt;=180,"91-180d","&gt;180d"))))</f>
        <v/>
      </c>
      <c r="S215" t="n">
        <v>5</v>
      </c>
    </row>
    <row r="216">
      <c r="A216" t="inlineStr">
        <is>
          <t>SS-01215</t>
        </is>
      </c>
      <c r="B216" t="inlineStr">
        <is>
          <t>advanced wound dressing 129</t>
        </is>
      </c>
      <c r="C216" t="inlineStr">
        <is>
          <t>wound</t>
        </is>
      </c>
      <c r="D216" t="inlineStr">
        <is>
          <t>HarborMed Logistics</t>
        </is>
      </c>
      <c r="E216" t="inlineStr">
        <is>
          <t>HOSP-3</t>
        </is>
      </c>
      <c r="F216" t="inlineStr">
        <is>
          <t>LOT-07215</t>
        </is>
      </c>
      <c r="G216" t="n">
        <v>12.93</v>
      </c>
      <c r="H216" t="n">
        <v>29</v>
      </c>
      <c r="I216" t="n">
        <v>0</v>
      </c>
      <c r="J216" t="inlineStr">
        <is>
          <t>clear</t>
        </is>
      </c>
      <c r="K216">
        <f>IF(J216="recalled",0,MAX(0,H216-I216))</f>
        <v/>
      </c>
      <c r="L216">
        <f>K216*G216</f>
        <v/>
      </c>
      <c r="M216">
        <f>H216*G216</f>
        <v/>
      </c>
      <c r="N216" t="n">
        <v>3</v>
      </c>
      <c r="O216" t="inlineStr">
        <is>
          <t>A1-06</t>
        </is>
      </c>
      <c r="P216" s="7" t="n">
        <v>46717</v>
      </c>
      <c r="Q216">
        <f>P216-Inputs!$B$4</f>
        <v/>
      </c>
      <c r="R216">
        <f>IF(Q216&lt;0,"expired",IF(Q216&lt;=30,"&lt;=30d",IF(Q216&lt;=90,"31-90d",IF(Q216&lt;=180,"91-180d","&gt;180d"))))</f>
        <v/>
      </c>
      <c r="S216" t="n">
        <v>5</v>
      </c>
    </row>
    <row r="217">
      <c r="A217" t="inlineStr">
        <is>
          <t>SS-01216</t>
        </is>
      </c>
      <c r="B217" t="inlineStr">
        <is>
          <t>vascular access kit 130</t>
        </is>
      </c>
      <c r="C217" t="inlineStr">
        <is>
          <t>vascular</t>
        </is>
      </c>
      <c r="D217" t="inlineStr">
        <is>
          <t>Northstar Surgical</t>
        </is>
      </c>
      <c r="E217" t="inlineStr">
        <is>
          <t>HOSP-4</t>
        </is>
      </c>
      <c r="F217" t="inlineStr">
        <is>
          <t>LOT-07216</t>
        </is>
      </c>
      <c r="G217" t="n">
        <v>14.57</v>
      </c>
      <c r="H217" t="n">
        <v>6</v>
      </c>
      <c r="I217" t="n">
        <v>0</v>
      </c>
      <c r="J217" t="inlineStr">
        <is>
          <t>clear</t>
        </is>
      </c>
      <c r="K217">
        <f>IF(J217="recalled",0,MAX(0,H217-I217))</f>
        <v/>
      </c>
      <c r="L217">
        <f>K217*G217</f>
        <v/>
      </c>
      <c r="M217">
        <f>H217*G217</f>
        <v/>
      </c>
      <c r="N217" t="n">
        <v>4</v>
      </c>
      <c r="O217" t="inlineStr">
        <is>
          <t>B3-20</t>
        </is>
      </c>
      <c r="P217" s="7" t="n">
        <v>46748</v>
      </c>
      <c r="Q217">
        <f>P217-Inputs!$B$4</f>
        <v/>
      </c>
      <c r="R217">
        <f>IF(Q217&lt;0,"expired",IF(Q217&lt;=30,"&lt;=30d",IF(Q217&lt;=90,"31-90d",IF(Q217&lt;=180,"91-180d","&gt;180d"))))</f>
        <v/>
      </c>
      <c r="S217" t="n">
        <v>5</v>
      </c>
    </row>
    <row r="218">
      <c r="A218" t="inlineStr">
        <is>
          <t>SS-01217</t>
        </is>
      </c>
      <c r="B218" t="inlineStr">
        <is>
          <t>respiratory circuit 131</t>
        </is>
      </c>
      <c r="C218" t="inlineStr">
        <is>
          <t>respiratory</t>
        </is>
      </c>
      <c r="D218" t="inlineStr">
        <is>
          <t>MedAxis Distribution</t>
        </is>
      </c>
      <c r="E218" t="inlineStr">
        <is>
          <t>HOSP-1</t>
        </is>
      </c>
      <c r="F218" t="inlineStr">
        <is>
          <t>LOT-07217</t>
        </is>
      </c>
      <c r="G218" t="n">
        <v>13.26</v>
      </c>
      <c r="H218" t="n">
        <v>17</v>
      </c>
      <c r="I218" t="n">
        <v>0</v>
      </c>
      <c r="J218" t="inlineStr">
        <is>
          <t>clear</t>
        </is>
      </c>
      <c r="K218">
        <f>IF(J218="recalled",0,MAX(0,H218-I218))</f>
        <v/>
      </c>
      <c r="L218">
        <f>K218*G218</f>
        <v/>
      </c>
      <c r="M218">
        <f>H218*G218</f>
        <v/>
      </c>
      <c r="N218" t="n">
        <v>4</v>
      </c>
      <c r="O218" t="inlineStr">
        <is>
          <t>C12-01</t>
        </is>
      </c>
      <c r="P218" s="7" t="n">
        <v>46388</v>
      </c>
      <c r="Q218">
        <f>P218-Inputs!$B$4</f>
        <v/>
      </c>
      <c r="R218">
        <f>IF(Q218&lt;0,"expired",IF(Q218&lt;=30,"&lt;=30d",IF(Q218&lt;=90,"31-90d",IF(Q218&lt;=180,"91-180d","&gt;180d"))))</f>
        <v/>
      </c>
      <c r="S218" t="n">
        <v>5</v>
      </c>
    </row>
    <row r="219">
      <c r="A219" t="inlineStr">
        <is>
          <t>SS-01218</t>
        </is>
      </c>
      <c r="B219" t="inlineStr">
        <is>
          <t>sterile surgical pack 132</t>
        </is>
      </c>
      <c r="C219" t="inlineStr">
        <is>
          <t>surgical</t>
        </is>
      </c>
      <c r="D219" t="inlineStr">
        <is>
          <t>SterilePath Medical</t>
        </is>
      </c>
      <c r="E219" t="inlineStr">
        <is>
          <t>HOSP-2</t>
        </is>
      </c>
      <c r="F219" t="inlineStr">
        <is>
          <t>LOT-07218</t>
        </is>
      </c>
      <c r="G219" t="n">
        <v>7.14</v>
      </c>
      <c r="H219" t="n">
        <v>3</v>
      </c>
      <c r="I219" t="n">
        <v>0</v>
      </c>
      <c r="J219" t="inlineStr">
        <is>
          <t>clear</t>
        </is>
      </c>
      <c r="K219">
        <f>IF(J219="recalled",0,MAX(0,H219-I219))</f>
        <v/>
      </c>
      <c r="L219">
        <f>K219*G219</f>
        <v/>
      </c>
      <c r="M219">
        <f>H219*G219</f>
        <v/>
      </c>
      <c r="N219" t="n">
        <v>7</v>
      </c>
      <c r="O219" t="inlineStr">
        <is>
          <t>C1-02</t>
        </is>
      </c>
      <c r="P219" s="7" t="n">
        <v>46420</v>
      </c>
      <c r="Q219">
        <f>P219-Inputs!$B$4</f>
        <v/>
      </c>
      <c r="R219">
        <f>IF(Q219&lt;0,"expired",IF(Q219&lt;=30,"&lt;=30d",IF(Q219&lt;=90,"31-90d",IF(Q219&lt;=180,"91-180d","&gt;180d"))))</f>
        <v/>
      </c>
      <c r="S219" t="n">
        <v>5</v>
      </c>
    </row>
    <row r="220">
      <c r="A220" t="inlineStr">
        <is>
          <t>SS-01219</t>
        </is>
      </c>
      <c r="B220" t="inlineStr">
        <is>
          <t>diagnostic collection set 133</t>
        </is>
      </c>
      <c r="C220" t="inlineStr">
        <is>
          <t>diagnostic</t>
        </is>
      </c>
      <c r="D220" t="inlineStr">
        <is>
          <t>Aegis Clinical Supply</t>
        </is>
      </c>
      <c r="E220" t="inlineStr">
        <is>
          <t>HOSP-3</t>
        </is>
      </c>
      <c r="F220" t="inlineStr">
        <is>
          <t>LOT-07219</t>
        </is>
      </c>
      <c r="G220" t="n">
        <v>10.1</v>
      </c>
      <c r="H220" t="n">
        <v>20</v>
      </c>
      <c r="I220" t="n">
        <v>0</v>
      </c>
      <c r="J220" t="inlineStr">
        <is>
          <t>clear</t>
        </is>
      </c>
      <c r="K220">
        <f>IF(J220="recalled",0,MAX(0,H220-I220))</f>
        <v/>
      </c>
      <c r="L220">
        <f>K220*G220</f>
        <v/>
      </c>
      <c r="M220">
        <f>H220*G220</f>
        <v/>
      </c>
      <c r="N220" t="n">
        <v>6</v>
      </c>
      <c r="O220" t="inlineStr">
        <is>
          <t>J2-04</t>
        </is>
      </c>
      <c r="P220" s="7" t="n">
        <v>46449</v>
      </c>
      <c r="Q220">
        <f>P220-Inputs!$B$4</f>
        <v/>
      </c>
      <c r="R220">
        <f>IF(Q220&lt;0,"expired",IF(Q220&lt;=30,"&lt;=30d",IF(Q220&lt;=90,"31-90d",IF(Q220&lt;=180,"91-180d","&gt;180d"))))</f>
        <v/>
      </c>
      <c r="S220" t="n">
        <v>5</v>
      </c>
    </row>
    <row r="221">
      <c r="A221" t="inlineStr">
        <is>
          <t>SS-01220</t>
        </is>
      </c>
      <c r="B221" t="inlineStr">
        <is>
          <t>advanced wound dressing 134</t>
        </is>
      </c>
      <c r="C221" t="inlineStr">
        <is>
          <t>wound</t>
        </is>
      </c>
      <c r="D221" t="inlineStr">
        <is>
          <t>HarborMed Logistics</t>
        </is>
      </c>
      <c r="E221" t="inlineStr">
        <is>
          <t>HOSP-4</t>
        </is>
      </c>
      <c r="F221" t="inlineStr">
        <is>
          <t>LOT-07220</t>
        </is>
      </c>
      <c r="G221" t="n">
        <v>21.48</v>
      </c>
      <c r="H221" t="n">
        <v>24</v>
      </c>
      <c r="I221" t="n">
        <v>0</v>
      </c>
      <c r="J221" t="inlineStr">
        <is>
          <t>clear</t>
        </is>
      </c>
      <c r="K221">
        <f>IF(J221="recalled",0,MAX(0,H221-I221))</f>
        <v/>
      </c>
      <c r="L221">
        <f>K221*G221</f>
        <v/>
      </c>
      <c r="M221">
        <f>H221*G221</f>
        <v/>
      </c>
      <c r="N221" t="n">
        <v>7</v>
      </c>
      <c r="O221" t="inlineStr">
        <is>
          <t>D9-01</t>
        </is>
      </c>
      <c r="P221" s="7" t="n">
        <v>46481</v>
      </c>
      <c r="Q221">
        <f>P221-Inputs!$B$4</f>
        <v/>
      </c>
      <c r="R221">
        <f>IF(Q221&lt;0,"expired",IF(Q221&lt;=30,"&lt;=30d",IF(Q221&lt;=90,"31-90d",IF(Q221&lt;=180,"91-180d","&gt;180d"))))</f>
        <v/>
      </c>
      <c r="S221" t="n">
        <v>5</v>
      </c>
    </row>
    <row r="222">
      <c r="A222" t="inlineStr">
        <is>
          <t>SS-01221</t>
        </is>
      </c>
      <c r="B222" t="inlineStr">
        <is>
          <t>vascular access kit 135</t>
        </is>
      </c>
      <c r="C222" t="inlineStr">
        <is>
          <t>vascular</t>
        </is>
      </c>
      <c r="D222" t="inlineStr">
        <is>
          <t>Northstar Surgical</t>
        </is>
      </c>
      <c r="E222" t="inlineStr">
        <is>
          <t>HOSP-1</t>
        </is>
      </c>
      <c r="F222" t="inlineStr">
        <is>
          <t>LOT-07221</t>
        </is>
      </c>
      <c r="G222" t="n">
        <v>11.56</v>
      </c>
      <c r="H222" t="n">
        <v>13</v>
      </c>
      <c r="I222" t="n">
        <v>3</v>
      </c>
      <c r="J222" t="inlineStr">
        <is>
          <t>clear</t>
        </is>
      </c>
      <c r="K222">
        <f>IF(J222="recalled",0,MAX(0,H222-I222))</f>
        <v/>
      </c>
      <c r="L222">
        <f>K222*G222</f>
        <v/>
      </c>
      <c r="M222">
        <f>H222*G222</f>
        <v/>
      </c>
      <c r="N222" t="n">
        <v>3</v>
      </c>
      <c r="O222" t="inlineStr">
        <is>
          <t>D11-06</t>
        </is>
      </c>
      <c r="P222" s="7" t="n">
        <v>46512</v>
      </c>
      <c r="Q222">
        <f>P222-Inputs!$B$4</f>
        <v/>
      </c>
      <c r="R222">
        <f>IF(Q222&lt;0,"expired",IF(Q222&lt;=30,"&lt;=30d",IF(Q222&lt;=90,"31-90d",IF(Q222&lt;=180,"91-180d","&gt;180d"))))</f>
        <v/>
      </c>
      <c r="S222" t="n">
        <v>5</v>
      </c>
    </row>
    <row r="223">
      <c r="A223" t="inlineStr">
        <is>
          <t>SS-01222</t>
        </is>
      </c>
      <c r="B223" t="inlineStr">
        <is>
          <t>respiratory circuit 136</t>
        </is>
      </c>
      <c r="C223" t="inlineStr">
        <is>
          <t>respiratory</t>
        </is>
      </c>
      <c r="D223" t="inlineStr">
        <is>
          <t>MedAxis Distribution</t>
        </is>
      </c>
      <c r="E223" t="inlineStr">
        <is>
          <t>HOSP-2</t>
        </is>
      </c>
      <c r="F223" t="inlineStr">
        <is>
          <t>LOT-07222</t>
        </is>
      </c>
      <c r="G223" t="n">
        <v>5.94</v>
      </c>
      <c r="H223" t="n">
        <v>58</v>
      </c>
      <c r="I223" t="n">
        <v>0</v>
      </c>
      <c r="J223" t="inlineStr">
        <is>
          <t>clear</t>
        </is>
      </c>
      <c r="K223">
        <f>IF(J223="recalled",0,MAX(0,H223-I223))</f>
        <v/>
      </c>
      <c r="L223">
        <f>K223*G223</f>
        <v/>
      </c>
      <c r="M223">
        <f>H223*G223</f>
        <v/>
      </c>
      <c r="N223" t="n">
        <v>4</v>
      </c>
      <c r="O223" t="inlineStr">
        <is>
          <t>J4-05</t>
        </is>
      </c>
      <c r="P223" s="7" t="n">
        <v>46544</v>
      </c>
      <c r="Q223">
        <f>P223-Inputs!$B$4</f>
        <v/>
      </c>
      <c r="R223">
        <f>IF(Q223&lt;0,"expired",IF(Q223&lt;=30,"&lt;=30d",IF(Q223&lt;=90,"31-90d",IF(Q223&lt;=180,"91-180d","&gt;180d"))))</f>
        <v/>
      </c>
      <c r="S223" t="n">
        <v>5</v>
      </c>
    </row>
    <row r="224">
      <c r="A224" t="inlineStr">
        <is>
          <t>SS-01223</t>
        </is>
      </c>
      <c r="B224" t="inlineStr">
        <is>
          <t>sterile surgical pack 100</t>
        </is>
      </c>
      <c r="C224" t="inlineStr">
        <is>
          <t>surgical</t>
        </is>
      </c>
      <c r="D224" t="inlineStr">
        <is>
          <t>SterilePath Medical</t>
        </is>
      </c>
      <c r="E224" t="inlineStr">
        <is>
          <t>HOSP-3</t>
        </is>
      </c>
      <c r="F224" t="inlineStr">
        <is>
          <t>LOT-07223</t>
        </is>
      </c>
      <c r="G224" t="n">
        <v>17.42</v>
      </c>
      <c r="H224" t="n">
        <v>3</v>
      </c>
      <c r="I224" t="n">
        <v>0</v>
      </c>
      <c r="J224" t="inlineStr">
        <is>
          <t>clear</t>
        </is>
      </c>
      <c r="K224">
        <f>IF(J224="recalled",0,MAX(0,H224-I224))</f>
        <v/>
      </c>
      <c r="L224">
        <f>K224*G224</f>
        <v/>
      </c>
      <c r="M224">
        <f>H224*G224</f>
        <v/>
      </c>
      <c r="N224" t="n">
        <v>3</v>
      </c>
      <c r="O224" t="inlineStr">
        <is>
          <t>G12-10</t>
        </is>
      </c>
      <c r="P224" s="7" t="n">
        <v>46575</v>
      </c>
      <c r="Q224">
        <f>P224-Inputs!$B$4</f>
        <v/>
      </c>
      <c r="R224">
        <f>IF(Q224&lt;0,"expired",IF(Q224&lt;=30,"&lt;=30d",IF(Q224&lt;=90,"31-90d",IF(Q224&lt;=180,"91-180d","&gt;180d"))))</f>
        <v/>
      </c>
      <c r="S224" t="n">
        <v>5</v>
      </c>
    </row>
    <row r="225">
      <c r="A225" t="inlineStr">
        <is>
          <t>SS-01224</t>
        </is>
      </c>
      <c r="B225" t="inlineStr">
        <is>
          <t>diagnostic collection set 101</t>
        </is>
      </c>
      <c r="C225" t="inlineStr">
        <is>
          <t>diagnostic</t>
        </is>
      </c>
      <c r="D225" t="inlineStr">
        <is>
          <t>Aegis Clinical Supply</t>
        </is>
      </c>
      <c r="E225" t="inlineStr">
        <is>
          <t>HOSP-4</t>
        </is>
      </c>
      <c r="F225" t="inlineStr">
        <is>
          <t>LOT-07224</t>
        </is>
      </c>
      <c r="G225" t="n">
        <v>35.1</v>
      </c>
      <c r="H225" t="n">
        <v>77</v>
      </c>
      <c r="I225" t="n">
        <v>0</v>
      </c>
      <c r="J225" t="inlineStr">
        <is>
          <t>clear</t>
        </is>
      </c>
      <c r="K225">
        <f>IF(J225="recalled",0,MAX(0,H225-I225))</f>
        <v/>
      </c>
      <c r="L225">
        <f>K225*G225</f>
        <v/>
      </c>
      <c r="M225">
        <f>H225*G225</f>
        <v/>
      </c>
      <c r="N225" t="n">
        <v>5</v>
      </c>
      <c r="O225" t="inlineStr">
        <is>
          <t>C11-01</t>
        </is>
      </c>
      <c r="P225" s="7" t="n">
        <v>46607</v>
      </c>
      <c r="Q225">
        <f>P225-Inputs!$B$4</f>
        <v/>
      </c>
      <c r="R225">
        <f>IF(Q225&lt;0,"expired",IF(Q225&lt;=30,"&lt;=30d",IF(Q225&lt;=90,"31-90d",IF(Q225&lt;=180,"91-180d","&gt;180d"))))</f>
        <v/>
      </c>
      <c r="S225" t="n">
        <v>5</v>
      </c>
    </row>
    <row r="226">
      <c r="A226" t="inlineStr">
        <is>
          <t>SS-01225</t>
        </is>
      </c>
      <c r="B226" t="inlineStr">
        <is>
          <t>advanced wound dressing 102</t>
        </is>
      </c>
      <c r="C226" t="inlineStr">
        <is>
          <t>wound</t>
        </is>
      </c>
      <c r="D226" t="inlineStr">
        <is>
          <t>HarborMed Logistics</t>
        </is>
      </c>
      <c r="E226" t="inlineStr">
        <is>
          <t>HOSP-1</t>
        </is>
      </c>
      <c r="F226" t="inlineStr">
        <is>
          <t>LOT-07225</t>
        </is>
      </c>
      <c r="G226" t="n">
        <v>15.15</v>
      </c>
      <c r="H226" t="n">
        <v>0</v>
      </c>
      <c r="I226" t="n">
        <v>0</v>
      </c>
      <c r="J226" t="inlineStr">
        <is>
          <t>clear</t>
        </is>
      </c>
      <c r="K226">
        <f>IF(J226="recalled",0,MAX(0,H226-I226))</f>
        <v/>
      </c>
      <c r="L226">
        <f>K226*G226</f>
        <v/>
      </c>
      <c r="M226">
        <f>H226*G226</f>
        <v/>
      </c>
      <c r="N226" t="n">
        <v>3</v>
      </c>
      <c r="O226" t="inlineStr">
        <is>
          <t>D3-17</t>
        </is>
      </c>
      <c r="P226" s="7" t="n">
        <v>46639</v>
      </c>
      <c r="Q226">
        <f>P226-Inputs!$B$4</f>
        <v/>
      </c>
      <c r="R226">
        <f>IF(Q226&lt;0,"expired",IF(Q226&lt;=30,"&lt;=30d",IF(Q226&lt;=90,"31-90d",IF(Q226&lt;=180,"91-180d","&gt;180d"))))</f>
        <v/>
      </c>
      <c r="S226" t="n">
        <v>5</v>
      </c>
    </row>
    <row r="227">
      <c r="A227" t="inlineStr">
        <is>
          <t>SS-01226</t>
        </is>
      </c>
      <c r="B227" t="inlineStr">
        <is>
          <t>vascular access kit 103</t>
        </is>
      </c>
      <c r="C227" t="inlineStr">
        <is>
          <t>vascular</t>
        </is>
      </c>
      <c r="D227" t="inlineStr">
        <is>
          <t>Northstar Surgical</t>
        </is>
      </c>
      <c r="E227" t="inlineStr">
        <is>
          <t>HOSP-2</t>
        </is>
      </c>
      <c r="F227" t="inlineStr">
        <is>
          <t>LOT-07226</t>
        </is>
      </c>
      <c r="G227" t="n">
        <v>39.02</v>
      </c>
      <c r="H227" t="n">
        <v>42</v>
      </c>
      <c r="I227" t="n">
        <v>0</v>
      </c>
      <c r="J227" t="inlineStr">
        <is>
          <t>clear</t>
        </is>
      </c>
      <c r="K227">
        <f>IF(J227="recalled",0,MAX(0,H227-I227))</f>
        <v/>
      </c>
      <c r="L227">
        <f>K227*G227</f>
        <v/>
      </c>
      <c r="M227">
        <f>H227*G227</f>
        <v/>
      </c>
      <c r="N227" t="n">
        <v>2</v>
      </c>
      <c r="O227" t="inlineStr">
        <is>
          <t>D3-03</t>
        </is>
      </c>
      <c r="P227" s="7" t="n">
        <v>46670</v>
      </c>
      <c r="Q227">
        <f>P227-Inputs!$B$4</f>
        <v/>
      </c>
      <c r="R227">
        <f>IF(Q227&lt;0,"expired",IF(Q227&lt;=30,"&lt;=30d",IF(Q227&lt;=90,"31-90d",IF(Q227&lt;=180,"91-180d","&gt;180d"))))</f>
        <v/>
      </c>
      <c r="S227" t="n">
        <v>5</v>
      </c>
    </row>
    <row r="228">
      <c r="A228" t="inlineStr">
        <is>
          <t>SS-01227</t>
        </is>
      </c>
      <c r="B228" t="inlineStr">
        <is>
          <t>respiratory circuit 104</t>
        </is>
      </c>
      <c r="C228" t="inlineStr">
        <is>
          <t>respiratory</t>
        </is>
      </c>
      <c r="D228" t="inlineStr">
        <is>
          <t>MedAxis Distribution</t>
        </is>
      </c>
      <c r="E228" t="inlineStr">
        <is>
          <t>HOSP-3</t>
        </is>
      </c>
      <c r="F228" t="inlineStr">
        <is>
          <t>LOT-07227</t>
        </is>
      </c>
      <c r="G228" t="n">
        <v>5.84</v>
      </c>
      <c r="H228" t="n">
        <v>2</v>
      </c>
      <c r="I228" t="n">
        <v>0</v>
      </c>
      <c r="J228" t="inlineStr">
        <is>
          <t>clear</t>
        </is>
      </c>
      <c r="K228">
        <f>IF(J228="recalled",0,MAX(0,H228-I228))</f>
        <v/>
      </c>
      <c r="L228">
        <f>K228*G228</f>
        <v/>
      </c>
      <c r="M228">
        <f>H228*G228</f>
        <v/>
      </c>
      <c r="N228" t="n">
        <v>4</v>
      </c>
      <c r="O228" t="inlineStr">
        <is>
          <t>B10-16</t>
        </is>
      </c>
      <c r="P228" s="7" t="n">
        <v>46702</v>
      </c>
      <c r="Q228">
        <f>P228-Inputs!$B$4</f>
        <v/>
      </c>
      <c r="R228">
        <f>IF(Q228&lt;0,"expired",IF(Q228&lt;=30,"&lt;=30d",IF(Q228&lt;=90,"31-90d",IF(Q228&lt;=180,"91-180d","&gt;180d"))))</f>
        <v/>
      </c>
      <c r="S228" t="n">
        <v>5</v>
      </c>
    </row>
    <row r="229">
      <c r="A229" t="inlineStr">
        <is>
          <t>SS-01228</t>
        </is>
      </c>
      <c r="B229" t="inlineStr">
        <is>
          <t>sterile surgical pack 105</t>
        </is>
      </c>
      <c r="C229" t="inlineStr">
        <is>
          <t>surgical</t>
        </is>
      </c>
      <c r="D229" t="inlineStr">
        <is>
          <t>SterilePath Medical</t>
        </is>
      </c>
      <c r="E229" t="inlineStr">
        <is>
          <t>HOSP-4</t>
        </is>
      </c>
      <c r="F229" t="inlineStr">
        <is>
          <t>LOT-07228</t>
        </is>
      </c>
      <c r="G229" t="n">
        <v>16.84</v>
      </c>
      <c r="H229" t="n">
        <v>43</v>
      </c>
      <c r="I229" t="n">
        <v>0</v>
      </c>
      <c r="J229" t="inlineStr">
        <is>
          <t>clear</t>
        </is>
      </c>
      <c r="K229">
        <f>IF(J229="recalled",0,MAX(0,H229-I229))</f>
        <v/>
      </c>
      <c r="L229">
        <f>K229*G229</f>
        <v/>
      </c>
      <c r="M229">
        <f>H229*G229</f>
        <v/>
      </c>
      <c r="N229" t="n">
        <v>3</v>
      </c>
      <c r="O229" t="inlineStr">
        <is>
          <t>D8-14</t>
        </is>
      </c>
      <c r="P229" s="7" t="n">
        <v>46733</v>
      </c>
      <c r="Q229">
        <f>P229-Inputs!$B$4</f>
        <v/>
      </c>
      <c r="R229">
        <f>IF(Q229&lt;0,"expired",IF(Q229&lt;=30,"&lt;=30d",IF(Q229&lt;=90,"31-90d",IF(Q229&lt;=180,"91-180d","&gt;180d"))))</f>
        <v/>
      </c>
      <c r="S229" t="n">
        <v>5</v>
      </c>
    </row>
    <row r="230">
      <c r="A230" t="inlineStr">
        <is>
          <t>SS-01229</t>
        </is>
      </c>
      <c r="B230" t="inlineStr">
        <is>
          <t>diagnostic collection set 106</t>
        </is>
      </c>
      <c r="C230" t="inlineStr">
        <is>
          <t>diagnostic</t>
        </is>
      </c>
      <c r="D230" t="inlineStr">
        <is>
          <t>Aegis Clinical Supply</t>
        </is>
      </c>
      <c r="E230" t="inlineStr">
        <is>
          <t>HOSP-1</t>
        </is>
      </c>
      <c r="F230" t="inlineStr">
        <is>
          <t>LOT-07229</t>
        </is>
      </c>
      <c r="G230" t="n">
        <v>9.16</v>
      </c>
      <c r="H230" t="n">
        <v>5</v>
      </c>
      <c r="I230" t="n">
        <v>0</v>
      </c>
      <c r="J230" t="inlineStr">
        <is>
          <t>clear</t>
        </is>
      </c>
      <c r="K230">
        <f>IF(J230="recalled",0,MAX(0,H230-I230))</f>
        <v/>
      </c>
      <c r="L230">
        <f>K230*G230</f>
        <v/>
      </c>
      <c r="M230">
        <f>H230*G230</f>
        <v/>
      </c>
      <c r="N230" t="n">
        <v>2</v>
      </c>
      <c r="O230" t="inlineStr">
        <is>
          <t>J3-07</t>
        </is>
      </c>
      <c r="P230" s="7" t="n">
        <v>46400</v>
      </c>
      <c r="Q230">
        <f>P230-Inputs!$B$4</f>
        <v/>
      </c>
      <c r="R230">
        <f>IF(Q230&lt;0,"expired",IF(Q230&lt;=30,"&lt;=30d",IF(Q230&lt;=90,"31-90d",IF(Q230&lt;=180,"91-180d","&gt;180d"))))</f>
        <v/>
      </c>
      <c r="S230" t="n">
        <v>5</v>
      </c>
    </row>
    <row r="231">
      <c r="A231" t="inlineStr">
        <is>
          <t>SS-01230</t>
        </is>
      </c>
      <c r="B231" t="inlineStr">
        <is>
          <t>advanced wound dressing 107</t>
        </is>
      </c>
      <c r="C231" t="inlineStr">
        <is>
          <t>wound</t>
        </is>
      </c>
      <c r="D231" t="inlineStr">
        <is>
          <t>HarborMed Logistics</t>
        </is>
      </c>
      <c r="E231" t="inlineStr">
        <is>
          <t>HOSP-2</t>
        </is>
      </c>
      <c r="F231" t="inlineStr">
        <is>
          <t>LOT-07230</t>
        </is>
      </c>
      <c r="G231" t="n">
        <v>12.9</v>
      </c>
      <c r="H231" t="n">
        <v>79</v>
      </c>
      <c r="I231" t="n">
        <v>0</v>
      </c>
      <c r="J231" t="inlineStr">
        <is>
          <t>clear</t>
        </is>
      </c>
      <c r="K231">
        <f>IF(J231="recalled",0,MAX(0,H231-I231))</f>
        <v/>
      </c>
      <c r="L231">
        <f>K231*G231</f>
        <v/>
      </c>
      <c r="M231">
        <f>H231*G231</f>
        <v/>
      </c>
      <c r="N231" t="n">
        <v>9</v>
      </c>
      <c r="O231" t="inlineStr">
        <is>
          <t>E9-10</t>
        </is>
      </c>
      <c r="P231" s="7" t="n">
        <v>46432</v>
      </c>
      <c r="Q231">
        <f>P231-Inputs!$B$4</f>
        <v/>
      </c>
      <c r="R231">
        <f>IF(Q231&lt;0,"expired",IF(Q231&lt;=30,"&lt;=30d",IF(Q231&lt;=90,"31-90d",IF(Q231&lt;=180,"91-180d","&gt;180d"))))</f>
        <v/>
      </c>
      <c r="S231" t="n">
        <v>5</v>
      </c>
    </row>
    <row r="232">
      <c r="A232" t="inlineStr">
        <is>
          <t>SS-01231</t>
        </is>
      </c>
      <c r="B232" t="inlineStr">
        <is>
          <t>vascular access kit 108</t>
        </is>
      </c>
      <c r="C232" t="inlineStr">
        <is>
          <t>vascular</t>
        </is>
      </c>
      <c r="D232" t="inlineStr">
        <is>
          <t>Northstar Surgical</t>
        </is>
      </c>
      <c r="E232" t="inlineStr">
        <is>
          <t>HOSP-3</t>
        </is>
      </c>
      <c r="F232" t="inlineStr">
        <is>
          <t>LOT-07231</t>
        </is>
      </c>
      <c r="G232" t="n">
        <v>10.66</v>
      </c>
      <c r="H232" t="n">
        <v>2</v>
      </c>
      <c r="I232" t="n">
        <v>0</v>
      </c>
      <c r="J232" t="inlineStr">
        <is>
          <t>clear</t>
        </is>
      </c>
      <c r="K232">
        <f>IF(J232="recalled",0,MAX(0,H232-I232))</f>
        <v/>
      </c>
      <c r="L232">
        <f>K232*G232</f>
        <v/>
      </c>
      <c r="M232">
        <f>H232*G232</f>
        <v/>
      </c>
      <c r="N232" t="n">
        <v>6</v>
      </c>
      <c r="O232" t="inlineStr">
        <is>
          <t>D11-18</t>
        </is>
      </c>
      <c r="P232" s="7" t="n">
        <v>46461</v>
      </c>
      <c r="Q232">
        <f>P232-Inputs!$B$4</f>
        <v/>
      </c>
      <c r="R232">
        <f>IF(Q232&lt;0,"expired",IF(Q232&lt;=30,"&lt;=30d",IF(Q232&lt;=90,"31-90d",IF(Q232&lt;=180,"91-180d","&gt;180d"))))</f>
        <v/>
      </c>
      <c r="S232" t="n">
        <v>5</v>
      </c>
    </row>
    <row r="233">
      <c r="A233" t="inlineStr">
        <is>
          <t>SS-01232</t>
        </is>
      </c>
      <c r="B233" t="inlineStr">
        <is>
          <t>respiratory circuit 109</t>
        </is>
      </c>
      <c r="C233" t="inlineStr">
        <is>
          <t>respiratory</t>
        </is>
      </c>
      <c r="D233" t="inlineStr">
        <is>
          <t>MedAxis Distribution</t>
        </is>
      </c>
      <c r="E233" t="inlineStr">
        <is>
          <t>HOSP-4</t>
        </is>
      </c>
      <c r="F233" t="inlineStr">
        <is>
          <t>LOT-07232</t>
        </is>
      </c>
      <c r="G233" t="n">
        <v>43.29</v>
      </c>
      <c r="H233" t="n">
        <v>41</v>
      </c>
      <c r="I233" t="n">
        <v>0</v>
      </c>
      <c r="J233" t="inlineStr">
        <is>
          <t>clear</t>
        </is>
      </c>
      <c r="K233">
        <f>IF(J233="recalled",0,MAX(0,H233-I233))</f>
        <v/>
      </c>
      <c r="L233">
        <f>K233*G233</f>
        <v/>
      </c>
      <c r="M233">
        <f>H233*G233</f>
        <v/>
      </c>
      <c r="N233" t="n">
        <v>4</v>
      </c>
      <c r="O233" t="inlineStr">
        <is>
          <t>G2-14</t>
        </is>
      </c>
      <c r="P233" s="7" t="n">
        <v>46493</v>
      </c>
      <c r="Q233">
        <f>P233-Inputs!$B$4</f>
        <v/>
      </c>
      <c r="R233">
        <f>IF(Q233&lt;0,"expired",IF(Q233&lt;=30,"&lt;=30d",IF(Q233&lt;=90,"31-90d",IF(Q233&lt;=180,"91-180d","&gt;180d"))))</f>
        <v/>
      </c>
      <c r="S233" t="n">
        <v>5</v>
      </c>
    </row>
    <row r="234">
      <c r="A234" t="inlineStr">
        <is>
          <t>SS-01233</t>
        </is>
      </c>
      <c r="B234" t="inlineStr">
        <is>
          <t>sterile surgical pack 110</t>
        </is>
      </c>
      <c r="C234" t="inlineStr">
        <is>
          <t>surgical</t>
        </is>
      </c>
      <c r="D234" t="inlineStr">
        <is>
          <t>SterilePath Medical</t>
        </is>
      </c>
      <c r="E234" t="inlineStr">
        <is>
          <t>HOSP-1</t>
        </is>
      </c>
      <c r="F234" t="inlineStr">
        <is>
          <t>LOT-07233</t>
        </is>
      </c>
      <c r="G234" t="n">
        <v>19.38</v>
      </c>
      <c r="H234" t="n">
        <v>2</v>
      </c>
      <c r="I234" t="n">
        <v>0</v>
      </c>
      <c r="J234" t="inlineStr">
        <is>
          <t>clear</t>
        </is>
      </c>
      <c r="K234">
        <f>IF(J234="recalled",0,MAX(0,H234-I234))</f>
        <v/>
      </c>
      <c r="L234">
        <f>K234*G234</f>
        <v/>
      </c>
      <c r="M234">
        <f>H234*G234</f>
        <v/>
      </c>
      <c r="N234" t="n">
        <v>8</v>
      </c>
      <c r="O234" t="inlineStr">
        <is>
          <t>A9-23</t>
        </is>
      </c>
      <c r="P234" s="7" t="n">
        <v>46524</v>
      </c>
      <c r="Q234">
        <f>P234-Inputs!$B$4</f>
        <v/>
      </c>
      <c r="R234">
        <f>IF(Q234&lt;0,"expired",IF(Q234&lt;=30,"&lt;=30d",IF(Q234&lt;=90,"31-90d",IF(Q234&lt;=180,"91-180d","&gt;180d"))))</f>
        <v/>
      </c>
      <c r="S2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0" customWidth="1" min="4" max="4"/>
    <col width="11" customWidth="1" min="5" max="5"/>
    <col width="13" customWidth="1" min="6" max="6"/>
    <col width="10" customWidth="1" min="7" max="7"/>
  </cols>
  <sheetData>
    <row r="1">
      <c r="A1" s="6" t="inlineStr">
        <is>
          <t>period</t>
        </is>
      </c>
      <c r="B1" s="6" t="inlineStr">
        <is>
          <t>site_id</t>
        </is>
      </c>
      <c r="C1" s="6" t="inlineStr">
        <is>
          <t>sku_id</t>
        </is>
      </c>
      <c r="D1" s="6" t="inlineStr">
        <is>
          <t>usage_qty</t>
        </is>
      </c>
      <c r="E1" s="6" t="inlineStr">
        <is>
          <t>transfer_qty</t>
        </is>
      </c>
      <c r="F1" s="6" t="inlineStr">
        <is>
          <t>exception_flag</t>
        </is>
      </c>
      <c r="G1" s="6" t="inlineStr">
        <is>
          <t>in_window</t>
        </is>
      </c>
    </row>
    <row r="2">
      <c r="A2" t="inlineStr">
        <is>
          <t>2026-01</t>
        </is>
      </c>
      <c r="B2" t="inlineStr">
        <is>
          <t>HOSP-1</t>
        </is>
      </c>
      <c r="C2" t="inlineStr">
        <is>
          <t>SS-01001</t>
        </is>
      </c>
      <c r="D2" t="n">
        <v>48</v>
      </c>
      <c r="E2" t="n">
        <v>0</v>
      </c>
      <c r="F2" t="inlineStr">
        <is>
          <t>surge</t>
        </is>
      </c>
      <c r="G2">
        <f>IF(AND(A2&gt;=Inputs!$B$5,A2&lt;=Inputs!$B$6),1,0)</f>
        <v/>
      </c>
    </row>
    <row r="3">
      <c r="A3" t="inlineStr">
        <is>
          <t>2026-01</t>
        </is>
      </c>
      <c r="B3" t="inlineStr">
        <is>
          <t>HOSP-2</t>
        </is>
      </c>
      <c r="C3" t="inlineStr">
        <is>
          <t>SS-01002</t>
        </is>
      </c>
      <c r="D3" t="n">
        <v>24</v>
      </c>
      <c r="E3" t="n">
        <v>1</v>
      </c>
      <c r="G3">
        <f>IF(AND(A3&gt;=Inputs!$B$5,A3&lt;=Inputs!$B$6),1,0)</f>
        <v/>
      </c>
    </row>
    <row r="4">
      <c r="A4" t="inlineStr">
        <is>
          <t>2026-01</t>
        </is>
      </c>
      <c r="B4" t="inlineStr">
        <is>
          <t>HOSP-3</t>
        </is>
      </c>
      <c r="C4" t="inlineStr">
        <is>
          <t>SS-01003</t>
        </is>
      </c>
      <c r="D4" t="n">
        <v>0</v>
      </c>
      <c r="E4" t="n">
        <v>0</v>
      </c>
      <c r="G4">
        <f>IF(AND(A4&gt;=Inputs!$B$5,A4&lt;=Inputs!$B$6),1,0)</f>
        <v/>
      </c>
    </row>
    <row r="5">
      <c r="A5" t="inlineStr">
        <is>
          <t>2026-01</t>
        </is>
      </c>
      <c r="B5" t="inlineStr">
        <is>
          <t>HOSP-4</t>
        </is>
      </c>
      <c r="C5" t="inlineStr">
        <is>
          <t>SS-01004</t>
        </is>
      </c>
      <c r="D5" t="n">
        <v>24</v>
      </c>
      <c r="E5" t="n">
        <v>0</v>
      </c>
      <c r="G5">
        <f>IF(AND(A5&gt;=Inputs!$B$5,A5&lt;=Inputs!$B$6),1,0)</f>
        <v/>
      </c>
    </row>
    <row r="6">
      <c r="A6" t="inlineStr">
        <is>
          <t>2026-01</t>
        </is>
      </c>
      <c r="B6" t="inlineStr">
        <is>
          <t>HOSP-1</t>
        </is>
      </c>
      <c r="C6" t="inlineStr">
        <is>
          <t>SS-01005</t>
        </is>
      </c>
      <c r="D6" t="n">
        <v>96</v>
      </c>
      <c r="E6" t="n">
        <v>0</v>
      </c>
      <c r="G6">
        <f>IF(AND(A6&gt;=Inputs!$B$5,A6&lt;=Inputs!$B$6),1,0)</f>
        <v/>
      </c>
    </row>
    <row r="7">
      <c r="A7" t="inlineStr">
        <is>
          <t>2026-01</t>
        </is>
      </c>
      <c r="B7" t="inlineStr">
        <is>
          <t>HOSP-2</t>
        </is>
      </c>
      <c r="C7" t="inlineStr">
        <is>
          <t>SS-01006</t>
        </is>
      </c>
      <c r="D7" t="n">
        <v>0</v>
      </c>
      <c r="E7" t="n">
        <v>0</v>
      </c>
      <c r="G7">
        <f>IF(AND(A7&gt;=Inputs!$B$5,A7&lt;=Inputs!$B$6),1,0)</f>
        <v/>
      </c>
    </row>
    <row r="8">
      <c r="A8" t="inlineStr">
        <is>
          <t>2026-01</t>
        </is>
      </c>
      <c r="B8" t="inlineStr">
        <is>
          <t>HOSP-3</t>
        </is>
      </c>
      <c r="C8" t="inlineStr">
        <is>
          <t>SS-01007</t>
        </is>
      </c>
      <c r="D8" t="n">
        <v>13</v>
      </c>
      <c r="E8" t="n">
        <v>3</v>
      </c>
      <c r="G8">
        <f>IF(AND(A8&gt;=Inputs!$B$5,A8&lt;=Inputs!$B$6),1,0)</f>
        <v/>
      </c>
    </row>
    <row r="9">
      <c r="A9" t="inlineStr">
        <is>
          <t>2026-01</t>
        </is>
      </c>
      <c r="B9" t="inlineStr">
        <is>
          <t>HOSP-4</t>
        </is>
      </c>
      <c r="C9" t="inlineStr">
        <is>
          <t>SS-01008</t>
        </is>
      </c>
      <c r="D9" t="n">
        <v>0</v>
      </c>
      <c r="E9" t="n">
        <v>0</v>
      </c>
      <c r="G9">
        <f>IF(AND(A9&gt;=Inputs!$B$5,A9&lt;=Inputs!$B$6),1,0)</f>
        <v/>
      </c>
    </row>
    <row r="10">
      <c r="A10" t="inlineStr">
        <is>
          <t>2026-01</t>
        </is>
      </c>
      <c r="B10" t="inlineStr">
        <is>
          <t>HOSP-1</t>
        </is>
      </c>
      <c r="C10" t="inlineStr">
        <is>
          <t>SS-01009</t>
        </is>
      </c>
      <c r="D10" t="n">
        <v>12</v>
      </c>
      <c r="E10" t="n">
        <v>0</v>
      </c>
      <c r="G10">
        <f>IF(AND(A10&gt;=Inputs!$B$5,A10&lt;=Inputs!$B$6),1,0)</f>
        <v/>
      </c>
    </row>
    <row r="11">
      <c r="A11" t="inlineStr">
        <is>
          <t>2026-01</t>
        </is>
      </c>
      <c r="B11" t="inlineStr">
        <is>
          <t>HOSP-2</t>
        </is>
      </c>
      <c r="C11" t="inlineStr">
        <is>
          <t>SS-01010</t>
        </is>
      </c>
      <c r="D11" t="n">
        <v>96</v>
      </c>
      <c r="E11" t="n">
        <v>0</v>
      </c>
      <c r="G11">
        <f>IF(AND(A11&gt;=Inputs!$B$5,A11&lt;=Inputs!$B$6),1,0)</f>
        <v/>
      </c>
    </row>
    <row r="12">
      <c r="A12" t="inlineStr">
        <is>
          <t>2026-01</t>
        </is>
      </c>
      <c r="B12" t="inlineStr">
        <is>
          <t>HOSP-3</t>
        </is>
      </c>
      <c r="C12" t="inlineStr">
        <is>
          <t>SS-01101</t>
        </is>
      </c>
      <c r="D12" t="n">
        <v>48</v>
      </c>
      <c r="E12" t="n">
        <v>0</v>
      </c>
      <c r="G12">
        <f>IF(AND(A12&gt;=Inputs!$B$5,A12&lt;=Inputs!$B$6),1,0)</f>
        <v/>
      </c>
    </row>
    <row r="13">
      <c r="A13" t="inlineStr">
        <is>
          <t>2026-01</t>
        </is>
      </c>
      <c r="B13" t="inlineStr">
        <is>
          <t>HOSP-4</t>
        </is>
      </c>
      <c r="C13" t="inlineStr">
        <is>
          <t>SS-01012</t>
        </is>
      </c>
      <c r="D13" t="n">
        <v>15</v>
      </c>
      <c r="E13" t="n">
        <v>0</v>
      </c>
      <c r="G13">
        <f>IF(AND(A13&gt;=Inputs!$B$5,A13&lt;=Inputs!$B$6),1,0)</f>
        <v/>
      </c>
    </row>
    <row r="14">
      <c r="A14" t="inlineStr">
        <is>
          <t>2026-01</t>
        </is>
      </c>
      <c r="B14" t="inlineStr">
        <is>
          <t>HOSP-1</t>
        </is>
      </c>
      <c r="C14" t="inlineStr">
        <is>
          <t>SS-01013</t>
        </is>
      </c>
      <c r="D14" t="n">
        <v>5</v>
      </c>
      <c r="E14" t="n">
        <v>0</v>
      </c>
      <c r="G14">
        <f>IF(AND(A14&gt;=Inputs!$B$5,A14&lt;=Inputs!$B$6),1,0)</f>
        <v/>
      </c>
    </row>
    <row r="15">
      <c r="A15" t="inlineStr">
        <is>
          <t>2026-01</t>
        </is>
      </c>
      <c r="B15" t="inlineStr">
        <is>
          <t>HOSP-2</t>
        </is>
      </c>
      <c r="C15" t="inlineStr">
        <is>
          <t>SS-01014</t>
        </is>
      </c>
      <c r="D15" t="n">
        <v>24</v>
      </c>
      <c r="E15" t="n">
        <v>0</v>
      </c>
      <c r="G15">
        <f>IF(AND(A15&gt;=Inputs!$B$5,A15&lt;=Inputs!$B$6),1,0)</f>
        <v/>
      </c>
    </row>
    <row r="16">
      <c r="A16" t="inlineStr">
        <is>
          <t>2026-01</t>
        </is>
      </c>
      <c r="B16" t="inlineStr">
        <is>
          <t>HOSP-3</t>
        </is>
      </c>
      <c r="C16" t="inlineStr">
        <is>
          <t>SS-01015</t>
        </is>
      </c>
      <c r="D16" t="n">
        <v>38</v>
      </c>
      <c r="E16" t="n">
        <v>0</v>
      </c>
      <c r="G16">
        <f>IF(AND(A16&gt;=Inputs!$B$5,A16&lt;=Inputs!$B$6),1,0)</f>
        <v/>
      </c>
    </row>
    <row r="17">
      <c r="A17" t="inlineStr">
        <is>
          <t>2026-01</t>
        </is>
      </c>
      <c r="B17" t="inlineStr">
        <is>
          <t>HOSP-4</t>
        </is>
      </c>
      <c r="C17" t="inlineStr">
        <is>
          <t>SS-01016</t>
        </is>
      </c>
      <c r="D17" t="n">
        <v>4</v>
      </c>
      <c r="E17" t="n">
        <v>2</v>
      </c>
      <c r="G17">
        <f>IF(AND(A17&gt;=Inputs!$B$5,A17&lt;=Inputs!$B$6),1,0)</f>
        <v/>
      </c>
    </row>
    <row r="18">
      <c r="A18" t="inlineStr">
        <is>
          <t>2026-01</t>
        </is>
      </c>
      <c r="B18" t="inlineStr">
        <is>
          <t>HOSP-1</t>
        </is>
      </c>
      <c r="C18" t="inlineStr">
        <is>
          <t>SS-01017</t>
        </is>
      </c>
      <c r="D18" t="n">
        <v>0</v>
      </c>
      <c r="E18" t="n">
        <v>0</v>
      </c>
      <c r="G18">
        <f>IF(AND(A18&gt;=Inputs!$B$5,A18&lt;=Inputs!$B$6),1,0)</f>
        <v/>
      </c>
    </row>
    <row r="19">
      <c r="A19" t="inlineStr">
        <is>
          <t>2026-01</t>
        </is>
      </c>
      <c r="B19" t="inlineStr">
        <is>
          <t>HOSP-2</t>
        </is>
      </c>
      <c r="C19" t="inlineStr">
        <is>
          <t>SS-01018</t>
        </is>
      </c>
      <c r="D19" t="n">
        <v>12</v>
      </c>
      <c r="E19" t="n">
        <v>0</v>
      </c>
      <c r="G19">
        <f>IF(AND(A19&gt;=Inputs!$B$5,A19&lt;=Inputs!$B$6),1,0)</f>
        <v/>
      </c>
    </row>
    <row r="20">
      <c r="A20" t="inlineStr">
        <is>
          <t>2026-01</t>
        </is>
      </c>
      <c r="B20" t="inlineStr">
        <is>
          <t>HOSP-3</t>
        </is>
      </c>
      <c r="C20" t="inlineStr">
        <is>
          <t>SS-01019</t>
        </is>
      </c>
      <c r="D20" t="n">
        <v>72</v>
      </c>
      <c r="E20" t="n">
        <v>0</v>
      </c>
      <c r="G20">
        <f>IF(AND(A20&gt;=Inputs!$B$5,A20&lt;=Inputs!$B$6),1,0)</f>
        <v/>
      </c>
    </row>
    <row r="21">
      <c r="A21" t="inlineStr">
        <is>
          <t>2026-01</t>
        </is>
      </c>
      <c r="B21" t="inlineStr">
        <is>
          <t>HOSP-4</t>
        </is>
      </c>
      <c r="C21" t="inlineStr">
        <is>
          <t>SS-01020</t>
        </is>
      </c>
      <c r="D21" t="n">
        <v>4</v>
      </c>
      <c r="E21" t="n">
        <v>2</v>
      </c>
      <c r="G21">
        <f>IF(AND(A21&gt;=Inputs!$B$5,A21&lt;=Inputs!$B$6),1,0)</f>
        <v/>
      </c>
    </row>
    <row r="22">
      <c r="A22" t="inlineStr">
        <is>
          <t>2026-01</t>
        </is>
      </c>
      <c r="B22" t="inlineStr">
        <is>
          <t>HOSP-1</t>
        </is>
      </c>
      <c r="C22" t="inlineStr">
        <is>
          <t>SS-01021</t>
        </is>
      </c>
      <c r="D22" t="n">
        <v>0</v>
      </c>
      <c r="E22" t="n">
        <v>0</v>
      </c>
      <c r="G22">
        <f>IF(AND(A22&gt;=Inputs!$B$5,A22&lt;=Inputs!$B$6),1,0)</f>
        <v/>
      </c>
    </row>
    <row r="23">
      <c r="A23" t="inlineStr">
        <is>
          <t>2026-01</t>
        </is>
      </c>
      <c r="B23" t="inlineStr">
        <is>
          <t>HOSP-2</t>
        </is>
      </c>
      <c r="C23" t="inlineStr">
        <is>
          <t>SS-01022</t>
        </is>
      </c>
      <c r="D23" t="n">
        <v>12</v>
      </c>
      <c r="E23" t="n">
        <v>0</v>
      </c>
      <c r="G23">
        <f>IF(AND(A23&gt;=Inputs!$B$5,A23&lt;=Inputs!$B$6),1,0)</f>
        <v/>
      </c>
    </row>
    <row r="24">
      <c r="A24" t="inlineStr">
        <is>
          <t>2026-01</t>
        </is>
      </c>
      <c r="B24" t="inlineStr">
        <is>
          <t>HOSP-3</t>
        </is>
      </c>
      <c r="C24" t="inlineStr">
        <is>
          <t>SS-01228</t>
        </is>
      </c>
      <c r="D24" t="n">
        <v>11</v>
      </c>
      <c r="E24" t="n">
        <v>7</v>
      </c>
      <c r="G24">
        <f>IF(AND(A24&gt;=Inputs!$B$5,A24&lt;=Inputs!$B$6),1,0)</f>
        <v/>
      </c>
    </row>
    <row r="25">
      <c r="A25" t="inlineStr">
        <is>
          <t>2026-01</t>
        </is>
      </c>
      <c r="B25" t="inlineStr">
        <is>
          <t>HOSP-4</t>
        </is>
      </c>
      <c r="C25" t="inlineStr">
        <is>
          <t>SS-01024</t>
        </is>
      </c>
      <c r="D25" t="n">
        <v>0</v>
      </c>
      <c r="E25" t="n">
        <v>0</v>
      </c>
      <c r="G25">
        <f>IF(AND(A25&gt;=Inputs!$B$5,A25&lt;=Inputs!$B$6),1,0)</f>
        <v/>
      </c>
    </row>
    <row r="26">
      <c r="A26" t="inlineStr">
        <is>
          <t>2026-01</t>
        </is>
      </c>
      <c r="B26" t="inlineStr">
        <is>
          <t>HOSP-1</t>
        </is>
      </c>
      <c r="C26" t="inlineStr">
        <is>
          <t>SS-01025</t>
        </is>
      </c>
      <c r="D26" t="n">
        <v>60</v>
      </c>
      <c r="E26" t="n">
        <v>0</v>
      </c>
      <c r="G26">
        <f>IF(AND(A26&gt;=Inputs!$B$5,A26&lt;=Inputs!$B$6),1,0)</f>
        <v/>
      </c>
    </row>
    <row r="27">
      <c r="A27" t="inlineStr">
        <is>
          <t>2026-01</t>
        </is>
      </c>
      <c r="B27" t="inlineStr">
        <is>
          <t>HOSP-2</t>
        </is>
      </c>
      <c r="C27" t="inlineStr">
        <is>
          <t>SS-01026</t>
        </is>
      </c>
      <c r="D27" t="n">
        <v>12</v>
      </c>
      <c r="E27" t="n">
        <v>0</v>
      </c>
      <c r="G27">
        <f>IF(AND(A27&gt;=Inputs!$B$5,A27&lt;=Inputs!$B$6),1,0)</f>
        <v/>
      </c>
    </row>
    <row r="28">
      <c r="A28" t="inlineStr">
        <is>
          <t>2026-01</t>
        </is>
      </c>
      <c r="B28" t="inlineStr">
        <is>
          <t>HOSP-3</t>
        </is>
      </c>
      <c r="C28" t="inlineStr">
        <is>
          <t>SS-01027</t>
        </is>
      </c>
      <c r="D28" t="n">
        <v>24</v>
      </c>
      <c r="E28" t="n">
        <v>0</v>
      </c>
      <c r="G28">
        <f>IF(AND(A28&gt;=Inputs!$B$5,A28&lt;=Inputs!$B$6),1,0)</f>
        <v/>
      </c>
    </row>
    <row r="29">
      <c r="A29" t="inlineStr">
        <is>
          <t>2026-01</t>
        </is>
      </c>
      <c r="B29" t="inlineStr">
        <is>
          <t>HOSP-4</t>
        </is>
      </c>
      <c r="C29" t="inlineStr">
        <is>
          <t>SS-01028</t>
        </is>
      </c>
      <c r="D29" t="n">
        <v>12</v>
      </c>
      <c r="E29" t="n">
        <v>0</v>
      </c>
      <c r="G29">
        <f>IF(AND(A29&gt;=Inputs!$B$5,A29&lt;=Inputs!$B$6),1,0)</f>
        <v/>
      </c>
    </row>
    <row r="30">
      <c r="A30" t="inlineStr">
        <is>
          <t>2026-01</t>
        </is>
      </c>
      <c r="B30" t="inlineStr">
        <is>
          <t>HOSP-1</t>
        </is>
      </c>
      <c r="C30" t="inlineStr">
        <is>
          <t>SS-01029</t>
        </is>
      </c>
      <c r="D30" t="n">
        <v>0</v>
      </c>
      <c r="E30" t="n">
        <v>0</v>
      </c>
      <c r="G30">
        <f>IF(AND(A30&gt;=Inputs!$B$5,A30&lt;=Inputs!$B$6),1,0)</f>
        <v/>
      </c>
    </row>
    <row r="31">
      <c r="A31" t="inlineStr">
        <is>
          <t>2026-01</t>
        </is>
      </c>
      <c r="B31" t="inlineStr">
        <is>
          <t>HOSP-2</t>
        </is>
      </c>
      <c r="C31" t="inlineStr">
        <is>
          <t>SS-01030</t>
        </is>
      </c>
      <c r="D31" t="n">
        <v>36</v>
      </c>
      <c r="E31" t="n">
        <v>0</v>
      </c>
      <c r="G31">
        <f>IF(AND(A31&gt;=Inputs!$B$5,A31&lt;=Inputs!$B$6),1,0)</f>
        <v/>
      </c>
    </row>
    <row r="32">
      <c r="A32" t="inlineStr">
        <is>
          <t>2026-01</t>
        </is>
      </c>
      <c r="B32" t="inlineStr">
        <is>
          <t>HOSP-3</t>
        </is>
      </c>
      <c r="C32" t="inlineStr">
        <is>
          <t>SS-01160</t>
        </is>
      </c>
      <c r="D32" t="n">
        <v>10</v>
      </c>
      <c r="E32" t="n">
        <v>2</v>
      </c>
      <c r="G32">
        <f>IF(AND(A32&gt;=Inputs!$B$5,A32&lt;=Inputs!$B$6),1,0)</f>
        <v/>
      </c>
    </row>
    <row r="33">
      <c r="A33" t="inlineStr">
        <is>
          <t>2026-01</t>
        </is>
      </c>
      <c r="B33" t="inlineStr">
        <is>
          <t>HOSP-4</t>
        </is>
      </c>
      <c r="C33" t="inlineStr">
        <is>
          <t>SS-01032</t>
        </is>
      </c>
      <c r="D33" t="n">
        <v>24</v>
      </c>
      <c r="E33" t="n">
        <v>0</v>
      </c>
      <c r="G33">
        <f>IF(AND(A33&gt;=Inputs!$B$5,A33&lt;=Inputs!$B$6),1,0)</f>
        <v/>
      </c>
    </row>
    <row r="34">
      <c r="A34" t="inlineStr">
        <is>
          <t>2026-01</t>
        </is>
      </c>
      <c r="B34" t="inlineStr">
        <is>
          <t>HOSP-1</t>
        </is>
      </c>
      <c r="C34" t="inlineStr">
        <is>
          <t>SS-01202</t>
        </is>
      </c>
      <c r="D34" t="n">
        <v>14</v>
      </c>
      <c r="E34" t="n">
        <v>4</v>
      </c>
      <c r="G34">
        <f>IF(AND(A34&gt;=Inputs!$B$5,A34&lt;=Inputs!$B$6),1,0)</f>
        <v/>
      </c>
    </row>
    <row r="35">
      <c r="A35" t="inlineStr">
        <is>
          <t>2026-01</t>
        </is>
      </c>
      <c r="B35" t="inlineStr">
        <is>
          <t>HOSP-2</t>
        </is>
      </c>
      <c r="C35" t="inlineStr">
        <is>
          <t>SS-01034</t>
        </is>
      </c>
      <c r="D35" t="n">
        <v>0</v>
      </c>
      <c r="E35" t="n">
        <v>0</v>
      </c>
      <c r="G35">
        <f>IF(AND(A35&gt;=Inputs!$B$5,A35&lt;=Inputs!$B$6),1,0)</f>
        <v/>
      </c>
    </row>
    <row r="36">
      <c r="A36" t="inlineStr">
        <is>
          <t>2026-01</t>
        </is>
      </c>
      <c r="B36" t="inlineStr">
        <is>
          <t>HOSP-3</t>
        </is>
      </c>
      <c r="C36" t="inlineStr">
        <is>
          <t>SS-01035</t>
        </is>
      </c>
      <c r="D36" t="n">
        <v>20</v>
      </c>
      <c r="E36" t="n">
        <v>0</v>
      </c>
      <c r="G36">
        <f>IF(AND(A36&gt;=Inputs!$B$5,A36&lt;=Inputs!$B$6),1,0)</f>
        <v/>
      </c>
    </row>
    <row r="37">
      <c r="A37" t="inlineStr">
        <is>
          <t>2026-01</t>
        </is>
      </c>
      <c r="B37" t="inlineStr">
        <is>
          <t>HOSP-4</t>
        </is>
      </c>
      <c r="C37" t="inlineStr">
        <is>
          <t>SS-01036</t>
        </is>
      </c>
      <c r="D37" t="n">
        <v>0</v>
      </c>
      <c r="E37" t="n">
        <v>0</v>
      </c>
      <c r="G37">
        <f>IF(AND(A37&gt;=Inputs!$B$5,A37&lt;=Inputs!$B$6),1,0)</f>
        <v/>
      </c>
    </row>
    <row r="38">
      <c r="A38" t="inlineStr">
        <is>
          <t>2026-01</t>
        </is>
      </c>
      <c r="B38" t="inlineStr">
        <is>
          <t>HOSP-1</t>
        </is>
      </c>
      <c r="C38" t="inlineStr">
        <is>
          <t>SS-01037</t>
        </is>
      </c>
      <c r="D38" t="n">
        <v>0</v>
      </c>
      <c r="E38" t="n">
        <v>0</v>
      </c>
      <c r="G38">
        <f>IF(AND(A38&gt;=Inputs!$B$5,A38&lt;=Inputs!$B$6),1,0)</f>
        <v/>
      </c>
    </row>
    <row r="39">
      <c r="A39" t="inlineStr">
        <is>
          <t>2026-01</t>
        </is>
      </c>
      <c r="B39" t="inlineStr">
        <is>
          <t>HOSP-2</t>
        </is>
      </c>
      <c r="C39" t="inlineStr">
        <is>
          <t>SS-01038</t>
        </is>
      </c>
      <c r="D39" t="n">
        <v>0</v>
      </c>
      <c r="E39" t="n">
        <v>0</v>
      </c>
      <c r="G39">
        <f>IF(AND(A39&gt;=Inputs!$B$5,A39&lt;=Inputs!$B$6),1,0)</f>
        <v/>
      </c>
    </row>
    <row r="40">
      <c r="A40" t="inlineStr">
        <is>
          <t>2026-01</t>
        </is>
      </c>
      <c r="B40" t="inlineStr">
        <is>
          <t>HOSP-3</t>
        </is>
      </c>
      <c r="C40" t="inlineStr">
        <is>
          <t>SS-01039</t>
        </is>
      </c>
      <c r="D40" t="n">
        <v>1</v>
      </c>
      <c r="E40" t="n">
        <v>4</v>
      </c>
      <c r="G40">
        <f>IF(AND(A40&gt;=Inputs!$B$5,A40&lt;=Inputs!$B$6),1,0)</f>
        <v/>
      </c>
    </row>
    <row r="41">
      <c r="A41" t="inlineStr">
        <is>
          <t>2026-01</t>
        </is>
      </c>
      <c r="B41" t="inlineStr">
        <is>
          <t>HOSP-4</t>
        </is>
      </c>
      <c r="C41" t="inlineStr">
        <is>
          <t>SS-01040</t>
        </is>
      </c>
      <c r="D41" t="n">
        <v>0</v>
      </c>
      <c r="E41" t="n">
        <v>0</v>
      </c>
      <c r="G41">
        <f>IF(AND(A41&gt;=Inputs!$B$5,A41&lt;=Inputs!$B$6),1,0)</f>
        <v/>
      </c>
    </row>
    <row r="42">
      <c r="A42" t="inlineStr">
        <is>
          <t>2026-01</t>
        </is>
      </c>
      <c r="B42" t="inlineStr">
        <is>
          <t>HOSP-1</t>
        </is>
      </c>
      <c r="C42" t="inlineStr">
        <is>
          <t>SS-01041</t>
        </is>
      </c>
      <c r="D42" t="n">
        <v>26</v>
      </c>
      <c r="E42" t="n">
        <v>1</v>
      </c>
      <c r="G42">
        <f>IF(AND(A42&gt;=Inputs!$B$5,A42&lt;=Inputs!$B$6),1,0)</f>
        <v/>
      </c>
    </row>
    <row r="43">
      <c r="A43" t="inlineStr">
        <is>
          <t>2026-01</t>
        </is>
      </c>
      <c r="B43" t="inlineStr">
        <is>
          <t>HOSP-2</t>
        </is>
      </c>
      <c r="C43" t="inlineStr">
        <is>
          <t>SS-01042</t>
        </is>
      </c>
      <c r="D43" t="n">
        <v>48</v>
      </c>
      <c r="E43" t="n">
        <v>0</v>
      </c>
      <c r="G43">
        <f>IF(AND(A43&gt;=Inputs!$B$5,A43&lt;=Inputs!$B$6),1,0)</f>
        <v/>
      </c>
    </row>
    <row r="44">
      <c r="A44" t="inlineStr">
        <is>
          <t>2026-01</t>
        </is>
      </c>
      <c r="B44" t="inlineStr">
        <is>
          <t>HOSP-3</t>
        </is>
      </c>
      <c r="C44" t="inlineStr">
        <is>
          <t>SS-01043</t>
        </is>
      </c>
      <c r="D44" t="n">
        <v>51</v>
      </c>
      <c r="E44" t="n">
        <v>0</v>
      </c>
      <c r="G44">
        <f>IF(AND(A44&gt;=Inputs!$B$5,A44&lt;=Inputs!$B$6),1,0)</f>
        <v/>
      </c>
    </row>
    <row r="45">
      <c r="A45" t="inlineStr">
        <is>
          <t>2026-01</t>
        </is>
      </c>
      <c r="B45" t="inlineStr">
        <is>
          <t>HOSP-4</t>
        </is>
      </c>
      <c r="C45" t="inlineStr">
        <is>
          <t>SS-01044</t>
        </is>
      </c>
      <c r="D45" t="n">
        <v>0</v>
      </c>
      <c r="E45" t="n">
        <v>0</v>
      </c>
      <c r="G45">
        <f>IF(AND(A45&gt;=Inputs!$B$5,A45&lt;=Inputs!$B$6),1,0)</f>
        <v/>
      </c>
    </row>
    <row r="46">
      <c r="A46" t="inlineStr">
        <is>
          <t>2026-01</t>
        </is>
      </c>
      <c r="B46" t="inlineStr">
        <is>
          <t>HOSP-1</t>
        </is>
      </c>
      <c r="C46" t="inlineStr">
        <is>
          <t>SS-01045</t>
        </is>
      </c>
      <c r="D46" t="n">
        <v>12</v>
      </c>
      <c r="E46" t="n">
        <v>0</v>
      </c>
      <c r="G46">
        <f>IF(AND(A46&gt;=Inputs!$B$5,A46&lt;=Inputs!$B$6),1,0)</f>
        <v/>
      </c>
    </row>
    <row r="47">
      <c r="A47" t="inlineStr">
        <is>
          <t>2026-01</t>
        </is>
      </c>
      <c r="B47" t="inlineStr">
        <is>
          <t>HOSP-2</t>
        </is>
      </c>
      <c r="C47" t="inlineStr">
        <is>
          <t>SS-01185</t>
        </is>
      </c>
      <c r="D47" t="n">
        <v>12</v>
      </c>
      <c r="E47" t="n">
        <v>3</v>
      </c>
      <c r="G47">
        <f>IF(AND(A47&gt;=Inputs!$B$5,A47&lt;=Inputs!$B$6),1,0)</f>
        <v/>
      </c>
    </row>
    <row r="48">
      <c r="A48" t="inlineStr">
        <is>
          <t>2026-01</t>
        </is>
      </c>
      <c r="B48" t="inlineStr">
        <is>
          <t>HOSP-3</t>
        </is>
      </c>
      <c r="C48" t="inlineStr">
        <is>
          <t>SS-01201</t>
        </is>
      </c>
      <c r="D48" t="n">
        <v>7</v>
      </c>
      <c r="E48" t="n">
        <v>0</v>
      </c>
      <c r="G48">
        <f>IF(AND(A48&gt;=Inputs!$B$5,A48&lt;=Inputs!$B$6),1,0)</f>
        <v/>
      </c>
    </row>
    <row r="49">
      <c r="A49" t="inlineStr">
        <is>
          <t>2026-01</t>
        </is>
      </c>
      <c r="B49" t="inlineStr">
        <is>
          <t>HOSP-4</t>
        </is>
      </c>
      <c r="C49" t="inlineStr">
        <is>
          <t>SS-01048</t>
        </is>
      </c>
      <c r="D49" t="n">
        <v>24</v>
      </c>
      <c r="E49" t="n">
        <v>0</v>
      </c>
      <c r="G49">
        <f>IF(AND(A49&gt;=Inputs!$B$5,A49&lt;=Inputs!$B$6),1,0)</f>
        <v/>
      </c>
    </row>
    <row r="50">
      <c r="A50" t="inlineStr">
        <is>
          <t>2026-01</t>
        </is>
      </c>
      <c r="B50" t="inlineStr">
        <is>
          <t>HOSP-1</t>
        </is>
      </c>
      <c r="C50" t="inlineStr">
        <is>
          <t>SS-01049</t>
        </is>
      </c>
      <c r="D50" t="n">
        <v>144</v>
      </c>
      <c r="E50" t="n">
        <v>0</v>
      </c>
      <c r="G50">
        <f>IF(AND(A50&gt;=Inputs!$B$5,A50&lt;=Inputs!$B$6),1,0)</f>
        <v/>
      </c>
    </row>
    <row r="51">
      <c r="A51" t="inlineStr">
        <is>
          <t>2026-01</t>
        </is>
      </c>
      <c r="B51" t="inlineStr">
        <is>
          <t>HOSP-2</t>
        </is>
      </c>
      <c r="C51" t="inlineStr">
        <is>
          <t>SS-01050</t>
        </is>
      </c>
      <c r="D51" t="n">
        <v>19</v>
      </c>
      <c r="E51" t="n">
        <v>1</v>
      </c>
      <c r="G51">
        <f>IF(AND(A51&gt;=Inputs!$B$5,A51&lt;=Inputs!$B$6),1,0)</f>
        <v/>
      </c>
    </row>
    <row r="52">
      <c r="A52" t="inlineStr">
        <is>
          <t>2026-01</t>
        </is>
      </c>
      <c r="B52" t="inlineStr">
        <is>
          <t>HOSP-3</t>
        </is>
      </c>
      <c r="C52" t="inlineStr">
        <is>
          <t>SS-01051</t>
        </is>
      </c>
      <c r="D52" t="n">
        <v>0</v>
      </c>
      <c r="E52" t="n">
        <v>0</v>
      </c>
      <c r="G52">
        <f>IF(AND(A52&gt;=Inputs!$B$5,A52&lt;=Inputs!$B$6),1,0)</f>
        <v/>
      </c>
    </row>
    <row r="53">
      <c r="A53" t="inlineStr">
        <is>
          <t>2026-01</t>
        </is>
      </c>
      <c r="B53" t="inlineStr">
        <is>
          <t>HOSP-4</t>
        </is>
      </c>
      <c r="C53" t="inlineStr">
        <is>
          <t>SS-01038</t>
        </is>
      </c>
      <c r="D53" t="n">
        <v>75</v>
      </c>
      <c r="E53" t="n">
        <v>1</v>
      </c>
      <c r="G53">
        <f>IF(AND(A53&gt;=Inputs!$B$5,A53&lt;=Inputs!$B$6),1,0)</f>
        <v/>
      </c>
    </row>
    <row r="54">
      <c r="A54" t="inlineStr">
        <is>
          <t>2026-01</t>
        </is>
      </c>
      <c r="B54" t="inlineStr">
        <is>
          <t>HOSP-1</t>
        </is>
      </c>
      <c r="C54" t="inlineStr">
        <is>
          <t>SS-01053</t>
        </is>
      </c>
      <c r="D54" t="n">
        <v>1</v>
      </c>
      <c r="E54" t="n">
        <v>0</v>
      </c>
      <c r="G54">
        <f>IF(AND(A54&gt;=Inputs!$B$5,A54&lt;=Inputs!$B$6),1,0)</f>
        <v/>
      </c>
    </row>
    <row r="55">
      <c r="A55" t="inlineStr">
        <is>
          <t>2026-01</t>
        </is>
      </c>
      <c r="B55" t="inlineStr">
        <is>
          <t>HOSP-2</t>
        </is>
      </c>
      <c r="C55" t="inlineStr">
        <is>
          <t>SS-01054</t>
        </is>
      </c>
      <c r="D55" t="n">
        <v>12</v>
      </c>
      <c r="E55" t="n">
        <v>0</v>
      </c>
      <c r="G55">
        <f>IF(AND(A55&gt;=Inputs!$B$5,A55&lt;=Inputs!$B$6),1,0)</f>
        <v/>
      </c>
    </row>
    <row r="56">
      <c r="A56" t="inlineStr">
        <is>
          <t>2026-01</t>
        </is>
      </c>
      <c r="B56" t="inlineStr">
        <is>
          <t>HOSP-3</t>
        </is>
      </c>
      <c r="C56" t="inlineStr">
        <is>
          <t>SS-01055</t>
        </is>
      </c>
      <c r="D56" t="n">
        <v>0</v>
      </c>
      <c r="E56" t="n">
        <v>0</v>
      </c>
      <c r="G56">
        <f>IF(AND(A56&gt;=Inputs!$B$5,A56&lt;=Inputs!$B$6),1,0)</f>
        <v/>
      </c>
    </row>
    <row r="57">
      <c r="A57" t="inlineStr">
        <is>
          <t>2026-01</t>
        </is>
      </c>
      <c r="B57" t="inlineStr">
        <is>
          <t>HOSP-4</t>
        </is>
      </c>
      <c r="C57" t="inlineStr">
        <is>
          <t>SS-01056</t>
        </is>
      </c>
      <c r="D57" t="n">
        <v>8</v>
      </c>
      <c r="E57" t="n">
        <v>1</v>
      </c>
      <c r="G57">
        <f>IF(AND(A57&gt;=Inputs!$B$5,A57&lt;=Inputs!$B$6),1,0)</f>
        <v/>
      </c>
    </row>
    <row r="58">
      <c r="A58" t="inlineStr">
        <is>
          <t>2026-01</t>
        </is>
      </c>
      <c r="B58" t="inlineStr">
        <is>
          <t>HOSP-1</t>
        </is>
      </c>
      <c r="C58" t="inlineStr">
        <is>
          <t>SS-01057</t>
        </is>
      </c>
      <c r="D58" t="n">
        <v>156</v>
      </c>
      <c r="E58" t="n">
        <v>0</v>
      </c>
      <c r="G58">
        <f>IF(AND(A58&gt;=Inputs!$B$5,A58&lt;=Inputs!$B$6),1,0)</f>
        <v/>
      </c>
    </row>
    <row r="59">
      <c r="A59" t="inlineStr">
        <is>
          <t>2026-01</t>
        </is>
      </c>
      <c r="B59" t="inlineStr">
        <is>
          <t>HOSP-2</t>
        </is>
      </c>
      <c r="C59" t="inlineStr">
        <is>
          <t>SS-01058</t>
        </is>
      </c>
      <c r="D59" t="n">
        <v>120</v>
      </c>
      <c r="E59" t="n">
        <v>0</v>
      </c>
      <c r="G59">
        <f>IF(AND(A59&gt;=Inputs!$B$5,A59&lt;=Inputs!$B$6),1,0)</f>
        <v/>
      </c>
    </row>
    <row r="60">
      <c r="A60" t="inlineStr">
        <is>
          <t>2026-01</t>
        </is>
      </c>
      <c r="B60" t="inlineStr">
        <is>
          <t>HOSP-3</t>
        </is>
      </c>
      <c r="C60" t="inlineStr">
        <is>
          <t>SS-01059</t>
        </is>
      </c>
      <c r="D60" t="n">
        <v>120</v>
      </c>
      <c r="E60" t="n">
        <v>0</v>
      </c>
      <c r="G60">
        <f>IF(AND(A60&gt;=Inputs!$B$5,A60&lt;=Inputs!$B$6),1,0)</f>
        <v/>
      </c>
    </row>
    <row r="61">
      <c r="A61" t="inlineStr">
        <is>
          <t>2026-01</t>
        </is>
      </c>
      <c r="B61" t="inlineStr">
        <is>
          <t>HOSP-4</t>
        </is>
      </c>
      <c r="C61" t="inlineStr">
        <is>
          <t>SS-01060</t>
        </is>
      </c>
      <c r="D61" t="n">
        <v>60</v>
      </c>
      <c r="E61" t="n">
        <v>0</v>
      </c>
      <c r="G61">
        <f>IF(AND(A61&gt;=Inputs!$B$5,A61&lt;=Inputs!$B$6),1,0)</f>
        <v/>
      </c>
    </row>
    <row r="62">
      <c r="A62" t="inlineStr">
        <is>
          <t>2026-01</t>
        </is>
      </c>
      <c r="B62" t="inlineStr">
        <is>
          <t>HOSP-1</t>
        </is>
      </c>
      <c r="C62" t="inlineStr">
        <is>
          <t>SS-01061</t>
        </is>
      </c>
      <c r="D62" t="n">
        <v>0</v>
      </c>
      <c r="E62" t="n">
        <v>0</v>
      </c>
      <c r="G62">
        <f>IF(AND(A62&gt;=Inputs!$B$5,A62&lt;=Inputs!$B$6),1,0)</f>
        <v/>
      </c>
    </row>
    <row r="63">
      <c r="A63" t="inlineStr">
        <is>
          <t>2026-01</t>
        </is>
      </c>
      <c r="B63" t="inlineStr">
        <is>
          <t>HOSP-2</t>
        </is>
      </c>
      <c r="C63" t="inlineStr">
        <is>
          <t>SS-01062</t>
        </is>
      </c>
      <c r="D63" t="n">
        <v>36</v>
      </c>
      <c r="E63" t="n">
        <v>0</v>
      </c>
      <c r="G63">
        <f>IF(AND(A63&gt;=Inputs!$B$5,A63&lt;=Inputs!$B$6),1,0)</f>
        <v/>
      </c>
    </row>
    <row r="64">
      <c r="A64" t="inlineStr">
        <is>
          <t>2026-01</t>
        </is>
      </c>
      <c r="B64" t="inlineStr">
        <is>
          <t>HOSP-3</t>
        </is>
      </c>
      <c r="C64" t="inlineStr">
        <is>
          <t>SS-01063</t>
        </is>
      </c>
      <c r="D64" t="n">
        <v>20</v>
      </c>
      <c r="E64" t="n">
        <v>1</v>
      </c>
      <c r="G64">
        <f>IF(AND(A64&gt;=Inputs!$B$5,A64&lt;=Inputs!$B$6),1,0)</f>
        <v/>
      </c>
    </row>
    <row r="65">
      <c r="A65" t="inlineStr">
        <is>
          <t>2026-01</t>
        </is>
      </c>
      <c r="B65" t="inlineStr">
        <is>
          <t>HOSP-4</t>
        </is>
      </c>
      <c r="C65" t="inlineStr">
        <is>
          <t>SS-01064</t>
        </is>
      </c>
      <c r="D65" t="n">
        <v>528</v>
      </c>
      <c r="E65" t="n">
        <v>0</v>
      </c>
      <c r="G65">
        <f>IF(AND(A65&gt;=Inputs!$B$5,A65&lt;=Inputs!$B$6),1,0)</f>
        <v/>
      </c>
    </row>
    <row r="66">
      <c r="A66" t="inlineStr">
        <is>
          <t>2026-01</t>
        </is>
      </c>
      <c r="B66" t="inlineStr">
        <is>
          <t>HOSP-1</t>
        </is>
      </c>
      <c r="C66" t="inlineStr">
        <is>
          <t>SS-01065</t>
        </is>
      </c>
      <c r="D66" t="n">
        <v>48</v>
      </c>
      <c r="E66" t="n">
        <v>0</v>
      </c>
      <c r="G66">
        <f>IF(AND(A66&gt;=Inputs!$B$5,A66&lt;=Inputs!$B$6),1,0)</f>
        <v/>
      </c>
    </row>
    <row r="67">
      <c r="A67" t="inlineStr">
        <is>
          <t>2026-01</t>
        </is>
      </c>
      <c r="B67" t="inlineStr">
        <is>
          <t>HOSP-2</t>
        </is>
      </c>
      <c r="C67" t="inlineStr">
        <is>
          <t>SS-01066</t>
        </is>
      </c>
      <c r="D67" t="n">
        <v>108</v>
      </c>
      <c r="E67" t="n">
        <v>0</v>
      </c>
      <c r="G67">
        <f>IF(AND(A67&gt;=Inputs!$B$5,A67&lt;=Inputs!$B$6),1,0)</f>
        <v/>
      </c>
    </row>
    <row r="68">
      <c r="A68" t="inlineStr">
        <is>
          <t>2026-01</t>
        </is>
      </c>
      <c r="B68" t="inlineStr">
        <is>
          <t>HOSP-3</t>
        </is>
      </c>
      <c r="C68" t="inlineStr">
        <is>
          <t>SS-01067</t>
        </is>
      </c>
      <c r="D68" t="n">
        <v>84</v>
      </c>
      <c r="E68" t="n">
        <v>0</v>
      </c>
      <c r="G68">
        <f>IF(AND(A68&gt;=Inputs!$B$5,A68&lt;=Inputs!$B$6),1,0)</f>
        <v/>
      </c>
    </row>
    <row r="69">
      <c r="A69" t="inlineStr">
        <is>
          <t>2026-01</t>
        </is>
      </c>
      <c r="B69" t="inlineStr">
        <is>
          <t>HOSP-4</t>
        </is>
      </c>
      <c r="C69" t="inlineStr">
        <is>
          <t>SS-01068</t>
        </is>
      </c>
      <c r="D69" t="n">
        <v>58</v>
      </c>
      <c r="E69" t="n">
        <v>0</v>
      </c>
      <c r="G69">
        <f>IF(AND(A69&gt;=Inputs!$B$5,A69&lt;=Inputs!$B$6),1,0)</f>
        <v/>
      </c>
    </row>
    <row r="70">
      <c r="A70" t="inlineStr">
        <is>
          <t>2026-01</t>
        </is>
      </c>
      <c r="B70" t="inlineStr">
        <is>
          <t>HOSP-1</t>
        </is>
      </c>
      <c r="C70" t="inlineStr">
        <is>
          <t>SS-01069</t>
        </is>
      </c>
      <c r="D70" t="n">
        <v>12</v>
      </c>
      <c r="E70" t="n">
        <v>0</v>
      </c>
      <c r="G70">
        <f>IF(AND(A70&gt;=Inputs!$B$5,A70&lt;=Inputs!$B$6),1,0)</f>
        <v/>
      </c>
    </row>
    <row r="71">
      <c r="A71" t="inlineStr">
        <is>
          <t>2026-01</t>
        </is>
      </c>
      <c r="B71" t="inlineStr">
        <is>
          <t>HOSP-2</t>
        </is>
      </c>
      <c r="C71" t="inlineStr">
        <is>
          <t>SS-01070</t>
        </is>
      </c>
      <c r="D71" t="n">
        <v>8</v>
      </c>
      <c r="E71" t="n">
        <v>0</v>
      </c>
      <c r="G71">
        <f>IF(AND(A71&gt;=Inputs!$B$5,A71&lt;=Inputs!$B$6),1,0)</f>
        <v/>
      </c>
    </row>
    <row r="72">
      <c r="A72" t="inlineStr">
        <is>
          <t>2026-01</t>
        </is>
      </c>
      <c r="B72" t="inlineStr">
        <is>
          <t>HOSP-3</t>
        </is>
      </c>
      <c r="C72" t="inlineStr">
        <is>
          <t>SS-01071</t>
        </is>
      </c>
      <c r="D72" t="n">
        <v>120</v>
      </c>
      <c r="E72" t="n">
        <v>0</v>
      </c>
      <c r="G72">
        <f>IF(AND(A72&gt;=Inputs!$B$5,A72&lt;=Inputs!$B$6),1,0)</f>
        <v/>
      </c>
    </row>
    <row r="73">
      <c r="A73" t="inlineStr">
        <is>
          <t>2026-01</t>
        </is>
      </c>
      <c r="B73" t="inlineStr">
        <is>
          <t>HOSP-4</t>
        </is>
      </c>
      <c r="C73" t="inlineStr">
        <is>
          <t>SS-01072</t>
        </is>
      </c>
      <c r="D73" t="n">
        <v>1</v>
      </c>
      <c r="E73" t="n">
        <v>4</v>
      </c>
      <c r="G73">
        <f>IF(AND(A73&gt;=Inputs!$B$5,A73&lt;=Inputs!$B$6),1,0)</f>
        <v/>
      </c>
    </row>
    <row r="74">
      <c r="A74" t="inlineStr">
        <is>
          <t>2026-01</t>
        </is>
      </c>
      <c r="B74" t="inlineStr">
        <is>
          <t>HOSP-1</t>
        </is>
      </c>
      <c r="C74" t="inlineStr">
        <is>
          <t>SS-01073</t>
        </is>
      </c>
      <c r="D74" t="n">
        <v>24</v>
      </c>
      <c r="E74" t="n">
        <v>0</v>
      </c>
      <c r="G74">
        <f>IF(AND(A74&gt;=Inputs!$B$5,A74&lt;=Inputs!$B$6),1,0)</f>
        <v/>
      </c>
    </row>
    <row r="75">
      <c r="A75" t="inlineStr">
        <is>
          <t>2026-01</t>
        </is>
      </c>
      <c r="B75" t="inlineStr">
        <is>
          <t>HOSP-2</t>
        </is>
      </c>
      <c r="C75" t="inlineStr">
        <is>
          <t>SS-01074</t>
        </is>
      </c>
      <c r="D75" t="n">
        <v>156</v>
      </c>
      <c r="E75" t="n">
        <v>0</v>
      </c>
      <c r="G75">
        <f>IF(AND(A75&gt;=Inputs!$B$5,A75&lt;=Inputs!$B$6),1,0)</f>
        <v/>
      </c>
    </row>
    <row r="76">
      <c r="A76" t="inlineStr">
        <is>
          <t>2026-01</t>
        </is>
      </c>
      <c r="B76" t="inlineStr">
        <is>
          <t>HOSP-3</t>
        </is>
      </c>
      <c r="C76" t="inlineStr">
        <is>
          <t>SS-01075</t>
        </is>
      </c>
      <c r="D76" t="n">
        <v>0</v>
      </c>
      <c r="E76" t="n">
        <v>0</v>
      </c>
      <c r="G76">
        <f>IF(AND(A76&gt;=Inputs!$B$5,A76&lt;=Inputs!$B$6),1,0)</f>
        <v/>
      </c>
    </row>
    <row r="77">
      <c r="A77" t="inlineStr">
        <is>
          <t>2026-01</t>
        </is>
      </c>
      <c r="B77" t="inlineStr">
        <is>
          <t>HOSP-4</t>
        </is>
      </c>
      <c r="C77" t="inlineStr">
        <is>
          <t>SS-01076</t>
        </is>
      </c>
      <c r="D77" t="n">
        <v>28</v>
      </c>
      <c r="E77" t="n">
        <v>0</v>
      </c>
      <c r="G77">
        <f>IF(AND(A77&gt;=Inputs!$B$5,A77&lt;=Inputs!$B$6),1,0)</f>
        <v/>
      </c>
    </row>
    <row r="78">
      <c r="A78" t="inlineStr">
        <is>
          <t>2026-01</t>
        </is>
      </c>
      <c r="B78" t="inlineStr">
        <is>
          <t>HOSP-1</t>
        </is>
      </c>
      <c r="C78" t="inlineStr">
        <is>
          <t>SS-01077</t>
        </is>
      </c>
      <c r="D78" t="n">
        <v>0</v>
      </c>
      <c r="E78" t="n">
        <v>0</v>
      </c>
      <c r="G78">
        <f>IF(AND(A78&gt;=Inputs!$B$5,A78&lt;=Inputs!$B$6),1,0)</f>
        <v/>
      </c>
    </row>
    <row r="79">
      <c r="A79" t="inlineStr">
        <is>
          <t>2026-01</t>
        </is>
      </c>
      <c r="B79" t="inlineStr">
        <is>
          <t>HOSP-2</t>
        </is>
      </c>
      <c r="C79" t="inlineStr">
        <is>
          <t>SS-01048</t>
        </is>
      </c>
      <c r="D79" t="n">
        <v>24</v>
      </c>
      <c r="E79" t="n">
        <v>0</v>
      </c>
      <c r="G79">
        <f>IF(AND(A79&gt;=Inputs!$B$5,A79&lt;=Inputs!$B$6),1,0)</f>
        <v/>
      </c>
    </row>
    <row r="80">
      <c r="A80" t="inlineStr">
        <is>
          <t>2026-01</t>
        </is>
      </c>
      <c r="B80" t="inlineStr">
        <is>
          <t>HOSP-3</t>
        </is>
      </c>
      <c r="C80" t="inlineStr">
        <is>
          <t>SS-01079</t>
        </is>
      </c>
      <c r="D80" t="n">
        <v>60</v>
      </c>
      <c r="E80" t="n">
        <v>0</v>
      </c>
      <c r="G80">
        <f>IF(AND(A80&gt;=Inputs!$B$5,A80&lt;=Inputs!$B$6),1,0)</f>
        <v/>
      </c>
    </row>
    <row r="81">
      <c r="A81" t="inlineStr">
        <is>
          <t>2026-01</t>
        </is>
      </c>
      <c r="B81" t="inlineStr">
        <is>
          <t>HOSP-4</t>
        </is>
      </c>
      <c r="C81" t="inlineStr">
        <is>
          <t>SS-01080</t>
        </is>
      </c>
      <c r="D81" t="n">
        <v>24</v>
      </c>
      <c r="E81" t="n">
        <v>0</v>
      </c>
      <c r="G81">
        <f>IF(AND(A81&gt;=Inputs!$B$5,A81&lt;=Inputs!$B$6),1,0)</f>
        <v/>
      </c>
    </row>
    <row r="82">
      <c r="A82" t="inlineStr">
        <is>
          <t>2026-01</t>
        </is>
      </c>
      <c r="B82" t="inlineStr">
        <is>
          <t>HOSP-1</t>
        </is>
      </c>
      <c r="C82" t="inlineStr">
        <is>
          <t>SS-01081</t>
        </is>
      </c>
      <c r="D82" t="n">
        <v>10</v>
      </c>
      <c r="E82" t="n">
        <v>0</v>
      </c>
      <c r="G82">
        <f>IF(AND(A82&gt;=Inputs!$B$5,A82&lt;=Inputs!$B$6),1,0)</f>
        <v/>
      </c>
    </row>
    <row r="83">
      <c r="A83" t="inlineStr">
        <is>
          <t>2026-01</t>
        </is>
      </c>
      <c r="B83" t="inlineStr">
        <is>
          <t>HOSP-2</t>
        </is>
      </c>
      <c r="C83" t="inlineStr">
        <is>
          <t>SS-01082</t>
        </is>
      </c>
      <c r="D83" t="n">
        <v>0</v>
      </c>
      <c r="E83" t="n">
        <v>0</v>
      </c>
      <c r="G83">
        <f>IF(AND(A83&gt;=Inputs!$B$5,A83&lt;=Inputs!$B$6),1,0)</f>
        <v/>
      </c>
    </row>
    <row r="84">
      <c r="A84" t="inlineStr">
        <is>
          <t>2026-01</t>
        </is>
      </c>
      <c r="B84" t="inlineStr">
        <is>
          <t>HOSP-3</t>
        </is>
      </c>
      <c r="C84" t="inlineStr">
        <is>
          <t>SS-01083</t>
        </is>
      </c>
      <c r="D84" t="n">
        <v>0</v>
      </c>
      <c r="E84" t="n">
        <v>0</v>
      </c>
      <c r="G84">
        <f>IF(AND(A84&gt;=Inputs!$B$5,A84&lt;=Inputs!$B$6),1,0)</f>
        <v/>
      </c>
    </row>
    <row r="85">
      <c r="A85" t="inlineStr">
        <is>
          <t>2026-01</t>
        </is>
      </c>
      <c r="B85" t="inlineStr">
        <is>
          <t>HOSP-4</t>
        </is>
      </c>
      <c r="C85" t="inlineStr">
        <is>
          <t>SS-01084</t>
        </is>
      </c>
      <c r="D85" t="n">
        <v>0</v>
      </c>
      <c r="E85" t="n">
        <v>3</v>
      </c>
      <c r="G85">
        <f>IF(AND(A85&gt;=Inputs!$B$5,A85&lt;=Inputs!$B$6),1,0)</f>
        <v/>
      </c>
    </row>
    <row r="86">
      <c r="A86" t="inlineStr">
        <is>
          <t>2026-01</t>
        </is>
      </c>
      <c r="B86" t="inlineStr">
        <is>
          <t>HOSP-1</t>
        </is>
      </c>
      <c r="C86" t="inlineStr">
        <is>
          <t>SS-01085</t>
        </is>
      </c>
      <c r="D86" t="n">
        <v>0</v>
      </c>
      <c r="E86" t="n">
        <v>0</v>
      </c>
      <c r="G86">
        <f>IF(AND(A86&gt;=Inputs!$B$5,A86&lt;=Inputs!$B$6),1,0)</f>
        <v/>
      </c>
    </row>
    <row r="87">
      <c r="A87" t="inlineStr">
        <is>
          <t>2026-01</t>
        </is>
      </c>
      <c r="B87" t="inlineStr">
        <is>
          <t>HOSP-2</t>
        </is>
      </c>
      <c r="C87" t="inlineStr">
        <is>
          <t>SS-01086</t>
        </is>
      </c>
      <c r="D87" t="n">
        <v>33</v>
      </c>
      <c r="E87" t="n">
        <v>0</v>
      </c>
      <c r="G87">
        <f>IF(AND(A87&gt;=Inputs!$B$5,A87&lt;=Inputs!$B$6),1,0)</f>
        <v/>
      </c>
    </row>
    <row r="88">
      <c r="A88" t="inlineStr">
        <is>
          <t>2026-01</t>
        </is>
      </c>
      <c r="B88" t="inlineStr">
        <is>
          <t>HOSP-3</t>
        </is>
      </c>
      <c r="C88" t="inlineStr">
        <is>
          <t>SS-01087</t>
        </is>
      </c>
      <c r="D88" t="n">
        <v>91</v>
      </c>
      <c r="E88" t="n">
        <v>2</v>
      </c>
      <c r="G88">
        <f>IF(AND(A88&gt;=Inputs!$B$5,A88&lt;=Inputs!$B$6),1,0)</f>
        <v/>
      </c>
    </row>
    <row r="89">
      <c r="A89" t="inlineStr">
        <is>
          <t>2026-01</t>
        </is>
      </c>
      <c r="B89" t="inlineStr">
        <is>
          <t>HOSP-4</t>
        </is>
      </c>
      <c r="C89" t="inlineStr">
        <is>
          <t>SS-01088</t>
        </is>
      </c>
      <c r="D89" t="n">
        <v>0</v>
      </c>
      <c r="E89" t="n">
        <v>0</v>
      </c>
      <c r="G89">
        <f>IF(AND(A89&gt;=Inputs!$B$5,A89&lt;=Inputs!$B$6),1,0)</f>
        <v/>
      </c>
    </row>
    <row r="90">
      <c r="A90" t="inlineStr">
        <is>
          <t>2026-01</t>
        </is>
      </c>
      <c r="B90" t="inlineStr">
        <is>
          <t>HOSP-1</t>
        </is>
      </c>
      <c r="C90" t="inlineStr">
        <is>
          <t>SS-01089</t>
        </is>
      </c>
      <c r="D90" t="n">
        <v>48</v>
      </c>
      <c r="E90" t="n">
        <v>0</v>
      </c>
      <c r="G90">
        <f>IF(AND(A90&gt;=Inputs!$B$5,A90&lt;=Inputs!$B$6),1,0)</f>
        <v/>
      </c>
    </row>
    <row r="91">
      <c r="A91" t="inlineStr">
        <is>
          <t>2026-01</t>
        </is>
      </c>
      <c r="B91" t="inlineStr">
        <is>
          <t>HOSP-2</t>
        </is>
      </c>
      <c r="C91" t="inlineStr">
        <is>
          <t>SS-01090</t>
        </is>
      </c>
      <c r="D91" t="n">
        <v>0</v>
      </c>
      <c r="E91" t="n">
        <v>0</v>
      </c>
      <c r="G91">
        <f>IF(AND(A91&gt;=Inputs!$B$5,A91&lt;=Inputs!$B$6),1,0)</f>
        <v/>
      </c>
    </row>
    <row r="92">
      <c r="A92" t="inlineStr">
        <is>
          <t>2026-01</t>
        </is>
      </c>
      <c r="B92" t="inlineStr">
        <is>
          <t>HOSP-3</t>
        </is>
      </c>
      <c r="C92" t="inlineStr">
        <is>
          <t>SS-01091</t>
        </is>
      </c>
      <c r="D92" t="n">
        <v>0</v>
      </c>
      <c r="E92" t="n">
        <v>0</v>
      </c>
      <c r="G92">
        <f>IF(AND(A92&gt;=Inputs!$B$5,A92&lt;=Inputs!$B$6),1,0)</f>
        <v/>
      </c>
    </row>
    <row r="93">
      <c r="A93" t="inlineStr">
        <is>
          <t>2026-01</t>
        </is>
      </c>
      <c r="B93" t="inlineStr">
        <is>
          <t>HOSP-4</t>
        </is>
      </c>
      <c r="C93" t="inlineStr">
        <is>
          <t>SS-01190</t>
        </is>
      </c>
      <c r="D93" t="n">
        <v>0</v>
      </c>
      <c r="E93" t="n">
        <v>0</v>
      </c>
      <c r="G93">
        <f>IF(AND(A93&gt;=Inputs!$B$5,A93&lt;=Inputs!$B$6),1,0)</f>
        <v/>
      </c>
    </row>
    <row r="94">
      <c r="A94" t="inlineStr">
        <is>
          <t>2026-01</t>
        </is>
      </c>
      <c r="B94" t="inlineStr">
        <is>
          <t>HOSP-1</t>
        </is>
      </c>
      <c r="C94" t="inlineStr">
        <is>
          <t>SS-01093</t>
        </is>
      </c>
      <c r="D94" t="n">
        <v>9</v>
      </c>
      <c r="E94" t="n">
        <v>0</v>
      </c>
      <c r="G94">
        <f>IF(AND(A94&gt;=Inputs!$B$5,A94&lt;=Inputs!$B$6),1,0)</f>
        <v/>
      </c>
    </row>
    <row r="95">
      <c r="A95" t="inlineStr">
        <is>
          <t>2026-01</t>
        </is>
      </c>
      <c r="B95" t="inlineStr">
        <is>
          <t>HOSP-2</t>
        </is>
      </c>
      <c r="C95" t="inlineStr">
        <is>
          <t>SS-01094</t>
        </is>
      </c>
      <c r="D95" t="n">
        <v>132</v>
      </c>
      <c r="E95" t="n">
        <v>0</v>
      </c>
      <c r="G95">
        <f>IF(AND(A95&gt;=Inputs!$B$5,A95&lt;=Inputs!$B$6),1,0)</f>
        <v/>
      </c>
    </row>
    <row r="96">
      <c r="A96" t="inlineStr">
        <is>
          <t>2026-01</t>
        </is>
      </c>
      <c r="B96" t="inlineStr">
        <is>
          <t>HOSP-3</t>
        </is>
      </c>
      <c r="C96" t="inlineStr">
        <is>
          <t>SS-01095</t>
        </is>
      </c>
      <c r="D96" t="n">
        <v>42</v>
      </c>
      <c r="E96" t="n">
        <v>1</v>
      </c>
      <c r="G96">
        <f>IF(AND(A96&gt;=Inputs!$B$5,A96&lt;=Inputs!$B$6),1,0)</f>
        <v/>
      </c>
    </row>
    <row r="97">
      <c r="A97" t="inlineStr">
        <is>
          <t>2026-01</t>
        </is>
      </c>
      <c r="B97" t="inlineStr">
        <is>
          <t>HOSP-4</t>
        </is>
      </c>
      <c r="C97" t="inlineStr">
        <is>
          <t>SS-01096</t>
        </is>
      </c>
      <c r="D97" t="n">
        <v>0</v>
      </c>
      <c r="E97" t="n">
        <v>0</v>
      </c>
      <c r="G97">
        <f>IF(AND(A97&gt;=Inputs!$B$5,A97&lt;=Inputs!$B$6),1,0)</f>
        <v/>
      </c>
    </row>
    <row r="98">
      <c r="A98" t="inlineStr">
        <is>
          <t>2026-01</t>
        </is>
      </c>
      <c r="B98" t="inlineStr">
        <is>
          <t>HOSP-1</t>
        </is>
      </c>
      <c r="C98" t="inlineStr">
        <is>
          <t>SS-01097</t>
        </is>
      </c>
      <c r="D98" t="n">
        <v>96</v>
      </c>
      <c r="E98" t="n">
        <v>0</v>
      </c>
      <c r="G98">
        <f>IF(AND(A98&gt;=Inputs!$B$5,A98&lt;=Inputs!$B$6),1,0)</f>
        <v/>
      </c>
    </row>
    <row r="99">
      <c r="A99" t="inlineStr">
        <is>
          <t>2026-01</t>
        </is>
      </c>
      <c r="B99" t="inlineStr">
        <is>
          <t>HOSP-2</t>
        </is>
      </c>
      <c r="C99" t="inlineStr">
        <is>
          <t>SS-01098</t>
        </is>
      </c>
      <c r="D99" t="n">
        <v>12</v>
      </c>
      <c r="E99" t="n">
        <v>0</v>
      </c>
      <c r="G99">
        <f>IF(AND(A99&gt;=Inputs!$B$5,A99&lt;=Inputs!$B$6),1,0)</f>
        <v/>
      </c>
    </row>
    <row r="100">
      <c r="A100" t="inlineStr">
        <is>
          <t>2026-01</t>
        </is>
      </c>
      <c r="B100" t="inlineStr">
        <is>
          <t>HOSP-3</t>
        </is>
      </c>
      <c r="C100" t="inlineStr">
        <is>
          <t>SS-01055</t>
        </is>
      </c>
      <c r="D100" t="n">
        <v>24</v>
      </c>
      <c r="E100" t="n">
        <v>0</v>
      </c>
      <c r="G100">
        <f>IF(AND(A100&gt;=Inputs!$B$5,A100&lt;=Inputs!$B$6),1,0)</f>
        <v/>
      </c>
    </row>
    <row r="101">
      <c r="A101" t="inlineStr">
        <is>
          <t>2026-01</t>
        </is>
      </c>
      <c r="B101" t="inlineStr">
        <is>
          <t>HOSP-4</t>
        </is>
      </c>
      <c r="C101" t="inlineStr">
        <is>
          <t>SS-01100</t>
        </is>
      </c>
      <c r="D101" t="n">
        <v>11</v>
      </c>
      <c r="E101" t="n">
        <v>2</v>
      </c>
      <c r="G101">
        <f>IF(AND(A101&gt;=Inputs!$B$5,A101&lt;=Inputs!$B$6),1,0)</f>
        <v/>
      </c>
    </row>
    <row r="102">
      <c r="A102" t="inlineStr">
        <is>
          <t>2026-01</t>
        </is>
      </c>
      <c r="B102" t="inlineStr">
        <is>
          <t>HOSP-1</t>
        </is>
      </c>
      <c r="C102" t="inlineStr">
        <is>
          <t>SS-01101</t>
        </is>
      </c>
      <c r="D102" t="n">
        <v>8</v>
      </c>
      <c r="E102" t="n">
        <v>0</v>
      </c>
      <c r="G102">
        <f>IF(AND(A102&gt;=Inputs!$B$5,A102&lt;=Inputs!$B$6),1,0)</f>
        <v/>
      </c>
    </row>
    <row r="103">
      <c r="A103" t="inlineStr">
        <is>
          <t>2026-01</t>
        </is>
      </c>
      <c r="B103" t="inlineStr">
        <is>
          <t>HOSP-2</t>
        </is>
      </c>
      <c r="C103" t="inlineStr">
        <is>
          <t>SS-01102</t>
        </is>
      </c>
      <c r="D103" t="n">
        <v>24</v>
      </c>
      <c r="E103" t="n">
        <v>0</v>
      </c>
      <c r="G103">
        <f>IF(AND(A103&gt;=Inputs!$B$5,A103&lt;=Inputs!$B$6),1,0)</f>
        <v/>
      </c>
    </row>
    <row r="104">
      <c r="A104" t="inlineStr">
        <is>
          <t>2026-01</t>
        </is>
      </c>
      <c r="B104" t="inlineStr">
        <is>
          <t>HOSP-3</t>
        </is>
      </c>
      <c r="C104" t="inlineStr">
        <is>
          <t>SS-01103</t>
        </is>
      </c>
      <c r="D104" t="n">
        <v>0</v>
      </c>
      <c r="E104" t="n">
        <v>0</v>
      </c>
      <c r="G104">
        <f>IF(AND(A104&gt;=Inputs!$B$5,A104&lt;=Inputs!$B$6),1,0)</f>
        <v/>
      </c>
    </row>
    <row r="105">
      <c r="A105" t="inlineStr">
        <is>
          <t>2026-01</t>
        </is>
      </c>
      <c r="B105" t="inlineStr">
        <is>
          <t>HOSP-4</t>
        </is>
      </c>
      <c r="C105" t="inlineStr">
        <is>
          <t>SS-01129</t>
        </is>
      </c>
      <c r="D105" t="n">
        <v>15</v>
      </c>
      <c r="E105" t="n">
        <v>0</v>
      </c>
      <c r="G105">
        <f>IF(AND(A105&gt;=Inputs!$B$5,A105&lt;=Inputs!$B$6),1,0)</f>
        <v/>
      </c>
    </row>
    <row r="106">
      <c r="A106" t="inlineStr">
        <is>
          <t>2026-01</t>
        </is>
      </c>
      <c r="B106" t="inlineStr">
        <is>
          <t>HOSP-1</t>
        </is>
      </c>
      <c r="C106" t="inlineStr">
        <is>
          <t>SS-01105</t>
        </is>
      </c>
      <c r="D106" t="n">
        <v>0</v>
      </c>
      <c r="E106" t="n">
        <v>0</v>
      </c>
      <c r="G106">
        <f>IF(AND(A106&gt;=Inputs!$B$5,A106&lt;=Inputs!$B$6),1,0)</f>
        <v/>
      </c>
    </row>
    <row r="107">
      <c r="A107" t="inlineStr">
        <is>
          <t>2026-01</t>
        </is>
      </c>
      <c r="B107" t="inlineStr">
        <is>
          <t>HOSP-2</t>
        </is>
      </c>
      <c r="C107" t="inlineStr">
        <is>
          <t>SS-01106</t>
        </is>
      </c>
      <c r="D107" t="n">
        <v>24</v>
      </c>
      <c r="E107" t="n">
        <v>0</v>
      </c>
      <c r="G107">
        <f>IF(AND(A107&gt;=Inputs!$B$5,A107&lt;=Inputs!$B$6),1,0)</f>
        <v/>
      </c>
    </row>
    <row r="108">
      <c r="A108" t="inlineStr">
        <is>
          <t>2026-01</t>
        </is>
      </c>
      <c r="B108" t="inlineStr">
        <is>
          <t>HOSP-3</t>
        </is>
      </c>
      <c r="C108" t="inlineStr">
        <is>
          <t>SS-01107</t>
        </is>
      </c>
      <c r="D108" t="n">
        <v>88</v>
      </c>
      <c r="E108" t="n">
        <v>0</v>
      </c>
      <c r="G108">
        <f>IF(AND(A108&gt;=Inputs!$B$5,A108&lt;=Inputs!$B$6),1,0)</f>
        <v/>
      </c>
    </row>
    <row r="109">
      <c r="A109" t="inlineStr">
        <is>
          <t>2026-01</t>
        </is>
      </c>
      <c r="B109" t="inlineStr">
        <is>
          <t>HOSP-4</t>
        </is>
      </c>
      <c r="C109" t="inlineStr">
        <is>
          <t>SS-01108</t>
        </is>
      </c>
      <c r="D109" t="n">
        <v>11</v>
      </c>
      <c r="E109" t="n">
        <v>0</v>
      </c>
      <c r="G109">
        <f>IF(AND(A109&gt;=Inputs!$B$5,A109&lt;=Inputs!$B$6),1,0)</f>
        <v/>
      </c>
    </row>
    <row r="110">
      <c r="A110" t="inlineStr">
        <is>
          <t>2026-01</t>
        </is>
      </c>
      <c r="B110" t="inlineStr">
        <is>
          <t>HOSP-1</t>
        </is>
      </c>
      <c r="C110" t="inlineStr">
        <is>
          <t>SS-01109</t>
        </is>
      </c>
      <c r="D110" t="n">
        <v>0</v>
      </c>
      <c r="E110" t="n">
        <v>0</v>
      </c>
      <c r="G110">
        <f>IF(AND(A110&gt;=Inputs!$B$5,A110&lt;=Inputs!$B$6),1,0)</f>
        <v/>
      </c>
    </row>
    <row r="111">
      <c r="A111" t="inlineStr">
        <is>
          <t>2026-01</t>
        </is>
      </c>
      <c r="B111" t="inlineStr">
        <is>
          <t>HOSP-2</t>
        </is>
      </c>
      <c r="C111" t="inlineStr">
        <is>
          <t>SS-01110</t>
        </is>
      </c>
      <c r="D111" t="n">
        <v>48</v>
      </c>
      <c r="E111" t="n">
        <v>0</v>
      </c>
      <c r="G111">
        <f>IF(AND(A111&gt;=Inputs!$B$5,A111&lt;=Inputs!$B$6),1,0)</f>
        <v/>
      </c>
    </row>
    <row r="112">
      <c r="A112" t="inlineStr">
        <is>
          <t>2026-01</t>
        </is>
      </c>
      <c r="B112" t="inlineStr">
        <is>
          <t>HOSP-3</t>
        </is>
      </c>
      <c r="C112" t="inlineStr">
        <is>
          <t>SS-01111</t>
        </is>
      </c>
      <c r="D112" t="n">
        <v>0</v>
      </c>
      <c r="E112" t="n">
        <v>0</v>
      </c>
      <c r="G112">
        <f>IF(AND(A112&gt;=Inputs!$B$5,A112&lt;=Inputs!$B$6),1,0)</f>
        <v/>
      </c>
    </row>
    <row r="113">
      <c r="A113" t="inlineStr">
        <is>
          <t>2026-01</t>
        </is>
      </c>
      <c r="B113" t="inlineStr">
        <is>
          <t>HOSP-4</t>
        </is>
      </c>
      <c r="C113" t="inlineStr">
        <is>
          <t>SS-01112</t>
        </is>
      </c>
      <c r="D113" t="n">
        <v>0</v>
      </c>
      <c r="E113" t="n">
        <v>0</v>
      </c>
      <c r="G113">
        <f>IF(AND(A113&gt;=Inputs!$B$5,A113&lt;=Inputs!$B$6),1,0)</f>
        <v/>
      </c>
    </row>
    <row r="114">
      <c r="A114" t="inlineStr">
        <is>
          <t>2026-01</t>
        </is>
      </c>
      <c r="B114" t="inlineStr">
        <is>
          <t>HOSP-1</t>
        </is>
      </c>
      <c r="C114" t="inlineStr">
        <is>
          <t>SS-01113</t>
        </is>
      </c>
      <c r="D114" t="n">
        <v>0</v>
      </c>
      <c r="E114" t="n">
        <v>0</v>
      </c>
      <c r="G114">
        <f>IF(AND(A114&gt;=Inputs!$B$5,A114&lt;=Inputs!$B$6),1,0)</f>
        <v/>
      </c>
    </row>
    <row r="115">
      <c r="A115" t="inlineStr">
        <is>
          <t>2026-01</t>
        </is>
      </c>
      <c r="B115" t="inlineStr">
        <is>
          <t>HOSP-2</t>
        </is>
      </c>
      <c r="C115" t="inlineStr">
        <is>
          <t>SS-01114</t>
        </is>
      </c>
      <c r="D115" t="n">
        <v>156</v>
      </c>
      <c r="E115" t="n">
        <v>0</v>
      </c>
      <c r="G115">
        <f>IF(AND(A115&gt;=Inputs!$B$5,A115&lt;=Inputs!$B$6),1,0)</f>
        <v/>
      </c>
    </row>
    <row r="116">
      <c r="A116" t="inlineStr">
        <is>
          <t>2026-01</t>
        </is>
      </c>
      <c r="B116" t="inlineStr">
        <is>
          <t>HOSP-3</t>
        </is>
      </c>
      <c r="C116" t="inlineStr">
        <is>
          <t>SS-01115</t>
        </is>
      </c>
      <c r="D116" t="n">
        <v>33</v>
      </c>
      <c r="E116" t="n">
        <v>1</v>
      </c>
      <c r="G116">
        <f>IF(AND(A116&gt;=Inputs!$B$5,A116&lt;=Inputs!$B$6),1,0)</f>
        <v/>
      </c>
    </row>
    <row r="117">
      <c r="A117" t="inlineStr">
        <is>
          <t>2026-01</t>
        </is>
      </c>
      <c r="B117" t="inlineStr">
        <is>
          <t>HOSP-4</t>
        </is>
      </c>
      <c r="C117" t="inlineStr">
        <is>
          <t>SS-01162</t>
        </is>
      </c>
      <c r="D117" t="n">
        <v>12</v>
      </c>
      <c r="E117" t="n">
        <v>0</v>
      </c>
      <c r="G117">
        <f>IF(AND(A117&gt;=Inputs!$B$5,A117&lt;=Inputs!$B$6),1,0)</f>
        <v/>
      </c>
    </row>
    <row r="118">
      <c r="A118" t="inlineStr">
        <is>
          <t>2026-01</t>
        </is>
      </c>
      <c r="B118" t="inlineStr">
        <is>
          <t>HOSP-1</t>
        </is>
      </c>
      <c r="C118" t="inlineStr">
        <is>
          <t>SS-01117</t>
        </is>
      </c>
      <c r="D118" t="n">
        <v>24</v>
      </c>
      <c r="E118" t="n">
        <v>0</v>
      </c>
      <c r="G118">
        <f>IF(AND(A118&gt;=Inputs!$B$5,A118&lt;=Inputs!$B$6),1,0)</f>
        <v/>
      </c>
    </row>
    <row r="119">
      <c r="A119" t="inlineStr">
        <is>
          <t>2026-01</t>
        </is>
      </c>
      <c r="B119" t="inlineStr">
        <is>
          <t>HOSP-2</t>
        </is>
      </c>
      <c r="C119" t="inlineStr">
        <is>
          <t>SS-01118</t>
        </is>
      </c>
      <c r="D119" t="n">
        <v>24</v>
      </c>
      <c r="E119" t="n">
        <v>0</v>
      </c>
      <c r="G119">
        <f>IF(AND(A119&gt;=Inputs!$B$5,A119&lt;=Inputs!$B$6),1,0)</f>
        <v/>
      </c>
    </row>
    <row r="120">
      <c r="A120" t="inlineStr">
        <is>
          <t>2026-01</t>
        </is>
      </c>
      <c r="B120" t="inlineStr">
        <is>
          <t>HOSP-3</t>
        </is>
      </c>
      <c r="C120" t="inlineStr">
        <is>
          <t>SS-01119</t>
        </is>
      </c>
      <c r="D120" t="n">
        <v>12</v>
      </c>
      <c r="E120" t="n">
        <v>0</v>
      </c>
      <c r="G120">
        <f>IF(AND(A120&gt;=Inputs!$B$5,A120&lt;=Inputs!$B$6),1,0)</f>
        <v/>
      </c>
    </row>
    <row r="121">
      <c r="A121" t="inlineStr">
        <is>
          <t>2026-01</t>
        </is>
      </c>
      <c r="B121" t="inlineStr">
        <is>
          <t>HOSP-4</t>
        </is>
      </c>
      <c r="C121" t="inlineStr">
        <is>
          <t>SS-01120</t>
        </is>
      </c>
      <c r="D121" t="n">
        <v>7</v>
      </c>
      <c r="E121" t="n">
        <v>1</v>
      </c>
      <c r="G121">
        <f>IF(AND(A121&gt;=Inputs!$B$5,A121&lt;=Inputs!$B$6),1,0)</f>
        <v/>
      </c>
    </row>
    <row r="122">
      <c r="A122" t="inlineStr">
        <is>
          <t>2026-01</t>
        </is>
      </c>
      <c r="B122" t="inlineStr">
        <is>
          <t>HOSP-1</t>
        </is>
      </c>
      <c r="C122" t="inlineStr">
        <is>
          <t>SS-01121</t>
        </is>
      </c>
      <c r="D122" t="n">
        <v>0</v>
      </c>
      <c r="E122" t="n">
        <v>0</v>
      </c>
      <c r="G122">
        <f>IF(AND(A122&gt;=Inputs!$B$5,A122&lt;=Inputs!$B$6),1,0)</f>
        <v/>
      </c>
    </row>
    <row r="123">
      <c r="A123" t="inlineStr">
        <is>
          <t>2026-01</t>
        </is>
      </c>
      <c r="B123" t="inlineStr">
        <is>
          <t>HOSP-2</t>
        </is>
      </c>
      <c r="C123" t="inlineStr">
        <is>
          <t>SS-01122</t>
        </is>
      </c>
      <c r="D123" t="n">
        <v>84</v>
      </c>
      <c r="E123" t="n">
        <v>0</v>
      </c>
      <c r="G123">
        <f>IF(AND(A123&gt;=Inputs!$B$5,A123&lt;=Inputs!$B$6),1,0)</f>
        <v/>
      </c>
    </row>
    <row r="124">
      <c r="A124" t="inlineStr">
        <is>
          <t>2026-01</t>
        </is>
      </c>
      <c r="B124" t="inlineStr">
        <is>
          <t>HOSP-3</t>
        </is>
      </c>
      <c r="C124" t="inlineStr">
        <is>
          <t>SS-01123</t>
        </is>
      </c>
      <c r="D124" t="n">
        <v>192</v>
      </c>
      <c r="E124" t="n">
        <v>0</v>
      </c>
      <c r="G124">
        <f>IF(AND(A124&gt;=Inputs!$B$5,A124&lt;=Inputs!$B$6),1,0)</f>
        <v/>
      </c>
    </row>
    <row r="125">
      <c r="A125" t="inlineStr">
        <is>
          <t>2026-01</t>
        </is>
      </c>
      <c r="B125" t="inlineStr">
        <is>
          <t>HOSP-4</t>
        </is>
      </c>
      <c r="C125" t="inlineStr">
        <is>
          <t>SS-01124</t>
        </is>
      </c>
      <c r="D125" t="n">
        <v>204</v>
      </c>
      <c r="E125" t="n">
        <v>0</v>
      </c>
      <c r="G125">
        <f>IF(AND(A125&gt;=Inputs!$B$5,A125&lt;=Inputs!$B$6),1,0)</f>
        <v/>
      </c>
    </row>
    <row r="126">
      <c r="A126" t="inlineStr">
        <is>
          <t>2026-01</t>
        </is>
      </c>
      <c r="B126" t="inlineStr">
        <is>
          <t>HOSP-1</t>
        </is>
      </c>
      <c r="C126" t="inlineStr">
        <is>
          <t>SS-01125</t>
        </is>
      </c>
      <c r="D126" t="n">
        <v>0</v>
      </c>
      <c r="E126" t="n">
        <v>3</v>
      </c>
      <c r="G126">
        <f>IF(AND(A126&gt;=Inputs!$B$5,A126&lt;=Inputs!$B$6),1,0)</f>
        <v/>
      </c>
    </row>
    <row r="127">
      <c r="A127" t="inlineStr">
        <is>
          <t>2026-01</t>
        </is>
      </c>
      <c r="B127" t="inlineStr">
        <is>
          <t>HOSP-2</t>
        </is>
      </c>
      <c r="C127" t="inlineStr">
        <is>
          <t>SS-01126</t>
        </is>
      </c>
      <c r="D127" t="n">
        <v>12</v>
      </c>
      <c r="E127" t="n">
        <v>0</v>
      </c>
      <c r="G127">
        <f>IF(AND(A127&gt;=Inputs!$B$5,A127&lt;=Inputs!$B$6),1,0)</f>
        <v/>
      </c>
    </row>
    <row r="128">
      <c r="A128" t="inlineStr">
        <is>
          <t>2026-01</t>
        </is>
      </c>
      <c r="B128" t="inlineStr">
        <is>
          <t>HOSP-3</t>
        </is>
      </c>
      <c r="C128" t="inlineStr">
        <is>
          <t>SS-01127</t>
        </is>
      </c>
      <c r="D128" t="n">
        <v>85</v>
      </c>
      <c r="E128" t="n">
        <v>0</v>
      </c>
      <c r="G128">
        <f>IF(AND(A128&gt;=Inputs!$B$5,A128&lt;=Inputs!$B$6),1,0)</f>
        <v/>
      </c>
    </row>
    <row r="129">
      <c r="A129" t="inlineStr">
        <is>
          <t>2026-01</t>
        </is>
      </c>
      <c r="B129" t="inlineStr">
        <is>
          <t>HOSP-4</t>
        </is>
      </c>
      <c r="C129" t="inlineStr">
        <is>
          <t>SS-01128</t>
        </is>
      </c>
      <c r="D129" t="n">
        <v>0</v>
      </c>
      <c r="E129" t="n">
        <v>0</v>
      </c>
      <c r="G129">
        <f>IF(AND(A129&gt;=Inputs!$B$5,A129&lt;=Inputs!$B$6),1,0)</f>
        <v/>
      </c>
    </row>
    <row r="130">
      <c r="A130" t="inlineStr">
        <is>
          <t>2026-01</t>
        </is>
      </c>
      <c r="B130" t="inlineStr">
        <is>
          <t>HOSP-1</t>
        </is>
      </c>
      <c r="C130" t="inlineStr">
        <is>
          <t>SS-01129</t>
        </is>
      </c>
      <c r="D130" t="n">
        <v>0</v>
      </c>
      <c r="E130" t="n">
        <v>0</v>
      </c>
      <c r="G130">
        <f>IF(AND(A130&gt;=Inputs!$B$5,A130&lt;=Inputs!$B$6),1,0)</f>
        <v/>
      </c>
    </row>
    <row r="131">
      <c r="A131" t="inlineStr">
        <is>
          <t>2026-01</t>
        </is>
      </c>
      <c r="B131" t="inlineStr">
        <is>
          <t>HOSP-2</t>
        </is>
      </c>
      <c r="C131" t="inlineStr">
        <is>
          <t>SS-01130</t>
        </is>
      </c>
      <c r="D131" t="n">
        <v>48</v>
      </c>
      <c r="E131" t="n">
        <v>0</v>
      </c>
      <c r="G131">
        <f>IF(AND(A131&gt;=Inputs!$B$5,A131&lt;=Inputs!$B$6),1,0)</f>
        <v/>
      </c>
    </row>
    <row r="132">
      <c r="A132" t="inlineStr">
        <is>
          <t>2026-01</t>
        </is>
      </c>
      <c r="B132" t="inlineStr">
        <is>
          <t>HOSP-3</t>
        </is>
      </c>
      <c r="C132" t="inlineStr">
        <is>
          <t>SS-01131</t>
        </is>
      </c>
      <c r="D132" t="n">
        <v>0</v>
      </c>
      <c r="E132" t="n">
        <v>0</v>
      </c>
      <c r="G132">
        <f>IF(AND(A132&gt;=Inputs!$B$5,A132&lt;=Inputs!$B$6),1,0)</f>
        <v/>
      </c>
    </row>
    <row r="133">
      <c r="A133" t="inlineStr">
        <is>
          <t>2026-01</t>
        </is>
      </c>
      <c r="B133" t="inlineStr">
        <is>
          <t>HOSP-4</t>
        </is>
      </c>
      <c r="C133" t="inlineStr">
        <is>
          <t>SS-01132</t>
        </is>
      </c>
      <c r="D133" t="n">
        <v>36</v>
      </c>
      <c r="E133" t="n">
        <v>0</v>
      </c>
      <c r="G133">
        <f>IF(AND(A133&gt;=Inputs!$B$5,A133&lt;=Inputs!$B$6),1,0)</f>
        <v/>
      </c>
    </row>
    <row r="134">
      <c r="A134" t="inlineStr">
        <is>
          <t>2026-01</t>
        </is>
      </c>
      <c r="B134" t="inlineStr">
        <is>
          <t>HOSP-1</t>
        </is>
      </c>
      <c r="C134" t="inlineStr">
        <is>
          <t>SS-01133</t>
        </is>
      </c>
      <c r="D134" t="n">
        <v>0</v>
      </c>
      <c r="E134" t="n">
        <v>0</v>
      </c>
      <c r="G134">
        <f>IF(AND(A134&gt;=Inputs!$B$5,A134&lt;=Inputs!$B$6),1,0)</f>
        <v/>
      </c>
    </row>
    <row r="135">
      <c r="A135" t="inlineStr">
        <is>
          <t>2026-01</t>
        </is>
      </c>
      <c r="B135" t="inlineStr">
        <is>
          <t>HOSP-2</t>
        </is>
      </c>
      <c r="C135" t="inlineStr">
        <is>
          <t>SS-01134</t>
        </is>
      </c>
      <c r="D135" t="n">
        <v>7</v>
      </c>
      <c r="E135" t="n">
        <v>1</v>
      </c>
      <c r="G135">
        <f>IF(AND(A135&gt;=Inputs!$B$5,A135&lt;=Inputs!$B$6),1,0)</f>
        <v/>
      </c>
    </row>
    <row r="136">
      <c r="A136" t="inlineStr">
        <is>
          <t>2026-01</t>
        </is>
      </c>
      <c r="B136" t="inlineStr">
        <is>
          <t>HOSP-3</t>
        </is>
      </c>
      <c r="C136" t="inlineStr">
        <is>
          <t>SS-01135</t>
        </is>
      </c>
      <c r="D136" t="n">
        <v>264</v>
      </c>
      <c r="E136" t="n">
        <v>0</v>
      </c>
      <c r="G136">
        <f>IF(AND(A136&gt;=Inputs!$B$5,A136&lt;=Inputs!$B$6),1,0)</f>
        <v/>
      </c>
    </row>
    <row r="137">
      <c r="A137" t="inlineStr">
        <is>
          <t>2026-01</t>
        </is>
      </c>
      <c r="B137" t="inlineStr">
        <is>
          <t>HOSP-4</t>
        </is>
      </c>
      <c r="C137" t="inlineStr">
        <is>
          <t>SS-01136</t>
        </is>
      </c>
      <c r="D137" t="n">
        <v>12</v>
      </c>
      <c r="E137" t="n">
        <v>0</v>
      </c>
      <c r="G137">
        <f>IF(AND(A137&gt;=Inputs!$B$5,A137&lt;=Inputs!$B$6),1,0)</f>
        <v/>
      </c>
    </row>
    <row r="138">
      <c r="A138" t="inlineStr">
        <is>
          <t>2026-01</t>
        </is>
      </c>
      <c r="B138" t="inlineStr">
        <is>
          <t>HOSP-1</t>
        </is>
      </c>
      <c r="C138" t="inlineStr">
        <is>
          <t>SS-01137</t>
        </is>
      </c>
      <c r="D138" t="n">
        <v>36</v>
      </c>
      <c r="E138" t="n">
        <v>0</v>
      </c>
      <c r="G138">
        <f>IF(AND(A138&gt;=Inputs!$B$5,A138&lt;=Inputs!$B$6),1,0)</f>
        <v/>
      </c>
    </row>
    <row r="139">
      <c r="A139" t="inlineStr">
        <is>
          <t>2026-01</t>
        </is>
      </c>
      <c r="B139" t="inlineStr">
        <is>
          <t>HOSP-2</t>
        </is>
      </c>
      <c r="C139" t="inlineStr">
        <is>
          <t>SS-01138</t>
        </is>
      </c>
      <c r="D139" t="n">
        <v>12</v>
      </c>
      <c r="E139" t="n">
        <v>1</v>
      </c>
      <c r="G139">
        <f>IF(AND(A139&gt;=Inputs!$B$5,A139&lt;=Inputs!$B$6),1,0)</f>
        <v/>
      </c>
    </row>
    <row r="140">
      <c r="A140" t="inlineStr">
        <is>
          <t>2026-01</t>
        </is>
      </c>
      <c r="B140" t="inlineStr">
        <is>
          <t>HOSP-3</t>
        </is>
      </c>
      <c r="C140" t="inlineStr">
        <is>
          <t>SS-01139</t>
        </is>
      </c>
      <c r="D140" t="n">
        <v>12</v>
      </c>
      <c r="E140" t="n">
        <v>0</v>
      </c>
      <c r="G140">
        <f>IF(AND(A140&gt;=Inputs!$B$5,A140&lt;=Inputs!$B$6),1,0)</f>
        <v/>
      </c>
    </row>
    <row r="141">
      <c r="A141" t="inlineStr">
        <is>
          <t>2026-01</t>
        </is>
      </c>
      <c r="B141" t="inlineStr">
        <is>
          <t>HOSP-4</t>
        </is>
      </c>
      <c r="C141" t="inlineStr">
        <is>
          <t>SS-01001</t>
        </is>
      </c>
      <c r="D141" t="n">
        <v>11</v>
      </c>
      <c r="E141" t="n">
        <v>2</v>
      </c>
      <c r="G141">
        <f>IF(AND(A141&gt;=Inputs!$B$5,A141&lt;=Inputs!$B$6),1,0)</f>
        <v/>
      </c>
    </row>
    <row r="142">
      <c r="A142" t="inlineStr">
        <is>
          <t>2026-01</t>
        </is>
      </c>
      <c r="B142" t="inlineStr">
        <is>
          <t>HOSP-1</t>
        </is>
      </c>
      <c r="C142" t="inlineStr">
        <is>
          <t>SS-01141</t>
        </is>
      </c>
      <c r="D142" t="n">
        <v>36</v>
      </c>
      <c r="E142" t="n">
        <v>0</v>
      </c>
      <c r="G142">
        <f>IF(AND(A142&gt;=Inputs!$B$5,A142&lt;=Inputs!$B$6),1,0)</f>
        <v/>
      </c>
    </row>
    <row r="143">
      <c r="A143" t="inlineStr">
        <is>
          <t>2026-01</t>
        </is>
      </c>
      <c r="B143" t="inlineStr">
        <is>
          <t>HOSP-2</t>
        </is>
      </c>
      <c r="C143" t="inlineStr">
        <is>
          <t>SS-01142</t>
        </is>
      </c>
      <c r="D143" t="n">
        <v>0</v>
      </c>
      <c r="E143" t="n">
        <v>0</v>
      </c>
      <c r="G143">
        <f>IF(AND(A143&gt;=Inputs!$B$5,A143&lt;=Inputs!$B$6),1,0)</f>
        <v/>
      </c>
    </row>
    <row r="144">
      <c r="A144" t="inlineStr">
        <is>
          <t>2026-01</t>
        </is>
      </c>
      <c r="B144" t="inlineStr">
        <is>
          <t>HOSP-3</t>
        </is>
      </c>
      <c r="C144" t="inlineStr">
        <is>
          <t>SS-01143</t>
        </is>
      </c>
      <c r="D144" t="n">
        <v>0</v>
      </c>
      <c r="E144" t="n">
        <v>0</v>
      </c>
      <c r="G144">
        <f>IF(AND(A144&gt;=Inputs!$B$5,A144&lt;=Inputs!$B$6),1,0)</f>
        <v/>
      </c>
    </row>
    <row r="145">
      <c r="A145" t="inlineStr">
        <is>
          <t>2026-01</t>
        </is>
      </c>
      <c r="B145" t="inlineStr">
        <is>
          <t>HOSP-4</t>
        </is>
      </c>
      <c r="C145" t="inlineStr">
        <is>
          <t>SS-01144</t>
        </is>
      </c>
      <c r="D145" t="n">
        <v>24</v>
      </c>
      <c r="E145" t="n">
        <v>0</v>
      </c>
      <c r="G145">
        <f>IF(AND(A145&gt;=Inputs!$B$5,A145&lt;=Inputs!$B$6),1,0)</f>
        <v/>
      </c>
    </row>
    <row r="146">
      <c r="A146" t="inlineStr">
        <is>
          <t>2026-01</t>
        </is>
      </c>
      <c r="B146" t="inlineStr">
        <is>
          <t>HOSP-1</t>
        </is>
      </c>
      <c r="C146" t="inlineStr">
        <is>
          <t>SS-01145</t>
        </is>
      </c>
      <c r="D146" t="n">
        <v>0</v>
      </c>
      <c r="E146" t="n">
        <v>1</v>
      </c>
      <c r="G146">
        <f>IF(AND(A146&gt;=Inputs!$B$5,A146&lt;=Inputs!$B$6),1,0)</f>
        <v/>
      </c>
    </row>
    <row r="147">
      <c r="A147" t="inlineStr">
        <is>
          <t>2026-01</t>
        </is>
      </c>
      <c r="B147" t="inlineStr">
        <is>
          <t>HOSP-2</t>
        </is>
      </c>
      <c r="C147" t="inlineStr">
        <is>
          <t>SS-01146</t>
        </is>
      </c>
      <c r="D147" t="n">
        <v>0</v>
      </c>
      <c r="E147" t="n">
        <v>1</v>
      </c>
      <c r="G147">
        <f>IF(AND(A147&gt;=Inputs!$B$5,A147&lt;=Inputs!$B$6),1,0)</f>
        <v/>
      </c>
    </row>
    <row r="148">
      <c r="A148" t="inlineStr">
        <is>
          <t>2026-01</t>
        </is>
      </c>
      <c r="B148" t="inlineStr">
        <is>
          <t>HOSP-3</t>
        </is>
      </c>
      <c r="C148" t="inlineStr">
        <is>
          <t>SS-01147</t>
        </is>
      </c>
      <c r="D148" t="n">
        <v>0</v>
      </c>
      <c r="E148" t="n">
        <v>0</v>
      </c>
      <c r="G148">
        <f>IF(AND(A148&gt;=Inputs!$B$5,A148&lt;=Inputs!$B$6),1,0)</f>
        <v/>
      </c>
    </row>
    <row r="149">
      <c r="A149" t="inlineStr">
        <is>
          <t>2026-01</t>
        </is>
      </c>
      <c r="B149" t="inlineStr">
        <is>
          <t>HOSP-4</t>
        </is>
      </c>
      <c r="C149" t="inlineStr">
        <is>
          <t>SS-01148</t>
        </is>
      </c>
      <c r="D149" t="n">
        <v>0</v>
      </c>
      <c r="E149" t="n">
        <v>0</v>
      </c>
      <c r="G149">
        <f>IF(AND(A149&gt;=Inputs!$B$5,A149&lt;=Inputs!$B$6),1,0)</f>
        <v/>
      </c>
    </row>
    <row r="150">
      <c r="A150" t="inlineStr">
        <is>
          <t>2026-01</t>
        </is>
      </c>
      <c r="B150" t="inlineStr">
        <is>
          <t>HOSP-1</t>
        </is>
      </c>
      <c r="C150" t="inlineStr">
        <is>
          <t>SS-01149</t>
        </is>
      </c>
      <c r="D150" t="n">
        <v>4</v>
      </c>
      <c r="E150" t="n">
        <v>2</v>
      </c>
      <c r="G150">
        <f>IF(AND(A150&gt;=Inputs!$B$5,A150&lt;=Inputs!$B$6),1,0)</f>
        <v/>
      </c>
    </row>
    <row r="151">
      <c r="A151" t="inlineStr">
        <is>
          <t>2026-01</t>
        </is>
      </c>
      <c r="B151" t="inlineStr">
        <is>
          <t>HOSP-2</t>
        </is>
      </c>
      <c r="C151" t="inlineStr">
        <is>
          <t>SS-01150</t>
        </is>
      </c>
      <c r="D151" t="n">
        <v>0</v>
      </c>
      <c r="E151" t="n">
        <v>0</v>
      </c>
      <c r="G151">
        <f>IF(AND(A151&gt;=Inputs!$B$5,A151&lt;=Inputs!$B$6),1,0)</f>
        <v/>
      </c>
    </row>
    <row r="152">
      <c r="A152" t="inlineStr">
        <is>
          <t>2026-01</t>
        </is>
      </c>
      <c r="B152" t="inlineStr">
        <is>
          <t>HOSP-3</t>
        </is>
      </c>
      <c r="C152" t="inlineStr">
        <is>
          <t>SS-01151</t>
        </is>
      </c>
      <c r="D152" t="n">
        <v>0</v>
      </c>
      <c r="E152" t="n">
        <v>0</v>
      </c>
      <c r="G152">
        <f>IF(AND(A152&gt;=Inputs!$B$5,A152&lt;=Inputs!$B$6),1,0)</f>
        <v/>
      </c>
    </row>
    <row r="153">
      <c r="A153" t="inlineStr">
        <is>
          <t>2026-01</t>
        </is>
      </c>
      <c r="B153" t="inlineStr">
        <is>
          <t>HOSP-4</t>
        </is>
      </c>
      <c r="C153" t="inlineStr">
        <is>
          <t>SS-01152</t>
        </is>
      </c>
      <c r="D153" t="n">
        <v>0</v>
      </c>
      <c r="E153" t="n">
        <v>0</v>
      </c>
      <c r="G153">
        <f>IF(AND(A153&gt;=Inputs!$B$5,A153&lt;=Inputs!$B$6),1,0)</f>
        <v/>
      </c>
    </row>
    <row r="154">
      <c r="A154" t="inlineStr">
        <is>
          <t>2026-01</t>
        </is>
      </c>
      <c r="B154" t="inlineStr">
        <is>
          <t>HOSP-1</t>
        </is>
      </c>
      <c r="C154" t="inlineStr">
        <is>
          <t>SS-01153</t>
        </is>
      </c>
      <c r="D154" t="n">
        <v>23</v>
      </c>
      <c r="E154" t="n">
        <v>1</v>
      </c>
      <c r="G154">
        <f>IF(AND(A154&gt;=Inputs!$B$5,A154&lt;=Inputs!$B$6),1,0)</f>
        <v/>
      </c>
    </row>
    <row r="155">
      <c r="A155" t="inlineStr">
        <is>
          <t>2026-01</t>
        </is>
      </c>
      <c r="B155" t="inlineStr">
        <is>
          <t>HOSP-2</t>
        </is>
      </c>
      <c r="C155" t="inlineStr">
        <is>
          <t>SS-01154</t>
        </is>
      </c>
      <c r="D155" t="n">
        <v>24</v>
      </c>
      <c r="E155" t="n">
        <v>0</v>
      </c>
      <c r="G155">
        <f>IF(AND(A155&gt;=Inputs!$B$5,A155&lt;=Inputs!$B$6),1,0)</f>
        <v/>
      </c>
    </row>
    <row r="156">
      <c r="A156" t="inlineStr">
        <is>
          <t>2026-01</t>
        </is>
      </c>
      <c r="B156" t="inlineStr">
        <is>
          <t>HOSP-3</t>
        </is>
      </c>
      <c r="C156" t="inlineStr">
        <is>
          <t>SS-01155</t>
        </is>
      </c>
      <c r="D156" t="n">
        <v>240</v>
      </c>
      <c r="E156" t="n">
        <v>0</v>
      </c>
      <c r="G156">
        <f>IF(AND(A156&gt;=Inputs!$B$5,A156&lt;=Inputs!$B$6),1,0)</f>
        <v/>
      </c>
    </row>
    <row r="157">
      <c r="A157" t="inlineStr">
        <is>
          <t>2026-01</t>
        </is>
      </c>
      <c r="B157" t="inlineStr">
        <is>
          <t>HOSP-4</t>
        </is>
      </c>
      <c r="C157" t="inlineStr">
        <is>
          <t>SS-01156</t>
        </is>
      </c>
      <c r="D157" t="n">
        <v>12</v>
      </c>
      <c r="E157" t="n">
        <v>0</v>
      </c>
      <c r="G157">
        <f>IF(AND(A157&gt;=Inputs!$B$5,A157&lt;=Inputs!$B$6),1,0)</f>
        <v/>
      </c>
    </row>
    <row r="158">
      <c r="A158" t="inlineStr">
        <is>
          <t>2026-01</t>
        </is>
      </c>
      <c r="B158" t="inlineStr">
        <is>
          <t>HOSP-1</t>
        </is>
      </c>
      <c r="C158" t="inlineStr">
        <is>
          <t>SS-01157</t>
        </is>
      </c>
      <c r="D158" t="n">
        <v>0</v>
      </c>
      <c r="E158" t="n">
        <v>0</v>
      </c>
      <c r="G158">
        <f>IF(AND(A158&gt;=Inputs!$B$5,A158&lt;=Inputs!$B$6),1,0)</f>
        <v/>
      </c>
    </row>
    <row r="159">
      <c r="A159" t="inlineStr">
        <is>
          <t>2026-01</t>
        </is>
      </c>
      <c r="B159" t="inlineStr">
        <is>
          <t>HOSP-2</t>
        </is>
      </c>
      <c r="C159" t="inlineStr">
        <is>
          <t>SS-01158</t>
        </is>
      </c>
      <c r="D159" t="n">
        <v>12</v>
      </c>
      <c r="E159" t="n">
        <v>0</v>
      </c>
      <c r="G159">
        <f>IF(AND(A159&gt;=Inputs!$B$5,A159&lt;=Inputs!$B$6),1,0)</f>
        <v/>
      </c>
    </row>
    <row r="160">
      <c r="A160" t="inlineStr">
        <is>
          <t>2026-01</t>
        </is>
      </c>
      <c r="B160" t="inlineStr">
        <is>
          <t>HOSP-3</t>
        </is>
      </c>
      <c r="C160" t="inlineStr">
        <is>
          <t>SS-01159</t>
        </is>
      </c>
      <c r="D160" t="n">
        <v>48</v>
      </c>
      <c r="E160" t="n">
        <v>0</v>
      </c>
      <c r="G160">
        <f>IF(AND(A160&gt;=Inputs!$B$5,A160&lt;=Inputs!$B$6),1,0)</f>
        <v/>
      </c>
    </row>
    <row r="161">
      <c r="A161" t="inlineStr">
        <is>
          <t>2026-01</t>
        </is>
      </c>
      <c r="B161" t="inlineStr">
        <is>
          <t>HOSP-4</t>
        </is>
      </c>
      <c r="C161" t="inlineStr">
        <is>
          <t>SS-01160</t>
        </is>
      </c>
      <c r="D161" t="n">
        <v>24</v>
      </c>
      <c r="E161" t="n">
        <v>0</v>
      </c>
      <c r="G161">
        <f>IF(AND(A161&gt;=Inputs!$B$5,A161&lt;=Inputs!$B$6),1,0)</f>
        <v/>
      </c>
    </row>
    <row r="162">
      <c r="A162" t="inlineStr">
        <is>
          <t>2026-01</t>
        </is>
      </c>
      <c r="B162" t="inlineStr">
        <is>
          <t>HOSP-1</t>
        </is>
      </c>
      <c r="C162" t="inlineStr">
        <is>
          <t>SS-01161</t>
        </is>
      </c>
      <c r="D162" t="n">
        <v>0</v>
      </c>
      <c r="E162" t="n">
        <v>0</v>
      </c>
      <c r="G162">
        <f>IF(AND(A162&gt;=Inputs!$B$5,A162&lt;=Inputs!$B$6),1,0)</f>
        <v/>
      </c>
    </row>
    <row r="163">
      <c r="A163" t="inlineStr">
        <is>
          <t>2026-01</t>
        </is>
      </c>
      <c r="B163" t="inlineStr">
        <is>
          <t>HOSP-2</t>
        </is>
      </c>
      <c r="C163" t="inlineStr">
        <is>
          <t>SS-01162</t>
        </is>
      </c>
      <c r="D163" t="n">
        <v>252</v>
      </c>
      <c r="E163" t="n">
        <v>0</v>
      </c>
      <c r="G163">
        <f>IF(AND(A163&gt;=Inputs!$B$5,A163&lt;=Inputs!$B$6),1,0)</f>
        <v/>
      </c>
    </row>
    <row r="164">
      <c r="A164" t="inlineStr">
        <is>
          <t>2026-01</t>
        </is>
      </c>
      <c r="B164" t="inlineStr">
        <is>
          <t>HOSP-3</t>
        </is>
      </c>
      <c r="C164" t="inlineStr">
        <is>
          <t>SS-01163</t>
        </is>
      </c>
      <c r="D164" t="n">
        <v>12</v>
      </c>
      <c r="E164" t="n">
        <v>0</v>
      </c>
      <c r="G164">
        <f>IF(AND(A164&gt;=Inputs!$B$5,A164&lt;=Inputs!$B$6),1,0)</f>
        <v/>
      </c>
    </row>
    <row r="165">
      <c r="A165" t="inlineStr">
        <is>
          <t>2026-01</t>
        </is>
      </c>
      <c r="B165" t="inlineStr">
        <is>
          <t>HOSP-4</t>
        </is>
      </c>
      <c r="C165" t="inlineStr">
        <is>
          <t>SS-01164</t>
        </is>
      </c>
      <c r="D165" t="n">
        <v>0</v>
      </c>
      <c r="E165" t="n">
        <v>0</v>
      </c>
      <c r="G165">
        <f>IF(AND(A165&gt;=Inputs!$B$5,A165&lt;=Inputs!$B$6),1,0)</f>
        <v/>
      </c>
    </row>
    <row r="166">
      <c r="A166" t="inlineStr">
        <is>
          <t>2026-01</t>
        </is>
      </c>
      <c r="B166" t="inlineStr">
        <is>
          <t>HOSP-1</t>
        </is>
      </c>
      <c r="C166" t="inlineStr">
        <is>
          <t>SS-01165</t>
        </is>
      </c>
      <c r="D166" t="n">
        <v>0</v>
      </c>
      <c r="E166" t="n">
        <v>0</v>
      </c>
      <c r="G166">
        <f>IF(AND(A166&gt;=Inputs!$B$5,A166&lt;=Inputs!$B$6),1,0)</f>
        <v/>
      </c>
    </row>
    <row r="167">
      <c r="A167" t="inlineStr">
        <is>
          <t>2026-01</t>
        </is>
      </c>
      <c r="B167" t="inlineStr">
        <is>
          <t>HOSP-2</t>
        </is>
      </c>
      <c r="C167" t="inlineStr">
        <is>
          <t>SS-01166</t>
        </is>
      </c>
      <c r="D167" t="n">
        <v>0</v>
      </c>
      <c r="E167" t="n">
        <v>0</v>
      </c>
      <c r="G167">
        <f>IF(AND(A167&gt;=Inputs!$B$5,A167&lt;=Inputs!$B$6),1,0)</f>
        <v/>
      </c>
    </row>
    <row r="168">
      <c r="A168" t="inlineStr">
        <is>
          <t>2026-01</t>
        </is>
      </c>
      <c r="B168" t="inlineStr">
        <is>
          <t>HOSP-3</t>
        </is>
      </c>
      <c r="C168" t="inlineStr">
        <is>
          <t>SS-01167</t>
        </is>
      </c>
      <c r="D168" t="n">
        <v>48</v>
      </c>
      <c r="E168" t="n">
        <v>0</v>
      </c>
      <c r="G168">
        <f>IF(AND(A168&gt;=Inputs!$B$5,A168&lt;=Inputs!$B$6),1,0)</f>
        <v/>
      </c>
    </row>
    <row r="169">
      <c r="A169" t="inlineStr">
        <is>
          <t>2026-01</t>
        </is>
      </c>
      <c r="B169" t="inlineStr">
        <is>
          <t>HOSP-4</t>
        </is>
      </c>
      <c r="C169" t="inlineStr">
        <is>
          <t>SS-01168</t>
        </is>
      </c>
      <c r="D169" t="n">
        <v>12</v>
      </c>
      <c r="E169" t="n">
        <v>0</v>
      </c>
      <c r="G169">
        <f>IF(AND(A169&gt;=Inputs!$B$5,A169&lt;=Inputs!$B$6),1,0)</f>
        <v/>
      </c>
    </row>
    <row r="170">
      <c r="A170" t="inlineStr">
        <is>
          <t>2026-01</t>
        </is>
      </c>
      <c r="B170" t="inlineStr">
        <is>
          <t>HOSP-1</t>
        </is>
      </c>
      <c r="C170" t="inlineStr">
        <is>
          <t>SS-01169</t>
        </is>
      </c>
      <c r="D170" t="n">
        <v>24</v>
      </c>
      <c r="E170" t="n">
        <v>0</v>
      </c>
      <c r="G170">
        <f>IF(AND(A170&gt;=Inputs!$B$5,A170&lt;=Inputs!$B$6),1,0)</f>
        <v/>
      </c>
    </row>
    <row r="171">
      <c r="A171" t="inlineStr">
        <is>
          <t>2026-01</t>
        </is>
      </c>
      <c r="B171" t="inlineStr">
        <is>
          <t>HOSP-2</t>
        </is>
      </c>
      <c r="C171" t="inlineStr">
        <is>
          <t>SS-01170</t>
        </is>
      </c>
      <c r="D171" t="n">
        <v>36</v>
      </c>
      <c r="E171" t="n">
        <v>0</v>
      </c>
      <c r="G171">
        <f>IF(AND(A171&gt;=Inputs!$B$5,A171&lt;=Inputs!$B$6),1,0)</f>
        <v/>
      </c>
    </row>
    <row r="172">
      <c r="A172" t="inlineStr">
        <is>
          <t>2026-01</t>
        </is>
      </c>
      <c r="B172" t="inlineStr">
        <is>
          <t>HOSP-3</t>
        </is>
      </c>
      <c r="C172" t="inlineStr">
        <is>
          <t>SS-01171</t>
        </is>
      </c>
      <c r="D172" t="n">
        <v>12</v>
      </c>
      <c r="E172" t="n">
        <v>0</v>
      </c>
      <c r="G172">
        <f>IF(AND(A172&gt;=Inputs!$B$5,A172&lt;=Inputs!$B$6),1,0)</f>
        <v/>
      </c>
    </row>
    <row r="173">
      <c r="A173" t="inlineStr">
        <is>
          <t>2026-01</t>
        </is>
      </c>
      <c r="B173" t="inlineStr">
        <is>
          <t>HOSP-4</t>
        </is>
      </c>
      <c r="C173" t="inlineStr">
        <is>
          <t>SS-01172</t>
        </is>
      </c>
      <c r="D173" t="n">
        <v>0</v>
      </c>
      <c r="E173" t="n">
        <v>0</v>
      </c>
      <c r="G173">
        <f>IF(AND(A173&gt;=Inputs!$B$5,A173&lt;=Inputs!$B$6),1,0)</f>
        <v/>
      </c>
    </row>
    <row r="174">
      <c r="A174" t="inlineStr">
        <is>
          <t>2026-01</t>
        </is>
      </c>
      <c r="B174" t="inlineStr">
        <is>
          <t>HOSP-1</t>
        </is>
      </c>
      <c r="C174" t="inlineStr">
        <is>
          <t>SS-01173</t>
        </is>
      </c>
      <c r="D174" t="n">
        <v>48</v>
      </c>
      <c r="E174" t="n">
        <v>0</v>
      </c>
      <c r="G174">
        <f>IF(AND(A174&gt;=Inputs!$B$5,A174&lt;=Inputs!$B$6),1,0)</f>
        <v/>
      </c>
    </row>
    <row r="175">
      <c r="A175" t="inlineStr">
        <is>
          <t>2026-01</t>
        </is>
      </c>
      <c r="B175" t="inlineStr">
        <is>
          <t>HOSP-2</t>
        </is>
      </c>
      <c r="C175" t="inlineStr">
        <is>
          <t>SS-01174</t>
        </is>
      </c>
      <c r="D175" t="n">
        <v>36</v>
      </c>
      <c r="E175" t="n">
        <v>0</v>
      </c>
      <c r="F175" t="inlineStr">
        <is>
          <t>surge</t>
        </is>
      </c>
      <c r="G175">
        <f>IF(AND(A175&gt;=Inputs!$B$5,A175&lt;=Inputs!$B$6),1,0)</f>
        <v/>
      </c>
    </row>
    <row r="176">
      <c r="A176" t="inlineStr">
        <is>
          <t>2026-01</t>
        </is>
      </c>
      <c r="B176" t="inlineStr">
        <is>
          <t>HOSP-3</t>
        </is>
      </c>
      <c r="C176" t="inlineStr">
        <is>
          <t>SS-01175</t>
        </is>
      </c>
      <c r="D176" t="n">
        <v>0</v>
      </c>
      <c r="E176" t="n">
        <v>0</v>
      </c>
      <c r="G176">
        <f>IF(AND(A176&gt;=Inputs!$B$5,A176&lt;=Inputs!$B$6),1,0)</f>
        <v/>
      </c>
    </row>
    <row r="177">
      <c r="A177" t="inlineStr">
        <is>
          <t>2026-01</t>
        </is>
      </c>
      <c r="B177" t="inlineStr">
        <is>
          <t>HOSP-4</t>
        </is>
      </c>
      <c r="C177" t="inlineStr">
        <is>
          <t>SS-01176</t>
        </is>
      </c>
      <c r="D177" t="n">
        <v>48</v>
      </c>
      <c r="E177" t="n">
        <v>0</v>
      </c>
      <c r="G177">
        <f>IF(AND(A177&gt;=Inputs!$B$5,A177&lt;=Inputs!$B$6),1,0)</f>
        <v/>
      </c>
    </row>
    <row r="178">
      <c r="A178" t="inlineStr">
        <is>
          <t>2026-01</t>
        </is>
      </c>
      <c r="B178" t="inlineStr">
        <is>
          <t>HOSP-1</t>
        </is>
      </c>
      <c r="C178" t="inlineStr">
        <is>
          <t>SS-01177</t>
        </is>
      </c>
      <c r="D178" t="n">
        <v>24</v>
      </c>
      <c r="E178" t="n">
        <v>0</v>
      </c>
      <c r="G178">
        <f>IF(AND(A178&gt;=Inputs!$B$5,A178&lt;=Inputs!$B$6),1,0)</f>
        <v/>
      </c>
    </row>
    <row r="179">
      <c r="A179" t="inlineStr">
        <is>
          <t>2026-01</t>
        </is>
      </c>
      <c r="B179" t="inlineStr">
        <is>
          <t>HOSP-2</t>
        </is>
      </c>
      <c r="C179" t="inlineStr">
        <is>
          <t>SS-01178</t>
        </is>
      </c>
      <c r="D179" t="n">
        <v>0</v>
      </c>
      <c r="E179" t="n">
        <v>0</v>
      </c>
      <c r="G179">
        <f>IF(AND(A179&gt;=Inputs!$B$5,A179&lt;=Inputs!$B$6),1,0)</f>
        <v/>
      </c>
    </row>
    <row r="180">
      <c r="A180" t="inlineStr">
        <is>
          <t>2026-01</t>
        </is>
      </c>
      <c r="B180" t="inlineStr">
        <is>
          <t>HOSP-3</t>
        </is>
      </c>
      <c r="C180" t="inlineStr">
        <is>
          <t>SS-01179</t>
        </is>
      </c>
      <c r="D180" t="n">
        <v>144</v>
      </c>
      <c r="E180" t="n">
        <v>0</v>
      </c>
      <c r="G180">
        <f>IF(AND(A180&gt;=Inputs!$B$5,A180&lt;=Inputs!$B$6),1,0)</f>
        <v/>
      </c>
    </row>
    <row r="181">
      <c r="A181" t="inlineStr">
        <is>
          <t>2026-01</t>
        </is>
      </c>
      <c r="B181" t="inlineStr">
        <is>
          <t>HOSP-4</t>
        </is>
      </c>
      <c r="C181" t="inlineStr">
        <is>
          <t>SS-01180</t>
        </is>
      </c>
      <c r="D181" t="n">
        <v>0</v>
      </c>
      <c r="E181" t="n">
        <v>0</v>
      </c>
      <c r="G181">
        <f>IF(AND(A181&gt;=Inputs!$B$5,A181&lt;=Inputs!$B$6),1,0)</f>
        <v/>
      </c>
    </row>
    <row r="182">
      <c r="A182" t="inlineStr">
        <is>
          <t>2026-01</t>
        </is>
      </c>
      <c r="B182" t="inlineStr">
        <is>
          <t>HOSP-1</t>
        </is>
      </c>
      <c r="C182" t="inlineStr">
        <is>
          <t>SS-01181</t>
        </is>
      </c>
      <c r="D182" t="n">
        <v>0</v>
      </c>
      <c r="E182" t="n">
        <v>1</v>
      </c>
      <c r="G182">
        <f>IF(AND(A182&gt;=Inputs!$B$5,A182&lt;=Inputs!$B$6),1,0)</f>
        <v/>
      </c>
    </row>
    <row r="183">
      <c r="A183" t="inlineStr">
        <is>
          <t>2026-01</t>
        </is>
      </c>
      <c r="B183" t="inlineStr">
        <is>
          <t>HOSP-2</t>
        </is>
      </c>
      <c r="C183" t="inlineStr">
        <is>
          <t>SS-01182</t>
        </is>
      </c>
      <c r="D183" t="n">
        <v>0</v>
      </c>
      <c r="E183" t="n">
        <v>0</v>
      </c>
      <c r="G183">
        <f>IF(AND(A183&gt;=Inputs!$B$5,A183&lt;=Inputs!$B$6),1,0)</f>
        <v/>
      </c>
    </row>
    <row r="184">
      <c r="A184" t="inlineStr">
        <is>
          <t>2026-01</t>
        </is>
      </c>
      <c r="B184" t="inlineStr">
        <is>
          <t>HOSP-3</t>
        </is>
      </c>
      <c r="C184" t="inlineStr">
        <is>
          <t>SS-01183</t>
        </is>
      </c>
      <c r="D184" t="n">
        <v>12</v>
      </c>
      <c r="E184" t="n">
        <v>0</v>
      </c>
      <c r="G184">
        <f>IF(AND(A184&gt;=Inputs!$B$5,A184&lt;=Inputs!$B$6),1,0)</f>
        <v/>
      </c>
    </row>
    <row r="185">
      <c r="A185" t="inlineStr">
        <is>
          <t>2026-01</t>
        </is>
      </c>
      <c r="B185" t="inlineStr">
        <is>
          <t>HOSP-4</t>
        </is>
      </c>
      <c r="C185" t="inlineStr">
        <is>
          <t>SS-01184</t>
        </is>
      </c>
      <c r="D185" t="n">
        <v>60</v>
      </c>
      <c r="E185" t="n">
        <v>0</v>
      </c>
      <c r="G185">
        <f>IF(AND(A185&gt;=Inputs!$B$5,A185&lt;=Inputs!$B$6),1,0)</f>
        <v/>
      </c>
    </row>
    <row r="186">
      <c r="A186" t="inlineStr">
        <is>
          <t>2026-01</t>
        </is>
      </c>
      <c r="B186" t="inlineStr">
        <is>
          <t>HOSP-1</t>
        </is>
      </c>
      <c r="C186" t="inlineStr">
        <is>
          <t>SS-01185</t>
        </is>
      </c>
      <c r="D186" t="n">
        <v>2</v>
      </c>
      <c r="E186" t="n">
        <v>2</v>
      </c>
      <c r="G186">
        <f>IF(AND(A186&gt;=Inputs!$B$5,A186&lt;=Inputs!$B$6),1,0)</f>
        <v/>
      </c>
    </row>
    <row r="187">
      <c r="A187" t="inlineStr">
        <is>
          <t>2026-01</t>
        </is>
      </c>
      <c r="B187" t="inlineStr">
        <is>
          <t>HOSP-2</t>
        </is>
      </c>
      <c r="C187" t="inlineStr">
        <is>
          <t>SS-01186</t>
        </is>
      </c>
      <c r="D187" t="n">
        <v>0</v>
      </c>
      <c r="E187" t="n">
        <v>0</v>
      </c>
      <c r="G187">
        <f>IF(AND(A187&gt;=Inputs!$B$5,A187&lt;=Inputs!$B$6),1,0)</f>
        <v/>
      </c>
    </row>
    <row r="188">
      <c r="A188" t="inlineStr">
        <is>
          <t>2026-01</t>
        </is>
      </c>
      <c r="B188" t="inlineStr">
        <is>
          <t>HOSP-3</t>
        </is>
      </c>
      <c r="C188" t="inlineStr">
        <is>
          <t>SS-01187</t>
        </is>
      </c>
      <c r="D188" t="n">
        <v>36</v>
      </c>
      <c r="E188" t="n">
        <v>0</v>
      </c>
      <c r="G188">
        <f>IF(AND(A188&gt;=Inputs!$B$5,A188&lt;=Inputs!$B$6),1,0)</f>
        <v/>
      </c>
    </row>
    <row r="189">
      <c r="A189" t="inlineStr">
        <is>
          <t>2026-01</t>
        </is>
      </c>
      <c r="B189" t="inlineStr">
        <is>
          <t>HOSP-4</t>
        </is>
      </c>
      <c r="C189" t="inlineStr">
        <is>
          <t>SS-01188</t>
        </is>
      </c>
      <c r="D189" t="n">
        <v>12</v>
      </c>
      <c r="E189" t="n">
        <v>0</v>
      </c>
      <c r="G189">
        <f>IF(AND(A189&gt;=Inputs!$B$5,A189&lt;=Inputs!$B$6),1,0)</f>
        <v/>
      </c>
    </row>
    <row r="190">
      <c r="A190" t="inlineStr">
        <is>
          <t>2026-01</t>
        </is>
      </c>
      <c r="B190" t="inlineStr">
        <is>
          <t>HOSP-1</t>
        </is>
      </c>
      <c r="C190" t="inlineStr">
        <is>
          <t>SS-01007</t>
        </is>
      </c>
      <c r="D190" t="n">
        <v>4</v>
      </c>
      <c r="E190" t="n">
        <v>5</v>
      </c>
      <c r="G190">
        <f>IF(AND(A190&gt;=Inputs!$B$5,A190&lt;=Inputs!$B$6),1,0)</f>
        <v/>
      </c>
    </row>
    <row r="191">
      <c r="A191" t="inlineStr">
        <is>
          <t>2026-01</t>
        </is>
      </c>
      <c r="B191" t="inlineStr">
        <is>
          <t>HOSP-2</t>
        </is>
      </c>
      <c r="C191" t="inlineStr">
        <is>
          <t>SS-01190</t>
        </is>
      </c>
      <c r="D191" t="n">
        <v>0</v>
      </c>
      <c r="E191" t="n">
        <v>0</v>
      </c>
      <c r="G191">
        <f>IF(AND(A191&gt;=Inputs!$B$5,A191&lt;=Inputs!$B$6),1,0)</f>
        <v/>
      </c>
    </row>
    <row r="192">
      <c r="A192" t="inlineStr">
        <is>
          <t>2026-01</t>
        </is>
      </c>
      <c r="B192" t="inlineStr">
        <is>
          <t>HOSP-3</t>
        </is>
      </c>
      <c r="C192" t="inlineStr">
        <is>
          <t>SS-01191</t>
        </is>
      </c>
      <c r="D192" t="n">
        <v>0</v>
      </c>
      <c r="E192" t="n">
        <v>0</v>
      </c>
      <c r="G192">
        <f>IF(AND(A192&gt;=Inputs!$B$5,A192&lt;=Inputs!$B$6),1,0)</f>
        <v/>
      </c>
    </row>
    <row r="193">
      <c r="A193" t="inlineStr">
        <is>
          <t>2026-01</t>
        </is>
      </c>
      <c r="B193" t="inlineStr">
        <is>
          <t>HOSP-4</t>
        </is>
      </c>
      <c r="C193" t="inlineStr">
        <is>
          <t>SS-01192</t>
        </is>
      </c>
      <c r="D193" t="n">
        <v>72</v>
      </c>
      <c r="E193" t="n">
        <v>0</v>
      </c>
      <c r="G193">
        <f>IF(AND(A193&gt;=Inputs!$B$5,A193&lt;=Inputs!$B$6),1,0)</f>
        <v/>
      </c>
    </row>
    <row r="194">
      <c r="A194" t="inlineStr">
        <is>
          <t>2026-01</t>
        </is>
      </c>
      <c r="B194" t="inlineStr">
        <is>
          <t>HOSP-1</t>
        </is>
      </c>
      <c r="C194" t="inlineStr">
        <is>
          <t>SS-01193</t>
        </is>
      </c>
      <c r="D194" t="n">
        <v>2</v>
      </c>
      <c r="E194" t="n">
        <v>1</v>
      </c>
      <c r="G194">
        <f>IF(AND(A194&gt;=Inputs!$B$5,A194&lt;=Inputs!$B$6),1,0)</f>
        <v/>
      </c>
    </row>
    <row r="195">
      <c r="A195" t="inlineStr">
        <is>
          <t>2026-01</t>
        </is>
      </c>
      <c r="B195" t="inlineStr">
        <is>
          <t>HOSP-2</t>
        </is>
      </c>
      <c r="C195" t="inlineStr">
        <is>
          <t>SS-01194</t>
        </is>
      </c>
      <c r="D195" t="n">
        <v>120</v>
      </c>
      <c r="E195" t="n">
        <v>0</v>
      </c>
      <c r="G195">
        <f>IF(AND(A195&gt;=Inputs!$B$5,A195&lt;=Inputs!$B$6),1,0)</f>
        <v/>
      </c>
    </row>
    <row r="196">
      <c r="A196" t="inlineStr">
        <is>
          <t>2026-01</t>
        </is>
      </c>
      <c r="B196" t="inlineStr">
        <is>
          <t>HOSP-3</t>
        </is>
      </c>
      <c r="C196" t="inlineStr">
        <is>
          <t>SS-01195</t>
        </is>
      </c>
      <c r="D196" t="n">
        <v>68</v>
      </c>
      <c r="E196" t="n">
        <v>0</v>
      </c>
      <c r="G196">
        <f>IF(AND(A196&gt;=Inputs!$B$5,A196&lt;=Inputs!$B$6),1,0)</f>
        <v/>
      </c>
    </row>
    <row r="197">
      <c r="A197" t="inlineStr">
        <is>
          <t>2026-01</t>
        </is>
      </c>
      <c r="B197" t="inlineStr">
        <is>
          <t>HOSP-4</t>
        </is>
      </c>
      <c r="C197" t="inlineStr">
        <is>
          <t>SS-01196</t>
        </is>
      </c>
      <c r="D197" t="n">
        <v>0</v>
      </c>
      <c r="E197" t="n">
        <v>0</v>
      </c>
      <c r="G197">
        <f>IF(AND(A197&gt;=Inputs!$B$5,A197&lt;=Inputs!$B$6),1,0)</f>
        <v/>
      </c>
    </row>
    <row r="198">
      <c r="A198" t="inlineStr">
        <is>
          <t>2026-01</t>
        </is>
      </c>
      <c r="B198" t="inlineStr">
        <is>
          <t>HOSP-1</t>
        </is>
      </c>
      <c r="C198" t="inlineStr">
        <is>
          <t>SS-01197</t>
        </is>
      </c>
      <c r="D198" t="n">
        <v>45</v>
      </c>
      <c r="E198" t="n">
        <v>0</v>
      </c>
      <c r="G198">
        <f>IF(AND(A198&gt;=Inputs!$B$5,A198&lt;=Inputs!$B$6),1,0)</f>
        <v/>
      </c>
    </row>
    <row r="199">
      <c r="A199" t="inlineStr">
        <is>
          <t>2026-01</t>
        </is>
      </c>
      <c r="B199" t="inlineStr">
        <is>
          <t>HOSP-2</t>
        </is>
      </c>
      <c r="C199" t="inlineStr">
        <is>
          <t>SS-01103</t>
        </is>
      </c>
      <c r="D199" t="n">
        <v>12</v>
      </c>
      <c r="E199" t="n">
        <v>0</v>
      </c>
      <c r="G199">
        <f>IF(AND(A199&gt;=Inputs!$B$5,A199&lt;=Inputs!$B$6),1,0)</f>
        <v/>
      </c>
    </row>
    <row r="200">
      <c r="A200" t="inlineStr">
        <is>
          <t>2026-01</t>
        </is>
      </c>
      <c r="B200" t="inlineStr">
        <is>
          <t>HOSP-3</t>
        </is>
      </c>
      <c r="C200" t="inlineStr">
        <is>
          <t>SS-01199</t>
        </is>
      </c>
      <c r="D200" t="n">
        <v>12</v>
      </c>
      <c r="E200" t="n">
        <v>0</v>
      </c>
      <c r="G200">
        <f>IF(AND(A200&gt;=Inputs!$B$5,A200&lt;=Inputs!$B$6),1,0)</f>
        <v/>
      </c>
    </row>
    <row r="201">
      <c r="A201" t="inlineStr">
        <is>
          <t>2026-01</t>
        </is>
      </c>
      <c r="B201" t="inlineStr">
        <is>
          <t>HOSP-4</t>
        </is>
      </c>
      <c r="C201" t="inlineStr">
        <is>
          <t>SS-01200</t>
        </is>
      </c>
      <c r="D201" t="n">
        <v>0</v>
      </c>
      <c r="E201" t="n">
        <v>0</v>
      </c>
      <c r="G201">
        <f>IF(AND(A201&gt;=Inputs!$B$5,A201&lt;=Inputs!$B$6),1,0)</f>
        <v/>
      </c>
    </row>
    <row r="202">
      <c r="A202" t="inlineStr">
        <is>
          <t>2026-01</t>
        </is>
      </c>
      <c r="B202" t="inlineStr">
        <is>
          <t>HOSP-1</t>
        </is>
      </c>
      <c r="C202" t="inlineStr">
        <is>
          <t>SS-01201</t>
        </is>
      </c>
      <c r="D202" t="n">
        <v>12</v>
      </c>
      <c r="E202" t="n">
        <v>0</v>
      </c>
      <c r="G202">
        <f>IF(AND(A202&gt;=Inputs!$B$5,A202&lt;=Inputs!$B$6),1,0)</f>
        <v/>
      </c>
    </row>
    <row r="203">
      <c r="A203" t="inlineStr">
        <is>
          <t>2026-01</t>
        </is>
      </c>
      <c r="B203" t="inlineStr">
        <is>
          <t>HOSP-2</t>
        </is>
      </c>
      <c r="C203" t="inlineStr">
        <is>
          <t>SS-01202</t>
        </is>
      </c>
      <c r="D203" t="n">
        <v>12</v>
      </c>
      <c r="E203" t="n">
        <v>0</v>
      </c>
      <c r="G203">
        <f>IF(AND(A203&gt;=Inputs!$B$5,A203&lt;=Inputs!$B$6),1,0)</f>
        <v/>
      </c>
    </row>
    <row r="204">
      <c r="A204" t="inlineStr">
        <is>
          <t>2026-01</t>
        </is>
      </c>
      <c r="B204" t="inlineStr">
        <is>
          <t>HOSP-3</t>
        </is>
      </c>
      <c r="C204" t="inlineStr">
        <is>
          <t>SS-01203</t>
        </is>
      </c>
      <c r="D204" t="n">
        <v>0</v>
      </c>
      <c r="E204" t="n">
        <v>0</v>
      </c>
      <c r="G204">
        <f>IF(AND(A204&gt;=Inputs!$B$5,A204&lt;=Inputs!$B$6),1,0)</f>
        <v/>
      </c>
    </row>
    <row r="205">
      <c r="A205" t="inlineStr">
        <is>
          <t>2026-01</t>
        </is>
      </c>
      <c r="B205" t="inlineStr">
        <is>
          <t>HOSP-4</t>
        </is>
      </c>
      <c r="C205" t="inlineStr">
        <is>
          <t>SS-01204</t>
        </is>
      </c>
      <c r="D205" t="n">
        <v>24</v>
      </c>
      <c r="E205" t="n">
        <v>0</v>
      </c>
      <c r="G205">
        <f>IF(AND(A205&gt;=Inputs!$B$5,A205&lt;=Inputs!$B$6),1,0)</f>
        <v/>
      </c>
    </row>
    <row r="206">
      <c r="A206" t="inlineStr">
        <is>
          <t>2026-01</t>
        </is>
      </c>
      <c r="B206" t="inlineStr">
        <is>
          <t>HOSP-1</t>
        </is>
      </c>
      <c r="C206" t="inlineStr">
        <is>
          <t>SS-01205</t>
        </is>
      </c>
      <c r="D206" t="n">
        <v>12</v>
      </c>
      <c r="E206" t="n">
        <v>0</v>
      </c>
      <c r="G206">
        <f>IF(AND(A206&gt;=Inputs!$B$5,A206&lt;=Inputs!$B$6),1,0)</f>
        <v/>
      </c>
    </row>
    <row r="207">
      <c r="A207" t="inlineStr">
        <is>
          <t>2026-01</t>
        </is>
      </c>
      <c r="B207" t="inlineStr">
        <is>
          <t>HOSP-2</t>
        </is>
      </c>
      <c r="C207" t="inlineStr">
        <is>
          <t>SS-01206</t>
        </is>
      </c>
      <c r="D207" t="n">
        <v>12</v>
      </c>
      <c r="E207" t="n">
        <v>0</v>
      </c>
      <c r="G207">
        <f>IF(AND(A207&gt;=Inputs!$B$5,A207&lt;=Inputs!$B$6),1,0)</f>
        <v/>
      </c>
    </row>
    <row r="208">
      <c r="A208" t="inlineStr">
        <is>
          <t>2026-01</t>
        </is>
      </c>
      <c r="B208" t="inlineStr">
        <is>
          <t>HOSP-3</t>
        </is>
      </c>
      <c r="C208" t="inlineStr">
        <is>
          <t>SS-01207</t>
        </is>
      </c>
      <c r="D208" t="n">
        <v>36</v>
      </c>
      <c r="E208" t="n">
        <v>0</v>
      </c>
      <c r="G208">
        <f>IF(AND(A208&gt;=Inputs!$B$5,A208&lt;=Inputs!$B$6),1,0)</f>
        <v/>
      </c>
    </row>
    <row r="209">
      <c r="A209" t="inlineStr">
        <is>
          <t>2026-01</t>
        </is>
      </c>
      <c r="B209" t="inlineStr">
        <is>
          <t>HOSP-4</t>
        </is>
      </c>
      <c r="C209" t="inlineStr">
        <is>
          <t>SS-01208</t>
        </is>
      </c>
      <c r="D209" t="n">
        <v>7</v>
      </c>
      <c r="E209" t="n">
        <v>0</v>
      </c>
      <c r="G209">
        <f>IF(AND(A209&gt;=Inputs!$B$5,A209&lt;=Inputs!$B$6),1,0)</f>
        <v/>
      </c>
    </row>
    <row r="210">
      <c r="A210" t="inlineStr">
        <is>
          <t>2026-01</t>
        </is>
      </c>
      <c r="B210" t="inlineStr">
        <is>
          <t>HOSP-1</t>
        </is>
      </c>
      <c r="C210" t="inlineStr">
        <is>
          <t>SS-01209</t>
        </is>
      </c>
      <c r="D210" t="n">
        <v>15</v>
      </c>
      <c r="E210" t="n">
        <v>2</v>
      </c>
      <c r="G210">
        <f>IF(AND(A210&gt;=Inputs!$B$5,A210&lt;=Inputs!$B$6),1,0)</f>
        <v/>
      </c>
    </row>
    <row r="211">
      <c r="A211" t="inlineStr">
        <is>
          <t>2026-01</t>
        </is>
      </c>
      <c r="B211" t="inlineStr">
        <is>
          <t>HOSP-2</t>
        </is>
      </c>
      <c r="C211" t="inlineStr">
        <is>
          <t>SS-01210</t>
        </is>
      </c>
      <c r="D211" t="n">
        <v>0</v>
      </c>
      <c r="E211" t="n">
        <v>1</v>
      </c>
      <c r="G211">
        <f>IF(AND(A211&gt;=Inputs!$B$5,A211&lt;=Inputs!$B$6),1,0)</f>
        <v/>
      </c>
    </row>
    <row r="212">
      <c r="A212" t="inlineStr">
        <is>
          <t>2026-01</t>
        </is>
      </c>
      <c r="B212" t="inlineStr">
        <is>
          <t>HOSP-3</t>
        </is>
      </c>
      <c r="C212" t="inlineStr">
        <is>
          <t>SS-01211</t>
        </is>
      </c>
      <c r="D212" t="n">
        <v>12</v>
      </c>
      <c r="E212" t="n">
        <v>0</v>
      </c>
      <c r="G212">
        <f>IF(AND(A212&gt;=Inputs!$B$5,A212&lt;=Inputs!$B$6),1,0)</f>
        <v/>
      </c>
    </row>
    <row r="213">
      <c r="A213" t="inlineStr">
        <is>
          <t>2026-01</t>
        </is>
      </c>
      <c r="B213" t="inlineStr">
        <is>
          <t>HOSP-4</t>
        </is>
      </c>
      <c r="C213" t="inlineStr">
        <is>
          <t>SS-01212</t>
        </is>
      </c>
      <c r="D213" t="n">
        <v>48</v>
      </c>
      <c r="E213" t="n">
        <v>0</v>
      </c>
      <c r="G213">
        <f>IF(AND(A213&gt;=Inputs!$B$5,A213&lt;=Inputs!$B$6),1,0)</f>
        <v/>
      </c>
    </row>
    <row r="214">
      <c r="A214" t="inlineStr">
        <is>
          <t>2026-01</t>
        </is>
      </c>
      <c r="B214" t="inlineStr">
        <is>
          <t>HOSP-1</t>
        </is>
      </c>
      <c r="C214" t="inlineStr">
        <is>
          <t>SS-01213</t>
        </is>
      </c>
      <c r="D214" t="n">
        <v>48</v>
      </c>
      <c r="E214" t="n">
        <v>0</v>
      </c>
      <c r="G214">
        <f>IF(AND(A214&gt;=Inputs!$B$5,A214&lt;=Inputs!$B$6),1,0)</f>
        <v/>
      </c>
    </row>
    <row r="215">
      <c r="A215" t="inlineStr">
        <is>
          <t>2026-01</t>
        </is>
      </c>
      <c r="B215" t="inlineStr">
        <is>
          <t>HOSP-2</t>
        </is>
      </c>
      <c r="C215" t="inlineStr">
        <is>
          <t>SS-01214</t>
        </is>
      </c>
      <c r="D215" t="n">
        <v>0</v>
      </c>
      <c r="E215" t="n">
        <v>0</v>
      </c>
      <c r="G215">
        <f>IF(AND(A215&gt;=Inputs!$B$5,A215&lt;=Inputs!$B$6),1,0)</f>
        <v/>
      </c>
    </row>
    <row r="216">
      <c r="A216" t="inlineStr">
        <is>
          <t>2026-01</t>
        </is>
      </c>
      <c r="B216" t="inlineStr">
        <is>
          <t>HOSP-3</t>
        </is>
      </c>
      <c r="C216" t="inlineStr">
        <is>
          <t>SS-01215</t>
        </is>
      </c>
      <c r="D216" t="n">
        <v>12</v>
      </c>
      <c r="E216" t="n">
        <v>0</v>
      </c>
      <c r="G216">
        <f>IF(AND(A216&gt;=Inputs!$B$5,A216&lt;=Inputs!$B$6),1,0)</f>
        <v/>
      </c>
    </row>
    <row r="217">
      <c r="A217" t="inlineStr">
        <is>
          <t>2026-01</t>
        </is>
      </c>
      <c r="B217" t="inlineStr">
        <is>
          <t>HOSP-4</t>
        </is>
      </c>
      <c r="C217" t="inlineStr">
        <is>
          <t>SS-01216</t>
        </is>
      </c>
      <c r="D217" t="n">
        <v>12</v>
      </c>
      <c r="E217" t="n">
        <v>0</v>
      </c>
      <c r="G217">
        <f>IF(AND(A217&gt;=Inputs!$B$5,A217&lt;=Inputs!$B$6),1,0)</f>
        <v/>
      </c>
    </row>
    <row r="218">
      <c r="A218" t="inlineStr">
        <is>
          <t>2026-01</t>
        </is>
      </c>
      <c r="B218" t="inlineStr">
        <is>
          <t>HOSP-1</t>
        </is>
      </c>
      <c r="C218" t="inlineStr">
        <is>
          <t>SS-01217</t>
        </is>
      </c>
      <c r="D218" t="n">
        <v>48</v>
      </c>
      <c r="E218" t="n">
        <v>0</v>
      </c>
      <c r="G218">
        <f>IF(AND(A218&gt;=Inputs!$B$5,A218&lt;=Inputs!$B$6),1,0)</f>
        <v/>
      </c>
    </row>
    <row r="219">
      <c r="A219" t="inlineStr">
        <is>
          <t>2026-01</t>
        </is>
      </c>
      <c r="B219" t="inlineStr">
        <is>
          <t>HOSP-2</t>
        </is>
      </c>
      <c r="C219" t="inlineStr">
        <is>
          <t>SS-01218</t>
        </is>
      </c>
      <c r="D219" t="n">
        <v>24</v>
      </c>
      <c r="E219" t="n">
        <v>0</v>
      </c>
      <c r="G219">
        <f>IF(AND(A219&gt;=Inputs!$B$5,A219&lt;=Inputs!$B$6),1,0)</f>
        <v/>
      </c>
    </row>
    <row r="220">
      <c r="A220" t="inlineStr">
        <is>
          <t>2026-01</t>
        </is>
      </c>
      <c r="B220" t="inlineStr">
        <is>
          <t>HOSP-3</t>
        </is>
      </c>
      <c r="C220" t="inlineStr">
        <is>
          <t>SS-01219</t>
        </is>
      </c>
      <c r="D220" t="n">
        <v>5</v>
      </c>
      <c r="E220" t="n">
        <v>2</v>
      </c>
      <c r="G220">
        <f>IF(AND(A220&gt;=Inputs!$B$5,A220&lt;=Inputs!$B$6),1,0)</f>
        <v/>
      </c>
    </row>
    <row r="221">
      <c r="A221" t="inlineStr">
        <is>
          <t>2026-01</t>
        </is>
      </c>
      <c r="B221" t="inlineStr">
        <is>
          <t>HOSP-4</t>
        </is>
      </c>
      <c r="C221" t="inlineStr">
        <is>
          <t>SS-01220</t>
        </is>
      </c>
      <c r="D221" t="n">
        <v>0</v>
      </c>
      <c r="E221" t="n">
        <v>0</v>
      </c>
      <c r="G221">
        <f>IF(AND(A221&gt;=Inputs!$B$5,A221&lt;=Inputs!$B$6),1,0)</f>
        <v/>
      </c>
    </row>
    <row r="222">
      <c r="A222" t="inlineStr">
        <is>
          <t>2026-01</t>
        </is>
      </c>
      <c r="B222" t="inlineStr">
        <is>
          <t>HOSP-1</t>
        </is>
      </c>
      <c r="C222" t="inlineStr">
        <is>
          <t>SS-01221</t>
        </is>
      </c>
      <c r="D222" t="n">
        <v>36</v>
      </c>
      <c r="E222" t="n">
        <v>0</v>
      </c>
      <c r="G222">
        <f>IF(AND(A222&gt;=Inputs!$B$5,A222&lt;=Inputs!$B$6),1,0)</f>
        <v/>
      </c>
    </row>
    <row r="223">
      <c r="A223" t="inlineStr">
        <is>
          <t>2026-01</t>
        </is>
      </c>
      <c r="B223" t="inlineStr">
        <is>
          <t>HOSP-2</t>
        </is>
      </c>
      <c r="C223" t="inlineStr">
        <is>
          <t>SS-01222</t>
        </is>
      </c>
      <c r="D223" t="n">
        <v>1</v>
      </c>
      <c r="E223" t="n">
        <v>3</v>
      </c>
      <c r="G223">
        <f>IF(AND(A223&gt;=Inputs!$B$5,A223&lt;=Inputs!$B$6),1,0)</f>
        <v/>
      </c>
    </row>
    <row r="224">
      <c r="A224" t="inlineStr">
        <is>
          <t>2026-01</t>
        </is>
      </c>
      <c r="B224" t="inlineStr">
        <is>
          <t>HOSP-3</t>
        </is>
      </c>
      <c r="C224" t="inlineStr">
        <is>
          <t>SS-01223</t>
        </is>
      </c>
      <c r="D224" t="n">
        <v>36</v>
      </c>
      <c r="E224" t="n">
        <v>0</v>
      </c>
      <c r="G224">
        <f>IF(AND(A224&gt;=Inputs!$B$5,A224&lt;=Inputs!$B$6),1,0)</f>
        <v/>
      </c>
    </row>
    <row r="225">
      <c r="A225" t="inlineStr">
        <is>
          <t>2026-01</t>
        </is>
      </c>
      <c r="B225" t="inlineStr">
        <is>
          <t>HOSP-4</t>
        </is>
      </c>
      <c r="C225" t="inlineStr">
        <is>
          <t>SS-01224</t>
        </is>
      </c>
      <c r="D225" t="n">
        <v>48</v>
      </c>
      <c r="E225" t="n">
        <v>0</v>
      </c>
      <c r="G225">
        <f>IF(AND(A225&gt;=Inputs!$B$5,A225&lt;=Inputs!$B$6),1,0)</f>
        <v/>
      </c>
    </row>
    <row r="226">
      <c r="A226" t="inlineStr">
        <is>
          <t>2026-01</t>
        </is>
      </c>
      <c r="B226" t="inlineStr">
        <is>
          <t>HOSP-1</t>
        </is>
      </c>
      <c r="C226" t="inlineStr">
        <is>
          <t>SS-01225</t>
        </is>
      </c>
      <c r="D226" t="n">
        <v>72</v>
      </c>
      <c r="E226" t="n">
        <v>0</v>
      </c>
      <c r="G226">
        <f>IF(AND(A226&gt;=Inputs!$B$5,A226&lt;=Inputs!$B$6),1,0)</f>
        <v/>
      </c>
    </row>
    <row r="227">
      <c r="A227" t="inlineStr">
        <is>
          <t>2026-01</t>
        </is>
      </c>
      <c r="B227" t="inlineStr">
        <is>
          <t>HOSP-2</t>
        </is>
      </c>
      <c r="C227" t="inlineStr">
        <is>
          <t>SS-01226</t>
        </is>
      </c>
      <c r="D227" t="n">
        <v>101</v>
      </c>
      <c r="E227" t="n">
        <v>0</v>
      </c>
      <c r="G227">
        <f>IF(AND(A227&gt;=Inputs!$B$5,A227&lt;=Inputs!$B$6),1,0)</f>
        <v/>
      </c>
    </row>
    <row r="228">
      <c r="A228" t="inlineStr">
        <is>
          <t>2026-01</t>
        </is>
      </c>
      <c r="B228" t="inlineStr">
        <is>
          <t>HOSP-3</t>
        </is>
      </c>
      <c r="C228" t="inlineStr">
        <is>
          <t>SS-01227</t>
        </is>
      </c>
      <c r="D228" t="n">
        <v>96</v>
      </c>
      <c r="E228" t="n">
        <v>0</v>
      </c>
      <c r="G228">
        <f>IF(AND(A228&gt;=Inputs!$B$5,A228&lt;=Inputs!$B$6),1,0)</f>
        <v/>
      </c>
    </row>
    <row r="229">
      <c r="A229" t="inlineStr">
        <is>
          <t>2026-01</t>
        </is>
      </c>
      <c r="B229" t="inlineStr">
        <is>
          <t>HOSP-4</t>
        </is>
      </c>
      <c r="C229" t="inlineStr">
        <is>
          <t>SS-01228</t>
        </is>
      </c>
      <c r="D229" t="n">
        <v>0</v>
      </c>
      <c r="E229" t="n">
        <v>0</v>
      </c>
      <c r="G229">
        <f>IF(AND(A229&gt;=Inputs!$B$5,A229&lt;=Inputs!$B$6),1,0)</f>
        <v/>
      </c>
    </row>
    <row r="230">
      <c r="A230" t="inlineStr">
        <is>
          <t>2026-01</t>
        </is>
      </c>
      <c r="B230" t="inlineStr">
        <is>
          <t>HOSP-1</t>
        </is>
      </c>
      <c r="C230" t="inlineStr">
        <is>
          <t>SS-01229</t>
        </is>
      </c>
      <c r="D230" t="n">
        <v>12</v>
      </c>
      <c r="E230" t="n">
        <v>0</v>
      </c>
      <c r="G230">
        <f>IF(AND(A230&gt;=Inputs!$B$5,A230&lt;=Inputs!$B$6),1,0)</f>
        <v/>
      </c>
    </row>
    <row r="231">
      <c r="A231" t="inlineStr">
        <is>
          <t>2026-01</t>
        </is>
      </c>
      <c r="B231" t="inlineStr">
        <is>
          <t>HOSP-2</t>
        </is>
      </c>
      <c r="C231" t="inlineStr">
        <is>
          <t>SS-01230</t>
        </is>
      </c>
      <c r="D231" t="n">
        <v>0</v>
      </c>
      <c r="E231" t="n">
        <v>0</v>
      </c>
      <c r="G231">
        <f>IF(AND(A231&gt;=Inputs!$B$5,A231&lt;=Inputs!$B$6),1,0)</f>
        <v/>
      </c>
    </row>
    <row r="232">
      <c r="A232" t="inlineStr">
        <is>
          <t>2026-01</t>
        </is>
      </c>
      <c r="B232" t="inlineStr">
        <is>
          <t>HOSP-3</t>
        </is>
      </c>
      <c r="C232" t="inlineStr">
        <is>
          <t>SS-01231</t>
        </is>
      </c>
      <c r="D232" t="n">
        <v>48</v>
      </c>
      <c r="E232" t="n">
        <v>0</v>
      </c>
      <c r="G232">
        <f>IF(AND(A232&gt;=Inputs!$B$5,A232&lt;=Inputs!$B$6),1,0)</f>
        <v/>
      </c>
    </row>
    <row r="233">
      <c r="A233" t="inlineStr">
        <is>
          <t>2026-01</t>
        </is>
      </c>
      <c r="B233" t="inlineStr">
        <is>
          <t>HOSP-4</t>
        </is>
      </c>
      <c r="C233" t="inlineStr">
        <is>
          <t>SS-01232</t>
        </is>
      </c>
      <c r="D233" t="n">
        <v>47</v>
      </c>
      <c r="E233" t="n">
        <v>0</v>
      </c>
      <c r="G233">
        <f>IF(AND(A233&gt;=Inputs!$B$5,A233&lt;=Inputs!$B$6),1,0)</f>
        <v/>
      </c>
    </row>
    <row r="234">
      <c r="A234" t="inlineStr">
        <is>
          <t>2026-01</t>
        </is>
      </c>
      <c r="B234" t="inlineStr">
        <is>
          <t>HOSP-1</t>
        </is>
      </c>
      <c r="C234" t="inlineStr">
        <is>
          <t>SS-01233</t>
        </is>
      </c>
      <c r="D234" t="n">
        <v>0</v>
      </c>
      <c r="E234" t="n">
        <v>0</v>
      </c>
      <c r="G234">
        <f>IF(AND(A234&gt;=Inputs!$B$5,A234&lt;=Inputs!$B$6),1,0)</f>
        <v/>
      </c>
    </row>
    <row r="235">
      <c r="A235" t="inlineStr">
        <is>
          <t>2026-01</t>
        </is>
      </c>
      <c r="B235" t="inlineStr">
        <is>
          <t>HOSP-2</t>
        </is>
      </c>
      <c r="C235" t="inlineStr">
        <is>
          <t>SS-01001</t>
        </is>
      </c>
      <c r="D235" t="n">
        <v>12</v>
      </c>
      <c r="E235" t="n">
        <v>0</v>
      </c>
      <c r="G235">
        <f>IF(AND(A235&gt;=Inputs!$B$5,A235&lt;=Inputs!$B$6),1,0)</f>
        <v/>
      </c>
    </row>
    <row r="236">
      <c r="A236" t="inlineStr">
        <is>
          <t>2026-01</t>
        </is>
      </c>
      <c r="B236" t="inlineStr">
        <is>
          <t>HOSP-3</t>
        </is>
      </c>
      <c r="C236" t="inlineStr">
        <is>
          <t>SS-01002</t>
        </is>
      </c>
      <c r="D236" t="n">
        <v>24</v>
      </c>
      <c r="E236" t="n">
        <v>0</v>
      </c>
      <c r="G236">
        <f>IF(AND(A236&gt;=Inputs!$B$5,A236&lt;=Inputs!$B$6),1,0)</f>
        <v/>
      </c>
    </row>
    <row r="237">
      <c r="A237" t="inlineStr">
        <is>
          <t>2026-01</t>
        </is>
      </c>
      <c r="B237" t="inlineStr">
        <is>
          <t>HOSP-4</t>
        </is>
      </c>
      <c r="C237" t="inlineStr">
        <is>
          <t>SS-01003</t>
        </is>
      </c>
      <c r="D237" t="n">
        <v>264</v>
      </c>
      <c r="E237" t="n">
        <v>0</v>
      </c>
      <c r="G237">
        <f>IF(AND(A237&gt;=Inputs!$B$5,A237&lt;=Inputs!$B$6),1,0)</f>
        <v/>
      </c>
    </row>
    <row r="238">
      <c r="A238" t="inlineStr">
        <is>
          <t>2026-01</t>
        </is>
      </c>
      <c r="B238" t="inlineStr">
        <is>
          <t>HOSP-1</t>
        </is>
      </c>
      <c r="C238" t="inlineStr">
        <is>
          <t>SS-01163</t>
        </is>
      </c>
      <c r="D238" t="n">
        <v>45</v>
      </c>
      <c r="E238" t="n">
        <v>0</v>
      </c>
      <c r="G238">
        <f>IF(AND(A238&gt;=Inputs!$B$5,A238&lt;=Inputs!$B$6),1,0)</f>
        <v/>
      </c>
    </row>
    <row r="239">
      <c r="A239" t="inlineStr">
        <is>
          <t>2026-01</t>
        </is>
      </c>
      <c r="B239" t="inlineStr">
        <is>
          <t>HOSP-2</t>
        </is>
      </c>
      <c r="C239" t="inlineStr">
        <is>
          <t>SS-01005</t>
        </is>
      </c>
      <c r="D239" t="n">
        <v>12</v>
      </c>
      <c r="E239" t="n">
        <v>0</v>
      </c>
      <c r="G239">
        <f>IF(AND(A239&gt;=Inputs!$B$5,A239&lt;=Inputs!$B$6),1,0)</f>
        <v/>
      </c>
    </row>
    <row r="240">
      <c r="A240" t="inlineStr">
        <is>
          <t>2026-01</t>
        </is>
      </c>
      <c r="B240" t="inlineStr">
        <is>
          <t>HOSP-3</t>
        </is>
      </c>
      <c r="C240" t="inlineStr">
        <is>
          <t>SS-01006</t>
        </is>
      </c>
      <c r="D240" t="n">
        <v>108</v>
      </c>
      <c r="E240" t="n">
        <v>0</v>
      </c>
      <c r="G240">
        <f>IF(AND(A240&gt;=Inputs!$B$5,A240&lt;=Inputs!$B$6),1,0)</f>
        <v/>
      </c>
    </row>
    <row r="241">
      <c r="A241" t="inlineStr">
        <is>
          <t>2026-01</t>
        </is>
      </c>
      <c r="B241" t="inlineStr">
        <is>
          <t>HOSP-4</t>
        </is>
      </c>
      <c r="C241" t="inlineStr">
        <is>
          <t>SS-01007</t>
        </is>
      </c>
      <c r="D241" t="n">
        <v>0</v>
      </c>
      <c r="E241" t="n">
        <v>0</v>
      </c>
      <c r="G241">
        <f>IF(AND(A241&gt;=Inputs!$B$5,A241&lt;=Inputs!$B$6),1,0)</f>
        <v/>
      </c>
    </row>
    <row r="242">
      <c r="A242" t="inlineStr">
        <is>
          <t>2026-01</t>
        </is>
      </c>
      <c r="B242" t="inlineStr">
        <is>
          <t>HOSP-1</t>
        </is>
      </c>
      <c r="C242" t="inlineStr">
        <is>
          <t>SS-01008</t>
        </is>
      </c>
      <c r="D242" t="n">
        <v>84</v>
      </c>
      <c r="E242" t="n">
        <v>0</v>
      </c>
      <c r="G242">
        <f>IF(AND(A242&gt;=Inputs!$B$5,A242&lt;=Inputs!$B$6),1,0)</f>
        <v/>
      </c>
    </row>
    <row r="243">
      <c r="A243" t="inlineStr">
        <is>
          <t>2026-01</t>
        </is>
      </c>
      <c r="B243" t="inlineStr">
        <is>
          <t>HOSP-2</t>
        </is>
      </c>
      <c r="C243" t="inlineStr">
        <is>
          <t>SS-01009</t>
        </is>
      </c>
      <c r="D243" t="n">
        <v>12</v>
      </c>
      <c r="E243" t="n">
        <v>0</v>
      </c>
      <c r="G243">
        <f>IF(AND(A243&gt;=Inputs!$B$5,A243&lt;=Inputs!$B$6),1,0)</f>
        <v/>
      </c>
    </row>
    <row r="244">
      <c r="A244" t="inlineStr">
        <is>
          <t>2026-01</t>
        </is>
      </c>
      <c r="B244" t="inlineStr">
        <is>
          <t>HOSP-3</t>
        </is>
      </c>
      <c r="C244" t="inlineStr">
        <is>
          <t>SS-01010</t>
        </is>
      </c>
      <c r="D244" t="n">
        <v>120</v>
      </c>
      <c r="E244" t="n">
        <v>0</v>
      </c>
      <c r="G244">
        <f>IF(AND(A244&gt;=Inputs!$B$5,A244&lt;=Inputs!$B$6),1,0)</f>
        <v/>
      </c>
    </row>
    <row r="245">
      <c r="A245" t="inlineStr">
        <is>
          <t>2026-01</t>
        </is>
      </c>
      <c r="B245" t="inlineStr">
        <is>
          <t>HOSP-4</t>
        </is>
      </c>
      <c r="C245" t="inlineStr">
        <is>
          <t>SS-01011</t>
        </is>
      </c>
      <c r="D245" t="n">
        <v>54</v>
      </c>
      <c r="E245" t="n">
        <v>0</v>
      </c>
      <c r="G245">
        <f>IF(AND(A245&gt;=Inputs!$B$5,A245&lt;=Inputs!$B$6),1,0)</f>
        <v/>
      </c>
    </row>
    <row r="246">
      <c r="A246" t="inlineStr">
        <is>
          <t>2026-01</t>
        </is>
      </c>
      <c r="B246" t="inlineStr">
        <is>
          <t>HOSP-1</t>
        </is>
      </c>
      <c r="C246" t="inlineStr">
        <is>
          <t>SS-01012</t>
        </is>
      </c>
      <c r="D246" t="n">
        <v>12</v>
      </c>
      <c r="E246" t="n">
        <v>0</v>
      </c>
      <c r="G246">
        <f>IF(AND(A246&gt;=Inputs!$B$5,A246&lt;=Inputs!$B$6),1,0)</f>
        <v/>
      </c>
    </row>
    <row r="247">
      <c r="A247" t="inlineStr">
        <is>
          <t>2026-01</t>
        </is>
      </c>
      <c r="B247" t="inlineStr">
        <is>
          <t>HOSP-2</t>
        </is>
      </c>
      <c r="C247" t="inlineStr">
        <is>
          <t>SS-01033</t>
        </is>
      </c>
      <c r="D247" t="n">
        <v>0</v>
      </c>
      <c r="E247" t="n">
        <v>0</v>
      </c>
      <c r="G247">
        <f>IF(AND(A247&gt;=Inputs!$B$5,A247&lt;=Inputs!$B$6),1,0)</f>
        <v/>
      </c>
    </row>
    <row r="248">
      <c r="A248" t="inlineStr">
        <is>
          <t>2026-01</t>
        </is>
      </c>
      <c r="B248" t="inlineStr">
        <is>
          <t>HOSP-3</t>
        </is>
      </c>
      <c r="C248" t="inlineStr">
        <is>
          <t>SS-01064</t>
        </is>
      </c>
      <c r="D248" t="n">
        <v>14</v>
      </c>
      <c r="E248" t="n">
        <v>2</v>
      </c>
      <c r="G248">
        <f>IF(AND(A248&gt;=Inputs!$B$5,A248&lt;=Inputs!$B$6),1,0)</f>
        <v/>
      </c>
    </row>
    <row r="249">
      <c r="A249" t="inlineStr">
        <is>
          <t>2026-01</t>
        </is>
      </c>
      <c r="B249" t="inlineStr">
        <is>
          <t>HOSP-4</t>
        </is>
      </c>
      <c r="C249" t="inlineStr">
        <is>
          <t>SS-01015</t>
        </is>
      </c>
      <c r="D249" t="n">
        <v>11</v>
      </c>
      <c r="E249" t="n">
        <v>1</v>
      </c>
      <c r="G249">
        <f>IF(AND(A249&gt;=Inputs!$B$5,A249&lt;=Inputs!$B$6),1,0)</f>
        <v/>
      </c>
    </row>
    <row r="250">
      <c r="A250" t="inlineStr">
        <is>
          <t>2026-01</t>
        </is>
      </c>
      <c r="B250" t="inlineStr">
        <is>
          <t>HOSP-1</t>
        </is>
      </c>
      <c r="C250" t="inlineStr">
        <is>
          <t>SS-01016</t>
        </is>
      </c>
      <c r="D250" t="n">
        <v>1</v>
      </c>
      <c r="E250" t="n">
        <v>4</v>
      </c>
      <c r="G250">
        <f>IF(AND(A250&gt;=Inputs!$B$5,A250&lt;=Inputs!$B$6),1,0)</f>
        <v/>
      </c>
    </row>
    <row r="251">
      <c r="A251" t="inlineStr">
        <is>
          <t>2026-01</t>
        </is>
      </c>
      <c r="B251" t="inlineStr">
        <is>
          <t>HOSP-2</t>
        </is>
      </c>
      <c r="C251" t="inlineStr">
        <is>
          <t>SS-01017</t>
        </is>
      </c>
      <c r="D251" t="n">
        <v>24</v>
      </c>
      <c r="E251" t="n">
        <v>0</v>
      </c>
      <c r="G251">
        <f>IF(AND(A251&gt;=Inputs!$B$5,A251&lt;=Inputs!$B$6),1,0)</f>
        <v/>
      </c>
    </row>
    <row r="252">
      <c r="A252" t="inlineStr">
        <is>
          <t>2026-01</t>
        </is>
      </c>
      <c r="B252" t="inlineStr">
        <is>
          <t>HOSP-3</t>
        </is>
      </c>
      <c r="C252" t="inlineStr">
        <is>
          <t>SS-01018</t>
        </is>
      </c>
      <c r="D252" t="n">
        <v>36</v>
      </c>
      <c r="E252" t="n">
        <v>0</v>
      </c>
      <c r="G252">
        <f>IF(AND(A252&gt;=Inputs!$B$5,A252&lt;=Inputs!$B$6),1,0)</f>
        <v/>
      </c>
    </row>
    <row r="253">
      <c r="A253" t="inlineStr">
        <is>
          <t>2026-01</t>
        </is>
      </c>
      <c r="B253" t="inlineStr">
        <is>
          <t>HOSP-4</t>
        </is>
      </c>
      <c r="C253" t="inlineStr">
        <is>
          <t>SS-01019</t>
        </is>
      </c>
      <c r="D253" t="n">
        <v>12</v>
      </c>
      <c r="E253" t="n">
        <v>0</v>
      </c>
      <c r="G253">
        <f>IF(AND(A253&gt;=Inputs!$B$5,A253&lt;=Inputs!$B$6),1,0)</f>
        <v/>
      </c>
    </row>
    <row r="254">
      <c r="A254" t="inlineStr">
        <is>
          <t>2026-01</t>
        </is>
      </c>
      <c r="B254" t="inlineStr">
        <is>
          <t>HOSP-1</t>
        </is>
      </c>
      <c r="C254" t="inlineStr">
        <is>
          <t>SS-01020</t>
        </is>
      </c>
      <c r="D254" t="n">
        <v>36</v>
      </c>
      <c r="E254" t="n">
        <v>0</v>
      </c>
      <c r="G254">
        <f>IF(AND(A254&gt;=Inputs!$B$5,A254&lt;=Inputs!$B$6),1,0)</f>
        <v/>
      </c>
    </row>
    <row r="255">
      <c r="A255" t="inlineStr">
        <is>
          <t>2026-01</t>
        </is>
      </c>
      <c r="B255" t="inlineStr">
        <is>
          <t>HOSP-2</t>
        </is>
      </c>
      <c r="C255" t="inlineStr">
        <is>
          <t>SS-01021</t>
        </is>
      </c>
      <c r="D255" t="n">
        <v>2</v>
      </c>
      <c r="E255" t="n">
        <v>3</v>
      </c>
      <c r="G255">
        <f>IF(AND(A255&gt;=Inputs!$B$5,A255&lt;=Inputs!$B$6),1,0)</f>
        <v/>
      </c>
    </row>
    <row r="256">
      <c r="A256" t="inlineStr">
        <is>
          <t>2026-01</t>
        </is>
      </c>
      <c r="B256" t="inlineStr">
        <is>
          <t>HOSP-3</t>
        </is>
      </c>
      <c r="C256" t="inlineStr">
        <is>
          <t>SS-01022</t>
        </is>
      </c>
      <c r="D256" t="n">
        <v>16</v>
      </c>
      <c r="E256" t="n">
        <v>0</v>
      </c>
      <c r="G256">
        <f>IF(AND(A256&gt;=Inputs!$B$5,A256&lt;=Inputs!$B$6),1,0)</f>
        <v/>
      </c>
    </row>
    <row r="257">
      <c r="A257" t="inlineStr">
        <is>
          <t>2026-01</t>
        </is>
      </c>
      <c r="B257" t="inlineStr">
        <is>
          <t>HOSP-4</t>
        </is>
      </c>
      <c r="C257" t="inlineStr">
        <is>
          <t>SS-01023</t>
        </is>
      </c>
      <c r="D257" t="n">
        <v>0</v>
      </c>
      <c r="E257" t="n">
        <v>1</v>
      </c>
      <c r="G257">
        <f>IF(AND(A257&gt;=Inputs!$B$5,A257&lt;=Inputs!$B$6),1,0)</f>
        <v/>
      </c>
    </row>
    <row r="258">
      <c r="A258" t="inlineStr">
        <is>
          <t>2026-01</t>
        </is>
      </c>
      <c r="B258" t="inlineStr">
        <is>
          <t>HOSP-1</t>
        </is>
      </c>
      <c r="C258" t="inlineStr">
        <is>
          <t>SS-01024</t>
        </is>
      </c>
      <c r="D258" t="n">
        <v>6</v>
      </c>
      <c r="E258" t="n">
        <v>0</v>
      </c>
      <c r="G258">
        <f>IF(AND(A258&gt;=Inputs!$B$5,A258&lt;=Inputs!$B$6),1,0)</f>
        <v/>
      </c>
    </row>
    <row r="259">
      <c r="A259" t="inlineStr">
        <is>
          <t>2026-01</t>
        </is>
      </c>
      <c r="B259" t="inlineStr">
        <is>
          <t>HOSP-2</t>
        </is>
      </c>
      <c r="C259" t="inlineStr">
        <is>
          <t>SS-01025</t>
        </is>
      </c>
      <c r="D259" t="n">
        <v>36</v>
      </c>
      <c r="E259" t="n">
        <v>0</v>
      </c>
      <c r="G259">
        <f>IF(AND(A259&gt;=Inputs!$B$5,A259&lt;=Inputs!$B$6),1,0)</f>
        <v/>
      </c>
    </row>
    <row r="260">
      <c r="A260" t="inlineStr">
        <is>
          <t>2026-01</t>
        </is>
      </c>
      <c r="B260" t="inlineStr">
        <is>
          <t>HOSP-3</t>
        </is>
      </c>
      <c r="C260" t="inlineStr">
        <is>
          <t>SS-01026</t>
        </is>
      </c>
      <c r="D260" t="n">
        <v>24</v>
      </c>
      <c r="E260" t="n">
        <v>0</v>
      </c>
      <c r="G260">
        <f>IF(AND(A260&gt;=Inputs!$B$5,A260&lt;=Inputs!$B$6),1,0)</f>
        <v/>
      </c>
    </row>
    <row r="261">
      <c r="A261" t="inlineStr">
        <is>
          <t>2026-01</t>
        </is>
      </c>
      <c r="B261" t="inlineStr">
        <is>
          <t>HOSP-4</t>
        </is>
      </c>
      <c r="C261" t="inlineStr">
        <is>
          <t>SS-01027</t>
        </is>
      </c>
      <c r="D261" t="n">
        <v>216</v>
      </c>
      <c r="E261" t="n">
        <v>0</v>
      </c>
      <c r="G261">
        <f>IF(AND(A261&gt;=Inputs!$B$5,A261&lt;=Inputs!$B$6),1,0)</f>
        <v/>
      </c>
    </row>
    <row r="262">
      <c r="A262" t="inlineStr">
        <is>
          <t>2026-01</t>
        </is>
      </c>
      <c r="B262" t="inlineStr">
        <is>
          <t>HOSP-1</t>
        </is>
      </c>
      <c r="C262" t="inlineStr">
        <is>
          <t>SS-01028</t>
        </is>
      </c>
      <c r="D262" t="n">
        <v>36</v>
      </c>
      <c r="E262" t="n">
        <v>0</v>
      </c>
      <c r="G262">
        <f>IF(AND(A262&gt;=Inputs!$B$5,A262&lt;=Inputs!$B$6),1,0)</f>
        <v/>
      </c>
    </row>
    <row r="263">
      <c r="A263" t="inlineStr">
        <is>
          <t>2026-01</t>
        </is>
      </c>
      <c r="B263" t="inlineStr">
        <is>
          <t>HOSP-2</t>
        </is>
      </c>
      <c r="C263" t="inlineStr">
        <is>
          <t>SS-01029</t>
        </is>
      </c>
      <c r="D263" t="n">
        <v>0</v>
      </c>
      <c r="E263" t="n">
        <v>0</v>
      </c>
      <c r="G263">
        <f>IF(AND(A263&gt;=Inputs!$B$5,A263&lt;=Inputs!$B$6),1,0)</f>
        <v/>
      </c>
    </row>
    <row r="264">
      <c r="A264" t="inlineStr">
        <is>
          <t>2026-01</t>
        </is>
      </c>
      <c r="B264" t="inlineStr">
        <is>
          <t>HOSP-3</t>
        </is>
      </c>
      <c r="C264" t="inlineStr">
        <is>
          <t>SS-01030</t>
        </is>
      </c>
      <c r="D264" t="n">
        <v>20</v>
      </c>
      <c r="E264" t="n">
        <v>1</v>
      </c>
      <c r="G264">
        <f>IF(AND(A264&gt;=Inputs!$B$5,A264&lt;=Inputs!$B$6),1,0)</f>
        <v/>
      </c>
    </row>
    <row r="265">
      <c r="A265" t="inlineStr">
        <is>
          <t>2026-01</t>
        </is>
      </c>
      <c r="B265" t="inlineStr">
        <is>
          <t>HOSP-4</t>
        </is>
      </c>
      <c r="C265" t="inlineStr">
        <is>
          <t>SS-01031</t>
        </is>
      </c>
      <c r="D265" t="n">
        <v>36</v>
      </c>
      <c r="E265" t="n">
        <v>0</v>
      </c>
      <c r="G265">
        <f>IF(AND(A265&gt;=Inputs!$B$5,A265&lt;=Inputs!$B$6),1,0)</f>
        <v/>
      </c>
    </row>
    <row r="266">
      <c r="A266" t="inlineStr">
        <is>
          <t>2026-01</t>
        </is>
      </c>
      <c r="B266" t="inlineStr">
        <is>
          <t>HOSP-1</t>
        </is>
      </c>
      <c r="C266" t="inlineStr">
        <is>
          <t>SS-01032</t>
        </is>
      </c>
      <c r="D266" t="n">
        <v>0</v>
      </c>
      <c r="E266" t="n">
        <v>0</v>
      </c>
      <c r="G266">
        <f>IF(AND(A266&gt;=Inputs!$B$5,A266&lt;=Inputs!$B$6),1,0)</f>
        <v/>
      </c>
    </row>
    <row r="267">
      <c r="A267" t="inlineStr">
        <is>
          <t>2026-01</t>
        </is>
      </c>
      <c r="B267" t="inlineStr">
        <is>
          <t>HOSP-2</t>
        </is>
      </c>
      <c r="C267" t="inlineStr">
        <is>
          <t>SS-01033</t>
        </is>
      </c>
      <c r="D267" t="n">
        <v>0</v>
      </c>
      <c r="E267" t="n">
        <v>0</v>
      </c>
      <c r="G267">
        <f>IF(AND(A267&gt;=Inputs!$B$5,A267&lt;=Inputs!$B$6),1,0)</f>
        <v/>
      </c>
    </row>
    <row r="268">
      <c r="A268" t="inlineStr">
        <is>
          <t>2026-01</t>
        </is>
      </c>
      <c r="B268" t="inlineStr">
        <is>
          <t>HOSP-3</t>
        </is>
      </c>
      <c r="C268" t="inlineStr">
        <is>
          <t>SS-01034</t>
        </is>
      </c>
      <c r="D268" t="n">
        <v>12</v>
      </c>
      <c r="E268" t="n">
        <v>0</v>
      </c>
      <c r="G268">
        <f>IF(AND(A268&gt;=Inputs!$B$5,A268&lt;=Inputs!$B$6),1,0)</f>
        <v/>
      </c>
    </row>
    <row r="269">
      <c r="A269" t="inlineStr">
        <is>
          <t>2026-01</t>
        </is>
      </c>
      <c r="B269" t="inlineStr">
        <is>
          <t>HOSP-4</t>
        </is>
      </c>
      <c r="C269" t="inlineStr">
        <is>
          <t>SS-01035</t>
        </is>
      </c>
      <c r="D269" t="n">
        <v>36</v>
      </c>
      <c r="E269" t="n">
        <v>0</v>
      </c>
      <c r="G269">
        <f>IF(AND(A269&gt;=Inputs!$B$5,A269&lt;=Inputs!$B$6),1,0)</f>
        <v/>
      </c>
    </row>
    <row r="270">
      <c r="A270" t="inlineStr">
        <is>
          <t>2026-01</t>
        </is>
      </c>
      <c r="B270" t="inlineStr">
        <is>
          <t>HOSP-1</t>
        </is>
      </c>
      <c r="C270" t="inlineStr">
        <is>
          <t>SS-01036</t>
        </is>
      </c>
      <c r="D270" t="n">
        <v>1</v>
      </c>
      <c r="E270" t="n">
        <v>5</v>
      </c>
      <c r="G270">
        <f>IF(AND(A270&gt;=Inputs!$B$5,A270&lt;=Inputs!$B$6),1,0)</f>
        <v/>
      </c>
    </row>
    <row r="271">
      <c r="A271" t="inlineStr">
        <is>
          <t>2026-01</t>
        </is>
      </c>
      <c r="B271" t="inlineStr">
        <is>
          <t>HOSP-2</t>
        </is>
      </c>
      <c r="C271" t="inlineStr">
        <is>
          <t>SS-01037</t>
        </is>
      </c>
      <c r="D271" t="n">
        <v>36</v>
      </c>
      <c r="E271" t="n">
        <v>0</v>
      </c>
      <c r="G271">
        <f>IF(AND(A271&gt;=Inputs!$B$5,A271&lt;=Inputs!$B$6),1,0)</f>
        <v/>
      </c>
    </row>
    <row r="272">
      <c r="A272" t="inlineStr">
        <is>
          <t>2026-01</t>
        </is>
      </c>
      <c r="B272" t="inlineStr">
        <is>
          <t>HOSP-3</t>
        </is>
      </c>
      <c r="C272" t="inlineStr">
        <is>
          <t>SS-01038</t>
        </is>
      </c>
      <c r="D272" t="n">
        <v>13</v>
      </c>
      <c r="E272" t="n">
        <v>3</v>
      </c>
      <c r="G272">
        <f>IF(AND(A272&gt;=Inputs!$B$5,A272&lt;=Inputs!$B$6),1,0)</f>
        <v/>
      </c>
    </row>
    <row r="273">
      <c r="A273" t="inlineStr">
        <is>
          <t>2026-01</t>
        </is>
      </c>
      <c r="B273" t="inlineStr">
        <is>
          <t>HOSP-4</t>
        </is>
      </c>
      <c r="C273" t="inlineStr">
        <is>
          <t>SS-01039</t>
        </is>
      </c>
      <c r="D273" t="n">
        <v>12</v>
      </c>
      <c r="E273" t="n">
        <v>0</v>
      </c>
      <c r="G273">
        <f>IF(AND(A273&gt;=Inputs!$B$5,A273&lt;=Inputs!$B$6),1,0)</f>
        <v/>
      </c>
    </row>
    <row r="274">
      <c r="A274" t="inlineStr">
        <is>
          <t>2026-01</t>
        </is>
      </c>
      <c r="B274" t="inlineStr">
        <is>
          <t>HOSP-1</t>
        </is>
      </c>
      <c r="C274" t="inlineStr">
        <is>
          <t>SS-01040</t>
        </is>
      </c>
      <c r="D274" t="n">
        <v>21</v>
      </c>
      <c r="E274" t="n">
        <v>1</v>
      </c>
      <c r="G274">
        <f>IF(AND(A274&gt;=Inputs!$B$5,A274&lt;=Inputs!$B$6),1,0)</f>
        <v/>
      </c>
    </row>
    <row r="275">
      <c r="A275" t="inlineStr">
        <is>
          <t>2026-02</t>
        </is>
      </c>
      <c r="B275" t="inlineStr">
        <is>
          <t>HOSP-2</t>
        </is>
      </c>
      <c r="C275" t="inlineStr">
        <is>
          <t>SS-01041</t>
        </is>
      </c>
      <c r="D275" t="n">
        <v>48</v>
      </c>
      <c r="E275" t="n">
        <v>0</v>
      </c>
      <c r="G275">
        <f>IF(AND(A275&gt;=Inputs!$B$5,A275&lt;=Inputs!$B$6),1,0)</f>
        <v/>
      </c>
    </row>
    <row r="276">
      <c r="A276" t="inlineStr">
        <is>
          <t>2026-02</t>
        </is>
      </c>
      <c r="B276" t="inlineStr">
        <is>
          <t>HOSP-3</t>
        </is>
      </c>
      <c r="C276" t="inlineStr">
        <is>
          <t>SS-01042</t>
        </is>
      </c>
      <c r="D276" t="n">
        <v>12</v>
      </c>
      <c r="E276" t="n">
        <v>0</v>
      </c>
      <c r="G276">
        <f>IF(AND(A276&gt;=Inputs!$B$5,A276&lt;=Inputs!$B$6),1,0)</f>
        <v/>
      </c>
    </row>
    <row r="277">
      <c r="A277" t="inlineStr">
        <is>
          <t>2026-02</t>
        </is>
      </c>
      <c r="B277" t="inlineStr">
        <is>
          <t>HOSP-4</t>
        </is>
      </c>
      <c r="C277" t="inlineStr">
        <is>
          <t>SS-01043</t>
        </is>
      </c>
      <c r="D277" t="n">
        <v>36</v>
      </c>
      <c r="E277" t="n">
        <v>0</v>
      </c>
      <c r="G277">
        <f>IF(AND(A277&gt;=Inputs!$B$5,A277&lt;=Inputs!$B$6),1,0)</f>
        <v/>
      </c>
    </row>
    <row r="278">
      <c r="A278" t="inlineStr">
        <is>
          <t>2026-02</t>
        </is>
      </c>
      <c r="B278" t="inlineStr">
        <is>
          <t>HOSP-1</t>
        </is>
      </c>
      <c r="C278" t="inlineStr">
        <is>
          <t>SS-01044</t>
        </is>
      </c>
      <c r="D278" t="n">
        <v>24</v>
      </c>
      <c r="E278" t="n">
        <v>0</v>
      </c>
      <c r="G278">
        <f>IF(AND(A278&gt;=Inputs!$B$5,A278&lt;=Inputs!$B$6),1,0)</f>
        <v/>
      </c>
    </row>
    <row r="279">
      <c r="A279" t="inlineStr">
        <is>
          <t>2026-02</t>
        </is>
      </c>
      <c r="B279" t="inlineStr">
        <is>
          <t>HOSP-2</t>
        </is>
      </c>
      <c r="C279" t="inlineStr">
        <is>
          <t>SS-01045</t>
        </is>
      </c>
      <c r="D279" t="n">
        <v>24</v>
      </c>
      <c r="E279" t="n">
        <v>0</v>
      </c>
      <c r="G279">
        <f>IF(AND(A279&gt;=Inputs!$B$5,A279&lt;=Inputs!$B$6),1,0)</f>
        <v/>
      </c>
    </row>
    <row r="280">
      <c r="A280" t="inlineStr">
        <is>
          <t>2026-02</t>
        </is>
      </c>
      <c r="B280" t="inlineStr">
        <is>
          <t>HOSP-3</t>
        </is>
      </c>
      <c r="C280" t="inlineStr">
        <is>
          <t>SS-01046</t>
        </is>
      </c>
      <c r="D280" t="n">
        <v>36</v>
      </c>
      <c r="E280" t="n">
        <v>0</v>
      </c>
      <c r="G280">
        <f>IF(AND(A280&gt;=Inputs!$B$5,A280&lt;=Inputs!$B$6),1,0)</f>
        <v/>
      </c>
    </row>
    <row r="281">
      <c r="A281" t="inlineStr">
        <is>
          <t>2026-02</t>
        </is>
      </c>
      <c r="B281" t="inlineStr">
        <is>
          <t>HOSP-4</t>
        </is>
      </c>
      <c r="C281" t="inlineStr">
        <is>
          <t>SS-01047</t>
        </is>
      </c>
      <c r="D281" t="n">
        <v>0</v>
      </c>
      <c r="E281" t="n">
        <v>0</v>
      </c>
      <c r="G281">
        <f>IF(AND(A281&gt;=Inputs!$B$5,A281&lt;=Inputs!$B$6),1,0)</f>
        <v/>
      </c>
    </row>
    <row r="282">
      <c r="A282" t="inlineStr">
        <is>
          <t>2026-02</t>
        </is>
      </c>
      <c r="B282" t="inlineStr">
        <is>
          <t>HOSP-1</t>
        </is>
      </c>
      <c r="C282" t="inlineStr">
        <is>
          <t>SS-01048</t>
        </is>
      </c>
      <c r="D282" t="n">
        <v>12</v>
      </c>
      <c r="E282" t="n">
        <v>0</v>
      </c>
      <c r="G282">
        <f>IF(AND(A282&gt;=Inputs!$B$5,A282&lt;=Inputs!$B$6),1,0)</f>
        <v/>
      </c>
    </row>
    <row r="283">
      <c r="A283" t="inlineStr">
        <is>
          <t>2026-02</t>
        </is>
      </c>
      <c r="B283" t="inlineStr">
        <is>
          <t>HOSP-2</t>
        </is>
      </c>
      <c r="C283" t="inlineStr">
        <is>
          <t>SS-01049</t>
        </is>
      </c>
      <c r="D283" t="n">
        <v>552</v>
      </c>
      <c r="E283" t="n">
        <v>0</v>
      </c>
      <c r="G283">
        <f>IF(AND(A283&gt;=Inputs!$B$5,A283&lt;=Inputs!$B$6),1,0)</f>
        <v/>
      </c>
    </row>
    <row r="284">
      <c r="A284" t="inlineStr">
        <is>
          <t>2026-02</t>
        </is>
      </c>
      <c r="B284" t="inlineStr">
        <is>
          <t>HOSP-3</t>
        </is>
      </c>
      <c r="C284" t="inlineStr">
        <is>
          <t>SS-01023</t>
        </is>
      </c>
      <c r="D284" t="n">
        <v>12</v>
      </c>
      <c r="E284" t="n">
        <v>0</v>
      </c>
      <c r="G284">
        <f>IF(AND(A284&gt;=Inputs!$B$5,A284&lt;=Inputs!$B$6),1,0)</f>
        <v/>
      </c>
    </row>
    <row r="285">
      <c r="A285" t="inlineStr">
        <is>
          <t>2026-02</t>
        </is>
      </c>
      <c r="B285" t="inlineStr">
        <is>
          <t>HOSP-4</t>
        </is>
      </c>
      <c r="C285" t="inlineStr">
        <is>
          <t>SS-01051</t>
        </is>
      </c>
      <c r="D285" t="n">
        <v>31</v>
      </c>
      <c r="E285" t="n">
        <v>0</v>
      </c>
      <c r="G285">
        <f>IF(AND(A285&gt;=Inputs!$B$5,A285&lt;=Inputs!$B$6),1,0)</f>
        <v/>
      </c>
    </row>
    <row r="286">
      <c r="A286" t="inlineStr">
        <is>
          <t>2026-02</t>
        </is>
      </c>
      <c r="B286" t="inlineStr">
        <is>
          <t>HOSP-1</t>
        </is>
      </c>
      <c r="C286" t="inlineStr">
        <is>
          <t>SS-01052</t>
        </is>
      </c>
      <c r="D286" t="n">
        <v>4</v>
      </c>
      <c r="E286" t="n">
        <v>2</v>
      </c>
      <c r="G286">
        <f>IF(AND(A286&gt;=Inputs!$B$5,A286&lt;=Inputs!$B$6),1,0)</f>
        <v/>
      </c>
    </row>
    <row r="287">
      <c r="A287" t="inlineStr">
        <is>
          <t>2026-02</t>
        </is>
      </c>
      <c r="B287" t="inlineStr">
        <is>
          <t>HOSP-2</t>
        </is>
      </c>
      <c r="C287" t="inlineStr">
        <is>
          <t>SS-01134</t>
        </is>
      </c>
      <c r="D287" t="n">
        <v>1</v>
      </c>
      <c r="E287" t="n">
        <v>3</v>
      </c>
      <c r="G287">
        <f>IF(AND(A287&gt;=Inputs!$B$5,A287&lt;=Inputs!$B$6),1,0)</f>
        <v/>
      </c>
    </row>
    <row r="288">
      <c r="A288" t="inlineStr">
        <is>
          <t>2026-02</t>
        </is>
      </c>
      <c r="B288" t="inlineStr">
        <is>
          <t>HOSP-3</t>
        </is>
      </c>
      <c r="C288" t="inlineStr">
        <is>
          <t>SS-01054</t>
        </is>
      </c>
      <c r="D288" t="n">
        <v>24</v>
      </c>
      <c r="E288" t="n">
        <v>0</v>
      </c>
      <c r="G288">
        <f>IF(AND(A288&gt;=Inputs!$B$5,A288&lt;=Inputs!$B$6),1,0)</f>
        <v/>
      </c>
    </row>
    <row r="289">
      <c r="A289" t="inlineStr">
        <is>
          <t>2026-02</t>
        </is>
      </c>
      <c r="B289" t="inlineStr">
        <is>
          <t>HOSP-4</t>
        </is>
      </c>
      <c r="C289" t="inlineStr">
        <is>
          <t>SS-01055</t>
        </is>
      </c>
      <c r="D289" t="n">
        <v>0</v>
      </c>
      <c r="E289" t="n">
        <v>0</v>
      </c>
      <c r="G289">
        <f>IF(AND(A289&gt;=Inputs!$B$5,A289&lt;=Inputs!$B$6),1,0)</f>
        <v/>
      </c>
    </row>
    <row r="290">
      <c r="A290" t="inlineStr">
        <is>
          <t>2026-02</t>
        </is>
      </c>
      <c r="B290" t="inlineStr">
        <is>
          <t>HOSP-1</t>
        </is>
      </c>
      <c r="C290" t="inlineStr">
        <is>
          <t>SS-01056</t>
        </is>
      </c>
      <c r="D290" t="n">
        <v>32</v>
      </c>
      <c r="E290" t="n">
        <v>1</v>
      </c>
      <c r="G290">
        <f>IF(AND(A290&gt;=Inputs!$B$5,A290&lt;=Inputs!$B$6),1,0)</f>
        <v/>
      </c>
    </row>
    <row r="291">
      <c r="A291" t="inlineStr">
        <is>
          <t>2026-02</t>
        </is>
      </c>
      <c r="B291" t="inlineStr">
        <is>
          <t>HOSP-2</t>
        </is>
      </c>
      <c r="C291" t="inlineStr">
        <is>
          <t>SS-01057</t>
        </is>
      </c>
      <c r="D291" t="n">
        <v>0</v>
      </c>
      <c r="E291" t="n">
        <v>1</v>
      </c>
      <c r="G291">
        <f>IF(AND(A291&gt;=Inputs!$B$5,A291&lt;=Inputs!$B$6),1,0)</f>
        <v/>
      </c>
    </row>
    <row r="292">
      <c r="A292" t="inlineStr">
        <is>
          <t>2026-02</t>
        </is>
      </c>
      <c r="B292" t="inlineStr">
        <is>
          <t>HOSP-3</t>
        </is>
      </c>
      <c r="C292" t="inlineStr">
        <is>
          <t>SS-01058</t>
        </is>
      </c>
      <c r="D292" t="n">
        <v>0</v>
      </c>
      <c r="E292" t="n">
        <v>0</v>
      </c>
      <c r="G292">
        <f>IF(AND(A292&gt;=Inputs!$B$5,A292&lt;=Inputs!$B$6),1,0)</f>
        <v/>
      </c>
    </row>
    <row r="293">
      <c r="A293" t="inlineStr">
        <is>
          <t>2026-02</t>
        </is>
      </c>
      <c r="B293" t="inlineStr">
        <is>
          <t>HOSP-4</t>
        </is>
      </c>
      <c r="C293" t="inlineStr">
        <is>
          <t>SS-01059</t>
        </is>
      </c>
      <c r="D293" t="n">
        <v>24</v>
      </c>
      <c r="E293" t="n">
        <v>0</v>
      </c>
      <c r="G293">
        <f>IF(AND(A293&gt;=Inputs!$B$5,A293&lt;=Inputs!$B$6),1,0)</f>
        <v/>
      </c>
    </row>
    <row r="294">
      <c r="A294" t="inlineStr">
        <is>
          <t>2026-02</t>
        </is>
      </c>
      <c r="B294" t="inlineStr">
        <is>
          <t>HOSP-1</t>
        </is>
      </c>
      <c r="C294" t="inlineStr">
        <is>
          <t>SS-01060</t>
        </is>
      </c>
      <c r="D294" t="n">
        <v>0</v>
      </c>
      <c r="E294" t="n">
        <v>0</v>
      </c>
      <c r="G294">
        <f>IF(AND(A294&gt;=Inputs!$B$5,A294&lt;=Inputs!$B$6),1,0)</f>
        <v/>
      </c>
    </row>
    <row r="295">
      <c r="A295" t="inlineStr">
        <is>
          <t>2026-02</t>
        </is>
      </c>
      <c r="B295" t="inlineStr">
        <is>
          <t>HOSP-2</t>
        </is>
      </c>
      <c r="C295" t="inlineStr">
        <is>
          <t>SS-01061</t>
        </is>
      </c>
      <c r="D295" t="n">
        <v>0</v>
      </c>
      <c r="E295" t="n">
        <v>0</v>
      </c>
      <c r="G295">
        <f>IF(AND(A295&gt;=Inputs!$B$5,A295&lt;=Inputs!$B$6),1,0)</f>
        <v/>
      </c>
    </row>
    <row r="296">
      <c r="A296" t="inlineStr">
        <is>
          <t>2026-02</t>
        </is>
      </c>
      <c r="B296" t="inlineStr">
        <is>
          <t>HOSP-3</t>
        </is>
      </c>
      <c r="C296" t="inlineStr">
        <is>
          <t>SS-01062</t>
        </is>
      </c>
      <c r="D296" t="n">
        <v>31</v>
      </c>
      <c r="E296" t="n">
        <v>4</v>
      </c>
      <c r="G296">
        <f>IF(AND(A296&gt;=Inputs!$B$5,A296&lt;=Inputs!$B$6),1,0)</f>
        <v/>
      </c>
    </row>
    <row r="297">
      <c r="A297" t="inlineStr">
        <is>
          <t>2026-02</t>
        </is>
      </c>
      <c r="B297" t="inlineStr">
        <is>
          <t>HOSP-4</t>
        </is>
      </c>
      <c r="C297" t="inlineStr">
        <is>
          <t>SS-01063</t>
        </is>
      </c>
      <c r="D297" t="n">
        <v>0</v>
      </c>
      <c r="E297" t="n">
        <v>0</v>
      </c>
      <c r="G297">
        <f>IF(AND(A297&gt;=Inputs!$B$5,A297&lt;=Inputs!$B$6),1,0)</f>
        <v/>
      </c>
    </row>
    <row r="298">
      <c r="A298" t="inlineStr">
        <is>
          <t>2026-02</t>
        </is>
      </c>
      <c r="B298" t="inlineStr">
        <is>
          <t>HOSP-1</t>
        </is>
      </c>
      <c r="C298" t="inlineStr">
        <is>
          <t>SS-01064</t>
        </is>
      </c>
      <c r="D298" t="n">
        <v>24</v>
      </c>
      <c r="E298" t="n">
        <v>0</v>
      </c>
      <c r="G298">
        <f>IF(AND(A298&gt;=Inputs!$B$5,A298&lt;=Inputs!$B$6),1,0)</f>
        <v/>
      </c>
    </row>
    <row r="299">
      <c r="A299" t="inlineStr">
        <is>
          <t>2026-02</t>
        </is>
      </c>
      <c r="B299" t="inlineStr">
        <is>
          <t>HOSP-2</t>
        </is>
      </c>
      <c r="C299" t="inlineStr">
        <is>
          <t>SS-01065</t>
        </is>
      </c>
      <c r="D299" t="n">
        <v>96</v>
      </c>
      <c r="E299" t="n">
        <v>0</v>
      </c>
      <c r="G299">
        <f>IF(AND(A299&gt;=Inputs!$B$5,A299&lt;=Inputs!$B$6),1,0)</f>
        <v/>
      </c>
    </row>
    <row r="300">
      <c r="A300" t="inlineStr">
        <is>
          <t>2026-02</t>
        </is>
      </c>
      <c r="B300" t="inlineStr">
        <is>
          <t>HOSP-3</t>
        </is>
      </c>
      <c r="C300" t="inlineStr">
        <is>
          <t>SS-01066</t>
        </is>
      </c>
      <c r="D300" t="n">
        <v>48</v>
      </c>
      <c r="E300" t="n">
        <v>0</v>
      </c>
      <c r="G300">
        <f>IF(AND(A300&gt;=Inputs!$B$5,A300&lt;=Inputs!$B$6),1,0)</f>
        <v/>
      </c>
    </row>
    <row r="301">
      <c r="A301" t="inlineStr">
        <is>
          <t>2026-02</t>
        </is>
      </c>
      <c r="B301" t="inlineStr">
        <is>
          <t>HOSP-4</t>
        </is>
      </c>
      <c r="C301" t="inlineStr">
        <is>
          <t>SS-01067</t>
        </is>
      </c>
      <c r="D301" t="n">
        <v>0</v>
      </c>
      <c r="E301" t="n">
        <v>0</v>
      </c>
      <c r="G301">
        <f>IF(AND(A301&gt;=Inputs!$B$5,A301&lt;=Inputs!$B$6),1,0)</f>
        <v/>
      </c>
    </row>
    <row r="302">
      <c r="A302" t="inlineStr">
        <is>
          <t>2026-02</t>
        </is>
      </c>
      <c r="B302" t="inlineStr">
        <is>
          <t>HOSP-1</t>
        </is>
      </c>
      <c r="C302" t="inlineStr">
        <is>
          <t>SS-01068</t>
        </is>
      </c>
      <c r="D302" t="n">
        <v>2</v>
      </c>
      <c r="E302" t="n">
        <v>2</v>
      </c>
      <c r="G302">
        <f>IF(AND(A302&gt;=Inputs!$B$5,A302&lt;=Inputs!$B$6),1,0)</f>
        <v/>
      </c>
    </row>
    <row r="303">
      <c r="A303" t="inlineStr">
        <is>
          <t>2026-02</t>
        </is>
      </c>
      <c r="B303" t="inlineStr">
        <is>
          <t>HOSP-2</t>
        </is>
      </c>
      <c r="C303" t="inlineStr">
        <is>
          <t>SS-01069</t>
        </is>
      </c>
      <c r="D303" t="n">
        <v>23</v>
      </c>
      <c r="E303" t="n">
        <v>0</v>
      </c>
      <c r="G303">
        <f>IF(AND(A303&gt;=Inputs!$B$5,A303&lt;=Inputs!$B$6),1,0)</f>
        <v/>
      </c>
    </row>
    <row r="304">
      <c r="A304" t="inlineStr">
        <is>
          <t>2026-02</t>
        </is>
      </c>
      <c r="B304" t="inlineStr">
        <is>
          <t>HOSP-3</t>
        </is>
      </c>
      <c r="C304" t="inlineStr">
        <is>
          <t>SS-01070</t>
        </is>
      </c>
      <c r="D304" t="n">
        <v>108</v>
      </c>
      <c r="E304" t="n">
        <v>0</v>
      </c>
      <c r="G304">
        <f>IF(AND(A304&gt;=Inputs!$B$5,A304&lt;=Inputs!$B$6),1,0)</f>
        <v/>
      </c>
    </row>
    <row r="305">
      <c r="A305" t="inlineStr">
        <is>
          <t>2026-02</t>
        </is>
      </c>
      <c r="B305" t="inlineStr">
        <is>
          <t>HOSP-4</t>
        </is>
      </c>
      <c r="C305" t="inlineStr">
        <is>
          <t>SS-01071</t>
        </is>
      </c>
      <c r="D305" t="n">
        <v>168</v>
      </c>
      <c r="E305" t="n">
        <v>0</v>
      </c>
      <c r="G305">
        <f>IF(AND(A305&gt;=Inputs!$B$5,A305&lt;=Inputs!$B$6),1,0)</f>
        <v/>
      </c>
    </row>
    <row r="306">
      <c r="A306" t="inlineStr">
        <is>
          <t>2026-02</t>
        </is>
      </c>
      <c r="B306" t="inlineStr">
        <is>
          <t>HOSP-1</t>
        </is>
      </c>
      <c r="C306" t="inlineStr">
        <is>
          <t>SS-01072</t>
        </is>
      </c>
      <c r="D306" t="n">
        <v>12</v>
      </c>
      <c r="E306" t="n">
        <v>0</v>
      </c>
      <c r="G306">
        <f>IF(AND(A306&gt;=Inputs!$B$5,A306&lt;=Inputs!$B$6),1,0)</f>
        <v/>
      </c>
    </row>
    <row r="307">
      <c r="A307" t="inlineStr">
        <is>
          <t>2026-02</t>
        </is>
      </c>
      <c r="B307" t="inlineStr">
        <is>
          <t>HOSP-2</t>
        </is>
      </c>
      <c r="C307" t="inlineStr">
        <is>
          <t>SS-01073</t>
        </is>
      </c>
      <c r="D307" t="n">
        <v>18</v>
      </c>
      <c r="E307" t="n">
        <v>0</v>
      </c>
      <c r="G307">
        <f>IF(AND(A307&gt;=Inputs!$B$5,A307&lt;=Inputs!$B$6),1,0)</f>
        <v/>
      </c>
    </row>
    <row r="308">
      <c r="A308" t="inlineStr">
        <is>
          <t>2026-02</t>
        </is>
      </c>
      <c r="B308" t="inlineStr">
        <is>
          <t>HOSP-3</t>
        </is>
      </c>
      <c r="C308" t="inlineStr">
        <is>
          <t>SS-01074</t>
        </is>
      </c>
      <c r="D308" t="n">
        <v>0</v>
      </c>
      <c r="E308" t="n">
        <v>0</v>
      </c>
      <c r="G308">
        <f>IF(AND(A308&gt;=Inputs!$B$5,A308&lt;=Inputs!$B$6),1,0)</f>
        <v/>
      </c>
    </row>
    <row r="309">
      <c r="A309" t="inlineStr">
        <is>
          <t>2026-02</t>
        </is>
      </c>
      <c r="B309" t="inlineStr">
        <is>
          <t>HOSP-4</t>
        </is>
      </c>
      <c r="C309" t="inlineStr">
        <is>
          <t>SS-01075</t>
        </is>
      </c>
      <c r="D309" t="n">
        <v>48</v>
      </c>
      <c r="E309" t="n">
        <v>0</v>
      </c>
      <c r="G309">
        <f>IF(AND(A309&gt;=Inputs!$B$5,A309&lt;=Inputs!$B$6),1,0)</f>
        <v/>
      </c>
    </row>
    <row r="310">
      <c r="A310" t="inlineStr">
        <is>
          <t>2026-02</t>
        </is>
      </c>
      <c r="B310" t="inlineStr">
        <is>
          <t>HOSP-1</t>
        </is>
      </c>
      <c r="C310" t="inlineStr">
        <is>
          <t>SS-01076</t>
        </is>
      </c>
      <c r="D310" t="n">
        <v>18</v>
      </c>
      <c r="E310" t="n">
        <v>0</v>
      </c>
      <c r="G310">
        <f>IF(AND(A310&gt;=Inputs!$B$5,A310&lt;=Inputs!$B$6),1,0)</f>
        <v/>
      </c>
    </row>
    <row r="311">
      <c r="A311" t="inlineStr">
        <is>
          <t>2026-02</t>
        </is>
      </c>
      <c r="B311" t="inlineStr">
        <is>
          <t>HOSP-2</t>
        </is>
      </c>
      <c r="C311" t="inlineStr">
        <is>
          <t>SS-01077</t>
        </is>
      </c>
      <c r="D311" t="n">
        <v>6</v>
      </c>
      <c r="E311" t="n">
        <v>4</v>
      </c>
      <c r="G311">
        <f>IF(AND(A311&gt;=Inputs!$B$5,A311&lt;=Inputs!$B$6),1,0)</f>
        <v/>
      </c>
    </row>
    <row r="312">
      <c r="A312" t="inlineStr">
        <is>
          <t>2026-02</t>
        </is>
      </c>
      <c r="B312" t="inlineStr">
        <is>
          <t>HOSP-3</t>
        </is>
      </c>
      <c r="C312" t="inlineStr">
        <is>
          <t>SS-01078</t>
        </is>
      </c>
      <c r="D312" t="n">
        <v>21</v>
      </c>
      <c r="E312" t="n">
        <v>2</v>
      </c>
      <c r="G312">
        <f>IF(AND(A312&gt;=Inputs!$B$5,A312&lt;=Inputs!$B$6),1,0)</f>
        <v/>
      </c>
    </row>
    <row r="313">
      <c r="A313" t="inlineStr">
        <is>
          <t>2026-02</t>
        </is>
      </c>
      <c r="B313" t="inlineStr">
        <is>
          <t>HOSP-4</t>
        </is>
      </c>
      <c r="C313" t="inlineStr">
        <is>
          <t>SS-01079</t>
        </is>
      </c>
      <c r="D313" t="n">
        <v>216</v>
      </c>
      <c r="E313" t="n">
        <v>0</v>
      </c>
      <c r="G313">
        <f>IF(AND(A313&gt;=Inputs!$B$5,A313&lt;=Inputs!$B$6),1,0)</f>
        <v/>
      </c>
    </row>
    <row r="314">
      <c r="A314" t="inlineStr">
        <is>
          <t>2026-02</t>
        </is>
      </c>
      <c r="B314" t="inlineStr">
        <is>
          <t>HOSP-1</t>
        </is>
      </c>
      <c r="C314" t="inlineStr">
        <is>
          <t>SS-01080</t>
        </is>
      </c>
      <c r="D314" t="n">
        <v>0</v>
      </c>
      <c r="E314" t="n">
        <v>0</v>
      </c>
      <c r="G314">
        <f>IF(AND(A314&gt;=Inputs!$B$5,A314&lt;=Inputs!$B$6),1,0)</f>
        <v/>
      </c>
    </row>
    <row r="315">
      <c r="A315" t="inlineStr">
        <is>
          <t>2026-02</t>
        </is>
      </c>
      <c r="B315" t="inlineStr">
        <is>
          <t>HOSP-2</t>
        </is>
      </c>
      <c r="C315" t="inlineStr">
        <is>
          <t>SS-01081</t>
        </is>
      </c>
      <c r="D315" t="n">
        <v>36</v>
      </c>
      <c r="E315" t="n">
        <v>0</v>
      </c>
      <c r="G315">
        <f>IF(AND(A315&gt;=Inputs!$B$5,A315&lt;=Inputs!$B$6),1,0)</f>
        <v/>
      </c>
    </row>
    <row r="316">
      <c r="A316" t="inlineStr">
        <is>
          <t>2026-02</t>
        </is>
      </c>
      <c r="B316" t="inlineStr">
        <is>
          <t>HOSP-3</t>
        </is>
      </c>
      <c r="C316" t="inlineStr">
        <is>
          <t>SS-01082</t>
        </is>
      </c>
      <c r="D316" t="n">
        <v>48</v>
      </c>
      <c r="E316" t="n">
        <v>0</v>
      </c>
      <c r="G316">
        <f>IF(AND(A316&gt;=Inputs!$B$5,A316&lt;=Inputs!$B$6),1,0)</f>
        <v/>
      </c>
    </row>
    <row r="317">
      <c r="A317" t="inlineStr">
        <is>
          <t>2026-02</t>
        </is>
      </c>
      <c r="B317" t="inlineStr">
        <is>
          <t>HOSP-4</t>
        </is>
      </c>
      <c r="C317" t="inlineStr">
        <is>
          <t>SS-01083</t>
        </is>
      </c>
      <c r="D317" t="n">
        <v>49</v>
      </c>
      <c r="E317" t="n">
        <v>0</v>
      </c>
      <c r="G317">
        <f>IF(AND(A317&gt;=Inputs!$B$5,A317&lt;=Inputs!$B$6),1,0)</f>
        <v/>
      </c>
    </row>
    <row r="318">
      <c r="A318" t="inlineStr">
        <is>
          <t>2026-02</t>
        </is>
      </c>
      <c r="B318" t="inlineStr">
        <is>
          <t>HOSP-1</t>
        </is>
      </c>
      <c r="C318" t="inlineStr">
        <is>
          <t>SS-01084</t>
        </is>
      </c>
      <c r="D318" t="n">
        <v>72</v>
      </c>
      <c r="E318" t="n">
        <v>0</v>
      </c>
      <c r="G318">
        <f>IF(AND(A318&gt;=Inputs!$B$5,A318&lt;=Inputs!$B$6),1,0)</f>
        <v/>
      </c>
    </row>
    <row r="319">
      <c r="A319" t="inlineStr">
        <is>
          <t>2026-02</t>
        </is>
      </c>
      <c r="B319" t="inlineStr">
        <is>
          <t>HOSP-2</t>
        </is>
      </c>
      <c r="C319" t="inlineStr">
        <is>
          <t>SS-01085</t>
        </is>
      </c>
      <c r="D319" t="n">
        <v>24</v>
      </c>
      <c r="E319" t="n">
        <v>0</v>
      </c>
      <c r="G319">
        <f>IF(AND(A319&gt;=Inputs!$B$5,A319&lt;=Inputs!$B$6),1,0)</f>
        <v/>
      </c>
    </row>
    <row r="320">
      <c r="A320" t="inlineStr">
        <is>
          <t>2026-02</t>
        </is>
      </c>
      <c r="B320" t="inlineStr">
        <is>
          <t>HOSP-3</t>
        </is>
      </c>
      <c r="C320" t="inlineStr">
        <is>
          <t>SS-01086</t>
        </is>
      </c>
      <c r="D320" t="n">
        <v>5</v>
      </c>
      <c r="E320" t="n">
        <v>1</v>
      </c>
      <c r="G320">
        <f>IF(AND(A320&gt;=Inputs!$B$5,A320&lt;=Inputs!$B$6),1,0)</f>
        <v/>
      </c>
    </row>
    <row r="321">
      <c r="A321" t="inlineStr">
        <is>
          <t>2026-02</t>
        </is>
      </c>
      <c r="B321" t="inlineStr">
        <is>
          <t>HOSP-4</t>
        </is>
      </c>
      <c r="C321" t="inlineStr">
        <is>
          <t>SS-01188</t>
        </is>
      </c>
      <c r="D321" t="n">
        <v>11</v>
      </c>
      <c r="E321" t="n">
        <v>2</v>
      </c>
      <c r="G321">
        <f>IF(AND(A321&gt;=Inputs!$B$5,A321&lt;=Inputs!$B$6),1,0)</f>
        <v/>
      </c>
    </row>
    <row r="322">
      <c r="A322" t="inlineStr">
        <is>
          <t>2026-02</t>
        </is>
      </c>
      <c r="B322" t="inlineStr">
        <is>
          <t>HOSP-1</t>
        </is>
      </c>
      <c r="C322" t="inlineStr">
        <is>
          <t>SS-01088</t>
        </is>
      </c>
      <c r="D322" t="n">
        <v>12</v>
      </c>
      <c r="E322" t="n">
        <v>0</v>
      </c>
      <c r="G322">
        <f>IF(AND(A322&gt;=Inputs!$B$5,A322&lt;=Inputs!$B$6),1,0)</f>
        <v/>
      </c>
    </row>
    <row r="323">
      <c r="A323" t="inlineStr">
        <is>
          <t>2026-02</t>
        </is>
      </c>
      <c r="B323" t="inlineStr">
        <is>
          <t>HOSP-2</t>
        </is>
      </c>
      <c r="C323" t="inlineStr">
        <is>
          <t>SS-01089</t>
        </is>
      </c>
      <c r="D323" t="n">
        <v>24</v>
      </c>
      <c r="E323" t="n">
        <v>0</v>
      </c>
      <c r="G323">
        <f>IF(AND(A323&gt;=Inputs!$B$5,A323&lt;=Inputs!$B$6),1,0)</f>
        <v/>
      </c>
    </row>
    <row r="324">
      <c r="A324" t="inlineStr">
        <is>
          <t>2026-02</t>
        </is>
      </c>
      <c r="B324" t="inlineStr">
        <is>
          <t>HOSP-3</t>
        </is>
      </c>
      <c r="C324" t="inlineStr">
        <is>
          <t>SS-01090</t>
        </is>
      </c>
      <c r="D324" t="n">
        <v>12</v>
      </c>
      <c r="E324" t="n">
        <v>0</v>
      </c>
      <c r="G324">
        <f>IF(AND(A324&gt;=Inputs!$B$5,A324&lt;=Inputs!$B$6),1,0)</f>
        <v/>
      </c>
    </row>
    <row r="325">
      <c r="A325" t="inlineStr">
        <is>
          <t>2026-02</t>
        </is>
      </c>
      <c r="B325" t="inlineStr">
        <is>
          <t>HOSP-4</t>
        </is>
      </c>
      <c r="C325" t="inlineStr">
        <is>
          <t>SS-01091</t>
        </is>
      </c>
      <c r="D325" t="n">
        <v>108</v>
      </c>
      <c r="E325" t="n">
        <v>0</v>
      </c>
      <c r="G325">
        <f>IF(AND(A325&gt;=Inputs!$B$5,A325&lt;=Inputs!$B$6),1,0)</f>
        <v/>
      </c>
    </row>
    <row r="326">
      <c r="A326" t="inlineStr">
        <is>
          <t>2026-02</t>
        </is>
      </c>
      <c r="B326" t="inlineStr">
        <is>
          <t>HOSP-1</t>
        </is>
      </c>
      <c r="C326" t="inlineStr">
        <is>
          <t>SS-01092</t>
        </is>
      </c>
      <c r="D326" t="n">
        <v>12</v>
      </c>
      <c r="E326" t="n">
        <v>0</v>
      </c>
      <c r="G326">
        <f>IF(AND(A326&gt;=Inputs!$B$5,A326&lt;=Inputs!$B$6),1,0)</f>
        <v/>
      </c>
    </row>
    <row r="327">
      <c r="A327" t="inlineStr">
        <is>
          <t>2026-02</t>
        </is>
      </c>
      <c r="B327" t="inlineStr">
        <is>
          <t>HOSP-2</t>
        </is>
      </c>
      <c r="C327" t="inlineStr">
        <is>
          <t>SS-01006</t>
        </is>
      </c>
      <c r="D327" t="n">
        <v>20</v>
      </c>
      <c r="E327" t="n">
        <v>2</v>
      </c>
      <c r="G327">
        <f>IF(AND(A327&gt;=Inputs!$B$5,A327&lt;=Inputs!$B$6),1,0)</f>
        <v/>
      </c>
    </row>
    <row r="328">
      <c r="A328" t="inlineStr">
        <is>
          <t>2026-02</t>
        </is>
      </c>
      <c r="B328" t="inlineStr">
        <is>
          <t>HOSP-3</t>
        </is>
      </c>
      <c r="C328" t="inlineStr">
        <is>
          <t>SS-01094</t>
        </is>
      </c>
      <c r="D328" t="n">
        <v>0</v>
      </c>
      <c r="E328" t="n">
        <v>0</v>
      </c>
      <c r="G328">
        <f>IF(AND(A328&gt;=Inputs!$B$5,A328&lt;=Inputs!$B$6),1,0)</f>
        <v/>
      </c>
    </row>
    <row r="329">
      <c r="A329" t="inlineStr">
        <is>
          <t>2026-02</t>
        </is>
      </c>
      <c r="B329" t="inlineStr">
        <is>
          <t>HOSP-4</t>
        </is>
      </c>
      <c r="C329" t="inlineStr">
        <is>
          <t>SS-01095</t>
        </is>
      </c>
      <c r="D329" t="n">
        <v>12</v>
      </c>
      <c r="E329" t="n">
        <v>0</v>
      </c>
      <c r="G329">
        <f>IF(AND(A329&gt;=Inputs!$B$5,A329&lt;=Inputs!$B$6),1,0)</f>
        <v/>
      </c>
    </row>
    <row r="330">
      <c r="A330" t="inlineStr">
        <is>
          <t>2026-02</t>
        </is>
      </c>
      <c r="B330" t="inlineStr">
        <is>
          <t>HOSP-1</t>
        </is>
      </c>
      <c r="C330" t="inlineStr">
        <is>
          <t>SS-01096</t>
        </is>
      </c>
      <c r="D330" t="n">
        <v>29</v>
      </c>
      <c r="E330" t="n">
        <v>0</v>
      </c>
      <c r="G330">
        <f>IF(AND(A330&gt;=Inputs!$B$5,A330&lt;=Inputs!$B$6),1,0)</f>
        <v/>
      </c>
    </row>
    <row r="331">
      <c r="A331" t="inlineStr">
        <is>
          <t>2026-02</t>
        </is>
      </c>
      <c r="B331" t="inlineStr">
        <is>
          <t>HOSP-2</t>
        </is>
      </c>
      <c r="C331" t="inlineStr">
        <is>
          <t>SS-01097</t>
        </is>
      </c>
      <c r="D331" t="n">
        <v>12</v>
      </c>
      <c r="E331" t="n">
        <v>0</v>
      </c>
      <c r="G331">
        <f>IF(AND(A331&gt;=Inputs!$B$5,A331&lt;=Inputs!$B$6),1,0)</f>
        <v/>
      </c>
    </row>
    <row r="332">
      <c r="A332" t="inlineStr">
        <is>
          <t>2026-02</t>
        </is>
      </c>
      <c r="B332" t="inlineStr">
        <is>
          <t>HOSP-3</t>
        </is>
      </c>
      <c r="C332" t="inlineStr">
        <is>
          <t>SS-01098</t>
        </is>
      </c>
      <c r="D332" t="n">
        <v>0</v>
      </c>
      <c r="E332" t="n">
        <v>0</v>
      </c>
      <c r="G332">
        <f>IF(AND(A332&gt;=Inputs!$B$5,A332&lt;=Inputs!$B$6),1,0)</f>
        <v/>
      </c>
    </row>
    <row r="333">
      <c r="A333" t="inlineStr">
        <is>
          <t>2026-02</t>
        </is>
      </c>
      <c r="B333" t="inlineStr">
        <is>
          <t>HOSP-4</t>
        </is>
      </c>
      <c r="C333" t="inlineStr">
        <is>
          <t>SS-01099</t>
        </is>
      </c>
      <c r="D333" t="n">
        <v>12</v>
      </c>
      <c r="E333" t="n">
        <v>0</v>
      </c>
      <c r="G333">
        <f>IF(AND(A333&gt;=Inputs!$B$5,A333&lt;=Inputs!$B$6),1,0)</f>
        <v/>
      </c>
    </row>
    <row r="334">
      <c r="A334" t="inlineStr">
        <is>
          <t>2026-02</t>
        </is>
      </c>
      <c r="B334" t="inlineStr">
        <is>
          <t>HOSP-1</t>
        </is>
      </c>
      <c r="C334" t="inlineStr">
        <is>
          <t>SS-01103</t>
        </is>
      </c>
      <c r="D334" t="n">
        <v>12</v>
      </c>
      <c r="E334" t="n">
        <v>0</v>
      </c>
      <c r="G334">
        <f>IF(AND(A334&gt;=Inputs!$B$5,A334&lt;=Inputs!$B$6),1,0)</f>
        <v/>
      </c>
    </row>
    <row r="335">
      <c r="A335" t="inlineStr">
        <is>
          <t>2026-02</t>
        </is>
      </c>
      <c r="B335" t="inlineStr">
        <is>
          <t>HOSP-2</t>
        </is>
      </c>
      <c r="C335" t="inlineStr">
        <is>
          <t>SS-01101</t>
        </is>
      </c>
      <c r="D335" t="n">
        <v>0</v>
      </c>
      <c r="E335" t="n">
        <v>0</v>
      </c>
      <c r="G335">
        <f>IF(AND(A335&gt;=Inputs!$B$5,A335&lt;=Inputs!$B$6),1,0)</f>
        <v/>
      </c>
    </row>
    <row r="336">
      <c r="A336" t="inlineStr">
        <is>
          <t>2026-02</t>
        </is>
      </c>
      <c r="B336" t="inlineStr">
        <is>
          <t>HOSP-3</t>
        </is>
      </c>
      <c r="C336" t="inlineStr">
        <is>
          <t>SS-01102</t>
        </is>
      </c>
      <c r="D336" t="n">
        <v>0</v>
      </c>
      <c r="E336" t="n">
        <v>0</v>
      </c>
      <c r="G336">
        <f>IF(AND(A336&gt;=Inputs!$B$5,A336&lt;=Inputs!$B$6),1,0)</f>
        <v/>
      </c>
    </row>
    <row r="337">
      <c r="A337" t="inlineStr">
        <is>
          <t>2026-02</t>
        </is>
      </c>
      <c r="B337" t="inlineStr">
        <is>
          <t>HOSP-4</t>
        </is>
      </c>
      <c r="C337" t="inlineStr">
        <is>
          <t>SS-01103</t>
        </is>
      </c>
      <c r="D337" t="n">
        <v>12</v>
      </c>
      <c r="E337" t="n">
        <v>0</v>
      </c>
      <c r="G337">
        <f>IF(AND(A337&gt;=Inputs!$B$5,A337&lt;=Inputs!$B$6),1,0)</f>
        <v/>
      </c>
    </row>
    <row r="338">
      <c r="A338" t="inlineStr">
        <is>
          <t>2026-02</t>
        </is>
      </c>
      <c r="B338" t="inlineStr">
        <is>
          <t>HOSP-1</t>
        </is>
      </c>
      <c r="C338" t="inlineStr">
        <is>
          <t>SS-01104</t>
        </is>
      </c>
      <c r="D338" t="n">
        <v>60</v>
      </c>
      <c r="E338" t="n">
        <v>0</v>
      </c>
      <c r="G338">
        <f>IF(AND(A338&gt;=Inputs!$B$5,A338&lt;=Inputs!$B$6),1,0)</f>
        <v/>
      </c>
    </row>
    <row r="339">
      <c r="A339" t="inlineStr">
        <is>
          <t>2026-02</t>
        </is>
      </c>
      <c r="B339" t="inlineStr">
        <is>
          <t>HOSP-2</t>
        </is>
      </c>
      <c r="C339" t="inlineStr">
        <is>
          <t>SS-01105</t>
        </is>
      </c>
      <c r="D339" t="n">
        <v>7</v>
      </c>
      <c r="E339" t="n">
        <v>0</v>
      </c>
      <c r="G339">
        <f>IF(AND(A339&gt;=Inputs!$B$5,A339&lt;=Inputs!$B$6),1,0)</f>
        <v/>
      </c>
    </row>
    <row r="340">
      <c r="A340" t="inlineStr">
        <is>
          <t>2026-02</t>
        </is>
      </c>
      <c r="B340" t="inlineStr">
        <is>
          <t>HOSP-3</t>
        </is>
      </c>
      <c r="C340" t="inlineStr">
        <is>
          <t>SS-01106</t>
        </is>
      </c>
      <c r="D340" t="n">
        <v>16</v>
      </c>
      <c r="E340" t="n">
        <v>0</v>
      </c>
      <c r="G340">
        <f>IF(AND(A340&gt;=Inputs!$B$5,A340&lt;=Inputs!$B$6),1,0)</f>
        <v/>
      </c>
    </row>
    <row r="341">
      <c r="A341" t="inlineStr">
        <is>
          <t>2026-02</t>
        </is>
      </c>
      <c r="B341" t="inlineStr">
        <is>
          <t>HOSP-4</t>
        </is>
      </c>
      <c r="C341" t="inlineStr">
        <is>
          <t>SS-01107</t>
        </is>
      </c>
      <c r="D341" t="n">
        <v>0</v>
      </c>
      <c r="E341" t="n">
        <v>0</v>
      </c>
      <c r="G341">
        <f>IF(AND(A341&gt;=Inputs!$B$5,A341&lt;=Inputs!$B$6),1,0)</f>
        <v/>
      </c>
    </row>
    <row r="342">
      <c r="A342" t="inlineStr">
        <is>
          <t>2026-02</t>
        </is>
      </c>
      <c r="B342" t="inlineStr">
        <is>
          <t>HOSP-1</t>
        </is>
      </c>
      <c r="C342" t="inlineStr">
        <is>
          <t>SS-01108</t>
        </is>
      </c>
      <c r="D342" t="n">
        <v>108</v>
      </c>
      <c r="E342" t="n">
        <v>0</v>
      </c>
      <c r="G342">
        <f>IF(AND(A342&gt;=Inputs!$B$5,A342&lt;=Inputs!$B$6),1,0)</f>
        <v/>
      </c>
    </row>
    <row r="343">
      <c r="A343" t="inlineStr">
        <is>
          <t>2026-02</t>
        </is>
      </c>
      <c r="B343" t="inlineStr">
        <is>
          <t>HOSP-2</t>
        </is>
      </c>
      <c r="C343" t="inlineStr">
        <is>
          <t>SS-01018</t>
        </is>
      </c>
      <c r="D343" t="n">
        <v>576</v>
      </c>
      <c r="E343" t="n">
        <v>0</v>
      </c>
      <c r="G343">
        <f>IF(AND(A343&gt;=Inputs!$B$5,A343&lt;=Inputs!$B$6),1,0)</f>
        <v/>
      </c>
    </row>
    <row r="344">
      <c r="A344" t="inlineStr">
        <is>
          <t>2026-02</t>
        </is>
      </c>
      <c r="B344" t="inlineStr">
        <is>
          <t>HOSP-3</t>
        </is>
      </c>
      <c r="C344" t="inlineStr">
        <is>
          <t>SS-01110</t>
        </is>
      </c>
      <c r="D344" t="n">
        <v>0</v>
      </c>
      <c r="E344" t="n">
        <v>0</v>
      </c>
      <c r="G344">
        <f>IF(AND(A344&gt;=Inputs!$B$5,A344&lt;=Inputs!$B$6),1,0)</f>
        <v/>
      </c>
    </row>
    <row r="345">
      <c r="A345" t="inlineStr">
        <is>
          <t>2026-02</t>
        </is>
      </c>
      <c r="B345" t="inlineStr">
        <is>
          <t>HOSP-4</t>
        </is>
      </c>
      <c r="C345" t="inlineStr">
        <is>
          <t>SS-01111</t>
        </is>
      </c>
      <c r="D345" t="n">
        <v>0</v>
      </c>
      <c r="E345" t="n">
        <v>1</v>
      </c>
      <c r="G345">
        <f>IF(AND(A345&gt;=Inputs!$B$5,A345&lt;=Inputs!$B$6),1,0)</f>
        <v/>
      </c>
    </row>
    <row r="346">
      <c r="A346" t="inlineStr">
        <is>
          <t>2026-02</t>
        </is>
      </c>
      <c r="B346" t="inlineStr">
        <is>
          <t>HOSP-1</t>
        </is>
      </c>
      <c r="C346" t="inlineStr">
        <is>
          <t>SS-01112</t>
        </is>
      </c>
      <c r="D346" t="n">
        <v>65</v>
      </c>
      <c r="E346" t="n">
        <v>1</v>
      </c>
      <c r="G346">
        <f>IF(AND(A346&gt;=Inputs!$B$5,A346&lt;=Inputs!$B$6),1,0)</f>
        <v/>
      </c>
    </row>
    <row r="347">
      <c r="A347" t="inlineStr">
        <is>
          <t>2026-02</t>
        </is>
      </c>
      <c r="B347" t="inlineStr">
        <is>
          <t>HOSP-2</t>
        </is>
      </c>
      <c r="C347" t="inlineStr">
        <is>
          <t>SS-01113</t>
        </is>
      </c>
      <c r="D347" t="n">
        <v>0</v>
      </c>
      <c r="E347" t="n">
        <v>0</v>
      </c>
      <c r="G347">
        <f>IF(AND(A347&gt;=Inputs!$B$5,A347&lt;=Inputs!$B$6),1,0)</f>
        <v/>
      </c>
    </row>
    <row r="348">
      <c r="A348" t="inlineStr">
        <is>
          <t>2026-02</t>
        </is>
      </c>
      <c r="B348" t="inlineStr">
        <is>
          <t>HOSP-3</t>
        </is>
      </c>
      <c r="C348" t="inlineStr">
        <is>
          <t>SS-01114</t>
        </is>
      </c>
      <c r="D348" t="n">
        <v>36</v>
      </c>
      <c r="E348" t="n">
        <v>0</v>
      </c>
      <c r="F348" t="inlineStr">
        <is>
          <t>surge</t>
        </is>
      </c>
      <c r="G348">
        <f>IF(AND(A348&gt;=Inputs!$B$5,A348&lt;=Inputs!$B$6),1,0)</f>
        <v/>
      </c>
    </row>
    <row r="349">
      <c r="A349" t="inlineStr">
        <is>
          <t>2026-02</t>
        </is>
      </c>
      <c r="B349" t="inlineStr">
        <is>
          <t>HOSP-4</t>
        </is>
      </c>
      <c r="C349" t="inlineStr">
        <is>
          <t>SS-01115</t>
        </is>
      </c>
      <c r="D349" t="n">
        <v>13</v>
      </c>
      <c r="E349" t="n">
        <v>0</v>
      </c>
      <c r="G349">
        <f>IF(AND(A349&gt;=Inputs!$B$5,A349&lt;=Inputs!$B$6),1,0)</f>
        <v/>
      </c>
    </row>
    <row r="350">
      <c r="A350" t="inlineStr">
        <is>
          <t>2026-02</t>
        </is>
      </c>
      <c r="B350" t="inlineStr">
        <is>
          <t>HOSP-1</t>
        </is>
      </c>
      <c r="C350" t="inlineStr">
        <is>
          <t>SS-01116</t>
        </is>
      </c>
      <c r="D350" t="n">
        <v>24</v>
      </c>
      <c r="E350" t="n">
        <v>0</v>
      </c>
      <c r="G350">
        <f>IF(AND(A350&gt;=Inputs!$B$5,A350&lt;=Inputs!$B$6),1,0)</f>
        <v/>
      </c>
    </row>
    <row r="351">
      <c r="A351" t="inlineStr">
        <is>
          <t>2026-02</t>
        </is>
      </c>
      <c r="B351" t="inlineStr">
        <is>
          <t>HOSP-2</t>
        </is>
      </c>
      <c r="C351" t="inlineStr">
        <is>
          <t>SS-01117</t>
        </is>
      </c>
      <c r="D351" t="n">
        <v>300</v>
      </c>
      <c r="E351" t="n">
        <v>0</v>
      </c>
      <c r="G351">
        <f>IF(AND(A351&gt;=Inputs!$B$5,A351&lt;=Inputs!$B$6),1,0)</f>
        <v/>
      </c>
    </row>
    <row r="352">
      <c r="A352" t="inlineStr">
        <is>
          <t>2026-02</t>
        </is>
      </c>
      <c r="B352" t="inlineStr">
        <is>
          <t>HOSP-3</t>
        </is>
      </c>
      <c r="C352" t="inlineStr">
        <is>
          <t>SS-01118</t>
        </is>
      </c>
      <c r="D352" t="n">
        <v>0</v>
      </c>
      <c r="E352" t="n">
        <v>0</v>
      </c>
      <c r="G352">
        <f>IF(AND(A352&gt;=Inputs!$B$5,A352&lt;=Inputs!$B$6),1,0)</f>
        <v/>
      </c>
    </row>
    <row r="353">
      <c r="A353" t="inlineStr">
        <is>
          <t>2026-02</t>
        </is>
      </c>
      <c r="B353" t="inlineStr">
        <is>
          <t>HOSP-4</t>
        </is>
      </c>
      <c r="C353" t="inlineStr">
        <is>
          <t>SS-01119</t>
        </is>
      </c>
      <c r="D353" t="n">
        <v>2</v>
      </c>
      <c r="E353" t="n">
        <v>1</v>
      </c>
      <c r="G353">
        <f>IF(AND(A353&gt;=Inputs!$B$5,A353&lt;=Inputs!$B$6),1,0)</f>
        <v/>
      </c>
    </row>
    <row r="354">
      <c r="A354" t="inlineStr">
        <is>
          <t>2026-02</t>
        </is>
      </c>
      <c r="B354" t="inlineStr">
        <is>
          <t>HOSP-1</t>
        </is>
      </c>
      <c r="C354" t="inlineStr">
        <is>
          <t>SS-01120</t>
        </is>
      </c>
      <c r="D354" t="n">
        <v>60</v>
      </c>
      <c r="E354" t="n">
        <v>0</v>
      </c>
      <c r="G354">
        <f>IF(AND(A354&gt;=Inputs!$B$5,A354&lt;=Inputs!$B$6),1,0)</f>
        <v/>
      </c>
    </row>
    <row r="355">
      <c r="A355" t="inlineStr">
        <is>
          <t>2026-02</t>
        </is>
      </c>
      <c r="B355" t="inlineStr">
        <is>
          <t>HOSP-2</t>
        </is>
      </c>
      <c r="C355" t="inlineStr">
        <is>
          <t>SS-01121</t>
        </is>
      </c>
      <c r="D355" t="n">
        <v>18</v>
      </c>
      <c r="E355" t="n">
        <v>0</v>
      </c>
      <c r="G355">
        <f>IF(AND(A355&gt;=Inputs!$B$5,A355&lt;=Inputs!$B$6),1,0)</f>
        <v/>
      </c>
    </row>
    <row r="356">
      <c r="A356" t="inlineStr">
        <is>
          <t>2026-02</t>
        </is>
      </c>
      <c r="B356" t="inlineStr">
        <is>
          <t>HOSP-3</t>
        </is>
      </c>
      <c r="C356" t="inlineStr">
        <is>
          <t>SS-01122</t>
        </is>
      </c>
      <c r="D356" t="n">
        <v>2</v>
      </c>
      <c r="E356" t="n">
        <v>3</v>
      </c>
      <c r="G356">
        <f>IF(AND(A356&gt;=Inputs!$B$5,A356&lt;=Inputs!$B$6),1,0)</f>
        <v/>
      </c>
    </row>
    <row r="357">
      <c r="A357" t="inlineStr">
        <is>
          <t>2026-02</t>
        </is>
      </c>
      <c r="B357" t="inlineStr">
        <is>
          <t>HOSP-4</t>
        </is>
      </c>
      <c r="C357" t="inlineStr">
        <is>
          <t>SS-01123</t>
        </is>
      </c>
      <c r="D357" t="n">
        <v>24</v>
      </c>
      <c r="E357" t="n">
        <v>0</v>
      </c>
      <c r="G357">
        <f>IF(AND(A357&gt;=Inputs!$B$5,A357&lt;=Inputs!$B$6),1,0)</f>
        <v/>
      </c>
    </row>
    <row r="358">
      <c r="A358" t="inlineStr">
        <is>
          <t>2026-02</t>
        </is>
      </c>
      <c r="B358" t="inlineStr">
        <is>
          <t>HOSP-1</t>
        </is>
      </c>
      <c r="C358" t="inlineStr">
        <is>
          <t>SS-01124</t>
        </is>
      </c>
      <c r="D358" t="n">
        <v>0</v>
      </c>
      <c r="E358" t="n">
        <v>0</v>
      </c>
      <c r="G358">
        <f>IF(AND(A358&gt;=Inputs!$B$5,A358&lt;=Inputs!$B$6),1,0)</f>
        <v/>
      </c>
    </row>
    <row r="359">
      <c r="A359" t="inlineStr">
        <is>
          <t>2026-02</t>
        </is>
      </c>
      <c r="B359" t="inlineStr">
        <is>
          <t>HOSP-2</t>
        </is>
      </c>
      <c r="C359" t="inlineStr">
        <is>
          <t>SS-01125</t>
        </is>
      </c>
      <c r="D359" t="n">
        <v>156</v>
      </c>
      <c r="E359" t="n">
        <v>0</v>
      </c>
      <c r="G359">
        <f>IF(AND(A359&gt;=Inputs!$B$5,A359&lt;=Inputs!$B$6),1,0)</f>
        <v/>
      </c>
    </row>
    <row r="360">
      <c r="A360" t="inlineStr">
        <is>
          <t>2026-02</t>
        </is>
      </c>
      <c r="B360" t="inlineStr">
        <is>
          <t>HOSP-3</t>
        </is>
      </c>
      <c r="C360" t="inlineStr">
        <is>
          <t>SS-01126</t>
        </is>
      </c>
      <c r="D360" t="n">
        <v>96</v>
      </c>
      <c r="E360" t="n">
        <v>0</v>
      </c>
      <c r="G360">
        <f>IF(AND(A360&gt;=Inputs!$B$5,A360&lt;=Inputs!$B$6),1,0)</f>
        <v/>
      </c>
    </row>
    <row r="361">
      <c r="A361" t="inlineStr">
        <is>
          <t>2026-02</t>
        </is>
      </c>
      <c r="B361" t="inlineStr">
        <is>
          <t>HOSP-4</t>
        </is>
      </c>
      <c r="C361" t="inlineStr">
        <is>
          <t>SS-01137</t>
        </is>
      </c>
      <c r="D361" t="n">
        <v>24</v>
      </c>
      <c r="E361" t="n">
        <v>0</v>
      </c>
      <c r="G361">
        <f>IF(AND(A361&gt;=Inputs!$B$5,A361&lt;=Inputs!$B$6),1,0)</f>
        <v/>
      </c>
    </row>
    <row r="362">
      <c r="A362" t="inlineStr">
        <is>
          <t>2026-02</t>
        </is>
      </c>
      <c r="B362" t="inlineStr">
        <is>
          <t>HOSP-1</t>
        </is>
      </c>
      <c r="C362" t="inlineStr">
        <is>
          <t>SS-01128</t>
        </is>
      </c>
      <c r="D362" t="n">
        <v>0</v>
      </c>
      <c r="E362" t="n">
        <v>0</v>
      </c>
      <c r="G362">
        <f>IF(AND(A362&gt;=Inputs!$B$5,A362&lt;=Inputs!$B$6),1,0)</f>
        <v/>
      </c>
    </row>
    <row r="363">
      <c r="A363" t="inlineStr">
        <is>
          <t>2026-02</t>
        </is>
      </c>
      <c r="B363" t="inlineStr">
        <is>
          <t>HOSP-2</t>
        </is>
      </c>
      <c r="C363" t="inlineStr">
        <is>
          <t>SS-01129</t>
        </is>
      </c>
      <c r="D363" t="n">
        <v>0</v>
      </c>
      <c r="E363" t="n">
        <v>0</v>
      </c>
      <c r="G363">
        <f>IF(AND(A363&gt;=Inputs!$B$5,A363&lt;=Inputs!$B$6),1,0)</f>
        <v/>
      </c>
    </row>
    <row r="364">
      <c r="A364" t="inlineStr">
        <is>
          <t>2026-02</t>
        </is>
      </c>
      <c r="B364" t="inlineStr">
        <is>
          <t>HOSP-3</t>
        </is>
      </c>
      <c r="C364" t="inlineStr">
        <is>
          <t>SS-01130</t>
        </is>
      </c>
      <c r="D364" t="n">
        <v>0</v>
      </c>
      <c r="E364" t="n">
        <v>0</v>
      </c>
      <c r="G364">
        <f>IF(AND(A364&gt;=Inputs!$B$5,A364&lt;=Inputs!$B$6),1,0)</f>
        <v/>
      </c>
    </row>
    <row r="365">
      <c r="A365" t="inlineStr">
        <is>
          <t>2026-02</t>
        </is>
      </c>
      <c r="B365" t="inlineStr">
        <is>
          <t>HOSP-4</t>
        </is>
      </c>
      <c r="C365" t="inlineStr">
        <is>
          <t>SS-01131</t>
        </is>
      </c>
      <c r="D365" t="n">
        <v>8</v>
      </c>
      <c r="E365" t="n">
        <v>1</v>
      </c>
      <c r="G365">
        <f>IF(AND(A365&gt;=Inputs!$B$5,A365&lt;=Inputs!$B$6),1,0)</f>
        <v/>
      </c>
    </row>
    <row r="366">
      <c r="A366" t="inlineStr">
        <is>
          <t>2026-02</t>
        </is>
      </c>
      <c r="B366" t="inlineStr">
        <is>
          <t>HOSP-1</t>
        </is>
      </c>
      <c r="C366" t="inlineStr">
        <is>
          <t>SS-01132</t>
        </is>
      </c>
      <c r="D366" t="n">
        <v>0</v>
      </c>
      <c r="E366" t="n">
        <v>0</v>
      </c>
      <c r="G366">
        <f>IF(AND(A366&gt;=Inputs!$B$5,A366&lt;=Inputs!$B$6),1,0)</f>
        <v/>
      </c>
    </row>
    <row r="367">
      <c r="A367" t="inlineStr">
        <is>
          <t>2026-02</t>
        </is>
      </c>
      <c r="B367" t="inlineStr">
        <is>
          <t>HOSP-2</t>
        </is>
      </c>
      <c r="C367" t="inlineStr">
        <is>
          <t>SS-01133</t>
        </is>
      </c>
      <c r="D367" t="n">
        <v>0</v>
      </c>
      <c r="E367" t="n">
        <v>0</v>
      </c>
      <c r="G367">
        <f>IF(AND(A367&gt;=Inputs!$B$5,A367&lt;=Inputs!$B$6),1,0)</f>
        <v/>
      </c>
    </row>
    <row r="368">
      <c r="A368" t="inlineStr">
        <is>
          <t>2026-02</t>
        </is>
      </c>
      <c r="B368" t="inlineStr">
        <is>
          <t>HOSP-3</t>
        </is>
      </c>
      <c r="C368" t="inlineStr">
        <is>
          <t>SS-01134</t>
        </is>
      </c>
      <c r="D368" t="n">
        <v>36</v>
      </c>
      <c r="E368" t="n">
        <v>0</v>
      </c>
      <c r="G368">
        <f>IF(AND(A368&gt;=Inputs!$B$5,A368&lt;=Inputs!$B$6),1,0)</f>
        <v/>
      </c>
    </row>
    <row r="369">
      <c r="A369" t="inlineStr">
        <is>
          <t>2026-02</t>
        </is>
      </c>
      <c r="B369" t="inlineStr">
        <is>
          <t>HOSP-4</t>
        </is>
      </c>
      <c r="C369" t="inlineStr">
        <is>
          <t>SS-01135</t>
        </is>
      </c>
      <c r="D369" t="n">
        <v>0</v>
      </c>
      <c r="E369" t="n">
        <v>0</v>
      </c>
      <c r="G369">
        <f>IF(AND(A369&gt;=Inputs!$B$5,A369&lt;=Inputs!$B$6),1,0)</f>
        <v/>
      </c>
    </row>
    <row r="370">
      <c r="A370" t="inlineStr">
        <is>
          <t>2026-02</t>
        </is>
      </c>
      <c r="B370" t="inlineStr">
        <is>
          <t>HOSP-1</t>
        </is>
      </c>
      <c r="C370" t="inlineStr">
        <is>
          <t>SS-01136</t>
        </is>
      </c>
      <c r="D370" t="n">
        <v>48</v>
      </c>
      <c r="E370" t="n">
        <v>0</v>
      </c>
      <c r="G370">
        <f>IF(AND(A370&gt;=Inputs!$B$5,A370&lt;=Inputs!$B$6),1,0)</f>
        <v/>
      </c>
    </row>
    <row r="371">
      <c r="A371" t="inlineStr">
        <is>
          <t>2026-02</t>
        </is>
      </c>
      <c r="B371" t="inlineStr">
        <is>
          <t>HOSP-2</t>
        </is>
      </c>
      <c r="C371" t="inlineStr">
        <is>
          <t>SS-01137</t>
        </is>
      </c>
      <c r="D371" t="n">
        <v>1</v>
      </c>
      <c r="E371" t="n">
        <v>3</v>
      </c>
      <c r="G371">
        <f>IF(AND(A371&gt;=Inputs!$B$5,A371&lt;=Inputs!$B$6),1,0)</f>
        <v/>
      </c>
    </row>
    <row r="372">
      <c r="A372" t="inlineStr">
        <is>
          <t>2026-02</t>
        </is>
      </c>
      <c r="B372" t="inlineStr">
        <is>
          <t>HOSP-3</t>
        </is>
      </c>
      <c r="C372" t="inlineStr">
        <is>
          <t>SS-01138</t>
        </is>
      </c>
      <c r="D372" t="n">
        <v>24</v>
      </c>
      <c r="E372" t="n">
        <v>0</v>
      </c>
      <c r="G372">
        <f>IF(AND(A372&gt;=Inputs!$B$5,A372&lt;=Inputs!$B$6),1,0)</f>
        <v/>
      </c>
    </row>
    <row r="373">
      <c r="A373" t="inlineStr">
        <is>
          <t>2026-02</t>
        </is>
      </c>
      <c r="B373" t="inlineStr">
        <is>
          <t>HOSP-4</t>
        </is>
      </c>
      <c r="C373" t="inlineStr">
        <is>
          <t>SS-01139</t>
        </is>
      </c>
      <c r="D373" t="n">
        <v>12</v>
      </c>
      <c r="E373" t="n">
        <v>0</v>
      </c>
      <c r="G373">
        <f>IF(AND(A373&gt;=Inputs!$B$5,A373&lt;=Inputs!$B$6),1,0)</f>
        <v/>
      </c>
    </row>
    <row r="374">
      <c r="A374" t="inlineStr">
        <is>
          <t>2026-02</t>
        </is>
      </c>
      <c r="B374" t="inlineStr">
        <is>
          <t>HOSP-1</t>
        </is>
      </c>
      <c r="C374" t="inlineStr">
        <is>
          <t>SS-01140</t>
        </is>
      </c>
      <c r="D374" t="n">
        <v>20</v>
      </c>
      <c r="E374" t="n">
        <v>0</v>
      </c>
      <c r="G374">
        <f>IF(AND(A374&gt;=Inputs!$B$5,A374&lt;=Inputs!$B$6),1,0)</f>
        <v/>
      </c>
    </row>
    <row r="375">
      <c r="A375" t="inlineStr">
        <is>
          <t>2026-02</t>
        </is>
      </c>
      <c r="B375" t="inlineStr">
        <is>
          <t>HOSP-2</t>
        </is>
      </c>
      <c r="C375" t="inlineStr">
        <is>
          <t>SS-01141</t>
        </is>
      </c>
      <c r="D375" t="n">
        <v>0</v>
      </c>
      <c r="E375" t="n">
        <v>0</v>
      </c>
      <c r="G375">
        <f>IF(AND(A375&gt;=Inputs!$B$5,A375&lt;=Inputs!$B$6),1,0)</f>
        <v/>
      </c>
    </row>
    <row r="376">
      <c r="A376" t="inlineStr">
        <is>
          <t>2026-02</t>
        </is>
      </c>
      <c r="B376" t="inlineStr">
        <is>
          <t>HOSP-3</t>
        </is>
      </c>
      <c r="C376" t="inlineStr">
        <is>
          <t>SS-01142</t>
        </is>
      </c>
      <c r="D376" t="n">
        <v>72</v>
      </c>
      <c r="E376" t="n">
        <v>0</v>
      </c>
      <c r="G376">
        <f>IF(AND(A376&gt;=Inputs!$B$5,A376&lt;=Inputs!$B$6),1,0)</f>
        <v/>
      </c>
    </row>
    <row r="377">
      <c r="A377" t="inlineStr">
        <is>
          <t>2026-02</t>
        </is>
      </c>
      <c r="B377" t="inlineStr">
        <is>
          <t>HOSP-4</t>
        </is>
      </c>
      <c r="C377" t="inlineStr">
        <is>
          <t>SS-01143</t>
        </is>
      </c>
      <c r="D377" t="n">
        <v>12</v>
      </c>
      <c r="E377" t="n">
        <v>0</v>
      </c>
      <c r="G377">
        <f>IF(AND(A377&gt;=Inputs!$B$5,A377&lt;=Inputs!$B$6),1,0)</f>
        <v/>
      </c>
    </row>
    <row r="378">
      <c r="A378" t="inlineStr">
        <is>
          <t>2026-02</t>
        </is>
      </c>
      <c r="B378" t="inlineStr">
        <is>
          <t>HOSP-1</t>
        </is>
      </c>
      <c r="C378" t="inlineStr">
        <is>
          <t>SS-01144</t>
        </is>
      </c>
      <c r="D378" t="n">
        <v>0</v>
      </c>
      <c r="E378" t="n">
        <v>0</v>
      </c>
      <c r="G378">
        <f>IF(AND(A378&gt;=Inputs!$B$5,A378&lt;=Inputs!$B$6),1,0)</f>
        <v/>
      </c>
    </row>
    <row r="379">
      <c r="A379" t="inlineStr">
        <is>
          <t>2026-02</t>
        </is>
      </c>
      <c r="B379" t="inlineStr">
        <is>
          <t>HOSP-2</t>
        </is>
      </c>
      <c r="C379" t="inlineStr">
        <is>
          <t>SS-01145</t>
        </is>
      </c>
      <c r="D379" t="n">
        <v>12</v>
      </c>
      <c r="E379" t="n">
        <v>0</v>
      </c>
      <c r="G379">
        <f>IF(AND(A379&gt;=Inputs!$B$5,A379&lt;=Inputs!$B$6),1,0)</f>
        <v/>
      </c>
    </row>
    <row r="380">
      <c r="A380" t="inlineStr">
        <is>
          <t>2026-02</t>
        </is>
      </c>
      <c r="B380" t="inlineStr">
        <is>
          <t>HOSP-3</t>
        </is>
      </c>
      <c r="C380" t="inlineStr">
        <is>
          <t>SS-01146</t>
        </is>
      </c>
      <c r="D380" t="n">
        <v>10</v>
      </c>
      <c r="E380" t="n">
        <v>0</v>
      </c>
      <c r="G380">
        <f>IF(AND(A380&gt;=Inputs!$B$5,A380&lt;=Inputs!$B$6),1,0)</f>
        <v/>
      </c>
    </row>
    <row r="381">
      <c r="A381" t="inlineStr">
        <is>
          <t>2026-02</t>
        </is>
      </c>
      <c r="B381" t="inlineStr">
        <is>
          <t>HOSP-4</t>
        </is>
      </c>
      <c r="C381" t="inlineStr">
        <is>
          <t>SS-01147</t>
        </is>
      </c>
      <c r="D381" t="n">
        <v>0</v>
      </c>
      <c r="E381" t="n">
        <v>0</v>
      </c>
      <c r="G381">
        <f>IF(AND(A381&gt;=Inputs!$B$5,A381&lt;=Inputs!$B$6),1,0)</f>
        <v/>
      </c>
    </row>
    <row r="382">
      <c r="A382" t="inlineStr">
        <is>
          <t>2026-02</t>
        </is>
      </c>
      <c r="B382" t="inlineStr">
        <is>
          <t>HOSP-1</t>
        </is>
      </c>
      <c r="C382" t="inlineStr">
        <is>
          <t>SS-01148</t>
        </is>
      </c>
      <c r="D382" t="n">
        <v>18</v>
      </c>
      <c r="E382" t="n">
        <v>0</v>
      </c>
      <c r="G382">
        <f>IF(AND(A382&gt;=Inputs!$B$5,A382&lt;=Inputs!$B$6),1,0)</f>
        <v/>
      </c>
    </row>
    <row r="383">
      <c r="A383" t="inlineStr">
        <is>
          <t>2026-02</t>
        </is>
      </c>
      <c r="B383" t="inlineStr">
        <is>
          <t>HOSP-2</t>
        </is>
      </c>
      <c r="C383" t="inlineStr">
        <is>
          <t>SS-01149</t>
        </is>
      </c>
      <c r="D383" t="n">
        <v>13</v>
      </c>
      <c r="E383" t="n">
        <v>0</v>
      </c>
      <c r="G383">
        <f>IF(AND(A383&gt;=Inputs!$B$5,A383&lt;=Inputs!$B$6),1,0)</f>
        <v/>
      </c>
    </row>
    <row r="384">
      <c r="A384" t="inlineStr">
        <is>
          <t>2026-02</t>
        </is>
      </c>
      <c r="B384" t="inlineStr">
        <is>
          <t>HOSP-3</t>
        </is>
      </c>
      <c r="C384" t="inlineStr">
        <is>
          <t>SS-01150</t>
        </is>
      </c>
      <c r="D384" t="n">
        <v>27</v>
      </c>
      <c r="E384" t="n">
        <v>1</v>
      </c>
      <c r="G384">
        <f>IF(AND(A384&gt;=Inputs!$B$5,A384&lt;=Inputs!$B$6),1,0)</f>
        <v/>
      </c>
    </row>
    <row r="385">
      <c r="A385" t="inlineStr">
        <is>
          <t>2026-02</t>
        </is>
      </c>
      <c r="B385" t="inlineStr">
        <is>
          <t>HOSP-4</t>
        </is>
      </c>
      <c r="C385" t="inlineStr">
        <is>
          <t>SS-01151</t>
        </is>
      </c>
      <c r="D385" t="n">
        <v>39</v>
      </c>
      <c r="E385" t="n">
        <v>2</v>
      </c>
      <c r="G385">
        <f>IF(AND(A385&gt;=Inputs!$B$5,A385&lt;=Inputs!$B$6),1,0)</f>
        <v/>
      </c>
    </row>
    <row r="386">
      <c r="A386" t="inlineStr">
        <is>
          <t>2026-02</t>
        </is>
      </c>
      <c r="B386" t="inlineStr">
        <is>
          <t>HOSP-1</t>
        </is>
      </c>
      <c r="C386" t="inlineStr">
        <is>
          <t>SS-01152</t>
        </is>
      </c>
      <c r="D386" t="n">
        <v>0</v>
      </c>
      <c r="E386" t="n">
        <v>0</v>
      </c>
      <c r="G386">
        <f>IF(AND(A386&gt;=Inputs!$B$5,A386&lt;=Inputs!$B$6),1,0)</f>
        <v/>
      </c>
    </row>
    <row r="387">
      <c r="A387" t="inlineStr">
        <is>
          <t>2026-02</t>
        </is>
      </c>
      <c r="B387" t="inlineStr">
        <is>
          <t>HOSP-2</t>
        </is>
      </c>
      <c r="C387" t="inlineStr">
        <is>
          <t>SS-01153</t>
        </is>
      </c>
      <c r="D387" t="n">
        <v>0</v>
      </c>
      <c r="E387" t="n">
        <v>0</v>
      </c>
      <c r="G387">
        <f>IF(AND(A387&gt;=Inputs!$B$5,A387&lt;=Inputs!$B$6),1,0)</f>
        <v/>
      </c>
    </row>
    <row r="388">
      <c r="A388" t="inlineStr">
        <is>
          <t>2026-02</t>
        </is>
      </c>
      <c r="B388" t="inlineStr">
        <is>
          <t>HOSP-3</t>
        </is>
      </c>
      <c r="C388" t="inlineStr">
        <is>
          <t>SS-01154</t>
        </is>
      </c>
      <c r="D388" t="n">
        <v>12</v>
      </c>
      <c r="E388" t="n">
        <v>0</v>
      </c>
      <c r="G388">
        <f>IF(AND(A388&gt;=Inputs!$B$5,A388&lt;=Inputs!$B$6),1,0)</f>
        <v/>
      </c>
    </row>
    <row r="389">
      <c r="A389" t="inlineStr">
        <is>
          <t>2026-02</t>
        </is>
      </c>
      <c r="B389" t="inlineStr">
        <is>
          <t>HOSP-4</t>
        </is>
      </c>
      <c r="C389" t="inlineStr">
        <is>
          <t>SS-01155</t>
        </is>
      </c>
      <c r="D389" t="n">
        <v>36</v>
      </c>
      <c r="E389" t="n">
        <v>0</v>
      </c>
      <c r="G389">
        <f>IF(AND(A389&gt;=Inputs!$B$5,A389&lt;=Inputs!$B$6),1,0)</f>
        <v/>
      </c>
    </row>
    <row r="390">
      <c r="A390" t="inlineStr">
        <is>
          <t>2026-02</t>
        </is>
      </c>
      <c r="B390" t="inlineStr">
        <is>
          <t>HOSP-1</t>
        </is>
      </c>
      <c r="C390" t="inlineStr">
        <is>
          <t>SS-01156</t>
        </is>
      </c>
      <c r="D390" t="n">
        <v>12</v>
      </c>
      <c r="E390" t="n">
        <v>0</v>
      </c>
      <c r="G390">
        <f>IF(AND(A390&gt;=Inputs!$B$5,A390&lt;=Inputs!$B$6),1,0)</f>
        <v/>
      </c>
    </row>
    <row r="391">
      <c r="A391" t="inlineStr">
        <is>
          <t>2026-02</t>
        </is>
      </c>
      <c r="B391" t="inlineStr">
        <is>
          <t>HOSP-2</t>
        </is>
      </c>
      <c r="C391" t="inlineStr">
        <is>
          <t>SS-01157</t>
        </is>
      </c>
      <c r="D391" t="n">
        <v>0</v>
      </c>
      <c r="E391" t="n">
        <v>0</v>
      </c>
      <c r="G391">
        <f>IF(AND(A391&gt;=Inputs!$B$5,A391&lt;=Inputs!$B$6),1,0)</f>
        <v/>
      </c>
    </row>
    <row r="392">
      <c r="A392" t="inlineStr">
        <is>
          <t>2026-02</t>
        </is>
      </c>
      <c r="B392" t="inlineStr">
        <is>
          <t>HOSP-3</t>
        </is>
      </c>
      <c r="C392" t="inlineStr">
        <is>
          <t>SS-01158</t>
        </is>
      </c>
      <c r="D392" t="n">
        <v>0</v>
      </c>
      <c r="E392" t="n">
        <v>1</v>
      </c>
      <c r="G392">
        <f>IF(AND(A392&gt;=Inputs!$B$5,A392&lt;=Inputs!$B$6),1,0)</f>
        <v/>
      </c>
    </row>
    <row r="393">
      <c r="A393" t="inlineStr">
        <is>
          <t>2026-02</t>
        </is>
      </c>
      <c r="B393" t="inlineStr">
        <is>
          <t>HOSP-4</t>
        </is>
      </c>
      <c r="C393" t="inlineStr">
        <is>
          <t>SS-01185</t>
        </is>
      </c>
      <c r="D393" t="n">
        <v>10</v>
      </c>
      <c r="E393" t="n">
        <v>2</v>
      </c>
      <c r="G393">
        <f>IF(AND(A393&gt;=Inputs!$B$5,A393&lt;=Inputs!$B$6),1,0)</f>
        <v/>
      </c>
    </row>
    <row r="394">
      <c r="A394" t="inlineStr">
        <is>
          <t>2026-02</t>
        </is>
      </c>
      <c r="B394" t="inlineStr">
        <is>
          <t>HOSP-1</t>
        </is>
      </c>
      <c r="C394" t="inlineStr">
        <is>
          <t>SS-01160</t>
        </is>
      </c>
      <c r="D394" t="n">
        <v>24</v>
      </c>
      <c r="E394" t="n">
        <v>0</v>
      </c>
      <c r="G394">
        <f>IF(AND(A394&gt;=Inputs!$B$5,A394&lt;=Inputs!$B$6),1,0)</f>
        <v/>
      </c>
    </row>
    <row r="395">
      <c r="A395" t="inlineStr">
        <is>
          <t>2026-02</t>
        </is>
      </c>
      <c r="B395" t="inlineStr">
        <is>
          <t>HOSP-2</t>
        </is>
      </c>
      <c r="C395" t="inlineStr">
        <is>
          <t>SS-01161</t>
        </is>
      </c>
      <c r="D395" t="n">
        <v>12</v>
      </c>
      <c r="E395" t="n">
        <v>0</v>
      </c>
      <c r="G395">
        <f>IF(AND(A395&gt;=Inputs!$B$5,A395&lt;=Inputs!$B$6),1,0)</f>
        <v/>
      </c>
    </row>
    <row r="396">
      <c r="A396" t="inlineStr">
        <is>
          <t>2026-02</t>
        </is>
      </c>
      <c r="B396" t="inlineStr">
        <is>
          <t>HOSP-3</t>
        </is>
      </c>
      <c r="C396" t="inlineStr">
        <is>
          <t>SS-01162</t>
        </is>
      </c>
      <c r="D396" t="n">
        <v>8</v>
      </c>
      <c r="E396" t="n">
        <v>0</v>
      </c>
      <c r="G396">
        <f>IF(AND(A396&gt;=Inputs!$B$5,A396&lt;=Inputs!$B$6),1,0)</f>
        <v/>
      </c>
    </row>
    <row r="397">
      <c r="A397" t="inlineStr">
        <is>
          <t>2026-02</t>
        </is>
      </c>
      <c r="B397" t="inlineStr">
        <is>
          <t>HOSP-4</t>
        </is>
      </c>
      <c r="C397" t="inlineStr">
        <is>
          <t>SS-01163</t>
        </is>
      </c>
      <c r="D397" t="n">
        <v>0</v>
      </c>
      <c r="E397" t="n">
        <v>0</v>
      </c>
      <c r="G397">
        <f>IF(AND(A397&gt;=Inputs!$B$5,A397&lt;=Inputs!$B$6),1,0)</f>
        <v/>
      </c>
    </row>
    <row r="398">
      <c r="A398" t="inlineStr">
        <is>
          <t>2026-02</t>
        </is>
      </c>
      <c r="B398" t="inlineStr">
        <is>
          <t>HOSP-1</t>
        </is>
      </c>
      <c r="C398" t="inlineStr">
        <is>
          <t>SS-01164</t>
        </is>
      </c>
      <c r="D398" t="n">
        <v>0</v>
      </c>
      <c r="E398" t="n">
        <v>0</v>
      </c>
      <c r="G398">
        <f>IF(AND(A398&gt;=Inputs!$B$5,A398&lt;=Inputs!$B$6),1,0)</f>
        <v/>
      </c>
    </row>
    <row r="399">
      <c r="A399" t="inlineStr">
        <is>
          <t>2026-02</t>
        </is>
      </c>
      <c r="B399" t="inlineStr">
        <is>
          <t>HOSP-2</t>
        </is>
      </c>
      <c r="C399" t="inlineStr">
        <is>
          <t>SS-01165</t>
        </is>
      </c>
      <c r="D399" t="n">
        <v>12</v>
      </c>
      <c r="E399" t="n">
        <v>0</v>
      </c>
      <c r="G399">
        <f>IF(AND(A399&gt;=Inputs!$B$5,A399&lt;=Inputs!$B$6),1,0)</f>
        <v/>
      </c>
    </row>
    <row r="400">
      <c r="A400" t="inlineStr">
        <is>
          <t>2026-02</t>
        </is>
      </c>
      <c r="B400" t="inlineStr">
        <is>
          <t>HOSP-3</t>
        </is>
      </c>
      <c r="C400" t="inlineStr">
        <is>
          <t>SS-01166</t>
        </is>
      </c>
      <c r="D400" t="n">
        <v>24</v>
      </c>
      <c r="E400" t="n">
        <v>0</v>
      </c>
      <c r="G400">
        <f>IF(AND(A400&gt;=Inputs!$B$5,A400&lt;=Inputs!$B$6),1,0)</f>
        <v/>
      </c>
    </row>
    <row r="401">
      <c r="A401" t="inlineStr">
        <is>
          <t>2026-02</t>
        </is>
      </c>
      <c r="B401" t="inlineStr">
        <is>
          <t>HOSP-4</t>
        </is>
      </c>
      <c r="C401" t="inlineStr">
        <is>
          <t>SS-01167</t>
        </is>
      </c>
      <c r="D401" t="n">
        <v>120</v>
      </c>
      <c r="E401" t="n">
        <v>0</v>
      </c>
      <c r="G401">
        <f>IF(AND(A401&gt;=Inputs!$B$5,A401&lt;=Inputs!$B$6),1,0)</f>
        <v/>
      </c>
    </row>
    <row r="402">
      <c r="A402" t="inlineStr">
        <is>
          <t>2026-02</t>
        </is>
      </c>
      <c r="B402" t="inlineStr">
        <is>
          <t>HOSP-1</t>
        </is>
      </c>
      <c r="C402" t="inlineStr">
        <is>
          <t>SS-01168</t>
        </is>
      </c>
      <c r="D402" t="n">
        <v>0</v>
      </c>
      <c r="E402" t="n">
        <v>0</v>
      </c>
      <c r="G402">
        <f>IF(AND(A402&gt;=Inputs!$B$5,A402&lt;=Inputs!$B$6),1,0)</f>
        <v/>
      </c>
    </row>
    <row r="403">
      <c r="A403" t="inlineStr">
        <is>
          <t>2026-02</t>
        </is>
      </c>
      <c r="B403" t="inlineStr">
        <is>
          <t>HOSP-2</t>
        </is>
      </c>
      <c r="C403" t="inlineStr">
        <is>
          <t>SS-01169</t>
        </is>
      </c>
      <c r="D403" t="n">
        <v>7</v>
      </c>
      <c r="E403" t="n">
        <v>1</v>
      </c>
      <c r="G403">
        <f>IF(AND(A403&gt;=Inputs!$B$5,A403&lt;=Inputs!$B$6),1,0)</f>
        <v/>
      </c>
    </row>
    <row r="404">
      <c r="A404" t="inlineStr">
        <is>
          <t>2026-02</t>
        </is>
      </c>
      <c r="B404" t="inlineStr">
        <is>
          <t>HOSP-3</t>
        </is>
      </c>
      <c r="C404" t="inlineStr">
        <is>
          <t>SS-01170</t>
        </is>
      </c>
      <c r="D404" t="n">
        <v>0</v>
      </c>
      <c r="E404" t="n">
        <v>0</v>
      </c>
      <c r="G404">
        <f>IF(AND(A404&gt;=Inputs!$B$5,A404&lt;=Inputs!$B$6),1,0)</f>
        <v/>
      </c>
    </row>
    <row r="405">
      <c r="A405" t="inlineStr">
        <is>
          <t>2026-02</t>
        </is>
      </c>
      <c r="B405" t="inlineStr">
        <is>
          <t>HOSP-4</t>
        </is>
      </c>
      <c r="C405" t="inlineStr">
        <is>
          <t>SS-01171</t>
        </is>
      </c>
      <c r="D405" t="n">
        <v>83</v>
      </c>
      <c r="E405" t="n">
        <v>0</v>
      </c>
      <c r="G405">
        <f>IF(AND(A405&gt;=Inputs!$B$5,A405&lt;=Inputs!$B$6),1,0)</f>
        <v/>
      </c>
    </row>
    <row r="406">
      <c r="A406" t="inlineStr">
        <is>
          <t>2026-02</t>
        </is>
      </c>
      <c r="B406" t="inlineStr">
        <is>
          <t>HOSP-1</t>
        </is>
      </c>
      <c r="C406" t="inlineStr">
        <is>
          <t>SS-01172</t>
        </is>
      </c>
      <c r="D406" t="n">
        <v>12</v>
      </c>
      <c r="E406" t="n">
        <v>0</v>
      </c>
      <c r="G406">
        <f>IF(AND(A406&gt;=Inputs!$B$5,A406&lt;=Inputs!$B$6),1,0)</f>
        <v/>
      </c>
    </row>
    <row r="407">
      <c r="A407" t="inlineStr">
        <is>
          <t>2026-02</t>
        </is>
      </c>
      <c r="B407" t="inlineStr">
        <is>
          <t>HOSP-2</t>
        </is>
      </c>
      <c r="C407" t="inlineStr">
        <is>
          <t>SS-01173</t>
        </is>
      </c>
      <c r="D407" t="n">
        <v>5</v>
      </c>
      <c r="E407" t="n">
        <v>2</v>
      </c>
      <c r="G407">
        <f>IF(AND(A407&gt;=Inputs!$B$5,A407&lt;=Inputs!$B$6),1,0)</f>
        <v/>
      </c>
    </row>
    <row r="408">
      <c r="A408" t="inlineStr">
        <is>
          <t>2026-02</t>
        </is>
      </c>
      <c r="B408" t="inlineStr">
        <is>
          <t>HOSP-3</t>
        </is>
      </c>
      <c r="C408" t="inlineStr">
        <is>
          <t>SS-01126</t>
        </is>
      </c>
      <c r="D408" t="n">
        <v>36</v>
      </c>
      <c r="E408" t="n">
        <v>2</v>
      </c>
      <c r="G408">
        <f>IF(AND(A408&gt;=Inputs!$B$5,A408&lt;=Inputs!$B$6),1,0)</f>
        <v/>
      </c>
    </row>
    <row r="409">
      <c r="A409" t="inlineStr">
        <is>
          <t>2026-02</t>
        </is>
      </c>
      <c r="B409" t="inlineStr">
        <is>
          <t>HOSP-4</t>
        </is>
      </c>
      <c r="C409" t="inlineStr">
        <is>
          <t>SS-01175</t>
        </is>
      </c>
      <c r="D409" t="n">
        <v>12</v>
      </c>
      <c r="E409" t="n">
        <v>0</v>
      </c>
      <c r="G409">
        <f>IF(AND(A409&gt;=Inputs!$B$5,A409&lt;=Inputs!$B$6),1,0)</f>
        <v/>
      </c>
    </row>
    <row r="410">
      <c r="A410" t="inlineStr">
        <is>
          <t>2026-02</t>
        </is>
      </c>
      <c r="B410" t="inlineStr">
        <is>
          <t>HOSP-1</t>
        </is>
      </c>
      <c r="C410" t="inlineStr">
        <is>
          <t>SS-01207</t>
        </is>
      </c>
      <c r="D410" t="n">
        <v>24</v>
      </c>
      <c r="E410" t="n">
        <v>0</v>
      </c>
      <c r="G410">
        <f>IF(AND(A410&gt;=Inputs!$B$5,A410&lt;=Inputs!$B$6),1,0)</f>
        <v/>
      </c>
    </row>
    <row r="411">
      <c r="A411" t="inlineStr">
        <is>
          <t>2026-02</t>
        </is>
      </c>
      <c r="B411" t="inlineStr">
        <is>
          <t>HOSP-2</t>
        </is>
      </c>
      <c r="C411" t="inlineStr">
        <is>
          <t>SS-01177</t>
        </is>
      </c>
      <c r="D411" t="n">
        <v>8</v>
      </c>
      <c r="E411" t="n">
        <v>1</v>
      </c>
      <c r="G411">
        <f>IF(AND(A411&gt;=Inputs!$B$5,A411&lt;=Inputs!$B$6),1,0)</f>
        <v/>
      </c>
    </row>
    <row r="412">
      <c r="A412" t="inlineStr">
        <is>
          <t>2026-02</t>
        </is>
      </c>
      <c r="B412" t="inlineStr">
        <is>
          <t>HOSP-3</t>
        </is>
      </c>
      <c r="C412" t="inlineStr">
        <is>
          <t>SS-01178</t>
        </is>
      </c>
      <c r="D412" t="n">
        <v>0</v>
      </c>
      <c r="E412" t="n">
        <v>0</v>
      </c>
      <c r="G412">
        <f>IF(AND(A412&gt;=Inputs!$B$5,A412&lt;=Inputs!$B$6),1,0)</f>
        <v/>
      </c>
    </row>
    <row r="413">
      <c r="A413" t="inlineStr">
        <is>
          <t>2026-02</t>
        </is>
      </c>
      <c r="B413" t="inlineStr">
        <is>
          <t>HOSP-4</t>
        </is>
      </c>
      <c r="C413" t="inlineStr">
        <is>
          <t>SS-01179</t>
        </is>
      </c>
      <c r="D413" t="n">
        <v>34</v>
      </c>
      <c r="E413" t="n">
        <v>3</v>
      </c>
      <c r="G413">
        <f>IF(AND(A413&gt;=Inputs!$B$5,A413&lt;=Inputs!$B$6),1,0)</f>
        <v/>
      </c>
    </row>
    <row r="414">
      <c r="A414" t="inlineStr">
        <is>
          <t>2026-02</t>
        </is>
      </c>
      <c r="B414" t="inlineStr">
        <is>
          <t>HOSP-1</t>
        </is>
      </c>
      <c r="C414" t="inlineStr">
        <is>
          <t>SS-01180</t>
        </is>
      </c>
      <c r="D414" t="n">
        <v>48</v>
      </c>
      <c r="E414" t="n">
        <v>0</v>
      </c>
      <c r="G414">
        <f>IF(AND(A414&gt;=Inputs!$B$5,A414&lt;=Inputs!$B$6),1,0)</f>
        <v/>
      </c>
    </row>
    <row r="415">
      <c r="A415" t="inlineStr">
        <is>
          <t>2026-02</t>
        </is>
      </c>
      <c r="B415" t="inlineStr">
        <is>
          <t>HOSP-2</t>
        </is>
      </c>
      <c r="C415" t="inlineStr">
        <is>
          <t>SS-01181</t>
        </is>
      </c>
      <c r="D415" t="n">
        <v>0</v>
      </c>
      <c r="E415" t="n">
        <v>0</v>
      </c>
      <c r="G415">
        <f>IF(AND(A415&gt;=Inputs!$B$5,A415&lt;=Inputs!$B$6),1,0)</f>
        <v/>
      </c>
    </row>
    <row r="416">
      <c r="A416" t="inlineStr">
        <is>
          <t>2026-02</t>
        </is>
      </c>
      <c r="B416" t="inlineStr">
        <is>
          <t>HOSP-3</t>
        </is>
      </c>
      <c r="C416" t="inlineStr">
        <is>
          <t>SS-01182</t>
        </is>
      </c>
      <c r="D416" t="n">
        <v>28</v>
      </c>
      <c r="E416" t="n">
        <v>1</v>
      </c>
      <c r="G416">
        <f>IF(AND(A416&gt;=Inputs!$B$5,A416&lt;=Inputs!$B$6),1,0)</f>
        <v/>
      </c>
    </row>
    <row r="417">
      <c r="A417" t="inlineStr">
        <is>
          <t>2026-02</t>
        </is>
      </c>
      <c r="B417" t="inlineStr">
        <is>
          <t>HOSP-4</t>
        </is>
      </c>
      <c r="C417" t="inlineStr">
        <is>
          <t>SS-01183</t>
        </is>
      </c>
      <c r="D417" t="n">
        <v>0</v>
      </c>
      <c r="E417" t="n">
        <v>1</v>
      </c>
      <c r="G417">
        <f>IF(AND(A417&gt;=Inputs!$B$5,A417&lt;=Inputs!$B$6),1,0)</f>
        <v/>
      </c>
    </row>
    <row r="418">
      <c r="A418" t="inlineStr">
        <is>
          <t>2026-02</t>
        </is>
      </c>
      <c r="B418" t="inlineStr">
        <is>
          <t>HOSP-1</t>
        </is>
      </c>
      <c r="C418" t="inlineStr">
        <is>
          <t>SS-01184</t>
        </is>
      </c>
      <c r="D418" t="n">
        <v>24</v>
      </c>
      <c r="E418" t="n">
        <v>0</v>
      </c>
      <c r="G418">
        <f>IF(AND(A418&gt;=Inputs!$B$5,A418&lt;=Inputs!$B$6),1,0)</f>
        <v/>
      </c>
    </row>
    <row r="419">
      <c r="A419" t="inlineStr">
        <is>
          <t>2026-02</t>
        </is>
      </c>
      <c r="B419" t="inlineStr">
        <is>
          <t>HOSP-2</t>
        </is>
      </c>
      <c r="C419" t="inlineStr">
        <is>
          <t>SS-01185</t>
        </is>
      </c>
      <c r="D419" t="n">
        <v>12</v>
      </c>
      <c r="E419" t="n">
        <v>0</v>
      </c>
      <c r="G419">
        <f>IF(AND(A419&gt;=Inputs!$B$5,A419&lt;=Inputs!$B$6),1,0)</f>
        <v/>
      </c>
    </row>
    <row r="420">
      <c r="A420" t="inlineStr">
        <is>
          <t>2026-02</t>
        </is>
      </c>
      <c r="B420" t="inlineStr">
        <is>
          <t>HOSP-3</t>
        </is>
      </c>
      <c r="C420" t="inlineStr">
        <is>
          <t>SS-01186</t>
        </is>
      </c>
      <c r="D420" t="n">
        <v>12</v>
      </c>
      <c r="E420" t="n">
        <v>0</v>
      </c>
      <c r="G420">
        <f>IF(AND(A420&gt;=Inputs!$B$5,A420&lt;=Inputs!$B$6),1,0)</f>
        <v/>
      </c>
    </row>
    <row r="421">
      <c r="A421" t="inlineStr">
        <is>
          <t>2026-02</t>
        </is>
      </c>
      <c r="B421" t="inlineStr">
        <is>
          <t>HOSP-4</t>
        </is>
      </c>
      <c r="C421" t="inlineStr">
        <is>
          <t>SS-01187</t>
        </is>
      </c>
      <c r="D421" t="n">
        <v>12</v>
      </c>
      <c r="E421" t="n">
        <v>0</v>
      </c>
      <c r="G421">
        <f>IF(AND(A421&gt;=Inputs!$B$5,A421&lt;=Inputs!$B$6),1,0)</f>
        <v/>
      </c>
    </row>
    <row r="422">
      <c r="A422" t="inlineStr">
        <is>
          <t>2026-02</t>
        </is>
      </c>
      <c r="B422" t="inlineStr">
        <is>
          <t>HOSP-1</t>
        </is>
      </c>
      <c r="C422" t="inlineStr">
        <is>
          <t>SS-01188</t>
        </is>
      </c>
      <c r="D422" t="n">
        <v>10</v>
      </c>
      <c r="E422" t="n">
        <v>0</v>
      </c>
      <c r="G422">
        <f>IF(AND(A422&gt;=Inputs!$B$5,A422&lt;=Inputs!$B$6),1,0)</f>
        <v/>
      </c>
    </row>
    <row r="423">
      <c r="A423" t="inlineStr">
        <is>
          <t>2026-02</t>
        </is>
      </c>
      <c r="B423" t="inlineStr">
        <is>
          <t>HOSP-2</t>
        </is>
      </c>
      <c r="C423" t="inlineStr">
        <is>
          <t>SS-01189</t>
        </is>
      </c>
      <c r="D423" t="n">
        <v>0</v>
      </c>
      <c r="E423" t="n">
        <v>0</v>
      </c>
      <c r="G423">
        <f>IF(AND(A423&gt;=Inputs!$B$5,A423&lt;=Inputs!$B$6),1,0)</f>
        <v/>
      </c>
    </row>
    <row r="424">
      <c r="A424" t="inlineStr">
        <is>
          <t>2026-02</t>
        </is>
      </c>
      <c r="B424" t="inlineStr">
        <is>
          <t>HOSP-3</t>
        </is>
      </c>
      <c r="C424" t="inlineStr">
        <is>
          <t>SS-01190</t>
        </is>
      </c>
      <c r="D424" t="n">
        <v>0</v>
      </c>
      <c r="E424" t="n">
        <v>2</v>
      </c>
      <c r="G424">
        <f>IF(AND(A424&gt;=Inputs!$B$5,A424&lt;=Inputs!$B$6),1,0)</f>
        <v/>
      </c>
    </row>
    <row r="425">
      <c r="A425" t="inlineStr">
        <is>
          <t>2026-02</t>
        </is>
      </c>
      <c r="B425" t="inlineStr">
        <is>
          <t>HOSP-4</t>
        </is>
      </c>
      <c r="C425" t="inlineStr">
        <is>
          <t>SS-01191</t>
        </is>
      </c>
      <c r="D425" t="n">
        <v>12</v>
      </c>
      <c r="E425" t="n">
        <v>0</v>
      </c>
      <c r="G425">
        <f>IF(AND(A425&gt;=Inputs!$B$5,A425&lt;=Inputs!$B$6),1,0)</f>
        <v/>
      </c>
    </row>
    <row r="426">
      <c r="A426" t="inlineStr">
        <is>
          <t>2026-02</t>
        </is>
      </c>
      <c r="B426" t="inlineStr">
        <is>
          <t>HOSP-1</t>
        </is>
      </c>
      <c r="C426" t="inlineStr">
        <is>
          <t>SS-01192</t>
        </is>
      </c>
      <c r="D426" t="n">
        <v>48</v>
      </c>
      <c r="E426" t="n">
        <v>0</v>
      </c>
      <c r="G426">
        <f>IF(AND(A426&gt;=Inputs!$B$5,A426&lt;=Inputs!$B$6),1,0)</f>
        <v/>
      </c>
    </row>
    <row r="427">
      <c r="A427" t="inlineStr">
        <is>
          <t>2026-02</t>
        </is>
      </c>
      <c r="B427" t="inlineStr">
        <is>
          <t>HOSP-2</t>
        </is>
      </c>
      <c r="C427" t="inlineStr">
        <is>
          <t>SS-01193</t>
        </is>
      </c>
      <c r="D427" t="n">
        <v>12</v>
      </c>
      <c r="E427" t="n">
        <v>0</v>
      </c>
      <c r="G427">
        <f>IF(AND(A427&gt;=Inputs!$B$5,A427&lt;=Inputs!$B$6),1,0)</f>
        <v/>
      </c>
    </row>
    <row r="428">
      <c r="A428" t="inlineStr">
        <is>
          <t>2026-02</t>
        </is>
      </c>
      <c r="B428" t="inlineStr">
        <is>
          <t>HOSP-3</t>
        </is>
      </c>
      <c r="C428" t="inlineStr">
        <is>
          <t>SS-01194</t>
        </is>
      </c>
      <c r="D428" t="n">
        <v>24</v>
      </c>
      <c r="E428" t="n">
        <v>0</v>
      </c>
      <c r="G428">
        <f>IF(AND(A428&gt;=Inputs!$B$5,A428&lt;=Inputs!$B$6),1,0)</f>
        <v/>
      </c>
    </row>
    <row r="429">
      <c r="A429" t="inlineStr">
        <is>
          <t>2026-02</t>
        </is>
      </c>
      <c r="B429" t="inlineStr">
        <is>
          <t>HOSP-4</t>
        </is>
      </c>
      <c r="C429" t="inlineStr">
        <is>
          <t>SS-01031</t>
        </is>
      </c>
      <c r="D429" t="n">
        <v>0</v>
      </c>
      <c r="E429" t="n">
        <v>0</v>
      </c>
      <c r="G429">
        <f>IF(AND(A429&gt;=Inputs!$B$5,A429&lt;=Inputs!$B$6),1,0)</f>
        <v/>
      </c>
    </row>
    <row r="430">
      <c r="A430" t="inlineStr">
        <is>
          <t>2026-02</t>
        </is>
      </c>
      <c r="B430" t="inlineStr">
        <is>
          <t>HOSP-1</t>
        </is>
      </c>
      <c r="C430" t="inlineStr">
        <is>
          <t>SS-01196</t>
        </is>
      </c>
      <c r="D430" t="n">
        <v>0</v>
      </c>
      <c r="E430" t="n">
        <v>0</v>
      </c>
      <c r="G430">
        <f>IF(AND(A430&gt;=Inputs!$B$5,A430&lt;=Inputs!$B$6),1,0)</f>
        <v/>
      </c>
    </row>
    <row r="431">
      <c r="A431" t="inlineStr">
        <is>
          <t>2026-02</t>
        </is>
      </c>
      <c r="B431" t="inlineStr">
        <is>
          <t>HOSP-2</t>
        </is>
      </c>
      <c r="C431" t="inlineStr">
        <is>
          <t>SS-01197</t>
        </is>
      </c>
      <c r="D431" t="n">
        <v>204</v>
      </c>
      <c r="E431" t="n">
        <v>0</v>
      </c>
      <c r="G431">
        <f>IF(AND(A431&gt;=Inputs!$B$5,A431&lt;=Inputs!$B$6),1,0)</f>
        <v/>
      </c>
    </row>
    <row r="432">
      <c r="A432" t="inlineStr">
        <is>
          <t>2026-02</t>
        </is>
      </c>
      <c r="B432" t="inlineStr">
        <is>
          <t>HOSP-3</t>
        </is>
      </c>
      <c r="C432" t="inlineStr">
        <is>
          <t>SS-01198</t>
        </is>
      </c>
      <c r="D432" t="n">
        <v>0</v>
      </c>
      <c r="E432" t="n">
        <v>0</v>
      </c>
      <c r="G432">
        <f>IF(AND(A432&gt;=Inputs!$B$5,A432&lt;=Inputs!$B$6),1,0)</f>
        <v/>
      </c>
    </row>
    <row r="433">
      <c r="A433" t="inlineStr">
        <is>
          <t>2026-02</t>
        </is>
      </c>
      <c r="B433" t="inlineStr">
        <is>
          <t>HOSP-4</t>
        </is>
      </c>
      <c r="C433" t="inlineStr">
        <is>
          <t>SS-01199</t>
        </is>
      </c>
      <c r="D433" t="n">
        <v>16</v>
      </c>
      <c r="E433" t="n">
        <v>0</v>
      </c>
      <c r="G433">
        <f>IF(AND(A433&gt;=Inputs!$B$5,A433&lt;=Inputs!$B$6),1,0)</f>
        <v/>
      </c>
    </row>
    <row r="434">
      <c r="A434" t="inlineStr">
        <is>
          <t>2026-02</t>
        </is>
      </c>
      <c r="B434" t="inlineStr">
        <is>
          <t>HOSP-1</t>
        </is>
      </c>
      <c r="C434" t="inlineStr">
        <is>
          <t>SS-01200</t>
        </is>
      </c>
      <c r="D434" t="n">
        <v>7</v>
      </c>
      <c r="E434" t="n">
        <v>0</v>
      </c>
      <c r="G434">
        <f>IF(AND(A434&gt;=Inputs!$B$5,A434&lt;=Inputs!$B$6),1,0)</f>
        <v/>
      </c>
    </row>
    <row r="435">
      <c r="A435" t="inlineStr">
        <is>
          <t>2026-02</t>
        </is>
      </c>
      <c r="B435" t="inlineStr">
        <is>
          <t>HOSP-2</t>
        </is>
      </c>
      <c r="C435" t="inlineStr">
        <is>
          <t>SS-01201</t>
        </is>
      </c>
      <c r="D435" t="n">
        <v>12</v>
      </c>
      <c r="E435" t="n">
        <v>0</v>
      </c>
      <c r="G435">
        <f>IF(AND(A435&gt;=Inputs!$B$5,A435&lt;=Inputs!$B$6),1,0)</f>
        <v/>
      </c>
    </row>
    <row r="436">
      <c r="A436" t="inlineStr">
        <is>
          <t>2026-02</t>
        </is>
      </c>
      <c r="B436" t="inlineStr">
        <is>
          <t>HOSP-3</t>
        </is>
      </c>
      <c r="C436" t="inlineStr">
        <is>
          <t>SS-01202</t>
        </is>
      </c>
      <c r="D436" t="n">
        <v>24</v>
      </c>
      <c r="E436" t="n">
        <v>0</v>
      </c>
      <c r="G436">
        <f>IF(AND(A436&gt;=Inputs!$B$5,A436&lt;=Inputs!$B$6),1,0)</f>
        <v/>
      </c>
    </row>
    <row r="437">
      <c r="A437" t="inlineStr">
        <is>
          <t>2026-02</t>
        </is>
      </c>
      <c r="B437" t="inlineStr">
        <is>
          <t>HOSP-4</t>
        </is>
      </c>
      <c r="C437" t="inlineStr">
        <is>
          <t>SS-01203</t>
        </is>
      </c>
      <c r="D437" t="n">
        <v>12</v>
      </c>
      <c r="E437" t="n">
        <v>0</v>
      </c>
      <c r="G437">
        <f>IF(AND(A437&gt;=Inputs!$B$5,A437&lt;=Inputs!$B$6),1,0)</f>
        <v/>
      </c>
    </row>
    <row r="438">
      <c r="A438" t="inlineStr">
        <is>
          <t>2026-02</t>
        </is>
      </c>
      <c r="B438" t="inlineStr">
        <is>
          <t>HOSP-1</t>
        </is>
      </c>
      <c r="C438" t="inlineStr">
        <is>
          <t>SS-01204</t>
        </is>
      </c>
      <c r="D438" t="n">
        <v>8</v>
      </c>
      <c r="E438" t="n">
        <v>1</v>
      </c>
      <c r="G438">
        <f>IF(AND(A438&gt;=Inputs!$B$5,A438&lt;=Inputs!$B$6),1,0)</f>
        <v/>
      </c>
    </row>
    <row r="439">
      <c r="A439" t="inlineStr">
        <is>
          <t>2026-02</t>
        </is>
      </c>
      <c r="B439" t="inlineStr">
        <is>
          <t>HOSP-2</t>
        </is>
      </c>
      <c r="C439" t="inlineStr">
        <is>
          <t>SS-01205</t>
        </is>
      </c>
      <c r="D439" t="n">
        <v>12</v>
      </c>
      <c r="E439" t="n">
        <v>0</v>
      </c>
      <c r="G439">
        <f>IF(AND(A439&gt;=Inputs!$B$5,A439&lt;=Inputs!$B$6),1,0)</f>
        <v/>
      </c>
    </row>
    <row r="440">
      <c r="A440" t="inlineStr">
        <is>
          <t>2026-02</t>
        </is>
      </c>
      <c r="B440" t="inlineStr">
        <is>
          <t>HOSP-3</t>
        </is>
      </c>
      <c r="C440" t="inlineStr">
        <is>
          <t>SS-01206</t>
        </is>
      </c>
      <c r="D440" t="n">
        <v>60</v>
      </c>
      <c r="E440" t="n">
        <v>0</v>
      </c>
      <c r="G440">
        <f>IF(AND(A440&gt;=Inputs!$B$5,A440&lt;=Inputs!$B$6),1,0)</f>
        <v/>
      </c>
    </row>
    <row r="441">
      <c r="A441" t="inlineStr">
        <is>
          <t>2026-02</t>
        </is>
      </c>
      <c r="B441" t="inlineStr">
        <is>
          <t>HOSP-4</t>
        </is>
      </c>
      <c r="C441" t="inlineStr">
        <is>
          <t>SS-01207</t>
        </is>
      </c>
      <c r="D441" t="n">
        <v>12</v>
      </c>
      <c r="E441" t="n">
        <v>0</v>
      </c>
      <c r="G441">
        <f>IF(AND(A441&gt;=Inputs!$B$5,A441&lt;=Inputs!$B$6),1,0)</f>
        <v/>
      </c>
    </row>
    <row r="442">
      <c r="A442" t="inlineStr">
        <is>
          <t>2026-02</t>
        </is>
      </c>
      <c r="B442" t="inlineStr">
        <is>
          <t>HOSP-1</t>
        </is>
      </c>
      <c r="C442" t="inlineStr">
        <is>
          <t>SS-01208</t>
        </is>
      </c>
      <c r="D442" t="n">
        <v>12</v>
      </c>
      <c r="E442" t="n">
        <v>0</v>
      </c>
      <c r="G442">
        <f>IF(AND(A442&gt;=Inputs!$B$5,A442&lt;=Inputs!$B$6),1,0)</f>
        <v/>
      </c>
    </row>
    <row r="443">
      <c r="A443" t="inlineStr">
        <is>
          <t>2026-02</t>
        </is>
      </c>
      <c r="B443" t="inlineStr">
        <is>
          <t>HOSP-2</t>
        </is>
      </c>
      <c r="C443" t="inlineStr">
        <is>
          <t>SS-01209</t>
        </is>
      </c>
      <c r="D443" t="n">
        <v>0</v>
      </c>
      <c r="E443" t="n">
        <v>0</v>
      </c>
      <c r="G443">
        <f>IF(AND(A443&gt;=Inputs!$B$5,A443&lt;=Inputs!$B$6),1,0)</f>
        <v/>
      </c>
    </row>
    <row r="444">
      <c r="A444" t="inlineStr">
        <is>
          <t>2026-02</t>
        </is>
      </c>
      <c r="B444" t="inlineStr">
        <is>
          <t>HOSP-3</t>
        </is>
      </c>
      <c r="C444" t="inlineStr">
        <is>
          <t>SS-01210</t>
        </is>
      </c>
      <c r="D444" t="n">
        <v>11</v>
      </c>
      <c r="E444" t="n">
        <v>1</v>
      </c>
      <c r="G444">
        <f>IF(AND(A444&gt;=Inputs!$B$5,A444&lt;=Inputs!$B$6),1,0)</f>
        <v/>
      </c>
    </row>
    <row r="445">
      <c r="A445" t="inlineStr">
        <is>
          <t>2026-02</t>
        </is>
      </c>
      <c r="B445" t="inlineStr">
        <is>
          <t>HOSP-4</t>
        </is>
      </c>
      <c r="C445" t="inlineStr">
        <is>
          <t>SS-01211</t>
        </is>
      </c>
      <c r="D445" t="n">
        <v>72</v>
      </c>
      <c r="E445" t="n">
        <v>0</v>
      </c>
      <c r="G445">
        <f>IF(AND(A445&gt;=Inputs!$B$5,A445&lt;=Inputs!$B$6),1,0)</f>
        <v/>
      </c>
    </row>
    <row r="446">
      <c r="A446" t="inlineStr">
        <is>
          <t>2026-02</t>
        </is>
      </c>
      <c r="B446" t="inlineStr">
        <is>
          <t>HOSP-1</t>
        </is>
      </c>
      <c r="C446" t="inlineStr">
        <is>
          <t>SS-01115</t>
        </is>
      </c>
      <c r="D446" t="n">
        <v>20</v>
      </c>
      <c r="E446" t="n">
        <v>0</v>
      </c>
      <c r="G446">
        <f>IF(AND(A446&gt;=Inputs!$B$5,A446&lt;=Inputs!$B$6),1,0)</f>
        <v/>
      </c>
    </row>
    <row r="447">
      <c r="A447" t="inlineStr">
        <is>
          <t>2026-02</t>
        </is>
      </c>
      <c r="B447" t="inlineStr">
        <is>
          <t>HOSP-2</t>
        </is>
      </c>
      <c r="C447" t="inlineStr">
        <is>
          <t>SS-01213</t>
        </is>
      </c>
      <c r="D447" t="n">
        <v>0</v>
      </c>
      <c r="E447" t="n">
        <v>0</v>
      </c>
      <c r="G447">
        <f>IF(AND(A447&gt;=Inputs!$B$5,A447&lt;=Inputs!$B$6),1,0)</f>
        <v/>
      </c>
    </row>
    <row r="448">
      <c r="A448" t="inlineStr">
        <is>
          <t>2026-02</t>
        </is>
      </c>
      <c r="B448" t="inlineStr">
        <is>
          <t>HOSP-3</t>
        </is>
      </c>
      <c r="C448" t="inlineStr">
        <is>
          <t>SS-01214</t>
        </is>
      </c>
      <c r="D448" t="n">
        <v>0</v>
      </c>
      <c r="E448" t="n">
        <v>0</v>
      </c>
      <c r="G448">
        <f>IF(AND(A448&gt;=Inputs!$B$5,A448&lt;=Inputs!$B$6),1,0)</f>
        <v/>
      </c>
    </row>
    <row r="449">
      <c r="A449" t="inlineStr">
        <is>
          <t>2026-02</t>
        </is>
      </c>
      <c r="B449" t="inlineStr">
        <is>
          <t>HOSP-4</t>
        </is>
      </c>
      <c r="C449" t="inlineStr">
        <is>
          <t>SS-01215</t>
        </is>
      </c>
      <c r="D449" t="n">
        <v>36</v>
      </c>
      <c r="E449" t="n">
        <v>0</v>
      </c>
      <c r="G449">
        <f>IF(AND(A449&gt;=Inputs!$B$5,A449&lt;=Inputs!$B$6),1,0)</f>
        <v/>
      </c>
    </row>
    <row r="450">
      <c r="A450" t="inlineStr">
        <is>
          <t>2026-02</t>
        </is>
      </c>
      <c r="B450" t="inlineStr">
        <is>
          <t>HOSP-1</t>
        </is>
      </c>
      <c r="C450" t="inlineStr">
        <is>
          <t>SS-01216</t>
        </is>
      </c>
      <c r="D450" t="n">
        <v>12</v>
      </c>
      <c r="E450" t="n">
        <v>0</v>
      </c>
      <c r="G450">
        <f>IF(AND(A450&gt;=Inputs!$B$5,A450&lt;=Inputs!$B$6),1,0)</f>
        <v/>
      </c>
    </row>
    <row r="451">
      <c r="A451" t="inlineStr">
        <is>
          <t>2026-02</t>
        </is>
      </c>
      <c r="B451" t="inlineStr">
        <is>
          <t>HOSP-2</t>
        </is>
      </c>
      <c r="C451" t="inlineStr">
        <is>
          <t>SS-01217</t>
        </is>
      </c>
      <c r="D451" t="n">
        <v>17</v>
      </c>
      <c r="E451" t="n">
        <v>3</v>
      </c>
      <c r="G451">
        <f>IF(AND(A451&gt;=Inputs!$B$5,A451&lt;=Inputs!$B$6),1,0)</f>
        <v/>
      </c>
    </row>
    <row r="452">
      <c r="A452" t="inlineStr">
        <is>
          <t>2026-02</t>
        </is>
      </c>
      <c r="B452" t="inlineStr">
        <is>
          <t>HOSP-3</t>
        </is>
      </c>
      <c r="C452" t="inlineStr">
        <is>
          <t>SS-01218</t>
        </is>
      </c>
      <c r="D452" t="n">
        <v>12</v>
      </c>
      <c r="E452" t="n">
        <v>0</v>
      </c>
      <c r="G452">
        <f>IF(AND(A452&gt;=Inputs!$B$5,A452&lt;=Inputs!$B$6),1,0)</f>
        <v/>
      </c>
    </row>
    <row r="453">
      <c r="A453" t="inlineStr">
        <is>
          <t>2026-02</t>
        </is>
      </c>
      <c r="B453" t="inlineStr">
        <is>
          <t>HOSP-4</t>
        </is>
      </c>
      <c r="C453" t="inlineStr">
        <is>
          <t>SS-01219</t>
        </is>
      </c>
      <c r="D453" t="n">
        <v>12</v>
      </c>
      <c r="E453" t="n">
        <v>0</v>
      </c>
      <c r="G453">
        <f>IF(AND(A453&gt;=Inputs!$B$5,A453&lt;=Inputs!$B$6),1,0)</f>
        <v/>
      </c>
    </row>
    <row r="454">
      <c r="A454" t="inlineStr">
        <is>
          <t>2026-02</t>
        </is>
      </c>
      <c r="B454" t="inlineStr">
        <is>
          <t>HOSP-1</t>
        </is>
      </c>
      <c r="C454" t="inlineStr">
        <is>
          <t>SS-01220</t>
        </is>
      </c>
      <c r="D454" t="n">
        <v>0</v>
      </c>
      <c r="E454" t="n">
        <v>0</v>
      </c>
      <c r="G454">
        <f>IF(AND(A454&gt;=Inputs!$B$5,A454&lt;=Inputs!$B$6),1,0)</f>
        <v/>
      </c>
    </row>
    <row r="455">
      <c r="A455" t="inlineStr">
        <is>
          <t>2026-02</t>
        </is>
      </c>
      <c r="B455" t="inlineStr">
        <is>
          <t>HOSP-2</t>
        </is>
      </c>
      <c r="C455" t="inlineStr">
        <is>
          <t>SS-01221</t>
        </is>
      </c>
      <c r="D455" t="n">
        <v>36</v>
      </c>
      <c r="E455" t="n">
        <v>0</v>
      </c>
      <c r="G455">
        <f>IF(AND(A455&gt;=Inputs!$B$5,A455&lt;=Inputs!$B$6),1,0)</f>
        <v/>
      </c>
    </row>
    <row r="456">
      <c r="A456" t="inlineStr">
        <is>
          <t>2026-02</t>
        </is>
      </c>
      <c r="B456" t="inlineStr">
        <is>
          <t>HOSP-3</t>
        </is>
      </c>
      <c r="C456" t="inlineStr">
        <is>
          <t>SS-01222</t>
        </is>
      </c>
      <c r="D456" t="n">
        <v>0</v>
      </c>
      <c r="E456" t="n">
        <v>0</v>
      </c>
      <c r="G456">
        <f>IF(AND(A456&gt;=Inputs!$B$5,A456&lt;=Inputs!$B$6),1,0)</f>
        <v/>
      </c>
    </row>
    <row r="457">
      <c r="A457" t="inlineStr">
        <is>
          <t>2026-02</t>
        </is>
      </c>
      <c r="B457" t="inlineStr">
        <is>
          <t>HOSP-4</t>
        </is>
      </c>
      <c r="C457" t="inlineStr">
        <is>
          <t>SS-01223</t>
        </is>
      </c>
      <c r="D457" t="n">
        <v>1</v>
      </c>
      <c r="E457" t="n">
        <v>1</v>
      </c>
      <c r="G457">
        <f>IF(AND(A457&gt;=Inputs!$B$5,A457&lt;=Inputs!$B$6),1,0)</f>
        <v/>
      </c>
    </row>
    <row r="458">
      <c r="A458" t="inlineStr">
        <is>
          <t>2026-02</t>
        </is>
      </c>
      <c r="B458" t="inlineStr">
        <is>
          <t>HOSP-1</t>
        </is>
      </c>
      <c r="C458" t="inlineStr">
        <is>
          <t>SS-01224</t>
        </is>
      </c>
      <c r="D458" t="n">
        <v>60</v>
      </c>
      <c r="E458" t="n">
        <v>0</v>
      </c>
      <c r="G458">
        <f>IF(AND(A458&gt;=Inputs!$B$5,A458&lt;=Inputs!$B$6),1,0)</f>
        <v/>
      </c>
    </row>
    <row r="459">
      <c r="A459" t="inlineStr">
        <is>
          <t>2026-02</t>
        </is>
      </c>
      <c r="B459" t="inlineStr">
        <is>
          <t>HOSP-2</t>
        </is>
      </c>
      <c r="C459" t="inlineStr">
        <is>
          <t>SS-01225</t>
        </is>
      </c>
      <c r="D459" t="n">
        <v>26</v>
      </c>
      <c r="E459" t="n">
        <v>0</v>
      </c>
      <c r="G459">
        <f>IF(AND(A459&gt;=Inputs!$B$5,A459&lt;=Inputs!$B$6),1,0)</f>
        <v/>
      </c>
    </row>
    <row r="460">
      <c r="A460" t="inlineStr">
        <is>
          <t>2026-02</t>
        </is>
      </c>
      <c r="B460" t="inlineStr">
        <is>
          <t>HOSP-3</t>
        </is>
      </c>
      <c r="C460" t="inlineStr">
        <is>
          <t>SS-01226</t>
        </is>
      </c>
      <c r="D460" t="n">
        <v>27</v>
      </c>
      <c r="E460" t="n">
        <v>1</v>
      </c>
      <c r="G460">
        <f>IF(AND(A460&gt;=Inputs!$B$5,A460&lt;=Inputs!$B$6),1,0)</f>
        <v/>
      </c>
    </row>
    <row r="461">
      <c r="A461" t="inlineStr">
        <is>
          <t>2026-02</t>
        </is>
      </c>
      <c r="B461" t="inlineStr">
        <is>
          <t>HOSP-4</t>
        </is>
      </c>
      <c r="C461" t="inlineStr">
        <is>
          <t>SS-01227</t>
        </is>
      </c>
      <c r="D461" t="n">
        <v>108</v>
      </c>
      <c r="E461" t="n">
        <v>0</v>
      </c>
      <c r="G461">
        <f>IF(AND(A461&gt;=Inputs!$B$5,A461&lt;=Inputs!$B$6),1,0)</f>
        <v/>
      </c>
    </row>
    <row r="462">
      <c r="A462" t="inlineStr">
        <is>
          <t>2026-02</t>
        </is>
      </c>
      <c r="B462" t="inlineStr">
        <is>
          <t>HOSP-1</t>
        </is>
      </c>
      <c r="C462" t="inlineStr">
        <is>
          <t>SS-01228</t>
        </is>
      </c>
      <c r="D462" t="n">
        <v>13</v>
      </c>
      <c r="E462" t="n">
        <v>0</v>
      </c>
      <c r="G462">
        <f>IF(AND(A462&gt;=Inputs!$B$5,A462&lt;=Inputs!$B$6),1,0)</f>
        <v/>
      </c>
    </row>
    <row r="463">
      <c r="A463" t="inlineStr">
        <is>
          <t>2026-02</t>
        </is>
      </c>
      <c r="B463" t="inlineStr">
        <is>
          <t>HOSP-2</t>
        </is>
      </c>
      <c r="C463" t="inlineStr">
        <is>
          <t>SS-01229</t>
        </is>
      </c>
      <c r="D463" t="n">
        <v>12</v>
      </c>
      <c r="E463" t="n">
        <v>0</v>
      </c>
      <c r="G463">
        <f>IF(AND(A463&gt;=Inputs!$B$5,A463&lt;=Inputs!$B$6),1,0)</f>
        <v/>
      </c>
    </row>
    <row r="464">
      <c r="A464" t="inlineStr">
        <is>
          <t>2026-02</t>
        </is>
      </c>
      <c r="B464" t="inlineStr">
        <is>
          <t>HOSP-3</t>
        </is>
      </c>
      <c r="C464" t="inlineStr">
        <is>
          <t>SS-01230</t>
        </is>
      </c>
      <c r="D464" t="n">
        <v>12</v>
      </c>
      <c r="E464" t="n">
        <v>1</v>
      </c>
      <c r="G464">
        <f>IF(AND(A464&gt;=Inputs!$B$5,A464&lt;=Inputs!$B$6),1,0)</f>
        <v/>
      </c>
    </row>
    <row r="465">
      <c r="A465" t="inlineStr">
        <is>
          <t>2026-02</t>
        </is>
      </c>
      <c r="B465" t="inlineStr">
        <is>
          <t>HOSP-4</t>
        </is>
      </c>
      <c r="C465" t="inlineStr">
        <is>
          <t>SS-01231</t>
        </is>
      </c>
      <c r="D465" t="n">
        <v>12</v>
      </c>
      <c r="E465" t="n">
        <v>0</v>
      </c>
      <c r="G465">
        <f>IF(AND(A465&gt;=Inputs!$B$5,A465&lt;=Inputs!$B$6),1,0)</f>
        <v/>
      </c>
    </row>
    <row r="466">
      <c r="A466" t="inlineStr">
        <is>
          <t>2026-02</t>
        </is>
      </c>
      <c r="B466" t="inlineStr">
        <is>
          <t>HOSP-1</t>
        </is>
      </c>
      <c r="C466" t="inlineStr">
        <is>
          <t>SS-01232</t>
        </is>
      </c>
      <c r="D466" t="n">
        <v>16</v>
      </c>
      <c r="E466" t="n">
        <v>1</v>
      </c>
      <c r="G466">
        <f>IF(AND(A466&gt;=Inputs!$B$5,A466&lt;=Inputs!$B$6),1,0)</f>
        <v/>
      </c>
    </row>
    <row r="467">
      <c r="A467" t="inlineStr">
        <is>
          <t>2026-02</t>
        </is>
      </c>
      <c r="B467" t="inlineStr">
        <is>
          <t>HOSP-2</t>
        </is>
      </c>
      <c r="C467" t="inlineStr">
        <is>
          <t>SS-01233</t>
        </is>
      </c>
      <c r="D467" t="n">
        <v>192</v>
      </c>
      <c r="E467" t="n">
        <v>0</v>
      </c>
      <c r="G467">
        <f>IF(AND(A467&gt;=Inputs!$B$5,A467&lt;=Inputs!$B$6),1,0)</f>
        <v/>
      </c>
    </row>
    <row r="468">
      <c r="A468" t="inlineStr">
        <is>
          <t>2026-02</t>
        </is>
      </c>
      <c r="B468" t="inlineStr">
        <is>
          <t>HOSP-3</t>
        </is>
      </c>
      <c r="C468" t="inlineStr">
        <is>
          <t>SS-01001</t>
        </is>
      </c>
      <c r="D468" t="n">
        <v>9</v>
      </c>
      <c r="E468" t="n">
        <v>0</v>
      </c>
      <c r="G468">
        <f>IF(AND(A468&gt;=Inputs!$B$5,A468&lt;=Inputs!$B$6),1,0)</f>
        <v/>
      </c>
    </row>
    <row r="469">
      <c r="A469" t="inlineStr">
        <is>
          <t>2026-02</t>
        </is>
      </c>
      <c r="B469" t="inlineStr">
        <is>
          <t>HOSP-4</t>
        </is>
      </c>
      <c r="C469" t="inlineStr">
        <is>
          <t>SS-01002</t>
        </is>
      </c>
      <c r="D469" t="n">
        <v>12</v>
      </c>
      <c r="E469" t="n">
        <v>0</v>
      </c>
      <c r="G469">
        <f>IF(AND(A469&gt;=Inputs!$B$5,A469&lt;=Inputs!$B$6),1,0)</f>
        <v/>
      </c>
    </row>
    <row r="470">
      <c r="A470" t="inlineStr">
        <is>
          <t>2026-02</t>
        </is>
      </c>
      <c r="B470" t="inlineStr">
        <is>
          <t>HOSP-1</t>
        </is>
      </c>
      <c r="C470" t="inlineStr">
        <is>
          <t>SS-01003</t>
        </is>
      </c>
      <c r="D470" t="n">
        <v>12</v>
      </c>
      <c r="E470" t="n">
        <v>0</v>
      </c>
      <c r="G470">
        <f>IF(AND(A470&gt;=Inputs!$B$5,A470&lt;=Inputs!$B$6),1,0)</f>
        <v/>
      </c>
    </row>
    <row r="471">
      <c r="A471" t="inlineStr">
        <is>
          <t>2026-02</t>
        </is>
      </c>
      <c r="B471" t="inlineStr">
        <is>
          <t>HOSP-2</t>
        </is>
      </c>
      <c r="C471" t="inlineStr">
        <is>
          <t>SS-01004</t>
        </is>
      </c>
      <c r="D471" t="n">
        <v>6</v>
      </c>
      <c r="E471" t="n">
        <v>2</v>
      </c>
      <c r="G471">
        <f>IF(AND(A471&gt;=Inputs!$B$5,A471&lt;=Inputs!$B$6),1,0)</f>
        <v/>
      </c>
    </row>
    <row r="472">
      <c r="A472" t="inlineStr">
        <is>
          <t>2026-02</t>
        </is>
      </c>
      <c r="B472" t="inlineStr">
        <is>
          <t>HOSP-3</t>
        </is>
      </c>
      <c r="C472" t="inlineStr">
        <is>
          <t>SS-01005</t>
        </is>
      </c>
      <c r="D472" t="n">
        <v>0</v>
      </c>
      <c r="E472" t="n">
        <v>0</v>
      </c>
      <c r="G472">
        <f>IF(AND(A472&gt;=Inputs!$B$5,A472&lt;=Inputs!$B$6),1,0)</f>
        <v/>
      </c>
    </row>
    <row r="473">
      <c r="A473" t="inlineStr">
        <is>
          <t>2026-02</t>
        </is>
      </c>
      <c r="B473" t="inlineStr">
        <is>
          <t>HOSP-4</t>
        </is>
      </c>
      <c r="C473" t="inlineStr">
        <is>
          <t>SS-01006</t>
        </is>
      </c>
      <c r="D473" t="n">
        <v>108</v>
      </c>
      <c r="E473" t="n">
        <v>0</v>
      </c>
      <c r="G473">
        <f>IF(AND(A473&gt;=Inputs!$B$5,A473&lt;=Inputs!$B$6),1,0)</f>
        <v/>
      </c>
    </row>
    <row r="474">
      <c r="A474" t="inlineStr">
        <is>
          <t>2026-02</t>
        </is>
      </c>
      <c r="B474" t="inlineStr">
        <is>
          <t>HOSP-1</t>
        </is>
      </c>
      <c r="C474" t="inlineStr">
        <is>
          <t>SS-01007</t>
        </is>
      </c>
      <c r="D474" t="n">
        <v>12</v>
      </c>
      <c r="E474" t="n">
        <v>0</v>
      </c>
      <c r="G474">
        <f>IF(AND(A474&gt;=Inputs!$B$5,A474&lt;=Inputs!$B$6),1,0)</f>
        <v/>
      </c>
    </row>
    <row r="475">
      <c r="A475" t="inlineStr">
        <is>
          <t>2026-02</t>
        </is>
      </c>
      <c r="B475" t="inlineStr">
        <is>
          <t>HOSP-2</t>
        </is>
      </c>
      <c r="C475" t="inlineStr">
        <is>
          <t>SS-01008</t>
        </is>
      </c>
      <c r="D475" t="n">
        <v>36</v>
      </c>
      <c r="E475" t="n">
        <v>0</v>
      </c>
      <c r="G475">
        <f>IF(AND(A475&gt;=Inputs!$B$5,A475&lt;=Inputs!$B$6),1,0)</f>
        <v/>
      </c>
    </row>
    <row r="476">
      <c r="A476" t="inlineStr">
        <is>
          <t>2026-02</t>
        </is>
      </c>
      <c r="B476" t="inlineStr">
        <is>
          <t>HOSP-3</t>
        </is>
      </c>
      <c r="C476" t="inlineStr">
        <is>
          <t>SS-01009</t>
        </is>
      </c>
      <c r="D476" t="n">
        <v>0</v>
      </c>
      <c r="E476" t="n">
        <v>1</v>
      </c>
      <c r="G476">
        <f>IF(AND(A476&gt;=Inputs!$B$5,A476&lt;=Inputs!$B$6),1,0)</f>
        <v/>
      </c>
    </row>
    <row r="477">
      <c r="A477" t="inlineStr">
        <is>
          <t>2026-02</t>
        </is>
      </c>
      <c r="B477" t="inlineStr">
        <is>
          <t>HOSP-4</t>
        </is>
      </c>
      <c r="C477" t="inlineStr">
        <is>
          <t>SS-01010</t>
        </is>
      </c>
      <c r="D477" t="n">
        <v>24</v>
      </c>
      <c r="E477" t="n">
        <v>0</v>
      </c>
      <c r="G477">
        <f>IF(AND(A477&gt;=Inputs!$B$5,A477&lt;=Inputs!$B$6),1,0)</f>
        <v/>
      </c>
    </row>
    <row r="478">
      <c r="A478" t="inlineStr">
        <is>
          <t>2026-02</t>
        </is>
      </c>
      <c r="B478" t="inlineStr">
        <is>
          <t>HOSP-1</t>
        </is>
      </c>
      <c r="C478" t="inlineStr">
        <is>
          <t>SS-01011</t>
        </is>
      </c>
      <c r="D478" t="n">
        <v>0</v>
      </c>
      <c r="E478" t="n">
        <v>0</v>
      </c>
      <c r="G478">
        <f>IF(AND(A478&gt;=Inputs!$B$5,A478&lt;=Inputs!$B$6),1,0)</f>
        <v/>
      </c>
    </row>
    <row r="479">
      <c r="A479" t="inlineStr">
        <is>
          <t>2026-02</t>
        </is>
      </c>
      <c r="B479" t="inlineStr">
        <is>
          <t>HOSP-2</t>
        </is>
      </c>
      <c r="C479" t="inlineStr">
        <is>
          <t>SS-01012</t>
        </is>
      </c>
      <c r="D479" t="n">
        <v>36</v>
      </c>
      <c r="E479" t="n">
        <v>0</v>
      </c>
      <c r="G479">
        <f>IF(AND(A479&gt;=Inputs!$B$5,A479&lt;=Inputs!$B$6),1,0)</f>
        <v/>
      </c>
    </row>
    <row r="480">
      <c r="A480" t="inlineStr">
        <is>
          <t>2026-02</t>
        </is>
      </c>
      <c r="B480" t="inlineStr">
        <is>
          <t>HOSP-3</t>
        </is>
      </c>
      <c r="C480" t="inlineStr">
        <is>
          <t>SS-01013</t>
        </is>
      </c>
      <c r="D480" t="n">
        <v>0</v>
      </c>
      <c r="E480" t="n">
        <v>0</v>
      </c>
      <c r="G480">
        <f>IF(AND(A480&gt;=Inputs!$B$5,A480&lt;=Inputs!$B$6),1,0)</f>
        <v/>
      </c>
    </row>
    <row r="481">
      <c r="A481" t="inlineStr">
        <is>
          <t>2026-02</t>
        </is>
      </c>
      <c r="B481" t="inlineStr">
        <is>
          <t>HOSP-4</t>
        </is>
      </c>
      <c r="C481" t="inlineStr">
        <is>
          <t>SS-01113</t>
        </is>
      </c>
      <c r="D481" t="n">
        <v>17</v>
      </c>
      <c r="E481" t="n">
        <v>0</v>
      </c>
      <c r="G481">
        <f>IF(AND(A481&gt;=Inputs!$B$5,A481&lt;=Inputs!$B$6),1,0)</f>
        <v/>
      </c>
    </row>
    <row r="482">
      <c r="A482" t="inlineStr">
        <is>
          <t>2026-02</t>
        </is>
      </c>
      <c r="B482" t="inlineStr">
        <is>
          <t>HOSP-1</t>
        </is>
      </c>
      <c r="C482" t="inlineStr">
        <is>
          <t>SS-01015</t>
        </is>
      </c>
      <c r="D482" t="n">
        <v>0</v>
      </c>
      <c r="E482" t="n">
        <v>0</v>
      </c>
      <c r="G482">
        <f>IF(AND(A482&gt;=Inputs!$B$5,A482&lt;=Inputs!$B$6),1,0)</f>
        <v/>
      </c>
    </row>
    <row r="483">
      <c r="A483" t="inlineStr">
        <is>
          <t>2026-02</t>
        </is>
      </c>
      <c r="B483" t="inlineStr">
        <is>
          <t>HOSP-2</t>
        </is>
      </c>
      <c r="C483" t="inlineStr">
        <is>
          <t>SS-01016</t>
        </is>
      </c>
      <c r="D483" t="n">
        <v>60</v>
      </c>
      <c r="E483" t="n">
        <v>0</v>
      </c>
      <c r="G483">
        <f>IF(AND(A483&gt;=Inputs!$B$5,A483&lt;=Inputs!$B$6),1,0)</f>
        <v/>
      </c>
    </row>
    <row r="484">
      <c r="A484" t="inlineStr">
        <is>
          <t>2026-02</t>
        </is>
      </c>
      <c r="B484" t="inlineStr">
        <is>
          <t>HOSP-3</t>
        </is>
      </c>
      <c r="C484" t="inlineStr">
        <is>
          <t>SS-01017</t>
        </is>
      </c>
      <c r="D484" t="n">
        <v>48</v>
      </c>
      <c r="E484" t="n">
        <v>0</v>
      </c>
      <c r="G484">
        <f>IF(AND(A484&gt;=Inputs!$B$5,A484&lt;=Inputs!$B$6),1,0)</f>
        <v/>
      </c>
    </row>
    <row r="485">
      <c r="A485" t="inlineStr">
        <is>
          <t>2026-02</t>
        </is>
      </c>
      <c r="B485" t="inlineStr">
        <is>
          <t>HOSP-4</t>
        </is>
      </c>
      <c r="C485" t="inlineStr">
        <is>
          <t>SS-01018</t>
        </is>
      </c>
      <c r="D485" t="n">
        <v>12</v>
      </c>
      <c r="E485" t="n">
        <v>0</v>
      </c>
      <c r="G485">
        <f>IF(AND(A485&gt;=Inputs!$B$5,A485&lt;=Inputs!$B$6),1,0)</f>
        <v/>
      </c>
    </row>
    <row r="486">
      <c r="A486" t="inlineStr">
        <is>
          <t>2026-02</t>
        </is>
      </c>
      <c r="B486" t="inlineStr">
        <is>
          <t>HOSP-1</t>
        </is>
      </c>
      <c r="C486" t="inlineStr">
        <is>
          <t>SS-01019</t>
        </is>
      </c>
      <c r="D486" t="n">
        <v>12</v>
      </c>
      <c r="E486" t="n">
        <v>0</v>
      </c>
      <c r="G486">
        <f>IF(AND(A486&gt;=Inputs!$B$5,A486&lt;=Inputs!$B$6),1,0)</f>
        <v/>
      </c>
    </row>
    <row r="487">
      <c r="A487" t="inlineStr">
        <is>
          <t>2026-02</t>
        </is>
      </c>
      <c r="B487" t="inlineStr">
        <is>
          <t>HOSP-2</t>
        </is>
      </c>
      <c r="C487" t="inlineStr">
        <is>
          <t>SS-01020</t>
        </is>
      </c>
      <c r="D487" t="n">
        <v>12</v>
      </c>
      <c r="E487" t="n">
        <v>0</v>
      </c>
      <c r="G487">
        <f>IF(AND(A487&gt;=Inputs!$B$5,A487&lt;=Inputs!$B$6),1,0)</f>
        <v/>
      </c>
    </row>
    <row r="488">
      <c r="A488" t="inlineStr">
        <is>
          <t>2026-02</t>
        </is>
      </c>
      <c r="B488" t="inlineStr">
        <is>
          <t>HOSP-3</t>
        </is>
      </c>
      <c r="C488" t="inlineStr">
        <is>
          <t>SS-01021</t>
        </is>
      </c>
      <c r="D488" t="n">
        <v>0</v>
      </c>
      <c r="E488" t="n">
        <v>0</v>
      </c>
      <c r="G488">
        <f>IF(AND(A488&gt;=Inputs!$B$5,A488&lt;=Inputs!$B$6),1,0)</f>
        <v/>
      </c>
    </row>
    <row r="489">
      <c r="A489" t="inlineStr">
        <is>
          <t>2026-02</t>
        </is>
      </c>
      <c r="B489" t="inlineStr">
        <is>
          <t>HOSP-4</t>
        </is>
      </c>
      <c r="C489" t="inlineStr">
        <is>
          <t>SS-01022</t>
        </is>
      </c>
      <c r="D489" t="n">
        <v>0</v>
      </c>
      <c r="E489" t="n">
        <v>0</v>
      </c>
      <c r="G489">
        <f>IF(AND(A489&gt;=Inputs!$B$5,A489&lt;=Inputs!$B$6),1,0)</f>
        <v/>
      </c>
    </row>
    <row r="490">
      <c r="A490" t="inlineStr">
        <is>
          <t>2026-02</t>
        </is>
      </c>
      <c r="B490" t="inlineStr">
        <is>
          <t>HOSP-1</t>
        </is>
      </c>
      <c r="C490" t="inlineStr">
        <is>
          <t>SS-01151</t>
        </is>
      </c>
      <c r="D490" t="n">
        <v>0</v>
      </c>
      <c r="E490" t="n">
        <v>1</v>
      </c>
      <c r="G490">
        <f>IF(AND(A490&gt;=Inputs!$B$5,A490&lt;=Inputs!$B$6),1,0)</f>
        <v/>
      </c>
    </row>
    <row r="491">
      <c r="A491" t="inlineStr">
        <is>
          <t>2026-02</t>
        </is>
      </c>
      <c r="B491" t="inlineStr">
        <is>
          <t>HOSP-2</t>
        </is>
      </c>
      <c r="C491" t="inlineStr">
        <is>
          <t>SS-01024</t>
        </is>
      </c>
      <c r="D491" t="n">
        <v>12</v>
      </c>
      <c r="E491" t="n">
        <v>0</v>
      </c>
      <c r="G491">
        <f>IF(AND(A491&gt;=Inputs!$B$5,A491&lt;=Inputs!$B$6),1,0)</f>
        <v/>
      </c>
    </row>
    <row r="492">
      <c r="A492" t="inlineStr">
        <is>
          <t>2026-02</t>
        </is>
      </c>
      <c r="B492" t="inlineStr">
        <is>
          <t>HOSP-3</t>
        </is>
      </c>
      <c r="C492" t="inlineStr">
        <is>
          <t>SS-01025</t>
        </is>
      </c>
      <c r="D492" t="n">
        <v>0</v>
      </c>
      <c r="E492" t="n">
        <v>2</v>
      </c>
      <c r="G492">
        <f>IF(AND(A492&gt;=Inputs!$B$5,A492&lt;=Inputs!$B$6),1,0)</f>
        <v/>
      </c>
    </row>
    <row r="493">
      <c r="A493" t="inlineStr">
        <is>
          <t>2026-02</t>
        </is>
      </c>
      <c r="B493" t="inlineStr">
        <is>
          <t>HOSP-4</t>
        </is>
      </c>
      <c r="C493" t="inlineStr">
        <is>
          <t>SS-01026</t>
        </is>
      </c>
      <c r="D493" t="n">
        <v>24</v>
      </c>
      <c r="E493" t="n">
        <v>0</v>
      </c>
      <c r="G493">
        <f>IF(AND(A493&gt;=Inputs!$B$5,A493&lt;=Inputs!$B$6),1,0)</f>
        <v/>
      </c>
    </row>
    <row r="494">
      <c r="A494" t="inlineStr">
        <is>
          <t>2026-02</t>
        </is>
      </c>
      <c r="B494" t="inlineStr">
        <is>
          <t>HOSP-1</t>
        </is>
      </c>
      <c r="C494" t="inlineStr">
        <is>
          <t>SS-01027</t>
        </is>
      </c>
      <c r="D494" t="n">
        <v>144</v>
      </c>
      <c r="E494" t="n">
        <v>0</v>
      </c>
      <c r="G494">
        <f>IF(AND(A494&gt;=Inputs!$B$5,A494&lt;=Inputs!$B$6),1,0)</f>
        <v/>
      </c>
    </row>
    <row r="495">
      <c r="A495" t="inlineStr">
        <is>
          <t>2026-02</t>
        </is>
      </c>
      <c r="B495" t="inlineStr">
        <is>
          <t>HOSP-2</t>
        </is>
      </c>
      <c r="C495" t="inlineStr">
        <is>
          <t>SS-01028</t>
        </is>
      </c>
      <c r="D495" t="n">
        <v>204</v>
      </c>
      <c r="E495" t="n">
        <v>0</v>
      </c>
      <c r="G495">
        <f>IF(AND(A495&gt;=Inputs!$B$5,A495&lt;=Inputs!$B$6),1,0)</f>
        <v/>
      </c>
    </row>
    <row r="496">
      <c r="A496" t="inlineStr">
        <is>
          <t>2026-02</t>
        </is>
      </c>
      <c r="B496" t="inlineStr">
        <is>
          <t>HOSP-3</t>
        </is>
      </c>
      <c r="C496" t="inlineStr">
        <is>
          <t>SS-01029</t>
        </is>
      </c>
      <c r="D496" t="n">
        <v>0</v>
      </c>
      <c r="E496" t="n">
        <v>0</v>
      </c>
      <c r="G496">
        <f>IF(AND(A496&gt;=Inputs!$B$5,A496&lt;=Inputs!$B$6),1,0)</f>
        <v/>
      </c>
    </row>
    <row r="497">
      <c r="A497" t="inlineStr">
        <is>
          <t>2026-02</t>
        </is>
      </c>
      <c r="B497" t="inlineStr">
        <is>
          <t>HOSP-4</t>
        </is>
      </c>
      <c r="C497" t="inlineStr">
        <is>
          <t>SS-01030</t>
        </is>
      </c>
      <c r="D497" t="n">
        <v>36</v>
      </c>
      <c r="E497" t="n">
        <v>0</v>
      </c>
      <c r="G497">
        <f>IF(AND(A497&gt;=Inputs!$B$5,A497&lt;=Inputs!$B$6),1,0)</f>
        <v/>
      </c>
    </row>
    <row r="498">
      <c r="A498" t="inlineStr">
        <is>
          <t>2026-02</t>
        </is>
      </c>
      <c r="B498" t="inlineStr">
        <is>
          <t>HOSP-1</t>
        </is>
      </c>
      <c r="C498" t="inlineStr">
        <is>
          <t>SS-01031</t>
        </is>
      </c>
      <c r="D498" t="n">
        <v>4</v>
      </c>
      <c r="E498" t="n">
        <v>1</v>
      </c>
      <c r="G498">
        <f>IF(AND(A498&gt;=Inputs!$B$5,A498&lt;=Inputs!$B$6),1,0)</f>
        <v/>
      </c>
    </row>
    <row r="499">
      <c r="A499" t="inlineStr">
        <is>
          <t>2026-02</t>
        </is>
      </c>
      <c r="B499" t="inlineStr">
        <is>
          <t>HOSP-2</t>
        </is>
      </c>
      <c r="C499" t="inlineStr">
        <is>
          <t>SS-01032</t>
        </is>
      </c>
      <c r="D499" t="n">
        <v>0</v>
      </c>
      <c r="E499" t="n">
        <v>0</v>
      </c>
      <c r="G499">
        <f>IF(AND(A499&gt;=Inputs!$B$5,A499&lt;=Inputs!$B$6),1,0)</f>
        <v/>
      </c>
    </row>
    <row r="500">
      <c r="A500" t="inlineStr">
        <is>
          <t>2026-02</t>
        </is>
      </c>
      <c r="B500" t="inlineStr">
        <is>
          <t>HOSP-3</t>
        </is>
      </c>
      <c r="C500" t="inlineStr">
        <is>
          <t>SS-01033</t>
        </is>
      </c>
      <c r="D500" t="n">
        <v>0</v>
      </c>
      <c r="E500" t="n">
        <v>0</v>
      </c>
      <c r="G500">
        <f>IF(AND(A500&gt;=Inputs!$B$5,A500&lt;=Inputs!$B$6),1,0)</f>
        <v/>
      </c>
    </row>
    <row r="501">
      <c r="A501" t="inlineStr">
        <is>
          <t>2026-02</t>
        </is>
      </c>
      <c r="B501" t="inlineStr">
        <is>
          <t>HOSP-4</t>
        </is>
      </c>
      <c r="C501" t="inlineStr">
        <is>
          <t>SS-01034</t>
        </is>
      </c>
      <c r="D501" t="n">
        <v>14</v>
      </c>
      <c r="E501" t="n">
        <v>0</v>
      </c>
      <c r="G501">
        <f>IF(AND(A501&gt;=Inputs!$B$5,A501&lt;=Inputs!$B$6),1,0)</f>
        <v/>
      </c>
    </row>
    <row r="502">
      <c r="A502" t="inlineStr">
        <is>
          <t>2026-02</t>
        </is>
      </c>
      <c r="B502" t="inlineStr">
        <is>
          <t>HOSP-1</t>
        </is>
      </c>
      <c r="C502" t="inlineStr">
        <is>
          <t>SS-01035</t>
        </is>
      </c>
      <c r="D502" t="n">
        <v>12</v>
      </c>
      <c r="E502" t="n">
        <v>0</v>
      </c>
      <c r="G502">
        <f>IF(AND(A502&gt;=Inputs!$B$5,A502&lt;=Inputs!$B$6),1,0)</f>
        <v/>
      </c>
    </row>
    <row r="503">
      <c r="A503" t="inlineStr">
        <is>
          <t>2026-02</t>
        </is>
      </c>
      <c r="B503" t="inlineStr">
        <is>
          <t>HOSP-2</t>
        </is>
      </c>
      <c r="C503" t="inlineStr">
        <is>
          <t>SS-01036</t>
        </is>
      </c>
      <c r="D503" t="n">
        <v>96</v>
      </c>
      <c r="E503" t="n">
        <v>0</v>
      </c>
      <c r="G503">
        <f>IF(AND(A503&gt;=Inputs!$B$5,A503&lt;=Inputs!$B$6),1,0)</f>
        <v/>
      </c>
    </row>
    <row r="504">
      <c r="A504" t="inlineStr">
        <is>
          <t>2026-02</t>
        </is>
      </c>
      <c r="B504" t="inlineStr">
        <is>
          <t>HOSP-3</t>
        </is>
      </c>
      <c r="C504" t="inlineStr">
        <is>
          <t>SS-01037</t>
        </is>
      </c>
      <c r="D504" t="n">
        <v>0</v>
      </c>
      <c r="E504" t="n">
        <v>0</v>
      </c>
      <c r="G504">
        <f>IF(AND(A504&gt;=Inputs!$B$5,A504&lt;=Inputs!$B$6),1,0)</f>
        <v/>
      </c>
    </row>
    <row r="505">
      <c r="A505" t="inlineStr">
        <is>
          <t>2026-02</t>
        </is>
      </c>
      <c r="B505" t="inlineStr">
        <is>
          <t>HOSP-4</t>
        </is>
      </c>
      <c r="C505" t="inlineStr">
        <is>
          <t>SS-01038</t>
        </is>
      </c>
      <c r="D505" t="n">
        <v>4</v>
      </c>
      <c r="E505" t="n">
        <v>1</v>
      </c>
      <c r="G505">
        <f>IF(AND(A505&gt;=Inputs!$B$5,A505&lt;=Inputs!$B$6),1,0)</f>
        <v/>
      </c>
    </row>
    <row r="506">
      <c r="A506" t="inlineStr">
        <is>
          <t>2026-02</t>
        </is>
      </c>
      <c r="B506" t="inlineStr">
        <is>
          <t>HOSP-1</t>
        </is>
      </c>
      <c r="C506" t="inlineStr">
        <is>
          <t>SS-01039</t>
        </is>
      </c>
      <c r="D506" t="n">
        <v>0</v>
      </c>
      <c r="E506" t="n">
        <v>0</v>
      </c>
      <c r="G506">
        <f>IF(AND(A506&gt;=Inputs!$B$5,A506&lt;=Inputs!$B$6),1,0)</f>
        <v/>
      </c>
    </row>
    <row r="507">
      <c r="A507" t="inlineStr">
        <is>
          <t>2026-02</t>
        </is>
      </c>
      <c r="B507" t="inlineStr">
        <is>
          <t>HOSP-2</t>
        </is>
      </c>
      <c r="C507" t="inlineStr">
        <is>
          <t>SS-01040</t>
        </is>
      </c>
      <c r="D507" t="n">
        <v>12</v>
      </c>
      <c r="E507" t="n">
        <v>0</v>
      </c>
      <c r="G507">
        <f>IF(AND(A507&gt;=Inputs!$B$5,A507&lt;=Inputs!$B$6),1,0)</f>
        <v/>
      </c>
    </row>
    <row r="508">
      <c r="A508" t="inlineStr">
        <is>
          <t>2026-02</t>
        </is>
      </c>
      <c r="B508" t="inlineStr">
        <is>
          <t>HOSP-3</t>
        </is>
      </c>
      <c r="C508" t="inlineStr">
        <is>
          <t>SS-01041</t>
        </is>
      </c>
      <c r="D508" t="n">
        <v>12</v>
      </c>
      <c r="E508" t="n">
        <v>0</v>
      </c>
      <c r="G508">
        <f>IF(AND(A508&gt;=Inputs!$B$5,A508&lt;=Inputs!$B$6),1,0)</f>
        <v/>
      </c>
    </row>
    <row r="509">
      <c r="A509" t="inlineStr">
        <is>
          <t>2026-02</t>
        </is>
      </c>
      <c r="B509" t="inlineStr">
        <is>
          <t>HOSP-4</t>
        </is>
      </c>
      <c r="C509" t="inlineStr">
        <is>
          <t>SS-01042</t>
        </is>
      </c>
      <c r="D509" t="n">
        <v>12</v>
      </c>
      <c r="E509" t="n">
        <v>0</v>
      </c>
      <c r="G509">
        <f>IF(AND(A509&gt;=Inputs!$B$5,A509&lt;=Inputs!$B$6),1,0)</f>
        <v/>
      </c>
    </row>
    <row r="510">
      <c r="A510" t="inlineStr">
        <is>
          <t>2026-02</t>
        </is>
      </c>
      <c r="B510" t="inlineStr">
        <is>
          <t>HOSP-1</t>
        </is>
      </c>
      <c r="C510" t="inlineStr">
        <is>
          <t>SS-01043</t>
        </is>
      </c>
      <c r="D510" t="n">
        <v>12</v>
      </c>
      <c r="E510" t="n">
        <v>0</v>
      </c>
      <c r="G510">
        <f>IF(AND(A510&gt;=Inputs!$B$5,A510&lt;=Inputs!$B$6),1,0)</f>
        <v/>
      </c>
    </row>
    <row r="511">
      <c r="A511" t="inlineStr">
        <is>
          <t>2026-03</t>
        </is>
      </c>
      <c r="B511" t="inlineStr">
        <is>
          <t>HOSP-2</t>
        </is>
      </c>
      <c r="C511" t="inlineStr">
        <is>
          <t>SS-01044</t>
        </is>
      </c>
      <c r="D511" t="n">
        <v>5</v>
      </c>
      <c r="E511" t="n">
        <v>1</v>
      </c>
      <c r="G511">
        <f>IF(AND(A511&gt;=Inputs!$B$5,A511&lt;=Inputs!$B$6),1,0)</f>
        <v/>
      </c>
    </row>
    <row r="512">
      <c r="A512" t="inlineStr">
        <is>
          <t>2026-03</t>
        </is>
      </c>
      <c r="B512" t="inlineStr">
        <is>
          <t>HOSP-3</t>
        </is>
      </c>
      <c r="C512" t="inlineStr">
        <is>
          <t>SS-01045</t>
        </is>
      </c>
      <c r="D512" t="n">
        <v>0</v>
      </c>
      <c r="E512" t="n">
        <v>0</v>
      </c>
      <c r="G512">
        <f>IF(AND(A512&gt;=Inputs!$B$5,A512&lt;=Inputs!$B$6),1,0)</f>
        <v/>
      </c>
    </row>
    <row r="513">
      <c r="A513" t="inlineStr">
        <is>
          <t>2026-03</t>
        </is>
      </c>
      <c r="B513" t="inlineStr">
        <is>
          <t>HOSP-4</t>
        </is>
      </c>
      <c r="C513" t="inlineStr">
        <is>
          <t>SS-01046</t>
        </is>
      </c>
      <c r="D513" t="n">
        <v>15</v>
      </c>
      <c r="E513" t="n">
        <v>1</v>
      </c>
      <c r="G513">
        <f>IF(AND(A513&gt;=Inputs!$B$5,A513&lt;=Inputs!$B$6),1,0)</f>
        <v/>
      </c>
    </row>
    <row r="514">
      <c r="A514" t="inlineStr">
        <is>
          <t>2026-03</t>
        </is>
      </c>
      <c r="B514" t="inlineStr">
        <is>
          <t>HOSP-1</t>
        </is>
      </c>
      <c r="C514" t="inlineStr">
        <is>
          <t>SS-01047</t>
        </is>
      </c>
      <c r="D514" t="n">
        <v>120</v>
      </c>
      <c r="E514" t="n">
        <v>0</v>
      </c>
      <c r="G514">
        <f>IF(AND(A514&gt;=Inputs!$B$5,A514&lt;=Inputs!$B$6),1,0)</f>
        <v/>
      </c>
    </row>
    <row r="515">
      <c r="A515" t="inlineStr">
        <is>
          <t>2026-03</t>
        </is>
      </c>
      <c r="B515" t="inlineStr">
        <is>
          <t>HOSP-2</t>
        </is>
      </c>
      <c r="C515" t="inlineStr">
        <is>
          <t>SS-01048</t>
        </is>
      </c>
      <c r="D515" t="n">
        <v>12</v>
      </c>
      <c r="E515" t="n">
        <v>0</v>
      </c>
      <c r="G515">
        <f>IF(AND(A515&gt;=Inputs!$B$5,A515&lt;=Inputs!$B$6),1,0)</f>
        <v/>
      </c>
    </row>
    <row r="516">
      <c r="A516" t="inlineStr">
        <is>
          <t>2026-03</t>
        </is>
      </c>
      <c r="B516" t="inlineStr">
        <is>
          <t>HOSP-3</t>
        </is>
      </c>
      <c r="C516" t="inlineStr">
        <is>
          <t>SS-01049</t>
        </is>
      </c>
      <c r="D516" t="n">
        <v>12</v>
      </c>
      <c r="E516" t="n">
        <v>0</v>
      </c>
      <c r="G516">
        <f>IF(AND(A516&gt;=Inputs!$B$5,A516&lt;=Inputs!$B$6),1,0)</f>
        <v/>
      </c>
    </row>
    <row r="517">
      <c r="A517" t="inlineStr">
        <is>
          <t>2026-03</t>
        </is>
      </c>
      <c r="B517" t="inlineStr">
        <is>
          <t>HOSP-4</t>
        </is>
      </c>
      <c r="C517" t="inlineStr">
        <is>
          <t>SS-01050</t>
        </is>
      </c>
      <c r="D517" t="n">
        <v>264</v>
      </c>
      <c r="E517" t="n">
        <v>0</v>
      </c>
      <c r="G517">
        <f>IF(AND(A517&gt;=Inputs!$B$5,A517&lt;=Inputs!$B$6),1,0)</f>
        <v/>
      </c>
    </row>
    <row r="518">
      <c r="A518" t="inlineStr">
        <is>
          <t>2026-03</t>
        </is>
      </c>
      <c r="B518" t="inlineStr">
        <is>
          <t>HOSP-1</t>
        </is>
      </c>
      <c r="C518" t="inlineStr">
        <is>
          <t>SS-01225</t>
        </is>
      </c>
      <c r="D518" t="n">
        <v>142</v>
      </c>
      <c r="E518" t="n">
        <v>1</v>
      </c>
      <c r="G518">
        <f>IF(AND(A518&gt;=Inputs!$B$5,A518&lt;=Inputs!$B$6),1,0)</f>
        <v/>
      </c>
    </row>
    <row r="519">
      <c r="A519" t="inlineStr">
        <is>
          <t>2026-03</t>
        </is>
      </c>
      <c r="B519" t="inlineStr">
        <is>
          <t>HOSP-2</t>
        </is>
      </c>
      <c r="C519" t="inlineStr">
        <is>
          <t>SS-01052</t>
        </is>
      </c>
      <c r="D519" t="n">
        <v>24</v>
      </c>
      <c r="E519" t="n">
        <v>0</v>
      </c>
      <c r="G519">
        <f>IF(AND(A519&gt;=Inputs!$B$5,A519&lt;=Inputs!$B$6),1,0)</f>
        <v/>
      </c>
    </row>
    <row r="520">
      <c r="A520" t="inlineStr">
        <is>
          <t>2026-03</t>
        </is>
      </c>
      <c r="B520" t="inlineStr">
        <is>
          <t>HOSP-3</t>
        </is>
      </c>
      <c r="C520" t="inlineStr">
        <is>
          <t>SS-01053</t>
        </is>
      </c>
      <c r="D520" t="n">
        <v>60</v>
      </c>
      <c r="E520" t="n">
        <v>0</v>
      </c>
      <c r="G520">
        <f>IF(AND(A520&gt;=Inputs!$B$5,A520&lt;=Inputs!$B$6),1,0)</f>
        <v/>
      </c>
    </row>
    <row r="521">
      <c r="A521" t="inlineStr">
        <is>
          <t>2026-03</t>
        </is>
      </c>
      <c r="B521" t="inlineStr">
        <is>
          <t>HOSP-4</t>
        </is>
      </c>
      <c r="C521" t="inlineStr">
        <is>
          <t>SS-01054</t>
        </is>
      </c>
      <c r="D521" t="n">
        <v>0</v>
      </c>
      <c r="E521" t="n">
        <v>0</v>
      </c>
      <c r="F521" t="inlineStr">
        <is>
          <t>surge</t>
        </is>
      </c>
      <c r="G521">
        <f>IF(AND(A521&gt;=Inputs!$B$5,A521&lt;=Inputs!$B$6),1,0)</f>
        <v/>
      </c>
    </row>
    <row r="522">
      <c r="A522" t="inlineStr">
        <is>
          <t>2026-03</t>
        </is>
      </c>
      <c r="B522" t="inlineStr">
        <is>
          <t>HOSP-1</t>
        </is>
      </c>
      <c r="C522" t="inlineStr">
        <is>
          <t>SS-01055</t>
        </is>
      </c>
      <c r="D522" t="n">
        <v>12</v>
      </c>
      <c r="E522" t="n">
        <v>0</v>
      </c>
      <c r="G522">
        <f>IF(AND(A522&gt;=Inputs!$B$5,A522&lt;=Inputs!$B$6),1,0)</f>
        <v/>
      </c>
    </row>
    <row r="523">
      <c r="A523" t="inlineStr">
        <is>
          <t>2026-03</t>
        </is>
      </c>
      <c r="B523" t="inlineStr">
        <is>
          <t>HOSP-2</t>
        </is>
      </c>
      <c r="C523" t="inlineStr">
        <is>
          <t>SS-01056</t>
        </is>
      </c>
      <c r="D523" t="n">
        <v>0</v>
      </c>
      <c r="E523" t="n">
        <v>0</v>
      </c>
      <c r="G523">
        <f>IF(AND(A523&gt;=Inputs!$B$5,A523&lt;=Inputs!$B$6),1,0)</f>
        <v/>
      </c>
    </row>
    <row r="524">
      <c r="A524" t="inlineStr">
        <is>
          <t>2026-03</t>
        </is>
      </c>
      <c r="B524" t="inlineStr">
        <is>
          <t>HOSP-3</t>
        </is>
      </c>
      <c r="C524" t="inlineStr">
        <is>
          <t>SS-01057</t>
        </is>
      </c>
      <c r="D524" t="n">
        <v>12</v>
      </c>
      <c r="E524" t="n">
        <v>0</v>
      </c>
      <c r="G524">
        <f>IF(AND(A524&gt;=Inputs!$B$5,A524&lt;=Inputs!$B$6),1,0)</f>
        <v/>
      </c>
    </row>
    <row r="525">
      <c r="A525" t="inlineStr">
        <is>
          <t>2026-03</t>
        </is>
      </c>
      <c r="B525" t="inlineStr">
        <is>
          <t>HOSP-4</t>
        </is>
      </c>
      <c r="C525" t="inlineStr">
        <is>
          <t>SS-01058</t>
        </is>
      </c>
      <c r="D525" t="n">
        <v>12</v>
      </c>
      <c r="E525" t="n">
        <v>0</v>
      </c>
      <c r="G525">
        <f>IF(AND(A525&gt;=Inputs!$B$5,A525&lt;=Inputs!$B$6),1,0)</f>
        <v/>
      </c>
    </row>
    <row r="526">
      <c r="A526" t="inlineStr">
        <is>
          <t>2026-03</t>
        </is>
      </c>
      <c r="B526" t="inlineStr">
        <is>
          <t>HOSP-1</t>
        </is>
      </c>
      <c r="C526" t="inlineStr">
        <is>
          <t>SS-01059</t>
        </is>
      </c>
      <c r="D526" t="n">
        <v>24</v>
      </c>
      <c r="E526" t="n">
        <v>0</v>
      </c>
      <c r="G526">
        <f>IF(AND(A526&gt;=Inputs!$B$5,A526&lt;=Inputs!$B$6),1,0)</f>
        <v/>
      </c>
    </row>
    <row r="527">
      <c r="A527" t="inlineStr">
        <is>
          <t>2026-03</t>
        </is>
      </c>
      <c r="B527" t="inlineStr">
        <is>
          <t>HOSP-2</t>
        </is>
      </c>
      <c r="C527" t="inlineStr">
        <is>
          <t>SS-01060</t>
        </is>
      </c>
      <c r="D527" t="n">
        <v>132</v>
      </c>
      <c r="E527" t="n">
        <v>0</v>
      </c>
      <c r="G527">
        <f>IF(AND(A527&gt;=Inputs!$B$5,A527&lt;=Inputs!$B$6),1,0)</f>
        <v/>
      </c>
    </row>
    <row r="528">
      <c r="A528" t="inlineStr">
        <is>
          <t>2026-03</t>
        </is>
      </c>
      <c r="B528" t="inlineStr">
        <is>
          <t>HOSP-3</t>
        </is>
      </c>
      <c r="C528" t="inlineStr">
        <is>
          <t>SS-01061</t>
        </is>
      </c>
      <c r="D528" t="n">
        <v>60</v>
      </c>
      <c r="E528" t="n">
        <v>0</v>
      </c>
      <c r="G528">
        <f>IF(AND(A528&gt;=Inputs!$B$5,A528&lt;=Inputs!$B$6),1,0)</f>
        <v/>
      </c>
    </row>
    <row r="529">
      <c r="A529" t="inlineStr">
        <is>
          <t>2026-03</t>
        </is>
      </c>
      <c r="B529" t="inlineStr">
        <is>
          <t>HOSP-4</t>
        </is>
      </c>
      <c r="C529" t="inlineStr">
        <is>
          <t>SS-01062</t>
        </is>
      </c>
      <c r="D529" t="n">
        <v>0</v>
      </c>
      <c r="E529" t="n">
        <v>0</v>
      </c>
      <c r="G529">
        <f>IF(AND(A529&gt;=Inputs!$B$5,A529&lt;=Inputs!$B$6),1,0)</f>
        <v/>
      </c>
    </row>
    <row r="530">
      <c r="A530" t="inlineStr">
        <is>
          <t>2026-03</t>
        </is>
      </c>
      <c r="B530" t="inlineStr">
        <is>
          <t>HOSP-1</t>
        </is>
      </c>
      <c r="C530" t="inlineStr">
        <is>
          <t>SS-01046</t>
        </is>
      </c>
      <c r="D530" t="n">
        <v>7</v>
      </c>
      <c r="E530" t="n">
        <v>4</v>
      </c>
      <c r="G530">
        <f>IF(AND(A530&gt;=Inputs!$B$5,A530&lt;=Inputs!$B$6),1,0)</f>
        <v/>
      </c>
    </row>
    <row r="531">
      <c r="A531" t="inlineStr">
        <is>
          <t>2026-03</t>
        </is>
      </c>
      <c r="B531" t="inlineStr">
        <is>
          <t>HOSP-2</t>
        </is>
      </c>
      <c r="C531" t="inlineStr">
        <is>
          <t>SS-01064</t>
        </is>
      </c>
      <c r="D531" t="n">
        <v>0</v>
      </c>
      <c r="E531" t="n">
        <v>0</v>
      </c>
      <c r="G531">
        <f>IF(AND(A531&gt;=Inputs!$B$5,A531&lt;=Inputs!$B$6),1,0)</f>
        <v/>
      </c>
    </row>
    <row r="532">
      <c r="A532" t="inlineStr">
        <is>
          <t>2026-03</t>
        </is>
      </c>
      <c r="B532" t="inlineStr">
        <is>
          <t>HOSP-3</t>
        </is>
      </c>
      <c r="C532" t="inlineStr">
        <is>
          <t>SS-01065</t>
        </is>
      </c>
      <c r="D532" t="n">
        <v>12</v>
      </c>
      <c r="E532" t="n">
        <v>0</v>
      </c>
      <c r="G532">
        <f>IF(AND(A532&gt;=Inputs!$B$5,A532&lt;=Inputs!$B$6),1,0)</f>
        <v/>
      </c>
    </row>
    <row r="533">
      <c r="A533" t="inlineStr">
        <is>
          <t>2026-03</t>
        </is>
      </c>
      <c r="B533" t="inlineStr">
        <is>
          <t>HOSP-4</t>
        </is>
      </c>
      <c r="C533" t="inlineStr">
        <is>
          <t>SS-01066</t>
        </is>
      </c>
      <c r="D533" t="n">
        <v>24</v>
      </c>
      <c r="E533" t="n">
        <v>0</v>
      </c>
      <c r="G533">
        <f>IF(AND(A533&gt;=Inputs!$B$5,A533&lt;=Inputs!$B$6),1,0)</f>
        <v/>
      </c>
    </row>
    <row r="534">
      <c r="A534" t="inlineStr">
        <is>
          <t>2026-03</t>
        </is>
      </c>
      <c r="B534" t="inlineStr">
        <is>
          <t>HOSP-1</t>
        </is>
      </c>
      <c r="C534" t="inlineStr">
        <is>
          <t>SS-01067</t>
        </is>
      </c>
      <c r="D534" t="n">
        <v>84</v>
      </c>
      <c r="E534" t="n">
        <v>0</v>
      </c>
      <c r="G534">
        <f>IF(AND(A534&gt;=Inputs!$B$5,A534&lt;=Inputs!$B$6),1,0)</f>
        <v/>
      </c>
    </row>
    <row r="535">
      <c r="A535" t="inlineStr">
        <is>
          <t>2026-03</t>
        </is>
      </c>
      <c r="B535" t="inlineStr">
        <is>
          <t>HOSP-2</t>
        </is>
      </c>
      <c r="C535" t="inlineStr">
        <is>
          <t>SS-01068</t>
        </is>
      </c>
      <c r="D535" t="n">
        <v>24</v>
      </c>
      <c r="E535" t="n">
        <v>0</v>
      </c>
      <c r="G535">
        <f>IF(AND(A535&gt;=Inputs!$B$5,A535&lt;=Inputs!$B$6),1,0)</f>
        <v/>
      </c>
    </row>
    <row r="536">
      <c r="A536" t="inlineStr">
        <is>
          <t>2026-03</t>
        </is>
      </c>
      <c r="B536" t="inlineStr">
        <is>
          <t>HOSP-3</t>
        </is>
      </c>
      <c r="C536" t="inlineStr">
        <is>
          <t>SS-01069</t>
        </is>
      </c>
      <c r="D536" t="n">
        <v>204</v>
      </c>
      <c r="E536" t="n">
        <v>0</v>
      </c>
      <c r="G536">
        <f>IF(AND(A536&gt;=Inputs!$B$5,A536&lt;=Inputs!$B$6),1,0)</f>
        <v/>
      </c>
    </row>
    <row r="537">
      <c r="A537" t="inlineStr">
        <is>
          <t>2026-03</t>
        </is>
      </c>
      <c r="B537" t="inlineStr">
        <is>
          <t>HOSP-4</t>
        </is>
      </c>
      <c r="C537" t="inlineStr">
        <is>
          <t>SS-01119</t>
        </is>
      </c>
      <c r="D537" t="n">
        <v>38</v>
      </c>
      <c r="E537" t="n">
        <v>1</v>
      </c>
      <c r="G537">
        <f>IF(AND(A537&gt;=Inputs!$B$5,A537&lt;=Inputs!$B$6),1,0)</f>
        <v/>
      </c>
    </row>
    <row r="538">
      <c r="A538" t="inlineStr">
        <is>
          <t>2026-03</t>
        </is>
      </c>
      <c r="B538" t="inlineStr">
        <is>
          <t>HOSP-1</t>
        </is>
      </c>
      <c r="C538" t="inlineStr">
        <is>
          <t>SS-01071</t>
        </is>
      </c>
      <c r="D538" t="n">
        <v>24</v>
      </c>
      <c r="E538" t="n">
        <v>0</v>
      </c>
      <c r="G538">
        <f>IF(AND(A538&gt;=Inputs!$B$5,A538&lt;=Inputs!$B$6),1,0)</f>
        <v/>
      </c>
    </row>
    <row r="539">
      <c r="A539" t="inlineStr">
        <is>
          <t>2026-03</t>
        </is>
      </c>
      <c r="B539" t="inlineStr">
        <is>
          <t>HOSP-2</t>
        </is>
      </c>
      <c r="C539" t="inlineStr">
        <is>
          <t>SS-01072</t>
        </is>
      </c>
      <c r="D539" t="n">
        <v>0</v>
      </c>
      <c r="E539" t="n">
        <v>0</v>
      </c>
      <c r="G539">
        <f>IF(AND(A539&gt;=Inputs!$B$5,A539&lt;=Inputs!$B$6),1,0)</f>
        <v/>
      </c>
    </row>
    <row r="540">
      <c r="A540" t="inlineStr">
        <is>
          <t>2026-03</t>
        </is>
      </c>
      <c r="B540" t="inlineStr">
        <is>
          <t>HOSP-3</t>
        </is>
      </c>
      <c r="C540" t="inlineStr">
        <is>
          <t>SS-01073</t>
        </is>
      </c>
      <c r="D540" t="n">
        <v>0</v>
      </c>
      <c r="E540" t="n">
        <v>0</v>
      </c>
      <c r="G540">
        <f>IF(AND(A540&gt;=Inputs!$B$5,A540&lt;=Inputs!$B$6),1,0)</f>
        <v/>
      </c>
    </row>
    <row r="541">
      <c r="A541" t="inlineStr">
        <is>
          <t>2026-03</t>
        </is>
      </c>
      <c r="B541" t="inlineStr">
        <is>
          <t>HOSP-4</t>
        </is>
      </c>
      <c r="C541" t="inlineStr">
        <is>
          <t>SS-01074</t>
        </is>
      </c>
      <c r="D541" t="n">
        <v>0</v>
      </c>
      <c r="E541" t="n">
        <v>0</v>
      </c>
      <c r="G541">
        <f>IF(AND(A541&gt;=Inputs!$B$5,A541&lt;=Inputs!$B$6),1,0)</f>
        <v/>
      </c>
    </row>
    <row r="542">
      <c r="A542" t="inlineStr">
        <is>
          <t>2026-03</t>
        </is>
      </c>
      <c r="B542" t="inlineStr">
        <is>
          <t>HOSP-1</t>
        </is>
      </c>
      <c r="C542" t="inlineStr">
        <is>
          <t>SS-01075</t>
        </is>
      </c>
      <c r="D542" t="n">
        <v>12</v>
      </c>
      <c r="E542" t="n">
        <v>0</v>
      </c>
      <c r="G542">
        <f>IF(AND(A542&gt;=Inputs!$B$5,A542&lt;=Inputs!$B$6),1,0)</f>
        <v/>
      </c>
    </row>
    <row r="543">
      <c r="A543" t="inlineStr">
        <is>
          <t>2026-03</t>
        </is>
      </c>
      <c r="B543" t="inlineStr">
        <is>
          <t>HOSP-2</t>
        </is>
      </c>
      <c r="C543" t="inlineStr">
        <is>
          <t>SS-01076</t>
        </is>
      </c>
      <c r="D543" t="n">
        <v>12</v>
      </c>
      <c r="E543" t="n">
        <v>1</v>
      </c>
      <c r="G543">
        <f>IF(AND(A543&gt;=Inputs!$B$5,A543&lt;=Inputs!$B$6),1,0)</f>
        <v/>
      </c>
    </row>
    <row r="544">
      <c r="A544" t="inlineStr">
        <is>
          <t>2026-03</t>
        </is>
      </c>
      <c r="B544" t="inlineStr">
        <is>
          <t>HOSP-3</t>
        </is>
      </c>
      <c r="C544" t="inlineStr">
        <is>
          <t>SS-01077</t>
        </is>
      </c>
      <c r="D544" t="n">
        <v>0</v>
      </c>
      <c r="E544" t="n">
        <v>0</v>
      </c>
      <c r="G544">
        <f>IF(AND(A544&gt;=Inputs!$B$5,A544&lt;=Inputs!$B$6),1,0)</f>
        <v/>
      </c>
    </row>
    <row r="545">
      <c r="A545" t="inlineStr">
        <is>
          <t>2026-03</t>
        </is>
      </c>
      <c r="B545" t="inlineStr">
        <is>
          <t>HOSP-4</t>
        </is>
      </c>
      <c r="C545" t="inlineStr">
        <is>
          <t>SS-01078</t>
        </is>
      </c>
      <c r="D545" t="n">
        <v>72</v>
      </c>
      <c r="E545" t="n">
        <v>0</v>
      </c>
      <c r="G545">
        <f>IF(AND(A545&gt;=Inputs!$B$5,A545&lt;=Inputs!$B$6),1,0)</f>
        <v/>
      </c>
    </row>
    <row r="546">
      <c r="A546" t="inlineStr">
        <is>
          <t>2026-03</t>
        </is>
      </c>
      <c r="B546" t="inlineStr">
        <is>
          <t>HOSP-1</t>
        </is>
      </c>
      <c r="C546" t="inlineStr">
        <is>
          <t>SS-01079</t>
        </is>
      </c>
      <c r="D546" t="n">
        <v>120</v>
      </c>
      <c r="E546" t="n">
        <v>0</v>
      </c>
      <c r="G546">
        <f>IF(AND(A546&gt;=Inputs!$B$5,A546&lt;=Inputs!$B$6),1,0)</f>
        <v/>
      </c>
    </row>
    <row r="547">
      <c r="A547" t="inlineStr">
        <is>
          <t>2026-03</t>
        </is>
      </c>
      <c r="B547" t="inlineStr">
        <is>
          <t>HOSP-2</t>
        </is>
      </c>
      <c r="C547" t="inlineStr">
        <is>
          <t>SS-01080</t>
        </is>
      </c>
      <c r="D547" t="n">
        <v>0</v>
      </c>
      <c r="E547" t="n">
        <v>0</v>
      </c>
      <c r="G547">
        <f>IF(AND(A547&gt;=Inputs!$B$5,A547&lt;=Inputs!$B$6),1,0)</f>
        <v/>
      </c>
    </row>
    <row r="548">
      <c r="A548" t="inlineStr">
        <is>
          <t>2026-03</t>
        </is>
      </c>
      <c r="B548" t="inlineStr">
        <is>
          <t>HOSP-3</t>
        </is>
      </c>
      <c r="C548" t="inlineStr">
        <is>
          <t>SS-01081</t>
        </is>
      </c>
      <c r="D548" t="n">
        <v>60</v>
      </c>
      <c r="E548" t="n">
        <v>0</v>
      </c>
      <c r="G548">
        <f>IF(AND(A548&gt;=Inputs!$B$5,A548&lt;=Inputs!$B$6),1,0)</f>
        <v/>
      </c>
    </row>
    <row r="549">
      <c r="A549" t="inlineStr">
        <is>
          <t>2026-03</t>
        </is>
      </c>
      <c r="B549" t="inlineStr">
        <is>
          <t>HOSP-4</t>
        </is>
      </c>
      <c r="C549" t="inlineStr">
        <is>
          <t>SS-01082</t>
        </is>
      </c>
      <c r="D549" t="n">
        <v>0</v>
      </c>
      <c r="E549" t="n">
        <v>0</v>
      </c>
      <c r="G549">
        <f>IF(AND(A549&gt;=Inputs!$B$5,A549&lt;=Inputs!$B$6),1,0)</f>
        <v/>
      </c>
    </row>
    <row r="550">
      <c r="A550" t="inlineStr">
        <is>
          <t>2026-03</t>
        </is>
      </c>
      <c r="B550" t="inlineStr">
        <is>
          <t>HOSP-1</t>
        </is>
      </c>
      <c r="C550" t="inlineStr">
        <is>
          <t>SS-01083</t>
        </is>
      </c>
      <c r="D550" t="n">
        <v>108</v>
      </c>
      <c r="E550" t="n">
        <v>0</v>
      </c>
      <c r="G550">
        <f>IF(AND(A550&gt;=Inputs!$B$5,A550&lt;=Inputs!$B$6),1,0)</f>
        <v/>
      </c>
    </row>
    <row r="551">
      <c r="A551" t="inlineStr">
        <is>
          <t>2026-03</t>
        </is>
      </c>
      <c r="B551" t="inlineStr">
        <is>
          <t>HOSP-2</t>
        </is>
      </c>
      <c r="C551" t="inlineStr">
        <is>
          <t>SS-01084</t>
        </is>
      </c>
      <c r="D551" t="n">
        <v>12</v>
      </c>
      <c r="E551" t="n">
        <v>0</v>
      </c>
      <c r="G551">
        <f>IF(AND(A551&gt;=Inputs!$B$5,A551&lt;=Inputs!$B$6),1,0)</f>
        <v/>
      </c>
    </row>
    <row r="552">
      <c r="A552" t="inlineStr">
        <is>
          <t>2026-03</t>
        </is>
      </c>
      <c r="B552" t="inlineStr">
        <is>
          <t>HOSP-3</t>
        </is>
      </c>
      <c r="C552" t="inlineStr">
        <is>
          <t>SS-01221</t>
        </is>
      </c>
      <c r="D552" t="n">
        <v>15</v>
      </c>
      <c r="E552" t="n">
        <v>3</v>
      </c>
      <c r="G552">
        <f>IF(AND(A552&gt;=Inputs!$B$5,A552&lt;=Inputs!$B$6),1,0)</f>
        <v/>
      </c>
    </row>
    <row r="553">
      <c r="A553" t="inlineStr">
        <is>
          <t>2026-03</t>
        </is>
      </c>
      <c r="B553" t="inlineStr">
        <is>
          <t>HOSP-4</t>
        </is>
      </c>
      <c r="C553" t="inlineStr">
        <is>
          <t>SS-01086</t>
        </is>
      </c>
      <c r="D553" t="n">
        <v>48</v>
      </c>
      <c r="E553" t="n">
        <v>0</v>
      </c>
      <c r="G553">
        <f>IF(AND(A553&gt;=Inputs!$B$5,A553&lt;=Inputs!$B$6),1,0)</f>
        <v/>
      </c>
    </row>
    <row r="554">
      <c r="A554" t="inlineStr">
        <is>
          <t>2026-03</t>
        </is>
      </c>
      <c r="B554" t="inlineStr">
        <is>
          <t>HOSP-1</t>
        </is>
      </c>
      <c r="C554" t="inlineStr">
        <is>
          <t>SS-01087</t>
        </is>
      </c>
      <c r="D554" t="n">
        <v>120</v>
      </c>
      <c r="E554" t="n">
        <v>0</v>
      </c>
      <c r="G554">
        <f>IF(AND(A554&gt;=Inputs!$B$5,A554&lt;=Inputs!$B$6),1,0)</f>
        <v/>
      </c>
    </row>
    <row r="555">
      <c r="A555" t="inlineStr">
        <is>
          <t>2026-03</t>
        </is>
      </c>
      <c r="B555" t="inlineStr">
        <is>
          <t>HOSP-2</t>
        </is>
      </c>
      <c r="C555" t="inlineStr">
        <is>
          <t>SS-01088</t>
        </is>
      </c>
      <c r="D555" t="n">
        <v>36</v>
      </c>
      <c r="E555" t="n">
        <v>0</v>
      </c>
      <c r="G555">
        <f>IF(AND(A555&gt;=Inputs!$B$5,A555&lt;=Inputs!$B$6),1,0)</f>
        <v/>
      </c>
    </row>
    <row r="556">
      <c r="A556" t="inlineStr">
        <is>
          <t>2026-03</t>
        </is>
      </c>
      <c r="B556" t="inlineStr">
        <is>
          <t>HOSP-3</t>
        </is>
      </c>
      <c r="C556" t="inlineStr">
        <is>
          <t>SS-01089</t>
        </is>
      </c>
      <c r="D556" t="n">
        <v>0</v>
      </c>
      <c r="E556" t="n">
        <v>0</v>
      </c>
      <c r="G556">
        <f>IF(AND(A556&gt;=Inputs!$B$5,A556&lt;=Inputs!$B$6),1,0)</f>
        <v/>
      </c>
    </row>
    <row r="557">
      <c r="A557" t="inlineStr">
        <is>
          <t>2026-03</t>
        </is>
      </c>
      <c r="B557" t="inlineStr">
        <is>
          <t>HOSP-4</t>
        </is>
      </c>
      <c r="C557" t="inlineStr">
        <is>
          <t>SS-01127</t>
        </is>
      </c>
      <c r="D557" t="n">
        <v>10</v>
      </c>
      <c r="E557" t="n">
        <v>4</v>
      </c>
      <c r="G557">
        <f>IF(AND(A557&gt;=Inputs!$B$5,A557&lt;=Inputs!$B$6),1,0)</f>
        <v/>
      </c>
    </row>
    <row r="558">
      <c r="A558" t="inlineStr">
        <is>
          <t>2026-03</t>
        </is>
      </c>
      <c r="B558" t="inlineStr">
        <is>
          <t>HOSP-1</t>
        </is>
      </c>
      <c r="C558" t="inlineStr">
        <is>
          <t>SS-01091</t>
        </is>
      </c>
      <c r="D558" t="n">
        <v>6</v>
      </c>
      <c r="E558" t="n">
        <v>0</v>
      </c>
      <c r="G558">
        <f>IF(AND(A558&gt;=Inputs!$B$5,A558&lt;=Inputs!$B$6),1,0)</f>
        <v/>
      </c>
    </row>
    <row r="559">
      <c r="A559" t="inlineStr">
        <is>
          <t>2026-03</t>
        </is>
      </c>
      <c r="B559" t="inlineStr">
        <is>
          <t>HOSP-2</t>
        </is>
      </c>
      <c r="C559" t="inlineStr">
        <is>
          <t>SS-01092</t>
        </is>
      </c>
      <c r="D559" t="n">
        <v>12</v>
      </c>
      <c r="E559" t="n">
        <v>0</v>
      </c>
      <c r="G559">
        <f>IF(AND(A559&gt;=Inputs!$B$5,A559&lt;=Inputs!$B$6),1,0)</f>
        <v/>
      </c>
    </row>
    <row r="560">
      <c r="A560" t="inlineStr">
        <is>
          <t>2026-03</t>
        </is>
      </c>
      <c r="B560" t="inlineStr">
        <is>
          <t>HOSP-3</t>
        </is>
      </c>
      <c r="C560" t="inlineStr">
        <is>
          <t>SS-01093</t>
        </is>
      </c>
      <c r="D560" t="n">
        <v>0</v>
      </c>
      <c r="E560" t="n">
        <v>0</v>
      </c>
      <c r="G560">
        <f>IF(AND(A560&gt;=Inputs!$B$5,A560&lt;=Inputs!$B$6),1,0)</f>
        <v/>
      </c>
    </row>
    <row r="561">
      <c r="A561" t="inlineStr">
        <is>
          <t>2026-03</t>
        </is>
      </c>
      <c r="B561" t="inlineStr">
        <is>
          <t>HOSP-4</t>
        </is>
      </c>
      <c r="C561" t="inlineStr">
        <is>
          <t>SS-01094</t>
        </is>
      </c>
      <c r="D561" t="n">
        <v>0</v>
      </c>
      <c r="E561" t="n">
        <v>0</v>
      </c>
      <c r="G561">
        <f>IF(AND(A561&gt;=Inputs!$B$5,A561&lt;=Inputs!$B$6),1,0)</f>
        <v/>
      </c>
    </row>
    <row r="562">
      <c r="A562" t="inlineStr">
        <is>
          <t>2026-03</t>
        </is>
      </c>
      <c r="B562" t="inlineStr">
        <is>
          <t>HOSP-1</t>
        </is>
      </c>
      <c r="C562" t="inlineStr">
        <is>
          <t>SS-01095</t>
        </is>
      </c>
      <c r="D562" t="n">
        <v>0</v>
      </c>
      <c r="E562" t="n">
        <v>0</v>
      </c>
      <c r="G562">
        <f>IF(AND(A562&gt;=Inputs!$B$5,A562&lt;=Inputs!$B$6),1,0)</f>
        <v/>
      </c>
    </row>
    <row r="563">
      <c r="A563" t="inlineStr">
        <is>
          <t>2026-03</t>
        </is>
      </c>
      <c r="B563" t="inlineStr">
        <is>
          <t>HOSP-2</t>
        </is>
      </c>
      <c r="C563" t="inlineStr">
        <is>
          <t>SS-01096</t>
        </is>
      </c>
      <c r="D563" t="n">
        <v>12</v>
      </c>
      <c r="E563" t="n">
        <v>0</v>
      </c>
      <c r="G563">
        <f>IF(AND(A563&gt;=Inputs!$B$5,A563&lt;=Inputs!$B$6),1,0)</f>
        <v/>
      </c>
    </row>
    <row r="564">
      <c r="A564" t="inlineStr">
        <is>
          <t>2026-03</t>
        </is>
      </c>
      <c r="B564" t="inlineStr">
        <is>
          <t>HOSP-3</t>
        </is>
      </c>
      <c r="C564" t="inlineStr">
        <is>
          <t>SS-01097</t>
        </is>
      </c>
      <c r="D564" t="n">
        <v>0</v>
      </c>
      <c r="E564" t="n">
        <v>1</v>
      </c>
      <c r="G564">
        <f>IF(AND(A564&gt;=Inputs!$B$5,A564&lt;=Inputs!$B$6),1,0)</f>
        <v/>
      </c>
    </row>
    <row r="565">
      <c r="A565" t="inlineStr">
        <is>
          <t>2026-03</t>
        </is>
      </c>
      <c r="B565" t="inlineStr">
        <is>
          <t>HOSP-4</t>
        </is>
      </c>
      <c r="C565" t="inlineStr">
        <is>
          <t>SS-01098</t>
        </is>
      </c>
      <c r="D565" t="n">
        <v>0</v>
      </c>
      <c r="E565" t="n">
        <v>0</v>
      </c>
      <c r="G565">
        <f>IF(AND(A565&gt;=Inputs!$B$5,A565&lt;=Inputs!$B$6),1,0)</f>
        <v/>
      </c>
    </row>
    <row r="566">
      <c r="A566" t="inlineStr">
        <is>
          <t>2026-03</t>
        </is>
      </c>
      <c r="B566" t="inlineStr">
        <is>
          <t>HOSP-1</t>
        </is>
      </c>
      <c r="C566" t="inlineStr">
        <is>
          <t>SS-01099</t>
        </is>
      </c>
      <c r="D566" t="n">
        <v>24</v>
      </c>
      <c r="E566" t="n">
        <v>0</v>
      </c>
      <c r="G566">
        <f>IF(AND(A566&gt;=Inputs!$B$5,A566&lt;=Inputs!$B$6),1,0)</f>
        <v/>
      </c>
    </row>
    <row r="567">
      <c r="A567" t="inlineStr">
        <is>
          <t>2026-03</t>
        </is>
      </c>
      <c r="B567" t="inlineStr">
        <is>
          <t>HOSP-2</t>
        </is>
      </c>
      <c r="C567" t="inlineStr">
        <is>
          <t>SS-01100</t>
        </is>
      </c>
      <c r="D567" t="n">
        <v>12</v>
      </c>
      <c r="E567" t="n">
        <v>0</v>
      </c>
      <c r="G567">
        <f>IF(AND(A567&gt;=Inputs!$B$5,A567&lt;=Inputs!$B$6),1,0)</f>
        <v/>
      </c>
    </row>
    <row r="568">
      <c r="A568" t="inlineStr">
        <is>
          <t>2026-03</t>
        </is>
      </c>
      <c r="B568" t="inlineStr">
        <is>
          <t>HOSP-3</t>
        </is>
      </c>
      <c r="C568" t="inlineStr">
        <is>
          <t>SS-01101</t>
        </is>
      </c>
      <c r="D568" t="n">
        <v>36</v>
      </c>
      <c r="E568" t="n">
        <v>0</v>
      </c>
      <c r="G568">
        <f>IF(AND(A568&gt;=Inputs!$B$5,A568&lt;=Inputs!$B$6),1,0)</f>
        <v/>
      </c>
    </row>
    <row r="569">
      <c r="A569" t="inlineStr">
        <is>
          <t>2026-03</t>
        </is>
      </c>
      <c r="B569" t="inlineStr">
        <is>
          <t>HOSP-4</t>
        </is>
      </c>
      <c r="C569" t="inlineStr">
        <is>
          <t>SS-01102</t>
        </is>
      </c>
      <c r="D569" t="n">
        <v>24</v>
      </c>
      <c r="E569" t="n">
        <v>0</v>
      </c>
      <c r="G569">
        <f>IF(AND(A569&gt;=Inputs!$B$5,A569&lt;=Inputs!$B$6),1,0)</f>
        <v/>
      </c>
    </row>
    <row r="570">
      <c r="A570" t="inlineStr">
        <is>
          <t>2026-03</t>
        </is>
      </c>
      <c r="B570" t="inlineStr">
        <is>
          <t>HOSP-1</t>
        </is>
      </c>
      <c r="C570" t="inlineStr">
        <is>
          <t>SS-01103</t>
        </is>
      </c>
      <c r="D570" t="n">
        <v>12</v>
      </c>
      <c r="E570" t="n">
        <v>0</v>
      </c>
      <c r="G570">
        <f>IF(AND(A570&gt;=Inputs!$B$5,A570&lt;=Inputs!$B$6),1,0)</f>
        <v/>
      </c>
    </row>
    <row r="571">
      <c r="A571" t="inlineStr">
        <is>
          <t>2026-03</t>
        </is>
      </c>
      <c r="B571" t="inlineStr">
        <is>
          <t>HOSP-2</t>
        </is>
      </c>
      <c r="C571" t="inlineStr">
        <is>
          <t>SS-01104</t>
        </is>
      </c>
      <c r="D571" t="n">
        <v>120</v>
      </c>
      <c r="E571" t="n">
        <v>0</v>
      </c>
      <c r="G571">
        <f>IF(AND(A571&gt;=Inputs!$B$5,A571&lt;=Inputs!$B$6),1,0)</f>
        <v/>
      </c>
    </row>
    <row r="572">
      <c r="A572" t="inlineStr">
        <is>
          <t>2026-03</t>
        </is>
      </c>
      <c r="B572" t="inlineStr">
        <is>
          <t>HOSP-3</t>
        </is>
      </c>
      <c r="C572" t="inlineStr">
        <is>
          <t>SS-01105</t>
        </is>
      </c>
      <c r="D572" t="n">
        <v>48</v>
      </c>
      <c r="E572" t="n">
        <v>0</v>
      </c>
      <c r="G572">
        <f>IF(AND(A572&gt;=Inputs!$B$5,A572&lt;=Inputs!$B$6),1,0)</f>
        <v/>
      </c>
    </row>
    <row r="573">
      <c r="A573" t="inlineStr">
        <is>
          <t>2026-03</t>
        </is>
      </c>
      <c r="B573" t="inlineStr">
        <is>
          <t>HOSP-4</t>
        </is>
      </c>
      <c r="C573" t="inlineStr">
        <is>
          <t>SS-01106</t>
        </is>
      </c>
      <c r="D573" t="n">
        <v>12</v>
      </c>
      <c r="E573" t="n">
        <v>0</v>
      </c>
      <c r="G573">
        <f>IF(AND(A573&gt;=Inputs!$B$5,A573&lt;=Inputs!$B$6),1,0)</f>
        <v/>
      </c>
    </row>
    <row r="574">
      <c r="A574" t="inlineStr">
        <is>
          <t>2026-03</t>
        </is>
      </c>
      <c r="B574" t="inlineStr">
        <is>
          <t>HOSP-1</t>
        </is>
      </c>
      <c r="C574" t="inlineStr">
        <is>
          <t>SS-01107</t>
        </is>
      </c>
      <c r="D574" t="n">
        <v>0</v>
      </c>
      <c r="E574" t="n">
        <v>0</v>
      </c>
      <c r="G574">
        <f>IF(AND(A574&gt;=Inputs!$B$5,A574&lt;=Inputs!$B$6),1,0)</f>
        <v/>
      </c>
    </row>
    <row r="575">
      <c r="A575" t="inlineStr">
        <is>
          <t>2026-03</t>
        </is>
      </c>
      <c r="B575" t="inlineStr">
        <is>
          <t>HOSP-2</t>
        </is>
      </c>
      <c r="C575" t="inlineStr">
        <is>
          <t>SS-01108</t>
        </is>
      </c>
      <c r="D575" t="n">
        <v>48</v>
      </c>
      <c r="E575" t="n">
        <v>0</v>
      </c>
      <c r="G575">
        <f>IF(AND(A575&gt;=Inputs!$B$5,A575&lt;=Inputs!$B$6),1,0)</f>
        <v/>
      </c>
    </row>
    <row r="576">
      <c r="A576" t="inlineStr">
        <is>
          <t>2026-03</t>
        </is>
      </c>
      <c r="B576" t="inlineStr">
        <is>
          <t>HOSP-3</t>
        </is>
      </c>
      <c r="C576" t="inlineStr">
        <is>
          <t>SS-01109</t>
        </is>
      </c>
      <c r="D576" t="n">
        <v>0</v>
      </c>
      <c r="E576" t="n">
        <v>0</v>
      </c>
      <c r="G576">
        <f>IF(AND(A576&gt;=Inputs!$B$5,A576&lt;=Inputs!$B$6),1,0)</f>
        <v/>
      </c>
    </row>
    <row r="577">
      <c r="A577" t="inlineStr">
        <is>
          <t>2026-03</t>
        </is>
      </c>
      <c r="B577" t="inlineStr">
        <is>
          <t>HOSP-4</t>
        </is>
      </c>
      <c r="C577" t="inlineStr">
        <is>
          <t>SS-01110</t>
        </is>
      </c>
      <c r="D577" t="n">
        <v>0</v>
      </c>
      <c r="E577" t="n">
        <v>0</v>
      </c>
      <c r="G577">
        <f>IF(AND(A577&gt;=Inputs!$B$5,A577&lt;=Inputs!$B$6),1,0)</f>
        <v/>
      </c>
    </row>
    <row r="578">
      <c r="A578" t="inlineStr">
        <is>
          <t>2026-03</t>
        </is>
      </c>
      <c r="B578" t="inlineStr">
        <is>
          <t>HOSP-1</t>
        </is>
      </c>
      <c r="C578" t="inlineStr">
        <is>
          <t>SS-01111</t>
        </is>
      </c>
      <c r="D578" t="n">
        <v>0</v>
      </c>
      <c r="E578" t="n">
        <v>2</v>
      </c>
      <c r="G578">
        <f>IF(AND(A578&gt;=Inputs!$B$5,A578&lt;=Inputs!$B$6),1,0)</f>
        <v/>
      </c>
    </row>
    <row r="579">
      <c r="A579" t="inlineStr">
        <is>
          <t>2026-03</t>
        </is>
      </c>
      <c r="B579" t="inlineStr">
        <is>
          <t>HOSP-2</t>
        </is>
      </c>
      <c r="C579" t="inlineStr">
        <is>
          <t>SS-01112</t>
        </is>
      </c>
      <c r="D579" t="n">
        <v>36</v>
      </c>
      <c r="E579" t="n">
        <v>0</v>
      </c>
      <c r="G579">
        <f>IF(AND(A579&gt;=Inputs!$B$5,A579&lt;=Inputs!$B$6),1,0)</f>
        <v/>
      </c>
    </row>
    <row r="580">
      <c r="A580" t="inlineStr">
        <is>
          <t>2026-03</t>
        </is>
      </c>
      <c r="B580" t="inlineStr">
        <is>
          <t>HOSP-3</t>
        </is>
      </c>
      <c r="C580" t="inlineStr">
        <is>
          <t>SS-01113</t>
        </is>
      </c>
      <c r="D580" t="n">
        <v>0</v>
      </c>
      <c r="E580" t="n">
        <v>0</v>
      </c>
      <c r="G580">
        <f>IF(AND(A580&gt;=Inputs!$B$5,A580&lt;=Inputs!$B$6),1,0)</f>
        <v/>
      </c>
    </row>
    <row r="581">
      <c r="A581" t="inlineStr">
        <is>
          <t>2026-03</t>
        </is>
      </c>
      <c r="B581" t="inlineStr">
        <is>
          <t>HOSP-4</t>
        </is>
      </c>
      <c r="C581" t="inlineStr">
        <is>
          <t>SS-01114</t>
        </is>
      </c>
      <c r="D581" t="n">
        <v>0</v>
      </c>
      <c r="E581" t="n">
        <v>0</v>
      </c>
      <c r="G581">
        <f>IF(AND(A581&gt;=Inputs!$B$5,A581&lt;=Inputs!$B$6),1,0)</f>
        <v/>
      </c>
    </row>
    <row r="582">
      <c r="A582" t="inlineStr">
        <is>
          <t>2026-03</t>
        </is>
      </c>
      <c r="B582" t="inlineStr">
        <is>
          <t>HOSP-1</t>
        </is>
      </c>
      <c r="C582" t="inlineStr">
        <is>
          <t>SS-01134</t>
        </is>
      </c>
      <c r="D582" t="n">
        <v>2</v>
      </c>
      <c r="E582" t="n">
        <v>6</v>
      </c>
      <c r="G582">
        <f>IF(AND(A582&gt;=Inputs!$B$5,A582&lt;=Inputs!$B$6),1,0)</f>
        <v/>
      </c>
    </row>
    <row r="583">
      <c r="A583" t="inlineStr">
        <is>
          <t>2026-03</t>
        </is>
      </c>
      <c r="B583" t="inlineStr">
        <is>
          <t>HOSP-2</t>
        </is>
      </c>
      <c r="C583" t="inlineStr">
        <is>
          <t>SS-01116</t>
        </is>
      </c>
      <c r="D583" t="n">
        <v>12</v>
      </c>
      <c r="E583" t="n">
        <v>0</v>
      </c>
      <c r="G583">
        <f>IF(AND(A583&gt;=Inputs!$B$5,A583&lt;=Inputs!$B$6),1,0)</f>
        <v/>
      </c>
    </row>
    <row r="584">
      <c r="A584" t="inlineStr">
        <is>
          <t>2026-03</t>
        </is>
      </c>
      <c r="B584" t="inlineStr">
        <is>
          <t>HOSP-3</t>
        </is>
      </c>
      <c r="C584" t="inlineStr">
        <is>
          <t>SS-01117</t>
        </is>
      </c>
      <c r="D584" t="n">
        <v>18</v>
      </c>
      <c r="E584" t="n">
        <v>1</v>
      </c>
      <c r="G584">
        <f>IF(AND(A584&gt;=Inputs!$B$5,A584&lt;=Inputs!$B$6),1,0)</f>
        <v/>
      </c>
    </row>
    <row r="585">
      <c r="A585" t="inlineStr">
        <is>
          <t>2026-03</t>
        </is>
      </c>
      <c r="B585" t="inlineStr">
        <is>
          <t>HOSP-4</t>
        </is>
      </c>
      <c r="C585" t="inlineStr">
        <is>
          <t>SS-01220</t>
        </is>
      </c>
      <c r="D585" t="n">
        <v>171</v>
      </c>
      <c r="E585" t="n">
        <v>1</v>
      </c>
      <c r="G585">
        <f>IF(AND(A585&gt;=Inputs!$B$5,A585&lt;=Inputs!$B$6),1,0)</f>
        <v/>
      </c>
    </row>
    <row r="586">
      <c r="A586" t="inlineStr">
        <is>
          <t>2026-03</t>
        </is>
      </c>
      <c r="B586" t="inlineStr">
        <is>
          <t>HOSP-1</t>
        </is>
      </c>
      <c r="C586" t="inlineStr">
        <is>
          <t>SS-01119</t>
        </is>
      </c>
      <c r="D586" t="n">
        <v>11</v>
      </c>
      <c r="E586" t="n">
        <v>6</v>
      </c>
      <c r="G586">
        <f>IF(AND(A586&gt;=Inputs!$B$5,A586&lt;=Inputs!$B$6),1,0)</f>
        <v/>
      </c>
    </row>
    <row r="587">
      <c r="A587" t="inlineStr">
        <is>
          <t>2026-03</t>
        </is>
      </c>
      <c r="B587" t="inlineStr">
        <is>
          <t>HOSP-2</t>
        </is>
      </c>
      <c r="C587" t="inlineStr">
        <is>
          <t>SS-01120</t>
        </is>
      </c>
      <c r="D587" t="n">
        <v>36</v>
      </c>
      <c r="E587" t="n">
        <v>0</v>
      </c>
      <c r="G587">
        <f>IF(AND(A587&gt;=Inputs!$B$5,A587&lt;=Inputs!$B$6),1,0)</f>
        <v/>
      </c>
    </row>
    <row r="588">
      <c r="A588" t="inlineStr">
        <is>
          <t>2026-03</t>
        </is>
      </c>
      <c r="B588" t="inlineStr">
        <is>
          <t>HOSP-3</t>
        </is>
      </c>
      <c r="C588" t="inlineStr">
        <is>
          <t>SS-01121</t>
        </is>
      </c>
      <c r="D588" t="n">
        <v>21</v>
      </c>
      <c r="E588" t="n">
        <v>2</v>
      </c>
      <c r="G588">
        <f>IF(AND(A588&gt;=Inputs!$B$5,A588&lt;=Inputs!$B$6),1,0)</f>
        <v/>
      </c>
    </row>
    <row r="589">
      <c r="A589" t="inlineStr">
        <is>
          <t>2026-03</t>
        </is>
      </c>
      <c r="B589" t="inlineStr">
        <is>
          <t>HOSP-4</t>
        </is>
      </c>
      <c r="C589" t="inlineStr">
        <is>
          <t>SS-01122</t>
        </is>
      </c>
      <c r="D589" t="n">
        <v>0</v>
      </c>
      <c r="E589" t="n">
        <v>0</v>
      </c>
      <c r="G589">
        <f>IF(AND(A589&gt;=Inputs!$B$5,A589&lt;=Inputs!$B$6),1,0)</f>
        <v/>
      </c>
    </row>
    <row r="590">
      <c r="A590" t="inlineStr">
        <is>
          <t>2026-03</t>
        </is>
      </c>
      <c r="B590" t="inlineStr">
        <is>
          <t>HOSP-1</t>
        </is>
      </c>
      <c r="C590" t="inlineStr">
        <is>
          <t>SS-01123</t>
        </is>
      </c>
      <c r="D590" t="n">
        <v>26</v>
      </c>
      <c r="E590" t="n">
        <v>1</v>
      </c>
      <c r="G590">
        <f>IF(AND(A590&gt;=Inputs!$B$5,A590&lt;=Inputs!$B$6),1,0)</f>
        <v/>
      </c>
    </row>
    <row r="591">
      <c r="A591" t="inlineStr">
        <is>
          <t>2026-03</t>
        </is>
      </c>
      <c r="B591" t="inlineStr">
        <is>
          <t>HOSP-2</t>
        </is>
      </c>
      <c r="C591" t="inlineStr">
        <is>
          <t>SS-01131</t>
        </is>
      </c>
      <c r="D591" t="n">
        <v>0</v>
      </c>
      <c r="E591" t="n">
        <v>0</v>
      </c>
      <c r="G591">
        <f>IF(AND(A591&gt;=Inputs!$B$5,A591&lt;=Inputs!$B$6),1,0)</f>
        <v/>
      </c>
    </row>
    <row r="592">
      <c r="A592" t="inlineStr">
        <is>
          <t>2026-03</t>
        </is>
      </c>
      <c r="B592" t="inlineStr">
        <is>
          <t>HOSP-3</t>
        </is>
      </c>
      <c r="C592" t="inlineStr">
        <is>
          <t>SS-01125</t>
        </is>
      </c>
      <c r="D592" t="n">
        <v>72</v>
      </c>
      <c r="E592" t="n">
        <v>0</v>
      </c>
      <c r="G592">
        <f>IF(AND(A592&gt;=Inputs!$B$5,A592&lt;=Inputs!$B$6),1,0)</f>
        <v/>
      </c>
    </row>
    <row r="593">
      <c r="A593" t="inlineStr">
        <is>
          <t>2026-03</t>
        </is>
      </c>
      <c r="B593" t="inlineStr">
        <is>
          <t>HOSP-4</t>
        </is>
      </c>
      <c r="C593" t="inlineStr">
        <is>
          <t>SS-01126</t>
        </is>
      </c>
      <c r="D593" t="n">
        <v>39</v>
      </c>
      <c r="E593" t="n">
        <v>6</v>
      </c>
      <c r="G593">
        <f>IF(AND(A593&gt;=Inputs!$B$5,A593&lt;=Inputs!$B$6),1,0)</f>
        <v/>
      </c>
    </row>
    <row r="594">
      <c r="A594" t="inlineStr">
        <is>
          <t>2026-03</t>
        </is>
      </c>
      <c r="B594" t="inlineStr">
        <is>
          <t>HOSP-1</t>
        </is>
      </c>
      <c r="C594" t="inlineStr">
        <is>
          <t>SS-01127</t>
        </is>
      </c>
      <c r="D594" t="n">
        <v>48</v>
      </c>
      <c r="E594" t="n">
        <v>0</v>
      </c>
      <c r="G594">
        <f>IF(AND(A594&gt;=Inputs!$B$5,A594&lt;=Inputs!$B$6),1,0)</f>
        <v/>
      </c>
    </row>
    <row r="595">
      <c r="A595" t="inlineStr">
        <is>
          <t>2026-03</t>
        </is>
      </c>
      <c r="B595" t="inlineStr">
        <is>
          <t>HOSP-2</t>
        </is>
      </c>
      <c r="C595" t="inlineStr">
        <is>
          <t>SS-01128</t>
        </is>
      </c>
      <c r="D595" t="n">
        <v>35</v>
      </c>
      <c r="E595" t="n">
        <v>1</v>
      </c>
      <c r="G595">
        <f>IF(AND(A595&gt;=Inputs!$B$5,A595&lt;=Inputs!$B$6),1,0)</f>
        <v/>
      </c>
    </row>
    <row r="596">
      <c r="A596" t="inlineStr">
        <is>
          <t>2026-03</t>
        </is>
      </c>
      <c r="B596" t="inlineStr">
        <is>
          <t>HOSP-3</t>
        </is>
      </c>
      <c r="C596" t="inlineStr">
        <is>
          <t>SS-01129</t>
        </is>
      </c>
      <c r="D596" t="n">
        <v>12</v>
      </c>
      <c r="E596" t="n">
        <v>0</v>
      </c>
      <c r="G596">
        <f>IF(AND(A596&gt;=Inputs!$B$5,A596&lt;=Inputs!$B$6),1,0)</f>
        <v/>
      </c>
    </row>
    <row r="597">
      <c r="A597" t="inlineStr">
        <is>
          <t>2026-03</t>
        </is>
      </c>
      <c r="B597" t="inlineStr">
        <is>
          <t>HOSP-4</t>
        </is>
      </c>
      <c r="C597" t="inlineStr">
        <is>
          <t>SS-01130</t>
        </is>
      </c>
      <c r="D597" t="n">
        <v>24</v>
      </c>
      <c r="E597" t="n">
        <v>0</v>
      </c>
      <c r="G597">
        <f>IF(AND(A597&gt;=Inputs!$B$5,A597&lt;=Inputs!$B$6),1,0)</f>
        <v/>
      </c>
    </row>
    <row r="598">
      <c r="A598" t="inlineStr">
        <is>
          <t>2026-03</t>
        </is>
      </c>
      <c r="B598" t="inlineStr">
        <is>
          <t>HOSP-1</t>
        </is>
      </c>
      <c r="C598" t="inlineStr">
        <is>
          <t>SS-01131</t>
        </is>
      </c>
      <c r="D598" t="n">
        <v>24</v>
      </c>
      <c r="E598" t="n">
        <v>0</v>
      </c>
      <c r="G598">
        <f>IF(AND(A598&gt;=Inputs!$B$5,A598&lt;=Inputs!$B$6),1,0)</f>
        <v/>
      </c>
    </row>
    <row r="599">
      <c r="A599" t="inlineStr">
        <is>
          <t>2026-03</t>
        </is>
      </c>
      <c r="B599" t="inlineStr">
        <is>
          <t>HOSP-2</t>
        </is>
      </c>
      <c r="C599" t="inlineStr">
        <is>
          <t>SS-01132</t>
        </is>
      </c>
      <c r="D599" t="n">
        <v>12</v>
      </c>
      <c r="E599" t="n">
        <v>0</v>
      </c>
      <c r="G599">
        <f>IF(AND(A599&gt;=Inputs!$B$5,A599&lt;=Inputs!$B$6),1,0)</f>
        <v/>
      </c>
    </row>
    <row r="600">
      <c r="A600" t="inlineStr">
        <is>
          <t>2026-03</t>
        </is>
      </c>
      <c r="B600" t="inlineStr">
        <is>
          <t>HOSP-3</t>
        </is>
      </c>
      <c r="C600" t="inlineStr">
        <is>
          <t>SS-01216</t>
        </is>
      </c>
      <c r="D600" t="n">
        <v>99</v>
      </c>
      <c r="E600" t="n">
        <v>0</v>
      </c>
      <c r="G600">
        <f>IF(AND(A600&gt;=Inputs!$B$5,A600&lt;=Inputs!$B$6),1,0)</f>
        <v/>
      </c>
    </row>
    <row r="601">
      <c r="A601" t="inlineStr">
        <is>
          <t>2026-03</t>
        </is>
      </c>
      <c r="B601" t="inlineStr">
        <is>
          <t>HOSP-4</t>
        </is>
      </c>
      <c r="C601" t="inlineStr">
        <is>
          <t>SS-01134</t>
        </is>
      </c>
      <c r="D601" t="n">
        <v>48</v>
      </c>
      <c r="E601" t="n">
        <v>0</v>
      </c>
      <c r="G601">
        <f>IF(AND(A601&gt;=Inputs!$B$5,A601&lt;=Inputs!$B$6),1,0)</f>
        <v/>
      </c>
    </row>
    <row r="602">
      <c r="A602" t="inlineStr">
        <is>
          <t>2026-03</t>
        </is>
      </c>
      <c r="B602" t="inlineStr">
        <is>
          <t>HOSP-1</t>
        </is>
      </c>
      <c r="C602" t="inlineStr">
        <is>
          <t>SS-01030</t>
        </is>
      </c>
      <c r="D602" t="n">
        <v>6</v>
      </c>
      <c r="E602" t="n">
        <v>2</v>
      </c>
      <c r="G602">
        <f>IF(AND(A602&gt;=Inputs!$B$5,A602&lt;=Inputs!$B$6),1,0)</f>
        <v/>
      </c>
    </row>
    <row r="603">
      <c r="A603" t="inlineStr">
        <is>
          <t>2026-03</t>
        </is>
      </c>
      <c r="B603" t="inlineStr">
        <is>
          <t>HOSP-2</t>
        </is>
      </c>
      <c r="C603" t="inlineStr">
        <is>
          <t>SS-01136</t>
        </is>
      </c>
      <c r="D603" t="n">
        <v>48</v>
      </c>
      <c r="E603" t="n">
        <v>0</v>
      </c>
      <c r="G603">
        <f>IF(AND(A603&gt;=Inputs!$B$5,A603&lt;=Inputs!$B$6),1,0)</f>
        <v/>
      </c>
    </row>
    <row r="604">
      <c r="A604" t="inlineStr">
        <is>
          <t>2026-03</t>
        </is>
      </c>
      <c r="B604" t="inlineStr">
        <is>
          <t>HOSP-3</t>
        </is>
      </c>
      <c r="C604" t="inlineStr">
        <is>
          <t>SS-01137</t>
        </is>
      </c>
      <c r="D604" t="n">
        <v>12</v>
      </c>
      <c r="E604" t="n">
        <v>0</v>
      </c>
      <c r="G604">
        <f>IF(AND(A604&gt;=Inputs!$B$5,A604&lt;=Inputs!$B$6),1,0)</f>
        <v/>
      </c>
    </row>
    <row r="605">
      <c r="A605" t="inlineStr">
        <is>
          <t>2026-03</t>
        </is>
      </c>
      <c r="B605" t="inlineStr">
        <is>
          <t>HOSP-4</t>
        </is>
      </c>
      <c r="C605" t="inlineStr">
        <is>
          <t>SS-01138</t>
        </is>
      </c>
      <c r="D605" t="n">
        <v>60</v>
      </c>
      <c r="E605" t="n">
        <v>0</v>
      </c>
      <c r="G605">
        <f>IF(AND(A605&gt;=Inputs!$B$5,A605&lt;=Inputs!$B$6),1,0)</f>
        <v/>
      </c>
    </row>
    <row r="606">
      <c r="A606" t="inlineStr">
        <is>
          <t>2026-03</t>
        </is>
      </c>
      <c r="B606" t="inlineStr">
        <is>
          <t>HOSP-1</t>
        </is>
      </c>
      <c r="C606" t="inlineStr">
        <is>
          <t>SS-01139</t>
        </is>
      </c>
      <c r="D606" t="n">
        <v>1</v>
      </c>
      <c r="E606" t="n">
        <v>3</v>
      </c>
      <c r="G606">
        <f>IF(AND(A606&gt;=Inputs!$B$5,A606&lt;=Inputs!$B$6),1,0)</f>
        <v/>
      </c>
    </row>
    <row r="607">
      <c r="A607" t="inlineStr">
        <is>
          <t>2026-03</t>
        </is>
      </c>
      <c r="B607" t="inlineStr">
        <is>
          <t>HOSP-2</t>
        </is>
      </c>
      <c r="C607" t="inlineStr">
        <is>
          <t>SS-01140</t>
        </is>
      </c>
      <c r="D607" t="n">
        <v>192</v>
      </c>
      <c r="E607" t="n">
        <v>0</v>
      </c>
      <c r="G607">
        <f>IF(AND(A607&gt;=Inputs!$B$5,A607&lt;=Inputs!$B$6),1,0)</f>
        <v/>
      </c>
    </row>
    <row r="608">
      <c r="A608" t="inlineStr">
        <is>
          <t>2026-03</t>
        </is>
      </c>
      <c r="B608" t="inlineStr">
        <is>
          <t>HOSP-3</t>
        </is>
      </c>
      <c r="C608" t="inlineStr">
        <is>
          <t>SS-01141</t>
        </is>
      </c>
      <c r="D608" t="n">
        <v>51</v>
      </c>
      <c r="E608" t="n">
        <v>0</v>
      </c>
      <c r="G608">
        <f>IF(AND(A608&gt;=Inputs!$B$5,A608&lt;=Inputs!$B$6),1,0)</f>
        <v/>
      </c>
    </row>
    <row r="609">
      <c r="A609" t="inlineStr">
        <is>
          <t>2026-03</t>
        </is>
      </c>
      <c r="B609" t="inlineStr">
        <is>
          <t>HOSP-4</t>
        </is>
      </c>
      <c r="C609" t="inlineStr">
        <is>
          <t>SS-01142</t>
        </is>
      </c>
      <c r="D609" t="n">
        <v>36</v>
      </c>
      <c r="E609" t="n">
        <v>0</v>
      </c>
      <c r="G609">
        <f>IF(AND(A609&gt;=Inputs!$B$5,A609&lt;=Inputs!$B$6),1,0)</f>
        <v/>
      </c>
    </row>
    <row r="610">
      <c r="A610" t="inlineStr">
        <is>
          <t>2026-03</t>
        </is>
      </c>
      <c r="B610" t="inlineStr">
        <is>
          <t>HOSP-1</t>
        </is>
      </c>
      <c r="C610" t="inlineStr">
        <is>
          <t>SS-01143</t>
        </is>
      </c>
      <c r="D610" t="n">
        <v>12</v>
      </c>
      <c r="E610" t="n">
        <v>0</v>
      </c>
      <c r="G610">
        <f>IF(AND(A610&gt;=Inputs!$B$5,A610&lt;=Inputs!$B$6),1,0)</f>
        <v/>
      </c>
    </row>
    <row r="611">
      <c r="A611" t="inlineStr">
        <is>
          <t>2026-03</t>
        </is>
      </c>
      <c r="B611" t="inlineStr">
        <is>
          <t>HOSP-2</t>
        </is>
      </c>
      <c r="C611" t="inlineStr">
        <is>
          <t>SS-01144</t>
        </is>
      </c>
      <c r="D611" t="n">
        <v>24</v>
      </c>
      <c r="E611" t="n">
        <v>0</v>
      </c>
      <c r="G611">
        <f>IF(AND(A611&gt;=Inputs!$B$5,A611&lt;=Inputs!$B$6),1,0)</f>
        <v/>
      </c>
    </row>
    <row r="612">
      <c r="A612" t="inlineStr">
        <is>
          <t>2026-03</t>
        </is>
      </c>
      <c r="B612" t="inlineStr">
        <is>
          <t>HOSP-3</t>
        </is>
      </c>
      <c r="C612" t="inlineStr">
        <is>
          <t>SS-01145</t>
        </is>
      </c>
      <c r="D612" t="n">
        <v>36</v>
      </c>
      <c r="E612" t="n">
        <v>0</v>
      </c>
      <c r="G612">
        <f>IF(AND(A612&gt;=Inputs!$B$5,A612&lt;=Inputs!$B$6),1,0)</f>
        <v/>
      </c>
    </row>
    <row r="613">
      <c r="A613" t="inlineStr">
        <is>
          <t>2026-03</t>
        </is>
      </c>
      <c r="B613" t="inlineStr">
        <is>
          <t>HOSP-4</t>
        </is>
      </c>
      <c r="C613" t="inlineStr">
        <is>
          <t>SS-01146</t>
        </is>
      </c>
      <c r="D613" t="n">
        <v>0</v>
      </c>
      <c r="E613" t="n">
        <v>0</v>
      </c>
      <c r="G613">
        <f>IF(AND(A613&gt;=Inputs!$B$5,A613&lt;=Inputs!$B$6),1,0)</f>
        <v/>
      </c>
    </row>
    <row r="614">
      <c r="A614" t="inlineStr">
        <is>
          <t>2026-03</t>
        </is>
      </c>
      <c r="B614" t="inlineStr">
        <is>
          <t>HOSP-1</t>
        </is>
      </c>
      <c r="C614" t="inlineStr">
        <is>
          <t>SS-01147</t>
        </is>
      </c>
      <c r="D614" t="n">
        <v>24</v>
      </c>
      <c r="E614" t="n">
        <v>0</v>
      </c>
      <c r="G614">
        <f>IF(AND(A614&gt;=Inputs!$B$5,A614&lt;=Inputs!$B$6),1,0)</f>
        <v/>
      </c>
    </row>
    <row r="615">
      <c r="A615" t="inlineStr">
        <is>
          <t>2026-03</t>
        </is>
      </c>
      <c r="B615" t="inlineStr">
        <is>
          <t>HOSP-2</t>
        </is>
      </c>
      <c r="C615" t="inlineStr">
        <is>
          <t>SS-01148</t>
        </is>
      </c>
      <c r="D615" t="n">
        <v>0</v>
      </c>
      <c r="E615" t="n">
        <v>0</v>
      </c>
      <c r="G615">
        <f>IF(AND(A615&gt;=Inputs!$B$5,A615&lt;=Inputs!$B$6),1,0)</f>
        <v/>
      </c>
    </row>
    <row r="616">
      <c r="A616" t="inlineStr">
        <is>
          <t>2026-03</t>
        </is>
      </c>
      <c r="B616" t="inlineStr">
        <is>
          <t>HOSP-3</t>
        </is>
      </c>
      <c r="C616" t="inlineStr">
        <is>
          <t>SS-01149</t>
        </is>
      </c>
      <c r="D616" t="n">
        <v>108</v>
      </c>
      <c r="E616" t="n">
        <v>0</v>
      </c>
      <c r="G616">
        <f>IF(AND(A616&gt;=Inputs!$B$5,A616&lt;=Inputs!$B$6),1,0)</f>
        <v/>
      </c>
    </row>
    <row r="617">
      <c r="A617" t="inlineStr">
        <is>
          <t>2026-03</t>
        </is>
      </c>
      <c r="B617" t="inlineStr">
        <is>
          <t>HOSP-4</t>
        </is>
      </c>
      <c r="C617" t="inlineStr">
        <is>
          <t>SS-01024</t>
        </is>
      </c>
      <c r="D617" t="n">
        <v>37</v>
      </c>
      <c r="E617" t="n">
        <v>3</v>
      </c>
      <c r="G617">
        <f>IF(AND(A617&gt;=Inputs!$B$5,A617&lt;=Inputs!$B$6),1,0)</f>
        <v/>
      </c>
    </row>
    <row r="618">
      <c r="A618" t="inlineStr">
        <is>
          <t>2026-03</t>
        </is>
      </c>
      <c r="B618" t="inlineStr">
        <is>
          <t>HOSP-1</t>
        </is>
      </c>
      <c r="C618" t="inlineStr">
        <is>
          <t>SS-01151</t>
        </is>
      </c>
      <c r="D618" t="n">
        <v>21</v>
      </c>
      <c r="E618" t="n">
        <v>0</v>
      </c>
      <c r="G618">
        <f>IF(AND(A618&gt;=Inputs!$B$5,A618&lt;=Inputs!$B$6),1,0)</f>
        <v/>
      </c>
    </row>
    <row r="619">
      <c r="A619" t="inlineStr">
        <is>
          <t>2026-03</t>
        </is>
      </c>
      <c r="B619" t="inlineStr">
        <is>
          <t>HOSP-2</t>
        </is>
      </c>
      <c r="C619" t="inlineStr">
        <is>
          <t>SS-01152</t>
        </is>
      </c>
      <c r="D619" t="n">
        <v>72</v>
      </c>
      <c r="E619" t="n">
        <v>0</v>
      </c>
      <c r="G619">
        <f>IF(AND(A619&gt;=Inputs!$B$5,A619&lt;=Inputs!$B$6),1,0)</f>
        <v/>
      </c>
    </row>
    <row r="620">
      <c r="A620" t="inlineStr">
        <is>
          <t>2026-03</t>
        </is>
      </c>
      <c r="B620" t="inlineStr">
        <is>
          <t>HOSP-3</t>
        </is>
      </c>
      <c r="C620" t="inlineStr">
        <is>
          <t>SS-01153</t>
        </is>
      </c>
      <c r="D620" t="n">
        <v>36</v>
      </c>
      <c r="E620" t="n">
        <v>0</v>
      </c>
      <c r="G620">
        <f>IF(AND(A620&gt;=Inputs!$B$5,A620&lt;=Inputs!$B$6),1,0)</f>
        <v/>
      </c>
    </row>
    <row r="621">
      <c r="A621" t="inlineStr">
        <is>
          <t>2026-03</t>
        </is>
      </c>
      <c r="B621" t="inlineStr">
        <is>
          <t>HOSP-4</t>
        </is>
      </c>
      <c r="C621" t="inlineStr">
        <is>
          <t>SS-01144</t>
        </is>
      </c>
      <c r="D621" t="n">
        <v>16</v>
      </c>
      <c r="E621" t="n">
        <v>1</v>
      </c>
      <c r="G621">
        <f>IF(AND(A621&gt;=Inputs!$B$5,A621&lt;=Inputs!$B$6),1,0)</f>
        <v/>
      </c>
    </row>
    <row r="622">
      <c r="A622" t="inlineStr">
        <is>
          <t>2026-03</t>
        </is>
      </c>
      <c r="B622" t="inlineStr">
        <is>
          <t>HOSP-1</t>
        </is>
      </c>
      <c r="C622" t="inlineStr">
        <is>
          <t>SS-01100</t>
        </is>
      </c>
      <c r="D622" t="n">
        <v>23</v>
      </c>
      <c r="E622" t="n">
        <v>0</v>
      </c>
      <c r="G622">
        <f>IF(AND(A622&gt;=Inputs!$B$5,A622&lt;=Inputs!$B$6),1,0)</f>
        <v/>
      </c>
    </row>
    <row r="623">
      <c r="A623" t="inlineStr">
        <is>
          <t>2026-03</t>
        </is>
      </c>
      <c r="B623" t="inlineStr">
        <is>
          <t>HOSP-2</t>
        </is>
      </c>
      <c r="C623" t="inlineStr">
        <is>
          <t>SS-01156</t>
        </is>
      </c>
      <c r="D623" t="n">
        <v>12</v>
      </c>
      <c r="E623" t="n">
        <v>0</v>
      </c>
      <c r="G623">
        <f>IF(AND(A623&gt;=Inputs!$B$5,A623&lt;=Inputs!$B$6),1,0)</f>
        <v/>
      </c>
    </row>
    <row r="624">
      <c r="A624" t="inlineStr">
        <is>
          <t>2026-03</t>
        </is>
      </c>
      <c r="B624" t="inlineStr">
        <is>
          <t>HOSP-3</t>
        </is>
      </c>
      <c r="C624" t="inlineStr">
        <is>
          <t>SS-01157</t>
        </is>
      </c>
      <c r="D624" t="n">
        <v>381</v>
      </c>
      <c r="E624" t="n">
        <v>0</v>
      </c>
      <c r="G624">
        <f>IF(AND(A624&gt;=Inputs!$B$5,A624&lt;=Inputs!$B$6),1,0)</f>
        <v/>
      </c>
    </row>
    <row r="625">
      <c r="A625" t="inlineStr">
        <is>
          <t>2026-03</t>
        </is>
      </c>
      <c r="B625" t="inlineStr">
        <is>
          <t>HOSP-4</t>
        </is>
      </c>
      <c r="C625" t="inlineStr">
        <is>
          <t>SS-01158</t>
        </is>
      </c>
      <c r="D625" t="n">
        <v>0</v>
      </c>
      <c r="E625" t="n">
        <v>0</v>
      </c>
      <c r="G625">
        <f>IF(AND(A625&gt;=Inputs!$B$5,A625&lt;=Inputs!$B$6),1,0)</f>
        <v/>
      </c>
    </row>
    <row r="626">
      <c r="A626" t="inlineStr">
        <is>
          <t>2026-03</t>
        </is>
      </c>
      <c r="B626" t="inlineStr">
        <is>
          <t>HOSP-1</t>
        </is>
      </c>
      <c r="C626" t="inlineStr">
        <is>
          <t>SS-01159</t>
        </is>
      </c>
      <c r="D626" t="n">
        <v>58</v>
      </c>
      <c r="E626" t="n">
        <v>1</v>
      </c>
      <c r="G626">
        <f>IF(AND(A626&gt;=Inputs!$B$5,A626&lt;=Inputs!$B$6),1,0)</f>
        <v/>
      </c>
    </row>
    <row r="627">
      <c r="A627" t="inlineStr">
        <is>
          <t>2026-03</t>
        </is>
      </c>
      <c r="B627" t="inlineStr">
        <is>
          <t>HOSP-2</t>
        </is>
      </c>
      <c r="C627" t="inlineStr">
        <is>
          <t>SS-01160</t>
        </is>
      </c>
      <c r="D627" t="n">
        <v>192</v>
      </c>
      <c r="E627" t="n">
        <v>0</v>
      </c>
      <c r="G627">
        <f>IF(AND(A627&gt;=Inputs!$B$5,A627&lt;=Inputs!$B$6),1,0)</f>
        <v/>
      </c>
    </row>
    <row r="628">
      <c r="A628" t="inlineStr">
        <is>
          <t>2026-03</t>
        </is>
      </c>
      <c r="B628" t="inlineStr">
        <is>
          <t>HOSP-3</t>
        </is>
      </c>
      <c r="C628" t="inlineStr">
        <is>
          <t>SS-01161</t>
        </is>
      </c>
      <c r="D628" t="n">
        <v>0</v>
      </c>
      <c r="E628" t="n">
        <v>0</v>
      </c>
      <c r="G628">
        <f>IF(AND(A628&gt;=Inputs!$B$5,A628&lt;=Inputs!$B$6),1,0)</f>
        <v/>
      </c>
    </row>
    <row r="629">
      <c r="A629" t="inlineStr">
        <is>
          <t>2026-03</t>
        </is>
      </c>
      <c r="B629" t="inlineStr">
        <is>
          <t>HOSP-4</t>
        </is>
      </c>
      <c r="C629" t="inlineStr">
        <is>
          <t>SS-01162</t>
        </is>
      </c>
      <c r="D629" t="n">
        <v>20</v>
      </c>
      <c r="E629" t="n">
        <v>1</v>
      </c>
      <c r="G629">
        <f>IF(AND(A629&gt;=Inputs!$B$5,A629&lt;=Inputs!$B$6),1,0)</f>
        <v/>
      </c>
    </row>
    <row r="630">
      <c r="A630" t="inlineStr">
        <is>
          <t>2026-03</t>
        </is>
      </c>
      <c r="B630" t="inlineStr">
        <is>
          <t>HOSP-1</t>
        </is>
      </c>
      <c r="C630" t="inlineStr">
        <is>
          <t>SS-01163</t>
        </is>
      </c>
      <c r="D630" t="n">
        <v>60</v>
      </c>
      <c r="E630" t="n">
        <v>0</v>
      </c>
      <c r="G630">
        <f>IF(AND(A630&gt;=Inputs!$B$5,A630&lt;=Inputs!$B$6),1,0)</f>
        <v/>
      </c>
    </row>
    <row r="631">
      <c r="A631" t="inlineStr">
        <is>
          <t>2026-03</t>
        </is>
      </c>
      <c r="B631" t="inlineStr">
        <is>
          <t>HOSP-2</t>
        </is>
      </c>
      <c r="C631" t="inlineStr">
        <is>
          <t>SS-01164</t>
        </is>
      </c>
      <c r="D631" t="n">
        <v>60</v>
      </c>
      <c r="E631" t="n">
        <v>0</v>
      </c>
      <c r="G631">
        <f>IF(AND(A631&gt;=Inputs!$B$5,A631&lt;=Inputs!$B$6),1,0)</f>
        <v/>
      </c>
    </row>
    <row r="632">
      <c r="A632" t="inlineStr">
        <is>
          <t>2026-03</t>
        </is>
      </c>
      <c r="B632" t="inlineStr">
        <is>
          <t>HOSP-3</t>
        </is>
      </c>
      <c r="C632" t="inlineStr">
        <is>
          <t>SS-01165</t>
        </is>
      </c>
      <c r="D632" t="n">
        <v>24</v>
      </c>
      <c r="E632" t="n">
        <v>0</v>
      </c>
      <c r="G632">
        <f>IF(AND(A632&gt;=Inputs!$B$5,A632&lt;=Inputs!$B$6),1,0)</f>
        <v/>
      </c>
    </row>
    <row r="633">
      <c r="A633" t="inlineStr">
        <is>
          <t>2026-03</t>
        </is>
      </c>
      <c r="B633" t="inlineStr">
        <is>
          <t>HOSP-4</t>
        </is>
      </c>
      <c r="C633" t="inlineStr">
        <is>
          <t>SS-01213</t>
        </is>
      </c>
      <c r="D633" t="n">
        <v>10</v>
      </c>
      <c r="E633" t="n">
        <v>0</v>
      </c>
      <c r="G633">
        <f>IF(AND(A633&gt;=Inputs!$B$5,A633&lt;=Inputs!$B$6),1,0)</f>
        <v/>
      </c>
    </row>
    <row r="634">
      <c r="A634" t="inlineStr">
        <is>
          <t>2026-03</t>
        </is>
      </c>
      <c r="B634" t="inlineStr">
        <is>
          <t>HOSP-1</t>
        </is>
      </c>
      <c r="C634" t="inlineStr">
        <is>
          <t>SS-01167</t>
        </is>
      </c>
      <c r="D634" t="n">
        <v>12</v>
      </c>
      <c r="E634" t="n">
        <v>0</v>
      </c>
      <c r="G634">
        <f>IF(AND(A634&gt;=Inputs!$B$5,A634&lt;=Inputs!$B$6),1,0)</f>
        <v/>
      </c>
    </row>
    <row r="635">
      <c r="A635" t="inlineStr">
        <is>
          <t>2026-03</t>
        </is>
      </c>
      <c r="B635" t="inlineStr">
        <is>
          <t>HOSP-2</t>
        </is>
      </c>
      <c r="C635" t="inlineStr">
        <is>
          <t>SS-01088</t>
        </is>
      </c>
      <c r="D635" t="n">
        <v>24</v>
      </c>
      <c r="E635" t="n">
        <v>0</v>
      </c>
      <c r="G635">
        <f>IF(AND(A635&gt;=Inputs!$B$5,A635&lt;=Inputs!$B$6),1,0)</f>
        <v/>
      </c>
    </row>
    <row r="636">
      <c r="A636" t="inlineStr">
        <is>
          <t>2026-03</t>
        </is>
      </c>
      <c r="B636" t="inlineStr">
        <is>
          <t>HOSP-3</t>
        </is>
      </c>
      <c r="C636" t="inlineStr">
        <is>
          <t>SS-01169</t>
        </is>
      </c>
      <c r="D636" t="n">
        <v>0</v>
      </c>
      <c r="E636" t="n">
        <v>0</v>
      </c>
      <c r="G636">
        <f>IF(AND(A636&gt;=Inputs!$B$5,A636&lt;=Inputs!$B$6),1,0)</f>
        <v/>
      </c>
    </row>
    <row r="637">
      <c r="A637" t="inlineStr">
        <is>
          <t>2026-03</t>
        </is>
      </c>
      <c r="B637" t="inlineStr">
        <is>
          <t>HOSP-4</t>
        </is>
      </c>
      <c r="C637" t="inlineStr">
        <is>
          <t>SS-01170</t>
        </is>
      </c>
      <c r="D637" t="n">
        <v>0</v>
      </c>
      <c r="E637" t="n">
        <v>0</v>
      </c>
      <c r="G637">
        <f>IF(AND(A637&gt;=Inputs!$B$5,A637&lt;=Inputs!$B$6),1,0)</f>
        <v/>
      </c>
    </row>
    <row r="638">
      <c r="A638" t="inlineStr">
        <is>
          <t>2026-03</t>
        </is>
      </c>
      <c r="B638" t="inlineStr">
        <is>
          <t>HOSP-1</t>
        </is>
      </c>
      <c r="C638" t="inlineStr">
        <is>
          <t>SS-01171</t>
        </is>
      </c>
      <c r="D638" t="n">
        <v>12</v>
      </c>
      <c r="E638" t="n">
        <v>0</v>
      </c>
      <c r="G638">
        <f>IF(AND(A638&gt;=Inputs!$B$5,A638&lt;=Inputs!$B$6),1,0)</f>
        <v/>
      </c>
    </row>
    <row r="639">
      <c r="A639" t="inlineStr">
        <is>
          <t>2026-03</t>
        </is>
      </c>
      <c r="B639" t="inlineStr">
        <is>
          <t>HOSP-2</t>
        </is>
      </c>
      <c r="C639" t="inlineStr">
        <is>
          <t>SS-01172</t>
        </is>
      </c>
      <c r="D639" t="n">
        <v>0</v>
      </c>
      <c r="E639" t="n">
        <v>0</v>
      </c>
      <c r="G639">
        <f>IF(AND(A639&gt;=Inputs!$B$5,A639&lt;=Inputs!$B$6),1,0)</f>
        <v/>
      </c>
    </row>
    <row r="640">
      <c r="A640" t="inlineStr">
        <is>
          <t>2026-03</t>
        </is>
      </c>
      <c r="B640" t="inlineStr">
        <is>
          <t>HOSP-3</t>
        </is>
      </c>
      <c r="C640" t="inlineStr">
        <is>
          <t>SS-01173</t>
        </is>
      </c>
      <c r="D640" t="n">
        <v>12</v>
      </c>
      <c r="E640" t="n">
        <v>0</v>
      </c>
      <c r="G640">
        <f>IF(AND(A640&gt;=Inputs!$B$5,A640&lt;=Inputs!$B$6),1,0)</f>
        <v/>
      </c>
    </row>
    <row r="641">
      <c r="A641" t="inlineStr">
        <is>
          <t>2026-03</t>
        </is>
      </c>
      <c r="B641" t="inlineStr">
        <is>
          <t>HOSP-4</t>
        </is>
      </c>
      <c r="C641" t="inlineStr">
        <is>
          <t>SS-01174</t>
        </is>
      </c>
      <c r="D641" t="n">
        <v>6</v>
      </c>
      <c r="E641" t="n">
        <v>1</v>
      </c>
      <c r="G641">
        <f>IF(AND(A641&gt;=Inputs!$B$5,A641&lt;=Inputs!$B$6),1,0)</f>
        <v/>
      </c>
    </row>
    <row r="642">
      <c r="A642" t="inlineStr">
        <is>
          <t>2026-03</t>
        </is>
      </c>
      <c r="B642" t="inlineStr">
        <is>
          <t>HOSP-1</t>
        </is>
      </c>
      <c r="C642" t="inlineStr">
        <is>
          <t>SS-01175</t>
        </is>
      </c>
      <c r="D642" t="n">
        <v>12</v>
      </c>
      <c r="E642" t="n">
        <v>0</v>
      </c>
      <c r="G642">
        <f>IF(AND(A642&gt;=Inputs!$B$5,A642&lt;=Inputs!$B$6),1,0)</f>
        <v/>
      </c>
    </row>
    <row r="643">
      <c r="A643" t="inlineStr">
        <is>
          <t>2026-03</t>
        </is>
      </c>
      <c r="B643" t="inlineStr">
        <is>
          <t>HOSP-2</t>
        </is>
      </c>
      <c r="C643" t="inlineStr">
        <is>
          <t>SS-01176</t>
        </is>
      </c>
      <c r="D643" t="n">
        <v>0</v>
      </c>
      <c r="E643" t="n">
        <v>0</v>
      </c>
      <c r="G643">
        <f>IF(AND(A643&gt;=Inputs!$B$5,A643&lt;=Inputs!$B$6),1,0)</f>
        <v/>
      </c>
    </row>
    <row r="644">
      <c r="A644" t="inlineStr">
        <is>
          <t>2026-03</t>
        </is>
      </c>
      <c r="B644" t="inlineStr">
        <is>
          <t>HOSP-3</t>
        </is>
      </c>
      <c r="C644" t="inlineStr">
        <is>
          <t>SS-01177</t>
        </is>
      </c>
      <c r="D644" t="n">
        <v>12</v>
      </c>
      <c r="E644" t="n">
        <v>0</v>
      </c>
      <c r="G644">
        <f>IF(AND(A644&gt;=Inputs!$B$5,A644&lt;=Inputs!$B$6),1,0)</f>
        <v/>
      </c>
    </row>
    <row r="645">
      <c r="A645" t="inlineStr">
        <is>
          <t>2026-03</t>
        </is>
      </c>
      <c r="B645" t="inlineStr">
        <is>
          <t>HOSP-4</t>
        </is>
      </c>
      <c r="C645" t="inlineStr">
        <is>
          <t>SS-01178</t>
        </is>
      </c>
      <c r="D645" t="n">
        <v>204</v>
      </c>
      <c r="E645" t="n">
        <v>0</v>
      </c>
      <c r="G645">
        <f>IF(AND(A645&gt;=Inputs!$B$5,A645&lt;=Inputs!$B$6),1,0)</f>
        <v/>
      </c>
    </row>
    <row r="646">
      <c r="A646" t="inlineStr">
        <is>
          <t>2026-03</t>
        </is>
      </c>
      <c r="B646" t="inlineStr">
        <is>
          <t>HOSP-1</t>
        </is>
      </c>
      <c r="C646" t="inlineStr">
        <is>
          <t>SS-01179</t>
        </is>
      </c>
      <c r="D646" t="n">
        <v>0</v>
      </c>
      <c r="E646" t="n">
        <v>0</v>
      </c>
      <c r="G646">
        <f>IF(AND(A646&gt;=Inputs!$B$5,A646&lt;=Inputs!$B$6),1,0)</f>
        <v/>
      </c>
    </row>
    <row r="647">
      <c r="A647" t="inlineStr">
        <is>
          <t>2026-03</t>
        </is>
      </c>
      <c r="B647" t="inlineStr">
        <is>
          <t>HOSP-2</t>
        </is>
      </c>
      <c r="C647" t="inlineStr">
        <is>
          <t>SS-01180</t>
        </is>
      </c>
      <c r="D647" t="n">
        <v>0</v>
      </c>
      <c r="E647" t="n">
        <v>0</v>
      </c>
      <c r="G647">
        <f>IF(AND(A647&gt;=Inputs!$B$5,A647&lt;=Inputs!$B$6),1,0)</f>
        <v/>
      </c>
    </row>
    <row r="648">
      <c r="A648" t="inlineStr">
        <is>
          <t>2026-03</t>
        </is>
      </c>
      <c r="B648" t="inlineStr">
        <is>
          <t>HOSP-3</t>
        </is>
      </c>
      <c r="C648" t="inlineStr">
        <is>
          <t>SS-01181</t>
        </is>
      </c>
      <c r="D648" t="n">
        <v>0</v>
      </c>
      <c r="E648" t="n">
        <v>0</v>
      </c>
      <c r="G648">
        <f>IF(AND(A648&gt;=Inputs!$B$5,A648&lt;=Inputs!$B$6),1,0)</f>
        <v/>
      </c>
    </row>
    <row r="649">
      <c r="A649" t="inlineStr">
        <is>
          <t>2026-03</t>
        </is>
      </c>
      <c r="B649" t="inlineStr">
        <is>
          <t>HOSP-4</t>
        </is>
      </c>
      <c r="C649" t="inlineStr">
        <is>
          <t>SS-01182</t>
        </is>
      </c>
      <c r="D649" t="n">
        <v>12</v>
      </c>
      <c r="E649" t="n">
        <v>0</v>
      </c>
      <c r="G649">
        <f>IF(AND(A649&gt;=Inputs!$B$5,A649&lt;=Inputs!$B$6),1,0)</f>
        <v/>
      </c>
    </row>
    <row r="650">
      <c r="A650" t="inlineStr">
        <is>
          <t>2026-03</t>
        </is>
      </c>
      <c r="B650" t="inlineStr">
        <is>
          <t>HOSP-1</t>
        </is>
      </c>
      <c r="C650" t="inlineStr">
        <is>
          <t>SS-01183</t>
        </is>
      </c>
      <c r="D650" t="n">
        <v>24</v>
      </c>
      <c r="E650" t="n">
        <v>0</v>
      </c>
      <c r="G650">
        <f>IF(AND(A650&gt;=Inputs!$B$5,A650&lt;=Inputs!$B$6),1,0)</f>
        <v/>
      </c>
    </row>
    <row r="651">
      <c r="A651" t="inlineStr">
        <is>
          <t>2026-03</t>
        </is>
      </c>
      <c r="B651" t="inlineStr">
        <is>
          <t>HOSP-2</t>
        </is>
      </c>
      <c r="C651" t="inlineStr">
        <is>
          <t>SS-01182</t>
        </is>
      </c>
      <c r="D651" t="n">
        <v>167</v>
      </c>
      <c r="E651" t="n">
        <v>0</v>
      </c>
      <c r="G651">
        <f>IF(AND(A651&gt;=Inputs!$B$5,A651&lt;=Inputs!$B$6),1,0)</f>
        <v/>
      </c>
    </row>
    <row r="652">
      <c r="A652" t="inlineStr">
        <is>
          <t>2026-03</t>
        </is>
      </c>
      <c r="B652" t="inlineStr">
        <is>
          <t>HOSP-3</t>
        </is>
      </c>
      <c r="C652" t="inlineStr">
        <is>
          <t>SS-01185</t>
        </is>
      </c>
      <c r="D652" t="n">
        <v>48</v>
      </c>
      <c r="E652" t="n">
        <v>0</v>
      </c>
      <c r="G652">
        <f>IF(AND(A652&gt;=Inputs!$B$5,A652&lt;=Inputs!$B$6),1,0)</f>
        <v/>
      </c>
    </row>
    <row r="653">
      <c r="A653" t="inlineStr">
        <is>
          <t>2026-03</t>
        </is>
      </c>
      <c r="B653" t="inlineStr">
        <is>
          <t>HOSP-4</t>
        </is>
      </c>
      <c r="C653" t="inlineStr">
        <is>
          <t>SS-01215</t>
        </is>
      </c>
      <c r="D653" t="n">
        <v>11</v>
      </c>
      <c r="E653" t="n">
        <v>4</v>
      </c>
      <c r="G653">
        <f>IF(AND(A653&gt;=Inputs!$B$5,A653&lt;=Inputs!$B$6),1,0)</f>
        <v/>
      </c>
    </row>
    <row r="654">
      <c r="A654" t="inlineStr">
        <is>
          <t>2026-03</t>
        </is>
      </c>
      <c r="B654" t="inlineStr">
        <is>
          <t>HOSP-1</t>
        </is>
      </c>
      <c r="C654" t="inlineStr">
        <is>
          <t>SS-01187</t>
        </is>
      </c>
      <c r="D654" t="n">
        <v>48</v>
      </c>
      <c r="E654" t="n">
        <v>0</v>
      </c>
      <c r="G654">
        <f>IF(AND(A654&gt;=Inputs!$B$5,A654&lt;=Inputs!$B$6),1,0)</f>
        <v/>
      </c>
    </row>
    <row r="655">
      <c r="A655" t="inlineStr">
        <is>
          <t>2026-03</t>
        </is>
      </c>
      <c r="B655" t="inlineStr">
        <is>
          <t>HOSP-2</t>
        </is>
      </c>
      <c r="C655" t="inlineStr">
        <is>
          <t>SS-01188</t>
        </is>
      </c>
      <c r="D655" t="n">
        <v>16</v>
      </c>
      <c r="E655" t="n">
        <v>0</v>
      </c>
      <c r="G655">
        <f>IF(AND(A655&gt;=Inputs!$B$5,A655&lt;=Inputs!$B$6),1,0)</f>
        <v/>
      </c>
    </row>
    <row r="656">
      <c r="A656" t="inlineStr">
        <is>
          <t>2026-03</t>
        </is>
      </c>
      <c r="B656" t="inlineStr">
        <is>
          <t>HOSP-3</t>
        </is>
      </c>
      <c r="C656" t="inlineStr">
        <is>
          <t>SS-01189</t>
        </is>
      </c>
      <c r="D656" t="n">
        <v>655</v>
      </c>
      <c r="E656" t="n">
        <v>1</v>
      </c>
      <c r="G656">
        <f>IF(AND(A656&gt;=Inputs!$B$5,A656&lt;=Inputs!$B$6),1,0)</f>
        <v/>
      </c>
    </row>
    <row r="657">
      <c r="A657" t="inlineStr">
        <is>
          <t>2026-03</t>
        </is>
      </c>
      <c r="B657" t="inlineStr">
        <is>
          <t>HOSP-4</t>
        </is>
      </c>
      <c r="C657" t="inlineStr">
        <is>
          <t>SS-01190</t>
        </is>
      </c>
      <c r="D657" t="n">
        <v>0</v>
      </c>
      <c r="E657" t="n">
        <v>0</v>
      </c>
      <c r="G657">
        <f>IF(AND(A657&gt;=Inputs!$B$5,A657&lt;=Inputs!$B$6),1,0)</f>
        <v/>
      </c>
    </row>
    <row r="658">
      <c r="A658" t="inlineStr">
        <is>
          <t>2026-03</t>
        </is>
      </c>
      <c r="B658" t="inlineStr">
        <is>
          <t>HOSP-1</t>
        </is>
      </c>
      <c r="C658" t="inlineStr">
        <is>
          <t>SS-01191</t>
        </is>
      </c>
      <c r="D658" t="n">
        <v>17</v>
      </c>
      <c r="E658" t="n">
        <v>0</v>
      </c>
      <c r="G658">
        <f>IF(AND(A658&gt;=Inputs!$B$5,A658&lt;=Inputs!$B$6),1,0)</f>
        <v/>
      </c>
    </row>
    <row r="659">
      <c r="A659" t="inlineStr">
        <is>
          <t>2026-03</t>
        </is>
      </c>
      <c r="B659" t="inlineStr">
        <is>
          <t>HOSP-2</t>
        </is>
      </c>
      <c r="C659" t="inlineStr">
        <is>
          <t>SS-01192</t>
        </is>
      </c>
      <c r="D659" t="n">
        <v>48</v>
      </c>
      <c r="E659" t="n">
        <v>0</v>
      </c>
      <c r="G659">
        <f>IF(AND(A659&gt;=Inputs!$B$5,A659&lt;=Inputs!$B$6),1,0)</f>
        <v/>
      </c>
    </row>
    <row r="660">
      <c r="A660" t="inlineStr">
        <is>
          <t>2026-03</t>
        </is>
      </c>
      <c r="B660" t="inlineStr">
        <is>
          <t>HOSP-3</t>
        </is>
      </c>
      <c r="C660" t="inlineStr">
        <is>
          <t>SS-01193</t>
        </is>
      </c>
      <c r="D660" t="n">
        <v>12</v>
      </c>
      <c r="E660" t="n">
        <v>0</v>
      </c>
      <c r="G660">
        <f>IF(AND(A660&gt;=Inputs!$B$5,A660&lt;=Inputs!$B$6),1,0)</f>
        <v/>
      </c>
    </row>
    <row r="661">
      <c r="A661" t="inlineStr">
        <is>
          <t>2026-03</t>
        </is>
      </c>
      <c r="B661" t="inlineStr">
        <is>
          <t>HOSP-4</t>
        </is>
      </c>
      <c r="C661" t="inlineStr">
        <is>
          <t>SS-01194</t>
        </is>
      </c>
      <c r="D661" t="n">
        <v>0</v>
      </c>
      <c r="E661" t="n">
        <v>0</v>
      </c>
      <c r="G661">
        <f>IF(AND(A661&gt;=Inputs!$B$5,A661&lt;=Inputs!$B$6),1,0)</f>
        <v/>
      </c>
    </row>
    <row r="662">
      <c r="A662" t="inlineStr">
        <is>
          <t>2026-03</t>
        </is>
      </c>
      <c r="B662" t="inlineStr">
        <is>
          <t>HOSP-1</t>
        </is>
      </c>
      <c r="C662" t="inlineStr">
        <is>
          <t>SS-01195</t>
        </is>
      </c>
      <c r="D662" t="n">
        <v>36</v>
      </c>
      <c r="E662" t="n">
        <v>0</v>
      </c>
      <c r="G662">
        <f>IF(AND(A662&gt;=Inputs!$B$5,A662&lt;=Inputs!$B$6),1,0)</f>
        <v/>
      </c>
    </row>
    <row r="663">
      <c r="A663" t="inlineStr">
        <is>
          <t>2026-03</t>
        </is>
      </c>
      <c r="B663" t="inlineStr">
        <is>
          <t>HOSP-2</t>
        </is>
      </c>
      <c r="C663" t="inlineStr">
        <is>
          <t>SS-01196</t>
        </is>
      </c>
      <c r="D663" t="n">
        <v>0</v>
      </c>
      <c r="E663" t="n">
        <v>0</v>
      </c>
      <c r="G663">
        <f>IF(AND(A663&gt;=Inputs!$B$5,A663&lt;=Inputs!$B$6),1,0)</f>
        <v/>
      </c>
    </row>
    <row r="664">
      <c r="A664" t="inlineStr">
        <is>
          <t>2026-03</t>
        </is>
      </c>
      <c r="B664" t="inlineStr">
        <is>
          <t>HOSP-3</t>
        </is>
      </c>
      <c r="C664" t="inlineStr">
        <is>
          <t>SS-01197</t>
        </is>
      </c>
      <c r="D664" t="n">
        <v>72</v>
      </c>
      <c r="E664" t="n">
        <v>0</v>
      </c>
      <c r="G664">
        <f>IF(AND(A664&gt;=Inputs!$B$5,A664&lt;=Inputs!$B$6),1,0)</f>
        <v/>
      </c>
    </row>
    <row r="665">
      <c r="A665" t="inlineStr">
        <is>
          <t>2026-03</t>
        </is>
      </c>
      <c r="B665" t="inlineStr">
        <is>
          <t>HOSP-4</t>
        </is>
      </c>
      <c r="C665" t="inlineStr">
        <is>
          <t>SS-01198</t>
        </is>
      </c>
      <c r="D665" t="n">
        <v>24</v>
      </c>
      <c r="E665" t="n">
        <v>0</v>
      </c>
      <c r="G665">
        <f>IF(AND(A665&gt;=Inputs!$B$5,A665&lt;=Inputs!$B$6),1,0)</f>
        <v/>
      </c>
    </row>
    <row r="666">
      <c r="A666" t="inlineStr">
        <is>
          <t>2026-03</t>
        </is>
      </c>
      <c r="B666" t="inlineStr">
        <is>
          <t>HOSP-1</t>
        </is>
      </c>
      <c r="C666" t="inlineStr">
        <is>
          <t>SS-01199</t>
        </is>
      </c>
      <c r="D666" t="n">
        <v>13</v>
      </c>
      <c r="E666" t="n">
        <v>0</v>
      </c>
      <c r="G666">
        <f>IF(AND(A666&gt;=Inputs!$B$5,A666&lt;=Inputs!$B$6),1,0)</f>
        <v/>
      </c>
    </row>
    <row r="667">
      <c r="A667" t="inlineStr">
        <is>
          <t>2026-03</t>
        </is>
      </c>
      <c r="B667" t="inlineStr">
        <is>
          <t>HOSP-2</t>
        </is>
      </c>
      <c r="C667" t="inlineStr">
        <is>
          <t>SS-01200</t>
        </is>
      </c>
      <c r="D667" t="n">
        <v>0</v>
      </c>
      <c r="E667" t="n">
        <v>0</v>
      </c>
      <c r="G667">
        <f>IF(AND(A667&gt;=Inputs!$B$5,A667&lt;=Inputs!$B$6),1,0)</f>
        <v/>
      </c>
    </row>
    <row r="668">
      <c r="A668" t="inlineStr">
        <is>
          <t>2026-03</t>
        </is>
      </c>
      <c r="B668" t="inlineStr">
        <is>
          <t>HOSP-3</t>
        </is>
      </c>
      <c r="C668" t="inlineStr">
        <is>
          <t>SS-01201</t>
        </is>
      </c>
      <c r="D668" t="n">
        <v>0</v>
      </c>
      <c r="E668" t="n">
        <v>0</v>
      </c>
      <c r="G668">
        <f>IF(AND(A668&gt;=Inputs!$B$5,A668&lt;=Inputs!$B$6),1,0)</f>
        <v/>
      </c>
    </row>
    <row r="669">
      <c r="A669" t="inlineStr">
        <is>
          <t>2026-03</t>
        </is>
      </c>
      <c r="B669" t="inlineStr">
        <is>
          <t>HOSP-4</t>
        </is>
      </c>
      <c r="C669" t="inlineStr">
        <is>
          <t>SS-01202</t>
        </is>
      </c>
      <c r="D669" t="n">
        <v>3</v>
      </c>
      <c r="E669" t="n">
        <v>3</v>
      </c>
      <c r="G669">
        <f>IF(AND(A669&gt;=Inputs!$B$5,A669&lt;=Inputs!$B$6),1,0)</f>
        <v/>
      </c>
    </row>
    <row r="670">
      <c r="A670" t="inlineStr">
        <is>
          <t>2026-03</t>
        </is>
      </c>
      <c r="B670" t="inlineStr">
        <is>
          <t>HOSP-1</t>
        </is>
      </c>
      <c r="C670" t="inlineStr">
        <is>
          <t>SS-01064</t>
        </is>
      </c>
      <c r="D670" t="n">
        <v>12</v>
      </c>
      <c r="E670" t="n">
        <v>2</v>
      </c>
      <c r="G670">
        <f>IF(AND(A670&gt;=Inputs!$B$5,A670&lt;=Inputs!$B$6),1,0)</f>
        <v/>
      </c>
    </row>
    <row r="671">
      <c r="A671" t="inlineStr">
        <is>
          <t>2026-03</t>
        </is>
      </c>
      <c r="B671" t="inlineStr">
        <is>
          <t>HOSP-2</t>
        </is>
      </c>
      <c r="C671" t="inlineStr">
        <is>
          <t>SS-01204</t>
        </is>
      </c>
      <c r="D671" t="n">
        <v>5</v>
      </c>
      <c r="E671" t="n">
        <v>1</v>
      </c>
      <c r="G671">
        <f>IF(AND(A671&gt;=Inputs!$B$5,A671&lt;=Inputs!$B$6),1,0)</f>
        <v/>
      </c>
    </row>
    <row r="672">
      <c r="A672" t="inlineStr">
        <is>
          <t>2026-03</t>
        </is>
      </c>
      <c r="B672" t="inlineStr">
        <is>
          <t>HOSP-3</t>
        </is>
      </c>
      <c r="C672" t="inlineStr">
        <is>
          <t>SS-01205</t>
        </is>
      </c>
      <c r="D672" t="n">
        <v>180</v>
      </c>
      <c r="E672" t="n">
        <v>0</v>
      </c>
      <c r="G672">
        <f>IF(AND(A672&gt;=Inputs!$B$5,A672&lt;=Inputs!$B$6),1,0)</f>
        <v/>
      </c>
    </row>
    <row r="673">
      <c r="A673" t="inlineStr">
        <is>
          <t>2026-03</t>
        </is>
      </c>
      <c r="B673" t="inlineStr">
        <is>
          <t>HOSP-4</t>
        </is>
      </c>
      <c r="C673" t="inlineStr">
        <is>
          <t>SS-01206</t>
        </is>
      </c>
      <c r="D673" t="n">
        <v>0</v>
      </c>
      <c r="E673" t="n">
        <v>0</v>
      </c>
      <c r="G673">
        <f>IF(AND(A673&gt;=Inputs!$B$5,A673&lt;=Inputs!$B$6),1,0)</f>
        <v/>
      </c>
    </row>
    <row r="674">
      <c r="A674" t="inlineStr">
        <is>
          <t>2026-03</t>
        </is>
      </c>
      <c r="B674" t="inlineStr">
        <is>
          <t>HOSP-1</t>
        </is>
      </c>
      <c r="C674" t="inlineStr">
        <is>
          <t>SS-01207</t>
        </is>
      </c>
      <c r="D674" t="n">
        <v>0</v>
      </c>
      <c r="E674" t="n">
        <v>0</v>
      </c>
      <c r="G674">
        <f>IF(AND(A674&gt;=Inputs!$B$5,A674&lt;=Inputs!$B$6),1,0)</f>
        <v/>
      </c>
    </row>
    <row r="675">
      <c r="A675" t="inlineStr">
        <is>
          <t>2026-03</t>
        </is>
      </c>
      <c r="B675" t="inlineStr">
        <is>
          <t>HOSP-2</t>
        </is>
      </c>
      <c r="C675" t="inlineStr">
        <is>
          <t>SS-01208</t>
        </is>
      </c>
      <c r="D675" t="n">
        <v>0</v>
      </c>
      <c r="E675" t="n">
        <v>0</v>
      </c>
      <c r="G675">
        <f>IF(AND(A675&gt;=Inputs!$B$5,A675&lt;=Inputs!$B$6),1,0)</f>
        <v/>
      </c>
    </row>
    <row r="676">
      <c r="A676" t="inlineStr">
        <is>
          <t>2026-03</t>
        </is>
      </c>
      <c r="B676" t="inlineStr">
        <is>
          <t>HOSP-3</t>
        </is>
      </c>
      <c r="C676" t="inlineStr">
        <is>
          <t>SS-01209</t>
        </is>
      </c>
      <c r="D676" t="n">
        <v>12</v>
      </c>
      <c r="E676" t="n">
        <v>0</v>
      </c>
      <c r="G676">
        <f>IF(AND(A676&gt;=Inputs!$B$5,A676&lt;=Inputs!$B$6),1,0)</f>
        <v/>
      </c>
    </row>
    <row r="677">
      <c r="A677" t="inlineStr">
        <is>
          <t>2026-03</t>
        </is>
      </c>
      <c r="B677" t="inlineStr">
        <is>
          <t>HOSP-4</t>
        </is>
      </c>
      <c r="C677" t="inlineStr">
        <is>
          <t>SS-01210</t>
        </is>
      </c>
      <c r="D677" t="n">
        <v>72</v>
      </c>
      <c r="E677" t="n">
        <v>0</v>
      </c>
      <c r="G677">
        <f>IF(AND(A677&gt;=Inputs!$B$5,A677&lt;=Inputs!$B$6),1,0)</f>
        <v/>
      </c>
    </row>
    <row r="678">
      <c r="A678" t="inlineStr">
        <is>
          <t>2026-03</t>
        </is>
      </c>
      <c r="B678" t="inlineStr">
        <is>
          <t>HOSP-1</t>
        </is>
      </c>
      <c r="C678" t="inlineStr">
        <is>
          <t>SS-01211</t>
        </is>
      </c>
      <c r="D678" t="n">
        <v>12</v>
      </c>
      <c r="E678" t="n">
        <v>0</v>
      </c>
      <c r="G678">
        <f>IF(AND(A678&gt;=Inputs!$B$5,A678&lt;=Inputs!$B$6),1,0)</f>
        <v/>
      </c>
    </row>
    <row r="679">
      <c r="A679" t="inlineStr">
        <is>
          <t>2026-03</t>
        </is>
      </c>
      <c r="B679" t="inlineStr">
        <is>
          <t>HOSP-2</t>
        </is>
      </c>
      <c r="C679" t="inlineStr">
        <is>
          <t>SS-01212</t>
        </is>
      </c>
      <c r="D679" t="n">
        <v>24</v>
      </c>
      <c r="E679" t="n">
        <v>0</v>
      </c>
      <c r="G679">
        <f>IF(AND(A679&gt;=Inputs!$B$5,A679&lt;=Inputs!$B$6),1,0)</f>
        <v/>
      </c>
    </row>
    <row r="680">
      <c r="A680" t="inlineStr">
        <is>
          <t>2026-03</t>
        </is>
      </c>
      <c r="B680" t="inlineStr">
        <is>
          <t>HOSP-3</t>
        </is>
      </c>
      <c r="C680" t="inlineStr">
        <is>
          <t>SS-01213</t>
        </is>
      </c>
      <c r="D680" t="n">
        <v>186</v>
      </c>
      <c r="E680" t="n">
        <v>0</v>
      </c>
      <c r="G680">
        <f>IF(AND(A680&gt;=Inputs!$B$5,A680&lt;=Inputs!$B$6),1,0)</f>
        <v/>
      </c>
    </row>
    <row r="681">
      <c r="A681" t="inlineStr">
        <is>
          <t>2026-03</t>
        </is>
      </c>
      <c r="B681" t="inlineStr">
        <is>
          <t>HOSP-4</t>
        </is>
      </c>
      <c r="C681" t="inlineStr">
        <is>
          <t>SS-01214</t>
        </is>
      </c>
      <c r="D681" t="n">
        <v>10</v>
      </c>
      <c r="E681" t="n">
        <v>0</v>
      </c>
      <c r="G681">
        <f>IF(AND(A681&gt;=Inputs!$B$5,A681&lt;=Inputs!$B$6),1,0)</f>
        <v/>
      </c>
    </row>
    <row r="682">
      <c r="A682" t="inlineStr">
        <is>
          <t>2026-03</t>
        </is>
      </c>
      <c r="B682" t="inlineStr">
        <is>
          <t>HOSP-1</t>
        </is>
      </c>
      <c r="C682" t="inlineStr">
        <is>
          <t>SS-01215</t>
        </is>
      </c>
      <c r="D682" t="n">
        <v>12</v>
      </c>
      <c r="E682" t="n">
        <v>0</v>
      </c>
      <c r="G682">
        <f>IF(AND(A682&gt;=Inputs!$B$5,A682&lt;=Inputs!$B$6),1,0)</f>
        <v/>
      </c>
    </row>
    <row r="683">
      <c r="A683" t="inlineStr">
        <is>
          <t>2026-03</t>
        </is>
      </c>
      <c r="B683" t="inlineStr">
        <is>
          <t>HOSP-2</t>
        </is>
      </c>
      <c r="C683" t="inlineStr">
        <is>
          <t>SS-01216</t>
        </is>
      </c>
      <c r="D683" t="n">
        <v>2</v>
      </c>
      <c r="E683" t="n">
        <v>1</v>
      </c>
      <c r="G683">
        <f>IF(AND(A683&gt;=Inputs!$B$5,A683&lt;=Inputs!$B$6),1,0)</f>
        <v/>
      </c>
    </row>
    <row r="684">
      <c r="A684" t="inlineStr">
        <is>
          <t>2026-03</t>
        </is>
      </c>
      <c r="B684" t="inlineStr">
        <is>
          <t>HOSP-3</t>
        </is>
      </c>
      <c r="C684" t="inlineStr">
        <is>
          <t>SS-01217</t>
        </is>
      </c>
      <c r="D684" t="n">
        <v>48</v>
      </c>
      <c r="E684" t="n">
        <v>0</v>
      </c>
      <c r="G684">
        <f>IF(AND(A684&gt;=Inputs!$B$5,A684&lt;=Inputs!$B$6),1,0)</f>
        <v/>
      </c>
    </row>
    <row r="685">
      <c r="A685" t="inlineStr">
        <is>
          <t>2026-03</t>
        </is>
      </c>
      <c r="B685" t="inlineStr">
        <is>
          <t>HOSP-4</t>
        </is>
      </c>
      <c r="C685" t="inlineStr">
        <is>
          <t>SS-01218</t>
        </is>
      </c>
      <c r="D685" t="n">
        <v>24</v>
      </c>
      <c r="E685" t="n">
        <v>0</v>
      </c>
      <c r="G685">
        <f>IF(AND(A685&gt;=Inputs!$B$5,A685&lt;=Inputs!$B$6),1,0)</f>
        <v/>
      </c>
    </row>
    <row r="686">
      <c r="A686" t="inlineStr">
        <is>
          <t>2026-03</t>
        </is>
      </c>
      <c r="B686" t="inlineStr">
        <is>
          <t>HOSP-1</t>
        </is>
      </c>
      <c r="C686" t="inlineStr">
        <is>
          <t>SS-01219</t>
        </is>
      </c>
      <c r="D686" t="n">
        <v>0</v>
      </c>
      <c r="E686" t="n">
        <v>0</v>
      </c>
      <c r="G686">
        <f>IF(AND(A686&gt;=Inputs!$B$5,A686&lt;=Inputs!$B$6),1,0)</f>
        <v/>
      </c>
    </row>
    <row r="687">
      <c r="A687" t="inlineStr">
        <is>
          <t>2026-03</t>
        </is>
      </c>
      <c r="B687" t="inlineStr">
        <is>
          <t>HOSP-2</t>
        </is>
      </c>
      <c r="C687" t="inlineStr">
        <is>
          <t>SS-01220</t>
        </is>
      </c>
      <c r="D687" t="n">
        <v>695</v>
      </c>
      <c r="E687" t="n">
        <v>0</v>
      </c>
      <c r="G687">
        <f>IF(AND(A687&gt;=Inputs!$B$5,A687&lt;=Inputs!$B$6),1,0)</f>
        <v/>
      </c>
    </row>
    <row r="688">
      <c r="A688" t="inlineStr">
        <is>
          <t>2026-03</t>
        </is>
      </c>
      <c r="B688" t="inlineStr">
        <is>
          <t>HOSP-3</t>
        </is>
      </c>
      <c r="C688" t="inlineStr">
        <is>
          <t>SS-01221</t>
        </is>
      </c>
      <c r="D688" t="n">
        <v>0</v>
      </c>
      <c r="E688" t="n">
        <v>0</v>
      </c>
      <c r="G688">
        <f>IF(AND(A688&gt;=Inputs!$B$5,A688&lt;=Inputs!$B$6),1,0)</f>
        <v/>
      </c>
    </row>
    <row r="689">
      <c r="A689" t="inlineStr">
        <is>
          <t>2026-03</t>
        </is>
      </c>
      <c r="B689" t="inlineStr">
        <is>
          <t>HOSP-4</t>
        </is>
      </c>
      <c r="C689" t="inlineStr">
        <is>
          <t>SS-01222</t>
        </is>
      </c>
      <c r="D689" t="n">
        <v>0</v>
      </c>
      <c r="E689" t="n">
        <v>0</v>
      </c>
      <c r="G689">
        <f>IF(AND(A689&gt;=Inputs!$B$5,A689&lt;=Inputs!$B$6),1,0)</f>
        <v/>
      </c>
    </row>
    <row r="690">
      <c r="A690" t="inlineStr">
        <is>
          <t>2026-03</t>
        </is>
      </c>
      <c r="B690" t="inlineStr">
        <is>
          <t>HOSP-1</t>
        </is>
      </c>
      <c r="C690" t="inlineStr">
        <is>
          <t>SS-01223</t>
        </is>
      </c>
      <c r="D690" t="n">
        <v>12</v>
      </c>
      <c r="E690" t="n">
        <v>0</v>
      </c>
      <c r="G690">
        <f>IF(AND(A690&gt;=Inputs!$B$5,A690&lt;=Inputs!$B$6),1,0)</f>
        <v/>
      </c>
    </row>
    <row r="691">
      <c r="A691" t="inlineStr">
        <is>
          <t>2026-03</t>
        </is>
      </c>
      <c r="B691" t="inlineStr">
        <is>
          <t>HOSP-2</t>
        </is>
      </c>
      <c r="C691" t="inlineStr">
        <is>
          <t>SS-01224</t>
        </is>
      </c>
      <c r="D691" t="n">
        <v>60</v>
      </c>
      <c r="E691" t="n">
        <v>0</v>
      </c>
      <c r="G691">
        <f>IF(AND(A691&gt;=Inputs!$B$5,A691&lt;=Inputs!$B$6),1,0)</f>
        <v/>
      </c>
    </row>
    <row r="692">
      <c r="A692" t="inlineStr">
        <is>
          <t>2026-03</t>
        </is>
      </c>
      <c r="B692" t="inlineStr">
        <is>
          <t>HOSP-3</t>
        </is>
      </c>
      <c r="C692" t="inlineStr">
        <is>
          <t>SS-01225</t>
        </is>
      </c>
      <c r="D692" t="n">
        <v>48</v>
      </c>
      <c r="E692" t="n">
        <v>0</v>
      </c>
      <c r="G692">
        <f>IF(AND(A692&gt;=Inputs!$B$5,A692&lt;=Inputs!$B$6),1,0)</f>
        <v/>
      </c>
    </row>
    <row r="693">
      <c r="A693" t="inlineStr">
        <is>
          <t>2026-03</t>
        </is>
      </c>
      <c r="B693" t="inlineStr">
        <is>
          <t>HOSP-4</t>
        </is>
      </c>
      <c r="C693" t="inlineStr">
        <is>
          <t>SS-01226</t>
        </is>
      </c>
      <c r="D693" t="n">
        <v>12</v>
      </c>
      <c r="E693" t="n">
        <v>0</v>
      </c>
      <c r="G693">
        <f>IF(AND(A693&gt;=Inputs!$B$5,A693&lt;=Inputs!$B$6),1,0)</f>
        <v/>
      </c>
    </row>
    <row r="694">
      <c r="A694" t="inlineStr">
        <is>
          <t>2026-03</t>
        </is>
      </c>
      <c r="B694" t="inlineStr">
        <is>
          <t>HOSP-1</t>
        </is>
      </c>
      <c r="C694" t="inlineStr">
        <is>
          <t>SS-01227</t>
        </is>
      </c>
      <c r="D694" t="n">
        <v>8</v>
      </c>
      <c r="E694" t="n">
        <v>0</v>
      </c>
      <c r="F694" t="inlineStr">
        <is>
          <t>surge</t>
        </is>
      </c>
      <c r="G694">
        <f>IF(AND(A694&gt;=Inputs!$B$5,A694&lt;=Inputs!$B$6),1,0)</f>
        <v/>
      </c>
    </row>
    <row r="695">
      <c r="A695" t="inlineStr">
        <is>
          <t>2026-03</t>
        </is>
      </c>
      <c r="B695" t="inlineStr">
        <is>
          <t>HOSP-2</t>
        </is>
      </c>
      <c r="C695" t="inlineStr">
        <is>
          <t>SS-01228</t>
        </is>
      </c>
      <c r="D695" t="n">
        <v>24</v>
      </c>
      <c r="E695" t="n">
        <v>0</v>
      </c>
      <c r="G695">
        <f>IF(AND(A695&gt;=Inputs!$B$5,A695&lt;=Inputs!$B$6),1,0)</f>
        <v/>
      </c>
    </row>
    <row r="696">
      <c r="A696" t="inlineStr">
        <is>
          <t>2026-03</t>
        </is>
      </c>
      <c r="B696" t="inlineStr">
        <is>
          <t>HOSP-3</t>
        </is>
      </c>
      <c r="C696" t="inlineStr">
        <is>
          <t>SS-01229</t>
        </is>
      </c>
      <c r="D696" t="n">
        <v>12</v>
      </c>
      <c r="E696" t="n">
        <v>0</v>
      </c>
      <c r="G696">
        <f>IF(AND(A696&gt;=Inputs!$B$5,A696&lt;=Inputs!$B$6),1,0)</f>
        <v/>
      </c>
    </row>
    <row r="697">
      <c r="A697" t="inlineStr">
        <is>
          <t>2026-03</t>
        </is>
      </c>
      <c r="B697" t="inlineStr">
        <is>
          <t>HOSP-4</t>
        </is>
      </c>
      <c r="C697" t="inlineStr">
        <is>
          <t>SS-01230</t>
        </is>
      </c>
      <c r="D697" t="n">
        <v>0</v>
      </c>
      <c r="E697" t="n">
        <v>0</v>
      </c>
      <c r="G697">
        <f>IF(AND(A697&gt;=Inputs!$B$5,A697&lt;=Inputs!$B$6),1,0)</f>
        <v/>
      </c>
    </row>
    <row r="698">
      <c r="A698" t="inlineStr">
        <is>
          <t>2026-03</t>
        </is>
      </c>
      <c r="B698" t="inlineStr">
        <is>
          <t>HOSP-1</t>
        </is>
      </c>
      <c r="C698" t="inlineStr">
        <is>
          <t>SS-01231</t>
        </is>
      </c>
      <c r="D698" t="n">
        <v>0</v>
      </c>
      <c r="E698" t="n">
        <v>0</v>
      </c>
      <c r="G698">
        <f>IF(AND(A698&gt;=Inputs!$B$5,A698&lt;=Inputs!$B$6),1,0)</f>
        <v/>
      </c>
    </row>
    <row r="699">
      <c r="A699" t="inlineStr">
        <is>
          <t>2026-03</t>
        </is>
      </c>
      <c r="B699" t="inlineStr">
        <is>
          <t>HOSP-2</t>
        </is>
      </c>
      <c r="C699" t="inlineStr">
        <is>
          <t>SS-01232</t>
        </is>
      </c>
      <c r="D699" t="n">
        <v>12</v>
      </c>
      <c r="E699" t="n">
        <v>0</v>
      </c>
      <c r="G699">
        <f>IF(AND(A699&gt;=Inputs!$B$5,A699&lt;=Inputs!$B$6),1,0)</f>
        <v/>
      </c>
    </row>
    <row r="700">
      <c r="A700" t="inlineStr">
        <is>
          <t>2026-03</t>
        </is>
      </c>
      <c r="B700" t="inlineStr">
        <is>
          <t>HOSP-3</t>
        </is>
      </c>
      <c r="C700" t="inlineStr">
        <is>
          <t>SS-01233</t>
        </is>
      </c>
      <c r="D700" t="n">
        <v>51</v>
      </c>
      <c r="E700" t="n">
        <v>0</v>
      </c>
      <c r="G700">
        <f>IF(AND(A700&gt;=Inputs!$B$5,A700&lt;=Inputs!$B$6),1,0)</f>
        <v/>
      </c>
    </row>
    <row r="701">
      <c r="A701" t="inlineStr">
        <is>
          <t>2026-03</t>
        </is>
      </c>
      <c r="B701" t="inlineStr">
        <is>
          <t>HOSP-4</t>
        </is>
      </c>
      <c r="C701" t="inlineStr">
        <is>
          <t>SS-01001</t>
        </is>
      </c>
      <c r="D701" t="n">
        <v>36</v>
      </c>
      <c r="E701" t="n">
        <v>0</v>
      </c>
      <c r="G701">
        <f>IF(AND(A701&gt;=Inputs!$B$5,A701&lt;=Inputs!$B$6),1,0)</f>
        <v/>
      </c>
    </row>
    <row r="702">
      <c r="A702" t="inlineStr">
        <is>
          <t>2026-03</t>
        </is>
      </c>
      <c r="B702" t="inlineStr">
        <is>
          <t>HOSP-1</t>
        </is>
      </c>
      <c r="C702" t="inlineStr">
        <is>
          <t>SS-01002</t>
        </is>
      </c>
      <c r="D702" t="n">
        <v>0</v>
      </c>
      <c r="E702" t="n">
        <v>0</v>
      </c>
      <c r="G702">
        <f>IF(AND(A702&gt;=Inputs!$B$5,A702&lt;=Inputs!$B$6),1,0)</f>
        <v/>
      </c>
    </row>
    <row r="703">
      <c r="A703" t="inlineStr">
        <is>
          <t>2026-03</t>
        </is>
      </c>
      <c r="B703" t="inlineStr">
        <is>
          <t>HOSP-2</t>
        </is>
      </c>
      <c r="C703" t="inlineStr">
        <is>
          <t>SS-01003</t>
        </is>
      </c>
      <c r="D703" t="n">
        <v>12</v>
      </c>
      <c r="E703" t="n">
        <v>13</v>
      </c>
      <c r="G703">
        <f>IF(AND(A703&gt;=Inputs!$B$5,A703&lt;=Inputs!$B$6),1,0)</f>
        <v/>
      </c>
    </row>
    <row r="704">
      <c r="A704" t="inlineStr">
        <is>
          <t>2026-03</t>
        </is>
      </c>
      <c r="B704" t="inlineStr">
        <is>
          <t>HOSP-3</t>
        </is>
      </c>
      <c r="C704" t="inlineStr">
        <is>
          <t>SS-01004</t>
        </is>
      </c>
      <c r="D704" t="n">
        <v>72</v>
      </c>
      <c r="E704" t="n">
        <v>0</v>
      </c>
      <c r="G704">
        <f>IF(AND(A704&gt;=Inputs!$B$5,A704&lt;=Inputs!$B$6),1,0)</f>
        <v/>
      </c>
    </row>
    <row r="705">
      <c r="A705" t="inlineStr">
        <is>
          <t>2026-03</t>
        </is>
      </c>
      <c r="B705" t="inlineStr">
        <is>
          <t>HOSP-4</t>
        </is>
      </c>
      <c r="C705" t="inlineStr">
        <is>
          <t>SS-01005</t>
        </is>
      </c>
      <c r="D705" t="n">
        <v>12</v>
      </c>
      <c r="E705" t="n">
        <v>0</v>
      </c>
      <c r="G705">
        <f>IF(AND(A705&gt;=Inputs!$B$5,A705&lt;=Inputs!$B$6),1,0)</f>
        <v/>
      </c>
    </row>
    <row r="706">
      <c r="A706" t="inlineStr">
        <is>
          <t>2026-03</t>
        </is>
      </c>
      <c r="B706" t="inlineStr">
        <is>
          <t>HOSP-1</t>
        </is>
      </c>
      <c r="C706" t="inlineStr">
        <is>
          <t>SS-01006</t>
        </is>
      </c>
      <c r="D706" t="n">
        <v>120</v>
      </c>
      <c r="E706" t="n">
        <v>0</v>
      </c>
      <c r="G706">
        <f>IF(AND(A706&gt;=Inputs!$B$5,A706&lt;=Inputs!$B$6),1,0)</f>
        <v/>
      </c>
    </row>
    <row r="707">
      <c r="A707" t="inlineStr">
        <is>
          <t>2026-03</t>
        </is>
      </c>
      <c r="B707" t="inlineStr">
        <is>
          <t>HOSP-2</t>
        </is>
      </c>
      <c r="C707" t="inlineStr">
        <is>
          <t>SS-01007</t>
        </is>
      </c>
      <c r="D707" t="n">
        <v>24</v>
      </c>
      <c r="E707" t="n">
        <v>0</v>
      </c>
      <c r="G707">
        <f>IF(AND(A707&gt;=Inputs!$B$5,A707&lt;=Inputs!$B$6),1,0)</f>
        <v/>
      </c>
    </row>
    <row r="708">
      <c r="A708" t="inlineStr">
        <is>
          <t>2026-03</t>
        </is>
      </c>
      <c r="B708" t="inlineStr">
        <is>
          <t>HOSP-3</t>
        </is>
      </c>
      <c r="C708" t="inlineStr">
        <is>
          <t>SS-01008</t>
        </is>
      </c>
      <c r="D708" t="n">
        <v>60</v>
      </c>
      <c r="E708" t="n">
        <v>0</v>
      </c>
      <c r="G708">
        <f>IF(AND(A708&gt;=Inputs!$B$5,A708&lt;=Inputs!$B$6),1,0)</f>
        <v/>
      </c>
    </row>
    <row r="709">
      <c r="A709" t="inlineStr">
        <is>
          <t>2026-03</t>
        </is>
      </c>
      <c r="B709" t="inlineStr">
        <is>
          <t>HOSP-4</t>
        </is>
      </c>
      <c r="C709" t="inlineStr">
        <is>
          <t>SS-01009</t>
        </is>
      </c>
      <c r="D709" t="n">
        <v>2</v>
      </c>
      <c r="E709" t="n">
        <v>2</v>
      </c>
      <c r="G709">
        <f>IF(AND(A709&gt;=Inputs!$B$5,A709&lt;=Inputs!$B$6),1,0)</f>
        <v/>
      </c>
    </row>
    <row r="710">
      <c r="A710" t="inlineStr">
        <is>
          <t>2026-03</t>
        </is>
      </c>
      <c r="B710" t="inlineStr">
        <is>
          <t>HOSP-1</t>
        </is>
      </c>
      <c r="C710" t="inlineStr">
        <is>
          <t>SS-01010</t>
        </is>
      </c>
      <c r="D710" t="n">
        <v>12</v>
      </c>
      <c r="E710" t="n">
        <v>0</v>
      </c>
      <c r="G710">
        <f>IF(AND(A710&gt;=Inputs!$B$5,A710&lt;=Inputs!$B$6),1,0)</f>
        <v/>
      </c>
    </row>
    <row r="711">
      <c r="A711" t="inlineStr">
        <is>
          <t>2026-03</t>
        </is>
      </c>
      <c r="B711" t="inlineStr">
        <is>
          <t>HOSP-2</t>
        </is>
      </c>
      <c r="C711" t="inlineStr">
        <is>
          <t>SS-01232</t>
        </is>
      </c>
      <c r="D711" t="n">
        <v>0</v>
      </c>
      <c r="E711" t="n">
        <v>0</v>
      </c>
      <c r="G711">
        <f>IF(AND(A711&gt;=Inputs!$B$5,A711&lt;=Inputs!$B$6),1,0)</f>
        <v/>
      </c>
    </row>
    <row r="712">
      <c r="A712" t="inlineStr">
        <is>
          <t>2026-03</t>
        </is>
      </c>
      <c r="B712" t="inlineStr">
        <is>
          <t>HOSP-3</t>
        </is>
      </c>
      <c r="C712" t="inlineStr">
        <is>
          <t>SS-01012</t>
        </is>
      </c>
      <c r="D712" t="n">
        <v>144</v>
      </c>
      <c r="E712" t="n">
        <v>0</v>
      </c>
      <c r="G712">
        <f>IF(AND(A712&gt;=Inputs!$B$5,A712&lt;=Inputs!$B$6),1,0)</f>
        <v/>
      </c>
    </row>
    <row r="713">
      <c r="A713" t="inlineStr">
        <is>
          <t>2026-03</t>
        </is>
      </c>
      <c r="B713" t="inlineStr">
        <is>
          <t>HOSP-4</t>
        </is>
      </c>
      <c r="C713" t="inlineStr">
        <is>
          <t>SS-01013</t>
        </is>
      </c>
      <c r="D713" t="n">
        <v>20</v>
      </c>
      <c r="E713" t="n">
        <v>3</v>
      </c>
      <c r="G713">
        <f>IF(AND(A713&gt;=Inputs!$B$5,A713&lt;=Inputs!$B$6),1,0)</f>
        <v/>
      </c>
    </row>
    <row r="714">
      <c r="A714" t="inlineStr">
        <is>
          <t>2026-03</t>
        </is>
      </c>
      <c r="B714" t="inlineStr">
        <is>
          <t>HOSP-1</t>
        </is>
      </c>
      <c r="C714" t="inlineStr">
        <is>
          <t>SS-01014</t>
        </is>
      </c>
      <c r="D714" t="n">
        <v>0</v>
      </c>
      <c r="E714" t="n">
        <v>0</v>
      </c>
      <c r="G714">
        <f>IF(AND(A714&gt;=Inputs!$B$5,A714&lt;=Inputs!$B$6),1,0)</f>
        <v/>
      </c>
    </row>
    <row r="715">
      <c r="A715" t="inlineStr">
        <is>
          <t>2026-03</t>
        </is>
      </c>
      <c r="B715" t="inlineStr">
        <is>
          <t>HOSP-2</t>
        </is>
      </c>
      <c r="C715" t="inlineStr">
        <is>
          <t>SS-01015</t>
        </is>
      </c>
      <c r="D715" t="n">
        <v>12</v>
      </c>
      <c r="E715" t="n">
        <v>0</v>
      </c>
      <c r="G715">
        <f>IF(AND(A715&gt;=Inputs!$B$5,A715&lt;=Inputs!$B$6),1,0)</f>
        <v/>
      </c>
    </row>
    <row r="716">
      <c r="A716" t="inlineStr">
        <is>
          <t>2026-03</t>
        </is>
      </c>
      <c r="B716" t="inlineStr">
        <is>
          <t>HOSP-3</t>
        </is>
      </c>
      <c r="C716" t="inlineStr">
        <is>
          <t>SS-01016</t>
        </is>
      </c>
      <c r="D716" t="n">
        <v>0</v>
      </c>
      <c r="E716" t="n">
        <v>0</v>
      </c>
      <c r="G716">
        <f>IF(AND(A716&gt;=Inputs!$B$5,A716&lt;=Inputs!$B$6),1,0)</f>
        <v/>
      </c>
    </row>
    <row r="717">
      <c r="A717" t="inlineStr">
        <is>
          <t>2026-03</t>
        </is>
      </c>
      <c r="B717" t="inlineStr">
        <is>
          <t>HOSP-4</t>
        </is>
      </c>
      <c r="C717" t="inlineStr">
        <is>
          <t>SS-01017</t>
        </is>
      </c>
      <c r="D717" t="n">
        <v>24</v>
      </c>
      <c r="E717" t="n">
        <v>0</v>
      </c>
      <c r="G717">
        <f>IF(AND(A717&gt;=Inputs!$B$5,A717&lt;=Inputs!$B$6),1,0)</f>
        <v/>
      </c>
    </row>
    <row r="718">
      <c r="A718" t="inlineStr">
        <is>
          <t>2026-03</t>
        </is>
      </c>
      <c r="B718" t="inlineStr">
        <is>
          <t>HOSP-1</t>
        </is>
      </c>
      <c r="C718" t="inlineStr">
        <is>
          <t>SS-01018</t>
        </is>
      </c>
      <c r="D718" t="n">
        <v>12</v>
      </c>
      <c r="E718" t="n">
        <v>0</v>
      </c>
      <c r="G718">
        <f>IF(AND(A718&gt;=Inputs!$B$5,A718&lt;=Inputs!$B$6),1,0)</f>
        <v/>
      </c>
    </row>
    <row r="719">
      <c r="A719" t="inlineStr">
        <is>
          <t>2026-03</t>
        </is>
      </c>
      <c r="B719" t="inlineStr">
        <is>
          <t>HOSP-2</t>
        </is>
      </c>
      <c r="C719" t="inlineStr">
        <is>
          <t>SS-01019</t>
        </is>
      </c>
      <c r="D719" t="n">
        <v>12</v>
      </c>
      <c r="E719" t="n">
        <v>0</v>
      </c>
      <c r="G719">
        <f>IF(AND(A719&gt;=Inputs!$B$5,A719&lt;=Inputs!$B$6),1,0)</f>
        <v/>
      </c>
    </row>
    <row r="720">
      <c r="A720" t="inlineStr">
        <is>
          <t>2026-03</t>
        </is>
      </c>
      <c r="B720" t="inlineStr">
        <is>
          <t>HOSP-3</t>
        </is>
      </c>
      <c r="C720" t="inlineStr">
        <is>
          <t>SS-01020</t>
        </is>
      </c>
      <c r="D720" t="n">
        <v>36</v>
      </c>
      <c r="E720" t="n">
        <v>0</v>
      </c>
      <c r="G720">
        <f>IF(AND(A720&gt;=Inputs!$B$5,A720&lt;=Inputs!$B$6),1,0)</f>
        <v/>
      </c>
    </row>
    <row r="721">
      <c r="A721" t="inlineStr">
        <is>
          <t>2026-03</t>
        </is>
      </c>
      <c r="B721" t="inlineStr">
        <is>
          <t>HOSP-4</t>
        </is>
      </c>
      <c r="C721" t="inlineStr">
        <is>
          <t>SS-01021</t>
        </is>
      </c>
      <c r="D721" t="n">
        <v>12</v>
      </c>
      <c r="E721" t="n">
        <v>0</v>
      </c>
      <c r="G721">
        <f>IF(AND(A721&gt;=Inputs!$B$5,A721&lt;=Inputs!$B$6),1,0)</f>
        <v/>
      </c>
    </row>
    <row r="722">
      <c r="A722" t="inlineStr">
        <is>
          <t>2026-03</t>
        </is>
      </c>
      <c r="B722" t="inlineStr">
        <is>
          <t>HOSP-1</t>
        </is>
      </c>
      <c r="C722" t="inlineStr">
        <is>
          <t>SS-01022</t>
        </is>
      </c>
      <c r="D722" t="n">
        <v>20</v>
      </c>
      <c r="E722" t="n">
        <v>1</v>
      </c>
      <c r="G722">
        <f>IF(AND(A722&gt;=Inputs!$B$5,A722&lt;=Inputs!$B$6),1,0)</f>
        <v/>
      </c>
    </row>
    <row r="723">
      <c r="A723" t="inlineStr">
        <is>
          <t>2026-03</t>
        </is>
      </c>
      <c r="B723" t="inlineStr">
        <is>
          <t>HOSP-2</t>
        </is>
      </c>
      <c r="C723" t="inlineStr">
        <is>
          <t>SS-01023</t>
        </is>
      </c>
      <c r="D723" t="n">
        <v>120</v>
      </c>
      <c r="E723" t="n">
        <v>0</v>
      </c>
      <c r="G723">
        <f>IF(AND(A723&gt;=Inputs!$B$5,A723&lt;=Inputs!$B$6),1,0)</f>
        <v/>
      </c>
    </row>
    <row r="724">
      <c r="A724" t="inlineStr">
        <is>
          <t>2026-03</t>
        </is>
      </c>
      <c r="B724" t="inlineStr">
        <is>
          <t>HOSP-3</t>
        </is>
      </c>
      <c r="C724" t="inlineStr">
        <is>
          <t>SS-01024</t>
        </is>
      </c>
      <c r="D724" t="n">
        <v>11</v>
      </c>
      <c r="E724" t="n">
        <v>0</v>
      </c>
      <c r="G724">
        <f>IF(AND(A724&gt;=Inputs!$B$5,A724&lt;=Inputs!$B$6),1,0)</f>
        <v/>
      </c>
    </row>
    <row r="725">
      <c r="A725" t="inlineStr">
        <is>
          <t>2026-03</t>
        </is>
      </c>
      <c r="B725" t="inlineStr">
        <is>
          <t>HOSP-4</t>
        </is>
      </c>
      <c r="C725" t="inlineStr">
        <is>
          <t>SS-01025</t>
        </is>
      </c>
      <c r="D725" t="n">
        <v>36</v>
      </c>
      <c r="E725" t="n">
        <v>0</v>
      </c>
      <c r="G725">
        <f>IF(AND(A725&gt;=Inputs!$B$5,A725&lt;=Inputs!$B$6),1,0)</f>
        <v/>
      </c>
    </row>
    <row r="726">
      <c r="A726" t="inlineStr">
        <is>
          <t>2026-03</t>
        </is>
      </c>
      <c r="B726" t="inlineStr">
        <is>
          <t>HOSP-1</t>
        </is>
      </c>
      <c r="C726" t="inlineStr">
        <is>
          <t>SS-01026</t>
        </is>
      </c>
      <c r="D726" t="n">
        <v>24</v>
      </c>
      <c r="E726" t="n">
        <v>0</v>
      </c>
      <c r="G726">
        <f>IF(AND(A726&gt;=Inputs!$B$5,A726&lt;=Inputs!$B$6),1,0)</f>
        <v/>
      </c>
    </row>
    <row r="727">
      <c r="A727" t="inlineStr">
        <is>
          <t>2026-03</t>
        </is>
      </c>
      <c r="B727" t="inlineStr">
        <is>
          <t>HOSP-2</t>
        </is>
      </c>
      <c r="C727" t="inlineStr">
        <is>
          <t>SS-01027</t>
        </is>
      </c>
      <c r="D727" t="n">
        <v>24</v>
      </c>
      <c r="E727" t="n">
        <v>0</v>
      </c>
      <c r="G727">
        <f>IF(AND(A727&gt;=Inputs!$B$5,A727&lt;=Inputs!$B$6),1,0)</f>
        <v/>
      </c>
    </row>
    <row r="728">
      <c r="A728" t="inlineStr">
        <is>
          <t>2026-03</t>
        </is>
      </c>
      <c r="B728" t="inlineStr">
        <is>
          <t>HOSP-3</t>
        </is>
      </c>
      <c r="C728" t="inlineStr">
        <is>
          <t>SS-01028</t>
        </is>
      </c>
      <c r="D728" t="n">
        <v>60</v>
      </c>
      <c r="E728" t="n">
        <v>0</v>
      </c>
      <c r="G728">
        <f>IF(AND(A728&gt;=Inputs!$B$5,A728&lt;=Inputs!$B$6),1,0)</f>
        <v/>
      </c>
    </row>
    <row r="729">
      <c r="A729" t="inlineStr">
        <is>
          <t>2026-03</t>
        </is>
      </c>
      <c r="B729" t="inlineStr">
        <is>
          <t>HOSP-4</t>
        </is>
      </c>
      <c r="C729" t="inlineStr">
        <is>
          <t>SS-01202</t>
        </is>
      </c>
      <c r="D729" t="n">
        <v>16</v>
      </c>
      <c r="E729" t="n">
        <v>4</v>
      </c>
      <c r="G729">
        <f>IF(AND(A729&gt;=Inputs!$B$5,A729&lt;=Inputs!$B$6),1,0)</f>
        <v/>
      </c>
    </row>
    <row r="730">
      <c r="A730" t="inlineStr">
        <is>
          <t>2026-03</t>
        </is>
      </c>
      <c r="B730" t="inlineStr">
        <is>
          <t>HOSP-1</t>
        </is>
      </c>
      <c r="C730" t="inlineStr">
        <is>
          <t>SS-01030</t>
        </is>
      </c>
      <c r="D730" t="n">
        <v>0</v>
      </c>
      <c r="E730" t="n">
        <v>0</v>
      </c>
      <c r="G730">
        <f>IF(AND(A730&gt;=Inputs!$B$5,A730&lt;=Inputs!$B$6),1,0)</f>
        <v/>
      </c>
    </row>
    <row r="731">
      <c r="A731" t="inlineStr">
        <is>
          <t>2026-03</t>
        </is>
      </c>
      <c r="B731" t="inlineStr">
        <is>
          <t>HOSP-2</t>
        </is>
      </c>
      <c r="C731" t="inlineStr">
        <is>
          <t>SS-01031</t>
        </is>
      </c>
      <c r="D731" t="n">
        <v>144</v>
      </c>
      <c r="E731" t="n">
        <v>0</v>
      </c>
      <c r="G731">
        <f>IF(AND(A731&gt;=Inputs!$B$5,A731&lt;=Inputs!$B$6),1,0)</f>
        <v/>
      </c>
    </row>
    <row r="732">
      <c r="A732" t="inlineStr">
        <is>
          <t>2026-03</t>
        </is>
      </c>
      <c r="B732" t="inlineStr">
        <is>
          <t>HOSP-3</t>
        </is>
      </c>
      <c r="C732" t="inlineStr">
        <is>
          <t>SS-01032</t>
        </is>
      </c>
      <c r="D732" t="n">
        <v>12</v>
      </c>
      <c r="E732" t="n">
        <v>0</v>
      </c>
      <c r="G732">
        <f>IF(AND(A732&gt;=Inputs!$B$5,A732&lt;=Inputs!$B$6),1,0)</f>
        <v/>
      </c>
    </row>
    <row r="733">
      <c r="A733" t="inlineStr">
        <is>
          <t>2026-03</t>
        </is>
      </c>
      <c r="B733" t="inlineStr">
        <is>
          <t>HOSP-4</t>
        </is>
      </c>
      <c r="C733" t="inlineStr">
        <is>
          <t>SS-01033</t>
        </is>
      </c>
      <c r="D733" t="n">
        <v>60</v>
      </c>
      <c r="E733" t="n">
        <v>0</v>
      </c>
      <c r="G733">
        <f>IF(AND(A733&gt;=Inputs!$B$5,A733&lt;=Inputs!$B$6),1,0)</f>
        <v/>
      </c>
    </row>
    <row r="734">
      <c r="A734" t="inlineStr">
        <is>
          <t>2026-03</t>
        </is>
      </c>
      <c r="B734" t="inlineStr">
        <is>
          <t>HOSP-1</t>
        </is>
      </c>
      <c r="C734" t="inlineStr">
        <is>
          <t>SS-01034</t>
        </is>
      </c>
      <c r="D734" t="n">
        <v>60</v>
      </c>
      <c r="E734" t="n">
        <v>0</v>
      </c>
      <c r="G734">
        <f>IF(AND(A734&gt;=Inputs!$B$5,A734&lt;=Inputs!$B$6),1,0)</f>
        <v/>
      </c>
    </row>
    <row r="735">
      <c r="A735" t="inlineStr">
        <is>
          <t>2026-03</t>
        </is>
      </c>
      <c r="B735" t="inlineStr">
        <is>
          <t>HOSP-2</t>
        </is>
      </c>
      <c r="C735" t="inlineStr">
        <is>
          <t>SS-01035</t>
        </is>
      </c>
      <c r="D735" t="n">
        <v>96</v>
      </c>
      <c r="E735" t="n">
        <v>0</v>
      </c>
      <c r="G735">
        <f>IF(AND(A735&gt;=Inputs!$B$5,A735&lt;=Inputs!$B$6),1,0)</f>
        <v/>
      </c>
    </row>
    <row r="736">
      <c r="A736" t="inlineStr">
        <is>
          <t>2026-03</t>
        </is>
      </c>
      <c r="B736" t="inlineStr">
        <is>
          <t>HOSP-3</t>
        </is>
      </c>
      <c r="C736" t="inlineStr">
        <is>
          <t>SS-01034</t>
        </is>
      </c>
      <c r="D736" t="n">
        <v>8</v>
      </c>
      <c r="E736" t="n">
        <v>1</v>
      </c>
      <c r="G736">
        <f>IF(AND(A736&gt;=Inputs!$B$5,A736&lt;=Inputs!$B$6),1,0)</f>
        <v/>
      </c>
    </row>
    <row r="737">
      <c r="A737" t="inlineStr">
        <is>
          <t>2026-03</t>
        </is>
      </c>
      <c r="B737" t="inlineStr">
        <is>
          <t>HOSP-4</t>
        </is>
      </c>
      <c r="C737" t="inlineStr">
        <is>
          <t>SS-01037</t>
        </is>
      </c>
      <c r="D737" t="n">
        <v>60</v>
      </c>
      <c r="E737" t="n">
        <v>0</v>
      </c>
      <c r="G737">
        <f>IF(AND(A737&gt;=Inputs!$B$5,A737&lt;=Inputs!$B$6),1,0)</f>
        <v/>
      </c>
    </row>
    <row r="738">
      <c r="A738" t="inlineStr">
        <is>
          <t>2026-03</t>
        </is>
      </c>
      <c r="B738" t="inlineStr">
        <is>
          <t>HOSP-1</t>
        </is>
      </c>
      <c r="C738" t="inlineStr">
        <is>
          <t>SS-01038</t>
        </is>
      </c>
      <c r="D738" t="n">
        <v>159</v>
      </c>
      <c r="E738" t="n">
        <v>0</v>
      </c>
      <c r="G738">
        <f>IF(AND(A738&gt;=Inputs!$B$5,A738&lt;=Inputs!$B$6),1,0)</f>
        <v/>
      </c>
    </row>
    <row r="739">
      <c r="A739" t="inlineStr">
        <is>
          <t>2026-03</t>
        </is>
      </c>
      <c r="B739" t="inlineStr">
        <is>
          <t>HOSP-2</t>
        </is>
      </c>
      <c r="C739" t="inlineStr">
        <is>
          <t>SS-01125</t>
        </is>
      </c>
      <c r="D739" t="n">
        <v>5</v>
      </c>
      <c r="E739" t="n">
        <v>1</v>
      </c>
      <c r="G739">
        <f>IF(AND(A739&gt;=Inputs!$B$5,A739&lt;=Inputs!$B$6),1,0)</f>
        <v/>
      </c>
    </row>
    <row r="740">
      <c r="A740" t="inlineStr">
        <is>
          <t>2026-03</t>
        </is>
      </c>
      <c r="B740" t="inlineStr">
        <is>
          <t>HOSP-3</t>
        </is>
      </c>
      <c r="C740" t="inlineStr">
        <is>
          <t>SS-01040</t>
        </is>
      </c>
      <c r="D740" t="n">
        <v>0</v>
      </c>
      <c r="E740" t="n">
        <v>0</v>
      </c>
      <c r="G740">
        <f>IF(AND(A740&gt;=Inputs!$B$5,A740&lt;=Inputs!$B$6),1,0)</f>
        <v/>
      </c>
    </row>
    <row r="741">
      <c r="A741" t="inlineStr">
        <is>
          <t>2026-03</t>
        </is>
      </c>
      <c r="B741" t="inlineStr">
        <is>
          <t>HOSP-4</t>
        </is>
      </c>
      <c r="C741" t="inlineStr">
        <is>
          <t>SS-01041</t>
        </is>
      </c>
      <c r="D741" t="n">
        <v>13</v>
      </c>
      <c r="E741" t="n">
        <v>0</v>
      </c>
      <c r="G741">
        <f>IF(AND(A741&gt;=Inputs!$B$5,A741&lt;=Inputs!$B$6),1,0)</f>
        <v/>
      </c>
    </row>
    <row r="742">
      <c r="A742" t="inlineStr">
        <is>
          <t>2026-03</t>
        </is>
      </c>
      <c r="B742" t="inlineStr">
        <is>
          <t>HOSP-1</t>
        </is>
      </c>
      <c r="C742" t="inlineStr">
        <is>
          <t>SS-01072</t>
        </is>
      </c>
      <c r="D742" t="n">
        <v>141</v>
      </c>
      <c r="E742" t="n">
        <v>1</v>
      </c>
      <c r="G742">
        <f>IF(AND(A742&gt;=Inputs!$B$5,A742&lt;=Inputs!$B$6),1,0)</f>
        <v/>
      </c>
    </row>
    <row r="743">
      <c r="A743" t="inlineStr">
        <is>
          <t>2026-03</t>
        </is>
      </c>
      <c r="B743" t="inlineStr">
        <is>
          <t>HOSP-2</t>
        </is>
      </c>
      <c r="C743" t="inlineStr">
        <is>
          <t>SS-01043</t>
        </is>
      </c>
      <c r="D743" t="n">
        <v>36</v>
      </c>
      <c r="E743" t="n">
        <v>0</v>
      </c>
      <c r="G743">
        <f>IF(AND(A743&gt;=Inputs!$B$5,A743&lt;=Inputs!$B$6),1,0)</f>
        <v/>
      </c>
    </row>
    <row r="744">
      <c r="A744" t="inlineStr">
        <is>
          <t>2026-03</t>
        </is>
      </c>
      <c r="B744" t="inlineStr">
        <is>
          <t>HOSP-3</t>
        </is>
      </c>
      <c r="C744" t="inlineStr">
        <is>
          <t>SS-01044</t>
        </is>
      </c>
      <c r="D744" t="n">
        <v>48</v>
      </c>
      <c r="E744" t="n">
        <v>0</v>
      </c>
      <c r="G744">
        <f>IF(AND(A744&gt;=Inputs!$B$5,A744&lt;=Inputs!$B$6),1,0)</f>
        <v/>
      </c>
    </row>
    <row r="745">
      <c r="A745" t="inlineStr">
        <is>
          <t>2026-03</t>
        </is>
      </c>
      <c r="B745" t="inlineStr">
        <is>
          <t>HOSP-4</t>
        </is>
      </c>
      <c r="C745" t="inlineStr">
        <is>
          <t>SS-01045</t>
        </is>
      </c>
      <c r="D745" t="n">
        <v>0</v>
      </c>
      <c r="E745" t="n">
        <v>0</v>
      </c>
      <c r="G745">
        <f>IF(AND(A745&gt;=Inputs!$B$5,A745&lt;=Inputs!$B$6),1,0)</f>
        <v/>
      </c>
    </row>
    <row r="746">
      <c r="A746" t="inlineStr">
        <is>
          <t>2026-03</t>
        </is>
      </c>
      <c r="B746" t="inlineStr">
        <is>
          <t>HOSP-1</t>
        </is>
      </c>
      <c r="C746" t="inlineStr">
        <is>
          <t>SS-01046</t>
        </is>
      </c>
      <c r="D746" t="n">
        <v>84</v>
      </c>
      <c r="E746" t="n">
        <v>0</v>
      </c>
      <c r="G746">
        <f>IF(AND(A746&gt;=Inputs!$B$5,A746&lt;=Inputs!$B$6),1,0)</f>
        <v/>
      </c>
    </row>
    <row r="747">
      <c r="A747" t="inlineStr">
        <is>
          <t>2026-03</t>
        </is>
      </c>
      <c r="B747" t="inlineStr">
        <is>
          <t>HOSP-2</t>
        </is>
      </c>
      <c r="C747" t="inlineStr">
        <is>
          <t>SS-01047</t>
        </is>
      </c>
      <c r="D747" t="n">
        <v>24</v>
      </c>
      <c r="E747" t="n">
        <v>0</v>
      </c>
      <c r="G747">
        <f>IF(AND(A747&gt;=Inputs!$B$5,A747&lt;=Inputs!$B$6),1,0)</f>
        <v/>
      </c>
    </row>
    <row r="748">
      <c r="A748" t="inlineStr">
        <is>
          <t>2026-03</t>
        </is>
      </c>
      <c r="B748" t="inlineStr">
        <is>
          <t>HOSP-3</t>
        </is>
      </c>
      <c r="C748" t="inlineStr">
        <is>
          <t>SS-01048</t>
        </is>
      </c>
      <c r="D748" t="n">
        <v>0</v>
      </c>
      <c r="E748" t="n">
        <v>0</v>
      </c>
      <c r="G748">
        <f>IF(AND(A748&gt;=Inputs!$B$5,A748&lt;=Inputs!$B$6),1,0)</f>
        <v/>
      </c>
    </row>
    <row r="749">
      <c r="A749" t="inlineStr">
        <is>
          <t>2026-03</t>
        </is>
      </c>
      <c r="B749" t="inlineStr">
        <is>
          <t>HOSP-4</t>
        </is>
      </c>
      <c r="C749" t="inlineStr">
        <is>
          <t>SS-01049</t>
        </is>
      </c>
      <c r="D749" t="n">
        <v>0</v>
      </c>
      <c r="E749" t="n">
        <v>0</v>
      </c>
      <c r="G749">
        <f>IF(AND(A749&gt;=Inputs!$B$5,A749&lt;=Inputs!$B$6),1,0)</f>
        <v/>
      </c>
    </row>
    <row r="750">
      <c r="A750" t="inlineStr">
        <is>
          <t>2026-03</t>
        </is>
      </c>
      <c r="B750" t="inlineStr">
        <is>
          <t>HOSP-1</t>
        </is>
      </c>
      <c r="C750" t="inlineStr">
        <is>
          <t>SS-01050</t>
        </is>
      </c>
      <c r="D750" t="n">
        <v>72</v>
      </c>
      <c r="E750" t="n">
        <v>0</v>
      </c>
      <c r="G750">
        <f>IF(AND(A750&gt;=Inputs!$B$5,A750&lt;=Inputs!$B$6),1,0)</f>
        <v/>
      </c>
    </row>
    <row r="751">
      <c r="A751" t="inlineStr">
        <is>
          <t>2026-03</t>
        </is>
      </c>
      <c r="B751" t="inlineStr">
        <is>
          <t>HOSP-2</t>
        </is>
      </c>
      <c r="C751" t="inlineStr">
        <is>
          <t>SS-01051</t>
        </is>
      </c>
      <c r="D751" t="n">
        <v>108</v>
      </c>
      <c r="E751" t="n">
        <v>0</v>
      </c>
      <c r="G751">
        <f>IF(AND(A751&gt;=Inputs!$B$5,A751&lt;=Inputs!$B$6),1,0)</f>
        <v/>
      </c>
    </row>
    <row r="752">
      <c r="A752" t="inlineStr">
        <is>
          <t>2026-03</t>
        </is>
      </c>
      <c r="B752" t="inlineStr">
        <is>
          <t>HOSP-3</t>
        </is>
      </c>
      <c r="C752" t="inlineStr">
        <is>
          <t>SS-01052</t>
        </is>
      </c>
      <c r="D752" t="n">
        <v>0</v>
      </c>
      <c r="E752" t="n">
        <v>0</v>
      </c>
      <c r="G752">
        <f>IF(AND(A752&gt;=Inputs!$B$5,A752&lt;=Inputs!$B$6),1,0)</f>
        <v/>
      </c>
    </row>
    <row r="753">
      <c r="A753" t="inlineStr">
        <is>
          <t>2026-03</t>
        </is>
      </c>
      <c r="B753" t="inlineStr">
        <is>
          <t>HOSP-4</t>
        </is>
      </c>
      <c r="C753" t="inlineStr">
        <is>
          <t>SS-01053</t>
        </is>
      </c>
      <c r="D753" t="n">
        <v>96</v>
      </c>
      <c r="E753" t="n">
        <v>0</v>
      </c>
      <c r="G753">
        <f>IF(AND(A753&gt;=Inputs!$B$5,A753&lt;=Inputs!$B$6),1,0)</f>
        <v/>
      </c>
    </row>
    <row r="754">
      <c r="A754" t="inlineStr">
        <is>
          <t>2026-03</t>
        </is>
      </c>
      <c r="B754" t="inlineStr">
        <is>
          <t>HOSP-1</t>
        </is>
      </c>
      <c r="C754" t="inlineStr">
        <is>
          <t>SS-01054</t>
        </is>
      </c>
      <c r="D754" t="n">
        <v>2</v>
      </c>
      <c r="E754" t="n">
        <v>5</v>
      </c>
      <c r="G754">
        <f>IF(AND(A754&gt;=Inputs!$B$5,A754&lt;=Inputs!$B$6),1,0)</f>
        <v/>
      </c>
    </row>
    <row r="755">
      <c r="A755" t="inlineStr">
        <is>
          <t>2026-03</t>
        </is>
      </c>
      <c r="B755" t="inlineStr">
        <is>
          <t>HOSP-2</t>
        </is>
      </c>
      <c r="C755" t="inlineStr">
        <is>
          <t>SS-01055</t>
        </is>
      </c>
      <c r="D755" t="n">
        <v>0</v>
      </c>
      <c r="E755" t="n">
        <v>0</v>
      </c>
      <c r="G755">
        <f>IF(AND(A755&gt;=Inputs!$B$5,A755&lt;=Inputs!$B$6),1,0)</f>
        <v/>
      </c>
    </row>
    <row r="756">
      <c r="A756" t="inlineStr">
        <is>
          <t>2026-03</t>
        </is>
      </c>
      <c r="B756" t="inlineStr">
        <is>
          <t>HOSP-3</t>
        </is>
      </c>
      <c r="C756" t="inlineStr">
        <is>
          <t>SS-01056</t>
        </is>
      </c>
      <c r="D756" t="n">
        <v>48</v>
      </c>
      <c r="E756" t="n">
        <v>0</v>
      </c>
      <c r="G756">
        <f>IF(AND(A756&gt;=Inputs!$B$5,A756&lt;=Inputs!$B$6),1,0)</f>
        <v/>
      </c>
    </row>
    <row r="757">
      <c r="A757" t="inlineStr">
        <is>
          <t>2026-03</t>
        </is>
      </c>
      <c r="B757" t="inlineStr">
        <is>
          <t>HOSP-4</t>
        </is>
      </c>
      <c r="C757" t="inlineStr">
        <is>
          <t>SS-01057</t>
        </is>
      </c>
      <c r="D757" t="n">
        <v>12</v>
      </c>
      <c r="E757" t="n">
        <v>0</v>
      </c>
      <c r="G757">
        <f>IF(AND(A757&gt;=Inputs!$B$5,A757&lt;=Inputs!$B$6),1,0)</f>
        <v/>
      </c>
    </row>
    <row r="758">
      <c r="A758" t="inlineStr">
        <is>
          <t>2026-03</t>
        </is>
      </c>
      <c r="B758" t="inlineStr">
        <is>
          <t>HOSP-1</t>
        </is>
      </c>
      <c r="C758" t="inlineStr">
        <is>
          <t>SS-01058</t>
        </is>
      </c>
      <c r="D758" t="n">
        <v>7</v>
      </c>
      <c r="E758" t="n">
        <v>0</v>
      </c>
      <c r="G758">
        <f>IF(AND(A758&gt;=Inputs!$B$5,A758&lt;=Inputs!$B$6),1,0)</f>
        <v/>
      </c>
    </row>
    <row r="759">
      <c r="A759" t="inlineStr">
        <is>
          <t>2026-03</t>
        </is>
      </c>
      <c r="B759" t="inlineStr">
        <is>
          <t>HOSP-2</t>
        </is>
      </c>
      <c r="C759" t="inlineStr">
        <is>
          <t>SS-01059</t>
        </is>
      </c>
      <c r="D759" t="n">
        <v>0</v>
      </c>
      <c r="E759" t="n">
        <v>0</v>
      </c>
      <c r="G759">
        <f>IF(AND(A759&gt;=Inputs!$B$5,A759&lt;=Inputs!$B$6),1,0)</f>
        <v/>
      </c>
    </row>
    <row r="760">
      <c r="A760" t="inlineStr">
        <is>
          <t>2026-03</t>
        </is>
      </c>
      <c r="B760" t="inlineStr">
        <is>
          <t>HOSP-3</t>
        </is>
      </c>
      <c r="C760" t="inlineStr">
        <is>
          <t>SS-01060</t>
        </is>
      </c>
      <c r="D760" t="n">
        <v>0</v>
      </c>
      <c r="E760" t="n">
        <v>0</v>
      </c>
      <c r="G760">
        <f>IF(AND(A760&gt;=Inputs!$B$5,A760&lt;=Inputs!$B$6),1,0)</f>
        <v/>
      </c>
    </row>
    <row r="761">
      <c r="A761" t="inlineStr">
        <is>
          <t>2026-03</t>
        </is>
      </c>
      <c r="B761" t="inlineStr">
        <is>
          <t>HOSP-4</t>
        </is>
      </c>
      <c r="C761" t="inlineStr">
        <is>
          <t>SS-01061</t>
        </is>
      </c>
      <c r="D761" t="n">
        <v>10</v>
      </c>
      <c r="E761" t="n">
        <v>0</v>
      </c>
      <c r="G761">
        <f>IF(AND(A761&gt;=Inputs!$B$5,A761&lt;=Inputs!$B$6),1,0)</f>
        <v/>
      </c>
    </row>
    <row r="762">
      <c r="A762" t="inlineStr">
        <is>
          <t>2026-03</t>
        </is>
      </c>
      <c r="B762" t="inlineStr">
        <is>
          <t>HOSP-1</t>
        </is>
      </c>
      <c r="C762" t="inlineStr">
        <is>
          <t>SS-01062</t>
        </is>
      </c>
      <c r="D762" t="n">
        <v>12</v>
      </c>
      <c r="E762" t="n">
        <v>0</v>
      </c>
      <c r="G762">
        <f>IF(AND(A762&gt;=Inputs!$B$5,A762&lt;=Inputs!$B$6),1,0)</f>
        <v/>
      </c>
    </row>
    <row r="763">
      <c r="A763" t="inlineStr">
        <is>
          <t>2026-03</t>
        </is>
      </c>
      <c r="B763" t="inlineStr">
        <is>
          <t>HOSP-2</t>
        </is>
      </c>
      <c r="C763" t="inlineStr">
        <is>
          <t>SS-01063</t>
        </is>
      </c>
      <c r="D763" t="n">
        <v>12</v>
      </c>
      <c r="E763" t="n">
        <v>0</v>
      </c>
      <c r="G763">
        <f>IF(AND(A763&gt;=Inputs!$B$5,A763&lt;=Inputs!$B$6),1,0)</f>
        <v/>
      </c>
    </row>
    <row r="764">
      <c r="A764" t="inlineStr">
        <is>
          <t>2026-03</t>
        </is>
      </c>
      <c r="B764" t="inlineStr">
        <is>
          <t>HOSP-3</t>
        </is>
      </c>
      <c r="C764" t="inlineStr">
        <is>
          <t>SS-01064</t>
        </is>
      </c>
      <c r="D764" t="n">
        <v>72</v>
      </c>
      <c r="E764" t="n">
        <v>0</v>
      </c>
      <c r="G764">
        <f>IF(AND(A764&gt;=Inputs!$B$5,A764&lt;=Inputs!$B$6),1,0)</f>
        <v/>
      </c>
    </row>
    <row r="765">
      <c r="A765" t="inlineStr">
        <is>
          <t>2026-03</t>
        </is>
      </c>
      <c r="B765" t="inlineStr">
        <is>
          <t>HOSP-4</t>
        </is>
      </c>
      <c r="C765" t="inlineStr">
        <is>
          <t>SS-01065</t>
        </is>
      </c>
      <c r="D765" t="n">
        <v>12</v>
      </c>
      <c r="E765" t="n">
        <v>0</v>
      </c>
      <c r="G765">
        <f>IF(AND(A765&gt;=Inputs!$B$5,A765&lt;=Inputs!$B$6),1,0)</f>
        <v/>
      </c>
    </row>
    <row r="766">
      <c r="A766" t="inlineStr">
        <is>
          <t>2026-03</t>
        </is>
      </c>
      <c r="B766" t="inlineStr">
        <is>
          <t>HOSP-1</t>
        </is>
      </c>
      <c r="C766" t="inlineStr">
        <is>
          <t>SS-01066</t>
        </is>
      </c>
      <c r="D766" t="n">
        <v>6</v>
      </c>
      <c r="E766" t="n">
        <v>1</v>
      </c>
      <c r="G766">
        <f>IF(AND(A766&gt;=Inputs!$B$5,A766&lt;=Inputs!$B$6),1,0)</f>
        <v/>
      </c>
    </row>
    <row r="767">
      <c r="A767" t="inlineStr">
        <is>
          <t>2026-03</t>
        </is>
      </c>
      <c r="B767" t="inlineStr">
        <is>
          <t>HOSP-2</t>
        </is>
      </c>
      <c r="C767" t="inlineStr">
        <is>
          <t>SS-01067</t>
        </is>
      </c>
      <c r="D767" t="n">
        <v>1</v>
      </c>
      <c r="E767" t="n">
        <v>1</v>
      </c>
      <c r="G767">
        <f>IF(AND(A767&gt;=Inputs!$B$5,A767&lt;=Inputs!$B$6),1,0)</f>
        <v/>
      </c>
    </row>
    <row r="768">
      <c r="A768" t="inlineStr">
        <is>
          <t>2026-03</t>
        </is>
      </c>
      <c r="B768" t="inlineStr">
        <is>
          <t>HOSP-3</t>
        </is>
      </c>
      <c r="C768" t="inlineStr">
        <is>
          <t>SS-01068</t>
        </is>
      </c>
      <c r="D768" t="n">
        <v>0</v>
      </c>
      <c r="E768" t="n">
        <v>0</v>
      </c>
      <c r="G768">
        <f>IF(AND(A768&gt;=Inputs!$B$5,A768&lt;=Inputs!$B$6),1,0)</f>
        <v/>
      </c>
    </row>
    <row r="769">
      <c r="A769" t="inlineStr">
        <is>
          <t>2026-03</t>
        </is>
      </c>
      <c r="B769" t="inlineStr">
        <is>
          <t>HOSP-4</t>
        </is>
      </c>
      <c r="C769" t="inlineStr">
        <is>
          <t>SS-01069</t>
        </is>
      </c>
      <c r="D769" t="n">
        <v>85</v>
      </c>
      <c r="E769" t="n">
        <v>1</v>
      </c>
      <c r="G769">
        <f>IF(AND(A769&gt;=Inputs!$B$5,A769&lt;=Inputs!$B$6),1,0)</f>
        <v/>
      </c>
    </row>
    <row r="770">
      <c r="A770" t="inlineStr">
        <is>
          <t>2026-03</t>
        </is>
      </c>
      <c r="B770" t="inlineStr">
        <is>
          <t>HOSP-1</t>
        </is>
      </c>
      <c r="C770" t="inlineStr">
        <is>
          <t>SS-01070</t>
        </is>
      </c>
      <c r="D770" t="n">
        <v>0</v>
      </c>
      <c r="E770" t="n">
        <v>0</v>
      </c>
      <c r="G770">
        <f>IF(AND(A770&gt;=Inputs!$B$5,A770&lt;=Inputs!$B$6),1,0)</f>
        <v/>
      </c>
    </row>
    <row r="771">
      <c r="A771" t="inlineStr">
        <is>
          <t>2026-03</t>
        </is>
      </c>
      <c r="B771" t="inlineStr">
        <is>
          <t>HOSP-2</t>
        </is>
      </c>
      <c r="C771" t="inlineStr">
        <is>
          <t>SS-01071</t>
        </is>
      </c>
      <c r="D771" t="n">
        <v>36</v>
      </c>
      <c r="E771" t="n">
        <v>0</v>
      </c>
      <c r="G771">
        <f>IF(AND(A771&gt;=Inputs!$B$5,A771&lt;=Inputs!$B$6),1,0)</f>
        <v/>
      </c>
    </row>
    <row r="772">
      <c r="A772" t="inlineStr">
        <is>
          <t>2026-03</t>
        </is>
      </c>
      <c r="B772" t="inlineStr">
        <is>
          <t>HOSP-3</t>
        </is>
      </c>
      <c r="C772" t="inlineStr">
        <is>
          <t>SS-01072</t>
        </is>
      </c>
      <c r="D772" t="n">
        <v>48</v>
      </c>
      <c r="E772" t="n">
        <v>0</v>
      </c>
      <c r="G772">
        <f>IF(AND(A772&gt;=Inputs!$B$5,A772&lt;=Inputs!$B$6),1,0)</f>
        <v/>
      </c>
    </row>
    <row r="773">
      <c r="A773" t="inlineStr">
        <is>
          <t>2026-03</t>
        </is>
      </c>
      <c r="B773" t="inlineStr">
        <is>
          <t>HOSP-4</t>
        </is>
      </c>
      <c r="C773" t="inlineStr">
        <is>
          <t>SS-01073</t>
        </is>
      </c>
      <c r="D773" t="n">
        <v>60</v>
      </c>
      <c r="E773" t="n">
        <v>0</v>
      </c>
      <c r="G773">
        <f>IF(AND(A773&gt;=Inputs!$B$5,A773&lt;=Inputs!$B$6),1,0)</f>
        <v/>
      </c>
    </row>
    <row r="774">
      <c r="A774" t="inlineStr">
        <is>
          <t>2026-03</t>
        </is>
      </c>
      <c r="B774" t="inlineStr">
        <is>
          <t>HOSP-1</t>
        </is>
      </c>
      <c r="C774" t="inlineStr">
        <is>
          <t>SS-01074</t>
        </is>
      </c>
      <c r="D774" t="n">
        <v>0</v>
      </c>
      <c r="E774" t="n">
        <v>0</v>
      </c>
      <c r="G774">
        <f>IF(AND(A774&gt;=Inputs!$B$5,A774&lt;=Inputs!$B$6),1,0)</f>
        <v/>
      </c>
    </row>
    <row r="775">
      <c r="A775" t="inlineStr">
        <is>
          <t>2026-03</t>
        </is>
      </c>
      <c r="B775" t="inlineStr">
        <is>
          <t>HOSP-2</t>
        </is>
      </c>
      <c r="C775" t="inlineStr">
        <is>
          <t>SS-01075</t>
        </is>
      </c>
      <c r="D775" t="n">
        <v>12</v>
      </c>
      <c r="E775" t="n">
        <v>0</v>
      </c>
      <c r="G775">
        <f>IF(AND(A775&gt;=Inputs!$B$5,A775&lt;=Inputs!$B$6),1,0)</f>
        <v/>
      </c>
    </row>
    <row r="776">
      <c r="A776" t="inlineStr">
        <is>
          <t>2026-03</t>
        </is>
      </c>
      <c r="B776" t="inlineStr">
        <is>
          <t>HOSP-3</t>
        </is>
      </c>
      <c r="C776" t="inlineStr">
        <is>
          <t>SS-01175</t>
        </is>
      </c>
      <c r="D776" t="n">
        <v>108</v>
      </c>
      <c r="E776" t="n">
        <v>0</v>
      </c>
      <c r="G776">
        <f>IF(AND(A776&gt;=Inputs!$B$5,A776&lt;=Inputs!$B$6),1,0)</f>
        <v/>
      </c>
    </row>
    <row r="777">
      <c r="A777" t="inlineStr">
        <is>
          <t>2026-03</t>
        </is>
      </c>
      <c r="B777" t="inlineStr">
        <is>
          <t>HOSP-4</t>
        </is>
      </c>
      <c r="C777" t="inlineStr">
        <is>
          <t>SS-01077</t>
        </is>
      </c>
      <c r="D777" t="n">
        <v>24</v>
      </c>
      <c r="E777" t="n">
        <v>0</v>
      </c>
      <c r="G777">
        <f>IF(AND(A777&gt;=Inputs!$B$5,A777&lt;=Inputs!$B$6),1,0)</f>
        <v/>
      </c>
    </row>
    <row r="778">
      <c r="A778" t="inlineStr">
        <is>
          <t>2026-03</t>
        </is>
      </c>
      <c r="B778" t="inlineStr">
        <is>
          <t>HOSP-1</t>
        </is>
      </c>
      <c r="C778" t="inlineStr">
        <is>
          <t>SS-01078</t>
        </is>
      </c>
      <c r="D778" t="n">
        <v>6</v>
      </c>
      <c r="E778" t="n">
        <v>1</v>
      </c>
      <c r="G778">
        <f>IF(AND(A778&gt;=Inputs!$B$5,A778&lt;=Inputs!$B$6),1,0)</f>
        <v/>
      </c>
    </row>
    <row r="779">
      <c r="A779" t="inlineStr">
        <is>
          <t>2026-03</t>
        </is>
      </c>
      <c r="B779" t="inlineStr">
        <is>
          <t>HOSP-2</t>
        </is>
      </c>
      <c r="C779" t="inlineStr">
        <is>
          <t>SS-01079</t>
        </is>
      </c>
      <c r="D779" t="n">
        <v>0</v>
      </c>
      <c r="E779" t="n">
        <v>0</v>
      </c>
      <c r="G779">
        <f>IF(AND(A779&gt;=Inputs!$B$5,A779&lt;=Inputs!$B$6),1,0)</f>
        <v/>
      </c>
    </row>
    <row r="780">
      <c r="A780" t="inlineStr">
        <is>
          <t>2026-03</t>
        </is>
      </c>
      <c r="B780" t="inlineStr">
        <is>
          <t>HOSP-3</t>
        </is>
      </c>
      <c r="C780" t="inlineStr">
        <is>
          <t>SS-01080</t>
        </is>
      </c>
      <c r="D780" t="n">
        <v>12</v>
      </c>
      <c r="E780" t="n">
        <v>0</v>
      </c>
      <c r="G780">
        <f>IF(AND(A780&gt;=Inputs!$B$5,A780&lt;=Inputs!$B$6),1,0)</f>
        <v/>
      </c>
    </row>
    <row r="781">
      <c r="A781" t="inlineStr">
        <is>
          <t>2026-03</t>
        </is>
      </c>
      <c r="B781" t="inlineStr">
        <is>
          <t>HOSP-4</t>
        </is>
      </c>
      <c r="C781" t="inlineStr">
        <is>
          <t>SS-01081</t>
        </is>
      </c>
      <c r="D781" t="n">
        <v>12</v>
      </c>
      <c r="E781" t="n">
        <v>0</v>
      </c>
      <c r="G781">
        <f>IF(AND(A781&gt;=Inputs!$B$5,A781&lt;=Inputs!$B$6),1,0)</f>
        <v/>
      </c>
    </row>
    <row r="782">
      <c r="A782" t="inlineStr">
        <is>
          <t>2026-03</t>
        </is>
      </c>
      <c r="B782" t="inlineStr">
        <is>
          <t>HOSP-1</t>
        </is>
      </c>
      <c r="C782" t="inlineStr">
        <is>
          <t>SS-01082</t>
        </is>
      </c>
      <c r="D782" t="n">
        <v>0</v>
      </c>
      <c r="E782" t="n">
        <v>0</v>
      </c>
      <c r="G782">
        <f>IF(AND(A782&gt;=Inputs!$B$5,A782&lt;=Inputs!$B$6),1,0)</f>
        <v/>
      </c>
    </row>
    <row r="783">
      <c r="A783" t="inlineStr">
        <is>
          <t>2026-03</t>
        </is>
      </c>
      <c r="B783" t="inlineStr">
        <is>
          <t>HOSP-2</t>
        </is>
      </c>
      <c r="C783" t="inlineStr">
        <is>
          <t>SS-01083</t>
        </is>
      </c>
      <c r="D783" t="n">
        <v>12</v>
      </c>
      <c r="E783" t="n">
        <v>0</v>
      </c>
      <c r="G783">
        <f>IF(AND(A783&gt;=Inputs!$B$5,A783&lt;=Inputs!$B$6),1,0)</f>
        <v/>
      </c>
    </row>
    <row r="784">
      <c r="A784" t="inlineStr">
        <is>
          <t>2026-03</t>
        </is>
      </c>
      <c r="B784" t="inlineStr">
        <is>
          <t>HOSP-3</t>
        </is>
      </c>
      <c r="C784" t="inlineStr">
        <is>
          <t>SS-01084</t>
        </is>
      </c>
      <c r="D784" t="n">
        <v>120</v>
      </c>
      <c r="E784" t="n">
        <v>0</v>
      </c>
      <c r="G784">
        <f>IF(AND(A784&gt;=Inputs!$B$5,A784&lt;=Inputs!$B$6),1,0)</f>
        <v/>
      </c>
    </row>
    <row r="785">
      <c r="A785" t="inlineStr">
        <is>
          <t>2026-03</t>
        </is>
      </c>
      <c r="B785" t="inlineStr">
        <is>
          <t>HOSP-4</t>
        </is>
      </c>
      <c r="C785" t="inlineStr">
        <is>
          <t>SS-01085</t>
        </is>
      </c>
      <c r="D785" t="n">
        <v>0</v>
      </c>
      <c r="E785" t="n">
        <v>0</v>
      </c>
      <c r="G785">
        <f>IF(AND(A785&gt;=Inputs!$B$5,A785&lt;=Inputs!$B$6),1,0)</f>
        <v/>
      </c>
    </row>
    <row r="786">
      <c r="A786" t="inlineStr">
        <is>
          <t>2026-03</t>
        </is>
      </c>
      <c r="B786" t="inlineStr">
        <is>
          <t>HOSP-1</t>
        </is>
      </c>
      <c r="C786" t="inlineStr">
        <is>
          <t>SS-01001</t>
        </is>
      </c>
      <c r="D786" t="n">
        <v>6</v>
      </c>
      <c r="E786" t="n">
        <v>4</v>
      </c>
      <c r="G786">
        <f>IF(AND(A786&gt;=Inputs!$B$5,A786&lt;=Inputs!$B$6),1,0)</f>
        <v/>
      </c>
    </row>
    <row r="787">
      <c r="A787" t="inlineStr">
        <is>
          <t>2026-03</t>
        </is>
      </c>
      <c r="B787" t="inlineStr">
        <is>
          <t>HOSP-2</t>
        </is>
      </c>
      <c r="C787" t="inlineStr">
        <is>
          <t>SS-01087</t>
        </is>
      </c>
      <c r="D787" t="n">
        <v>25</v>
      </c>
      <c r="E787" t="n">
        <v>1</v>
      </c>
      <c r="G787">
        <f>IF(AND(A787&gt;=Inputs!$B$5,A787&lt;=Inputs!$B$6),1,0)</f>
        <v/>
      </c>
    </row>
    <row r="788">
      <c r="A788" t="inlineStr">
        <is>
          <t>2026-03</t>
        </is>
      </c>
      <c r="B788" t="inlineStr">
        <is>
          <t>HOSP-3</t>
        </is>
      </c>
      <c r="C788" t="inlineStr">
        <is>
          <t>SS-01088</t>
        </is>
      </c>
      <c r="D788" t="n">
        <v>12</v>
      </c>
      <c r="E788" t="n">
        <v>0</v>
      </c>
      <c r="G788">
        <f>IF(AND(A788&gt;=Inputs!$B$5,A788&lt;=Inputs!$B$6),1,0)</f>
        <v/>
      </c>
    </row>
    <row r="789">
      <c r="A789" t="inlineStr">
        <is>
          <t>2026-03</t>
        </is>
      </c>
      <c r="B789" t="inlineStr">
        <is>
          <t>HOSP-4</t>
        </is>
      </c>
      <c r="C789" t="inlineStr">
        <is>
          <t>SS-01089</t>
        </is>
      </c>
      <c r="D789" t="n">
        <v>0</v>
      </c>
      <c r="E789" t="n">
        <v>0</v>
      </c>
      <c r="G789">
        <f>IF(AND(A789&gt;=Inputs!$B$5,A789&lt;=Inputs!$B$6),1,0)</f>
        <v/>
      </c>
    </row>
    <row r="790">
      <c r="A790" t="inlineStr">
        <is>
          <t>2026-03</t>
        </is>
      </c>
      <c r="B790" t="inlineStr">
        <is>
          <t>HOSP-1</t>
        </is>
      </c>
      <c r="C790" t="inlineStr">
        <is>
          <t>SS-01090</t>
        </is>
      </c>
      <c r="D790" t="n">
        <v>7</v>
      </c>
      <c r="E790" t="n">
        <v>1</v>
      </c>
      <c r="G790">
        <f>IF(AND(A790&gt;=Inputs!$B$5,A790&lt;=Inputs!$B$6),1,0)</f>
        <v/>
      </c>
    </row>
    <row r="791">
      <c r="A791" t="inlineStr">
        <is>
          <t>2026-03</t>
        </is>
      </c>
      <c r="B791" t="inlineStr">
        <is>
          <t>HOSP-2</t>
        </is>
      </c>
      <c r="C791" t="inlineStr">
        <is>
          <t>SS-01091</t>
        </is>
      </c>
      <c r="D791" t="n">
        <v>12</v>
      </c>
      <c r="E791" t="n">
        <v>0</v>
      </c>
      <c r="G791">
        <f>IF(AND(A791&gt;=Inputs!$B$5,A791&lt;=Inputs!$B$6),1,0)</f>
        <v/>
      </c>
    </row>
    <row r="792">
      <c r="A792" t="inlineStr">
        <is>
          <t>2026-03</t>
        </is>
      </c>
      <c r="B792" t="inlineStr">
        <is>
          <t>HOSP-3</t>
        </is>
      </c>
      <c r="C792" t="inlineStr">
        <is>
          <t>SS-01092</t>
        </is>
      </c>
      <c r="D792" t="n">
        <v>48</v>
      </c>
      <c r="E792" t="n">
        <v>0</v>
      </c>
      <c r="G792">
        <f>IF(AND(A792&gt;=Inputs!$B$5,A792&lt;=Inputs!$B$6),1,0)</f>
        <v/>
      </c>
    </row>
    <row r="793">
      <c r="A793" t="inlineStr">
        <is>
          <t>2026-03</t>
        </is>
      </c>
      <c r="B793" t="inlineStr">
        <is>
          <t>HOSP-4</t>
        </is>
      </c>
      <c r="C793" t="inlineStr">
        <is>
          <t>SS-01093</t>
        </is>
      </c>
      <c r="D793" t="n">
        <v>12</v>
      </c>
      <c r="E793" t="n">
        <v>0</v>
      </c>
      <c r="G793">
        <f>IF(AND(A793&gt;=Inputs!$B$5,A793&lt;=Inputs!$B$6),1,0)</f>
        <v/>
      </c>
    </row>
    <row r="794">
      <c r="A794" t="inlineStr">
        <is>
          <t>2026-03</t>
        </is>
      </c>
      <c r="B794" t="inlineStr">
        <is>
          <t>HOSP-1</t>
        </is>
      </c>
      <c r="C794" t="inlineStr">
        <is>
          <t>SS-01094</t>
        </is>
      </c>
      <c r="D794" t="n">
        <v>12</v>
      </c>
      <c r="E794" t="n">
        <v>0</v>
      </c>
      <c r="G794">
        <f>IF(AND(A794&gt;=Inputs!$B$5,A794&lt;=Inputs!$B$6),1,0)</f>
        <v/>
      </c>
    </row>
    <row r="795">
      <c r="A795" t="inlineStr">
        <is>
          <t>2026-03</t>
        </is>
      </c>
      <c r="B795" t="inlineStr">
        <is>
          <t>HOSP-2</t>
        </is>
      </c>
      <c r="C795" t="inlineStr">
        <is>
          <t>SS-01095</t>
        </is>
      </c>
      <c r="D795" t="n">
        <v>0</v>
      </c>
      <c r="E795" t="n">
        <v>0</v>
      </c>
      <c r="G795">
        <f>IF(AND(A795&gt;=Inputs!$B$5,A795&lt;=Inputs!$B$6),1,0)</f>
        <v/>
      </c>
    </row>
    <row r="796">
      <c r="A796" t="inlineStr">
        <is>
          <t>2026-03</t>
        </is>
      </c>
      <c r="B796" t="inlineStr">
        <is>
          <t>HOSP-3</t>
        </is>
      </c>
      <c r="C796" t="inlineStr">
        <is>
          <t>SS-01096</t>
        </is>
      </c>
      <c r="D796" t="n">
        <v>276</v>
      </c>
      <c r="E796" t="n">
        <v>0</v>
      </c>
      <c r="G796">
        <f>IF(AND(A796&gt;=Inputs!$B$5,A796&lt;=Inputs!$B$6),1,0)</f>
        <v/>
      </c>
    </row>
    <row r="797">
      <c r="A797" t="inlineStr">
        <is>
          <t>2026-03</t>
        </is>
      </c>
      <c r="B797" t="inlineStr">
        <is>
          <t>HOSP-4</t>
        </is>
      </c>
      <c r="C797" t="inlineStr">
        <is>
          <t>SS-01097</t>
        </is>
      </c>
      <c r="D797" t="n">
        <v>24</v>
      </c>
      <c r="E797" t="n">
        <v>0</v>
      </c>
      <c r="G797">
        <f>IF(AND(A797&gt;=Inputs!$B$5,A797&lt;=Inputs!$B$6),1,0)</f>
        <v/>
      </c>
    </row>
    <row r="798">
      <c r="A798" t="inlineStr">
        <is>
          <t>2026-03</t>
        </is>
      </c>
      <c r="B798" t="inlineStr">
        <is>
          <t>HOSP-1</t>
        </is>
      </c>
      <c r="C798" t="inlineStr">
        <is>
          <t>SS-01098</t>
        </is>
      </c>
      <c r="D798" t="n">
        <v>36</v>
      </c>
      <c r="E798" t="n">
        <v>0</v>
      </c>
      <c r="G798">
        <f>IF(AND(A798&gt;=Inputs!$B$5,A798&lt;=Inputs!$B$6),1,0)</f>
        <v/>
      </c>
    </row>
    <row r="799">
      <c r="A799" t="inlineStr">
        <is>
          <t>2026-03</t>
        </is>
      </c>
      <c r="B799" t="inlineStr">
        <is>
          <t>HOSP-2</t>
        </is>
      </c>
      <c r="C799" t="inlineStr">
        <is>
          <t>SS-01099</t>
        </is>
      </c>
      <c r="D799" t="n">
        <v>12</v>
      </c>
      <c r="E799" t="n">
        <v>0</v>
      </c>
      <c r="G799">
        <f>IF(AND(A799&gt;=Inputs!$B$5,A799&lt;=Inputs!$B$6),1,0)</f>
        <v/>
      </c>
    </row>
    <row r="800">
      <c r="A800" t="inlineStr">
        <is>
          <t>2026-03</t>
        </is>
      </c>
      <c r="B800" t="inlineStr">
        <is>
          <t>HOSP-3</t>
        </is>
      </c>
      <c r="C800" t="inlineStr">
        <is>
          <t>SS-01100</t>
        </is>
      </c>
      <c r="D800" t="n">
        <v>0</v>
      </c>
      <c r="E800" t="n">
        <v>0</v>
      </c>
      <c r="G800">
        <f>IF(AND(A800&gt;=Inputs!$B$5,A800&lt;=Inputs!$B$6),1,0)</f>
        <v/>
      </c>
    </row>
    <row r="801">
      <c r="A801" t="inlineStr">
        <is>
          <t>2026-03</t>
        </is>
      </c>
      <c r="B801" t="inlineStr">
        <is>
          <t>HOSP-4</t>
        </is>
      </c>
      <c r="C801" t="inlineStr">
        <is>
          <t>SS-01101</t>
        </is>
      </c>
      <c r="D801" t="n">
        <v>12</v>
      </c>
      <c r="E801" t="n">
        <v>3</v>
      </c>
      <c r="G801">
        <f>IF(AND(A801&gt;=Inputs!$B$5,A801&lt;=Inputs!$B$6),1,0)</f>
        <v/>
      </c>
    </row>
    <row r="802">
      <c r="A802" t="inlineStr">
        <is>
          <t>2026-03</t>
        </is>
      </c>
      <c r="B802" t="inlineStr">
        <is>
          <t>HOSP-1</t>
        </is>
      </c>
      <c r="C802" t="inlineStr">
        <is>
          <t>SS-01102</t>
        </is>
      </c>
      <c r="D802" t="n">
        <v>0</v>
      </c>
      <c r="E802" t="n">
        <v>0</v>
      </c>
      <c r="G802">
        <f>IF(AND(A802&gt;=Inputs!$B$5,A802&lt;=Inputs!$B$6),1,0)</f>
        <v/>
      </c>
    </row>
    <row r="803">
      <c r="A803" t="inlineStr">
        <is>
          <t>2026-03</t>
        </is>
      </c>
      <c r="B803" t="inlineStr">
        <is>
          <t>HOSP-2</t>
        </is>
      </c>
      <c r="C803" t="inlineStr">
        <is>
          <t>SS-01103</t>
        </is>
      </c>
      <c r="D803" t="n">
        <v>0</v>
      </c>
      <c r="E803" t="n">
        <v>0</v>
      </c>
      <c r="G803">
        <f>IF(AND(A803&gt;=Inputs!$B$5,A803&lt;=Inputs!$B$6),1,0)</f>
        <v/>
      </c>
    </row>
    <row r="804">
      <c r="A804" t="inlineStr">
        <is>
          <t>2026-03</t>
        </is>
      </c>
      <c r="B804" t="inlineStr">
        <is>
          <t>HOSP-3</t>
        </is>
      </c>
      <c r="C804" t="inlineStr">
        <is>
          <t>SS-01104</t>
        </is>
      </c>
      <c r="D804" t="n">
        <v>48</v>
      </c>
      <c r="E804" t="n">
        <v>0</v>
      </c>
      <c r="G804">
        <f>IF(AND(A804&gt;=Inputs!$B$5,A804&lt;=Inputs!$B$6),1,0)</f>
        <v/>
      </c>
    </row>
    <row r="805">
      <c r="A805" t="inlineStr">
        <is>
          <t>2026-03</t>
        </is>
      </c>
      <c r="B805" t="inlineStr">
        <is>
          <t>HOSP-4</t>
        </is>
      </c>
      <c r="C805" t="inlineStr">
        <is>
          <t>SS-01105</t>
        </is>
      </c>
      <c r="D805" t="n">
        <v>24</v>
      </c>
      <c r="E805" t="n">
        <v>0</v>
      </c>
      <c r="G805">
        <f>IF(AND(A805&gt;=Inputs!$B$5,A805&lt;=Inputs!$B$6),1,0)</f>
        <v/>
      </c>
    </row>
    <row r="806">
      <c r="A806" t="inlineStr">
        <is>
          <t>2026-03</t>
        </is>
      </c>
      <c r="B806" t="inlineStr">
        <is>
          <t>HOSP-1</t>
        </is>
      </c>
      <c r="C806" t="inlineStr">
        <is>
          <t>SS-01106</t>
        </is>
      </c>
      <c r="D806" t="n">
        <v>0</v>
      </c>
      <c r="E806" t="n">
        <v>0</v>
      </c>
      <c r="G806">
        <f>IF(AND(A806&gt;=Inputs!$B$5,A806&lt;=Inputs!$B$6),1,0)</f>
        <v/>
      </c>
    </row>
    <row r="807">
      <c r="A807" t="inlineStr">
        <is>
          <t>2026-03</t>
        </is>
      </c>
      <c r="B807" t="inlineStr">
        <is>
          <t>HOSP-2</t>
        </is>
      </c>
      <c r="C807" t="inlineStr">
        <is>
          <t>SS-01107</t>
        </is>
      </c>
      <c r="D807" t="n">
        <v>12</v>
      </c>
      <c r="E807" t="n">
        <v>0</v>
      </c>
      <c r="G807">
        <f>IF(AND(A807&gt;=Inputs!$B$5,A807&lt;=Inputs!$B$6),1,0)</f>
        <v/>
      </c>
    </row>
    <row r="808">
      <c r="A808" t="inlineStr">
        <is>
          <t>2026-03</t>
        </is>
      </c>
      <c r="B808" t="inlineStr">
        <is>
          <t>HOSP-3</t>
        </is>
      </c>
      <c r="C808" t="inlineStr">
        <is>
          <t>SS-01108</t>
        </is>
      </c>
      <c r="D808" t="n">
        <v>24</v>
      </c>
      <c r="E808" t="n">
        <v>0</v>
      </c>
      <c r="G808">
        <f>IF(AND(A808&gt;=Inputs!$B$5,A808&lt;=Inputs!$B$6),1,0)</f>
        <v/>
      </c>
    </row>
    <row r="809">
      <c r="A809" t="inlineStr">
        <is>
          <t>2026-03</t>
        </is>
      </c>
      <c r="B809" t="inlineStr">
        <is>
          <t>HOSP-4</t>
        </is>
      </c>
      <c r="C809" t="inlineStr">
        <is>
          <t>SS-01109</t>
        </is>
      </c>
      <c r="D809" t="n">
        <v>12</v>
      </c>
      <c r="E809" t="n">
        <v>0</v>
      </c>
      <c r="G809">
        <f>IF(AND(A809&gt;=Inputs!$B$5,A809&lt;=Inputs!$B$6),1,0)</f>
        <v/>
      </c>
    </row>
    <row r="810">
      <c r="A810" t="inlineStr">
        <is>
          <t>2026-03</t>
        </is>
      </c>
      <c r="B810" t="inlineStr">
        <is>
          <t>HOSP-1</t>
        </is>
      </c>
      <c r="C810" t="inlineStr">
        <is>
          <t>SS-01110</t>
        </is>
      </c>
      <c r="D810" t="n">
        <v>32</v>
      </c>
      <c r="E810" t="n">
        <v>3</v>
      </c>
      <c r="G810">
        <f>IF(AND(A810&gt;=Inputs!$B$5,A810&lt;=Inputs!$B$6),1,0)</f>
        <v/>
      </c>
    </row>
    <row r="811">
      <c r="A811" t="inlineStr">
        <is>
          <t>2026-03</t>
        </is>
      </c>
      <c r="B811" t="inlineStr">
        <is>
          <t>HOSP-2</t>
        </is>
      </c>
      <c r="C811" t="inlineStr">
        <is>
          <t>SS-01111</t>
        </is>
      </c>
      <c r="D811" t="n">
        <v>12</v>
      </c>
      <c r="E811" t="n">
        <v>0</v>
      </c>
      <c r="G811">
        <f>IF(AND(A811&gt;=Inputs!$B$5,A811&lt;=Inputs!$B$6),1,0)</f>
        <v/>
      </c>
    </row>
    <row r="812">
      <c r="A812" t="inlineStr">
        <is>
          <t>2026-03</t>
        </is>
      </c>
      <c r="B812" t="inlineStr">
        <is>
          <t>HOSP-3</t>
        </is>
      </c>
      <c r="C812" t="inlineStr">
        <is>
          <t>SS-01112</t>
        </is>
      </c>
      <c r="D812" t="n">
        <v>0</v>
      </c>
      <c r="E812" t="n">
        <v>0</v>
      </c>
      <c r="G812">
        <f>IF(AND(A812&gt;=Inputs!$B$5,A812&lt;=Inputs!$B$6),1,0)</f>
        <v/>
      </c>
    </row>
    <row r="813">
      <c r="A813" t="inlineStr">
        <is>
          <t>2026-03</t>
        </is>
      </c>
      <c r="B813" t="inlineStr">
        <is>
          <t>HOSP-4</t>
        </is>
      </c>
      <c r="C813" t="inlineStr">
        <is>
          <t>SS-01113</t>
        </is>
      </c>
      <c r="D813" t="n">
        <v>60</v>
      </c>
      <c r="E813" t="n">
        <v>0</v>
      </c>
      <c r="G813">
        <f>IF(AND(A813&gt;=Inputs!$B$5,A813&lt;=Inputs!$B$6),1,0)</f>
        <v/>
      </c>
    </row>
    <row r="814">
      <c r="A814" t="inlineStr">
        <is>
          <t>2026-03</t>
        </is>
      </c>
      <c r="B814" t="inlineStr">
        <is>
          <t>HOSP-1</t>
        </is>
      </c>
      <c r="C814" t="inlineStr">
        <is>
          <t>SS-01114</t>
        </is>
      </c>
      <c r="D814" t="n">
        <v>120</v>
      </c>
      <c r="E814" t="n">
        <v>0</v>
      </c>
      <c r="G814">
        <f>IF(AND(A814&gt;=Inputs!$B$5,A814&lt;=Inputs!$B$6),1,0)</f>
        <v/>
      </c>
    </row>
    <row r="815">
      <c r="A815" t="inlineStr">
        <is>
          <t>2026-03</t>
        </is>
      </c>
      <c r="B815" t="inlineStr">
        <is>
          <t>HOSP-2</t>
        </is>
      </c>
      <c r="C815" t="inlineStr">
        <is>
          <t>SS-01115</t>
        </is>
      </c>
      <c r="D815" t="n">
        <v>252</v>
      </c>
      <c r="E815" t="n">
        <v>0</v>
      </c>
      <c r="G815">
        <f>IF(AND(A815&gt;=Inputs!$B$5,A815&lt;=Inputs!$B$6),1,0)</f>
        <v/>
      </c>
    </row>
    <row r="816">
      <c r="A816" t="inlineStr">
        <is>
          <t>2026-03</t>
        </is>
      </c>
      <c r="B816" t="inlineStr">
        <is>
          <t>HOSP-3</t>
        </is>
      </c>
      <c r="C816" t="inlineStr">
        <is>
          <t>SS-01116</t>
        </is>
      </c>
      <c r="D816" t="n">
        <v>156</v>
      </c>
      <c r="E816" t="n">
        <v>0</v>
      </c>
      <c r="G816">
        <f>IF(AND(A816&gt;=Inputs!$B$5,A816&lt;=Inputs!$B$6),1,0)</f>
        <v/>
      </c>
    </row>
    <row r="817">
      <c r="A817" t="inlineStr">
        <is>
          <t>2026-03</t>
        </is>
      </c>
      <c r="B817" t="inlineStr">
        <is>
          <t>HOSP-4</t>
        </is>
      </c>
      <c r="C817" t="inlineStr">
        <is>
          <t>SS-01117</t>
        </is>
      </c>
      <c r="D817" t="n">
        <v>12</v>
      </c>
      <c r="E817" t="n">
        <v>0</v>
      </c>
      <c r="G817">
        <f>IF(AND(A817&gt;=Inputs!$B$5,A817&lt;=Inputs!$B$6),1,0)</f>
        <v/>
      </c>
    </row>
    <row r="818">
      <c r="A818" t="inlineStr">
        <is>
          <t>2026-03</t>
        </is>
      </c>
      <c r="B818" t="inlineStr">
        <is>
          <t>HOSP-1</t>
        </is>
      </c>
      <c r="C818" t="inlineStr">
        <is>
          <t>SS-01118</t>
        </is>
      </c>
      <c r="D818" t="n">
        <v>120</v>
      </c>
      <c r="E818" t="n">
        <v>0</v>
      </c>
      <c r="G818">
        <f>IF(AND(A818&gt;=Inputs!$B$5,A818&lt;=Inputs!$B$6),1,0)</f>
        <v/>
      </c>
    </row>
    <row r="819">
      <c r="A819" t="inlineStr">
        <is>
          <t>2026-03</t>
        </is>
      </c>
      <c r="B819" t="inlineStr">
        <is>
          <t>HOSP-2</t>
        </is>
      </c>
      <c r="C819" t="inlineStr">
        <is>
          <t>SS-01119</t>
        </is>
      </c>
      <c r="D819" t="n">
        <v>24</v>
      </c>
      <c r="E819" t="n">
        <v>0</v>
      </c>
      <c r="G819">
        <f>IF(AND(A819&gt;=Inputs!$B$5,A819&lt;=Inputs!$B$6),1,0)</f>
        <v/>
      </c>
    </row>
    <row r="820">
      <c r="A820" t="inlineStr">
        <is>
          <t>2026-03</t>
        </is>
      </c>
      <c r="B820" t="inlineStr">
        <is>
          <t>HOSP-3</t>
        </is>
      </c>
      <c r="C820" t="inlineStr">
        <is>
          <t>SS-01120</t>
        </is>
      </c>
      <c r="D820" t="n">
        <v>27</v>
      </c>
      <c r="E820" t="n">
        <v>0</v>
      </c>
      <c r="G820">
        <f>IF(AND(A820&gt;=Inputs!$B$5,A820&lt;=Inputs!$B$6),1,0)</f>
        <v/>
      </c>
    </row>
    <row r="821">
      <c r="A821" t="inlineStr">
        <is>
          <t>2026-03</t>
        </is>
      </c>
      <c r="B821" t="inlineStr">
        <is>
          <t>HOSP-4</t>
        </is>
      </c>
      <c r="C821" t="inlineStr">
        <is>
          <t>SS-01121</t>
        </is>
      </c>
      <c r="D821" t="n">
        <v>10</v>
      </c>
      <c r="E821" t="n">
        <v>4</v>
      </c>
      <c r="G821">
        <f>IF(AND(A821&gt;=Inputs!$B$5,A821&lt;=Inputs!$B$6),1,0)</f>
        <v/>
      </c>
    </row>
    <row r="822">
      <c r="A822" t="inlineStr">
        <is>
          <t>2026-03</t>
        </is>
      </c>
      <c r="B822" t="inlineStr">
        <is>
          <t>HOSP-1</t>
        </is>
      </c>
      <c r="C822" t="inlineStr">
        <is>
          <t>SS-01122</t>
        </is>
      </c>
      <c r="D822" t="n">
        <v>12</v>
      </c>
      <c r="E822" t="n">
        <v>0</v>
      </c>
      <c r="G822">
        <f>IF(AND(A822&gt;=Inputs!$B$5,A822&lt;=Inputs!$B$6),1,0)</f>
        <v/>
      </c>
    </row>
    <row r="823">
      <c r="A823" t="inlineStr">
        <is>
          <t>2026-03</t>
        </is>
      </c>
      <c r="B823" t="inlineStr">
        <is>
          <t>HOSP-2</t>
        </is>
      </c>
      <c r="C823" t="inlineStr">
        <is>
          <t>SS-01123</t>
        </is>
      </c>
      <c r="D823" t="n">
        <v>12</v>
      </c>
      <c r="E823" t="n">
        <v>0</v>
      </c>
      <c r="G823">
        <f>IF(AND(A823&gt;=Inputs!$B$5,A823&lt;=Inputs!$B$6),1,0)</f>
        <v/>
      </c>
    </row>
    <row r="824">
      <c r="A824" t="inlineStr">
        <is>
          <t>2026-03</t>
        </is>
      </c>
      <c r="B824" t="inlineStr">
        <is>
          <t>HOSP-3</t>
        </is>
      </c>
      <c r="C824" t="inlineStr">
        <is>
          <t>SS-01124</t>
        </is>
      </c>
      <c r="D824" t="n">
        <v>12</v>
      </c>
      <c r="E824" t="n">
        <v>0</v>
      </c>
      <c r="G824">
        <f>IF(AND(A824&gt;=Inputs!$B$5,A824&lt;=Inputs!$B$6),1,0)</f>
        <v/>
      </c>
    </row>
    <row r="825">
      <c r="A825" t="inlineStr">
        <is>
          <t>2026-03</t>
        </is>
      </c>
      <c r="B825" t="inlineStr">
        <is>
          <t>HOSP-4</t>
        </is>
      </c>
      <c r="C825" t="inlineStr">
        <is>
          <t>SS-01125</t>
        </is>
      </c>
      <c r="D825" t="n">
        <v>0</v>
      </c>
      <c r="E825" t="n">
        <v>0</v>
      </c>
      <c r="G825">
        <f>IF(AND(A825&gt;=Inputs!$B$5,A825&lt;=Inputs!$B$6),1,0)</f>
        <v/>
      </c>
    </row>
    <row r="826">
      <c r="A826" t="inlineStr">
        <is>
          <t>2026-03</t>
        </is>
      </c>
      <c r="B826" t="inlineStr">
        <is>
          <t>HOSP-1</t>
        </is>
      </c>
      <c r="C826" t="inlineStr">
        <is>
          <t>SS-01126</t>
        </is>
      </c>
      <c r="D826" t="n">
        <v>1</v>
      </c>
      <c r="E826" t="n">
        <v>8</v>
      </c>
      <c r="G826">
        <f>IF(AND(A826&gt;=Inputs!$B$5,A826&lt;=Inputs!$B$6),1,0)</f>
        <v/>
      </c>
    </row>
    <row r="827">
      <c r="A827" t="inlineStr">
        <is>
          <t>2026-03</t>
        </is>
      </c>
      <c r="B827" t="inlineStr">
        <is>
          <t>HOSP-2</t>
        </is>
      </c>
      <c r="C827" t="inlineStr">
        <is>
          <t>SS-01127</t>
        </is>
      </c>
      <c r="D827" t="n">
        <v>4</v>
      </c>
      <c r="E827" t="n">
        <v>5</v>
      </c>
      <c r="G827">
        <f>IF(AND(A827&gt;=Inputs!$B$5,A827&lt;=Inputs!$B$6),1,0)</f>
        <v/>
      </c>
    </row>
    <row r="828">
      <c r="A828" t="inlineStr">
        <is>
          <t>2026-03</t>
        </is>
      </c>
      <c r="B828" t="inlineStr">
        <is>
          <t>HOSP-3</t>
        </is>
      </c>
      <c r="C828" t="inlineStr">
        <is>
          <t>SS-01128</t>
        </is>
      </c>
      <c r="D828" t="n">
        <v>156</v>
      </c>
      <c r="E828" t="n">
        <v>0</v>
      </c>
      <c r="G828">
        <f>IF(AND(A828&gt;=Inputs!$B$5,A828&lt;=Inputs!$B$6),1,0)</f>
        <v/>
      </c>
    </row>
    <row r="829">
      <c r="A829" t="inlineStr">
        <is>
          <t>2026-03</t>
        </is>
      </c>
      <c r="B829" t="inlineStr">
        <is>
          <t>HOSP-4</t>
        </is>
      </c>
      <c r="C829" t="inlineStr">
        <is>
          <t>SS-01129</t>
        </is>
      </c>
      <c r="D829" t="n">
        <v>0</v>
      </c>
      <c r="E829" t="n">
        <v>0</v>
      </c>
      <c r="G829">
        <f>IF(AND(A829&gt;=Inputs!$B$5,A829&lt;=Inputs!$B$6),1,0)</f>
        <v/>
      </c>
    </row>
    <row r="830">
      <c r="A830" t="inlineStr">
        <is>
          <t>2026-03</t>
        </is>
      </c>
      <c r="B830" t="inlineStr">
        <is>
          <t>HOSP-1</t>
        </is>
      </c>
      <c r="C830" t="inlineStr">
        <is>
          <t>SS-01130</t>
        </is>
      </c>
      <c r="D830" t="n">
        <v>12</v>
      </c>
      <c r="E830" t="n">
        <v>0</v>
      </c>
      <c r="G830">
        <f>IF(AND(A830&gt;=Inputs!$B$5,A830&lt;=Inputs!$B$6),1,0)</f>
        <v/>
      </c>
    </row>
    <row r="831">
      <c r="A831" t="inlineStr">
        <is>
          <t>2026-03</t>
        </is>
      </c>
      <c r="B831" t="inlineStr">
        <is>
          <t>HOSP-2</t>
        </is>
      </c>
      <c r="C831" t="inlineStr">
        <is>
          <t>SS-01131</t>
        </is>
      </c>
      <c r="D831" t="n">
        <v>0</v>
      </c>
      <c r="E831" t="n">
        <v>0</v>
      </c>
      <c r="G831">
        <f>IF(AND(A831&gt;=Inputs!$B$5,A831&lt;=Inputs!$B$6),1,0)</f>
        <v/>
      </c>
    </row>
    <row r="832">
      <c r="A832" t="inlineStr">
        <is>
          <t>2026-03</t>
        </is>
      </c>
      <c r="B832" t="inlineStr">
        <is>
          <t>HOSP-3</t>
        </is>
      </c>
      <c r="C832" t="inlineStr">
        <is>
          <t>SS-01132</t>
        </is>
      </c>
      <c r="D832" t="n">
        <v>43</v>
      </c>
      <c r="E832" t="n">
        <v>2</v>
      </c>
      <c r="G832">
        <f>IF(AND(A832&gt;=Inputs!$B$5,A832&lt;=Inputs!$B$6),1,0)</f>
        <v/>
      </c>
    </row>
    <row r="833">
      <c r="A833" t="inlineStr">
        <is>
          <t>2026-03</t>
        </is>
      </c>
      <c r="B833" t="inlineStr">
        <is>
          <t>HOSP-4</t>
        </is>
      </c>
      <c r="C833" t="inlineStr">
        <is>
          <t>SS-01133</t>
        </is>
      </c>
      <c r="D833" t="n">
        <v>0</v>
      </c>
      <c r="E833" t="n">
        <v>0</v>
      </c>
      <c r="G833">
        <f>IF(AND(A833&gt;=Inputs!$B$5,A833&lt;=Inputs!$B$6),1,0)</f>
        <v/>
      </c>
    </row>
    <row r="834">
      <c r="A834" t="inlineStr">
        <is>
          <t>2026-03</t>
        </is>
      </c>
      <c r="B834" t="inlineStr">
        <is>
          <t>HOSP-1</t>
        </is>
      </c>
      <c r="C834" t="inlineStr">
        <is>
          <t>SS-01134</t>
        </is>
      </c>
      <c r="D834" t="n">
        <v>24</v>
      </c>
      <c r="E834" t="n">
        <v>0</v>
      </c>
      <c r="G834">
        <f>IF(AND(A834&gt;=Inputs!$B$5,A834&lt;=Inputs!$B$6),1,0)</f>
        <v/>
      </c>
    </row>
    <row r="835">
      <c r="A835" t="inlineStr">
        <is>
          <t>2026-03</t>
        </is>
      </c>
      <c r="B835" t="inlineStr">
        <is>
          <t>HOSP-2</t>
        </is>
      </c>
      <c r="C835" t="inlineStr">
        <is>
          <t>SS-01135</t>
        </is>
      </c>
      <c r="D835" t="n">
        <v>12</v>
      </c>
      <c r="E835" t="n">
        <v>0</v>
      </c>
      <c r="G835">
        <f>IF(AND(A835&gt;=Inputs!$B$5,A835&lt;=Inputs!$B$6),1,0)</f>
        <v/>
      </c>
    </row>
    <row r="836">
      <c r="A836" t="inlineStr">
        <is>
          <t>2026-03</t>
        </is>
      </c>
      <c r="B836" t="inlineStr">
        <is>
          <t>HOSP-3</t>
        </is>
      </c>
      <c r="C836" t="inlineStr">
        <is>
          <t>SS-01136</t>
        </is>
      </c>
      <c r="D836" t="n">
        <v>24</v>
      </c>
      <c r="E836" t="n">
        <v>0</v>
      </c>
      <c r="G836">
        <f>IF(AND(A836&gt;=Inputs!$B$5,A836&lt;=Inputs!$B$6),1,0)</f>
        <v/>
      </c>
    </row>
    <row r="837">
      <c r="A837" t="inlineStr">
        <is>
          <t>2026-03</t>
        </is>
      </c>
      <c r="B837" t="inlineStr">
        <is>
          <t>HOSP-4</t>
        </is>
      </c>
      <c r="C837" t="inlineStr">
        <is>
          <t>SS-01137</t>
        </is>
      </c>
      <c r="D837" t="n">
        <v>0</v>
      </c>
      <c r="E837" t="n">
        <v>0</v>
      </c>
      <c r="G837">
        <f>IF(AND(A837&gt;=Inputs!$B$5,A837&lt;=Inputs!$B$6),1,0)</f>
        <v/>
      </c>
    </row>
    <row r="838">
      <c r="A838" t="inlineStr">
        <is>
          <t>2026-03</t>
        </is>
      </c>
      <c r="B838" t="inlineStr">
        <is>
          <t>HOSP-1</t>
        </is>
      </c>
      <c r="C838" t="inlineStr">
        <is>
          <t>SS-01138</t>
        </is>
      </c>
      <c r="D838" t="n">
        <v>0</v>
      </c>
      <c r="E838" t="n">
        <v>0</v>
      </c>
      <c r="G838">
        <f>IF(AND(A838&gt;=Inputs!$B$5,A838&lt;=Inputs!$B$6),1,0)</f>
        <v/>
      </c>
    </row>
    <row r="839">
      <c r="A839" t="inlineStr">
        <is>
          <t>2026-03</t>
        </is>
      </c>
      <c r="B839" t="inlineStr">
        <is>
          <t>HOSP-2</t>
        </is>
      </c>
      <c r="C839" t="inlineStr">
        <is>
          <t>SS-01139</t>
        </is>
      </c>
      <c r="D839" t="n">
        <v>0</v>
      </c>
      <c r="E839" t="n">
        <v>0</v>
      </c>
      <c r="G839">
        <f>IF(AND(A839&gt;=Inputs!$B$5,A839&lt;=Inputs!$B$6),1,0)</f>
        <v/>
      </c>
    </row>
    <row r="840">
      <c r="A840" t="inlineStr">
        <is>
          <t>2026-03</t>
        </is>
      </c>
      <c r="B840" t="inlineStr">
        <is>
          <t>HOSP-3</t>
        </is>
      </c>
      <c r="C840" t="inlineStr">
        <is>
          <t>SS-01140</t>
        </is>
      </c>
      <c r="D840" t="n">
        <v>0</v>
      </c>
      <c r="E840" t="n">
        <v>0</v>
      </c>
      <c r="G840">
        <f>IF(AND(A840&gt;=Inputs!$B$5,A840&lt;=Inputs!$B$6),1,0)</f>
        <v/>
      </c>
    </row>
    <row r="841">
      <c r="A841" t="inlineStr">
        <is>
          <t>2026-03</t>
        </is>
      </c>
      <c r="B841" t="inlineStr">
        <is>
          <t>HOSP-4</t>
        </is>
      </c>
      <c r="C841" t="inlineStr">
        <is>
          <t>SS-01141</t>
        </is>
      </c>
      <c r="D841" t="n">
        <v>12</v>
      </c>
      <c r="E841" t="n">
        <v>0</v>
      </c>
      <c r="G841">
        <f>IF(AND(A841&gt;=Inputs!$B$5,A841&lt;=Inputs!$B$6),1,0)</f>
        <v/>
      </c>
    </row>
    <row r="842">
      <c r="A842" t="inlineStr">
        <is>
          <t>2026-03</t>
        </is>
      </c>
      <c r="B842" t="inlineStr">
        <is>
          <t>HOSP-1</t>
        </is>
      </c>
      <c r="C842" t="inlineStr">
        <is>
          <t>SS-01222</t>
        </is>
      </c>
      <c r="D842" t="n">
        <v>12</v>
      </c>
      <c r="E842" t="n">
        <v>0</v>
      </c>
      <c r="G842">
        <f>IF(AND(A842&gt;=Inputs!$B$5,A842&lt;=Inputs!$B$6),1,0)</f>
        <v/>
      </c>
    </row>
    <row r="843">
      <c r="A843" t="inlineStr">
        <is>
          <t>2026-03</t>
        </is>
      </c>
      <c r="B843" t="inlineStr">
        <is>
          <t>HOSP-2</t>
        </is>
      </c>
      <c r="C843" t="inlineStr">
        <is>
          <t>SS-01143</t>
        </is>
      </c>
      <c r="D843" t="n">
        <v>0</v>
      </c>
      <c r="E843" t="n">
        <v>0</v>
      </c>
      <c r="G843">
        <f>IF(AND(A843&gt;=Inputs!$B$5,A843&lt;=Inputs!$B$6),1,0)</f>
        <v/>
      </c>
    </row>
    <row r="844">
      <c r="A844" t="inlineStr">
        <is>
          <t>2026-03</t>
        </is>
      </c>
      <c r="B844" t="inlineStr">
        <is>
          <t>HOSP-3</t>
        </is>
      </c>
      <c r="C844" t="inlineStr">
        <is>
          <t>SS-01144</t>
        </is>
      </c>
      <c r="D844" t="n">
        <v>36</v>
      </c>
      <c r="E844" t="n">
        <v>0</v>
      </c>
      <c r="G844">
        <f>IF(AND(A844&gt;=Inputs!$B$5,A844&lt;=Inputs!$B$6),1,0)</f>
        <v/>
      </c>
    </row>
    <row r="845">
      <c r="A845" t="inlineStr">
        <is>
          <t>2026-03</t>
        </is>
      </c>
      <c r="B845" t="inlineStr">
        <is>
          <t>HOSP-4</t>
        </is>
      </c>
      <c r="C845" t="inlineStr">
        <is>
          <t>SS-01145</t>
        </is>
      </c>
      <c r="D845" t="n">
        <v>72</v>
      </c>
      <c r="E845" t="n">
        <v>0</v>
      </c>
      <c r="G845">
        <f>IF(AND(A845&gt;=Inputs!$B$5,A845&lt;=Inputs!$B$6),1,0)</f>
        <v/>
      </c>
    </row>
    <row r="846">
      <c r="A846" t="inlineStr">
        <is>
          <t>2026-03</t>
        </is>
      </c>
      <c r="B846" t="inlineStr">
        <is>
          <t>HOSP-1</t>
        </is>
      </c>
      <c r="C846" t="inlineStr">
        <is>
          <t>SS-01146</t>
        </is>
      </c>
      <c r="D846" t="n">
        <v>10</v>
      </c>
      <c r="E846" t="n">
        <v>0</v>
      </c>
      <c r="G846">
        <f>IF(AND(A846&gt;=Inputs!$B$5,A846&lt;=Inputs!$B$6),1,0)</f>
        <v/>
      </c>
    </row>
    <row r="847">
      <c r="A847" t="inlineStr">
        <is>
          <t>2026-03</t>
        </is>
      </c>
      <c r="B847" t="inlineStr">
        <is>
          <t>HOSP-2</t>
        </is>
      </c>
      <c r="C847" t="inlineStr">
        <is>
          <t>SS-01147</t>
        </is>
      </c>
      <c r="D847" t="n">
        <v>65</v>
      </c>
      <c r="E847" t="n">
        <v>0</v>
      </c>
      <c r="G847">
        <f>IF(AND(A847&gt;=Inputs!$B$5,A847&lt;=Inputs!$B$6),1,0)</f>
        <v/>
      </c>
    </row>
    <row r="848">
      <c r="A848" t="inlineStr">
        <is>
          <t>2026-03</t>
        </is>
      </c>
      <c r="B848" t="inlineStr">
        <is>
          <t>HOSP-3</t>
        </is>
      </c>
      <c r="C848" t="inlineStr">
        <is>
          <t>SS-01148</t>
        </is>
      </c>
      <c r="D848" t="n">
        <v>0</v>
      </c>
      <c r="E848" t="n">
        <v>0</v>
      </c>
      <c r="G848">
        <f>IF(AND(A848&gt;=Inputs!$B$5,A848&lt;=Inputs!$B$6),1,0)</f>
        <v/>
      </c>
    </row>
    <row r="849">
      <c r="A849" t="inlineStr">
        <is>
          <t>2026-03</t>
        </is>
      </c>
      <c r="B849" t="inlineStr">
        <is>
          <t>HOSP-4</t>
        </is>
      </c>
      <c r="C849" t="inlineStr">
        <is>
          <t>SS-01149</t>
        </is>
      </c>
      <c r="D849" t="n">
        <v>120</v>
      </c>
      <c r="E849" t="n">
        <v>0</v>
      </c>
      <c r="G849">
        <f>IF(AND(A849&gt;=Inputs!$B$5,A849&lt;=Inputs!$B$6),1,0)</f>
        <v/>
      </c>
    </row>
    <row r="850">
      <c r="A850" t="inlineStr">
        <is>
          <t>2026-04</t>
        </is>
      </c>
      <c r="B850" t="inlineStr">
        <is>
          <t>HOSP-1</t>
        </is>
      </c>
      <c r="C850" t="inlineStr">
        <is>
          <t>SS-01150</t>
        </is>
      </c>
      <c r="D850" t="n">
        <v>0</v>
      </c>
      <c r="E850" t="n">
        <v>1</v>
      </c>
      <c r="G850">
        <f>IF(AND(A850&gt;=Inputs!$B$5,A850&lt;=Inputs!$B$6),1,0)</f>
        <v/>
      </c>
    </row>
    <row r="851">
      <c r="A851" t="inlineStr">
        <is>
          <t>2026-04</t>
        </is>
      </c>
      <c r="B851" t="inlineStr">
        <is>
          <t>HOSP-2</t>
        </is>
      </c>
      <c r="C851" t="inlineStr">
        <is>
          <t>SS-01151</t>
        </is>
      </c>
      <c r="D851" t="n">
        <v>110</v>
      </c>
      <c r="E851" t="n">
        <v>0</v>
      </c>
      <c r="G851">
        <f>IF(AND(A851&gt;=Inputs!$B$5,A851&lt;=Inputs!$B$6),1,0)</f>
        <v/>
      </c>
    </row>
    <row r="852">
      <c r="A852" t="inlineStr">
        <is>
          <t>2026-04</t>
        </is>
      </c>
      <c r="B852" t="inlineStr">
        <is>
          <t>HOSP-3</t>
        </is>
      </c>
      <c r="C852" t="inlineStr">
        <is>
          <t>SS-01152</t>
        </is>
      </c>
      <c r="D852" t="n">
        <v>2</v>
      </c>
      <c r="E852" t="n">
        <v>1</v>
      </c>
      <c r="G852">
        <f>IF(AND(A852&gt;=Inputs!$B$5,A852&lt;=Inputs!$B$6),1,0)</f>
        <v/>
      </c>
    </row>
    <row r="853">
      <c r="A853" t="inlineStr">
        <is>
          <t>2026-04</t>
        </is>
      </c>
      <c r="B853" t="inlineStr">
        <is>
          <t>HOSP-4</t>
        </is>
      </c>
      <c r="C853" t="inlineStr">
        <is>
          <t>SS-01153</t>
        </is>
      </c>
      <c r="D853" t="n">
        <v>4</v>
      </c>
      <c r="E853" t="n">
        <v>2</v>
      </c>
      <c r="G853">
        <f>IF(AND(A853&gt;=Inputs!$B$5,A853&lt;=Inputs!$B$6),1,0)</f>
        <v/>
      </c>
    </row>
    <row r="854">
      <c r="A854" t="inlineStr">
        <is>
          <t>2026-04</t>
        </is>
      </c>
      <c r="B854" t="inlineStr">
        <is>
          <t>HOSP-1</t>
        </is>
      </c>
      <c r="C854" t="inlineStr">
        <is>
          <t>SS-01154</t>
        </is>
      </c>
      <c r="D854" t="n">
        <v>0</v>
      </c>
      <c r="E854" t="n">
        <v>3</v>
      </c>
      <c r="G854">
        <f>IF(AND(A854&gt;=Inputs!$B$5,A854&lt;=Inputs!$B$6),1,0)</f>
        <v/>
      </c>
    </row>
    <row r="855">
      <c r="A855" t="inlineStr">
        <is>
          <t>2026-04</t>
        </is>
      </c>
      <c r="B855" t="inlineStr">
        <is>
          <t>HOSP-2</t>
        </is>
      </c>
      <c r="C855" t="inlineStr">
        <is>
          <t>SS-01155</t>
        </is>
      </c>
      <c r="D855" t="n">
        <v>7</v>
      </c>
      <c r="E855" t="n">
        <v>0</v>
      </c>
      <c r="G855">
        <f>IF(AND(A855&gt;=Inputs!$B$5,A855&lt;=Inputs!$B$6),1,0)</f>
        <v/>
      </c>
    </row>
    <row r="856">
      <c r="A856" t="inlineStr">
        <is>
          <t>2026-04</t>
        </is>
      </c>
      <c r="B856" t="inlineStr">
        <is>
          <t>HOSP-3</t>
        </is>
      </c>
      <c r="C856" t="inlineStr">
        <is>
          <t>SS-01156</t>
        </is>
      </c>
      <c r="D856" t="n">
        <v>12</v>
      </c>
      <c r="E856" t="n">
        <v>0</v>
      </c>
      <c r="G856">
        <f>IF(AND(A856&gt;=Inputs!$B$5,A856&lt;=Inputs!$B$6),1,0)</f>
        <v/>
      </c>
    </row>
    <row r="857">
      <c r="A857" t="inlineStr">
        <is>
          <t>2026-04</t>
        </is>
      </c>
      <c r="B857" t="inlineStr">
        <is>
          <t>HOSP-4</t>
        </is>
      </c>
      <c r="C857" t="inlineStr">
        <is>
          <t>SS-01157</t>
        </is>
      </c>
      <c r="D857" t="n">
        <v>0</v>
      </c>
      <c r="E857" t="n">
        <v>0</v>
      </c>
      <c r="G857">
        <f>IF(AND(A857&gt;=Inputs!$B$5,A857&lt;=Inputs!$B$6),1,0)</f>
        <v/>
      </c>
    </row>
    <row r="858">
      <c r="A858" t="inlineStr">
        <is>
          <t>2026-04</t>
        </is>
      </c>
      <c r="B858" t="inlineStr">
        <is>
          <t>HOSP-1</t>
        </is>
      </c>
      <c r="C858" t="inlineStr">
        <is>
          <t>SS-01158</t>
        </is>
      </c>
      <c r="D858" t="n">
        <v>0</v>
      </c>
      <c r="E858" t="n">
        <v>0</v>
      </c>
      <c r="G858">
        <f>IF(AND(A858&gt;=Inputs!$B$5,A858&lt;=Inputs!$B$6),1,0)</f>
        <v/>
      </c>
    </row>
    <row r="859">
      <c r="A859" t="inlineStr">
        <is>
          <t>2026-04</t>
        </is>
      </c>
      <c r="B859" t="inlineStr">
        <is>
          <t>HOSP-2</t>
        </is>
      </c>
      <c r="C859" t="inlineStr">
        <is>
          <t>SS-01159</t>
        </is>
      </c>
      <c r="D859" t="n">
        <v>0</v>
      </c>
      <c r="E859" t="n">
        <v>0</v>
      </c>
      <c r="G859">
        <f>IF(AND(A859&gt;=Inputs!$B$5,A859&lt;=Inputs!$B$6),1,0)</f>
        <v/>
      </c>
    </row>
    <row r="860">
      <c r="A860" t="inlineStr">
        <is>
          <t>2026-04</t>
        </is>
      </c>
      <c r="B860" t="inlineStr">
        <is>
          <t>HOSP-3</t>
        </is>
      </c>
      <c r="C860" t="inlineStr">
        <is>
          <t>SS-01160</t>
        </is>
      </c>
      <c r="D860" t="n">
        <v>156</v>
      </c>
      <c r="E860" t="n">
        <v>0</v>
      </c>
      <c r="G860">
        <f>IF(AND(A860&gt;=Inputs!$B$5,A860&lt;=Inputs!$B$6),1,0)</f>
        <v/>
      </c>
    </row>
    <row r="861">
      <c r="A861" t="inlineStr">
        <is>
          <t>2026-04</t>
        </is>
      </c>
      <c r="B861" t="inlineStr">
        <is>
          <t>HOSP-4</t>
        </is>
      </c>
      <c r="C861" t="inlineStr">
        <is>
          <t>SS-01161</t>
        </is>
      </c>
      <c r="D861" t="n">
        <v>84</v>
      </c>
      <c r="E861" t="n">
        <v>0</v>
      </c>
      <c r="G861">
        <f>IF(AND(A861&gt;=Inputs!$B$5,A861&lt;=Inputs!$B$6),1,0)</f>
        <v/>
      </c>
    </row>
    <row r="862">
      <c r="A862" t="inlineStr">
        <is>
          <t>2026-04</t>
        </is>
      </c>
      <c r="B862" t="inlineStr">
        <is>
          <t>HOSP-1</t>
        </is>
      </c>
      <c r="C862" t="inlineStr">
        <is>
          <t>SS-01162</t>
        </is>
      </c>
      <c r="D862" t="n">
        <v>12</v>
      </c>
      <c r="E862" t="n">
        <v>0</v>
      </c>
      <c r="G862">
        <f>IF(AND(A862&gt;=Inputs!$B$5,A862&lt;=Inputs!$B$6),1,0)</f>
        <v/>
      </c>
    </row>
    <row r="863">
      <c r="A863" t="inlineStr">
        <is>
          <t>2026-04</t>
        </is>
      </c>
      <c r="B863" t="inlineStr">
        <is>
          <t>HOSP-2</t>
        </is>
      </c>
      <c r="C863" t="inlineStr">
        <is>
          <t>SS-01163</t>
        </is>
      </c>
      <c r="D863" t="n">
        <v>0</v>
      </c>
      <c r="E863" t="n">
        <v>0</v>
      </c>
      <c r="G863">
        <f>IF(AND(A863&gt;=Inputs!$B$5,A863&lt;=Inputs!$B$6),1,0)</f>
        <v/>
      </c>
    </row>
    <row r="864">
      <c r="A864" t="inlineStr">
        <is>
          <t>2026-04</t>
        </is>
      </c>
      <c r="B864" t="inlineStr">
        <is>
          <t>HOSP-3</t>
        </is>
      </c>
      <c r="C864" t="inlineStr">
        <is>
          <t>SS-01164</t>
        </is>
      </c>
      <c r="D864" t="n">
        <v>72</v>
      </c>
      <c r="E864" t="n">
        <v>0</v>
      </c>
      <c r="G864">
        <f>IF(AND(A864&gt;=Inputs!$B$5,A864&lt;=Inputs!$B$6),1,0)</f>
        <v/>
      </c>
    </row>
    <row r="865">
      <c r="A865" t="inlineStr">
        <is>
          <t>2026-04</t>
        </is>
      </c>
      <c r="B865" t="inlineStr">
        <is>
          <t>HOSP-4</t>
        </is>
      </c>
      <c r="C865" t="inlineStr">
        <is>
          <t>SS-01195</t>
        </is>
      </c>
      <c r="D865" t="n">
        <v>12</v>
      </c>
      <c r="E865" t="n">
        <v>0</v>
      </c>
      <c r="G865">
        <f>IF(AND(A865&gt;=Inputs!$B$5,A865&lt;=Inputs!$B$6),1,0)</f>
        <v/>
      </c>
    </row>
    <row r="866">
      <c r="A866" t="inlineStr">
        <is>
          <t>2026-04</t>
        </is>
      </c>
      <c r="B866" t="inlineStr">
        <is>
          <t>HOSP-1</t>
        </is>
      </c>
      <c r="C866" t="inlineStr">
        <is>
          <t>SS-01166</t>
        </is>
      </c>
      <c r="D866" t="n">
        <v>0</v>
      </c>
      <c r="E866" t="n">
        <v>0</v>
      </c>
      <c r="G866">
        <f>IF(AND(A866&gt;=Inputs!$B$5,A866&lt;=Inputs!$B$6),1,0)</f>
        <v/>
      </c>
    </row>
    <row r="867">
      <c r="A867" t="inlineStr">
        <is>
          <t>2026-04</t>
        </is>
      </c>
      <c r="B867" t="inlineStr">
        <is>
          <t>HOSP-2</t>
        </is>
      </c>
      <c r="C867" t="inlineStr">
        <is>
          <t>SS-01167</t>
        </is>
      </c>
      <c r="D867" t="n">
        <v>156</v>
      </c>
      <c r="E867" t="n">
        <v>0</v>
      </c>
      <c r="F867" t="inlineStr">
        <is>
          <t>surge</t>
        </is>
      </c>
      <c r="G867">
        <f>IF(AND(A867&gt;=Inputs!$B$5,A867&lt;=Inputs!$B$6),1,0)</f>
        <v/>
      </c>
    </row>
    <row r="868">
      <c r="A868" t="inlineStr">
        <is>
          <t>2026-04</t>
        </is>
      </c>
      <c r="B868" t="inlineStr">
        <is>
          <t>HOSP-3</t>
        </is>
      </c>
      <c r="C868" t="inlineStr">
        <is>
          <t>SS-01168</t>
        </is>
      </c>
      <c r="D868" t="n">
        <v>72</v>
      </c>
      <c r="E868" t="n">
        <v>0</v>
      </c>
      <c r="G868">
        <f>IF(AND(A868&gt;=Inputs!$B$5,A868&lt;=Inputs!$B$6),1,0)</f>
        <v/>
      </c>
    </row>
    <row r="869">
      <c r="A869" t="inlineStr">
        <is>
          <t>2026-04</t>
        </is>
      </c>
      <c r="B869" t="inlineStr">
        <is>
          <t>HOSP-4</t>
        </is>
      </c>
      <c r="C869" t="inlineStr">
        <is>
          <t>SS-01169</t>
        </is>
      </c>
      <c r="D869" t="n">
        <v>0</v>
      </c>
      <c r="E869" t="n">
        <v>0</v>
      </c>
      <c r="G869">
        <f>IF(AND(A869&gt;=Inputs!$B$5,A869&lt;=Inputs!$B$6),1,0)</f>
        <v/>
      </c>
    </row>
    <row r="870">
      <c r="A870" t="inlineStr">
        <is>
          <t>2026-04</t>
        </is>
      </c>
      <c r="B870" t="inlineStr">
        <is>
          <t>HOSP-1</t>
        </is>
      </c>
      <c r="C870" t="inlineStr">
        <is>
          <t>SS-01072</t>
        </is>
      </c>
      <c r="D870" t="n">
        <v>27</v>
      </c>
      <c r="E870" t="n">
        <v>1</v>
      </c>
      <c r="G870">
        <f>IF(AND(A870&gt;=Inputs!$B$5,A870&lt;=Inputs!$B$6),1,0)</f>
        <v/>
      </c>
    </row>
    <row r="871">
      <c r="A871" t="inlineStr">
        <is>
          <t>2026-04</t>
        </is>
      </c>
      <c r="B871" t="inlineStr">
        <is>
          <t>HOSP-2</t>
        </is>
      </c>
      <c r="C871" t="inlineStr">
        <is>
          <t>SS-01171</t>
        </is>
      </c>
      <c r="D871" t="n">
        <v>28</v>
      </c>
      <c r="E871" t="n">
        <v>0</v>
      </c>
      <c r="G871">
        <f>IF(AND(A871&gt;=Inputs!$B$5,A871&lt;=Inputs!$B$6),1,0)</f>
        <v/>
      </c>
    </row>
    <row r="872">
      <c r="A872" t="inlineStr">
        <is>
          <t>2026-04</t>
        </is>
      </c>
      <c r="B872" t="inlineStr">
        <is>
          <t>HOSP-3</t>
        </is>
      </c>
      <c r="C872" t="inlineStr">
        <is>
          <t>SS-01172</t>
        </is>
      </c>
      <c r="D872" t="n">
        <v>12</v>
      </c>
      <c r="E872" t="n">
        <v>0</v>
      </c>
      <c r="G872">
        <f>IF(AND(A872&gt;=Inputs!$B$5,A872&lt;=Inputs!$B$6),1,0)</f>
        <v/>
      </c>
    </row>
    <row r="873">
      <c r="A873" t="inlineStr">
        <is>
          <t>2026-04</t>
        </is>
      </c>
      <c r="B873" t="inlineStr">
        <is>
          <t>HOSP-4</t>
        </is>
      </c>
      <c r="C873" t="inlineStr">
        <is>
          <t>SS-01173</t>
        </is>
      </c>
      <c r="D873" t="n">
        <v>0</v>
      </c>
      <c r="E873" t="n">
        <v>0</v>
      </c>
      <c r="G873">
        <f>IF(AND(A873&gt;=Inputs!$B$5,A873&lt;=Inputs!$B$6),1,0)</f>
        <v/>
      </c>
    </row>
    <row r="874">
      <c r="A874" t="inlineStr">
        <is>
          <t>2026-04</t>
        </is>
      </c>
      <c r="B874" t="inlineStr">
        <is>
          <t>HOSP-1</t>
        </is>
      </c>
      <c r="C874" t="inlineStr">
        <is>
          <t>SS-01174</t>
        </is>
      </c>
      <c r="D874" t="n">
        <v>22</v>
      </c>
      <c r="E874" t="n">
        <v>1</v>
      </c>
      <c r="G874">
        <f>IF(AND(A874&gt;=Inputs!$B$5,A874&lt;=Inputs!$B$6),1,0)</f>
        <v/>
      </c>
    </row>
    <row r="875">
      <c r="A875" t="inlineStr">
        <is>
          <t>2026-04</t>
        </is>
      </c>
      <c r="B875" t="inlineStr">
        <is>
          <t>HOSP-2</t>
        </is>
      </c>
      <c r="C875" t="inlineStr">
        <is>
          <t>SS-01175</t>
        </is>
      </c>
      <c r="D875" t="n">
        <v>0</v>
      </c>
      <c r="E875" t="n">
        <v>0</v>
      </c>
      <c r="G875">
        <f>IF(AND(A875&gt;=Inputs!$B$5,A875&lt;=Inputs!$B$6),1,0)</f>
        <v/>
      </c>
    </row>
    <row r="876">
      <c r="A876" t="inlineStr">
        <is>
          <t>2026-04</t>
        </is>
      </c>
      <c r="B876" t="inlineStr">
        <is>
          <t>HOSP-3</t>
        </is>
      </c>
      <c r="C876" t="inlineStr">
        <is>
          <t>SS-01176</t>
        </is>
      </c>
      <c r="D876" t="n">
        <v>21</v>
      </c>
      <c r="E876" t="n">
        <v>0</v>
      </c>
      <c r="G876">
        <f>IF(AND(A876&gt;=Inputs!$B$5,A876&lt;=Inputs!$B$6),1,0)</f>
        <v/>
      </c>
    </row>
    <row r="877">
      <c r="A877" t="inlineStr">
        <is>
          <t>2026-04</t>
        </is>
      </c>
      <c r="B877" t="inlineStr">
        <is>
          <t>HOSP-4</t>
        </is>
      </c>
      <c r="C877" t="inlineStr">
        <is>
          <t>SS-01177</t>
        </is>
      </c>
      <c r="D877" t="n">
        <v>48</v>
      </c>
      <c r="E877" t="n">
        <v>0</v>
      </c>
      <c r="G877">
        <f>IF(AND(A877&gt;=Inputs!$B$5,A877&lt;=Inputs!$B$6),1,0)</f>
        <v/>
      </c>
    </row>
    <row r="878">
      <c r="A878" t="inlineStr">
        <is>
          <t>2026-04</t>
        </is>
      </c>
      <c r="B878" t="inlineStr">
        <is>
          <t>HOSP-1</t>
        </is>
      </c>
      <c r="C878" t="inlineStr">
        <is>
          <t>SS-01178</t>
        </is>
      </c>
      <c r="D878" t="n">
        <v>36</v>
      </c>
      <c r="E878" t="n">
        <v>0</v>
      </c>
      <c r="G878">
        <f>IF(AND(A878&gt;=Inputs!$B$5,A878&lt;=Inputs!$B$6),1,0)</f>
        <v/>
      </c>
    </row>
    <row r="879">
      <c r="A879" t="inlineStr">
        <is>
          <t>2026-04</t>
        </is>
      </c>
      <c r="B879" t="inlineStr">
        <is>
          <t>HOSP-2</t>
        </is>
      </c>
      <c r="C879" t="inlineStr">
        <is>
          <t>SS-01179</t>
        </is>
      </c>
      <c r="D879" t="n">
        <v>12</v>
      </c>
      <c r="E879" t="n">
        <v>0</v>
      </c>
      <c r="G879">
        <f>IF(AND(A879&gt;=Inputs!$B$5,A879&lt;=Inputs!$B$6),1,0)</f>
        <v/>
      </c>
    </row>
    <row r="880">
      <c r="A880" t="inlineStr">
        <is>
          <t>2026-04</t>
        </is>
      </c>
      <c r="B880" t="inlineStr">
        <is>
          <t>HOSP-3</t>
        </is>
      </c>
      <c r="C880" t="inlineStr">
        <is>
          <t>SS-01180</t>
        </is>
      </c>
      <c r="D880" t="n">
        <v>12</v>
      </c>
      <c r="E880" t="n">
        <v>0</v>
      </c>
      <c r="G880">
        <f>IF(AND(A880&gt;=Inputs!$B$5,A880&lt;=Inputs!$B$6),1,0)</f>
        <v/>
      </c>
    </row>
    <row r="881">
      <c r="A881" t="inlineStr">
        <is>
          <t>2026-04</t>
        </is>
      </c>
      <c r="B881" t="inlineStr">
        <is>
          <t>HOSP-4</t>
        </is>
      </c>
      <c r="C881" t="inlineStr">
        <is>
          <t>SS-01181</t>
        </is>
      </c>
      <c r="D881" t="n">
        <v>0</v>
      </c>
      <c r="E881" t="n">
        <v>3</v>
      </c>
      <c r="G881">
        <f>IF(AND(A881&gt;=Inputs!$B$5,A881&lt;=Inputs!$B$6),1,0)</f>
        <v/>
      </c>
    </row>
    <row r="882">
      <c r="A882" t="inlineStr">
        <is>
          <t>2026-04</t>
        </is>
      </c>
      <c r="B882" t="inlineStr">
        <is>
          <t>HOSP-1</t>
        </is>
      </c>
      <c r="C882" t="inlineStr">
        <is>
          <t>SS-01182</t>
        </is>
      </c>
      <c r="D882" t="n">
        <v>84</v>
      </c>
      <c r="E882" t="n">
        <v>0</v>
      </c>
      <c r="G882">
        <f>IF(AND(A882&gt;=Inputs!$B$5,A882&lt;=Inputs!$B$6),1,0)</f>
        <v/>
      </c>
    </row>
    <row r="883">
      <c r="A883" t="inlineStr">
        <is>
          <t>2026-04</t>
        </is>
      </c>
      <c r="B883" t="inlineStr">
        <is>
          <t>HOSP-2</t>
        </is>
      </c>
      <c r="C883" t="inlineStr">
        <is>
          <t>SS-01183</t>
        </is>
      </c>
      <c r="D883" t="n">
        <v>0</v>
      </c>
      <c r="E883" t="n">
        <v>0</v>
      </c>
      <c r="G883">
        <f>IF(AND(A883&gt;=Inputs!$B$5,A883&lt;=Inputs!$B$6),1,0)</f>
        <v/>
      </c>
    </row>
    <row r="884">
      <c r="A884" t="inlineStr">
        <is>
          <t>2026-04</t>
        </is>
      </c>
      <c r="B884" t="inlineStr">
        <is>
          <t>HOSP-3</t>
        </is>
      </c>
      <c r="C884" t="inlineStr">
        <is>
          <t>SS-01184</t>
        </is>
      </c>
      <c r="D884" t="n">
        <v>26</v>
      </c>
      <c r="E884" t="n">
        <v>0</v>
      </c>
      <c r="G884">
        <f>IF(AND(A884&gt;=Inputs!$B$5,A884&lt;=Inputs!$B$6),1,0)</f>
        <v/>
      </c>
    </row>
    <row r="885">
      <c r="A885" t="inlineStr">
        <is>
          <t>2026-04</t>
        </is>
      </c>
      <c r="B885" t="inlineStr">
        <is>
          <t>HOSP-4</t>
        </is>
      </c>
      <c r="C885" t="inlineStr">
        <is>
          <t>SS-01185</t>
        </is>
      </c>
      <c r="D885" t="n">
        <v>0</v>
      </c>
      <c r="E885" t="n">
        <v>0</v>
      </c>
      <c r="G885">
        <f>IF(AND(A885&gt;=Inputs!$B$5,A885&lt;=Inputs!$B$6),1,0)</f>
        <v/>
      </c>
    </row>
    <row r="886">
      <c r="A886" t="inlineStr">
        <is>
          <t>2026-04</t>
        </is>
      </c>
      <c r="B886" t="inlineStr">
        <is>
          <t>HOSP-1</t>
        </is>
      </c>
      <c r="C886" t="inlineStr">
        <is>
          <t>SS-01186</t>
        </is>
      </c>
      <c r="D886" t="n">
        <v>0</v>
      </c>
      <c r="E886" t="n">
        <v>0</v>
      </c>
      <c r="G886">
        <f>IF(AND(A886&gt;=Inputs!$B$5,A886&lt;=Inputs!$B$6),1,0)</f>
        <v/>
      </c>
    </row>
    <row r="887">
      <c r="A887" t="inlineStr">
        <is>
          <t>2026-04</t>
        </is>
      </c>
      <c r="B887" t="inlineStr">
        <is>
          <t>HOSP-2</t>
        </is>
      </c>
      <c r="C887" t="inlineStr">
        <is>
          <t>SS-01187</t>
        </is>
      </c>
      <c r="D887" t="n">
        <v>72</v>
      </c>
      <c r="E887" t="n">
        <v>0</v>
      </c>
      <c r="G887">
        <f>IF(AND(A887&gt;=Inputs!$B$5,A887&lt;=Inputs!$B$6),1,0)</f>
        <v/>
      </c>
    </row>
    <row r="888">
      <c r="A888" t="inlineStr">
        <is>
          <t>2026-04</t>
        </is>
      </c>
      <c r="B888" t="inlineStr">
        <is>
          <t>HOSP-3</t>
        </is>
      </c>
      <c r="C888" t="inlineStr">
        <is>
          <t>SS-01188</t>
        </is>
      </c>
      <c r="D888" t="n">
        <v>0</v>
      </c>
      <c r="E888" t="n">
        <v>0</v>
      </c>
      <c r="G888">
        <f>IF(AND(A888&gt;=Inputs!$B$5,A888&lt;=Inputs!$B$6),1,0)</f>
        <v/>
      </c>
    </row>
    <row r="889">
      <c r="A889" t="inlineStr">
        <is>
          <t>2026-04</t>
        </is>
      </c>
      <c r="B889" t="inlineStr">
        <is>
          <t>HOSP-4</t>
        </is>
      </c>
      <c r="C889" t="inlineStr">
        <is>
          <t>SS-01189</t>
        </is>
      </c>
      <c r="D889" t="n">
        <v>12</v>
      </c>
      <c r="E889" t="n">
        <v>0</v>
      </c>
      <c r="G889">
        <f>IF(AND(A889&gt;=Inputs!$B$5,A889&lt;=Inputs!$B$6),1,0)</f>
        <v/>
      </c>
    </row>
    <row r="890">
      <c r="A890" t="inlineStr">
        <is>
          <t>2026-04</t>
        </is>
      </c>
      <c r="B890" t="inlineStr">
        <is>
          <t>HOSP-1</t>
        </is>
      </c>
      <c r="C890" t="inlineStr">
        <is>
          <t>SS-01190</t>
        </is>
      </c>
      <c r="D890" t="n">
        <v>24</v>
      </c>
      <c r="E890" t="n">
        <v>0</v>
      </c>
      <c r="G890">
        <f>IF(AND(A890&gt;=Inputs!$B$5,A890&lt;=Inputs!$B$6),1,0)</f>
        <v/>
      </c>
    </row>
    <row r="891">
      <c r="A891" t="inlineStr">
        <is>
          <t>2026-04</t>
        </is>
      </c>
      <c r="B891" t="inlineStr">
        <is>
          <t>HOSP-2</t>
        </is>
      </c>
      <c r="C891" t="inlineStr">
        <is>
          <t>SS-01125</t>
        </is>
      </c>
      <c r="D891" t="n">
        <v>7</v>
      </c>
      <c r="E891" t="n">
        <v>1</v>
      </c>
      <c r="G891">
        <f>IF(AND(A891&gt;=Inputs!$B$5,A891&lt;=Inputs!$B$6),1,0)</f>
        <v/>
      </c>
    </row>
    <row r="892">
      <c r="A892" t="inlineStr">
        <is>
          <t>2026-04</t>
        </is>
      </c>
      <c r="B892" t="inlineStr">
        <is>
          <t>HOSP-3</t>
        </is>
      </c>
      <c r="C892" t="inlineStr">
        <is>
          <t>SS-01192</t>
        </is>
      </c>
      <c r="D892" t="n">
        <v>38</v>
      </c>
      <c r="E892" t="n">
        <v>1</v>
      </c>
      <c r="G892">
        <f>IF(AND(A892&gt;=Inputs!$B$5,A892&lt;=Inputs!$B$6),1,0)</f>
        <v/>
      </c>
    </row>
    <row r="893">
      <c r="A893" t="inlineStr">
        <is>
          <t>2026-04</t>
        </is>
      </c>
      <c r="B893" t="inlineStr">
        <is>
          <t>HOSP-4</t>
        </is>
      </c>
      <c r="C893" t="inlineStr">
        <is>
          <t>SS-01193</t>
        </is>
      </c>
      <c r="D893" t="n">
        <v>12</v>
      </c>
      <c r="E893" t="n">
        <v>0</v>
      </c>
      <c r="G893">
        <f>IF(AND(A893&gt;=Inputs!$B$5,A893&lt;=Inputs!$B$6),1,0)</f>
        <v/>
      </c>
    </row>
    <row r="894">
      <c r="A894" t="inlineStr">
        <is>
          <t>2026-04</t>
        </is>
      </c>
      <c r="B894" t="inlineStr">
        <is>
          <t>HOSP-1</t>
        </is>
      </c>
      <c r="C894" t="inlineStr">
        <is>
          <t>SS-01194</t>
        </is>
      </c>
      <c r="D894" t="n">
        <v>0</v>
      </c>
      <c r="E894" t="n">
        <v>0</v>
      </c>
      <c r="G894">
        <f>IF(AND(A894&gt;=Inputs!$B$5,A894&lt;=Inputs!$B$6),1,0)</f>
        <v/>
      </c>
    </row>
    <row r="895">
      <c r="A895" t="inlineStr">
        <is>
          <t>2026-04</t>
        </is>
      </c>
      <c r="B895" t="inlineStr">
        <is>
          <t>HOSP-2</t>
        </is>
      </c>
      <c r="C895" t="inlineStr">
        <is>
          <t>SS-01195</t>
        </is>
      </c>
      <c r="D895" t="n">
        <v>0</v>
      </c>
      <c r="E895" t="n">
        <v>0</v>
      </c>
      <c r="G895">
        <f>IF(AND(A895&gt;=Inputs!$B$5,A895&lt;=Inputs!$B$6),1,0)</f>
        <v/>
      </c>
    </row>
    <row r="896">
      <c r="A896" t="inlineStr">
        <is>
          <t>2026-04</t>
        </is>
      </c>
      <c r="B896" t="inlineStr">
        <is>
          <t>HOSP-3</t>
        </is>
      </c>
      <c r="C896" t="inlineStr">
        <is>
          <t>SS-01196</t>
        </is>
      </c>
      <c r="D896" t="n">
        <v>96</v>
      </c>
      <c r="E896" t="n">
        <v>0</v>
      </c>
      <c r="G896">
        <f>IF(AND(A896&gt;=Inputs!$B$5,A896&lt;=Inputs!$B$6),1,0)</f>
        <v/>
      </c>
    </row>
    <row r="897">
      <c r="A897" t="inlineStr">
        <is>
          <t>2026-04</t>
        </is>
      </c>
      <c r="B897" t="inlineStr">
        <is>
          <t>HOSP-4</t>
        </is>
      </c>
      <c r="C897" t="inlineStr">
        <is>
          <t>SS-01197</t>
        </is>
      </c>
      <c r="D897" t="n">
        <v>12</v>
      </c>
      <c r="E897" t="n">
        <v>0</v>
      </c>
      <c r="G897">
        <f>IF(AND(A897&gt;=Inputs!$B$5,A897&lt;=Inputs!$B$6),1,0)</f>
        <v/>
      </c>
    </row>
    <row r="898">
      <c r="A898" t="inlineStr">
        <is>
          <t>2026-04</t>
        </is>
      </c>
      <c r="B898" t="inlineStr">
        <is>
          <t>HOSP-1</t>
        </is>
      </c>
      <c r="C898" t="inlineStr">
        <is>
          <t>SS-01218</t>
        </is>
      </c>
      <c r="D898" t="n">
        <v>16</v>
      </c>
      <c r="E898" t="n">
        <v>1</v>
      </c>
      <c r="G898">
        <f>IF(AND(A898&gt;=Inputs!$B$5,A898&lt;=Inputs!$B$6),1,0)</f>
        <v/>
      </c>
    </row>
    <row r="899">
      <c r="A899" t="inlineStr">
        <is>
          <t>2026-04</t>
        </is>
      </c>
      <c r="B899" t="inlineStr">
        <is>
          <t>HOSP-2</t>
        </is>
      </c>
      <c r="C899" t="inlineStr">
        <is>
          <t>SS-01199</t>
        </is>
      </c>
      <c r="D899" t="n">
        <v>96</v>
      </c>
      <c r="E899" t="n">
        <v>0</v>
      </c>
      <c r="G899">
        <f>IF(AND(A899&gt;=Inputs!$B$5,A899&lt;=Inputs!$B$6),1,0)</f>
        <v/>
      </c>
    </row>
    <row r="900">
      <c r="A900" t="inlineStr">
        <is>
          <t>2026-04</t>
        </is>
      </c>
      <c r="B900" t="inlineStr">
        <is>
          <t>HOSP-3</t>
        </is>
      </c>
      <c r="C900" t="inlineStr">
        <is>
          <t>SS-01200</t>
        </is>
      </c>
      <c r="D900" t="n">
        <v>0</v>
      </c>
      <c r="E900" t="n">
        <v>0</v>
      </c>
      <c r="G900">
        <f>IF(AND(A900&gt;=Inputs!$B$5,A900&lt;=Inputs!$B$6),1,0)</f>
        <v/>
      </c>
    </row>
    <row r="901">
      <c r="A901" t="inlineStr">
        <is>
          <t>2026-04</t>
        </is>
      </c>
      <c r="B901" t="inlineStr">
        <is>
          <t>HOSP-4</t>
        </is>
      </c>
      <c r="C901" t="inlineStr">
        <is>
          <t>SS-01201</t>
        </is>
      </c>
      <c r="D901" t="n">
        <v>12</v>
      </c>
      <c r="E901" t="n">
        <v>0</v>
      </c>
      <c r="G901">
        <f>IF(AND(A901&gt;=Inputs!$B$5,A901&lt;=Inputs!$B$6),1,0)</f>
        <v/>
      </c>
    </row>
    <row r="902">
      <c r="A902" t="inlineStr">
        <is>
          <t>2026-04</t>
        </is>
      </c>
      <c r="B902" t="inlineStr">
        <is>
          <t>HOSP-1</t>
        </is>
      </c>
      <c r="C902" t="inlineStr">
        <is>
          <t>SS-01202</t>
        </is>
      </c>
      <c r="D902" t="n">
        <v>0</v>
      </c>
      <c r="E902" t="n">
        <v>1</v>
      </c>
      <c r="G902">
        <f>IF(AND(A902&gt;=Inputs!$B$5,A902&lt;=Inputs!$B$6),1,0)</f>
        <v/>
      </c>
    </row>
    <row r="903">
      <c r="A903" t="inlineStr">
        <is>
          <t>2026-04</t>
        </is>
      </c>
      <c r="B903" t="inlineStr">
        <is>
          <t>HOSP-2</t>
        </is>
      </c>
      <c r="C903" t="inlineStr">
        <is>
          <t>SS-01203</t>
        </is>
      </c>
      <c r="D903" t="n">
        <v>36</v>
      </c>
      <c r="E903" t="n">
        <v>0</v>
      </c>
      <c r="G903">
        <f>IF(AND(A903&gt;=Inputs!$B$5,A903&lt;=Inputs!$B$6),1,0)</f>
        <v/>
      </c>
    </row>
    <row r="904">
      <c r="A904" t="inlineStr">
        <is>
          <t>2026-04</t>
        </is>
      </c>
      <c r="B904" t="inlineStr">
        <is>
          <t>HOSP-3</t>
        </is>
      </c>
      <c r="C904" t="inlineStr">
        <is>
          <t>SS-01204</t>
        </is>
      </c>
      <c r="D904" t="n">
        <v>136</v>
      </c>
      <c r="E904" t="n">
        <v>0</v>
      </c>
      <c r="G904">
        <f>IF(AND(A904&gt;=Inputs!$B$5,A904&lt;=Inputs!$B$6),1,0)</f>
        <v/>
      </c>
    </row>
    <row r="905">
      <c r="A905" t="inlineStr">
        <is>
          <t>2026-04</t>
        </is>
      </c>
      <c r="B905" t="inlineStr">
        <is>
          <t>HOSP-4</t>
        </is>
      </c>
      <c r="C905" t="inlineStr">
        <is>
          <t>SS-01205</t>
        </is>
      </c>
      <c r="D905" t="n">
        <v>90</v>
      </c>
      <c r="E905" t="n">
        <v>1</v>
      </c>
      <c r="G905">
        <f>IF(AND(A905&gt;=Inputs!$B$5,A905&lt;=Inputs!$B$6),1,0)</f>
        <v/>
      </c>
    </row>
    <row r="906">
      <c r="A906" t="inlineStr">
        <is>
          <t>2026-04</t>
        </is>
      </c>
      <c r="B906" t="inlineStr">
        <is>
          <t>HOSP-1</t>
        </is>
      </c>
      <c r="C906" t="inlineStr">
        <is>
          <t>SS-01206</t>
        </is>
      </c>
      <c r="D906" t="n">
        <v>12</v>
      </c>
      <c r="E906" t="n">
        <v>0</v>
      </c>
      <c r="G906">
        <f>IF(AND(A906&gt;=Inputs!$B$5,A906&lt;=Inputs!$B$6),1,0)</f>
        <v/>
      </c>
    </row>
    <row r="907">
      <c r="A907" t="inlineStr">
        <is>
          <t>2026-04</t>
        </is>
      </c>
      <c r="B907" t="inlineStr">
        <is>
          <t>HOSP-2</t>
        </is>
      </c>
      <c r="C907" t="inlineStr">
        <is>
          <t>SS-01207</t>
        </is>
      </c>
      <c r="D907" t="n">
        <v>0</v>
      </c>
      <c r="E907" t="n">
        <v>0</v>
      </c>
      <c r="G907">
        <f>IF(AND(A907&gt;=Inputs!$B$5,A907&lt;=Inputs!$B$6),1,0)</f>
        <v/>
      </c>
    </row>
    <row r="908">
      <c r="A908" t="inlineStr">
        <is>
          <t>2026-04</t>
        </is>
      </c>
      <c r="B908" t="inlineStr">
        <is>
          <t>HOSP-3</t>
        </is>
      </c>
      <c r="C908" t="inlineStr">
        <is>
          <t>SS-01208</t>
        </is>
      </c>
      <c r="D908" t="n">
        <v>0</v>
      </c>
      <c r="E908" t="n">
        <v>0</v>
      </c>
      <c r="G908">
        <f>IF(AND(A908&gt;=Inputs!$B$5,A908&lt;=Inputs!$B$6),1,0)</f>
        <v/>
      </c>
    </row>
    <row r="909">
      <c r="A909" t="inlineStr">
        <is>
          <t>2026-04</t>
        </is>
      </c>
      <c r="B909" t="inlineStr">
        <is>
          <t>HOSP-4</t>
        </is>
      </c>
      <c r="C909" t="inlineStr">
        <is>
          <t>SS-01209</t>
        </is>
      </c>
      <c r="D909" t="n">
        <v>24</v>
      </c>
      <c r="E909" t="n">
        <v>0</v>
      </c>
      <c r="G909">
        <f>IF(AND(A909&gt;=Inputs!$B$5,A909&lt;=Inputs!$B$6),1,0)</f>
        <v/>
      </c>
    </row>
    <row r="910">
      <c r="A910" t="inlineStr">
        <is>
          <t>2026-04</t>
        </is>
      </c>
      <c r="B910" t="inlineStr">
        <is>
          <t>HOSP-1</t>
        </is>
      </c>
      <c r="C910" t="inlineStr">
        <is>
          <t>SS-01210</t>
        </is>
      </c>
      <c r="D910" t="n">
        <v>156</v>
      </c>
      <c r="E910" t="n">
        <v>0</v>
      </c>
      <c r="G910">
        <f>IF(AND(A910&gt;=Inputs!$B$5,A910&lt;=Inputs!$B$6),1,0)</f>
        <v/>
      </c>
    </row>
    <row r="911">
      <c r="A911" t="inlineStr">
        <is>
          <t>2026-04</t>
        </is>
      </c>
      <c r="B911" t="inlineStr">
        <is>
          <t>HOSP-2</t>
        </is>
      </c>
      <c r="C911" t="inlineStr">
        <is>
          <t>SS-01211</t>
        </is>
      </c>
      <c r="D911" t="n">
        <v>72</v>
      </c>
      <c r="E911" t="n">
        <v>0</v>
      </c>
      <c r="G911">
        <f>IF(AND(A911&gt;=Inputs!$B$5,A911&lt;=Inputs!$B$6),1,0)</f>
        <v/>
      </c>
    </row>
    <row r="912">
      <c r="A912" t="inlineStr">
        <is>
          <t>2026-04</t>
        </is>
      </c>
      <c r="B912" t="inlineStr">
        <is>
          <t>HOSP-3</t>
        </is>
      </c>
      <c r="C912" t="inlineStr">
        <is>
          <t>SS-01212</t>
        </is>
      </c>
      <c r="D912" t="n">
        <v>27</v>
      </c>
      <c r="E912" t="n">
        <v>1</v>
      </c>
      <c r="G912">
        <f>IF(AND(A912&gt;=Inputs!$B$5,A912&lt;=Inputs!$B$6),1,0)</f>
        <v/>
      </c>
    </row>
    <row r="913">
      <c r="A913" t="inlineStr">
        <is>
          <t>2026-04</t>
        </is>
      </c>
      <c r="B913" t="inlineStr">
        <is>
          <t>HOSP-4</t>
        </is>
      </c>
      <c r="C913" t="inlineStr">
        <is>
          <t>SS-01213</t>
        </is>
      </c>
      <c r="D913" t="n">
        <v>0</v>
      </c>
      <c r="E913" t="n">
        <v>0</v>
      </c>
      <c r="G913">
        <f>IF(AND(A913&gt;=Inputs!$B$5,A913&lt;=Inputs!$B$6),1,0)</f>
        <v/>
      </c>
    </row>
    <row r="914">
      <c r="A914" t="inlineStr">
        <is>
          <t>2026-04</t>
        </is>
      </c>
      <c r="B914" t="inlineStr">
        <is>
          <t>HOSP-1</t>
        </is>
      </c>
      <c r="C914" t="inlineStr">
        <is>
          <t>SS-01214</t>
        </is>
      </c>
      <c r="D914" t="n">
        <v>12</v>
      </c>
      <c r="E914" t="n">
        <v>0</v>
      </c>
      <c r="G914">
        <f>IF(AND(A914&gt;=Inputs!$B$5,A914&lt;=Inputs!$B$6),1,0)</f>
        <v/>
      </c>
    </row>
    <row r="915">
      <c r="A915" t="inlineStr">
        <is>
          <t>2026-04</t>
        </is>
      </c>
      <c r="B915" t="inlineStr">
        <is>
          <t>HOSP-2</t>
        </is>
      </c>
      <c r="C915" t="inlineStr">
        <is>
          <t>SS-01215</t>
        </is>
      </c>
      <c r="D915" t="n">
        <v>0</v>
      </c>
      <c r="E915" t="n">
        <v>0</v>
      </c>
      <c r="G915">
        <f>IF(AND(A915&gt;=Inputs!$B$5,A915&lt;=Inputs!$B$6),1,0)</f>
        <v/>
      </c>
    </row>
    <row r="916">
      <c r="A916" t="inlineStr">
        <is>
          <t>2026-04</t>
        </is>
      </c>
      <c r="B916" t="inlineStr">
        <is>
          <t>HOSP-3</t>
        </is>
      </c>
      <c r="C916" t="inlineStr">
        <is>
          <t>SS-01216</t>
        </is>
      </c>
      <c r="D916" t="n">
        <v>24</v>
      </c>
      <c r="E916" t="n">
        <v>0</v>
      </c>
      <c r="G916">
        <f>IF(AND(A916&gt;=Inputs!$B$5,A916&lt;=Inputs!$B$6),1,0)</f>
        <v/>
      </c>
    </row>
    <row r="917">
      <c r="A917" t="inlineStr">
        <is>
          <t>2026-04</t>
        </is>
      </c>
      <c r="B917" t="inlineStr">
        <is>
          <t>HOSP-4</t>
        </is>
      </c>
      <c r="C917" t="inlineStr">
        <is>
          <t>SS-01217</t>
        </is>
      </c>
      <c r="D917" t="n">
        <v>28</v>
      </c>
      <c r="E917" t="n">
        <v>0</v>
      </c>
      <c r="G917">
        <f>IF(AND(A917&gt;=Inputs!$B$5,A917&lt;=Inputs!$B$6),1,0)</f>
        <v/>
      </c>
    </row>
    <row r="918">
      <c r="A918" t="inlineStr">
        <is>
          <t>2026-04</t>
        </is>
      </c>
      <c r="B918" t="inlineStr">
        <is>
          <t>HOSP-1</t>
        </is>
      </c>
      <c r="C918" t="inlineStr">
        <is>
          <t>SS-01034</t>
        </is>
      </c>
      <c r="D918" t="n">
        <v>35</v>
      </c>
      <c r="E918" t="n">
        <v>2</v>
      </c>
      <c r="G918">
        <f>IF(AND(A918&gt;=Inputs!$B$5,A918&lt;=Inputs!$B$6),1,0)</f>
        <v/>
      </c>
    </row>
    <row r="919">
      <c r="A919" t="inlineStr">
        <is>
          <t>2026-04</t>
        </is>
      </c>
      <c r="B919" t="inlineStr">
        <is>
          <t>HOSP-2</t>
        </is>
      </c>
      <c r="C919" t="inlineStr">
        <is>
          <t>SS-01219</t>
        </is>
      </c>
      <c r="D919" t="n">
        <v>0</v>
      </c>
      <c r="E919" t="n">
        <v>0</v>
      </c>
      <c r="G919">
        <f>IF(AND(A919&gt;=Inputs!$B$5,A919&lt;=Inputs!$B$6),1,0)</f>
        <v/>
      </c>
    </row>
    <row r="920">
      <c r="A920" t="inlineStr">
        <is>
          <t>2026-04</t>
        </is>
      </c>
      <c r="B920" t="inlineStr">
        <is>
          <t>HOSP-3</t>
        </is>
      </c>
      <c r="C920" t="inlineStr">
        <is>
          <t>SS-01220</t>
        </is>
      </c>
      <c r="D920" t="n">
        <v>48</v>
      </c>
      <c r="E920" t="n">
        <v>0</v>
      </c>
      <c r="G920">
        <f>IF(AND(A920&gt;=Inputs!$B$5,A920&lt;=Inputs!$B$6),1,0)</f>
        <v/>
      </c>
    </row>
    <row r="921">
      <c r="A921" t="inlineStr">
        <is>
          <t>2026-04</t>
        </is>
      </c>
      <c r="B921" t="inlineStr">
        <is>
          <t>HOSP-4</t>
        </is>
      </c>
      <c r="C921" t="inlineStr">
        <is>
          <t>SS-01221</t>
        </is>
      </c>
      <c r="D921" t="n">
        <v>0</v>
      </c>
      <c r="E921" t="n">
        <v>0</v>
      </c>
      <c r="G921">
        <f>IF(AND(A921&gt;=Inputs!$B$5,A921&lt;=Inputs!$B$6),1,0)</f>
        <v/>
      </c>
    </row>
    <row r="922">
      <c r="A922" t="inlineStr">
        <is>
          <t>2026-04</t>
        </is>
      </c>
      <c r="B922" t="inlineStr">
        <is>
          <t>HOSP-1</t>
        </is>
      </c>
      <c r="C922" t="inlineStr">
        <is>
          <t>SS-01222</t>
        </is>
      </c>
      <c r="D922" t="n">
        <v>0</v>
      </c>
      <c r="E922" t="n">
        <v>0</v>
      </c>
      <c r="G922">
        <f>IF(AND(A922&gt;=Inputs!$B$5,A922&lt;=Inputs!$B$6),1,0)</f>
        <v/>
      </c>
    </row>
    <row r="923">
      <c r="A923" t="inlineStr">
        <is>
          <t>2026-04</t>
        </is>
      </c>
      <c r="B923" t="inlineStr">
        <is>
          <t>HOSP-2</t>
        </is>
      </c>
      <c r="C923" t="inlineStr">
        <is>
          <t>SS-01223</t>
        </is>
      </c>
      <c r="D923" t="n">
        <v>99</v>
      </c>
      <c r="E923" t="n">
        <v>1</v>
      </c>
      <c r="G923">
        <f>IF(AND(A923&gt;=Inputs!$B$5,A923&lt;=Inputs!$B$6),1,0)</f>
        <v/>
      </c>
    </row>
    <row r="924">
      <c r="A924" t="inlineStr">
        <is>
          <t>2026-04</t>
        </is>
      </c>
      <c r="B924" t="inlineStr">
        <is>
          <t>HOSP-3</t>
        </is>
      </c>
      <c r="C924" t="inlineStr">
        <is>
          <t>SS-01224</t>
        </is>
      </c>
      <c r="D924" t="n">
        <v>12</v>
      </c>
      <c r="E924" t="n">
        <v>0</v>
      </c>
      <c r="G924">
        <f>IF(AND(A924&gt;=Inputs!$B$5,A924&lt;=Inputs!$B$6),1,0)</f>
        <v/>
      </c>
    </row>
    <row r="925">
      <c r="A925" t="inlineStr">
        <is>
          <t>2026-04</t>
        </is>
      </c>
      <c r="B925" t="inlineStr">
        <is>
          <t>HOSP-4</t>
        </is>
      </c>
      <c r="C925" t="inlineStr">
        <is>
          <t>SS-01225</t>
        </is>
      </c>
      <c r="D925" t="n">
        <v>0</v>
      </c>
      <c r="E925" t="n">
        <v>0</v>
      </c>
      <c r="G925">
        <f>IF(AND(A925&gt;=Inputs!$B$5,A925&lt;=Inputs!$B$6),1,0)</f>
        <v/>
      </c>
    </row>
    <row r="926">
      <c r="A926" t="inlineStr">
        <is>
          <t>2026-04</t>
        </is>
      </c>
      <c r="B926" t="inlineStr">
        <is>
          <t>HOSP-1</t>
        </is>
      </c>
      <c r="C926" t="inlineStr">
        <is>
          <t>SS-01026</t>
        </is>
      </c>
      <c r="D926" t="n">
        <v>0</v>
      </c>
      <c r="E926" t="n">
        <v>0</v>
      </c>
      <c r="G926">
        <f>IF(AND(A926&gt;=Inputs!$B$5,A926&lt;=Inputs!$B$6),1,0)</f>
        <v/>
      </c>
    </row>
    <row r="927">
      <c r="A927" t="inlineStr">
        <is>
          <t>2026-04</t>
        </is>
      </c>
      <c r="B927" t="inlineStr">
        <is>
          <t>HOSP-2</t>
        </is>
      </c>
      <c r="C927" t="inlineStr">
        <is>
          <t>SS-01227</t>
        </is>
      </c>
      <c r="D927" t="n">
        <v>36</v>
      </c>
      <c r="E927" t="n">
        <v>0</v>
      </c>
      <c r="G927">
        <f>IF(AND(A927&gt;=Inputs!$B$5,A927&lt;=Inputs!$B$6),1,0)</f>
        <v/>
      </c>
    </row>
    <row r="928">
      <c r="A928" t="inlineStr">
        <is>
          <t>2026-04</t>
        </is>
      </c>
      <c r="B928" t="inlineStr">
        <is>
          <t>HOSP-3</t>
        </is>
      </c>
      <c r="C928" t="inlineStr">
        <is>
          <t>SS-01228</t>
        </is>
      </c>
      <c r="D928" t="n">
        <v>0</v>
      </c>
      <c r="E928" t="n">
        <v>0</v>
      </c>
      <c r="G928">
        <f>IF(AND(A928&gt;=Inputs!$B$5,A928&lt;=Inputs!$B$6),1,0)</f>
        <v/>
      </c>
    </row>
    <row r="929">
      <c r="A929" t="inlineStr">
        <is>
          <t>2026-04</t>
        </is>
      </c>
      <c r="B929" t="inlineStr">
        <is>
          <t>HOSP-4</t>
        </is>
      </c>
      <c r="C929" t="inlineStr">
        <is>
          <t>SS-01098</t>
        </is>
      </c>
      <c r="D929" t="n">
        <v>42</v>
      </c>
      <c r="E929" t="n">
        <v>2</v>
      </c>
      <c r="G929">
        <f>IF(AND(A929&gt;=Inputs!$B$5,A929&lt;=Inputs!$B$6),1,0)</f>
        <v/>
      </c>
    </row>
    <row r="930">
      <c r="A930" t="inlineStr">
        <is>
          <t>2026-04</t>
        </is>
      </c>
      <c r="B930" t="inlineStr">
        <is>
          <t>HOSP-1</t>
        </is>
      </c>
      <c r="C930" t="inlineStr">
        <is>
          <t>SS-01230</t>
        </is>
      </c>
      <c r="D930" t="n">
        <v>12</v>
      </c>
      <c r="E930" t="n">
        <v>0</v>
      </c>
      <c r="G930">
        <f>IF(AND(A930&gt;=Inputs!$B$5,A930&lt;=Inputs!$B$6),1,0)</f>
        <v/>
      </c>
    </row>
    <row r="931">
      <c r="A931" t="inlineStr">
        <is>
          <t>2026-04</t>
        </is>
      </c>
      <c r="B931" t="inlineStr">
        <is>
          <t>HOSP-2</t>
        </is>
      </c>
      <c r="C931" t="inlineStr">
        <is>
          <t>SS-01231</t>
        </is>
      </c>
      <c r="D931" t="n">
        <v>12</v>
      </c>
      <c r="E931" t="n">
        <v>0</v>
      </c>
      <c r="G931">
        <f>IF(AND(A931&gt;=Inputs!$B$5,A931&lt;=Inputs!$B$6),1,0)</f>
        <v/>
      </c>
    </row>
    <row r="932">
      <c r="A932" t="inlineStr">
        <is>
          <t>2026-04</t>
        </is>
      </c>
      <c r="B932" t="inlineStr">
        <is>
          <t>HOSP-3</t>
        </is>
      </c>
      <c r="C932" t="inlineStr">
        <is>
          <t>SS-01232</t>
        </is>
      </c>
      <c r="D932" t="n">
        <v>0</v>
      </c>
      <c r="E932" t="n">
        <v>0</v>
      </c>
      <c r="G932">
        <f>IF(AND(A932&gt;=Inputs!$B$5,A932&lt;=Inputs!$B$6),1,0)</f>
        <v/>
      </c>
    </row>
    <row r="933">
      <c r="A933" t="inlineStr">
        <is>
          <t>2026-04</t>
        </is>
      </c>
      <c r="B933" t="inlineStr">
        <is>
          <t>HOSP-4</t>
        </is>
      </c>
      <c r="C933" t="inlineStr">
        <is>
          <t>SS-01233</t>
        </is>
      </c>
      <c r="D933" t="n">
        <v>12</v>
      </c>
      <c r="E933" t="n">
        <v>0</v>
      </c>
      <c r="G933">
        <f>IF(AND(A933&gt;=Inputs!$B$5,A933&lt;=Inputs!$B$6),1,0)</f>
        <v/>
      </c>
    </row>
    <row r="934">
      <c r="A934" t="inlineStr">
        <is>
          <t>2026-04</t>
        </is>
      </c>
      <c r="B934" t="inlineStr">
        <is>
          <t>HOSP-1</t>
        </is>
      </c>
      <c r="C934" t="inlineStr">
        <is>
          <t>SS-01001</t>
        </is>
      </c>
      <c r="D934" t="n">
        <v>8</v>
      </c>
      <c r="E934" t="n">
        <v>0</v>
      </c>
      <c r="G934">
        <f>IF(AND(A934&gt;=Inputs!$B$5,A934&lt;=Inputs!$B$6),1,0)</f>
        <v/>
      </c>
    </row>
    <row r="935">
      <c r="A935" t="inlineStr">
        <is>
          <t>2026-04</t>
        </is>
      </c>
      <c r="B935" t="inlineStr">
        <is>
          <t>HOSP-2</t>
        </is>
      </c>
      <c r="C935" t="inlineStr">
        <is>
          <t>SS-01002</t>
        </is>
      </c>
      <c r="D935" t="n">
        <v>0</v>
      </c>
      <c r="E935" t="n">
        <v>4</v>
      </c>
      <c r="G935">
        <f>IF(AND(A935&gt;=Inputs!$B$5,A935&lt;=Inputs!$B$6),1,0)</f>
        <v/>
      </c>
    </row>
    <row r="936">
      <c r="A936" t="inlineStr">
        <is>
          <t>2026-04</t>
        </is>
      </c>
      <c r="B936" t="inlineStr">
        <is>
          <t>HOSP-3</t>
        </is>
      </c>
      <c r="C936" t="inlineStr">
        <is>
          <t>SS-01003</t>
        </is>
      </c>
      <c r="D936" t="n">
        <v>0</v>
      </c>
      <c r="E936" t="n">
        <v>0</v>
      </c>
      <c r="G936">
        <f>IF(AND(A936&gt;=Inputs!$B$5,A936&lt;=Inputs!$B$6),1,0)</f>
        <v/>
      </c>
    </row>
    <row r="937">
      <c r="A937" t="inlineStr">
        <is>
          <t>2026-04</t>
        </is>
      </c>
      <c r="B937" t="inlineStr">
        <is>
          <t>HOSP-4</t>
        </is>
      </c>
      <c r="C937" t="inlineStr">
        <is>
          <t>SS-01004</t>
        </is>
      </c>
      <c r="D937" t="n">
        <v>114</v>
      </c>
      <c r="E937" t="n">
        <v>0</v>
      </c>
      <c r="G937">
        <f>IF(AND(A937&gt;=Inputs!$B$5,A937&lt;=Inputs!$B$6),1,0)</f>
        <v/>
      </c>
    </row>
    <row r="938">
      <c r="A938" t="inlineStr">
        <is>
          <t>2026-04</t>
        </is>
      </c>
      <c r="B938" t="inlineStr">
        <is>
          <t>HOSP-1</t>
        </is>
      </c>
      <c r="C938" t="inlineStr">
        <is>
          <t>SS-01005</t>
        </is>
      </c>
      <c r="D938" t="n">
        <v>24</v>
      </c>
      <c r="E938" t="n">
        <v>0</v>
      </c>
      <c r="G938">
        <f>IF(AND(A938&gt;=Inputs!$B$5,A938&lt;=Inputs!$B$6),1,0)</f>
        <v/>
      </c>
    </row>
    <row r="939">
      <c r="A939" t="inlineStr">
        <is>
          <t>2026-04</t>
        </is>
      </c>
      <c r="B939" t="inlineStr">
        <is>
          <t>HOSP-2</t>
        </is>
      </c>
      <c r="C939" t="inlineStr">
        <is>
          <t>SS-01006</t>
        </is>
      </c>
      <c r="D939" t="n">
        <v>12</v>
      </c>
      <c r="E939" t="n">
        <v>0</v>
      </c>
      <c r="G939">
        <f>IF(AND(A939&gt;=Inputs!$B$5,A939&lt;=Inputs!$B$6),1,0)</f>
        <v/>
      </c>
    </row>
    <row r="940">
      <c r="A940" t="inlineStr">
        <is>
          <t>2026-04</t>
        </is>
      </c>
      <c r="B940" t="inlineStr">
        <is>
          <t>HOSP-3</t>
        </is>
      </c>
      <c r="C940" t="inlineStr">
        <is>
          <t>SS-01007</t>
        </is>
      </c>
      <c r="D940" t="n">
        <v>8</v>
      </c>
      <c r="E940" t="n">
        <v>1</v>
      </c>
      <c r="G940">
        <f>IF(AND(A940&gt;=Inputs!$B$5,A940&lt;=Inputs!$B$6),1,0)</f>
        <v/>
      </c>
    </row>
    <row r="941">
      <c r="A941" t="inlineStr">
        <is>
          <t>2026-04</t>
        </is>
      </c>
      <c r="B941" t="inlineStr">
        <is>
          <t>HOSP-4</t>
        </is>
      </c>
      <c r="C941" t="inlineStr">
        <is>
          <t>SS-01008</t>
        </is>
      </c>
      <c r="D941" t="n">
        <v>12</v>
      </c>
      <c r="E941" t="n">
        <v>0</v>
      </c>
      <c r="G941">
        <f>IF(AND(A941&gt;=Inputs!$B$5,A941&lt;=Inputs!$B$6),1,0)</f>
        <v/>
      </c>
    </row>
    <row r="942">
      <c r="A942" t="inlineStr">
        <is>
          <t>2026-04</t>
        </is>
      </c>
      <c r="B942" t="inlineStr">
        <is>
          <t>HOSP-1</t>
        </is>
      </c>
      <c r="C942" t="inlineStr">
        <is>
          <t>SS-01009</t>
        </is>
      </c>
      <c r="D942" t="n">
        <v>60</v>
      </c>
      <c r="E942" t="n">
        <v>0</v>
      </c>
      <c r="G942">
        <f>IF(AND(A942&gt;=Inputs!$B$5,A942&lt;=Inputs!$B$6),1,0)</f>
        <v/>
      </c>
    </row>
    <row r="943">
      <c r="A943" t="inlineStr">
        <is>
          <t>2026-04</t>
        </is>
      </c>
      <c r="B943" t="inlineStr">
        <is>
          <t>HOSP-2</t>
        </is>
      </c>
      <c r="C943" t="inlineStr">
        <is>
          <t>SS-01010</t>
        </is>
      </c>
      <c r="D943" t="n">
        <v>46</v>
      </c>
      <c r="E943" t="n">
        <v>0</v>
      </c>
      <c r="G943">
        <f>IF(AND(A943&gt;=Inputs!$B$5,A943&lt;=Inputs!$B$6),1,0)</f>
        <v/>
      </c>
    </row>
    <row r="944">
      <c r="A944" t="inlineStr">
        <is>
          <t>2026-04</t>
        </is>
      </c>
      <c r="B944" t="inlineStr">
        <is>
          <t>HOSP-3</t>
        </is>
      </c>
      <c r="C944" t="inlineStr">
        <is>
          <t>SS-01011</t>
        </is>
      </c>
      <c r="D944" t="n">
        <v>288</v>
      </c>
      <c r="E944" t="n">
        <v>0</v>
      </c>
      <c r="G944">
        <f>IF(AND(A944&gt;=Inputs!$B$5,A944&lt;=Inputs!$B$6),1,0)</f>
        <v/>
      </c>
    </row>
    <row r="945">
      <c r="A945" t="inlineStr">
        <is>
          <t>2026-04</t>
        </is>
      </c>
      <c r="B945" t="inlineStr">
        <is>
          <t>HOSP-4</t>
        </is>
      </c>
      <c r="C945" t="inlineStr">
        <is>
          <t>SS-01012</t>
        </is>
      </c>
      <c r="D945" t="n">
        <v>0</v>
      </c>
      <c r="E945" t="n">
        <v>0</v>
      </c>
      <c r="G945">
        <f>IF(AND(A945&gt;=Inputs!$B$5,A945&lt;=Inputs!$B$6),1,0)</f>
        <v/>
      </c>
    </row>
    <row r="946">
      <c r="A946" t="inlineStr">
        <is>
          <t>2026-04</t>
        </is>
      </c>
      <c r="B946" t="inlineStr">
        <is>
          <t>HOSP-1</t>
        </is>
      </c>
      <c r="C946" t="inlineStr">
        <is>
          <t>SS-01013</t>
        </is>
      </c>
      <c r="D946" t="n">
        <v>0</v>
      </c>
      <c r="E946" t="n">
        <v>0</v>
      </c>
      <c r="G946">
        <f>IF(AND(A946&gt;=Inputs!$B$5,A946&lt;=Inputs!$B$6),1,0)</f>
        <v/>
      </c>
    </row>
    <row r="947">
      <c r="A947" t="inlineStr">
        <is>
          <t>2026-04</t>
        </is>
      </c>
      <c r="B947" t="inlineStr">
        <is>
          <t>HOSP-2</t>
        </is>
      </c>
      <c r="C947" t="inlineStr">
        <is>
          <t>SS-01014</t>
        </is>
      </c>
      <c r="D947" t="n">
        <v>60</v>
      </c>
      <c r="E947" t="n">
        <v>0</v>
      </c>
      <c r="G947">
        <f>IF(AND(A947&gt;=Inputs!$B$5,A947&lt;=Inputs!$B$6),1,0)</f>
        <v/>
      </c>
    </row>
    <row r="948">
      <c r="A948" t="inlineStr">
        <is>
          <t>2026-04</t>
        </is>
      </c>
      <c r="B948" t="inlineStr">
        <is>
          <t>HOSP-3</t>
        </is>
      </c>
      <c r="C948" t="inlineStr">
        <is>
          <t>SS-01015</t>
        </is>
      </c>
      <c r="D948" t="n">
        <v>29</v>
      </c>
      <c r="E948" t="n">
        <v>2</v>
      </c>
      <c r="G948">
        <f>IF(AND(A948&gt;=Inputs!$B$5,A948&lt;=Inputs!$B$6),1,0)</f>
        <v/>
      </c>
    </row>
    <row r="949">
      <c r="A949" t="inlineStr">
        <is>
          <t>2026-04</t>
        </is>
      </c>
      <c r="B949" t="inlineStr">
        <is>
          <t>HOSP-4</t>
        </is>
      </c>
      <c r="C949" t="inlineStr">
        <is>
          <t>SS-01016</t>
        </is>
      </c>
      <c r="D949" t="n">
        <v>0</v>
      </c>
      <c r="E949" t="n">
        <v>1</v>
      </c>
      <c r="G949">
        <f>IF(AND(A949&gt;=Inputs!$B$5,A949&lt;=Inputs!$B$6),1,0)</f>
        <v/>
      </c>
    </row>
    <row r="950">
      <c r="A950" t="inlineStr">
        <is>
          <t>2026-04</t>
        </is>
      </c>
      <c r="B950" t="inlineStr">
        <is>
          <t>HOSP-1</t>
        </is>
      </c>
      <c r="C950" t="inlineStr">
        <is>
          <t>SS-01017</t>
        </is>
      </c>
      <c r="D950" t="n">
        <v>8</v>
      </c>
      <c r="E950" t="n">
        <v>1</v>
      </c>
      <c r="G950">
        <f>IF(AND(A950&gt;=Inputs!$B$5,A950&lt;=Inputs!$B$6),1,0)</f>
        <v/>
      </c>
    </row>
    <row r="951">
      <c r="A951" t="inlineStr">
        <is>
          <t>2026-04</t>
        </is>
      </c>
      <c r="B951" t="inlineStr">
        <is>
          <t>HOSP-2</t>
        </is>
      </c>
      <c r="C951" t="inlineStr">
        <is>
          <t>SS-01018</t>
        </is>
      </c>
      <c r="D951" t="n">
        <v>84</v>
      </c>
      <c r="E951" t="n">
        <v>0</v>
      </c>
      <c r="G951">
        <f>IF(AND(A951&gt;=Inputs!$B$5,A951&lt;=Inputs!$B$6),1,0)</f>
        <v/>
      </c>
    </row>
    <row r="952">
      <c r="A952" t="inlineStr">
        <is>
          <t>2026-04</t>
        </is>
      </c>
      <c r="B952" t="inlineStr">
        <is>
          <t>HOSP-3</t>
        </is>
      </c>
      <c r="C952" t="inlineStr">
        <is>
          <t>SS-01019</t>
        </is>
      </c>
      <c r="D952" t="n">
        <v>336</v>
      </c>
      <c r="E952" t="n">
        <v>0</v>
      </c>
      <c r="G952">
        <f>IF(AND(A952&gt;=Inputs!$B$5,A952&lt;=Inputs!$B$6),1,0)</f>
        <v/>
      </c>
    </row>
    <row r="953">
      <c r="A953" t="inlineStr">
        <is>
          <t>2026-04</t>
        </is>
      </c>
      <c r="B953" t="inlineStr">
        <is>
          <t>HOSP-4</t>
        </is>
      </c>
      <c r="C953" t="inlineStr">
        <is>
          <t>SS-01020</t>
        </is>
      </c>
      <c r="D953" t="n">
        <v>12</v>
      </c>
      <c r="E953" t="n">
        <v>0</v>
      </c>
      <c r="G953">
        <f>IF(AND(A953&gt;=Inputs!$B$5,A953&lt;=Inputs!$B$6),1,0)</f>
        <v/>
      </c>
    </row>
    <row r="954">
      <c r="A954" t="inlineStr">
        <is>
          <t>2026-04</t>
        </is>
      </c>
      <c r="B954" t="inlineStr">
        <is>
          <t>HOSP-1</t>
        </is>
      </c>
      <c r="C954" t="inlineStr">
        <is>
          <t>SS-01021</t>
        </is>
      </c>
      <c r="D954" t="n">
        <v>0</v>
      </c>
      <c r="E954" t="n">
        <v>0</v>
      </c>
      <c r="G954">
        <f>IF(AND(A954&gt;=Inputs!$B$5,A954&lt;=Inputs!$B$6),1,0)</f>
        <v/>
      </c>
    </row>
    <row r="955">
      <c r="A955" t="inlineStr">
        <is>
          <t>2026-04</t>
        </is>
      </c>
      <c r="B955" t="inlineStr">
        <is>
          <t>HOSP-2</t>
        </is>
      </c>
      <c r="C955" t="inlineStr">
        <is>
          <t>SS-01022</t>
        </is>
      </c>
      <c r="D955" t="n">
        <v>12</v>
      </c>
      <c r="E955" t="n">
        <v>0</v>
      </c>
      <c r="G955">
        <f>IF(AND(A955&gt;=Inputs!$B$5,A955&lt;=Inputs!$B$6),1,0)</f>
        <v/>
      </c>
    </row>
    <row r="956">
      <c r="A956" t="inlineStr">
        <is>
          <t>2026-04</t>
        </is>
      </c>
      <c r="B956" t="inlineStr">
        <is>
          <t>HOSP-3</t>
        </is>
      </c>
      <c r="C956" t="inlineStr">
        <is>
          <t>SS-01023</t>
        </is>
      </c>
      <c r="D956" t="n">
        <v>32</v>
      </c>
      <c r="E956" t="n">
        <v>1</v>
      </c>
      <c r="G956">
        <f>IF(AND(A956&gt;=Inputs!$B$5,A956&lt;=Inputs!$B$6),1,0)</f>
        <v/>
      </c>
    </row>
    <row r="957">
      <c r="A957" t="inlineStr">
        <is>
          <t>2026-04</t>
        </is>
      </c>
      <c r="B957" t="inlineStr">
        <is>
          <t>HOSP-4</t>
        </is>
      </c>
      <c r="C957" t="inlineStr">
        <is>
          <t>SS-01024</t>
        </is>
      </c>
      <c r="D957" t="n">
        <v>0</v>
      </c>
      <c r="E957" t="n">
        <v>3</v>
      </c>
      <c r="G957">
        <f>IF(AND(A957&gt;=Inputs!$B$5,A957&lt;=Inputs!$B$6),1,0)</f>
        <v/>
      </c>
    </row>
    <row r="958">
      <c r="A958" t="inlineStr">
        <is>
          <t>2026-04</t>
        </is>
      </c>
      <c r="B958" t="inlineStr">
        <is>
          <t>HOSP-1</t>
        </is>
      </c>
      <c r="C958" t="inlineStr">
        <is>
          <t>SS-01025</t>
        </is>
      </c>
      <c r="D958" t="n">
        <v>72</v>
      </c>
      <c r="E958" t="n">
        <v>0</v>
      </c>
      <c r="G958">
        <f>IF(AND(A958&gt;=Inputs!$B$5,A958&lt;=Inputs!$B$6),1,0)</f>
        <v/>
      </c>
    </row>
    <row r="959">
      <c r="A959" t="inlineStr">
        <is>
          <t>2026-04</t>
        </is>
      </c>
      <c r="B959" t="inlineStr">
        <is>
          <t>HOSP-2</t>
        </is>
      </c>
      <c r="C959" t="inlineStr">
        <is>
          <t>SS-01026</t>
        </is>
      </c>
      <c r="D959" t="n">
        <v>9</v>
      </c>
      <c r="E959" t="n">
        <v>0</v>
      </c>
      <c r="G959">
        <f>IF(AND(A959&gt;=Inputs!$B$5,A959&lt;=Inputs!$B$6),1,0)</f>
        <v/>
      </c>
    </row>
    <row r="960">
      <c r="A960" t="inlineStr">
        <is>
          <t>2026-04</t>
        </is>
      </c>
      <c r="B960" t="inlineStr">
        <is>
          <t>HOSP-3</t>
        </is>
      </c>
      <c r="C960" t="inlineStr">
        <is>
          <t>SS-01027</t>
        </is>
      </c>
      <c r="D960" t="n">
        <v>12</v>
      </c>
      <c r="E960" t="n">
        <v>0</v>
      </c>
      <c r="G960">
        <f>IF(AND(A960&gt;=Inputs!$B$5,A960&lt;=Inputs!$B$6),1,0)</f>
        <v/>
      </c>
    </row>
    <row r="961">
      <c r="A961" t="inlineStr">
        <is>
          <t>2026-04</t>
        </is>
      </c>
      <c r="B961" t="inlineStr">
        <is>
          <t>HOSP-4</t>
        </is>
      </c>
      <c r="C961" t="inlineStr">
        <is>
          <t>SS-01028</t>
        </is>
      </c>
      <c r="D961" t="n">
        <v>60</v>
      </c>
      <c r="E961" t="n">
        <v>0</v>
      </c>
      <c r="G961">
        <f>IF(AND(A961&gt;=Inputs!$B$5,A961&lt;=Inputs!$B$6),1,0)</f>
        <v/>
      </c>
    </row>
    <row r="962">
      <c r="A962" t="inlineStr">
        <is>
          <t>2026-04</t>
        </is>
      </c>
      <c r="B962" t="inlineStr">
        <is>
          <t>HOSP-1</t>
        </is>
      </c>
      <c r="C962" t="inlineStr">
        <is>
          <t>SS-01228</t>
        </is>
      </c>
      <c r="D962" t="n">
        <v>15</v>
      </c>
      <c r="E962" t="n">
        <v>7</v>
      </c>
      <c r="G962">
        <f>IF(AND(A962&gt;=Inputs!$B$5,A962&lt;=Inputs!$B$6),1,0)</f>
        <v/>
      </c>
    </row>
    <row r="963">
      <c r="A963" t="inlineStr">
        <is>
          <t>2026-04</t>
        </is>
      </c>
      <c r="B963" t="inlineStr">
        <is>
          <t>HOSP-2</t>
        </is>
      </c>
      <c r="C963" t="inlineStr">
        <is>
          <t>SS-01030</t>
        </is>
      </c>
      <c r="D963" t="n">
        <v>0</v>
      </c>
      <c r="E963" t="n">
        <v>0</v>
      </c>
      <c r="G963">
        <f>IF(AND(A963&gt;=Inputs!$B$5,A963&lt;=Inputs!$B$6),1,0)</f>
        <v/>
      </c>
    </row>
    <row r="964">
      <c r="A964" t="inlineStr">
        <is>
          <t>2026-04</t>
        </is>
      </c>
      <c r="B964" t="inlineStr">
        <is>
          <t>HOSP-3</t>
        </is>
      </c>
      <c r="C964" t="inlineStr">
        <is>
          <t>SS-01031</t>
        </is>
      </c>
      <c r="D964" t="n">
        <v>36</v>
      </c>
      <c r="E964" t="n">
        <v>0</v>
      </c>
      <c r="G964">
        <f>IF(AND(A964&gt;=Inputs!$B$5,A964&lt;=Inputs!$B$6),1,0)</f>
        <v/>
      </c>
    </row>
    <row r="965">
      <c r="A965" t="inlineStr">
        <is>
          <t>2026-04</t>
        </is>
      </c>
      <c r="B965" t="inlineStr">
        <is>
          <t>HOSP-4</t>
        </is>
      </c>
      <c r="C965" t="inlineStr">
        <is>
          <t>SS-01126</t>
        </is>
      </c>
      <c r="D965" t="n">
        <v>28</v>
      </c>
      <c r="E965" t="n">
        <v>2</v>
      </c>
      <c r="G965">
        <f>IF(AND(A965&gt;=Inputs!$B$5,A965&lt;=Inputs!$B$6),1,0)</f>
        <v/>
      </c>
    </row>
    <row r="966">
      <c r="A966" t="inlineStr">
        <is>
          <t>2026-04</t>
        </is>
      </c>
      <c r="B966" t="inlineStr">
        <is>
          <t>HOSP-1</t>
        </is>
      </c>
      <c r="C966" t="inlineStr">
        <is>
          <t>SS-01033</t>
        </is>
      </c>
      <c r="D966" t="n">
        <v>12</v>
      </c>
      <c r="E966" t="n">
        <v>0</v>
      </c>
      <c r="G966">
        <f>IF(AND(A966&gt;=Inputs!$B$5,A966&lt;=Inputs!$B$6),1,0)</f>
        <v/>
      </c>
    </row>
    <row r="967">
      <c r="A967" t="inlineStr">
        <is>
          <t>2026-04</t>
        </is>
      </c>
      <c r="B967" t="inlineStr">
        <is>
          <t>HOSP-2</t>
        </is>
      </c>
      <c r="C967" t="inlineStr">
        <is>
          <t>SS-01034</t>
        </is>
      </c>
      <c r="D967" t="n">
        <v>12</v>
      </c>
      <c r="E967" t="n">
        <v>0</v>
      </c>
      <c r="G967">
        <f>IF(AND(A967&gt;=Inputs!$B$5,A967&lt;=Inputs!$B$6),1,0)</f>
        <v/>
      </c>
    </row>
    <row r="968">
      <c r="A968" t="inlineStr">
        <is>
          <t>2026-04</t>
        </is>
      </c>
      <c r="B968" t="inlineStr">
        <is>
          <t>HOSP-3</t>
        </is>
      </c>
      <c r="C968" t="inlineStr">
        <is>
          <t>SS-01035</t>
        </is>
      </c>
      <c r="D968" t="n">
        <v>0</v>
      </c>
      <c r="E968" t="n">
        <v>0</v>
      </c>
      <c r="G968">
        <f>IF(AND(A968&gt;=Inputs!$B$5,A968&lt;=Inputs!$B$6),1,0)</f>
        <v/>
      </c>
    </row>
    <row r="969">
      <c r="A969" t="inlineStr">
        <is>
          <t>2026-04</t>
        </is>
      </c>
      <c r="B969" t="inlineStr">
        <is>
          <t>HOSP-4</t>
        </is>
      </c>
      <c r="C969" t="inlineStr">
        <is>
          <t>SS-01036</t>
        </is>
      </c>
      <c r="D969" t="n">
        <v>12</v>
      </c>
      <c r="E969" t="n">
        <v>0</v>
      </c>
      <c r="G969">
        <f>IF(AND(A969&gt;=Inputs!$B$5,A969&lt;=Inputs!$B$6),1,0)</f>
        <v/>
      </c>
    </row>
    <row r="970">
      <c r="A970" t="inlineStr">
        <is>
          <t>2026-04</t>
        </is>
      </c>
      <c r="B970" t="inlineStr">
        <is>
          <t>HOSP-1</t>
        </is>
      </c>
      <c r="C970" t="inlineStr">
        <is>
          <t>SS-01037</t>
        </is>
      </c>
      <c r="D970" t="n">
        <v>12</v>
      </c>
      <c r="E970" t="n">
        <v>0</v>
      </c>
      <c r="G970">
        <f>IF(AND(A970&gt;=Inputs!$B$5,A970&lt;=Inputs!$B$6),1,0)</f>
        <v/>
      </c>
    </row>
    <row r="971">
      <c r="A971" t="inlineStr">
        <is>
          <t>2026-04</t>
        </is>
      </c>
      <c r="B971" t="inlineStr">
        <is>
          <t>HOSP-2</t>
        </is>
      </c>
      <c r="C971" t="inlineStr">
        <is>
          <t>SS-01038</t>
        </is>
      </c>
      <c r="D971" t="n">
        <v>12</v>
      </c>
      <c r="E971" t="n">
        <v>0</v>
      </c>
      <c r="G971">
        <f>IF(AND(A971&gt;=Inputs!$B$5,A971&lt;=Inputs!$B$6),1,0)</f>
        <v/>
      </c>
    </row>
    <row r="972">
      <c r="A972" t="inlineStr">
        <is>
          <t>2026-04</t>
        </is>
      </c>
      <c r="B972" t="inlineStr">
        <is>
          <t>HOSP-3</t>
        </is>
      </c>
      <c r="C972" t="inlineStr">
        <is>
          <t>SS-01039</t>
        </is>
      </c>
      <c r="D972" t="n">
        <v>36</v>
      </c>
      <c r="E972" t="n">
        <v>0</v>
      </c>
      <c r="G972">
        <f>IF(AND(A972&gt;=Inputs!$B$5,A972&lt;=Inputs!$B$6),1,0)</f>
        <v/>
      </c>
    </row>
    <row r="973">
      <c r="A973" t="inlineStr">
        <is>
          <t>2026-04</t>
        </is>
      </c>
      <c r="B973" t="inlineStr">
        <is>
          <t>HOSP-4</t>
        </is>
      </c>
      <c r="C973" t="inlineStr">
        <is>
          <t>SS-01040</t>
        </is>
      </c>
      <c r="D973" t="n">
        <v>48</v>
      </c>
      <c r="E973" t="n">
        <v>0</v>
      </c>
      <c r="G973">
        <f>IF(AND(A973&gt;=Inputs!$B$5,A973&lt;=Inputs!$B$6),1,0)</f>
        <v/>
      </c>
    </row>
    <row r="974">
      <c r="A974" t="inlineStr">
        <is>
          <t>2026-04</t>
        </is>
      </c>
      <c r="B974" t="inlineStr">
        <is>
          <t>HOSP-1</t>
        </is>
      </c>
      <c r="C974" t="inlineStr">
        <is>
          <t>SS-01041</t>
        </is>
      </c>
      <c r="D974" t="n">
        <v>168</v>
      </c>
      <c r="E974" t="n">
        <v>0</v>
      </c>
      <c r="G974">
        <f>IF(AND(A974&gt;=Inputs!$B$5,A974&lt;=Inputs!$B$6),1,0)</f>
        <v/>
      </c>
    </row>
    <row r="975">
      <c r="A975" t="inlineStr">
        <is>
          <t>2026-04</t>
        </is>
      </c>
      <c r="B975" t="inlineStr">
        <is>
          <t>HOSP-2</t>
        </is>
      </c>
      <c r="C975" t="inlineStr">
        <is>
          <t>SS-01042</t>
        </is>
      </c>
      <c r="D975" t="n">
        <v>12</v>
      </c>
      <c r="E975" t="n">
        <v>0</v>
      </c>
      <c r="G975">
        <f>IF(AND(A975&gt;=Inputs!$B$5,A975&lt;=Inputs!$B$6),1,0)</f>
        <v/>
      </c>
    </row>
    <row r="976">
      <c r="A976" t="inlineStr">
        <is>
          <t>2026-04</t>
        </is>
      </c>
      <c r="B976" t="inlineStr">
        <is>
          <t>HOSP-3</t>
        </is>
      </c>
      <c r="C976" t="inlineStr">
        <is>
          <t>SS-01043</t>
        </is>
      </c>
      <c r="D976" t="n">
        <v>12</v>
      </c>
      <c r="E976" t="n">
        <v>0</v>
      </c>
      <c r="G976">
        <f>IF(AND(A976&gt;=Inputs!$B$5,A976&lt;=Inputs!$B$6),1,0)</f>
        <v/>
      </c>
    </row>
    <row r="977">
      <c r="A977" t="inlineStr">
        <is>
          <t>2026-04</t>
        </is>
      </c>
      <c r="B977" t="inlineStr">
        <is>
          <t>HOSP-4</t>
        </is>
      </c>
      <c r="C977" t="inlineStr">
        <is>
          <t>SS-01044</t>
        </is>
      </c>
      <c r="D977" t="n">
        <v>12</v>
      </c>
      <c r="E977" t="n">
        <v>0</v>
      </c>
      <c r="G977">
        <f>IF(AND(A977&gt;=Inputs!$B$5,A977&lt;=Inputs!$B$6),1,0)</f>
        <v/>
      </c>
    </row>
    <row r="978">
      <c r="A978" t="inlineStr">
        <is>
          <t>2026-04</t>
        </is>
      </c>
      <c r="B978" t="inlineStr">
        <is>
          <t>HOSP-1</t>
        </is>
      </c>
      <c r="C978" t="inlineStr">
        <is>
          <t>SS-01045</t>
        </is>
      </c>
      <c r="D978" t="n">
        <v>24</v>
      </c>
      <c r="E978" t="n">
        <v>0</v>
      </c>
      <c r="G978">
        <f>IF(AND(A978&gt;=Inputs!$B$5,A978&lt;=Inputs!$B$6),1,0)</f>
        <v/>
      </c>
    </row>
    <row r="979">
      <c r="A979" t="inlineStr">
        <is>
          <t>2026-04</t>
        </is>
      </c>
      <c r="B979" t="inlineStr">
        <is>
          <t>HOSP-2</t>
        </is>
      </c>
      <c r="C979" t="inlineStr">
        <is>
          <t>SS-01046</t>
        </is>
      </c>
      <c r="D979" t="n">
        <v>25</v>
      </c>
      <c r="E979" t="n">
        <v>0</v>
      </c>
      <c r="G979">
        <f>IF(AND(A979&gt;=Inputs!$B$5,A979&lt;=Inputs!$B$6),1,0)</f>
        <v/>
      </c>
    </row>
    <row r="980">
      <c r="A980" t="inlineStr">
        <is>
          <t>2026-04</t>
        </is>
      </c>
      <c r="B980" t="inlineStr">
        <is>
          <t>HOSP-3</t>
        </is>
      </c>
      <c r="C980" t="inlineStr">
        <is>
          <t>SS-01047</t>
        </is>
      </c>
      <c r="D980" t="n">
        <v>24</v>
      </c>
      <c r="E980" t="n">
        <v>0</v>
      </c>
      <c r="G980">
        <f>IF(AND(A980&gt;=Inputs!$B$5,A980&lt;=Inputs!$B$6),1,0)</f>
        <v/>
      </c>
    </row>
    <row r="981">
      <c r="A981" t="inlineStr">
        <is>
          <t>2026-04</t>
        </is>
      </c>
      <c r="B981" t="inlineStr">
        <is>
          <t>HOSP-4</t>
        </is>
      </c>
      <c r="C981" t="inlineStr">
        <is>
          <t>SS-01048</t>
        </is>
      </c>
      <c r="D981" t="n">
        <v>69</v>
      </c>
      <c r="E981" t="n">
        <v>0</v>
      </c>
      <c r="G981">
        <f>IF(AND(A981&gt;=Inputs!$B$5,A981&lt;=Inputs!$B$6),1,0)</f>
        <v/>
      </c>
    </row>
    <row r="982">
      <c r="A982" t="inlineStr">
        <is>
          <t>2026-04</t>
        </is>
      </c>
      <c r="B982" t="inlineStr">
        <is>
          <t>HOSP-1</t>
        </is>
      </c>
      <c r="C982" t="inlineStr">
        <is>
          <t>SS-01049</t>
        </is>
      </c>
      <c r="D982" t="n">
        <v>108</v>
      </c>
      <c r="E982" t="n">
        <v>0</v>
      </c>
      <c r="G982">
        <f>IF(AND(A982&gt;=Inputs!$B$5,A982&lt;=Inputs!$B$6),1,0)</f>
        <v/>
      </c>
    </row>
    <row r="983">
      <c r="A983" t="inlineStr">
        <is>
          <t>2026-04</t>
        </is>
      </c>
      <c r="B983" t="inlineStr">
        <is>
          <t>HOSP-2</t>
        </is>
      </c>
      <c r="C983" t="inlineStr">
        <is>
          <t>SS-01050</t>
        </is>
      </c>
      <c r="D983" t="n">
        <v>168</v>
      </c>
      <c r="E983" t="n">
        <v>0</v>
      </c>
      <c r="G983">
        <f>IF(AND(A983&gt;=Inputs!$B$5,A983&lt;=Inputs!$B$6),1,0)</f>
        <v/>
      </c>
    </row>
    <row r="984">
      <c r="A984" t="inlineStr">
        <is>
          <t>2026-04</t>
        </is>
      </c>
      <c r="B984" t="inlineStr">
        <is>
          <t>HOSP-3</t>
        </is>
      </c>
      <c r="C984" t="inlineStr">
        <is>
          <t>SS-01051</t>
        </is>
      </c>
      <c r="D984" t="n">
        <v>85</v>
      </c>
      <c r="E984" t="n">
        <v>0</v>
      </c>
      <c r="G984">
        <f>IF(AND(A984&gt;=Inputs!$B$5,A984&lt;=Inputs!$B$6),1,0)</f>
        <v/>
      </c>
    </row>
    <row r="985">
      <c r="A985" t="inlineStr">
        <is>
          <t>2026-04</t>
        </is>
      </c>
      <c r="B985" t="inlineStr">
        <is>
          <t>HOSP-4</t>
        </is>
      </c>
      <c r="C985" t="inlineStr">
        <is>
          <t>SS-01052</t>
        </is>
      </c>
      <c r="D985" t="n">
        <v>48</v>
      </c>
      <c r="E985" t="n">
        <v>0</v>
      </c>
      <c r="G985">
        <f>IF(AND(A985&gt;=Inputs!$B$5,A985&lt;=Inputs!$B$6),1,0)</f>
        <v/>
      </c>
    </row>
    <row r="986">
      <c r="A986" t="inlineStr">
        <is>
          <t>2026-04</t>
        </is>
      </c>
      <c r="B986" t="inlineStr">
        <is>
          <t>HOSP-1</t>
        </is>
      </c>
      <c r="C986" t="inlineStr">
        <is>
          <t>SS-01053</t>
        </is>
      </c>
      <c r="D986" t="n">
        <v>24</v>
      </c>
      <c r="E986" t="n">
        <v>0</v>
      </c>
      <c r="G986">
        <f>IF(AND(A986&gt;=Inputs!$B$5,A986&lt;=Inputs!$B$6),1,0)</f>
        <v/>
      </c>
    </row>
    <row r="987">
      <c r="A987" t="inlineStr">
        <is>
          <t>2026-04</t>
        </is>
      </c>
      <c r="B987" t="inlineStr">
        <is>
          <t>HOSP-2</t>
        </is>
      </c>
      <c r="C987" t="inlineStr">
        <is>
          <t>SS-01054</t>
        </is>
      </c>
      <c r="D987" t="n">
        <v>84</v>
      </c>
      <c r="E987" t="n">
        <v>0</v>
      </c>
      <c r="G987">
        <f>IF(AND(A987&gt;=Inputs!$B$5,A987&lt;=Inputs!$B$6),1,0)</f>
        <v/>
      </c>
    </row>
    <row r="988">
      <c r="A988" t="inlineStr">
        <is>
          <t>2026-04</t>
        </is>
      </c>
      <c r="B988" t="inlineStr">
        <is>
          <t>HOSP-3</t>
        </is>
      </c>
      <c r="C988" t="inlineStr">
        <is>
          <t>SS-01055</t>
        </is>
      </c>
      <c r="D988" t="n">
        <v>0</v>
      </c>
      <c r="E988" t="n">
        <v>0</v>
      </c>
      <c r="G988">
        <f>IF(AND(A988&gt;=Inputs!$B$5,A988&lt;=Inputs!$B$6),1,0)</f>
        <v/>
      </c>
    </row>
    <row r="989">
      <c r="A989" t="inlineStr">
        <is>
          <t>2026-04</t>
        </is>
      </c>
      <c r="B989" t="inlineStr">
        <is>
          <t>HOSP-4</t>
        </is>
      </c>
      <c r="C989" t="inlineStr">
        <is>
          <t>SS-01056</t>
        </is>
      </c>
      <c r="D989" t="n">
        <v>0</v>
      </c>
      <c r="E989" t="n">
        <v>0</v>
      </c>
      <c r="G989">
        <f>IF(AND(A989&gt;=Inputs!$B$5,A989&lt;=Inputs!$B$6),1,0)</f>
        <v/>
      </c>
    </row>
    <row r="990">
      <c r="A990" t="inlineStr">
        <is>
          <t>2026-04</t>
        </is>
      </c>
      <c r="B990" t="inlineStr">
        <is>
          <t>HOSP-1</t>
        </is>
      </c>
      <c r="C990" t="inlineStr">
        <is>
          <t>SS-01057</t>
        </is>
      </c>
      <c r="D990" t="n">
        <v>12</v>
      </c>
      <c r="E990" t="n">
        <v>0</v>
      </c>
      <c r="G990">
        <f>IF(AND(A990&gt;=Inputs!$B$5,A990&lt;=Inputs!$B$6),1,0)</f>
        <v/>
      </c>
    </row>
    <row r="991">
      <c r="A991" t="inlineStr">
        <is>
          <t>2026-04</t>
        </is>
      </c>
      <c r="B991" t="inlineStr">
        <is>
          <t>HOSP-2</t>
        </is>
      </c>
      <c r="C991" t="inlineStr">
        <is>
          <t>SS-01058</t>
        </is>
      </c>
      <c r="D991" t="n">
        <v>12</v>
      </c>
      <c r="E991" t="n">
        <v>0</v>
      </c>
      <c r="G991">
        <f>IF(AND(A991&gt;=Inputs!$B$5,A991&lt;=Inputs!$B$6),1,0)</f>
        <v/>
      </c>
    </row>
    <row r="992">
      <c r="A992" t="inlineStr">
        <is>
          <t>2026-04</t>
        </is>
      </c>
      <c r="B992" t="inlineStr">
        <is>
          <t>HOSP-3</t>
        </is>
      </c>
      <c r="C992" t="inlineStr">
        <is>
          <t>SS-01059</t>
        </is>
      </c>
      <c r="D992" t="n">
        <v>12</v>
      </c>
      <c r="E992" t="n">
        <v>0</v>
      </c>
      <c r="G992">
        <f>IF(AND(A992&gt;=Inputs!$B$5,A992&lt;=Inputs!$B$6),1,0)</f>
        <v/>
      </c>
    </row>
    <row r="993">
      <c r="A993" t="inlineStr">
        <is>
          <t>2026-04</t>
        </is>
      </c>
      <c r="B993" t="inlineStr">
        <is>
          <t>HOSP-4</t>
        </is>
      </c>
      <c r="C993" t="inlineStr">
        <is>
          <t>SS-01060</t>
        </is>
      </c>
      <c r="D993" t="n">
        <v>60</v>
      </c>
      <c r="E993" t="n">
        <v>0</v>
      </c>
      <c r="G993">
        <f>IF(AND(A993&gt;=Inputs!$B$5,A993&lt;=Inputs!$B$6),1,0)</f>
        <v/>
      </c>
    </row>
    <row r="994">
      <c r="A994" t="inlineStr">
        <is>
          <t>2026-04</t>
        </is>
      </c>
      <c r="B994" t="inlineStr">
        <is>
          <t>HOSP-1</t>
        </is>
      </c>
      <c r="C994" t="inlineStr">
        <is>
          <t>SS-01061</t>
        </is>
      </c>
      <c r="D994" t="n">
        <v>12</v>
      </c>
      <c r="E994" t="n">
        <v>0</v>
      </c>
      <c r="G994">
        <f>IF(AND(A994&gt;=Inputs!$B$5,A994&lt;=Inputs!$B$6),1,0)</f>
        <v/>
      </c>
    </row>
    <row r="995">
      <c r="A995" t="inlineStr">
        <is>
          <t>2026-04</t>
        </is>
      </c>
      <c r="B995" t="inlineStr">
        <is>
          <t>HOSP-2</t>
        </is>
      </c>
      <c r="C995" t="inlineStr">
        <is>
          <t>SS-01062</t>
        </is>
      </c>
      <c r="D995" t="n">
        <v>0</v>
      </c>
      <c r="E995" t="n">
        <v>0</v>
      </c>
      <c r="G995">
        <f>IF(AND(A995&gt;=Inputs!$B$5,A995&lt;=Inputs!$B$6),1,0)</f>
        <v/>
      </c>
    </row>
    <row r="996">
      <c r="A996" t="inlineStr">
        <is>
          <t>2026-04</t>
        </is>
      </c>
      <c r="B996" t="inlineStr">
        <is>
          <t>HOSP-3</t>
        </is>
      </c>
      <c r="C996" t="inlineStr">
        <is>
          <t>SS-01063</t>
        </is>
      </c>
      <c r="D996" t="n">
        <v>37</v>
      </c>
      <c r="E996" t="n">
        <v>1</v>
      </c>
      <c r="G996">
        <f>IF(AND(A996&gt;=Inputs!$B$5,A996&lt;=Inputs!$B$6),1,0)</f>
        <v/>
      </c>
    </row>
    <row r="997">
      <c r="A997" t="inlineStr">
        <is>
          <t>2026-04</t>
        </is>
      </c>
      <c r="B997" t="inlineStr">
        <is>
          <t>HOSP-4</t>
        </is>
      </c>
      <c r="C997" t="inlineStr">
        <is>
          <t>SS-01064</t>
        </is>
      </c>
      <c r="D997" t="n">
        <v>36</v>
      </c>
      <c r="E997" t="n">
        <v>0</v>
      </c>
      <c r="G997">
        <f>IF(AND(A997&gt;=Inputs!$B$5,A997&lt;=Inputs!$B$6),1,0)</f>
        <v/>
      </c>
    </row>
    <row r="998">
      <c r="A998" t="inlineStr">
        <is>
          <t>2026-04</t>
        </is>
      </c>
      <c r="B998" t="inlineStr">
        <is>
          <t>HOSP-1</t>
        </is>
      </c>
      <c r="C998" t="inlineStr">
        <is>
          <t>SS-01065</t>
        </is>
      </c>
      <c r="D998" t="n">
        <v>0</v>
      </c>
      <c r="E998" t="n">
        <v>0</v>
      </c>
      <c r="G998">
        <f>IF(AND(A998&gt;=Inputs!$B$5,A998&lt;=Inputs!$B$6),1,0)</f>
        <v/>
      </c>
    </row>
    <row r="999">
      <c r="A999" t="inlineStr">
        <is>
          <t>2026-04</t>
        </is>
      </c>
      <c r="B999" t="inlineStr">
        <is>
          <t>HOSP-2</t>
        </is>
      </c>
      <c r="C999" t="inlineStr">
        <is>
          <t>SS-01066</t>
        </is>
      </c>
      <c r="D999" t="n">
        <v>36</v>
      </c>
      <c r="E999" t="n">
        <v>0</v>
      </c>
      <c r="G999">
        <f>IF(AND(A999&gt;=Inputs!$B$5,A999&lt;=Inputs!$B$6),1,0)</f>
        <v/>
      </c>
    </row>
    <row r="1000">
      <c r="A1000" t="inlineStr">
        <is>
          <t>2026-04</t>
        </is>
      </c>
      <c r="B1000" t="inlineStr">
        <is>
          <t>HOSP-3</t>
        </is>
      </c>
      <c r="C1000" t="inlineStr">
        <is>
          <t>SS-01067</t>
        </is>
      </c>
      <c r="D1000" t="n">
        <v>312</v>
      </c>
      <c r="E1000" t="n">
        <v>0</v>
      </c>
      <c r="G1000">
        <f>IF(AND(A1000&gt;=Inputs!$B$5,A1000&lt;=Inputs!$B$6),1,0)</f>
        <v/>
      </c>
    </row>
    <row r="1001">
      <c r="A1001" t="inlineStr">
        <is>
          <t>2026-04</t>
        </is>
      </c>
      <c r="B1001" t="inlineStr">
        <is>
          <t>HOSP-4</t>
        </is>
      </c>
      <c r="C1001" t="inlineStr">
        <is>
          <t>SS-01068</t>
        </is>
      </c>
      <c r="D1001" t="n">
        <v>84</v>
      </c>
      <c r="E1001" t="n">
        <v>0</v>
      </c>
      <c r="G1001">
        <f>IF(AND(A1001&gt;=Inputs!$B$5,A1001&lt;=Inputs!$B$6),1,0)</f>
        <v/>
      </c>
    </row>
    <row r="1002">
      <c r="A1002" t="inlineStr">
        <is>
          <t>2026-04</t>
        </is>
      </c>
      <c r="B1002" t="inlineStr">
        <is>
          <t>HOSP-1</t>
        </is>
      </c>
      <c r="C1002" t="inlineStr">
        <is>
          <t>SS-01069</t>
        </is>
      </c>
      <c r="D1002" t="n">
        <v>4</v>
      </c>
      <c r="E1002" t="n">
        <v>1</v>
      </c>
      <c r="G1002">
        <f>IF(AND(A1002&gt;=Inputs!$B$5,A1002&lt;=Inputs!$B$6),1,0)</f>
        <v/>
      </c>
    </row>
    <row r="1003">
      <c r="A1003" t="inlineStr">
        <is>
          <t>2026-04</t>
        </is>
      </c>
      <c r="B1003" t="inlineStr">
        <is>
          <t>HOSP-2</t>
        </is>
      </c>
      <c r="C1003" t="inlineStr">
        <is>
          <t>SS-01070</t>
        </is>
      </c>
      <c r="D1003" t="n">
        <v>12</v>
      </c>
      <c r="E1003" t="n">
        <v>0</v>
      </c>
      <c r="G1003">
        <f>IF(AND(A1003&gt;=Inputs!$B$5,A1003&lt;=Inputs!$B$6),1,0)</f>
        <v/>
      </c>
    </row>
    <row r="1004">
      <c r="A1004" t="inlineStr">
        <is>
          <t>2026-04</t>
        </is>
      </c>
      <c r="B1004" t="inlineStr">
        <is>
          <t>HOSP-3</t>
        </is>
      </c>
      <c r="C1004" t="inlineStr">
        <is>
          <t>SS-01071</t>
        </is>
      </c>
      <c r="D1004" t="n">
        <v>0</v>
      </c>
      <c r="E1004" t="n">
        <v>0</v>
      </c>
      <c r="G1004">
        <f>IF(AND(A1004&gt;=Inputs!$B$5,A1004&lt;=Inputs!$B$6),1,0)</f>
        <v/>
      </c>
    </row>
    <row r="1005">
      <c r="A1005" t="inlineStr">
        <is>
          <t>2026-04</t>
        </is>
      </c>
      <c r="B1005" t="inlineStr">
        <is>
          <t>HOSP-4</t>
        </is>
      </c>
      <c r="C1005" t="inlineStr">
        <is>
          <t>SS-01072</t>
        </is>
      </c>
      <c r="D1005" t="n">
        <v>72</v>
      </c>
      <c r="E1005" t="n">
        <v>0</v>
      </c>
      <c r="G1005">
        <f>IF(AND(A1005&gt;=Inputs!$B$5,A1005&lt;=Inputs!$B$6),1,0)</f>
        <v/>
      </c>
    </row>
    <row r="1006">
      <c r="A1006" t="inlineStr">
        <is>
          <t>2026-04</t>
        </is>
      </c>
      <c r="B1006" t="inlineStr">
        <is>
          <t>HOSP-1</t>
        </is>
      </c>
      <c r="C1006" t="inlineStr">
        <is>
          <t>SS-01073</t>
        </is>
      </c>
      <c r="D1006" t="n">
        <v>24</v>
      </c>
      <c r="E1006" t="n">
        <v>0</v>
      </c>
      <c r="G1006">
        <f>IF(AND(A1006&gt;=Inputs!$B$5,A1006&lt;=Inputs!$B$6),1,0)</f>
        <v/>
      </c>
    </row>
    <row r="1007">
      <c r="A1007" t="inlineStr">
        <is>
          <t>2026-04</t>
        </is>
      </c>
      <c r="B1007" t="inlineStr">
        <is>
          <t>HOSP-2</t>
        </is>
      </c>
      <c r="C1007" t="inlineStr">
        <is>
          <t>SS-01074</t>
        </is>
      </c>
      <c r="D1007" t="n">
        <v>72</v>
      </c>
      <c r="E1007" t="n">
        <v>0</v>
      </c>
      <c r="G1007">
        <f>IF(AND(A1007&gt;=Inputs!$B$5,A1007&lt;=Inputs!$B$6),1,0)</f>
        <v/>
      </c>
    </row>
    <row r="1008">
      <c r="A1008" t="inlineStr">
        <is>
          <t>2026-04</t>
        </is>
      </c>
      <c r="B1008" t="inlineStr">
        <is>
          <t>HOSP-3</t>
        </is>
      </c>
      <c r="C1008" t="inlineStr">
        <is>
          <t>SS-01075</t>
        </is>
      </c>
      <c r="D1008" t="n">
        <v>24</v>
      </c>
      <c r="E1008" t="n">
        <v>0</v>
      </c>
      <c r="G1008">
        <f>IF(AND(A1008&gt;=Inputs!$B$5,A1008&lt;=Inputs!$B$6),1,0)</f>
        <v/>
      </c>
    </row>
    <row r="1009">
      <c r="A1009" t="inlineStr">
        <is>
          <t>2026-04</t>
        </is>
      </c>
      <c r="B1009" t="inlineStr">
        <is>
          <t>HOSP-4</t>
        </is>
      </c>
      <c r="C1009" t="inlineStr">
        <is>
          <t>SS-01076</t>
        </is>
      </c>
      <c r="D1009" t="n">
        <v>0</v>
      </c>
      <c r="E1009" t="n">
        <v>0</v>
      </c>
      <c r="G1009">
        <f>IF(AND(A1009&gt;=Inputs!$B$5,A1009&lt;=Inputs!$B$6),1,0)</f>
        <v/>
      </c>
    </row>
    <row r="1010">
      <c r="A1010" t="inlineStr">
        <is>
          <t>2026-04</t>
        </is>
      </c>
      <c r="B1010" t="inlineStr">
        <is>
          <t>HOSP-1</t>
        </is>
      </c>
      <c r="C1010" t="inlineStr">
        <is>
          <t>SS-01077</t>
        </is>
      </c>
      <c r="D1010" t="n">
        <v>28</v>
      </c>
      <c r="E1010" t="n">
        <v>2</v>
      </c>
      <c r="G1010">
        <f>IF(AND(A1010&gt;=Inputs!$B$5,A1010&lt;=Inputs!$B$6),1,0)</f>
        <v/>
      </c>
    </row>
    <row r="1011">
      <c r="A1011" t="inlineStr">
        <is>
          <t>2026-04</t>
        </is>
      </c>
      <c r="B1011" t="inlineStr">
        <is>
          <t>HOSP-2</t>
        </is>
      </c>
      <c r="C1011" t="inlineStr">
        <is>
          <t>SS-01078</t>
        </is>
      </c>
      <c r="D1011" t="n">
        <v>31</v>
      </c>
      <c r="E1011" t="n">
        <v>0</v>
      </c>
      <c r="G1011">
        <f>IF(AND(A1011&gt;=Inputs!$B$5,A1011&lt;=Inputs!$B$6),1,0)</f>
        <v/>
      </c>
    </row>
    <row r="1012">
      <c r="A1012" t="inlineStr">
        <is>
          <t>2026-04</t>
        </is>
      </c>
      <c r="B1012" t="inlineStr">
        <is>
          <t>HOSP-3</t>
        </is>
      </c>
      <c r="C1012" t="inlineStr">
        <is>
          <t>SS-01079</t>
        </is>
      </c>
      <c r="D1012" t="n">
        <v>12</v>
      </c>
      <c r="E1012" t="n">
        <v>0</v>
      </c>
      <c r="G1012">
        <f>IF(AND(A1012&gt;=Inputs!$B$5,A1012&lt;=Inputs!$B$6),1,0)</f>
        <v/>
      </c>
    </row>
    <row r="1013">
      <c r="A1013" t="inlineStr">
        <is>
          <t>2026-04</t>
        </is>
      </c>
      <c r="B1013" t="inlineStr">
        <is>
          <t>HOSP-4</t>
        </is>
      </c>
      <c r="C1013" t="inlineStr">
        <is>
          <t>SS-01080</t>
        </is>
      </c>
      <c r="D1013" t="n">
        <v>12</v>
      </c>
      <c r="E1013" t="n">
        <v>0</v>
      </c>
      <c r="G1013">
        <f>IF(AND(A1013&gt;=Inputs!$B$5,A1013&lt;=Inputs!$B$6),1,0)</f>
        <v/>
      </c>
    </row>
    <row r="1014">
      <c r="A1014" t="inlineStr">
        <is>
          <t>2026-04</t>
        </is>
      </c>
      <c r="B1014" t="inlineStr">
        <is>
          <t>HOSP-1</t>
        </is>
      </c>
      <c r="C1014" t="inlineStr">
        <is>
          <t>SS-01081</t>
        </is>
      </c>
      <c r="D1014" t="n">
        <v>84</v>
      </c>
      <c r="E1014" t="n">
        <v>0</v>
      </c>
      <c r="G1014">
        <f>IF(AND(A1014&gt;=Inputs!$B$5,A1014&lt;=Inputs!$B$6),1,0)</f>
        <v/>
      </c>
    </row>
    <row r="1015">
      <c r="A1015" t="inlineStr">
        <is>
          <t>2026-04</t>
        </is>
      </c>
      <c r="B1015" t="inlineStr">
        <is>
          <t>HOSP-2</t>
        </is>
      </c>
      <c r="C1015" t="inlineStr">
        <is>
          <t>SS-01082</t>
        </is>
      </c>
      <c r="D1015" t="n">
        <v>12</v>
      </c>
      <c r="E1015" t="n">
        <v>0</v>
      </c>
      <c r="G1015">
        <f>IF(AND(A1015&gt;=Inputs!$B$5,A1015&lt;=Inputs!$B$6),1,0)</f>
        <v/>
      </c>
    </row>
    <row r="1016">
      <c r="A1016" t="inlineStr">
        <is>
          <t>2026-04</t>
        </is>
      </c>
      <c r="B1016" t="inlineStr">
        <is>
          <t>HOSP-3</t>
        </is>
      </c>
      <c r="C1016" t="inlineStr">
        <is>
          <t>SS-01212</t>
        </is>
      </c>
      <c r="D1016" t="n">
        <v>19</v>
      </c>
      <c r="E1016" t="n">
        <v>2</v>
      </c>
      <c r="G1016">
        <f>IF(AND(A1016&gt;=Inputs!$B$5,A1016&lt;=Inputs!$B$6),1,0)</f>
        <v/>
      </c>
    </row>
    <row r="1017">
      <c r="A1017" t="inlineStr">
        <is>
          <t>2026-04</t>
        </is>
      </c>
      <c r="B1017" t="inlineStr">
        <is>
          <t>HOSP-4</t>
        </is>
      </c>
      <c r="C1017" t="inlineStr">
        <is>
          <t>SS-01084</t>
        </is>
      </c>
      <c r="D1017" t="n">
        <v>24</v>
      </c>
      <c r="E1017" t="n">
        <v>0</v>
      </c>
      <c r="G1017">
        <f>IF(AND(A1017&gt;=Inputs!$B$5,A1017&lt;=Inputs!$B$6),1,0)</f>
        <v/>
      </c>
    </row>
    <row r="1018">
      <c r="A1018" t="inlineStr">
        <is>
          <t>2026-04</t>
        </is>
      </c>
      <c r="B1018" t="inlineStr">
        <is>
          <t>HOSP-1</t>
        </is>
      </c>
      <c r="C1018" t="inlineStr">
        <is>
          <t>SS-01085</t>
        </is>
      </c>
      <c r="D1018" t="n">
        <v>12</v>
      </c>
      <c r="E1018" t="n">
        <v>0</v>
      </c>
      <c r="G1018">
        <f>IF(AND(A1018&gt;=Inputs!$B$5,A1018&lt;=Inputs!$B$6),1,0)</f>
        <v/>
      </c>
    </row>
    <row r="1019">
      <c r="A1019" t="inlineStr">
        <is>
          <t>2026-04</t>
        </is>
      </c>
      <c r="B1019" t="inlineStr">
        <is>
          <t>HOSP-2</t>
        </is>
      </c>
      <c r="C1019" t="inlineStr">
        <is>
          <t>SS-01086</t>
        </is>
      </c>
      <c r="D1019" t="n">
        <v>36</v>
      </c>
      <c r="E1019" t="n">
        <v>0</v>
      </c>
      <c r="G1019">
        <f>IF(AND(A1019&gt;=Inputs!$B$5,A1019&lt;=Inputs!$B$6),1,0)</f>
        <v/>
      </c>
    </row>
    <row r="1020">
      <c r="A1020" t="inlineStr">
        <is>
          <t>2026-04</t>
        </is>
      </c>
      <c r="B1020" t="inlineStr">
        <is>
          <t>HOSP-3</t>
        </is>
      </c>
      <c r="C1020" t="inlineStr">
        <is>
          <t>SS-01087</t>
        </is>
      </c>
      <c r="D1020" t="n">
        <v>84</v>
      </c>
      <c r="E1020" t="n">
        <v>0</v>
      </c>
      <c r="G1020">
        <f>IF(AND(A1020&gt;=Inputs!$B$5,A1020&lt;=Inputs!$B$6),1,0)</f>
        <v/>
      </c>
    </row>
    <row r="1021">
      <c r="A1021" t="inlineStr">
        <is>
          <t>2026-04</t>
        </is>
      </c>
      <c r="B1021" t="inlineStr">
        <is>
          <t>HOSP-4</t>
        </is>
      </c>
      <c r="C1021" t="inlineStr">
        <is>
          <t>SS-01088</t>
        </is>
      </c>
      <c r="D1021" t="n">
        <v>171</v>
      </c>
      <c r="E1021" t="n">
        <v>0</v>
      </c>
      <c r="G1021">
        <f>IF(AND(A1021&gt;=Inputs!$B$5,A1021&lt;=Inputs!$B$6),1,0)</f>
        <v/>
      </c>
    </row>
    <row r="1022">
      <c r="A1022" t="inlineStr">
        <is>
          <t>2026-04</t>
        </is>
      </c>
      <c r="B1022" t="inlineStr">
        <is>
          <t>HOSP-1</t>
        </is>
      </c>
      <c r="C1022" t="inlineStr">
        <is>
          <t>SS-01089</t>
        </is>
      </c>
      <c r="D1022" t="n">
        <v>0</v>
      </c>
      <c r="E1022" t="n">
        <v>0</v>
      </c>
      <c r="G1022">
        <f>IF(AND(A1022&gt;=Inputs!$B$5,A1022&lt;=Inputs!$B$6),1,0)</f>
        <v/>
      </c>
    </row>
    <row r="1023">
      <c r="A1023" t="inlineStr">
        <is>
          <t>2026-04</t>
        </is>
      </c>
      <c r="B1023" t="inlineStr">
        <is>
          <t>HOSP-2</t>
        </is>
      </c>
      <c r="C1023" t="inlineStr">
        <is>
          <t>SS-01090</t>
        </is>
      </c>
      <c r="D1023" t="n">
        <v>0</v>
      </c>
      <c r="E1023" t="n">
        <v>0</v>
      </c>
      <c r="G1023">
        <f>IF(AND(A1023&gt;=Inputs!$B$5,A1023&lt;=Inputs!$B$6),1,0)</f>
        <v/>
      </c>
    </row>
    <row r="1024">
      <c r="A1024" t="inlineStr">
        <is>
          <t>2026-04</t>
        </is>
      </c>
      <c r="B1024" t="inlineStr">
        <is>
          <t>HOSP-3</t>
        </is>
      </c>
      <c r="C1024" t="inlineStr">
        <is>
          <t>SS-01091</t>
        </is>
      </c>
      <c r="D1024" t="n">
        <v>0</v>
      </c>
      <c r="E1024" t="n">
        <v>0</v>
      </c>
      <c r="G1024">
        <f>IF(AND(A1024&gt;=Inputs!$B$5,A1024&lt;=Inputs!$B$6),1,0)</f>
        <v/>
      </c>
    </row>
    <row r="1025">
      <c r="A1025" t="inlineStr">
        <is>
          <t>2026-04</t>
        </is>
      </c>
      <c r="B1025" t="inlineStr">
        <is>
          <t>HOSP-4</t>
        </is>
      </c>
      <c r="C1025" t="inlineStr">
        <is>
          <t>SS-01092</t>
        </is>
      </c>
      <c r="D1025" t="n">
        <v>156</v>
      </c>
      <c r="E1025" t="n">
        <v>0</v>
      </c>
      <c r="G1025">
        <f>IF(AND(A1025&gt;=Inputs!$B$5,A1025&lt;=Inputs!$B$6),1,0)</f>
        <v/>
      </c>
    </row>
    <row r="1026">
      <c r="A1026" t="inlineStr">
        <is>
          <t>2026-04</t>
        </is>
      </c>
      <c r="B1026" t="inlineStr">
        <is>
          <t>HOSP-1</t>
        </is>
      </c>
      <c r="C1026" t="inlineStr">
        <is>
          <t>SS-01093</t>
        </is>
      </c>
      <c r="D1026" t="n">
        <v>36</v>
      </c>
      <c r="E1026" t="n">
        <v>0</v>
      </c>
      <c r="G1026">
        <f>IF(AND(A1026&gt;=Inputs!$B$5,A1026&lt;=Inputs!$B$6),1,0)</f>
        <v/>
      </c>
    </row>
    <row r="1027">
      <c r="A1027" t="inlineStr">
        <is>
          <t>2026-04</t>
        </is>
      </c>
      <c r="B1027" t="inlineStr">
        <is>
          <t>HOSP-2</t>
        </is>
      </c>
      <c r="C1027" t="inlineStr">
        <is>
          <t>SS-01094</t>
        </is>
      </c>
      <c r="D1027" t="n">
        <v>12</v>
      </c>
      <c r="E1027" t="n">
        <v>0</v>
      </c>
      <c r="G1027">
        <f>IF(AND(A1027&gt;=Inputs!$B$5,A1027&lt;=Inputs!$B$6),1,0)</f>
        <v/>
      </c>
    </row>
    <row r="1028">
      <c r="A1028" t="inlineStr">
        <is>
          <t>2026-04</t>
        </is>
      </c>
      <c r="B1028" t="inlineStr">
        <is>
          <t>HOSP-3</t>
        </is>
      </c>
      <c r="C1028" t="inlineStr">
        <is>
          <t>SS-01095</t>
        </is>
      </c>
      <c r="D1028" t="n">
        <v>24</v>
      </c>
      <c r="E1028" t="n">
        <v>0</v>
      </c>
      <c r="G1028">
        <f>IF(AND(A1028&gt;=Inputs!$B$5,A1028&lt;=Inputs!$B$6),1,0)</f>
        <v/>
      </c>
    </row>
    <row r="1029">
      <c r="A1029" t="inlineStr">
        <is>
          <t>2026-04</t>
        </is>
      </c>
      <c r="B1029" t="inlineStr">
        <is>
          <t>HOSP-4</t>
        </is>
      </c>
      <c r="C1029" t="inlineStr">
        <is>
          <t>SS-01096</t>
        </is>
      </c>
      <c r="D1029" t="n">
        <v>12</v>
      </c>
      <c r="E1029" t="n">
        <v>0</v>
      </c>
      <c r="G1029">
        <f>IF(AND(A1029&gt;=Inputs!$B$5,A1029&lt;=Inputs!$B$6),1,0)</f>
        <v/>
      </c>
    </row>
    <row r="1030">
      <c r="A1030" t="inlineStr">
        <is>
          <t>2026-04</t>
        </is>
      </c>
      <c r="B1030" t="inlineStr">
        <is>
          <t>HOSP-1</t>
        </is>
      </c>
      <c r="C1030" t="inlineStr">
        <is>
          <t>SS-01097</t>
        </is>
      </c>
      <c r="D1030" t="n">
        <v>0</v>
      </c>
      <c r="E1030" t="n">
        <v>0</v>
      </c>
      <c r="G1030">
        <f>IF(AND(A1030&gt;=Inputs!$B$5,A1030&lt;=Inputs!$B$6),1,0)</f>
        <v/>
      </c>
    </row>
    <row r="1031">
      <c r="A1031" t="inlineStr">
        <is>
          <t>2026-04</t>
        </is>
      </c>
      <c r="B1031" t="inlineStr">
        <is>
          <t>HOSP-2</t>
        </is>
      </c>
      <c r="C1031" t="inlineStr">
        <is>
          <t>SS-01098</t>
        </is>
      </c>
      <c r="D1031" t="n">
        <v>12</v>
      </c>
      <c r="E1031" t="n">
        <v>0</v>
      </c>
      <c r="G1031">
        <f>IF(AND(A1031&gt;=Inputs!$B$5,A1031&lt;=Inputs!$B$6),1,0)</f>
        <v/>
      </c>
    </row>
    <row r="1032">
      <c r="A1032" t="inlineStr">
        <is>
          <t>2026-04</t>
        </is>
      </c>
      <c r="B1032" t="inlineStr">
        <is>
          <t>HOSP-3</t>
        </is>
      </c>
      <c r="C1032" t="inlineStr">
        <is>
          <t>SS-01099</t>
        </is>
      </c>
      <c r="D1032" t="n">
        <v>0</v>
      </c>
      <c r="E1032" t="n">
        <v>2</v>
      </c>
      <c r="G1032">
        <f>IF(AND(A1032&gt;=Inputs!$B$5,A1032&lt;=Inputs!$B$6),1,0)</f>
        <v/>
      </c>
    </row>
    <row r="1033">
      <c r="A1033" t="inlineStr">
        <is>
          <t>2026-04</t>
        </is>
      </c>
      <c r="B1033" t="inlineStr">
        <is>
          <t>HOSP-4</t>
        </is>
      </c>
      <c r="C1033" t="inlineStr">
        <is>
          <t>SS-01100</t>
        </is>
      </c>
      <c r="D1033" t="n">
        <v>252</v>
      </c>
      <c r="E1033" t="n">
        <v>0</v>
      </c>
      <c r="G1033">
        <f>IF(AND(A1033&gt;=Inputs!$B$5,A1033&lt;=Inputs!$B$6),1,0)</f>
        <v/>
      </c>
    </row>
    <row r="1034">
      <c r="A1034" t="inlineStr">
        <is>
          <t>2026-04</t>
        </is>
      </c>
      <c r="B1034" t="inlineStr">
        <is>
          <t>HOSP-1</t>
        </is>
      </c>
      <c r="C1034" t="inlineStr">
        <is>
          <t>SS-01101</t>
        </is>
      </c>
      <c r="D1034" t="n">
        <v>10</v>
      </c>
      <c r="E1034" t="n">
        <v>2</v>
      </c>
      <c r="G1034">
        <f>IF(AND(A1034&gt;=Inputs!$B$5,A1034&lt;=Inputs!$B$6),1,0)</f>
        <v/>
      </c>
    </row>
    <row r="1035">
      <c r="A1035" t="inlineStr">
        <is>
          <t>2026-04</t>
        </is>
      </c>
      <c r="B1035" t="inlineStr">
        <is>
          <t>HOSP-2</t>
        </is>
      </c>
      <c r="C1035" t="inlineStr">
        <is>
          <t>SS-01102</t>
        </is>
      </c>
      <c r="D1035" t="n">
        <v>0</v>
      </c>
      <c r="E1035" t="n">
        <v>0</v>
      </c>
      <c r="G1035">
        <f>IF(AND(A1035&gt;=Inputs!$B$5,A1035&lt;=Inputs!$B$6),1,0)</f>
        <v/>
      </c>
    </row>
    <row r="1036">
      <c r="A1036" t="inlineStr">
        <is>
          <t>2026-04</t>
        </is>
      </c>
      <c r="B1036" t="inlineStr">
        <is>
          <t>HOSP-3</t>
        </is>
      </c>
      <c r="C1036" t="inlineStr">
        <is>
          <t>SS-01103</t>
        </is>
      </c>
      <c r="D1036" t="n">
        <v>12</v>
      </c>
      <c r="E1036" t="n">
        <v>0</v>
      </c>
      <c r="G1036">
        <f>IF(AND(A1036&gt;=Inputs!$B$5,A1036&lt;=Inputs!$B$6),1,0)</f>
        <v/>
      </c>
    </row>
    <row r="1037">
      <c r="A1037" t="inlineStr">
        <is>
          <t>2026-04</t>
        </is>
      </c>
      <c r="B1037" t="inlineStr">
        <is>
          <t>HOSP-4</t>
        </is>
      </c>
      <c r="C1037" t="inlineStr">
        <is>
          <t>SS-01104</t>
        </is>
      </c>
      <c r="D1037" t="n">
        <v>24</v>
      </c>
      <c r="E1037" t="n">
        <v>0</v>
      </c>
      <c r="G1037">
        <f>IF(AND(A1037&gt;=Inputs!$B$5,A1037&lt;=Inputs!$B$6),1,0)</f>
        <v/>
      </c>
    </row>
    <row r="1038">
      <c r="A1038" t="inlineStr">
        <is>
          <t>2026-04</t>
        </is>
      </c>
      <c r="B1038" t="inlineStr">
        <is>
          <t>HOSP-1</t>
        </is>
      </c>
      <c r="C1038" t="inlineStr">
        <is>
          <t>SS-01105</t>
        </is>
      </c>
      <c r="D1038" t="n">
        <v>48</v>
      </c>
      <c r="E1038" t="n">
        <v>0</v>
      </c>
      <c r="G1038">
        <f>IF(AND(A1038&gt;=Inputs!$B$5,A1038&lt;=Inputs!$B$6),1,0)</f>
        <v/>
      </c>
    </row>
    <row r="1039">
      <c r="A1039" t="inlineStr">
        <is>
          <t>2026-04</t>
        </is>
      </c>
      <c r="B1039" t="inlineStr">
        <is>
          <t>HOSP-2</t>
        </is>
      </c>
      <c r="C1039" t="inlineStr">
        <is>
          <t>SS-01106</t>
        </is>
      </c>
      <c r="D1039" t="n">
        <v>26</v>
      </c>
      <c r="E1039" t="n">
        <v>0</v>
      </c>
      <c r="G1039">
        <f>IF(AND(A1039&gt;=Inputs!$B$5,A1039&lt;=Inputs!$B$6),1,0)</f>
        <v/>
      </c>
    </row>
    <row r="1040">
      <c r="A1040" t="inlineStr">
        <is>
          <t>2026-04</t>
        </is>
      </c>
      <c r="B1040" t="inlineStr">
        <is>
          <t>HOSP-3</t>
        </is>
      </c>
      <c r="C1040" t="inlineStr">
        <is>
          <t>SS-01107</t>
        </is>
      </c>
      <c r="D1040" t="n">
        <v>60</v>
      </c>
      <c r="E1040" t="n">
        <v>0</v>
      </c>
      <c r="F1040" t="inlineStr">
        <is>
          <t>surge</t>
        </is>
      </c>
      <c r="G1040">
        <f>IF(AND(A1040&gt;=Inputs!$B$5,A1040&lt;=Inputs!$B$6),1,0)</f>
        <v/>
      </c>
    </row>
    <row r="1041">
      <c r="A1041" t="inlineStr">
        <is>
          <t>2026-04</t>
        </is>
      </c>
      <c r="B1041" t="inlineStr">
        <is>
          <t>HOSP-4</t>
        </is>
      </c>
      <c r="C1041" t="inlineStr">
        <is>
          <t>SS-01108</t>
        </is>
      </c>
      <c r="D1041" t="n">
        <v>32</v>
      </c>
      <c r="E1041" t="n">
        <v>1</v>
      </c>
      <c r="G1041">
        <f>IF(AND(A1041&gt;=Inputs!$B$5,A1041&lt;=Inputs!$B$6),1,0)</f>
        <v/>
      </c>
    </row>
    <row r="1042">
      <c r="A1042" t="inlineStr">
        <is>
          <t>2026-04</t>
        </is>
      </c>
      <c r="B1042" t="inlineStr">
        <is>
          <t>HOSP-1</t>
        </is>
      </c>
      <c r="C1042" t="inlineStr">
        <is>
          <t>SS-01109</t>
        </is>
      </c>
      <c r="D1042" t="n">
        <v>144</v>
      </c>
      <c r="E1042" t="n">
        <v>0</v>
      </c>
      <c r="G1042">
        <f>IF(AND(A1042&gt;=Inputs!$B$5,A1042&lt;=Inputs!$B$6),1,0)</f>
        <v/>
      </c>
    </row>
    <row r="1043">
      <c r="A1043" t="inlineStr">
        <is>
          <t>2026-04</t>
        </is>
      </c>
      <c r="B1043" t="inlineStr">
        <is>
          <t>HOSP-2</t>
        </is>
      </c>
      <c r="C1043" t="inlineStr">
        <is>
          <t>SS-01110</t>
        </is>
      </c>
      <c r="D1043" t="n">
        <v>468</v>
      </c>
      <c r="E1043" t="n">
        <v>0</v>
      </c>
      <c r="G1043">
        <f>IF(AND(A1043&gt;=Inputs!$B$5,A1043&lt;=Inputs!$B$6),1,0)</f>
        <v/>
      </c>
    </row>
    <row r="1044">
      <c r="A1044" t="inlineStr">
        <is>
          <t>2026-04</t>
        </is>
      </c>
      <c r="B1044" t="inlineStr">
        <is>
          <t>HOSP-3</t>
        </is>
      </c>
      <c r="C1044" t="inlineStr">
        <is>
          <t>SS-01111</t>
        </is>
      </c>
      <c r="D1044" t="n">
        <v>312</v>
      </c>
      <c r="E1044" t="n">
        <v>0</v>
      </c>
      <c r="G1044">
        <f>IF(AND(A1044&gt;=Inputs!$B$5,A1044&lt;=Inputs!$B$6),1,0)</f>
        <v/>
      </c>
    </row>
    <row r="1045">
      <c r="A1045" t="inlineStr">
        <is>
          <t>2026-04</t>
        </is>
      </c>
      <c r="B1045" t="inlineStr">
        <is>
          <t>HOSP-4</t>
        </is>
      </c>
      <c r="C1045" t="inlineStr">
        <is>
          <t>SS-01112</t>
        </is>
      </c>
      <c r="D1045" t="n">
        <v>24</v>
      </c>
      <c r="E1045" t="n">
        <v>0</v>
      </c>
      <c r="G1045">
        <f>IF(AND(A1045&gt;=Inputs!$B$5,A1045&lt;=Inputs!$B$6),1,0)</f>
        <v/>
      </c>
    </row>
    <row r="1046">
      <c r="A1046" t="inlineStr">
        <is>
          <t>2026-04</t>
        </is>
      </c>
      <c r="B1046" t="inlineStr">
        <is>
          <t>HOSP-1</t>
        </is>
      </c>
      <c r="C1046" t="inlineStr">
        <is>
          <t>SS-01113</t>
        </is>
      </c>
      <c r="D1046" t="n">
        <v>0</v>
      </c>
      <c r="E1046" t="n">
        <v>0</v>
      </c>
      <c r="G1046">
        <f>IF(AND(A1046&gt;=Inputs!$B$5,A1046&lt;=Inputs!$B$6),1,0)</f>
        <v/>
      </c>
    </row>
    <row r="1047">
      <c r="A1047" t="inlineStr">
        <is>
          <t>2026-04</t>
        </is>
      </c>
      <c r="B1047" t="inlineStr">
        <is>
          <t>HOSP-2</t>
        </is>
      </c>
      <c r="C1047" t="inlineStr">
        <is>
          <t>SS-01114</t>
        </is>
      </c>
      <c r="D1047" t="n">
        <v>180</v>
      </c>
      <c r="E1047" t="n">
        <v>0</v>
      </c>
      <c r="G1047">
        <f>IF(AND(A1047&gt;=Inputs!$B$5,A1047&lt;=Inputs!$B$6),1,0)</f>
        <v/>
      </c>
    </row>
    <row r="1048">
      <c r="A1048" t="inlineStr">
        <is>
          <t>2026-04</t>
        </is>
      </c>
      <c r="B1048" t="inlineStr">
        <is>
          <t>HOSP-3</t>
        </is>
      </c>
      <c r="C1048" t="inlineStr">
        <is>
          <t>SS-01115</t>
        </is>
      </c>
      <c r="D1048" t="n">
        <v>144</v>
      </c>
      <c r="E1048" t="n">
        <v>0</v>
      </c>
      <c r="G1048">
        <f>IF(AND(A1048&gt;=Inputs!$B$5,A1048&lt;=Inputs!$B$6),1,0)</f>
        <v/>
      </c>
    </row>
    <row r="1049">
      <c r="A1049" t="inlineStr">
        <is>
          <t>2026-04</t>
        </is>
      </c>
      <c r="B1049" t="inlineStr">
        <is>
          <t>HOSP-4</t>
        </is>
      </c>
      <c r="C1049" t="inlineStr">
        <is>
          <t>SS-01116</t>
        </is>
      </c>
      <c r="D1049" t="n">
        <v>12</v>
      </c>
      <c r="E1049" t="n">
        <v>0</v>
      </c>
      <c r="G1049">
        <f>IF(AND(A1049&gt;=Inputs!$B$5,A1049&lt;=Inputs!$B$6),1,0)</f>
        <v/>
      </c>
    </row>
    <row r="1050">
      <c r="A1050" t="inlineStr">
        <is>
          <t>2026-04</t>
        </is>
      </c>
      <c r="B1050" t="inlineStr">
        <is>
          <t>HOSP-1</t>
        </is>
      </c>
      <c r="C1050" t="inlineStr">
        <is>
          <t>SS-01117</t>
        </is>
      </c>
      <c r="D1050" t="n">
        <v>84</v>
      </c>
      <c r="E1050" t="n">
        <v>0</v>
      </c>
      <c r="G1050">
        <f>IF(AND(A1050&gt;=Inputs!$B$5,A1050&lt;=Inputs!$B$6),1,0)</f>
        <v/>
      </c>
    </row>
    <row r="1051">
      <c r="A1051" t="inlineStr">
        <is>
          <t>2026-04</t>
        </is>
      </c>
      <c r="B1051" t="inlineStr">
        <is>
          <t>HOSP-2</t>
        </is>
      </c>
      <c r="C1051" t="inlineStr">
        <is>
          <t>SS-01118</t>
        </is>
      </c>
      <c r="D1051" t="n">
        <v>276</v>
      </c>
      <c r="E1051" t="n">
        <v>0</v>
      </c>
      <c r="G1051">
        <f>IF(AND(A1051&gt;=Inputs!$B$5,A1051&lt;=Inputs!$B$6),1,0)</f>
        <v/>
      </c>
    </row>
    <row r="1052">
      <c r="A1052" t="inlineStr">
        <is>
          <t>2026-04</t>
        </is>
      </c>
      <c r="B1052" t="inlineStr">
        <is>
          <t>HOSP-3</t>
        </is>
      </c>
      <c r="C1052" t="inlineStr">
        <is>
          <t>SS-01119</t>
        </is>
      </c>
      <c r="D1052" t="n">
        <v>0</v>
      </c>
      <c r="E1052" t="n">
        <v>0</v>
      </c>
      <c r="G1052">
        <f>IF(AND(A1052&gt;=Inputs!$B$5,A1052&lt;=Inputs!$B$6),1,0)</f>
        <v/>
      </c>
    </row>
    <row r="1053">
      <c r="A1053" t="inlineStr">
        <is>
          <t>2026-04</t>
        </is>
      </c>
      <c r="B1053" t="inlineStr">
        <is>
          <t>HOSP-4</t>
        </is>
      </c>
      <c r="C1053" t="inlineStr">
        <is>
          <t>SS-01120</t>
        </is>
      </c>
      <c r="D1053" t="n">
        <v>0</v>
      </c>
      <c r="E1053" t="n">
        <v>0</v>
      </c>
      <c r="G1053">
        <f>IF(AND(A1053&gt;=Inputs!$B$5,A1053&lt;=Inputs!$B$6),1,0)</f>
        <v/>
      </c>
    </row>
    <row r="1054">
      <c r="A1054" t="inlineStr">
        <is>
          <t>2026-04</t>
        </is>
      </c>
      <c r="B1054" t="inlineStr">
        <is>
          <t>HOSP-1</t>
        </is>
      </c>
      <c r="C1054" t="inlineStr">
        <is>
          <t>SS-01121</t>
        </is>
      </c>
      <c r="D1054" t="n">
        <v>0</v>
      </c>
      <c r="E1054" t="n">
        <v>0</v>
      </c>
      <c r="G1054">
        <f>IF(AND(A1054&gt;=Inputs!$B$5,A1054&lt;=Inputs!$B$6),1,0)</f>
        <v/>
      </c>
    </row>
    <row r="1055">
      <c r="A1055" t="inlineStr">
        <is>
          <t>2026-04</t>
        </is>
      </c>
      <c r="B1055" t="inlineStr">
        <is>
          <t>HOSP-2</t>
        </is>
      </c>
      <c r="C1055" t="inlineStr">
        <is>
          <t>SS-01122</t>
        </is>
      </c>
      <c r="D1055" t="n">
        <v>0</v>
      </c>
      <c r="E1055" t="n">
        <v>0</v>
      </c>
      <c r="G1055">
        <f>IF(AND(A1055&gt;=Inputs!$B$5,A1055&lt;=Inputs!$B$6),1,0)</f>
        <v/>
      </c>
    </row>
    <row r="1056">
      <c r="A1056" t="inlineStr">
        <is>
          <t>2026-04</t>
        </is>
      </c>
      <c r="B1056" t="inlineStr">
        <is>
          <t>HOSP-3</t>
        </is>
      </c>
      <c r="C1056" t="inlineStr">
        <is>
          <t>SS-01123</t>
        </is>
      </c>
      <c r="D1056" t="n">
        <v>0</v>
      </c>
      <c r="E1056" t="n">
        <v>0</v>
      </c>
      <c r="G1056">
        <f>IF(AND(A1056&gt;=Inputs!$B$5,A1056&lt;=Inputs!$B$6),1,0)</f>
        <v/>
      </c>
    </row>
    <row r="1057">
      <c r="A1057" t="inlineStr">
        <is>
          <t>2026-04</t>
        </is>
      </c>
      <c r="B1057" t="inlineStr">
        <is>
          <t>HOSP-4</t>
        </is>
      </c>
      <c r="C1057" t="inlineStr">
        <is>
          <t>SS-01201</t>
        </is>
      </c>
      <c r="D1057" t="n">
        <v>13</v>
      </c>
      <c r="E1057" t="n">
        <v>0</v>
      </c>
      <c r="G1057">
        <f>IF(AND(A1057&gt;=Inputs!$B$5,A1057&lt;=Inputs!$B$6),1,0)</f>
        <v/>
      </c>
    </row>
    <row r="1058">
      <c r="A1058" t="inlineStr">
        <is>
          <t>2026-04</t>
        </is>
      </c>
      <c r="B1058" t="inlineStr">
        <is>
          <t>HOSP-1</t>
        </is>
      </c>
      <c r="C1058" t="inlineStr">
        <is>
          <t>SS-01125</t>
        </is>
      </c>
      <c r="D1058" t="n">
        <v>0</v>
      </c>
      <c r="E1058" t="n">
        <v>2</v>
      </c>
      <c r="G1058">
        <f>IF(AND(A1058&gt;=Inputs!$B$5,A1058&lt;=Inputs!$B$6),1,0)</f>
        <v/>
      </c>
    </row>
    <row r="1059">
      <c r="A1059" t="inlineStr">
        <is>
          <t>2026-04</t>
        </is>
      </c>
      <c r="B1059" t="inlineStr">
        <is>
          <t>HOSP-2</t>
        </is>
      </c>
      <c r="C1059" t="inlineStr">
        <is>
          <t>SS-01126</t>
        </is>
      </c>
      <c r="D1059" t="n">
        <v>0</v>
      </c>
      <c r="E1059" t="n">
        <v>0</v>
      </c>
      <c r="G1059">
        <f>IF(AND(A1059&gt;=Inputs!$B$5,A1059&lt;=Inputs!$B$6),1,0)</f>
        <v/>
      </c>
    </row>
    <row r="1060">
      <c r="A1060" t="inlineStr">
        <is>
          <t>2026-04</t>
        </is>
      </c>
      <c r="B1060" t="inlineStr">
        <is>
          <t>HOSP-3</t>
        </is>
      </c>
      <c r="C1060" t="inlineStr">
        <is>
          <t>SS-01127</t>
        </is>
      </c>
      <c r="D1060" t="n">
        <v>12</v>
      </c>
      <c r="E1060" t="n">
        <v>0</v>
      </c>
      <c r="G1060">
        <f>IF(AND(A1060&gt;=Inputs!$B$5,A1060&lt;=Inputs!$B$6),1,0)</f>
        <v/>
      </c>
    </row>
    <row r="1061">
      <c r="A1061" t="inlineStr">
        <is>
          <t>2026-04</t>
        </is>
      </c>
      <c r="B1061" t="inlineStr">
        <is>
          <t>HOSP-4</t>
        </is>
      </c>
      <c r="C1061" t="inlineStr">
        <is>
          <t>SS-01128</t>
        </is>
      </c>
      <c r="D1061" t="n">
        <v>24</v>
      </c>
      <c r="E1061" t="n">
        <v>0</v>
      </c>
      <c r="G1061">
        <f>IF(AND(A1061&gt;=Inputs!$B$5,A1061&lt;=Inputs!$B$6),1,0)</f>
        <v/>
      </c>
    </row>
    <row r="1062">
      <c r="A1062" t="inlineStr">
        <is>
          <t>2026-04</t>
        </is>
      </c>
      <c r="B1062" t="inlineStr">
        <is>
          <t>HOSP-1</t>
        </is>
      </c>
      <c r="C1062" t="inlineStr">
        <is>
          <t>SS-01129</t>
        </is>
      </c>
      <c r="D1062" t="n">
        <v>4</v>
      </c>
      <c r="E1062" t="n">
        <v>0</v>
      </c>
      <c r="G1062">
        <f>IF(AND(A1062&gt;=Inputs!$B$5,A1062&lt;=Inputs!$B$6),1,0)</f>
        <v/>
      </c>
    </row>
    <row r="1063">
      <c r="A1063" t="inlineStr">
        <is>
          <t>2026-04</t>
        </is>
      </c>
      <c r="B1063" t="inlineStr">
        <is>
          <t>HOSP-2</t>
        </is>
      </c>
      <c r="C1063" t="inlineStr">
        <is>
          <t>SS-01130</t>
        </is>
      </c>
      <c r="D1063" t="n">
        <v>0</v>
      </c>
      <c r="E1063" t="n">
        <v>0</v>
      </c>
      <c r="G1063">
        <f>IF(AND(A1063&gt;=Inputs!$B$5,A1063&lt;=Inputs!$B$6),1,0)</f>
        <v/>
      </c>
    </row>
    <row r="1064">
      <c r="A1064" t="inlineStr">
        <is>
          <t>2026-04</t>
        </is>
      </c>
      <c r="B1064" t="inlineStr">
        <is>
          <t>HOSP-3</t>
        </is>
      </c>
      <c r="C1064" t="inlineStr">
        <is>
          <t>SS-01131</t>
        </is>
      </c>
      <c r="D1064" t="n">
        <v>0</v>
      </c>
      <c r="E1064" t="n">
        <v>0</v>
      </c>
      <c r="G1064">
        <f>IF(AND(A1064&gt;=Inputs!$B$5,A1064&lt;=Inputs!$B$6),1,0)</f>
        <v/>
      </c>
    </row>
    <row r="1065">
      <c r="A1065" t="inlineStr">
        <is>
          <t>2026-04</t>
        </is>
      </c>
      <c r="B1065" t="inlineStr">
        <is>
          <t>HOSP-4</t>
        </is>
      </c>
      <c r="C1065" t="inlineStr">
        <is>
          <t>SS-01132</t>
        </is>
      </c>
      <c r="D1065" t="n">
        <v>7</v>
      </c>
      <c r="E1065" t="n">
        <v>0</v>
      </c>
      <c r="G1065">
        <f>IF(AND(A1065&gt;=Inputs!$B$5,A1065&lt;=Inputs!$B$6),1,0)</f>
        <v/>
      </c>
    </row>
    <row r="1066">
      <c r="A1066" t="inlineStr">
        <is>
          <t>2026-04</t>
        </is>
      </c>
      <c r="B1066" t="inlineStr">
        <is>
          <t>HOSP-1</t>
        </is>
      </c>
      <c r="C1066" t="inlineStr">
        <is>
          <t>SS-01133</t>
        </is>
      </c>
      <c r="D1066" t="n">
        <v>12</v>
      </c>
      <c r="E1066" t="n">
        <v>0</v>
      </c>
      <c r="G1066">
        <f>IF(AND(A1066&gt;=Inputs!$B$5,A1066&lt;=Inputs!$B$6),1,0)</f>
        <v/>
      </c>
    </row>
    <row r="1067">
      <c r="A1067" t="inlineStr">
        <is>
          <t>2026-04</t>
        </is>
      </c>
      <c r="B1067" t="inlineStr">
        <is>
          <t>HOSP-2</t>
        </is>
      </c>
      <c r="C1067" t="inlineStr">
        <is>
          <t>SS-01134</t>
        </is>
      </c>
      <c r="D1067" t="n">
        <v>12</v>
      </c>
      <c r="E1067" t="n">
        <v>0</v>
      </c>
      <c r="G1067">
        <f>IF(AND(A1067&gt;=Inputs!$B$5,A1067&lt;=Inputs!$B$6),1,0)</f>
        <v/>
      </c>
    </row>
    <row r="1068">
      <c r="A1068" t="inlineStr">
        <is>
          <t>2026-04</t>
        </is>
      </c>
      <c r="B1068" t="inlineStr">
        <is>
          <t>HOSP-3</t>
        </is>
      </c>
      <c r="C1068" t="inlineStr">
        <is>
          <t>SS-01135</t>
        </is>
      </c>
      <c r="D1068" t="n">
        <v>2</v>
      </c>
      <c r="E1068" t="n">
        <v>1</v>
      </c>
      <c r="G1068">
        <f>IF(AND(A1068&gt;=Inputs!$B$5,A1068&lt;=Inputs!$B$6),1,0)</f>
        <v/>
      </c>
    </row>
    <row r="1069">
      <c r="A1069" t="inlineStr">
        <is>
          <t>2026-04</t>
        </is>
      </c>
      <c r="B1069" t="inlineStr">
        <is>
          <t>HOSP-4</t>
        </is>
      </c>
      <c r="C1069" t="inlineStr">
        <is>
          <t>SS-01136</t>
        </is>
      </c>
      <c r="D1069" t="n">
        <v>12</v>
      </c>
      <c r="E1069" t="n">
        <v>0</v>
      </c>
      <c r="G1069">
        <f>IF(AND(A1069&gt;=Inputs!$B$5,A1069&lt;=Inputs!$B$6),1,0)</f>
        <v/>
      </c>
    </row>
    <row r="1070">
      <c r="A1070" t="inlineStr">
        <is>
          <t>2026-04</t>
        </is>
      </c>
      <c r="B1070" t="inlineStr">
        <is>
          <t>HOSP-1</t>
        </is>
      </c>
      <c r="C1070" t="inlineStr">
        <is>
          <t>SS-01137</t>
        </is>
      </c>
      <c r="D1070" t="n">
        <v>12</v>
      </c>
      <c r="E1070" t="n">
        <v>0</v>
      </c>
      <c r="G1070">
        <f>IF(AND(A1070&gt;=Inputs!$B$5,A1070&lt;=Inputs!$B$6),1,0)</f>
        <v/>
      </c>
    </row>
    <row r="1071">
      <c r="A1071" t="inlineStr">
        <is>
          <t>2026-04</t>
        </is>
      </c>
      <c r="B1071" t="inlineStr">
        <is>
          <t>HOSP-2</t>
        </is>
      </c>
      <c r="C1071" t="inlineStr">
        <is>
          <t>SS-01065</t>
        </is>
      </c>
      <c r="D1071" t="n">
        <v>0</v>
      </c>
      <c r="E1071" t="n">
        <v>3</v>
      </c>
      <c r="G1071">
        <f>IF(AND(A1071&gt;=Inputs!$B$5,A1071&lt;=Inputs!$B$6),1,0)</f>
        <v/>
      </c>
    </row>
    <row r="1072">
      <c r="A1072" t="inlineStr">
        <is>
          <t>2026-04</t>
        </is>
      </c>
      <c r="B1072" t="inlineStr">
        <is>
          <t>HOSP-3</t>
        </is>
      </c>
      <c r="C1072" t="inlineStr">
        <is>
          <t>SS-01139</t>
        </is>
      </c>
      <c r="D1072" t="n">
        <v>12</v>
      </c>
      <c r="E1072" t="n">
        <v>0</v>
      </c>
      <c r="G1072">
        <f>IF(AND(A1072&gt;=Inputs!$B$5,A1072&lt;=Inputs!$B$6),1,0)</f>
        <v/>
      </c>
    </row>
    <row r="1073">
      <c r="A1073" t="inlineStr">
        <is>
          <t>2026-04</t>
        </is>
      </c>
      <c r="B1073" t="inlineStr">
        <is>
          <t>HOSP-4</t>
        </is>
      </c>
      <c r="C1073" t="inlineStr">
        <is>
          <t>SS-01140</t>
        </is>
      </c>
      <c r="D1073" t="n">
        <v>24</v>
      </c>
      <c r="E1073" t="n">
        <v>0</v>
      </c>
      <c r="G1073">
        <f>IF(AND(A1073&gt;=Inputs!$B$5,A1073&lt;=Inputs!$B$6),1,0)</f>
        <v/>
      </c>
    </row>
    <row r="1074">
      <c r="A1074" t="inlineStr">
        <is>
          <t>2026-04</t>
        </is>
      </c>
      <c r="B1074" t="inlineStr">
        <is>
          <t>HOSP-1</t>
        </is>
      </c>
      <c r="C1074" t="inlineStr">
        <is>
          <t>SS-01141</t>
        </is>
      </c>
      <c r="D1074" t="n">
        <v>24</v>
      </c>
      <c r="E1074" t="n">
        <v>0</v>
      </c>
      <c r="G1074">
        <f>IF(AND(A1074&gt;=Inputs!$B$5,A1074&lt;=Inputs!$B$6),1,0)</f>
        <v/>
      </c>
    </row>
    <row r="1075">
      <c r="A1075" t="inlineStr">
        <is>
          <t>2026-04</t>
        </is>
      </c>
      <c r="B1075" t="inlineStr">
        <is>
          <t>HOSP-2</t>
        </is>
      </c>
      <c r="C1075" t="inlineStr">
        <is>
          <t>SS-01142</t>
        </is>
      </c>
      <c r="D1075" t="n">
        <v>180</v>
      </c>
      <c r="E1075" t="n">
        <v>0</v>
      </c>
      <c r="G1075">
        <f>IF(AND(A1075&gt;=Inputs!$B$5,A1075&lt;=Inputs!$B$6),1,0)</f>
        <v/>
      </c>
    </row>
    <row r="1076">
      <c r="A1076" t="inlineStr">
        <is>
          <t>2026-04</t>
        </is>
      </c>
      <c r="B1076" t="inlineStr">
        <is>
          <t>HOSP-3</t>
        </is>
      </c>
      <c r="C1076" t="inlineStr">
        <is>
          <t>SS-01143</t>
        </is>
      </c>
      <c r="D1076" t="n">
        <v>48</v>
      </c>
      <c r="E1076" t="n">
        <v>0</v>
      </c>
      <c r="G1076">
        <f>IF(AND(A1076&gt;=Inputs!$B$5,A1076&lt;=Inputs!$B$6),1,0)</f>
        <v/>
      </c>
    </row>
    <row r="1077">
      <c r="A1077" t="inlineStr">
        <is>
          <t>2026-04</t>
        </is>
      </c>
      <c r="B1077" t="inlineStr">
        <is>
          <t>HOSP-4</t>
        </is>
      </c>
      <c r="C1077" t="inlineStr">
        <is>
          <t>SS-01144</t>
        </is>
      </c>
      <c r="D1077" t="n">
        <v>0</v>
      </c>
      <c r="E1077" t="n">
        <v>1</v>
      </c>
      <c r="G1077">
        <f>IF(AND(A1077&gt;=Inputs!$B$5,A1077&lt;=Inputs!$B$6),1,0)</f>
        <v/>
      </c>
    </row>
    <row r="1078">
      <c r="A1078" t="inlineStr">
        <is>
          <t>2026-04</t>
        </is>
      </c>
      <c r="B1078" t="inlineStr">
        <is>
          <t>HOSP-1</t>
        </is>
      </c>
      <c r="C1078" t="inlineStr">
        <is>
          <t>SS-01145</t>
        </is>
      </c>
      <c r="D1078" t="n">
        <v>60</v>
      </c>
      <c r="E1078" t="n">
        <v>0</v>
      </c>
      <c r="G1078">
        <f>IF(AND(A1078&gt;=Inputs!$B$5,A1078&lt;=Inputs!$B$6),1,0)</f>
        <v/>
      </c>
    </row>
    <row r="1079">
      <c r="A1079" t="inlineStr">
        <is>
          <t>2026-04</t>
        </is>
      </c>
      <c r="B1079" t="inlineStr">
        <is>
          <t>HOSP-2</t>
        </is>
      </c>
      <c r="C1079" t="inlineStr">
        <is>
          <t>SS-01146</t>
        </is>
      </c>
      <c r="D1079" t="n">
        <v>72</v>
      </c>
      <c r="E1079" t="n">
        <v>0</v>
      </c>
      <c r="G1079">
        <f>IF(AND(A1079&gt;=Inputs!$B$5,A1079&lt;=Inputs!$B$6),1,0)</f>
        <v/>
      </c>
    </row>
    <row r="1080">
      <c r="A1080" t="inlineStr">
        <is>
          <t>2026-04</t>
        </is>
      </c>
      <c r="B1080" t="inlineStr">
        <is>
          <t>HOSP-3</t>
        </is>
      </c>
      <c r="C1080" t="inlineStr">
        <is>
          <t>SS-01147</t>
        </is>
      </c>
      <c r="D1080" t="n">
        <v>0</v>
      </c>
      <c r="E1080" t="n">
        <v>0</v>
      </c>
      <c r="G1080">
        <f>IF(AND(A1080&gt;=Inputs!$B$5,A1080&lt;=Inputs!$B$6),1,0)</f>
        <v/>
      </c>
    </row>
    <row r="1081">
      <c r="A1081" t="inlineStr">
        <is>
          <t>2026-04</t>
        </is>
      </c>
      <c r="B1081" t="inlineStr">
        <is>
          <t>HOSP-4</t>
        </is>
      </c>
      <c r="C1081" t="inlineStr">
        <is>
          <t>SS-01148</t>
        </is>
      </c>
      <c r="D1081" t="n">
        <v>0</v>
      </c>
      <c r="E1081" t="n">
        <v>0</v>
      </c>
      <c r="G1081">
        <f>IF(AND(A1081&gt;=Inputs!$B$5,A1081&lt;=Inputs!$B$6),1,0)</f>
        <v/>
      </c>
    </row>
    <row r="1082">
      <c r="A1082" t="inlineStr">
        <is>
          <t>2026-04</t>
        </is>
      </c>
      <c r="B1082" t="inlineStr">
        <is>
          <t>HOSP-1</t>
        </is>
      </c>
      <c r="C1082" t="inlineStr">
        <is>
          <t>SS-01198</t>
        </is>
      </c>
      <c r="D1082" t="n">
        <v>9</v>
      </c>
      <c r="E1082" t="n">
        <v>1</v>
      </c>
      <c r="G1082">
        <f>IF(AND(A1082&gt;=Inputs!$B$5,A1082&lt;=Inputs!$B$6),1,0)</f>
        <v/>
      </c>
    </row>
    <row r="1083">
      <c r="A1083" t="inlineStr">
        <is>
          <t>2026-04</t>
        </is>
      </c>
      <c r="B1083" t="inlineStr">
        <is>
          <t>HOSP-2</t>
        </is>
      </c>
      <c r="C1083" t="inlineStr">
        <is>
          <t>SS-01150</t>
        </is>
      </c>
      <c r="D1083" t="n">
        <v>16</v>
      </c>
      <c r="E1083" t="n">
        <v>0</v>
      </c>
      <c r="G1083">
        <f>IF(AND(A1083&gt;=Inputs!$B$5,A1083&lt;=Inputs!$B$6),1,0)</f>
        <v/>
      </c>
    </row>
    <row r="1084">
      <c r="A1084" t="inlineStr">
        <is>
          <t>2026-04</t>
        </is>
      </c>
      <c r="B1084" t="inlineStr">
        <is>
          <t>HOSP-3</t>
        </is>
      </c>
      <c r="C1084" t="inlineStr">
        <is>
          <t>SS-01151</t>
        </is>
      </c>
      <c r="D1084" t="n">
        <v>77</v>
      </c>
      <c r="E1084" t="n">
        <v>0</v>
      </c>
      <c r="G1084">
        <f>IF(AND(A1084&gt;=Inputs!$B$5,A1084&lt;=Inputs!$B$6),1,0)</f>
        <v/>
      </c>
    </row>
    <row r="1085">
      <c r="A1085" t="inlineStr">
        <is>
          <t>2026-04</t>
        </is>
      </c>
      <c r="B1085" t="inlineStr">
        <is>
          <t>HOSP-4</t>
        </is>
      </c>
      <c r="C1085" t="inlineStr">
        <is>
          <t>SS-01152</t>
        </is>
      </c>
      <c r="D1085" t="n">
        <v>132</v>
      </c>
      <c r="E1085" t="n">
        <v>0</v>
      </c>
      <c r="G1085">
        <f>IF(AND(A1085&gt;=Inputs!$B$5,A1085&lt;=Inputs!$B$6),1,0)</f>
        <v/>
      </c>
    </row>
    <row r="1086">
      <c r="A1086" t="inlineStr">
        <is>
          <t>2026-04</t>
        </is>
      </c>
      <c r="B1086" t="inlineStr">
        <is>
          <t>HOSP-1</t>
        </is>
      </c>
      <c r="C1086" t="inlineStr">
        <is>
          <t>SS-01153</t>
        </is>
      </c>
      <c r="D1086" t="n">
        <v>96</v>
      </c>
      <c r="E1086" t="n">
        <v>0</v>
      </c>
      <c r="G1086">
        <f>IF(AND(A1086&gt;=Inputs!$B$5,A1086&lt;=Inputs!$B$6),1,0)</f>
        <v/>
      </c>
    </row>
    <row r="1087">
      <c r="A1087" t="inlineStr">
        <is>
          <t>2026-04</t>
        </is>
      </c>
      <c r="B1087" t="inlineStr">
        <is>
          <t>HOSP-2</t>
        </is>
      </c>
      <c r="C1087" t="inlineStr">
        <is>
          <t>SS-01154</t>
        </is>
      </c>
      <c r="D1087" t="n">
        <v>0</v>
      </c>
      <c r="E1087" t="n">
        <v>0</v>
      </c>
      <c r="G1087">
        <f>IF(AND(A1087&gt;=Inputs!$B$5,A1087&lt;=Inputs!$B$6),1,0)</f>
        <v/>
      </c>
    </row>
    <row r="1088">
      <c r="A1088" t="inlineStr">
        <is>
          <t>2026-04</t>
        </is>
      </c>
      <c r="B1088" t="inlineStr">
        <is>
          <t>HOSP-3</t>
        </is>
      </c>
      <c r="C1088" t="inlineStr">
        <is>
          <t>SS-01155</t>
        </is>
      </c>
      <c r="D1088" t="n">
        <v>36</v>
      </c>
      <c r="E1088" t="n">
        <v>0</v>
      </c>
      <c r="G1088">
        <f>IF(AND(A1088&gt;=Inputs!$B$5,A1088&lt;=Inputs!$B$6),1,0)</f>
        <v/>
      </c>
    </row>
    <row r="1089">
      <c r="A1089" t="inlineStr">
        <is>
          <t>2026-04</t>
        </is>
      </c>
      <c r="B1089" t="inlineStr">
        <is>
          <t>HOSP-4</t>
        </is>
      </c>
      <c r="C1089" t="inlineStr">
        <is>
          <t>SS-01156</t>
        </is>
      </c>
      <c r="D1089" t="n">
        <v>12</v>
      </c>
      <c r="E1089" t="n">
        <v>0</v>
      </c>
      <c r="G1089">
        <f>IF(AND(A1089&gt;=Inputs!$B$5,A1089&lt;=Inputs!$B$6),1,0)</f>
        <v/>
      </c>
    </row>
    <row r="1090">
      <c r="A1090" t="inlineStr">
        <is>
          <t>2026-04</t>
        </is>
      </c>
      <c r="B1090" t="inlineStr">
        <is>
          <t>HOSP-1</t>
        </is>
      </c>
      <c r="C1090" t="inlineStr">
        <is>
          <t>SS-01157</t>
        </is>
      </c>
      <c r="D1090" t="n">
        <v>12</v>
      </c>
      <c r="E1090" t="n">
        <v>0</v>
      </c>
      <c r="G1090">
        <f>IF(AND(A1090&gt;=Inputs!$B$5,A1090&lt;=Inputs!$B$6),1,0)</f>
        <v/>
      </c>
    </row>
    <row r="1091">
      <c r="A1091" t="inlineStr">
        <is>
          <t>2026-04</t>
        </is>
      </c>
      <c r="B1091" t="inlineStr">
        <is>
          <t>HOSP-2</t>
        </is>
      </c>
      <c r="C1091" t="inlineStr">
        <is>
          <t>SS-01158</t>
        </is>
      </c>
      <c r="D1091" t="n">
        <v>72</v>
      </c>
      <c r="E1091" t="n">
        <v>0</v>
      </c>
      <c r="G1091">
        <f>IF(AND(A1091&gt;=Inputs!$B$5,A1091&lt;=Inputs!$B$6),1,0)</f>
        <v/>
      </c>
    </row>
    <row r="1092">
      <c r="A1092" t="inlineStr">
        <is>
          <t>2026-04</t>
        </is>
      </c>
      <c r="B1092" t="inlineStr">
        <is>
          <t>HOSP-3</t>
        </is>
      </c>
      <c r="C1092" t="inlineStr">
        <is>
          <t>SS-01159</t>
        </is>
      </c>
      <c r="D1092" t="n">
        <v>41</v>
      </c>
      <c r="E1092" t="n">
        <v>5</v>
      </c>
      <c r="G1092">
        <f>IF(AND(A1092&gt;=Inputs!$B$5,A1092&lt;=Inputs!$B$6),1,0)</f>
        <v/>
      </c>
    </row>
    <row r="1093">
      <c r="A1093" t="inlineStr">
        <is>
          <t>2026-04</t>
        </is>
      </c>
      <c r="B1093" t="inlineStr">
        <is>
          <t>HOSP-4</t>
        </is>
      </c>
      <c r="C1093" t="inlineStr">
        <is>
          <t>SS-01160</t>
        </is>
      </c>
      <c r="D1093" t="n">
        <v>41</v>
      </c>
      <c r="E1093" t="n">
        <v>1</v>
      </c>
      <c r="G1093">
        <f>IF(AND(A1093&gt;=Inputs!$B$5,A1093&lt;=Inputs!$B$6),1,0)</f>
        <v/>
      </c>
    </row>
    <row r="1094">
      <c r="A1094" t="inlineStr">
        <is>
          <t>2026-04</t>
        </is>
      </c>
      <c r="B1094" t="inlineStr">
        <is>
          <t>HOSP-1</t>
        </is>
      </c>
      <c r="C1094" t="inlineStr">
        <is>
          <t>SS-01161</t>
        </is>
      </c>
      <c r="D1094" t="n">
        <v>24</v>
      </c>
      <c r="E1094" t="n">
        <v>0</v>
      </c>
      <c r="G1094">
        <f>IF(AND(A1094&gt;=Inputs!$B$5,A1094&lt;=Inputs!$B$6),1,0)</f>
        <v/>
      </c>
    </row>
    <row r="1095">
      <c r="A1095" t="inlineStr">
        <is>
          <t>2026-04</t>
        </is>
      </c>
      <c r="B1095" t="inlineStr">
        <is>
          <t>HOSP-2</t>
        </is>
      </c>
      <c r="C1095" t="inlineStr">
        <is>
          <t>SS-01162</t>
        </is>
      </c>
      <c r="D1095" t="n">
        <v>0</v>
      </c>
      <c r="E1095" t="n">
        <v>0</v>
      </c>
      <c r="G1095">
        <f>IF(AND(A1095&gt;=Inputs!$B$5,A1095&lt;=Inputs!$B$6),1,0)</f>
        <v/>
      </c>
    </row>
    <row r="1096">
      <c r="A1096" t="inlineStr">
        <is>
          <t>2026-04</t>
        </is>
      </c>
      <c r="B1096" t="inlineStr">
        <is>
          <t>HOSP-3</t>
        </is>
      </c>
      <c r="C1096" t="inlineStr">
        <is>
          <t>SS-01163</t>
        </is>
      </c>
      <c r="D1096" t="n">
        <v>24</v>
      </c>
      <c r="E1096" t="n">
        <v>0</v>
      </c>
      <c r="G1096">
        <f>IF(AND(A1096&gt;=Inputs!$B$5,A1096&lt;=Inputs!$B$6),1,0)</f>
        <v/>
      </c>
    </row>
    <row r="1097">
      <c r="A1097" t="inlineStr">
        <is>
          <t>2026-04</t>
        </is>
      </c>
      <c r="B1097" t="inlineStr">
        <is>
          <t>HOSP-4</t>
        </is>
      </c>
      <c r="C1097" t="inlineStr">
        <is>
          <t>SS-01164</t>
        </is>
      </c>
      <c r="D1097" t="n">
        <v>0</v>
      </c>
      <c r="E1097" t="n">
        <v>0</v>
      </c>
      <c r="G1097">
        <f>IF(AND(A1097&gt;=Inputs!$B$5,A1097&lt;=Inputs!$B$6),1,0)</f>
        <v/>
      </c>
    </row>
    <row r="1098">
      <c r="A1098" t="inlineStr">
        <is>
          <t>2026-04</t>
        </is>
      </c>
      <c r="B1098" t="inlineStr">
        <is>
          <t>HOSP-1</t>
        </is>
      </c>
      <c r="C1098" t="inlineStr">
        <is>
          <t>SS-01165</t>
        </is>
      </c>
      <c r="D1098" t="n">
        <v>12</v>
      </c>
      <c r="E1098" t="n">
        <v>0</v>
      </c>
      <c r="G1098">
        <f>IF(AND(A1098&gt;=Inputs!$B$5,A1098&lt;=Inputs!$B$6),1,0)</f>
        <v/>
      </c>
    </row>
    <row r="1099">
      <c r="A1099" t="inlineStr">
        <is>
          <t>2026-04</t>
        </is>
      </c>
      <c r="B1099" t="inlineStr">
        <is>
          <t>HOSP-2</t>
        </is>
      </c>
      <c r="C1099" t="inlineStr">
        <is>
          <t>SS-01166</t>
        </is>
      </c>
      <c r="D1099" t="n">
        <v>8</v>
      </c>
      <c r="E1099" t="n">
        <v>0</v>
      </c>
      <c r="G1099">
        <f>IF(AND(A1099&gt;=Inputs!$B$5,A1099&lt;=Inputs!$B$6),1,0)</f>
        <v/>
      </c>
    </row>
    <row r="1100">
      <c r="A1100" t="inlineStr">
        <is>
          <t>2026-04</t>
        </is>
      </c>
      <c r="B1100" t="inlineStr">
        <is>
          <t>HOSP-3</t>
        </is>
      </c>
      <c r="C1100" t="inlineStr">
        <is>
          <t>SS-01167</t>
        </is>
      </c>
      <c r="D1100" t="n">
        <v>15</v>
      </c>
      <c r="E1100" t="n">
        <v>0</v>
      </c>
      <c r="G1100">
        <f>IF(AND(A1100&gt;=Inputs!$B$5,A1100&lt;=Inputs!$B$6),1,0)</f>
        <v/>
      </c>
    </row>
    <row r="1101">
      <c r="A1101" t="inlineStr">
        <is>
          <t>2026-04</t>
        </is>
      </c>
      <c r="B1101" t="inlineStr">
        <is>
          <t>HOSP-4</t>
        </is>
      </c>
      <c r="C1101" t="inlineStr">
        <is>
          <t>SS-01168</t>
        </is>
      </c>
      <c r="D1101" t="n">
        <v>12</v>
      </c>
      <c r="E1101" t="n">
        <v>0</v>
      </c>
      <c r="G1101">
        <f>IF(AND(A1101&gt;=Inputs!$B$5,A1101&lt;=Inputs!$B$6),1,0)</f>
        <v/>
      </c>
    </row>
    <row r="1102">
      <c r="A1102" t="inlineStr">
        <is>
          <t>2026-04</t>
        </is>
      </c>
      <c r="B1102" t="inlineStr">
        <is>
          <t>HOSP-1</t>
        </is>
      </c>
      <c r="C1102" t="inlineStr">
        <is>
          <t>SS-01226</t>
        </is>
      </c>
      <c r="D1102" t="n">
        <v>12</v>
      </c>
      <c r="E1102" t="n">
        <v>0</v>
      </c>
      <c r="G1102">
        <f>IF(AND(A1102&gt;=Inputs!$B$5,A1102&lt;=Inputs!$B$6),1,0)</f>
        <v/>
      </c>
    </row>
    <row r="1103">
      <c r="A1103" t="inlineStr">
        <is>
          <t>2026-04</t>
        </is>
      </c>
      <c r="B1103" t="inlineStr">
        <is>
          <t>HOSP-2</t>
        </is>
      </c>
      <c r="C1103" t="inlineStr">
        <is>
          <t>SS-01170</t>
        </is>
      </c>
      <c r="D1103" t="n">
        <v>12</v>
      </c>
      <c r="E1103" t="n">
        <v>0</v>
      </c>
      <c r="G1103">
        <f>IF(AND(A1103&gt;=Inputs!$B$5,A1103&lt;=Inputs!$B$6),1,0)</f>
        <v/>
      </c>
    </row>
    <row r="1104">
      <c r="A1104" t="inlineStr">
        <is>
          <t>2026-04</t>
        </is>
      </c>
      <c r="B1104" t="inlineStr">
        <is>
          <t>HOSP-3</t>
        </is>
      </c>
      <c r="C1104" t="inlineStr">
        <is>
          <t>SS-01171</t>
        </is>
      </c>
      <c r="D1104" t="n">
        <v>36</v>
      </c>
      <c r="E1104" t="n">
        <v>0</v>
      </c>
      <c r="G1104">
        <f>IF(AND(A1104&gt;=Inputs!$B$5,A1104&lt;=Inputs!$B$6),1,0)</f>
        <v/>
      </c>
    </row>
    <row r="1105">
      <c r="A1105" t="inlineStr">
        <is>
          <t>2026-04</t>
        </is>
      </c>
      <c r="B1105" t="inlineStr">
        <is>
          <t>HOSP-4</t>
        </is>
      </c>
      <c r="C1105" t="inlineStr">
        <is>
          <t>SS-01172</t>
        </is>
      </c>
      <c r="D1105" t="n">
        <v>12</v>
      </c>
      <c r="E1105" t="n">
        <v>0</v>
      </c>
      <c r="G1105">
        <f>IF(AND(A1105&gt;=Inputs!$B$5,A1105&lt;=Inputs!$B$6),1,0)</f>
        <v/>
      </c>
    </row>
    <row r="1106">
      <c r="A1106" t="inlineStr">
        <is>
          <t>2026-04</t>
        </is>
      </c>
      <c r="B1106" t="inlineStr">
        <is>
          <t>HOSP-1</t>
        </is>
      </c>
      <c r="C1106" t="inlineStr">
        <is>
          <t>SS-01173</t>
        </is>
      </c>
      <c r="D1106" t="n">
        <v>12</v>
      </c>
      <c r="E1106" t="n">
        <v>0</v>
      </c>
      <c r="G1106">
        <f>IF(AND(A1106&gt;=Inputs!$B$5,A1106&lt;=Inputs!$B$6),1,0)</f>
        <v/>
      </c>
    </row>
    <row r="1107">
      <c r="A1107" t="inlineStr">
        <is>
          <t>2026-04</t>
        </is>
      </c>
      <c r="B1107" t="inlineStr">
        <is>
          <t>HOSP-2</t>
        </is>
      </c>
      <c r="C1107" t="inlineStr">
        <is>
          <t>SS-01174</t>
        </is>
      </c>
      <c r="D1107" t="n">
        <v>12</v>
      </c>
      <c r="E1107" t="n">
        <v>0</v>
      </c>
      <c r="G1107">
        <f>IF(AND(A1107&gt;=Inputs!$B$5,A1107&lt;=Inputs!$B$6),1,0)</f>
        <v/>
      </c>
    </row>
    <row r="1108">
      <c r="A1108" t="inlineStr">
        <is>
          <t>2026-04</t>
        </is>
      </c>
      <c r="B1108" t="inlineStr">
        <is>
          <t>HOSP-3</t>
        </is>
      </c>
      <c r="C1108" t="inlineStr">
        <is>
          <t>SS-01175</t>
        </is>
      </c>
      <c r="D1108" t="n">
        <v>60</v>
      </c>
      <c r="E1108" t="n">
        <v>0</v>
      </c>
      <c r="G1108">
        <f>IF(AND(A1108&gt;=Inputs!$B$5,A1108&lt;=Inputs!$B$6),1,0)</f>
        <v/>
      </c>
    </row>
    <row r="1109">
      <c r="A1109" t="inlineStr">
        <is>
          <t>2026-04</t>
        </is>
      </c>
      <c r="B1109" t="inlineStr">
        <is>
          <t>HOSP-4</t>
        </is>
      </c>
      <c r="C1109" t="inlineStr">
        <is>
          <t>SS-01176</t>
        </is>
      </c>
      <c r="D1109" t="n">
        <v>12</v>
      </c>
      <c r="E1109" t="n">
        <v>0</v>
      </c>
      <c r="G1109">
        <f>IF(AND(A1109&gt;=Inputs!$B$5,A1109&lt;=Inputs!$B$6),1,0)</f>
        <v/>
      </c>
    </row>
    <row r="1110">
      <c r="A1110" t="inlineStr">
        <is>
          <t>2026-04</t>
        </is>
      </c>
      <c r="B1110" t="inlineStr">
        <is>
          <t>HOSP-1</t>
        </is>
      </c>
      <c r="C1110" t="inlineStr">
        <is>
          <t>SS-01177</t>
        </is>
      </c>
      <c r="D1110" t="n">
        <v>36</v>
      </c>
      <c r="E1110" t="n">
        <v>0</v>
      </c>
      <c r="G1110">
        <f>IF(AND(A1110&gt;=Inputs!$B$5,A1110&lt;=Inputs!$B$6),1,0)</f>
        <v/>
      </c>
    </row>
    <row r="1111">
      <c r="A1111" t="inlineStr">
        <is>
          <t>2026-04</t>
        </is>
      </c>
      <c r="B1111" t="inlineStr">
        <is>
          <t>HOSP-2</t>
        </is>
      </c>
      <c r="C1111" t="inlineStr">
        <is>
          <t>SS-01178</t>
        </is>
      </c>
      <c r="D1111" t="n">
        <v>0</v>
      </c>
      <c r="E1111" t="n">
        <v>1</v>
      </c>
      <c r="G1111">
        <f>IF(AND(A1111&gt;=Inputs!$B$5,A1111&lt;=Inputs!$B$6),1,0)</f>
        <v/>
      </c>
    </row>
    <row r="1112">
      <c r="A1112" t="inlineStr">
        <is>
          <t>2026-04</t>
        </is>
      </c>
      <c r="B1112" t="inlineStr">
        <is>
          <t>HOSP-3</t>
        </is>
      </c>
      <c r="C1112" t="inlineStr">
        <is>
          <t>SS-01179</t>
        </is>
      </c>
      <c r="D1112" t="n">
        <v>0</v>
      </c>
      <c r="E1112" t="n">
        <v>0</v>
      </c>
      <c r="G1112">
        <f>IF(AND(A1112&gt;=Inputs!$B$5,A1112&lt;=Inputs!$B$6),1,0)</f>
        <v/>
      </c>
    </row>
    <row r="1113">
      <c r="A1113" t="inlineStr">
        <is>
          <t>2026-04</t>
        </is>
      </c>
      <c r="B1113" t="inlineStr">
        <is>
          <t>HOSP-4</t>
        </is>
      </c>
      <c r="C1113" t="inlineStr">
        <is>
          <t>SS-01180</t>
        </is>
      </c>
      <c r="D1113" t="n">
        <v>28</v>
      </c>
      <c r="E1113" t="n">
        <v>0</v>
      </c>
      <c r="G1113">
        <f>IF(AND(A1113&gt;=Inputs!$B$5,A1113&lt;=Inputs!$B$6),1,0)</f>
        <v/>
      </c>
    </row>
    <row r="1114">
      <c r="A1114" t="inlineStr">
        <is>
          <t>2026-04</t>
        </is>
      </c>
      <c r="B1114" t="inlineStr">
        <is>
          <t>HOSP-1</t>
        </is>
      </c>
      <c r="C1114" t="inlineStr">
        <is>
          <t>SS-01181</t>
        </is>
      </c>
      <c r="D1114" t="n">
        <v>36</v>
      </c>
      <c r="E1114" t="n">
        <v>0</v>
      </c>
      <c r="G1114">
        <f>IF(AND(A1114&gt;=Inputs!$B$5,A1114&lt;=Inputs!$B$6),1,0)</f>
        <v/>
      </c>
    </row>
    <row r="1115">
      <c r="A1115" t="inlineStr">
        <is>
          <t>2026-04</t>
        </is>
      </c>
      <c r="B1115" t="inlineStr">
        <is>
          <t>HOSP-2</t>
        </is>
      </c>
      <c r="C1115" t="inlineStr">
        <is>
          <t>SS-01182</t>
        </is>
      </c>
      <c r="D1115" t="n">
        <v>12</v>
      </c>
      <c r="E1115" t="n">
        <v>0</v>
      </c>
      <c r="G1115">
        <f>IF(AND(A1115&gt;=Inputs!$B$5,A1115&lt;=Inputs!$B$6),1,0)</f>
        <v/>
      </c>
    </row>
    <row r="1116">
      <c r="A1116" t="inlineStr">
        <is>
          <t>2026-04</t>
        </is>
      </c>
      <c r="B1116" t="inlineStr">
        <is>
          <t>HOSP-3</t>
        </is>
      </c>
      <c r="C1116" t="inlineStr">
        <is>
          <t>SS-01183</t>
        </is>
      </c>
      <c r="D1116" t="n">
        <v>0</v>
      </c>
      <c r="E1116" t="n">
        <v>0</v>
      </c>
      <c r="G1116">
        <f>IF(AND(A1116&gt;=Inputs!$B$5,A1116&lt;=Inputs!$B$6),1,0)</f>
        <v/>
      </c>
    </row>
    <row r="1117">
      <c r="A1117" t="inlineStr">
        <is>
          <t>2026-04</t>
        </is>
      </c>
      <c r="B1117" t="inlineStr">
        <is>
          <t>HOSP-4</t>
        </is>
      </c>
      <c r="C1117" t="inlineStr">
        <is>
          <t>SS-01184</t>
        </is>
      </c>
      <c r="D1117" t="n">
        <v>0</v>
      </c>
      <c r="E1117" t="n">
        <v>0</v>
      </c>
      <c r="G1117">
        <f>IF(AND(A1117&gt;=Inputs!$B$5,A1117&lt;=Inputs!$B$6),1,0)</f>
        <v/>
      </c>
    </row>
    <row r="1118">
      <c r="A1118" t="inlineStr">
        <is>
          <t>2026-04</t>
        </is>
      </c>
      <c r="B1118" t="inlineStr">
        <is>
          <t>HOSP-1</t>
        </is>
      </c>
      <c r="C1118" t="inlineStr">
        <is>
          <t>SS-01185</t>
        </is>
      </c>
      <c r="D1118" t="n">
        <v>144</v>
      </c>
      <c r="E1118" t="n">
        <v>0</v>
      </c>
      <c r="G1118">
        <f>IF(AND(A1118&gt;=Inputs!$B$5,A1118&lt;=Inputs!$B$6),1,0)</f>
        <v/>
      </c>
    </row>
    <row r="1119">
      <c r="A1119" t="inlineStr">
        <is>
          <t>2026-04</t>
        </is>
      </c>
      <c r="B1119" t="inlineStr">
        <is>
          <t>HOSP-2</t>
        </is>
      </c>
      <c r="C1119" t="inlineStr">
        <is>
          <t>SS-01186</t>
        </is>
      </c>
      <c r="D1119" t="n">
        <v>0</v>
      </c>
      <c r="E1119" t="n">
        <v>0</v>
      </c>
      <c r="G1119">
        <f>IF(AND(A1119&gt;=Inputs!$B$5,A1119&lt;=Inputs!$B$6),1,0)</f>
        <v/>
      </c>
    </row>
    <row r="1120">
      <c r="A1120" t="inlineStr">
        <is>
          <t>2026-04</t>
        </is>
      </c>
      <c r="B1120" t="inlineStr">
        <is>
          <t>HOSP-3</t>
        </is>
      </c>
      <c r="C1120" t="inlineStr">
        <is>
          <t>SS-01187</t>
        </is>
      </c>
      <c r="D1120" t="n">
        <v>12</v>
      </c>
      <c r="E1120" t="n">
        <v>0</v>
      </c>
      <c r="G1120">
        <f>IF(AND(A1120&gt;=Inputs!$B$5,A1120&lt;=Inputs!$B$6),1,0)</f>
        <v/>
      </c>
    </row>
    <row r="1121">
      <c r="A1121" t="inlineStr">
        <is>
          <t>2026-04</t>
        </is>
      </c>
      <c r="B1121" t="inlineStr">
        <is>
          <t>HOSP-4</t>
        </is>
      </c>
      <c r="C1121" t="inlineStr">
        <is>
          <t>SS-01188</t>
        </is>
      </c>
      <c r="D1121" t="n">
        <v>34</v>
      </c>
      <c r="E1121" t="n">
        <v>0</v>
      </c>
      <c r="G1121">
        <f>IF(AND(A1121&gt;=Inputs!$B$5,A1121&lt;=Inputs!$B$6),1,0)</f>
        <v/>
      </c>
    </row>
    <row r="1122">
      <c r="A1122" t="inlineStr">
        <is>
          <t>2026-04</t>
        </is>
      </c>
      <c r="B1122" t="inlineStr">
        <is>
          <t>HOSP-1</t>
        </is>
      </c>
      <c r="C1122" t="inlineStr">
        <is>
          <t>SS-01189</t>
        </is>
      </c>
      <c r="D1122" t="n">
        <v>12</v>
      </c>
      <c r="E1122" t="n">
        <v>0</v>
      </c>
      <c r="G1122">
        <f>IF(AND(A1122&gt;=Inputs!$B$5,A1122&lt;=Inputs!$B$6),1,0)</f>
        <v/>
      </c>
    </row>
    <row r="1123">
      <c r="A1123" t="inlineStr">
        <is>
          <t>2026-04</t>
        </is>
      </c>
      <c r="B1123" t="inlineStr">
        <is>
          <t>HOSP-2</t>
        </is>
      </c>
      <c r="C1123" t="inlineStr">
        <is>
          <t>SS-01190</t>
        </is>
      </c>
      <c r="D1123" t="n">
        <v>18</v>
      </c>
      <c r="E1123" t="n">
        <v>0</v>
      </c>
      <c r="G1123">
        <f>IF(AND(A1123&gt;=Inputs!$B$5,A1123&lt;=Inputs!$B$6),1,0)</f>
        <v/>
      </c>
    </row>
    <row r="1124">
      <c r="A1124" t="inlineStr">
        <is>
          <t>2026-04</t>
        </is>
      </c>
      <c r="B1124" t="inlineStr">
        <is>
          <t>HOSP-3</t>
        </is>
      </c>
      <c r="C1124" t="inlineStr">
        <is>
          <t>SS-01191</t>
        </is>
      </c>
      <c r="D1124" t="n">
        <v>9</v>
      </c>
      <c r="E1124" t="n">
        <v>2</v>
      </c>
      <c r="G1124">
        <f>IF(AND(A1124&gt;=Inputs!$B$5,A1124&lt;=Inputs!$B$6),1,0)</f>
        <v/>
      </c>
    </row>
    <row r="1125">
      <c r="A1125" t="inlineStr">
        <is>
          <t>2026-04</t>
        </is>
      </c>
      <c r="B1125" t="inlineStr">
        <is>
          <t>HOSP-4</t>
        </is>
      </c>
      <c r="C1125" t="inlineStr">
        <is>
          <t>SS-01192</t>
        </is>
      </c>
      <c r="D1125" t="n">
        <v>0</v>
      </c>
      <c r="E1125" t="n">
        <v>0</v>
      </c>
      <c r="G1125">
        <f>IF(AND(A1125&gt;=Inputs!$B$5,A1125&lt;=Inputs!$B$6),1,0)</f>
        <v/>
      </c>
    </row>
    <row r="1126">
      <c r="A1126" t="inlineStr">
        <is>
          <t>2026-04</t>
        </is>
      </c>
      <c r="B1126" t="inlineStr">
        <is>
          <t>HOSP-1</t>
        </is>
      </c>
      <c r="C1126" t="inlineStr">
        <is>
          <t>SS-01193</t>
        </is>
      </c>
      <c r="D1126" t="n">
        <v>36</v>
      </c>
      <c r="E1126" t="n">
        <v>0</v>
      </c>
      <c r="G1126">
        <f>IF(AND(A1126&gt;=Inputs!$B$5,A1126&lt;=Inputs!$B$6),1,0)</f>
        <v/>
      </c>
    </row>
    <row r="1127">
      <c r="A1127" t="inlineStr">
        <is>
          <t>2026-04</t>
        </is>
      </c>
      <c r="B1127" t="inlineStr">
        <is>
          <t>HOSP-2</t>
        </is>
      </c>
      <c r="C1127" t="inlineStr">
        <is>
          <t>SS-01194</t>
        </is>
      </c>
      <c r="D1127" t="n">
        <v>0</v>
      </c>
      <c r="E1127" t="n">
        <v>0</v>
      </c>
      <c r="G1127">
        <f>IF(AND(A1127&gt;=Inputs!$B$5,A1127&lt;=Inputs!$B$6),1,0)</f>
        <v/>
      </c>
    </row>
    <row r="1128">
      <c r="A1128" t="inlineStr">
        <is>
          <t>2026-04</t>
        </is>
      </c>
      <c r="B1128" t="inlineStr">
        <is>
          <t>HOSP-3</t>
        </is>
      </c>
      <c r="C1128" t="inlineStr">
        <is>
          <t>SS-01195</t>
        </is>
      </c>
      <c r="D1128" t="n">
        <v>0</v>
      </c>
      <c r="E1128" t="n">
        <v>0</v>
      </c>
      <c r="G1128">
        <f>IF(AND(A1128&gt;=Inputs!$B$5,A1128&lt;=Inputs!$B$6),1,0)</f>
        <v/>
      </c>
    </row>
    <row r="1129">
      <c r="A1129" t="inlineStr">
        <is>
          <t>2026-04</t>
        </is>
      </c>
      <c r="B1129" t="inlineStr">
        <is>
          <t>HOSP-4</t>
        </is>
      </c>
      <c r="C1129" t="inlineStr">
        <is>
          <t>SS-01196</t>
        </is>
      </c>
      <c r="D1129" t="n">
        <v>0</v>
      </c>
      <c r="E1129" t="n">
        <v>0</v>
      </c>
      <c r="G1129">
        <f>IF(AND(A1129&gt;=Inputs!$B$5,A1129&lt;=Inputs!$B$6),1,0)</f>
        <v/>
      </c>
    </row>
    <row r="1130">
      <c r="A1130" t="inlineStr">
        <is>
          <t>2026-04</t>
        </is>
      </c>
      <c r="B1130" t="inlineStr">
        <is>
          <t>HOSP-1</t>
        </is>
      </c>
      <c r="C1130" t="inlineStr">
        <is>
          <t>SS-01197</t>
        </is>
      </c>
      <c r="D1130" t="n">
        <v>360</v>
      </c>
      <c r="E1130" t="n">
        <v>0</v>
      </c>
      <c r="G1130">
        <f>IF(AND(A1130&gt;=Inputs!$B$5,A1130&lt;=Inputs!$B$6),1,0)</f>
        <v/>
      </c>
    </row>
    <row r="1131">
      <c r="A1131" t="inlineStr">
        <is>
          <t>2026-04</t>
        </is>
      </c>
      <c r="B1131" t="inlineStr">
        <is>
          <t>HOSP-2</t>
        </is>
      </c>
      <c r="C1131" t="inlineStr">
        <is>
          <t>SS-01198</t>
        </is>
      </c>
      <c r="D1131" t="n">
        <v>0</v>
      </c>
      <c r="E1131" t="n">
        <v>0</v>
      </c>
      <c r="G1131">
        <f>IF(AND(A1131&gt;=Inputs!$B$5,A1131&lt;=Inputs!$B$6),1,0)</f>
        <v/>
      </c>
    </row>
    <row r="1132">
      <c r="A1132" t="inlineStr">
        <is>
          <t>2026-04</t>
        </is>
      </c>
      <c r="B1132" t="inlineStr">
        <is>
          <t>HOSP-3</t>
        </is>
      </c>
      <c r="C1132" t="inlineStr">
        <is>
          <t>SS-01199</t>
        </is>
      </c>
      <c r="D1132" t="n">
        <v>0</v>
      </c>
      <c r="E1132" t="n">
        <v>0</v>
      </c>
      <c r="G1132">
        <f>IF(AND(A1132&gt;=Inputs!$B$5,A1132&lt;=Inputs!$B$6),1,0)</f>
        <v/>
      </c>
    </row>
    <row r="1133">
      <c r="A1133" t="inlineStr">
        <is>
          <t>2026-04</t>
        </is>
      </c>
      <c r="B1133" t="inlineStr">
        <is>
          <t>HOSP-4</t>
        </is>
      </c>
      <c r="C1133" t="inlineStr">
        <is>
          <t>SS-01001</t>
        </is>
      </c>
      <c r="D1133" t="n">
        <v>9</v>
      </c>
      <c r="E1133" t="n">
        <v>3</v>
      </c>
      <c r="G1133">
        <f>IF(AND(A1133&gt;=Inputs!$B$5,A1133&lt;=Inputs!$B$6),1,0)</f>
        <v/>
      </c>
    </row>
    <row r="1134">
      <c r="A1134" t="inlineStr">
        <is>
          <t>2026-04</t>
        </is>
      </c>
      <c r="B1134" t="inlineStr">
        <is>
          <t>HOSP-1</t>
        </is>
      </c>
      <c r="C1134" t="inlineStr">
        <is>
          <t>SS-01201</t>
        </is>
      </c>
      <c r="D1134" t="n">
        <v>0</v>
      </c>
      <c r="E1134" t="n">
        <v>0</v>
      </c>
      <c r="G1134">
        <f>IF(AND(A1134&gt;=Inputs!$B$5,A1134&lt;=Inputs!$B$6),1,0)</f>
        <v/>
      </c>
    </row>
    <row r="1135">
      <c r="A1135" t="inlineStr">
        <is>
          <t>2026-04</t>
        </is>
      </c>
      <c r="B1135" t="inlineStr">
        <is>
          <t>HOSP-2</t>
        </is>
      </c>
      <c r="C1135" t="inlineStr">
        <is>
          <t>SS-01202</t>
        </is>
      </c>
      <c r="D1135" t="n">
        <v>12</v>
      </c>
      <c r="E1135" t="n">
        <v>0</v>
      </c>
      <c r="G1135">
        <f>IF(AND(A1135&gt;=Inputs!$B$5,A1135&lt;=Inputs!$B$6),1,0)</f>
        <v/>
      </c>
    </row>
    <row r="1136">
      <c r="A1136" t="inlineStr">
        <is>
          <t>2026-04</t>
        </is>
      </c>
      <c r="B1136" t="inlineStr">
        <is>
          <t>HOSP-3</t>
        </is>
      </c>
      <c r="C1136" t="inlineStr">
        <is>
          <t>SS-01203</t>
        </is>
      </c>
      <c r="D1136" t="n">
        <v>48</v>
      </c>
      <c r="E1136" t="n">
        <v>1</v>
      </c>
      <c r="G1136">
        <f>IF(AND(A1136&gt;=Inputs!$B$5,A1136&lt;=Inputs!$B$6),1,0)</f>
        <v/>
      </c>
    </row>
    <row r="1137">
      <c r="A1137" t="inlineStr">
        <is>
          <t>2026-04</t>
        </is>
      </c>
      <c r="B1137" t="inlineStr">
        <is>
          <t>HOSP-4</t>
        </is>
      </c>
      <c r="C1137" t="inlineStr">
        <is>
          <t>SS-01204</t>
        </is>
      </c>
      <c r="D1137" t="n">
        <v>84</v>
      </c>
      <c r="E1137" t="n">
        <v>0</v>
      </c>
      <c r="G1137">
        <f>IF(AND(A1137&gt;=Inputs!$B$5,A1137&lt;=Inputs!$B$6),1,0)</f>
        <v/>
      </c>
    </row>
    <row r="1138">
      <c r="A1138" t="inlineStr">
        <is>
          <t>2026-04</t>
        </is>
      </c>
      <c r="B1138" t="inlineStr">
        <is>
          <t>HOSP-1</t>
        </is>
      </c>
      <c r="C1138" t="inlineStr">
        <is>
          <t>SS-01205</t>
        </is>
      </c>
      <c r="D1138" t="n">
        <v>24</v>
      </c>
      <c r="E1138" t="n">
        <v>0</v>
      </c>
      <c r="G1138">
        <f>IF(AND(A1138&gt;=Inputs!$B$5,A1138&lt;=Inputs!$B$6),1,0)</f>
        <v/>
      </c>
    </row>
    <row r="1139">
      <c r="A1139" t="inlineStr">
        <is>
          <t>2026-04</t>
        </is>
      </c>
      <c r="B1139" t="inlineStr">
        <is>
          <t>HOSP-2</t>
        </is>
      </c>
      <c r="C1139" t="inlineStr">
        <is>
          <t>SS-01206</t>
        </is>
      </c>
      <c r="D1139" t="n">
        <v>36</v>
      </c>
      <c r="E1139" t="n">
        <v>0</v>
      </c>
      <c r="G1139">
        <f>IF(AND(A1139&gt;=Inputs!$B$5,A1139&lt;=Inputs!$B$6),1,0)</f>
        <v/>
      </c>
    </row>
    <row r="1140">
      <c r="A1140" t="inlineStr">
        <is>
          <t>2026-04</t>
        </is>
      </c>
      <c r="B1140" t="inlineStr">
        <is>
          <t>HOSP-3</t>
        </is>
      </c>
      <c r="C1140" t="inlineStr">
        <is>
          <t>SS-01207</t>
        </is>
      </c>
      <c r="D1140" t="n">
        <v>0</v>
      </c>
      <c r="E1140" t="n">
        <v>1</v>
      </c>
      <c r="G1140">
        <f>IF(AND(A1140&gt;=Inputs!$B$5,A1140&lt;=Inputs!$B$6),1,0)</f>
        <v/>
      </c>
    </row>
    <row r="1141">
      <c r="A1141" t="inlineStr">
        <is>
          <t>2026-04</t>
        </is>
      </c>
      <c r="B1141" t="inlineStr">
        <is>
          <t>HOSP-4</t>
        </is>
      </c>
      <c r="C1141" t="inlineStr">
        <is>
          <t>SS-01208</t>
        </is>
      </c>
      <c r="D1141" t="n">
        <v>12</v>
      </c>
      <c r="E1141" t="n">
        <v>0</v>
      </c>
      <c r="G1141">
        <f>IF(AND(A1141&gt;=Inputs!$B$5,A1141&lt;=Inputs!$B$6),1,0)</f>
        <v/>
      </c>
    </row>
    <row r="1142">
      <c r="A1142" t="inlineStr">
        <is>
          <t>2026-04</t>
        </is>
      </c>
      <c r="B1142" t="inlineStr">
        <is>
          <t>HOSP-1</t>
        </is>
      </c>
      <c r="C1142" t="inlineStr">
        <is>
          <t>SS-01209</t>
        </is>
      </c>
      <c r="D1142" t="n">
        <v>0</v>
      </c>
      <c r="E1142" t="n">
        <v>0</v>
      </c>
      <c r="G1142">
        <f>IF(AND(A1142&gt;=Inputs!$B$5,A1142&lt;=Inputs!$B$6),1,0)</f>
        <v/>
      </c>
    </row>
    <row r="1143">
      <c r="A1143" t="inlineStr">
        <is>
          <t>2026-04</t>
        </is>
      </c>
      <c r="B1143" t="inlineStr">
        <is>
          <t>HOSP-2</t>
        </is>
      </c>
      <c r="C1143" t="inlineStr">
        <is>
          <t>SS-01210</t>
        </is>
      </c>
      <c r="D1143" t="n">
        <v>0</v>
      </c>
      <c r="E1143" t="n">
        <v>1</v>
      </c>
      <c r="G1143">
        <f>IF(AND(A1143&gt;=Inputs!$B$5,A1143&lt;=Inputs!$B$6),1,0)</f>
        <v/>
      </c>
    </row>
    <row r="1144">
      <c r="A1144" t="inlineStr">
        <is>
          <t>2026-04</t>
        </is>
      </c>
      <c r="B1144" t="inlineStr">
        <is>
          <t>HOSP-3</t>
        </is>
      </c>
      <c r="C1144" t="inlineStr">
        <is>
          <t>SS-01211</t>
        </is>
      </c>
      <c r="D1144" t="n">
        <v>0</v>
      </c>
      <c r="E1144" t="n">
        <v>0</v>
      </c>
      <c r="G1144">
        <f>IF(AND(A1144&gt;=Inputs!$B$5,A1144&lt;=Inputs!$B$6),1,0)</f>
        <v/>
      </c>
    </row>
    <row r="1145">
      <c r="A1145" t="inlineStr">
        <is>
          <t>2026-04</t>
        </is>
      </c>
      <c r="B1145" t="inlineStr">
        <is>
          <t>HOSP-4</t>
        </is>
      </c>
      <c r="C1145" t="inlineStr">
        <is>
          <t>SS-01212</t>
        </is>
      </c>
      <c r="D1145" t="n">
        <v>0</v>
      </c>
      <c r="E1145" t="n">
        <v>0</v>
      </c>
      <c r="G1145">
        <f>IF(AND(A1145&gt;=Inputs!$B$5,A1145&lt;=Inputs!$B$6),1,0)</f>
        <v/>
      </c>
    </row>
    <row r="1146">
      <c r="A1146" t="inlineStr">
        <is>
          <t>2026-04</t>
        </is>
      </c>
      <c r="B1146" t="inlineStr">
        <is>
          <t>HOSP-1</t>
        </is>
      </c>
      <c r="C1146" t="inlineStr">
        <is>
          <t>SS-01213</t>
        </is>
      </c>
      <c r="D1146" t="n">
        <v>0</v>
      </c>
      <c r="E1146" t="n">
        <v>0</v>
      </c>
      <c r="G1146">
        <f>IF(AND(A1146&gt;=Inputs!$B$5,A1146&lt;=Inputs!$B$6),1,0)</f>
        <v/>
      </c>
    </row>
    <row r="1147">
      <c r="A1147" t="inlineStr">
        <is>
          <t>2026-04</t>
        </is>
      </c>
      <c r="B1147" t="inlineStr">
        <is>
          <t>HOSP-2</t>
        </is>
      </c>
      <c r="C1147" t="inlineStr">
        <is>
          <t>SS-01214</t>
        </is>
      </c>
      <c r="D1147" t="n">
        <v>60</v>
      </c>
      <c r="E1147" t="n">
        <v>0</v>
      </c>
      <c r="G1147">
        <f>IF(AND(A1147&gt;=Inputs!$B$5,A1147&lt;=Inputs!$B$6),1,0)</f>
        <v/>
      </c>
    </row>
    <row r="1148">
      <c r="A1148" t="inlineStr">
        <is>
          <t>2026-04</t>
        </is>
      </c>
      <c r="B1148" t="inlineStr">
        <is>
          <t>HOSP-3</t>
        </is>
      </c>
      <c r="C1148" t="inlineStr">
        <is>
          <t>SS-01215</t>
        </is>
      </c>
      <c r="D1148" t="n">
        <v>24</v>
      </c>
      <c r="E1148" t="n">
        <v>0</v>
      </c>
      <c r="G1148">
        <f>IF(AND(A1148&gt;=Inputs!$B$5,A1148&lt;=Inputs!$B$6),1,0)</f>
        <v/>
      </c>
    </row>
    <row r="1149">
      <c r="A1149" t="inlineStr">
        <is>
          <t>2026-04</t>
        </is>
      </c>
      <c r="B1149" t="inlineStr">
        <is>
          <t>HOSP-4</t>
        </is>
      </c>
      <c r="C1149" t="inlineStr">
        <is>
          <t>SS-01216</t>
        </is>
      </c>
      <c r="D1149" t="n">
        <v>12</v>
      </c>
      <c r="E1149" t="n">
        <v>0</v>
      </c>
      <c r="G1149">
        <f>IF(AND(A1149&gt;=Inputs!$B$5,A1149&lt;=Inputs!$B$6),1,0)</f>
        <v/>
      </c>
    </row>
    <row r="1150">
      <c r="A1150" t="inlineStr">
        <is>
          <t>2026-04</t>
        </is>
      </c>
      <c r="B1150" t="inlineStr">
        <is>
          <t>HOSP-1</t>
        </is>
      </c>
      <c r="C1150" t="inlineStr">
        <is>
          <t>SS-01217</t>
        </is>
      </c>
      <c r="D1150" t="n">
        <v>24</v>
      </c>
      <c r="E1150" t="n">
        <v>0</v>
      </c>
      <c r="G1150">
        <f>IF(AND(A1150&gt;=Inputs!$B$5,A1150&lt;=Inputs!$B$6),1,0)</f>
        <v/>
      </c>
    </row>
    <row r="1151">
      <c r="A1151" t="inlineStr">
        <is>
          <t>2026-04</t>
        </is>
      </c>
      <c r="B1151" t="inlineStr">
        <is>
          <t>HOSP-2</t>
        </is>
      </c>
      <c r="C1151" t="inlineStr">
        <is>
          <t>SS-01218</t>
        </is>
      </c>
      <c r="D1151" t="n">
        <v>36</v>
      </c>
      <c r="E1151" t="n">
        <v>0</v>
      </c>
      <c r="G1151">
        <f>IF(AND(A1151&gt;=Inputs!$B$5,A1151&lt;=Inputs!$B$6),1,0)</f>
        <v/>
      </c>
    </row>
    <row r="1152">
      <c r="A1152" t="inlineStr">
        <is>
          <t>2026-04</t>
        </is>
      </c>
      <c r="B1152" t="inlineStr">
        <is>
          <t>HOSP-3</t>
        </is>
      </c>
      <c r="C1152" t="inlineStr">
        <is>
          <t>SS-01219</t>
        </is>
      </c>
      <c r="D1152" t="n">
        <v>36</v>
      </c>
      <c r="E1152" t="n">
        <v>0</v>
      </c>
      <c r="G1152">
        <f>IF(AND(A1152&gt;=Inputs!$B$5,A1152&lt;=Inputs!$B$6),1,0)</f>
        <v/>
      </c>
    </row>
    <row r="1153">
      <c r="A1153" t="inlineStr">
        <is>
          <t>2026-04</t>
        </is>
      </c>
      <c r="B1153" t="inlineStr">
        <is>
          <t>HOSP-4</t>
        </is>
      </c>
      <c r="C1153" t="inlineStr">
        <is>
          <t>SS-01220</t>
        </is>
      </c>
      <c r="D1153" t="n">
        <v>8</v>
      </c>
      <c r="E1153" t="n">
        <v>0</v>
      </c>
      <c r="G1153">
        <f>IF(AND(A1153&gt;=Inputs!$B$5,A1153&lt;=Inputs!$B$6),1,0)</f>
        <v/>
      </c>
    </row>
    <row r="1154">
      <c r="A1154" t="inlineStr">
        <is>
          <t>2026-04</t>
        </is>
      </c>
      <c r="B1154" t="inlineStr">
        <is>
          <t>HOSP-1</t>
        </is>
      </c>
      <c r="C1154" t="inlineStr">
        <is>
          <t>SS-01221</t>
        </is>
      </c>
      <c r="D1154" t="n">
        <v>0</v>
      </c>
      <c r="E1154" t="n">
        <v>0</v>
      </c>
      <c r="G1154">
        <f>IF(AND(A1154&gt;=Inputs!$B$5,A1154&lt;=Inputs!$B$6),1,0)</f>
        <v/>
      </c>
    </row>
    <row r="1155">
      <c r="A1155" t="inlineStr">
        <is>
          <t>2026-04</t>
        </is>
      </c>
      <c r="B1155" t="inlineStr">
        <is>
          <t>HOSP-2</t>
        </is>
      </c>
      <c r="C1155" t="inlineStr">
        <is>
          <t>SS-01222</t>
        </is>
      </c>
      <c r="D1155" t="n">
        <v>0</v>
      </c>
      <c r="E1155" t="n">
        <v>0</v>
      </c>
      <c r="G1155">
        <f>IF(AND(A1155&gt;=Inputs!$B$5,A1155&lt;=Inputs!$B$6),1,0)</f>
        <v/>
      </c>
    </row>
    <row r="1156">
      <c r="A1156" t="inlineStr">
        <is>
          <t>2026-04</t>
        </is>
      </c>
      <c r="B1156" t="inlineStr">
        <is>
          <t>HOSP-3</t>
        </is>
      </c>
      <c r="C1156" t="inlineStr">
        <is>
          <t>SS-01223</t>
        </is>
      </c>
      <c r="D1156" t="n">
        <v>0</v>
      </c>
      <c r="E1156" t="n">
        <v>0</v>
      </c>
      <c r="G1156">
        <f>IF(AND(A1156&gt;=Inputs!$B$5,A1156&lt;=Inputs!$B$6),1,0)</f>
        <v/>
      </c>
    </row>
    <row r="1157">
      <c r="A1157" t="inlineStr">
        <is>
          <t>2026-04</t>
        </is>
      </c>
      <c r="B1157" t="inlineStr">
        <is>
          <t>HOSP-4</t>
        </is>
      </c>
      <c r="C1157" t="inlineStr">
        <is>
          <t>SS-01224</t>
        </is>
      </c>
      <c r="D1157" t="n">
        <v>0</v>
      </c>
      <c r="E1157" t="n">
        <v>0</v>
      </c>
      <c r="G1157">
        <f>IF(AND(A1157&gt;=Inputs!$B$5,A1157&lt;=Inputs!$B$6),1,0)</f>
        <v/>
      </c>
    </row>
    <row r="1158">
      <c r="A1158" t="inlineStr">
        <is>
          <t>2026-04</t>
        </is>
      </c>
      <c r="B1158" t="inlineStr">
        <is>
          <t>HOSP-1</t>
        </is>
      </c>
      <c r="C1158" t="inlineStr">
        <is>
          <t>SS-01225</t>
        </is>
      </c>
      <c r="D1158" t="n">
        <v>12</v>
      </c>
      <c r="E1158" t="n">
        <v>0</v>
      </c>
      <c r="G1158">
        <f>IF(AND(A1158&gt;=Inputs!$B$5,A1158&lt;=Inputs!$B$6),1,0)</f>
        <v/>
      </c>
    </row>
    <row r="1159">
      <c r="A1159" t="inlineStr">
        <is>
          <t>2026-04</t>
        </is>
      </c>
      <c r="B1159" t="inlineStr">
        <is>
          <t>HOSP-2</t>
        </is>
      </c>
      <c r="C1159" t="inlineStr">
        <is>
          <t>SS-01226</t>
        </is>
      </c>
      <c r="D1159" t="n">
        <v>24</v>
      </c>
      <c r="E1159" t="n">
        <v>0</v>
      </c>
      <c r="G1159">
        <f>IF(AND(A1159&gt;=Inputs!$B$5,A1159&lt;=Inputs!$B$6),1,0)</f>
        <v/>
      </c>
    </row>
    <row r="1160">
      <c r="A1160" t="inlineStr">
        <is>
          <t>2026-04</t>
        </is>
      </c>
      <c r="B1160" t="inlineStr">
        <is>
          <t>HOSP-3</t>
        </is>
      </c>
      <c r="C1160" t="inlineStr">
        <is>
          <t>SS-01227</t>
        </is>
      </c>
      <c r="D1160" t="n">
        <v>24</v>
      </c>
      <c r="E1160" t="n">
        <v>0</v>
      </c>
      <c r="G1160">
        <f>IF(AND(A1160&gt;=Inputs!$B$5,A1160&lt;=Inputs!$B$6),1,0)</f>
        <v/>
      </c>
    </row>
    <row r="1161">
      <c r="A1161" t="inlineStr">
        <is>
          <t>2026-04</t>
        </is>
      </c>
      <c r="B1161" t="inlineStr">
        <is>
          <t>HOSP-4</t>
        </is>
      </c>
      <c r="C1161" t="inlineStr">
        <is>
          <t>SS-01228</t>
        </is>
      </c>
      <c r="D1161" t="n">
        <v>0</v>
      </c>
      <c r="E1161" t="n">
        <v>0</v>
      </c>
      <c r="G1161">
        <f>IF(AND(A1161&gt;=Inputs!$B$5,A1161&lt;=Inputs!$B$6),1,0)</f>
        <v/>
      </c>
    </row>
    <row r="1162">
      <c r="A1162" t="inlineStr">
        <is>
          <t>2026-04</t>
        </is>
      </c>
      <c r="B1162" t="inlineStr">
        <is>
          <t>HOSP-1</t>
        </is>
      </c>
      <c r="C1162" t="inlineStr">
        <is>
          <t>SS-01229</t>
        </is>
      </c>
      <c r="D1162" t="n">
        <v>24</v>
      </c>
      <c r="E1162" t="n">
        <v>0</v>
      </c>
      <c r="G1162">
        <f>IF(AND(A1162&gt;=Inputs!$B$5,A1162&lt;=Inputs!$B$6),1,0)</f>
        <v/>
      </c>
    </row>
    <row r="1163">
      <c r="A1163" t="inlineStr">
        <is>
          <t>2026-04</t>
        </is>
      </c>
      <c r="B1163" t="inlineStr">
        <is>
          <t>HOSP-2</t>
        </is>
      </c>
      <c r="C1163" t="inlineStr">
        <is>
          <t>SS-01230</t>
        </is>
      </c>
      <c r="D1163" t="n">
        <v>12</v>
      </c>
      <c r="E1163" t="n">
        <v>0</v>
      </c>
      <c r="G1163">
        <f>IF(AND(A1163&gt;=Inputs!$B$5,A1163&lt;=Inputs!$B$6),1,0)</f>
        <v/>
      </c>
    </row>
    <row r="1164">
      <c r="A1164" t="inlineStr">
        <is>
          <t>2026-04</t>
        </is>
      </c>
      <c r="B1164" t="inlineStr">
        <is>
          <t>HOSP-3</t>
        </is>
      </c>
      <c r="C1164" t="inlineStr">
        <is>
          <t>SS-01231</t>
        </is>
      </c>
      <c r="D1164" t="n">
        <v>0</v>
      </c>
      <c r="E1164" t="n">
        <v>0</v>
      </c>
      <c r="G1164">
        <f>IF(AND(A1164&gt;=Inputs!$B$5,A1164&lt;=Inputs!$B$6),1,0)</f>
        <v/>
      </c>
    </row>
    <row r="1165">
      <c r="A1165" t="inlineStr">
        <is>
          <t>2026-04</t>
        </is>
      </c>
      <c r="B1165" t="inlineStr">
        <is>
          <t>HOSP-4</t>
        </is>
      </c>
      <c r="C1165" t="inlineStr">
        <is>
          <t>SS-01232</t>
        </is>
      </c>
      <c r="D1165" t="n">
        <v>12</v>
      </c>
      <c r="E1165" t="n">
        <v>0</v>
      </c>
      <c r="G1165">
        <f>IF(AND(A1165&gt;=Inputs!$B$5,A1165&lt;=Inputs!$B$6),1,0)</f>
        <v/>
      </c>
    </row>
    <row r="1166">
      <c r="A1166" t="inlineStr">
        <is>
          <t>2026-04</t>
        </is>
      </c>
      <c r="B1166" t="inlineStr">
        <is>
          <t>HOSP-1</t>
        </is>
      </c>
      <c r="C1166" t="inlineStr">
        <is>
          <t>SS-01233</t>
        </is>
      </c>
      <c r="D1166" t="n">
        <v>12</v>
      </c>
      <c r="E1166" t="n">
        <v>0</v>
      </c>
      <c r="G1166">
        <f>IF(AND(A1166&gt;=Inputs!$B$5,A1166&lt;=Inputs!$B$6),1,0)</f>
        <v/>
      </c>
    </row>
    <row r="1167">
      <c r="A1167" t="inlineStr">
        <is>
          <t>2026-04</t>
        </is>
      </c>
      <c r="B1167" t="inlineStr">
        <is>
          <t>HOSP-2</t>
        </is>
      </c>
      <c r="C1167" t="inlineStr">
        <is>
          <t>SS-01001</t>
        </is>
      </c>
      <c r="D1167" t="n">
        <v>180</v>
      </c>
      <c r="E1167" t="n">
        <v>0</v>
      </c>
      <c r="G1167">
        <f>IF(AND(A1167&gt;=Inputs!$B$5,A1167&lt;=Inputs!$B$6),1,0)</f>
        <v/>
      </c>
    </row>
    <row r="1168">
      <c r="A1168" t="inlineStr">
        <is>
          <t>2026-04</t>
        </is>
      </c>
      <c r="B1168" t="inlineStr">
        <is>
          <t>HOSP-3</t>
        </is>
      </c>
      <c r="C1168" t="inlineStr">
        <is>
          <t>SS-01002</t>
        </is>
      </c>
      <c r="D1168" t="n">
        <v>12</v>
      </c>
      <c r="E1168" t="n">
        <v>0</v>
      </c>
      <c r="G1168">
        <f>IF(AND(A1168&gt;=Inputs!$B$5,A1168&lt;=Inputs!$B$6),1,0)</f>
        <v/>
      </c>
    </row>
    <row r="1169">
      <c r="A1169" t="inlineStr">
        <is>
          <t>2026-04</t>
        </is>
      </c>
      <c r="B1169" t="inlineStr">
        <is>
          <t>HOSP-4</t>
        </is>
      </c>
      <c r="C1169" t="inlineStr">
        <is>
          <t>SS-01003</t>
        </is>
      </c>
      <c r="D1169" t="n">
        <v>60</v>
      </c>
      <c r="E1169" t="n">
        <v>0</v>
      </c>
      <c r="G1169">
        <f>IF(AND(A1169&gt;=Inputs!$B$5,A1169&lt;=Inputs!$B$6),1,0)</f>
        <v/>
      </c>
    </row>
    <row r="1170">
      <c r="A1170" t="inlineStr">
        <is>
          <t>2026-04</t>
        </is>
      </c>
      <c r="B1170" t="inlineStr">
        <is>
          <t>HOSP-1</t>
        </is>
      </c>
      <c r="C1170" t="inlineStr">
        <is>
          <t>SS-01004</t>
        </is>
      </c>
      <c r="D1170" t="n">
        <v>12</v>
      </c>
      <c r="E1170" t="n">
        <v>0</v>
      </c>
      <c r="G1170">
        <f>IF(AND(A1170&gt;=Inputs!$B$5,A1170&lt;=Inputs!$B$6),1,0)</f>
        <v/>
      </c>
    </row>
    <row r="1171">
      <c r="A1171" t="inlineStr">
        <is>
          <t>2026-04</t>
        </is>
      </c>
      <c r="B1171" t="inlineStr">
        <is>
          <t>HOSP-2</t>
        </is>
      </c>
      <c r="C1171" t="inlineStr">
        <is>
          <t>SS-01005</t>
        </is>
      </c>
      <c r="D1171" t="n">
        <v>0</v>
      </c>
      <c r="E1171" t="n">
        <v>0</v>
      </c>
      <c r="G1171">
        <f>IF(AND(A1171&gt;=Inputs!$B$5,A1171&lt;=Inputs!$B$6),1,0)</f>
        <v/>
      </c>
    </row>
    <row r="1172">
      <c r="A1172" t="inlineStr">
        <is>
          <t>2026-04</t>
        </is>
      </c>
      <c r="B1172" t="inlineStr">
        <is>
          <t>HOSP-3</t>
        </is>
      </c>
      <c r="C1172" t="inlineStr">
        <is>
          <t>SS-01006</t>
        </is>
      </c>
      <c r="D1172" t="n">
        <v>0</v>
      </c>
      <c r="E1172" t="n">
        <v>0</v>
      </c>
      <c r="G1172">
        <f>IF(AND(A1172&gt;=Inputs!$B$5,A1172&lt;=Inputs!$B$6),1,0)</f>
        <v/>
      </c>
    </row>
    <row r="1173">
      <c r="A1173" t="inlineStr">
        <is>
          <t>2026-04</t>
        </is>
      </c>
      <c r="B1173" t="inlineStr">
        <is>
          <t>HOSP-4</t>
        </is>
      </c>
      <c r="C1173" t="inlineStr">
        <is>
          <t>SS-01007</t>
        </is>
      </c>
      <c r="D1173" t="n">
        <v>36</v>
      </c>
      <c r="E1173" t="n">
        <v>0</v>
      </c>
      <c r="G1173">
        <f>IF(AND(A1173&gt;=Inputs!$B$5,A1173&lt;=Inputs!$B$6),1,0)</f>
        <v/>
      </c>
    </row>
    <row r="1174">
      <c r="A1174" t="inlineStr">
        <is>
          <t>2026-04</t>
        </is>
      </c>
      <c r="B1174" t="inlineStr">
        <is>
          <t>HOSP-1</t>
        </is>
      </c>
      <c r="C1174" t="inlineStr">
        <is>
          <t>SS-01008</t>
        </is>
      </c>
      <c r="D1174" t="n">
        <v>0</v>
      </c>
      <c r="E1174" t="n">
        <v>0</v>
      </c>
      <c r="G1174">
        <f>IF(AND(A1174&gt;=Inputs!$B$5,A1174&lt;=Inputs!$B$6),1,0)</f>
        <v/>
      </c>
    </row>
    <row r="1175">
      <c r="A1175" t="inlineStr">
        <is>
          <t>2026-04</t>
        </is>
      </c>
      <c r="B1175" t="inlineStr">
        <is>
          <t>HOSP-2</t>
        </is>
      </c>
      <c r="C1175" t="inlineStr">
        <is>
          <t>SS-01009</t>
        </is>
      </c>
      <c r="D1175" t="n">
        <v>37</v>
      </c>
      <c r="E1175" t="n">
        <v>0</v>
      </c>
      <c r="G1175">
        <f>IF(AND(A1175&gt;=Inputs!$B$5,A1175&lt;=Inputs!$B$6),1,0)</f>
        <v/>
      </c>
    </row>
    <row r="1176">
      <c r="A1176" t="inlineStr">
        <is>
          <t>2026-04</t>
        </is>
      </c>
      <c r="B1176" t="inlineStr">
        <is>
          <t>HOSP-3</t>
        </is>
      </c>
      <c r="C1176" t="inlineStr">
        <is>
          <t>SS-01010</t>
        </is>
      </c>
      <c r="D1176" t="n">
        <v>60</v>
      </c>
      <c r="E1176" t="n">
        <v>0</v>
      </c>
      <c r="G1176">
        <f>IF(AND(A1176&gt;=Inputs!$B$5,A1176&lt;=Inputs!$B$6),1,0)</f>
        <v/>
      </c>
    </row>
    <row r="1177">
      <c r="A1177" t="inlineStr">
        <is>
          <t>2026-04</t>
        </is>
      </c>
      <c r="B1177" t="inlineStr">
        <is>
          <t>HOSP-4</t>
        </is>
      </c>
      <c r="C1177" t="inlineStr">
        <is>
          <t>SS-01011</t>
        </is>
      </c>
      <c r="D1177" t="n">
        <v>12</v>
      </c>
      <c r="E1177" t="n">
        <v>0</v>
      </c>
      <c r="G1177">
        <f>IF(AND(A1177&gt;=Inputs!$B$5,A1177&lt;=Inputs!$B$6),1,0)</f>
        <v/>
      </c>
    </row>
    <row r="1178">
      <c r="A1178" t="inlineStr">
        <is>
          <t>2026-04</t>
        </is>
      </c>
      <c r="B1178" t="inlineStr">
        <is>
          <t>HOSP-1</t>
        </is>
      </c>
      <c r="C1178" t="inlineStr">
        <is>
          <t>SS-01012</t>
        </is>
      </c>
      <c r="D1178" t="n">
        <v>12</v>
      </c>
      <c r="E1178" t="n">
        <v>0</v>
      </c>
      <c r="G1178">
        <f>IF(AND(A1178&gt;=Inputs!$B$5,A1178&lt;=Inputs!$B$6),1,0)</f>
        <v/>
      </c>
    </row>
    <row r="1179">
      <c r="A1179" t="inlineStr">
        <is>
          <t>2026-04</t>
        </is>
      </c>
      <c r="B1179" t="inlineStr">
        <is>
          <t>HOSP-2</t>
        </is>
      </c>
      <c r="C1179" t="inlineStr">
        <is>
          <t>SS-01079</t>
        </is>
      </c>
      <c r="D1179" t="n">
        <v>24</v>
      </c>
      <c r="E1179" t="n">
        <v>0</v>
      </c>
      <c r="G1179">
        <f>IF(AND(A1179&gt;=Inputs!$B$5,A1179&lt;=Inputs!$B$6),1,0)</f>
        <v/>
      </c>
    </row>
    <row r="1180">
      <c r="A1180" t="inlineStr">
        <is>
          <t>2026-04</t>
        </is>
      </c>
      <c r="B1180" t="inlineStr">
        <is>
          <t>HOSP-3</t>
        </is>
      </c>
      <c r="C1180" t="inlineStr">
        <is>
          <t>SS-01014</t>
        </is>
      </c>
      <c r="D1180" t="n">
        <v>12</v>
      </c>
      <c r="E1180" t="n">
        <v>0</v>
      </c>
      <c r="G1180">
        <f>IF(AND(A1180&gt;=Inputs!$B$5,A1180&lt;=Inputs!$B$6),1,0)</f>
        <v/>
      </c>
    </row>
    <row r="1181">
      <c r="A1181" t="inlineStr">
        <is>
          <t>2026-04</t>
        </is>
      </c>
      <c r="B1181" t="inlineStr">
        <is>
          <t>HOSP-4</t>
        </is>
      </c>
      <c r="C1181" t="inlineStr">
        <is>
          <t>SS-01015</t>
        </is>
      </c>
      <c r="D1181" t="n">
        <v>12</v>
      </c>
      <c r="E1181" t="n">
        <v>0</v>
      </c>
      <c r="G1181">
        <f>IF(AND(A1181&gt;=Inputs!$B$5,A1181&lt;=Inputs!$B$6),1,0)</f>
        <v/>
      </c>
    </row>
    <row r="1182">
      <c r="A1182" t="inlineStr">
        <is>
          <t>2026-04</t>
        </is>
      </c>
      <c r="B1182" t="inlineStr">
        <is>
          <t>HOSP-1</t>
        </is>
      </c>
      <c r="C1182" t="inlineStr">
        <is>
          <t>SS-01016</t>
        </is>
      </c>
      <c r="D1182" t="n">
        <v>192</v>
      </c>
      <c r="E1182" t="n">
        <v>0</v>
      </c>
      <c r="G1182">
        <f>IF(AND(A1182&gt;=Inputs!$B$5,A1182&lt;=Inputs!$B$6),1,0)</f>
        <v/>
      </c>
    </row>
    <row r="1183">
      <c r="A1183" t="inlineStr">
        <is>
          <t>2026-04</t>
        </is>
      </c>
      <c r="B1183" t="inlineStr">
        <is>
          <t>HOSP-2</t>
        </is>
      </c>
      <c r="C1183" t="inlineStr">
        <is>
          <t>SS-01017</t>
        </is>
      </c>
      <c r="D1183" t="n">
        <v>12</v>
      </c>
      <c r="E1183" t="n">
        <v>0</v>
      </c>
      <c r="G1183">
        <f>IF(AND(A1183&gt;=Inputs!$B$5,A1183&lt;=Inputs!$B$6),1,0)</f>
        <v/>
      </c>
    </row>
    <row r="1184">
      <c r="A1184" t="inlineStr">
        <is>
          <t>2026-04</t>
        </is>
      </c>
      <c r="B1184" t="inlineStr">
        <is>
          <t>HOSP-3</t>
        </is>
      </c>
      <c r="C1184" t="inlineStr">
        <is>
          <t>SS-01018</t>
        </is>
      </c>
      <c r="D1184" t="n">
        <v>36</v>
      </c>
      <c r="E1184" t="n">
        <v>0</v>
      </c>
      <c r="G1184">
        <f>IF(AND(A1184&gt;=Inputs!$B$5,A1184&lt;=Inputs!$B$6),1,0)</f>
        <v/>
      </c>
    </row>
    <row r="1185">
      <c r="A1185" t="inlineStr">
        <is>
          <t>2026-04</t>
        </is>
      </c>
      <c r="B1185" t="inlineStr">
        <is>
          <t>HOSP-4</t>
        </is>
      </c>
      <c r="C1185" t="inlineStr">
        <is>
          <t>SS-01124</t>
        </is>
      </c>
      <c r="D1185" t="n">
        <v>8</v>
      </c>
      <c r="E1185" t="n">
        <v>1</v>
      </c>
      <c r="G1185">
        <f>IF(AND(A1185&gt;=Inputs!$B$5,A1185&lt;=Inputs!$B$6),1,0)</f>
        <v/>
      </c>
    </row>
    <row r="1186">
      <c r="A1186" t="inlineStr">
        <is>
          <t>2026-04</t>
        </is>
      </c>
      <c r="B1186" t="inlineStr">
        <is>
          <t>HOSP-1</t>
        </is>
      </c>
      <c r="C1186" t="inlineStr">
        <is>
          <t>SS-01020</t>
        </is>
      </c>
      <c r="D1186" t="n">
        <v>86</v>
      </c>
      <c r="E1186" t="n">
        <v>1</v>
      </c>
      <c r="G1186">
        <f>IF(AND(A1186&gt;=Inputs!$B$5,A1186&lt;=Inputs!$B$6),1,0)</f>
        <v/>
      </c>
    </row>
    <row r="1187">
      <c r="A1187" t="inlineStr">
        <is>
          <t>2026-04</t>
        </is>
      </c>
      <c r="B1187" t="inlineStr">
        <is>
          <t>HOSP-2</t>
        </is>
      </c>
      <c r="C1187" t="inlineStr">
        <is>
          <t>SS-01021</t>
        </is>
      </c>
      <c r="D1187" t="n">
        <v>48</v>
      </c>
      <c r="E1187" t="n">
        <v>0</v>
      </c>
      <c r="G1187">
        <f>IF(AND(A1187&gt;=Inputs!$B$5,A1187&lt;=Inputs!$B$6),1,0)</f>
        <v/>
      </c>
    </row>
    <row r="1188">
      <c r="A1188" t="inlineStr">
        <is>
          <t>2026-04</t>
        </is>
      </c>
      <c r="B1188" t="inlineStr">
        <is>
          <t>HOSP-3</t>
        </is>
      </c>
      <c r="C1188" t="inlineStr">
        <is>
          <t>SS-01022</t>
        </is>
      </c>
      <c r="D1188" t="n">
        <v>60</v>
      </c>
      <c r="E1188" t="n">
        <v>0</v>
      </c>
      <c r="G1188">
        <f>IF(AND(A1188&gt;=Inputs!$B$5,A1188&lt;=Inputs!$B$6),1,0)</f>
        <v/>
      </c>
    </row>
    <row r="1189">
      <c r="A1189" t="inlineStr">
        <is>
          <t>2026-04</t>
        </is>
      </c>
      <c r="B1189" t="inlineStr">
        <is>
          <t>HOSP-4</t>
        </is>
      </c>
      <c r="C1189" t="inlineStr">
        <is>
          <t>SS-01023</t>
        </is>
      </c>
      <c r="D1189" t="n">
        <v>12</v>
      </c>
      <c r="E1189" t="n">
        <v>0</v>
      </c>
      <c r="G1189">
        <f>IF(AND(A1189&gt;=Inputs!$B$5,A1189&lt;=Inputs!$B$6),1,0)</f>
        <v/>
      </c>
    </row>
    <row r="1190">
      <c r="A1190" t="inlineStr">
        <is>
          <t>2026-04</t>
        </is>
      </c>
      <c r="B1190" t="inlineStr">
        <is>
          <t>HOSP-1</t>
        </is>
      </c>
      <c r="C1190" t="inlineStr">
        <is>
          <t>SS-01024</t>
        </is>
      </c>
      <c r="D1190" t="n">
        <v>12</v>
      </c>
      <c r="E1190" t="n">
        <v>0</v>
      </c>
      <c r="G1190">
        <f>IF(AND(A1190&gt;=Inputs!$B$5,A1190&lt;=Inputs!$B$6),1,0)</f>
        <v/>
      </c>
    </row>
    <row r="1191">
      <c r="A1191" t="inlineStr">
        <is>
          <t>2026-04</t>
        </is>
      </c>
      <c r="B1191" t="inlineStr">
        <is>
          <t>HOSP-2</t>
        </is>
      </c>
      <c r="C1191" t="inlineStr">
        <is>
          <t>SS-01025</t>
        </is>
      </c>
      <c r="D1191" t="n">
        <v>6</v>
      </c>
      <c r="E1191" t="n">
        <v>0</v>
      </c>
      <c r="G1191">
        <f>IF(AND(A1191&gt;=Inputs!$B$5,A1191&lt;=Inputs!$B$6),1,0)</f>
        <v/>
      </c>
    </row>
    <row r="1192">
      <c r="A1192" t="inlineStr">
        <is>
          <t>2026-04</t>
        </is>
      </c>
      <c r="B1192" t="inlineStr">
        <is>
          <t>HOSP-3</t>
        </is>
      </c>
      <c r="C1192" t="inlineStr">
        <is>
          <t>SS-01026</t>
        </is>
      </c>
      <c r="D1192" t="n">
        <v>12</v>
      </c>
      <c r="E1192" t="n">
        <v>0</v>
      </c>
      <c r="G1192">
        <f>IF(AND(A1192&gt;=Inputs!$B$5,A1192&lt;=Inputs!$B$6),1,0)</f>
        <v/>
      </c>
    </row>
    <row r="1193">
      <c r="A1193" t="inlineStr">
        <is>
          <t>2026-04</t>
        </is>
      </c>
      <c r="B1193" t="inlineStr">
        <is>
          <t>HOSP-4</t>
        </is>
      </c>
      <c r="C1193" t="inlineStr">
        <is>
          <t>SS-01027</t>
        </is>
      </c>
      <c r="D1193" t="n">
        <v>12</v>
      </c>
      <c r="E1193" t="n">
        <v>0</v>
      </c>
      <c r="G1193">
        <f>IF(AND(A1193&gt;=Inputs!$B$5,A1193&lt;=Inputs!$B$6),1,0)</f>
        <v/>
      </c>
    </row>
    <row r="1194">
      <c r="A1194" t="inlineStr">
        <is>
          <t>2026-04</t>
        </is>
      </c>
      <c r="B1194" t="inlineStr">
        <is>
          <t>HOSP-1</t>
        </is>
      </c>
      <c r="C1194" t="inlineStr">
        <is>
          <t>SS-01028</t>
        </is>
      </c>
      <c r="D1194" t="n">
        <v>0</v>
      </c>
      <c r="E1194" t="n">
        <v>0</v>
      </c>
      <c r="G1194">
        <f>IF(AND(A1194&gt;=Inputs!$B$5,A1194&lt;=Inputs!$B$6),1,0)</f>
        <v/>
      </c>
    </row>
    <row r="1195">
      <c r="A1195" t="inlineStr">
        <is>
          <t>2026-04</t>
        </is>
      </c>
      <c r="B1195" t="inlineStr">
        <is>
          <t>HOSP-2</t>
        </is>
      </c>
      <c r="C1195" t="inlineStr">
        <is>
          <t>SS-01029</t>
        </is>
      </c>
      <c r="D1195" t="n">
        <v>36</v>
      </c>
      <c r="E1195" t="n">
        <v>0</v>
      </c>
      <c r="G1195">
        <f>IF(AND(A1195&gt;=Inputs!$B$5,A1195&lt;=Inputs!$B$6),1,0)</f>
        <v/>
      </c>
    </row>
    <row r="1196">
      <c r="A1196" t="inlineStr">
        <is>
          <t>2026-04</t>
        </is>
      </c>
      <c r="B1196" t="inlineStr">
        <is>
          <t>HOSP-3</t>
        </is>
      </c>
      <c r="C1196" t="inlineStr">
        <is>
          <t>SS-01030</t>
        </is>
      </c>
      <c r="D1196" t="n">
        <v>12</v>
      </c>
      <c r="E1196" t="n">
        <v>0</v>
      </c>
      <c r="G1196">
        <f>IF(AND(A1196&gt;=Inputs!$B$5,A1196&lt;=Inputs!$B$6),1,0)</f>
        <v/>
      </c>
    </row>
    <row r="1197">
      <c r="A1197" t="inlineStr">
        <is>
          <t>2026-04</t>
        </is>
      </c>
      <c r="B1197" t="inlineStr">
        <is>
          <t>HOSP-4</t>
        </is>
      </c>
      <c r="C1197" t="inlineStr">
        <is>
          <t>SS-01031</t>
        </is>
      </c>
      <c r="D1197" t="n">
        <v>0</v>
      </c>
      <c r="E1197" t="n">
        <v>0</v>
      </c>
      <c r="G1197">
        <f>IF(AND(A1197&gt;=Inputs!$B$5,A1197&lt;=Inputs!$B$6),1,0)</f>
        <v/>
      </c>
    </row>
    <row r="1198">
      <c r="A1198" t="inlineStr">
        <is>
          <t>2026-05</t>
        </is>
      </c>
      <c r="B1198" t="inlineStr">
        <is>
          <t>HOSP-1</t>
        </is>
      </c>
      <c r="C1198" t="inlineStr">
        <is>
          <t>SS-01032</t>
        </is>
      </c>
      <c r="D1198" t="n">
        <v>36</v>
      </c>
      <c r="E1198" t="n">
        <v>0</v>
      </c>
      <c r="G1198">
        <f>IF(AND(A1198&gt;=Inputs!$B$5,A1198&lt;=Inputs!$B$6),1,0)</f>
        <v/>
      </c>
    </row>
    <row r="1199">
      <c r="A1199" t="inlineStr">
        <is>
          <t>2026-05</t>
        </is>
      </c>
      <c r="B1199" t="inlineStr">
        <is>
          <t>HOSP-2</t>
        </is>
      </c>
      <c r="C1199" t="inlineStr">
        <is>
          <t>SS-01033</t>
        </is>
      </c>
      <c r="D1199" t="n">
        <v>12</v>
      </c>
      <c r="E1199" t="n">
        <v>0</v>
      </c>
      <c r="G1199">
        <f>IF(AND(A1199&gt;=Inputs!$B$5,A1199&lt;=Inputs!$B$6),1,0)</f>
        <v/>
      </c>
    </row>
    <row r="1200">
      <c r="A1200" t="inlineStr">
        <is>
          <t>2026-05</t>
        </is>
      </c>
      <c r="B1200" t="inlineStr">
        <is>
          <t>HOSP-3</t>
        </is>
      </c>
      <c r="C1200" t="inlineStr">
        <is>
          <t>SS-01034</t>
        </is>
      </c>
      <c r="D1200" t="n">
        <v>0</v>
      </c>
      <c r="E1200" t="n">
        <v>0</v>
      </c>
      <c r="G1200">
        <f>IF(AND(A1200&gt;=Inputs!$B$5,A1200&lt;=Inputs!$B$6),1,0)</f>
        <v/>
      </c>
    </row>
    <row r="1201">
      <c r="A1201" t="inlineStr">
        <is>
          <t>2026-05</t>
        </is>
      </c>
      <c r="B1201" t="inlineStr">
        <is>
          <t>HOSP-4</t>
        </is>
      </c>
      <c r="C1201" t="inlineStr">
        <is>
          <t>SS-01035</t>
        </is>
      </c>
      <c r="D1201" t="n">
        <v>0</v>
      </c>
      <c r="E1201" t="n">
        <v>0</v>
      </c>
      <c r="G1201">
        <f>IF(AND(A1201&gt;=Inputs!$B$5,A1201&lt;=Inputs!$B$6),1,0)</f>
        <v/>
      </c>
    </row>
    <row r="1202">
      <c r="A1202" t="inlineStr">
        <is>
          <t>2026-05</t>
        </is>
      </c>
      <c r="B1202" t="inlineStr">
        <is>
          <t>HOSP-1</t>
        </is>
      </c>
      <c r="C1202" t="inlineStr">
        <is>
          <t>SS-01036</t>
        </is>
      </c>
      <c r="D1202" t="n">
        <v>24</v>
      </c>
      <c r="E1202" t="n">
        <v>0</v>
      </c>
      <c r="G1202">
        <f>IF(AND(A1202&gt;=Inputs!$B$5,A1202&lt;=Inputs!$B$6),1,0)</f>
        <v/>
      </c>
    </row>
    <row r="1203">
      <c r="A1203" t="inlineStr">
        <is>
          <t>2026-05</t>
        </is>
      </c>
      <c r="B1203" t="inlineStr">
        <is>
          <t>HOSP-2</t>
        </is>
      </c>
      <c r="C1203" t="inlineStr">
        <is>
          <t>SS-01037</t>
        </is>
      </c>
      <c r="D1203" t="n">
        <v>12</v>
      </c>
      <c r="E1203" t="n">
        <v>0</v>
      </c>
      <c r="G1203">
        <f>IF(AND(A1203&gt;=Inputs!$B$5,A1203&lt;=Inputs!$B$6),1,0)</f>
        <v/>
      </c>
    </row>
    <row r="1204">
      <c r="A1204" t="inlineStr">
        <is>
          <t>2026-05</t>
        </is>
      </c>
      <c r="B1204" t="inlineStr">
        <is>
          <t>HOSP-3</t>
        </is>
      </c>
      <c r="C1204" t="inlineStr">
        <is>
          <t>SS-01038</t>
        </is>
      </c>
      <c r="D1204" t="n">
        <v>12</v>
      </c>
      <c r="E1204" t="n">
        <v>0</v>
      </c>
      <c r="G1204">
        <f>IF(AND(A1204&gt;=Inputs!$B$5,A1204&lt;=Inputs!$B$6),1,0)</f>
        <v/>
      </c>
    </row>
    <row r="1205">
      <c r="A1205" t="inlineStr">
        <is>
          <t>2026-05</t>
        </is>
      </c>
      <c r="B1205" t="inlineStr">
        <is>
          <t>HOSP-4</t>
        </is>
      </c>
      <c r="C1205" t="inlineStr">
        <is>
          <t>SS-01039</t>
        </is>
      </c>
      <c r="D1205" t="n">
        <v>0</v>
      </c>
      <c r="E1205" t="n">
        <v>0</v>
      </c>
      <c r="G1205">
        <f>IF(AND(A1205&gt;=Inputs!$B$5,A1205&lt;=Inputs!$B$6),1,0)</f>
        <v/>
      </c>
    </row>
    <row r="1206">
      <c r="A1206" t="inlineStr">
        <is>
          <t>2026-05</t>
        </is>
      </c>
      <c r="B1206" t="inlineStr">
        <is>
          <t>HOSP-1</t>
        </is>
      </c>
      <c r="C1206" t="inlineStr">
        <is>
          <t>SS-01040</t>
        </is>
      </c>
      <c r="D1206" t="n">
        <v>24</v>
      </c>
      <c r="E1206" t="n">
        <v>0</v>
      </c>
      <c r="G1206">
        <f>IF(AND(A1206&gt;=Inputs!$B$5,A1206&lt;=Inputs!$B$6),1,0)</f>
        <v/>
      </c>
    </row>
    <row r="1207">
      <c r="A1207" t="inlineStr">
        <is>
          <t>2026-05</t>
        </is>
      </c>
      <c r="B1207" t="inlineStr">
        <is>
          <t>HOSP-2</t>
        </is>
      </c>
      <c r="C1207" t="inlineStr">
        <is>
          <t>SS-01041</t>
        </is>
      </c>
      <c r="D1207" t="n">
        <v>132</v>
      </c>
      <c r="E1207" t="n">
        <v>0</v>
      </c>
      <c r="G1207">
        <f>IF(AND(A1207&gt;=Inputs!$B$5,A1207&lt;=Inputs!$B$6),1,0)</f>
        <v/>
      </c>
    </row>
    <row r="1208">
      <c r="A1208" t="inlineStr">
        <is>
          <t>2026-05</t>
        </is>
      </c>
      <c r="B1208" t="inlineStr">
        <is>
          <t>HOSP-3</t>
        </is>
      </c>
      <c r="C1208" t="inlineStr">
        <is>
          <t>SS-01042</t>
        </is>
      </c>
      <c r="D1208" t="n">
        <v>24</v>
      </c>
      <c r="E1208" t="n">
        <v>0</v>
      </c>
      <c r="G1208">
        <f>IF(AND(A1208&gt;=Inputs!$B$5,A1208&lt;=Inputs!$B$6),1,0)</f>
        <v/>
      </c>
    </row>
    <row r="1209">
      <c r="A1209" t="inlineStr">
        <is>
          <t>2026-05</t>
        </is>
      </c>
      <c r="B1209" t="inlineStr">
        <is>
          <t>HOSP-4</t>
        </is>
      </c>
      <c r="C1209" t="inlineStr">
        <is>
          <t>SS-01043</t>
        </is>
      </c>
      <c r="D1209" t="n">
        <v>0</v>
      </c>
      <c r="E1209" t="n">
        <v>0</v>
      </c>
      <c r="G1209">
        <f>IF(AND(A1209&gt;=Inputs!$B$5,A1209&lt;=Inputs!$B$6),1,0)</f>
        <v/>
      </c>
    </row>
    <row r="1210">
      <c r="A1210" t="inlineStr">
        <is>
          <t>2026-05</t>
        </is>
      </c>
      <c r="B1210" t="inlineStr">
        <is>
          <t>HOSP-1</t>
        </is>
      </c>
      <c r="C1210" t="inlineStr">
        <is>
          <t>SS-01044</t>
        </is>
      </c>
      <c r="D1210" t="n">
        <v>36</v>
      </c>
      <c r="E1210" t="n">
        <v>0</v>
      </c>
      <c r="G1210">
        <f>IF(AND(A1210&gt;=Inputs!$B$5,A1210&lt;=Inputs!$B$6),1,0)</f>
        <v/>
      </c>
    </row>
    <row r="1211">
      <c r="A1211" t="inlineStr">
        <is>
          <t>2026-05</t>
        </is>
      </c>
      <c r="B1211" t="inlineStr">
        <is>
          <t>HOSP-2</t>
        </is>
      </c>
      <c r="C1211" t="inlineStr">
        <is>
          <t>SS-01045</t>
        </is>
      </c>
      <c r="D1211" t="n">
        <v>48</v>
      </c>
      <c r="E1211" t="n">
        <v>0</v>
      </c>
      <c r="G1211">
        <f>IF(AND(A1211&gt;=Inputs!$B$5,A1211&lt;=Inputs!$B$6),1,0)</f>
        <v/>
      </c>
    </row>
    <row r="1212">
      <c r="A1212" t="inlineStr">
        <is>
          <t>2026-05</t>
        </is>
      </c>
      <c r="B1212" t="inlineStr">
        <is>
          <t>HOSP-3</t>
        </is>
      </c>
      <c r="C1212" t="inlineStr">
        <is>
          <t>SS-01046</t>
        </is>
      </c>
      <c r="D1212" t="n">
        <v>0</v>
      </c>
      <c r="E1212" t="n">
        <v>0</v>
      </c>
      <c r="G1212">
        <f>IF(AND(A1212&gt;=Inputs!$B$5,A1212&lt;=Inputs!$B$6),1,0)</f>
        <v/>
      </c>
    </row>
    <row r="1213">
      <c r="A1213" t="inlineStr">
        <is>
          <t>2026-05</t>
        </is>
      </c>
      <c r="B1213" t="inlineStr">
        <is>
          <t>HOSP-4</t>
        </is>
      </c>
      <c r="C1213" t="inlineStr">
        <is>
          <t>SS-01229</t>
        </is>
      </c>
      <c r="D1213" t="n">
        <v>1</v>
      </c>
      <c r="E1213" t="n">
        <v>6</v>
      </c>
      <c r="F1213" t="inlineStr">
        <is>
          <t>surge</t>
        </is>
      </c>
      <c r="G1213">
        <f>IF(AND(A1213&gt;=Inputs!$B$5,A1213&lt;=Inputs!$B$6),1,0)</f>
        <v/>
      </c>
    </row>
    <row r="1214">
      <c r="A1214" t="inlineStr">
        <is>
          <t>2026-05</t>
        </is>
      </c>
      <c r="B1214" t="inlineStr">
        <is>
          <t>HOSP-1</t>
        </is>
      </c>
      <c r="C1214" t="inlineStr">
        <is>
          <t>SS-01048</t>
        </is>
      </c>
      <c r="D1214" t="n">
        <v>24</v>
      </c>
      <c r="E1214" t="n">
        <v>0</v>
      </c>
      <c r="G1214">
        <f>IF(AND(A1214&gt;=Inputs!$B$5,A1214&lt;=Inputs!$B$6),1,0)</f>
        <v/>
      </c>
    </row>
    <row r="1215">
      <c r="A1215" t="inlineStr">
        <is>
          <t>2026-05</t>
        </is>
      </c>
      <c r="B1215" t="inlineStr">
        <is>
          <t>HOSP-2</t>
        </is>
      </c>
      <c r="C1215" t="inlineStr">
        <is>
          <t>SS-01049</t>
        </is>
      </c>
      <c r="D1215" t="n">
        <v>48</v>
      </c>
      <c r="E1215" t="n">
        <v>0</v>
      </c>
      <c r="G1215">
        <f>IF(AND(A1215&gt;=Inputs!$B$5,A1215&lt;=Inputs!$B$6),1,0)</f>
        <v/>
      </c>
    </row>
    <row r="1216">
      <c r="A1216" t="inlineStr">
        <is>
          <t>2026-05</t>
        </is>
      </c>
      <c r="B1216" t="inlineStr">
        <is>
          <t>HOSP-3</t>
        </is>
      </c>
      <c r="C1216" t="inlineStr">
        <is>
          <t>SS-01050</t>
        </is>
      </c>
      <c r="D1216" t="n">
        <v>120</v>
      </c>
      <c r="E1216" t="n">
        <v>0</v>
      </c>
      <c r="G1216">
        <f>IF(AND(A1216&gt;=Inputs!$B$5,A1216&lt;=Inputs!$B$6),1,0)</f>
        <v/>
      </c>
    </row>
    <row r="1217">
      <c r="A1217" t="inlineStr">
        <is>
          <t>2026-05</t>
        </is>
      </c>
      <c r="B1217" t="inlineStr">
        <is>
          <t>HOSP-4</t>
        </is>
      </c>
      <c r="C1217" t="inlineStr">
        <is>
          <t>SS-01051</t>
        </is>
      </c>
      <c r="D1217" t="n">
        <v>0</v>
      </c>
      <c r="E1217" t="n">
        <v>0</v>
      </c>
      <c r="G1217">
        <f>IF(AND(A1217&gt;=Inputs!$B$5,A1217&lt;=Inputs!$B$6),1,0)</f>
        <v/>
      </c>
    </row>
    <row r="1218">
      <c r="A1218" t="inlineStr">
        <is>
          <t>2026-05</t>
        </is>
      </c>
      <c r="B1218" t="inlineStr">
        <is>
          <t>HOSP-1</t>
        </is>
      </c>
      <c r="C1218" t="inlineStr">
        <is>
          <t>SS-01052</t>
        </is>
      </c>
      <c r="D1218" t="n">
        <v>36</v>
      </c>
      <c r="E1218" t="n">
        <v>0</v>
      </c>
      <c r="G1218">
        <f>IF(AND(A1218&gt;=Inputs!$B$5,A1218&lt;=Inputs!$B$6),1,0)</f>
        <v/>
      </c>
    </row>
    <row r="1219">
      <c r="A1219" t="inlineStr">
        <is>
          <t>2026-05</t>
        </is>
      </c>
      <c r="B1219" t="inlineStr">
        <is>
          <t>HOSP-2</t>
        </is>
      </c>
      <c r="C1219" t="inlineStr">
        <is>
          <t>SS-01053</t>
        </is>
      </c>
      <c r="D1219" t="n">
        <v>12</v>
      </c>
      <c r="E1219" t="n">
        <v>0</v>
      </c>
      <c r="G1219">
        <f>IF(AND(A1219&gt;=Inputs!$B$5,A1219&lt;=Inputs!$B$6),1,0)</f>
        <v/>
      </c>
    </row>
    <row r="1220">
      <c r="A1220" t="inlineStr">
        <is>
          <t>2026-05</t>
        </is>
      </c>
      <c r="B1220" t="inlineStr">
        <is>
          <t>HOSP-3</t>
        </is>
      </c>
      <c r="C1220" t="inlineStr">
        <is>
          <t>SS-01054</t>
        </is>
      </c>
      <c r="D1220" t="n">
        <v>216</v>
      </c>
      <c r="E1220" t="n">
        <v>0</v>
      </c>
      <c r="G1220">
        <f>IF(AND(A1220&gt;=Inputs!$B$5,A1220&lt;=Inputs!$B$6),1,0)</f>
        <v/>
      </c>
    </row>
    <row r="1221">
      <c r="A1221" t="inlineStr">
        <is>
          <t>2026-05</t>
        </is>
      </c>
      <c r="B1221" t="inlineStr">
        <is>
          <t>HOSP-4</t>
        </is>
      </c>
      <c r="C1221" t="inlineStr">
        <is>
          <t>SS-01055</t>
        </is>
      </c>
      <c r="D1221" t="n">
        <v>0</v>
      </c>
      <c r="E1221" t="n">
        <v>0</v>
      </c>
      <c r="G1221">
        <f>IF(AND(A1221&gt;=Inputs!$B$5,A1221&lt;=Inputs!$B$6),1,0)</f>
        <v/>
      </c>
    </row>
    <row r="1222">
      <c r="A1222" t="inlineStr">
        <is>
          <t>2026-05</t>
        </is>
      </c>
      <c r="B1222" t="inlineStr">
        <is>
          <t>HOSP-1</t>
        </is>
      </c>
      <c r="C1222" t="inlineStr">
        <is>
          <t>SS-01056</t>
        </is>
      </c>
      <c r="D1222" t="n">
        <v>6</v>
      </c>
      <c r="E1222" t="n">
        <v>5</v>
      </c>
      <c r="G1222">
        <f>IF(AND(A1222&gt;=Inputs!$B$5,A1222&lt;=Inputs!$B$6),1,0)</f>
        <v/>
      </c>
    </row>
    <row r="1223">
      <c r="A1223" t="inlineStr">
        <is>
          <t>2026-05</t>
        </is>
      </c>
      <c r="B1223" t="inlineStr">
        <is>
          <t>HOSP-2</t>
        </is>
      </c>
      <c r="C1223" t="inlineStr">
        <is>
          <t>SS-01057</t>
        </is>
      </c>
      <c r="D1223" t="n">
        <v>54</v>
      </c>
      <c r="E1223" t="n">
        <v>1</v>
      </c>
      <c r="G1223">
        <f>IF(AND(A1223&gt;=Inputs!$B$5,A1223&lt;=Inputs!$B$6),1,0)</f>
        <v/>
      </c>
    </row>
    <row r="1224">
      <c r="A1224" t="inlineStr">
        <is>
          <t>2026-05</t>
        </is>
      </c>
      <c r="B1224" t="inlineStr">
        <is>
          <t>HOSP-3</t>
        </is>
      </c>
      <c r="C1224" t="inlineStr">
        <is>
          <t>SS-01058</t>
        </is>
      </c>
      <c r="D1224" t="n">
        <v>96</v>
      </c>
      <c r="E1224" t="n">
        <v>0</v>
      </c>
      <c r="G1224">
        <f>IF(AND(A1224&gt;=Inputs!$B$5,A1224&lt;=Inputs!$B$6),1,0)</f>
        <v/>
      </c>
    </row>
    <row r="1225">
      <c r="A1225" t="inlineStr">
        <is>
          <t>2026-05</t>
        </is>
      </c>
      <c r="B1225" t="inlineStr">
        <is>
          <t>HOSP-4</t>
        </is>
      </c>
      <c r="C1225" t="inlineStr">
        <is>
          <t>SS-01059</t>
        </is>
      </c>
      <c r="D1225" t="n">
        <v>5</v>
      </c>
      <c r="E1225" t="n">
        <v>1</v>
      </c>
      <c r="G1225">
        <f>IF(AND(A1225&gt;=Inputs!$B$5,A1225&lt;=Inputs!$B$6),1,0)</f>
        <v/>
      </c>
    </row>
    <row r="1226">
      <c r="A1226" t="inlineStr">
        <is>
          <t>2026-05</t>
        </is>
      </c>
      <c r="B1226" t="inlineStr">
        <is>
          <t>HOSP-1</t>
        </is>
      </c>
      <c r="C1226" t="inlineStr">
        <is>
          <t>SS-01060</t>
        </is>
      </c>
      <c r="D1226" t="n">
        <v>0</v>
      </c>
      <c r="E1226" t="n">
        <v>0</v>
      </c>
      <c r="G1226">
        <f>IF(AND(A1226&gt;=Inputs!$B$5,A1226&lt;=Inputs!$B$6),1,0)</f>
        <v/>
      </c>
    </row>
    <row r="1227">
      <c r="A1227" t="inlineStr">
        <is>
          <t>2026-05</t>
        </is>
      </c>
      <c r="B1227" t="inlineStr">
        <is>
          <t>HOSP-2</t>
        </is>
      </c>
      <c r="C1227" t="inlineStr">
        <is>
          <t>SS-01061</t>
        </is>
      </c>
      <c r="D1227" t="n">
        <v>24</v>
      </c>
      <c r="E1227" t="n">
        <v>0</v>
      </c>
      <c r="G1227">
        <f>IF(AND(A1227&gt;=Inputs!$B$5,A1227&lt;=Inputs!$B$6),1,0)</f>
        <v/>
      </c>
    </row>
    <row r="1228">
      <c r="A1228" t="inlineStr">
        <is>
          <t>2026-05</t>
        </is>
      </c>
      <c r="B1228" t="inlineStr">
        <is>
          <t>HOSP-3</t>
        </is>
      </c>
      <c r="C1228" t="inlineStr">
        <is>
          <t>SS-01062</t>
        </is>
      </c>
      <c r="D1228" t="n">
        <v>24</v>
      </c>
      <c r="E1228" t="n">
        <v>0</v>
      </c>
      <c r="G1228">
        <f>IF(AND(A1228&gt;=Inputs!$B$5,A1228&lt;=Inputs!$B$6),1,0)</f>
        <v/>
      </c>
    </row>
    <row r="1229">
      <c r="A1229" t="inlineStr">
        <is>
          <t>2026-05</t>
        </is>
      </c>
      <c r="B1229" t="inlineStr">
        <is>
          <t>HOSP-4</t>
        </is>
      </c>
      <c r="C1229" t="inlineStr">
        <is>
          <t>SS-01063</t>
        </is>
      </c>
      <c r="D1229" t="n">
        <v>2</v>
      </c>
      <c r="E1229" t="n">
        <v>2</v>
      </c>
      <c r="G1229">
        <f>IF(AND(A1229&gt;=Inputs!$B$5,A1229&lt;=Inputs!$B$6),1,0)</f>
        <v/>
      </c>
    </row>
    <row r="1230">
      <c r="A1230" t="inlineStr">
        <is>
          <t>2026-05</t>
        </is>
      </c>
      <c r="B1230" t="inlineStr">
        <is>
          <t>HOSP-1</t>
        </is>
      </c>
      <c r="C1230" t="inlineStr">
        <is>
          <t>SS-01064</t>
        </is>
      </c>
      <c r="D1230" t="n">
        <v>72</v>
      </c>
      <c r="E1230" t="n">
        <v>0</v>
      </c>
      <c r="G1230">
        <f>IF(AND(A1230&gt;=Inputs!$B$5,A1230&lt;=Inputs!$B$6),1,0)</f>
        <v/>
      </c>
    </row>
    <row r="1231">
      <c r="A1231" t="inlineStr">
        <is>
          <t>2026-05</t>
        </is>
      </c>
      <c r="B1231" t="inlineStr">
        <is>
          <t>HOSP-2</t>
        </is>
      </c>
      <c r="C1231" t="inlineStr">
        <is>
          <t>SS-01065</t>
        </is>
      </c>
      <c r="D1231" t="n">
        <v>12</v>
      </c>
      <c r="E1231" t="n">
        <v>0</v>
      </c>
      <c r="G1231">
        <f>IF(AND(A1231&gt;=Inputs!$B$5,A1231&lt;=Inputs!$B$6),1,0)</f>
        <v/>
      </c>
    </row>
    <row r="1232">
      <c r="A1232" t="inlineStr">
        <is>
          <t>2026-05</t>
        </is>
      </c>
      <c r="B1232" t="inlineStr">
        <is>
          <t>HOSP-3</t>
        </is>
      </c>
      <c r="C1232" t="inlineStr">
        <is>
          <t>SS-01066</t>
        </is>
      </c>
      <c r="D1232" t="n">
        <v>36</v>
      </c>
      <c r="E1232" t="n">
        <v>0</v>
      </c>
      <c r="G1232">
        <f>IF(AND(A1232&gt;=Inputs!$B$5,A1232&lt;=Inputs!$B$6),1,0)</f>
        <v/>
      </c>
    </row>
    <row r="1233">
      <c r="A1233" t="inlineStr">
        <is>
          <t>2026-05</t>
        </is>
      </c>
      <c r="B1233" t="inlineStr">
        <is>
          <t>HOSP-4</t>
        </is>
      </c>
      <c r="C1233" t="inlineStr">
        <is>
          <t>SS-01067</t>
        </is>
      </c>
      <c r="D1233" t="n">
        <v>24</v>
      </c>
      <c r="E1233" t="n">
        <v>0</v>
      </c>
      <c r="G1233">
        <f>IF(AND(A1233&gt;=Inputs!$B$5,A1233&lt;=Inputs!$B$6),1,0)</f>
        <v/>
      </c>
    </row>
    <row r="1234">
      <c r="A1234" t="inlineStr">
        <is>
          <t>2026-05</t>
        </is>
      </c>
      <c r="B1234" t="inlineStr">
        <is>
          <t>HOSP-1</t>
        </is>
      </c>
      <c r="C1234" t="inlineStr">
        <is>
          <t>SS-01068</t>
        </is>
      </c>
      <c r="D1234" t="n">
        <v>12</v>
      </c>
      <c r="E1234" t="n">
        <v>0</v>
      </c>
      <c r="G1234">
        <f>IF(AND(A1234&gt;=Inputs!$B$5,A1234&lt;=Inputs!$B$6),1,0)</f>
        <v/>
      </c>
    </row>
    <row r="1235">
      <c r="A1235" t="inlineStr">
        <is>
          <t>2026-05</t>
        </is>
      </c>
      <c r="B1235" t="inlineStr">
        <is>
          <t>HOSP-2</t>
        </is>
      </c>
      <c r="C1235" t="inlineStr">
        <is>
          <t>SS-01069</t>
        </is>
      </c>
      <c r="D1235" t="n">
        <v>12</v>
      </c>
      <c r="E1235" t="n">
        <v>0</v>
      </c>
      <c r="G1235">
        <f>IF(AND(A1235&gt;=Inputs!$B$5,A1235&lt;=Inputs!$B$6),1,0)</f>
        <v/>
      </c>
    </row>
    <row r="1236">
      <c r="A1236" t="inlineStr">
        <is>
          <t>2026-05</t>
        </is>
      </c>
      <c r="B1236" t="inlineStr">
        <is>
          <t>HOSP-3</t>
        </is>
      </c>
      <c r="C1236" t="inlineStr">
        <is>
          <t>SS-01070</t>
        </is>
      </c>
      <c r="D1236" t="n">
        <v>0</v>
      </c>
      <c r="E1236" t="n">
        <v>0</v>
      </c>
      <c r="G1236">
        <f>IF(AND(A1236&gt;=Inputs!$B$5,A1236&lt;=Inputs!$B$6),1,0)</f>
        <v/>
      </c>
    </row>
    <row r="1237">
      <c r="A1237" t="inlineStr">
        <is>
          <t>2026-05</t>
        </is>
      </c>
      <c r="B1237" t="inlineStr">
        <is>
          <t>HOSP-4</t>
        </is>
      </c>
      <c r="C1237" t="inlineStr">
        <is>
          <t>SS-01071</t>
        </is>
      </c>
      <c r="D1237" t="n">
        <v>0</v>
      </c>
      <c r="E1237" t="n">
        <v>0</v>
      </c>
      <c r="G1237">
        <f>IF(AND(A1237&gt;=Inputs!$B$5,A1237&lt;=Inputs!$B$6),1,0)</f>
        <v/>
      </c>
    </row>
    <row r="1238">
      <c r="A1238" t="inlineStr">
        <is>
          <t>2026-05</t>
        </is>
      </c>
      <c r="B1238" t="inlineStr">
        <is>
          <t>HOSP-1</t>
        </is>
      </c>
      <c r="C1238" t="inlineStr">
        <is>
          <t>SS-01072</t>
        </is>
      </c>
      <c r="D1238" t="n">
        <v>36</v>
      </c>
      <c r="E1238" t="n">
        <v>0</v>
      </c>
      <c r="G1238">
        <f>IF(AND(A1238&gt;=Inputs!$B$5,A1238&lt;=Inputs!$B$6),1,0)</f>
        <v/>
      </c>
    </row>
    <row r="1239">
      <c r="A1239" t="inlineStr">
        <is>
          <t>2026-05</t>
        </is>
      </c>
      <c r="B1239" t="inlineStr">
        <is>
          <t>HOSP-2</t>
        </is>
      </c>
      <c r="C1239" t="inlineStr">
        <is>
          <t>SS-01073</t>
        </is>
      </c>
      <c r="D1239" t="n">
        <v>16</v>
      </c>
      <c r="E1239" t="n">
        <v>0</v>
      </c>
      <c r="G1239">
        <f>IF(AND(A1239&gt;=Inputs!$B$5,A1239&lt;=Inputs!$B$6),1,0)</f>
        <v/>
      </c>
    </row>
    <row r="1240">
      <c r="A1240" t="inlineStr">
        <is>
          <t>2026-05</t>
        </is>
      </c>
      <c r="B1240" t="inlineStr">
        <is>
          <t>HOSP-3</t>
        </is>
      </c>
      <c r="C1240" t="inlineStr">
        <is>
          <t>SS-01074</t>
        </is>
      </c>
      <c r="D1240" t="n">
        <v>25</v>
      </c>
      <c r="E1240" t="n">
        <v>0</v>
      </c>
      <c r="G1240">
        <f>IF(AND(A1240&gt;=Inputs!$B$5,A1240&lt;=Inputs!$B$6),1,0)</f>
        <v/>
      </c>
    </row>
    <row r="1241">
      <c r="A1241" t="inlineStr">
        <is>
          <t>2026-05</t>
        </is>
      </c>
      <c r="B1241" t="inlineStr">
        <is>
          <t>HOSP-4</t>
        </is>
      </c>
      <c r="C1241" t="inlineStr">
        <is>
          <t>SS-01075</t>
        </is>
      </c>
      <c r="D1241" t="n">
        <v>68</v>
      </c>
      <c r="E1241" t="n">
        <v>1</v>
      </c>
      <c r="G1241">
        <f>IF(AND(A1241&gt;=Inputs!$B$5,A1241&lt;=Inputs!$B$6),1,0)</f>
        <v/>
      </c>
    </row>
    <row r="1242">
      <c r="A1242" t="inlineStr">
        <is>
          <t>2026-05</t>
        </is>
      </c>
      <c r="B1242" t="inlineStr">
        <is>
          <t>HOSP-1</t>
        </is>
      </c>
      <c r="C1242" t="inlineStr">
        <is>
          <t>SS-01076</t>
        </is>
      </c>
      <c r="D1242" t="n">
        <v>0</v>
      </c>
      <c r="E1242" t="n">
        <v>0</v>
      </c>
      <c r="G1242">
        <f>IF(AND(A1242&gt;=Inputs!$B$5,A1242&lt;=Inputs!$B$6),1,0)</f>
        <v/>
      </c>
    </row>
    <row r="1243">
      <c r="A1243" t="inlineStr">
        <is>
          <t>2026-05</t>
        </is>
      </c>
      <c r="B1243" t="inlineStr">
        <is>
          <t>HOSP-2</t>
        </is>
      </c>
      <c r="C1243" t="inlineStr">
        <is>
          <t>SS-01077</t>
        </is>
      </c>
      <c r="D1243" t="n">
        <v>24</v>
      </c>
      <c r="E1243" t="n">
        <v>0</v>
      </c>
      <c r="G1243">
        <f>IF(AND(A1243&gt;=Inputs!$B$5,A1243&lt;=Inputs!$B$6),1,0)</f>
        <v/>
      </c>
    </row>
    <row r="1244">
      <c r="A1244" t="inlineStr">
        <is>
          <t>2026-05</t>
        </is>
      </c>
      <c r="B1244" t="inlineStr">
        <is>
          <t>HOSP-3</t>
        </is>
      </c>
      <c r="C1244" t="inlineStr">
        <is>
          <t>SS-01014</t>
        </is>
      </c>
      <c r="D1244" t="n">
        <v>60</v>
      </c>
      <c r="E1244" t="n">
        <v>0</v>
      </c>
      <c r="G1244">
        <f>IF(AND(A1244&gt;=Inputs!$B$5,A1244&lt;=Inputs!$B$6),1,0)</f>
        <v/>
      </c>
    </row>
    <row r="1245">
      <c r="A1245" t="inlineStr">
        <is>
          <t>2026-05</t>
        </is>
      </c>
      <c r="B1245" t="inlineStr">
        <is>
          <t>HOSP-4</t>
        </is>
      </c>
      <c r="C1245" t="inlineStr">
        <is>
          <t>SS-01079</t>
        </is>
      </c>
      <c r="D1245" t="n">
        <v>12</v>
      </c>
      <c r="E1245" t="n">
        <v>0</v>
      </c>
      <c r="G1245">
        <f>IF(AND(A1245&gt;=Inputs!$B$5,A1245&lt;=Inputs!$B$6),1,0)</f>
        <v/>
      </c>
    </row>
    <row r="1246">
      <c r="A1246" t="inlineStr">
        <is>
          <t>2026-05</t>
        </is>
      </c>
      <c r="B1246" t="inlineStr">
        <is>
          <t>HOSP-1</t>
        </is>
      </c>
      <c r="C1246" t="inlineStr">
        <is>
          <t>SS-01080</t>
        </is>
      </c>
      <c r="D1246" t="n">
        <v>120</v>
      </c>
      <c r="E1246" t="n">
        <v>0</v>
      </c>
      <c r="G1246">
        <f>IF(AND(A1246&gt;=Inputs!$B$5,A1246&lt;=Inputs!$B$6),1,0)</f>
        <v/>
      </c>
    </row>
    <row r="1247">
      <c r="A1247" t="inlineStr">
        <is>
          <t>2026-05</t>
        </is>
      </c>
      <c r="B1247" t="inlineStr">
        <is>
          <t>HOSP-2</t>
        </is>
      </c>
      <c r="C1247" t="inlineStr">
        <is>
          <t>SS-01135</t>
        </is>
      </c>
      <c r="D1247" t="n">
        <v>0</v>
      </c>
      <c r="E1247" t="n">
        <v>1</v>
      </c>
      <c r="G1247">
        <f>IF(AND(A1247&gt;=Inputs!$B$5,A1247&lt;=Inputs!$B$6),1,0)</f>
        <v/>
      </c>
    </row>
    <row r="1248">
      <c r="A1248" t="inlineStr">
        <is>
          <t>2026-05</t>
        </is>
      </c>
      <c r="B1248" t="inlineStr">
        <is>
          <t>HOSP-3</t>
        </is>
      </c>
      <c r="C1248" t="inlineStr">
        <is>
          <t>SS-01082</t>
        </is>
      </c>
      <c r="D1248" t="n">
        <v>12</v>
      </c>
      <c r="E1248" t="n">
        <v>0</v>
      </c>
      <c r="G1248">
        <f>IF(AND(A1248&gt;=Inputs!$B$5,A1248&lt;=Inputs!$B$6),1,0)</f>
        <v/>
      </c>
    </row>
    <row r="1249">
      <c r="A1249" t="inlineStr">
        <is>
          <t>2026-05</t>
        </is>
      </c>
      <c r="B1249" t="inlineStr">
        <is>
          <t>HOSP-4</t>
        </is>
      </c>
      <c r="C1249" t="inlineStr">
        <is>
          <t>SS-01083</t>
        </is>
      </c>
      <c r="D1249" t="n">
        <v>48</v>
      </c>
      <c r="E1249" t="n">
        <v>0</v>
      </c>
      <c r="G1249">
        <f>IF(AND(A1249&gt;=Inputs!$B$5,A1249&lt;=Inputs!$B$6),1,0)</f>
        <v/>
      </c>
    </row>
    <row r="1250">
      <c r="A1250" t="inlineStr">
        <is>
          <t>2026-05</t>
        </is>
      </c>
      <c r="B1250" t="inlineStr">
        <is>
          <t>HOSP-1</t>
        </is>
      </c>
      <c r="C1250" t="inlineStr">
        <is>
          <t>SS-01084</t>
        </is>
      </c>
      <c r="D1250" t="n">
        <v>0</v>
      </c>
      <c r="E1250" t="n">
        <v>1</v>
      </c>
      <c r="G1250">
        <f>IF(AND(A1250&gt;=Inputs!$B$5,A1250&lt;=Inputs!$B$6),1,0)</f>
        <v/>
      </c>
    </row>
    <row r="1251">
      <c r="A1251" t="inlineStr">
        <is>
          <t>2026-05</t>
        </is>
      </c>
      <c r="B1251" t="inlineStr">
        <is>
          <t>HOSP-2</t>
        </is>
      </c>
      <c r="C1251" t="inlineStr">
        <is>
          <t>SS-01085</t>
        </is>
      </c>
      <c r="D1251" t="n">
        <v>0</v>
      </c>
      <c r="E1251" t="n">
        <v>0</v>
      </c>
      <c r="G1251">
        <f>IF(AND(A1251&gt;=Inputs!$B$5,A1251&lt;=Inputs!$B$6),1,0)</f>
        <v/>
      </c>
    </row>
    <row r="1252">
      <c r="A1252" t="inlineStr">
        <is>
          <t>2026-05</t>
        </is>
      </c>
      <c r="B1252" t="inlineStr">
        <is>
          <t>HOSP-3</t>
        </is>
      </c>
      <c r="C1252" t="inlineStr">
        <is>
          <t>SS-01086</t>
        </is>
      </c>
      <c r="D1252" t="n">
        <v>0</v>
      </c>
      <c r="E1252" t="n">
        <v>0</v>
      </c>
      <c r="G1252">
        <f>IF(AND(A1252&gt;=Inputs!$B$5,A1252&lt;=Inputs!$B$6),1,0)</f>
        <v/>
      </c>
    </row>
    <row r="1253">
      <c r="A1253" t="inlineStr">
        <is>
          <t>2026-05</t>
        </is>
      </c>
      <c r="B1253" t="inlineStr">
        <is>
          <t>HOSP-4</t>
        </is>
      </c>
      <c r="C1253" t="inlineStr">
        <is>
          <t>SS-01087</t>
        </is>
      </c>
      <c r="D1253" t="n">
        <v>60</v>
      </c>
      <c r="E1253" t="n">
        <v>0</v>
      </c>
      <c r="G1253">
        <f>IF(AND(A1253&gt;=Inputs!$B$5,A1253&lt;=Inputs!$B$6),1,0)</f>
        <v/>
      </c>
    </row>
    <row r="1254">
      <c r="A1254" t="inlineStr">
        <is>
          <t>2026-05</t>
        </is>
      </c>
      <c r="B1254" t="inlineStr">
        <is>
          <t>HOSP-1</t>
        </is>
      </c>
      <c r="C1254" t="inlineStr">
        <is>
          <t>SS-01088</t>
        </is>
      </c>
      <c r="D1254" t="n">
        <v>0</v>
      </c>
      <c r="E1254" t="n">
        <v>0</v>
      </c>
      <c r="G1254">
        <f>IF(AND(A1254&gt;=Inputs!$B$5,A1254&lt;=Inputs!$B$6),1,0)</f>
        <v/>
      </c>
    </row>
    <row r="1255">
      <c r="A1255" t="inlineStr">
        <is>
          <t>2026-05</t>
        </is>
      </c>
      <c r="B1255" t="inlineStr">
        <is>
          <t>HOSP-2</t>
        </is>
      </c>
      <c r="C1255" t="inlineStr">
        <is>
          <t>SS-01089</t>
        </is>
      </c>
      <c r="D1255" t="n">
        <v>36</v>
      </c>
      <c r="E1255" t="n">
        <v>0</v>
      </c>
      <c r="G1255">
        <f>IF(AND(A1255&gt;=Inputs!$B$5,A1255&lt;=Inputs!$B$6),1,0)</f>
        <v/>
      </c>
    </row>
    <row r="1256">
      <c r="A1256" t="inlineStr">
        <is>
          <t>2026-05</t>
        </is>
      </c>
      <c r="B1256" t="inlineStr">
        <is>
          <t>HOSP-3</t>
        </is>
      </c>
      <c r="C1256" t="inlineStr">
        <is>
          <t>SS-01090</t>
        </is>
      </c>
      <c r="D1256" t="n">
        <v>36</v>
      </c>
      <c r="E1256" t="n">
        <v>0</v>
      </c>
      <c r="G1256">
        <f>IF(AND(A1256&gt;=Inputs!$B$5,A1256&lt;=Inputs!$B$6),1,0)</f>
        <v/>
      </c>
    </row>
    <row r="1257">
      <c r="A1257" t="inlineStr">
        <is>
          <t>2026-05</t>
        </is>
      </c>
      <c r="B1257" t="inlineStr">
        <is>
          <t>HOSP-4</t>
        </is>
      </c>
      <c r="C1257" t="inlineStr">
        <is>
          <t>SS-01091</t>
        </is>
      </c>
      <c r="D1257" t="n">
        <v>48</v>
      </c>
      <c r="E1257" t="n">
        <v>0</v>
      </c>
      <c r="G1257">
        <f>IF(AND(A1257&gt;=Inputs!$B$5,A1257&lt;=Inputs!$B$6),1,0)</f>
        <v/>
      </c>
    </row>
    <row r="1258">
      <c r="A1258" t="inlineStr">
        <is>
          <t>2026-05</t>
        </is>
      </c>
      <c r="B1258" t="inlineStr">
        <is>
          <t>HOSP-1</t>
        </is>
      </c>
      <c r="C1258" t="inlineStr">
        <is>
          <t>SS-01092</t>
        </is>
      </c>
      <c r="D1258" t="n">
        <v>12</v>
      </c>
      <c r="E1258" t="n">
        <v>0</v>
      </c>
      <c r="G1258">
        <f>IF(AND(A1258&gt;=Inputs!$B$5,A1258&lt;=Inputs!$B$6),1,0)</f>
        <v/>
      </c>
    </row>
    <row r="1259">
      <c r="A1259" t="inlineStr">
        <is>
          <t>2026-05</t>
        </is>
      </c>
      <c r="B1259" t="inlineStr">
        <is>
          <t>HOSP-2</t>
        </is>
      </c>
      <c r="C1259" t="inlineStr">
        <is>
          <t>SS-01093</t>
        </is>
      </c>
      <c r="D1259" t="n">
        <v>12</v>
      </c>
      <c r="E1259" t="n">
        <v>0</v>
      </c>
      <c r="G1259">
        <f>IF(AND(A1259&gt;=Inputs!$B$5,A1259&lt;=Inputs!$B$6),1,0)</f>
        <v/>
      </c>
    </row>
    <row r="1260">
      <c r="A1260" t="inlineStr">
        <is>
          <t>2026-05</t>
        </is>
      </c>
      <c r="B1260" t="inlineStr">
        <is>
          <t>HOSP-3</t>
        </is>
      </c>
      <c r="C1260" t="inlineStr">
        <is>
          <t>SS-01094</t>
        </is>
      </c>
      <c r="D1260" t="n">
        <v>12</v>
      </c>
      <c r="E1260" t="n">
        <v>0</v>
      </c>
      <c r="G1260">
        <f>IF(AND(A1260&gt;=Inputs!$B$5,A1260&lt;=Inputs!$B$6),1,0)</f>
        <v/>
      </c>
    </row>
    <row r="1261">
      <c r="A1261" t="inlineStr">
        <is>
          <t>2026-05</t>
        </is>
      </c>
      <c r="B1261" t="inlineStr">
        <is>
          <t>HOSP-4</t>
        </is>
      </c>
      <c r="C1261" t="inlineStr">
        <is>
          <t>SS-01095</t>
        </is>
      </c>
      <c r="D1261" t="n">
        <v>0</v>
      </c>
      <c r="E1261" t="n">
        <v>0</v>
      </c>
      <c r="G1261">
        <f>IF(AND(A1261&gt;=Inputs!$B$5,A1261&lt;=Inputs!$B$6),1,0)</f>
        <v/>
      </c>
    </row>
    <row r="1262">
      <c r="A1262" t="inlineStr">
        <is>
          <t>2026-05</t>
        </is>
      </c>
      <c r="B1262" t="inlineStr">
        <is>
          <t>HOSP-1</t>
        </is>
      </c>
      <c r="C1262" t="inlineStr">
        <is>
          <t>SS-01096</t>
        </is>
      </c>
      <c r="D1262" t="n">
        <v>84</v>
      </c>
      <c r="E1262" t="n">
        <v>0</v>
      </c>
      <c r="G1262">
        <f>IF(AND(A1262&gt;=Inputs!$B$5,A1262&lt;=Inputs!$B$6),1,0)</f>
        <v/>
      </c>
    </row>
    <row r="1263">
      <c r="A1263" t="inlineStr">
        <is>
          <t>2026-05</t>
        </is>
      </c>
      <c r="B1263" t="inlineStr">
        <is>
          <t>HOSP-2</t>
        </is>
      </c>
      <c r="C1263" t="inlineStr">
        <is>
          <t>SS-01097</t>
        </is>
      </c>
      <c r="D1263" t="n">
        <v>24</v>
      </c>
      <c r="E1263" t="n">
        <v>0</v>
      </c>
      <c r="G1263">
        <f>IF(AND(A1263&gt;=Inputs!$B$5,A1263&lt;=Inputs!$B$6),1,0)</f>
        <v/>
      </c>
    </row>
    <row r="1264">
      <c r="A1264" t="inlineStr">
        <is>
          <t>2026-05</t>
        </is>
      </c>
      <c r="B1264" t="inlineStr">
        <is>
          <t>HOSP-3</t>
        </is>
      </c>
      <c r="C1264" t="inlineStr">
        <is>
          <t>SS-01098</t>
        </is>
      </c>
      <c r="D1264" t="n">
        <v>24</v>
      </c>
      <c r="E1264" t="n">
        <v>0</v>
      </c>
      <c r="G1264">
        <f>IF(AND(A1264&gt;=Inputs!$B$5,A1264&lt;=Inputs!$B$6),1,0)</f>
        <v/>
      </c>
    </row>
    <row r="1265">
      <c r="A1265" t="inlineStr">
        <is>
          <t>2026-05</t>
        </is>
      </c>
      <c r="B1265" t="inlineStr">
        <is>
          <t>HOSP-4</t>
        </is>
      </c>
      <c r="C1265" t="inlineStr">
        <is>
          <t>SS-01099</t>
        </is>
      </c>
      <c r="D1265" t="n">
        <v>180</v>
      </c>
      <c r="E1265" t="n">
        <v>0</v>
      </c>
      <c r="G1265">
        <f>IF(AND(A1265&gt;=Inputs!$B$5,A1265&lt;=Inputs!$B$6),1,0)</f>
        <v/>
      </c>
    </row>
    <row r="1266">
      <c r="A1266" t="inlineStr">
        <is>
          <t>2026-05</t>
        </is>
      </c>
      <c r="B1266" t="inlineStr">
        <is>
          <t>HOSP-1</t>
        </is>
      </c>
      <c r="C1266" t="inlineStr">
        <is>
          <t>SS-01100</t>
        </is>
      </c>
      <c r="D1266" t="n">
        <v>24</v>
      </c>
      <c r="E1266" t="n">
        <v>0</v>
      </c>
      <c r="G1266">
        <f>IF(AND(A1266&gt;=Inputs!$B$5,A1266&lt;=Inputs!$B$6),1,0)</f>
        <v/>
      </c>
    </row>
    <row r="1267">
      <c r="A1267" t="inlineStr">
        <is>
          <t>2026-05</t>
        </is>
      </c>
      <c r="B1267" t="inlineStr">
        <is>
          <t>HOSP-2</t>
        </is>
      </c>
      <c r="C1267" t="inlineStr">
        <is>
          <t>SS-01101</t>
        </is>
      </c>
      <c r="D1267" t="n">
        <v>38</v>
      </c>
      <c r="E1267" t="n">
        <v>2</v>
      </c>
      <c r="G1267">
        <f>IF(AND(A1267&gt;=Inputs!$B$5,A1267&lt;=Inputs!$B$6),1,0)</f>
        <v/>
      </c>
    </row>
    <row r="1268">
      <c r="A1268" t="inlineStr">
        <is>
          <t>2026-05</t>
        </is>
      </c>
      <c r="B1268" t="inlineStr">
        <is>
          <t>HOSP-3</t>
        </is>
      </c>
      <c r="C1268" t="inlineStr">
        <is>
          <t>SS-01102</t>
        </is>
      </c>
      <c r="D1268" t="n">
        <v>0</v>
      </c>
      <c r="E1268" t="n">
        <v>0</v>
      </c>
      <c r="G1268">
        <f>IF(AND(A1268&gt;=Inputs!$B$5,A1268&lt;=Inputs!$B$6),1,0)</f>
        <v/>
      </c>
    </row>
    <row r="1269">
      <c r="A1269" t="inlineStr">
        <is>
          <t>2026-05</t>
        </is>
      </c>
      <c r="B1269" t="inlineStr">
        <is>
          <t>HOSP-4</t>
        </is>
      </c>
      <c r="C1269" t="inlineStr">
        <is>
          <t>SS-01103</t>
        </is>
      </c>
      <c r="D1269" t="n">
        <v>24</v>
      </c>
      <c r="E1269" t="n">
        <v>0</v>
      </c>
      <c r="G1269">
        <f>IF(AND(A1269&gt;=Inputs!$B$5,A1269&lt;=Inputs!$B$6),1,0)</f>
        <v/>
      </c>
    </row>
    <row r="1270">
      <c r="A1270" t="inlineStr">
        <is>
          <t>2026-05</t>
        </is>
      </c>
      <c r="B1270" t="inlineStr">
        <is>
          <t>HOSP-1</t>
        </is>
      </c>
      <c r="C1270" t="inlineStr">
        <is>
          <t>SS-01166</t>
        </is>
      </c>
      <c r="D1270" t="n">
        <v>0</v>
      </c>
      <c r="E1270" t="n">
        <v>8</v>
      </c>
      <c r="G1270">
        <f>IF(AND(A1270&gt;=Inputs!$B$5,A1270&lt;=Inputs!$B$6),1,0)</f>
        <v/>
      </c>
    </row>
    <row r="1271">
      <c r="A1271" t="inlineStr">
        <is>
          <t>2026-05</t>
        </is>
      </c>
      <c r="B1271" t="inlineStr">
        <is>
          <t>HOSP-2</t>
        </is>
      </c>
      <c r="C1271" t="inlineStr">
        <is>
          <t>SS-01105</t>
        </is>
      </c>
      <c r="D1271" t="n">
        <v>12</v>
      </c>
      <c r="E1271" t="n">
        <v>0</v>
      </c>
      <c r="G1271">
        <f>IF(AND(A1271&gt;=Inputs!$B$5,A1271&lt;=Inputs!$B$6),1,0)</f>
        <v/>
      </c>
    </row>
    <row r="1272">
      <c r="A1272" t="inlineStr">
        <is>
          <t>2026-05</t>
        </is>
      </c>
      <c r="B1272" t="inlineStr">
        <is>
          <t>HOSP-3</t>
        </is>
      </c>
      <c r="C1272" t="inlineStr">
        <is>
          <t>SS-01106</t>
        </is>
      </c>
      <c r="D1272" t="n">
        <v>12</v>
      </c>
      <c r="E1272" t="n">
        <v>0</v>
      </c>
      <c r="G1272">
        <f>IF(AND(A1272&gt;=Inputs!$B$5,A1272&lt;=Inputs!$B$6),1,0)</f>
        <v/>
      </c>
    </row>
    <row r="1273">
      <c r="A1273" t="inlineStr">
        <is>
          <t>2026-05</t>
        </is>
      </c>
      <c r="B1273" t="inlineStr">
        <is>
          <t>HOSP-4</t>
        </is>
      </c>
      <c r="C1273" t="inlineStr">
        <is>
          <t>SS-01107</t>
        </is>
      </c>
      <c r="D1273" t="n">
        <v>24</v>
      </c>
      <c r="E1273" t="n">
        <v>0</v>
      </c>
      <c r="G1273">
        <f>IF(AND(A1273&gt;=Inputs!$B$5,A1273&lt;=Inputs!$B$6),1,0)</f>
        <v/>
      </c>
    </row>
    <row r="1274">
      <c r="A1274" t="inlineStr">
        <is>
          <t>2026-05</t>
        </is>
      </c>
      <c r="B1274" t="inlineStr">
        <is>
          <t>HOSP-1</t>
        </is>
      </c>
      <c r="C1274" t="inlineStr">
        <is>
          <t>SS-01108</t>
        </is>
      </c>
      <c r="D1274" t="n">
        <v>12</v>
      </c>
      <c r="E1274" t="n">
        <v>0</v>
      </c>
      <c r="G1274">
        <f>IF(AND(A1274&gt;=Inputs!$B$5,A1274&lt;=Inputs!$B$6),1,0)</f>
        <v/>
      </c>
    </row>
    <row r="1275">
      <c r="A1275" t="inlineStr">
        <is>
          <t>2026-05</t>
        </is>
      </c>
      <c r="B1275" t="inlineStr">
        <is>
          <t>HOSP-2</t>
        </is>
      </c>
      <c r="C1275" t="inlineStr">
        <is>
          <t>SS-01170</t>
        </is>
      </c>
      <c r="D1275" t="n">
        <v>95</v>
      </c>
      <c r="E1275" t="n">
        <v>5</v>
      </c>
      <c r="G1275">
        <f>IF(AND(A1275&gt;=Inputs!$B$5,A1275&lt;=Inputs!$B$6),1,0)</f>
        <v/>
      </c>
    </row>
    <row r="1276">
      <c r="A1276" t="inlineStr">
        <is>
          <t>2026-05</t>
        </is>
      </c>
      <c r="B1276" t="inlineStr">
        <is>
          <t>HOSP-3</t>
        </is>
      </c>
      <c r="C1276" t="inlineStr">
        <is>
          <t>SS-01110</t>
        </is>
      </c>
      <c r="D1276" t="n">
        <v>12</v>
      </c>
      <c r="E1276" t="n">
        <v>0</v>
      </c>
      <c r="G1276">
        <f>IF(AND(A1276&gt;=Inputs!$B$5,A1276&lt;=Inputs!$B$6),1,0)</f>
        <v/>
      </c>
    </row>
    <row r="1277">
      <c r="A1277" t="inlineStr">
        <is>
          <t>2026-05</t>
        </is>
      </c>
      <c r="B1277" t="inlineStr">
        <is>
          <t>HOSP-4</t>
        </is>
      </c>
      <c r="C1277" t="inlineStr">
        <is>
          <t>SS-01111</t>
        </is>
      </c>
      <c r="D1277" t="n">
        <v>0</v>
      </c>
      <c r="E1277" t="n">
        <v>0</v>
      </c>
      <c r="G1277">
        <f>IF(AND(A1277&gt;=Inputs!$B$5,A1277&lt;=Inputs!$B$6),1,0)</f>
        <v/>
      </c>
    </row>
    <row r="1278">
      <c r="A1278" t="inlineStr">
        <is>
          <t>2026-05</t>
        </is>
      </c>
      <c r="B1278" t="inlineStr">
        <is>
          <t>HOSP-1</t>
        </is>
      </c>
      <c r="C1278" t="inlineStr">
        <is>
          <t>SS-01112</t>
        </is>
      </c>
      <c r="D1278" t="n">
        <v>30</v>
      </c>
      <c r="E1278" t="n">
        <v>0</v>
      </c>
      <c r="G1278">
        <f>IF(AND(A1278&gt;=Inputs!$B$5,A1278&lt;=Inputs!$B$6),1,0)</f>
        <v/>
      </c>
    </row>
    <row r="1279">
      <c r="A1279" t="inlineStr">
        <is>
          <t>2026-05</t>
        </is>
      </c>
      <c r="B1279" t="inlineStr">
        <is>
          <t>HOSP-2</t>
        </is>
      </c>
      <c r="C1279" t="inlineStr">
        <is>
          <t>SS-01113</t>
        </is>
      </c>
      <c r="D1279" t="n">
        <v>0</v>
      </c>
      <c r="E1279" t="n">
        <v>0</v>
      </c>
      <c r="G1279">
        <f>IF(AND(A1279&gt;=Inputs!$B$5,A1279&lt;=Inputs!$B$6),1,0)</f>
        <v/>
      </c>
    </row>
    <row r="1280">
      <c r="A1280" t="inlineStr">
        <is>
          <t>2026-05</t>
        </is>
      </c>
      <c r="B1280" t="inlineStr">
        <is>
          <t>HOSP-3</t>
        </is>
      </c>
      <c r="C1280" t="inlineStr">
        <is>
          <t>SS-01114</t>
        </is>
      </c>
      <c r="D1280" t="n">
        <v>0</v>
      </c>
      <c r="E1280" t="n">
        <v>0</v>
      </c>
      <c r="G1280">
        <f>IF(AND(A1280&gt;=Inputs!$B$5,A1280&lt;=Inputs!$B$6),1,0)</f>
        <v/>
      </c>
    </row>
    <row r="1281">
      <c r="A1281" t="inlineStr">
        <is>
          <t>2026-05</t>
        </is>
      </c>
      <c r="B1281" t="inlineStr">
        <is>
          <t>HOSP-4</t>
        </is>
      </c>
      <c r="C1281" t="inlineStr">
        <is>
          <t>SS-01115</t>
        </is>
      </c>
      <c r="D1281" t="n">
        <v>12</v>
      </c>
      <c r="E1281" t="n">
        <v>0</v>
      </c>
      <c r="G1281">
        <f>IF(AND(A1281&gt;=Inputs!$B$5,A1281&lt;=Inputs!$B$6),1,0)</f>
        <v/>
      </c>
    </row>
    <row r="1282">
      <c r="A1282" t="inlineStr">
        <is>
          <t>2026-05</t>
        </is>
      </c>
      <c r="B1282" t="inlineStr">
        <is>
          <t>HOSP-1</t>
        </is>
      </c>
      <c r="C1282" t="inlineStr">
        <is>
          <t>SS-01116</t>
        </is>
      </c>
      <c r="D1282" t="n">
        <v>36</v>
      </c>
      <c r="E1282" t="n">
        <v>0</v>
      </c>
      <c r="G1282">
        <f>IF(AND(A1282&gt;=Inputs!$B$5,A1282&lt;=Inputs!$B$6),1,0)</f>
        <v/>
      </c>
    </row>
    <row r="1283">
      <c r="A1283" t="inlineStr">
        <is>
          <t>2026-05</t>
        </is>
      </c>
      <c r="B1283" t="inlineStr">
        <is>
          <t>HOSP-2</t>
        </is>
      </c>
      <c r="C1283" t="inlineStr">
        <is>
          <t>SS-01117</t>
        </is>
      </c>
      <c r="D1283" t="n">
        <v>0</v>
      </c>
      <c r="E1283" t="n">
        <v>4</v>
      </c>
      <c r="G1283">
        <f>IF(AND(A1283&gt;=Inputs!$B$5,A1283&lt;=Inputs!$B$6),1,0)</f>
        <v/>
      </c>
    </row>
    <row r="1284">
      <c r="A1284" t="inlineStr">
        <is>
          <t>2026-05</t>
        </is>
      </c>
      <c r="B1284" t="inlineStr">
        <is>
          <t>HOSP-3</t>
        </is>
      </c>
      <c r="C1284" t="inlineStr">
        <is>
          <t>SS-01118</t>
        </is>
      </c>
      <c r="D1284" t="n">
        <v>12</v>
      </c>
      <c r="E1284" t="n">
        <v>0</v>
      </c>
      <c r="G1284">
        <f>IF(AND(A1284&gt;=Inputs!$B$5,A1284&lt;=Inputs!$B$6),1,0)</f>
        <v/>
      </c>
    </row>
    <row r="1285">
      <c r="A1285" t="inlineStr">
        <is>
          <t>2026-05</t>
        </is>
      </c>
      <c r="B1285" t="inlineStr">
        <is>
          <t>HOSP-4</t>
        </is>
      </c>
      <c r="C1285" t="inlineStr">
        <is>
          <t>SS-01119</t>
        </is>
      </c>
      <c r="D1285" t="n">
        <v>12</v>
      </c>
      <c r="E1285" t="n">
        <v>0</v>
      </c>
      <c r="G1285">
        <f>IF(AND(A1285&gt;=Inputs!$B$5,A1285&lt;=Inputs!$B$6),1,0)</f>
        <v/>
      </c>
    </row>
    <row r="1286">
      <c r="A1286" t="inlineStr">
        <is>
          <t>2026-05</t>
        </is>
      </c>
      <c r="B1286" t="inlineStr">
        <is>
          <t>HOSP-1</t>
        </is>
      </c>
      <c r="C1286" t="inlineStr">
        <is>
          <t>SS-01120</t>
        </is>
      </c>
      <c r="D1286" t="n">
        <v>168</v>
      </c>
      <c r="E1286" t="n">
        <v>0</v>
      </c>
      <c r="G1286">
        <f>IF(AND(A1286&gt;=Inputs!$B$5,A1286&lt;=Inputs!$B$6),1,0)</f>
        <v/>
      </c>
    </row>
    <row r="1287">
      <c r="A1287" t="inlineStr">
        <is>
          <t>2026-05</t>
        </is>
      </c>
      <c r="B1287" t="inlineStr">
        <is>
          <t>HOSP-2</t>
        </is>
      </c>
      <c r="C1287" t="inlineStr">
        <is>
          <t>SS-01121</t>
        </is>
      </c>
      <c r="D1287" t="n">
        <v>0</v>
      </c>
      <c r="E1287" t="n">
        <v>0</v>
      </c>
      <c r="G1287">
        <f>IF(AND(A1287&gt;=Inputs!$B$5,A1287&lt;=Inputs!$B$6),1,0)</f>
        <v/>
      </c>
    </row>
    <row r="1288">
      <c r="A1288" t="inlineStr">
        <is>
          <t>2026-05</t>
        </is>
      </c>
      <c r="B1288" t="inlineStr">
        <is>
          <t>HOSP-3</t>
        </is>
      </c>
      <c r="C1288" t="inlineStr">
        <is>
          <t>SS-01122</t>
        </is>
      </c>
      <c r="D1288" t="n">
        <v>32</v>
      </c>
      <c r="E1288" t="n">
        <v>0</v>
      </c>
      <c r="G1288">
        <f>IF(AND(A1288&gt;=Inputs!$B$5,A1288&lt;=Inputs!$B$6),1,0)</f>
        <v/>
      </c>
    </row>
    <row r="1289">
      <c r="A1289" t="inlineStr">
        <is>
          <t>2026-05</t>
        </is>
      </c>
      <c r="B1289" t="inlineStr">
        <is>
          <t>HOSP-4</t>
        </is>
      </c>
      <c r="C1289" t="inlineStr">
        <is>
          <t>SS-01123</t>
        </is>
      </c>
      <c r="D1289" t="n">
        <v>12</v>
      </c>
      <c r="E1289" t="n">
        <v>0</v>
      </c>
      <c r="G1289">
        <f>IF(AND(A1289&gt;=Inputs!$B$5,A1289&lt;=Inputs!$B$6),1,0)</f>
        <v/>
      </c>
    </row>
    <row r="1290">
      <c r="A1290" t="inlineStr">
        <is>
          <t>2026-05</t>
        </is>
      </c>
      <c r="B1290" t="inlineStr">
        <is>
          <t>HOSP-1</t>
        </is>
      </c>
      <c r="C1290" t="inlineStr">
        <is>
          <t>SS-01124</t>
        </is>
      </c>
      <c r="D1290" t="n">
        <v>24</v>
      </c>
      <c r="E1290" t="n">
        <v>0</v>
      </c>
      <c r="G1290">
        <f>IF(AND(A1290&gt;=Inputs!$B$5,A1290&lt;=Inputs!$B$6),1,0)</f>
        <v/>
      </c>
    </row>
    <row r="1291">
      <c r="A1291" t="inlineStr">
        <is>
          <t>2026-05</t>
        </is>
      </c>
      <c r="B1291" t="inlineStr">
        <is>
          <t>HOSP-2</t>
        </is>
      </c>
      <c r="C1291" t="inlineStr">
        <is>
          <t>SS-01125</t>
        </is>
      </c>
      <c r="D1291" t="n">
        <v>132</v>
      </c>
      <c r="E1291" t="n">
        <v>0</v>
      </c>
      <c r="G1291">
        <f>IF(AND(A1291&gt;=Inputs!$B$5,A1291&lt;=Inputs!$B$6),1,0)</f>
        <v/>
      </c>
    </row>
    <row r="1292">
      <c r="A1292" t="inlineStr">
        <is>
          <t>2026-05</t>
        </is>
      </c>
      <c r="B1292" t="inlineStr">
        <is>
          <t>HOSP-3</t>
        </is>
      </c>
      <c r="C1292" t="inlineStr">
        <is>
          <t>SS-01126</t>
        </is>
      </c>
      <c r="D1292" t="n">
        <v>36</v>
      </c>
      <c r="E1292" t="n">
        <v>0</v>
      </c>
      <c r="G1292">
        <f>IF(AND(A1292&gt;=Inputs!$B$5,A1292&lt;=Inputs!$B$6),1,0)</f>
        <v/>
      </c>
    </row>
    <row r="1293">
      <c r="A1293" t="inlineStr">
        <is>
          <t>2026-05</t>
        </is>
      </c>
      <c r="B1293" t="inlineStr">
        <is>
          <t>HOSP-4</t>
        </is>
      </c>
      <c r="C1293" t="inlineStr">
        <is>
          <t>SS-01127</t>
        </is>
      </c>
      <c r="D1293" t="n">
        <v>0</v>
      </c>
      <c r="E1293" t="n">
        <v>0</v>
      </c>
      <c r="G1293">
        <f>IF(AND(A1293&gt;=Inputs!$B$5,A1293&lt;=Inputs!$B$6),1,0)</f>
        <v/>
      </c>
    </row>
    <row r="1294">
      <c r="A1294" t="inlineStr">
        <is>
          <t>2026-05</t>
        </is>
      </c>
      <c r="B1294" t="inlineStr">
        <is>
          <t>HOSP-1</t>
        </is>
      </c>
      <c r="C1294" t="inlineStr">
        <is>
          <t>SS-01128</t>
        </is>
      </c>
      <c r="D1294" t="n">
        <v>180</v>
      </c>
      <c r="E1294" t="n">
        <v>0</v>
      </c>
      <c r="G1294">
        <f>IF(AND(A1294&gt;=Inputs!$B$5,A1294&lt;=Inputs!$B$6),1,0)</f>
        <v/>
      </c>
    </row>
    <row r="1295">
      <c r="A1295" t="inlineStr">
        <is>
          <t>2026-05</t>
        </is>
      </c>
      <c r="B1295" t="inlineStr">
        <is>
          <t>HOSP-2</t>
        </is>
      </c>
      <c r="C1295" t="inlineStr">
        <is>
          <t>SS-01129</t>
        </is>
      </c>
      <c r="D1295" t="n">
        <v>84</v>
      </c>
      <c r="E1295" t="n">
        <v>0</v>
      </c>
      <c r="G1295">
        <f>IF(AND(A1295&gt;=Inputs!$B$5,A1295&lt;=Inputs!$B$6),1,0)</f>
        <v/>
      </c>
    </row>
    <row r="1296">
      <c r="A1296" t="inlineStr">
        <is>
          <t>2026-05</t>
        </is>
      </c>
      <c r="B1296" t="inlineStr">
        <is>
          <t>HOSP-3</t>
        </is>
      </c>
      <c r="C1296" t="inlineStr">
        <is>
          <t>SS-01130</t>
        </is>
      </c>
      <c r="D1296" t="n">
        <v>12</v>
      </c>
      <c r="E1296" t="n">
        <v>0</v>
      </c>
      <c r="G1296">
        <f>IF(AND(A1296&gt;=Inputs!$B$5,A1296&lt;=Inputs!$B$6),1,0)</f>
        <v/>
      </c>
    </row>
    <row r="1297">
      <c r="A1297" t="inlineStr">
        <is>
          <t>2026-05</t>
        </is>
      </c>
      <c r="B1297" t="inlineStr">
        <is>
          <t>HOSP-4</t>
        </is>
      </c>
      <c r="C1297" t="inlineStr">
        <is>
          <t>SS-01131</t>
        </is>
      </c>
      <c r="D1297" t="n">
        <v>24</v>
      </c>
      <c r="E1297" t="n">
        <v>0</v>
      </c>
      <c r="G1297">
        <f>IF(AND(A1297&gt;=Inputs!$B$5,A1297&lt;=Inputs!$B$6),1,0)</f>
        <v/>
      </c>
    </row>
    <row r="1298">
      <c r="A1298" t="inlineStr">
        <is>
          <t>2026-05</t>
        </is>
      </c>
      <c r="B1298" t="inlineStr">
        <is>
          <t>HOSP-1</t>
        </is>
      </c>
      <c r="C1298" t="inlineStr">
        <is>
          <t>SS-01132</t>
        </is>
      </c>
      <c r="D1298" t="n">
        <v>0</v>
      </c>
      <c r="E1298" t="n">
        <v>3</v>
      </c>
      <c r="G1298">
        <f>IF(AND(A1298&gt;=Inputs!$B$5,A1298&lt;=Inputs!$B$6),1,0)</f>
        <v/>
      </c>
    </row>
    <row r="1299">
      <c r="A1299" t="inlineStr">
        <is>
          <t>2026-05</t>
        </is>
      </c>
      <c r="B1299" t="inlineStr">
        <is>
          <t>HOSP-2</t>
        </is>
      </c>
      <c r="C1299" t="inlineStr">
        <is>
          <t>SS-01133</t>
        </is>
      </c>
      <c r="D1299" t="n">
        <v>108</v>
      </c>
      <c r="E1299" t="n">
        <v>0</v>
      </c>
      <c r="G1299">
        <f>IF(AND(A1299&gt;=Inputs!$B$5,A1299&lt;=Inputs!$B$6),1,0)</f>
        <v/>
      </c>
    </row>
    <row r="1300">
      <c r="A1300" t="inlineStr">
        <is>
          <t>2026-05</t>
        </is>
      </c>
      <c r="B1300" t="inlineStr">
        <is>
          <t>HOSP-3</t>
        </is>
      </c>
      <c r="C1300" t="inlineStr">
        <is>
          <t>SS-01028</t>
        </is>
      </c>
      <c r="D1300" t="n">
        <v>72</v>
      </c>
      <c r="E1300" t="n">
        <v>0</v>
      </c>
      <c r="G1300">
        <f>IF(AND(A1300&gt;=Inputs!$B$5,A1300&lt;=Inputs!$B$6),1,0)</f>
        <v/>
      </c>
    </row>
    <row r="1301">
      <c r="A1301" t="inlineStr">
        <is>
          <t>2026-05</t>
        </is>
      </c>
      <c r="B1301" t="inlineStr">
        <is>
          <t>HOSP-4</t>
        </is>
      </c>
      <c r="C1301" t="inlineStr">
        <is>
          <t>SS-01135</t>
        </is>
      </c>
      <c r="D1301" t="n">
        <v>3</v>
      </c>
      <c r="E1301" t="n">
        <v>0</v>
      </c>
      <c r="G1301">
        <f>IF(AND(A1301&gt;=Inputs!$B$5,A1301&lt;=Inputs!$B$6),1,0)</f>
        <v/>
      </c>
    </row>
    <row r="1302">
      <c r="A1302" t="inlineStr">
        <is>
          <t>2026-05</t>
        </is>
      </c>
      <c r="B1302" t="inlineStr">
        <is>
          <t>HOSP-1</t>
        </is>
      </c>
      <c r="C1302" t="inlineStr">
        <is>
          <t>SS-01136</t>
        </is>
      </c>
      <c r="D1302" t="n">
        <v>36</v>
      </c>
      <c r="E1302" t="n">
        <v>0</v>
      </c>
      <c r="G1302">
        <f>IF(AND(A1302&gt;=Inputs!$B$5,A1302&lt;=Inputs!$B$6),1,0)</f>
        <v/>
      </c>
    </row>
    <row r="1303">
      <c r="A1303" t="inlineStr">
        <is>
          <t>2026-05</t>
        </is>
      </c>
      <c r="B1303" t="inlineStr">
        <is>
          <t>HOSP-2</t>
        </is>
      </c>
      <c r="C1303" t="inlineStr">
        <is>
          <t>SS-01148</t>
        </is>
      </c>
      <c r="D1303" t="n">
        <v>24</v>
      </c>
      <c r="E1303" t="n">
        <v>2</v>
      </c>
      <c r="G1303">
        <f>IF(AND(A1303&gt;=Inputs!$B$5,A1303&lt;=Inputs!$B$6),1,0)</f>
        <v/>
      </c>
    </row>
    <row r="1304">
      <c r="A1304" t="inlineStr">
        <is>
          <t>2026-05</t>
        </is>
      </c>
      <c r="B1304" t="inlineStr">
        <is>
          <t>HOSP-3</t>
        </is>
      </c>
      <c r="C1304" t="inlineStr">
        <is>
          <t>SS-01138</t>
        </is>
      </c>
      <c r="D1304" t="n">
        <v>12</v>
      </c>
      <c r="E1304" t="n">
        <v>0</v>
      </c>
      <c r="G1304">
        <f>IF(AND(A1304&gt;=Inputs!$B$5,A1304&lt;=Inputs!$B$6),1,0)</f>
        <v/>
      </c>
    </row>
    <row r="1305">
      <c r="A1305" t="inlineStr">
        <is>
          <t>2026-05</t>
        </is>
      </c>
      <c r="B1305" t="inlineStr">
        <is>
          <t>HOSP-4</t>
        </is>
      </c>
      <c r="C1305" t="inlineStr">
        <is>
          <t>SS-01139</t>
        </is>
      </c>
      <c r="D1305" t="n">
        <v>38</v>
      </c>
      <c r="E1305" t="n">
        <v>3</v>
      </c>
      <c r="G1305">
        <f>IF(AND(A1305&gt;=Inputs!$B$5,A1305&lt;=Inputs!$B$6),1,0)</f>
        <v/>
      </c>
    </row>
    <row r="1306">
      <c r="A1306" t="inlineStr">
        <is>
          <t>2026-05</t>
        </is>
      </c>
      <c r="B1306" t="inlineStr">
        <is>
          <t>HOSP-1</t>
        </is>
      </c>
      <c r="C1306" t="inlineStr">
        <is>
          <t>SS-01140</t>
        </is>
      </c>
      <c r="D1306" t="n">
        <v>48</v>
      </c>
      <c r="E1306" t="n">
        <v>0</v>
      </c>
      <c r="G1306">
        <f>IF(AND(A1306&gt;=Inputs!$B$5,A1306&lt;=Inputs!$B$6),1,0)</f>
        <v/>
      </c>
    </row>
    <row r="1307">
      <c r="A1307" t="inlineStr">
        <is>
          <t>2026-05</t>
        </is>
      </c>
      <c r="B1307" t="inlineStr">
        <is>
          <t>HOSP-2</t>
        </is>
      </c>
      <c r="C1307" t="inlineStr">
        <is>
          <t>SS-01141</t>
        </is>
      </c>
      <c r="D1307" t="n">
        <v>12</v>
      </c>
      <c r="E1307" t="n">
        <v>0</v>
      </c>
      <c r="G1307">
        <f>IF(AND(A1307&gt;=Inputs!$B$5,A1307&lt;=Inputs!$B$6),1,0)</f>
        <v/>
      </c>
    </row>
    <row r="1308">
      <c r="A1308" t="inlineStr">
        <is>
          <t>2026-05</t>
        </is>
      </c>
      <c r="B1308" t="inlineStr">
        <is>
          <t>HOSP-3</t>
        </is>
      </c>
      <c r="C1308" t="inlineStr">
        <is>
          <t>SS-01142</t>
        </is>
      </c>
      <c r="D1308" t="n">
        <v>12</v>
      </c>
      <c r="E1308" t="n">
        <v>0</v>
      </c>
      <c r="G1308">
        <f>IF(AND(A1308&gt;=Inputs!$B$5,A1308&lt;=Inputs!$B$6),1,0)</f>
        <v/>
      </c>
    </row>
    <row r="1309">
      <c r="A1309" t="inlineStr">
        <is>
          <t>2026-05</t>
        </is>
      </c>
      <c r="B1309" t="inlineStr">
        <is>
          <t>HOSP-4</t>
        </is>
      </c>
      <c r="C1309" t="inlineStr">
        <is>
          <t>SS-01143</t>
        </is>
      </c>
      <c r="D1309" t="n">
        <v>12</v>
      </c>
      <c r="E1309" t="n">
        <v>0</v>
      </c>
      <c r="G1309">
        <f>IF(AND(A1309&gt;=Inputs!$B$5,A1309&lt;=Inputs!$B$6),1,0)</f>
        <v/>
      </c>
    </row>
    <row r="1310">
      <c r="A1310" t="inlineStr">
        <is>
          <t>2026-05</t>
        </is>
      </c>
      <c r="B1310" t="inlineStr">
        <is>
          <t>HOSP-1</t>
        </is>
      </c>
      <c r="C1310" t="inlineStr">
        <is>
          <t>SS-01144</t>
        </is>
      </c>
      <c r="D1310" t="n">
        <v>0</v>
      </c>
      <c r="E1310" t="n">
        <v>0</v>
      </c>
      <c r="G1310">
        <f>IF(AND(A1310&gt;=Inputs!$B$5,A1310&lt;=Inputs!$B$6),1,0)</f>
        <v/>
      </c>
    </row>
    <row r="1311">
      <c r="A1311" t="inlineStr">
        <is>
          <t>2026-05</t>
        </is>
      </c>
      <c r="B1311" t="inlineStr">
        <is>
          <t>HOSP-2</t>
        </is>
      </c>
      <c r="C1311" t="inlineStr">
        <is>
          <t>SS-01145</t>
        </is>
      </c>
      <c r="D1311" t="n">
        <v>59</v>
      </c>
      <c r="E1311" t="n">
        <v>0</v>
      </c>
      <c r="G1311">
        <f>IF(AND(A1311&gt;=Inputs!$B$5,A1311&lt;=Inputs!$B$6),1,0)</f>
        <v/>
      </c>
    </row>
    <row r="1312">
      <c r="A1312" t="inlineStr">
        <is>
          <t>2026-05</t>
        </is>
      </c>
      <c r="B1312" t="inlineStr">
        <is>
          <t>HOSP-3</t>
        </is>
      </c>
      <c r="C1312" t="inlineStr">
        <is>
          <t>SS-01146</t>
        </is>
      </c>
      <c r="D1312" t="n">
        <v>35</v>
      </c>
      <c r="E1312" t="n">
        <v>2</v>
      </c>
      <c r="G1312">
        <f>IF(AND(A1312&gt;=Inputs!$B$5,A1312&lt;=Inputs!$B$6),1,0)</f>
        <v/>
      </c>
    </row>
    <row r="1313">
      <c r="A1313" t="inlineStr">
        <is>
          <t>2026-05</t>
        </is>
      </c>
      <c r="B1313" t="inlineStr">
        <is>
          <t>HOSP-4</t>
        </is>
      </c>
      <c r="C1313" t="inlineStr">
        <is>
          <t>SS-01156</t>
        </is>
      </c>
      <c r="D1313" t="n">
        <v>216</v>
      </c>
      <c r="E1313" t="n">
        <v>0</v>
      </c>
      <c r="G1313">
        <f>IF(AND(A1313&gt;=Inputs!$B$5,A1313&lt;=Inputs!$B$6),1,0)</f>
        <v/>
      </c>
    </row>
    <row r="1314">
      <c r="A1314" t="inlineStr">
        <is>
          <t>2026-05</t>
        </is>
      </c>
      <c r="B1314" t="inlineStr">
        <is>
          <t>HOSP-1</t>
        </is>
      </c>
      <c r="C1314" t="inlineStr">
        <is>
          <t>SS-01148</t>
        </is>
      </c>
      <c r="D1314" t="n">
        <v>72</v>
      </c>
      <c r="E1314" t="n">
        <v>0</v>
      </c>
      <c r="G1314">
        <f>IF(AND(A1314&gt;=Inputs!$B$5,A1314&lt;=Inputs!$B$6),1,0)</f>
        <v/>
      </c>
    </row>
    <row r="1315">
      <c r="A1315" t="inlineStr">
        <is>
          <t>2026-05</t>
        </is>
      </c>
      <c r="B1315" t="inlineStr">
        <is>
          <t>HOSP-2</t>
        </is>
      </c>
      <c r="C1315" t="inlineStr">
        <is>
          <t>SS-01149</t>
        </is>
      </c>
      <c r="D1315" t="n">
        <v>0</v>
      </c>
      <c r="E1315" t="n">
        <v>2</v>
      </c>
      <c r="G1315">
        <f>IF(AND(A1315&gt;=Inputs!$B$5,A1315&lt;=Inputs!$B$6),1,0)</f>
        <v/>
      </c>
    </row>
    <row r="1316">
      <c r="A1316" t="inlineStr">
        <is>
          <t>2026-05</t>
        </is>
      </c>
      <c r="B1316" t="inlineStr">
        <is>
          <t>HOSP-3</t>
        </is>
      </c>
      <c r="C1316" t="inlineStr">
        <is>
          <t>SS-01154</t>
        </is>
      </c>
      <c r="D1316" t="n">
        <v>12</v>
      </c>
      <c r="E1316" t="n">
        <v>0</v>
      </c>
      <c r="G1316">
        <f>IF(AND(A1316&gt;=Inputs!$B$5,A1316&lt;=Inputs!$B$6),1,0)</f>
        <v/>
      </c>
    </row>
    <row r="1317">
      <c r="A1317" t="inlineStr">
        <is>
          <t>2026-05</t>
        </is>
      </c>
      <c r="B1317" t="inlineStr">
        <is>
          <t>HOSP-4</t>
        </is>
      </c>
      <c r="C1317" t="inlineStr">
        <is>
          <t>SS-01151</t>
        </is>
      </c>
      <c r="D1317" t="n">
        <v>0</v>
      </c>
      <c r="E1317" t="n">
        <v>0</v>
      </c>
      <c r="G1317">
        <f>IF(AND(A1317&gt;=Inputs!$B$5,A1317&lt;=Inputs!$B$6),1,0)</f>
        <v/>
      </c>
    </row>
    <row r="1318">
      <c r="A1318" t="inlineStr">
        <is>
          <t>2026-05</t>
        </is>
      </c>
      <c r="B1318" t="inlineStr">
        <is>
          <t>HOSP-1</t>
        </is>
      </c>
      <c r="C1318" t="inlineStr">
        <is>
          <t>SS-01152</t>
        </is>
      </c>
      <c r="D1318" t="n">
        <v>12</v>
      </c>
      <c r="E1318" t="n">
        <v>0</v>
      </c>
      <c r="G1318">
        <f>IF(AND(A1318&gt;=Inputs!$B$5,A1318&lt;=Inputs!$B$6),1,0)</f>
        <v/>
      </c>
    </row>
    <row r="1319">
      <c r="A1319" t="inlineStr">
        <is>
          <t>2026-05</t>
        </is>
      </c>
      <c r="B1319" t="inlineStr">
        <is>
          <t>HOSP-2</t>
        </is>
      </c>
      <c r="C1319" t="inlineStr">
        <is>
          <t>SS-01153</t>
        </is>
      </c>
      <c r="D1319" t="n">
        <v>12</v>
      </c>
      <c r="E1319" t="n">
        <v>0</v>
      </c>
      <c r="G1319">
        <f>IF(AND(A1319&gt;=Inputs!$B$5,A1319&lt;=Inputs!$B$6),1,0)</f>
        <v/>
      </c>
    </row>
    <row r="1320">
      <c r="A1320" t="inlineStr">
        <is>
          <t>2026-05</t>
        </is>
      </c>
      <c r="B1320" t="inlineStr">
        <is>
          <t>HOSP-3</t>
        </is>
      </c>
      <c r="C1320" t="inlineStr">
        <is>
          <t>SS-01154</t>
        </is>
      </c>
      <c r="D1320" t="n">
        <v>24</v>
      </c>
      <c r="E1320" t="n">
        <v>0</v>
      </c>
      <c r="G1320">
        <f>IF(AND(A1320&gt;=Inputs!$B$5,A1320&lt;=Inputs!$B$6),1,0)</f>
        <v/>
      </c>
    </row>
    <row r="1321">
      <c r="A1321" t="inlineStr">
        <is>
          <t>2026-05</t>
        </is>
      </c>
      <c r="B1321" t="inlineStr">
        <is>
          <t>HOSP-4</t>
        </is>
      </c>
      <c r="C1321" t="inlineStr">
        <is>
          <t>SS-01153</t>
        </is>
      </c>
      <c r="D1321" t="n">
        <v>18</v>
      </c>
      <c r="E1321" t="n">
        <v>5</v>
      </c>
      <c r="G1321">
        <f>IF(AND(A1321&gt;=Inputs!$B$5,A1321&lt;=Inputs!$B$6),1,0)</f>
        <v/>
      </c>
    </row>
    <row r="1322">
      <c r="A1322" t="inlineStr">
        <is>
          <t>2026-05</t>
        </is>
      </c>
      <c r="B1322" t="inlineStr">
        <is>
          <t>HOSP-1</t>
        </is>
      </c>
      <c r="C1322" t="inlineStr">
        <is>
          <t>SS-01156</t>
        </is>
      </c>
      <c r="D1322" t="n">
        <v>24</v>
      </c>
      <c r="E1322" t="n">
        <v>0</v>
      </c>
      <c r="G1322">
        <f>IF(AND(A1322&gt;=Inputs!$B$5,A1322&lt;=Inputs!$B$6),1,0)</f>
        <v/>
      </c>
    </row>
    <row r="1323">
      <c r="A1323" t="inlineStr">
        <is>
          <t>2026-05</t>
        </is>
      </c>
      <c r="B1323" t="inlineStr">
        <is>
          <t>HOSP-2</t>
        </is>
      </c>
      <c r="C1323" t="inlineStr">
        <is>
          <t>SS-01157</t>
        </is>
      </c>
      <c r="D1323" t="n">
        <v>0</v>
      </c>
      <c r="E1323" t="n">
        <v>0</v>
      </c>
      <c r="G1323">
        <f>IF(AND(A1323&gt;=Inputs!$B$5,A1323&lt;=Inputs!$B$6),1,0)</f>
        <v/>
      </c>
    </row>
    <row r="1324">
      <c r="A1324" t="inlineStr">
        <is>
          <t>2026-05</t>
        </is>
      </c>
      <c r="B1324" t="inlineStr">
        <is>
          <t>HOSP-3</t>
        </is>
      </c>
      <c r="C1324" t="inlineStr">
        <is>
          <t>SS-01158</t>
        </is>
      </c>
      <c r="D1324" t="n">
        <v>36</v>
      </c>
      <c r="E1324" t="n">
        <v>0</v>
      </c>
      <c r="G1324">
        <f>IF(AND(A1324&gt;=Inputs!$B$5,A1324&lt;=Inputs!$B$6),1,0)</f>
        <v/>
      </c>
    </row>
    <row r="1325">
      <c r="A1325" t="inlineStr">
        <is>
          <t>2026-05</t>
        </is>
      </c>
      <c r="B1325" t="inlineStr">
        <is>
          <t>HOSP-4</t>
        </is>
      </c>
      <c r="C1325" t="inlineStr">
        <is>
          <t>SS-01159</t>
        </is>
      </c>
      <c r="D1325" t="n">
        <v>12</v>
      </c>
      <c r="E1325" t="n">
        <v>0</v>
      </c>
      <c r="G1325">
        <f>IF(AND(A1325&gt;=Inputs!$B$5,A1325&lt;=Inputs!$B$6),1,0)</f>
        <v/>
      </c>
    </row>
    <row r="1326">
      <c r="A1326" t="inlineStr">
        <is>
          <t>2026-05</t>
        </is>
      </c>
      <c r="B1326" t="inlineStr">
        <is>
          <t>HOSP-1</t>
        </is>
      </c>
      <c r="C1326" t="inlineStr">
        <is>
          <t>SS-01064</t>
        </is>
      </c>
      <c r="D1326" t="n">
        <v>19</v>
      </c>
      <c r="E1326" t="n">
        <v>1</v>
      </c>
      <c r="G1326">
        <f>IF(AND(A1326&gt;=Inputs!$B$5,A1326&lt;=Inputs!$B$6),1,0)</f>
        <v/>
      </c>
    </row>
    <row r="1327">
      <c r="A1327" t="inlineStr">
        <is>
          <t>2026-05</t>
        </is>
      </c>
      <c r="B1327" t="inlineStr">
        <is>
          <t>HOSP-2</t>
        </is>
      </c>
      <c r="C1327" t="inlineStr">
        <is>
          <t>SS-01161</t>
        </is>
      </c>
      <c r="D1327" t="n">
        <v>24</v>
      </c>
      <c r="E1327" t="n">
        <v>0</v>
      </c>
      <c r="G1327">
        <f>IF(AND(A1327&gt;=Inputs!$B$5,A1327&lt;=Inputs!$B$6),1,0)</f>
        <v/>
      </c>
    </row>
    <row r="1328">
      <c r="A1328" t="inlineStr">
        <is>
          <t>2026-05</t>
        </is>
      </c>
      <c r="B1328" t="inlineStr">
        <is>
          <t>HOSP-3</t>
        </is>
      </c>
      <c r="C1328" t="inlineStr">
        <is>
          <t>SS-01162</t>
        </is>
      </c>
      <c r="D1328" t="n">
        <v>12</v>
      </c>
      <c r="E1328" t="n">
        <v>0</v>
      </c>
      <c r="G1328">
        <f>IF(AND(A1328&gt;=Inputs!$B$5,A1328&lt;=Inputs!$B$6),1,0)</f>
        <v/>
      </c>
    </row>
    <row r="1329">
      <c r="A1329" t="inlineStr">
        <is>
          <t>2026-05</t>
        </is>
      </c>
      <c r="B1329" t="inlineStr">
        <is>
          <t>HOSP-4</t>
        </is>
      </c>
      <c r="C1329" t="inlineStr">
        <is>
          <t>SS-01163</t>
        </is>
      </c>
      <c r="D1329" t="n">
        <v>12</v>
      </c>
      <c r="E1329" t="n">
        <v>0</v>
      </c>
      <c r="G1329">
        <f>IF(AND(A1329&gt;=Inputs!$B$5,A1329&lt;=Inputs!$B$6),1,0)</f>
        <v/>
      </c>
    </row>
    <row r="1330">
      <c r="A1330" t="inlineStr">
        <is>
          <t>2026-05</t>
        </is>
      </c>
      <c r="B1330" t="inlineStr">
        <is>
          <t>HOSP-1</t>
        </is>
      </c>
      <c r="C1330" t="inlineStr">
        <is>
          <t>SS-01164</t>
        </is>
      </c>
      <c r="D1330" t="n">
        <v>11</v>
      </c>
      <c r="E1330" t="n">
        <v>0</v>
      </c>
      <c r="G1330">
        <f>IF(AND(A1330&gt;=Inputs!$B$5,A1330&lt;=Inputs!$B$6),1,0)</f>
        <v/>
      </c>
    </row>
    <row r="1331">
      <c r="A1331" t="inlineStr">
        <is>
          <t>2026-05</t>
        </is>
      </c>
      <c r="B1331" t="inlineStr">
        <is>
          <t>HOSP-2</t>
        </is>
      </c>
      <c r="C1331" t="inlineStr">
        <is>
          <t>SS-01165</t>
        </is>
      </c>
      <c r="D1331" t="n">
        <v>0</v>
      </c>
      <c r="E1331" t="n">
        <v>0</v>
      </c>
      <c r="G1331">
        <f>IF(AND(A1331&gt;=Inputs!$B$5,A1331&lt;=Inputs!$B$6),1,0)</f>
        <v/>
      </c>
    </row>
    <row r="1332">
      <c r="A1332" t="inlineStr">
        <is>
          <t>2026-05</t>
        </is>
      </c>
      <c r="B1332" t="inlineStr">
        <is>
          <t>HOSP-3</t>
        </is>
      </c>
      <c r="C1332" t="inlineStr">
        <is>
          <t>SS-01166</t>
        </is>
      </c>
      <c r="D1332" t="n">
        <v>0</v>
      </c>
      <c r="E1332" t="n">
        <v>0</v>
      </c>
      <c r="G1332">
        <f>IF(AND(A1332&gt;=Inputs!$B$5,A1332&lt;=Inputs!$B$6),1,0)</f>
        <v/>
      </c>
    </row>
    <row r="1333">
      <c r="A1333" t="inlineStr">
        <is>
          <t>2026-05</t>
        </is>
      </c>
      <c r="B1333" t="inlineStr">
        <is>
          <t>HOSP-4</t>
        </is>
      </c>
      <c r="C1333" t="inlineStr">
        <is>
          <t>SS-01167</t>
        </is>
      </c>
      <c r="D1333" t="n">
        <v>20</v>
      </c>
      <c r="E1333" t="n">
        <v>1</v>
      </c>
      <c r="G1333">
        <f>IF(AND(A1333&gt;=Inputs!$B$5,A1333&lt;=Inputs!$B$6),1,0)</f>
        <v/>
      </c>
    </row>
    <row r="1334">
      <c r="A1334" t="inlineStr">
        <is>
          <t>2026-05</t>
        </is>
      </c>
      <c r="B1334" t="inlineStr">
        <is>
          <t>HOSP-1</t>
        </is>
      </c>
      <c r="C1334" t="inlineStr">
        <is>
          <t>SS-01168</t>
        </is>
      </c>
      <c r="D1334" t="n">
        <v>12</v>
      </c>
      <c r="E1334" t="n">
        <v>0</v>
      </c>
      <c r="G1334">
        <f>IF(AND(A1334&gt;=Inputs!$B$5,A1334&lt;=Inputs!$B$6),1,0)</f>
        <v/>
      </c>
    </row>
    <row r="1335">
      <c r="A1335" t="inlineStr">
        <is>
          <t>2026-05</t>
        </is>
      </c>
      <c r="B1335" t="inlineStr">
        <is>
          <t>HOSP-2</t>
        </is>
      </c>
      <c r="C1335" t="inlineStr">
        <is>
          <t>SS-01169</t>
        </is>
      </c>
      <c r="D1335" t="n">
        <v>12</v>
      </c>
      <c r="E1335" t="n">
        <v>0</v>
      </c>
      <c r="G1335">
        <f>IF(AND(A1335&gt;=Inputs!$B$5,A1335&lt;=Inputs!$B$6),1,0)</f>
        <v/>
      </c>
    </row>
    <row r="1336">
      <c r="A1336" t="inlineStr">
        <is>
          <t>2026-05</t>
        </is>
      </c>
      <c r="B1336" t="inlineStr">
        <is>
          <t>HOSP-3</t>
        </is>
      </c>
      <c r="C1336" t="inlineStr">
        <is>
          <t>SS-01170</t>
        </is>
      </c>
      <c r="D1336" t="n">
        <v>24</v>
      </c>
      <c r="E1336" t="n">
        <v>0</v>
      </c>
      <c r="G1336">
        <f>IF(AND(A1336&gt;=Inputs!$B$5,A1336&lt;=Inputs!$B$6),1,0)</f>
        <v/>
      </c>
    </row>
    <row r="1337">
      <c r="A1337" t="inlineStr">
        <is>
          <t>2026-05</t>
        </is>
      </c>
      <c r="B1337" t="inlineStr">
        <is>
          <t>HOSP-4</t>
        </is>
      </c>
      <c r="C1337" t="inlineStr">
        <is>
          <t>SS-01171</t>
        </is>
      </c>
      <c r="D1337" t="n">
        <v>104</v>
      </c>
      <c r="E1337" t="n">
        <v>0</v>
      </c>
      <c r="G1337">
        <f>IF(AND(A1337&gt;=Inputs!$B$5,A1337&lt;=Inputs!$B$6),1,0)</f>
        <v/>
      </c>
    </row>
    <row r="1338">
      <c r="A1338" t="inlineStr">
        <is>
          <t>2026-05</t>
        </is>
      </c>
      <c r="B1338" t="inlineStr">
        <is>
          <t>HOSP-1</t>
        </is>
      </c>
      <c r="C1338" t="inlineStr">
        <is>
          <t>SS-01172</t>
        </is>
      </c>
      <c r="D1338" t="n">
        <v>0</v>
      </c>
      <c r="E1338" t="n">
        <v>0</v>
      </c>
      <c r="G1338">
        <f>IF(AND(A1338&gt;=Inputs!$B$5,A1338&lt;=Inputs!$B$6),1,0)</f>
        <v/>
      </c>
    </row>
    <row r="1339">
      <c r="A1339" t="inlineStr">
        <is>
          <t>2026-05</t>
        </is>
      </c>
      <c r="B1339" t="inlineStr">
        <is>
          <t>HOSP-2</t>
        </is>
      </c>
      <c r="C1339" t="inlineStr">
        <is>
          <t>SS-01173</t>
        </is>
      </c>
      <c r="D1339" t="n">
        <v>36</v>
      </c>
      <c r="E1339" t="n">
        <v>0</v>
      </c>
      <c r="G1339">
        <f>IF(AND(A1339&gt;=Inputs!$B$5,A1339&lt;=Inputs!$B$6),1,0)</f>
        <v/>
      </c>
    </row>
    <row r="1340">
      <c r="A1340" t="inlineStr">
        <is>
          <t>2026-05</t>
        </is>
      </c>
      <c r="B1340" t="inlineStr">
        <is>
          <t>HOSP-3</t>
        </is>
      </c>
      <c r="C1340" t="inlineStr">
        <is>
          <t>SS-01174</t>
        </is>
      </c>
      <c r="D1340" t="n">
        <v>12</v>
      </c>
      <c r="E1340" t="n">
        <v>0</v>
      </c>
      <c r="G1340">
        <f>IF(AND(A1340&gt;=Inputs!$B$5,A1340&lt;=Inputs!$B$6),1,0)</f>
        <v/>
      </c>
    </row>
    <row r="1341">
      <c r="A1341" t="inlineStr">
        <is>
          <t>2026-05</t>
        </is>
      </c>
      <c r="B1341" t="inlineStr">
        <is>
          <t>HOSP-4</t>
        </is>
      </c>
      <c r="C1341" t="inlineStr">
        <is>
          <t>SS-01175</t>
        </is>
      </c>
      <c r="D1341" t="n">
        <v>11</v>
      </c>
      <c r="E1341" t="n">
        <v>2</v>
      </c>
      <c r="G1341">
        <f>IF(AND(A1341&gt;=Inputs!$B$5,A1341&lt;=Inputs!$B$6),1,0)</f>
        <v/>
      </c>
    </row>
    <row r="1342">
      <c r="A1342" t="inlineStr">
        <is>
          <t>2026-05</t>
        </is>
      </c>
      <c r="B1342" t="inlineStr">
        <is>
          <t>HOSP-1</t>
        </is>
      </c>
      <c r="C1342" t="inlineStr">
        <is>
          <t>SS-01176</t>
        </is>
      </c>
      <c r="D1342" t="n">
        <v>12</v>
      </c>
      <c r="E1342" t="n">
        <v>0</v>
      </c>
      <c r="G1342">
        <f>IF(AND(A1342&gt;=Inputs!$B$5,A1342&lt;=Inputs!$B$6),1,0)</f>
        <v/>
      </c>
    </row>
    <row r="1343">
      <c r="A1343" t="inlineStr">
        <is>
          <t>2026-05</t>
        </is>
      </c>
      <c r="B1343" t="inlineStr">
        <is>
          <t>HOSP-2</t>
        </is>
      </c>
      <c r="C1343" t="inlineStr">
        <is>
          <t>SS-01177</t>
        </is>
      </c>
      <c r="D1343" t="n">
        <v>252</v>
      </c>
      <c r="E1343" t="n">
        <v>0</v>
      </c>
      <c r="G1343">
        <f>IF(AND(A1343&gt;=Inputs!$B$5,A1343&lt;=Inputs!$B$6),1,0)</f>
        <v/>
      </c>
    </row>
    <row r="1344">
      <c r="A1344" t="inlineStr">
        <is>
          <t>2026-05</t>
        </is>
      </c>
      <c r="B1344" t="inlineStr">
        <is>
          <t>HOSP-3</t>
        </is>
      </c>
      <c r="C1344" t="inlineStr">
        <is>
          <t>SS-01178</t>
        </is>
      </c>
      <c r="D1344" t="n">
        <v>28</v>
      </c>
      <c r="E1344" t="n">
        <v>0</v>
      </c>
      <c r="G1344">
        <f>IF(AND(A1344&gt;=Inputs!$B$5,A1344&lt;=Inputs!$B$6),1,0)</f>
        <v/>
      </c>
    </row>
    <row r="1345">
      <c r="A1345" t="inlineStr">
        <is>
          <t>2026-05</t>
        </is>
      </c>
      <c r="B1345" t="inlineStr">
        <is>
          <t>HOSP-4</t>
        </is>
      </c>
      <c r="C1345" t="inlineStr">
        <is>
          <t>SS-01179</t>
        </is>
      </c>
      <c r="D1345" t="n">
        <v>24</v>
      </c>
      <c r="E1345" t="n">
        <v>0</v>
      </c>
      <c r="G1345">
        <f>IF(AND(A1345&gt;=Inputs!$B$5,A1345&lt;=Inputs!$B$6),1,0)</f>
        <v/>
      </c>
    </row>
    <row r="1346">
      <c r="A1346" t="inlineStr">
        <is>
          <t>2026-05</t>
        </is>
      </c>
      <c r="B1346" t="inlineStr">
        <is>
          <t>HOSP-1</t>
        </is>
      </c>
      <c r="C1346" t="inlineStr">
        <is>
          <t>SS-01180</t>
        </is>
      </c>
      <c r="D1346" t="n">
        <v>0</v>
      </c>
      <c r="E1346" t="n">
        <v>0</v>
      </c>
      <c r="G1346">
        <f>IF(AND(A1346&gt;=Inputs!$B$5,A1346&lt;=Inputs!$B$6),1,0)</f>
        <v/>
      </c>
    </row>
    <row r="1347">
      <c r="A1347" t="inlineStr">
        <is>
          <t>2026-05</t>
        </is>
      </c>
      <c r="B1347" t="inlineStr">
        <is>
          <t>HOSP-2</t>
        </is>
      </c>
      <c r="C1347" t="inlineStr">
        <is>
          <t>SS-01181</t>
        </is>
      </c>
      <c r="D1347" t="n">
        <v>36</v>
      </c>
      <c r="E1347" t="n">
        <v>0</v>
      </c>
      <c r="G1347">
        <f>IF(AND(A1347&gt;=Inputs!$B$5,A1347&lt;=Inputs!$B$6),1,0)</f>
        <v/>
      </c>
    </row>
    <row r="1348">
      <c r="A1348" t="inlineStr">
        <is>
          <t>2026-05</t>
        </is>
      </c>
      <c r="B1348" t="inlineStr">
        <is>
          <t>HOSP-3</t>
        </is>
      </c>
      <c r="C1348" t="inlineStr">
        <is>
          <t>SS-01182</t>
        </is>
      </c>
      <c r="D1348" t="n">
        <v>12</v>
      </c>
      <c r="E1348" t="n">
        <v>0</v>
      </c>
      <c r="G1348">
        <f>IF(AND(A1348&gt;=Inputs!$B$5,A1348&lt;=Inputs!$B$6),1,0)</f>
        <v/>
      </c>
    </row>
    <row r="1349">
      <c r="A1349" t="inlineStr">
        <is>
          <t>2026-05</t>
        </is>
      </c>
      <c r="B1349" t="inlineStr">
        <is>
          <t>HOSP-4</t>
        </is>
      </c>
      <c r="C1349" t="inlineStr">
        <is>
          <t>SS-01183</t>
        </is>
      </c>
      <c r="D1349" t="n">
        <v>24</v>
      </c>
      <c r="E1349" t="n">
        <v>0</v>
      </c>
      <c r="G1349">
        <f>IF(AND(A1349&gt;=Inputs!$B$5,A1349&lt;=Inputs!$B$6),1,0)</f>
        <v/>
      </c>
    </row>
    <row r="1350">
      <c r="A1350" t="inlineStr">
        <is>
          <t>2026-05</t>
        </is>
      </c>
      <c r="B1350" t="inlineStr">
        <is>
          <t>HOSP-1</t>
        </is>
      </c>
      <c r="C1350" t="inlineStr">
        <is>
          <t>SS-01184</t>
        </is>
      </c>
      <c r="D1350" t="n">
        <v>12</v>
      </c>
      <c r="E1350" t="n">
        <v>0</v>
      </c>
      <c r="G1350">
        <f>IF(AND(A1350&gt;=Inputs!$B$5,A1350&lt;=Inputs!$B$6),1,0)</f>
        <v/>
      </c>
    </row>
    <row r="1351">
      <c r="A1351" t="inlineStr">
        <is>
          <t>2026-05</t>
        </is>
      </c>
      <c r="B1351" t="inlineStr">
        <is>
          <t>HOSP-2</t>
        </is>
      </c>
      <c r="C1351" t="inlineStr">
        <is>
          <t>SS-01185</t>
        </is>
      </c>
      <c r="D1351" t="n">
        <v>12</v>
      </c>
      <c r="E1351" t="n">
        <v>0</v>
      </c>
      <c r="G1351">
        <f>IF(AND(A1351&gt;=Inputs!$B$5,A1351&lt;=Inputs!$B$6),1,0)</f>
        <v/>
      </c>
    </row>
    <row r="1352">
      <c r="A1352" t="inlineStr">
        <is>
          <t>2026-05</t>
        </is>
      </c>
      <c r="B1352" t="inlineStr">
        <is>
          <t>HOSP-3</t>
        </is>
      </c>
      <c r="C1352" t="inlineStr">
        <is>
          <t>SS-01186</t>
        </is>
      </c>
      <c r="D1352" t="n">
        <v>0</v>
      </c>
      <c r="E1352" t="n">
        <v>0</v>
      </c>
      <c r="G1352">
        <f>IF(AND(A1352&gt;=Inputs!$B$5,A1352&lt;=Inputs!$B$6),1,0)</f>
        <v/>
      </c>
    </row>
    <row r="1353">
      <c r="A1353" t="inlineStr">
        <is>
          <t>2026-05</t>
        </is>
      </c>
      <c r="B1353" t="inlineStr">
        <is>
          <t>HOSP-4</t>
        </is>
      </c>
      <c r="C1353" t="inlineStr">
        <is>
          <t>SS-01187</t>
        </is>
      </c>
      <c r="D1353" t="n">
        <v>0</v>
      </c>
      <c r="E1353" t="n">
        <v>0</v>
      </c>
      <c r="G1353">
        <f>IF(AND(A1353&gt;=Inputs!$B$5,A1353&lt;=Inputs!$B$6),1,0)</f>
        <v/>
      </c>
    </row>
    <row r="1354">
      <c r="A1354" t="inlineStr">
        <is>
          <t>2026-05</t>
        </is>
      </c>
      <c r="B1354" t="inlineStr">
        <is>
          <t>HOSP-1</t>
        </is>
      </c>
      <c r="C1354" t="inlineStr">
        <is>
          <t>SS-01188</t>
        </is>
      </c>
      <c r="D1354" t="n">
        <v>38</v>
      </c>
      <c r="E1354" t="n">
        <v>0</v>
      </c>
      <c r="G1354">
        <f>IF(AND(A1354&gt;=Inputs!$B$5,A1354&lt;=Inputs!$B$6),1,0)</f>
        <v/>
      </c>
    </row>
    <row r="1355">
      <c r="A1355" t="inlineStr">
        <is>
          <t>2026-05</t>
        </is>
      </c>
      <c r="B1355" t="inlineStr">
        <is>
          <t>HOSP-2</t>
        </is>
      </c>
      <c r="C1355" t="inlineStr">
        <is>
          <t>SS-01117</t>
        </is>
      </c>
      <c r="D1355" t="n">
        <v>48</v>
      </c>
      <c r="E1355" t="n">
        <v>0</v>
      </c>
      <c r="G1355">
        <f>IF(AND(A1355&gt;=Inputs!$B$5,A1355&lt;=Inputs!$B$6),1,0)</f>
        <v/>
      </c>
    </row>
    <row r="1356">
      <c r="A1356" t="inlineStr">
        <is>
          <t>2026-05</t>
        </is>
      </c>
      <c r="B1356" t="inlineStr">
        <is>
          <t>HOSP-3</t>
        </is>
      </c>
      <c r="C1356" t="inlineStr">
        <is>
          <t>SS-01190</t>
        </is>
      </c>
      <c r="D1356" t="n">
        <v>12</v>
      </c>
      <c r="E1356" t="n">
        <v>0</v>
      </c>
      <c r="G1356">
        <f>IF(AND(A1356&gt;=Inputs!$B$5,A1356&lt;=Inputs!$B$6),1,0)</f>
        <v/>
      </c>
    </row>
    <row r="1357">
      <c r="A1357" t="inlineStr">
        <is>
          <t>2026-05</t>
        </is>
      </c>
      <c r="B1357" t="inlineStr">
        <is>
          <t>HOSP-4</t>
        </is>
      </c>
      <c r="C1357" t="inlineStr">
        <is>
          <t>SS-01191</t>
        </is>
      </c>
      <c r="D1357" t="n">
        <v>0</v>
      </c>
      <c r="E1357" t="n">
        <v>0</v>
      </c>
      <c r="G1357">
        <f>IF(AND(A1357&gt;=Inputs!$B$5,A1357&lt;=Inputs!$B$6),1,0)</f>
        <v/>
      </c>
    </row>
    <row r="1358">
      <c r="A1358" t="inlineStr">
        <is>
          <t>2026-05</t>
        </is>
      </c>
      <c r="B1358" t="inlineStr">
        <is>
          <t>HOSP-1</t>
        </is>
      </c>
      <c r="C1358" t="inlineStr">
        <is>
          <t>SS-01192</t>
        </is>
      </c>
      <c r="D1358" t="n">
        <v>12</v>
      </c>
      <c r="E1358" t="n">
        <v>0</v>
      </c>
      <c r="G1358">
        <f>IF(AND(A1358&gt;=Inputs!$B$5,A1358&lt;=Inputs!$B$6),1,0)</f>
        <v/>
      </c>
    </row>
    <row r="1359">
      <c r="A1359" t="inlineStr">
        <is>
          <t>2026-05</t>
        </is>
      </c>
      <c r="B1359" t="inlineStr">
        <is>
          <t>HOSP-2</t>
        </is>
      </c>
      <c r="C1359" t="inlineStr">
        <is>
          <t>SS-01193</t>
        </is>
      </c>
      <c r="D1359" t="n">
        <v>0</v>
      </c>
      <c r="E1359" t="n">
        <v>0</v>
      </c>
      <c r="G1359">
        <f>IF(AND(A1359&gt;=Inputs!$B$5,A1359&lt;=Inputs!$B$6),1,0)</f>
        <v/>
      </c>
    </row>
    <row r="1360">
      <c r="A1360" t="inlineStr">
        <is>
          <t>2026-05</t>
        </is>
      </c>
      <c r="B1360" t="inlineStr">
        <is>
          <t>HOSP-3</t>
        </is>
      </c>
      <c r="C1360" t="inlineStr">
        <is>
          <t>SS-01194</t>
        </is>
      </c>
      <c r="D1360" t="n">
        <v>0</v>
      </c>
      <c r="E1360" t="n">
        <v>0</v>
      </c>
      <c r="G1360">
        <f>IF(AND(A1360&gt;=Inputs!$B$5,A1360&lt;=Inputs!$B$6),1,0)</f>
        <v/>
      </c>
    </row>
    <row r="1361">
      <c r="A1361" t="inlineStr">
        <is>
          <t>2026-05</t>
        </is>
      </c>
      <c r="B1361" t="inlineStr">
        <is>
          <t>HOSP-4</t>
        </is>
      </c>
      <c r="C1361" t="inlineStr">
        <is>
          <t>SS-01195</t>
        </is>
      </c>
      <c r="D1361" t="n">
        <v>84</v>
      </c>
      <c r="E1361" t="n">
        <v>0</v>
      </c>
      <c r="G1361">
        <f>IF(AND(A1361&gt;=Inputs!$B$5,A1361&lt;=Inputs!$B$6),1,0)</f>
        <v/>
      </c>
    </row>
    <row r="1362">
      <c r="A1362" t="inlineStr">
        <is>
          <t>2026-05</t>
        </is>
      </c>
      <c r="B1362" t="inlineStr">
        <is>
          <t>HOSP-1</t>
        </is>
      </c>
      <c r="C1362" t="inlineStr">
        <is>
          <t>SS-01196</t>
        </is>
      </c>
      <c r="D1362" t="n">
        <v>35</v>
      </c>
      <c r="E1362" t="n">
        <v>0</v>
      </c>
      <c r="G1362">
        <f>IF(AND(A1362&gt;=Inputs!$B$5,A1362&lt;=Inputs!$B$6),1,0)</f>
        <v/>
      </c>
    </row>
    <row r="1363">
      <c r="A1363" t="inlineStr">
        <is>
          <t>2026-05</t>
        </is>
      </c>
      <c r="B1363" t="inlineStr">
        <is>
          <t>HOSP-2</t>
        </is>
      </c>
      <c r="C1363" t="inlineStr">
        <is>
          <t>SS-01197</t>
        </is>
      </c>
      <c r="D1363" t="n">
        <v>0</v>
      </c>
      <c r="E1363" t="n">
        <v>4</v>
      </c>
      <c r="G1363">
        <f>IF(AND(A1363&gt;=Inputs!$B$5,A1363&lt;=Inputs!$B$6),1,0)</f>
        <v/>
      </c>
    </row>
    <row r="1364">
      <c r="A1364" t="inlineStr">
        <is>
          <t>2026-05</t>
        </is>
      </c>
      <c r="B1364" t="inlineStr">
        <is>
          <t>HOSP-3</t>
        </is>
      </c>
      <c r="C1364" t="inlineStr">
        <is>
          <t>SS-01198</t>
        </is>
      </c>
      <c r="D1364" t="n">
        <v>24</v>
      </c>
      <c r="E1364" t="n">
        <v>0</v>
      </c>
      <c r="G1364">
        <f>IF(AND(A1364&gt;=Inputs!$B$5,A1364&lt;=Inputs!$B$6),1,0)</f>
        <v/>
      </c>
    </row>
    <row r="1365">
      <c r="A1365" t="inlineStr">
        <is>
          <t>2026-05</t>
        </is>
      </c>
      <c r="B1365" t="inlineStr">
        <is>
          <t>HOSP-4</t>
        </is>
      </c>
      <c r="C1365" t="inlineStr">
        <is>
          <t>SS-01199</t>
        </is>
      </c>
      <c r="D1365" t="n">
        <v>192</v>
      </c>
      <c r="E1365" t="n">
        <v>0</v>
      </c>
      <c r="G1365">
        <f>IF(AND(A1365&gt;=Inputs!$B$5,A1365&lt;=Inputs!$B$6),1,0)</f>
        <v/>
      </c>
    </row>
    <row r="1366">
      <c r="A1366" t="inlineStr">
        <is>
          <t>2026-05</t>
        </is>
      </c>
      <c r="B1366" t="inlineStr">
        <is>
          <t>HOSP-1</t>
        </is>
      </c>
      <c r="C1366" t="inlineStr">
        <is>
          <t>SS-01200</t>
        </is>
      </c>
      <c r="D1366" t="n">
        <v>36</v>
      </c>
      <c r="E1366" t="n">
        <v>0</v>
      </c>
      <c r="G1366">
        <f>IF(AND(A1366&gt;=Inputs!$B$5,A1366&lt;=Inputs!$B$6),1,0)</f>
        <v/>
      </c>
    </row>
    <row r="1367">
      <c r="A1367" t="inlineStr">
        <is>
          <t>2026-05</t>
        </is>
      </c>
      <c r="B1367" t="inlineStr">
        <is>
          <t>HOSP-2</t>
        </is>
      </c>
      <c r="C1367" t="inlineStr">
        <is>
          <t>SS-01201</t>
        </is>
      </c>
      <c r="D1367" t="n">
        <v>134</v>
      </c>
      <c r="E1367" t="n">
        <v>0</v>
      </c>
      <c r="G1367">
        <f>IF(AND(A1367&gt;=Inputs!$B$5,A1367&lt;=Inputs!$B$6),1,0)</f>
        <v/>
      </c>
    </row>
    <row r="1368">
      <c r="A1368" t="inlineStr">
        <is>
          <t>2026-05</t>
        </is>
      </c>
      <c r="B1368" t="inlineStr">
        <is>
          <t>HOSP-3</t>
        </is>
      </c>
      <c r="C1368" t="inlineStr">
        <is>
          <t>SS-01202</t>
        </is>
      </c>
      <c r="D1368" t="n">
        <v>60</v>
      </c>
      <c r="E1368" t="n">
        <v>0</v>
      </c>
      <c r="G1368">
        <f>IF(AND(A1368&gt;=Inputs!$B$5,A1368&lt;=Inputs!$B$6),1,0)</f>
        <v/>
      </c>
    </row>
    <row r="1369">
      <c r="A1369" t="inlineStr">
        <is>
          <t>2026-05</t>
        </is>
      </c>
      <c r="B1369" t="inlineStr">
        <is>
          <t>HOSP-4</t>
        </is>
      </c>
      <c r="C1369" t="inlineStr">
        <is>
          <t>SS-01203</t>
        </is>
      </c>
      <c r="D1369" t="n">
        <v>36</v>
      </c>
      <c r="E1369" t="n">
        <v>0</v>
      </c>
      <c r="G1369">
        <f>IF(AND(A1369&gt;=Inputs!$B$5,A1369&lt;=Inputs!$B$6),1,0)</f>
        <v/>
      </c>
    </row>
    <row r="1370">
      <c r="A1370" t="inlineStr">
        <is>
          <t>2026-05</t>
        </is>
      </c>
      <c r="B1370" t="inlineStr">
        <is>
          <t>HOSP-1</t>
        </is>
      </c>
      <c r="C1370" t="inlineStr">
        <is>
          <t>SS-01204</t>
        </is>
      </c>
      <c r="D1370" t="n">
        <v>12</v>
      </c>
      <c r="E1370" t="n">
        <v>0</v>
      </c>
      <c r="G1370">
        <f>IF(AND(A1370&gt;=Inputs!$B$5,A1370&lt;=Inputs!$B$6),1,0)</f>
        <v/>
      </c>
    </row>
    <row r="1371">
      <c r="A1371" t="inlineStr">
        <is>
          <t>2026-05</t>
        </is>
      </c>
      <c r="B1371" t="inlineStr">
        <is>
          <t>HOSP-2</t>
        </is>
      </c>
      <c r="C1371" t="inlineStr">
        <is>
          <t>SS-01205</t>
        </is>
      </c>
      <c r="D1371" t="n">
        <v>192</v>
      </c>
      <c r="E1371" t="n">
        <v>0</v>
      </c>
      <c r="G1371">
        <f>IF(AND(A1371&gt;=Inputs!$B$5,A1371&lt;=Inputs!$B$6),1,0)</f>
        <v/>
      </c>
    </row>
    <row r="1372">
      <c r="A1372" t="inlineStr">
        <is>
          <t>2026-05</t>
        </is>
      </c>
      <c r="B1372" t="inlineStr">
        <is>
          <t>HOSP-3</t>
        </is>
      </c>
      <c r="C1372" t="inlineStr">
        <is>
          <t>SS-01206</t>
        </is>
      </c>
      <c r="D1372" t="n">
        <v>0</v>
      </c>
      <c r="E1372" t="n">
        <v>0</v>
      </c>
      <c r="G1372">
        <f>IF(AND(A1372&gt;=Inputs!$B$5,A1372&lt;=Inputs!$B$6),1,0)</f>
        <v/>
      </c>
    </row>
    <row r="1373">
      <c r="A1373" t="inlineStr">
        <is>
          <t>2026-05</t>
        </is>
      </c>
      <c r="B1373" t="inlineStr">
        <is>
          <t>HOSP-4</t>
        </is>
      </c>
      <c r="C1373" t="inlineStr">
        <is>
          <t>SS-01207</t>
        </is>
      </c>
      <c r="D1373" t="n">
        <v>12</v>
      </c>
      <c r="E1373" t="n">
        <v>0</v>
      </c>
      <c r="G1373">
        <f>IF(AND(A1373&gt;=Inputs!$B$5,A1373&lt;=Inputs!$B$6),1,0)</f>
        <v/>
      </c>
    </row>
    <row r="1374">
      <c r="A1374" t="inlineStr">
        <is>
          <t>2026-05</t>
        </is>
      </c>
      <c r="B1374" t="inlineStr">
        <is>
          <t>HOSP-1</t>
        </is>
      </c>
      <c r="C1374" t="inlineStr">
        <is>
          <t>SS-01208</t>
        </is>
      </c>
      <c r="D1374" t="n">
        <v>0</v>
      </c>
      <c r="E1374" t="n">
        <v>1</v>
      </c>
      <c r="G1374">
        <f>IF(AND(A1374&gt;=Inputs!$B$5,A1374&lt;=Inputs!$B$6),1,0)</f>
        <v/>
      </c>
    </row>
    <row r="1375">
      <c r="A1375" t="inlineStr">
        <is>
          <t>2026-05</t>
        </is>
      </c>
      <c r="B1375" t="inlineStr">
        <is>
          <t>HOSP-2</t>
        </is>
      </c>
      <c r="C1375" t="inlineStr">
        <is>
          <t>SS-01209</t>
        </is>
      </c>
      <c r="D1375" t="n">
        <v>24</v>
      </c>
      <c r="E1375" t="n">
        <v>0</v>
      </c>
      <c r="G1375">
        <f>IF(AND(A1375&gt;=Inputs!$B$5,A1375&lt;=Inputs!$B$6),1,0)</f>
        <v/>
      </c>
    </row>
    <row r="1376">
      <c r="A1376" t="inlineStr">
        <is>
          <t>2026-05</t>
        </is>
      </c>
      <c r="B1376" t="inlineStr">
        <is>
          <t>HOSP-3</t>
        </is>
      </c>
      <c r="C1376" t="inlineStr">
        <is>
          <t>SS-01210</t>
        </is>
      </c>
      <c r="D1376" t="n">
        <v>12</v>
      </c>
      <c r="E1376" t="n">
        <v>0</v>
      </c>
      <c r="G1376">
        <f>IF(AND(A1376&gt;=Inputs!$B$5,A1376&lt;=Inputs!$B$6),1,0)</f>
        <v/>
      </c>
    </row>
    <row r="1377">
      <c r="A1377" t="inlineStr">
        <is>
          <t>2026-05</t>
        </is>
      </c>
      <c r="B1377" t="inlineStr">
        <is>
          <t>HOSP-4</t>
        </is>
      </c>
      <c r="C1377" t="inlineStr">
        <is>
          <t>SS-01211</t>
        </is>
      </c>
      <c r="D1377" t="n">
        <v>6</v>
      </c>
      <c r="E1377" t="n">
        <v>0</v>
      </c>
      <c r="G1377">
        <f>IF(AND(A1377&gt;=Inputs!$B$5,A1377&lt;=Inputs!$B$6),1,0)</f>
        <v/>
      </c>
    </row>
    <row r="1378">
      <c r="A1378" t="inlineStr">
        <is>
          <t>2026-05</t>
        </is>
      </c>
      <c r="B1378" t="inlineStr">
        <is>
          <t>HOSP-1</t>
        </is>
      </c>
      <c r="C1378" t="inlineStr">
        <is>
          <t>SS-01212</t>
        </is>
      </c>
      <c r="D1378" t="n">
        <v>0</v>
      </c>
      <c r="E1378" t="n">
        <v>0</v>
      </c>
      <c r="G1378">
        <f>IF(AND(A1378&gt;=Inputs!$B$5,A1378&lt;=Inputs!$B$6),1,0)</f>
        <v/>
      </c>
    </row>
    <row r="1379">
      <c r="A1379" t="inlineStr">
        <is>
          <t>2026-05</t>
        </is>
      </c>
      <c r="B1379" t="inlineStr">
        <is>
          <t>HOSP-2</t>
        </is>
      </c>
      <c r="C1379" t="inlineStr">
        <is>
          <t>SS-01213</t>
        </is>
      </c>
      <c r="D1379" t="n">
        <v>0</v>
      </c>
      <c r="E1379" t="n">
        <v>0</v>
      </c>
      <c r="G1379">
        <f>IF(AND(A1379&gt;=Inputs!$B$5,A1379&lt;=Inputs!$B$6),1,0)</f>
        <v/>
      </c>
    </row>
    <row r="1380">
      <c r="A1380" t="inlineStr">
        <is>
          <t>2026-05</t>
        </is>
      </c>
      <c r="B1380" t="inlineStr">
        <is>
          <t>HOSP-3</t>
        </is>
      </c>
      <c r="C1380" t="inlineStr">
        <is>
          <t>SS-01214</t>
        </is>
      </c>
      <c r="D1380" t="n">
        <v>12</v>
      </c>
      <c r="E1380" t="n">
        <v>0</v>
      </c>
      <c r="G1380">
        <f>IF(AND(A1380&gt;=Inputs!$B$5,A1380&lt;=Inputs!$B$6),1,0)</f>
        <v/>
      </c>
    </row>
    <row r="1381">
      <c r="A1381" t="inlineStr">
        <is>
          <t>2026-05</t>
        </is>
      </c>
      <c r="B1381" t="inlineStr">
        <is>
          <t>HOSP-4</t>
        </is>
      </c>
      <c r="C1381" t="inlineStr">
        <is>
          <t>SS-01215</t>
        </is>
      </c>
      <c r="D1381" t="n">
        <v>24</v>
      </c>
      <c r="E1381" t="n">
        <v>0</v>
      </c>
      <c r="G1381">
        <f>IF(AND(A1381&gt;=Inputs!$B$5,A1381&lt;=Inputs!$B$6),1,0)</f>
        <v/>
      </c>
    </row>
    <row r="1382">
      <c r="A1382" t="inlineStr">
        <is>
          <t>2026-05</t>
        </is>
      </c>
      <c r="B1382" t="inlineStr">
        <is>
          <t>HOSP-1</t>
        </is>
      </c>
      <c r="C1382" t="inlineStr">
        <is>
          <t>SS-01216</t>
        </is>
      </c>
      <c r="D1382" t="n">
        <v>27</v>
      </c>
      <c r="E1382" t="n">
        <v>1</v>
      </c>
      <c r="G1382">
        <f>IF(AND(A1382&gt;=Inputs!$B$5,A1382&lt;=Inputs!$B$6),1,0)</f>
        <v/>
      </c>
    </row>
    <row r="1383">
      <c r="A1383" t="inlineStr">
        <is>
          <t>2026-05</t>
        </is>
      </c>
      <c r="B1383" t="inlineStr">
        <is>
          <t>HOSP-2</t>
        </is>
      </c>
      <c r="C1383" t="inlineStr">
        <is>
          <t>SS-01217</t>
        </is>
      </c>
      <c r="D1383" t="n">
        <v>12</v>
      </c>
      <c r="E1383" t="n">
        <v>0</v>
      </c>
      <c r="G1383">
        <f>IF(AND(A1383&gt;=Inputs!$B$5,A1383&lt;=Inputs!$B$6),1,0)</f>
        <v/>
      </c>
    </row>
    <row r="1384">
      <c r="A1384" t="inlineStr">
        <is>
          <t>2026-05</t>
        </is>
      </c>
      <c r="B1384" t="inlineStr">
        <is>
          <t>HOSP-3</t>
        </is>
      </c>
      <c r="C1384" t="inlineStr">
        <is>
          <t>SS-01218</t>
        </is>
      </c>
      <c r="D1384" t="n">
        <v>216</v>
      </c>
      <c r="E1384" t="n">
        <v>0</v>
      </c>
      <c r="G1384">
        <f>IF(AND(A1384&gt;=Inputs!$B$5,A1384&lt;=Inputs!$B$6),1,0)</f>
        <v/>
      </c>
    </row>
    <row r="1385">
      <c r="A1385" t="inlineStr">
        <is>
          <t>2026-05</t>
        </is>
      </c>
      <c r="B1385" t="inlineStr">
        <is>
          <t>HOSP-4</t>
        </is>
      </c>
      <c r="C1385" t="inlineStr">
        <is>
          <t>SS-01219</t>
        </is>
      </c>
      <c r="D1385" t="n">
        <v>12</v>
      </c>
      <c r="E1385" t="n">
        <v>0</v>
      </c>
      <c r="G1385">
        <f>IF(AND(A1385&gt;=Inputs!$B$5,A1385&lt;=Inputs!$B$6),1,0)</f>
        <v/>
      </c>
    </row>
    <row r="1386">
      <c r="A1386" t="inlineStr">
        <is>
          <t>2026-05</t>
        </is>
      </c>
      <c r="B1386" t="inlineStr">
        <is>
          <t>HOSP-1</t>
        </is>
      </c>
      <c r="C1386" t="inlineStr">
        <is>
          <t>SS-01220</t>
        </is>
      </c>
      <c r="D1386" t="n">
        <v>24</v>
      </c>
      <c r="E1386" t="n">
        <v>0</v>
      </c>
      <c r="F1386" t="inlineStr">
        <is>
          <t>surge</t>
        </is>
      </c>
      <c r="G1386">
        <f>IF(AND(A1386&gt;=Inputs!$B$5,A1386&lt;=Inputs!$B$6),1,0)</f>
        <v/>
      </c>
    </row>
    <row r="1387">
      <c r="A1387" t="inlineStr">
        <is>
          <t>2026-05</t>
        </is>
      </c>
      <c r="B1387" t="inlineStr">
        <is>
          <t>HOSP-2</t>
        </is>
      </c>
      <c r="C1387" t="inlineStr">
        <is>
          <t>SS-01221</t>
        </is>
      </c>
      <c r="D1387" t="n">
        <v>108</v>
      </c>
      <c r="E1387" t="n">
        <v>0</v>
      </c>
      <c r="G1387">
        <f>IF(AND(A1387&gt;=Inputs!$B$5,A1387&lt;=Inputs!$B$6),1,0)</f>
        <v/>
      </c>
    </row>
    <row r="1388">
      <c r="A1388" t="inlineStr">
        <is>
          <t>2026-05</t>
        </is>
      </c>
      <c r="B1388" t="inlineStr">
        <is>
          <t>HOSP-3</t>
        </is>
      </c>
      <c r="C1388" t="inlineStr">
        <is>
          <t>SS-01222</t>
        </is>
      </c>
      <c r="D1388" t="n">
        <v>96</v>
      </c>
      <c r="E1388" t="n">
        <v>0</v>
      </c>
      <c r="G1388">
        <f>IF(AND(A1388&gt;=Inputs!$B$5,A1388&lt;=Inputs!$B$6),1,0)</f>
        <v/>
      </c>
    </row>
    <row r="1389">
      <c r="A1389" t="inlineStr">
        <is>
          <t>2026-05</t>
        </is>
      </c>
      <c r="B1389" t="inlineStr">
        <is>
          <t>HOSP-4</t>
        </is>
      </c>
      <c r="C1389" t="inlineStr">
        <is>
          <t>SS-01223</t>
        </is>
      </c>
      <c r="D1389" t="n">
        <v>24</v>
      </c>
      <c r="E1389" t="n">
        <v>0</v>
      </c>
      <c r="G1389">
        <f>IF(AND(A1389&gt;=Inputs!$B$5,A1389&lt;=Inputs!$B$6),1,0)</f>
        <v/>
      </c>
    </row>
    <row r="1390">
      <c r="A1390" t="inlineStr">
        <is>
          <t>2026-05</t>
        </is>
      </c>
      <c r="B1390" t="inlineStr">
        <is>
          <t>HOSP-1</t>
        </is>
      </c>
      <c r="C1390" t="inlineStr">
        <is>
          <t>SS-01147</t>
        </is>
      </c>
      <c r="D1390" t="n">
        <v>141</v>
      </c>
      <c r="E1390" t="n">
        <v>0</v>
      </c>
      <c r="G1390">
        <f>IF(AND(A1390&gt;=Inputs!$B$5,A1390&lt;=Inputs!$B$6),1,0)</f>
        <v/>
      </c>
    </row>
    <row r="1391">
      <c r="A1391" t="inlineStr">
        <is>
          <t>2026-05</t>
        </is>
      </c>
      <c r="B1391" t="inlineStr">
        <is>
          <t>HOSP-2</t>
        </is>
      </c>
      <c r="C1391" t="inlineStr">
        <is>
          <t>SS-01225</t>
        </is>
      </c>
      <c r="D1391" t="n">
        <v>96</v>
      </c>
      <c r="E1391" t="n">
        <v>0</v>
      </c>
      <c r="G1391">
        <f>IF(AND(A1391&gt;=Inputs!$B$5,A1391&lt;=Inputs!$B$6),1,0)</f>
        <v/>
      </c>
    </row>
    <row r="1392">
      <c r="A1392" t="inlineStr">
        <is>
          <t>2026-05</t>
        </is>
      </c>
      <c r="B1392" t="inlineStr">
        <is>
          <t>HOSP-3</t>
        </is>
      </c>
      <c r="C1392" t="inlineStr">
        <is>
          <t>SS-01226</t>
        </is>
      </c>
      <c r="D1392" t="n">
        <v>0</v>
      </c>
      <c r="E1392" t="n">
        <v>0</v>
      </c>
      <c r="G1392">
        <f>IF(AND(A1392&gt;=Inputs!$B$5,A1392&lt;=Inputs!$B$6),1,0)</f>
        <v/>
      </c>
    </row>
    <row r="1393">
      <c r="A1393" t="inlineStr">
        <is>
          <t>2026-05</t>
        </is>
      </c>
      <c r="B1393" t="inlineStr">
        <is>
          <t>HOSP-4</t>
        </is>
      </c>
      <c r="C1393" t="inlineStr">
        <is>
          <t>SS-01227</t>
        </is>
      </c>
      <c r="D1393" t="n">
        <v>17</v>
      </c>
      <c r="E1393" t="n">
        <v>2</v>
      </c>
      <c r="G1393">
        <f>IF(AND(A1393&gt;=Inputs!$B$5,A1393&lt;=Inputs!$B$6),1,0)</f>
        <v/>
      </c>
    </row>
    <row r="1394">
      <c r="A1394" t="inlineStr">
        <is>
          <t>2026-05</t>
        </is>
      </c>
      <c r="B1394" t="inlineStr">
        <is>
          <t>HOSP-1</t>
        </is>
      </c>
      <c r="C1394" t="inlineStr">
        <is>
          <t>SS-01228</t>
        </is>
      </c>
      <c r="D1394" t="n">
        <v>12</v>
      </c>
      <c r="E1394" t="n">
        <v>0</v>
      </c>
      <c r="G1394">
        <f>IF(AND(A1394&gt;=Inputs!$B$5,A1394&lt;=Inputs!$B$6),1,0)</f>
        <v/>
      </c>
    </row>
    <row r="1395">
      <c r="A1395" t="inlineStr">
        <is>
          <t>2026-05</t>
        </is>
      </c>
      <c r="B1395" t="inlineStr">
        <is>
          <t>HOSP-2</t>
        </is>
      </c>
      <c r="C1395" t="inlineStr">
        <is>
          <t>SS-01101</t>
        </is>
      </c>
      <c r="D1395" t="n">
        <v>108</v>
      </c>
      <c r="E1395" t="n">
        <v>0</v>
      </c>
      <c r="G1395">
        <f>IF(AND(A1395&gt;=Inputs!$B$5,A1395&lt;=Inputs!$B$6),1,0)</f>
        <v/>
      </c>
    </row>
    <row r="1396">
      <c r="A1396" t="inlineStr">
        <is>
          <t>2026-05</t>
        </is>
      </c>
      <c r="B1396" t="inlineStr">
        <is>
          <t>HOSP-3</t>
        </is>
      </c>
      <c r="C1396" t="inlineStr">
        <is>
          <t>SS-01230</t>
        </is>
      </c>
      <c r="D1396" t="n">
        <v>12</v>
      </c>
      <c r="E1396" t="n">
        <v>0</v>
      </c>
      <c r="G1396">
        <f>IF(AND(A1396&gt;=Inputs!$B$5,A1396&lt;=Inputs!$B$6),1,0)</f>
        <v/>
      </c>
    </row>
    <row r="1397">
      <c r="A1397" t="inlineStr">
        <is>
          <t>2026-05</t>
        </is>
      </c>
      <c r="B1397" t="inlineStr">
        <is>
          <t>HOSP-4</t>
        </is>
      </c>
      <c r="C1397" t="inlineStr">
        <is>
          <t>SS-01231</t>
        </is>
      </c>
      <c r="D1397" t="n">
        <v>12</v>
      </c>
      <c r="E1397" t="n">
        <v>0</v>
      </c>
      <c r="G1397">
        <f>IF(AND(A1397&gt;=Inputs!$B$5,A1397&lt;=Inputs!$B$6),1,0)</f>
        <v/>
      </c>
    </row>
    <row r="1398">
      <c r="A1398" t="inlineStr">
        <is>
          <t>2026-05</t>
        </is>
      </c>
      <c r="B1398" t="inlineStr">
        <is>
          <t>HOSP-1</t>
        </is>
      </c>
      <c r="C1398" t="inlineStr">
        <is>
          <t>SS-01232</t>
        </is>
      </c>
      <c r="D1398" t="n">
        <v>12</v>
      </c>
      <c r="E1398" t="n">
        <v>0</v>
      </c>
      <c r="G1398">
        <f>IF(AND(A1398&gt;=Inputs!$B$5,A1398&lt;=Inputs!$B$6),1,0)</f>
        <v/>
      </c>
    </row>
    <row r="1399">
      <c r="A1399" t="inlineStr">
        <is>
          <t>2026-05</t>
        </is>
      </c>
      <c r="B1399" t="inlineStr">
        <is>
          <t>HOSP-2</t>
        </is>
      </c>
      <c r="C1399" t="inlineStr">
        <is>
          <t>SS-01233</t>
        </is>
      </c>
      <c r="D1399" t="n">
        <v>12</v>
      </c>
      <c r="E1399" t="n">
        <v>0</v>
      </c>
      <c r="G1399">
        <f>IF(AND(A1399&gt;=Inputs!$B$5,A1399&lt;=Inputs!$B$6),1,0)</f>
        <v/>
      </c>
    </row>
    <row r="1400">
      <c r="A1400" t="inlineStr">
        <is>
          <t>2026-05</t>
        </is>
      </c>
      <c r="B1400" t="inlineStr">
        <is>
          <t>HOSP-3</t>
        </is>
      </c>
      <c r="C1400" t="inlineStr">
        <is>
          <t>SS-01001</t>
        </is>
      </c>
      <c r="D1400" t="n">
        <v>48</v>
      </c>
      <c r="E1400" t="n">
        <v>0</v>
      </c>
      <c r="G1400">
        <f>IF(AND(A1400&gt;=Inputs!$B$5,A1400&lt;=Inputs!$B$6),1,0)</f>
        <v/>
      </c>
    </row>
    <row r="1401">
      <c r="A1401" t="inlineStr">
        <is>
          <t>2026-05</t>
        </is>
      </c>
      <c r="B1401" t="inlineStr">
        <is>
          <t>HOSP-4</t>
        </is>
      </c>
      <c r="C1401" t="inlineStr">
        <is>
          <t>SS-01002</t>
        </is>
      </c>
      <c r="D1401" t="n">
        <v>24</v>
      </c>
      <c r="E1401" t="n">
        <v>0</v>
      </c>
      <c r="G1401">
        <f>IF(AND(A1401&gt;=Inputs!$B$5,A1401&lt;=Inputs!$B$6),1,0)</f>
        <v/>
      </c>
    </row>
    <row r="1402">
      <c r="A1402" t="inlineStr">
        <is>
          <t>2026-05</t>
        </is>
      </c>
      <c r="B1402" t="inlineStr">
        <is>
          <t>HOSP-1</t>
        </is>
      </c>
      <c r="C1402" t="inlineStr">
        <is>
          <t>SS-01003</t>
        </is>
      </c>
      <c r="D1402" t="n">
        <v>60</v>
      </c>
      <c r="E1402" t="n">
        <v>0</v>
      </c>
      <c r="G1402">
        <f>IF(AND(A1402&gt;=Inputs!$B$5,A1402&lt;=Inputs!$B$6),1,0)</f>
        <v/>
      </c>
    </row>
    <row r="1403">
      <c r="A1403" t="inlineStr">
        <is>
          <t>2026-05</t>
        </is>
      </c>
      <c r="B1403" t="inlineStr">
        <is>
          <t>HOSP-2</t>
        </is>
      </c>
      <c r="C1403" t="inlineStr">
        <is>
          <t>SS-01004</t>
        </is>
      </c>
      <c r="D1403" t="n">
        <v>12</v>
      </c>
      <c r="E1403" t="n">
        <v>0</v>
      </c>
      <c r="G1403">
        <f>IF(AND(A1403&gt;=Inputs!$B$5,A1403&lt;=Inputs!$B$6),1,0)</f>
        <v/>
      </c>
    </row>
    <row r="1404">
      <c r="A1404" t="inlineStr">
        <is>
          <t>2026-05</t>
        </is>
      </c>
      <c r="B1404" t="inlineStr">
        <is>
          <t>HOSP-3</t>
        </is>
      </c>
      <c r="C1404" t="inlineStr">
        <is>
          <t>SS-01005</t>
        </is>
      </c>
      <c r="D1404" t="n">
        <v>120</v>
      </c>
      <c r="E1404" t="n">
        <v>0</v>
      </c>
      <c r="G1404">
        <f>IF(AND(A1404&gt;=Inputs!$B$5,A1404&lt;=Inputs!$B$6),1,0)</f>
        <v/>
      </c>
    </row>
    <row r="1405">
      <c r="A1405" t="inlineStr">
        <is>
          <t>2026-05</t>
        </is>
      </c>
      <c r="B1405" t="inlineStr">
        <is>
          <t>HOSP-4</t>
        </is>
      </c>
      <c r="C1405" t="inlineStr">
        <is>
          <t>SS-01006</t>
        </is>
      </c>
      <c r="D1405" t="n">
        <v>120</v>
      </c>
      <c r="E1405" t="n">
        <v>0</v>
      </c>
      <c r="G1405">
        <f>IF(AND(A1405&gt;=Inputs!$B$5,A1405&lt;=Inputs!$B$6),1,0)</f>
        <v/>
      </c>
    </row>
    <row r="1406">
      <c r="A1406" t="inlineStr">
        <is>
          <t>2026-05</t>
        </is>
      </c>
      <c r="B1406" t="inlineStr">
        <is>
          <t>HOSP-1</t>
        </is>
      </c>
      <c r="C1406" t="inlineStr">
        <is>
          <t>SS-01007</t>
        </is>
      </c>
      <c r="D1406" t="n">
        <v>0</v>
      </c>
      <c r="E1406" t="n">
        <v>0</v>
      </c>
      <c r="G1406">
        <f>IF(AND(A1406&gt;=Inputs!$B$5,A1406&lt;=Inputs!$B$6),1,0)</f>
        <v/>
      </c>
    </row>
    <row r="1407">
      <c r="A1407" t="inlineStr">
        <is>
          <t>2026-05</t>
        </is>
      </c>
      <c r="B1407" t="inlineStr">
        <is>
          <t>HOSP-2</t>
        </is>
      </c>
      <c r="C1407" t="inlineStr">
        <is>
          <t>SS-01008</t>
        </is>
      </c>
      <c r="D1407" t="n">
        <v>36</v>
      </c>
      <c r="E1407" t="n">
        <v>0</v>
      </c>
      <c r="G1407">
        <f>IF(AND(A1407&gt;=Inputs!$B$5,A1407&lt;=Inputs!$B$6),1,0)</f>
        <v/>
      </c>
    </row>
    <row r="1408">
      <c r="A1408" t="inlineStr">
        <is>
          <t>2026-05</t>
        </is>
      </c>
      <c r="B1408" t="inlineStr">
        <is>
          <t>HOSP-3</t>
        </is>
      </c>
      <c r="C1408" t="inlineStr">
        <is>
          <t>SS-01009</t>
        </is>
      </c>
      <c r="D1408" t="n">
        <v>0</v>
      </c>
      <c r="E1408" t="n">
        <v>0</v>
      </c>
      <c r="G1408">
        <f>IF(AND(A1408&gt;=Inputs!$B$5,A1408&lt;=Inputs!$B$6),1,0)</f>
        <v/>
      </c>
    </row>
    <row r="1409">
      <c r="A1409" t="inlineStr">
        <is>
          <t>2026-05</t>
        </is>
      </c>
      <c r="B1409" t="inlineStr">
        <is>
          <t>HOSP-4</t>
        </is>
      </c>
      <c r="C1409" t="inlineStr">
        <is>
          <t>SS-01010</t>
        </is>
      </c>
      <c r="D1409" t="n">
        <v>3</v>
      </c>
      <c r="E1409" t="n">
        <v>1</v>
      </c>
      <c r="G1409">
        <f>IF(AND(A1409&gt;=Inputs!$B$5,A1409&lt;=Inputs!$B$6),1,0)</f>
        <v/>
      </c>
    </row>
    <row r="1410">
      <c r="A1410" t="inlineStr">
        <is>
          <t>2026-05</t>
        </is>
      </c>
      <c r="B1410" t="inlineStr">
        <is>
          <t>HOSP-1</t>
        </is>
      </c>
      <c r="C1410" t="inlineStr">
        <is>
          <t>SS-01011</t>
        </is>
      </c>
      <c r="D1410" t="n">
        <v>36</v>
      </c>
      <c r="E1410" t="n">
        <v>0</v>
      </c>
      <c r="G1410">
        <f>IF(AND(A1410&gt;=Inputs!$B$5,A1410&lt;=Inputs!$B$6),1,0)</f>
        <v/>
      </c>
    </row>
    <row r="1411">
      <c r="A1411" t="inlineStr">
        <is>
          <t>2026-05</t>
        </is>
      </c>
      <c r="B1411" t="inlineStr">
        <is>
          <t>HOSP-2</t>
        </is>
      </c>
      <c r="C1411" t="inlineStr">
        <is>
          <t>SS-01012</t>
        </is>
      </c>
      <c r="D1411" t="n">
        <v>24</v>
      </c>
      <c r="E1411" t="n">
        <v>0</v>
      </c>
      <c r="G1411">
        <f>IF(AND(A1411&gt;=Inputs!$B$5,A1411&lt;=Inputs!$B$6),1,0)</f>
        <v/>
      </c>
    </row>
    <row r="1412">
      <c r="A1412" t="inlineStr">
        <is>
          <t>2026-05</t>
        </is>
      </c>
      <c r="B1412" t="inlineStr">
        <is>
          <t>HOSP-3</t>
        </is>
      </c>
      <c r="C1412" t="inlineStr">
        <is>
          <t>SS-01013</t>
        </is>
      </c>
      <c r="D1412" t="n">
        <v>156</v>
      </c>
      <c r="E1412" t="n">
        <v>0</v>
      </c>
      <c r="G1412">
        <f>IF(AND(A1412&gt;=Inputs!$B$5,A1412&lt;=Inputs!$B$6),1,0)</f>
        <v/>
      </c>
    </row>
    <row r="1413">
      <c r="A1413" t="inlineStr">
        <is>
          <t>2026-05</t>
        </is>
      </c>
      <c r="B1413" t="inlineStr">
        <is>
          <t>HOSP-4</t>
        </is>
      </c>
      <c r="C1413" t="inlineStr">
        <is>
          <t>SS-01014</t>
        </is>
      </c>
      <c r="D1413" t="n">
        <v>0</v>
      </c>
      <c r="E1413" t="n">
        <v>0</v>
      </c>
      <c r="G1413">
        <f>IF(AND(A1413&gt;=Inputs!$B$5,A1413&lt;=Inputs!$B$6),1,0)</f>
        <v/>
      </c>
    </row>
    <row r="1414">
      <c r="A1414" t="inlineStr">
        <is>
          <t>2026-05</t>
        </is>
      </c>
      <c r="B1414" t="inlineStr">
        <is>
          <t>HOSP-1</t>
        </is>
      </c>
      <c r="C1414" t="inlineStr">
        <is>
          <t>SS-01015</t>
        </is>
      </c>
      <c r="D1414" t="n">
        <v>24</v>
      </c>
      <c r="E1414" t="n">
        <v>0</v>
      </c>
      <c r="G1414">
        <f>IF(AND(A1414&gt;=Inputs!$B$5,A1414&lt;=Inputs!$B$6),1,0)</f>
        <v/>
      </c>
    </row>
    <row r="1415">
      <c r="A1415" t="inlineStr">
        <is>
          <t>2026-05</t>
        </is>
      </c>
      <c r="B1415" t="inlineStr">
        <is>
          <t>HOSP-2</t>
        </is>
      </c>
      <c r="C1415" t="inlineStr">
        <is>
          <t>SS-01016</t>
        </is>
      </c>
      <c r="D1415" t="n">
        <v>8</v>
      </c>
      <c r="E1415" t="n">
        <v>0</v>
      </c>
      <c r="G1415">
        <f>IF(AND(A1415&gt;=Inputs!$B$5,A1415&lt;=Inputs!$B$6),1,0)</f>
        <v/>
      </c>
    </row>
    <row r="1416">
      <c r="A1416" t="inlineStr">
        <is>
          <t>2026-05</t>
        </is>
      </c>
      <c r="B1416" t="inlineStr">
        <is>
          <t>HOSP-3</t>
        </is>
      </c>
      <c r="C1416" t="inlineStr">
        <is>
          <t>SS-01017</t>
        </is>
      </c>
      <c r="D1416" t="n">
        <v>36</v>
      </c>
      <c r="E1416" t="n">
        <v>0</v>
      </c>
      <c r="G1416">
        <f>IF(AND(A1416&gt;=Inputs!$B$5,A1416&lt;=Inputs!$B$6),1,0)</f>
        <v/>
      </c>
    </row>
    <row r="1417">
      <c r="A1417" t="inlineStr">
        <is>
          <t>2026-05</t>
        </is>
      </c>
      <c r="B1417" t="inlineStr">
        <is>
          <t>HOSP-4</t>
        </is>
      </c>
      <c r="C1417" t="inlineStr">
        <is>
          <t>SS-01018</t>
        </is>
      </c>
      <c r="D1417" t="n">
        <v>0</v>
      </c>
      <c r="E1417" t="n">
        <v>0</v>
      </c>
      <c r="G1417">
        <f>IF(AND(A1417&gt;=Inputs!$B$5,A1417&lt;=Inputs!$B$6),1,0)</f>
        <v/>
      </c>
    </row>
    <row r="1418">
      <c r="A1418" t="inlineStr">
        <is>
          <t>2026-05</t>
        </is>
      </c>
      <c r="B1418" t="inlineStr">
        <is>
          <t>HOSP-1</t>
        </is>
      </c>
      <c r="C1418" t="inlineStr">
        <is>
          <t>SS-01019</t>
        </is>
      </c>
      <c r="D1418" t="n">
        <v>36</v>
      </c>
      <c r="E1418" t="n">
        <v>0</v>
      </c>
      <c r="G1418">
        <f>IF(AND(A1418&gt;=Inputs!$B$5,A1418&lt;=Inputs!$B$6),1,0)</f>
        <v/>
      </c>
    </row>
    <row r="1419">
      <c r="A1419" t="inlineStr">
        <is>
          <t>2026-05</t>
        </is>
      </c>
      <c r="B1419" t="inlineStr">
        <is>
          <t>HOSP-2</t>
        </is>
      </c>
      <c r="C1419" t="inlineStr">
        <is>
          <t>SS-01020</t>
        </is>
      </c>
      <c r="D1419" t="n">
        <v>36</v>
      </c>
      <c r="E1419" t="n">
        <v>0</v>
      </c>
      <c r="G1419">
        <f>IF(AND(A1419&gt;=Inputs!$B$5,A1419&lt;=Inputs!$B$6),1,0)</f>
        <v/>
      </c>
    </row>
    <row r="1420">
      <c r="A1420" t="inlineStr">
        <is>
          <t>2026-05</t>
        </is>
      </c>
      <c r="B1420" t="inlineStr">
        <is>
          <t>HOSP-3</t>
        </is>
      </c>
      <c r="C1420" t="inlineStr">
        <is>
          <t>SS-01021</t>
        </is>
      </c>
      <c r="D1420" t="n">
        <v>36</v>
      </c>
      <c r="E1420" t="n">
        <v>0</v>
      </c>
      <c r="G1420">
        <f>IF(AND(A1420&gt;=Inputs!$B$5,A1420&lt;=Inputs!$B$6),1,0)</f>
        <v/>
      </c>
    </row>
    <row r="1421">
      <c r="A1421" t="inlineStr">
        <is>
          <t>2026-05</t>
        </is>
      </c>
      <c r="B1421" t="inlineStr">
        <is>
          <t>HOSP-4</t>
        </is>
      </c>
      <c r="C1421" t="inlineStr">
        <is>
          <t>SS-01022</t>
        </is>
      </c>
      <c r="D1421" t="n">
        <v>14</v>
      </c>
      <c r="E1421" t="n">
        <v>1</v>
      </c>
      <c r="G1421">
        <f>IF(AND(A1421&gt;=Inputs!$B$5,A1421&lt;=Inputs!$B$6),1,0)</f>
        <v/>
      </c>
    </row>
    <row r="1422">
      <c r="A1422" t="inlineStr">
        <is>
          <t>2026-05</t>
        </is>
      </c>
      <c r="B1422" t="inlineStr">
        <is>
          <t>HOSP-1</t>
        </is>
      </c>
      <c r="C1422" t="inlineStr">
        <is>
          <t>SS-01023</t>
        </is>
      </c>
      <c r="D1422" t="n">
        <v>12</v>
      </c>
      <c r="E1422" t="n">
        <v>0</v>
      </c>
      <c r="G1422">
        <f>IF(AND(A1422&gt;=Inputs!$B$5,A1422&lt;=Inputs!$B$6),1,0)</f>
        <v/>
      </c>
    </row>
    <row r="1423">
      <c r="A1423" t="inlineStr">
        <is>
          <t>2026-05</t>
        </is>
      </c>
      <c r="B1423" t="inlineStr">
        <is>
          <t>HOSP-2</t>
        </is>
      </c>
      <c r="C1423" t="inlineStr">
        <is>
          <t>SS-01207</t>
        </is>
      </c>
      <c r="D1423" t="n">
        <v>22</v>
      </c>
      <c r="E1423" t="n">
        <v>0</v>
      </c>
      <c r="G1423">
        <f>IF(AND(A1423&gt;=Inputs!$B$5,A1423&lt;=Inputs!$B$6),1,0)</f>
        <v/>
      </c>
    </row>
    <row r="1424">
      <c r="A1424" t="inlineStr">
        <is>
          <t>2026-05</t>
        </is>
      </c>
      <c r="B1424" t="inlineStr">
        <is>
          <t>HOSP-3</t>
        </is>
      </c>
      <c r="C1424" t="inlineStr">
        <is>
          <t>SS-01025</t>
        </is>
      </c>
      <c r="D1424" t="n">
        <v>24</v>
      </c>
      <c r="E1424" t="n">
        <v>0</v>
      </c>
      <c r="G1424">
        <f>IF(AND(A1424&gt;=Inputs!$B$5,A1424&lt;=Inputs!$B$6),1,0)</f>
        <v/>
      </c>
    </row>
    <row r="1425">
      <c r="A1425" t="inlineStr">
        <is>
          <t>2026-05</t>
        </is>
      </c>
      <c r="B1425" t="inlineStr">
        <is>
          <t>HOSP-4</t>
        </is>
      </c>
      <c r="C1425" t="inlineStr">
        <is>
          <t>SS-01026</t>
        </is>
      </c>
      <c r="D1425" t="n">
        <v>0</v>
      </c>
      <c r="E1425" t="n">
        <v>0</v>
      </c>
      <c r="G1425">
        <f>IF(AND(A1425&gt;=Inputs!$B$5,A1425&lt;=Inputs!$B$6),1,0)</f>
        <v/>
      </c>
    </row>
    <row r="1426">
      <c r="A1426" t="inlineStr">
        <is>
          <t>2026-05</t>
        </is>
      </c>
      <c r="B1426" t="inlineStr">
        <is>
          <t>HOSP-1</t>
        </is>
      </c>
      <c r="C1426" t="inlineStr">
        <is>
          <t>SS-01027</t>
        </is>
      </c>
      <c r="D1426" t="n">
        <v>0</v>
      </c>
      <c r="E1426" t="n">
        <v>0</v>
      </c>
      <c r="G1426">
        <f>IF(AND(A1426&gt;=Inputs!$B$5,A1426&lt;=Inputs!$B$6),1,0)</f>
        <v/>
      </c>
    </row>
    <row r="1427">
      <c r="A1427" t="inlineStr">
        <is>
          <t>2026-05</t>
        </is>
      </c>
      <c r="B1427" t="inlineStr">
        <is>
          <t>HOSP-2</t>
        </is>
      </c>
      <c r="C1427" t="inlineStr">
        <is>
          <t>SS-01028</t>
        </is>
      </c>
      <c r="D1427" t="n">
        <v>12</v>
      </c>
      <c r="E1427" t="n">
        <v>0</v>
      </c>
      <c r="G1427">
        <f>IF(AND(A1427&gt;=Inputs!$B$5,A1427&lt;=Inputs!$B$6),1,0)</f>
        <v/>
      </c>
    </row>
    <row r="1428">
      <c r="A1428" t="inlineStr">
        <is>
          <t>2026-05</t>
        </is>
      </c>
      <c r="B1428" t="inlineStr">
        <is>
          <t>HOSP-3</t>
        </is>
      </c>
      <c r="C1428" t="inlineStr">
        <is>
          <t>SS-01029</t>
        </is>
      </c>
      <c r="D1428" t="n">
        <v>12</v>
      </c>
      <c r="E1428" t="n">
        <v>0</v>
      </c>
      <c r="G1428">
        <f>IF(AND(A1428&gt;=Inputs!$B$5,A1428&lt;=Inputs!$B$6),1,0)</f>
        <v/>
      </c>
    </row>
    <row r="1429">
      <c r="A1429" t="inlineStr">
        <is>
          <t>2026-05</t>
        </is>
      </c>
      <c r="B1429" t="inlineStr">
        <is>
          <t>HOSP-4</t>
        </is>
      </c>
      <c r="C1429" t="inlineStr">
        <is>
          <t>SS-01030</t>
        </is>
      </c>
      <c r="D1429" t="n">
        <v>204</v>
      </c>
      <c r="E1429" t="n">
        <v>0</v>
      </c>
      <c r="G1429">
        <f>IF(AND(A1429&gt;=Inputs!$B$5,A1429&lt;=Inputs!$B$6),1,0)</f>
        <v/>
      </c>
    </row>
    <row r="1430">
      <c r="A1430" t="inlineStr">
        <is>
          <t>2026-05</t>
        </is>
      </c>
      <c r="B1430" t="inlineStr">
        <is>
          <t>HOSP-1</t>
        </is>
      </c>
      <c r="C1430" t="inlineStr">
        <is>
          <t>SS-01031</t>
        </is>
      </c>
      <c r="D1430" t="n">
        <v>36</v>
      </c>
      <c r="E1430" t="n">
        <v>0</v>
      </c>
      <c r="G1430">
        <f>IF(AND(A1430&gt;=Inputs!$B$5,A1430&lt;=Inputs!$B$6),1,0)</f>
        <v/>
      </c>
    </row>
    <row r="1431">
      <c r="A1431" t="inlineStr">
        <is>
          <t>2026-05</t>
        </is>
      </c>
      <c r="B1431" t="inlineStr">
        <is>
          <t>HOSP-2</t>
        </is>
      </c>
      <c r="C1431" t="inlineStr">
        <is>
          <t>SS-01119</t>
        </is>
      </c>
      <c r="D1431" t="n">
        <v>119</v>
      </c>
      <c r="E1431" t="n">
        <v>1</v>
      </c>
      <c r="G1431">
        <f>IF(AND(A1431&gt;=Inputs!$B$5,A1431&lt;=Inputs!$B$6),1,0)</f>
        <v/>
      </c>
    </row>
    <row r="1432">
      <c r="A1432" t="inlineStr">
        <is>
          <t>2026-05</t>
        </is>
      </c>
      <c r="B1432" t="inlineStr">
        <is>
          <t>HOSP-3</t>
        </is>
      </c>
      <c r="C1432" t="inlineStr">
        <is>
          <t>SS-01033</t>
        </is>
      </c>
      <c r="D1432" t="n">
        <v>24</v>
      </c>
      <c r="E1432" t="n">
        <v>0</v>
      </c>
      <c r="G1432">
        <f>IF(AND(A1432&gt;=Inputs!$B$5,A1432&lt;=Inputs!$B$6),1,0)</f>
        <v/>
      </c>
    </row>
    <row r="1433">
      <c r="A1433" t="inlineStr">
        <is>
          <t>2026-05</t>
        </is>
      </c>
      <c r="B1433" t="inlineStr">
        <is>
          <t>HOSP-4</t>
        </is>
      </c>
      <c r="C1433" t="inlineStr">
        <is>
          <t>SS-01034</t>
        </is>
      </c>
      <c r="D1433" t="n">
        <v>0</v>
      </c>
      <c r="E1433" t="n">
        <v>1</v>
      </c>
      <c r="G1433">
        <f>IF(AND(A1433&gt;=Inputs!$B$5,A1433&lt;=Inputs!$B$6),1,0)</f>
        <v/>
      </c>
    </row>
    <row r="1434">
      <c r="A1434" t="inlineStr">
        <is>
          <t>2026-05</t>
        </is>
      </c>
      <c r="B1434" t="inlineStr">
        <is>
          <t>HOSP-1</t>
        </is>
      </c>
      <c r="C1434" t="inlineStr">
        <is>
          <t>SS-01226</t>
        </is>
      </c>
      <c r="D1434" t="n">
        <v>72</v>
      </c>
      <c r="E1434" t="n">
        <v>0</v>
      </c>
      <c r="G1434">
        <f>IF(AND(A1434&gt;=Inputs!$B$5,A1434&lt;=Inputs!$B$6),1,0)</f>
        <v/>
      </c>
    </row>
    <row r="1435">
      <c r="A1435" t="inlineStr">
        <is>
          <t>2026-05</t>
        </is>
      </c>
      <c r="B1435" t="inlineStr">
        <is>
          <t>HOSP-2</t>
        </is>
      </c>
      <c r="C1435" t="inlineStr">
        <is>
          <t>SS-01036</t>
        </is>
      </c>
      <c r="D1435" t="n">
        <v>0</v>
      </c>
      <c r="E1435" t="n">
        <v>1</v>
      </c>
      <c r="G1435">
        <f>IF(AND(A1435&gt;=Inputs!$B$5,A1435&lt;=Inputs!$B$6),1,0)</f>
        <v/>
      </c>
    </row>
    <row r="1436">
      <c r="A1436" t="inlineStr">
        <is>
          <t>2026-05</t>
        </is>
      </c>
      <c r="B1436" t="inlineStr">
        <is>
          <t>HOSP-3</t>
        </is>
      </c>
      <c r="C1436" t="inlineStr">
        <is>
          <t>SS-01037</t>
        </is>
      </c>
      <c r="D1436" t="n">
        <v>12</v>
      </c>
      <c r="E1436" t="n">
        <v>0</v>
      </c>
      <c r="G1436">
        <f>IF(AND(A1436&gt;=Inputs!$B$5,A1436&lt;=Inputs!$B$6),1,0)</f>
        <v/>
      </c>
    </row>
    <row r="1437">
      <c r="A1437" t="inlineStr">
        <is>
          <t>2026-05</t>
        </is>
      </c>
      <c r="B1437" t="inlineStr">
        <is>
          <t>HOSP-4</t>
        </is>
      </c>
      <c r="C1437" t="inlineStr">
        <is>
          <t>SS-01038</t>
        </is>
      </c>
      <c r="D1437" t="n">
        <v>12</v>
      </c>
      <c r="E1437" t="n">
        <v>0</v>
      </c>
      <c r="G1437">
        <f>IF(AND(A1437&gt;=Inputs!$B$5,A1437&lt;=Inputs!$B$6),1,0)</f>
        <v/>
      </c>
    </row>
    <row r="1438">
      <c r="A1438" t="inlineStr">
        <is>
          <t>2026-05</t>
        </is>
      </c>
      <c r="B1438" t="inlineStr">
        <is>
          <t>HOSP-1</t>
        </is>
      </c>
      <c r="C1438" t="inlineStr">
        <is>
          <t>SS-01039</t>
        </is>
      </c>
      <c r="D1438" t="n">
        <v>0</v>
      </c>
      <c r="E1438" t="n">
        <v>0</v>
      </c>
      <c r="G1438">
        <f>IF(AND(A1438&gt;=Inputs!$B$5,A1438&lt;=Inputs!$B$6),1,0)</f>
        <v/>
      </c>
    </row>
    <row r="1439">
      <c r="A1439" t="inlineStr">
        <is>
          <t>2026-05</t>
        </is>
      </c>
      <c r="B1439" t="inlineStr">
        <is>
          <t>HOSP-2</t>
        </is>
      </c>
      <c r="C1439" t="inlineStr">
        <is>
          <t>SS-01040</t>
        </is>
      </c>
      <c r="D1439" t="n">
        <v>36</v>
      </c>
      <c r="E1439" t="n">
        <v>0</v>
      </c>
      <c r="G1439">
        <f>IF(AND(A1439&gt;=Inputs!$B$5,A1439&lt;=Inputs!$B$6),1,0)</f>
        <v/>
      </c>
    </row>
    <row r="1440">
      <c r="A1440" t="inlineStr">
        <is>
          <t>2026-05</t>
        </is>
      </c>
      <c r="B1440" t="inlineStr">
        <is>
          <t>HOSP-3</t>
        </is>
      </c>
      <c r="C1440" t="inlineStr">
        <is>
          <t>SS-01041</t>
        </is>
      </c>
      <c r="D1440" t="n">
        <v>12</v>
      </c>
      <c r="E1440" t="n">
        <v>0</v>
      </c>
      <c r="G1440">
        <f>IF(AND(A1440&gt;=Inputs!$B$5,A1440&lt;=Inputs!$B$6),1,0)</f>
        <v/>
      </c>
    </row>
    <row r="1441">
      <c r="A1441" t="inlineStr">
        <is>
          <t>2026-05</t>
        </is>
      </c>
      <c r="B1441" t="inlineStr">
        <is>
          <t>HOSP-4</t>
        </is>
      </c>
      <c r="C1441" t="inlineStr">
        <is>
          <t>SS-01165</t>
        </is>
      </c>
      <c r="D1441" t="n">
        <v>24</v>
      </c>
      <c r="E1441" t="n">
        <v>0</v>
      </c>
      <c r="G1441">
        <f>IF(AND(A1441&gt;=Inputs!$B$5,A1441&lt;=Inputs!$B$6),1,0)</f>
        <v/>
      </c>
    </row>
    <row r="1442">
      <c r="A1442" t="inlineStr">
        <is>
          <t>2026-05</t>
        </is>
      </c>
      <c r="B1442" t="inlineStr">
        <is>
          <t>HOSP-1</t>
        </is>
      </c>
      <c r="C1442" t="inlineStr">
        <is>
          <t>SS-01043</t>
        </is>
      </c>
      <c r="D1442" t="n">
        <v>24</v>
      </c>
      <c r="E1442" t="n">
        <v>0</v>
      </c>
      <c r="G1442">
        <f>IF(AND(A1442&gt;=Inputs!$B$5,A1442&lt;=Inputs!$B$6),1,0)</f>
        <v/>
      </c>
    </row>
    <row r="1443">
      <c r="A1443" t="inlineStr">
        <is>
          <t>2026-05</t>
        </is>
      </c>
      <c r="B1443" t="inlineStr">
        <is>
          <t>HOSP-2</t>
        </is>
      </c>
      <c r="C1443" t="inlineStr">
        <is>
          <t>SS-01044</t>
        </is>
      </c>
      <c r="D1443" t="n">
        <v>3</v>
      </c>
      <c r="E1443" t="n">
        <v>4</v>
      </c>
      <c r="G1443">
        <f>IF(AND(A1443&gt;=Inputs!$B$5,A1443&lt;=Inputs!$B$6),1,0)</f>
        <v/>
      </c>
    </row>
    <row r="1444">
      <c r="A1444" t="inlineStr">
        <is>
          <t>2026-05</t>
        </is>
      </c>
      <c r="B1444" t="inlineStr">
        <is>
          <t>HOSP-3</t>
        </is>
      </c>
      <c r="C1444" t="inlineStr">
        <is>
          <t>SS-01067</t>
        </is>
      </c>
      <c r="D1444" t="n">
        <v>0</v>
      </c>
      <c r="E1444" t="n">
        <v>0</v>
      </c>
      <c r="G1444">
        <f>IF(AND(A1444&gt;=Inputs!$B$5,A1444&lt;=Inputs!$B$6),1,0)</f>
        <v/>
      </c>
    </row>
    <row r="1445">
      <c r="A1445" t="inlineStr">
        <is>
          <t>2026-05</t>
        </is>
      </c>
      <c r="B1445" t="inlineStr">
        <is>
          <t>HOSP-4</t>
        </is>
      </c>
      <c r="C1445" t="inlineStr">
        <is>
          <t>SS-01046</t>
        </is>
      </c>
      <c r="D1445" t="n">
        <v>48</v>
      </c>
      <c r="E1445" t="n">
        <v>0</v>
      </c>
      <c r="G1445">
        <f>IF(AND(A1445&gt;=Inputs!$B$5,A1445&lt;=Inputs!$B$6),1,0)</f>
        <v/>
      </c>
    </row>
    <row r="1446">
      <c r="A1446" t="inlineStr">
        <is>
          <t>2026-05</t>
        </is>
      </c>
      <c r="B1446" t="inlineStr">
        <is>
          <t>HOSP-1</t>
        </is>
      </c>
      <c r="C1446" t="inlineStr">
        <is>
          <t>SS-01047</t>
        </is>
      </c>
      <c r="D1446" t="n">
        <v>48</v>
      </c>
      <c r="E1446" t="n">
        <v>0</v>
      </c>
      <c r="G1446">
        <f>IF(AND(A1446&gt;=Inputs!$B$5,A1446&lt;=Inputs!$B$6),1,0)</f>
        <v/>
      </c>
    </row>
    <row r="1447">
      <c r="A1447" t="inlineStr">
        <is>
          <t>2026-05</t>
        </is>
      </c>
      <c r="B1447" t="inlineStr">
        <is>
          <t>HOSP-2</t>
        </is>
      </c>
      <c r="C1447" t="inlineStr">
        <is>
          <t>SS-01048</t>
        </is>
      </c>
      <c r="D1447" t="n">
        <v>4</v>
      </c>
      <c r="E1447" t="n">
        <v>3</v>
      </c>
      <c r="G1447">
        <f>IF(AND(A1447&gt;=Inputs!$B$5,A1447&lt;=Inputs!$B$6),1,0)</f>
        <v/>
      </c>
    </row>
    <row r="1448">
      <c r="A1448" t="inlineStr">
        <is>
          <t>2026-05</t>
        </is>
      </c>
      <c r="B1448" t="inlineStr">
        <is>
          <t>HOSP-3</t>
        </is>
      </c>
      <c r="C1448" t="inlineStr">
        <is>
          <t>SS-01049</t>
        </is>
      </c>
      <c r="D1448" t="n">
        <v>24</v>
      </c>
      <c r="E1448" t="n">
        <v>0</v>
      </c>
      <c r="G1448">
        <f>IF(AND(A1448&gt;=Inputs!$B$5,A1448&lt;=Inputs!$B$6),1,0)</f>
        <v/>
      </c>
    </row>
    <row r="1449">
      <c r="A1449" t="inlineStr">
        <is>
          <t>2026-05</t>
        </is>
      </c>
      <c r="B1449" t="inlineStr">
        <is>
          <t>HOSP-4</t>
        </is>
      </c>
      <c r="C1449" t="inlineStr">
        <is>
          <t>SS-01050</t>
        </is>
      </c>
      <c r="D1449" t="n">
        <v>12</v>
      </c>
      <c r="E1449" t="n">
        <v>0</v>
      </c>
      <c r="G1449">
        <f>IF(AND(A1449&gt;=Inputs!$B$5,A1449&lt;=Inputs!$B$6),1,0)</f>
        <v/>
      </c>
    </row>
    <row r="1450">
      <c r="A1450" t="inlineStr">
        <is>
          <t>2026-05</t>
        </is>
      </c>
      <c r="B1450" t="inlineStr">
        <is>
          <t>HOSP-1</t>
        </is>
      </c>
      <c r="C1450" t="inlineStr">
        <is>
          <t>SS-01051</t>
        </is>
      </c>
      <c r="D1450" t="n">
        <v>60</v>
      </c>
      <c r="E1450" t="n">
        <v>0</v>
      </c>
      <c r="G1450">
        <f>IF(AND(A1450&gt;=Inputs!$B$5,A1450&lt;=Inputs!$B$6),1,0)</f>
        <v/>
      </c>
    </row>
    <row r="1451">
      <c r="A1451" t="inlineStr">
        <is>
          <t>2026-05</t>
        </is>
      </c>
      <c r="B1451" t="inlineStr">
        <is>
          <t>HOSP-2</t>
        </is>
      </c>
      <c r="C1451" t="inlineStr">
        <is>
          <t>SS-01020</t>
        </is>
      </c>
      <c r="D1451" t="n">
        <v>48</v>
      </c>
      <c r="E1451" t="n">
        <v>0</v>
      </c>
      <c r="G1451">
        <f>IF(AND(A1451&gt;=Inputs!$B$5,A1451&lt;=Inputs!$B$6),1,0)</f>
        <v/>
      </c>
    </row>
    <row r="1452">
      <c r="A1452" t="inlineStr">
        <is>
          <t>2026-05</t>
        </is>
      </c>
      <c r="B1452" t="inlineStr">
        <is>
          <t>HOSP-3</t>
        </is>
      </c>
      <c r="C1452" t="inlineStr">
        <is>
          <t>SS-01053</t>
        </is>
      </c>
      <c r="D1452" t="n">
        <v>12</v>
      </c>
      <c r="E1452" t="n">
        <v>0</v>
      </c>
      <c r="G1452">
        <f>IF(AND(A1452&gt;=Inputs!$B$5,A1452&lt;=Inputs!$B$6),1,0)</f>
        <v/>
      </c>
    </row>
    <row r="1453">
      <c r="A1453" t="inlineStr">
        <is>
          <t>2026-05</t>
        </is>
      </c>
      <c r="B1453" t="inlineStr">
        <is>
          <t>HOSP-4</t>
        </is>
      </c>
      <c r="C1453" t="inlineStr">
        <is>
          <t>SS-01029</t>
        </is>
      </c>
      <c r="D1453" t="n">
        <v>0</v>
      </c>
      <c r="E1453" t="n">
        <v>0</v>
      </c>
      <c r="G1453">
        <f>IF(AND(A1453&gt;=Inputs!$B$5,A1453&lt;=Inputs!$B$6),1,0)</f>
        <v/>
      </c>
    </row>
    <row r="1454">
      <c r="A1454" t="inlineStr">
        <is>
          <t>2026-05</t>
        </is>
      </c>
      <c r="B1454" t="inlineStr">
        <is>
          <t>HOSP-1</t>
        </is>
      </c>
      <c r="C1454" t="inlineStr">
        <is>
          <t>SS-01055</t>
        </is>
      </c>
      <c r="D1454" t="n">
        <v>72</v>
      </c>
      <c r="E1454" t="n">
        <v>0</v>
      </c>
      <c r="G1454">
        <f>IF(AND(A1454&gt;=Inputs!$B$5,A1454&lt;=Inputs!$B$6),1,0)</f>
        <v/>
      </c>
    </row>
    <row r="1455">
      <c r="A1455" t="inlineStr">
        <is>
          <t>2026-05</t>
        </is>
      </c>
      <c r="B1455" t="inlineStr">
        <is>
          <t>HOSP-2</t>
        </is>
      </c>
      <c r="C1455" t="inlineStr">
        <is>
          <t>SS-01056</t>
        </is>
      </c>
      <c r="D1455" t="n">
        <v>0</v>
      </c>
      <c r="E1455" t="n">
        <v>0</v>
      </c>
      <c r="G1455">
        <f>IF(AND(A1455&gt;=Inputs!$B$5,A1455&lt;=Inputs!$B$6),1,0)</f>
        <v/>
      </c>
    </row>
    <row r="1456">
      <c r="A1456" t="inlineStr">
        <is>
          <t>2026-05</t>
        </is>
      </c>
      <c r="B1456" t="inlineStr">
        <is>
          <t>HOSP-3</t>
        </is>
      </c>
      <c r="C1456" t="inlineStr">
        <is>
          <t>SS-01057</t>
        </is>
      </c>
      <c r="D1456" t="n">
        <v>24</v>
      </c>
      <c r="E1456" t="n">
        <v>0</v>
      </c>
      <c r="G1456">
        <f>IF(AND(A1456&gt;=Inputs!$B$5,A1456&lt;=Inputs!$B$6),1,0)</f>
        <v/>
      </c>
    </row>
    <row r="1457">
      <c r="A1457" t="inlineStr">
        <is>
          <t>2026-05</t>
        </is>
      </c>
      <c r="B1457" t="inlineStr">
        <is>
          <t>HOSP-4</t>
        </is>
      </c>
      <c r="C1457" t="inlineStr">
        <is>
          <t>SS-01031</t>
        </is>
      </c>
      <c r="D1457" t="n">
        <v>1</v>
      </c>
      <c r="E1457" t="n">
        <v>2</v>
      </c>
      <c r="G1457">
        <f>IF(AND(A1457&gt;=Inputs!$B$5,A1457&lt;=Inputs!$B$6),1,0)</f>
        <v/>
      </c>
    </row>
    <row r="1458">
      <c r="A1458" t="inlineStr">
        <is>
          <t>2026-05</t>
        </is>
      </c>
      <c r="B1458" t="inlineStr">
        <is>
          <t>HOSP-1</t>
        </is>
      </c>
      <c r="C1458" t="inlineStr">
        <is>
          <t>SS-01059</t>
        </is>
      </c>
      <c r="D1458" t="n">
        <v>0</v>
      </c>
      <c r="E1458" t="n">
        <v>0</v>
      </c>
      <c r="G1458">
        <f>IF(AND(A1458&gt;=Inputs!$B$5,A1458&lt;=Inputs!$B$6),1,0)</f>
        <v/>
      </c>
    </row>
    <row r="1459">
      <c r="A1459" t="inlineStr">
        <is>
          <t>2026-05</t>
        </is>
      </c>
      <c r="B1459" t="inlineStr">
        <is>
          <t>HOSP-2</t>
        </is>
      </c>
      <c r="C1459" t="inlineStr">
        <is>
          <t>SS-01060</t>
        </is>
      </c>
      <c r="D1459" t="n">
        <v>12</v>
      </c>
      <c r="E1459" t="n">
        <v>0</v>
      </c>
      <c r="G1459">
        <f>IF(AND(A1459&gt;=Inputs!$B$5,A1459&lt;=Inputs!$B$6),1,0)</f>
        <v/>
      </c>
    </row>
    <row r="1460">
      <c r="A1460" t="inlineStr">
        <is>
          <t>2026-05</t>
        </is>
      </c>
      <c r="B1460" t="inlineStr">
        <is>
          <t>HOSP-3</t>
        </is>
      </c>
      <c r="C1460" t="inlineStr">
        <is>
          <t>SS-01061</t>
        </is>
      </c>
      <c r="D1460" t="n">
        <v>0</v>
      </c>
      <c r="E1460" t="n">
        <v>0</v>
      </c>
      <c r="G1460">
        <f>IF(AND(A1460&gt;=Inputs!$B$5,A1460&lt;=Inputs!$B$6),1,0)</f>
        <v/>
      </c>
    </row>
    <row r="1461">
      <c r="A1461" t="inlineStr">
        <is>
          <t>2026-05</t>
        </is>
      </c>
      <c r="B1461" t="inlineStr">
        <is>
          <t>HOSP-4</t>
        </is>
      </c>
      <c r="C1461" t="inlineStr">
        <is>
          <t>SS-01062</t>
        </is>
      </c>
      <c r="D1461" t="n">
        <v>12</v>
      </c>
      <c r="E1461" t="n">
        <v>0</v>
      </c>
      <c r="G1461">
        <f>IF(AND(A1461&gt;=Inputs!$B$5,A1461&lt;=Inputs!$B$6),1,0)</f>
        <v/>
      </c>
    </row>
    <row r="1462">
      <c r="A1462" t="inlineStr">
        <is>
          <t>2026-05</t>
        </is>
      </c>
      <c r="B1462" t="inlineStr">
        <is>
          <t>HOSP-1</t>
        </is>
      </c>
      <c r="C1462" t="inlineStr">
        <is>
          <t>SS-01063</t>
        </is>
      </c>
      <c r="D1462" t="n">
        <v>12</v>
      </c>
      <c r="E1462" t="n">
        <v>0</v>
      </c>
      <c r="G1462">
        <f>IF(AND(A1462&gt;=Inputs!$B$5,A1462&lt;=Inputs!$B$6),1,0)</f>
        <v/>
      </c>
    </row>
    <row r="1463">
      <c r="A1463" t="inlineStr">
        <is>
          <t>2026-05</t>
        </is>
      </c>
      <c r="B1463" t="inlineStr">
        <is>
          <t>HOSP-2</t>
        </is>
      </c>
      <c r="C1463" t="inlineStr">
        <is>
          <t>SS-01064</t>
        </is>
      </c>
      <c r="D1463" t="n">
        <v>15</v>
      </c>
      <c r="E1463" t="n">
        <v>13</v>
      </c>
      <c r="G1463">
        <f>IF(AND(A1463&gt;=Inputs!$B$5,A1463&lt;=Inputs!$B$6),1,0)</f>
        <v/>
      </c>
    </row>
    <row r="1464">
      <c r="A1464" t="inlineStr">
        <is>
          <t>2026-05</t>
        </is>
      </c>
      <c r="B1464" t="inlineStr">
        <is>
          <t>HOSP-3</t>
        </is>
      </c>
      <c r="C1464" t="inlineStr">
        <is>
          <t>SS-01065</t>
        </is>
      </c>
      <c r="D1464" t="n">
        <v>13</v>
      </c>
      <c r="E1464" t="n">
        <v>0</v>
      </c>
      <c r="G1464">
        <f>IF(AND(A1464&gt;=Inputs!$B$5,A1464&lt;=Inputs!$B$6),1,0)</f>
        <v/>
      </c>
    </row>
    <row r="1465">
      <c r="A1465" t="inlineStr">
        <is>
          <t>2026-05</t>
        </is>
      </c>
      <c r="B1465" t="inlineStr">
        <is>
          <t>HOSP-4</t>
        </is>
      </c>
      <c r="C1465" t="inlineStr">
        <is>
          <t>SS-01066</t>
        </is>
      </c>
      <c r="D1465" t="n">
        <v>24</v>
      </c>
      <c r="E1465" t="n">
        <v>0</v>
      </c>
      <c r="G1465">
        <f>IF(AND(A1465&gt;=Inputs!$B$5,A1465&lt;=Inputs!$B$6),1,0)</f>
        <v/>
      </c>
    </row>
    <row r="1466">
      <c r="A1466" t="inlineStr">
        <is>
          <t>2026-05</t>
        </is>
      </c>
      <c r="B1466" t="inlineStr">
        <is>
          <t>HOSP-1</t>
        </is>
      </c>
      <c r="C1466" t="inlineStr">
        <is>
          <t>SS-01067</t>
        </is>
      </c>
      <c r="D1466" t="n">
        <v>0</v>
      </c>
      <c r="E1466" t="n">
        <v>0</v>
      </c>
      <c r="G1466">
        <f>IF(AND(A1466&gt;=Inputs!$B$5,A1466&lt;=Inputs!$B$6),1,0)</f>
        <v/>
      </c>
    </row>
    <row r="1467">
      <c r="A1467" t="inlineStr">
        <is>
          <t>2026-05</t>
        </is>
      </c>
      <c r="B1467" t="inlineStr">
        <is>
          <t>HOSP-2</t>
        </is>
      </c>
      <c r="C1467" t="inlineStr">
        <is>
          <t>SS-01068</t>
        </is>
      </c>
      <c r="D1467" t="n">
        <v>60</v>
      </c>
      <c r="E1467" t="n">
        <v>0</v>
      </c>
      <c r="G1467">
        <f>IF(AND(A1467&gt;=Inputs!$B$5,A1467&lt;=Inputs!$B$6),1,0)</f>
        <v/>
      </c>
    </row>
    <row r="1468">
      <c r="A1468" t="inlineStr">
        <is>
          <t>2026-05</t>
        </is>
      </c>
      <c r="B1468" t="inlineStr">
        <is>
          <t>HOSP-3</t>
        </is>
      </c>
      <c r="C1468" t="inlineStr">
        <is>
          <t>SS-01069</t>
        </is>
      </c>
      <c r="D1468" t="n">
        <v>0</v>
      </c>
      <c r="E1468" t="n">
        <v>0</v>
      </c>
      <c r="G1468">
        <f>IF(AND(A1468&gt;=Inputs!$B$5,A1468&lt;=Inputs!$B$6),1,0)</f>
        <v/>
      </c>
    </row>
    <row r="1469">
      <c r="A1469" t="inlineStr">
        <is>
          <t>2026-05</t>
        </is>
      </c>
      <c r="B1469" t="inlineStr">
        <is>
          <t>HOSP-4</t>
        </is>
      </c>
      <c r="C1469" t="inlineStr">
        <is>
          <t>SS-01070</t>
        </is>
      </c>
      <c r="D1469" t="n">
        <v>12</v>
      </c>
      <c r="E1469" t="n">
        <v>0</v>
      </c>
      <c r="G1469">
        <f>IF(AND(A1469&gt;=Inputs!$B$5,A1469&lt;=Inputs!$B$6),1,0)</f>
        <v/>
      </c>
    </row>
    <row r="1470">
      <c r="A1470" t="inlineStr">
        <is>
          <t>2026-05</t>
        </is>
      </c>
      <c r="B1470" t="inlineStr">
        <is>
          <t>HOSP-1</t>
        </is>
      </c>
      <c r="C1470" t="inlineStr">
        <is>
          <t>SS-01071</t>
        </is>
      </c>
      <c r="D1470" t="n">
        <v>0</v>
      </c>
      <c r="E1470" t="n">
        <v>0</v>
      </c>
      <c r="G1470">
        <f>IF(AND(A1470&gt;=Inputs!$B$5,A1470&lt;=Inputs!$B$6),1,0)</f>
        <v/>
      </c>
    </row>
    <row r="1471">
      <c r="A1471" t="inlineStr">
        <is>
          <t>2026-05</t>
        </is>
      </c>
      <c r="B1471" t="inlineStr">
        <is>
          <t>HOSP-2</t>
        </is>
      </c>
      <c r="C1471" t="inlineStr">
        <is>
          <t>SS-01072</t>
        </is>
      </c>
      <c r="D1471" t="n">
        <v>0</v>
      </c>
      <c r="E1471" t="n">
        <v>0</v>
      </c>
      <c r="G1471">
        <f>IF(AND(A1471&gt;=Inputs!$B$5,A1471&lt;=Inputs!$B$6),1,0)</f>
        <v/>
      </c>
    </row>
    <row r="1472">
      <c r="A1472" t="inlineStr">
        <is>
          <t>2026-05</t>
        </is>
      </c>
      <c r="B1472" t="inlineStr">
        <is>
          <t>HOSP-3</t>
        </is>
      </c>
      <c r="C1472" t="inlineStr">
        <is>
          <t>SS-01073</t>
        </is>
      </c>
      <c r="D1472" t="n">
        <v>48</v>
      </c>
      <c r="E1472" t="n">
        <v>0</v>
      </c>
      <c r="G1472">
        <f>IF(AND(A1472&gt;=Inputs!$B$5,A1472&lt;=Inputs!$B$6),1,0)</f>
        <v/>
      </c>
    </row>
    <row r="1473">
      <c r="A1473" t="inlineStr">
        <is>
          <t>2026-05</t>
        </is>
      </c>
      <c r="B1473" t="inlineStr">
        <is>
          <t>HOSP-4</t>
        </is>
      </c>
      <c r="C1473" t="inlineStr">
        <is>
          <t>SS-01074</t>
        </is>
      </c>
      <c r="D1473" t="n">
        <v>67</v>
      </c>
      <c r="E1473" t="n">
        <v>1</v>
      </c>
      <c r="G1473">
        <f>IF(AND(A1473&gt;=Inputs!$B$5,A1473&lt;=Inputs!$B$6),1,0)</f>
        <v/>
      </c>
    </row>
    <row r="1474">
      <c r="A1474" t="inlineStr">
        <is>
          <t>2026-05</t>
        </is>
      </c>
      <c r="B1474" t="inlineStr">
        <is>
          <t>HOSP-1</t>
        </is>
      </c>
      <c r="C1474" t="inlineStr">
        <is>
          <t>SS-01075</t>
        </is>
      </c>
      <c r="D1474" t="n">
        <v>0</v>
      </c>
      <c r="E1474" t="n">
        <v>0</v>
      </c>
      <c r="G1474">
        <f>IF(AND(A1474&gt;=Inputs!$B$5,A1474&lt;=Inputs!$B$6),1,0)</f>
        <v/>
      </c>
    </row>
    <row r="1475">
      <c r="A1475" t="inlineStr">
        <is>
          <t>2026-05</t>
        </is>
      </c>
      <c r="B1475" t="inlineStr">
        <is>
          <t>HOSP-2</t>
        </is>
      </c>
      <c r="C1475" t="inlineStr">
        <is>
          <t>SS-01076</t>
        </is>
      </c>
      <c r="D1475" t="n">
        <v>96</v>
      </c>
      <c r="E1475" t="n">
        <v>0</v>
      </c>
      <c r="G1475">
        <f>IF(AND(A1475&gt;=Inputs!$B$5,A1475&lt;=Inputs!$B$6),1,0)</f>
        <v/>
      </c>
    </row>
    <row r="1476">
      <c r="A1476" t="inlineStr">
        <is>
          <t>2026-05</t>
        </is>
      </c>
      <c r="B1476" t="inlineStr">
        <is>
          <t>HOSP-3</t>
        </is>
      </c>
      <c r="C1476" t="inlineStr">
        <is>
          <t>SS-01077</t>
        </is>
      </c>
      <c r="D1476" t="n">
        <v>12</v>
      </c>
      <c r="E1476" t="n">
        <v>0</v>
      </c>
      <c r="G1476">
        <f>IF(AND(A1476&gt;=Inputs!$B$5,A1476&lt;=Inputs!$B$6),1,0)</f>
        <v/>
      </c>
    </row>
    <row r="1477">
      <c r="A1477" t="inlineStr">
        <is>
          <t>2026-05</t>
        </is>
      </c>
      <c r="B1477" t="inlineStr">
        <is>
          <t>HOSP-4</t>
        </is>
      </c>
      <c r="C1477" t="inlineStr">
        <is>
          <t>SS-01078</t>
        </is>
      </c>
      <c r="D1477" t="n">
        <v>24</v>
      </c>
      <c r="E1477" t="n">
        <v>0</v>
      </c>
      <c r="G1477">
        <f>IF(AND(A1477&gt;=Inputs!$B$5,A1477&lt;=Inputs!$B$6),1,0)</f>
        <v/>
      </c>
    </row>
    <row r="1478">
      <c r="A1478" t="inlineStr">
        <is>
          <t>2026-05</t>
        </is>
      </c>
      <c r="B1478" t="inlineStr">
        <is>
          <t>HOSP-1</t>
        </is>
      </c>
      <c r="C1478" t="inlineStr">
        <is>
          <t>SS-01079</t>
        </is>
      </c>
      <c r="D1478" t="n">
        <v>228</v>
      </c>
      <c r="E1478" t="n">
        <v>0</v>
      </c>
      <c r="G1478">
        <f>IF(AND(A1478&gt;=Inputs!$B$5,A1478&lt;=Inputs!$B$6),1,0)</f>
        <v/>
      </c>
    </row>
    <row r="1479">
      <c r="A1479" t="inlineStr">
        <is>
          <t>2026-05</t>
        </is>
      </c>
      <c r="B1479" t="inlineStr">
        <is>
          <t>HOSP-2</t>
        </is>
      </c>
      <c r="C1479" t="inlineStr">
        <is>
          <t>SS-01080</t>
        </is>
      </c>
      <c r="D1479" t="n">
        <v>12</v>
      </c>
      <c r="E1479" t="n">
        <v>0</v>
      </c>
      <c r="G1479">
        <f>IF(AND(A1479&gt;=Inputs!$B$5,A1479&lt;=Inputs!$B$6),1,0)</f>
        <v/>
      </c>
    </row>
    <row r="1480">
      <c r="A1480" t="inlineStr">
        <is>
          <t>2026-05</t>
        </is>
      </c>
      <c r="B1480" t="inlineStr">
        <is>
          <t>HOSP-3</t>
        </is>
      </c>
      <c r="C1480" t="inlineStr">
        <is>
          <t>SS-01081</t>
        </is>
      </c>
      <c r="D1480" t="n">
        <v>0</v>
      </c>
      <c r="E1480" t="n">
        <v>0</v>
      </c>
      <c r="G1480">
        <f>IF(AND(A1480&gt;=Inputs!$B$5,A1480&lt;=Inputs!$B$6),1,0)</f>
        <v/>
      </c>
    </row>
    <row r="1481">
      <c r="A1481" t="inlineStr">
        <is>
          <t>2026-05</t>
        </is>
      </c>
      <c r="B1481" t="inlineStr">
        <is>
          <t>HOSP-4</t>
        </is>
      </c>
      <c r="C1481" t="inlineStr">
        <is>
          <t>SS-01082</t>
        </is>
      </c>
      <c r="D1481" t="n">
        <v>72</v>
      </c>
      <c r="E1481" t="n">
        <v>0</v>
      </c>
      <c r="G1481">
        <f>IF(AND(A1481&gt;=Inputs!$B$5,A1481&lt;=Inputs!$B$6),1,0)</f>
        <v/>
      </c>
    </row>
    <row r="1482">
      <c r="A1482" t="inlineStr">
        <is>
          <t>2026-05</t>
        </is>
      </c>
      <c r="B1482" t="inlineStr">
        <is>
          <t>HOSP-1</t>
        </is>
      </c>
      <c r="C1482" t="inlineStr">
        <is>
          <t>SS-01083</t>
        </is>
      </c>
      <c r="D1482" t="n">
        <v>24</v>
      </c>
      <c r="E1482" t="n">
        <v>0</v>
      </c>
      <c r="G1482">
        <f>IF(AND(A1482&gt;=Inputs!$B$5,A1482&lt;=Inputs!$B$6),1,0)</f>
        <v/>
      </c>
    </row>
    <row r="1483">
      <c r="A1483" t="inlineStr">
        <is>
          <t>2026-05</t>
        </is>
      </c>
      <c r="B1483" t="inlineStr">
        <is>
          <t>HOSP-2</t>
        </is>
      </c>
      <c r="C1483" t="inlineStr">
        <is>
          <t>SS-01084</t>
        </is>
      </c>
      <c r="D1483" t="n">
        <v>12</v>
      </c>
      <c r="E1483" t="n">
        <v>0</v>
      </c>
      <c r="G1483">
        <f>IF(AND(A1483&gt;=Inputs!$B$5,A1483&lt;=Inputs!$B$6),1,0)</f>
        <v/>
      </c>
    </row>
    <row r="1484">
      <c r="A1484" t="inlineStr">
        <is>
          <t>2026-05</t>
        </is>
      </c>
      <c r="B1484" t="inlineStr">
        <is>
          <t>HOSP-3</t>
        </is>
      </c>
      <c r="C1484" t="inlineStr">
        <is>
          <t>SS-01085</t>
        </is>
      </c>
      <c r="D1484" t="n">
        <v>3</v>
      </c>
      <c r="E1484" t="n">
        <v>0</v>
      </c>
      <c r="G1484">
        <f>IF(AND(A1484&gt;=Inputs!$B$5,A1484&lt;=Inputs!$B$6),1,0)</f>
        <v/>
      </c>
    </row>
    <row r="1485">
      <c r="A1485" t="inlineStr">
        <is>
          <t>2026-05</t>
        </is>
      </c>
      <c r="B1485" t="inlineStr">
        <is>
          <t>HOSP-4</t>
        </is>
      </c>
      <c r="C1485" t="inlineStr">
        <is>
          <t>SS-01086</t>
        </is>
      </c>
      <c r="D1485" t="n">
        <v>24</v>
      </c>
      <c r="E1485" t="n">
        <v>0</v>
      </c>
      <c r="G1485">
        <f>IF(AND(A1485&gt;=Inputs!$B$5,A1485&lt;=Inputs!$B$6),1,0)</f>
        <v/>
      </c>
    </row>
    <row r="1486">
      <c r="A1486" t="inlineStr">
        <is>
          <t>2026-05</t>
        </is>
      </c>
      <c r="B1486" t="inlineStr">
        <is>
          <t>HOSP-1</t>
        </is>
      </c>
      <c r="C1486" t="inlineStr">
        <is>
          <t>SS-01087</t>
        </is>
      </c>
      <c r="D1486" t="n">
        <v>60</v>
      </c>
      <c r="E1486" t="n">
        <v>0</v>
      </c>
      <c r="G1486">
        <f>IF(AND(A1486&gt;=Inputs!$B$5,A1486&lt;=Inputs!$B$6),1,0)</f>
        <v/>
      </c>
    </row>
    <row r="1487">
      <c r="A1487" t="inlineStr">
        <is>
          <t>2026-05</t>
        </is>
      </c>
      <c r="B1487" t="inlineStr">
        <is>
          <t>HOSP-2</t>
        </is>
      </c>
      <c r="C1487" t="inlineStr">
        <is>
          <t>SS-01088</t>
        </is>
      </c>
      <c r="D1487" t="n">
        <v>12</v>
      </c>
      <c r="E1487" t="n">
        <v>0</v>
      </c>
      <c r="G1487">
        <f>IF(AND(A1487&gt;=Inputs!$B$5,A1487&lt;=Inputs!$B$6),1,0)</f>
        <v/>
      </c>
    </row>
    <row r="1488">
      <c r="A1488" t="inlineStr">
        <is>
          <t>2026-05</t>
        </is>
      </c>
      <c r="B1488" t="inlineStr">
        <is>
          <t>HOSP-3</t>
        </is>
      </c>
      <c r="C1488" t="inlineStr">
        <is>
          <t>SS-01089</t>
        </is>
      </c>
      <c r="D1488" t="n">
        <v>60</v>
      </c>
      <c r="E1488" t="n">
        <v>0</v>
      </c>
      <c r="G1488">
        <f>IF(AND(A1488&gt;=Inputs!$B$5,A1488&lt;=Inputs!$B$6),1,0)</f>
        <v/>
      </c>
    </row>
    <row r="1489">
      <c r="A1489" t="inlineStr">
        <is>
          <t>2026-05</t>
        </is>
      </c>
      <c r="B1489" t="inlineStr">
        <is>
          <t>HOSP-4</t>
        </is>
      </c>
      <c r="C1489" t="inlineStr">
        <is>
          <t>SS-01090</t>
        </is>
      </c>
      <c r="D1489" t="n">
        <v>24</v>
      </c>
      <c r="E1489" t="n">
        <v>0</v>
      </c>
      <c r="G1489">
        <f>IF(AND(A1489&gt;=Inputs!$B$5,A1489&lt;=Inputs!$B$6),1,0)</f>
        <v/>
      </c>
    </row>
    <row r="1490">
      <c r="A1490" t="inlineStr">
        <is>
          <t>2026-05</t>
        </is>
      </c>
      <c r="B1490" t="inlineStr">
        <is>
          <t>HOSP-1</t>
        </is>
      </c>
      <c r="C1490" t="inlineStr">
        <is>
          <t>SS-01091</t>
        </is>
      </c>
      <c r="D1490" t="n">
        <v>108</v>
      </c>
      <c r="E1490" t="n">
        <v>0</v>
      </c>
      <c r="G1490">
        <f>IF(AND(A1490&gt;=Inputs!$B$5,A1490&lt;=Inputs!$B$6),1,0)</f>
        <v/>
      </c>
    </row>
    <row r="1491">
      <c r="A1491" t="inlineStr">
        <is>
          <t>2026-05</t>
        </is>
      </c>
      <c r="B1491" t="inlineStr">
        <is>
          <t>HOSP-2</t>
        </is>
      </c>
      <c r="C1491" t="inlineStr">
        <is>
          <t>SS-01092</t>
        </is>
      </c>
      <c r="D1491" t="n">
        <v>0</v>
      </c>
      <c r="E1491" t="n">
        <v>0</v>
      </c>
      <c r="G1491">
        <f>IF(AND(A1491&gt;=Inputs!$B$5,A1491&lt;=Inputs!$B$6),1,0)</f>
        <v/>
      </c>
    </row>
    <row r="1492">
      <c r="A1492" t="inlineStr">
        <is>
          <t>2026-05</t>
        </is>
      </c>
      <c r="B1492" t="inlineStr">
        <is>
          <t>HOSP-3</t>
        </is>
      </c>
      <c r="C1492" t="inlineStr">
        <is>
          <t>SS-01093</t>
        </is>
      </c>
      <c r="D1492" t="n">
        <v>36</v>
      </c>
      <c r="E1492" t="n">
        <v>0</v>
      </c>
      <c r="G1492">
        <f>IF(AND(A1492&gt;=Inputs!$B$5,A1492&lt;=Inputs!$B$6),1,0)</f>
        <v/>
      </c>
    </row>
    <row r="1493">
      <c r="A1493" t="inlineStr">
        <is>
          <t>2026-05</t>
        </is>
      </c>
      <c r="B1493" t="inlineStr">
        <is>
          <t>HOSP-4</t>
        </is>
      </c>
      <c r="C1493" t="inlineStr">
        <is>
          <t>SS-01094</t>
        </is>
      </c>
      <c r="D1493" t="n">
        <v>0</v>
      </c>
      <c r="E1493" t="n">
        <v>0</v>
      </c>
      <c r="G1493">
        <f>IF(AND(A1493&gt;=Inputs!$B$5,A1493&lt;=Inputs!$B$6),1,0)</f>
        <v/>
      </c>
    </row>
    <row r="1494">
      <c r="A1494" t="inlineStr">
        <is>
          <t>2026-05</t>
        </is>
      </c>
      <c r="B1494" t="inlineStr">
        <is>
          <t>HOSP-1</t>
        </is>
      </c>
      <c r="C1494" t="inlineStr">
        <is>
          <t>SS-01095</t>
        </is>
      </c>
      <c r="D1494" t="n">
        <v>36</v>
      </c>
      <c r="E1494" t="n">
        <v>0</v>
      </c>
      <c r="G1494">
        <f>IF(AND(A1494&gt;=Inputs!$B$5,A1494&lt;=Inputs!$B$6),1,0)</f>
        <v/>
      </c>
    </row>
    <row r="1495">
      <c r="A1495" t="inlineStr">
        <is>
          <t>2026-05</t>
        </is>
      </c>
      <c r="B1495" t="inlineStr">
        <is>
          <t>HOSP-2</t>
        </is>
      </c>
      <c r="C1495" t="inlineStr">
        <is>
          <t>SS-01096</t>
        </is>
      </c>
      <c r="D1495" t="n">
        <v>24</v>
      </c>
      <c r="E1495" t="n">
        <v>0</v>
      </c>
      <c r="G1495">
        <f>IF(AND(A1495&gt;=Inputs!$B$5,A1495&lt;=Inputs!$B$6),1,0)</f>
        <v/>
      </c>
    </row>
    <row r="1496">
      <c r="A1496" t="inlineStr">
        <is>
          <t>2026-05</t>
        </is>
      </c>
      <c r="B1496" t="inlineStr">
        <is>
          <t>HOSP-3</t>
        </is>
      </c>
      <c r="C1496" t="inlineStr">
        <is>
          <t>SS-01097</t>
        </is>
      </c>
      <c r="D1496" t="n">
        <v>10</v>
      </c>
      <c r="E1496" t="n">
        <v>0</v>
      </c>
      <c r="G1496">
        <f>IF(AND(A1496&gt;=Inputs!$B$5,A1496&lt;=Inputs!$B$6),1,0)</f>
        <v/>
      </c>
    </row>
    <row r="1497">
      <c r="A1497" t="inlineStr">
        <is>
          <t>2026-05</t>
        </is>
      </c>
      <c r="B1497" t="inlineStr">
        <is>
          <t>HOSP-4</t>
        </is>
      </c>
      <c r="C1497" t="inlineStr">
        <is>
          <t>SS-01098</t>
        </is>
      </c>
      <c r="D1497" t="n">
        <v>35</v>
      </c>
      <c r="E1497" t="n">
        <v>0</v>
      </c>
      <c r="G1497">
        <f>IF(AND(A1497&gt;=Inputs!$B$5,A1497&lt;=Inputs!$B$6),1,0)</f>
        <v/>
      </c>
    </row>
    <row r="1498">
      <c r="A1498" t="inlineStr">
        <is>
          <t>2026-05</t>
        </is>
      </c>
      <c r="B1498" t="inlineStr">
        <is>
          <t>HOSP-1</t>
        </is>
      </c>
      <c r="C1498" t="inlineStr">
        <is>
          <t>SS-01099</t>
        </is>
      </c>
      <c r="D1498" t="n">
        <v>57</v>
      </c>
      <c r="E1498" t="n">
        <v>0</v>
      </c>
      <c r="G1498">
        <f>IF(AND(A1498&gt;=Inputs!$B$5,A1498&lt;=Inputs!$B$6),1,0)</f>
        <v/>
      </c>
    </row>
    <row r="1499">
      <c r="A1499" t="inlineStr">
        <is>
          <t>2026-05</t>
        </is>
      </c>
      <c r="B1499" t="inlineStr">
        <is>
          <t>HOSP-2</t>
        </is>
      </c>
      <c r="C1499" t="inlineStr">
        <is>
          <t>SS-01130</t>
        </is>
      </c>
      <c r="D1499" t="n">
        <v>98</v>
      </c>
      <c r="E1499" t="n">
        <v>1</v>
      </c>
      <c r="G1499">
        <f>IF(AND(A1499&gt;=Inputs!$B$5,A1499&lt;=Inputs!$B$6),1,0)</f>
        <v/>
      </c>
    </row>
    <row r="1500">
      <c r="A1500" t="inlineStr">
        <is>
          <t>2026-05</t>
        </is>
      </c>
      <c r="B1500" t="inlineStr">
        <is>
          <t>HOSP-3</t>
        </is>
      </c>
      <c r="C1500" t="inlineStr">
        <is>
          <t>SS-01101</t>
        </is>
      </c>
      <c r="D1500" t="n">
        <v>60</v>
      </c>
      <c r="E1500" t="n">
        <v>0</v>
      </c>
      <c r="G1500">
        <f>IF(AND(A1500&gt;=Inputs!$B$5,A1500&lt;=Inputs!$B$6),1,0)</f>
        <v/>
      </c>
    </row>
    <row r="1501">
      <c r="A1501" t="inlineStr">
        <is>
          <t>2026-05</t>
        </is>
      </c>
      <c r="B1501" t="inlineStr">
        <is>
          <t>HOSP-4</t>
        </is>
      </c>
      <c r="C1501" t="inlineStr">
        <is>
          <t>SS-01102</t>
        </is>
      </c>
      <c r="D1501" t="n">
        <v>11</v>
      </c>
      <c r="E1501" t="n">
        <v>1</v>
      </c>
      <c r="G1501">
        <f>IF(AND(A1501&gt;=Inputs!$B$5,A1501&lt;=Inputs!$B$6),1,0)</f>
        <v/>
      </c>
    </row>
    <row r="1502">
      <c r="A1502" t="inlineStr">
        <is>
          <t>2026-05</t>
        </is>
      </c>
      <c r="B1502" t="inlineStr">
        <is>
          <t>HOSP-1</t>
        </is>
      </c>
      <c r="C1502" t="inlineStr">
        <is>
          <t>SS-01103</t>
        </is>
      </c>
      <c r="D1502" t="n">
        <v>10</v>
      </c>
      <c r="E1502" t="n">
        <v>0</v>
      </c>
      <c r="G1502">
        <f>IF(AND(A1502&gt;=Inputs!$B$5,A1502&lt;=Inputs!$B$6),1,0)</f>
        <v/>
      </c>
    </row>
    <row r="1503">
      <c r="A1503" t="inlineStr">
        <is>
          <t>2026-05</t>
        </is>
      </c>
      <c r="B1503" t="inlineStr">
        <is>
          <t>HOSP-2</t>
        </is>
      </c>
      <c r="C1503" t="inlineStr">
        <is>
          <t>SS-01104</t>
        </is>
      </c>
      <c r="D1503" t="n">
        <v>13</v>
      </c>
      <c r="E1503" t="n">
        <v>0</v>
      </c>
      <c r="G1503">
        <f>IF(AND(A1503&gt;=Inputs!$B$5,A1503&lt;=Inputs!$B$6),1,0)</f>
        <v/>
      </c>
    </row>
    <row r="1504">
      <c r="A1504" t="inlineStr">
        <is>
          <t>2026-05</t>
        </is>
      </c>
      <c r="B1504" t="inlineStr">
        <is>
          <t>HOSP-3</t>
        </is>
      </c>
      <c r="C1504" t="inlineStr">
        <is>
          <t>SS-01105</t>
        </is>
      </c>
      <c r="D1504" t="n">
        <v>12</v>
      </c>
      <c r="E1504" t="n">
        <v>0</v>
      </c>
      <c r="G1504">
        <f>IF(AND(A1504&gt;=Inputs!$B$5,A1504&lt;=Inputs!$B$6),1,0)</f>
        <v/>
      </c>
    </row>
    <row r="1505">
      <c r="A1505" t="inlineStr">
        <is>
          <t>2026-05</t>
        </is>
      </c>
      <c r="B1505" t="inlineStr">
        <is>
          <t>HOSP-4</t>
        </is>
      </c>
      <c r="C1505" t="inlineStr">
        <is>
          <t>SS-01106</t>
        </is>
      </c>
      <c r="D1505" t="n">
        <v>0</v>
      </c>
      <c r="E1505" t="n">
        <v>0</v>
      </c>
      <c r="G1505">
        <f>IF(AND(A1505&gt;=Inputs!$B$5,A1505&lt;=Inputs!$B$6),1,0)</f>
        <v/>
      </c>
    </row>
    <row r="1506">
      <c r="A1506" t="inlineStr">
        <is>
          <t>2026-05</t>
        </is>
      </c>
      <c r="B1506" t="inlineStr">
        <is>
          <t>HOSP-1</t>
        </is>
      </c>
      <c r="C1506" t="inlineStr">
        <is>
          <t>SS-01107</t>
        </is>
      </c>
      <c r="D1506" t="n">
        <v>36</v>
      </c>
      <c r="E1506" t="n">
        <v>0</v>
      </c>
      <c r="G1506">
        <f>IF(AND(A1506&gt;=Inputs!$B$5,A1506&lt;=Inputs!$B$6),1,0)</f>
        <v/>
      </c>
    </row>
    <row r="1507">
      <c r="A1507" t="inlineStr">
        <is>
          <t>2026-05</t>
        </is>
      </c>
      <c r="B1507" t="inlineStr">
        <is>
          <t>HOSP-2</t>
        </is>
      </c>
      <c r="C1507" t="inlineStr">
        <is>
          <t>SS-01108</t>
        </is>
      </c>
      <c r="D1507" t="n">
        <v>108</v>
      </c>
      <c r="E1507" t="n">
        <v>0</v>
      </c>
      <c r="G1507">
        <f>IF(AND(A1507&gt;=Inputs!$B$5,A1507&lt;=Inputs!$B$6),1,0)</f>
        <v/>
      </c>
    </row>
    <row r="1508">
      <c r="A1508" t="inlineStr">
        <is>
          <t>2026-05</t>
        </is>
      </c>
      <c r="B1508" t="inlineStr">
        <is>
          <t>HOSP-3</t>
        </is>
      </c>
      <c r="C1508" t="inlineStr">
        <is>
          <t>SS-01109</t>
        </is>
      </c>
      <c r="D1508" t="n">
        <v>2</v>
      </c>
      <c r="E1508" t="n">
        <v>5</v>
      </c>
      <c r="G1508">
        <f>IF(AND(A1508&gt;=Inputs!$B$5,A1508&lt;=Inputs!$B$6),1,0)</f>
        <v/>
      </c>
    </row>
    <row r="1509">
      <c r="A1509" t="inlineStr">
        <is>
          <t>2026-05</t>
        </is>
      </c>
      <c r="B1509" t="inlineStr">
        <is>
          <t>HOSP-4</t>
        </is>
      </c>
      <c r="C1509" t="inlineStr">
        <is>
          <t>SS-01110</t>
        </is>
      </c>
      <c r="D1509" t="n">
        <v>96</v>
      </c>
      <c r="E1509" t="n">
        <v>0</v>
      </c>
      <c r="G1509">
        <f>IF(AND(A1509&gt;=Inputs!$B$5,A1509&lt;=Inputs!$B$6),1,0)</f>
        <v/>
      </c>
    </row>
    <row r="1510">
      <c r="A1510" t="inlineStr">
        <is>
          <t>2026-05</t>
        </is>
      </c>
      <c r="B1510" t="inlineStr">
        <is>
          <t>HOSP-1</t>
        </is>
      </c>
      <c r="C1510" t="inlineStr">
        <is>
          <t>SS-01111</t>
        </is>
      </c>
      <c r="D1510" t="n">
        <v>36</v>
      </c>
      <c r="E1510" t="n">
        <v>2</v>
      </c>
      <c r="G1510">
        <f>IF(AND(A1510&gt;=Inputs!$B$5,A1510&lt;=Inputs!$B$6),1,0)</f>
        <v/>
      </c>
    </row>
    <row r="1511">
      <c r="A1511" t="inlineStr">
        <is>
          <t>2026-05</t>
        </is>
      </c>
      <c r="B1511" t="inlineStr">
        <is>
          <t>HOSP-2</t>
        </is>
      </c>
      <c r="C1511" t="inlineStr">
        <is>
          <t>SS-01112</t>
        </is>
      </c>
      <c r="D1511" t="n">
        <v>24</v>
      </c>
      <c r="E1511" t="n">
        <v>0</v>
      </c>
      <c r="G1511">
        <f>IF(AND(A1511&gt;=Inputs!$B$5,A1511&lt;=Inputs!$B$6),1,0)</f>
        <v/>
      </c>
    </row>
    <row r="1512">
      <c r="A1512" t="inlineStr">
        <is>
          <t>2026-05</t>
        </is>
      </c>
      <c r="B1512" t="inlineStr">
        <is>
          <t>HOSP-3</t>
        </is>
      </c>
      <c r="C1512" t="inlineStr">
        <is>
          <t>SS-01113</t>
        </is>
      </c>
      <c r="D1512" t="n">
        <v>12</v>
      </c>
      <c r="E1512" t="n">
        <v>0</v>
      </c>
      <c r="G1512">
        <f>IF(AND(A1512&gt;=Inputs!$B$5,A1512&lt;=Inputs!$B$6),1,0)</f>
        <v/>
      </c>
    </row>
    <row r="1513">
      <c r="A1513" t="inlineStr">
        <is>
          <t>2026-05</t>
        </is>
      </c>
      <c r="B1513" t="inlineStr">
        <is>
          <t>HOSP-4</t>
        </is>
      </c>
      <c r="C1513" t="inlineStr">
        <is>
          <t>SS-01114</t>
        </is>
      </c>
      <c r="D1513" t="n">
        <v>0</v>
      </c>
      <c r="E1513" t="n">
        <v>0</v>
      </c>
      <c r="G1513">
        <f>IF(AND(A1513&gt;=Inputs!$B$5,A1513&lt;=Inputs!$B$6),1,0)</f>
        <v/>
      </c>
    </row>
    <row r="1514">
      <c r="A1514" t="inlineStr">
        <is>
          <t>2026-05</t>
        </is>
      </c>
      <c r="B1514" t="inlineStr">
        <is>
          <t>HOSP-1</t>
        </is>
      </c>
      <c r="C1514" t="inlineStr">
        <is>
          <t>SS-01115</t>
        </is>
      </c>
      <c r="D1514" t="n">
        <v>72</v>
      </c>
      <c r="E1514" t="n">
        <v>0</v>
      </c>
      <c r="G1514">
        <f>IF(AND(A1514&gt;=Inputs!$B$5,A1514&lt;=Inputs!$B$6),1,0)</f>
        <v/>
      </c>
    </row>
    <row r="1515">
      <c r="A1515" t="inlineStr">
        <is>
          <t>2026-05</t>
        </is>
      </c>
      <c r="B1515" t="inlineStr">
        <is>
          <t>HOSP-2</t>
        </is>
      </c>
      <c r="C1515" t="inlineStr">
        <is>
          <t>SS-01116</t>
        </is>
      </c>
      <c r="D1515" t="n">
        <v>12</v>
      </c>
      <c r="E1515" t="n">
        <v>0</v>
      </c>
      <c r="G1515">
        <f>IF(AND(A1515&gt;=Inputs!$B$5,A1515&lt;=Inputs!$B$6),1,0)</f>
        <v/>
      </c>
    </row>
    <row r="1516">
      <c r="A1516" t="inlineStr">
        <is>
          <t>2026-05</t>
        </is>
      </c>
      <c r="B1516" t="inlineStr">
        <is>
          <t>HOSP-3</t>
        </is>
      </c>
      <c r="C1516" t="inlineStr">
        <is>
          <t>SS-01117</t>
        </is>
      </c>
      <c r="D1516" t="n">
        <v>117</v>
      </c>
      <c r="E1516" t="n">
        <v>0</v>
      </c>
      <c r="G1516">
        <f>IF(AND(A1516&gt;=Inputs!$B$5,A1516&lt;=Inputs!$B$6),1,0)</f>
        <v/>
      </c>
    </row>
    <row r="1517">
      <c r="A1517" t="inlineStr">
        <is>
          <t>2026-05</t>
        </is>
      </c>
      <c r="B1517" t="inlineStr">
        <is>
          <t>HOSP-4</t>
        </is>
      </c>
      <c r="C1517" t="inlineStr">
        <is>
          <t>SS-01118</t>
        </is>
      </c>
      <c r="D1517" t="n">
        <v>0</v>
      </c>
      <c r="E1517" t="n">
        <v>0</v>
      </c>
      <c r="G1517">
        <f>IF(AND(A1517&gt;=Inputs!$B$5,A1517&lt;=Inputs!$B$6),1,0)</f>
        <v/>
      </c>
    </row>
    <row r="1518">
      <c r="A1518" t="inlineStr">
        <is>
          <t>2026-05</t>
        </is>
      </c>
      <c r="B1518" t="inlineStr">
        <is>
          <t>HOSP-1</t>
        </is>
      </c>
      <c r="C1518" t="inlineStr">
        <is>
          <t>SS-01119</t>
        </is>
      </c>
      <c r="D1518" t="n">
        <v>0</v>
      </c>
      <c r="E1518" t="n">
        <v>0</v>
      </c>
      <c r="G1518">
        <f>IF(AND(A1518&gt;=Inputs!$B$5,A1518&lt;=Inputs!$B$6),1,0)</f>
        <v/>
      </c>
    </row>
    <row r="1519">
      <c r="A1519" t="inlineStr">
        <is>
          <t>2026-05</t>
        </is>
      </c>
      <c r="B1519" t="inlineStr">
        <is>
          <t>HOSP-2</t>
        </is>
      </c>
      <c r="C1519" t="inlineStr">
        <is>
          <t>SS-01120</t>
        </is>
      </c>
      <c r="D1519" t="n">
        <v>0</v>
      </c>
      <c r="E1519" t="n">
        <v>0</v>
      </c>
      <c r="G1519">
        <f>IF(AND(A1519&gt;=Inputs!$B$5,A1519&lt;=Inputs!$B$6),1,0)</f>
        <v/>
      </c>
    </row>
    <row r="1520">
      <c r="A1520" t="inlineStr">
        <is>
          <t>2026-05</t>
        </is>
      </c>
      <c r="B1520" t="inlineStr">
        <is>
          <t>HOSP-3</t>
        </is>
      </c>
      <c r="C1520" t="inlineStr">
        <is>
          <t>SS-01121</t>
        </is>
      </c>
      <c r="D1520" t="n">
        <v>5</v>
      </c>
      <c r="E1520" t="n">
        <v>5</v>
      </c>
      <c r="G1520">
        <f>IF(AND(A1520&gt;=Inputs!$B$5,A1520&lt;=Inputs!$B$6),1,0)</f>
        <v/>
      </c>
    </row>
    <row r="1521">
      <c r="A1521" t="inlineStr">
        <is>
          <t>2026-05</t>
        </is>
      </c>
      <c r="B1521" t="inlineStr">
        <is>
          <t>HOSP-4</t>
        </is>
      </c>
      <c r="C1521" t="inlineStr">
        <is>
          <t>SS-01122</t>
        </is>
      </c>
      <c r="D1521" t="n">
        <v>24</v>
      </c>
      <c r="E1521" t="n">
        <v>0</v>
      </c>
      <c r="G1521">
        <f>IF(AND(A1521&gt;=Inputs!$B$5,A1521&lt;=Inputs!$B$6),1,0)</f>
        <v/>
      </c>
    </row>
    <row r="1522">
      <c r="A1522" t="inlineStr">
        <is>
          <t>2026-05</t>
        </is>
      </c>
      <c r="B1522" t="inlineStr">
        <is>
          <t>HOSP-1</t>
        </is>
      </c>
      <c r="C1522" t="inlineStr">
        <is>
          <t>SS-01123</t>
        </is>
      </c>
      <c r="D1522" t="n">
        <v>36</v>
      </c>
      <c r="E1522" t="n">
        <v>0</v>
      </c>
      <c r="G1522">
        <f>IF(AND(A1522&gt;=Inputs!$B$5,A1522&lt;=Inputs!$B$6),1,0)</f>
        <v/>
      </c>
    </row>
    <row r="1523">
      <c r="A1523" t="inlineStr">
        <is>
          <t>2026-05</t>
        </is>
      </c>
      <c r="B1523" t="inlineStr">
        <is>
          <t>HOSP-2</t>
        </is>
      </c>
      <c r="C1523" t="inlineStr">
        <is>
          <t>SS-01124</t>
        </is>
      </c>
      <c r="D1523" t="n">
        <v>0</v>
      </c>
      <c r="E1523" t="n">
        <v>0</v>
      </c>
      <c r="G1523">
        <f>IF(AND(A1523&gt;=Inputs!$B$5,A1523&lt;=Inputs!$B$6),1,0)</f>
        <v/>
      </c>
    </row>
    <row r="1524">
      <c r="A1524" t="inlineStr">
        <is>
          <t>2026-05</t>
        </is>
      </c>
      <c r="B1524" t="inlineStr">
        <is>
          <t>HOSP-3</t>
        </is>
      </c>
      <c r="C1524" t="inlineStr">
        <is>
          <t>SS-01125</t>
        </is>
      </c>
      <c r="D1524" t="n">
        <v>36</v>
      </c>
      <c r="E1524" t="n">
        <v>0</v>
      </c>
      <c r="G1524">
        <f>IF(AND(A1524&gt;=Inputs!$B$5,A1524&lt;=Inputs!$B$6),1,0)</f>
        <v/>
      </c>
    </row>
    <row r="1525">
      <c r="A1525" t="inlineStr">
        <is>
          <t>2026-05</t>
        </is>
      </c>
      <c r="B1525" t="inlineStr">
        <is>
          <t>HOSP-4</t>
        </is>
      </c>
      <c r="C1525" t="inlineStr">
        <is>
          <t>SS-01126</t>
        </is>
      </c>
      <c r="D1525" t="n">
        <v>19</v>
      </c>
      <c r="E1525" t="n">
        <v>0</v>
      </c>
      <c r="G1525">
        <f>IF(AND(A1525&gt;=Inputs!$B$5,A1525&lt;=Inputs!$B$6),1,0)</f>
        <v/>
      </c>
    </row>
    <row r="1526">
      <c r="A1526" t="inlineStr">
        <is>
          <t>2026-05</t>
        </is>
      </c>
      <c r="B1526" t="inlineStr">
        <is>
          <t>HOSP-1</t>
        </is>
      </c>
      <c r="C1526" t="inlineStr">
        <is>
          <t>SS-01191</t>
        </is>
      </c>
      <c r="D1526" t="n">
        <v>20</v>
      </c>
      <c r="E1526" t="n">
        <v>13</v>
      </c>
      <c r="G1526">
        <f>IF(AND(A1526&gt;=Inputs!$B$5,A1526&lt;=Inputs!$B$6),1,0)</f>
        <v/>
      </c>
    </row>
    <row r="1527">
      <c r="A1527" t="inlineStr">
        <is>
          <t>2026-05</t>
        </is>
      </c>
      <c r="B1527" t="inlineStr">
        <is>
          <t>HOSP-2</t>
        </is>
      </c>
      <c r="C1527" t="inlineStr">
        <is>
          <t>SS-01128</t>
        </is>
      </c>
      <c r="D1527" t="n">
        <v>81</v>
      </c>
      <c r="E1527" t="n">
        <v>0</v>
      </c>
      <c r="G1527">
        <f>IF(AND(A1527&gt;=Inputs!$B$5,A1527&lt;=Inputs!$B$6),1,0)</f>
        <v/>
      </c>
    </row>
    <row r="1528">
      <c r="A1528" t="inlineStr">
        <is>
          <t>2026-05</t>
        </is>
      </c>
      <c r="B1528" t="inlineStr">
        <is>
          <t>HOSP-3</t>
        </is>
      </c>
      <c r="C1528" t="inlineStr">
        <is>
          <t>SS-01129</t>
        </is>
      </c>
      <c r="D1528" t="n">
        <v>9</v>
      </c>
      <c r="E1528" t="n">
        <v>0</v>
      </c>
      <c r="G1528">
        <f>IF(AND(A1528&gt;=Inputs!$B$5,A1528&lt;=Inputs!$B$6),1,0)</f>
        <v/>
      </c>
    </row>
    <row r="1529">
      <c r="A1529" t="inlineStr">
        <is>
          <t>2026-05</t>
        </is>
      </c>
      <c r="B1529" t="inlineStr">
        <is>
          <t>HOSP-4</t>
        </is>
      </c>
      <c r="C1529" t="inlineStr">
        <is>
          <t>SS-01130</t>
        </is>
      </c>
      <c r="D1529" t="n">
        <v>12</v>
      </c>
      <c r="E1529" t="n">
        <v>0</v>
      </c>
      <c r="G1529">
        <f>IF(AND(A1529&gt;=Inputs!$B$5,A1529&lt;=Inputs!$B$6),1,0)</f>
        <v/>
      </c>
    </row>
    <row r="1530">
      <c r="A1530" t="inlineStr">
        <is>
          <t>2026-05</t>
        </is>
      </c>
      <c r="B1530" t="inlineStr">
        <is>
          <t>HOSP-1</t>
        </is>
      </c>
      <c r="C1530" t="inlineStr">
        <is>
          <t>SS-01131</t>
        </is>
      </c>
      <c r="D1530" t="n">
        <v>36</v>
      </c>
      <c r="E1530" t="n">
        <v>0</v>
      </c>
      <c r="G1530">
        <f>IF(AND(A1530&gt;=Inputs!$B$5,A1530&lt;=Inputs!$B$6),1,0)</f>
        <v/>
      </c>
    </row>
    <row r="1531">
      <c r="A1531" t="inlineStr">
        <is>
          <t>2026-05</t>
        </is>
      </c>
      <c r="B1531" t="inlineStr">
        <is>
          <t>HOSP-2</t>
        </is>
      </c>
      <c r="C1531" t="inlineStr">
        <is>
          <t>SS-01132</t>
        </is>
      </c>
      <c r="D1531" t="n">
        <v>12</v>
      </c>
      <c r="E1531" t="n">
        <v>0</v>
      </c>
      <c r="G1531">
        <f>IF(AND(A1531&gt;=Inputs!$B$5,A1531&lt;=Inputs!$B$6),1,0)</f>
        <v/>
      </c>
    </row>
    <row r="1532">
      <c r="A1532" t="inlineStr">
        <is>
          <t>2026-05</t>
        </is>
      </c>
      <c r="B1532" t="inlineStr">
        <is>
          <t>HOSP-3</t>
        </is>
      </c>
      <c r="C1532" t="inlineStr">
        <is>
          <t>SS-01133</t>
        </is>
      </c>
      <c r="D1532" t="n">
        <v>24</v>
      </c>
      <c r="E1532" t="n">
        <v>0</v>
      </c>
      <c r="G1532">
        <f>IF(AND(A1532&gt;=Inputs!$B$5,A1532&lt;=Inputs!$B$6),1,0)</f>
        <v/>
      </c>
    </row>
    <row r="1533">
      <c r="A1533" t="inlineStr">
        <is>
          <t>2026-05</t>
        </is>
      </c>
      <c r="B1533" t="inlineStr">
        <is>
          <t>HOSP-4</t>
        </is>
      </c>
      <c r="C1533" t="inlineStr">
        <is>
          <t>SS-01134</t>
        </is>
      </c>
      <c r="D1533" t="n">
        <v>48</v>
      </c>
      <c r="E1533" t="n">
        <v>0</v>
      </c>
      <c r="G1533">
        <f>IF(AND(A1533&gt;=Inputs!$B$5,A1533&lt;=Inputs!$B$6),1,0)</f>
        <v/>
      </c>
    </row>
    <row r="1534">
      <c r="A1534" t="inlineStr">
        <is>
          <t>2026-05</t>
        </is>
      </c>
      <c r="B1534" t="inlineStr">
        <is>
          <t>HOSP-1</t>
        </is>
      </c>
      <c r="C1534" t="inlineStr">
        <is>
          <t>SS-01135</t>
        </is>
      </c>
      <c r="D1534" t="n">
        <v>104</v>
      </c>
      <c r="E1534" t="n">
        <v>0</v>
      </c>
      <c r="G1534">
        <f>IF(AND(A1534&gt;=Inputs!$B$5,A1534&lt;=Inputs!$B$6),1,0)</f>
        <v/>
      </c>
    </row>
    <row r="1535">
      <c r="A1535" t="inlineStr">
        <is>
          <t>2026-05</t>
        </is>
      </c>
      <c r="B1535" t="inlineStr">
        <is>
          <t>HOSP-2</t>
        </is>
      </c>
      <c r="C1535" t="inlineStr">
        <is>
          <t>SS-01136</t>
        </is>
      </c>
      <c r="D1535" t="n">
        <v>108</v>
      </c>
      <c r="E1535" t="n">
        <v>0</v>
      </c>
      <c r="G1535">
        <f>IF(AND(A1535&gt;=Inputs!$B$5,A1535&lt;=Inputs!$B$6),1,0)</f>
        <v/>
      </c>
    </row>
    <row r="1536">
      <c r="A1536" t="inlineStr">
        <is>
          <t>2026-05</t>
        </is>
      </c>
      <c r="B1536" t="inlineStr">
        <is>
          <t>HOSP-3</t>
        </is>
      </c>
      <c r="C1536" t="inlineStr">
        <is>
          <t>SS-01137</t>
        </is>
      </c>
      <c r="D1536" t="n">
        <v>12</v>
      </c>
      <c r="E1536" t="n">
        <v>0</v>
      </c>
      <c r="G1536">
        <f>IF(AND(A1536&gt;=Inputs!$B$5,A1536&lt;=Inputs!$B$6),1,0)</f>
        <v/>
      </c>
    </row>
    <row r="1537">
      <c r="A1537" t="inlineStr">
        <is>
          <t>2026-05</t>
        </is>
      </c>
      <c r="B1537" t="inlineStr">
        <is>
          <t>HOSP-4</t>
        </is>
      </c>
      <c r="C1537" t="inlineStr">
        <is>
          <t>SS-01163</t>
        </is>
      </c>
      <c r="D1537" t="n">
        <v>19</v>
      </c>
      <c r="E1537" t="n">
        <v>0</v>
      </c>
      <c r="G1537">
        <f>IF(AND(A1537&gt;=Inputs!$B$5,A1537&lt;=Inputs!$B$6),1,0)</f>
        <v/>
      </c>
    </row>
    <row r="1538">
      <c r="A1538" t="inlineStr">
        <is>
          <t>2026-05</t>
        </is>
      </c>
      <c r="B1538" t="inlineStr">
        <is>
          <t>HOSP-1</t>
        </is>
      </c>
      <c r="C1538" t="inlineStr">
        <is>
          <t>SS-01139</t>
        </is>
      </c>
      <c r="D1538" t="n">
        <v>0</v>
      </c>
      <c r="E1538" t="n">
        <v>0</v>
      </c>
      <c r="G1538">
        <f>IF(AND(A1538&gt;=Inputs!$B$5,A1538&lt;=Inputs!$B$6),1,0)</f>
        <v/>
      </c>
    </row>
    <row r="1539">
      <c r="A1539" t="inlineStr">
        <is>
          <t>2026-05</t>
        </is>
      </c>
      <c r="B1539" t="inlineStr">
        <is>
          <t>HOSP-2</t>
        </is>
      </c>
      <c r="C1539" t="inlineStr">
        <is>
          <t>SS-01140</t>
        </is>
      </c>
      <c r="D1539" t="n">
        <v>12</v>
      </c>
      <c r="E1539" t="n">
        <v>0</v>
      </c>
      <c r="G1539">
        <f>IF(AND(A1539&gt;=Inputs!$B$5,A1539&lt;=Inputs!$B$6),1,0)</f>
        <v/>
      </c>
    </row>
    <row r="1540">
      <c r="A1540" t="inlineStr">
        <is>
          <t>2026-05</t>
        </is>
      </c>
      <c r="B1540" t="inlineStr">
        <is>
          <t>HOSP-3</t>
        </is>
      </c>
      <c r="C1540" t="inlineStr">
        <is>
          <t>SS-01141</t>
        </is>
      </c>
      <c r="D1540" t="n">
        <v>0</v>
      </c>
      <c r="E1540" t="n">
        <v>3</v>
      </c>
      <c r="G1540">
        <f>IF(AND(A1540&gt;=Inputs!$B$5,A1540&lt;=Inputs!$B$6),1,0)</f>
        <v/>
      </c>
    </row>
    <row r="1541">
      <c r="A1541" t="inlineStr">
        <is>
          <t>2026-05</t>
        </is>
      </c>
      <c r="B1541" t="inlineStr">
        <is>
          <t>HOSP-4</t>
        </is>
      </c>
      <c r="C1541" t="inlineStr">
        <is>
          <t>SS-01142</t>
        </is>
      </c>
      <c r="D1541" t="n">
        <v>3</v>
      </c>
      <c r="E1541" t="n">
        <v>2</v>
      </c>
      <c r="G1541">
        <f>IF(AND(A1541&gt;=Inputs!$B$5,A1541&lt;=Inputs!$B$6),1,0)</f>
        <v/>
      </c>
    </row>
    <row r="1542">
      <c r="A1542" t="inlineStr">
        <is>
          <t>2026-05</t>
        </is>
      </c>
      <c r="B1542" t="inlineStr">
        <is>
          <t>HOSP-1</t>
        </is>
      </c>
      <c r="C1542" t="inlineStr">
        <is>
          <t>SS-01143</t>
        </is>
      </c>
      <c r="D1542" t="n">
        <v>4</v>
      </c>
      <c r="E1542" t="n">
        <v>1</v>
      </c>
      <c r="G1542">
        <f>IF(AND(A1542&gt;=Inputs!$B$5,A1542&lt;=Inputs!$B$6),1,0)</f>
        <v/>
      </c>
    </row>
    <row r="1543">
      <c r="A1543" t="inlineStr">
        <is>
          <t>2026-05</t>
        </is>
      </c>
      <c r="B1543" t="inlineStr">
        <is>
          <t>HOSP-2</t>
        </is>
      </c>
      <c r="C1543" t="inlineStr">
        <is>
          <t>SS-01144</t>
        </is>
      </c>
      <c r="D1543" t="n">
        <v>12</v>
      </c>
      <c r="E1543" t="n">
        <v>0</v>
      </c>
      <c r="G1543">
        <f>IF(AND(A1543&gt;=Inputs!$B$5,A1543&lt;=Inputs!$B$6),1,0)</f>
        <v/>
      </c>
    </row>
    <row r="1544">
      <c r="A1544" t="inlineStr">
        <is>
          <t>2026-05</t>
        </is>
      </c>
      <c r="B1544" t="inlineStr">
        <is>
          <t>HOSP-3</t>
        </is>
      </c>
      <c r="C1544" t="inlineStr">
        <is>
          <t>SS-01145</t>
        </is>
      </c>
      <c r="D1544" t="n">
        <v>7</v>
      </c>
      <c r="E1544" t="n">
        <v>1</v>
      </c>
      <c r="G1544">
        <f>IF(AND(A1544&gt;=Inputs!$B$5,A1544&lt;=Inputs!$B$6),1,0)</f>
        <v/>
      </c>
    </row>
    <row r="1545">
      <c r="A1545" t="inlineStr">
        <is>
          <t>2026-05</t>
        </is>
      </c>
      <c r="B1545" t="inlineStr">
        <is>
          <t>HOSP-4</t>
        </is>
      </c>
      <c r="C1545" t="inlineStr">
        <is>
          <t>SS-01146</t>
        </is>
      </c>
      <c r="D1545" t="n">
        <v>12</v>
      </c>
      <c r="E1545" t="n">
        <v>0</v>
      </c>
      <c r="G1545">
        <f>IF(AND(A1545&gt;=Inputs!$B$5,A1545&lt;=Inputs!$B$6),1,0)</f>
        <v/>
      </c>
    </row>
    <row r="1546">
      <c r="A1546" t="inlineStr">
        <is>
          <t>2026-05</t>
        </is>
      </c>
      <c r="B1546" t="inlineStr">
        <is>
          <t>HOSP-1</t>
        </is>
      </c>
      <c r="C1546" t="inlineStr">
        <is>
          <t>SS-01147</t>
        </is>
      </c>
      <c r="D1546" t="n">
        <v>552</v>
      </c>
      <c r="E1546" t="n">
        <v>0</v>
      </c>
      <c r="G1546">
        <f>IF(AND(A1546&gt;=Inputs!$B$5,A1546&lt;=Inputs!$B$6),1,0)</f>
        <v/>
      </c>
    </row>
    <row r="1547">
      <c r="A1547" t="inlineStr">
        <is>
          <t>2026-05</t>
        </is>
      </c>
      <c r="B1547" t="inlineStr">
        <is>
          <t>HOSP-2</t>
        </is>
      </c>
      <c r="C1547" t="inlineStr">
        <is>
          <t>SS-01204</t>
        </is>
      </c>
      <c r="D1547" t="n">
        <v>21</v>
      </c>
      <c r="E1547" t="n">
        <v>0</v>
      </c>
      <c r="G1547">
        <f>IF(AND(A1547&gt;=Inputs!$B$5,A1547&lt;=Inputs!$B$6),1,0)</f>
        <v/>
      </c>
    </row>
    <row r="1548">
      <c r="A1548" t="inlineStr">
        <is>
          <t>2026-05</t>
        </is>
      </c>
      <c r="B1548" t="inlineStr">
        <is>
          <t>HOSP-3</t>
        </is>
      </c>
      <c r="C1548" t="inlineStr">
        <is>
          <t>SS-01175</t>
        </is>
      </c>
      <c r="D1548" t="n">
        <v>60</v>
      </c>
      <c r="E1548" t="n">
        <v>0</v>
      </c>
      <c r="G1548">
        <f>IF(AND(A1548&gt;=Inputs!$B$5,A1548&lt;=Inputs!$B$6),1,0)</f>
        <v/>
      </c>
    </row>
    <row r="1549">
      <c r="A1549" t="inlineStr">
        <is>
          <t>2026-05</t>
        </is>
      </c>
      <c r="B1549" t="inlineStr">
        <is>
          <t>HOSP-4</t>
        </is>
      </c>
      <c r="C1549" t="inlineStr">
        <is>
          <t>SS-01150</t>
        </is>
      </c>
      <c r="D1549" t="n">
        <v>60</v>
      </c>
      <c r="E1549" t="n">
        <v>0</v>
      </c>
      <c r="G1549">
        <f>IF(AND(A1549&gt;=Inputs!$B$5,A1549&lt;=Inputs!$B$6),1,0)</f>
        <v/>
      </c>
    </row>
    <row r="1550">
      <c r="A1550" t="inlineStr">
        <is>
          <t>2026-05</t>
        </is>
      </c>
      <c r="B1550" t="inlineStr">
        <is>
          <t>HOSP-1</t>
        </is>
      </c>
      <c r="C1550" t="inlineStr">
        <is>
          <t>SS-01151</t>
        </is>
      </c>
      <c r="D1550" t="n">
        <v>156</v>
      </c>
      <c r="E1550" t="n">
        <v>0</v>
      </c>
      <c r="G1550">
        <f>IF(AND(A1550&gt;=Inputs!$B$5,A1550&lt;=Inputs!$B$6),1,0)</f>
        <v/>
      </c>
    </row>
    <row r="1551">
      <c r="A1551" t="inlineStr">
        <is>
          <t>2026-05</t>
        </is>
      </c>
      <c r="B1551" t="inlineStr">
        <is>
          <t>HOSP-2</t>
        </is>
      </c>
      <c r="C1551" t="inlineStr">
        <is>
          <t>SS-01152</t>
        </is>
      </c>
      <c r="D1551" t="n">
        <v>60</v>
      </c>
      <c r="E1551" t="n">
        <v>0</v>
      </c>
      <c r="G1551">
        <f>IF(AND(A1551&gt;=Inputs!$B$5,A1551&lt;=Inputs!$B$6),1,0)</f>
        <v/>
      </c>
    </row>
    <row r="1552">
      <c r="A1552" t="inlineStr">
        <is>
          <t>2026-05</t>
        </is>
      </c>
      <c r="B1552" t="inlineStr">
        <is>
          <t>HOSP-3</t>
        </is>
      </c>
      <c r="C1552" t="inlineStr">
        <is>
          <t>SS-01153</t>
        </is>
      </c>
      <c r="D1552" t="n">
        <v>24</v>
      </c>
      <c r="E1552" t="n">
        <v>0</v>
      </c>
      <c r="G1552">
        <f>IF(AND(A1552&gt;=Inputs!$B$5,A1552&lt;=Inputs!$B$6),1,0)</f>
        <v/>
      </c>
    </row>
    <row r="1553">
      <c r="A1553" t="inlineStr">
        <is>
          <t>2026-05</t>
        </is>
      </c>
      <c r="B1553" t="inlineStr">
        <is>
          <t>HOSP-4</t>
        </is>
      </c>
      <c r="C1553" t="inlineStr">
        <is>
          <t>SS-01154</t>
        </is>
      </c>
      <c r="D1553" t="n">
        <v>36</v>
      </c>
      <c r="E1553" t="n">
        <v>0</v>
      </c>
      <c r="G1553">
        <f>IF(AND(A1553&gt;=Inputs!$B$5,A1553&lt;=Inputs!$B$6),1,0)</f>
        <v/>
      </c>
    </row>
    <row r="1554">
      <c r="A1554" t="inlineStr">
        <is>
          <t>2026-05</t>
        </is>
      </c>
      <c r="B1554" t="inlineStr">
        <is>
          <t>HOSP-1</t>
        </is>
      </c>
      <c r="C1554" t="inlineStr">
        <is>
          <t>SS-01155</t>
        </is>
      </c>
      <c r="D1554" t="n">
        <v>60</v>
      </c>
      <c r="E1554" t="n">
        <v>0</v>
      </c>
      <c r="G1554">
        <f>IF(AND(A1554&gt;=Inputs!$B$5,A1554&lt;=Inputs!$B$6),1,0)</f>
        <v/>
      </c>
    </row>
    <row r="1555">
      <c r="A1555" t="inlineStr">
        <is>
          <t>2026-05</t>
        </is>
      </c>
      <c r="B1555" t="inlineStr">
        <is>
          <t>HOSP-2</t>
        </is>
      </c>
      <c r="C1555" t="inlineStr">
        <is>
          <t>SS-01156</t>
        </is>
      </c>
      <c r="D1555" t="n">
        <v>144</v>
      </c>
      <c r="E1555" t="n">
        <v>0</v>
      </c>
      <c r="G1555">
        <f>IF(AND(A1555&gt;=Inputs!$B$5,A1555&lt;=Inputs!$B$6),1,0)</f>
        <v/>
      </c>
    </row>
    <row r="1556">
      <c r="A1556" t="inlineStr">
        <is>
          <t>2026-05</t>
        </is>
      </c>
      <c r="B1556" t="inlineStr">
        <is>
          <t>HOSP-3</t>
        </is>
      </c>
      <c r="C1556" t="inlineStr">
        <is>
          <t>SS-01157</t>
        </is>
      </c>
      <c r="D1556" t="n">
        <v>25</v>
      </c>
      <c r="E1556" t="n">
        <v>2</v>
      </c>
      <c r="G1556">
        <f>IF(AND(A1556&gt;=Inputs!$B$5,A1556&lt;=Inputs!$B$6),1,0)</f>
        <v/>
      </c>
    </row>
    <row r="1557">
      <c r="A1557" t="inlineStr">
        <is>
          <t>2026-05</t>
        </is>
      </c>
      <c r="B1557" t="inlineStr">
        <is>
          <t>HOSP-4</t>
        </is>
      </c>
      <c r="C1557" t="inlineStr">
        <is>
          <t>SS-01158</t>
        </is>
      </c>
      <c r="D1557" t="n">
        <v>36</v>
      </c>
      <c r="E1557" t="n">
        <v>0</v>
      </c>
      <c r="G1557">
        <f>IF(AND(A1557&gt;=Inputs!$B$5,A1557&lt;=Inputs!$B$6),1,0)</f>
        <v/>
      </c>
    </row>
    <row r="1558">
      <c r="A1558" t="inlineStr">
        <is>
          <t>2026-05</t>
        </is>
      </c>
      <c r="B1558" t="inlineStr">
        <is>
          <t>HOSP-1</t>
        </is>
      </c>
      <c r="C1558" t="inlineStr">
        <is>
          <t>SS-01159</t>
        </is>
      </c>
      <c r="D1558" t="n">
        <v>6</v>
      </c>
      <c r="E1558" t="n">
        <v>3</v>
      </c>
      <c r="G1558">
        <f>IF(AND(A1558&gt;=Inputs!$B$5,A1558&lt;=Inputs!$B$6),1,0)</f>
        <v/>
      </c>
    </row>
    <row r="1559">
      <c r="A1559" t="inlineStr">
        <is>
          <t>2026-05</t>
        </is>
      </c>
      <c r="B1559" t="inlineStr">
        <is>
          <t>HOSP-2</t>
        </is>
      </c>
      <c r="C1559" t="inlineStr">
        <is>
          <t>SS-01013</t>
        </is>
      </c>
      <c r="D1559" t="n">
        <v>19</v>
      </c>
      <c r="E1559" t="n">
        <v>8</v>
      </c>
      <c r="F1559" t="inlineStr">
        <is>
          <t>surge</t>
        </is>
      </c>
      <c r="G1559">
        <f>IF(AND(A1559&gt;=Inputs!$B$5,A1559&lt;=Inputs!$B$6),1,0)</f>
        <v/>
      </c>
    </row>
    <row r="1560">
      <c r="A1560" t="inlineStr">
        <is>
          <t>2026-05</t>
        </is>
      </c>
      <c r="B1560" t="inlineStr">
        <is>
          <t>HOSP-3</t>
        </is>
      </c>
      <c r="C1560" t="inlineStr">
        <is>
          <t>SS-01161</t>
        </is>
      </c>
      <c r="D1560" t="n">
        <v>0</v>
      </c>
      <c r="E1560" t="n">
        <v>0</v>
      </c>
      <c r="G1560">
        <f>IF(AND(A1560&gt;=Inputs!$B$5,A1560&lt;=Inputs!$B$6),1,0)</f>
        <v/>
      </c>
    </row>
    <row r="1561">
      <c r="A1561" t="inlineStr">
        <is>
          <t>2026-05</t>
        </is>
      </c>
      <c r="B1561" t="inlineStr">
        <is>
          <t>HOSP-4</t>
        </is>
      </c>
      <c r="C1561" t="inlineStr">
        <is>
          <t>SS-01162</t>
        </is>
      </c>
      <c r="D1561" t="n">
        <v>2</v>
      </c>
      <c r="E1561" t="n">
        <v>0</v>
      </c>
      <c r="G1561">
        <f>IF(AND(A1561&gt;=Inputs!$B$5,A1561&lt;=Inputs!$B$6),1,0)</f>
        <v/>
      </c>
    </row>
    <row r="1562">
      <c r="A1562" t="inlineStr">
        <is>
          <t>2026-05</t>
        </is>
      </c>
      <c r="B1562" t="inlineStr">
        <is>
          <t>HOSP-1</t>
        </is>
      </c>
      <c r="C1562" t="inlineStr">
        <is>
          <t>SS-01163</t>
        </is>
      </c>
      <c r="D1562" t="n">
        <v>0</v>
      </c>
      <c r="E1562" t="n">
        <v>0</v>
      </c>
      <c r="G1562">
        <f>IF(AND(A1562&gt;=Inputs!$B$5,A1562&lt;=Inputs!$B$6),1,0)</f>
        <v/>
      </c>
    </row>
    <row r="1563">
      <c r="A1563" t="inlineStr">
        <is>
          <t>2026-05</t>
        </is>
      </c>
      <c r="B1563" t="inlineStr">
        <is>
          <t>HOSP-2</t>
        </is>
      </c>
      <c r="C1563" t="inlineStr">
        <is>
          <t>SS-01164</t>
        </is>
      </c>
      <c r="D1563" t="n">
        <v>36</v>
      </c>
      <c r="E1563" t="n">
        <v>0</v>
      </c>
      <c r="G1563">
        <f>IF(AND(A1563&gt;=Inputs!$B$5,A1563&lt;=Inputs!$B$6),1,0)</f>
        <v/>
      </c>
    </row>
    <row r="1564">
      <c r="A1564" t="inlineStr">
        <is>
          <t>2026-05</t>
        </is>
      </c>
      <c r="B1564" t="inlineStr">
        <is>
          <t>HOSP-3</t>
        </is>
      </c>
      <c r="C1564" t="inlineStr">
        <is>
          <t>SS-01041</t>
        </is>
      </c>
      <c r="D1564" t="n">
        <v>60</v>
      </c>
      <c r="E1564" t="n">
        <v>0</v>
      </c>
      <c r="G1564">
        <f>IF(AND(A1564&gt;=Inputs!$B$5,A1564&lt;=Inputs!$B$6),1,0)</f>
        <v/>
      </c>
    </row>
    <row r="1565">
      <c r="A1565" t="inlineStr">
        <is>
          <t>2026-05</t>
        </is>
      </c>
      <c r="B1565" t="inlineStr">
        <is>
          <t>HOSP-4</t>
        </is>
      </c>
      <c r="C1565" t="inlineStr">
        <is>
          <t>SS-01166</t>
        </is>
      </c>
      <c r="D1565" t="n">
        <v>12</v>
      </c>
      <c r="E1565" t="n">
        <v>0</v>
      </c>
      <c r="G1565">
        <f>IF(AND(A1565&gt;=Inputs!$B$5,A1565&lt;=Inputs!$B$6),1,0)</f>
        <v/>
      </c>
    </row>
    <row r="1566">
      <c r="A1566" t="inlineStr">
        <is>
          <t>2026-05</t>
        </is>
      </c>
      <c r="B1566" t="inlineStr">
        <is>
          <t>HOSP-1</t>
        </is>
      </c>
      <c r="C1566" t="inlineStr">
        <is>
          <t>SS-01167</t>
        </is>
      </c>
      <c r="D1566" t="n">
        <v>0</v>
      </c>
      <c r="E1566" t="n">
        <v>0</v>
      </c>
      <c r="G1566">
        <f>IF(AND(A1566&gt;=Inputs!$B$5,A1566&lt;=Inputs!$B$6),1,0)</f>
        <v/>
      </c>
    </row>
    <row r="1567">
      <c r="A1567" t="inlineStr">
        <is>
          <t>2026-05</t>
        </is>
      </c>
      <c r="B1567" t="inlineStr">
        <is>
          <t>HOSP-2</t>
        </is>
      </c>
      <c r="C1567" t="inlineStr">
        <is>
          <t>SS-01168</t>
        </is>
      </c>
      <c r="D1567" t="n">
        <v>53</v>
      </c>
      <c r="E1567" t="n">
        <v>0</v>
      </c>
      <c r="G1567">
        <f>IF(AND(A1567&gt;=Inputs!$B$5,A1567&lt;=Inputs!$B$6),1,0)</f>
        <v/>
      </c>
    </row>
    <row r="1568">
      <c r="A1568" t="inlineStr">
        <is>
          <t>2026-05</t>
        </is>
      </c>
      <c r="B1568" t="inlineStr">
        <is>
          <t>HOSP-3</t>
        </is>
      </c>
      <c r="C1568" t="inlineStr">
        <is>
          <t>SS-01169</t>
        </is>
      </c>
      <c r="D1568" t="n">
        <v>0</v>
      </c>
      <c r="E1568" t="n">
        <v>0</v>
      </c>
      <c r="G1568">
        <f>IF(AND(A1568&gt;=Inputs!$B$5,A1568&lt;=Inputs!$B$6),1,0)</f>
        <v/>
      </c>
    </row>
    <row r="1569">
      <c r="A1569" t="inlineStr">
        <is>
          <t>2026-05</t>
        </is>
      </c>
      <c r="B1569" t="inlineStr">
        <is>
          <t>HOSP-4</t>
        </is>
      </c>
      <c r="C1569" t="inlineStr">
        <is>
          <t>SS-01170</t>
        </is>
      </c>
      <c r="D1569" t="n">
        <v>48</v>
      </c>
      <c r="E1569" t="n">
        <v>0</v>
      </c>
      <c r="G1569">
        <f>IF(AND(A1569&gt;=Inputs!$B$5,A1569&lt;=Inputs!$B$6),1,0)</f>
        <v/>
      </c>
    </row>
    <row r="1570">
      <c r="A1570" t="inlineStr">
        <is>
          <t>2026-05</t>
        </is>
      </c>
      <c r="B1570" t="inlineStr">
        <is>
          <t>HOSP-1</t>
        </is>
      </c>
      <c r="C1570" t="inlineStr">
        <is>
          <t>SS-01171</t>
        </is>
      </c>
      <c r="D1570" t="n">
        <v>7</v>
      </c>
      <c r="E1570" t="n">
        <v>0</v>
      </c>
      <c r="G1570">
        <f>IF(AND(A1570&gt;=Inputs!$B$5,A1570&lt;=Inputs!$B$6),1,0)</f>
        <v/>
      </c>
    </row>
    <row r="1571">
      <c r="A1571" t="inlineStr">
        <is>
          <t>2026-05</t>
        </is>
      </c>
      <c r="B1571" t="inlineStr">
        <is>
          <t>HOSP-2</t>
        </is>
      </c>
      <c r="C1571" t="inlineStr">
        <is>
          <t>SS-01172</t>
        </is>
      </c>
      <c r="D1571" t="n">
        <v>168</v>
      </c>
      <c r="E1571" t="n">
        <v>0</v>
      </c>
      <c r="G1571">
        <f>IF(AND(A1571&gt;=Inputs!$B$5,A1571&lt;=Inputs!$B$6),1,0)</f>
        <v/>
      </c>
    </row>
    <row r="1572">
      <c r="A1572" t="inlineStr">
        <is>
          <t>2026-05</t>
        </is>
      </c>
      <c r="B1572" t="inlineStr">
        <is>
          <t>HOSP-3</t>
        </is>
      </c>
      <c r="C1572" t="inlineStr">
        <is>
          <t>SS-01173</t>
        </is>
      </c>
      <c r="D1572" t="n">
        <v>21</v>
      </c>
      <c r="E1572" t="n">
        <v>0</v>
      </c>
      <c r="G1572">
        <f>IF(AND(A1572&gt;=Inputs!$B$5,A1572&lt;=Inputs!$B$6),1,0)</f>
        <v/>
      </c>
    </row>
    <row r="1573">
      <c r="A1573" t="inlineStr">
        <is>
          <t>2026-05</t>
        </is>
      </c>
      <c r="B1573" t="inlineStr">
        <is>
          <t>HOSP-4</t>
        </is>
      </c>
      <c r="C1573" t="inlineStr">
        <is>
          <t>SS-01174</t>
        </is>
      </c>
      <c r="D1573" t="n">
        <v>36</v>
      </c>
      <c r="E1573" t="n">
        <v>0</v>
      </c>
      <c r="G1573">
        <f>IF(AND(A1573&gt;=Inputs!$B$5,A1573&lt;=Inputs!$B$6),1,0)</f>
        <v/>
      </c>
    </row>
    <row r="1574">
      <c r="A1574" t="inlineStr">
        <is>
          <t>2026-05</t>
        </is>
      </c>
      <c r="B1574" t="inlineStr">
        <is>
          <t>HOSP-1</t>
        </is>
      </c>
      <c r="C1574" t="inlineStr">
        <is>
          <t>SS-01175</t>
        </is>
      </c>
      <c r="D1574" t="n">
        <v>32</v>
      </c>
      <c r="E1574" t="n">
        <v>0</v>
      </c>
      <c r="G1574">
        <f>IF(AND(A1574&gt;=Inputs!$B$5,A1574&lt;=Inputs!$B$6),1,0)</f>
        <v/>
      </c>
    </row>
    <row r="1575">
      <c r="A1575" t="inlineStr">
        <is>
          <t>2026-05</t>
        </is>
      </c>
      <c r="B1575" t="inlineStr">
        <is>
          <t>HOSP-2</t>
        </is>
      </c>
      <c r="C1575" t="inlineStr">
        <is>
          <t>SS-01176</t>
        </is>
      </c>
      <c r="D1575" t="n">
        <v>22</v>
      </c>
      <c r="E1575" t="n">
        <v>0</v>
      </c>
      <c r="G1575">
        <f>IF(AND(A1575&gt;=Inputs!$B$5,A1575&lt;=Inputs!$B$6),1,0)</f>
        <v/>
      </c>
    </row>
    <row r="1576">
      <c r="A1576" t="inlineStr">
        <is>
          <t>2026-05</t>
        </is>
      </c>
      <c r="B1576" t="inlineStr">
        <is>
          <t>HOSP-3</t>
        </is>
      </c>
      <c r="C1576" t="inlineStr">
        <is>
          <t>SS-01177</t>
        </is>
      </c>
      <c r="D1576" t="n">
        <v>72</v>
      </c>
      <c r="E1576" t="n">
        <v>0</v>
      </c>
      <c r="G1576">
        <f>IF(AND(A1576&gt;=Inputs!$B$5,A1576&lt;=Inputs!$B$6),1,0)</f>
        <v/>
      </c>
    </row>
    <row r="1577">
      <c r="A1577" t="inlineStr">
        <is>
          <t>2026-05</t>
        </is>
      </c>
      <c r="B1577" t="inlineStr">
        <is>
          <t>HOSP-4</t>
        </is>
      </c>
      <c r="C1577" t="inlineStr">
        <is>
          <t>SS-01178</t>
        </is>
      </c>
      <c r="D1577" t="n">
        <v>24</v>
      </c>
      <c r="E1577" t="n">
        <v>0</v>
      </c>
      <c r="G1577">
        <f>IF(AND(A1577&gt;=Inputs!$B$5,A1577&lt;=Inputs!$B$6),1,0)</f>
        <v/>
      </c>
    </row>
    <row r="1578">
      <c r="A1578" t="inlineStr">
        <is>
          <t>2026-05</t>
        </is>
      </c>
      <c r="B1578" t="inlineStr">
        <is>
          <t>HOSP-1</t>
        </is>
      </c>
      <c r="C1578" t="inlineStr">
        <is>
          <t>SS-01179</t>
        </is>
      </c>
      <c r="D1578" t="n">
        <v>0</v>
      </c>
      <c r="E1578" t="n">
        <v>0</v>
      </c>
      <c r="G1578">
        <f>IF(AND(A1578&gt;=Inputs!$B$5,A1578&lt;=Inputs!$B$6),1,0)</f>
        <v/>
      </c>
    </row>
    <row r="1579">
      <c r="A1579" t="inlineStr">
        <is>
          <t>2026-05</t>
        </is>
      </c>
      <c r="B1579" t="inlineStr">
        <is>
          <t>HOSP-2</t>
        </is>
      </c>
      <c r="C1579" t="inlineStr">
        <is>
          <t>SS-01180</t>
        </is>
      </c>
      <c r="D1579" t="n">
        <v>12</v>
      </c>
      <c r="E1579" t="n">
        <v>0</v>
      </c>
      <c r="G1579">
        <f>IF(AND(A1579&gt;=Inputs!$B$5,A1579&lt;=Inputs!$B$6),1,0)</f>
        <v/>
      </c>
    </row>
    <row r="1580">
      <c r="A1580" t="inlineStr">
        <is>
          <t>2026-05</t>
        </is>
      </c>
      <c r="B1580" t="inlineStr">
        <is>
          <t>HOSP-3</t>
        </is>
      </c>
      <c r="C1580" t="inlineStr">
        <is>
          <t>SS-01181</t>
        </is>
      </c>
      <c r="D1580" t="n">
        <v>0</v>
      </c>
      <c r="E1580" t="n">
        <v>0</v>
      </c>
      <c r="G1580">
        <f>IF(AND(A1580&gt;=Inputs!$B$5,A1580&lt;=Inputs!$B$6),1,0)</f>
        <v/>
      </c>
    </row>
    <row r="1581">
      <c r="A1581" t="inlineStr">
        <is>
          <t>2026-05</t>
        </is>
      </c>
      <c r="B1581" t="inlineStr">
        <is>
          <t>HOSP-4</t>
        </is>
      </c>
      <c r="C1581" t="inlineStr">
        <is>
          <t>SS-01182</t>
        </is>
      </c>
      <c r="D1581" t="n">
        <v>48</v>
      </c>
      <c r="E1581" t="n">
        <v>0</v>
      </c>
      <c r="G1581">
        <f>IF(AND(A1581&gt;=Inputs!$B$5,A1581&lt;=Inputs!$B$6),1,0)</f>
        <v/>
      </c>
    </row>
    <row r="1582">
      <c r="A1582" t="inlineStr">
        <is>
          <t>2026-05</t>
        </is>
      </c>
      <c r="B1582" t="inlineStr">
        <is>
          <t>HOSP-1</t>
        </is>
      </c>
      <c r="C1582" t="inlineStr">
        <is>
          <t>SS-01183</t>
        </is>
      </c>
      <c r="D1582" t="n">
        <v>60</v>
      </c>
      <c r="E1582" t="n">
        <v>0</v>
      </c>
      <c r="G1582">
        <f>IF(AND(A1582&gt;=Inputs!$B$5,A1582&lt;=Inputs!$B$6),1,0)</f>
        <v/>
      </c>
    </row>
    <row r="1583">
      <c r="A1583" t="inlineStr">
        <is>
          <t>2026-05</t>
        </is>
      </c>
      <c r="B1583" t="inlineStr">
        <is>
          <t>HOSP-2</t>
        </is>
      </c>
      <c r="C1583" t="inlineStr">
        <is>
          <t>SS-01184</t>
        </is>
      </c>
      <c r="D1583" t="n">
        <v>12</v>
      </c>
      <c r="E1583" t="n">
        <v>0</v>
      </c>
      <c r="G1583">
        <f>IF(AND(A1583&gt;=Inputs!$B$5,A1583&lt;=Inputs!$B$6),1,0)</f>
        <v/>
      </c>
    </row>
    <row r="1584">
      <c r="A1584" t="inlineStr">
        <is>
          <t>2026-05</t>
        </is>
      </c>
      <c r="B1584" t="inlineStr">
        <is>
          <t>HOSP-3</t>
        </is>
      </c>
      <c r="C1584" t="inlineStr">
        <is>
          <t>SS-01185</t>
        </is>
      </c>
      <c r="D1584" t="n">
        <v>0</v>
      </c>
      <c r="E1584" t="n">
        <v>0</v>
      </c>
      <c r="G1584">
        <f>IF(AND(A1584&gt;=Inputs!$B$5,A1584&lt;=Inputs!$B$6),1,0)</f>
        <v/>
      </c>
    </row>
    <row r="1585">
      <c r="A1585" t="inlineStr">
        <is>
          <t>2026-05</t>
        </is>
      </c>
      <c r="B1585" t="inlineStr">
        <is>
          <t>HOSP-4</t>
        </is>
      </c>
      <c r="C1585" t="inlineStr">
        <is>
          <t>SS-01186</t>
        </is>
      </c>
      <c r="D1585" t="n">
        <v>68</v>
      </c>
      <c r="E1585" t="n">
        <v>0</v>
      </c>
      <c r="G1585">
        <f>IF(AND(A1585&gt;=Inputs!$B$5,A1585&lt;=Inputs!$B$6),1,0)</f>
        <v/>
      </c>
    </row>
    <row r="1586">
      <c r="A1586" t="inlineStr">
        <is>
          <t>2026-05</t>
        </is>
      </c>
      <c r="B1586" t="inlineStr">
        <is>
          <t>HOSP-1</t>
        </is>
      </c>
      <c r="C1586" t="inlineStr">
        <is>
          <t>SS-01187</t>
        </is>
      </c>
      <c r="D1586" t="n">
        <v>12</v>
      </c>
      <c r="E1586" t="n">
        <v>0</v>
      </c>
      <c r="G1586">
        <f>IF(AND(A1586&gt;=Inputs!$B$5,A1586&lt;=Inputs!$B$6),1,0)</f>
        <v/>
      </c>
    </row>
    <row r="1587">
      <c r="A1587" t="inlineStr">
        <is>
          <t>2026-05</t>
        </is>
      </c>
      <c r="B1587" t="inlineStr">
        <is>
          <t>HOSP-2</t>
        </is>
      </c>
      <c r="C1587" t="inlineStr">
        <is>
          <t>SS-01188</t>
        </is>
      </c>
      <c r="D1587" t="n">
        <v>29</v>
      </c>
      <c r="E1587" t="n">
        <v>0</v>
      </c>
      <c r="G1587">
        <f>IF(AND(A1587&gt;=Inputs!$B$5,A1587&lt;=Inputs!$B$6),1,0)</f>
        <v/>
      </c>
    </row>
    <row r="1588">
      <c r="A1588" t="inlineStr">
        <is>
          <t>2026-05</t>
        </is>
      </c>
      <c r="B1588" t="inlineStr">
        <is>
          <t>HOSP-3</t>
        </is>
      </c>
      <c r="C1588" t="inlineStr">
        <is>
          <t>SS-01189</t>
        </is>
      </c>
      <c r="D1588" t="n">
        <v>12</v>
      </c>
      <c r="E1588" t="n">
        <v>0</v>
      </c>
      <c r="G1588">
        <f>IF(AND(A1588&gt;=Inputs!$B$5,A1588&lt;=Inputs!$B$6),1,0)</f>
        <v/>
      </c>
    </row>
    <row r="1589">
      <c r="A1589" t="inlineStr">
        <is>
          <t>2026-05</t>
        </is>
      </c>
      <c r="B1589" t="inlineStr">
        <is>
          <t>HOSP-4</t>
        </is>
      </c>
      <c r="C1589" t="inlineStr">
        <is>
          <t>SS-01113</t>
        </is>
      </c>
      <c r="D1589" t="n">
        <v>12</v>
      </c>
      <c r="E1589" t="n">
        <v>0</v>
      </c>
      <c r="G1589">
        <f>IF(AND(A1589&gt;=Inputs!$B$5,A1589&lt;=Inputs!$B$6),1,0)</f>
        <v/>
      </c>
    </row>
    <row r="1590">
      <c r="A1590" t="inlineStr">
        <is>
          <t>2026-05</t>
        </is>
      </c>
      <c r="B1590" t="inlineStr">
        <is>
          <t>HOSP-1</t>
        </is>
      </c>
      <c r="C1590" t="inlineStr">
        <is>
          <t>SS-01191</t>
        </is>
      </c>
      <c r="D1590" t="n">
        <v>12</v>
      </c>
      <c r="E1590" t="n">
        <v>0</v>
      </c>
      <c r="G1590">
        <f>IF(AND(A1590&gt;=Inputs!$B$5,A1590&lt;=Inputs!$B$6),1,0)</f>
        <v/>
      </c>
    </row>
    <row r="1591">
      <c r="A1591" t="inlineStr">
        <is>
          <t>2026-06</t>
        </is>
      </c>
      <c r="B1591" t="inlineStr">
        <is>
          <t>HOSP-2</t>
        </is>
      </c>
      <c r="C1591" t="inlineStr">
        <is>
          <t>SS-01192</t>
        </is>
      </c>
      <c r="D1591" t="n">
        <v>24</v>
      </c>
      <c r="E1591" t="n">
        <v>0</v>
      </c>
      <c r="G1591">
        <f>IF(AND(A1591&gt;=Inputs!$B$5,A1591&lt;=Inputs!$B$6),1,0)</f>
        <v/>
      </c>
    </row>
    <row r="1592">
      <c r="A1592" t="inlineStr">
        <is>
          <t>2026-06</t>
        </is>
      </c>
      <c r="B1592" t="inlineStr">
        <is>
          <t>HOSP-3</t>
        </is>
      </c>
      <c r="C1592" t="inlineStr">
        <is>
          <t>SS-01193</t>
        </is>
      </c>
      <c r="D1592" t="n">
        <v>0</v>
      </c>
      <c r="E1592" t="n">
        <v>0</v>
      </c>
      <c r="G1592">
        <f>IF(AND(A1592&gt;=Inputs!$B$5,A1592&lt;=Inputs!$B$6),1,0)</f>
        <v/>
      </c>
    </row>
    <row r="1593">
      <c r="A1593" t="inlineStr">
        <is>
          <t>2026-06</t>
        </is>
      </c>
      <c r="B1593" t="inlineStr">
        <is>
          <t>HOSP-4</t>
        </is>
      </c>
      <c r="C1593" t="inlineStr">
        <is>
          <t>SS-01194</t>
        </is>
      </c>
      <c r="D1593" t="n">
        <v>255</v>
      </c>
      <c r="E1593" t="n">
        <v>0</v>
      </c>
      <c r="G1593">
        <f>IF(AND(A1593&gt;=Inputs!$B$5,A1593&lt;=Inputs!$B$6),1,0)</f>
        <v/>
      </c>
    </row>
    <row r="1594">
      <c r="A1594" t="inlineStr">
        <is>
          <t>2026-06</t>
        </is>
      </c>
      <c r="B1594" t="inlineStr">
        <is>
          <t>HOSP-1</t>
        </is>
      </c>
      <c r="C1594" t="inlineStr">
        <is>
          <t>SS-01195</t>
        </is>
      </c>
      <c r="D1594" t="n">
        <v>34</v>
      </c>
      <c r="E1594" t="n">
        <v>0</v>
      </c>
      <c r="G1594">
        <f>IF(AND(A1594&gt;=Inputs!$B$5,A1594&lt;=Inputs!$B$6),1,0)</f>
        <v/>
      </c>
    </row>
    <row r="1595">
      <c r="A1595" t="inlineStr">
        <is>
          <t>2026-06</t>
        </is>
      </c>
      <c r="B1595" t="inlineStr">
        <is>
          <t>HOSP-2</t>
        </is>
      </c>
      <c r="C1595" t="inlineStr">
        <is>
          <t>SS-01196</t>
        </is>
      </c>
      <c r="D1595" t="n">
        <v>84</v>
      </c>
      <c r="E1595" t="n">
        <v>0</v>
      </c>
      <c r="G1595">
        <f>IF(AND(A1595&gt;=Inputs!$B$5,A1595&lt;=Inputs!$B$6),1,0)</f>
        <v/>
      </c>
    </row>
    <row r="1596">
      <c r="A1596" t="inlineStr">
        <is>
          <t>2026-06</t>
        </is>
      </c>
      <c r="B1596" t="inlineStr">
        <is>
          <t>HOSP-3</t>
        </is>
      </c>
      <c r="C1596" t="inlineStr">
        <is>
          <t>SS-01197</t>
        </is>
      </c>
      <c r="D1596" t="n">
        <v>0</v>
      </c>
      <c r="E1596" t="n">
        <v>0</v>
      </c>
      <c r="G1596">
        <f>IF(AND(A1596&gt;=Inputs!$B$5,A1596&lt;=Inputs!$B$6),1,0)</f>
        <v/>
      </c>
    </row>
    <row r="1597">
      <c r="A1597" t="inlineStr">
        <is>
          <t>2026-06</t>
        </is>
      </c>
      <c r="B1597" t="inlineStr">
        <is>
          <t>HOSP-4</t>
        </is>
      </c>
      <c r="C1597" t="inlineStr">
        <is>
          <t>SS-01198</t>
        </is>
      </c>
      <c r="D1597" t="n">
        <v>0</v>
      </c>
      <c r="E1597" t="n">
        <v>0</v>
      </c>
      <c r="G1597">
        <f>IF(AND(A1597&gt;=Inputs!$B$5,A1597&lt;=Inputs!$B$6),1,0)</f>
        <v/>
      </c>
    </row>
    <row r="1598">
      <c r="A1598" t="inlineStr">
        <is>
          <t>2026-06</t>
        </is>
      </c>
      <c r="B1598" t="inlineStr">
        <is>
          <t>HOSP-1</t>
        </is>
      </c>
      <c r="C1598" t="inlineStr">
        <is>
          <t>SS-01199</t>
        </is>
      </c>
      <c r="D1598" t="n">
        <v>154</v>
      </c>
      <c r="E1598" t="n">
        <v>0</v>
      </c>
      <c r="G1598">
        <f>IF(AND(A1598&gt;=Inputs!$B$5,A1598&lt;=Inputs!$B$6),1,0)</f>
        <v/>
      </c>
    </row>
    <row r="1599">
      <c r="A1599" t="inlineStr">
        <is>
          <t>2026-06</t>
        </is>
      </c>
      <c r="B1599" t="inlineStr">
        <is>
          <t>HOSP-2</t>
        </is>
      </c>
      <c r="C1599" t="inlineStr">
        <is>
          <t>SS-01200</t>
        </is>
      </c>
      <c r="D1599" t="n">
        <v>4</v>
      </c>
      <c r="E1599" t="n">
        <v>0</v>
      </c>
      <c r="G1599">
        <f>IF(AND(A1599&gt;=Inputs!$B$5,A1599&lt;=Inputs!$B$6),1,0)</f>
        <v/>
      </c>
    </row>
    <row r="1600">
      <c r="A1600" t="inlineStr">
        <is>
          <t>2026-06</t>
        </is>
      </c>
      <c r="B1600" t="inlineStr">
        <is>
          <t>HOSP-3</t>
        </is>
      </c>
      <c r="C1600" t="inlineStr">
        <is>
          <t>SS-01201</t>
        </is>
      </c>
      <c r="D1600" t="n">
        <v>12</v>
      </c>
      <c r="E1600" t="n">
        <v>0</v>
      </c>
      <c r="G1600">
        <f>IF(AND(A1600&gt;=Inputs!$B$5,A1600&lt;=Inputs!$B$6),1,0)</f>
        <v/>
      </c>
    </row>
    <row r="1601">
      <c r="A1601" t="inlineStr">
        <is>
          <t>2026-06</t>
        </is>
      </c>
      <c r="B1601" t="inlineStr">
        <is>
          <t>HOSP-4</t>
        </is>
      </c>
      <c r="C1601" t="inlineStr">
        <is>
          <t>SS-01202</t>
        </is>
      </c>
      <c r="D1601" t="n">
        <v>15</v>
      </c>
      <c r="E1601" t="n">
        <v>0</v>
      </c>
      <c r="G1601">
        <f>IF(AND(A1601&gt;=Inputs!$B$5,A1601&lt;=Inputs!$B$6),1,0)</f>
        <v/>
      </c>
    </row>
    <row r="1602">
      <c r="A1602" t="inlineStr">
        <is>
          <t>2026-06</t>
        </is>
      </c>
      <c r="B1602" t="inlineStr">
        <is>
          <t>HOSP-1</t>
        </is>
      </c>
      <c r="C1602" t="inlineStr">
        <is>
          <t>SS-01203</t>
        </is>
      </c>
      <c r="D1602" t="n">
        <v>0</v>
      </c>
      <c r="E1602" t="n">
        <v>0</v>
      </c>
      <c r="G1602">
        <f>IF(AND(A1602&gt;=Inputs!$B$5,A1602&lt;=Inputs!$B$6),1,0)</f>
        <v/>
      </c>
    </row>
    <row r="1603">
      <c r="A1603" t="inlineStr">
        <is>
          <t>2026-06</t>
        </is>
      </c>
      <c r="B1603" t="inlineStr">
        <is>
          <t>HOSP-2</t>
        </is>
      </c>
      <c r="C1603" t="inlineStr">
        <is>
          <t>SS-01204</t>
        </is>
      </c>
      <c r="D1603" t="n">
        <v>43</v>
      </c>
      <c r="E1603" t="n">
        <v>5</v>
      </c>
      <c r="G1603">
        <f>IF(AND(A1603&gt;=Inputs!$B$5,A1603&lt;=Inputs!$B$6),1,0)</f>
        <v/>
      </c>
    </row>
    <row r="1604">
      <c r="A1604" t="inlineStr">
        <is>
          <t>2026-06</t>
        </is>
      </c>
      <c r="B1604" t="inlineStr">
        <is>
          <t>HOSP-3</t>
        </is>
      </c>
      <c r="C1604" t="inlineStr">
        <is>
          <t>SS-01205</t>
        </is>
      </c>
      <c r="D1604" t="n">
        <v>0</v>
      </c>
      <c r="E1604" t="n">
        <v>0</v>
      </c>
      <c r="G1604">
        <f>IF(AND(A1604&gt;=Inputs!$B$5,A1604&lt;=Inputs!$B$6),1,0)</f>
        <v/>
      </c>
    </row>
    <row r="1605">
      <c r="A1605" t="inlineStr">
        <is>
          <t>2026-06</t>
        </is>
      </c>
      <c r="B1605" t="inlineStr">
        <is>
          <t>HOSP-4</t>
        </is>
      </c>
      <c r="C1605" t="inlineStr">
        <is>
          <t>SS-01206</t>
        </is>
      </c>
      <c r="D1605" t="n">
        <v>12</v>
      </c>
      <c r="E1605" t="n">
        <v>0</v>
      </c>
      <c r="G1605">
        <f>IF(AND(A1605&gt;=Inputs!$B$5,A1605&lt;=Inputs!$B$6),1,0)</f>
        <v/>
      </c>
    </row>
    <row r="1606">
      <c r="A1606" t="inlineStr">
        <is>
          <t>2026-06</t>
        </is>
      </c>
      <c r="B1606" t="inlineStr">
        <is>
          <t>HOSP-1</t>
        </is>
      </c>
      <c r="C1606" t="inlineStr">
        <is>
          <t>SS-01207</t>
        </is>
      </c>
      <c r="D1606" t="n">
        <v>5</v>
      </c>
      <c r="E1606" t="n">
        <v>0</v>
      </c>
      <c r="G1606">
        <f>IF(AND(A1606&gt;=Inputs!$B$5,A1606&lt;=Inputs!$B$6),1,0)</f>
        <v/>
      </c>
    </row>
    <row r="1607">
      <c r="A1607" t="inlineStr">
        <is>
          <t>2026-06</t>
        </is>
      </c>
      <c r="B1607" t="inlineStr">
        <is>
          <t>HOSP-2</t>
        </is>
      </c>
      <c r="C1607" t="inlineStr">
        <is>
          <t>SS-01208</t>
        </is>
      </c>
      <c r="D1607" t="n">
        <v>96</v>
      </c>
      <c r="E1607" t="n">
        <v>0</v>
      </c>
      <c r="G1607">
        <f>IF(AND(A1607&gt;=Inputs!$B$5,A1607&lt;=Inputs!$B$6),1,0)</f>
        <v/>
      </c>
    </row>
    <row r="1608">
      <c r="A1608" t="inlineStr">
        <is>
          <t>2026-06</t>
        </is>
      </c>
      <c r="B1608" t="inlineStr">
        <is>
          <t>HOSP-3</t>
        </is>
      </c>
      <c r="C1608" t="inlineStr">
        <is>
          <t>SS-01209</t>
        </is>
      </c>
      <c r="D1608" t="n">
        <v>0</v>
      </c>
      <c r="E1608" t="n">
        <v>0</v>
      </c>
      <c r="G1608">
        <f>IF(AND(A1608&gt;=Inputs!$B$5,A1608&lt;=Inputs!$B$6),1,0)</f>
        <v/>
      </c>
    </row>
    <row r="1609">
      <c r="A1609" t="inlineStr">
        <is>
          <t>2026-06</t>
        </is>
      </c>
      <c r="B1609" t="inlineStr">
        <is>
          <t>HOSP-4</t>
        </is>
      </c>
      <c r="C1609" t="inlineStr">
        <is>
          <t>SS-01210</t>
        </is>
      </c>
      <c r="D1609" t="n">
        <v>12</v>
      </c>
      <c r="E1609" t="n">
        <v>0</v>
      </c>
      <c r="G1609">
        <f>IF(AND(A1609&gt;=Inputs!$B$5,A1609&lt;=Inputs!$B$6),1,0)</f>
        <v/>
      </c>
    </row>
    <row r="1610">
      <c r="A1610" t="inlineStr">
        <is>
          <t>2026-06</t>
        </is>
      </c>
      <c r="B1610" t="inlineStr">
        <is>
          <t>HOSP-1</t>
        </is>
      </c>
      <c r="C1610" t="inlineStr">
        <is>
          <t>SS-01211</t>
        </is>
      </c>
      <c r="D1610" t="n">
        <v>96</v>
      </c>
      <c r="E1610" t="n">
        <v>0</v>
      </c>
      <c r="G1610">
        <f>IF(AND(A1610&gt;=Inputs!$B$5,A1610&lt;=Inputs!$B$6),1,0)</f>
        <v/>
      </c>
    </row>
    <row r="1611">
      <c r="A1611" t="inlineStr">
        <is>
          <t>2026-06</t>
        </is>
      </c>
      <c r="B1611" t="inlineStr">
        <is>
          <t>HOSP-2</t>
        </is>
      </c>
      <c r="C1611" t="inlineStr">
        <is>
          <t>SS-01212</t>
        </is>
      </c>
      <c r="D1611" t="n">
        <v>0</v>
      </c>
      <c r="E1611" t="n">
        <v>0</v>
      </c>
      <c r="G1611">
        <f>IF(AND(A1611&gt;=Inputs!$B$5,A1611&lt;=Inputs!$B$6),1,0)</f>
        <v/>
      </c>
    </row>
    <row r="1612">
      <c r="A1612" t="inlineStr">
        <is>
          <t>2026-06</t>
        </is>
      </c>
      <c r="B1612" t="inlineStr">
        <is>
          <t>HOSP-3</t>
        </is>
      </c>
      <c r="C1612" t="inlineStr">
        <is>
          <t>SS-01213</t>
        </is>
      </c>
      <c r="D1612" t="n">
        <v>53</v>
      </c>
      <c r="E1612" t="n">
        <v>0</v>
      </c>
      <c r="G1612">
        <f>IF(AND(A1612&gt;=Inputs!$B$5,A1612&lt;=Inputs!$B$6),1,0)</f>
        <v/>
      </c>
    </row>
    <row r="1613">
      <c r="A1613" t="inlineStr">
        <is>
          <t>2026-06</t>
        </is>
      </c>
      <c r="B1613" t="inlineStr">
        <is>
          <t>HOSP-4</t>
        </is>
      </c>
      <c r="C1613" t="inlineStr">
        <is>
          <t>SS-01062</t>
        </is>
      </c>
      <c r="D1613" t="n">
        <v>24</v>
      </c>
      <c r="E1613" t="n">
        <v>0</v>
      </c>
      <c r="G1613">
        <f>IF(AND(A1613&gt;=Inputs!$B$5,A1613&lt;=Inputs!$B$6),1,0)</f>
        <v/>
      </c>
    </row>
    <row r="1614">
      <c r="A1614" t="inlineStr">
        <is>
          <t>2026-06</t>
        </is>
      </c>
      <c r="B1614" t="inlineStr">
        <is>
          <t>HOSP-1</t>
        </is>
      </c>
      <c r="C1614" t="inlineStr">
        <is>
          <t>SS-01215</t>
        </is>
      </c>
      <c r="D1614" t="n">
        <v>12</v>
      </c>
      <c r="E1614" t="n">
        <v>0</v>
      </c>
      <c r="G1614">
        <f>IF(AND(A1614&gt;=Inputs!$B$5,A1614&lt;=Inputs!$B$6),1,0)</f>
        <v/>
      </c>
    </row>
    <row r="1615">
      <c r="A1615" t="inlineStr">
        <is>
          <t>2026-06</t>
        </is>
      </c>
      <c r="B1615" t="inlineStr">
        <is>
          <t>HOSP-2</t>
        </is>
      </c>
      <c r="C1615" t="inlineStr">
        <is>
          <t>SS-01216</t>
        </is>
      </c>
      <c r="D1615" t="n">
        <v>12</v>
      </c>
      <c r="E1615" t="n">
        <v>0</v>
      </c>
      <c r="G1615">
        <f>IF(AND(A1615&gt;=Inputs!$B$5,A1615&lt;=Inputs!$B$6),1,0)</f>
        <v/>
      </c>
    </row>
    <row r="1616">
      <c r="A1616" t="inlineStr">
        <is>
          <t>2026-06</t>
        </is>
      </c>
      <c r="B1616" t="inlineStr">
        <is>
          <t>HOSP-3</t>
        </is>
      </c>
      <c r="C1616" t="inlineStr">
        <is>
          <t>SS-01217</t>
        </is>
      </c>
      <c r="D1616" t="n">
        <v>0</v>
      </c>
      <c r="E1616" t="n">
        <v>0</v>
      </c>
      <c r="G1616">
        <f>IF(AND(A1616&gt;=Inputs!$B$5,A1616&lt;=Inputs!$B$6),1,0)</f>
        <v/>
      </c>
    </row>
    <row r="1617">
      <c r="A1617" t="inlineStr">
        <is>
          <t>2026-06</t>
        </is>
      </c>
      <c r="B1617" t="inlineStr">
        <is>
          <t>HOSP-4</t>
        </is>
      </c>
      <c r="C1617" t="inlineStr">
        <is>
          <t>SS-01218</t>
        </is>
      </c>
      <c r="D1617" t="n">
        <v>12</v>
      </c>
      <c r="E1617" t="n">
        <v>0</v>
      </c>
      <c r="G1617">
        <f>IF(AND(A1617&gt;=Inputs!$B$5,A1617&lt;=Inputs!$B$6),1,0)</f>
        <v/>
      </c>
    </row>
    <row r="1618">
      <c r="A1618" t="inlineStr">
        <is>
          <t>2026-06</t>
        </is>
      </c>
      <c r="B1618" t="inlineStr">
        <is>
          <t>HOSP-1</t>
        </is>
      </c>
      <c r="C1618" t="inlineStr">
        <is>
          <t>SS-01219</t>
        </is>
      </c>
      <c r="D1618" t="n">
        <v>84</v>
      </c>
      <c r="E1618" t="n">
        <v>0</v>
      </c>
      <c r="G1618">
        <f>IF(AND(A1618&gt;=Inputs!$B$5,A1618&lt;=Inputs!$B$6),1,0)</f>
        <v/>
      </c>
    </row>
    <row r="1619">
      <c r="A1619" t="inlineStr">
        <is>
          <t>2026-06</t>
        </is>
      </c>
      <c r="B1619" t="inlineStr">
        <is>
          <t>HOSP-2</t>
        </is>
      </c>
      <c r="C1619" t="inlineStr">
        <is>
          <t>SS-01220</t>
        </is>
      </c>
      <c r="D1619" t="n">
        <v>12</v>
      </c>
      <c r="E1619" t="n">
        <v>0</v>
      </c>
      <c r="G1619">
        <f>IF(AND(A1619&gt;=Inputs!$B$5,A1619&lt;=Inputs!$B$6),1,0)</f>
        <v/>
      </c>
    </row>
    <row r="1620">
      <c r="A1620" t="inlineStr">
        <is>
          <t>2026-06</t>
        </is>
      </c>
      <c r="B1620" t="inlineStr">
        <is>
          <t>HOSP-3</t>
        </is>
      </c>
      <c r="C1620" t="inlineStr">
        <is>
          <t>SS-01221</t>
        </is>
      </c>
      <c r="D1620" t="n">
        <v>36</v>
      </c>
      <c r="E1620" t="n">
        <v>0</v>
      </c>
      <c r="G1620">
        <f>IF(AND(A1620&gt;=Inputs!$B$5,A1620&lt;=Inputs!$B$6),1,0)</f>
        <v/>
      </c>
    </row>
    <row r="1621">
      <c r="A1621" t="inlineStr">
        <is>
          <t>2026-06</t>
        </is>
      </c>
      <c r="B1621" t="inlineStr">
        <is>
          <t>HOSP-4</t>
        </is>
      </c>
      <c r="C1621" t="inlineStr">
        <is>
          <t>SS-01222</t>
        </is>
      </c>
      <c r="D1621" t="n">
        <v>0</v>
      </c>
      <c r="E1621" t="n">
        <v>0</v>
      </c>
      <c r="G1621">
        <f>IF(AND(A1621&gt;=Inputs!$B$5,A1621&lt;=Inputs!$B$6),1,0)</f>
        <v/>
      </c>
    </row>
    <row r="1622">
      <c r="A1622" t="inlineStr">
        <is>
          <t>2026-06</t>
        </is>
      </c>
      <c r="B1622" t="inlineStr">
        <is>
          <t>HOSP-1</t>
        </is>
      </c>
      <c r="C1622" t="inlineStr">
        <is>
          <t>SS-01223</t>
        </is>
      </c>
      <c r="D1622" t="n">
        <v>12</v>
      </c>
      <c r="E1622" t="n">
        <v>0</v>
      </c>
      <c r="G1622">
        <f>IF(AND(A1622&gt;=Inputs!$B$5,A1622&lt;=Inputs!$B$6),1,0)</f>
        <v/>
      </c>
    </row>
    <row r="1623">
      <c r="A1623" t="inlineStr">
        <is>
          <t>2026-06</t>
        </is>
      </c>
      <c r="B1623" t="inlineStr">
        <is>
          <t>HOSP-2</t>
        </is>
      </c>
      <c r="C1623" t="inlineStr">
        <is>
          <t>SS-01224</t>
        </is>
      </c>
      <c r="D1623" t="n">
        <v>72</v>
      </c>
      <c r="E1623" t="n">
        <v>0</v>
      </c>
      <c r="G1623">
        <f>IF(AND(A1623&gt;=Inputs!$B$5,A1623&lt;=Inputs!$B$6),1,0)</f>
        <v/>
      </c>
    </row>
    <row r="1624">
      <c r="A1624" t="inlineStr">
        <is>
          <t>2026-06</t>
        </is>
      </c>
      <c r="B1624" t="inlineStr">
        <is>
          <t>HOSP-3</t>
        </is>
      </c>
      <c r="C1624" t="inlineStr">
        <is>
          <t>SS-01225</t>
        </is>
      </c>
      <c r="D1624" t="n">
        <v>60</v>
      </c>
      <c r="E1624" t="n">
        <v>0</v>
      </c>
      <c r="G1624">
        <f>IF(AND(A1624&gt;=Inputs!$B$5,A1624&lt;=Inputs!$B$6),1,0)</f>
        <v/>
      </c>
    </row>
    <row r="1625">
      <c r="A1625" t="inlineStr">
        <is>
          <t>2026-06</t>
        </is>
      </c>
      <c r="B1625" t="inlineStr">
        <is>
          <t>HOSP-4</t>
        </is>
      </c>
      <c r="C1625" t="inlineStr">
        <is>
          <t>SS-01226</t>
        </is>
      </c>
      <c r="D1625" t="n">
        <v>0</v>
      </c>
      <c r="E1625" t="n">
        <v>0</v>
      </c>
      <c r="G1625">
        <f>IF(AND(A1625&gt;=Inputs!$B$5,A1625&lt;=Inputs!$B$6),1,0)</f>
        <v/>
      </c>
    </row>
    <row r="1626">
      <c r="A1626" t="inlineStr">
        <is>
          <t>2026-06</t>
        </is>
      </c>
      <c r="B1626" t="inlineStr">
        <is>
          <t>HOSP-1</t>
        </is>
      </c>
      <c r="C1626" t="inlineStr">
        <is>
          <t>SS-01227</t>
        </is>
      </c>
      <c r="D1626" t="n">
        <v>22</v>
      </c>
      <c r="E1626" t="n">
        <v>14</v>
      </c>
      <c r="G1626">
        <f>IF(AND(A1626&gt;=Inputs!$B$5,A1626&lt;=Inputs!$B$6),1,0)</f>
        <v/>
      </c>
    </row>
    <row r="1627">
      <c r="A1627" t="inlineStr">
        <is>
          <t>2026-06</t>
        </is>
      </c>
      <c r="B1627" t="inlineStr">
        <is>
          <t>HOSP-2</t>
        </is>
      </c>
      <c r="C1627" t="inlineStr">
        <is>
          <t>SS-01216</t>
        </is>
      </c>
      <c r="D1627" t="n">
        <v>47</v>
      </c>
      <c r="E1627" t="n">
        <v>0</v>
      </c>
      <c r="G1627">
        <f>IF(AND(A1627&gt;=Inputs!$B$5,A1627&lt;=Inputs!$B$6),1,0)</f>
        <v/>
      </c>
    </row>
    <row r="1628">
      <c r="A1628" t="inlineStr">
        <is>
          <t>2026-06</t>
        </is>
      </c>
      <c r="B1628" t="inlineStr">
        <is>
          <t>HOSP-3</t>
        </is>
      </c>
      <c r="C1628" t="inlineStr">
        <is>
          <t>SS-01229</t>
        </is>
      </c>
      <c r="D1628" t="n">
        <v>0</v>
      </c>
      <c r="E1628" t="n">
        <v>0</v>
      </c>
      <c r="G1628">
        <f>IF(AND(A1628&gt;=Inputs!$B$5,A1628&lt;=Inputs!$B$6),1,0)</f>
        <v/>
      </c>
    </row>
    <row r="1629">
      <c r="A1629" t="inlineStr">
        <is>
          <t>2026-06</t>
        </is>
      </c>
      <c r="B1629" t="inlineStr">
        <is>
          <t>HOSP-4</t>
        </is>
      </c>
      <c r="C1629" t="inlineStr">
        <is>
          <t>SS-01230</t>
        </is>
      </c>
      <c r="D1629" t="n">
        <v>60</v>
      </c>
      <c r="E1629" t="n">
        <v>0</v>
      </c>
      <c r="G1629">
        <f>IF(AND(A1629&gt;=Inputs!$B$5,A1629&lt;=Inputs!$B$6),1,0)</f>
        <v/>
      </c>
    </row>
    <row r="1630">
      <c r="A1630" t="inlineStr">
        <is>
          <t>2026-06</t>
        </is>
      </c>
      <c r="B1630" t="inlineStr">
        <is>
          <t>HOSP-1</t>
        </is>
      </c>
      <c r="C1630" t="inlineStr">
        <is>
          <t>SS-01210</t>
        </is>
      </c>
      <c r="D1630" t="n">
        <v>0</v>
      </c>
      <c r="E1630" t="n">
        <v>0</v>
      </c>
      <c r="G1630">
        <f>IF(AND(A1630&gt;=Inputs!$B$5,A1630&lt;=Inputs!$B$6),1,0)</f>
        <v/>
      </c>
    </row>
    <row r="1631">
      <c r="A1631" t="inlineStr">
        <is>
          <t>2026-06</t>
        </is>
      </c>
      <c r="B1631" t="inlineStr">
        <is>
          <t>HOSP-2</t>
        </is>
      </c>
      <c r="C1631" t="inlineStr">
        <is>
          <t>SS-01232</t>
        </is>
      </c>
      <c r="D1631" t="n">
        <v>24</v>
      </c>
      <c r="E1631" t="n">
        <v>0</v>
      </c>
      <c r="G1631">
        <f>IF(AND(A1631&gt;=Inputs!$B$5,A1631&lt;=Inputs!$B$6),1,0)</f>
        <v/>
      </c>
    </row>
    <row r="1632">
      <c r="A1632" t="inlineStr">
        <is>
          <t>2026-06</t>
        </is>
      </c>
      <c r="B1632" t="inlineStr">
        <is>
          <t>HOSP-3</t>
        </is>
      </c>
      <c r="C1632" t="inlineStr">
        <is>
          <t>SS-01233</t>
        </is>
      </c>
      <c r="D1632" t="n">
        <v>12</v>
      </c>
      <c r="E1632" t="n">
        <v>0</v>
      </c>
      <c r="G1632">
        <f>IF(AND(A1632&gt;=Inputs!$B$5,A1632&lt;=Inputs!$B$6),1,0)</f>
        <v/>
      </c>
    </row>
    <row r="1633">
      <c r="A1633" t="inlineStr">
        <is>
          <t>2026-06</t>
        </is>
      </c>
      <c r="B1633" t="inlineStr">
        <is>
          <t>HOSP-4</t>
        </is>
      </c>
      <c r="C1633" t="inlineStr">
        <is>
          <t>SS-01001</t>
        </is>
      </c>
      <c r="D1633" t="n">
        <v>0</v>
      </c>
      <c r="E1633" t="n">
        <v>0</v>
      </c>
      <c r="G1633">
        <f>IF(AND(A1633&gt;=Inputs!$B$5,A1633&lt;=Inputs!$B$6),1,0)</f>
        <v/>
      </c>
    </row>
    <row r="1634">
      <c r="A1634" t="inlineStr">
        <is>
          <t>2026-06</t>
        </is>
      </c>
      <c r="B1634" t="inlineStr">
        <is>
          <t>HOSP-1</t>
        </is>
      </c>
      <c r="C1634" t="inlineStr">
        <is>
          <t>SS-01002</t>
        </is>
      </c>
      <c r="D1634" t="n">
        <v>0</v>
      </c>
      <c r="E1634" t="n">
        <v>1</v>
      </c>
      <c r="G1634">
        <f>IF(AND(A1634&gt;=Inputs!$B$5,A1634&lt;=Inputs!$B$6),1,0)</f>
        <v/>
      </c>
    </row>
    <row r="1635">
      <c r="A1635" t="inlineStr">
        <is>
          <t>2026-06</t>
        </is>
      </c>
      <c r="B1635" t="inlineStr">
        <is>
          <t>HOSP-2</t>
        </is>
      </c>
      <c r="C1635" t="inlineStr">
        <is>
          <t>SS-01003</t>
        </is>
      </c>
      <c r="D1635" t="n">
        <v>12</v>
      </c>
      <c r="E1635" t="n">
        <v>0</v>
      </c>
      <c r="G1635">
        <f>IF(AND(A1635&gt;=Inputs!$B$5,A1635&lt;=Inputs!$B$6),1,0)</f>
        <v/>
      </c>
    </row>
    <row r="1636">
      <c r="A1636" t="inlineStr">
        <is>
          <t>2026-06</t>
        </is>
      </c>
      <c r="B1636" t="inlineStr">
        <is>
          <t>HOSP-3</t>
        </is>
      </c>
      <c r="C1636" t="inlineStr">
        <is>
          <t>SS-01053</t>
        </is>
      </c>
      <c r="D1636" t="n">
        <v>12</v>
      </c>
      <c r="E1636" t="n">
        <v>0</v>
      </c>
      <c r="G1636">
        <f>IF(AND(A1636&gt;=Inputs!$B$5,A1636&lt;=Inputs!$B$6),1,0)</f>
        <v/>
      </c>
    </row>
    <row r="1637">
      <c r="A1637" t="inlineStr">
        <is>
          <t>2026-06</t>
        </is>
      </c>
      <c r="B1637" t="inlineStr">
        <is>
          <t>HOSP-4</t>
        </is>
      </c>
      <c r="C1637" t="inlineStr">
        <is>
          <t>SS-01005</t>
        </is>
      </c>
      <c r="D1637" t="n">
        <v>12</v>
      </c>
      <c r="E1637" t="n">
        <v>0</v>
      </c>
      <c r="G1637">
        <f>IF(AND(A1637&gt;=Inputs!$B$5,A1637&lt;=Inputs!$B$6),1,0)</f>
        <v/>
      </c>
    </row>
    <row r="1638">
      <c r="A1638" t="inlineStr">
        <is>
          <t>2026-06</t>
        </is>
      </c>
      <c r="B1638" t="inlineStr">
        <is>
          <t>HOSP-1</t>
        </is>
      </c>
      <c r="C1638" t="inlineStr">
        <is>
          <t>SS-01006</t>
        </is>
      </c>
      <c r="D1638" t="n">
        <v>21</v>
      </c>
      <c r="E1638" t="n">
        <v>0</v>
      </c>
      <c r="G1638">
        <f>IF(AND(A1638&gt;=Inputs!$B$5,A1638&lt;=Inputs!$B$6),1,0)</f>
        <v/>
      </c>
    </row>
    <row r="1639">
      <c r="A1639" t="inlineStr">
        <is>
          <t>2026-06</t>
        </is>
      </c>
      <c r="B1639" t="inlineStr">
        <is>
          <t>HOSP-2</t>
        </is>
      </c>
      <c r="C1639" t="inlineStr">
        <is>
          <t>SS-01007</t>
        </is>
      </c>
      <c r="D1639" t="n">
        <v>12</v>
      </c>
      <c r="E1639" t="n">
        <v>0</v>
      </c>
      <c r="G1639">
        <f>IF(AND(A1639&gt;=Inputs!$B$5,A1639&lt;=Inputs!$B$6),1,0)</f>
        <v/>
      </c>
    </row>
    <row r="1640">
      <c r="A1640" t="inlineStr">
        <is>
          <t>2026-06</t>
        </is>
      </c>
      <c r="B1640" t="inlineStr">
        <is>
          <t>HOSP-3</t>
        </is>
      </c>
      <c r="C1640" t="inlineStr">
        <is>
          <t>SS-01008</t>
        </is>
      </c>
      <c r="D1640" t="n">
        <v>132</v>
      </c>
      <c r="E1640" t="n">
        <v>0</v>
      </c>
      <c r="G1640">
        <f>IF(AND(A1640&gt;=Inputs!$B$5,A1640&lt;=Inputs!$B$6),1,0)</f>
        <v/>
      </c>
    </row>
    <row r="1641">
      <c r="A1641" t="inlineStr">
        <is>
          <t>2026-06</t>
        </is>
      </c>
      <c r="B1641" t="inlineStr">
        <is>
          <t>HOSP-4</t>
        </is>
      </c>
      <c r="C1641" t="inlineStr">
        <is>
          <t>SS-01009</t>
        </is>
      </c>
      <c r="D1641" t="n">
        <v>0</v>
      </c>
      <c r="E1641" t="n">
        <v>0</v>
      </c>
      <c r="G1641">
        <f>IF(AND(A1641&gt;=Inputs!$B$5,A1641&lt;=Inputs!$B$6),1,0)</f>
        <v/>
      </c>
    </row>
    <row r="1642">
      <c r="A1642" t="inlineStr">
        <is>
          <t>2026-06</t>
        </is>
      </c>
      <c r="B1642" t="inlineStr">
        <is>
          <t>HOSP-1</t>
        </is>
      </c>
      <c r="C1642" t="inlineStr">
        <is>
          <t>SS-01010</t>
        </is>
      </c>
      <c r="D1642" t="n">
        <v>84</v>
      </c>
      <c r="E1642" t="n">
        <v>0</v>
      </c>
      <c r="G1642">
        <f>IF(AND(A1642&gt;=Inputs!$B$5,A1642&lt;=Inputs!$B$6),1,0)</f>
        <v/>
      </c>
    </row>
    <row r="1643">
      <c r="A1643" t="inlineStr">
        <is>
          <t>2026-06</t>
        </is>
      </c>
      <c r="B1643" t="inlineStr">
        <is>
          <t>HOSP-2</t>
        </is>
      </c>
      <c r="C1643" t="inlineStr">
        <is>
          <t>SS-01011</t>
        </is>
      </c>
      <c r="D1643" t="n">
        <v>0</v>
      </c>
      <c r="E1643" t="n">
        <v>0</v>
      </c>
      <c r="G1643">
        <f>IF(AND(A1643&gt;=Inputs!$B$5,A1643&lt;=Inputs!$B$6),1,0)</f>
        <v/>
      </c>
    </row>
    <row r="1644">
      <c r="A1644" t="inlineStr">
        <is>
          <t>2026-06</t>
        </is>
      </c>
      <c r="B1644" t="inlineStr">
        <is>
          <t>HOSP-3</t>
        </is>
      </c>
      <c r="C1644" t="inlineStr">
        <is>
          <t>SS-01204</t>
        </is>
      </c>
      <c r="D1644" t="n">
        <v>11</v>
      </c>
      <c r="E1644" t="n">
        <v>0</v>
      </c>
      <c r="G1644">
        <f>IF(AND(A1644&gt;=Inputs!$B$5,A1644&lt;=Inputs!$B$6),1,0)</f>
        <v/>
      </c>
    </row>
    <row r="1645">
      <c r="A1645" t="inlineStr">
        <is>
          <t>2026-06</t>
        </is>
      </c>
      <c r="B1645" t="inlineStr">
        <is>
          <t>HOSP-4</t>
        </is>
      </c>
      <c r="C1645" t="inlineStr">
        <is>
          <t>SS-01013</t>
        </is>
      </c>
      <c r="D1645" t="n">
        <v>12</v>
      </c>
      <c r="E1645" t="n">
        <v>0</v>
      </c>
      <c r="G1645">
        <f>IF(AND(A1645&gt;=Inputs!$B$5,A1645&lt;=Inputs!$B$6),1,0)</f>
        <v/>
      </c>
    </row>
    <row r="1646">
      <c r="A1646" t="inlineStr">
        <is>
          <t>2026-06</t>
        </is>
      </c>
      <c r="B1646" t="inlineStr">
        <is>
          <t>HOSP-1</t>
        </is>
      </c>
      <c r="C1646" t="inlineStr">
        <is>
          <t>SS-01148</t>
        </is>
      </c>
      <c r="D1646" t="n">
        <v>22</v>
      </c>
      <c r="E1646" t="n">
        <v>2</v>
      </c>
      <c r="G1646">
        <f>IF(AND(A1646&gt;=Inputs!$B$5,A1646&lt;=Inputs!$B$6),1,0)</f>
        <v/>
      </c>
    </row>
    <row r="1647">
      <c r="A1647" t="inlineStr">
        <is>
          <t>2026-06</t>
        </is>
      </c>
      <c r="B1647" t="inlineStr">
        <is>
          <t>HOSP-2</t>
        </is>
      </c>
      <c r="C1647" t="inlineStr">
        <is>
          <t>SS-01015</t>
        </is>
      </c>
      <c r="D1647" t="n">
        <v>24</v>
      </c>
      <c r="E1647" t="n">
        <v>2</v>
      </c>
      <c r="G1647">
        <f>IF(AND(A1647&gt;=Inputs!$B$5,A1647&lt;=Inputs!$B$6),1,0)</f>
        <v/>
      </c>
    </row>
    <row r="1648">
      <c r="A1648" t="inlineStr">
        <is>
          <t>2026-06</t>
        </is>
      </c>
      <c r="B1648" t="inlineStr">
        <is>
          <t>HOSP-3</t>
        </is>
      </c>
      <c r="C1648" t="inlineStr">
        <is>
          <t>SS-01016</t>
        </is>
      </c>
      <c r="D1648" t="n">
        <v>12</v>
      </c>
      <c r="E1648" t="n">
        <v>0</v>
      </c>
      <c r="G1648">
        <f>IF(AND(A1648&gt;=Inputs!$B$5,A1648&lt;=Inputs!$B$6),1,0)</f>
        <v/>
      </c>
    </row>
    <row r="1649">
      <c r="A1649" t="inlineStr">
        <is>
          <t>2026-06</t>
        </is>
      </c>
      <c r="B1649" t="inlineStr">
        <is>
          <t>HOSP-4</t>
        </is>
      </c>
      <c r="C1649" t="inlineStr">
        <is>
          <t>SS-01129</t>
        </is>
      </c>
      <c r="D1649" t="n">
        <v>15</v>
      </c>
      <c r="E1649" t="n">
        <v>0</v>
      </c>
      <c r="G1649">
        <f>IF(AND(A1649&gt;=Inputs!$B$5,A1649&lt;=Inputs!$B$6),1,0)</f>
        <v/>
      </c>
    </row>
    <row r="1650">
      <c r="A1650" t="inlineStr">
        <is>
          <t>2026-06</t>
        </is>
      </c>
      <c r="B1650" t="inlineStr">
        <is>
          <t>HOSP-1</t>
        </is>
      </c>
      <c r="C1650" t="inlineStr">
        <is>
          <t>SS-01018</t>
        </is>
      </c>
      <c r="D1650" t="n">
        <v>24</v>
      </c>
      <c r="E1650" t="n">
        <v>0</v>
      </c>
      <c r="G1650">
        <f>IF(AND(A1650&gt;=Inputs!$B$5,A1650&lt;=Inputs!$B$6),1,0)</f>
        <v/>
      </c>
    </row>
    <row r="1651">
      <c r="A1651" t="inlineStr">
        <is>
          <t>2026-06</t>
        </is>
      </c>
      <c r="B1651" t="inlineStr">
        <is>
          <t>HOSP-2</t>
        </is>
      </c>
      <c r="C1651" t="inlineStr">
        <is>
          <t>SS-01019</t>
        </is>
      </c>
      <c r="D1651" t="n">
        <v>0</v>
      </c>
      <c r="E1651" t="n">
        <v>0</v>
      </c>
      <c r="G1651">
        <f>IF(AND(A1651&gt;=Inputs!$B$5,A1651&lt;=Inputs!$B$6),1,0)</f>
        <v/>
      </c>
    </row>
    <row r="1652">
      <c r="A1652" t="inlineStr">
        <is>
          <t>2026-06</t>
        </is>
      </c>
      <c r="B1652" t="inlineStr">
        <is>
          <t>HOSP-3</t>
        </is>
      </c>
      <c r="C1652" t="inlineStr">
        <is>
          <t>SS-01020</t>
        </is>
      </c>
      <c r="D1652" t="n">
        <v>12</v>
      </c>
      <c r="E1652" t="n">
        <v>0</v>
      </c>
      <c r="G1652">
        <f>IF(AND(A1652&gt;=Inputs!$B$5,A1652&lt;=Inputs!$B$6),1,0)</f>
        <v/>
      </c>
    </row>
    <row r="1653">
      <c r="A1653" t="inlineStr">
        <is>
          <t>2026-06</t>
        </is>
      </c>
      <c r="B1653" t="inlineStr">
        <is>
          <t>HOSP-4</t>
        </is>
      </c>
      <c r="C1653" t="inlineStr">
        <is>
          <t>SS-01021</t>
        </is>
      </c>
      <c r="D1653" t="n">
        <v>0</v>
      </c>
      <c r="E1653" t="n">
        <v>0</v>
      </c>
      <c r="G1653">
        <f>IF(AND(A1653&gt;=Inputs!$B$5,A1653&lt;=Inputs!$B$6),1,0)</f>
        <v/>
      </c>
    </row>
    <row r="1654">
      <c r="A1654" t="inlineStr">
        <is>
          <t>2026-06</t>
        </is>
      </c>
      <c r="B1654" t="inlineStr">
        <is>
          <t>HOSP-1</t>
        </is>
      </c>
      <c r="C1654" t="inlineStr">
        <is>
          <t>SS-01022</t>
        </is>
      </c>
      <c r="D1654" t="n">
        <v>0</v>
      </c>
      <c r="E1654" t="n">
        <v>1</v>
      </c>
      <c r="G1654">
        <f>IF(AND(A1654&gt;=Inputs!$B$5,A1654&lt;=Inputs!$B$6),1,0)</f>
        <v/>
      </c>
    </row>
    <row r="1655">
      <c r="A1655" t="inlineStr">
        <is>
          <t>2026-06</t>
        </is>
      </c>
      <c r="B1655" t="inlineStr">
        <is>
          <t>HOSP-2</t>
        </is>
      </c>
      <c r="C1655" t="inlineStr">
        <is>
          <t>SS-01023</t>
        </is>
      </c>
      <c r="D1655" t="n">
        <v>0</v>
      </c>
      <c r="E1655" t="n">
        <v>0</v>
      </c>
      <c r="G1655">
        <f>IF(AND(A1655&gt;=Inputs!$B$5,A1655&lt;=Inputs!$B$6),1,0)</f>
        <v/>
      </c>
    </row>
    <row r="1656">
      <c r="A1656" t="inlineStr">
        <is>
          <t>2026-06</t>
        </is>
      </c>
      <c r="B1656" t="inlineStr">
        <is>
          <t>HOSP-3</t>
        </is>
      </c>
      <c r="C1656" t="inlineStr">
        <is>
          <t>SS-01024</t>
        </is>
      </c>
      <c r="D1656" t="n">
        <v>1</v>
      </c>
      <c r="E1656" t="n">
        <v>1</v>
      </c>
      <c r="G1656">
        <f>IF(AND(A1656&gt;=Inputs!$B$5,A1656&lt;=Inputs!$B$6),1,0)</f>
        <v/>
      </c>
    </row>
    <row r="1657">
      <c r="A1657" t="inlineStr">
        <is>
          <t>2026-06</t>
        </is>
      </c>
      <c r="B1657" t="inlineStr">
        <is>
          <t>HOSP-4</t>
        </is>
      </c>
      <c r="C1657" t="inlineStr">
        <is>
          <t>SS-01025</t>
        </is>
      </c>
      <c r="D1657" t="n">
        <v>3</v>
      </c>
      <c r="E1657" t="n">
        <v>0</v>
      </c>
      <c r="G1657">
        <f>IF(AND(A1657&gt;=Inputs!$B$5,A1657&lt;=Inputs!$B$6),1,0)</f>
        <v/>
      </c>
    </row>
    <row r="1658">
      <c r="A1658" t="inlineStr">
        <is>
          <t>2026-06</t>
        </is>
      </c>
      <c r="B1658" t="inlineStr">
        <is>
          <t>HOSP-1</t>
        </is>
      </c>
      <c r="C1658" t="inlineStr">
        <is>
          <t>SS-01026</t>
        </is>
      </c>
      <c r="D1658" t="n">
        <v>0</v>
      </c>
      <c r="E1658" t="n">
        <v>0</v>
      </c>
      <c r="G1658">
        <f>IF(AND(A1658&gt;=Inputs!$B$5,A1658&lt;=Inputs!$B$6),1,0)</f>
        <v/>
      </c>
    </row>
    <row r="1659">
      <c r="A1659" t="inlineStr">
        <is>
          <t>2026-06</t>
        </is>
      </c>
      <c r="B1659" t="inlineStr">
        <is>
          <t>HOSP-2</t>
        </is>
      </c>
      <c r="C1659" t="inlineStr">
        <is>
          <t>SS-01027</t>
        </is>
      </c>
      <c r="D1659" t="n">
        <v>12</v>
      </c>
      <c r="E1659" t="n">
        <v>0</v>
      </c>
      <c r="G1659">
        <f>IF(AND(A1659&gt;=Inputs!$B$5,A1659&lt;=Inputs!$B$6),1,0)</f>
        <v/>
      </c>
    </row>
    <row r="1660">
      <c r="A1660" t="inlineStr">
        <is>
          <t>2026-06</t>
        </is>
      </c>
      <c r="B1660" t="inlineStr">
        <is>
          <t>HOSP-3</t>
        </is>
      </c>
      <c r="C1660" t="inlineStr">
        <is>
          <t>SS-01028</t>
        </is>
      </c>
      <c r="D1660" t="n">
        <v>60</v>
      </c>
      <c r="E1660" t="n">
        <v>0</v>
      </c>
      <c r="G1660">
        <f>IF(AND(A1660&gt;=Inputs!$B$5,A1660&lt;=Inputs!$B$6),1,0)</f>
        <v/>
      </c>
    </row>
    <row r="1661">
      <c r="A1661" t="inlineStr">
        <is>
          <t>2026-06</t>
        </is>
      </c>
      <c r="B1661" t="inlineStr">
        <is>
          <t>HOSP-4</t>
        </is>
      </c>
      <c r="C1661" t="inlineStr">
        <is>
          <t>SS-01029</t>
        </is>
      </c>
      <c r="D1661" t="n">
        <v>0</v>
      </c>
      <c r="E1661" t="n">
        <v>3</v>
      </c>
      <c r="G1661">
        <f>IF(AND(A1661&gt;=Inputs!$B$5,A1661&lt;=Inputs!$B$6),1,0)</f>
        <v/>
      </c>
    </row>
    <row r="1662">
      <c r="A1662" t="inlineStr">
        <is>
          <t>2026-06</t>
        </is>
      </c>
      <c r="B1662" t="inlineStr">
        <is>
          <t>HOSP-1</t>
        </is>
      </c>
      <c r="C1662" t="inlineStr">
        <is>
          <t>SS-01030</t>
        </is>
      </c>
      <c r="D1662" t="n">
        <v>0</v>
      </c>
      <c r="E1662" t="n">
        <v>0</v>
      </c>
      <c r="G1662">
        <f>IF(AND(A1662&gt;=Inputs!$B$5,A1662&lt;=Inputs!$B$6),1,0)</f>
        <v/>
      </c>
    </row>
    <row r="1663">
      <c r="A1663" t="inlineStr">
        <is>
          <t>2026-06</t>
        </is>
      </c>
      <c r="B1663" t="inlineStr">
        <is>
          <t>HOSP-2</t>
        </is>
      </c>
      <c r="C1663" t="inlineStr">
        <is>
          <t>SS-01031</t>
        </is>
      </c>
      <c r="D1663" t="n">
        <v>0</v>
      </c>
      <c r="E1663" t="n">
        <v>0</v>
      </c>
      <c r="G1663">
        <f>IF(AND(A1663&gt;=Inputs!$B$5,A1663&lt;=Inputs!$B$6),1,0)</f>
        <v/>
      </c>
    </row>
    <row r="1664">
      <c r="A1664" t="inlineStr">
        <is>
          <t>2026-06</t>
        </is>
      </c>
      <c r="B1664" t="inlineStr">
        <is>
          <t>HOSP-3</t>
        </is>
      </c>
      <c r="C1664" t="inlineStr">
        <is>
          <t>SS-01032</t>
        </is>
      </c>
      <c r="D1664" t="n">
        <v>12</v>
      </c>
      <c r="E1664" t="n">
        <v>0</v>
      </c>
      <c r="G1664">
        <f>IF(AND(A1664&gt;=Inputs!$B$5,A1664&lt;=Inputs!$B$6),1,0)</f>
        <v/>
      </c>
    </row>
    <row r="1665">
      <c r="A1665" t="inlineStr">
        <is>
          <t>2026-06</t>
        </is>
      </c>
      <c r="B1665" t="inlineStr">
        <is>
          <t>HOSP-4</t>
        </is>
      </c>
      <c r="C1665" t="inlineStr">
        <is>
          <t>SS-01033</t>
        </is>
      </c>
      <c r="D1665" t="n">
        <v>0</v>
      </c>
      <c r="E1665" t="n">
        <v>1</v>
      </c>
      <c r="G1665">
        <f>IF(AND(A1665&gt;=Inputs!$B$5,A1665&lt;=Inputs!$B$6),1,0)</f>
        <v/>
      </c>
    </row>
    <row r="1666">
      <c r="A1666" t="inlineStr">
        <is>
          <t>2026-06</t>
        </is>
      </c>
      <c r="B1666" t="inlineStr">
        <is>
          <t>HOSP-1</t>
        </is>
      </c>
      <c r="C1666" t="inlineStr">
        <is>
          <t>SS-01220</t>
        </is>
      </c>
      <c r="D1666" t="n">
        <v>199</v>
      </c>
      <c r="E1666" t="n">
        <v>1</v>
      </c>
      <c r="G1666">
        <f>IF(AND(A1666&gt;=Inputs!$B$5,A1666&lt;=Inputs!$B$6),1,0)</f>
        <v/>
      </c>
    </row>
    <row r="1667">
      <c r="A1667" t="inlineStr">
        <is>
          <t>2026-06</t>
        </is>
      </c>
      <c r="B1667" t="inlineStr">
        <is>
          <t>HOSP-2</t>
        </is>
      </c>
      <c r="C1667" t="inlineStr">
        <is>
          <t>SS-01035</t>
        </is>
      </c>
      <c r="D1667" t="n">
        <v>21</v>
      </c>
      <c r="E1667" t="n">
        <v>1</v>
      </c>
      <c r="G1667">
        <f>IF(AND(A1667&gt;=Inputs!$B$5,A1667&lt;=Inputs!$B$6),1,0)</f>
        <v/>
      </c>
    </row>
    <row r="1668">
      <c r="A1668" t="inlineStr">
        <is>
          <t>2026-06</t>
        </is>
      </c>
      <c r="B1668" t="inlineStr">
        <is>
          <t>HOSP-3</t>
        </is>
      </c>
      <c r="C1668" t="inlineStr">
        <is>
          <t>SS-01036</t>
        </is>
      </c>
      <c r="D1668" t="n">
        <v>24</v>
      </c>
      <c r="E1668" t="n">
        <v>0</v>
      </c>
      <c r="G1668">
        <f>IF(AND(A1668&gt;=Inputs!$B$5,A1668&lt;=Inputs!$B$6),1,0)</f>
        <v/>
      </c>
    </row>
    <row r="1669">
      <c r="A1669" t="inlineStr">
        <is>
          <t>2026-06</t>
        </is>
      </c>
      <c r="B1669" t="inlineStr">
        <is>
          <t>HOSP-4</t>
        </is>
      </c>
      <c r="C1669" t="inlineStr">
        <is>
          <t>SS-01232</t>
        </is>
      </c>
      <c r="D1669" t="n">
        <v>0</v>
      </c>
      <c r="E1669" t="n">
        <v>0</v>
      </c>
      <c r="G1669">
        <f>IF(AND(A1669&gt;=Inputs!$B$5,A1669&lt;=Inputs!$B$6),1,0)</f>
        <v/>
      </c>
    </row>
    <row r="1670">
      <c r="A1670" t="inlineStr">
        <is>
          <t>2026-06</t>
        </is>
      </c>
      <c r="B1670" t="inlineStr">
        <is>
          <t>HOSP-1</t>
        </is>
      </c>
      <c r="C1670" t="inlineStr">
        <is>
          <t>SS-01038</t>
        </is>
      </c>
      <c r="D1670" t="n">
        <v>31</v>
      </c>
      <c r="E1670" t="n">
        <v>2</v>
      </c>
      <c r="G1670">
        <f>IF(AND(A1670&gt;=Inputs!$B$5,A1670&lt;=Inputs!$B$6),1,0)</f>
        <v/>
      </c>
    </row>
    <row r="1671">
      <c r="A1671" t="inlineStr">
        <is>
          <t>2026-06</t>
        </is>
      </c>
      <c r="B1671" t="inlineStr">
        <is>
          <t>HOSP-2</t>
        </is>
      </c>
      <c r="C1671" t="inlineStr">
        <is>
          <t>SS-01039</t>
        </is>
      </c>
      <c r="D1671" t="n">
        <v>24</v>
      </c>
      <c r="E1671" t="n">
        <v>0</v>
      </c>
      <c r="G1671">
        <f>IF(AND(A1671&gt;=Inputs!$B$5,A1671&lt;=Inputs!$B$6),1,0)</f>
        <v/>
      </c>
    </row>
    <row r="1672">
      <c r="A1672" t="inlineStr">
        <is>
          <t>2026-06</t>
        </is>
      </c>
      <c r="B1672" t="inlineStr">
        <is>
          <t>HOSP-3</t>
        </is>
      </c>
      <c r="C1672" t="inlineStr">
        <is>
          <t>SS-01040</t>
        </is>
      </c>
      <c r="D1672" t="n">
        <v>24</v>
      </c>
      <c r="E1672" t="n">
        <v>0</v>
      </c>
      <c r="G1672">
        <f>IF(AND(A1672&gt;=Inputs!$B$5,A1672&lt;=Inputs!$B$6),1,0)</f>
        <v/>
      </c>
    </row>
    <row r="1673">
      <c r="A1673" t="inlineStr">
        <is>
          <t>2026-06</t>
        </is>
      </c>
      <c r="B1673" t="inlineStr">
        <is>
          <t>HOSP-4</t>
        </is>
      </c>
      <c r="C1673" t="inlineStr">
        <is>
          <t>SS-01041</t>
        </is>
      </c>
      <c r="D1673" t="n">
        <v>12</v>
      </c>
      <c r="E1673" t="n">
        <v>0</v>
      </c>
      <c r="G1673">
        <f>IF(AND(A1673&gt;=Inputs!$B$5,A1673&lt;=Inputs!$B$6),1,0)</f>
        <v/>
      </c>
    </row>
    <row r="1674">
      <c r="A1674" t="inlineStr">
        <is>
          <t>2026-06</t>
        </is>
      </c>
      <c r="B1674" t="inlineStr">
        <is>
          <t>HOSP-1</t>
        </is>
      </c>
      <c r="C1674" t="inlineStr">
        <is>
          <t>SS-01233</t>
        </is>
      </c>
      <c r="D1674" t="n">
        <v>60</v>
      </c>
      <c r="E1674" t="n">
        <v>0</v>
      </c>
      <c r="G1674">
        <f>IF(AND(A1674&gt;=Inputs!$B$5,A1674&lt;=Inputs!$B$6),1,0)</f>
        <v/>
      </c>
    </row>
    <row r="1675">
      <c r="A1675" t="inlineStr">
        <is>
          <t>2026-06</t>
        </is>
      </c>
      <c r="B1675" t="inlineStr">
        <is>
          <t>HOSP-2</t>
        </is>
      </c>
      <c r="C1675" t="inlineStr">
        <is>
          <t>SS-01043</t>
        </is>
      </c>
      <c r="D1675" t="n">
        <v>186</v>
      </c>
      <c r="E1675" t="n">
        <v>0</v>
      </c>
      <c r="G1675">
        <f>IF(AND(A1675&gt;=Inputs!$B$5,A1675&lt;=Inputs!$B$6),1,0)</f>
        <v/>
      </c>
    </row>
    <row r="1676">
      <c r="A1676" t="inlineStr">
        <is>
          <t>2026-06</t>
        </is>
      </c>
      <c r="B1676" t="inlineStr">
        <is>
          <t>HOSP-3</t>
        </is>
      </c>
      <c r="C1676" t="inlineStr">
        <is>
          <t>SS-01044</t>
        </is>
      </c>
      <c r="D1676" t="n">
        <v>0</v>
      </c>
      <c r="E1676" t="n">
        <v>0</v>
      </c>
      <c r="G1676">
        <f>IF(AND(A1676&gt;=Inputs!$B$5,A1676&lt;=Inputs!$B$6),1,0)</f>
        <v/>
      </c>
    </row>
    <row r="1677">
      <c r="A1677" t="inlineStr">
        <is>
          <t>2026-06</t>
        </is>
      </c>
      <c r="B1677" t="inlineStr">
        <is>
          <t>HOSP-4</t>
        </is>
      </c>
      <c r="C1677" t="inlineStr">
        <is>
          <t>SS-01045</t>
        </is>
      </c>
      <c r="D1677" t="n">
        <v>24</v>
      </c>
      <c r="E1677" t="n">
        <v>0</v>
      </c>
      <c r="G1677">
        <f>IF(AND(A1677&gt;=Inputs!$B$5,A1677&lt;=Inputs!$B$6),1,0)</f>
        <v/>
      </c>
    </row>
    <row r="1678">
      <c r="A1678" t="inlineStr">
        <is>
          <t>2026-06</t>
        </is>
      </c>
      <c r="B1678" t="inlineStr">
        <is>
          <t>HOSP-1</t>
        </is>
      </c>
      <c r="C1678" t="inlineStr">
        <is>
          <t>SS-01046</t>
        </is>
      </c>
      <c r="D1678" t="n">
        <v>36</v>
      </c>
      <c r="E1678" t="n">
        <v>0</v>
      </c>
      <c r="G1678">
        <f>IF(AND(A1678&gt;=Inputs!$B$5,A1678&lt;=Inputs!$B$6),1,0)</f>
        <v/>
      </c>
    </row>
    <row r="1679">
      <c r="A1679" t="inlineStr">
        <is>
          <t>2026-06</t>
        </is>
      </c>
      <c r="B1679" t="inlineStr">
        <is>
          <t>HOSP-2</t>
        </is>
      </c>
      <c r="C1679" t="inlineStr">
        <is>
          <t>SS-01047</t>
        </is>
      </c>
      <c r="D1679" t="n">
        <v>36</v>
      </c>
      <c r="E1679" t="n">
        <v>0</v>
      </c>
      <c r="G1679">
        <f>IF(AND(A1679&gt;=Inputs!$B$5,A1679&lt;=Inputs!$B$6),1,0)</f>
        <v/>
      </c>
    </row>
    <row r="1680">
      <c r="A1680" t="inlineStr">
        <is>
          <t>2026-06</t>
        </is>
      </c>
      <c r="B1680" t="inlineStr">
        <is>
          <t>HOSP-3</t>
        </is>
      </c>
      <c r="C1680" t="inlineStr">
        <is>
          <t>SS-01048</t>
        </is>
      </c>
      <c r="D1680" t="n">
        <v>96</v>
      </c>
      <c r="E1680" t="n">
        <v>0</v>
      </c>
      <c r="G1680">
        <f>IF(AND(A1680&gt;=Inputs!$B$5,A1680&lt;=Inputs!$B$6),1,0)</f>
        <v/>
      </c>
    </row>
    <row r="1681">
      <c r="A1681" t="inlineStr">
        <is>
          <t>2026-06</t>
        </is>
      </c>
      <c r="B1681" t="inlineStr">
        <is>
          <t>HOSP-4</t>
        </is>
      </c>
      <c r="C1681" t="inlineStr">
        <is>
          <t>SS-01049</t>
        </is>
      </c>
      <c r="D1681" t="n">
        <v>60</v>
      </c>
      <c r="E1681" t="n">
        <v>0</v>
      </c>
      <c r="G1681">
        <f>IF(AND(A1681&gt;=Inputs!$B$5,A1681&lt;=Inputs!$B$6),1,0)</f>
        <v/>
      </c>
    </row>
    <row r="1682">
      <c r="A1682" t="inlineStr">
        <is>
          <t>2026-06</t>
        </is>
      </c>
      <c r="B1682" t="inlineStr">
        <is>
          <t>HOSP-1</t>
        </is>
      </c>
      <c r="C1682" t="inlineStr">
        <is>
          <t>SS-01050</t>
        </is>
      </c>
      <c r="D1682" t="n">
        <v>24</v>
      </c>
      <c r="E1682" t="n">
        <v>0</v>
      </c>
      <c r="G1682">
        <f>IF(AND(A1682&gt;=Inputs!$B$5,A1682&lt;=Inputs!$B$6),1,0)</f>
        <v/>
      </c>
    </row>
    <row r="1683">
      <c r="A1683" t="inlineStr">
        <is>
          <t>2026-06</t>
        </is>
      </c>
      <c r="B1683" t="inlineStr">
        <is>
          <t>HOSP-2</t>
        </is>
      </c>
      <c r="C1683" t="inlineStr">
        <is>
          <t>SS-01051</t>
        </is>
      </c>
      <c r="D1683" t="n">
        <v>12</v>
      </c>
      <c r="E1683" t="n">
        <v>0</v>
      </c>
      <c r="G1683">
        <f>IF(AND(A1683&gt;=Inputs!$B$5,A1683&lt;=Inputs!$B$6),1,0)</f>
        <v/>
      </c>
    </row>
    <row r="1684">
      <c r="A1684" t="inlineStr">
        <is>
          <t>2026-06</t>
        </is>
      </c>
      <c r="B1684" t="inlineStr">
        <is>
          <t>HOSP-3</t>
        </is>
      </c>
      <c r="C1684" t="inlineStr">
        <is>
          <t>SS-01052</t>
        </is>
      </c>
      <c r="D1684" t="n">
        <v>12</v>
      </c>
      <c r="E1684" t="n">
        <v>0</v>
      </c>
      <c r="G1684">
        <f>IF(AND(A1684&gt;=Inputs!$B$5,A1684&lt;=Inputs!$B$6),1,0)</f>
        <v/>
      </c>
    </row>
    <row r="1685">
      <c r="A1685" t="inlineStr">
        <is>
          <t>2026-06</t>
        </is>
      </c>
      <c r="B1685" t="inlineStr">
        <is>
          <t>HOSP-4</t>
        </is>
      </c>
      <c r="C1685" t="inlineStr">
        <is>
          <t>SS-01053</t>
        </is>
      </c>
      <c r="D1685" t="n">
        <v>12</v>
      </c>
      <c r="E1685" t="n">
        <v>0</v>
      </c>
      <c r="G1685">
        <f>IF(AND(A1685&gt;=Inputs!$B$5,A1685&lt;=Inputs!$B$6),1,0)</f>
        <v/>
      </c>
    </row>
    <row r="1686">
      <c r="A1686" t="inlineStr">
        <is>
          <t>2026-06</t>
        </is>
      </c>
      <c r="B1686" t="inlineStr">
        <is>
          <t>HOSP-1</t>
        </is>
      </c>
      <c r="C1686" t="inlineStr">
        <is>
          <t>SS-01054</t>
        </is>
      </c>
      <c r="D1686" t="n">
        <v>32</v>
      </c>
      <c r="E1686" t="n">
        <v>0</v>
      </c>
      <c r="G1686">
        <f>IF(AND(A1686&gt;=Inputs!$B$5,A1686&lt;=Inputs!$B$6),1,0)</f>
        <v/>
      </c>
    </row>
    <row r="1687">
      <c r="A1687" t="inlineStr">
        <is>
          <t>2026-06</t>
        </is>
      </c>
      <c r="B1687" t="inlineStr">
        <is>
          <t>HOSP-2</t>
        </is>
      </c>
      <c r="C1687" t="inlineStr">
        <is>
          <t>SS-01055</t>
        </is>
      </c>
      <c r="D1687" t="n">
        <v>10</v>
      </c>
      <c r="E1687" t="n">
        <v>0</v>
      </c>
      <c r="G1687">
        <f>IF(AND(A1687&gt;=Inputs!$B$5,A1687&lt;=Inputs!$B$6),1,0)</f>
        <v/>
      </c>
    </row>
    <row r="1688">
      <c r="A1688" t="inlineStr">
        <is>
          <t>2026-06</t>
        </is>
      </c>
      <c r="B1688" t="inlineStr">
        <is>
          <t>HOSP-3</t>
        </is>
      </c>
      <c r="C1688" t="inlineStr">
        <is>
          <t>SS-01056</t>
        </is>
      </c>
      <c r="D1688" t="n">
        <v>8</v>
      </c>
      <c r="E1688" t="n">
        <v>0</v>
      </c>
      <c r="G1688">
        <f>IF(AND(A1688&gt;=Inputs!$B$5,A1688&lt;=Inputs!$B$6),1,0)</f>
        <v/>
      </c>
    </row>
    <row r="1689">
      <c r="A1689" t="inlineStr">
        <is>
          <t>2026-06</t>
        </is>
      </c>
      <c r="B1689" t="inlineStr">
        <is>
          <t>HOSP-4</t>
        </is>
      </c>
      <c r="C1689" t="inlineStr">
        <is>
          <t>SS-01057</t>
        </is>
      </c>
      <c r="D1689" t="n">
        <v>12</v>
      </c>
      <c r="E1689" t="n">
        <v>0</v>
      </c>
      <c r="G1689">
        <f>IF(AND(A1689&gt;=Inputs!$B$5,A1689&lt;=Inputs!$B$6),1,0)</f>
        <v/>
      </c>
    </row>
    <row r="1690">
      <c r="A1690" t="inlineStr">
        <is>
          <t>2026-06</t>
        </is>
      </c>
      <c r="B1690" t="inlineStr">
        <is>
          <t>HOSP-1</t>
        </is>
      </c>
      <c r="C1690" t="inlineStr">
        <is>
          <t>SS-01058</t>
        </is>
      </c>
      <c r="D1690" t="n">
        <v>0</v>
      </c>
      <c r="E1690" t="n">
        <v>0</v>
      </c>
      <c r="G1690">
        <f>IF(AND(A1690&gt;=Inputs!$B$5,A1690&lt;=Inputs!$B$6),1,0)</f>
        <v/>
      </c>
    </row>
    <row r="1691">
      <c r="A1691" t="inlineStr">
        <is>
          <t>2026-06</t>
        </is>
      </c>
      <c r="B1691" t="inlineStr">
        <is>
          <t>HOSP-2</t>
        </is>
      </c>
      <c r="C1691" t="inlineStr">
        <is>
          <t>SS-01059</t>
        </is>
      </c>
      <c r="D1691" t="n">
        <v>0</v>
      </c>
      <c r="E1691" t="n">
        <v>0</v>
      </c>
      <c r="G1691">
        <f>IF(AND(A1691&gt;=Inputs!$B$5,A1691&lt;=Inputs!$B$6),1,0)</f>
        <v/>
      </c>
    </row>
    <row r="1692">
      <c r="A1692" t="inlineStr">
        <is>
          <t>2026-06</t>
        </is>
      </c>
      <c r="B1692" t="inlineStr">
        <is>
          <t>HOSP-3</t>
        </is>
      </c>
      <c r="C1692" t="inlineStr">
        <is>
          <t>SS-01045</t>
        </is>
      </c>
      <c r="D1692" t="n">
        <v>0</v>
      </c>
      <c r="E1692" t="n">
        <v>0</v>
      </c>
      <c r="G1692">
        <f>IF(AND(A1692&gt;=Inputs!$B$5,A1692&lt;=Inputs!$B$6),1,0)</f>
        <v/>
      </c>
    </row>
    <row r="1693">
      <c r="A1693" t="inlineStr">
        <is>
          <t>2026-06</t>
        </is>
      </c>
      <c r="B1693" t="inlineStr">
        <is>
          <t>HOSP-4</t>
        </is>
      </c>
      <c r="C1693" t="inlineStr">
        <is>
          <t>SS-01022</t>
        </is>
      </c>
      <c r="D1693" t="n">
        <v>36</v>
      </c>
      <c r="E1693" t="n">
        <v>0</v>
      </c>
      <c r="G1693">
        <f>IF(AND(A1693&gt;=Inputs!$B$5,A1693&lt;=Inputs!$B$6),1,0)</f>
        <v/>
      </c>
    </row>
    <row r="1694">
      <c r="A1694" t="inlineStr">
        <is>
          <t>2026-06</t>
        </is>
      </c>
      <c r="B1694" t="inlineStr">
        <is>
          <t>HOSP-1</t>
        </is>
      </c>
      <c r="C1694" t="inlineStr">
        <is>
          <t>SS-01062</t>
        </is>
      </c>
      <c r="D1694" t="n">
        <v>0</v>
      </c>
      <c r="E1694" t="n">
        <v>0</v>
      </c>
      <c r="G1694">
        <f>IF(AND(A1694&gt;=Inputs!$B$5,A1694&lt;=Inputs!$B$6),1,0)</f>
        <v/>
      </c>
    </row>
    <row r="1695">
      <c r="A1695" t="inlineStr">
        <is>
          <t>2026-06</t>
        </is>
      </c>
      <c r="B1695" t="inlineStr">
        <is>
          <t>HOSP-2</t>
        </is>
      </c>
      <c r="C1695" t="inlineStr">
        <is>
          <t>SS-01063</t>
        </is>
      </c>
      <c r="D1695" t="n">
        <v>0</v>
      </c>
      <c r="E1695" t="n">
        <v>0</v>
      </c>
      <c r="G1695">
        <f>IF(AND(A1695&gt;=Inputs!$B$5,A1695&lt;=Inputs!$B$6),1,0)</f>
        <v/>
      </c>
    </row>
    <row r="1696">
      <c r="A1696" t="inlineStr">
        <is>
          <t>2026-06</t>
        </is>
      </c>
      <c r="B1696" t="inlineStr">
        <is>
          <t>HOSP-3</t>
        </is>
      </c>
      <c r="C1696" t="inlineStr">
        <is>
          <t>SS-01064</t>
        </is>
      </c>
      <c r="D1696" t="n">
        <v>0</v>
      </c>
      <c r="E1696" t="n">
        <v>0</v>
      </c>
      <c r="G1696">
        <f>IF(AND(A1696&gt;=Inputs!$B$5,A1696&lt;=Inputs!$B$6),1,0)</f>
        <v/>
      </c>
    </row>
    <row r="1697">
      <c r="A1697" t="inlineStr">
        <is>
          <t>2026-06</t>
        </is>
      </c>
      <c r="B1697" t="inlineStr">
        <is>
          <t>HOSP-4</t>
        </is>
      </c>
      <c r="C1697" t="inlineStr">
        <is>
          <t>SS-01065</t>
        </is>
      </c>
      <c r="D1697" t="n">
        <v>12</v>
      </c>
      <c r="E1697" t="n">
        <v>0</v>
      </c>
      <c r="G1697">
        <f>IF(AND(A1697&gt;=Inputs!$B$5,A1697&lt;=Inputs!$B$6),1,0)</f>
        <v/>
      </c>
    </row>
    <row r="1698">
      <c r="A1698" t="inlineStr">
        <is>
          <t>2026-06</t>
        </is>
      </c>
      <c r="B1698" t="inlineStr">
        <is>
          <t>HOSP-1</t>
        </is>
      </c>
      <c r="C1698" t="inlineStr">
        <is>
          <t>SS-01066</t>
        </is>
      </c>
      <c r="D1698" t="n">
        <v>19</v>
      </c>
      <c r="E1698" t="n">
        <v>2</v>
      </c>
      <c r="G1698">
        <f>IF(AND(A1698&gt;=Inputs!$B$5,A1698&lt;=Inputs!$B$6),1,0)</f>
        <v/>
      </c>
    </row>
    <row r="1699">
      <c r="A1699" t="inlineStr">
        <is>
          <t>2026-06</t>
        </is>
      </c>
      <c r="B1699" t="inlineStr">
        <is>
          <t>HOSP-2</t>
        </is>
      </c>
      <c r="C1699" t="inlineStr">
        <is>
          <t>SS-01067</t>
        </is>
      </c>
      <c r="D1699" t="n">
        <v>0</v>
      </c>
      <c r="E1699" t="n">
        <v>2</v>
      </c>
      <c r="G1699">
        <f>IF(AND(A1699&gt;=Inputs!$B$5,A1699&lt;=Inputs!$B$6),1,0)</f>
        <v/>
      </c>
    </row>
    <row r="1700">
      <c r="A1700" t="inlineStr">
        <is>
          <t>2026-06</t>
        </is>
      </c>
      <c r="B1700" t="inlineStr">
        <is>
          <t>HOSP-3</t>
        </is>
      </c>
      <c r="C1700" t="inlineStr">
        <is>
          <t>SS-01068</t>
        </is>
      </c>
      <c r="D1700" t="n">
        <v>72</v>
      </c>
      <c r="E1700" t="n">
        <v>0</v>
      </c>
      <c r="G1700">
        <f>IF(AND(A1700&gt;=Inputs!$B$5,A1700&lt;=Inputs!$B$6),1,0)</f>
        <v/>
      </c>
    </row>
    <row r="1701">
      <c r="A1701" t="inlineStr">
        <is>
          <t>2026-06</t>
        </is>
      </c>
      <c r="B1701" t="inlineStr">
        <is>
          <t>HOSP-4</t>
        </is>
      </c>
      <c r="C1701" t="inlineStr">
        <is>
          <t>SS-01069</t>
        </is>
      </c>
      <c r="D1701" t="n">
        <v>2</v>
      </c>
      <c r="E1701" t="n">
        <v>1</v>
      </c>
      <c r="G1701">
        <f>IF(AND(A1701&gt;=Inputs!$B$5,A1701&lt;=Inputs!$B$6),1,0)</f>
        <v/>
      </c>
    </row>
    <row r="1702">
      <c r="A1702" t="inlineStr">
        <is>
          <t>2026-06</t>
        </is>
      </c>
      <c r="B1702" t="inlineStr">
        <is>
          <t>HOSP-1</t>
        </is>
      </c>
      <c r="C1702" t="inlineStr">
        <is>
          <t>SS-01015</t>
        </is>
      </c>
      <c r="D1702" t="n">
        <v>48</v>
      </c>
      <c r="E1702" t="n">
        <v>0</v>
      </c>
      <c r="G1702">
        <f>IF(AND(A1702&gt;=Inputs!$B$5,A1702&lt;=Inputs!$B$6),1,0)</f>
        <v/>
      </c>
    </row>
    <row r="1703">
      <c r="A1703" t="inlineStr">
        <is>
          <t>2026-06</t>
        </is>
      </c>
      <c r="B1703" t="inlineStr">
        <is>
          <t>HOSP-2</t>
        </is>
      </c>
      <c r="C1703" t="inlineStr">
        <is>
          <t>SS-01071</t>
        </is>
      </c>
      <c r="D1703" t="n">
        <v>18</v>
      </c>
      <c r="E1703" t="n">
        <v>1</v>
      </c>
      <c r="G1703">
        <f>IF(AND(A1703&gt;=Inputs!$B$5,A1703&lt;=Inputs!$B$6),1,0)</f>
        <v/>
      </c>
    </row>
    <row r="1704">
      <c r="A1704" t="inlineStr">
        <is>
          <t>2026-06</t>
        </is>
      </c>
      <c r="B1704" t="inlineStr">
        <is>
          <t>HOSP-3</t>
        </is>
      </c>
      <c r="C1704" t="inlineStr">
        <is>
          <t>SS-01072</t>
        </is>
      </c>
      <c r="D1704" t="n">
        <v>0</v>
      </c>
      <c r="E1704" t="n">
        <v>0</v>
      </c>
      <c r="G1704">
        <f>IF(AND(A1704&gt;=Inputs!$B$5,A1704&lt;=Inputs!$B$6),1,0)</f>
        <v/>
      </c>
    </row>
    <row r="1705">
      <c r="A1705" t="inlineStr">
        <is>
          <t>2026-06</t>
        </is>
      </c>
      <c r="B1705" t="inlineStr">
        <is>
          <t>HOSP-4</t>
        </is>
      </c>
      <c r="C1705" t="inlineStr">
        <is>
          <t>SS-01073</t>
        </is>
      </c>
      <c r="D1705" t="n">
        <v>24</v>
      </c>
      <c r="E1705" t="n">
        <v>0</v>
      </c>
      <c r="G1705">
        <f>IF(AND(A1705&gt;=Inputs!$B$5,A1705&lt;=Inputs!$B$6),1,0)</f>
        <v/>
      </c>
    </row>
    <row r="1706">
      <c r="A1706" t="inlineStr">
        <is>
          <t>2026-06</t>
        </is>
      </c>
      <c r="B1706" t="inlineStr">
        <is>
          <t>HOSP-1</t>
        </is>
      </c>
      <c r="C1706" t="inlineStr">
        <is>
          <t>SS-01074</t>
        </is>
      </c>
      <c r="D1706" t="n">
        <v>24</v>
      </c>
      <c r="E1706" t="n">
        <v>0</v>
      </c>
      <c r="G1706">
        <f>IF(AND(A1706&gt;=Inputs!$B$5,A1706&lt;=Inputs!$B$6),1,0)</f>
        <v/>
      </c>
    </row>
    <row r="1707">
      <c r="A1707" t="inlineStr">
        <is>
          <t>2026-06</t>
        </is>
      </c>
      <c r="B1707" t="inlineStr">
        <is>
          <t>HOSP-2</t>
        </is>
      </c>
      <c r="C1707" t="inlineStr">
        <is>
          <t>SS-01075</t>
        </is>
      </c>
      <c r="D1707" t="n">
        <v>96</v>
      </c>
      <c r="E1707" t="n">
        <v>0</v>
      </c>
      <c r="G1707">
        <f>IF(AND(A1707&gt;=Inputs!$B$5,A1707&lt;=Inputs!$B$6),1,0)</f>
        <v/>
      </c>
    </row>
    <row r="1708">
      <c r="A1708" t="inlineStr">
        <is>
          <t>2026-06</t>
        </is>
      </c>
      <c r="B1708" t="inlineStr">
        <is>
          <t>HOSP-3</t>
        </is>
      </c>
      <c r="C1708" t="inlineStr">
        <is>
          <t>SS-01076</t>
        </is>
      </c>
      <c r="D1708" t="n">
        <v>33</v>
      </c>
      <c r="E1708" t="n">
        <v>0</v>
      </c>
      <c r="G1708">
        <f>IF(AND(A1708&gt;=Inputs!$B$5,A1708&lt;=Inputs!$B$6),1,0)</f>
        <v/>
      </c>
    </row>
    <row r="1709">
      <c r="A1709" t="inlineStr">
        <is>
          <t>2026-06</t>
        </is>
      </c>
      <c r="B1709" t="inlineStr">
        <is>
          <t>HOSP-4</t>
        </is>
      </c>
      <c r="C1709" t="inlineStr">
        <is>
          <t>SS-01077</t>
        </is>
      </c>
      <c r="D1709" t="n">
        <v>12</v>
      </c>
      <c r="E1709" t="n">
        <v>0</v>
      </c>
      <c r="G1709">
        <f>IF(AND(A1709&gt;=Inputs!$B$5,A1709&lt;=Inputs!$B$6),1,0)</f>
        <v/>
      </c>
    </row>
    <row r="1710">
      <c r="A1710" t="inlineStr">
        <is>
          <t>2026-06</t>
        </is>
      </c>
      <c r="B1710" t="inlineStr">
        <is>
          <t>HOSP-1</t>
        </is>
      </c>
      <c r="C1710" t="inlineStr">
        <is>
          <t>SS-01078</t>
        </is>
      </c>
      <c r="D1710" t="n">
        <v>12</v>
      </c>
      <c r="E1710" t="n">
        <v>0</v>
      </c>
      <c r="G1710">
        <f>IF(AND(A1710&gt;=Inputs!$B$5,A1710&lt;=Inputs!$B$6),1,0)</f>
        <v/>
      </c>
    </row>
    <row r="1711">
      <c r="A1711" t="inlineStr">
        <is>
          <t>2026-06</t>
        </is>
      </c>
      <c r="B1711" t="inlineStr">
        <is>
          <t>HOSP-2</t>
        </is>
      </c>
      <c r="C1711" t="inlineStr">
        <is>
          <t>SS-01079</t>
        </is>
      </c>
      <c r="D1711" t="n">
        <v>144</v>
      </c>
      <c r="E1711" t="n">
        <v>0</v>
      </c>
      <c r="G1711">
        <f>IF(AND(A1711&gt;=Inputs!$B$5,A1711&lt;=Inputs!$B$6),1,0)</f>
        <v/>
      </c>
    </row>
    <row r="1712">
      <c r="A1712" t="inlineStr">
        <is>
          <t>2026-06</t>
        </is>
      </c>
      <c r="B1712" t="inlineStr">
        <is>
          <t>HOSP-3</t>
        </is>
      </c>
      <c r="C1712" t="inlineStr">
        <is>
          <t>SS-01080</t>
        </is>
      </c>
      <c r="D1712" t="n">
        <v>12</v>
      </c>
      <c r="E1712" t="n">
        <v>0</v>
      </c>
      <c r="G1712">
        <f>IF(AND(A1712&gt;=Inputs!$B$5,A1712&lt;=Inputs!$B$6),1,0)</f>
        <v/>
      </c>
    </row>
    <row r="1713">
      <c r="A1713" t="inlineStr">
        <is>
          <t>2026-06</t>
        </is>
      </c>
      <c r="B1713" t="inlineStr">
        <is>
          <t>HOSP-4</t>
        </is>
      </c>
      <c r="C1713" t="inlineStr">
        <is>
          <t>SS-01081</t>
        </is>
      </c>
      <c r="D1713" t="n">
        <v>0</v>
      </c>
      <c r="E1713" t="n">
        <v>0</v>
      </c>
      <c r="G1713">
        <f>IF(AND(A1713&gt;=Inputs!$B$5,A1713&lt;=Inputs!$B$6),1,0)</f>
        <v/>
      </c>
    </row>
    <row r="1714">
      <c r="A1714" t="inlineStr">
        <is>
          <t>2026-06</t>
        </is>
      </c>
      <c r="B1714" t="inlineStr">
        <is>
          <t>HOSP-1</t>
        </is>
      </c>
      <c r="C1714" t="inlineStr">
        <is>
          <t>SS-01082</t>
        </is>
      </c>
      <c r="D1714" t="n">
        <v>48</v>
      </c>
      <c r="E1714" t="n">
        <v>0</v>
      </c>
      <c r="G1714">
        <f>IF(AND(A1714&gt;=Inputs!$B$5,A1714&lt;=Inputs!$B$6),1,0)</f>
        <v/>
      </c>
    </row>
    <row r="1715">
      <c r="A1715" t="inlineStr">
        <is>
          <t>2026-06</t>
        </is>
      </c>
      <c r="B1715" t="inlineStr">
        <is>
          <t>HOSP-2</t>
        </is>
      </c>
      <c r="C1715" t="inlineStr">
        <is>
          <t>SS-01083</t>
        </is>
      </c>
      <c r="D1715" t="n">
        <v>276</v>
      </c>
      <c r="E1715" t="n">
        <v>0</v>
      </c>
      <c r="G1715">
        <f>IF(AND(A1715&gt;=Inputs!$B$5,A1715&lt;=Inputs!$B$6),1,0)</f>
        <v/>
      </c>
    </row>
    <row r="1716">
      <c r="A1716" t="inlineStr">
        <is>
          <t>2026-06</t>
        </is>
      </c>
      <c r="B1716" t="inlineStr">
        <is>
          <t>HOSP-3</t>
        </is>
      </c>
      <c r="C1716" t="inlineStr">
        <is>
          <t>SS-01084</t>
        </is>
      </c>
      <c r="D1716" t="n">
        <v>36</v>
      </c>
      <c r="E1716" t="n">
        <v>0</v>
      </c>
      <c r="G1716">
        <f>IF(AND(A1716&gt;=Inputs!$B$5,A1716&lt;=Inputs!$B$6),1,0)</f>
        <v/>
      </c>
    </row>
    <row r="1717">
      <c r="A1717" t="inlineStr">
        <is>
          <t>2026-06</t>
        </is>
      </c>
      <c r="B1717" t="inlineStr">
        <is>
          <t>HOSP-4</t>
        </is>
      </c>
      <c r="C1717" t="inlineStr">
        <is>
          <t>SS-01085</t>
        </is>
      </c>
      <c r="D1717" t="n">
        <v>24</v>
      </c>
      <c r="E1717" t="n">
        <v>0</v>
      </c>
      <c r="G1717">
        <f>IF(AND(A1717&gt;=Inputs!$B$5,A1717&lt;=Inputs!$B$6),1,0)</f>
        <v/>
      </c>
    </row>
    <row r="1718">
      <c r="A1718" t="inlineStr">
        <is>
          <t>2026-06</t>
        </is>
      </c>
      <c r="B1718" t="inlineStr">
        <is>
          <t>HOSP-1</t>
        </is>
      </c>
      <c r="C1718" t="inlineStr">
        <is>
          <t>SS-01086</t>
        </is>
      </c>
      <c r="D1718" t="n">
        <v>60</v>
      </c>
      <c r="E1718" t="n">
        <v>0</v>
      </c>
      <c r="G1718">
        <f>IF(AND(A1718&gt;=Inputs!$B$5,A1718&lt;=Inputs!$B$6),1,0)</f>
        <v/>
      </c>
    </row>
    <row r="1719">
      <c r="A1719" t="inlineStr">
        <is>
          <t>2026-06</t>
        </is>
      </c>
      <c r="B1719" t="inlineStr">
        <is>
          <t>HOSP-2</t>
        </is>
      </c>
      <c r="C1719" t="inlineStr">
        <is>
          <t>SS-01087</t>
        </is>
      </c>
      <c r="D1719" t="n">
        <v>120</v>
      </c>
      <c r="E1719" t="n">
        <v>0</v>
      </c>
      <c r="G1719">
        <f>IF(AND(A1719&gt;=Inputs!$B$5,A1719&lt;=Inputs!$B$6),1,0)</f>
        <v/>
      </c>
    </row>
    <row r="1720">
      <c r="A1720" t="inlineStr">
        <is>
          <t>2026-06</t>
        </is>
      </c>
      <c r="B1720" t="inlineStr">
        <is>
          <t>HOSP-3</t>
        </is>
      </c>
      <c r="C1720" t="inlineStr">
        <is>
          <t>SS-01088</t>
        </is>
      </c>
      <c r="D1720" t="n">
        <v>0</v>
      </c>
      <c r="E1720" t="n">
        <v>0</v>
      </c>
      <c r="G1720">
        <f>IF(AND(A1720&gt;=Inputs!$B$5,A1720&lt;=Inputs!$B$6),1,0)</f>
        <v/>
      </c>
    </row>
    <row r="1721">
      <c r="A1721" t="inlineStr">
        <is>
          <t>2026-06</t>
        </is>
      </c>
      <c r="B1721" t="inlineStr">
        <is>
          <t>HOSP-4</t>
        </is>
      </c>
      <c r="C1721" t="inlineStr">
        <is>
          <t>SS-01089</t>
        </is>
      </c>
      <c r="D1721" t="n">
        <v>0</v>
      </c>
      <c r="E1721" t="n">
        <v>0</v>
      </c>
      <c r="G1721">
        <f>IF(AND(A1721&gt;=Inputs!$B$5,A1721&lt;=Inputs!$B$6),1,0)</f>
        <v/>
      </c>
    </row>
    <row r="1722">
      <c r="A1722" t="inlineStr">
        <is>
          <t>2026-06</t>
        </is>
      </c>
      <c r="B1722" t="inlineStr">
        <is>
          <t>HOSP-1</t>
        </is>
      </c>
      <c r="C1722" t="inlineStr">
        <is>
          <t>SS-01090</t>
        </is>
      </c>
      <c r="D1722" t="n">
        <v>2</v>
      </c>
      <c r="E1722" t="n">
        <v>1</v>
      </c>
      <c r="G1722">
        <f>IF(AND(A1722&gt;=Inputs!$B$5,A1722&lt;=Inputs!$B$6),1,0)</f>
        <v/>
      </c>
    </row>
    <row r="1723">
      <c r="A1723" t="inlineStr">
        <is>
          <t>2026-06</t>
        </is>
      </c>
      <c r="B1723" t="inlineStr">
        <is>
          <t>HOSP-2</t>
        </is>
      </c>
      <c r="C1723" t="inlineStr">
        <is>
          <t>SS-01091</t>
        </is>
      </c>
      <c r="D1723" t="n">
        <v>204</v>
      </c>
      <c r="E1723" t="n">
        <v>0</v>
      </c>
      <c r="G1723">
        <f>IF(AND(A1723&gt;=Inputs!$B$5,A1723&lt;=Inputs!$B$6),1,0)</f>
        <v/>
      </c>
    </row>
    <row r="1724">
      <c r="A1724" t="inlineStr">
        <is>
          <t>2026-06</t>
        </is>
      </c>
      <c r="B1724" t="inlineStr">
        <is>
          <t>HOSP-3</t>
        </is>
      </c>
      <c r="C1724" t="inlineStr">
        <is>
          <t>SS-01092</t>
        </is>
      </c>
      <c r="D1724" t="n">
        <v>0</v>
      </c>
      <c r="E1724" t="n">
        <v>0</v>
      </c>
      <c r="G1724">
        <f>IF(AND(A1724&gt;=Inputs!$B$5,A1724&lt;=Inputs!$B$6),1,0)</f>
        <v/>
      </c>
    </row>
    <row r="1725">
      <c r="A1725" t="inlineStr">
        <is>
          <t>2026-06</t>
        </is>
      </c>
      <c r="B1725" t="inlineStr">
        <is>
          <t>HOSP-4</t>
        </is>
      </c>
      <c r="C1725" t="inlineStr">
        <is>
          <t>SS-01093</t>
        </is>
      </c>
      <c r="D1725" t="n">
        <v>0</v>
      </c>
      <c r="E1725" t="n">
        <v>0</v>
      </c>
      <c r="G1725">
        <f>IF(AND(A1725&gt;=Inputs!$B$5,A1725&lt;=Inputs!$B$6),1,0)</f>
        <v/>
      </c>
    </row>
    <row r="1726">
      <c r="A1726" t="inlineStr">
        <is>
          <t>2026-06</t>
        </is>
      </c>
      <c r="B1726" t="inlineStr">
        <is>
          <t>HOSP-1</t>
        </is>
      </c>
      <c r="C1726" t="inlineStr">
        <is>
          <t>SS-01094</t>
        </is>
      </c>
      <c r="D1726" t="n">
        <v>0</v>
      </c>
      <c r="E1726" t="n">
        <v>0</v>
      </c>
      <c r="G1726">
        <f>IF(AND(A1726&gt;=Inputs!$B$5,A1726&lt;=Inputs!$B$6),1,0)</f>
        <v/>
      </c>
    </row>
    <row r="1727">
      <c r="A1727" t="inlineStr">
        <is>
          <t>2026-06</t>
        </is>
      </c>
      <c r="B1727" t="inlineStr">
        <is>
          <t>HOSP-2</t>
        </is>
      </c>
      <c r="C1727" t="inlineStr">
        <is>
          <t>SS-01095</t>
        </is>
      </c>
      <c r="D1727" t="n">
        <v>0</v>
      </c>
      <c r="E1727" t="n">
        <v>2</v>
      </c>
      <c r="G1727">
        <f>IF(AND(A1727&gt;=Inputs!$B$5,A1727&lt;=Inputs!$B$6),1,0)</f>
        <v/>
      </c>
    </row>
    <row r="1728">
      <c r="A1728" t="inlineStr">
        <is>
          <t>2026-06</t>
        </is>
      </c>
      <c r="B1728" t="inlineStr">
        <is>
          <t>HOSP-3</t>
        </is>
      </c>
      <c r="C1728" t="inlineStr">
        <is>
          <t>SS-01096</t>
        </is>
      </c>
      <c r="D1728" t="n">
        <v>24</v>
      </c>
      <c r="E1728" t="n">
        <v>0</v>
      </c>
      <c r="G1728">
        <f>IF(AND(A1728&gt;=Inputs!$B$5,A1728&lt;=Inputs!$B$6),1,0)</f>
        <v/>
      </c>
    </row>
    <row r="1729">
      <c r="A1729" t="inlineStr">
        <is>
          <t>2026-06</t>
        </is>
      </c>
      <c r="B1729" t="inlineStr">
        <is>
          <t>HOSP-4</t>
        </is>
      </c>
      <c r="C1729" t="inlineStr">
        <is>
          <t>SS-01097</t>
        </is>
      </c>
      <c r="D1729" t="n">
        <v>60</v>
      </c>
      <c r="E1729" t="n">
        <v>0</v>
      </c>
      <c r="G1729">
        <f>IF(AND(A1729&gt;=Inputs!$B$5,A1729&lt;=Inputs!$B$6),1,0)</f>
        <v/>
      </c>
    </row>
    <row r="1730">
      <c r="A1730" t="inlineStr">
        <is>
          <t>2026-06</t>
        </is>
      </c>
      <c r="B1730" t="inlineStr">
        <is>
          <t>HOSP-1</t>
        </is>
      </c>
      <c r="C1730" t="inlineStr">
        <is>
          <t>SS-01098</t>
        </is>
      </c>
      <c r="D1730" t="n">
        <v>54</v>
      </c>
      <c r="E1730" t="n">
        <v>0</v>
      </c>
      <c r="G1730">
        <f>IF(AND(A1730&gt;=Inputs!$B$5,A1730&lt;=Inputs!$B$6),1,0)</f>
        <v/>
      </c>
    </row>
    <row r="1731">
      <c r="A1731" t="inlineStr">
        <is>
          <t>2026-06</t>
        </is>
      </c>
      <c r="B1731" t="inlineStr">
        <is>
          <t>HOSP-2</t>
        </is>
      </c>
      <c r="C1731" t="inlineStr">
        <is>
          <t>SS-01099</t>
        </is>
      </c>
      <c r="D1731" t="n">
        <v>0</v>
      </c>
      <c r="E1731" t="n">
        <v>0</v>
      </c>
      <c r="G1731">
        <f>IF(AND(A1731&gt;=Inputs!$B$5,A1731&lt;=Inputs!$B$6),1,0)</f>
        <v/>
      </c>
    </row>
    <row r="1732">
      <c r="A1732" t="inlineStr">
        <is>
          <t>2026-06</t>
        </is>
      </c>
      <c r="B1732" t="inlineStr">
        <is>
          <t>HOSP-3</t>
        </is>
      </c>
      <c r="C1732" t="inlineStr">
        <is>
          <t>SS-01100</t>
        </is>
      </c>
      <c r="D1732" t="n">
        <v>12</v>
      </c>
      <c r="E1732" t="n">
        <v>0</v>
      </c>
      <c r="F1732" t="inlineStr">
        <is>
          <t>surge</t>
        </is>
      </c>
      <c r="G1732">
        <f>IF(AND(A1732&gt;=Inputs!$B$5,A1732&lt;=Inputs!$B$6),1,0)</f>
        <v/>
      </c>
    </row>
    <row r="1733">
      <c r="A1733" t="inlineStr">
        <is>
          <t>2026-06</t>
        </is>
      </c>
      <c r="B1733" t="inlineStr">
        <is>
          <t>HOSP-4</t>
        </is>
      </c>
      <c r="C1733" t="inlineStr">
        <is>
          <t>SS-01101</t>
        </is>
      </c>
      <c r="D1733" t="n">
        <v>0</v>
      </c>
      <c r="E1733" t="n">
        <v>0</v>
      </c>
      <c r="G1733">
        <f>IF(AND(A1733&gt;=Inputs!$B$5,A1733&lt;=Inputs!$B$6),1,0)</f>
        <v/>
      </c>
    </row>
    <row r="1734">
      <c r="A1734" t="inlineStr">
        <is>
          <t>2026-06</t>
        </is>
      </c>
      <c r="B1734" t="inlineStr">
        <is>
          <t>HOSP-1</t>
        </is>
      </c>
      <c r="C1734" t="inlineStr">
        <is>
          <t>SS-01102</t>
        </is>
      </c>
      <c r="D1734" t="n">
        <v>24</v>
      </c>
      <c r="E1734" t="n">
        <v>0</v>
      </c>
      <c r="G1734">
        <f>IF(AND(A1734&gt;=Inputs!$B$5,A1734&lt;=Inputs!$B$6),1,0)</f>
        <v/>
      </c>
    </row>
    <row r="1735">
      <c r="A1735" t="inlineStr">
        <is>
          <t>2026-06</t>
        </is>
      </c>
      <c r="B1735" t="inlineStr">
        <is>
          <t>HOSP-2</t>
        </is>
      </c>
      <c r="C1735" t="inlineStr">
        <is>
          <t>SS-01103</t>
        </is>
      </c>
      <c r="D1735" t="n">
        <v>0</v>
      </c>
      <c r="E1735" t="n">
        <v>0</v>
      </c>
      <c r="G1735">
        <f>IF(AND(A1735&gt;=Inputs!$B$5,A1735&lt;=Inputs!$B$6),1,0)</f>
        <v/>
      </c>
    </row>
    <row r="1736">
      <c r="A1736" t="inlineStr">
        <is>
          <t>2026-06</t>
        </is>
      </c>
      <c r="B1736" t="inlineStr">
        <is>
          <t>HOSP-3</t>
        </is>
      </c>
      <c r="C1736" t="inlineStr">
        <is>
          <t>SS-01104</t>
        </is>
      </c>
      <c r="D1736" t="n">
        <v>12</v>
      </c>
      <c r="E1736" t="n">
        <v>0</v>
      </c>
      <c r="G1736">
        <f>IF(AND(A1736&gt;=Inputs!$B$5,A1736&lt;=Inputs!$B$6),1,0)</f>
        <v/>
      </c>
    </row>
    <row r="1737">
      <c r="A1737" t="inlineStr">
        <is>
          <t>2026-06</t>
        </is>
      </c>
      <c r="B1737" t="inlineStr">
        <is>
          <t>HOSP-4</t>
        </is>
      </c>
      <c r="C1737" t="inlineStr">
        <is>
          <t>SS-01105</t>
        </is>
      </c>
      <c r="D1737" t="n">
        <v>12</v>
      </c>
      <c r="E1737" t="n">
        <v>0</v>
      </c>
      <c r="G1737">
        <f>IF(AND(A1737&gt;=Inputs!$B$5,A1737&lt;=Inputs!$B$6),1,0)</f>
        <v/>
      </c>
    </row>
    <row r="1738">
      <c r="A1738" t="inlineStr">
        <is>
          <t>2026-06</t>
        </is>
      </c>
      <c r="B1738" t="inlineStr">
        <is>
          <t>HOSP-1</t>
        </is>
      </c>
      <c r="C1738" t="inlineStr">
        <is>
          <t>SS-01106</t>
        </is>
      </c>
      <c r="D1738" t="n">
        <v>24</v>
      </c>
      <c r="E1738" t="n">
        <v>0</v>
      </c>
      <c r="G1738">
        <f>IF(AND(A1738&gt;=Inputs!$B$5,A1738&lt;=Inputs!$B$6),1,0)</f>
        <v/>
      </c>
    </row>
    <row r="1739">
      <c r="A1739" t="inlineStr">
        <is>
          <t>2026-06</t>
        </is>
      </c>
      <c r="B1739" t="inlineStr">
        <is>
          <t>HOSP-2</t>
        </is>
      </c>
      <c r="C1739" t="inlineStr">
        <is>
          <t>SS-01107</t>
        </is>
      </c>
      <c r="D1739" t="n">
        <v>96</v>
      </c>
      <c r="E1739" t="n">
        <v>0</v>
      </c>
      <c r="G1739">
        <f>IF(AND(A1739&gt;=Inputs!$B$5,A1739&lt;=Inputs!$B$6),1,0)</f>
        <v/>
      </c>
    </row>
    <row r="1740">
      <c r="A1740" t="inlineStr">
        <is>
          <t>2026-06</t>
        </is>
      </c>
      <c r="B1740" t="inlineStr">
        <is>
          <t>HOSP-3</t>
        </is>
      </c>
      <c r="C1740" t="inlineStr">
        <is>
          <t>SS-01108</t>
        </is>
      </c>
      <c r="D1740" t="n">
        <v>0</v>
      </c>
      <c r="E1740" t="n">
        <v>0</v>
      </c>
      <c r="G1740">
        <f>IF(AND(A1740&gt;=Inputs!$B$5,A1740&lt;=Inputs!$B$6),1,0)</f>
        <v/>
      </c>
    </row>
    <row r="1741">
      <c r="A1741" t="inlineStr">
        <is>
          <t>2026-06</t>
        </is>
      </c>
      <c r="B1741" t="inlineStr">
        <is>
          <t>HOSP-4</t>
        </is>
      </c>
      <c r="C1741" t="inlineStr">
        <is>
          <t>SS-01109</t>
        </is>
      </c>
      <c r="D1741" t="n">
        <v>25</v>
      </c>
      <c r="E1741" t="n">
        <v>1</v>
      </c>
      <c r="G1741">
        <f>IF(AND(A1741&gt;=Inputs!$B$5,A1741&lt;=Inputs!$B$6),1,0)</f>
        <v/>
      </c>
    </row>
    <row r="1742">
      <c r="A1742" t="inlineStr">
        <is>
          <t>2026-06</t>
        </is>
      </c>
      <c r="B1742" t="inlineStr">
        <is>
          <t>HOSP-1</t>
        </is>
      </c>
      <c r="C1742" t="inlineStr">
        <is>
          <t>SS-01110</t>
        </is>
      </c>
      <c r="D1742" t="n">
        <v>0</v>
      </c>
      <c r="E1742" t="n">
        <v>0</v>
      </c>
      <c r="G1742">
        <f>IF(AND(A1742&gt;=Inputs!$B$5,A1742&lt;=Inputs!$B$6),1,0)</f>
        <v/>
      </c>
    </row>
    <row r="1743">
      <c r="A1743" t="inlineStr">
        <is>
          <t>2026-06</t>
        </is>
      </c>
      <c r="B1743" t="inlineStr">
        <is>
          <t>HOSP-2</t>
        </is>
      </c>
      <c r="C1743" t="inlineStr">
        <is>
          <t>SS-01111</t>
        </is>
      </c>
      <c r="D1743" t="n">
        <v>144</v>
      </c>
      <c r="E1743" t="n">
        <v>0</v>
      </c>
      <c r="G1743">
        <f>IF(AND(A1743&gt;=Inputs!$B$5,A1743&lt;=Inputs!$B$6),1,0)</f>
        <v/>
      </c>
    </row>
    <row r="1744">
      <c r="A1744" t="inlineStr">
        <is>
          <t>2026-06</t>
        </is>
      </c>
      <c r="B1744" t="inlineStr">
        <is>
          <t>HOSP-3</t>
        </is>
      </c>
      <c r="C1744" t="inlineStr">
        <is>
          <t>SS-01112</t>
        </is>
      </c>
      <c r="D1744" t="n">
        <v>60</v>
      </c>
      <c r="E1744" t="n">
        <v>0</v>
      </c>
      <c r="G1744">
        <f>IF(AND(A1744&gt;=Inputs!$B$5,A1744&lt;=Inputs!$B$6),1,0)</f>
        <v/>
      </c>
    </row>
    <row r="1745">
      <c r="A1745" t="inlineStr">
        <is>
          <t>2026-06</t>
        </is>
      </c>
      <c r="B1745" t="inlineStr">
        <is>
          <t>HOSP-4</t>
        </is>
      </c>
      <c r="C1745" t="inlineStr">
        <is>
          <t>SS-01113</t>
        </is>
      </c>
      <c r="D1745" t="n">
        <v>60</v>
      </c>
      <c r="E1745" t="n">
        <v>0</v>
      </c>
      <c r="G1745">
        <f>IF(AND(A1745&gt;=Inputs!$B$5,A1745&lt;=Inputs!$B$6),1,0)</f>
        <v/>
      </c>
    </row>
    <row r="1746">
      <c r="A1746" t="inlineStr">
        <is>
          <t>2026-06</t>
        </is>
      </c>
      <c r="B1746" t="inlineStr">
        <is>
          <t>HOSP-1</t>
        </is>
      </c>
      <c r="C1746" t="inlineStr">
        <is>
          <t>SS-01114</t>
        </is>
      </c>
      <c r="D1746" t="n">
        <v>84</v>
      </c>
      <c r="E1746" t="n">
        <v>0</v>
      </c>
      <c r="G1746">
        <f>IF(AND(A1746&gt;=Inputs!$B$5,A1746&lt;=Inputs!$B$6),1,0)</f>
        <v/>
      </c>
    </row>
    <row r="1747">
      <c r="A1747" t="inlineStr">
        <is>
          <t>2026-06</t>
        </is>
      </c>
      <c r="B1747" t="inlineStr">
        <is>
          <t>HOSP-2</t>
        </is>
      </c>
      <c r="C1747" t="inlineStr">
        <is>
          <t>SS-01115</t>
        </is>
      </c>
      <c r="D1747" t="n">
        <v>12</v>
      </c>
      <c r="E1747" t="n">
        <v>0</v>
      </c>
      <c r="G1747">
        <f>IF(AND(A1747&gt;=Inputs!$B$5,A1747&lt;=Inputs!$B$6),1,0)</f>
        <v/>
      </c>
    </row>
    <row r="1748">
      <c r="A1748" t="inlineStr">
        <is>
          <t>2026-06</t>
        </is>
      </c>
      <c r="B1748" t="inlineStr">
        <is>
          <t>HOSP-3</t>
        </is>
      </c>
      <c r="C1748" t="inlineStr">
        <is>
          <t>SS-01116</t>
        </is>
      </c>
      <c r="D1748" t="n">
        <v>36</v>
      </c>
      <c r="E1748" t="n">
        <v>0</v>
      </c>
      <c r="G1748">
        <f>IF(AND(A1748&gt;=Inputs!$B$5,A1748&lt;=Inputs!$B$6),1,0)</f>
        <v/>
      </c>
    </row>
    <row r="1749">
      <c r="A1749" t="inlineStr">
        <is>
          <t>2026-06</t>
        </is>
      </c>
      <c r="B1749" t="inlineStr">
        <is>
          <t>HOSP-4</t>
        </is>
      </c>
      <c r="C1749" t="inlineStr">
        <is>
          <t>SS-01117</t>
        </is>
      </c>
      <c r="D1749" t="n">
        <v>12</v>
      </c>
      <c r="E1749" t="n">
        <v>0</v>
      </c>
      <c r="G1749">
        <f>IF(AND(A1749&gt;=Inputs!$B$5,A1749&lt;=Inputs!$B$6),1,0)</f>
        <v/>
      </c>
    </row>
    <row r="1750">
      <c r="A1750" t="inlineStr">
        <is>
          <t>2026-06</t>
        </is>
      </c>
      <c r="B1750" t="inlineStr">
        <is>
          <t>HOSP-1</t>
        </is>
      </c>
      <c r="C1750" t="inlineStr">
        <is>
          <t>SS-01118</t>
        </is>
      </c>
      <c r="D1750" t="n">
        <v>36</v>
      </c>
      <c r="E1750" t="n">
        <v>0</v>
      </c>
      <c r="G1750">
        <f>IF(AND(A1750&gt;=Inputs!$B$5,A1750&lt;=Inputs!$B$6),1,0)</f>
        <v/>
      </c>
    </row>
    <row r="1751">
      <c r="A1751" t="inlineStr">
        <is>
          <t>2026-06</t>
        </is>
      </c>
      <c r="B1751" t="inlineStr">
        <is>
          <t>HOSP-2</t>
        </is>
      </c>
      <c r="C1751" t="inlineStr">
        <is>
          <t>SS-01119</t>
        </is>
      </c>
      <c r="D1751" t="n">
        <v>24</v>
      </c>
      <c r="E1751" t="n">
        <v>0</v>
      </c>
      <c r="G1751">
        <f>IF(AND(A1751&gt;=Inputs!$B$5,A1751&lt;=Inputs!$B$6),1,0)</f>
        <v/>
      </c>
    </row>
    <row r="1752">
      <c r="A1752" t="inlineStr">
        <is>
          <t>2026-06</t>
        </is>
      </c>
      <c r="B1752" t="inlineStr">
        <is>
          <t>HOSP-3</t>
        </is>
      </c>
      <c r="C1752" t="inlineStr">
        <is>
          <t>SS-01120</t>
        </is>
      </c>
      <c r="D1752" t="n">
        <v>72</v>
      </c>
      <c r="E1752" t="n">
        <v>0</v>
      </c>
      <c r="G1752">
        <f>IF(AND(A1752&gt;=Inputs!$B$5,A1752&lt;=Inputs!$B$6),1,0)</f>
        <v/>
      </c>
    </row>
    <row r="1753">
      <c r="A1753" t="inlineStr">
        <is>
          <t>2026-06</t>
        </is>
      </c>
      <c r="B1753" t="inlineStr">
        <is>
          <t>HOSP-4</t>
        </is>
      </c>
      <c r="C1753" t="inlineStr">
        <is>
          <t>SS-01121</t>
        </is>
      </c>
      <c r="D1753" t="n">
        <v>36</v>
      </c>
      <c r="E1753" t="n">
        <v>0</v>
      </c>
      <c r="G1753">
        <f>IF(AND(A1753&gt;=Inputs!$B$5,A1753&lt;=Inputs!$B$6),1,0)</f>
        <v/>
      </c>
    </row>
    <row r="1754">
      <c r="A1754" t="inlineStr">
        <is>
          <t>2026-06</t>
        </is>
      </c>
      <c r="B1754" t="inlineStr">
        <is>
          <t>HOSP-1</t>
        </is>
      </c>
      <c r="C1754" t="inlineStr">
        <is>
          <t>SS-01122</t>
        </is>
      </c>
      <c r="D1754" t="n">
        <v>84</v>
      </c>
      <c r="E1754" t="n">
        <v>0</v>
      </c>
      <c r="G1754">
        <f>IF(AND(A1754&gt;=Inputs!$B$5,A1754&lt;=Inputs!$B$6),1,0)</f>
        <v/>
      </c>
    </row>
    <row r="1755">
      <c r="A1755" t="inlineStr">
        <is>
          <t>2026-06</t>
        </is>
      </c>
      <c r="B1755" t="inlineStr">
        <is>
          <t>HOSP-2</t>
        </is>
      </c>
      <c r="C1755" t="inlineStr">
        <is>
          <t>SS-01123</t>
        </is>
      </c>
      <c r="D1755" t="n">
        <v>0</v>
      </c>
      <c r="E1755" t="n">
        <v>0</v>
      </c>
      <c r="G1755">
        <f>IF(AND(A1755&gt;=Inputs!$B$5,A1755&lt;=Inputs!$B$6),1,0)</f>
        <v/>
      </c>
    </row>
    <row r="1756">
      <c r="A1756" t="inlineStr">
        <is>
          <t>2026-06</t>
        </is>
      </c>
      <c r="B1756" t="inlineStr">
        <is>
          <t>HOSP-3</t>
        </is>
      </c>
      <c r="C1756" t="inlineStr">
        <is>
          <t>SS-01124</t>
        </is>
      </c>
      <c r="D1756" t="n">
        <v>36</v>
      </c>
      <c r="E1756" t="n">
        <v>0</v>
      </c>
      <c r="G1756">
        <f>IF(AND(A1756&gt;=Inputs!$B$5,A1756&lt;=Inputs!$B$6),1,0)</f>
        <v/>
      </c>
    </row>
    <row r="1757">
      <c r="A1757" t="inlineStr">
        <is>
          <t>2026-06</t>
        </is>
      </c>
      <c r="B1757" t="inlineStr">
        <is>
          <t>HOSP-4</t>
        </is>
      </c>
      <c r="C1757" t="inlineStr">
        <is>
          <t>SS-01125</t>
        </is>
      </c>
      <c r="D1757" t="n">
        <v>36</v>
      </c>
      <c r="E1757" t="n">
        <v>0</v>
      </c>
      <c r="G1757">
        <f>IF(AND(A1757&gt;=Inputs!$B$5,A1757&lt;=Inputs!$B$6),1,0)</f>
        <v/>
      </c>
    </row>
    <row r="1758">
      <c r="A1758" t="inlineStr">
        <is>
          <t>2026-06</t>
        </is>
      </c>
      <c r="B1758" t="inlineStr">
        <is>
          <t>HOSP-1</t>
        </is>
      </c>
      <c r="C1758" t="inlineStr">
        <is>
          <t>SS-01126</t>
        </is>
      </c>
      <c r="D1758" t="n">
        <v>96</v>
      </c>
      <c r="E1758" t="n">
        <v>0</v>
      </c>
      <c r="G1758">
        <f>IF(AND(A1758&gt;=Inputs!$B$5,A1758&lt;=Inputs!$B$6),1,0)</f>
        <v/>
      </c>
    </row>
    <row r="1759">
      <c r="A1759" t="inlineStr">
        <is>
          <t>2026-06</t>
        </is>
      </c>
      <c r="B1759" t="inlineStr">
        <is>
          <t>HOSP-2</t>
        </is>
      </c>
      <c r="C1759" t="inlineStr">
        <is>
          <t>SS-01127</t>
        </is>
      </c>
      <c r="D1759" t="n">
        <v>24</v>
      </c>
      <c r="E1759" t="n">
        <v>0</v>
      </c>
      <c r="G1759">
        <f>IF(AND(A1759&gt;=Inputs!$B$5,A1759&lt;=Inputs!$B$6),1,0)</f>
        <v/>
      </c>
    </row>
    <row r="1760">
      <c r="A1760" t="inlineStr">
        <is>
          <t>2026-06</t>
        </is>
      </c>
      <c r="B1760" t="inlineStr">
        <is>
          <t>HOSP-3</t>
        </is>
      </c>
      <c r="C1760" t="inlineStr">
        <is>
          <t>SS-01128</t>
        </is>
      </c>
      <c r="D1760" t="n">
        <v>0</v>
      </c>
      <c r="E1760" t="n">
        <v>0</v>
      </c>
      <c r="G1760">
        <f>IF(AND(A1760&gt;=Inputs!$B$5,A1760&lt;=Inputs!$B$6),1,0)</f>
        <v/>
      </c>
    </row>
    <row r="1761">
      <c r="A1761" t="inlineStr">
        <is>
          <t>2026-06</t>
        </is>
      </c>
      <c r="B1761" t="inlineStr">
        <is>
          <t>HOSP-4</t>
        </is>
      </c>
      <c r="C1761" t="inlineStr">
        <is>
          <t>SS-01129</t>
        </is>
      </c>
      <c r="D1761" t="n">
        <v>19</v>
      </c>
      <c r="E1761" t="n">
        <v>1</v>
      </c>
      <c r="G1761">
        <f>IF(AND(A1761&gt;=Inputs!$B$5,A1761&lt;=Inputs!$B$6),1,0)</f>
        <v/>
      </c>
    </row>
    <row r="1762">
      <c r="A1762" t="inlineStr">
        <is>
          <t>2026-06</t>
        </is>
      </c>
      <c r="B1762" t="inlineStr">
        <is>
          <t>HOSP-1</t>
        </is>
      </c>
      <c r="C1762" t="inlineStr">
        <is>
          <t>SS-01130</t>
        </is>
      </c>
      <c r="D1762" t="n">
        <v>31</v>
      </c>
      <c r="E1762" t="n">
        <v>5</v>
      </c>
      <c r="G1762">
        <f>IF(AND(A1762&gt;=Inputs!$B$5,A1762&lt;=Inputs!$B$6),1,0)</f>
        <v/>
      </c>
    </row>
    <row r="1763">
      <c r="A1763" t="inlineStr">
        <is>
          <t>2026-06</t>
        </is>
      </c>
      <c r="B1763" t="inlineStr">
        <is>
          <t>HOSP-2</t>
        </is>
      </c>
      <c r="C1763" t="inlineStr">
        <is>
          <t>SS-01131</t>
        </is>
      </c>
      <c r="D1763" t="n">
        <v>0</v>
      </c>
      <c r="E1763" t="n">
        <v>0</v>
      </c>
      <c r="G1763">
        <f>IF(AND(A1763&gt;=Inputs!$B$5,A1763&lt;=Inputs!$B$6),1,0)</f>
        <v/>
      </c>
    </row>
    <row r="1764">
      <c r="A1764" t="inlineStr">
        <is>
          <t>2026-06</t>
        </is>
      </c>
      <c r="B1764" t="inlineStr">
        <is>
          <t>HOSP-3</t>
        </is>
      </c>
      <c r="C1764" t="inlineStr">
        <is>
          <t>SS-01132</t>
        </is>
      </c>
      <c r="D1764" t="n">
        <v>0</v>
      </c>
      <c r="E1764" t="n">
        <v>0</v>
      </c>
      <c r="G1764">
        <f>IF(AND(A1764&gt;=Inputs!$B$5,A1764&lt;=Inputs!$B$6),1,0)</f>
        <v/>
      </c>
    </row>
    <row r="1765">
      <c r="A1765" t="inlineStr">
        <is>
          <t>2026-06</t>
        </is>
      </c>
      <c r="B1765" t="inlineStr">
        <is>
          <t>HOSP-4</t>
        </is>
      </c>
      <c r="C1765" t="inlineStr">
        <is>
          <t>SS-01133</t>
        </is>
      </c>
      <c r="D1765" t="n">
        <v>0</v>
      </c>
      <c r="E1765" t="n">
        <v>0</v>
      </c>
      <c r="G1765">
        <f>IF(AND(A1765&gt;=Inputs!$B$5,A1765&lt;=Inputs!$B$6),1,0)</f>
        <v/>
      </c>
    </row>
    <row r="1766">
      <c r="A1766" t="inlineStr">
        <is>
          <t>2026-06</t>
        </is>
      </c>
      <c r="B1766" t="inlineStr">
        <is>
          <t>HOSP-1</t>
        </is>
      </c>
      <c r="C1766" t="inlineStr">
        <is>
          <t>SS-01134</t>
        </is>
      </c>
      <c r="D1766" t="n">
        <v>192</v>
      </c>
      <c r="E1766" t="n">
        <v>0</v>
      </c>
      <c r="G1766">
        <f>IF(AND(A1766&gt;=Inputs!$B$5,A1766&lt;=Inputs!$B$6),1,0)</f>
        <v/>
      </c>
    </row>
    <row r="1767">
      <c r="A1767" t="inlineStr">
        <is>
          <t>2026-06</t>
        </is>
      </c>
      <c r="B1767" t="inlineStr">
        <is>
          <t>HOSP-2</t>
        </is>
      </c>
      <c r="C1767" t="inlineStr">
        <is>
          <t>SS-01135</t>
        </is>
      </c>
      <c r="D1767" t="n">
        <v>12</v>
      </c>
      <c r="E1767" t="n">
        <v>0</v>
      </c>
      <c r="G1767">
        <f>IF(AND(A1767&gt;=Inputs!$B$5,A1767&lt;=Inputs!$B$6),1,0)</f>
        <v/>
      </c>
    </row>
    <row r="1768">
      <c r="A1768" t="inlineStr">
        <is>
          <t>2026-06</t>
        </is>
      </c>
      <c r="B1768" t="inlineStr">
        <is>
          <t>HOSP-3</t>
        </is>
      </c>
      <c r="C1768" t="inlineStr">
        <is>
          <t>SS-01136</t>
        </is>
      </c>
      <c r="D1768" t="n">
        <v>27</v>
      </c>
      <c r="E1768" t="n">
        <v>1</v>
      </c>
      <c r="G1768">
        <f>IF(AND(A1768&gt;=Inputs!$B$5,A1768&lt;=Inputs!$B$6),1,0)</f>
        <v/>
      </c>
    </row>
    <row r="1769">
      <c r="A1769" t="inlineStr">
        <is>
          <t>2026-06</t>
        </is>
      </c>
      <c r="B1769" t="inlineStr">
        <is>
          <t>HOSP-4</t>
        </is>
      </c>
      <c r="C1769" t="inlineStr">
        <is>
          <t>SS-01137</t>
        </is>
      </c>
      <c r="D1769" t="n">
        <v>120</v>
      </c>
      <c r="E1769" t="n">
        <v>0</v>
      </c>
      <c r="G1769">
        <f>IF(AND(A1769&gt;=Inputs!$B$5,A1769&lt;=Inputs!$B$6),1,0)</f>
        <v/>
      </c>
    </row>
    <row r="1770">
      <c r="A1770" t="inlineStr">
        <is>
          <t>2026-06</t>
        </is>
      </c>
      <c r="B1770" t="inlineStr">
        <is>
          <t>HOSP-1</t>
        </is>
      </c>
      <c r="C1770" t="inlineStr">
        <is>
          <t>SS-01138</t>
        </is>
      </c>
      <c r="D1770" t="n">
        <v>5</v>
      </c>
      <c r="E1770" t="n">
        <v>0</v>
      </c>
      <c r="G1770">
        <f>IF(AND(A1770&gt;=Inputs!$B$5,A1770&lt;=Inputs!$B$6),1,0)</f>
        <v/>
      </c>
    </row>
    <row r="1771">
      <c r="A1771" t="inlineStr">
        <is>
          <t>2026-06</t>
        </is>
      </c>
      <c r="B1771" t="inlineStr">
        <is>
          <t>HOSP-2</t>
        </is>
      </c>
      <c r="C1771" t="inlineStr">
        <is>
          <t>SS-01139</t>
        </is>
      </c>
      <c r="D1771" t="n">
        <v>0</v>
      </c>
      <c r="E1771" t="n">
        <v>0</v>
      </c>
      <c r="G1771">
        <f>IF(AND(A1771&gt;=Inputs!$B$5,A1771&lt;=Inputs!$B$6),1,0)</f>
        <v/>
      </c>
    </row>
    <row r="1772">
      <c r="A1772" t="inlineStr">
        <is>
          <t>2026-06</t>
        </is>
      </c>
      <c r="B1772" t="inlineStr">
        <is>
          <t>HOSP-3</t>
        </is>
      </c>
      <c r="C1772" t="inlineStr">
        <is>
          <t>SS-01140</t>
        </is>
      </c>
      <c r="D1772" t="n">
        <v>120</v>
      </c>
      <c r="E1772" t="n">
        <v>0</v>
      </c>
      <c r="G1772">
        <f>IF(AND(A1772&gt;=Inputs!$B$5,A1772&lt;=Inputs!$B$6),1,0)</f>
        <v/>
      </c>
    </row>
    <row r="1773">
      <c r="A1773" t="inlineStr">
        <is>
          <t>2026-06</t>
        </is>
      </c>
      <c r="B1773" t="inlineStr">
        <is>
          <t>HOSP-4</t>
        </is>
      </c>
      <c r="C1773" t="inlineStr">
        <is>
          <t>SS-01141</t>
        </is>
      </c>
      <c r="D1773" t="n">
        <v>24</v>
      </c>
      <c r="E1773" t="n">
        <v>0</v>
      </c>
      <c r="G1773">
        <f>IF(AND(A1773&gt;=Inputs!$B$5,A1773&lt;=Inputs!$B$6),1,0)</f>
        <v/>
      </c>
    </row>
    <row r="1774">
      <c r="A1774" t="inlineStr">
        <is>
          <t>2026-06</t>
        </is>
      </c>
      <c r="B1774" t="inlineStr">
        <is>
          <t>HOSP-1</t>
        </is>
      </c>
      <c r="C1774" t="inlineStr">
        <is>
          <t>SS-01142</t>
        </is>
      </c>
      <c r="D1774" t="n">
        <v>120</v>
      </c>
      <c r="E1774" t="n">
        <v>0</v>
      </c>
      <c r="G1774">
        <f>IF(AND(A1774&gt;=Inputs!$B$5,A1774&lt;=Inputs!$B$6),1,0)</f>
        <v/>
      </c>
    </row>
    <row r="1775">
      <c r="A1775" t="inlineStr">
        <is>
          <t>2026-06</t>
        </is>
      </c>
      <c r="B1775" t="inlineStr">
        <is>
          <t>HOSP-2</t>
        </is>
      </c>
      <c r="C1775" t="inlineStr">
        <is>
          <t>SS-01143</t>
        </is>
      </c>
      <c r="D1775" t="n">
        <v>22</v>
      </c>
      <c r="E1775" t="n">
        <v>0</v>
      </c>
      <c r="G1775">
        <f>IF(AND(A1775&gt;=Inputs!$B$5,A1775&lt;=Inputs!$B$6),1,0)</f>
        <v/>
      </c>
    </row>
    <row r="1776">
      <c r="A1776" t="inlineStr">
        <is>
          <t>2026-06</t>
        </is>
      </c>
      <c r="B1776" t="inlineStr">
        <is>
          <t>HOSP-3</t>
        </is>
      </c>
      <c r="C1776" t="inlineStr">
        <is>
          <t>SS-01144</t>
        </is>
      </c>
      <c r="D1776" t="n">
        <v>0</v>
      </c>
      <c r="E1776" t="n">
        <v>0</v>
      </c>
      <c r="G1776">
        <f>IF(AND(A1776&gt;=Inputs!$B$5,A1776&lt;=Inputs!$B$6),1,0)</f>
        <v/>
      </c>
    </row>
    <row r="1777">
      <c r="A1777" t="inlineStr">
        <is>
          <t>2026-06</t>
        </is>
      </c>
      <c r="B1777" t="inlineStr">
        <is>
          <t>HOSP-4</t>
        </is>
      </c>
      <c r="C1777" t="inlineStr">
        <is>
          <t>SS-01145</t>
        </is>
      </c>
      <c r="D1777" t="n">
        <v>36</v>
      </c>
      <c r="E1777" t="n">
        <v>0</v>
      </c>
      <c r="G1777">
        <f>IF(AND(A1777&gt;=Inputs!$B$5,A1777&lt;=Inputs!$B$6),1,0)</f>
        <v/>
      </c>
    </row>
    <row r="1778">
      <c r="A1778" t="inlineStr">
        <is>
          <t>2026-06</t>
        </is>
      </c>
      <c r="B1778" t="inlineStr">
        <is>
          <t>HOSP-1</t>
        </is>
      </c>
      <c r="C1778" t="inlineStr">
        <is>
          <t>SS-01146</t>
        </is>
      </c>
      <c r="D1778" t="n">
        <v>12</v>
      </c>
      <c r="E1778" t="n">
        <v>0</v>
      </c>
      <c r="G1778">
        <f>IF(AND(A1778&gt;=Inputs!$B$5,A1778&lt;=Inputs!$B$6),1,0)</f>
        <v/>
      </c>
    </row>
    <row r="1779">
      <c r="A1779" t="inlineStr">
        <is>
          <t>2026-06</t>
        </is>
      </c>
      <c r="B1779" t="inlineStr">
        <is>
          <t>HOSP-2</t>
        </is>
      </c>
      <c r="C1779" t="inlineStr">
        <is>
          <t>SS-01147</t>
        </is>
      </c>
      <c r="D1779" t="n">
        <v>12</v>
      </c>
      <c r="E1779" t="n">
        <v>0</v>
      </c>
      <c r="G1779">
        <f>IF(AND(A1779&gt;=Inputs!$B$5,A1779&lt;=Inputs!$B$6),1,0)</f>
        <v/>
      </c>
    </row>
    <row r="1780">
      <c r="A1780" t="inlineStr">
        <is>
          <t>2026-06</t>
        </is>
      </c>
      <c r="B1780" t="inlineStr">
        <is>
          <t>HOSP-3</t>
        </is>
      </c>
      <c r="C1780" t="inlineStr">
        <is>
          <t>SS-01148</t>
        </is>
      </c>
      <c r="D1780" t="n">
        <v>4</v>
      </c>
      <c r="E1780" t="n">
        <v>0</v>
      </c>
      <c r="G1780">
        <f>IF(AND(A1780&gt;=Inputs!$B$5,A1780&lt;=Inputs!$B$6),1,0)</f>
        <v/>
      </c>
    </row>
    <row r="1781">
      <c r="A1781" t="inlineStr">
        <is>
          <t>2026-06</t>
        </is>
      </c>
      <c r="B1781" t="inlineStr">
        <is>
          <t>HOSP-4</t>
        </is>
      </c>
      <c r="C1781" t="inlineStr">
        <is>
          <t>SS-01149</t>
        </is>
      </c>
      <c r="D1781" t="n">
        <v>0</v>
      </c>
      <c r="E1781" t="n">
        <v>0</v>
      </c>
      <c r="G1781">
        <f>IF(AND(A1781&gt;=Inputs!$B$5,A1781&lt;=Inputs!$B$6),1,0)</f>
        <v/>
      </c>
    </row>
    <row r="1782">
      <c r="A1782" t="inlineStr">
        <is>
          <t>2026-06</t>
        </is>
      </c>
      <c r="B1782" t="inlineStr">
        <is>
          <t>HOSP-1</t>
        </is>
      </c>
      <c r="C1782" t="inlineStr">
        <is>
          <t>SS-01150</t>
        </is>
      </c>
      <c r="D1782" t="n">
        <v>38</v>
      </c>
      <c r="E1782" t="n">
        <v>0</v>
      </c>
      <c r="G1782">
        <f>IF(AND(A1782&gt;=Inputs!$B$5,A1782&lt;=Inputs!$B$6),1,0)</f>
        <v/>
      </c>
    </row>
    <row r="1783">
      <c r="A1783" t="inlineStr">
        <is>
          <t>2026-06</t>
        </is>
      </c>
      <c r="B1783" t="inlineStr">
        <is>
          <t>HOSP-2</t>
        </is>
      </c>
      <c r="C1783" t="inlineStr">
        <is>
          <t>SS-01151</t>
        </is>
      </c>
      <c r="D1783" t="n">
        <v>12</v>
      </c>
      <c r="E1783" t="n">
        <v>0</v>
      </c>
      <c r="G1783">
        <f>IF(AND(A1783&gt;=Inputs!$B$5,A1783&lt;=Inputs!$B$6),1,0)</f>
        <v/>
      </c>
    </row>
    <row r="1784">
      <c r="A1784" t="inlineStr">
        <is>
          <t>2026-06</t>
        </is>
      </c>
      <c r="B1784" t="inlineStr">
        <is>
          <t>HOSP-3</t>
        </is>
      </c>
      <c r="C1784" t="inlineStr">
        <is>
          <t>SS-01152</t>
        </is>
      </c>
      <c r="D1784" t="n">
        <v>0</v>
      </c>
      <c r="E1784" t="n">
        <v>0</v>
      </c>
      <c r="G1784">
        <f>IF(AND(A1784&gt;=Inputs!$B$5,A1784&lt;=Inputs!$B$6),1,0)</f>
        <v/>
      </c>
    </row>
    <row r="1785">
      <c r="A1785" t="inlineStr">
        <is>
          <t>2026-06</t>
        </is>
      </c>
      <c r="B1785" t="inlineStr">
        <is>
          <t>HOSP-4</t>
        </is>
      </c>
      <c r="C1785" t="inlineStr">
        <is>
          <t>SS-01153</t>
        </is>
      </c>
      <c r="D1785" t="n">
        <v>25</v>
      </c>
      <c r="E1785" t="n">
        <v>1</v>
      </c>
      <c r="G1785">
        <f>IF(AND(A1785&gt;=Inputs!$B$5,A1785&lt;=Inputs!$B$6),1,0)</f>
        <v/>
      </c>
    </row>
    <row r="1786">
      <c r="A1786" t="inlineStr">
        <is>
          <t>2026-06</t>
        </is>
      </c>
      <c r="B1786" t="inlineStr">
        <is>
          <t>HOSP-1</t>
        </is>
      </c>
      <c r="C1786" t="inlineStr">
        <is>
          <t>SS-01154</t>
        </is>
      </c>
      <c r="D1786" t="n">
        <v>0</v>
      </c>
      <c r="E1786" t="n">
        <v>0</v>
      </c>
      <c r="G1786">
        <f>IF(AND(A1786&gt;=Inputs!$B$5,A1786&lt;=Inputs!$B$6),1,0)</f>
        <v/>
      </c>
    </row>
    <row r="1787">
      <c r="A1787" t="inlineStr">
        <is>
          <t>2026-06</t>
        </is>
      </c>
      <c r="B1787" t="inlineStr">
        <is>
          <t>HOSP-2</t>
        </is>
      </c>
      <c r="C1787" t="inlineStr">
        <is>
          <t>SS-01155</t>
        </is>
      </c>
      <c r="D1787" t="n">
        <v>60</v>
      </c>
      <c r="E1787" t="n">
        <v>0</v>
      </c>
      <c r="G1787">
        <f>IF(AND(A1787&gt;=Inputs!$B$5,A1787&lt;=Inputs!$B$6),1,0)</f>
        <v/>
      </c>
    </row>
    <row r="1788">
      <c r="A1788" t="inlineStr">
        <is>
          <t>2026-06</t>
        </is>
      </c>
      <c r="B1788" t="inlineStr">
        <is>
          <t>HOSP-3</t>
        </is>
      </c>
      <c r="C1788" t="inlineStr">
        <is>
          <t>SS-01156</t>
        </is>
      </c>
      <c r="D1788" t="n">
        <v>0</v>
      </c>
      <c r="E1788" t="n">
        <v>0</v>
      </c>
      <c r="G1788">
        <f>IF(AND(A1788&gt;=Inputs!$B$5,A1788&lt;=Inputs!$B$6),1,0)</f>
        <v/>
      </c>
    </row>
    <row r="1789">
      <c r="A1789" t="inlineStr">
        <is>
          <t>2026-06</t>
        </is>
      </c>
      <c r="B1789" t="inlineStr">
        <is>
          <t>HOSP-4</t>
        </is>
      </c>
      <c r="C1789" t="inlineStr">
        <is>
          <t>SS-01157</t>
        </is>
      </c>
      <c r="D1789" t="n">
        <v>12</v>
      </c>
      <c r="E1789" t="n">
        <v>0</v>
      </c>
      <c r="G1789">
        <f>IF(AND(A1789&gt;=Inputs!$B$5,A1789&lt;=Inputs!$B$6),1,0)</f>
        <v/>
      </c>
    </row>
    <row r="1790">
      <c r="A1790" t="inlineStr">
        <is>
          <t>2026-06</t>
        </is>
      </c>
      <c r="B1790" t="inlineStr">
        <is>
          <t>HOSP-1</t>
        </is>
      </c>
      <c r="C1790" t="inlineStr">
        <is>
          <t>SS-01158</t>
        </is>
      </c>
      <c r="D1790" t="n">
        <v>0</v>
      </c>
      <c r="E1790" t="n">
        <v>0</v>
      </c>
      <c r="G1790">
        <f>IF(AND(A1790&gt;=Inputs!$B$5,A1790&lt;=Inputs!$B$6),1,0)</f>
        <v/>
      </c>
    </row>
    <row r="1791">
      <c r="A1791" t="inlineStr">
        <is>
          <t>2026-06</t>
        </is>
      </c>
      <c r="B1791" t="inlineStr">
        <is>
          <t>HOSP-2</t>
        </is>
      </c>
      <c r="C1791" t="inlineStr">
        <is>
          <t>SS-01004</t>
        </is>
      </c>
      <c r="D1791" t="n">
        <v>48</v>
      </c>
      <c r="E1791" t="n">
        <v>0</v>
      </c>
      <c r="G1791">
        <f>IF(AND(A1791&gt;=Inputs!$B$5,A1791&lt;=Inputs!$B$6),1,0)</f>
        <v/>
      </c>
    </row>
    <row r="1792">
      <c r="A1792" t="inlineStr">
        <is>
          <t>2026-06</t>
        </is>
      </c>
      <c r="B1792" t="inlineStr">
        <is>
          <t>HOSP-3</t>
        </is>
      </c>
      <c r="C1792" t="inlineStr">
        <is>
          <t>SS-01160</t>
        </is>
      </c>
      <c r="D1792" t="n">
        <v>12</v>
      </c>
      <c r="E1792" t="n">
        <v>0</v>
      </c>
      <c r="G1792">
        <f>IF(AND(A1792&gt;=Inputs!$B$5,A1792&lt;=Inputs!$B$6),1,0)</f>
        <v/>
      </c>
    </row>
    <row r="1793">
      <c r="A1793" t="inlineStr">
        <is>
          <t>2026-06</t>
        </is>
      </c>
      <c r="B1793" t="inlineStr">
        <is>
          <t>HOSP-4</t>
        </is>
      </c>
      <c r="C1793" t="inlineStr">
        <is>
          <t>SS-01161</t>
        </is>
      </c>
      <c r="D1793" t="n">
        <v>12</v>
      </c>
      <c r="E1793" t="n">
        <v>0</v>
      </c>
      <c r="G1793">
        <f>IF(AND(A1793&gt;=Inputs!$B$5,A1793&lt;=Inputs!$B$6),1,0)</f>
        <v/>
      </c>
    </row>
    <row r="1794">
      <c r="A1794" t="inlineStr">
        <is>
          <t>2026-06</t>
        </is>
      </c>
      <c r="B1794" t="inlineStr">
        <is>
          <t>HOSP-1</t>
        </is>
      </c>
      <c r="C1794" t="inlineStr">
        <is>
          <t>SS-01162</t>
        </is>
      </c>
      <c r="D1794" t="n">
        <v>288</v>
      </c>
      <c r="E1794" t="n">
        <v>0</v>
      </c>
      <c r="G1794">
        <f>IF(AND(A1794&gt;=Inputs!$B$5,A1794&lt;=Inputs!$B$6),1,0)</f>
        <v/>
      </c>
    </row>
    <row r="1795">
      <c r="A1795" t="inlineStr">
        <is>
          <t>2026-06</t>
        </is>
      </c>
      <c r="B1795" t="inlineStr">
        <is>
          <t>HOSP-2</t>
        </is>
      </c>
      <c r="C1795" t="inlineStr">
        <is>
          <t>SS-01163</t>
        </is>
      </c>
      <c r="D1795" t="n">
        <v>33</v>
      </c>
      <c r="E1795" t="n">
        <v>0</v>
      </c>
      <c r="G1795">
        <f>IF(AND(A1795&gt;=Inputs!$B$5,A1795&lt;=Inputs!$B$6),1,0)</f>
        <v/>
      </c>
    </row>
    <row r="1796">
      <c r="A1796" t="inlineStr">
        <is>
          <t>2026-06</t>
        </is>
      </c>
      <c r="B1796" t="inlineStr">
        <is>
          <t>HOSP-3</t>
        </is>
      </c>
      <c r="C1796" t="inlineStr">
        <is>
          <t>SS-01164</t>
        </is>
      </c>
      <c r="D1796" t="n">
        <v>24</v>
      </c>
      <c r="E1796" t="n">
        <v>0</v>
      </c>
      <c r="G1796">
        <f>IF(AND(A1796&gt;=Inputs!$B$5,A1796&lt;=Inputs!$B$6),1,0)</f>
        <v/>
      </c>
    </row>
    <row r="1797">
      <c r="A1797" t="inlineStr">
        <is>
          <t>2026-06</t>
        </is>
      </c>
      <c r="B1797" t="inlineStr">
        <is>
          <t>HOSP-4</t>
        </is>
      </c>
      <c r="C1797" t="inlineStr">
        <is>
          <t>SS-01165</t>
        </is>
      </c>
      <c r="D1797" t="n">
        <v>0</v>
      </c>
      <c r="E1797" t="n">
        <v>0</v>
      </c>
      <c r="G1797">
        <f>IF(AND(A1797&gt;=Inputs!$B$5,A1797&lt;=Inputs!$B$6),1,0)</f>
        <v/>
      </c>
    </row>
    <row r="1798">
      <c r="A1798" t="inlineStr">
        <is>
          <t>2026-06</t>
        </is>
      </c>
      <c r="B1798" t="inlineStr">
        <is>
          <t>HOSP-1</t>
        </is>
      </c>
      <c r="C1798" t="inlineStr">
        <is>
          <t>SS-01166</t>
        </is>
      </c>
      <c r="D1798" t="n">
        <v>7</v>
      </c>
      <c r="E1798" t="n">
        <v>4</v>
      </c>
      <c r="G1798">
        <f>IF(AND(A1798&gt;=Inputs!$B$5,A1798&lt;=Inputs!$B$6),1,0)</f>
        <v/>
      </c>
    </row>
    <row r="1799">
      <c r="A1799" t="inlineStr">
        <is>
          <t>2026-06</t>
        </is>
      </c>
      <c r="B1799" t="inlineStr">
        <is>
          <t>HOSP-2</t>
        </is>
      </c>
      <c r="C1799" t="inlineStr">
        <is>
          <t>SS-01167</t>
        </is>
      </c>
      <c r="D1799" t="n">
        <v>0</v>
      </c>
      <c r="E1799" t="n">
        <v>1</v>
      </c>
      <c r="G1799">
        <f>IF(AND(A1799&gt;=Inputs!$B$5,A1799&lt;=Inputs!$B$6),1,0)</f>
        <v/>
      </c>
    </row>
    <row r="1800">
      <c r="A1800" t="inlineStr">
        <is>
          <t>2026-06</t>
        </is>
      </c>
      <c r="B1800" t="inlineStr">
        <is>
          <t>HOSP-3</t>
        </is>
      </c>
      <c r="C1800" t="inlineStr">
        <is>
          <t>SS-01168</t>
        </is>
      </c>
      <c r="D1800" t="n">
        <v>12</v>
      </c>
      <c r="E1800" t="n">
        <v>0</v>
      </c>
      <c r="G1800">
        <f>IF(AND(A1800&gt;=Inputs!$B$5,A1800&lt;=Inputs!$B$6),1,0)</f>
        <v/>
      </c>
    </row>
    <row r="1801">
      <c r="A1801" t="inlineStr">
        <is>
          <t>2026-06</t>
        </is>
      </c>
      <c r="B1801" t="inlineStr">
        <is>
          <t>HOSP-4</t>
        </is>
      </c>
      <c r="C1801" t="inlineStr">
        <is>
          <t>SS-01169</t>
        </is>
      </c>
      <c r="D1801" t="n">
        <v>0</v>
      </c>
      <c r="E1801" t="n">
        <v>0</v>
      </c>
      <c r="G1801">
        <f>IF(AND(A1801&gt;=Inputs!$B$5,A1801&lt;=Inputs!$B$6),1,0)</f>
        <v/>
      </c>
    </row>
    <row r="1802">
      <c r="A1802" t="inlineStr">
        <is>
          <t>2026-06</t>
        </is>
      </c>
      <c r="B1802" t="inlineStr">
        <is>
          <t>HOSP-1</t>
        </is>
      </c>
      <c r="C1802" t="inlineStr">
        <is>
          <t>SS-01170</t>
        </is>
      </c>
      <c r="D1802" t="n">
        <v>12</v>
      </c>
      <c r="E1802" t="n">
        <v>0</v>
      </c>
      <c r="G1802">
        <f>IF(AND(A1802&gt;=Inputs!$B$5,A1802&lt;=Inputs!$B$6),1,0)</f>
        <v/>
      </c>
    </row>
    <row r="1803">
      <c r="A1803" t="inlineStr">
        <is>
          <t>2026-06</t>
        </is>
      </c>
      <c r="B1803" t="inlineStr">
        <is>
          <t>HOSP-2</t>
        </is>
      </c>
      <c r="C1803" t="inlineStr">
        <is>
          <t>SS-01171</t>
        </is>
      </c>
      <c r="D1803" t="n">
        <v>0</v>
      </c>
      <c r="E1803" t="n">
        <v>0</v>
      </c>
      <c r="G1803">
        <f>IF(AND(A1803&gt;=Inputs!$B$5,A1803&lt;=Inputs!$B$6),1,0)</f>
        <v/>
      </c>
    </row>
    <row r="1804">
      <c r="A1804" t="inlineStr">
        <is>
          <t>2026-06</t>
        </is>
      </c>
      <c r="B1804" t="inlineStr">
        <is>
          <t>HOSP-3</t>
        </is>
      </c>
      <c r="C1804" t="inlineStr">
        <is>
          <t>SS-01172</t>
        </is>
      </c>
      <c r="D1804" t="n">
        <v>36</v>
      </c>
      <c r="E1804" t="n">
        <v>1</v>
      </c>
      <c r="G1804">
        <f>IF(AND(A1804&gt;=Inputs!$B$5,A1804&lt;=Inputs!$B$6),1,0)</f>
        <v/>
      </c>
    </row>
    <row r="1805">
      <c r="A1805" t="inlineStr">
        <is>
          <t>2026-06</t>
        </is>
      </c>
      <c r="B1805" t="inlineStr">
        <is>
          <t>HOSP-4</t>
        </is>
      </c>
      <c r="C1805" t="inlineStr">
        <is>
          <t>SS-01173</t>
        </is>
      </c>
      <c r="D1805" t="n">
        <v>24</v>
      </c>
      <c r="E1805" t="n">
        <v>0</v>
      </c>
      <c r="G1805">
        <f>IF(AND(A1805&gt;=Inputs!$B$5,A1805&lt;=Inputs!$B$6),1,0)</f>
        <v/>
      </c>
    </row>
    <row r="1806">
      <c r="A1806" t="inlineStr">
        <is>
          <t>2026-06</t>
        </is>
      </c>
      <c r="B1806" t="inlineStr">
        <is>
          <t>HOSP-1</t>
        </is>
      </c>
      <c r="C1806" t="inlineStr">
        <is>
          <t>SS-01174</t>
        </is>
      </c>
      <c r="D1806" t="n">
        <v>24</v>
      </c>
      <c r="E1806" t="n">
        <v>0</v>
      </c>
      <c r="G1806">
        <f>IF(AND(A1806&gt;=Inputs!$B$5,A1806&lt;=Inputs!$B$6),1,0)</f>
        <v/>
      </c>
    </row>
    <row r="1807">
      <c r="A1807" t="inlineStr">
        <is>
          <t>2026-06</t>
        </is>
      </c>
      <c r="B1807" t="inlineStr">
        <is>
          <t>HOSP-2</t>
        </is>
      </c>
      <c r="C1807" t="inlineStr">
        <is>
          <t>SS-01175</t>
        </is>
      </c>
      <c r="D1807" t="n">
        <v>24</v>
      </c>
      <c r="E1807" t="n">
        <v>0</v>
      </c>
      <c r="G1807">
        <f>IF(AND(A1807&gt;=Inputs!$B$5,A1807&lt;=Inputs!$B$6),1,0)</f>
        <v/>
      </c>
    </row>
    <row r="1808">
      <c r="A1808" t="inlineStr">
        <is>
          <t>2026-06</t>
        </is>
      </c>
      <c r="B1808" t="inlineStr">
        <is>
          <t>HOSP-3</t>
        </is>
      </c>
      <c r="C1808" t="inlineStr">
        <is>
          <t>SS-01176</t>
        </is>
      </c>
      <c r="D1808" t="n">
        <v>94</v>
      </c>
      <c r="E1808" t="n">
        <v>0</v>
      </c>
      <c r="G1808">
        <f>IF(AND(A1808&gt;=Inputs!$B$5,A1808&lt;=Inputs!$B$6),1,0)</f>
        <v/>
      </c>
    </row>
    <row r="1809">
      <c r="A1809" t="inlineStr">
        <is>
          <t>2026-06</t>
        </is>
      </c>
      <c r="B1809" t="inlineStr">
        <is>
          <t>HOSP-4</t>
        </is>
      </c>
      <c r="C1809" t="inlineStr">
        <is>
          <t>SS-01177</t>
        </is>
      </c>
      <c r="D1809" t="n">
        <v>12</v>
      </c>
      <c r="E1809" t="n">
        <v>0</v>
      </c>
      <c r="G1809">
        <f>IF(AND(A1809&gt;=Inputs!$B$5,A1809&lt;=Inputs!$B$6),1,0)</f>
        <v/>
      </c>
    </row>
    <row r="1810">
      <c r="A1810" t="inlineStr">
        <is>
          <t>2026-06</t>
        </is>
      </c>
      <c r="B1810" t="inlineStr">
        <is>
          <t>HOSP-1</t>
        </is>
      </c>
      <c r="C1810" t="inlineStr">
        <is>
          <t>SS-01178</t>
        </is>
      </c>
      <c r="D1810" t="n">
        <v>16</v>
      </c>
      <c r="E1810" t="n">
        <v>2</v>
      </c>
      <c r="G1810">
        <f>IF(AND(A1810&gt;=Inputs!$B$5,A1810&lt;=Inputs!$B$6),1,0)</f>
        <v/>
      </c>
    </row>
    <row r="1811">
      <c r="A1811" t="inlineStr">
        <is>
          <t>2026-06</t>
        </is>
      </c>
      <c r="B1811" t="inlineStr">
        <is>
          <t>HOSP-2</t>
        </is>
      </c>
      <c r="C1811" t="inlineStr">
        <is>
          <t>SS-01179</t>
        </is>
      </c>
      <c r="D1811" t="n">
        <v>168</v>
      </c>
      <c r="E1811" t="n">
        <v>0</v>
      </c>
      <c r="G1811">
        <f>IF(AND(A1811&gt;=Inputs!$B$5,A1811&lt;=Inputs!$B$6),1,0)</f>
        <v/>
      </c>
    </row>
    <row r="1812">
      <c r="A1812" t="inlineStr">
        <is>
          <t>2026-06</t>
        </is>
      </c>
      <c r="B1812" t="inlineStr">
        <is>
          <t>HOSP-3</t>
        </is>
      </c>
      <c r="C1812" t="inlineStr">
        <is>
          <t>SS-01180</t>
        </is>
      </c>
      <c r="D1812" t="n">
        <v>0</v>
      </c>
      <c r="E1812" t="n">
        <v>0</v>
      </c>
      <c r="G1812">
        <f>IF(AND(A1812&gt;=Inputs!$B$5,A1812&lt;=Inputs!$B$6),1,0)</f>
        <v/>
      </c>
    </row>
    <row r="1813">
      <c r="A1813" t="inlineStr">
        <is>
          <t>2026-06</t>
        </is>
      </c>
      <c r="B1813" t="inlineStr">
        <is>
          <t>HOSP-4</t>
        </is>
      </c>
      <c r="C1813" t="inlineStr">
        <is>
          <t>SS-01181</t>
        </is>
      </c>
      <c r="D1813" t="n">
        <v>312</v>
      </c>
      <c r="E1813" t="n">
        <v>0</v>
      </c>
      <c r="G1813">
        <f>IF(AND(A1813&gt;=Inputs!$B$5,A1813&lt;=Inputs!$B$6),1,0)</f>
        <v/>
      </c>
    </row>
    <row r="1814">
      <c r="A1814" t="inlineStr">
        <is>
          <t>2026-06</t>
        </is>
      </c>
      <c r="B1814" t="inlineStr">
        <is>
          <t>HOSP-1</t>
        </is>
      </c>
      <c r="C1814" t="inlineStr">
        <is>
          <t>SS-01182</t>
        </is>
      </c>
      <c r="D1814" t="n">
        <v>0</v>
      </c>
      <c r="E1814" t="n">
        <v>0</v>
      </c>
      <c r="G1814">
        <f>IF(AND(A1814&gt;=Inputs!$B$5,A1814&lt;=Inputs!$B$6),1,0)</f>
        <v/>
      </c>
    </row>
    <row r="1815">
      <c r="A1815" t="inlineStr">
        <is>
          <t>2026-06</t>
        </is>
      </c>
      <c r="B1815" t="inlineStr">
        <is>
          <t>HOSP-2</t>
        </is>
      </c>
      <c r="C1815" t="inlineStr">
        <is>
          <t>SS-01052</t>
        </is>
      </c>
      <c r="D1815" t="n">
        <v>0</v>
      </c>
      <c r="E1815" t="n">
        <v>0</v>
      </c>
      <c r="G1815">
        <f>IF(AND(A1815&gt;=Inputs!$B$5,A1815&lt;=Inputs!$B$6),1,0)</f>
        <v/>
      </c>
    </row>
    <row r="1816">
      <c r="A1816" t="inlineStr">
        <is>
          <t>2026-06</t>
        </is>
      </c>
      <c r="B1816" t="inlineStr">
        <is>
          <t>HOSP-3</t>
        </is>
      </c>
      <c r="C1816" t="inlineStr">
        <is>
          <t>SS-01184</t>
        </is>
      </c>
      <c r="D1816" t="n">
        <v>3</v>
      </c>
      <c r="E1816" t="n">
        <v>1</v>
      </c>
      <c r="G1816">
        <f>IF(AND(A1816&gt;=Inputs!$B$5,A1816&lt;=Inputs!$B$6),1,0)</f>
        <v/>
      </c>
    </row>
    <row r="1817">
      <c r="A1817" t="inlineStr">
        <is>
          <t>2026-06</t>
        </is>
      </c>
      <c r="B1817" t="inlineStr">
        <is>
          <t>HOSP-4</t>
        </is>
      </c>
      <c r="C1817" t="inlineStr">
        <is>
          <t>SS-01185</t>
        </is>
      </c>
      <c r="D1817" t="n">
        <v>3</v>
      </c>
      <c r="E1817" t="n">
        <v>3</v>
      </c>
      <c r="G1817">
        <f>IF(AND(A1817&gt;=Inputs!$B$5,A1817&lt;=Inputs!$B$6),1,0)</f>
        <v/>
      </c>
    </row>
    <row r="1818">
      <c r="A1818" t="inlineStr">
        <is>
          <t>2026-06</t>
        </is>
      </c>
      <c r="B1818" t="inlineStr">
        <is>
          <t>HOSP-1</t>
        </is>
      </c>
      <c r="C1818" t="inlineStr">
        <is>
          <t>SS-01186</t>
        </is>
      </c>
      <c r="D1818" t="n">
        <v>72</v>
      </c>
      <c r="E1818" t="n">
        <v>0</v>
      </c>
      <c r="G1818">
        <f>IF(AND(A1818&gt;=Inputs!$B$5,A1818&lt;=Inputs!$B$6),1,0)</f>
        <v/>
      </c>
    </row>
    <row r="1819">
      <c r="A1819" t="inlineStr">
        <is>
          <t>2026-06</t>
        </is>
      </c>
      <c r="B1819" t="inlineStr">
        <is>
          <t>HOSP-2</t>
        </is>
      </c>
      <c r="C1819" t="inlineStr">
        <is>
          <t>SS-01187</t>
        </is>
      </c>
      <c r="D1819" t="n">
        <v>58</v>
      </c>
      <c r="E1819" t="n">
        <v>1</v>
      </c>
      <c r="G1819">
        <f>IF(AND(A1819&gt;=Inputs!$B$5,A1819&lt;=Inputs!$B$6),1,0)</f>
        <v/>
      </c>
    </row>
    <row r="1820">
      <c r="A1820" t="inlineStr">
        <is>
          <t>2026-06</t>
        </is>
      </c>
      <c r="B1820" t="inlineStr">
        <is>
          <t>HOSP-3</t>
        </is>
      </c>
      <c r="C1820" t="inlineStr">
        <is>
          <t>SS-01188</t>
        </is>
      </c>
      <c r="D1820" t="n">
        <v>14</v>
      </c>
      <c r="E1820" t="n">
        <v>0</v>
      </c>
      <c r="G1820">
        <f>IF(AND(A1820&gt;=Inputs!$B$5,A1820&lt;=Inputs!$B$6),1,0)</f>
        <v/>
      </c>
    </row>
    <row r="1821">
      <c r="A1821" t="inlineStr">
        <is>
          <t>2026-06</t>
        </is>
      </c>
      <c r="B1821" t="inlineStr">
        <is>
          <t>HOSP-4</t>
        </is>
      </c>
      <c r="C1821" t="inlineStr">
        <is>
          <t>SS-01189</t>
        </is>
      </c>
      <c r="D1821" t="n">
        <v>141</v>
      </c>
      <c r="E1821" t="n">
        <v>0</v>
      </c>
      <c r="G1821">
        <f>IF(AND(A1821&gt;=Inputs!$B$5,A1821&lt;=Inputs!$B$6),1,0)</f>
        <v/>
      </c>
    </row>
    <row r="1822">
      <c r="A1822" t="inlineStr">
        <is>
          <t>2026-06</t>
        </is>
      </c>
      <c r="B1822" t="inlineStr">
        <is>
          <t>HOSP-1</t>
        </is>
      </c>
      <c r="C1822" t="inlineStr">
        <is>
          <t>SS-01190</t>
        </is>
      </c>
      <c r="D1822" t="n">
        <v>12</v>
      </c>
      <c r="E1822" t="n">
        <v>0</v>
      </c>
      <c r="G1822">
        <f>IF(AND(A1822&gt;=Inputs!$B$5,A1822&lt;=Inputs!$B$6),1,0)</f>
        <v/>
      </c>
    </row>
    <row r="1823">
      <c r="A1823" t="inlineStr">
        <is>
          <t>2026-06</t>
        </is>
      </c>
      <c r="B1823" t="inlineStr">
        <is>
          <t>HOSP-2</t>
        </is>
      </c>
      <c r="C1823" t="inlineStr">
        <is>
          <t>SS-01191</t>
        </is>
      </c>
      <c r="D1823" t="n">
        <v>14</v>
      </c>
      <c r="E1823" t="n">
        <v>1</v>
      </c>
      <c r="G1823">
        <f>IF(AND(A1823&gt;=Inputs!$B$5,A1823&lt;=Inputs!$B$6),1,0)</f>
        <v/>
      </c>
    </row>
    <row r="1824">
      <c r="A1824" t="inlineStr">
        <is>
          <t>2026-06</t>
        </is>
      </c>
      <c r="B1824" t="inlineStr">
        <is>
          <t>HOSP-3</t>
        </is>
      </c>
      <c r="C1824" t="inlineStr">
        <is>
          <t>SS-01192</t>
        </is>
      </c>
      <c r="D1824" t="n">
        <v>35</v>
      </c>
      <c r="E1824" t="n">
        <v>0</v>
      </c>
      <c r="G1824">
        <f>IF(AND(A1824&gt;=Inputs!$B$5,A1824&lt;=Inputs!$B$6),1,0)</f>
        <v/>
      </c>
    </row>
    <row r="1825">
      <c r="A1825" t="inlineStr">
        <is>
          <t>2026-06</t>
        </is>
      </c>
      <c r="B1825" t="inlineStr">
        <is>
          <t>HOSP-4</t>
        </is>
      </c>
      <c r="C1825" t="inlineStr">
        <is>
          <t>SS-01193</t>
        </is>
      </c>
      <c r="D1825" t="n">
        <v>12</v>
      </c>
      <c r="E1825" t="n">
        <v>0</v>
      </c>
      <c r="G1825">
        <f>IF(AND(A1825&gt;=Inputs!$B$5,A1825&lt;=Inputs!$B$6),1,0)</f>
        <v/>
      </c>
    </row>
    <row r="1826">
      <c r="A1826" t="inlineStr">
        <is>
          <t>2026-06</t>
        </is>
      </c>
      <c r="B1826" t="inlineStr">
        <is>
          <t>HOSP-1</t>
        </is>
      </c>
      <c r="C1826" t="inlineStr">
        <is>
          <t>SS-01194</t>
        </is>
      </c>
      <c r="D1826" t="n">
        <v>0</v>
      </c>
      <c r="E1826" t="n">
        <v>0</v>
      </c>
      <c r="G1826">
        <f>IF(AND(A1826&gt;=Inputs!$B$5,A1826&lt;=Inputs!$B$6),1,0)</f>
        <v/>
      </c>
    </row>
    <row r="1827">
      <c r="A1827" t="inlineStr">
        <is>
          <t>2026-06</t>
        </is>
      </c>
      <c r="B1827" t="inlineStr">
        <is>
          <t>HOSP-2</t>
        </is>
      </c>
      <c r="C1827" t="inlineStr">
        <is>
          <t>SS-01195</t>
        </is>
      </c>
      <c r="D1827" t="n">
        <v>0</v>
      </c>
      <c r="E1827" t="n">
        <v>0</v>
      </c>
      <c r="G1827">
        <f>IF(AND(A1827&gt;=Inputs!$B$5,A1827&lt;=Inputs!$B$6),1,0)</f>
        <v/>
      </c>
    </row>
    <row r="1828">
      <c r="A1828" t="inlineStr">
        <is>
          <t>2026-06</t>
        </is>
      </c>
      <c r="B1828" t="inlineStr">
        <is>
          <t>HOSP-3</t>
        </is>
      </c>
      <c r="C1828" t="inlineStr">
        <is>
          <t>SS-01196</t>
        </is>
      </c>
      <c r="D1828" t="n">
        <v>0</v>
      </c>
      <c r="E1828" t="n">
        <v>0</v>
      </c>
      <c r="G1828">
        <f>IF(AND(A1828&gt;=Inputs!$B$5,A1828&lt;=Inputs!$B$6),1,0)</f>
        <v/>
      </c>
    </row>
    <row r="1829">
      <c r="A1829" t="inlineStr">
        <is>
          <t>2026-06</t>
        </is>
      </c>
      <c r="B1829" t="inlineStr">
        <is>
          <t>HOSP-4</t>
        </is>
      </c>
      <c r="C1829" t="inlineStr">
        <is>
          <t>SS-01197</t>
        </is>
      </c>
      <c r="D1829" t="n">
        <v>12</v>
      </c>
      <c r="E1829" t="n">
        <v>0</v>
      </c>
      <c r="G1829">
        <f>IF(AND(A1829&gt;=Inputs!$B$5,A1829&lt;=Inputs!$B$6),1,0)</f>
        <v/>
      </c>
    </row>
    <row r="1830">
      <c r="A1830" t="inlineStr">
        <is>
          <t>2026-06</t>
        </is>
      </c>
      <c r="B1830" t="inlineStr">
        <is>
          <t>HOSP-1</t>
        </is>
      </c>
      <c r="C1830" t="inlineStr">
        <is>
          <t>SS-01198</t>
        </is>
      </c>
      <c r="D1830" t="n">
        <v>84</v>
      </c>
      <c r="E1830" t="n">
        <v>0</v>
      </c>
      <c r="G1830">
        <f>IF(AND(A1830&gt;=Inputs!$B$5,A1830&lt;=Inputs!$B$6),1,0)</f>
        <v/>
      </c>
    </row>
    <row r="1831">
      <c r="A1831" t="inlineStr">
        <is>
          <t>2026-06</t>
        </is>
      </c>
      <c r="B1831" t="inlineStr">
        <is>
          <t>HOSP-2</t>
        </is>
      </c>
      <c r="C1831" t="inlineStr">
        <is>
          <t>SS-01199</t>
        </is>
      </c>
      <c r="D1831" t="n">
        <v>48</v>
      </c>
      <c r="E1831" t="n">
        <v>0</v>
      </c>
      <c r="G1831">
        <f>IF(AND(A1831&gt;=Inputs!$B$5,A1831&lt;=Inputs!$B$6),1,0)</f>
        <v/>
      </c>
    </row>
    <row r="1832">
      <c r="A1832" t="inlineStr">
        <is>
          <t>2026-06</t>
        </is>
      </c>
      <c r="B1832" t="inlineStr">
        <is>
          <t>HOSP-3</t>
        </is>
      </c>
      <c r="C1832" t="inlineStr">
        <is>
          <t>SS-01200</t>
        </is>
      </c>
      <c r="D1832" t="n">
        <v>0</v>
      </c>
      <c r="E1832" t="n">
        <v>0</v>
      </c>
      <c r="G1832">
        <f>IF(AND(A1832&gt;=Inputs!$B$5,A1832&lt;=Inputs!$B$6),1,0)</f>
        <v/>
      </c>
    </row>
    <row r="1833">
      <c r="A1833" t="inlineStr">
        <is>
          <t>2026-06</t>
        </is>
      </c>
      <c r="B1833" t="inlineStr">
        <is>
          <t>HOSP-4</t>
        </is>
      </c>
      <c r="C1833" t="inlineStr">
        <is>
          <t>SS-01100</t>
        </is>
      </c>
      <c r="D1833" t="n">
        <v>26</v>
      </c>
      <c r="E1833" t="n">
        <v>0</v>
      </c>
      <c r="G1833">
        <f>IF(AND(A1833&gt;=Inputs!$B$5,A1833&lt;=Inputs!$B$6),1,0)</f>
        <v/>
      </c>
    </row>
    <row r="1834">
      <c r="A1834" t="inlineStr">
        <is>
          <t>2026-06</t>
        </is>
      </c>
      <c r="B1834" t="inlineStr">
        <is>
          <t>HOSP-1</t>
        </is>
      </c>
      <c r="C1834" t="inlineStr">
        <is>
          <t>SS-01202</t>
        </is>
      </c>
      <c r="D1834" t="n">
        <v>0</v>
      </c>
      <c r="E1834" t="n">
        <v>0</v>
      </c>
      <c r="G1834">
        <f>IF(AND(A1834&gt;=Inputs!$B$5,A1834&lt;=Inputs!$B$6),1,0)</f>
        <v/>
      </c>
    </row>
    <row r="1835">
      <c r="A1835" t="inlineStr">
        <is>
          <t>2026-06</t>
        </is>
      </c>
      <c r="B1835" t="inlineStr">
        <is>
          <t>HOSP-2</t>
        </is>
      </c>
      <c r="C1835" t="inlineStr">
        <is>
          <t>SS-01203</t>
        </is>
      </c>
      <c r="D1835" t="n">
        <v>12</v>
      </c>
      <c r="E1835" t="n">
        <v>0</v>
      </c>
      <c r="G1835">
        <f>IF(AND(A1835&gt;=Inputs!$B$5,A1835&lt;=Inputs!$B$6),1,0)</f>
        <v/>
      </c>
    </row>
    <row r="1836">
      <c r="A1836" t="inlineStr">
        <is>
          <t>2026-06</t>
        </is>
      </c>
      <c r="B1836" t="inlineStr">
        <is>
          <t>HOSP-3</t>
        </is>
      </c>
      <c r="C1836" t="inlineStr">
        <is>
          <t>SS-01204</t>
        </is>
      </c>
      <c r="D1836" t="n">
        <v>1</v>
      </c>
      <c r="E1836" t="n">
        <v>2</v>
      </c>
      <c r="G1836">
        <f>IF(AND(A1836&gt;=Inputs!$B$5,A1836&lt;=Inputs!$B$6),1,0)</f>
        <v/>
      </c>
    </row>
    <row r="1837">
      <c r="A1837" t="inlineStr">
        <is>
          <t>2026-06</t>
        </is>
      </c>
      <c r="B1837" t="inlineStr">
        <is>
          <t>HOSP-4</t>
        </is>
      </c>
      <c r="C1837" t="inlineStr">
        <is>
          <t>SS-01205</t>
        </is>
      </c>
      <c r="D1837" t="n">
        <v>204</v>
      </c>
      <c r="E1837" t="n">
        <v>0</v>
      </c>
      <c r="G1837">
        <f>IF(AND(A1837&gt;=Inputs!$B$5,A1837&lt;=Inputs!$B$6),1,0)</f>
        <v/>
      </c>
    </row>
    <row r="1838">
      <c r="A1838" t="inlineStr">
        <is>
          <t>2026-06</t>
        </is>
      </c>
      <c r="B1838" t="inlineStr">
        <is>
          <t>HOSP-1</t>
        </is>
      </c>
      <c r="C1838" t="inlineStr">
        <is>
          <t>SS-01206</t>
        </is>
      </c>
      <c r="D1838" t="n">
        <v>12</v>
      </c>
      <c r="E1838" t="n">
        <v>0</v>
      </c>
      <c r="G1838">
        <f>IF(AND(A1838&gt;=Inputs!$B$5,A1838&lt;=Inputs!$B$6),1,0)</f>
        <v/>
      </c>
    </row>
    <row r="1839">
      <c r="A1839" t="inlineStr">
        <is>
          <t>2026-06</t>
        </is>
      </c>
      <c r="B1839" t="inlineStr">
        <is>
          <t>HOSP-2</t>
        </is>
      </c>
      <c r="C1839" t="inlineStr">
        <is>
          <t>SS-01207</t>
        </is>
      </c>
      <c r="D1839" t="n">
        <v>19</v>
      </c>
      <c r="E1839" t="n">
        <v>0</v>
      </c>
      <c r="G1839">
        <f>IF(AND(A1839&gt;=Inputs!$B$5,A1839&lt;=Inputs!$B$6),1,0)</f>
        <v/>
      </c>
    </row>
    <row r="1840">
      <c r="A1840" t="inlineStr">
        <is>
          <t>2026-06</t>
        </is>
      </c>
      <c r="B1840" t="inlineStr">
        <is>
          <t>HOSP-3</t>
        </is>
      </c>
      <c r="C1840" t="inlineStr">
        <is>
          <t>SS-01208</t>
        </is>
      </c>
      <c r="D1840" t="n">
        <v>64</v>
      </c>
      <c r="E1840" t="n">
        <v>0</v>
      </c>
      <c r="G1840">
        <f>IF(AND(A1840&gt;=Inputs!$B$5,A1840&lt;=Inputs!$B$6),1,0)</f>
        <v/>
      </c>
    </row>
    <row r="1841">
      <c r="A1841" t="inlineStr">
        <is>
          <t>2026-06</t>
        </is>
      </c>
      <c r="B1841" t="inlineStr">
        <is>
          <t>HOSP-4</t>
        </is>
      </c>
      <c r="C1841" t="inlineStr">
        <is>
          <t>SS-01209</t>
        </is>
      </c>
      <c r="D1841" t="n">
        <v>60</v>
      </c>
      <c r="E1841" t="n">
        <v>0</v>
      </c>
      <c r="G1841">
        <f>IF(AND(A1841&gt;=Inputs!$B$5,A1841&lt;=Inputs!$B$6),1,0)</f>
        <v/>
      </c>
    </row>
    <row r="1842">
      <c r="A1842" t="inlineStr">
        <is>
          <t>2026-06</t>
        </is>
      </c>
      <c r="B1842" t="inlineStr">
        <is>
          <t>HOSP-1</t>
        </is>
      </c>
      <c r="C1842" t="inlineStr">
        <is>
          <t>SS-01210</t>
        </is>
      </c>
      <c r="D1842" t="n">
        <v>48</v>
      </c>
      <c r="E1842" t="n">
        <v>0</v>
      </c>
      <c r="G1842">
        <f>IF(AND(A1842&gt;=Inputs!$B$5,A1842&lt;=Inputs!$B$6),1,0)</f>
        <v/>
      </c>
    </row>
    <row r="1843">
      <c r="A1843" t="inlineStr">
        <is>
          <t>2026-06</t>
        </is>
      </c>
      <c r="B1843" t="inlineStr">
        <is>
          <t>HOSP-2</t>
        </is>
      </c>
      <c r="C1843" t="inlineStr">
        <is>
          <t>SS-01211</t>
        </is>
      </c>
      <c r="D1843" t="n">
        <v>12</v>
      </c>
      <c r="E1843" t="n">
        <v>0</v>
      </c>
      <c r="G1843">
        <f>IF(AND(A1843&gt;=Inputs!$B$5,A1843&lt;=Inputs!$B$6),1,0)</f>
        <v/>
      </c>
    </row>
    <row r="1844">
      <c r="A1844" t="inlineStr">
        <is>
          <t>2026-06</t>
        </is>
      </c>
      <c r="B1844" t="inlineStr">
        <is>
          <t>HOSP-3</t>
        </is>
      </c>
      <c r="C1844" t="inlineStr">
        <is>
          <t>SS-01212</t>
        </is>
      </c>
      <c r="D1844" t="n">
        <v>22</v>
      </c>
      <c r="E1844" t="n">
        <v>0</v>
      </c>
      <c r="G1844">
        <f>IF(AND(A1844&gt;=Inputs!$B$5,A1844&lt;=Inputs!$B$6),1,0)</f>
        <v/>
      </c>
    </row>
    <row r="1845">
      <c r="A1845" t="inlineStr">
        <is>
          <t>2026-06</t>
        </is>
      </c>
      <c r="B1845" t="inlineStr">
        <is>
          <t>HOSP-4</t>
        </is>
      </c>
      <c r="C1845" t="inlineStr">
        <is>
          <t>SS-01213</t>
        </is>
      </c>
      <c r="D1845" t="n">
        <v>0</v>
      </c>
      <c r="E1845" t="n">
        <v>0</v>
      </c>
      <c r="G1845">
        <f>IF(AND(A1845&gt;=Inputs!$B$5,A1845&lt;=Inputs!$B$6),1,0)</f>
        <v/>
      </c>
    </row>
    <row r="1846">
      <c r="A1846" t="inlineStr">
        <is>
          <t>2026-06</t>
        </is>
      </c>
      <c r="B1846" t="inlineStr">
        <is>
          <t>HOSP-1</t>
        </is>
      </c>
      <c r="C1846" t="inlineStr">
        <is>
          <t>SS-01214</t>
        </is>
      </c>
      <c r="D1846" t="n">
        <v>0</v>
      </c>
      <c r="E1846" t="n">
        <v>0</v>
      </c>
      <c r="G1846">
        <f>IF(AND(A1846&gt;=Inputs!$B$5,A1846&lt;=Inputs!$B$6),1,0)</f>
        <v/>
      </c>
    </row>
    <row r="1847">
      <c r="A1847" t="inlineStr">
        <is>
          <t>2026-06</t>
        </is>
      </c>
      <c r="B1847" t="inlineStr">
        <is>
          <t>HOSP-2</t>
        </is>
      </c>
      <c r="C1847" t="inlineStr">
        <is>
          <t>SS-01215</t>
        </is>
      </c>
      <c r="D1847" t="n">
        <v>36</v>
      </c>
      <c r="E1847" t="n">
        <v>0</v>
      </c>
      <c r="G1847">
        <f>IF(AND(A1847&gt;=Inputs!$B$5,A1847&lt;=Inputs!$B$6),1,0)</f>
        <v/>
      </c>
    </row>
    <row r="1848">
      <c r="A1848" t="inlineStr">
        <is>
          <t>2026-06</t>
        </is>
      </c>
      <c r="B1848" t="inlineStr">
        <is>
          <t>HOSP-3</t>
        </is>
      </c>
      <c r="C1848" t="inlineStr">
        <is>
          <t>SS-01216</t>
        </is>
      </c>
      <c r="D1848" t="n">
        <v>36</v>
      </c>
      <c r="E1848" t="n">
        <v>0</v>
      </c>
      <c r="G1848">
        <f>IF(AND(A1848&gt;=Inputs!$B$5,A1848&lt;=Inputs!$B$6),1,0)</f>
        <v/>
      </c>
    </row>
    <row r="1849">
      <c r="A1849" t="inlineStr">
        <is>
          <t>2026-06</t>
        </is>
      </c>
      <c r="B1849" t="inlineStr">
        <is>
          <t>HOSP-4</t>
        </is>
      </c>
      <c r="C1849" t="inlineStr">
        <is>
          <t>SS-01217</t>
        </is>
      </c>
      <c r="D1849" t="n">
        <v>33</v>
      </c>
      <c r="E1849" t="n">
        <v>1</v>
      </c>
      <c r="G1849">
        <f>IF(AND(A1849&gt;=Inputs!$B$5,A1849&lt;=Inputs!$B$6),1,0)</f>
        <v/>
      </c>
    </row>
    <row r="1850">
      <c r="A1850" t="inlineStr">
        <is>
          <t>2026-06</t>
        </is>
      </c>
      <c r="B1850" t="inlineStr">
        <is>
          <t>HOSP-1</t>
        </is>
      </c>
      <c r="C1850" t="inlineStr">
        <is>
          <t>SS-01218</t>
        </is>
      </c>
      <c r="D1850" t="n">
        <v>0</v>
      </c>
      <c r="E1850" t="n">
        <v>0</v>
      </c>
      <c r="G1850">
        <f>IF(AND(A1850&gt;=Inputs!$B$5,A1850&lt;=Inputs!$B$6),1,0)</f>
        <v/>
      </c>
    </row>
    <row r="1851">
      <c r="A1851" t="inlineStr">
        <is>
          <t>2026-06</t>
        </is>
      </c>
      <c r="B1851" t="inlineStr">
        <is>
          <t>HOSP-2</t>
        </is>
      </c>
      <c r="C1851" t="inlineStr">
        <is>
          <t>SS-01219</t>
        </is>
      </c>
      <c r="D1851" t="n">
        <v>0</v>
      </c>
      <c r="E1851" t="n">
        <v>0</v>
      </c>
      <c r="G1851">
        <f>IF(AND(A1851&gt;=Inputs!$B$5,A1851&lt;=Inputs!$B$6),1,0)</f>
        <v/>
      </c>
    </row>
    <row r="1852">
      <c r="A1852" t="inlineStr">
        <is>
          <t>2026-06</t>
        </is>
      </c>
      <c r="B1852" t="inlineStr">
        <is>
          <t>HOSP-3</t>
        </is>
      </c>
      <c r="C1852" t="inlineStr">
        <is>
          <t>SS-01220</t>
        </is>
      </c>
      <c r="D1852" t="n">
        <v>50</v>
      </c>
      <c r="E1852" t="n">
        <v>0</v>
      </c>
      <c r="G1852">
        <f>IF(AND(A1852&gt;=Inputs!$B$5,A1852&lt;=Inputs!$B$6),1,0)</f>
        <v/>
      </c>
    </row>
    <row r="1853">
      <c r="A1853" t="inlineStr">
        <is>
          <t>2026-06</t>
        </is>
      </c>
      <c r="B1853" t="inlineStr">
        <is>
          <t>HOSP-4</t>
        </is>
      </c>
      <c r="C1853" t="inlineStr">
        <is>
          <t>SS-01221</t>
        </is>
      </c>
      <c r="D1853" t="n">
        <v>0</v>
      </c>
      <c r="E1853" t="n">
        <v>0</v>
      </c>
      <c r="G1853">
        <f>IF(AND(A1853&gt;=Inputs!$B$5,A1853&lt;=Inputs!$B$6),1,0)</f>
        <v/>
      </c>
    </row>
    <row r="1854">
      <c r="A1854" t="inlineStr">
        <is>
          <t>2026-06</t>
        </is>
      </c>
      <c r="B1854" t="inlineStr">
        <is>
          <t>HOSP-1</t>
        </is>
      </c>
      <c r="C1854" t="inlineStr">
        <is>
          <t>SS-01222</t>
        </is>
      </c>
      <c r="D1854" t="n">
        <v>12</v>
      </c>
      <c r="E1854" t="n">
        <v>0</v>
      </c>
      <c r="G1854">
        <f>IF(AND(A1854&gt;=Inputs!$B$5,A1854&lt;=Inputs!$B$6),1,0)</f>
        <v/>
      </c>
    </row>
    <row r="1855">
      <c r="A1855" t="inlineStr">
        <is>
          <t>2026-06</t>
        </is>
      </c>
      <c r="B1855" t="inlineStr">
        <is>
          <t>HOSP-2</t>
        </is>
      </c>
      <c r="C1855" t="inlineStr">
        <is>
          <t>SS-01223</t>
        </is>
      </c>
      <c r="D1855" t="n">
        <v>33</v>
      </c>
      <c r="E1855" t="n">
        <v>1</v>
      </c>
      <c r="G1855">
        <f>IF(AND(A1855&gt;=Inputs!$B$5,A1855&lt;=Inputs!$B$6),1,0)</f>
        <v/>
      </c>
    </row>
    <row r="1856">
      <c r="A1856" t="inlineStr">
        <is>
          <t>2026-06</t>
        </is>
      </c>
      <c r="B1856" t="inlineStr">
        <is>
          <t>HOSP-3</t>
        </is>
      </c>
      <c r="C1856" t="inlineStr">
        <is>
          <t>SS-01224</t>
        </is>
      </c>
      <c r="D1856" t="n">
        <v>12</v>
      </c>
      <c r="E1856" t="n">
        <v>0</v>
      </c>
      <c r="G1856">
        <f>IF(AND(A1856&gt;=Inputs!$B$5,A1856&lt;=Inputs!$B$6),1,0)</f>
        <v/>
      </c>
    </row>
    <row r="1857">
      <c r="A1857" t="inlineStr">
        <is>
          <t>2026-06</t>
        </is>
      </c>
      <c r="B1857" t="inlineStr">
        <is>
          <t>HOSP-4</t>
        </is>
      </c>
      <c r="C1857" t="inlineStr">
        <is>
          <t>SS-01225</t>
        </is>
      </c>
      <c r="D1857" t="n">
        <v>9</v>
      </c>
      <c r="E1857" t="n">
        <v>1</v>
      </c>
      <c r="G1857">
        <f>IF(AND(A1857&gt;=Inputs!$B$5,A1857&lt;=Inputs!$B$6),1,0)</f>
        <v/>
      </c>
    </row>
    <row r="1858">
      <c r="A1858" t="inlineStr">
        <is>
          <t>2026-06</t>
        </is>
      </c>
      <c r="B1858" t="inlineStr">
        <is>
          <t>HOSP-1</t>
        </is>
      </c>
      <c r="C1858" t="inlineStr">
        <is>
          <t>SS-01002</t>
        </is>
      </c>
      <c r="D1858" t="n">
        <v>89</v>
      </c>
      <c r="E1858" t="n">
        <v>2</v>
      </c>
      <c r="G1858">
        <f>IF(AND(A1858&gt;=Inputs!$B$5,A1858&lt;=Inputs!$B$6),1,0)</f>
        <v/>
      </c>
    </row>
    <row r="1859">
      <c r="A1859" t="inlineStr">
        <is>
          <t>2026-06</t>
        </is>
      </c>
      <c r="B1859" t="inlineStr">
        <is>
          <t>HOSP-2</t>
        </is>
      </c>
      <c r="C1859" t="inlineStr">
        <is>
          <t>SS-01227</t>
        </is>
      </c>
      <c r="D1859" t="n">
        <v>0</v>
      </c>
      <c r="E1859" t="n">
        <v>0</v>
      </c>
      <c r="G1859">
        <f>IF(AND(A1859&gt;=Inputs!$B$5,A1859&lt;=Inputs!$B$6),1,0)</f>
        <v/>
      </c>
    </row>
    <row r="1860">
      <c r="A1860" t="inlineStr">
        <is>
          <t>2026-06</t>
        </is>
      </c>
      <c r="B1860" t="inlineStr">
        <is>
          <t>HOSP-3</t>
        </is>
      </c>
      <c r="C1860" t="inlineStr">
        <is>
          <t>SS-01228</t>
        </is>
      </c>
      <c r="D1860" t="n">
        <v>48</v>
      </c>
      <c r="E1860" t="n">
        <v>0</v>
      </c>
      <c r="G1860">
        <f>IF(AND(A1860&gt;=Inputs!$B$5,A1860&lt;=Inputs!$B$6),1,0)</f>
        <v/>
      </c>
    </row>
    <row r="1861">
      <c r="A1861" t="inlineStr">
        <is>
          <t>2026-06</t>
        </is>
      </c>
      <c r="B1861" t="inlineStr">
        <is>
          <t>HOSP-4</t>
        </is>
      </c>
      <c r="C1861" t="inlineStr">
        <is>
          <t>SS-01229</t>
        </is>
      </c>
      <c r="D1861" t="n">
        <v>24</v>
      </c>
      <c r="E1861" t="n">
        <v>0</v>
      </c>
      <c r="G1861">
        <f>IF(AND(A1861&gt;=Inputs!$B$5,A1861&lt;=Inputs!$B$6),1,0)</f>
        <v/>
      </c>
    </row>
    <row r="1862">
      <c r="A1862" t="inlineStr">
        <is>
          <t>2026-06</t>
        </is>
      </c>
      <c r="B1862" t="inlineStr">
        <is>
          <t>HOSP-1</t>
        </is>
      </c>
      <c r="C1862" t="inlineStr">
        <is>
          <t>SS-01230</t>
        </is>
      </c>
      <c r="D1862" t="n">
        <v>0</v>
      </c>
      <c r="E1862" t="n">
        <v>0</v>
      </c>
      <c r="G1862">
        <f>IF(AND(A1862&gt;=Inputs!$B$5,A1862&lt;=Inputs!$B$6),1,0)</f>
        <v/>
      </c>
    </row>
    <row r="1863">
      <c r="A1863" t="inlineStr">
        <is>
          <t>2026-06</t>
        </is>
      </c>
      <c r="B1863" t="inlineStr">
        <is>
          <t>HOSP-2</t>
        </is>
      </c>
      <c r="C1863" t="inlineStr">
        <is>
          <t>SS-01231</t>
        </is>
      </c>
      <c r="D1863" t="n">
        <v>0</v>
      </c>
      <c r="E1863" t="n">
        <v>0</v>
      </c>
      <c r="G1863">
        <f>IF(AND(A1863&gt;=Inputs!$B$5,A1863&lt;=Inputs!$B$6),1,0)</f>
        <v/>
      </c>
    </row>
    <row r="1864">
      <c r="A1864" t="inlineStr">
        <is>
          <t>2026-06</t>
        </is>
      </c>
      <c r="B1864" t="inlineStr">
        <is>
          <t>HOSP-3</t>
        </is>
      </c>
      <c r="C1864" t="inlineStr">
        <is>
          <t>SS-01232</t>
        </is>
      </c>
      <c r="D1864" t="n">
        <v>180</v>
      </c>
      <c r="E1864" t="n">
        <v>0</v>
      </c>
      <c r="G1864">
        <f>IF(AND(A1864&gt;=Inputs!$B$5,A1864&lt;=Inputs!$B$6),1,0)</f>
        <v/>
      </c>
    </row>
    <row r="1865">
      <c r="A1865" t="inlineStr">
        <is>
          <t>2026-06</t>
        </is>
      </c>
      <c r="B1865" t="inlineStr">
        <is>
          <t>HOSP-4</t>
        </is>
      </c>
      <c r="C1865" t="inlineStr">
        <is>
          <t>SS-01233</t>
        </is>
      </c>
      <c r="D1865" t="n">
        <v>12</v>
      </c>
      <c r="E1865" t="n">
        <v>0</v>
      </c>
      <c r="G1865">
        <f>IF(AND(A1865&gt;=Inputs!$B$5,A1865&lt;=Inputs!$B$6),1,0)</f>
        <v/>
      </c>
    </row>
    <row r="1866">
      <c r="A1866" t="inlineStr">
        <is>
          <t>2026-06</t>
        </is>
      </c>
      <c r="B1866" t="inlineStr">
        <is>
          <t>HOSP-1</t>
        </is>
      </c>
      <c r="C1866" t="inlineStr">
        <is>
          <t>SS-01001</t>
        </is>
      </c>
      <c r="D1866" t="n">
        <v>24</v>
      </c>
      <c r="E1866" t="n">
        <v>0</v>
      </c>
      <c r="G1866">
        <f>IF(AND(A1866&gt;=Inputs!$B$5,A1866&lt;=Inputs!$B$6),1,0)</f>
        <v/>
      </c>
    </row>
    <row r="1867">
      <c r="A1867" t="inlineStr">
        <is>
          <t>2026-06</t>
        </is>
      </c>
      <c r="B1867" t="inlineStr">
        <is>
          <t>HOSP-2</t>
        </is>
      </c>
      <c r="C1867" t="inlineStr">
        <is>
          <t>SS-01002</t>
        </is>
      </c>
      <c r="D1867" t="n">
        <v>12</v>
      </c>
      <c r="E1867" t="n">
        <v>0</v>
      </c>
      <c r="G1867">
        <f>IF(AND(A1867&gt;=Inputs!$B$5,A1867&lt;=Inputs!$B$6),1,0)</f>
        <v/>
      </c>
    </row>
    <row r="1868">
      <c r="A1868" t="inlineStr">
        <is>
          <t>2026-06</t>
        </is>
      </c>
      <c r="B1868" t="inlineStr">
        <is>
          <t>HOSP-3</t>
        </is>
      </c>
      <c r="C1868" t="inlineStr">
        <is>
          <t>SS-01003</t>
        </is>
      </c>
      <c r="D1868" t="n">
        <v>0</v>
      </c>
      <c r="E1868" t="n">
        <v>0</v>
      </c>
      <c r="G1868">
        <f>IF(AND(A1868&gt;=Inputs!$B$5,A1868&lt;=Inputs!$B$6),1,0)</f>
        <v/>
      </c>
    </row>
    <row r="1869">
      <c r="A1869" t="inlineStr">
        <is>
          <t>2026-06</t>
        </is>
      </c>
      <c r="B1869" t="inlineStr">
        <is>
          <t>HOSP-4</t>
        </is>
      </c>
      <c r="C1869" t="inlineStr">
        <is>
          <t>SS-01004</t>
        </is>
      </c>
      <c r="D1869" t="n">
        <v>156</v>
      </c>
      <c r="E1869" t="n">
        <v>0</v>
      </c>
      <c r="G1869">
        <f>IF(AND(A1869&gt;=Inputs!$B$5,A1869&lt;=Inputs!$B$6),1,0)</f>
        <v/>
      </c>
    </row>
    <row r="1870">
      <c r="A1870" t="inlineStr">
        <is>
          <t>2026-06</t>
        </is>
      </c>
      <c r="B1870" t="inlineStr">
        <is>
          <t>HOSP-1</t>
        </is>
      </c>
      <c r="C1870" t="inlineStr">
        <is>
          <t>SS-01005</t>
        </is>
      </c>
      <c r="D1870" t="n">
        <v>24</v>
      </c>
      <c r="E1870" t="n">
        <v>0</v>
      </c>
      <c r="G1870">
        <f>IF(AND(A1870&gt;=Inputs!$B$5,A1870&lt;=Inputs!$B$6),1,0)</f>
        <v/>
      </c>
    </row>
    <row r="1871">
      <c r="A1871" t="inlineStr">
        <is>
          <t>2026-06</t>
        </is>
      </c>
      <c r="B1871" t="inlineStr">
        <is>
          <t>HOSP-2</t>
        </is>
      </c>
      <c r="C1871" t="inlineStr">
        <is>
          <t>SS-01006</t>
        </is>
      </c>
      <c r="D1871" t="n">
        <v>24</v>
      </c>
      <c r="E1871" t="n">
        <v>0</v>
      </c>
      <c r="G1871">
        <f>IF(AND(A1871&gt;=Inputs!$B$5,A1871&lt;=Inputs!$B$6),1,0)</f>
        <v/>
      </c>
    </row>
    <row r="1872">
      <c r="A1872" t="inlineStr">
        <is>
          <t>2026-06</t>
        </is>
      </c>
      <c r="B1872" t="inlineStr">
        <is>
          <t>HOSP-3</t>
        </is>
      </c>
      <c r="C1872" t="inlineStr">
        <is>
          <t>SS-01007</t>
        </is>
      </c>
      <c r="D1872" t="n">
        <v>0</v>
      </c>
      <c r="E1872" t="n">
        <v>0</v>
      </c>
      <c r="G1872">
        <f>IF(AND(A1872&gt;=Inputs!$B$5,A1872&lt;=Inputs!$B$6),1,0)</f>
        <v/>
      </c>
    </row>
    <row r="1873">
      <c r="A1873" t="inlineStr">
        <is>
          <t>2026-06</t>
        </is>
      </c>
      <c r="B1873" t="inlineStr">
        <is>
          <t>HOSP-4</t>
        </is>
      </c>
      <c r="C1873" t="inlineStr">
        <is>
          <t>SS-01008</t>
        </is>
      </c>
      <c r="D1873" t="n">
        <v>12</v>
      </c>
      <c r="E1873" t="n">
        <v>0</v>
      </c>
      <c r="G1873">
        <f>IF(AND(A1873&gt;=Inputs!$B$5,A1873&lt;=Inputs!$B$6),1,0)</f>
        <v/>
      </c>
    </row>
    <row r="1874">
      <c r="A1874" t="inlineStr">
        <is>
          <t>2026-06</t>
        </is>
      </c>
      <c r="B1874" t="inlineStr">
        <is>
          <t>HOSP-1</t>
        </is>
      </c>
      <c r="C1874" t="inlineStr">
        <is>
          <t>SS-01009</t>
        </is>
      </c>
      <c r="D1874" t="n">
        <v>58</v>
      </c>
      <c r="E1874" t="n">
        <v>1</v>
      </c>
      <c r="G1874">
        <f>IF(AND(A1874&gt;=Inputs!$B$5,A1874&lt;=Inputs!$B$6),1,0)</f>
        <v/>
      </c>
    </row>
    <row r="1875">
      <c r="A1875" t="inlineStr">
        <is>
          <t>2026-06</t>
        </is>
      </c>
      <c r="B1875" t="inlineStr">
        <is>
          <t>HOSP-2</t>
        </is>
      </c>
      <c r="C1875" t="inlineStr">
        <is>
          <t>SS-01010</t>
        </is>
      </c>
      <c r="D1875" t="n">
        <v>0</v>
      </c>
      <c r="E1875" t="n">
        <v>4</v>
      </c>
      <c r="G1875">
        <f>IF(AND(A1875&gt;=Inputs!$B$5,A1875&lt;=Inputs!$B$6),1,0)</f>
        <v/>
      </c>
    </row>
    <row r="1876">
      <c r="A1876" t="inlineStr">
        <is>
          <t>2026-06</t>
        </is>
      </c>
      <c r="B1876" t="inlineStr">
        <is>
          <t>HOSP-3</t>
        </is>
      </c>
      <c r="C1876" t="inlineStr">
        <is>
          <t>SS-01011</t>
        </is>
      </c>
      <c r="D1876" t="n">
        <v>22</v>
      </c>
      <c r="E1876" t="n">
        <v>1</v>
      </c>
      <c r="G1876">
        <f>IF(AND(A1876&gt;=Inputs!$B$5,A1876&lt;=Inputs!$B$6),1,0)</f>
        <v/>
      </c>
    </row>
    <row r="1877">
      <c r="A1877" t="inlineStr">
        <is>
          <t>2026-06</t>
        </is>
      </c>
      <c r="B1877" t="inlineStr">
        <is>
          <t>HOSP-4</t>
        </is>
      </c>
      <c r="C1877" t="inlineStr">
        <is>
          <t>SS-01012</t>
        </is>
      </c>
      <c r="D1877" t="n">
        <v>12</v>
      </c>
      <c r="E1877" t="n">
        <v>0</v>
      </c>
      <c r="G1877">
        <f>IF(AND(A1877&gt;=Inputs!$B$5,A1877&lt;=Inputs!$B$6),1,0)</f>
        <v/>
      </c>
    </row>
    <row r="1878">
      <c r="A1878" t="inlineStr">
        <is>
          <t>2026-06</t>
        </is>
      </c>
      <c r="B1878" t="inlineStr">
        <is>
          <t>HOSP-1</t>
        </is>
      </c>
      <c r="C1878" t="inlineStr">
        <is>
          <t>SS-01013</t>
        </is>
      </c>
      <c r="D1878" t="n">
        <v>12</v>
      </c>
      <c r="E1878" t="n">
        <v>0</v>
      </c>
      <c r="G1878">
        <f>IF(AND(A1878&gt;=Inputs!$B$5,A1878&lt;=Inputs!$B$6),1,0)</f>
        <v/>
      </c>
    </row>
    <row r="1879">
      <c r="A1879" t="inlineStr">
        <is>
          <t>2026-06</t>
        </is>
      </c>
      <c r="B1879" t="inlineStr">
        <is>
          <t>HOSP-2</t>
        </is>
      </c>
      <c r="C1879" t="inlineStr">
        <is>
          <t>SS-01014</t>
        </is>
      </c>
      <c r="D1879" t="n">
        <v>24</v>
      </c>
      <c r="E1879" t="n">
        <v>0</v>
      </c>
      <c r="G1879">
        <f>IF(AND(A1879&gt;=Inputs!$B$5,A1879&lt;=Inputs!$B$6),1,0)</f>
        <v/>
      </c>
    </row>
    <row r="1880">
      <c r="A1880" t="inlineStr">
        <is>
          <t>2026-06</t>
        </is>
      </c>
      <c r="B1880" t="inlineStr">
        <is>
          <t>HOSP-3</t>
        </is>
      </c>
      <c r="C1880" t="inlineStr">
        <is>
          <t>SS-01015</t>
        </is>
      </c>
      <c r="D1880" t="n">
        <v>0</v>
      </c>
      <c r="E1880" t="n">
        <v>0</v>
      </c>
      <c r="G1880">
        <f>IF(AND(A1880&gt;=Inputs!$B$5,A1880&lt;=Inputs!$B$6),1,0)</f>
        <v/>
      </c>
    </row>
    <row r="1881">
      <c r="A1881" t="inlineStr">
        <is>
          <t>2026-06</t>
        </is>
      </c>
      <c r="B1881" t="inlineStr">
        <is>
          <t>HOSP-4</t>
        </is>
      </c>
      <c r="C1881" t="inlineStr">
        <is>
          <t>SS-01016</t>
        </is>
      </c>
      <c r="D1881" t="n">
        <v>71</v>
      </c>
      <c r="E1881" t="n">
        <v>0</v>
      </c>
      <c r="G1881">
        <f>IF(AND(A1881&gt;=Inputs!$B$5,A1881&lt;=Inputs!$B$6),1,0)</f>
        <v/>
      </c>
    </row>
    <row r="1882">
      <c r="A1882" t="inlineStr">
        <is>
          <t>2026-06</t>
        </is>
      </c>
      <c r="B1882" t="inlineStr">
        <is>
          <t>HOSP-1</t>
        </is>
      </c>
      <c r="C1882" t="inlineStr">
        <is>
          <t>SS-01017</t>
        </is>
      </c>
      <c r="D1882" t="n">
        <v>12</v>
      </c>
      <c r="E1882" t="n">
        <v>0</v>
      </c>
      <c r="G1882">
        <f>IF(AND(A1882&gt;=Inputs!$B$5,A1882&lt;=Inputs!$B$6),1,0)</f>
        <v/>
      </c>
    </row>
    <row r="1883">
      <c r="A1883" t="inlineStr">
        <is>
          <t>2026-06</t>
        </is>
      </c>
      <c r="B1883" t="inlineStr">
        <is>
          <t>HOSP-2</t>
        </is>
      </c>
      <c r="C1883" t="inlineStr">
        <is>
          <t>SS-01018</t>
        </is>
      </c>
      <c r="D1883" t="n">
        <v>36</v>
      </c>
      <c r="E1883" t="n">
        <v>0</v>
      </c>
      <c r="G1883">
        <f>IF(AND(A1883&gt;=Inputs!$B$5,A1883&lt;=Inputs!$B$6),1,0)</f>
        <v/>
      </c>
    </row>
    <row r="1884">
      <c r="A1884" t="inlineStr">
        <is>
          <t>2026-06</t>
        </is>
      </c>
      <c r="B1884" t="inlineStr">
        <is>
          <t>HOSP-3</t>
        </is>
      </c>
      <c r="C1884" t="inlineStr">
        <is>
          <t>SS-01019</t>
        </is>
      </c>
      <c r="D1884" t="n">
        <v>11</v>
      </c>
      <c r="E1884" t="n">
        <v>1</v>
      </c>
      <c r="G1884">
        <f>IF(AND(A1884&gt;=Inputs!$B$5,A1884&lt;=Inputs!$B$6),1,0)</f>
        <v/>
      </c>
    </row>
    <row r="1885">
      <c r="A1885" t="inlineStr">
        <is>
          <t>2026-06</t>
        </is>
      </c>
      <c r="B1885" t="inlineStr">
        <is>
          <t>HOSP-4</t>
        </is>
      </c>
      <c r="C1885" t="inlineStr">
        <is>
          <t>SS-01020</t>
        </is>
      </c>
      <c r="D1885" t="n">
        <v>132</v>
      </c>
      <c r="E1885" t="n">
        <v>0</v>
      </c>
      <c r="G1885">
        <f>IF(AND(A1885&gt;=Inputs!$B$5,A1885&lt;=Inputs!$B$6),1,0)</f>
        <v/>
      </c>
    </row>
    <row r="1886">
      <c r="A1886" t="inlineStr">
        <is>
          <t>2026-06</t>
        </is>
      </c>
      <c r="B1886" t="inlineStr">
        <is>
          <t>HOSP-1</t>
        </is>
      </c>
      <c r="C1886" t="inlineStr">
        <is>
          <t>SS-01021</t>
        </is>
      </c>
      <c r="D1886" t="n">
        <v>48</v>
      </c>
      <c r="E1886" t="n">
        <v>0</v>
      </c>
      <c r="G1886">
        <f>IF(AND(A1886&gt;=Inputs!$B$5,A1886&lt;=Inputs!$B$6),1,0)</f>
        <v/>
      </c>
    </row>
    <row r="1887">
      <c r="A1887" t="inlineStr">
        <is>
          <t>2026-06</t>
        </is>
      </c>
      <c r="B1887" t="inlineStr">
        <is>
          <t>HOSP-2</t>
        </is>
      </c>
      <c r="C1887" t="inlineStr">
        <is>
          <t>SS-01022</t>
        </is>
      </c>
      <c r="D1887" t="n">
        <v>48</v>
      </c>
      <c r="E1887" t="n">
        <v>0</v>
      </c>
      <c r="G1887">
        <f>IF(AND(A1887&gt;=Inputs!$B$5,A1887&lt;=Inputs!$B$6),1,0)</f>
        <v/>
      </c>
    </row>
    <row r="1888">
      <c r="A1888" t="inlineStr">
        <is>
          <t>2026-06</t>
        </is>
      </c>
      <c r="B1888" t="inlineStr">
        <is>
          <t>HOSP-3</t>
        </is>
      </c>
      <c r="C1888" t="inlineStr">
        <is>
          <t>SS-01023</t>
        </is>
      </c>
      <c r="D1888" t="n">
        <v>12</v>
      </c>
      <c r="E1888" t="n">
        <v>0</v>
      </c>
      <c r="G1888">
        <f>IF(AND(A1888&gt;=Inputs!$B$5,A1888&lt;=Inputs!$B$6),1,0)</f>
        <v/>
      </c>
    </row>
    <row r="1889">
      <c r="A1889" t="inlineStr">
        <is>
          <t>2026-06</t>
        </is>
      </c>
      <c r="B1889" t="inlineStr">
        <is>
          <t>HOSP-4</t>
        </is>
      </c>
      <c r="C1889" t="inlineStr">
        <is>
          <t>SS-01024</t>
        </is>
      </c>
      <c r="D1889" t="n">
        <v>12</v>
      </c>
      <c r="E1889" t="n">
        <v>0</v>
      </c>
      <c r="G1889">
        <f>IF(AND(A1889&gt;=Inputs!$B$5,A1889&lt;=Inputs!$B$6),1,0)</f>
        <v/>
      </c>
    </row>
    <row r="1890">
      <c r="A1890" t="inlineStr">
        <is>
          <t>2026-06</t>
        </is>
      </c>
      <c r="B1890" t="inlineStr">
        <is>
          <t>HOSP-1</t>
        </is>
      </c>
      <c r="C1890" t="inlineStr">
        <is>
          <t>SS-01025</t>
        </is>
      </c>
      <c r="D1890" t="n">
        <v>24</v>
      </c>
      <c r="E1890" t="n">
        <v>0</v>
      </c>
      <c r="G1890">
        <f>IF(AND(A1890&gt;=Inputs!$B$5,A1890&lt;=Inputs!$B$6),1,0)</f>
        <v/>
      </c>
    </row>
    <row r="1891">
      <c r="A1891" t="inlineStr">
        <is>
          <t>2026-06</t>
        </is>
      </c>
      <c r="B1891" t="inlineStr">
        <is>
          <t>HOSP-2</t>
        </is>
      </c>
      <c r="C1891" t="inlineStr">
        <is>
          <t>SS-01026</t>
        </is>
      </c>
      <c r="D1891" t="n">
        <v>12</v>
      </c>
      <c r="E1891" t="n">
        <v>0</v>
      </c>
      <c r="G1891">
        <f>IF(AND(A1891&gt;=Inputs!$B$5,A1891&lt;=Inputs!$B$6),1,0)</f>
        <v/>
      </c>
    </row>
    <row r="1892">
      <c r="A1892" t="inlineStr">
        <is>
          <t>2026-06</t>
        </is>
      </c>
      <c r="B1892" t="inlineStr">
        <is>
          <t>HOSP-3</t>
        </is>
      </c>
      <c r="C1892" t="inlineStr">
        <is>
          <t>SS-01027</t>
        </is>
      </c>
      <c r="D1892" t="n">
        <v>12</v>
      </c>
      <c r="E1892" t="n">
        <v>0</v>
      </c>
      <c r="G1892">
        <f>IF(AND(A1892&gt;=Inputs!$B$5,A1892&lt;=Inputs!$B$6),1,0)</f>
        <v/>
      </c>
    </row>
    <row r="1893">
      <c r="A1893" t="inlineStr">
        <is>
          <t>2026-06</t>
        </is>
      </c>
      <c r="B1893" t="inlineStr">
        <is>
          <t>HOSP-4</t>
        </is>
      </c>
      <c r="C1893" t="inlineStr">
        <is>
          <t>SS-01028</t>
        </is>
      </c>
      <c r="D1893" t="n">
        <v>20</v>
      </c>
      <c r="E1893" t="n">
        <v>0</v>
      </c>
      <c r="G1893">
        <f>IF(AND(A1893&gt;=Inputs!$B$5,A1893&lt;=Inputs!$B$6),1,0)</f>
        <v/>
      </c>
    </row>
    <row r="1894">
      <c r="A1894" t="inlineStr">
        <is>
          <t>2026-06</t>
        </is>
      </c>
      <c r="B1894" t="inlineStr">
        <is>
          <t>HOSP-1</t>
        </is>
      </c>
      <c r="C1894" t="inlineStr">
        <is>
          <t>SS-01029</t>
        </is>
      </c>
      <c r="D1894" t="n">
        <v>24</v>
      </c>
      <c r="E1894" t="n">
        <v>1</v>
      </c>
      <c r="G1894">
        <f>IF(AND(A1894&gt;=Inputs!$B$5,A1894&lt;=Inputs!$B$6),1,0)</f>
        <v/>
      </c>
    </row>
    <row r="1895">
      <c r="A1895" t="inlineStr">
        <is>
          <t>2026-06</t>
        </is>
      </c>
      <c r="B1895" t="inlineStr">
        <is>
          <t>HOSP-2</t>
        </is>
      </c>
      <c r="C1895" t="inlineStr">
        <is>
          <t>SS-01030</t>
        </is>
      </c>
      <c r="D1895" t="n">
        <v>12</v>
      </c>
      <c r="E1895" t="n">
        <v>0</v>
      </c>
      <c r="G1895">
        <f>IF(AND(A1895&gt;=Inputs!$B$5,A1895&lt;=Inputs!$B$6),1,0)</f>
        <v/>
      </c>
    </row>
    <row r="1896">
      <c r="A1896" t="inlineStr">
        <is>
          <t>2026-06</t>
        </is>
      </c>
      <c r="B1896" t="inlineStr">
        <is>
          <t>HOSP-3</t>
        </is>
      </c>
      <c r="C1896" t="inlineStr">
        <is>
          <t>SS-01031</t>
        </is>
      </c>
      <c r="D1896" t="n">
        <v>228</v>
      </c>
      <c r="E1896" t="n">
        <v>0</v>
      </c>
      <c r="G1896">
        <f>IF(AND(A1896&gt;=Inputs!$B$5,A1896&lt;=Inputs!$B$6),1,0)</f>
        <v/>
      </c>
    </row>
    <row r="1897">
      <c r="A1897" t="inlineStr">
        <is>
          <t>2026-06</t>
        </is>
      </c>
      <c r="B1897" t="inlineStr">
        <is>
          <t>HOSP-4</t>
        </is>
      </c>
      <c r="C1897" t="inlineStr">
        <is>
          <t>SS-01032</t>
        </is>
      </c>
      <c r="D1897" t="n">
        <v>36</v>
      </c>
      <c r="E1897" t="n">
        <v>0</v>
      </c>
      <c r="G1897">
        <f>IF(AND(A1897&gt;=Inputs!$B$5,A1897&lt;=Inputs!$B$6),1,0)</f>
        <v/>
      </c>
    </row>
    <row r="1898">
      <c r="A1898" t="inlineStr">
        <is>
          <t>2026-06</t>
        </is>
      </c>
      <c r="B1898" t="inlineStr">
        <is>
          <t>HOSP-1</t>
        </is>
      </c>
      <c r="C1898" t="inlineStr">
        <is>
          <t>SS-01033</t>
        </is>
      </c>
      <c r="D1898" t="n">
        <v>12</v>
      </c>
      <c r="E1898" t="n">
        <v>0</v>
      </c>
      <c r="G1898">
        <f>IF(AND(A1898&gt;=Inputs!$B$5,A1898&lt;=Inputs!$B$6),1,0)</f>
        <v/>
      </c>
    </row>
    <row r="1899">
      <c r="A1899" t="inlineStr">
        <is>
          <t>2026-06</t>
        </is>
      </c>
      <c r="B1899" t="inlineStr">
        <is>
          <t>HOSP-2</t>
        </is>
      </c>
      <c r="C1899" t="inlineStr">
        <is>
          <t>SS-01034</t>
        </is>
      </c>
      <c r="D1899" t="n">
        <v>24</v>
      </c>
      <c r="E1899" t="n">
        <v>0</v>
      </c>
      <c r="G1899">
        <f>IF(AND(A1899&gt;=Inputs!$B$5,A1899&lt;=Inputs!$B$6),1,0)</f>
        <v/>
      </c>
    </row>
    <row r="1900">
      <c r="A1900" t="inlineStr">
        <is>
          <t>2026-06</t>
        </is>
      </c>
      <c r="B1900" t="inlineStr">
        <is>
          <t>HOSP-3</t>
        </is>
      </c>
      <c r="C1900" t="inlineStr">
        <is>
          <t>SS-01035</t>
        </is>
      </c>
      <c r="D1900" t="n">
        <v>204</v>
      </c>
      <c r="E1900" t="n">
        <v>0</v>
      </c>
      <c r="G1900">
        <f>IF(AND(A1900&gt;=Inputs!$B$5,A1900&lt;=Inputs!$B$6),1,0)</f>
        <v/>
      </c>
    </row>
    <row r="1901">
      <c r="A1901" t="inlineStr">
        <is>
          <t>2026-06</t>
        </is>
      </c>
      <c r="B1901" t="inlineStr">
        <is>
          <t>HOSP-4</t>
        </is>
      </c>
      <c r="C1901" t="inlineStr">
        <is>
          <t>SS-01036</t>
        </is>
      </c>
      <c r="D1901" t="n">
        <v>36</v>
      </c>
      <c r="E1901" t="n">
        <v>0</v>
      </c>
      <c r="G1901">
        <f>IF(AND(A1901&gt;=Inputs!$B$5,A1901&lt;=Inputs!$B$6),1,0)</f>
        <v/>
      </c>
    </row>
    <row r="1902">
      <c r="A1902" t="inlineStr">
        <is>
          <t>2026-06</t>
        </is>
      </c>
      <c r="B1902" t="inlineStr">
        <is>
          <t>HOSP-1</t>
        </is>
      </c>
      <c r="C1902" t="inlineStr">
        <is>
          <t>SS-01037</t>
        </is>
      </c>
      <c r="D1902" t="n">
        <v>0</v>
      </c>
      <c r="E1902" t="n">
        <v>0</v>
      </c>
      <c r="G1902">
        <f>IF(AND(A1902&gt;=Inputs!$B$5,A1902&lt;=Inputs!$B$6),1,0)</f>
        <v/>
      </c>
    </row>
    <row r="1903">
      <c r="A1903" t="inlineStr">
        <is>
          <t>2026-06</t>
        </is>
      </c>
      <c r="B1903" t="inlineStr">
        <is>
          <t>HOSP-2</t>
        </is>
      </c>
      <c r="C1903" t="inlineStr">
        <is>
          <t>SS-01038</t>
        </is>
      </c>
      <c r="D1903" t="n">
        <v>0</v>
      </c>
      <c r="E1903" t="n">
        <v>1</v>
      </c>
      <c r="G1903">
        <f>IF(AND(A1903&gt;=Inputs!$B$5,A1903&lt;=Inputs!$B$6),1,0)</f>
        <v/>
      </c>
    </row>
    <row r="1904">
      <c r="A1904" t="inlineStr">
        <is>
          <t>2026-06</t>
        </is>
      </c>
      <c r="B1904" t="inlineStr">
        <is>
          <t>HOSP-3</t>
        </is>
      </c>
      <c r="C1904" t="inlineStr">
        <is>
          <t>SS-01039</t>
        </is>
      </c>
      <c r="D1904" t="n">
        <v>3</v>
      </c>
      <c r="E1904" t="n">
        <v>4</v>
      </c>
      <c r="G1904">
        <f>IF(AND(A1904&gt;=Inputs!$B$5,A1904&lt;=Inputs!$B$6),1,0)</f>
        <v/>
      </c>
    </row>
    <row r="1905">
      <c r="A1905" t="inlineStr">
        <is>
          <t>2026-06</t>
        </is>
      </c>
      <c r="B1905" t="inlineStr">
        <is>
          <t>HOSP-4</t>
        </is>
      </c>
      <c r="C1905" t="inlineStr">
        <is>
          <t>SS-01040</t>
        </is>
      </c>
      <c r="D1905" t="n">
        <v>56</v>
      </c>
      <c r="E1905" t="n">
        <v>0</v>
      </c>
      <c r="F1905" t="inlineStr">
        <is>
          <t>surge</t>
        </is>
      </c>
      <c r="G1905">
        <f>IF(AND(A1905&gt;=Inputs!$B$5,A1905&lt;=Inputs!$B$6),1,0)</f>
        <v/>
      </c>
    </row>
    <row r="1906">
      <c r="A1906" t="inlineStr">
        <is>
          <t>2026-06</t>
        </is>
      </c>
      <c r="B1906" t="inlineStr">
        <is>
          <t>HOSP-1</t>
        </is>
      </c>
      <c r="C1906" t="inlineStr">
        <is>
          <t>SS-01041</t>
        </is>
      </c>
      <c r="D1906" t="n">
        <v>0</v>
      </c>
      <c r="E1906" t="n">
        <v>0</v>
      </c>
      <c r="G1906">
        <f>IF(AND(A1906&gt;=Inputs!$B$5,A1906&lt;=Inputs!$B$6),1,0)</f>
        <v/>
      </c>
    </row>
    <row r="1907">
      <c r="A1907" t="inlineStr">
        <is>
          <t>2026-06</t>
        </is>
      </c>
      <c r="B1907" t="inlineStr">
        <is>
          <t>HOSP-2</t>
        </is>
      </c>
      <c r="C1907" t="inlineStr">
        <is>
          <t>SS-01042</t>
        </is>
      </c>
      <c r="D1907" t="n">
        <v>12</v>
      </c>
      <c r="E1907" t="n">
        <v>0</v>
      </c>
      <c r="G1907">
        <f>IF(AND(A1907&gt;=Inputs!$B$5,A1907&lt;=Inputs!$B$6),1,0)</f>
        <v/>
      </c>
    </row>
    <row r="1908">
      <c r="A1908" t="inlineStr">
        <is>
          <t>2026-06</t>
        </is>
      </c>
      <c r="B1908" t="inlineStr">
        <is>
          <t>HOSP-3</t>
        </is>
      </c>
      <c r="C1908" t="inlineStr">
        <is>
          <t>SS-01043</t>
        </is>
      </c>
      <c r="D1908" t="n">
        <v>24</v>
      </c>
      <c r="E1908" t="n">
        <v>0</v>
      </c>
      <c r="G1908">
        <f>IF(AND(A1908&gt;=Inputs!$B$5,A1908&lt;=Inputs!$B$6),1,0)</f>
        <v/>
      </c>
    </row>
    <row r="1909">
      <c r="A1909" t="inlineStr">
        <is>
          <t>2026-06</t>
        </is>
      </c>
      <c r="B1909" t="inlineStr">
        <is>
          <t>HOSP-4</t>
        </is>
      </c>
      <c r="C1909" t="inlineStr">
        <is>
          <t>SS-01044</t>
        </is>
      </c>
      <c r="D1909" t="n">
        <v>9</v>
      </c>
      <c r="E1909" t="n">
        <v>1</v>
      </c>
      <c r="G1909">
        <f>IF(AND(A1909&gt;=Inputs!$B$5,A1909&lt;=Inputs!$B$6),1,0)</f>
        <v/>
      </c>
    </row>
    <row r="1910">
      <c r="A1910" t="inlineStr">
        <is>
          <t>2026-06</t>
        </is>
      </c>
      <c r="B1910" t="inlineStr">
        <is>
          <t>HOSP-1</t>
        </is>
      </c>
      <c r="C1910" t="inlineStr">
        <is>
          <t>SS-01045</t>
        </is>
      </c>
      <c r="D1910" t="n">
        <v>84</v>
      </c>
      <c r="E1910" t="n">
        <v>0</v>
      </c>
      <c r="G1910">
        <f>IF(AND(A1910&gt;=Inputs!$B$5,A1910&lt;=Inputs!$B$6),1,0)</f>
        <v/>
      </c>
    </row>
    <row r="1911">
      <c r="A1911" t="inlineStr">
        <is>
          <t>2026-06</t>
        </is>
      </c>
      <c r="B1911" t="inlineStr">
        <is>
          <t>HOSP-2</t>
        </is>
      </c>
      <c r="C1911" t="inlineStr">
        <is>
          <t>SS-01046</t>
        </is>
      </c>
      <c r="D1911" t="n">
        <v>0</v>
      </c>
      <c r="E1911" t="n">
        <v>0</v>
      </c>
      <c r="G1911">
        <f>IF(AND(A1911&gt;=Inputs!$B$5,A1911&lt;=Inputs!$B$6),1,0)</f>
        <v/>
      </c>
    </row>
    <row r="1912">
      <c r="A1912" t="inlineStr">
        <is>
          <t>2026-06</t>
        </is>
      </c>
      <c r="B1912" t="inlineStr">
        <is>
          <t>HOSP-3</t>
        </is>
      </c>
      <c r="C1912" t="inlineStr">
        <is>
          <t>SS-01047</t>
        </is>
      </c>
      <c r="D1912" t="n">
        <v>0</v>
      </c>
      <c r="E1912" t="n">
        <v>0</v>
      </c>
      <c r="G1912">
        <f>IF(AND(A1912&gt;=Inputs!$B$5,A1912&lt;=Inputs!$B$6),1,0)</f>
        <v/>
      </c>
    </row>
    <row r="1913">
      <c r="A1913" t="inlineStr">
        <is>
          <t>2026-06</t>
        </is>
      </c>
      <c r="B1913" t="inlineStr">
        <is>
          <t>HOSP-4</t>
        </is>
      </c>
      <c r="C1913" t="inlineStr">
        <is>
          <t>SS-01048</t>
        </is>
      </c>
      <c r="D1913" t="n">
        <v>48</v>
      </c>
      <c r="E1913" t="n">
        <v>0</v>
      </c>
      <c r="G1913">
        <f>IF(AND(A1913&gt;=Inputs!$B$5,A1913&lt;=Inputs!$B$6),1,0)</f>
        <v/>
      </c>
    </row>
    <row r="1914">
      <c r="A1914" t="inlineStr">
        <is>
          <t>2026-06</t>
        </is>
      </c>
      <c r="B1914" t="inlineStr">
        <is>
          <t>HOSP-1</t>
        </is>
      </c>
      <c r="C1914" t="inlineStr">
        <is>
          <t>SS-01049</t>
        </is>
      </c>
      <c r="D1914" t="n">
        <v>42</v>
      </c>
      <c r="E1914" t="n">
        <v>0</v>
      </c>
      <c r="G1914">
        <f>IF(AND(A1914&gt;=Inputs!$B$5,A1914&lt;=Inputs!$B$6),1,0)</f>
        <v/>
      </c>
    </row>
    <row r="1915">
      <c r="A1915" t="inlineStr">
        <is>
          <t>2026-06</t>
        </is>
      </c>
      <c r="B1915" t="inlineStr">
        <is>
          <t>HOSP-2</t>
        </is>
      </c>
      <c r="C1915" t="inlineStr">
        <is>
          <t>SS-01035</t>
        </is>
      </c>
      <c r="D1915" t="n">
        <v>14</v>
      </c>
      <c r="E1915" t="n">
        <v>2</v>
      </c>
      <c r="G1915">
        <f>IF(AND(A1915&gt;=Inputs!$B$5,A1915&lt;=Inputs!$B$6),1,0)</f>
        <v/>
      </c>
    </row>
    <row r="1916">
      <c r="A1916" t="inlineStr">
        <is>
          <t>2026-06</t>
        </is>
      </c>
      <c r="B1916" t="inlineStr">
        <is>
          <t>HOSP-3</t>
        </is>
      </c>
      <c r="C1916" t="inlineStr">
        <is>
          <t>SS-01051</t>
        </is>
      </c>
      <c r="D1916" t="n">
        <v>12</v>
      </c>
      <c r="E1916" t="n">
        <v>0</v>
      </c>
      <c r="G1916">
        <f>IF(AND(A1916&gt;=Inputs!$B$5,A1916&lt;=Inputs!$B$6),1,0)</f>
        <v/>
      </c>
    </row>
    <row r="1917">
      <c r="A1917" t="inlineStr">
        <is>
          <t>2026-06</t>
        </is>
      </c>
      <c r="B1917" t="inlineStr">
        <is>
          <t>HOSP-4</t>
        </is>
      </c>
      <c r="C1917" t="inlineStr">
        <is>
          <t>SS-01052</t>
        </is>
      </c>
      <c r="D1917" t="n">
        <v>36</v>
      </c>
      <c r="E1917" t="n">
        <v>0</v>
      </c>
      <c r="G1917">
        <f>IF(AND(A1917&gt;=Inputs!$B$5,A1917&lt;=Inputs!$B$6),1,0)</f>
        <v/>
      </c>
    </row>
    <row r="1918">
      <c r="A1918" t="inlineStr">
        <is>
          <t>2026-06</t>
        </is>
      </c>
      <c r="B1918" t="inlineStr">
        <is>
          <t>HOSP-1</t>
        </is>
      </c>
      <c r="C1918" t="inlineStr">
        <is>
          <t>SS-01053</t>
        </is>
      </c>
      <c r="D1918" t="n">
        <v>47</v>
      </c>
      <c r="E1918" t="n">
        <v>0</v>
      </c>
      <c r="G1918">
        <f>IF(AND(A1918&gt;=Inputs!$B$5,A1918&lt;=Inputs!$B$6),1,0)</f>
        <v/>
      </c>
    </row>
    <row r="1919">
      <c r="A1919" t="inlineStr">
        <is>
          <t>2026-06</t>
        </is>
      </c>
      <c r="B1919" t="inlineStr">
        <is>
          <t>HOSP-2</t>
        </is>
      </c>
      <c r="C1919" t="inlineStr">
        <is>
          <t>SS-01054</t>
        </is>
      </c>
      <c r="D1919" t="n">
        <v>96</v>
      </c>
      <c r="E1919" t="n">
        <v>0</v>
      </c>
      <c r="G1919">
        <f>IF(AND(A1919&gt;=Inputs!$B$5,A1919&lt;=Inputs!$B$6),1,0)</f>
        <v/>
      </c>
    </row>
    <row r="1920">
      <c r="A1920" t="inlineStr">
        <is>
          <t>2026-06</t>
        </is>
      </c>
      <c r="B1920" t="inlineStr">
        <is>
          <t>HOSP-3</t>
        </is>
      </c>
      <c r="C1920" t="inlineStr">
        <is>
          <t>SS-01055</t>
        </is>
      </c>
      <c r="D1920" t="n">
        <v>396</v>
      </c>
      <c r="E1920" t="n">
        <v>0</v>
      </c>
      <c r="G1920">
        <f>IF(AND(A1920&gt;=Inputs!$B$5,A1920&lt;=Inputs!$B$6),1,0)</f>
        <v/>
      </c>
    </row>
    <row r="1921">
      <c r="A1921" t="inlineStr">
        <is>
          <t>2026-06</t>
        </is>
      </c>
      <c r="B1921" t="inlineStr">
        <is>
          <t>HOSP-4</t>
        </is>
      </c>
      <c r="C1921" t="inlineStr">
        <is>
          <t>SS-01056</t>
        </is>
      </c>
      <c r="D1921" t="n">
        <v>0</v>
      </c>
      <c r="E1921" t="n">
        <v>0</v>
      </c>
      <c r="G1921">
        <f>IF(AND(A1921&gt;=Inputs!$B$5,A1921&lt;=Inputs!$B$6),1,0)</f>
        <v/>
      </c>
    </row>
    <row r="1922">
      <c r="A1922" t="inlineStr">
        <is>
          <t>2026-07</t>
        </is>
      </c>
      <c r="B1922" t="inlineStr">
        <is>
          <t>HOSP-1</t>
        </is>
      </c>
      <c r="C1922" t="inlineStr">
        <is>
          <t>SS-01057</t>
        </is>
      </c>
      <c r="D1922" t="n">
        <v>132</v>
      </c>
      <c r="E1922" t="n">
        <v>0</v>
      </c>
      <c r="G1922">
        <f>IF(AND(A1922&gt;=Inputs!$B$5,A1922&lt;=Inputs!$B$6),1,0)</f>
        <v/>
      </c>
    </row>
    <row r="1923">
      <c r="A1923" t="inlineStr">
        <is>
          <t>2026-07</t>
        </is>
      </c>
      <c r="B1923" t="inlineStr">
        <is>
          <t>HOSP-2</t>
        </is>
      </c>
      <c r="C1923" t="inlineStr">
        <is>
          <t>SS-01058</t>
        </is>
      </c>
      <c r="D1923" t="n">
        <v>21</v>
      </c>
      <c r="E1923" t="n">
        <v>8</v>
      </c>
      <c r="G1923">
        <f>IF(AND(A1923&gt;=Inputs!$B$5,A1923&lt;=Inputs!$B$6),1,0)</f>
        <v/>
      </c>
    </row>
    <row r="1924">
      <c r="A1924" t="inlineStr">
        <is>
          <t>2026-07</t>
        </is>
      </c>
      <c r="B1924" t="inlineStr">
        <is>
          <t>HOSP-3</t>
        </is>
      </c>
      <c r="C1924" t="inlineStr">
        <is>
          <t>SS-01059</t>
        </is>
      </c>
      <c r="D1924" t="n">
        <v>37</v>
      </c>
      <c r="E1924" t="n">
        <v>0</v>
      </c>
      <c r="G1924">
        <f>IF(AND(A1924&gt;=Inputs!$B$5,A1924&lt;=Inputs!$B$6),1,0)</f>
        <v/>
      </c>
    </row>
    <row r="1925">
      <c r="A1925" t="inlineStr">
        <is>
          <t>2026-07</t>
        </is>
      </c>
      <c r="B1925" t="inlineStr">
        <is>
          <t>HOSP-4</t>
        </is>
      </c>
      <c r="C1925" t="inlineStr">
        <is>
          <t>SS-01060</t>
        </is>
      </c>
      <c r="D1925" t="n">
        <v>12</v>
      </c>
      <c r="E1925" t="n">
        <v>0</v>
      </c>
      <c r="G1925">
        <f>IF(AND(A1925&gt;=Inputs!$B$5,A1925&lt;=Inputs!$B$6),1,0)</f>
        <v/>
      </c>
    </row>
    <row r="1926">
      <c r="A1926" t="inlineStr">
        <is>
          <t>2026-07</t>
        </is>
      </c>
      <c r="B1926" t="inlineStr">
        <is>
          <t>HOSP-1</t>
        </is>
      </c>
      <c r="C1926" t="inlineStr">
        <is>
          <t>SS-01061</t>
        </is>
      </c>
      <c r="D1926" t="n">
        <v>564</v>
      </c>
      <c r="E1926" t="n">
        <v>0</v>
      </c>
      <c r="G1926">
        <f>IF(AND(A1926&gt;=Inputs!$B$5,A1926&lt;=Inputs!$B$6),1,0)</f>
        <v/>
      </c>
    </row>
    <row r="1927">
      <c r="A1927" t="inlineStr">
        <is>
          <t>2026-07</t>
        </is>
      </c>
      <c r="B1927" t="inlineStr">
        <is>
          <t>HOSP-2</t>
        </is>
      </c>
      <c r="C1927" t="inlineStr">
        <is>
          <t>SS-01062</t>
        </is>
      </c>
      <c r="D1927" t="n">
        <v>136</v>
      </c>
      <c r="E1927" t="n">
        <v>0</v>
      </c>
      <c r="G1927">
        <f>IF(AND(A1927&gt;=Inputs!$B$5,A1927&lt;=Inputs!$B$6),1,0)</f>
        <v/>
      </c>
    </row>
    <row r="1928">
      <c r="A1928" t="inlineStr">
        <is>
          <t>2026-07</t>
        </is>
      </c>
      <c r="B1928" t="inlineStr">
        <is>
          <t>HOSP-3</t>
        </is>
      </c>
      <c r="C1928" t="inlineStr">
        <is>
          <t>SS-01063</t>
        </is>
      </c>
      <c r="D1928" t="n">
        <v>72</v>
      </c>
      <c r="E1928" t="n">
        <v>0</v>
      </c>
      <c r="G1928">
        <f>IF(AND(A1928&gt;=Inputs!$B$5,A1928&lt;=Inputs!$B$6),1,0)</f>
        <v/>
      </c>
    </row>
    <row r="1929">
      <c r="A1929" t="inlineStr">
        <is>
          <t>2026-07</t>
        </is>
      </c>
      <c r="B1929" t="inlineStr">
        <is>
          <t>HOSP-4</t>
        </is>
      </c>
      <c r="C1929" t="inlineStr">
        <is>
          <t>SS-01064</t>
        </is>
      </c>
      <c r="D1929" t="n">
        <v>12</v>
      </c>
      <c r="E1929" t="n">
        <v>0</v>
      </c>
      <c r="G1929">
        <f>IF(AND(A1929&gt;=Inputs!$B$5,A1929&lt;=Inputs!$B$6),1,0)</f>
        <v/>
      </c>
    </row>
    <row r="1930">
      <c r="A1930" t="inlineStr">
        <is>
          <t>2026-07</t>
        </is>
      </c>
      <c r="B1930" t="inlineStr">
        <is>
          <t>HOSP-1</t>
        </is>
      </c>
      <c r="C1930" t="inlineStr">
        <is>
          <t>SS-01065</t>
        </is>
      </c>
      <c r="D1930" t="n">
        <v>48</v>
      </c>
      <c r="E1930" t="n">
        <v>0</v>
      </c>
      <c r="G1930">
        <f>IF(AND(A1930&gt;=Inputs!$B$5,A1930&lt;=Inputs!$B$6),1,0)</f>
        <v/>
      </c>
    </row>
    <row r="1931">
      <c r="A1931" t="inlineStr">
        <is>
          <t>2026-07</t>
        </is>
      </c>
      <c r="B1931" t="inlineStr">
        <is>
          <t>HOSP-2</t>
        </is>
      </c>
      <c r="C1931" t="inlineStr">
        <is>
          <t>SS-01066</t>
        </is>
      </c>
      <c r="D1931" t="n">
        <v>24</v>
      </c>
      <c r="E1931" t="n">
        <v>0</v>
      </c>
      <c r="G1931">
        <f>IF(AND(A1931&gt;=Inputs!$B$5,A1931&lt;=Inputs!$B$6),1,0)</f>
        <v/>
      </c>
    </row>
    <row r="1932">
      <c r="A1932" t="inlineStr">
        <is>
          <t>2026-07</t>
        </is>
      </c>
      <c r="B1932" t="inlineStr">
        <is>
          <t>HOSP-3</t>
        </is>
      </c>
      <c r="C1932" t="inlineStr">
        <is>
          <t>SS-01067</t>
        </is>
      </c>
      <c r="D1932" t="n">
        <v>6</v>
      </c>
      <c r="E1932" t="n">
        <v>3</v>
      </c>
      <c r="G1932">
        <f>IF(AND(A1932&gt;=Inputs!$B$5,A1932&lt;=Inputs!$B$6),1,0)</f>
        <v/>
      </c>
    </row>
    <row r="1933">
      <c r="A1933" t="inlineStr">
        <is>
          <t>2026-07</t>
        </is>
      </c>
      <c r="B1933" t="inlineStr">
        <is>
          <t>HOSP-4</t>
        </is>
      </c>
      <c r="C1933" t="inlineStr">
        <is>
          <t>SS-01068</t>
        </is>
      </c>
      <c r="D1933" t="n">
        <v>12</v>
      </c>
      <c r="E1933" t="n">
        <v>0</v>
      </c>
      <c r="G1933">
        <f>IF(AND(A1933&gt;=Inputs!$B$5,A1933&lt;=Inputs!$B$6),1,0)</f>
        <v/>
      </c>
    </row>
    <row r="1934">
      <c r="A1934" t="inlineStr">
        <is>
          <t>2026-07</t>
        </is>
      </c>
      <c r="B1934" t="inlineStr">
        <is>
          <t>HOSP-1</t>
        </is>
      </c>
      <c r="C1934" t="inlineStr">
        <is>
          <t>SS-01069</t>
        </is>
      </c>
      <c r="D1934" t="n">
        <v>6</v>
      </c>
      <c r="E1934" t="n">
        <v>0</v>
      </c>
      <c r="G1934">
        <f>IF(AND(A1934&gt;=Inputs!$B$5,A1934&lt;=Inputs!$B$6),1,0)</f>
        <v/>
      </c>
    </row>
    <row r="1935">
      <c r="A1935" t="inlineStr">
        <is>
          <t>2026-07</t>
        </is>
      </c>
      <c r="B1935" t="inlineStr">
        <is>
          <t>HOSP-2</t>
        </is>
      </c>
      <c r="C1935" t="inlineStr">
        <is>
          <t>SS-01070</t>
        </is>
      </c>
      <c r="D1935" t="n">
        <v>34</v>
      </c>
      <c r="E1935" t="n">
        <v>0</v>
      </c>
      <c r="G1935">
        <f>IF(AND(A1935&gt;=Inputs!$B$5,A1935&lt;=Inputs!$B$6),1,0)</f>
        <v/>
      </c>
    </row>
    <row r="1936">
      <c r="A1936" t="inlineStr">
        <is>
          <t>2026-07</t>
        </is>
      </c>
      <c r="B1936" t="inlineStr">
        <is>
          <t>HOSP-3</t>
        </is>
      </c>
      <c r="C1936" t="inlineStr">
        <is>
          <t>SS-01071</t>
        </is>
      </c>
      <c r="D1936" t="n">
        <v>18</v>
      </c>
      <c r="E1936" t="n">
        <v>1</v>
      </c>
      <c r="G1936">
        <f>IF(AND(A1936&gt;=Inputs!$B$5,A1936&lt;=Inputs!$B$6),1,0)</f>
        <v/>
      </c>
    </row>
    <row r="1937">
      <c r="A1937" t="inlineStr">
        <is>
          <t>2026-07</t>
        </is>
      </c>
      <c r="B1937" t="inlineStr">
        <is>
          <t>HOSP-4</t>
        </is>
      </c>
      <c r="C1937" t="inlineStr">
        <is>
          <t>SS-01072</t>
        </is>
      </c>
      <c r="D1937" t="n">
        <v>0</v>
      </c>
      <c r="E1937" t="n">
        <v>0</v>
      </c>
      <c r="G1937">
        <f>IF(AND(A1937&gt;=Inputs!$B$5,A1937&lt;=Inputs!$B$6),1,0)</f>
        <v/>
      </c>
    </row>
    <row r="1938">
      <c r="A1938" t="inlineStr">
        <is>
          <t>2026-07</t>
        </is>
      </c>
      <c r="B1938" t="inlineStr">
        <is>
          <t>HOSP-1</t>
        </is>
      </c>
      <c r="C1938" t="inlineStr">
        <is>
          <t>SS-01073</t>
        </is>
      </c>
      <c r="D1938" t="n">
        <v>12</v>
      </c>
      <c r="E1938" t="n">
        <v>0</v>
      </c>
      <c r="G1938">
        <f>IF(AND(A1938&gt;=Inputs!$B$5,A1938&lt;=Inputs!$B$6),1,0)</f>
        <v/>
      </c>
    </row>
    <row r="1939">
      <c r="A1939" t="inlineStr">
        <is>
          <t>2026-07</t>
        </is>
      </c>
      <c r="B1939" t="inlineStr">
        <is>
          <t>HOSP-2</t>
        </is>
      </c>
      <c r="C1939" t="inlineStr">
        <is>
          <t>SS-01074</t>
        </is>
      </c>
      <c r="D1939" t="n">
        <v>12</v>
      </c>
      <c r="E1939" t="n">
        <v>0</v>
      </c>
      <c r="G1939">
        <f>IF(AND(A1939&gt;=Inputs!$B$5,A1939&lt;=Inputs!$B$6),1,0)</f>
        <v/>
      </c>
    </row>
    <row r="1940">
      <c r="A1940" t="inlineStr">
        <is>
          <t>2026-07</t>
        </is>
      </c>
      <c r="B1940" t="inlineStr">
        <is>
          <t>HOSP-3</t>
        </is>
      </c>
      <c r="C1940" t="inlineStr">
        <is>
          <t>SS-01075</t>
        </is>
      </c>
      <c r="D1940" t="n">
        <v>12</v>
      </c>
      <c r="E1940" t="n">
        <v>0</v>
      </c>
      <c r="G1940">
        <f>IF(AND(A1940&gt;=Inputs!$B$5,A1940&lt;=Inputs!$B$6),1,0)</f>
        <v/>
      </c>
    </row>
    <row r="1941">
      <c r="A1941" t="inlineStr">
        <is>
          <t>2026-07</t>
        </is>
      </c>
      <c r="B1941" t="inlineStr">
        <is>
          <t>HOSP-4</t>
        </is>
      </c>
      <c r="C1941" t="inlineStr">
        <is>
          <t>SS-01076</t>
        </is>
      </c>
      <c r="D1941" t="n">
        <v>1</v>
      </c>
      <c r="E1941" t="n">
        <v>3</v>
      </c>
      <c r="G1941">
        <f>IF(AND(A1941&gt;=Inputs!$B$5,A1941&lt;=Inputs!$B$6),1,0)</f>
        <v/>
      </c>
    </row>
    <row r="1942">
      <c r="A1942" t="inlineStr">
        <is>
          <t>2026-07</t>
        </is>
      </c>
      <c r="B1942" t="inlineStr">
        <is>
          <t>HOSP-1</t>
        </is>
      </c>
      <c r="C1942" t="inlineStr">
        <is>
          <t>SS-01077</t>
        </is>
      </c>
      <c r="D1942" t="n">
        <v>12</v>
      </c>
      <c r="E1942" t="n">
        <v>0</v>
      </c>
      <c r="G1942">
        <f>IF(AND(A1942&gt;=Inputs!$B$5,A1942&lt;=Inputs!$B$6),1,0)</f>
        <v/>
      </c>
    </row>
    <row r="1943">
      <c r="A1943" t="inlineStr">
        <is>
          <t>2026-07</t>
        </is>
      </c>
      <c r="B1943" t="inlineStr">
        <is>
          <t>HOSP-2</t>
        </is>
      </c>
      <c r="C1943" t="inlineStr">
        <is>
          <t>SS-01078</t>
        </is>
      </c>
      <c r="D1943" t="n">
        <v>12</v>
      </c>
      <c r="E1943" t="n">
        <v>0</v>
      </c>
      <c r="G1943">
        <f>IF(AND(A1943&gt;=Inputs!$B$5,A1943&lt;=Inputs!$B$6),1,0)</f>
        <v/>
      </c>
    </row>
    <row r="1944">
      <c r="A1944" t="inlineStr">
        <is>
          <t>2026-07</t>
        </is>
      </c>
      <c r="B1944" t="inlineStr">
        <is>
          <t>HOSP-3</t>
        </is>
      </c>
      <c r="C1944" t="inlineStr">
        <is>
          <t>SS-01123</t>
        </is>
      </c>
      <c r="D1944" t="n">
        <v>35</v>
      </c>
      <c r="E1944" t="n">
        <v>0</v>
      </c>
      <c r="G1944">
        <f>IF(AND(A1944&gt;=Inputs!$B$5,A1944&lt;=Inputs!$B$6),1,0)</f>
        <v/>
      </c>
    </row>
    <row r="1945">
      <c r="A1945" t="inlineStr">
        <is>
          <t>2026-07</t>
        </is>
      </c>
      <c r="B1945" t="inlineStr">
        <is>
          <t>HOSP-4</t>
        </is>
      </c>
      <c r="C1945" t="inlineStr">
        <is>
          <t>SS-01080</t>
        </is>
      </c>
      <c r="D1945" t="n">
        <v>22</v>
      </c>
      <c r="E1945" t="n">
        <v>0</v>
      </c>
      <c r="G1945">
        <f>IF(AND(A1945&gt;=Inputs!$B$5,A1945&lt;=Inputs!$B$6),1,0)</f>
        <v/>
      </c>
    </row>
    <row r="1946">
      <c r="A1946" t="inlineStr">
        <is>
          <t>2026-07</t>
        </is>
      </c>
      <c r="B1946" t="inlineStr">
        <is>
          <t>HOSP-1</t>
        </is>
      </c>
      <c r="C1946" t="inlineStr">
        <is>
          <t>SS-01081</t>
        </is>
      </c>
      <c r="D1946" t="n">
        <v>64</v>
      </c>
      <c r="E1946" t="n">
        <v>0</v>
      </c>
      <c r="G1946">
        <f>IF(AND(A1946&gt;=Inputs!$B$5,A1946&lt;=Inputs!$B$6),1,0)</f>
        <v/>
      </c>
    </row>
    <row r="1947">
      <c r="A1947" t="inlineStr">
        <is>
          <t>2026-07</t>
        </is>
      </c>
      <c r="B1947" t="inlineStr">
        <is>
          <t>HOSP-2</t>
        </is>
      </c>
      <c r="C1947" t="inlineStr">
        <is>
          <t>SS-01082</t>
        </is>
      </c>
      <c r="D1947" t="n">
        <v>336</v>
      </c>
      <c r="E1947" t="n">
        <v>0</v>
      </c>
      <c r="G1947">
        <f>IF(AND(A1947&gt;=Inputs!$B$5,A1947&lt;=Inputs!$B$6),1,0)</f>
        <v/>
      </c>
    </row>
    <row r="1948">
      <c r="A1948" t="inlineStr">
        <is>
          <t>2026-07</t>
        </is>
      </c>
      <c r="B1948" t="inlineStr">
        <is>
          <t>HOSP-3</t>
        </is>
      </c>
      <c r="C1948" t="inlineStr">
        <is>
          <t>SS-01083</t>
        </is>
      </c>
      <c r="D1948" t="n">
        <v>0</v>
      </c>
      <c r="E1948" t="n">
        <v>0</v>
      </c>
      <c r="G1948">
        <f>IF(AND(A1948&gt;=Inputs!$B$5,A1948&lt;=Inputs!$B$6),1,0)</f>
        <v/>
      </c>
    </row>
    <row r="1949">
      <c r="A1949" t="inlineStr">
        <is>
          <t>2026-07</t>
        </is>
      </c>
      <c r="B1949" t="inlineStr">
        <is>
          <t>HOSP-4</t>
        </is>
      </c>
      <c r="C1949" t="inlineStr">
        <is>
          <t>SS-01084</t>
        </is>
      </c>
      <c r="D1949" t="n">
        <v>9</v>
      </c>
      <c r="E1949" t="n">
        <v>2</v>
      </c>
      <c r="G1949">
        <f>IF(AND(A1949&gt;=Inputs!$B$5,A1949&lt;=Inputs!$B$6),1,0)</f>
        <v/>
      </c>
    </row>
    <row r="1950">
      <c r="A1950" t="inlineStr">
        <is>
          <t>2026-07</t>
        </is>
      </c>
      <c r="B1950" t="inlineStr">
        <is>
          <t>HOSP-1</t>
        </is>
      </c>
      <c r="C1950" t="inlineStr">
        <is>
          <t>SS-01085</t>
        </is>
      </c>
      <c r="D1950" t="n">
        <v>36</v>
      </c>
      <c r="E1950" t="n">
        <v>0</v>
      </c>
      <c r="G1950">
        <f>IF(AND(A1950&gt;=Inputs!$B$5,A1950&lt;=Inputs!$B$6),1,0)</f>
        <v/>
      </c>
    </row>
    <row r="1951">
      <c r="A1951" t="inlineStr">
        <is>
          <t>2026-07</t>
        </is>
      </c>
      <c r="B1951" t="inlineStr">
        <is>
          <t>HOSP-2</t>
        </is>
      </c>
      <c r="C1951" t="inlineStr">
        <is>
          <t>SS-01086</t>
        </is>
      </c>
      <c r="D1951" t="n">
        <v>72</v>
      </c>
      <c r="E1951" t="n">
        <v>0</v>
      </c>
      <c r="G1951">
        <f>IF(AND(A1951&gt;=Inputs!$B$5,A1951&lt;=Inputs!$B$6),1,0)</f>
        <v/>
      </c>
    </row>
    <row r="1952">
      <c r="A1952" t="inlineStr">
        <is>
          <t>2026-07</t>
        </is>
      </c>
      <c r="B1952" t="inlineStr">
        <is>
          <t>HOSP-3</t>
        </is>
      </c>
      <c r="C1952" t="inlineStr">
        <is>
          <t>SS-01087</t>
        </is>
      </c>
      <c r="D1952" t="n">
        <v>12</v>
      </c>
      <c r="E1952" t="n">
        <v>0</v>
      </c>
      <c r="G1952">
        <f>IF(AND(A1952&gt;=Inputs!$B$5,A1952&lt;=Inputs!$B$6),1,0)</f>
        <v/>
      </c>
    </row>
    <row r="1953">
      <c r="A1953" t="inlineStr">
        <is>
          <t>2026-07</t>
        </is>
      </c>
      <c r="B1953" t="inlineStr">
        <is>
          <t>HOSP-4</t>
        </is>
      </c>
      <c r="C1953" t="inlineStr">
        <is>
          <t>SS-01088</t>
        </is>
      </c>
      <c r="D1953" t="n">
        <v>12</v>
      </c>
      <c r="E1953" t="n">
        <v>0</v>
      </c>
      <c r="G1953">
        <f>IF(AND(A1953&gt;=Inputs!$B$5,A1953&lt;=Inputs!$B$6),1,0)</f>
        <v/>
      </c>
    </row>
    <row r="1954">
      <c r="A1954" t="inlineStr">
        <is>
          <t>2026-07</t>
        </is>
      </c>
      <c r="B1954" t="inlineStr">
        <is>
          <t>HOSP-1</t>
        </is>
      </c>
      <c r="C1954" t="inlineStr">
        <is>
          <t>SS-01089</t>
        </is>
      </c>
      <c r="D1954" t="n">
        <v>10</v>
      </c>
      <c r="E1954" t="n">
        <v>0</v>
      </c>
      <c r="G1954">
        <f>IF(AND(A1954&gt;=Inputs!$B$5,A1954&lt;=Inputs!$B$6),1,0)</f>
        <v/>
      </c>
    </row>
    <row r="1955">
      <c r="A1955" t="inlineStr">
        <is>
          <t>2026-07</t>
        </is>
      </c>
      <c r="B1955" t="inlineStr">
        <is>
          <t>HOSP-2</t>
        </is>
      </c>
      <c r="C1955" t="inlineStr">
        <is>
          <t>SS-01090</t>
        </is>
      </c>
      <c r="D1955" t="n">
        <v>36</v>
      </c>
      <c r="E1955" t="n">
        <v>0</v>
      </c>
      <c r="G1955">
        <f>IF(AND(A1955&gt;=Inputs!$B$5,A1955&lt;=Inputs!$B$6),1,0)</f>
        <v/>
      </c>
    </row>
    <row r="1956">
      <c r="A1956" t="inlineStr">
        <is>
          <t>2026-07</t>
        </is>
      </c>
      <c r="B1956" t="inlineStr">
        <is>
          <t>HOSP-3</t>
        </is>
      </c>
      <c r="C1956" t="inlineStr">
        <is>
          <t>SS-01091</t>
        </is>
      </c>
      <c r="D1956" t="n">
        <v>48</v>
      </c>
      <c r="E1956" t="n">
        <v>0</v>
      </c>
      <c r="G1956">
        <f>IF(AND(A1956&gt;=Inputs!$B$5,A1956&lt;=Inputs!$B$6),1,0)</f>
        <v/>
      </c>
    </row>
    <row r="1957">
      <c r="A1957" t="inlineStr">
        <is>
          <t>2026-07</t>
        </is>
      </c>
      <c r="B1957" t="inlineStr">
        <is>
          <t>HOSP-4</t>
        </is>
      </c>
      <c r="C1957" t="inlineStr">
        <is>
          <t>SS-01092</t>
        </is>
      </c>
      <c r="D1957" t="n">
        <v>24</v>
      </c>
      <c r="E1957" t="n">
        <v>0</v>
      </c>
      <c r="G1957">
        <f>IF(AND(A1957&gt;=Inputs!$B$5,A1957&lt;=Inputs!$B$6),1,0)</f>
        <v/>
      </c>
    </row>
    <row r="1958">
      <c r="A1958" t="inlineStr">
        <is>
          <t>2026-07</t>
        </is>
      </c>
      <c r="B1958" t="inlineStr">
        <is>
          <t>HOSP-1</t>
        </is>
      </c>
      <c r="C1958" t="inlineStr">
        <is>
          <t>SS-01093</t>
        </is>
      </c>
      <c r="D1958" t="n">
        <v>24</v>
      </c>
      <c r="E1958" t="n">
        <v>0</v>
      </c>
      <c r="G1958">
        <f>IF(AND(A1958&gt;=Inputs!$B$5,A1958&lt;=Inputs!$B$6),1,0)</f>
        <v/>
      </c>
    </row>
    <row r="1959">
      <c r="A1959" t="inlineStr">
        <is>
          <t>2026-07</t>
        </is>
      </c>
      <c r="B1959" t="inlineStr">
        <is>
          <t>HOSP-2</t>
        </is>
      </c>
      <c r="C1959" t="inlineStr">
        <is>
          <t>SS-01094</t>
        </is>
      </c>
      <c r="D1959" t="n">
        <v>0</v>
      </c>
      <c r="E1959" t="n">
        <v>0</v>
      </c>
      <c r="G1959">
        <f>IF(AND(A1959&gt;=Inputs!$B$5,A1959&lt;=Inputs!$B$6),1,0)</f>
        <v/>
      </c>
    </row>
    <row r="1960">
      <c r="A1960" t="inlineStr">
        <is>
          <t>2026-07</t>
        </is>
      </c>
      <c r="B1960" t="inlineStr">
        <is>
          <t>HOSP-3</t>
        </is>
      </c>
      <c r="C1960" t="inlineStr">
        <is>
          <t>SS-01095</t>
        </is>
      </c>
      <c r="D1960" t="n">
        <v>72</v>
      </c>
      <c r="E1960" t="n">
        <v>0</v>
      </c>
      <c r="G1960">
        <f>IF(AND(A1960&gt;=Inputs!$B$5,A1960&lt;=Inputs!$B$6),1,0)</f>
        <v/>
      </c>
    </row>
    <row r="1961">
      <c r="A1961" t="inlineStr">
        <is>
          <t>2026-07</t>
        </is>
      </c>
      <c r="B1961" t="inlineStr">
        <is>
          <t>HOSP-4</t>
        </is>
      </c>
      <c r="C1961" t="inlineStr">
        <is>
          <t>SS-01096</t>
        </is>
      </c>
      <c r="D1961" t="n">
        <v>60</v>
      </c>
      <c r="E1961" t="n">
        <v>0</v>
      </c>
      <c r="G1961">
        <f>IF(AND(A1961&gt;=Inputs!$B$5,A1961&lt;=Inputs!$B$6),1,0)</f>
        <v/>
      </c>
    </row>
    <row r="1962">
      <c r="A1962" t="inlineStr">
        <is>
          <t>2026-07</t>
        </is>
      </c>
      <c r="B1962" t="inlineStr">
        <is>
          <t>HOSP-1</t>
        </is>
      </c>
      <c r="C1962" t="inlineStr">
        <is>
          <t>SS-01097</t>
        </is>
      </c>
      <c r="D1962" t="n">
        <v>9</v>
      </c>
      <c r="E1962" t="n">
        <v>2</v>
      </c>
      <c r="G1962">
        <f>IF(AND(A1962&gt;=Inputs!$B$5,A1962&lt;=Inputs!$B$6),1,0)</f>
        <v/>
      </c>
    </row>
    <row r="1963">
      <c r="A1963" t="inlineStr">
        <is>
          <t>2026-07</t>
        </is>
      </c>
      <c r="B1963" t="inlineStr">
        <is>
          <t>HOSP-2</t>
        </is>
      </c>
      <c r="C1963" t="inlineStr">
        <is>
          <t>SS-01098</t>
        </is>
      </c>
      <c r="D1963" t="n">
        <v>2</v>
      </c>
      <c r="E1963" t="n">
        <v>2</v>
      </c>
      <c r="G1963">
        <f>IF(AND(A1963&gt;=Inputs!$B$5,A1963&lt;=Inputs!$B$6),1,0)</f>
        <v/>
      </c>
    </row>
    <row r="1964">
      <c r="A1964" t="inlineStr">
        <is>
          <t>2026-07</t>
        </is>
      </c>
      <c r="B1964" t="inlineStr">
        <is>
          <t>HOSP-3</t>
        </is>
      </c>
      <c r="C1964" t="inlineStr">
        <is>
          <t>SS-01099</t>
        </is>
      </c>
      <c r="D1964" t="n">
        <v>36</v>
      </c>
      <c r="E1964" t="n">
        <v>0</v>
      </c>
      <c r="G1964">
        <f>IF(AND(A1964&gt;=Inputs!$B$5,A1964&lt;=Inputs!$B$6),1,0)</f>
        <v/>
      </c>
    </row>
    <row r="1965">
      <c r="A1965" t="inlineStr">
        <is>
          <t>2026-07</t>
        </is>
      </c>
      <c r="B1965" t="inlineStr">
        <is>
          <t>HOSP-4</t>
        </is>
      </c>
      <c r="C1965" t="inlineStr">
        <is>
          <t>SS-01100</t>
        </is>
      </c>
      <c r="D1965" t="n">
        <v>0</v>
      </c>
      <c r="E1965" t="n">
        <v>0</v>
      </c>
      <c r="G1965">
        <f>IF(AND(A1965&gt;=Inputs!$B$5,A1965&lt;=Inputs!$B$6),1,0)</f>
        <v/>
      </c>
    </row>
    <row r="1966">
      <c r="A1966" t="inlineStr">
        <is>
          <t>2026-07</t>
        </is>
      </c>
      <c r="B1966" t="inlineStr">
        <is>
          <t>HOSP-1</t>
        </is>
      </c>
      <c r="C1966" t="inlineStr">
        <is>
          <t>SS-01134</t>
        </is>
      </c>
      <c r="D1966" t="n">
        <v>1</v>
      </c>
      <c r="E1966" t="n">
        <v>11</v>
      </c>
      <c r="G1966">
        <f>IF(AND(A1966&gt;=Inputs!$B$5,A1966&lt;=Inputs!$B$6),1,0)</f>
        <v/>
      </c>
    </row>
    <row r="1967">
      <c r="A1967" t="inlineStr">
        <is>
          <t>2026-07</t>
        </is>
      </c>
      <c r="B1967" t="inlineStr">
        <is>
          <t>HOSP-2</t>
        </is>
      </c>
      <c r="C1967" t="inlineStr">
        <is>
          <t>SS-01102</t>
        </is>
      </c>
      <c r="D1967" t="n">
        <v>0</v>
      </c>
      <c r="E1967" t="n">
        <v>0</v>
      </c>
      <c r="G1967">
        <f>IF(AND(A1967&gt;=Inputs!$B$5,A1967&lt;=Inputs!$B$6),1,0)</f>
        <v/>
      </c>
    </row>
    <row r="1968">
      <c r="A1968" t="inlineStr">
        <is>
          <t>2026-07</t>
        </is>
      </c>
      <c r="B1968" t="inlineStr">
        <is>
          <t>HOSP-3</t>
        </is>
      </c>
      <c r="C1968" t="inlineStr">
        <is>
          <t>SS-01103</t>
        </is>
      </c>
      <c r="D1968" t="n">
        <v>0</v>
      </c>
      <c r="E1968" t="n">
        <v>0</v>
      </c>
      <c r="G1968">
        <f>IF(AND(A1968&gt;=Inputs!$B$5,A1968&lt;=Inputs!$B$6),1,0)</f>
        <v/>
      </c>
    </row>
    <row r="1969">
      <c r="A1969" t="inlineStr">
        <is>
          <t>2026-07</t>
        </is>
      </c>
      <c r="B1969" t="inlineStr">
        <is>
          <t>HOSP-4</t>
        </is>
      </c>
      <c r="C1969" t="inlineStr">
        <is>
          <t>SS-01089</t>
        </is>
      </c>
      <c r="D1969" t="n">
        <v>32</v>
      </c>
      <c r="E1969" t="n">
        <v>1</v>
      </c>
      <c r="G1969">
        <f>IF(AND(A1969&gt;=Inputs!$B$5,A1969&lt;=Inputs!$B$6),1,0)</f>
        <v/>
      </c>
    </row>
    <row r="1970">
      <c r="A1970" t="inlineStr">
        <is>
          <t>2026-07</t>
        </is>
      </c>
      <c r="B1970" t="inlineStr">
        <is>
          <t>HOSP-1</t>
        </is>
      </c>
      <c r="C1970" t="inlineStr">
        <is>
          <t>SS-01105</t>
        </is>
      </c>
      <c r="D1970" t="n">
        <v>12</v>
      </c>
      <c r="E1970" t="n">
        <v>0</v>
      </c>
      <c r="G1970">
        <f>IF(AND(A1970&gt;=Inputs!$B$5,A1970&lt;=Inputs!$B$6),1,0)</f>
        <v/>
      </c>
    </row>
    <row r="1971">
      <c r="A1971" t="inlineStr">
        <is>
          <t>2026-07</t>
        </is>
      </c>
      <c r="B1971" t="inlineStr">
        <is>
          <t>HOSP-2</t>
        </is>
      </c>
      <c r="C1971" t="inlineStr">
        <is>
          <t>SS-01106</t>
        </is>
      </c>
      <c r="D1971" t="n">
        <v>12</v>
      </c>
      <c r="E1971" t="n">
        <v>0</v>
      </c>
      <c r="G1971">
        <f>IF(AND(A1971&gt;=Inputs!$B$5,A1971&lt;=Inputs!$B$6),1,0)</f>
        <v/>
      </c>
    </row>
    <row r="1972">
      <c r="A1972" t="inlineStr">
        <is>
          <t>2026-07</t>
        </is>
      </c>
      <c r="B1972" t="inlineStr">
        <is>
          <t>HOSP-3</t>
        </is>
      </c>
      <c r="C1972" t="inlineStr">
        <is>
          <t>SS-01107</t>
        </is>
      </c>
      <c r="D1972" t="n">
        <v>12</v>
      </c>
      <c r="E1972" t="n">
        <v>0</v>
      </c>
      <c r="G1972">
        <f>IF(AND(A1972&gt;=Inputs!$B$5,A1972&lt;=Inputs!$B$6),1,0)</f>
        <v/>
      </c>
    </row>
    <row r="1973">
      <c r="A1973" t="inlineStr">
        <is>
          <t>2026-07</t>
        </is>
      </c>
      <c r="B1973" t="inlineStr">
        <is>
          <t>HOSP-4</t>
        </is>
      </c>
      <c r="C1973" t="inlineStr">
        <is>
          <t>SS-01108</t>
        </is>
      </c>
      <c r="D1973" t="n">
        <v>29</v>
      </c>
      <c r="E1973" t="n">
        <v>0</v>
      </c>
      <c r="G1973">
        <f>IF(AND(A1973&gt;=Inputs!$B$5,A1973&lt;=Inputs!$B$6),1,0)</f>
        <v/>
      </c>
    </row>
    <row r="1974">
      <c r="A1974" t="inlineStr">
        <is>
          <t>2026-07</t>
        </is>
      </c>
      <c r="B1974" t="inlineStr">
        <is>
          <t>HOSP-1</t>
        </is>
      </c>
      <c r="C1974" t="inlineStr">
        <is>
          <t>SS-01109</t>
        </is>
      </c>
      <c r="D1974" t="n">
        <v>36</v>
      </c>
      <c r="E1974" t="n">
        <v>0</v>
      </c>
      <c r="G1974">
        <f>IF(AND(A1974&gt;=Inputs!$B$5,A1974&lt;=Inputs!$B$6),1,0)</f>
        <v/>
      </c>
    </row>
    <row r="1975">
      <c r="A1975" t="inlineStr">
        <is>
          <t>2026-07</t>
        </is>
      </c>
      <c r="B1975" t="inlineStr">
        <is>
          <t>HOSP-2</t>
        </is>
      </c>
      <c r="C1975" t="inlineStr">
        <is>
          <t>SS-01110</t>
        </is>
      </c>
      <c r="D1975" t="n">
        <v>14</v>
      </c>
      <c r="E1975" t="n">
        <v>0</v>
      </c>
      <c r="G1975">
        <f>IF(AND(A1975&gt;=Inputs!$B$5,A1975&lt;=Inputs!$B$6),1,0)</f>
        <v/>
      </c>
    </row>
    <row r="1976">
      <c r="A1976" t="inlineStr">
        <is>
          <t>2026-07</t>
        </is>
      </c>
      <c r="B1976" t="inlineStr">
        <is>
          <t>HOSP-3</t>
        </is>
      </c>
      <c r="C1976" t="inlineStr">
        <is>
          <t>SS-01111</t>
        </is>
      </c>
      <c r="D1976" t="n">
        <v>0</v>
      </c>
      <c r="E1976" t="n">
        <v>0</v>
      </c>
      <c r="G1976">
        <f>IF(AND(A1976&gt;=Inputs!$B$5,A1976&lt;=Inputs!$B$6),1,0)</f>
        <v/>
      </c>
    </row>
    <row r="1977">
      <c r="A1977" t="inlineStr">
        <is>
          <t>2026-07</t>
        </is>
      </c>
      <c r="B1977" t="inlineStr">
        <is>
          <t>HOSP-4</t>
        </is>
      </c>
      <c r="C1977" t="inlineStr">
        <is>
          <t>SS-01112</t>
        </is>
      </c>
      <c r="D1977" t="n">
        <v>36</v>
      </c>
      <c r="E1977" t="n">
        <v>0</v>
      </c>
      <c r="G1977">
        <f>IF(AND(A1977&gt;=Inputs!$B$5,A1977&lt;=Inputs!$B$6),1,0)</f>
        <v/>
      </c>
    </row>
    <row r="1978">
      <c r="A1978" t="inlineStr">
        <is>
          <t>2026-07</t>
        </is>
      </c>
      <c r="B1978" t="inlineStr">
        <is>
          <t>HOSP-1</t>
        </is>
      </c>
      <c r="C1978" t="inlineStr">
        <is>
          <t>SS-01113</t>
        </is>
      </c>
      <c r="D1978" t="n">
        <v>36</v>
      </c>
      <c r="E1978" t="n">
        <v>0</v>
      </c>
      <c r="G1978">
        <f>IF(AND(A1978&gt;=Inputs!$B$5,A1978&lt;=Inputs!$B$6),1,0)</f>
        <v/>
      </c>
    </row>
    <row r="1979">
      <c r="A1979" t="inlineStr">
        <is>
          <t>2026-07</t>
        </is>
      </c>
      <c r="B1979" t="inlineStr">
        <is>
          <t>HOSP-2</t>
        </is>
      </c>
      <c r="C1979" t="inlineStr">
        <is>
          <t>SS-01114</t>
        </is>
      </c>
      <c r="D1979" t="n">
        <v>36</v>
      </c>
      <c r="E1979" t="n">
        <v>0</v>
      </c>
      <c r="G1979">
        <f>IF(AND(A1979&gt;=Inputs!$B$5,A1979&lt;=Inputs!$B$6),1,0)</f>
        <v/>
      </c>
    </row>
    <row r="1980">
      <c r="A1980" t="inlineStr">
        <is>
          <t>2026-07</t>
        </is>
      </c>
      <c r="B1980" t="inlineStr">
        <is>
          <t>HOSP-3</t>
        </is>
      </c>
      <c r="C1980" t="inlineStr">
        <is>
          <t>SS-01115</t>
        </is>
      </c>
      <c r="D1980" t="n">
        <v>0</v>
      </c>
      <c r="E1980" t="n">
        <v>0</v>
      </c>
      <c r="G1980">
        <f>IF(AND(A1980&gt;=Inputs!$B$5,A1980&lt;=Inputs!$B$6),1,0)</f>
        <v/>
      </c>
    </row>
    <row r="1981">
      <c r="A1981" t="inlineStr">
        <is>
          <t>2026-07</t>
        </is>
      </c>
      <c r="B1981" t="inlineStr">
        <is>
          <t>HOSP-4</t>
        </is>
      </c>
      <c r="C1981" t="inlineStr">
        <is>
          <t>SS-01116</t>
        </is>
      </c>
      <c r="D1981" t="n">
        <v>19</v>
      </c>
      <c r="E1981" t="n">
        <v>0</v>
      </c>
      <c r="G1981">
        <f>IF(AND(A1981&gt;=Inputs!$B$5,A1981&lt;=Inputs!$B$6),1,0)</f>
        <v/>
      </c>
    </row>
    <row r="1982">
      <c r="A1982" t="inlineStr">
        <is>
          <t>2026-07</t>
        </is>
      </c>
      <c r="B1982" t="inlineStr">
        <is>
          <t>HOSP-1</t>
        </is>
      </c>
      <c r="C1982" t="inlineStr">
        <is>
          <t>SS-01117</t>
        </is>
      </c>
      <c r="D1982" t="n">
        <v>36</v>
      </c>
      <c r="E1982" t="n">
        <v>0</v>
      </c>
      <c r="G1982">
        <f>IF(AND(A1982&gt;=Inputs!$B$5,A1982&lt;=Inputs!$B$6),1,0)</f>
        <v/>
      </c>
    </row>
    <row r="1983">
      <c r="A1983" t="inlineStr">
        <is>
          <t>2026-07</t>
        </is>
      </c>
      <c r="B1983" t="inlineStr">
        <is>
          <t>HOSP-2</t>
        </is>
      </c>
      <c r="C1983" t="inlineStr">
        <is>
          <t>SS-01118</t>
        </is>
      </c>
      <c r="D1983" t="n">
        <v>300</v>
      </c>
      <c r="E1983" t="n">
        <v>0</v>
      </c>
      <c r="G1983">
        <f>IF(AND(A1983&gt;=Inputs!$B$5,A1983&lt;=Inputs!$B$6),1,0)</f>
        <v/>
      </c>
    </row>
    <row r="1984">
      <c r="A1984" t="inlineStr">
        <is>
          <t>2026-07</t>
        </is>
      </c>
      <c r="B1984" t="inlineStr">
        <is>
          <t>HOSP-3</t>
        </is>
      </c>
      <c r="C1984" t="inlineStr">
        <is>
          <t>SS-01119</t>
        </is>
      </c>
      <c r="D1984" t="n">
        <v>36</v>
      </c>
      <c r="E1984" t="n">
        <v>0</v>
      </c>
      <c r="G1984">
        <f>IF(AND(A1984&gt;=Inputs!$B$5,A1984&lt;=Inputs!$B$6),1,0)</f>
        <v/>
      </c>
    </row>
    <row r="1985">
      <c r="A1985" t="inlineStr">
        <is>
          <t>2026-07</t>
        </is>
      </c>
      <c r="B1985" t="inlineStr">
        <is>
          <t>HOSP-4</t>
        </is>
      </c>
      <c r="C1985" t="inlineStr">
        <is>
          <t>SS-01120</t>
        </is>
      </c>
      <c r="D1985" t="n">
        <v>12</v>
      </c>
      <c r="E1985" t="n">
        <v>0</v>
      </c>
      <c r="G1985">
        <f>IF(AND(A1985&gt;=Inputs!$B$5,A1985&lt;=Inputs!$B$6),1,0)</f>
        <v/>
      </c>
    </row>
    <row r="1986">
      <c r="A1986" t="inlineStr">
        <is>
          <t>2026-07</t>
        </is>
      </c>
      <c r="B1986" t="inlineStr">
        <is>
          <t>HOSP-1</t>
        </is>
      </c>
      <c r="C1986" t="inlineStr">
        <is>
          <t>SS-01121</t>
        </is>
      </c>
      <c r="D1986" t="n">
        <v>9</v>
      </c>
      <c r="E1986" t="n">
        <v>0</v>
      </c>
      <c r="G1986">
        <f>IF(AND(A1986&gt;=Inputs!$B$5,A1986&lt;=Inputs!$B$6),1,0)</f>
        <v/>
      </c>
    </row>
    <row r="1987">
      <c r="A1987" t="inlineStr">
        <is>
          <t>2026-07</t>
        </is>
      </c>
      <c r="B1987" t="inlineStr">
        <is>
          <t>HOSP-2</t>
        </is>
      </c>
      <c r="C1987" t="inlineStr">
        <is>
          <t>SS-01122</t>
        </is>
      </c>
      <c r="D1987" t="n">
        <v>36</v>
      </c>
      <c r="E1987" t="n">
        <v>0</v>
      </c>
      <c r="G1987">
        <f>IF(AND(A1987&gt;=Inputs!$B$5,A1987&lt;=Inputs!$B$6),1,0)</f>
        <v/>
      </c>
    </row>
    <row r="1988">
      <c r="A1988" t="inlineStr">
        <is>
          <t>2026-07</t>
        </is>
      </c>
      <c r="B1988" t="inlineStr">
        <is>
          <t>HOSP-3</t>
        </is>
      </c>
      <c r="C1988" t="inlineStr">
        <is>
          <t>SS-01123</t>
        </is>
      </c>
      <c r="D1988" t="n">
        <v>48</v>
      </c>
      <c r="E1988" t="n">
        <v>0</v>
      </c>
      <c r="G1988">
        <f>IF(AND(A1988&gt;=Inputs!$B$5,A1988&lt;=Inputs!$B$6),1,0)</f>
        <v/>
      </c>
    </row>
    <row r="1989">
      <c r="A1989" t="inlineStr">
        <is>
          <t>2026-07</t>
        </is>
      </c>
      <c r="B1989" t="inlineStr">
        <is>
          <t>HOSP-4</t>
        </is>
      </c>
      <c r="C1989" t="inlineStr">
        <is>
          <t>SS-01124</t>
        </is>
      </c>
      <c r="D1989" t="n">
        <v>12</v>
      </c>
      <c r="E1989" t="n">
        <v>0</v>
      </c>
      <c r="G1989">
        <f>IF(AND(A1989&gt;=Inputs!$B$5,A1989&lt;=Inputs!$B$6),1,0)</f>
        <v/>
      </c>
    </row>
    <row r="1990">
      <c r="A1990" t="inlineStr">
        <is>
          <t>2026-07</t>
        </is>
      </c>
      <c r="B1990" t="inlineStr">
        <is>
          <t>HOSP-1</t>
        </is>
      </c>
      <c r="C1990" t="inlineStr">
        <is>
          <t>SS-01125</t>
        </is>
      </c>
      <c r="D1990" t="n">
        <v>24</v>
      </c>
      <c r="E1990" t="n">
        <v>0</v>
      </c>
      <c r="G1990">
        <f>IF(AND(A1990&gt;=Inputs!$B$5,A1990&lt;=Inputs!$B$6),1,0)</f>
        <v/>
      </c>
    </row>
    <row r="1991">
      <c r="A1991" t="inlineStr">
        <is>
          <t>2026-07</t>
        </is>
      </c>
      <c r="B1991" t="inlineStr">
        <is>
          <t>HOSP-2</t>
        </is>
      </c>
      <c r="C1991" t="inlineStr">
        <is>
          <t>SS-01126</t>
        </is>
      </c>
      <c r="D1991" t="n">
        <v>24</v>
      </c>
      <c r="E1991" t="n">
        <v>0</v>
      </c>
      <c r="G1991">
        <f>IF(AND(A1991&gt;=Inputs!$B$5,A1991&lt;=Inputs!$B$6),1,0)</f>
        <v/>
      </c>
    </row>
    <row r="1992">
      <c r="A1992" t="inlineStr">
        <is>
          <t>2026-07</t>
        </is>
      </c>
      <c r="B1992" t="inlineStr">
        <is>
          <t>HOSP-3</t>
        </is>
      </c>
      <c r="C1992" t="inlineStr">
        <is>
          <t>SS-01127</t>
        </is>
      </c>
      <c r="D1992" t="n">
        <v>0</v>
      </c>
      <c r="E1992" t="n">
        <v>0</v>
      </c>
      <c r="G1992">
        <f>IF(AND(A1992&gt;=Inputs!$B$5,A1992&lt;=Inputs!$B$6),1,0)</f>
        <v/>
      </c>
    </row>
    <row r="1993">
      <c r="A1993" t="inlineStr">
        <is>
          <t>2026-07</t>
        </is>
      </c>
      <c r="B1993" t="inlineStr">
        <is>
          <t>HOSP-4</t>
        </is>
      </c>
      <c r="C1993" t="inlineStr">
        <is>
          <t>SS-01128</t>
        </is>
      </c>
      <c r="D1993" t="n">
        <v>48</v>
      </c>
      <c r="E1993" t="n">
        <v>0</v>
      </c>
      <c r="G1993">
        <f>IF(AND(A1993&gt;=Inputs!$B$5,A1993&lt;=Inputs!$B$6),1,0)</f>
        <v/>
      </c>
    </row>
    <row r="1994">
      <c r="A1994" t="inlineStr">
        <is>
          <t>2026-07</t>
        </is>
      </c>
      <c r="B1994" t="inlineStr">
        <is>
          <t>HOSP-1</t>
        </is>
      </c>
      <c r="C1994" t="inlineStr">
        <is>
          <t>SS-01129</t>
        </is>
      </c>
      <c r="D1994" t="n">
        <v>0</v>
      </c>
      <c r="E1994" t="n">
        <v>0</v>
      </c>
      <c r="G1994">
        <f>IF(AND(A1994&gt;=Inputs!$B$5,A1994&lt;=Inputs!$B$6),1,0)</f>
        <v/>
      </c>
    </row>
    <row r="1995">
      <c r="A1995" t="inlineStr">
        <is>
          <t>2026-07</t>
        </is>
      </c>
      <c r="B1995" t="inlineStr">
        <is>
          <t>HOSP-2</t>
        </is>
      </c>
      <c r="C1995" t="inlineStr">
        <is>
          <t>SS-01130</t>
        </is>
      </c>
      <c r="D1995" t="n">
        <v>0</v>
      </c>
      <c r="E1995" t="n">
        <v>0</v>
      </c>
      <c r="G1995">
        <f>IF(AND(A1995&gt;=Inputs!$B$5,A1995&lt;=Inputs!$B$6),1,0)</f>
        <v/>
      </c>
    </row>
    <row r="1996">
      <c r="A1996" t="inlineStr">
        <is>
          <t>2026-07</t>
        </is>
      </c>
      <c r="B1996" t="inlineStr">
        <is>
          <t>HOSP-3</t>
        </is>
      </c>
      <c r="C1996" t="inlineStr">
        <is>
          <t>SS-01131</t>
        </is>
      </c>
      <c r="D1996" t="n">
        <v>0</v>
      </c>
      <c r="E1996" t="n">
        <v>0</v>
      </c>
      <c r="G1996">
        <f>IF(AND(A1996&gt;=Inputs!$B$5,A1996&lt;=Inputs!$B$6),1,0)</f>
        <v/>
      </c>
    </row>
    <row r="1997">
      <c r="A1997" t="inlineStr">
        <is>
          <t>2026-07</t>
        </is>
      </c>
      <c r="B1997" t="inlineStr">
        <is>
          <t>HOSP-4</t>
        </is>
      </c>
      <c r="C1997" t="inlineStr">
        <is>
          <t>SS-01132</t>
        </is>
      </c>
      <c r="D1997" t="n">
        <v>0</v>
      </c>
      <c r="E1997" t="n">
        <v>2</v>
      </c>
      <c r="G1997">
        <f>IF(AND(A1997&gt;=Inputs!$B$5,A1997&lt;=Inputs!$B$6),1,0)</f>
        <v/>
      </c>
    </row>
    <row r="1998">
      <c r="A1998" t="inlineStr">
        <is>
          <t>2026-07</t>
        </is>
      </c>
      <c r="B1998" t="inlineStr">
        <is>
          <t>HOSP-1</t>
        </is>
      </c>
      <c r="C1998" t="inlineStr">
        <is>
          <t>SS-01133</t>
        </is>
      </c>
      <c r="D1998" t="n">
        <v>24</v>
      </c>
      <c r="E1998" t="n">
        <v>0</v>
      </c>
      <c r="G1998">
        <f>IF(AND(A1998&gt;=Inputs!$B$5,A1998&lt;=Inputs!$B$6),1,0)</f>
        <v/>
      </c>
    </row>
    <row r="1999">
      <c r="A1999" t="inlineStr">
        <is>
          <t>2026-07</t>
        </is>
      </c>
      <c r="B1999" t="inlineStr">
        <is>
          <t>HOSP-2</t>
        </is>
      </c>
      <c r="C1999" t="inlineStr">
        <is>
          <t>SS-01134</t>
        </is>
      </c>
      <c r="D1999" t="n">
        <v>106</v>
      </c>
      <c r="E1999" t="n">
        <v>0</v>
      </c>
      <c r="G1999">
        <f>IF(AND(A1999&gt;=Inputs!$B$5,A1999&lt;=Inputs!$B$6),1,0)</f>
        <v/>
      </c>
    </row>
    <row r="2000">
      <c r="A2000" t="inlineStr">
        <is>
          <t>2026-07</t>
        </is>
      </c>
      <c r="B2000" t="inlineStr">
        <is>
          <t>HOSP-3</t>
        </is>
      </c>
      <c r="C2000" t="inlineStr">
        <is>
          <t>SS-01135</t>
        </is>
      </c>
      <c r="D2000" t="n">
        <v>24</v>
      </c>
      <c r="E2000" t="n">
        <v>0</v>
      </c>
      <c r="G2000">
        <f>IF(AND(A2000&gt;=Inputs!$B$5,A2000&lt;=Inputs!$B$6),1,0)</f>
        <v/>
      </c>
    </row>
    <row r="2001">
      <c r="A2001" t="inlineStr">
        <is>
          <t>2026-07</t>
        </is>
      </c>
      <c r="B2001" t="inlineStr">
        <is>
          <t>HOSP-4</t>
        </is>
      </c>
      <c r="C2001" t="inlineStr">
        <is>
          <t>SS-01136</t>
        </is>
      </c>
      <c r="D2001" t="n">
        <v>0</v>
      </c>
      <c r="E2001" t="n">
        <v>0</v>
      </c>
      <c r="G2001">
        <f>IF(AND(A2001&gt;=Inputs!$B$5,A2001&lt;=Inputs!$B$6),1,0)</f>
        <v/>
      </c>
    </row>
    <row r="2002">
      <c r="A2002" t="inlineStr">
        <is>
          <t>2026-07</t>
        </is>
      </c>
      <c r="B2002" t="inlineStr">
        <is>
          <t>HOSP-1</t>
        </is>
      </c>
      <c r="C2002" t="inlineStr">
        <is>
          <t>SS-01137</t>
        </is>
      </c>
      <c r="D2002" t="n">
        <v>0</v>
      </c>
      <c r="E2002" t="n">
        <v>0</v>
      </c>
      <c r="G2002">
        <f>IF(AND(A2002&gt;=Inputs!$B$5,A2002&lt;=Inputs!$B$6),1,0)</f>
        <v/>
      </c>
    </row>
    <row r="2003">
      <c r="A2003" t="inlineStr">
        <is>
          <t>2026-07</t>
        </is>
      </c>
      <c r="B2003" t="inlineStr">
        <is>
          <t>HOSP-2</t>
        </is>
      </c>
      <c r="C2003" t="inlineStr">
        <is>
          <t>SS-01138</t>
        </is>
      </c>
      <c r="D2003" t="n">
        <v>0</v>
      </c>
      <c r="E2003" t="n">
        <v>0</v>
      </c>
      <c r="G2003">
        <f>IF(AND(A2003&gt;=Inputs!$B$5,A2003&lt;=Inputs!$B$6),1,0)</f>
        <v/>
      </c>
    </row>
    <row r="2004">
      <c r="A2004" t="inlineStr">
        <is>
          <t>2026-07</t>
        </is>
      </c>
      <c r="B2004" t="inlineStr">
        <is>
          <t>HOSP-3</t>
        </is>
      </c>
      <c r="C2004" t="inlineStr">
        <is>
          <t>SS-01139</t>
        </is>
      </c>
      <c r="D2004" t="n">
        <v>12</v>
      </c>
      <c r="E2004" t="n">
        <v>0</v>
      </c>
      <c r="G2004">
        <f>IF(AND(A2004&gt;=Inputs!$B$5,A2004&lt;=Inputs!$B$6),1,0)</f>
        <v/>
      </c>
    </row>
    <row r="2005">
      <c r="A2005" t="inlineStr">
        <is>
          <t>2026-07</t>
        </is>
      </c>
      <c r="B2005" t="inlineStr">
        <is>
          <t>HOSP-4</t>
        </is>
      </c>
      <c r="C2005" t="inlineStr">
        <is>
          <t>SS-01140</t>
        </is>
      </c>
      <c r="D2005" t="n">
        <v>72</v>
      </c>
      <c r="E2005" t="n">
        <v>0</v>
      </c>
      <c r="G2005">
        <f>IF(AND(A2005&gt;=Inputs!$B$5,A2005&lt;=Inputs!$B$6),1,0)</f>
        <v/>
      </c>
    </row>
    <row r="2006">
      <c r="A2006" t="inlineStr">
        <is>
          <t>2026-07</t>
        </is>
      </c>
      <c r="B2006" t="inlineStr">
        <is>
          <t>HOSP-1</t>
        </is>
      </c>
      <c r="C2006" t="inlineStr">
        <is>
          <t>SS-01141</t>
        </is>
      </c>
      <c r="D2006" t="n">
        <v>12</v>
      </c>
      <c r="E2006" t="n">
        <v>0</v>
      </c>
      <c r="G2006">
        <f>IF(AND(A2006&gt;=Inputs!$B$5,A2006&lt;=Inputs!$B$6),1,0)</f>
        <v/>
      </c>
    </row>
    <row r="2007">
      <c r="A2007" t="inlineStr">
        <is>
          <t>2026-07</t>
        </is>
      </c>
      <c r="B2007" t="inlineStr">
        <is>
          <t>HOSP-2</t>
        </is>
      </c>
      <c r="C2007" t="inlineStr">
        <is>
          <t>SS-01142</t>
        </is>
      </c>
      <c r="D2007" t="n">
        <v>48</v>
      </c>
      <c r="E2007" t="n">
        <v>0</v>
      </c>
      <c r="G2007">
        <f>IF(AND(A2007&gt;=Inputs!$B$5,A2007&lt;=Inputs!$B$6),1,0)</f>
        <v/>
      </c>
    </row>
    <row r="2008">
      <c r="A2008" t="inlineStr">
        <is>
          <t>2026-07</t>
        </is>
      </c>
      <c r="B2008" t="inlineStr">
        <is>
          <t>HOSP-3</t>
        </is>
      </c>
      <c r="C2008" t="inlineStr">
        <is>
          <t>SS-01143</t>
        </is>
      </c>
      <c r="D2008" t="n">
        <v>0</v>
      </c>
      <c r="E2008" t="n">
        <v>0</v>
      </c>
      <c r="G2008">
        <f>IF(AND(A2008&gt;=Inputs!$B$5,A2008&lt;=Inputs!$B$6),1,0)</f>
        <v/>
      </c>
    </row>
    <row r="2009">
      <c r="A2009" t="inlineStr">
        <is>
          <t>2026-07</t>
        </is>
      </c>
      <c r="B2009" t="inlineStr">
        <is>
          <t>HOSP-4</t>
        </is>
      </c>
      <c r="C2009" t="inlineStr">
        <is>
          <t>SS-01144</t>
        </is>
      </c>
      <c r="D2009" t="n">
        <v>0</v>
      </c>
      <c r="E2009" t="n">
        <v>0</v>
      </c>
      <c r="G2009">
        <f>IF(AND(A2009&gt;=Inputs!$B$5,A2009&lt;=Inputs!$B$6),1,0)</f>
        <v/>
      </c>
    </row>
    <row r="2010">
      <c r="A2010" t="inlineStr">
        <is>
          <t>2026-07</t>
        </is>
      </c>
      <c r="B2010" t="inlineStr">
        <is>
          <t>HOSP-1</t>
        </is>
      </c>
      <c r="C2010" t="inlineStr">
        <is>
          <t>SS-01145</t>
        </is>
      </c>
      <c r="D2010" t="n">
        <v>26</v>
      </c>
      <c r="E2010" t="n">
        <v>0</v>
      </c>
      <c r="G2010">
        <f>IF(AND(A2010&gt;=Inputs!$B$5,A2010&lt;=Inputs!$B$6),1,0)</f>
        <v/>
      </c>
    </row>
    <row r="2011">
      <c r="A2011" t="inlineStr">
        <is>
          <t>2026-07</t>
        </is>
      </c>
      <c r="B2011" t="inlineStr">
        <is>
          <t>HOSP-2</t>
        </is>
      </c>
      <c r="C2011" t="inlineStr">
        <is>
          <t>SS-01146</t>
        </is>
      </c>
      <c r="D2011" t="n">
        <v>12</v>
      </c>
      <c r="E2011" t="n">
        <v>0</v>
      </c>
      <c r="G2011">
        <f>IF(AND(A2011&gt;=Inputs!$B$5,A2011&lt;=Inputs!$B$6),1,0)</f>
        <v/>
      </c>
    </row>
    <row r="2012">
      <c r="A2012" t="inlineStr">
        <is>
          <t>2026-07</t>
        </is>
      </c>
      <c r="B2012" t="inlineStr">
        <is>
          <t>HOSP-3</t>
        </is>
      </c>
      <c r="C2012" t="inlineStr">
        <is>
          <t>SS-01147</t>
        </is>
      </c>
      <c r="D2012" t="n">
        <v>48</v>
      </c>
      <c r="E2012" t="n">
        <v>0</v>
      </c>
      <c r="G2012">
        <f>IF(AND(A2012&gt;=Inputs!$B$5,A2012&lt;=Inputs!$B$6),1,0)</f>
        <v/>
      </c>
    </row>
    <row r="2013">
      <c r="A2013" t="inlineStr">
        <is>
          <t>2026-07</t>
        </is>
      </c>
      <c r="B2013" t="inlineStr">
        <is>
          <t>HOSP-4</t>
        </is>
      </c>
      <c r="C2013" t="inlineStr">
        <is>
          <t>SS-01148</t>
        </is>
      </c>
      <c r="D2013" t="n">
        <v>12</v>
      </c>
      <c r="E2013" t="n">
        <v>0</v>
      </c>
      <c r="G2013">
        <f>IF(AND(A2013&gt;=Inputs!$B$5,A2013&lt;=Inputs!$B$6),1,0)</f>
        <v/>
      </c>
    </row>
    <row r="2014">
      <c r="A2014" t="inlineStr">
        <is>
          <t>2026-07</t>
        </is>
      </c>
      <c r="B2014" t="inlineStr">
        <is>
          <t>HOSP-1</t>
        </is>
      </c>
      <c r="C2014" t="inlineStr">
        <is>
          <t>SS-01149</t>
        </is>
      </c>
      <c r="D2014" t="n">
        <v>36</v>
      </c>
      <c r="E2014" t="n">
        <v>0</v>
      </c>
      <c r="G2014">
        <f>IF(AND(A2014&gt;=Inputs!$B$5,A2014&lt;=Inputs!$B$6),1,0)</f>
        <v/>
      </c>
    </row>
    <row r="2015">
      <c r="A2015" t="inlineStr">
        <is>
          <t>2026-07</t>
        </is>
      </c>
      <c r="B2015" t="inlineStr">
        <is>
          <t>HOSP-2</t>
        </is>
      </c>
      <c r="C2015" t="inlineStr">
        <is>
          <t>SS-01194</t>
        </is>
      </c>
      <c r="D2015" t="n">
        <v>0</v>
      </c>
      <c r="E2015" t="n">
        <v>0</v>
      </c>
      <c r="G2015">
        <f>IF(AND(A2015&gt;=Inputs!$B$5,A2015&lt;=Inputs!$B$6),1,0)</f>
        <v/>
      </c>
    </row>
    <row r="2016">
      <c r="A2016" t="inlineStr">
        <is>
          <t>2026-07</t>
        </is>
      </c>
      <c r="B2016" t="inlineStr">
        <is>
          <t>HOSP-3</t>
        </is>
      </c>
      <c r="C2016" t="inlineStr">
        <is>
          <t>SS-01151</t>
        </is>
      </c>
      <c r="D2016" t="n">
        <v>0</v>
      </c>
      <c r="E2016" t="n">
        <v>0</v>
      </c>
      <c r="G2016">
        <f>IF(AND(A2016&gt;=Inputs!$B$5,A2016&lt;=Inputs!$B$6),1,0)</f>
        <v/>
      </c>
    </row>
    <row r="2017">
      <c r="A2017" t="inlineStr">
        <is>
          <t>2026-07</t>
        </is>
      </c>
      <c r="B2017" t="inlineStr">
        <is>
          <t>HOSP-4</t>
        </is>
      </c>
      <c r="C2017" t="inlineStr">
        <is>
          <t>SS-01152</t>
        </is>
      </c>
      <c r="D2017" t="n">
        <v>0</v>
      </c>
      <c r="E2017" t="n">
        <v>0</v>
      </c>
      <c r="G2017">
        <f>IF(AND(A2017&gt;=Inputs!$B$5,A2017&lt;=Inputs!$B$6),1,0)</f>
        <v/>
      </c>
    </row>
    <row r="2018">
      <c r="A2018" t="inlineStr">
        <is>
          <t>2026-07</t>
        </is>
      </c>
      <c r="B2018" t="inlineStr">
        <is>
          <t>HOSP-1</t>
        </is>
      </c>
      <c r="C2018" t="inlineStr">
        <is>
          <t>SS-01153</t>
        </is>
      </c>
      <c r="D2018" t="n">
        <v>12</v>
      </c>
      <c r="E2018" t="n">
        <v>0</v>
      </c>
      <c r="G2018">
        <f>IF(AND(A2018&gt;=Inputs!$B$5,A2018&lt;=Inputs!$B$6),1,0)</f>
        <v/>
      </c>
    </row>
    <row r="2019">
      <c r="A2019" t="inlineStr">
        <is>
          <t>2026-07</t>
        </is>
      </c>
      <c r="B2019" t="inlineStr">
        <is>
          <t>HOSP-2</t>
        </is>
      </c>
      <c r="C2019" t="inlineStr">
        <is>
          <t>SS-01154</t>
        </is>
      </c>
      <c r="D2019" t="n">
        <v>252</v>
      </c>
      <c r="E2019" t="n">
        <v>0</v>
      </c>
      <c r="G2019">
        <f>IF(AND(A2019&gt;=Inputs!$B$5,A2019&lt;=Inputs!$B$6),1,0)</f>
        <v/>
      </c>
    </row>
    <row r="2020">
      <c r="A2020" t="inlineStr">
        <is>
          <t>2026-07</t>
        </is>
      </c>
      <c r="B2020" t="inlineStr">
        <is>
          <t>HOSP-3</t>
        </is>
      </c>
      <c r="C2020" t="inlineStr">
        <is>
          <t>SS-01155</t>
        </is>
      </c>
      <c r="D2020" t="n">
        <v>12</v>
      </c>
      <c r="E2020" t="n">
        <v>0</v>
      </c>
      <c r="G2020">
        <f>IF(AND(A2020&gt;=Inputs!$B$5,A2020&lt;=Inputs!$B$6),1,0)</f>
        <v/>
      </c>
    </row>
    <row r="2021">
      <c r="A2021" t="inlineStr">
        <is>
          <t>2026-07</t>
        </is>
      </c>
      <c r="B2021" t="inlineStr">
        <is>
          <t>HOSP-4</t>
        </is>
      </c>
      <c r="C2021" t="inlineStr">
        <is>
          <t>SS-01156</t>
        </is>
      </c>
      <c r="D2021" t="n">
        <v>7</v>
      </c>
      <c r="E2021" t="n">
        <v>2</v>
      </c>
      <c r="G2021">
        <f>IF(AND(A2021&gt;=Inputs!$B$5,A2021&lt;=Inputs!$B$6),1,0)</f>
        <v/>
      </c>
    </row>
    <row r="2022">
      <c r="A2022" t="inlineStr">
        <is>
          <t>2026-07</t>
        </is>
      </c>
      <c r="B2022" t="inlineStr">
        <is>
          <t>HOSP-1</t>
        </is>
      </c>
      <c r="C2022" t="inlineStr">
        <is>
          <t>SS-01157</t>
        </is>
      </c>
      <c r="D2022" t="n">
        <v>48</v>
      </c>
      <c r="E2022" t="n">
        <v>0</v>
      </c>
      <c r="G2022">
        <f>IF(AND(A2022&gt;=Inputs!$B$5,A2022&lt;=Inputs!$B$6),1,0)</f>
        <v/>
      </c>
    </row>
    <row r="2023">
      <c r="A2023" t="inlineStr">
        <is>
          <t>2026-07</t>
        </is>
      </c>
      <c r="B2023" t="inlineStr">
        <is>
          <t>HOSP-2</t>
        </is>
      </c>
      <c r="C2023" t="inlineStr">
        <is>
          <t>SS-01158</t>
        </is>
      </c>
      <c r="D2023" t="n">
        <v>12</v>
      </c>
      <c r="E2023" t="n">
        <v>0</v>
      </c>
      <c r="G2023">
        <f>IF(AND(A2023&gt;=Inputs!$B$5,A2023&lt;=Inputs!$B$6),1,0)</f>
        <v/>
      </c>
    </row>
    <row r="2024">
      <c r="A2024" t="inlineStr">
        <is>
          <t>2026-07</t>
        </is>
      </c>
      <c r="B2024" t="inlineStr">
        <is>
          <t>HOSP-3</t>
        </is>
      </c>
      <c r="C2024" t="inlineStr">
        <is>
          <t>SS-01159</t>
        </is>
      </c>
      <c r="D2024" t="n">
        <v>10</v>
      </c>
      <c r="E2024" t="n">
        <v>0</v>
      </c>
      <c r="G2024">
        <f>IF(AND(A2024&gt;=Inputs!$B$5,A2024&lt;=Inputs!$B$6),1,0)</f>
        <v/>
      </c>
    </row>
    <row r="2025">
      <c r="A2025" t="inlineStr">
        <is>
          <t>2026-07</t>
        </is>
      </c>
      <c r="B2025" t="inlineStr">
        <is>
          <t>HOSP-4</t>
        </is>
      </c>
      <c r="C2025" t="inlineStr">
        <is>
          <t>SS-01160</t>
        </is>
      </c>
      <c r="D2025" t="n">
        <v>48</v>
      </c>
      <c r="E2025" t="n">
        <v>0</v>
      </c>
      <c r="G2025">
        <f>IF(AND(A2025&gt;=Inputs!$B$5,A2025&lt;=Inputs!$B$6),1,0)</f>
        <v/>
      </c>
    </row>
    <row r="2026">
      <c r="A2026" t="inlineStr">
        <is>
          <t>2026-07</t>
        </is>
      </c>
      <c r="B2026" t="inlineStr">
        <is>
          <t>HOSP-1</t>
        </is>
      </c>
      <c r="C2026" t="inlineStr">
        <is>
          <t>SS-01167</t>
        </is>
      </c>
      <c r="D2026" t="n">
        <v>17</v>
      </c>
      <c r="E2026" t="n">
        <v>7</v>
      </c>
      <c r="G2026">
        <f>IF(AND(A2026&gt;=Inputs!$B$5,A2026&lt;=Inputs!$B$6),1,0)</f>
        <v/>
      </c>
    </row>
    <row r="2027">
      <c r="A2027" t="inlineStr">
        <is>
          <t>2026-07</t>
        </is>
      </c>
      <c r="B2027" t="inlineStr">
        <is>
          <t>HOSP-2</t>
        </is>
      </c>
      <c r="C2027" t="inlineStr">
        <is>
          <t>SS-01162</t>
        </is>
      </c>
      <c r="D2027" t="n">
        <v>12</v>
      </c>
      <c r="E2027" t="n">
        <v>0</v>
      </c>
      <c r="G2027">
        <f>IF(AND(A2027&gt;=Inputs!$B$5,A2027&lt;=Inputs!$B$6),1,0)</f>
        <v/>
      </c>
    </row>
    <row r="2028">
      <c r="A2028" t="inlineStr">
        <is>
          <t>2026-07</t>
        </is>
      </c>
      <c r="B2028" t="inlineStr">
        <is>
          <t>HOSP-3</t>
        </is>
      </c>
      <c r="C2028" t="inlineStr">
        <is>
          <t>SS-01163</t>
        </is>
      </c>
      <c r="D2028" t="n">
        <v>24</v>
      </c>
      <c r="E2028" t="n">
        <v>0</v>
      </c>
      <c r="G2028">
        <f>IF(AND(A2028&gt;=Inputs!$B$5,A2028&lt;=Inputs!$B$6),1,0)</f>
        <v/>
      </c>
    </row>
    <row r="2029">
      <c r="A2029" t="inlineStr">
        <is>
          <t>2026-07</t>
        </is>
      </c>
      <c r="B2029" t="inlineStr">
        <is>
          <t>HOSP-4</t>
        </is>
      </c>
      <c r="C2029" t="inlineStr">
        <is>
          <t>SS-01164</t>
        </is>
      </c>
      <c r="D2029" t="n">
        <v>24</v>
      </c>
      <c r="E2029" t="n">
        <v>0</v>
      </c>
      <c r="G2029">
        <f>IF(AND(A2029&gt;=Inputs!$B$5,A2029&lt;=Inputs!$B$6),1,0)</f>
        <v/>
      </c>
    </row>
    <row r="2030">
      <c r="A2030" t="inlineStr">
        <is>
          <t>2026-07</t>
        </is>
      </c>
      <c r="B2030" t="inlineStr">
        <is>
          <t>HOSP-1</t>
        </is>
      </c>
      <c r="C2030" t="inlineStr">
        <is>
          <t>SS-01165</t>
        </is>
      </c>
      <c r="D2030" t="n">
        <v>0</v>
      </c>
      <c r="E2030" t="n">
        <v>0</v>
      </c>
      <c r="G2030">
        <f>IF(AND(A2030&gt;=Inputs!$B$5,A2030&lt;=Inputs!$B$6),1,0)</f>
        <v/>
      </c>
    </row>
    <row r="2031">
      <c r="A2031" t="inlineStr">
        <is>
          <t>2026-07</t>
        </is>
      </c>
      <c r="B2031" t="inlineStr">
        <is>
          <t>HOSP-2</t>
        </is>
      </c>
      <c r="C2031" t="inlineStr">
        <is>
          <t>SS-01166</t>
        </is>
      </c>
      <c r="D2031" t="n">
        <v>0</v>
      </c>
      <c r="E2031" t="n">
        <v>0</v>
      </c>
      <c r="G2031">
        <f>IF(AND(A2031&gt;=Inputs!$B$5,A2031&lt;=Inputs!$B$6),1,0)</f>
        <v/>
      </c>
    </row>
    <row r="2032">
      <c r="A2032" t="inlineStr">
        <is>
          <t>2026-07</t>
        </is>
      </c>
      <c r="B2032" t="inlineStr">
        <is>
          <t>HOSP-3</t>
        </is>
      </c>
      <c r="C2032" t="inlineStr">
        <is>
          <t>SS-01167</t>
        </is>
      </c>
      <c r="D2032" t="n">
        <v>0</v>
      </c>
      <c r="E2032" t="n">
        <v>0</v>
      </c>
      <c r="G2032">
        <f>IF(AND(A2032&gt;=Inputs!$B$5,A2032&lt;=Inputs!$B$6),1,0)</f>
        <v/>
      </c>
    </row>
    <row r="2033">
      <c r="A2033" t="inlineStr">
        <is>
          <t>2026-07</t>
        </is>
      </c>
      <c r="B2033" t="inlineStr">
        <is>
          <t>HOSP-4</t>
        </is>
      </c>
      <c r="C2033" t="inlineStr">
        <is>
          <t>SS-01168</t>
        </is>
      </c>
      <c r="D2033" t="n">
        <v>0</v>
      </c>
      <c r="E2033" t="n">
        <v>0</v>
      </c>
      <c r="G2033">
        <f>IF(AND(A2033&gt;=Inputs!$B$5,A2033&lt;=Inputs!$B$6),1,0)</f>
        <v/>
      </c>
    </row>
    <row r="2034">
      <c r="A2034" t="inlineStr">
        <is>
          <t>2026-07</t>
        </is>
      </c>
      <c r="B2034" t="inlineStr">
        <is>
          <t>HOSP-1</t>
        </is>
      </c>
      <c r="C2034" t="inlineStr">
        <is>
          <t>SS-01169</t>
        </is>
      </c>
      <c r="D2034" t="n">
        <v>96</v>
      </c>
      <c r="E2034" t="n">
        <v>0</v>
      </c>
      <c r="G2034">
        <f>IF(AND(A2034&gt;=Inputs!$B$5,A2034&lt;=Inputs!$B$6),1,0)</f>
        <v/>
      </c>
    </row>
    <row r="2035">
      <c r="A2035" t="inlineStr">
        <is>
          <t>2026-07</t>
        </is>
      </c>
      <c r="B2035" t="inlineStr">
        <is>
          <t>HOSP-2</t>
        </is>
      </c>
      <c r="C2035" t="inlineStr">
        <is>
          <t>SS-01170</t>
        </is>
      </c>
      <c r="D2035" t="n">
        <v>0</v>
      </c>
      <c r="E2035" t="n">
        <v>0</v>
      </c>
      <c r="G2035">
        <f>IF(AND(A2035&gt;=Inputs!$B$5,A2035&lt;=Inputs!$B$6),1,0)</f>
        <v/>
      </c>
    </row>
    <row r="2036">
      <c r="A2036" t="inlineStr">
        <is>
          <t>2026-07</t>
        </is>
      </c>
      <c r="B2036" t="inlineStr">
        <is>
          <t>HOSP-3</t>
        </is>
      </c>
      <c r="C2036" t="inlineStr">
        <is>
          <t>SS-01171</t>
        </is>
      </c>
      <c r="D2036" t="n">
        <v>12</v>
      </c>
      <c r="E2036" t="n">
        <v>0</v>
      </c>
      <c r="G2036">
        <f>IF(AND(A2036&gt;=Inputs!$B$5,A2036&lt;=Inputs!$B$6),1,0)</f>
        <v/>
      </c>
    </row>
    <row r="2037">
      <c r="A2037" t="inlineStr">
        <is>
          <t>2026-07</t>
        </is>
      </c>
      <c r="B2037" t="inlineStr">
        <is>
          <t>HOSP-4</t>
        </is>
      </c>
      <c r="C2037" t="inlineStr">
        <is>
          <t>SS-01172</t>
        </is>
      </c>
      <c r="D2037" t="n">
        <v>48</v>
      </c>
      <c r="E2037" t="n">
        <v>0</v>
      </c>
      <c r="G2037">
        <f>IF(AND(A2037&gt;=Inputs!$B$5,A2037&lt;=Inputs!$B$6),1,0)</f>
        <v/>
      </c>
    </row>
    <row r="2038">
      <c r="A2038" t="inlineStr">
        <is>
          <t>2026-07</t>
        </is>
      </c>
      <c r="B2038" t="inlineStr">
        <is>
          <t>HOSP-1</t>
        </is>
      </c>
      <c r="C2038" t="inlineStr">
        <is>
          <t>SS-01173</t>
        </is>
      </c>
      <c r="D2038" t="n">
        <v>24</v>
      </c>
      <c r="E2038" t="n">
        <v>0</v>
      </c>
      <c r="G2038">
        <f>IF(AND(A2038&gt;=Inputs!$B$5,A2038&lt;=Inputs!$B$6),1,0)</f>
        <v/>
      </c>
    </row>
    <row r="2039">
      <c r="A2039" t="inlineStr">
        <is>
          <t>2026-07</t>
        </is>
      </c>
      <c r="B2039" t="inlineStr">
        <is>
          <t>HOSP-2</t>
        </is>
      </c>
      <c r="C2039" t="inlineStr">
        <is>
          <t>SS-01174</t>
        </is>
      </c>
      <c r="D2039" t="n">
        <v>132</v>
      </c>
      <c r="E2039" t="n">
        <v>0</v>
      </c>
      <c r="G2039">
        <f>IF(AND(A2039&gt;=Inputs!$B$5,A2039&lt;=Inputs!$B$6),1,0)</f>
        <v/>
      </c>
    </row>
    <row r="2040">
      <c r="A2040" t="inlineStr">
        <is>
          <t>2026-07</t>
        </is>
      </c>
      <c r="B2040" t="inlineStr">
        <is>
          <t>HOSP-3</t>
        </is>
      </c>
      <c r="C2040" t="inlineStr">
        <is>
          <t>SS-01175</t>
        </is>
      </c>
      <c r="D2040" t="n">
        <v>72</v>
      </c>
      <c r="E2040" t="n">
        <v>0</v>
      </c>
      <c r="G2040">
        <f>IF(AND(A2040&gt;=Inputs!$B$5,A2040&lt;=Inputs!$B$6),1,0)</f>
        <v/>
      </c>
    </row>
    <row r="2041">
      <c r="A2041" t="inlineStr">
        <is>
          <t>2026-07</t>
        </is>
      </c>
      <c r="B2041" t="inlineStr">
        <is>
          <t>HOSP-4</t>
        </is>
      </c>
      <c r="C2041" t="inlineStr">
        <is>
          <t>SS-01176</t>
        </is>
      </c>
      <c r="D2041" t="n">
        <v>12</v>
      </c>
      <c r="E2041" t="n">
        <v>0</v>
      </c>
      <c r="G2041">
        <f>IF(AND(A2041&gt;=Inputs!$B$5,A2041&lt;=Inputs!$B$6),1,0)</f>
        <v/>
      </c>
    </row>
    <row r="2042">
      <c r="A2042" t="inlineStr">
        <is>
          <t>2026-07</t>
        </is>
      </c>
      <c r="B2042" t="inlineStr">
        <is>
          <t>HOSP-1</t>
        </is>
      </c>
      <c r="C2042" t="inlineStr">
        <is>
          <t>SS-01177</t>
        </is>
      </c>
      <c r="D2042" t="n">
        <v>24</v>
      </c>
      <c r="E2042" t="n">
        <v>0</v>
      </c>
      <c r="G2042">
        <f>IF(AND(A2042&gt;=Inputs!$B$5,A2042&lt;=Inputs!$B$6),1,0)</f>
        <v/>
      </c>
    </row>
    <row r="2043">
      <c r="A2043" t="inlineStr">
        <is>
          <t>2026-07</t>
        </is>
      </c>
      <c r="B2043" t="inlineStr">
        <is>
          <t>HOSP-2</t>
        </is>
      </c>
      <c r="C2043" t="inlineStr">
        <is>
          <t>SS-01178</t>
        </is>
      </c>
      <c r="D2043" t="n">
        <v>12</v>
      </c>
      <c r="E2043" t="n">
        <v>0</v>
      </c>
      <c r="G2043">
        <f>IF(AND(A2043&gt;=Inputs!$B$5,A2043&lt;=Inputs!$B$6),1,0)</f>
        <v/>
      </c>
    </row>
    <row r="2044">
      <c r="A2044" t="inlineStr">
        <is>
          <t>2026-07</t>
        </is>
      </c>
      <c r="B2044" t="inlineStr">
        <is>
          <t>HOSP-3</t>
        </is>
      </c>
      <c r="C2044" t="inlineStr">
        <is>
          <t>SS-01179</t>
        </is>
      </c>
      <c r="D2044" t="n">
        <v>12</v>
      </c>
      <c r="E2044" t="n">
        <v>0</v>
      </c>
      <c r="G2044">
        <f>IF(AND(A2044&gt;=Inputs!$B$5,A2044&lt;=Inputs!$B$6),1,0)</f>
        <v/>
      </c>
    </row>
    <row r="2045">
      <c r="A2045" t="inlineStr">
        <is>
          <t>2026-07</t>
        </is>
      </c>
      <c r="B2045" t="inlineStr">
        <is>
          <t>HOSP-4</t>
        </is>
      </c>
      <c r="C2045" t="inlineStr">
        <is>
          <t>SS-01180</t>
        </is>
      </c>
      <c r="D2045" t="n">
        <v>48</v>
      </c>
      <c r="E2045" t="n">
        <v>0</v>
      </c>
      <c r="G2045">
        <f>IF(AND(A2045&gt;=Inputs!$B$5,A2045&lt;=Inputs!$B$6),1,0)</f>
        <v/>
      </c>
    </row>
    <row r="2046">
      <c r="A2046" t="inlineStr">
        <is>
          <t>2026-07</t>
        </is>
      </c>
      <c r="B2046" t="inlineStr">
        <is>
          <t>HOSP-1</t>
        </is>
      </c>
      <c r="C2046" t="inlineStr">
        <is>
          <t>SS-01181</t>
        </is>
      </c>
      <c r="D2046" t="n">
        <v>24</v>
      </c>
      <c r="E2046" t="n">
        <v>0</v>
      </c>
      <c r="G2046">
        <f>IF(AND(A2046&gt;=Inputs!$B$5,A2046&lt;=Inputs!$B$6),1,0)</f>
        <v/>
      </c>
    </row>
    <row r="2047">
      <c r="A2047" t="inlineStr">
        <is>
          <t>2026-07</t>
        </is>
      </c>
      <c r="B2047" t="inlineStr">
        <is>
          <t>HOSP-2</t>
        </is>
      </c>
      <c r="C2047" t="inlineStr">
        <is>
          <t>SS-01182</t>
        </is>
      </c>
      <c r="D2047" t="n">
        <v>8</v>
      </c>
      <c r="E2047" t="n">
        <v>3</v>
      </c>
      <c r="G2047">
        <f>IF(AND(A2047&gt;=Inputs!$B$5,A2047&lt;=Inputs!$B$6),1,0)</f>
        <v/>
      </c>
    </row>
    <row r="2048">
      <c r="A2048" t="inlineStr">
        <is>
          <t>2026-07</t>
        </is>
      </c>
      <c r="B2048" t="inlineStr">
        <is>
          <t>HOSP-3</t>
        </is>
      </c>
      <c r="C2048" t="inlineStr">
        <is>
          <t>SS-01183</t>
        </is>
      </c>
      <c r="D2048" t="n">
        <v>0</v>
      </c>
      <c r="E2048" t="n">
        <v>0</v>
      </c>
      <c r="G2048">
        <f>IF(AND(A2048&gt;=Inputs!$B$5,A2048&lt;=Inputs!$B$6),1,0)</f>
        <v/>
      </c>
    </row>
    <row r="2049">
      <c r="A2049" t="inlineStr">
        <is>
          <t>2026-07</t>
        </is>
      </c>
      <c r="B2049" t="inlineStr">
        <is>
          <t>HOSP-4</t>
        </is>
      </c>
      <c r="C2049" t="inlineStr">
        <is>
          <t>SS-01184</t>
        </is>
      </c>
      <c r="D2049" t="n">
        <v>12</v>
      </c>
      <c r="E2049" t="n">
        <v>0</v>
      </c>
      <c r="G2049">
        <f>IF(AND(A2049&gt;=Inputs!$B$5,A2049&lt;=Inputs!$B$6),1,0)</f>
        <v/>
      </c>
    </row>
    <row r="2050">
      <c r="A2050" t="inlineStr">
        <is>
          <t>2026-07</t>
        </is>
      </c>
      <c r="B2050" t="inlineStr">
        <is>
          <t>HOSP-1</t>
        </is>
      </c>
      <c r="C2050" t="inlineStr">
        <is>
          <t>SS-01185</t>
        </is>
      </c>
      <c r="D2050" t="n">
        <v>240</v>
      </c>
      <c r="E2050" t="n">
        <v>0</v>
      </c>
      <c r="G2050">
        <f>IF(AND(A2050&gt;=Inputs!$B$5,A2050&lt;=Inputs!$B$6),1,0)</f>
        <v/>
      </c>
    </row>
    <row r="2051">
      <c r="A2051" t="inlineStr">
        <is>
          <t>2026-07</t>
        </is>
      </c>
      <c r="B2051" t="inlineStr">
        <is>
          <t>HOSP-2</t>
        </is>
      </c>
      <c r="C2051" t="inlineStr">
        <is>
          <t>SS-01204</t>
        </is>
      </c>
      <c r="D2051" t="n">
        <v>21</v>
      </c>
      <c r="E2051" t="n">
        <v>0</v>
      </c>
      <c r="G2051">
        <f>IF(AND(A2051&gt;=Inputs!$B$5,A2051&lt;=Inputs!$B$6),1,0)</f>
        <v/>
      </c>
    </row>
    <row r="2052">
      <c r="A2052" t="inlineStr">
        <is>
          <t>2026-07</t>
        </is>
      </c>
      <c r="B2052" t="inlineStr">
        <is>
          <t>HOSP-3</t>
        </is>
      </c>
      <c r="C2052" t="inlineStr">
        <is>
          <t>SS-01187</t>
        </is>
      </c>
      <c r="D2052" t="n">
        <v>16</v>
      </c>
      <c r="E2052" t="n">
        <v>0</v>
      </c>
      <c r="G2052">
        <f>IF(AND(A2052&gt;=Inputs!$B$5,A2052&lt;=Inputs!$B$6),1,0)</f>
        <v/>
      </c>
    </row>
    <row r="2053">
      <c r="A2053" t="inlineStr">
        <is>
          <t>2026-07</t>
        </is>
      </c>
      <c r="B2053" t="inlineStr">
        <is>
          <t>HOSP-4</t>
        </is>
      </c>
      <c r="C2053" t="inlineStr">
        <is>
          <t>SS-01188</t>
        </is>
      </c>
      <c r="D2053" t="n">
        <v>0</v>
      </c>
      <c r="E2053" t="n">
        <v>1</v>
      </c>
      <c r="G2053">
        <f>IF(AND(A2053&gt;=Inputs!$B$5,A2053&lt;=Inputs!$B$6),1,0)</f>
        <v/>
      </c>
    </row>
    <row r="2054">
      <c r="A2054" t="inlineStr">
        <is>
          <t>2026-07</t>
        </is>
      </c>
      <c r="B2054" t="inlineStr">
        <is>
          <t>HOSP-1</t>
        </is>
      </c>
      <c r="C2054" t="inlineStr">
        <is>
          <t>SS-01189</t>
        </is>
      </c>
      <c r="D2054" t="n">
        <v>72</v>
      </c>
      <c r="E2054" t="n">
        <v>0</v>
      </c>
      <c r="G2054">
        <f>IF(AND(A2054&gt;=Inputs!$B$5,A2054&lt;=Inputs!$B$6),1,0)</f>
        <v/>
      </c>
    </row>
    <row r="2055">
      <c r="A2055" t="inlineStr">
        <is>
          <t>2026-07</t>
        </is>
      </c>
      <c r="B2055" t="inlineStr">
        <is>
          <t>HOSP-2</t>
        </is>
      </c>
      <c r="C2055" t="inlineStr">
        <is>
          <t>SS-01190</t>
        </is>
      </c>
      <c r="D2055" t="n">
        <v>12</v>
      </c>
      <c r="E2055" t="n">
        <v>0</v>
      </c>
      <c r="G2055">
        <f>IF(AND(A2055&gt;=Inputs!$B$5,A2055&lt;=Inputs!$B$6),1,0)</f>
        <v/>
      </c>
    </row>
    <row r="2056">
      <c r="A2056" t="inlineStr">
        <is>
          <t>2026-07</t>
        </is>
      </c>
      <c r="B2056" t="inlineStr">
        <is>
          <t>HOSP-3</t>
        </is>
      </c>
      <c r="C2056" t="inlineStr">
        <is>
          <t>SS-01191</t>
        </is>
      </c>
      <c r="D2056" t="n">
        <v>24</v>
      </c>
      <c r="E2056" t="n">
        <v>0</v>
      </c>
      <c r="G2056">
        <f>IF(AND(A2056&gt;=Inputs!$B$5,A2056&lt;=Inputs!$B$6),1,0)</f>
        <v/>
      </c>
    </row>
    <row r="2057">
      <c r="A2057" t="inlineStr">
        <is>
          <t>2026-07</t>
        </is>
      </c>
      <c r="B2057" t="inlineStr">
        <is>
          <t>HOSP-4</t>
        </is>
      </c>
      <c r="C2057" t="inlineStr">
        <is>
          <t>SS-01192</t>
        </is>
      </c>
      <c r="D2057" t="n">
        <v>12</v>
      </c>
      <c r="E2057" t="n">
        <v>0</v>
      </c>
      <c r="G2057">
        <f>IF(AND(A2057&gt;=Inputs!$B$5,A2057&lt;=Inputs!$B$6),1,0)</f>
        <v/>
      </c>
    </row>
    <row r="2058">
      <c r="A2058" t="inlineStr">
        <is>
          <t>2026-07</t>
        </is>
      </c>
      <c r="B2058" t="inlineStr">
        <is>
          <t>HOSP-1</t>
        </is>
      </c>
      <c r="C2058" t="inlineStr">
        <is>
          <t>SS-01193</t>
        </is>
      </c>
      <c r="D2058" t="n">
        <v>12</v>
      </c>
      <c r="E2058" t="n">
        <v>0</v>
      </c>
      <c r="G2058">
        <f>IF(AND(A2058&gt;=Inputs!$B$5,A2058&lt;=Inputs!$B$6),1,0)</f>
        <v/>
      </c>
    </row>
    <row r="2059">
      <c r="A2059" t="inlineStr">
        <is>
          <t>2026-07</t>
        </is>
      </c>
      <c r="B2059" t="inlineStr">
        <is>
          <t>HOSP-2</t>
        </is>
      </c>
      <c r="C2059" t="inlineStr">
        <is>
          <t>SS-01194</t>
        </is>
      </c>
      <c r="D2059" t="n">
        <v>264</v>
      </c>
      <c r="E2059" t="n">
        <v>0</v>
      </c>
      <c r="G2059">
        <f>IF(AND(A2059&gt;=Inputs!$B$5,A2059&lt;=Inputs!$B$6),1,0)</f>
        <v/>
      </c>
    </row>
    <row r="2060">
      <c r="A2060" t="inlineStr">
        <is>
          <t>2026-07</t>
        </is>
      </c>
      <c r="B2060" t="inlineStr">
        <is>
          <t>HOSP-3</t>
        </is>
      </c>
      <c r="C2060" t="inlineStr">
        <is>
          <t>SS-01195</t>
        </is>
      </c>
      <c r="D2060" t="n">
        <v>24</v>
      </c>
      <c r="E2060" t="n">
        <v>0</v>
      </c>
      <c r="G2060">
        <f>IF(AND(A2060&gt;=Inputs!$B$5,A2060&lt;=Inputs!$B$6),1,0)</f>
        <v/>
      </c>
    </row>
    <row r="2061">
      <c r="A2061" t="inlineStr">
        <is>
          <t>2026-07</t>
        </is>
      </c>
      <c r="B2061" t="inlineStr">
        <is>
          <t>HOSP-4</t>
        </is>
      </c>
      <c r="C2061" t="inlineStr">
        <is>
          <t>SS-01196</t>
        </is>
      </c>
      <c r="D2061" t="n">
        <v>12</v>
      </c>
      <c r="E2061" t="n">
        <v>0</v>
      </c>
      <c r="G2061">
        <f>IF(AND(A2061&gt;=Inputs!$B$5,A2061&lt;=Inputs!$B$6),1,0)</f>
        <v/>
      </c>
    </row>
    <row r="2062">
      <c r="A2062" t="inlineStr">
        <is>
          <t>2026-07</t>
        </is>
      </c>
      <c r="B2062" t="inlineStr">
        <is>
          <t>HOSP-1</t>
        </is>
      </c>
      <c r="C2062" t="inlineStr">
        <is>
          <t>SS-01176</t>
        </is>
      </c>
      <c r="D2062" t="n">
        <v>24</v>
      </c>
      <c r="E2062" t="n">
        <v>0</v>
      </c>
      <c r="G2062">
        <f>IF(AND(A2062&gt;=Inputs!$B$5,A2062&lt;=Inputs!$B$6),1,0)</f>
        <v/>
      </c>
    </row>
    <row r="2063">
      <c r="A2063" t="inlineStr">
        <is>
          <t>2026-07</t>
        </is>
      </c>
      <c r="B2063" t="inlineStr">
        <is>
          <t>HOSP-2</t>
        </is>
      </c>
      <c r="C2063" t="inlineStr">
        <is>
          <t>SS-01198</t>
        </is>
      </c>
      <c r="D2063" t="n">
        <v>24</v>
      </c>
      <c r="E2063" t="n">
        <v>0</v>
      </c>
      <c r="G2063">
        <f>IF(AND(A2063&gt;=Inputs!$B$5,A2063&lt;=Inputs!$B$6),1,0)</f>
        <v/>
      </c>
    </row>
    <row r="2064">
      <c r="A2064" t="inlineStr">
        <is>
          <t>2026-07</t>
        </is>
      </c>
      <c r="B2064" t="inlineStr">
        <is>
          <t>HOSP-3</t>
        </is>
      </c>
      <c r="C2064" t="inlineStr">
        <is>
          <t>SS-01199</t>
        </is>
      </c>
      <c r="D2064" t="n">
        <v>132</v>
      </c>
      <c r="E2064" t="n">
        <v>0</v>
      </c>
      <c r="G2064">
        <f>IF(AND(A2064&gt;=Inputs!$B$5,A2064&lt;=Inputs!$B$6),1,0)</f>
        <v/>
      </c>
    </row>
    <row r="2065">
      <c r="A2065" t="inlineStr">
        <is>
          <t>2026-07</t>
        </is>
      </c>
      <c r="B2065" t="inlineStr">
        <is>
          <t>HOSP-4</t>
        </is>
      </c>
      <c r="C2065" t="inlineStr">
        <is>
          <t>SS-01200</t>
        </is>
      </c>
      <c r="D2065" t="n">
        <v>0</v>
      </c>
      <c r="E2065" t="n">
        <v>1</v>
      </c>
      <c r="G2065">
        <f>IF(AND(A2065&gt;=Inputs!$B$5,A2065&lt;=Inputs!$B$6),1,0)</f>
        <v/>
      </c>
    </row>
    <row r="2066">
      <c r="A2066" t="inlineStr">
        <is>
          <t>2026-07</t>
        </is>
      </c>
      <c r="B2066" t="inlineStr">
        <is>
          <t>HOSP-1</t>
        </is>
      </c>
      <c r="C2066" t="inlineStr">
        <is>
          <t>SS-01201</t>
        </is>
      </c>
      <c r="D2066" t="n">
        <v>0</v>
      </c>
      <c r="E2066" t="n">
        <v>0</v>
      </c>
      <c r="G2066">
        <f>IF(AND(A2066&gt;=Inputs!$B$5,A2066&lt;=Inputs!$B$6),1,0)</f>
        <v/>
      </c>
    </row>
    <row r="2067">
      <c r="A2067" t="inlineStr">
        <is>
          <t>2026-07</t>
        </is>
      </c>
      <c r="B2067" t="inlineStr">
        <is>
          <t>HOSP-2</t>
        </is>
      </c>
      <c r="C2067" t="inlineStr">
        <is>
          <t>SS-01202</t>
        </is>
      </c>
      <c r="D2067" t="n">
        <v>132</v>
      </c>
      <c r="E2067" t="n">
        <v>0</v>
      </c>
      <c r="G2067">
        <f>IF(AND(A2067&gt;=Inputs!$B$5,A2067&lt;=Inputs!$B$6),1,0)</f>
        <v/>
      </c>
    </row>
    <row r="2068">
      <c r="A2068" t="inlineStr">
        <is>
          <t>2026-07</t>
        </is>
      </c>
      <c r="B2068" t="inlineStr">
        <is>
          <t>HOSP-3</t>
        </is>
      </c>
      <c r="C2068" t="inlineStr">
        <is>
          <t>SS-01203</t>
        </is>
      </c>
      <c r="D2068" t="n">
        <v>48</v>
      </c>
      <c r="E2068" t="n">
        <v>0</v>
      </c>
      <c r="G2068">
        <f>IF(AND(A2068&gt;=Inputs!$B$5,A2068&lt;=Inputs!$B$6),1,0)</f>
        <v/>
      </c>
    </row>
    <row r="2069">
      <c r="A2069" t="inlineStr">
        <is>
          <t>2026-07</t>
        </is>
      </c>
      <c r="B2069" t="inlineStr">
        <is>
          <t>HOSP-4</t>
        </is>
      </c>
      <c r="C2069" t="inlineStr">
        <is>
          <t>SS-01204</t>
        </is>
      </c>
      <c r="D2069" t="n">
        <v>24</v>
      </c>
      <c r="E2069" t="n">
        <v>0</v>
      </c>
      <c r="G2069">
        <f>IF(AND(A2069&gt;=Inputs!$B$5,A2069&lt;=Inputs!$B$6),1,0)</f>
        <v/>
      </c>
    </row>
    <row r="2070">
      <c r="A2070" t="inlineStr">
        <is>
          <t>2026-07</t>
        </is>
      </c>
      <c r="B2070" t="inlineStr">
        <is>
          <t>HOSP-1</t>
        </is>
      </c>
      <c r="C2070" t="inlineStr">
        <is>
          <t>SS-01205</t>
        </is>
      </c>
      <c r="D2070" t="n">
        <v>0</v>
      </c>
      <c r="E2070" t="n">
        <v>0</v>
      </c>
      <c r="G2070">
        <f>IF(AND(A2070&gt;=Inputs!$B$5,A2070&lt;=Inputs!$B$6),1,0)</f>
        <v/>
      </c>
    </row>
    <row r="2071">
      <c r="A2071" t="inlineStr">
        <is>
          <t>2026-07</t>
        </is>
      </c>
      <c r="B2071" t="inlineStr">
        <is>
          <t>HOSP-2</t>
        </is>
      </c>
      <c r="C2071" t="inlineStr">
        <is>
          <t>SS-01206</t>
        </is>
      </c>
      <c r="D2071" t="n">
        <v>10</v>
      </c>
      <c r="E2071" t="n">
        <v>0</v>
      </c>
      <c r="G2071">
        <f>IF(AND(A2071&gt;=Inputs!$B$5,A2071&lt;=Inputs!$B$6),1,0)</f>
        <v/>
      </c>
    </row>
    <row r="2072">
      <c r="A2072" t="inlineStr">
        <is>
          <t>2026-07</t>
        </is>
      </c>
      <c r="B2072" t="inlineStr">
        <is>
          <t>HOSP-3</t>
        </is>
      </c>
      <c r="C2072" t="inlineStr">
        <is>
          <t>SS-01207</t>
        </is>
      </c>
      <c r="D2072" t="n">
        <v>0</v>
      </c>
      <c r="E2072" t="n">
        <v>0</v>
      </c>
      <c r="G2072">
        <f>IF(AND(A2072&gt;=Inputs!$B$5,A2072&lt;=Inputs!$B$6),1,0)</f>
        <v/>
      </c>
    </row>
    <row r="2073">
      <c r="A2073" t="inlineStr">
        <is>
          <t>2026-07</t>
        </is>
      </c>
      <c r="B2073" t="inlineStr">
        <is>
          <t>HOSP-4</t>
        </is>
      </c>
      <c r="C2073" t="inlineStr">
        <is>
          <t>SS-01208</t>
        </is>
      </c>
      <c r="D2073" t="n">
        <v>0</v>
      </c>
      <c r="E2073" t="n">
        <v>0</v>
      </c>
      <c r="G2073">
        <f>IF(AND(A2073&gt;=Inputs!$B$5,A2073&lt;=Inputs!$B$6),1,0)</f>
        <v/>
      </c>
    </row>
    <row r="2074">
      <c r="A2074" t="inlineStr">
        <is>
          <t>2026-07</t>
        </is>
      </c>
      <c r="B2074" t="inlineStr">
        <is>
          <t>HOSP-1</t>
        </is>
      </c>
      <c r="C2074" t="inlineStr">
        <is>
          <t>SS-01209</t>
        </is>
      </c>
      <c r="D2074" t="n">
        <v>12</v>
      </c>
      <c r="E2074" t="n">
        <v>0</v>
      </c>
      <c r="G2074">
        <f>IF(AND(A2074&gt;=Inputs!$B$5,A2074&lt;=Inputs!$B$6),1,0)</f>
        <v/>
      </c>
    </row>
    <row r="2075">
      <c r="A2075" t="inlineStr">
        <is>
          <t>2026-07</t>
        </is>
      </c>
      <c r="B2075" t="inlineStr">
        <is>
          <t>HOSP-2</t>
        </is>
      </c>
      <c r="C2075" t="inlineStr">
        <is>
          <t>SS-01210</t>
        </is>
      </c>
      <c r="D2075" t="n">
        <v>12</v>
      </c>
      <c r="E2075" t="n">
        <v>0</v>
      </c>
      <c r="G2075">
        <f>IF(AND(A2075&gt;=Inputs!$B$5,A2075&lt;=Inputs!$B$6),1,0)</f>
        <v/>
      </c>
    </row>
    <row r="2076">
      <c r="A2076" t="inlineStr">
        <is>
          <t>2026-07</t>
        </is>
      </c>
      <c r="B2076" t="inlineStr">
        <is>
          <t>HOSP-3</t>
        </is>
      </c>
      <c r="C2076" t="inlineStr">
        <is>
          <t>SS-01211</t>
        </is>
      </c>
      <c r="D2076" t="n">
        <v>60</v>
      </c>
      <c r="E2076" t="n">
        <v>0</v>
      </c>
      <c r="G2076">
        <f>IF(AND(A2076&gt;=Inputs!$B$5,A2076&lt;=Inputs!$B$6),1,0)</f>
        <v/>
      </c>
    </row>
    <row r="2077">
      <c r="A2077" t="inlineStr">
        <is>
          <t>2026-07</t>
        </is>
      </c>
      <c r="B2077" t="inlineStr">
        <is>
          <t>HOSP-4</t>
        </is>
      </c>
      <c r="C2077" t="inlineStr">
        <is>
          <t>SS-01212</t>
        </is>
      </c>
      <c r="D2077" t="n">
        <v>60</v>
      </c>
      <c r="E2077" t="n">
        <v>0</v>
      </c>
      <c r="G2077">
        <f>IF(AND(A2077&gt;=Inputs!$B$5,A2077&lt;=Inputs!$B$6),1,0)</f>
        <v/>
      </c>
    </row>
    <row r="2078">
      <c r="A2078" t="inlineStr">
        <is>
          <t>2026-07</t>
        </is>
      </c>
      <c r="B2078" t="inlineStr">
        <is>
          <t>HOSP-1</t>
        </is>
      </c>
      <c r="C2078" t="inlineStr">
        <is>
          <t>SS-01213</t>
        </is>
      </c>
      <c r="D2078" t="n">
        <v>12</v>
      </c>
      <c r="E2078" t="n">
        <v>0</v>
      </c>
      <c r="F2078" t="inlineStr">
        <is>
          <t>surge</t>
        </is>
      </c>
      <c r="G2078">
        <f>IF(AND(A2078&gt;=Inputs!$B$5,A2078&lt;=Inputs!$B$6),1,0)</f>
        <v/>
      </c>
    </row>
    <row r="2079">
      <c r="A2079" t="inlineStr">
        <is>
          <t>2026-07</t>
        </is>
      </c>
      <c r="B2079" t="inlineStr">
        <is>
          <t>HOSP-2</t>
        </is>
      </c>
      <c r="C2079" t="inlineStr">
        <is>
          <t>SS-01135</t>
        </is>
      </c>
      <c r="D2079" t="n">
        <v>0</v>
      </c>
      <c r="E2079" t="n">
        <v>2</v>
      </c>
      <c r="G2079">
        <f>IF(AND(A2079&gt;=Inputs!$B$5,A2079&lt;=Inputs!$B$6),1,0)</f>
        <v/>
      </c>
    </row>
    <row r="2080">
      <c r="A2080" t="inlineStr">
        <is>
          <t>2026-07</t>
        </is>
      </c>
      <c r="B2080" t="inlineStr">
        <is>
          <t>HOSP-3</t>
        </is>
      </c>
      <c r="C2080" t="inlineStr">
        <is>
          <t>SS-01215</t>
        </is>
      </c>
      <c r="D2080" t="n">
        <v>0</v>
      </c>
      <c r="E2080" t="n">
        <v>0</v>
      </c>
      <c r="G2080">
        <f>IF(AND(A2080&gt;=Inputs!$B$5,A2080&lt;=Inputs!$B$6),1,0)</f>
        <v/>
      </c>
    </row>
    <row r="2081">
      <c r="A2081" t="inlineStr">
        <is>
          <t>2026-07</t>
        </is>
      </c>
      <c r="B2081" t="inlineStr">
        <is>
          <t>HOSP-4</t>
        </is>
      </c>
      <c r="C2081" t="inlineStr">
        <is>
          <t>SS-01030</t>
        </is>
      </c>
      <c r="D2081" t="n">
        <v>7</v>
      </c>
      <c r="E2081" t="n">
        <v>2</v>
      </c>
      <c r="G2081">
        <f>IF(AND(A2081&gt;=Inputs!$B$5,A2081&lt;=Inputs!$B$6),1,0)</f>
        <v/>
      </c>
    </row>
    <row r="2082">
      <c r="A2082" t="inlineStr">
        <is>
          <t>2026-07</t>
        </is>
      </c>
      <c r="B2082" t="inlineStr">
        <is>
          <t>HOSP-1</t>
        </is>
      </c>
      <c r="C2082" t="inlineStr">
        <is>
          <t>SS-01217</t>
        </is>
      </c>
      <c r="D2082" t="n">
        <v>96</v>
      </c>
      <c r="E2082" t="n">
        <v>0</v>
      </c>
      <c r="G2082">
        <f>IF(AND(A2082&gt;=Inputs!$B$5,A2082&lt;=Inputs!$B$6),1,0)</f>
        <v/>
      </c>
    </row>
    <row r="2083">
      <c r="A2083" t="inlineStr">
        <is>
          <t>2026-07</t>
        </is>
      </c>
      <c r="B2083" t="inlineStr">
        <is>
          <t>HOSP-2</t>
        </is>
      </c>
      <c r="C2083" t="inlineStr">
        <is>
          <t>SS-01218</t>
        </is>
      </c>
      <c r="D2083" t="n">
        <v>0</v>
      </c>
      <c r="E2083" t="n">
        <v>0</v>
      </c>
      <c r="G2083">
        <f>IF(AND(A2083&gt;=Inputs!$B$5,A2083&lt;=Inputs!$B$6),1,0)</f>
        <v/>
      </c>
    </row>
    <row r="2084">
      <c r="A2084" t="inlineStr">
        <is>
          <t>2026-07</t>
        </is>
      </c>
      <c r="B2084" t="inlineStr">
        <is>
          <t>HOSP-3</t>
        </is>
      </c>
      <c r="C2084" t="inlineStr">
        <is>
          <t>SS-01219</t>
        </is>
      </c>
      <c r="D2084" t="n">
        <v>12</v>
      </c>
      <c r="E2084" t="n">
        <v>0</v>
      </c>
      <c r="G2084">
        <f>IF(AND(A2084&gt;=Inputs!$B$5,A2084&lt;=Inputs!$B$6),1,0)</f>
        <v/>
      </c>
    </row>
    <row r="2085">
      <c r="A2085" t="inlineStr">
        <is>
          <t>2026-07</t>
        </is>
      </c>
      <c r="B2085" t="inlineStr">
        <is>
          <t>HOSP-4</t>
        </is>
      </c>
      <c r="C2085" t="inlineStr">
        <is>
          <t>SS-01220</t>
        </is>
      </c>
      <c r="D2085" t="n">
        <v>24</v>
      </c>
      <c r="E2085" t="n">
        <v>0</v>
      </c>
      <c r="G2085">
        <f>IF(AND(A2085&gt;=Inputs!$B$5,A2085&lt;=Inputs!$B$6),1,0)</f>
        <v/>
      </c>
    </row>
    <row r="2086">
      <c r="A2086" t="inlineStr">
        <is>
          <t>2026-07</t>
        </is>
      </c>
      <c r="B2086" t="inlineStr">
        <is>
          <t>HOSP-1</t>
        </is>
      </c>
      <c r="C2086" t="inlineStr">
        <is>
          <t>SS-01221</t>
        </is>
      </c>
      <c r="D2086" t="n">
        <v>60</v>
      </c>
      <c r="E2086" t="n">
        <v>0</v>
      </c>
      <c r="G2086">
        <f>IF(AND(A2086&gt;=Inputs!$B$5,A2086&lt;=Inputs!$B$6),1,0)</f>
        <v/>
      </c>
    </row>
    <row r="2087">
      <c r="A2087" t="inlineStr">
        <is>
          <t>2026-07</t>
        </is>
      </c>
      <c r="B2087" t="inlineStr">
        <is>
          <t>HOSP-2</t>
        </is>
      </c>
      <c r="C2087" t="inlineStr">
        <is>
          <t>SS-01222</t>
        </is>
      </c>
      <c r="D2087" t="n">
        <v>24</v>
      </c>
      <c r="E2087" t="n">
        <v>0</v>
      </c>
      <c r="G2087">
        <f>IF(AND(A2087&gt;=Inputs!$B$5,A2087&lt;=Inputs!$B$6),1,0)</f>
        <v/>
      </c>
    </row>
    <row r="2088">
      <c r="A2088" t="inlineStr">
        <is>
          <t>2026-07</t>
        </is>
      </c>
      <c r="B2088" t="inlineStr">
        <is>
          <t>HOSP-3</t>
        </is>
      </c>
      <c r="C2088" t="inlineStr">
        <is>
          <t>SS-01223</t>
        </is>
      </c>
      <c r="D2088" t="n">
        <v>0</v>
      </c>
      <c r="E2088" t="n">
        <v>0</v>
      </c>
      <c r="G2088">
        <f>IF(AND(A2088&gt;=Inputs!$B$5,A2088&lt;=Inputs!$B$6),1,0)</f>
        <v/>
      </c>
    </row>
    <row r="2089">
      <c r="A2089" t="inlineStr">
        <is>
          <t>2026-07</t>
        </is>
      </c>
      <c r="B2089" t="inlineStr">
        <is>
          <t>HOSP-4</t>
        </is>
      </c>
      <c r="C2089" t="inlineStr">
        <is>
          <t>SS-01224</t>
        </is>
      </c>
      <c r="D2089" t="n">
        <v>72</v>
      </c>
      <c r="E2089" t="n">
        <v>0</v>
      </c>
      <c r="G2089">
        <f>IF(AND(A2089&gt;=Inputs!$B$5,A2089&lt;=Inputs!$B$6),1,0)</f>
        <v/>
      </c>
    </row>
    <row r="2090">
      <c r="A2090" t="inlineStr">
        <is>
          <t>2026-07</t>
        </is>
      </c>
      <c r="B2090" t="inlineStr">
        <is>
          <t>HOSP-1</t>
        </is>
      </c>
      <c r="C2090" t="inlineStr">
        <is>
          <t>SS-01225</t>
        </is>
      </c>
      <c r="D2090" t="n">
        <v>12</v>
      </c>
      <c r="E2090" t="n">
        <v>0</v>
      </c>
      <c r="G2090">
        <f>IF(AND(A2090&gt;=Inputs!$B$5,A2090&lt;=Inputs!$B$6),1,0)</f>
        <v/>
      </c>
    </row>
    <row r="2091">
      <c r="A2091" t="inlineStr">
        <is>
          <t>2026-07</t>
        </is>
      </c>
      <c r="B2091" t="inlineStr">
        <is>
          <t>HOSP-2</t>
        </is>
      </c>
      <c r="C2091" t="inlineStr">
        <is>
          <t>SS-01226</t>
        </is>
      </c>
      <c r="D2091" t="n">
        <v>36</v>
      </c>
      <c r="E2091" t="n">
        <v>0</v>
      </c>
      <c r="G2091">
        <f>IF(AND(A2091&gt;=Inputs!$B$5,A2091&lt;=Inputs!$B$6),1,0)</f>
        <v/>
      </c>
    </row>
    <row r="2092">
      <c r="A2092" t="inlineStr">
        <is>
          <t>2026-07</t>
        </is>
      </c>
      <c r="B2092" t="inlineStr">
        <is>
          <t>HOSP-3</t>
        </is>
      </c>
      <c r="C2092" t="inlineStr">
        <is>
          <t>SS-01227</t>
        </is>
      </c>
      <c r="D2092" t="n">
        <v>12</v>
      </c>
      <c r="E2092" t="n">
        <v>0</v>
      </c>
      <c r="G2092">
        <f>IF(AND(A2092&gt;=Inputs!$B$5,A2092&lt;=Inputs!$B$6),1,0)</f>
        <v/>
      </c>
    </row>
    <row r="2093">
      <c r="A2093" t="inlineStr">
        <is>
          <t>2026-07</t>
        </is>
      </c>
      <c r="B2093" t="inlineStr">
        <is>
          <t>HOSP-4</t>
        </is>
      </c>
      <c r="C2093" t="inlineStr">
        <is>
          <t>SS-01228</t>
        </is>
      </c>
      <c r="D2093" t="n">
        <v>0</v>
      </c>
      <c r="E2093" t="n">
        <v>0</v>
      </c>
      <c r="G2093">
        <f>IF(AND(A2093&gt;=Inputs!$B$5,A2093&lt;=Inputs!$B$6),1,0)</f>
        <v/>
      </c>
    </row>
    <row r="2094">
      <c r="A2094" t="inlineStr">
        <is>
          <t>2026-07</t>
        </is>
      </c>
      <c r="B2094" t="inlineStr">
        <is>
          <t>HOSP-1</t>
        </is>
      </c>
      <c r="C2094" t="inlineStr">
        <is>
          <t>SS-01229</t>
        </is>
      </c>
      <c r="D2094" t="n">
        <v>0</v>
      </c>
      <c r="E2094" t="n">
        <v>4</v>
      </c>
      <c r="G2094">
        <f>IF(AND(A2094&gt;=Inputs!$B$5,A2094&lt;=Inputs!$B$6),1,0)</f>
        <v/>
      </c>
    </row>
    <row r="2095">
      <c r="A2095" t="inlineStr">
        <is>
          <t>2026-07</t>
        </is>
      </c>
      <c r="B2095" t="inlineStr">
        <is>
          <t>HOSP-2</t>
        </is>
      </c>
      <c r="C2095" t="inlineStr">
        <is>
          <t>SS-01230</t>
        </is>
      </c>
      <c r="D2095" t="n">
        <v>0</v>
      </c>
      <c r="E2095" t="n">
        <v>0</v>
      </c>
      <c r="G2095">
        <f>IF(AND(A2095&gt;=Inputs!$B$5,A2095&lt;=Inputs!$B$6),1,0)</f>
        <v/>
      </c>
    </row>
    <row r="2096">
      <c r="A2096" t="inlineStr">
        <is>
          <t>2026-07</t>
        </is>
      </c>
      <c r="B2096" t="inlineStr">
        <is>
          <t>HOSP-3</t>
        </is>
      </c>
      <c r="C2096" t="inlineStr">
        <is>
          <t>SS-01231</t>
        </is>
      </c>
      <c r="D2096" t="n">
        <v>36</v>
      </c>
      <c r="E2096" t="n">
        <v>0</v>
      </c>
      <c r="G2096">
        <f>IF(AND(A2096&gt;=Inputs!$B$5,A2096&lt;=Inputs!$B$6),1,0)</f>
        <v/>
      </c>
    </row>
    <row r="2097">
      <c r="A2097" t="inlineStr">
        <is>
          <t>2026-07</t>
        </is>
      </c>
      <c r="B2097" t="inlineStr">
        <is>
          <t>HOSP-4</t>
        </is>
      </c>
      <c r="C2097" t="inlineStr">
        <is>
          <t>SS-01232</t>
        </is>
      </c>
      <c r="D2097" t="n">
        <v>38</v>
      </c>
      <c r="E2097" t="n">
        <v>10</v>
      </c>
      <c r="G2097">
        <f>IF(AND(A2097&gt;=Inputs!$B$5,A2097&lt;=Inputs!$B$6),1,0)</f>
        <v/>
      </c>
    </row>
    <row r="2098">
      <c r="A2098" t="inlineStr">
        <is>
          <t>2026-07</t>
        </is>
      </c>
      <c r="B2098" t="inlineStr">
        <is>
          <t>HOSP-1</t>
        </is>
      </c>
      <c r="C2098" t="inlineStr">
        <is>
          <t>SS-01233</t>
        </is>
      </c>
      <c r="D2098" t="n">
        <v>12</v>
      </c>
      <c r="E2098" t="n">
        <v>0</v>
      </c>
      <c r="G2098">
        <f>IF(AND(A2098&gt;=Inputs!$B$5,A2098&lt;=Inputs!$B$6),1,0)</f>
        <v/>
      </c>
    </row>
    <row r="2099">
      <c r="A2099" t="inlineStr">
        <is>
          <t>2026-07</t>
        </is>
      </c>
      <c r="B2099" t="inlineStr">
        <is>
          <t>HOSP-2</t>
        </is>
      </c>
      <c r="C2099" t="inlineStr">
        <is>
          <t>SS-01001</t>
        </is>
      </c>
      <c r="D2099" t="n">
        <v>6</v>
      </c>
      <c r="E2099" t="n">
        <v>3</v>
      </c>
      <c r="G2099">
        <f>IF(AND(A2099&gt;=Inputs!$B$5,A2099&lt;=Inputs!$B$6),1,0)</f>
        <v/>
      </c>
    </row>
    <row r="2100">
      <c r="A2100" t="inlineStr">
        <is>
          <t>2026-07</t>
        </is>
      </c>
      <c r="B2100" t="inlineStr">
        <is>
          <t>HOSP-3</t>
        </is>
      </c>
      <c r="C2100" t="inlineStr">
        <is>
          <t>SS-01002</t>
        </is>
      </c>
      <c r="D2100" t="n">
        <v>8</v>
      </c>
      <c r="E2100" t="n">
        <v>0</v>
      </c>
      <c r="G2100">
        <f>IF(AND(A2100&gt;=Inputs!$B$5,A2100&lt;=Inputs!$B$6),1,0)</f>
        <v/>
      </c>
    </row>
    <row r="2101">
      <c r="A2101" t="inlineStr">
        <is>
          <t>2026-07</t>
        </is>
      </c>
      <c r="B2101" t="inlineStr">
        <is>
          <t>HOSP-4</t>
        </is>
      </c>
      <c r="C2101" t="inlineStr">
        <is>
          <t>SS-01003</t>
        </is>
      </c>
      <c r="D2101" t="n">
        <v>12</v>
      </c>
      <c r="E2101" t="n">
        <v>0</v>
      </c>
      <c r="G2101">
        <f>IF(AND(A2101&gt;=Inputs!$B$5,A2101&lt;=Inputs!$B$6),1,0)</f>
        <v/>
      </c>
    </row>
    <row r="2102">
      <c r="A2102" t="inlineStr">
        <is>
          <t>2026-07</t>
        </is>
      </c>
      <c r="B2102" t="inlineStr">
        <is>
          <t>HOSP-1</t>
        </is>
      </c>
      <c r="C2102" t="inlineStr">
        <is>
          <t>SS-01004</t>
        </is>
      </c>
      <c r="D2102" t="n">
        <v>0</v>
      </c>
      <c r="E2102" t="n">
        <v>0</v>
      </c>
      <c r="G2102">
        <f>IF(AND(A2102&gt;=Inputs!$B$5,A2102&lt;=Inputs!$B$6),1,0)</f>
        <v/>
      </c>
    </row>
    <row r="2103">
      <c r="A2103" t="inlineStr">
        <is>
          <t>2026-07</t>
        </is>
      </c>
      <c r="B2103" t="inlineStr">
        <is>
          <t>HOSP-2</t>
        </is>
      </c>
      <c r="C2103" t="inlineStr">
        <is>
          <t>SS-01005</t>
        </is>
      </c>
      <c r="D2103" t="n">
        <v>8</v>
      </c>
      <c r="E2103" t="n">
        <v>1</v>
      </c>
      <c r="G2103">
        <f>IF(AND(A2103&gt;=Inputs!$B$5,A2103&lt;=Inputs!$B$6),1,0)</f>
        <v/>
      </c>
    </row>
    <row r="2104">
      <c r="A2104" t="inlineStr">
        <is>
          <t>2026-07</t>
        </is>
      </c>
      <c r="B2104" t="inlineStr">
        <is>
          <t>HOSP-3</t>
        </is>
      </c>
      <c r="C2104" t="inlineStr">
        <is>
          <t>SS-01006</t>
        </is>
      </c>
      <c r="D2104" t="n">
        <v>36</v>
      </c>
      <c r="E2104" t="n">
        <v>0</v>
      </c>
      <c r="G2104">
        <f>IF(AND(A2104&gt;=Inputs!$B$5,A2104&lt;=Inputs!$B$6),1,0)</f>
        <v/>
      </c>
    </row>
    <row r="2105">
      <c r="A2105" t="inlineStr">
        <is>
          <t>2026-07</t>
        </is>
      </c>
      <c r="B2105" t="inlineStr">
        <is>
          <t>HOSP-4</t>
        </is>
      </c>
      <c r="C2105" t="inlineStr">
        <is>
          <t>SS-01007</t>
        </is>
      </c>
      <c r="D2105" t="n">
        <v>36</v>
      </c>
      <c r="E2105" t="n">
        <v>0</v>
      </c>
      <c r="G2105">
        <f>IF(AND(A2105&gt;=Inputs!$B$5,A2105&lt;=Inputs!$B$6),1,0)</f>
        <v/>
      </c>
    </row>
    <row r="2106">
      <c r="A2106" t="inlineStr">
        <is>
          <t>2026-07</t>
        </is>
      </c>
      <c r="B2106" t="inlineStr">
        <is>
          <t>HOSP-1</t>
        </is>
      </c>
      <c r="C2106" t="inlineStr">
        <is>
          <t>SS-01008</t>
        </is>
      </c>
      <c r="D2106" t="n">
        <v>12</v>
      </c>
      <c r="E2106" t="n">
        <v>0</v>
      </c>
      <c r="G2106">
        <f>IF(AND(A2106&gt;=Inputs!$B$5,A2106&lt;=Inputs!$B$6),1,0)</f>
        <v/>
      </c>
    </row>
    <row r="2107">
      <c r="A2107" t="inlineStr">
        <is>
          <t>2026-07</t>
        </is>
      </c>
      <c r="B2107" t="inlineStr">
        <is>
          <t>HOSP-2</t>
        </is>
      </c>
      <c r="C2107" t="inlineStr">
        <is>
          <t>SS-01009</t>
        </is>
      </c>
      <c r="D2107" t="n">
        <v>8</v>
      </c>
      <c r="E2107" t="n">
        <v>0</v>
      </c>
      <c r="G2107">
        <f>IF(AND(A2107&gt;=Inputs!$B$5,A2107&lt;=Inputs!$B$6),1,0)</f>
        <v/>
      </c>
    </row>
    <row r="2108">
      <c r="A2108" t="inlineStr">
        <is>
          <t>2026-07</t>
        </is>
      </c>
      <c r="B2108" t="inlineStr">
        <is>
          <t>HOSP-3</t>
        </is>
      </c>
      <c r="C2108" t="inlineStr">
        <is>
          <t>SS-01010</t>
        </is>
      </c>
      <c r="D2108" t="n">
        <v>4</v>
      </c>
      <c r="E2108" t="n">
        <v>0</v>
      </c>
      <c r="G2108">
        <f>IF(AND(A2108&gt;=Inputs!$B$5,A2108&lt;=Inputs!$B$6),1,0)</f>
        <v/>
      </c>
    </row>
    <row r="2109">
      <c r="A2109" t="inlineStr">
        <is>
          <t>2026-07</t>
        </is>
      </c>
      <c r="B2109" t="inlineStr">
        <is>
          <t>HOSP-4</t>
        </is>
      </c>
      <c r="C2109" t="inlineStr">
        <is>
          <t>SS-01011</t>
        </is>
      </c>
      <c r="D2109" t="n">
        <v>48</v>
      </c>
      <c r="E2109" t="n">
        <v>0</v>
      </c>
      <c r="G2109">
        <f>IF(AND(A2109&gt;=Inputs!$B$5,A2109&lt;=Inputs!$B$6),1,0)</f>
        <v/>
      </c>
    </row>
    <row r="2110">
      <c r="A2110" t="inlineStr">
        <is>
          <t>2026-07</t>
        </is>
      </c>
      <c r="B2110" t="inlineStr">
        <is>
          <t>HOSP-1</t>
        </is>
      </c>
      <c r="C2110" t="inlineStr">
        <is>
          <t>SS-01012</t>
        </is>
      </c>
      <c r="D2110" t="n">
        <v>0</v>
      </c>
      <c r="E2110" t="n">
        <v>0</v>
      </c>
      <c r="G2110">
        <f>IF(AND(A2110&gt;=Inputs!$B$5,A2110&lt;=Inputs!$B$6),1,0)</f>
        <v/>
      </c>
    </row>
    <row r="2111">
      <c r="A2111" t="inlineStr">
        <is>
          <t>2026-07</t>
        </is>
      </c>
      <c r="B2111" t="inlineStr">
        <is>
          <t>HOSP-2</t>
        </is>
      </c>
      <c r="C2111" t="inlineStr">
        <is>
          <t>SS-01013</t>
        </is>
      </c>
      <c r="D2111" t="n">
        <v>0</v>
      </c>
      <c r="E2111" t="n">
        <v>0</v>
      </c>
      <c r="G2111">
        <f>IF(AND(A2111&gt;=Inputs!$B$5,A2111&lt;=Inputs!$B$6),1,0)</f>
        <v/>
      </c>
    </row>
    <row r="2112">
      <c r="A2112" t="inlineStr">
        <is>
          <t>2026-07</t>
        </is>
      </c>
      <c r="B2112" t="inlineStr">
        <is>
          <t>HOSP-3</t>
        </is>
      </c>
      <c r="C2112" t="inlineStr">
        <is>
          <t>SS-01014</t>
        </is>
      </c>
      <c r="D2112" t="n">
        <v>24</v>
      </c>
      <c r="E2112" t="n">
        <v>0</v>
      </c>
      <c r="G2112">
        <f>IF(AND(A2112&gt;=Inputs!$B$5,A2112&lt;=Inputs!$B$6),1,0)</f>
        <v/>
      </c>
    </row>
    <row r="2113">
      <c r="A2113" t="inlineStr">
        <is>
          <t>2026-07</t>
        </is>
      </c>
      <c r="B2113" t="inlineStr">
        <is>
          <t>HOSP-4</t>
        </is>
      </c>
      <c r="C2113" t="inlineStr">
        <is>
          <t>SS-01015</t>
        </is>
      </c>
      <c r="D2113" t="n">
        <v>12</v>
      </c>
      <c r="E2113" t="n">
        <v>0</v>
      </c>
      <c r="G2113">
        <f>IF(AND(A2113&gt;=Inputs!$B$5,A2113&lt;=Inputs!$B$6),1,0)</f>
        <v/>
      </c>
    </row>
    <row r="2114">
      <c r="A2114" t="inlineStr">
        <is>
          <t>2026-07</t>
        </is>
      </c>
      <c r="B2114" t="inlineStr">
        <is>
          <t>HOSP-1</t>
        </is>
      </c>
      <c r="C2114" t="inlineStr">
        <is>
          <t>SS-01016</t>
        </is>
      </c>
      <c r="D2114" t="n">
        <v>24</v>
      </c>
      <c r="E2114" t="n">
        <v>0</v>
      </c>
      <c r="G2114">
        <f>IF(AND(A2114&gt;=Inputs!$B$5,A2114&lt;=Inputs!$B$6),1,0)</f>
        <v/>
      </c>
    </row>
    <row r="2115">
      <c r="A2115" t="inlineStr">
        <is>
          <t>2026-07</t>
        </is>
      </c>
      <c r="B2115" t="inlineStr">
        <is>
          <t>HOSP-2</t>
        </is>
      </c>
      <c r="C2115" t="inlineStr">
        <is>
          <t>SS-01214</t>
        </is>
      </c>
      <c r="D2115" t="n">
        <v>3</v>
      </c>
      <c r="E2115" t="n">
        <v>3</v>
      </c>
      <c r="G2115">
        <f>IF(AND(A2115&gt;=Inputs!$B$5,A2115&lt;=Inputs!$B$6),1,0)</f>
        <v/>
      </c>
    </row>
    <row r="2116">
      <c r="A2116" t="inlineStr">
        <is>
          <t>2026-07</t>
        </is>
      </c>
      <c r="B2116" t="inlineStr">
        <is>
          <t>HOSP-3</t>
        </is>
      </c>
      <c r="C2116" t="inlineStr">
        <is>
          <t>SS-01018</t>
        </is>
      </c>
      <c r="D2116" t="n">
        <v>24</v>
      </c>
      <c r="E2116" t="n">
        <v>0</v>
      </c>
      <c r="G2116">
        <f>IF(AND(A2116&gt;=Inputs!$B$5,A2116&lt;=Inputs!$B$6),1,0)</f>
        <v/>
      </c>
    </row>
    <row r="2117">
      <c r="A2117" t="inlineStr">
        <is>
          <t>2026-07</t>
        </is>
      </c>
      <c r="B2117" t="inlineStr">
        <is>
          <t>HOSP-4</t>
        </is>
      </c>
      <c r="C2117" t="inlineStr">
        <is>
          <t>SS-01019</t>
        </is>
      </c>
      <c r="D2117" t="n">
        <v>36</v>
      </c>
      <c r="E2117" t="n">
        <v>0</v>
      </c>
      <c r="G2117">
        <f>IF(AND(A2117&gt;=Inputs!$B$5,A2117&lt;=Inputs!$B$6),1,0)</f>
        <v/>
      </c>
    </row>
    <row r="2118">
      <c r="A2118" t="inlineStr">
        <is>
          <t>2026-07</t>
        </is>
      </c>
      <c r="B2118" t="inlineStr">
        <is>
          <t>HOSP-1</t>
        </is>
      </c>
      <c r="C2118" t="inlineStr">
        <is>
          <t>SS-01020</t>
        </is>
      </c>
      <c r="D2118" t="n">
        <v>48</v>
      </c>
      <c r="E2118" t="n">
        <v>0</v>
      </c>
      <c r="G2118">
        <f>IF(AND(A2118&gt;=Inputs!$B$5,A2118&lt;=Inputs!$B$6),1,0)</f>
        <v/>
      </c>
    </row>
    <row r="2119">
      <c r="A2119" t="inlineStr">
        <is>
          <t>2026-07</t>
        </is>
      </c>
      <c r="B2119" t="inlineStr">
        <is>
          <t>HOSP-2</t>
        </is>
      </c>
      <c r="C2119" t="inlineStr">
        <is>
          <t>SS-01021</t>
        </is>
      </c>
      <c r="D2119" t="n">
        <v>12</v>
      </c>
      <c r="E2119" t="n">
        <v>0</v>
      </c>
      <c r="G2119">
        <f>IF(AND(A2119&gt;=Inputs!$B$5,A2119&lt;=Inputs!$B$6),1,0)</f>
        <v/>
      </c>
    </row>
    <row r="2120">
      <c r="A2120" t="inlineStr">
        <is>
          <t>2026-07</t>
        </is>
      </c>
      <c r="B2120" t="inlineStr">
        <is>
          <t>HOSP-3</t>
        </is>
      </c>
      <c r="C2120" t="inlineStr">
        <is>
          <t>SS-01022</t>
        </is>
      </c>
      <c r="D2120" t="n">
        <v>0</v>
      </c>
      <c r="E2120" t="n">
        <v>0</v>
      </c>
      <c r="G2120">
        <f>IF(AND(A2120&gt;=Inputs!$B$5,A2120&lt;=Inputs!$B$6),1,0)</f>
        <v/>
      </c>
    </row>
    <row r="2121">
      <c r="A2121" t="inlineStr">
        <is>
          <t>2026-07</t>
        </is>
      </c>
      <c r="B2121" t="inlineStr">
        <is>
          <t>HOSP-4</t>
        </is>
      </c>
      <c r="C2121" t="inlineStr">
        <is>
          <t>SS-01023</t>
        </is>
      </c>
      <c r="D2121" t="n">
        <v>12</v>
      </c>
      <c r="E2121" t="n">
        <v>0</v>
      </c>
      <c r="G2121">
        <f>IF(AND(A2121&gt;=Inputs!$B$5,A2121&lt;=Inputs!$B$6),1,0)</f>
        <v/>
      </c>
    </row>
    <row r="2122">
      <c r="A2122" t="inlineStr">
        <is>
          <t>2026-07</t>
        </is>
      </c>
      <c r="B2122" t="inlineStr">
        <is>
          <t>HOSP-1</t>
        </is>
      </c>
      <c r="C2122" t="inlineStr">
        <is>
          <t>SS-01024</t>
        </is>
      </c>
      <c r="D2122" t="n">
        <v>216</v>
      </c>
      <c r="E2122" t="n">
        <v>0</v>
      </c>
      <c r="G2122">
        <f>IF(AND(A2122&gt;=Inputs!$B$5,A2122&lt;=Inputs!$B$6),1,0)</f>
        <v/>
      </c>
    </row>
    <row r="2123">
      <c r="A2123" t="inlineStr">
        <is>
          <t>2026-07</t>
        </is>
      </c>
      <c r="B2123" t="inlineStr">
        <is>
          <t>HOSP-2</t>
        </is>
      </c>
      <c r="C2123" t="inlineStr">
        <is>
          <t>SS-01025</t>
        </is>
      </c>
      <c r="D2123" t="n">
        <v>48</v>
      </c>
      <c r="E2123" t="n">
        <v>0</v>
      </c>
      <c r="G2123">
        <f>IF(AND(A2123&gt;=Inputs!$B$5,A2123&lt;=Inputs!$B$6),1,0)</f>
        <v/>
      </c>
    </row>
    <row r="2124">
      <c r="A2124" t="inlineStr">
        <is>
          <t>2026-07</t>
        </is>
      </c>
      <c r="B2124" t="inlineStr">
        <is>
          <t>HOSP-3</t>
        </is>
      </c>
      <c r="C2124" t="inlineStr">
        <is>
          <t>SS-01026</t>
        </is>
      </c>
      <c r="D2124" t="n">
        <v>0</v>
      </c>
      <c r="E2124" t="n">
        <v>0</v>
      </c>
      <c r="G2124">
        <f>IF(AND(A2124&gt;=Inputs!$B$5,A2124&lt;=Inputs!$B$6),1,0)</f>
        <v/>
      </c>
    </row>
    <row r="2125">
      <c r="A2125" t="inlineStr">
        <is>
          <t>2026-07</t>
        </is>
      </c>
      <c r="B2125" t="inlineStr">
        <is>
          <t>HOSP-4</t>
        </is>
      </c>
      <c r="C2125" t="inlineStr">
        <is>
          <t>SS-01027</t>
        </is>
      </c>
      <c r="D2125" t="n">
        <v>0</v>
      </c>
      <c r="E2125" t="n">
        <v>0</v>
      </c>
      <c r="G2125">
        <f>IF(AND(A2125&gt;=Inputs!$B$5,A2125&lt;=Inputs!$B$6),1,0)</f>
        <v/>
      </c>
    </row>
    <row r="2126">
      <c r="A2126" t="inlineStr">
        <is>
          <t>2026-07</t>
        </is>
      </c>
      <c r="B2126" t="inlineStr">
        <is>
          <t>HOSP-1</t>
        </is>
      </c>
      <c r="C2126" t="inlineStr">
        <is>
          <t>SS-01028</t>
        </is>
      </c>
      <c r="D2126" t="n">
        <v>0</v>
      </c>
      <c r="E2126" t="n">
        <v>0</v>
      </c>
      <c r="G2126">
        <f>IF(AND(A2126&gt;=Inputs!$B$5,A2126&lt;=Inputs!$B$6),1,0)</f>
        <v/>
      </c>
    </row>
    <row r="2127">
      <c r="A2127" t="inlineStr">
        <is>
          <t>2026-07</t>
        </is>
      </c>
      <c r="B2127" t="inlineStr">
        <is>
          <t>HOSP-2</t>
        </is>
      </c>
      <c r="C2127" t="inlineStr">
        <is>
          <t>SS-01029</t>
        </is>
      </c>
      <c r="D2127" t="n">
        <v>12</v>
      </c>
      <c r="E2127" t="n">
        <v>0</v>
      </c>
      <c r="G2127">
        <f>IF(AND(A2127&gt;=Inputs!$B$5,A2127&lt;=Inputs!$B$6),1,0)</f>
        <v/>
      </c>
    </row>
    <row r="2128">
      <c r="A2128" t="inlineStr">
        <is>
          <t>2026-07</t>
        </is>
      </c>
      <c r="B2128" t="inlineStr">
        <is>
          <t>HOSP-3</t>
        </is>
      </c>
      <c r="C2128" t="inlineStr">
        <is>
          <t>SS-01030</t>
        </is>
      </c>
      <c r="D2128" t="n">
        <v>271</v>
      </c>
      <c r="E2128" t="n">
        <v>0</v>
      </c>
      <c r="G2128">
        <f>IF(AND(A2128&gt;=Inputs!$B$5,A2128&lt;=Inputs!$B$6),1,0)</f>
        <v/>
      </c>
    </row>
    <row r="2129">
      <c r="A2129" t="inlineStr">
        <is>
          <t>2026-07</t>
        </is>
      </c>
      <c r="B2129" t="inlineStr">
        <is>
          <t>HOSP-4</t>
        </is>
      </c>
      <c r="C2129" t="inlineStr">
        <is>
          <t>SS-01031</t>
        </is>
      </c>
      <c r="D2129" t="n">
        <v>168</v>
      </c>
      <c r="E2129" t="n">
        <v>0</v>
      </c>
      <c r="G2129">
        <f>IF(AND(A2129&gt;=Inputs!$B$5,A2129&lt;=Inputs!$B$6),1,0)</f>
        <v/>
      </c>
    </row>
    <row r="2130">
      <c r="A2130" t="inlineStr">
        <is>
          <t>2026-07</t>
        </is>
      </c>
      <c r="B2130" t="inlineStr">
        <is>
          <t>HOSP-1</t>
        </is>
      </c>
      <c r="C2130" t="inlineStr">
        <is>
          <t>SS-01032</t>
        </is>
      </c>
      <c r="D2130" t="n">
        <v>192</v>
      </c>
      <c r="E2130" t="n">
        <v>0</v>
      </c>
      <c r="G2130">
        <f>IF(AND(A2130&gt;=Inputs!$B$5,A2130&lt;=Inputs!$B$6),1,0)</f>
        <v/>
      </c>
    </row>
    <row r="2131">
      <c r="A2131" t="inlineStr">
        <is>
          <t>2026-07</t>
        </is>
      </c>
      <c r="B2131" t="inlineStr">
        <is>
          <t>HOSP-2</t>
        </is>
      </c>
      <c r="C2131" t="inlineStr">
        <is>
          <t>SS-01033</t>
        </is>
      </c>
      <c r="D2131" t="n">
        <v>60</v>
      </c>
      <c r="E2131" t="n">
        <v>0</v>
      </c>
      <c r="G2131">
        <f>IF(AND(A2131&gt;=Inputs!$B$5,A2131&lt;=Inputs!$B$6),1,0)</f>
        <v/>
      </c>
    </row>
    <row r="2132">
      <c r="A2132" t="inlineStr">
        <is>
          <t>2026-07</t>
        </is>
      </c>
      <c r="B2132" t="inlineStr">
        <is>
          <t>HOSP-3</t>
        </is>
      </c>
      <c r="C2132" t="inlineStr">
        <is>
          <t>SS-01034</t>
        </is>
      </c>
      <c r="D2132" t="n">
        <v>12</v>
      </c>
      <c r="E2132" t="n">
        <v>0</v>
      </c>
      <c r="G2132">
        <f>IF(AND(A2132&gt;=Inputs!$B$5,A2132&lt;=Inputs!$B$6),1,0)</f>
        <v/>
      </c>
    </row>
    <row r="2133">
      <c r="A2133" t="inlineStr">
        <is>
          <t>2026-07</t>
        </is>
      </c>
      <c r="B2133" t="inlineStr">
        <is>
          <t>HOSP-4</t>
        </is>
      </c>
      <c r="C2133" t="inlineStr">
        <is>
          <t>SS-01037</t>
        </is>
      </c>
      <c r="D2133" t="n">
        <v>12</v>
      </c>
      <c r="E2133" t="n">
        <v>0</v>
      </c>
      <c r="G2133">
        <f>IF(AND(A2133&gt;=Inputs!$B$5,A2133&lt;=Inputs!$B$6),1,0)</f>
        <v/>
      </c>
    </row>
    <row r="2134">
      <c r="A2134" t="inlineStr">
        <is>
          <t>2026-07</t>
        </is>
      </c>
      <c r="B2134" t="inlineStr">
        <is>
          <t>HOSP-1</t>
        </is>
      </c>
      <c r="C2134" t="inlineStr">
        <is>
          <t>SS-01036</t>
        </is>
      </c>
      <c r="D2134" t="n">
        <v>28</v>
      </c>
      <c r="E2134" t="n">
        <v>0</v>
      </c>
      <c r="G2134">
        <f>IF(AND(A2134&gt;=Inputs!$B$5,A2134&lt;=Inputs!$B$6),1,0)</f>
        <v/>
      </c>
    </row>
    <row r="2135">
      <c r="A2135" t="inlineStr">
        <is>
          <t>2026-07</t>
        </is>
      </c>
      <c r="B2135" t="inlineStr">
        <is>
          <t>HOSP-2</t>
        </is>
      </c>
      <c r="C2135" t="inlineStr">
        <is>
          <t>SS-01037</t>
        </is>
      </c>
      <c r="D2135" t="n">
        <v>0</v>
      </c>
      <c r="E2135" t="n">
        <v>0</v>
      </c>
      <c r="G2135">
        <f>IF(AND(A2135&gt;=Inputs!$B$5,A2135&lt;=Inputs!$B$6),1,0)</f>
        <v/>
      </c>
    </row>
    <row r="2136">
      <c r="A2136" t="inlineStr">
        <is>
          <t>2026-07</t>
        </is>
      </c>
      <c r="B2136" t="inlineStr">
        <is>
          <t>HOSP-3</t>
        </is>
      </c>
      <c r="C2136" t="inlineStr">
        <is>
          <t>SS-01038</t>
        </is>
      </c>
      <c r="D2136" t="n">
        <v>84</v>
      </c>
      <c r="E2136" t="n">
        <v>0</v>
      </c>
      <c r="G2136">
        <f>IF(AND(A2136&gt;=Inputs!$B$5,A2136&lt;=Inputs!$B$6),1,0)</f>
        <v/>
      </c>
    </row>
    <row r="2137">
      <c r="A2137" t="inlineStr">
        <is>
          <t>2026-07</t>
        </is>
      </c>
      <c r="B2137" t="inlineStr">
        <is>
          <t>HOSP-4</t>
        </is>
      </c>
      <c r="C2137" t="inlineStr">
        <is>
          <t>SS-01070</t>
        </is>
      </c>
      <c r="D2137" t="n">
        <v>12</v>
      </c>
      <c r="E2137" t="n">
        <v>0</v>
      </c>
      <c r="G2137">
        <f>IF(AND(A2137&gt;=Inputs!$B$5,A2137&lt;=Inputs!$B$6),1,0)</f>
        <v/>
      </c>
    </row>
    <row r="2138">
      <c r="A2138" t="inlineStr">
        <is>
          <t>2026-07</t>
        </is>
      </c>
      <c r="B2138" t="inlineStr">
        <is>
          <t>HOSP-1</t>
        </is>
      </c>
      <c r="C2138" t="inlineStr">
        <is>
          <t>SS-01040</t>
        </is>
      </c>
      <c r="D2138" t="n">
        <v>0</v>
      </c>
      <c r="E2138" t="n">
        <v>0</v>
      </c>
      <c r="G2138">
        <f>IF(AND(A2138&gt;=Inputs!$B$5,A2138&lt;=Inputs!$B$6),1,0)</f>
        <v/>
      </c>
    </row>
    <row r="2139">
      <c r="A2139" t="inlineStr">
        <is>
          <t>2026-07</t>
        </is>
      </c>
      <c r="B2139" t="inlineStr">
        <is>
          <t>HOSP-2</t>
        </is>
      </c>
      <c r="C2139" t="inlineStr">
        <is>
          <t>SS-01041</t>
        </is>
      </c>
      <c r="D2139" t="n">
        <v>0</v>
      </c>
      <c r="E2139" t="n">
        <v>0</v>
      </c>
      <c r="G2139">
        <f>IF(AND(A2139&gt;=Inputs!$B$5,A2139&lt;=Inputs!$B$6),1,0)</f>
        <v/>
      </c>
    </row>
    <row r="2140">
      <c r="A2140" t="inlineStr">
        <is>
          <t>2026-07</t>
        </is>
      </c>
      <c r="B2140" t="inlineStr">
        <is>
          <t>HOSP-3</t>
        </is>
      </c>
      <c r="C2140" t="inlineStr">
        <is>
          <t>SS-01042</t>
        </is>
      </c>
      <c r="D2140" t="n">
        <v>12</v>
      </c>
      <c r="E2140" t="n">
        <v>0</v>
      </c>
      <c r="G2140">
        <f>IF(AND(A2140&gt;=Inputs!$B$5,A2140&lt;=Inputs!$B$6),1,0)</f>
        <v/>
      </c>
    </row>
    <row r="2141">
      <c r="A2141" t="inlineStr">
        <is>
          <t>2026-07</t>
        </is>
      </c>
      <c r="B2141" t="inlineStr">
        <is>
          <t>HOSP-4</t>
        </is>
      </c>
      <c r="C2141" t="inlineStr">
        <is>
          <t>SS-01043</t>
        </is>
      </c>
      <c r="D2141" t="n">
        <v>0</v>
      </c>
      <c r="E2141" t="n">
        <v>0</v>
      </c>
      <c r="G2141">
        <f>IF(AND(A2141&gt;=Inputs!$B$5,A2141&lt;=Inputs!$B$6),1,0)</f>
        <v/>
      </c>
    </row>
    <row r="2142">
      <c r="A2142" t="inlineStr">
        <is>
          <t>2026-07</t>
        </is>
      </c>
      <c r="B2142" t="inlineStr">
        <is>
          <t>HOSP-1</t>
        </is>
      </c>
      <c r="C2142" t="inlineStr">
        <is>
          <t>SS-01044</t>
        </is>
      </c>
      <c r="D2142" t="n">
        <v>36</v>
      </c>
      <c r="E2142" t="n">
        <v>0</v>
      </c>
      <c r="G2142">
        <f>IF(AND(A2142&gt;=Inputs!$B$5,A2142&lt;=Inputs!$B$6),1,0)</f>
        <v/>
      </c>
    </row>
    <row r="2143">
      <c r="A2143" t="inlineStr">
        <is>
          <t>2026-07</t>
        </is>
      </c>
      <c r="B2143" t="inlineStr">
        <is>
          <t>HOSP-2</t>
        </is>
      </c>
      <c r="C2143" t="inlineStr">
        <is>
          <t>SS-01045</t>
        </is>
      </c>
      <c r="D2143" t="n">
        <v>0</v>
      </c>
      <c r="E2143" t="n">
        <v>0</v>
      </c>
      <c r="G2143">
        <f>IF(AND(A2143&gt;=Inputs!$B$5,A2143&lt;=Inputs!$B$6),1,0)</f>
        <v/>
      </c>
    </row>
    <row r="2144">
      <c r="A2144" t="inlineStr">
        <is>
          <t>2026-07</t>
        </is>
      </c>
      <c r="B2144" t="inlineStr">
        <is>
          <t>HOSP-3</t>
        </is>
      </c>
      <c r="C2144" t="inlineStr">
        <is>
          <t>SS-01046</t>
        </is>
      </c>
      <c r="D2144" t="n">
        <v>0</v>
      </c>
      <c r="E2144" t="n">
        <v>0</v>
      </c>
      <c r="G2144">
        <f>IF(AND(A2144&gt;=Inputs!$B$5,A2144&lt;=Inputs!$B$6),1,0)</f>
        <v/>
      </c>
    </row>
    <row r="2145">
      <c r="A2145" t="inlineStr">
        <is>
          <t>2026-07</t>
        </is>
      </c>
      <c r="B2145" t="inlineStr">
        <is>
          <t>HOSP-4</t>
        </is>
      </c>
      <c r="C2145" t="inlineStr">
        <is>
          <t>SS-01047</t>
        </is>
      </c>
      <c r="D2145" t="n">
        <v>30</v>
      </c>
      <c r="E2145" t="n">
        <v>0</v>
      </c>
      <c r="G2145">
        <f>IF(AND(A2145&gt;=Inputs!$B$5,A2145&lt;=Inputs!$B$6),1,0)</f>
        <v/>
      </c>
    </row>
    <row r="2146">
      <c r="A2146" t="inlineStr">
        <is>
          <t>2026-07</t>
        </is>
      </c>
      <c r="B2146" t="inlineStr">
        <is>
          <t>HOSP-1</t>
        </is>
      </c>
      <c r="C2146" t="inlineStr">
        <is>
          <t>SS-01048</t>
        </is>
      </c>
      <c r="D2146" t="n">
        <v>12</v>
      </c>
      <c r="E2146" t="n">
        <v>0</v>
      </c>
      <c r="G2146">
        <f>IF(AND(A2146&gt;=Inputs!$B$5,A2146&lt;=Inputs!$B$6),1,0)</f>
        <v/>
      </c>
    </row>
    <row r="2147">
      <c r="A2147" t="inlineStr">
        <is>
          <t>2026-07</t>
        </is>
      </c>
      <c r="B2147" t="inlineStr">
        <is>
          <t>HOSP-2</t>
        </is>
      </c>
      <c r="C2147" t="inlineStr">
        <is>
          <t>SS-01049</t>
        </is>
      </c>
      <c r="D2147" t="n">
        <v>24</v>
      </c>
      <c r="E2147" t="n">
        <v>0</v>
      </c>
      <c r="G2147">
        <f>IF(AND(A2147&gt;=Inputs!$B$5,A2147&lt;=Inputs!$B$6),1,0)</f>
        <v/>
      </c>
    </row>
    <row r="2148">
      <c r="A2148" t="inlineStr">
        <is>
          <t>2026-07</t>
        </is>
      </c>
      <c r="B2148" t="inlineStr">
        <is>
          <t>HOSP-3</t>
        </is>
      </c>
      <c r="C2148" t="inlineStr">
        <is>
          <t>SS-01050</t>
        </is>
      </c>
      <c r="D2148" t="n">
        <v>0</v>
      </c>
      <c r="E2148" t="n">
        <v>0</v>
      </c>
      <c r="G2148">
        <f>IF(AND(A2148&gt;=Inputs!$B$5,A2148&lt;=Inputs!$B$6),1,0)</f>
        <v/>
      </c>
    </row>
    <row r="2149">
      <c r="A2149" t="inlineStr">
        <is>
          <t>2026-07</t>
        </is>
      </c>
      <c r="B2149" t="inlineStr">
        <is>
          <t>HOSP-4</t>
        </is>
      </c>
      <c r="C2149" t="inlineStr">
        <is>
          <t>SS-01051</t>
        </is>
      </c>
      <c r="D2149" t="n">
        <v>24</v>
      </c>
      <c r="E2149" t="n">
        <v>0</v>
      </c>
      <c r="G2149">
        <f>IF(AND(A2149&gt;=Inputs!$B$5,A2149&lt;=Inputs!$B$6),1,0)</f>
        <v/>
      </c>
    </row>
    <row r="2150">
      <c r="A2150" t="inlineStr">
        <is>
          <t>2026-07</t>
        </is>
      </c>
      <c r="B2150" t="inlineStr">
        <is>
          <t>HOSP-1</t>
        </is>
      </c>
      <c r="C2150" t="inlineStr">
        <is>
          <t>SS-01207</t>
        </is>
      </c>
      <c r="D2150" t="n">
        <v>12</v>
      </c>
      <c r="E2150" t="n">
        <v>0</v>
      </c>
      <c r="G2150">
        <f>IF(AND(A2150&gt;=Inputs!$B$5,A2150&lt;=Inputs!$B$6),1,0)</f>
        <v/>
      </c>
    </row>
    <row r="2151">
      <c r="A2151" t="inlineStr">
        <is>
          <t>2026-07</t>
        </is>
      </c>
      <c r="B2151" t="inlineStr">
        <is>
          <t>HOSP-2</t>
        </is>
      </c>
      <c r="C2151" t="inlineStr">
        <is>
          <t>SS-01053</t>
        </is>
      </c>
      <c r="D2151" t="n">
        <v>0</v>
      </c>
      <c r="E2151" t="n">
        <v>0</v>
      </c>
      <c r="G2151">
        <f>IF(AND(A2151&gt;=Inputs!$B$5,A2151&lt;=Inputs!$B$6),1,0)</f>
        <v/>
      </c>
    </row>
    <row r="2152">
      <c r="A2152" t="inlineStr">
        <is>
          <t>2026-07</t>
        </is>
      </c>
      <c r="B2152" t="inlineStr">
        <is>
          <t>HOSP-3</t>
        </is>
      </c>
      <c r="C2152" t="inlineStr">
        <is>
          <t>SS-01054</t>
        </is>
      </c>
      <c r="D2152" t="n">
        <v>30</v>
      </c>
      <c r="E2152" t="n">
        <v>0</v>
      </c>
      <c r="G2152">
        <f>IF(AND(A2152&gt;=Inputs!$B$5,A2152&lt;=Inputs!$B$6),1,0)</f>
        <v/>
      </c>
    </row>
    <row r="2153">
      <c r="A2153" t="inlineStr">
        <is>
          <t>2026-07</t>
        </is>
      </c>
      <c r="B2153" t="inlineStr">
        <is>
          <t>HOSP-4</t>
        </is>
      </c>
      <c r="C2153" t="inlineStr">
        <is>
          <t>SS-01203</t>
        </is>
      </c>
      <c r="D2153" t="n">
        <v>14</v>
      </c>
      <c r="E2153" t="n">
        <v>2</v>
      </c>
      <c r="G2153">
        <f>IF(AND(A2153&gt;=Inputs!$B$5,A2153&lt;=Inputs!$B$6),1,0)</f>
        <v/>
      </c>
    </row>
    <row r="2154">
      <c r="A2154" t="inlineStr">
        <is>
          <t>2026-07</t>
        </is>
      </c>
      <c r="B2154" t="inlineStr">
        <is>
          <t>HOSP-1</t>
        </is>
      </c>
      <c r="C2154" t="inlineStr">
        <is>
          <t>SS-01056</t>
        </is>
      </c>
      <c r="D2154" t="n">
        <v>12</v>
      </c>
      <c r="E2154" t="n">
        <v>0</v>
      </c>
      <c r="G2154">
        <f>IF(AND(A2154&gt;=Inputs!$B$5,A2154&lt;=Inputs!$B$6),1,0)</f>
        <v/>
      </c>
    </row>
    <row r="2155">
      <c r="A2155" t="inlineStr">
        <is>
          <t>2026-07</t>
        </is>
      </c>
      <c r="B2155" t="inlineStr">
        <is>
          <t>HOSP-2</t>
        </is>
      </c>
      <c r="C2155" t="inlineStr">
        <is>
          <t>SS-01057</t>
        </is>
      </c>
      <c r="D2155" t="n">
        <v>72</v>
      </c>
      <c r="E2155" t="n">
        <v>0</v>
      </c>
      <c r="G2155">
        <f>IF(AND(A2155&gt;=Inputs!$B$5,A2155&lt;=Inputs!$B$6),1,0)</f>
        <v/>
      </c>
    </row>
    <row r="2156">
      <c r="A2156" t="inlineStr">
        <is>
          <t>2026-07</t>
        </is>
      </c>
      <c r="B2156" t="inlineStr">
        <is>
          <t>HOSP-3</t>
        </is>
      </c>
      <c r="C2156" t="inlineStr">
        <is>
          <t>SS-01058</t>
        </is>
      </c>
      <c r="D2156" t="n">
        <v>36</v>
      </c>
      <c r="E2156" t="n">
        <v>0</v>
      </c>
      <c r="G2156">
        <f>IF(AND(A2156&gt;=Inputs!$B$5,A2156&lt;=Inputs!$B$6),1,0)</f>
        <v/>
      </c>
    </row>
    <row r="2157">
      <c r="A2157" t="inlineStr">
        <is>
          <t>2026-07</t>
        </is>
      </c>
      <c r="B2157" t="inlineStr">
        <is>
          <t>HOSP-4</t>
        </is>
      </c>
      <c r="C2157" t="inlineStr">
        <is>
          <t>SS-01013</t>
        </is>
      </c>
      <c r="D2157" t="n">
        <v>26</v>
      </c>
      <c r="E2157" t="n">
        <v>10</v>
      </c>
      <c r="G2157">
        <f>IF(AND(A2157&gt;=Inputs!$B$5,A2157&lt;=Inputs!$B$6),1,0)</f>
        <v/>
      </c>
    </row>
    <row r="2158">
      <c r="A2158" t="inlineStr">
        <is>
          <t>2026-07</t>
        </is>
      </c>
      <c r="B2158" t="inlineStr">
        <is>
          <t>HOSP-1</t>
        </is>
      </c>
      <c r="C2158" t="inlineStr">
        <is>
          <t>SS-01060</t>
        </is>
      </c>
      <c r="D2158" t="n">
        <v>24</v>
      </c>
      <c r="E2158" t="n">
        <v>0</v>
      </c>
      <c r="G2158">
        <f>IF(AND(A2158&gt;=Inputs!$B$5,A2158&lt;=Inputs!$B$6),1,0)</f>
        <v/>
      </c>
    </row>
    <row r="2159">
      <c r="A2159" t="inlineStr">
        <is>
          <t>2026-07</t>
        </is>
      </c>
      <c r="B2159" t="inlineStr">
        <is>
          <t>HOSP-2</t>
        </is>
      </c>
      <c r="C2159" t="inlineStr">
        <is>
          <t>SS-01061</t>
        </is>
      </c>
      <c r="D2159" t="n">
        <v>324</v>
      </c>
      <c r="E2159" t="n">
        <v>0</v>
      </c>
      <c r="G2159">
        <f>IF(AND(A2159&gt;=Inputs!$B$5,A2159&lt;=Inputs!$B$6),1,0)</f>
        <v/>
      </c>
    </row>
    <row r="2160">
      <c r="A2160" t="inlineStr">
        <is>
          <t>2026-07</t>
        </is>
      </c>
      <c r="B2160" t="inlineStr">
        <is>
          <t>HOSP-3</t>
        </is>
      </c>
      <c r="C2160" t="inlineStr">
        <is>
          <t>SS-01062</t>
        </is>
      </c>
      <c r="D2160" t="n">
        <v>0</v>
      </c>
      <c r="E2160" t="n">
        <v>0</v>
      </c>
      <c r="G2160">
        <f>IF(AND(A2160&gt;=Inputs!$B$5,A2160&lt;=Inputs!$B$6),1,0)</f>
        <v/>
      </c>
    </row>
    <row r="2161">
      <c r="A2161" t="inlineStr">
        <is>
          <t>2026-07</t>
        </is>
      </c>
      <c r="B2161" t="inlineStr">
        <is>
          <t>HOSP-4</t>
        </is>
      </c>
      <c r="C2161" t="inlineStr">
        <is>
          <t>SS-01063</t>
        </is>
      </c>
      <c r="D2161" t="n">
        <v>5</v>
      </c>
      <c r="E2161" t="n">
        <v>2</v>
      </c>
      <c r="G2161">
        <f>IF(AND(A2161&gt;=Inputs!$B$5,A2161&lt;=Inputs!$B$6),1,0)</f>
        <v/>
      </c>
    </row>
    <row r="2162">
      <c r="A2162" t="inlineStr">
        <is>
          <t>2026-07</t>
        </is>
      </c>
      <c r="B2162" t="inlineStr">
        <is>
          <t>HOSP-1</t>
        </is>
      </c>
      <c r="C2162" t="inlineStr">
        <is>
          <t>SS-01064</t>
        </is>
      </c>
      <c r="D2162" t="n">
        <v>0</v>
      </c>
      <c r="E2162" t="n">
        <v>0</v>
      </c>
      <c r="G2162">
        <f>IF(AND(A2162&gt;=Inputs!$B$5,A2162&lt;=Inputs!$B$6),1,0)</f>
        <v/>
      </c>
    </row>
    <row r="2163">
      <c r="A2163" t="inlineStr">
        <is>
          <t>2026-07</t>
        </is>
      </c>
      <c r="B2163" t="inlineStr">
        <is>
          <t>HOSP-2</t>
        </is>
      </c>
      <c r="C2163" t="inlineStr">
        <is>
          <t>SS-01065</t>
        </is>
      </c>
      <c r="D2163" t="n">
        <v>144</v>
      </c>
      <c r="E2163" t="n">
        <v>0</v>
      </c>
      <c r="G2163">
        <f>IF(AND(A2163&gt;=Inputs!$B$5,A2163&lt;=Inputs!$B$6),1,0)</f>
        <v/>
      </c>
    </row>
    <row r="2164">
      <c r="A2164" t="inlineStr">
        <is>
          <t>2026-07</t>
        </is>
      </c>
      <c r="B2164" t="inlineStr">
        <is>
          <t>HOSP-3</t>
        </is>
      </c>
      <c r="C2164" t="inlineStr">
        <is>
          <t>SS-01066</t>
        </is>
      </c>
      <c r="D2164" t="n">
        <v>12</v>
      </c>
      <c r="E2164" t="n">
        <v>0</v>
      </c>
      <c r="G2164">
        <f>IF(AND(A2164&gt;=Inputs!$B$5,A2164&lt;=Inputs!$B$6),1,0)</f>
        <v/>
      </c>
    </row>
    <row r="2165">
      <c r="A2165" t="inlineStr">
        <is>
          <t>2026-07</t>
        </is>
      </c>
      <c r="B2165" t="inlineStr">
        <is>
          <t>HOSP-4</t>
        </is>
      </c>
      <c r="C2165" t="inlineStr">
        <is>
          <t>SS-01067</t>
        </is>
      </c>
      <c r="D2165" t="n">
        <v>84</v>
      </c>
      <c r="E2165" t="n">
        <v>0</v>
      </c>
      <c r="G2165">
        <f>IF(AND(A2165&gt;=Inputs!$B$5,A2165&lt;=Inputs!$B$6),1,0)</f>
        <v/>
      </c>
    </row>
    <row r="2166">
      <c r="A2166" t="inlineStr">
        <is>
          <t>2026-07</t>
        </is>
      </c>
      <c r="B2166" t="inlineStr">
        <is>
          <t>HOSP-1</t>
        </is>
      </c>
      <c r="C2166" t="inlineStr">
        <is>
          <t>SS-01068</t>
        </is>
      </c>
      <c r="D2166" t="n">
        <v>60</v>
      </c>
      <c r="E2166" t="n">
        <v>0</v>
      </c>
      <c r="G2166">
        <f>IF(AND(A2166&gt;=Inputs!$B$5,A2166&lt;=Inputs!$B$6),1,0)</f>
        <v/>
      </c>
    </row>
    <row r="2167">
      <c r="A2167" t="inlineStr">
        <is>
          <t>2026-07</t>
        </is>
      </c>
      <c r="B2167" t="inlineStr">
        <is>
          <t>HOSP-2</t>
        </is>
      </c>
      <c r="C2167" t="inlineStr">
        <is>
          <t>SS-01069</t>
        </is>
      </c>
      <c r="D2167" t="n">
        <v>48</v>
      </c>
      <c r="E2167" t="n">
        <v>0</v>
      </c>
      <c r="G2167">
        <f>IF(AND(A2167&gt;=Inputs!$B$5,A2167&lt;=Inputs!$B$6),1,0)</f>
        <v/>
      </c>
    </row>
    <row r="2168">
      <c r="A2168" t="inlineStr">
        <is>
          <t>2026-07</t>
        </is>
      </c>
      <c r="B2168" t="inlineStr">
        <is>
          <t>HOSP-3</t>
        </is>
      </c>
      <c r="C2168" t="inlineStr">
        <is>
          <t>SS-01070</t>
        </is>
      </c>
      <c r="D2168" t="n">
        <v>16</v>
      </c>
      <c r="E2168" t="n">
        <v>0</v>
      </c>
      <c r="G2168">
        <f>IF(AND(A2168&gt;=Inputs!$B$5,A2168&lt;=Inputs!$B$6),1,0)</f>
        <v/>
      </c>
    </row>
    <row r="2169">
      <c r="A2169" t="inlineStr">
        <is>
          <t>2026-07</t>
        </is>
      </c>
      <c r="B2169" t="inlineStr">
        <is>
          <t>HOSP-4</t>
        </is>
      </c>
      <c r="C2169" t="inlineStr">
        <is>
          <t>SS-01071</t>
        </is>
      </c>
      <c r="D2169" t="n">
        <v>6</v>
      </c>
      <c r="E2169" t="n">
        <v>8</v>
      </c>
      <c r="G2169">
        <f>IF(AND(A2169&gt;=Inputs!$B$5,A2169&lt;=Inputs!$B$6),1,0)</f>
        <v/>
      </c>
    </row>
    <row r="2170">
      <c r="A2170" t="inlineStr">
        <is>
          <t>2026-07</t>
        </is>
      </c>
      <c r="B2170" t="inlineStr">
        <is>
          <t>HOSP-1</t>
        </is>
      </c>
      <c r="C2170" t="inlineStr">
        <is>
          <t>SS-01072</t>
        </is>
      </c>
      <c r="D2170" t="n">
        <v>12</v>
      </c>
      <c r="E2170" t="n">
        <v>0</v>
      </c>
      <c r="G2170">
        <f>IF(AND(A2170&gt;=Inputs!$B$5,A2170&lt;=Inputs!$B$6),1,0)</f>
        <v/>
      </c>
    </row>
    <row r="2171">
      <c r="A2171" t="inlineStr">
        <is>
          <t>2026-07</t>
        </is>
      </c>
      <c r="B2171" t="inlineStr">
        <is>
          <t>HOSP-2</t>
        </is>
      </c>
      <c r="C2171" t="inlineStr">
        <is>
          <t>SS-01073</t>
        </is>
      </c>
      <c r="D2171" t="n">
        <v>24</v>
      </c>
      <c r="E2171" t="n">
        <v>0</v>
      </c>
      <c r="G2171">
        <f>IF(AND(A2171&gt;=Inputs!$B$5,A2171&lt;=Inputs!$B$6),1,0)</f>
        <v/>
      </c>
    </row>
    <row r="2172">
      <c r="A2172" t="inlineStr">
        <is>
          <t>2026-07</t>
        </is>
      </c>
      <c r="B2172" t="inlineStr">
        <is>
          <t>HOSP-3</t>
        </is>
      </c>
      <c r="C2172" t="inlineStr">
        <is>
          <t>SS-01074</t>
        </is>
      </c>
      <c r="D2172" t="n">
        <v>0</v>
      </c>
      <c r="E2172" t="n">
        <v>0</v>
      </c>
      <c r="G2172">
        <f>IF(AND(A2172&gt;=Inputs!$B$5,A2172&lt;=Inputs!$B$6),1,0)</f>
        <v/>
      </c>
    </row>
    <row r="2173">
      <c r="A2173" t="inlineStr">
        <is>
          <t>2026-07</t>
        </is>
      </c>
      <c r="B2173" t="inlineStr">
        <is>
          <t>HOSP-4</t>
        </is>
      </c>
      <c r="C2173" t="inlineStr">
        <is>
          <t>SS-01075</t>
        </is>
      </c>
      <c r="D2173" t="n">
        <v>75</v>
      </c>
      <c r="E2173" t="n">
        <v>0</v>
      </c>
      <c r="G2173">
        <f>IF(AND(A2173&gt;=Inputs!$B$5,A2173&lt;=Inputs!$B$6),1,0)</f>
        <v/>
      </c>
    </row>
    <row r="2174">
      <c r="A2174" t="inlineStr">
        <is>
          <t>2026-07</t>
        </is>
      </c>
      <c r="B2174" t="inlineStr">
        <is>
          <t>HOSP-1</t>
        </is>
      </c>
      <c r="C2174" t="inlineStr">
        <is>
          <t>SS-01076</t>
        </is>
      </c>
      <c r="D2174" t="n">
        <v>0</v>
      </c>
      <c r="E2174" t="n">
        <v>0</v>
      </c>
      <c r="G2174">
        <f>IF(AND(A2174&gt;=Inputs!$B$5,A2174&lt;=Inputs!$B$6),1,0)</f>
        <v/>
      </c>
    </row>
    <row r="2175">
      <c r="A2175" t="inlineStr">
        <is>
          <t>2026-07</t>
        </is>
      </c>
      <c r="B2175" t="inlineStr">
        <is>
          <t>HOSP-2</t>
        </is>
      </c>
      <c r="C2175" t="inlineStr">
        <is>
          <t>SS-01077</t>
        </is>
      </c>
      <c r="D2175" t="n">
        <v>12</v>
      </c>
      <c r="E2175" t="n">
        <v>0</v>
      </c>
      <c r="G2175">
        <f>IF(AND(A2175&gt;=Inputs!$B$5,A2175&lt;=Inputs!$B$6),1,0)</f>
        <v/>
      </c>
    </row>
    <row r="2176">
      <c r="A2176" t="inlineStr">
        <is>
          <t>2026-07</t>
        </is>
      </c>
      <c r="B2176" t="inlineStr">
        <is>
          <t>HOSP-3</t>
        </is>
      </c>
      <c r="C2176" t="inlineStr">
        <is>
          <t>SS-01078</t>
        </is>
      </c>
      <c r="D2176" t="n">
        <v>14</v>
      </c>
      <c r="E2176" t="n">
        <v>0</v>
      </c>
      <c r="G2176">
        <f>IF(AND(A2176&gt;=Inputs!$B$5,A2176&lt;=Inputs!$B$6),1,0)</f>
        <v/>
      </c>
    </row>
    <row r="2177">
      <c r="A2177" t="inlineStr">
        <is>
          <t>2026-07</t>
        </is>
      </c>
      <c r="B2177" t="inlineStr">
        <is>
          <t>HOSP-4</t>
        </is>
      </c>
      <c r="C2177" t="inlineStr">
        <is>
          <t>SS-01079</t>
        </is>
      </c>
      <c r="D2177" t="n">
        <v>36</v>
      </c>
      <c r="E2177" t="n">
        <v>0</v>
      </c>
      <c r="G2177">
        <f>IF(AND(A2177&gt;=Inputs!$B$5,A2177&lt;=Inputs!$B$6),1,0)</f>
        <v/>
      </c>
    </row>
    <row r="2178">
      <c r="A2178" t="inlineStr">
        <is>
          <t>2026-07</t>
        </is>
      </c>
      <c r="B2178" t="inlineStr">
        <is>
          <t>HOSP-1</t>
        </is>
      </c>
      <c r="C2178" t="inlineStr">
        <is>
          <t>SS-01080</t>
        </is>
      </c>
      <c r="D2178" t="n">
        <v>96</v>
      </c>
      <c r="E2178" t="n">
        <v>0</v>
      </c>
      <c r="G2178">
        <f>IF(AND(A2178&gt;=Inputs!$B$5,A2178&lt;=Inputs!$B$6),1,0)</f>
        <v/>
      </c>
    </row>
    <row r="2179">
      <c r="A2179" t="inlineStr">
        <is>
          <t>2026-07</t>
        </is>
      </c>
      <c r="B2179" t="inlineStr">
        <is>
          <t>HOSP-2</t>
        </is>
      </c>
      <c r="C2179" t="inlineStr">
        <is>
          <t>SS-01081</t>
        </is>
      </c>
      <c r="D2179" t="n">
        <v>12</v>
      </c>
      <c r="E2179" t="n">
        <v>0</v>
      </c>
      <c r="G2179">
        <f>IF(AND(A2179&gt;=Inputs!$B$5,A2179&lt;=Inputs!$B$6),1,0)</f>
        <v/>
      </c>
    </row>
    <row r="2180">
      <c r="A2180" t="inlineStr">
        <is>
          <t>2026-07</t>
        </is>
      </c>
      <c r="B2180" t="inlineStr">
        <is>
          <t>HOSP-3</t>
        </is>
      </c>
      <c r="C2180" t="inlineStr">
        <is>
          <t>SS-01082</t>
        </is>
      </c>
      <c r="D2180" t="n">
        <v>36</v>
      </c>
      <c r="E2180" t="n">
        <v>0</v>
      </c>
      <c r="G2180">
        <f>IF(AND(A2180&gt;=Inputs!$B$5,A2180&lt;=Inputs!$B$6),1,0)</f>
        <v/>
      </c>
    </row>
    <row r="2181">
      <c r="A2181" t="inlineStr">
        <is>
          <t>2026-07</t>
        </is>
      </c>
      <c r="B2181" t="inlineStr">
        <is>
          <t>HOSP-4</t>
        </is>
      </c>
      <c r="C2181" t="inlineStr">
        <is>
          <t>SS-01083</t>
        </is>
      </c>
      <c r="D2181" t="n">
        <v>24</v>
      </c>
      <c r="E2181" t="n">
        <v>0</v>
      </c>
      <c r="G2181">
        <f>IF(AND(A2181&gt;=Inputs!$B$5,A2181&lt;=Inputs!$B$6),1,0)</f>
        <v/>
      </c>
    </row>
    <row r="2182">
      <c r="A2182" t="inlineStr">
        <is>
          <t>2026-07</t>
        </is>
      </c>
      <c r="B2182" t="inlineStr">
        <is>
          <t>HOSP-1</t>
        </is>
      </c>
      <c r="C2182" t="inlineStr">
        <is>
          <t>SS-01084</t>
        </is>
      </c>
      <c r="D2182" t="n">
        <v>12</v>
      </c>
      <c r="E2182" t="n">
        <v>0</v>
      </c>
      <c r="G2182">
        <f>IF(AND(A2182&gt;=Inputs!$B$5,A2182&lt;=Inputs!$B$6),1,0)</f>
        <v/>
      </c>
    </row>
    <row r="2183">
      <c r="A2183" t="inlineStr">
        <is>
          <t>2026-07</t>
        </is>
      </c>
      <c r="B2183" t="inlineStr">
        <is>
          <t>HOSP-2</t>
        </is>
      </c>
      <c r="C2183" t="inlineStr">
        <is>
          <t>SS-01169</t>
        </is>
      </c>
      <c r="D2183" t="n">
        <v>12</v>
      </c>
      <c r="E2183" t="n">
        <v>0</v>
      </c>
      <c r="G2183">
        <f>IF(AND(A2183&gt;=Inputs!$B$5,A2183&lt;=Inputs!$B$6),1,0)</f>
        <v/>
      </c>
    </row>
    <row r="2184">
      <c r="A2184" t="inlineStr">
        <is>
          <t>2026-07</t>
        </is>
      </c>
      <c r="B2184" t="inlineStr">
        <is>
          <t>HOSP-3</t>
        </is>
      </c>
      <c r="C2184" t="inlineStr">
        <is>
          <t>SS-01086</t>
        </is>
      </c>
      <c r="D2184" t="n">
        <v>0</v>
      </c>
      <c r="E2184" t="n">
        <v>0</v>
      </c>
      <c r="G2184">
        <f>IF(AND(A2184&gt;=Inputs!$B$5,A2184&lt;=Inputs!$B$6),1,0)</f>
        <v/>
      </c>
    </row>
    <row r="2185">
      <c r="A2185" t="inlineStr">
        <is>
          <t>2026-07</t>
        </is>
      </c>
      <c r="B2185" t="inlineStr">
        <is>
          <t>HOSP-4</t>
        </is>
      </c>
      <c r="C2185" t="inlineStr">
        <is>
          <t>SS-01087</t>
        </is>
      </c>
      <c r="D2185" t="n">
        <v>48</v>
      </c>
      <c r="E2185" t="n">
        <v>0</v>
      </c>
      <c r="G2185">
        <f>IF(AND(A2185&gt;=Inputs!$B$5,A2185&lt;=Inputs!$B$6),1,0)</f>
        <v/>
      </c>
    </row>
    <row r="2186">
      <c r="A2186" t="inlineStr">
        <is>
          <t>2026-07</t>
        </is>
      </c>
      <c r="B2186" t="inlineStr">
        <is>
          <t>HOSP-1</t>
        </is>
      </c>
      <c r="C2186" t="inlineStr">
        <is>
          <t>SS-01088</t>
        </is>
      </c>
      <c r="D2186" t="n">
        <v>0</v>
      </c>
      <c r="E2186" t="n">
        <v>0</v>
      </c>
      <c r="G2186">
        <f>IF(AND(A2186&gt;=Inputs!$B$5,A2186&lt;=Inputs!$B$6),1,0)</f>
        <v/>
      </c>
    </row>
    <row r="2187">
      <c r="A2187" t="inlineStr">
        <is>
          <t>2026-07</t>
        </is>
      </c>
      <c r="B2187" t="inlineStr">
        <is>
          <t>HOSP-2</t>
        </is>
      </c>
      <c r="C2187" t="inlineStr">
        <is>
          <t>SS-01089</t>
        </is>
      </c>
      <c r="D2187" t="n">
        <v>0</v>
      </c>
      <c r="E2187" t="n">
        <v>0</v>
      </c>
      <c r="G2187">
        <f>IF(AND(A2187&gt;=Inputs!$B$5,A2187&lt;=Inputs!$B$6),1,0)</f>
        <v/>
      </c>
    </row>
    <row r="2188">
      <c r="A2188" t="inlineStr">
        <is>
          <t>2026-07</t>
        </is>
      </c>
      <c r="B2188" t="inlineStr">
        <is>
          <t>HOSP-3</t>
        </is>
      </c>
      <c r="C2188" t="inlineStr">
        <is>
          <t>SS-01090</t>
        </is>
      </c>
      <c r="D2188" t="n">
        <v>12</v>
      </c>
      <c r="E2188" t="n">
        <v>0</v>
      </c>
      <c r="G2188">
        <f>IF(AND(A2188&gt;=Inputs!$B$5,A2188&lt;=Inputs!$B$6),1,0)</f>
        <v/>
      </c>
    </row>
    <row r="2189">
      <c r="A2189" t="inlineStr">
        <is>
          <t>2026-07</t>
        </is>
      </c>
      <c r="B2189" t="inlineStr">
        <is>
          <t>HOSP-4</t>
        </is>
      </c>
      <c r="C2189" t="inlineStr">
        <is>
          <t>SS-01091</t>
        </is>
      </c>
      <c r="D2189" t="n">
        <v>24</v>
      </c>
      <c r="E2189" t="n">
        <v>0</v>
      </c>
      <c r="G2189">
        <f>IF(AND(A2189&gt;=Inputs!$B$5,A2189&lt;=Inputs!$B$6),1,0)</f>
        <v/>
      </c>
    </row>
    <row r="2190">
      <c r="A2190" t="inlineStr">
        <is>
          <t>2026-07</t>
        </is>
      </c>
      <c r="B2190" t="inlineStr">
        <is>
          <t>HOSP-1</t>
        </is>
      </c>
      <c r="C2190" t="inlineStr">
        <is>
          <t>SS-01092</t>
        </is>
      </c>
      <c r="D2190" t="n">
        <v>8</v>
      </c>
      <c r="E2190" t="n">
        <v>3</v>
      </c>
      <c r="G2190">
        <f>IF(AND(A2190&gt;=Inputs!$B$5,A2190&lt;=Inputs!$B$6),1,0)</f>
        <v/>
      </c>
    </row>
    <row r="2191">
      <c r="A2191" t="inlineStr">
        <is>
          <t>2026-07</t>
        </is>
      </c>
      <c r="B2191" t="inlineStr">
        <is>
          <t>HOSP-2</t>
        </is>
      </c>
      <c r="C2191" t="inlineStr">
        <is>
          <t>SS-01093</t>
        </is>
      </c>
      <c r="D2191" t="n">
        <v>36</v>
      </c>
      <c r="E2191" t="n">
        <v>0</v>
      </c>
      <c r="G2191">
        <f>IF(AND(A2191&gt;=Inputs!$B$5,A2191&lt;=Inputs!$B$6),1,0)</f>
        <v/>
      </c>
    </row>
    <row r="2192">
      <c r="A2192" t="inlineStr">
        <is>
          <t>2026-07</t>
        </is>
      </c>
      <c r="B2192" t="inlineStr">
        <is>
          <t>HOSP-3</t>
        </is>
      </c>
      <c r="C2192" t="inlineStr">
        <is>
          <t>SS-01094</t>
        </is>
      </c>
      <c r="D2192" t="n">
        <v>36</v>
      </c>
      <c r="E2192" t="n">
        <v>0</v>
      </c>
      <c r="G2192">
        <f>IF(AND(A2192&gt;=Inputs!$B$5,A2192&lt;=Inputs!$B$6),1,0)</f>
        <v/>
      </c>
    </row>
    <row r="2193">
      <c r="A2193" t="inlineStr">
        <is>
          <t>2026-07</t>
        </is>
      </c>
      <c r="B2193" t="inlineStr">
        <is>
          <t>HOSP-4</t>
        </is>
      </c>
      <c r="C2193" t="inlineStr">
        <is>
          <t>SS-01095</t>
        </is>
      </c>
      <c r="D2193" t="n">
        <v>0</v>
      </c>
      <c r="E2193" t="n">
        <v>0</v>
      </c>
      <c r="G2193">
        <f>IF(AND(A2193&gt;=Inputs!$B$5,A2193&lt;=Inputs!$B$6),1,0)</f>
        <v/>
      </c>
    </row>
    <row r="2194">
      <c r="A2194" t="inlineStr">
        <is>
          <t>2026-07</t>
        </is>
      </c>
      <c r="B2194" t="inlineStr">
        <is>
          <t>HOSP-1</t>
        </is>
      </c>
      <c r="C2194" t="inlineStr">
        <is>
          <t>SS-01096</t>
        </is>
      </c>
      <c r="D2194" t="n">
        <v>24</v>
      </c>
      <c r="E2194" t="n">
        <v>0</v>
      </c>
      <c r="G2194">
        <f>IF(AND(A2194&gt;=Inputs!$B$5,A2194&lt;=Inputs!$B$6),1,0)</f>
        <v/>
      </c>
    </row>
    <row r="2195">
      <c r="A2195" t="inlineStr">
        <is>
          <t>2026-07</t>
        </is>
      </c>
      <c r="B2195" t="inlineStr">
        <is>
          <t>HOSP-2</t>
        </is>
      </c>
      <c r="C2195" t="inlineStr">
        <is>
          <t>SS-01097</t>
        </is>
      </c>
      <c r="D2195" t="n">
        <v>0</v>
      </c>
      <c r="E2195" t="n">
        <v>0</v>
      </c>
      <c r="G2195">
        <f>IF(AND(A2195&gt;=Inputs!$B$5,A2195&lt;=Inputs!$B$6),1,0)</f>
        <v/>
      </c>
    </row>
    <row r="2196">
      <c r="A2196" t="inlineStr">
        <is>
          <t>2026-07</t>
        </is>
      </c>
      <c r="B2196" t="inlineStr">
        <is>
          <t>HOSP-3</t>
        </is>
      </c>
      <c r="C2196" t="inlineStr">
        <is>
          <t>SS-01098</t>
        </is>
      </c>
      <c r="D2196" t="n">
        <v>17</v>
      </c>
      <c r="E2196" t="n">
        <v>0</v>
      </c>
      <c r="G2196">
        <f>IF(AND(A2196&gt;=Inputs!$B$5,A2196&lt;=Inputs!$B$6),1,0)</f>
        <v/>
      </c>
    </row>
    <row r="2197">
      <c r="A2197" t="inlineStr">
        <is>
          <t>2026-07</t>
        </is>
      </c>
      <c r="B2197" t="inlineStr">
        <is>
          <t>HOSP-4</t>
        </is>
      </c>
      <c r="C2197" t="inlineStr">
        <is>
          <t>SS-01099</t>
        </is>
      </c>
      <c r="D2197" t="n">
        <v>13</v>
      </c>
      <c r="E2197" t="n">
        <v>1</v>
      </c>
      <c r="G2197">
        <f>IF(AND(A2197&gt;=Inputs!$B$5,A2197&lt;=Inputs!$B$6),1,0)</f>
        <v/>
      </c>
    </row>
    <row r="2198">
      <c r="A2198" t="inlineStr">
        <is>
          <t>2026-07</t>
        </is>
      </c>
      <c r="B2198" t="inlineStr">
        <is>
          <t>HOSP-1</t>
        </is>
      </c>
      <c r="C2198" t="inlineStr">
        <is>
          <t>SS-01100</t>
        </is>
      </c>
      <c r="D2198" t="n">
        <v>12</v>
      </c>
      <c r="E2198" t="n">
        <v>0</v>
      </c>
      <c r="G2198">
        <f>IF(AND(A2198&gt;=Inputs!$B$5,A2198&lt;=Inputs!$B$6),1,0)</f>
        <v/>
      </c>
    </row>
    <row r="2199">
      <c r="A2199" t="inlineStr">
        <is>
          <t>2026-07</t>
        </is>
      </c>
      <c r="B2199" t="inlineStr">
        <is>
          <t>HOSP-2</t>
        </is>
      </c>
      <c r="C2199" t="inlineStr">
        <is>
          <t>SS-01101</t>
        </is>
      </c>
      <c r="D2199" t="n">
        <v>12</v>
      </c>
      <c r="E2199" t="n">
        <v>0</v>
      </c>
      <c r="G2199">
        <f>IF(AND(A2199&gt;=Inputs!$B$5,A2199&lt;=Inputs!$B$6),1,0)</f>
        <v/>
      </c>
    </row>
    <row r="2200">
      <c r="A2200" t="inlineStr">
        <is>
          <t>2026-07</t>
        </is>
      </c>
      <c r="B2200" t="inlineStr">
        <is>
          <t>HOSP-3</t>
        </is>
      </c>
      <c r="C2200" t="inlineStr">
        <is>
          <t>SS-01102</t>
        </is>
      </c>
      <c r="D2200" t="n">
        <v>53</v>
      </c>
      <c r="E2200" t="n">
        <v>1</v>
      </c>
      <c r="G2200">
        <f>IF(AND(A2200&gt;=Inputs!$B$5,A2200&lt;=Inputs!$B$6),1,0)</f>
        <v/>
      </c>
    </row>
    <row r="2201">
      <c r="A2201" t="inlineStr">
        <is>
          <t>2026-07</t>
        </is>
      </c>
      <c r="B2201" t="inlineStr">
        <is>
          <t>HOSP-4</t>
        </is>
      </c>
      <c r="C2201" t="inlineStr">
        <is>
          <t>SS-01103</t>
        </is>
      </c>
      <c r="D2201" t="n">
        <v>12</v>
      </c>
      <c r="E2201" t="n">
        <v>0</v>
      </c>
      <c r="G2201">
        <f>IF(AND(A2201&gt;=Inputs!$B$5,A2201&lt;=Inputs!$B$6),1,0)</f>
        <v/>
      </c>
    </row>
    <row r="2202">
      <c r="A2202" t="inlineStr">
        <is>
          <t>2026-07</t>
        </is>
      </c>
      <c r="B2202" t="inlineStr">
        <is>
          <t>HOSP-1</t>
        </is>
      </c>
      <c r="C2202" t="inlineStr">
        <is>
          <t>SS-01104</t>
        </is>
      </c>
      <c r="D2202" t="n">
        <v>192</v>
      </c>
      <c r="E2202" t="n">
        <v>0</v>
      </c>
      <c r="G2202">
        <f>IF(AND(A2202&gt;=Inputs!$B$5,A2202&lt;=Inputs!$B$6),1,0)</f>
        <v/>
      </c>
    </row>
    <row r="2203">
      <c r="A2203" t="inlineStr">
        <is>
          <t>2026-07</t>
        </is>
      </c>
      <c r="B2203" t="inlineStr">
        <is>
          <t>HOSP-2</t>
        </is>
      </c>
      <c r="C2203" t="inlineStr">
        <is>
          <t>SS-01105</t>
        </is>
      </c>
      <c r="D2203" t="n">
        <v>12</v>
      </c>
      <c r="E2203" t="n">
        <v>0</v>
      </c>
      <c r="G2203">
        <f>IF(AND(A2203&gt;=Inputs!$B$5,A2203&lt;=Inputs!$B$6),1,0)</f>
        <v/>
      </c>
    </row>
    <row r="2204">
      <c r="A2204" t="inlineStr">
        <is>
          <t>2026-07</t>
        </is>
      </c>
      <c r="B2204" t="inlineStr">
        <is>
          <t>HOSP-3</t>
        </is>
      </c>
      <c r="C2204" t="inlineStr">
        <is>
          <t>SS-01106</t>
        </is>
      </c>
      <c r="D2204" t="n">
        <v>0</v>
      </c>
      <c r="E2204" t="n">
        <v>0</v>
      </c>
      <c r="G2204">
        <f>IF(AND(A2204&gt;=Inputs!$B$5,A2204&lt;=Inputs!$B$6),1,0)</f>
        <v/>
      </c>
    </row>
    <row r="2205">
      <c r="A2205" t="inlineStr">
        <is>
          <t>2026-07</t>
        </is>
      </c>
      <c r="B2205" t="inlineStr">
        <is>
          <t>HOSP-4</t>
        </is>
      </c>
      <c r="C2205" t="inlineStr">
        <is>
          <t>SS-01107</t>
        </is>
      </c>
      <c r="D2205" t="n">
        <v>15</v>
      </c>
      <c r="E2205" t="n">
        <v>6</v>
      </c>
      <c r="G2205">
        <f>IF(AND(A2205&gt;=Inputs!$B$5,A2205&lt;=Inputs!$B$6),1,0)</f>
        <v/>
      </c>
    </row>
    <row r="2206">
      <c r="A2206" t="inlineStr">
        <is>
          <t>2026-07</t>
        </is>
      </c>
      <c r="B2206" t="inlineStr">
        <is>
          <t>HOSP-1</t>
        </is>
      </c>
      <c r="C2206" t="inlineStr">
        <is>
          <t>SS-01108</t>
        </is>
      </c>
      <c r="D2206" t="n">
        <v>12</v>
      </c>
      <c r="E2206" t="n">
        <v>0</v>
      </c>
      <c r="G2206">
        <f>IF(AND(A2206&gt;=Inputs!$B$5,A2206&lt;=Inputs!$B$6),1,0)</f>
        <v/>
      </c>
    </row>
    <row r="2207">
      <c r="A2207" t="inlineStr">
        <is>
          <t>2026-07</t>
        </is>
      </c>
      <c r="B2207" t="inlineStr">
        <is>
          <t>HOSP-2</t>
        </is>
      </c>
      <c r="C2207" t="inlineStr">
        <is>
          <t>SS-01109</t>
        </is>
      </c>
      <c r="D2207" t="n">
        <v>0</v>
      </c>
      <c r="E2207" t="n">
        <v>0</v>
      </c>
      <c r="G2207">
        <f>IF(AND(A2207&gt;=Inputs!$B$5,A2207&lt;=Inputs!$B$6),1,0)</f>
        <v/>
      </c>
    </row>
    <row r="2208">
      <c r="A2208" t="inlineStr">
        <is>
          <t>2026-07</t>
        </is>
      </c>
      <c r="B2208" t="inlineStr">
        <is>
          <t>HOSP-3</t>
        </is>
      </c>
      <c r="C2208" t="inlineStr">
        <is>
          <t>SS-01110</t>
        </is>
      </c>
      <c r="D2208" t="n">
        <v>12</v>
      </c>
      <c r="E2208" t="n">
        <v>0</v>
      </c>
      <c r="G2208">
        <f>IF(AND(A2208&gt;=Inputs!$B$5,A2208&lt;=Inputs!$B$6),1,0)</f>
        <v/>
      </c>
    </row>
    <row r="2209">
      <c r="A2209" t="inlineStr">
        <is>
          <t>2026-07</t>
        </is>
      </c>
      <c r="B2209" t="inlineStr">
        <is>
          <t>HOSP-4</t>
        </is>
      </c>
      <c r="C2209" t="inlineStr">
        <is>
          <t>SS-01111</t>
        </is>
      </c>
      <c r="D2209" t="n">
        <v>12</v>
      </c>
      <c r="E2209" t="n">
        <v>0</v>
      </c>
      <c r="G2209">
        <f>IF(AND(A2209&gt;=Inputs!$B$5,A2209&lt;=Inputs!$B$6),1,0)</f>
        <v/>
      </c>
    </row>
    <row r="2210">
      <c r="A2210" t="inlineStr">
        <is>
          <t>2026-07</t>
        </is>
      </c>
      <c r="B2210" t="inlineStr">
        <is>
          <t>HOSP-1</t>
        </is>
      </c>
      <c r="C2210" t="inlineStr">
        <is>
          <t>SS-01152</t>
        </is>
      </c>
      <c r="D2210" t="n">
        <v>5</v>
      </c>
      <c r="E2210" t="n">
        <v>2</v>
      </c>
      <c r="G2210">
        <f>IF(AND(A2210&gt;=Inputs!$B$5,A2210&lt;=Inputs!$B$6),1,0)</f>
        <v/>
      </c>
    </row>
    <row r="2211">
      <c r="A2211" t="inlineStr">
        <is>
          <t>2026-07</t>
        </is>
      </c>
      <c r="B2211" t="inlineStr">
        <is>
          <t>HOSP-2</t>
        </is>
      </c>
      <c r="C2211" t="inlineStr">
        <is>
          <t>SS-01113</t>
        </is>
      </c>
      <c r="D2211" t="n">
        <v>0</v>
      </c>
      <c r="E2211" t="n">
        <v>0</v>
      </c>
      <c r="G2211">
        <f>IF(AND(A2211&gt;=Inputs!$B$5,A2211&lt;=Inputs!$B$6),1,0)</f>
        <v/>
      </c>
    </row>
    <row r="2212">
      <c r="A2212" t="inlineStr">
        <is>
          <t>2026-07</t>
        </is>
      </c>
      <c r="B2212" t="inlineStr">
        <is>
          <t>HOSP-3</t>
        </is>
      </c>
      <c r="C2212" t="inlineStr">
        <is>
          <t>SS-01114</t>
        </is>
      </c>
      <c r="D2212" t="n">
        <v>12</v>
      </c>
      <c r="E2212" t="n">
        <v>0</v>
      </c>
      <c r="G2212">
        <f>IF(AND(A2212&gt;=Inputs!$B$5,A2212&lt;=Inputs!$B$6),1,0)</f>
        <v/>
      </c>
    </row>
    <row r="2213">
      <c r="A2213" t="inlineStr">
        <is>
          <t>2026-07</t>
        </is>
      </c>
      <c r="B2213" t="inlineStr">
        <is>
          <t>HOSP-4</t>
        </is>
      </c>
      <c r="C2213" t="inlineStr">
        <is>
          <t>SS-01115</t>
        </is>
      </c>
      <c r="D2213" t="n">
        <v>65</v>
      </c>
      <c r="E2213" t="n">
        <v>0</v>
      </c>
      <c r="G2213">
        <f>IF(AND(A2213&gt;=Inputs!$B$5,A2213&lt;=Inputs!$B$6),1,0)</f>
        <v/>
      </c>
    </row>
    <row r="2214">
      <c r="A2214" t="inlineStr">
        <is>
          <t>2026-07</t>
        </is>
      </c>
      <c r="B2214" t="inlineStr">
        <is>
          <t>HOSP-1</t>
        </is>
      </c>
      <c r="C2214" t="inlineStr">
        <is>
          <t>SS-01116</t>
        </is>
      </c>
      <c r="D2214" t="n">
        <v>156</v>
      </c>
      <c r="E2214" t="n">
        <v>0</v>
      </c>
      <c r="G2214">
        <f>IF(AND(A2214&gt;=Inputs!$B$5,A2214&lt;=Inputs!$B$6),1,0)</f>
        <v/>
      </c>
    </row>
    <row r="2215">
      <c r="A2215" t="inlineStr">
        <is>
          <t>2026-07</t>
        </is>
      </c>
      <c r="B2215" t="inlineStr">
        <is>
          <t>HOSP-2</t>
        </is>
      </c>
      <c r="C2215" t="inlineStr">
        <is>
          <t>SS-01117</t>
        </is>
      </c>
      <c r="D2215" t="n">
        <v>12</v>
      </c>
      <c r="E2215" t="n">
        <v>0</v>
      </c>
      <c r="G2215">
        <f>IF(AND(A2215&gt;=Inputs!$B$5,A2215&lt;=Inputs!$B$6),1,0)</f>
        <v/>
      </c>
    </row>
    <row r="2216">
      <c r="A2216" t="inlineStr">
        <is>
          <t>2026-07</t>
        </is>
      </c>
      <c r="B2216" t="inlineStr">
        <is>
          <t>HOSP-3</t>
        </is>
      </c>
      <c r="C2216" t="inlineStr">
        <is>
          <t>SS-01118</t>
        </is>
      </c>
      <c r="D2216" t="n">
        <v>12</v>
      </c>
      <c r="E2216" t="n">
        <v>0</v>
      </c>
      <c r="G2216">
        <f>IF(AND(A2216&gt;=Inputs!$B$5,A2216&lt;=Inputs!$B$6),1,0)</f>
        <v/>
      </c>
    </row>
    <row r="2217">
      <c r="A2217" t="inlineStr">
        <is>
          <t>2026-07</t>
        </is>
      </c>
      <c r="B2217" t="inlineStr">
        <is>
          <t>HOSP-4</t>
        </is>
      </c>
      <c r="C2217" t="inlineStr">
        <is>
          <t>SS-01119</t>
        </is>
      </c>
      <c r="D2217" t="n">
        <v>0</v>
      </c>
      <c r="E2217" t="n">
        <v>0</v>
      </c>
      <c r="G2217">
        <f>IF(AND(A2217&gt;=Inputs!$B$5,A2217&lt;=Inputs!$B$6),1,0)</f>
        <v/>
      </c>
    </row>
    <row r="2218">
      <c r="A2218" t="inlineStr">
        <is>
          <t>2026-07</t>
        </is>
      </c>
      <c r="B2218" t="inlineStr">
        <is>
          <t>HOSP-1</t>
        </is>
      </c>
      <c r="C2218" t="inlineStr">
        <is>
          <t>SS-01225</t>
        </is>
      </c>
      <c r="D2218" t="n">
        <v>23</v>
      </c>
      <c r="E2218" t="n">
        <v>1</v>
      </c>
      <c r="G2218">
        <f>IF(AND(A2218&gt;=Inputs!$B$5,A2218&lt;=Inputs!$B$6),1,0)</f>
        <v/>
      </c>
    </row>
    <row r="2219">
      <c r="A2219" t="inlineStr">
        <is>
          <t>2026-07</t>
        </is>
      </c>
      <c r="B2219" t="inlineStr">
        <is>
          <t>HOSP-2</t>
        </is>
      </c>
      <c r="C2219" t="inlineStr">
        <is>
          <t>SS-01156</t>
        </is>
      </c>
      <c r="D2219" t="n">
        <v>255</v>
      </c>
      <c r="E2219" t="n">
        <v>0</v>
      </c>
      <c r="G2219">
        <f>IF(AND(A2219&gt;=Inputs!$B$5,A2219&lt;=Inputs!$B$6),1,0)</f>
        <v/>
      </c>
    </row>
    <row r="2220">
      <c r="A2220" t="inlineStr">
        <is>
          <t>2026-07</t>
        </is>
      </c>
      <c r="B2220" t="inlineStr">
        <is>
          <t>HOSP-3</t>
        </is>
      </c>
      <c r="C2220" t="inlineStr">
        <is>
          <t>SS-01122</t>
        </is>
      </c>
      <c r="D2220" t="n">
        <v>36</v>
      </c>
      <c r="E2220" t="n">
        <v>0</v>
      </c>
      <c r="G2220">
        <f>IF(AND(A2220&gt;=Inputs!$B$5,A2220&lt;=Inputs!$B$6),1,0)</f>
        <v/>
      </c>
    </row>
    <row r="2221">
      <c r="A2221" t="inlineStr">
        <is>
          <t>2026-07</t>
        </is>
      </c>
      <c r="B2221" t="inlineStr">
        <is>
          <t>HOSP-4</t>
        </is>
      </c>
      <c r="C2221" t="inlineStr">
        <is>
          <t>SS-01123</t>
        </is>
      </c>
      <c r="D2221" t="n">
        <v>12</v>
      </c>
      <c r="E2221" t="n">
        <v>0</v>
      </c>
      <c r="G2221">
        <f>IF(AND(A2221&gt;=Inputs!$B$5,A2221&lt;=Inputs!$B$6),1,0)</f>
        <v/>
      </c>
    </row>
    <row r="2222">
      <c r="A2222" t="inlineStr">
        <is>
          <t>2026-07</t>
        </is>
      </c>
      <c r="B2222" t="inlineStr">
        <is>
          <t>HOSP-1</t>
        </is>
      </c>
      <c r="C2222" t="inlineStr">
        <is>
          <t>SS-01124</t>
        </is>
      </c>
      <c r="D2222" t="n">
        <v>24</v>
      </c>
      <c r="E2222" t="n">
        <v>2</v>
      </c>
      <c r="G2222">
        <f>IF(AND(A2222&gt;=Inputs!$B$5,A2222&lt;=Inputs!$B$6),1,0)</f>
        <v/>
      </c>
    </row>
    <row r="2223">
      <c r="A2223" t="inlineStr">
        <is>
          <t>2026-07</t>
        </is>
      </c>
      <c r="B2223" t="inlineStr">
        <is>
          <t>HOSP-2</t>
        </is>
      </c>
      <c r="C2223" t="inlineStr">
        <is>
          <t>SS-01125</t>
        </is>
      </c>
      <c r="D2223" t="n">
        <v>24</v>
      </c>
      <c r="E2223" t="n">
        <v>0</v>
      </c>
      <c r="G2223">
        <f>IF(AND(A2223&gt;=Inputs!$B$5,A2223&lt;=Inputs!$B$6),1,0)</f>
        <v/>
      </c>
    </row>
    <row r="2224">
      <c r="A2224" t="inlineStr">
        <is>
          <t>2026-07</t>
        </is>
      </c>
      <c r="B2224" t="inlineStr">
        <is>
          <t>HOSP-3</t>
        </is>
      </c>
      <c r="C2224" t="inlineStr">
        <is>
          <t>SS-01126</t>
        </is>
      </c>
      <c r="D2224" t="n">
        <v>96</v>
      </c>
      <c r="E2224" t="n">
        <v>0</v>
      </c>
      <c r="G2224">
        <f>IF(AND(A2224&gt;=Inputs!$B$5,A2224&lt;=Inputs!$B$6),1,0)</f>
        <v/>
      </c>
    </row>
    <row r="2225">
      <c r="A2225" t="inlineStr">
        <is>
          <t>2026-07</t>
        </is>
      </c>
      <c r="B2225" t="inlineStr">
        <is>
          <t>HOSP-4</t>
        </is>
      </c>
      <c r="C2225" t="inlineStr">
        <is>
          <t>SS-01218</t>
        </is>
      </c>
      <c r="D2225" t="n">
        <v>24</v>
      </c>
      <c r="E2225" t="n">
        <v>1</v>
      </c>
      <c r="G2225">
        <f>IF(AND(A2225&gt;=Inputs!$B$5,A2225&lt;=Inputs!$B$6),1,0)</f>
        <v/>
      </c>
    </row>
    <row r="2226">
      <c r="A2226" t="inlineStr">
        <is>
          <t>2026-07</t>
        </is>
      </c>
      <c r="B2226" t="inlineStr">
        <is>
          <t>HOSP-1</t>
        </is>
      </c>
      <c r="C2226" t="inlineStr">
        <is>
          <t>SS-01128</t>
        </is>
      </c>
      <c r="D2226" t="n">
        <v>24</v>
      </c>
      <c r="E2226" t="n">
        <v>0</v>
      </c>
      <c r="G2226">
        <f>IF(AND(A2226&gt;=Inputs!$B$5,A2226&lt;=Inputs!$B$6),1,0)</f>
        <v/>
      </c>
    </row>
    <row r="2227">
      <c r="A2227" t="inlineStr">
        <is>
          <t>2026-07</t>
        </is>
      </c>
      <c r="B2227" t="inlineStr">
        <is>
          <t>HOSP-2</t>
        </is>
      </c>
      <c r="C2227" t="inlineStr">
        <is>
          <t>SS-01129</t>
        </is>
      </c>
      <c r="D2227" t="n">
        <v>12</v>
      </c>
      <c r="E2227" t="n">
        <v>0</v>
      </c>
      <c r="G2227">
        <f>IF(AND(A2227&gt;=Inputs!$B$5,A2227&lt;=Inputs!$B$6),1,0)</f>
        <v/>
      </c>
    </row>
    <row r="2228">
      <c r="A2228" t="inlineStr">
        <is>
          <t>2026-07</t>
        </is>
      </c>
      <c r="B2228" t="inlineStr">
        <is>
          <t>HOSP-3</t>
        </is>
      </c>
      <c r="C2228" t="inlineStr">
        <is>
          <t>SS-01130</t>
        </is>
      </c>
      <c r="D2228" t="n">
        <v>12</v>
      </c>
      <c r="E2228" t="n">
        <v>0</v>
      </c>
      <c r="G2228">
        <f>IF(AND(A2228&gt;=Inputs!$B$5,A2228&lt;=Inputs!$B$6),1,0)</f>
        <v/>
      </c>
    </row>
    <row r="2229">
      <c r="A2229" t="inlineStr">
        <is>
          <t>2026-07</t>
        </is>
      </c>
      <c r="B2229" t="inlineStr">
        <is>
          <t>HOSP-4</t>
        </is>
      </c>
      <c r="C2229" t="inlineStr">
        <is>
          <t>SS-01131</t>
        </is>
      </c>
      <c r="D2229" t="n">
        <v>12</v>
      </c>
      <c r="E2229" t="n">
        <v>4</v>
      </c>
      <c r="G2229">
        <f>IF(AND(A2229&gt;=Inputs!$B$5,A2229&lt;=Inputs!$B$6),1,0)</f>
        <v/>
      </c>
    </row>
    <row r="2230">
      <c r="A2230" t="inlineStr">
        <is>
          <t>2026-07</t>
        </is>
      </c>
      <c r="B2230" t="inlineStr">
        <is>
          <t>HOSP-1</t>
        </is>
      </c>
      <c r="C2230" t="inlineStr">
        <is>
          <t>SS-01132</t>
        </is>
      </c>
      <c r="D2230" t="n">
        <v>60</v>
      </c>
      <c r="E2230" t="n">
        <v>0</v>
      </c>
      <c r="G2230">
        <f>IF(AND(A2230&gt;=Inputs!$B$5,A2230&lt;=Inputs!$B$6),1,0)</f>
        <v/>
      </c>
    </row>
    <row r="2231">
      <c r="A2231" t="inlineStr">
        <is>
          <t>2026-07</t>
        </is>
      </c>
      <c r="B2231" t="inlineStr">
        <is>
          <t>HOSP-2</t>
        </is>
      </c>
      <c r="C2231" t="inlineStr">
        <is>
          <t>SS-01133</t>
        </is>
      </c>
      <c r="D2231" t="n">
        <v>0</v>
      </c>
      <c r="E2231" t="n">
        <v>0</v>
      </c>
      <c r="G2231">
        <f>IF(AND(A2231&gt;=Inputs!$B$5,A2231&lt;=Inputs!$B$6),1,0)</f>
        <v/>
      </c>
    </row>
    <row r="2232">
      <c r="A2232" t="inlineStr">
        <is>
          <t>2026-07</t>
        </is>
      </c>
      <c r="B2232" t="inlineStr">
        <is>
          <t>HOSP-3</t>
        </is>
      </c>
      <c r="C2232" t="inlineStr">
        <is>
          <t>SS-01134</t>
        </is>
      </c>
      <c r="D2232" t="n">
        <v>0</v>
      </c>
      <c r="E2232" t="n">
        <v>0</v>
      </c>
      <c r="G2232">
        <f>IF(AND(A2232&gt;=Inputs!$B$5,A2232&lt;=Inputs!$B$6),1,0)</f>
        <v/>
      </c>
    </row>
    <row r="2233">
      <c r="A2233" t="inlineStr">
        <is>
          <t>2026-07</t>
        </is>
      </c>
      <c r="B2233" t="inlineStr">
        <is>
          <t>HOSP-4</t>
        </is>
      </c>
      <c r="C2233" t="inlineStr">
        <is>
          <t>SS-01135</t>
        </is>
      </c>
      <c r="D2233" t="n">
        <v>39</v>
      </c>
      <c r="E2233" t="n">
        <v>0</v>
      </c>
      <c r="G2233">
        <f>IF(AND(A2233&gt;=Inputs!$B$5,A2233&lt;=Inputs!$B$6),1,0)</f>
        <v/>
      </c>
    </row>
    <row r="2234">
      <c r="A2234" t="inlineStr">
        <is>
          <t>2026-07</t>
        </is>
      </c>
      <c r="B2234" t="inlineStr">
        <is>
          <t>HOSP-1</t>
        </is>
      </c>
      <c r="C2234" t="inlineStr">
        <is>
          <t>SS-01136</t>
        </is>
      </c>
      <c r="D2234" t="n">
        <v>0</v>
      </c>
      <c r="E2234" t="n">
        <v>2</v>
      </c>
      <c r="G2234">
        <f>IF(AND(A2234&gt;=Inputs!$B$5,A2234&lt;=Inputs!$B$6),1,0)</f>
        <v/>
      </c>
    </row>
    <row r="2235">
      <c r="A2235" t="inlineStr">
        <is>
          <t>2026-07</t>
        </is>
      </c>
      <c r="B2235" t="inlineStr">
        <is>
          <t>HOSP-2</t>
        </is>
      </c>
      <c r="C2235" t="inlineStr">
        <is>
          <t>SS-01137</t>
        </is>
      </c>
      <c r="D2235" t="n">
        <v>24</v>
      </c>
      <c r="E2235" t="n">
        <v>0</v>
      </c>
      <c r="G2235">
        <f>IF(AND(A2235&gt;=Inputs!$B$5,A2235&lt;=Inputs!$B$6),1,0)</f>
        <v/>
      </c>
    </row>
    <row r="2236">
      <c r="A2236" t="inlineStr">
        <is>
          <t>2026-07</t>
        </is>
      </c>
      <c r="B2236" t="inlineStr">
        <is>
          <t>HOSP-3</t>
        </is>
      </c>
      <c r="C2236" t="inlineStr">
        <is>
          <t>SS-01138</t>
        </is>
      </c>
      <c r="D2236" t="n">
        <v>24</v>
      </c>
      <c r="E2236" t="n">
        <v>0</v>
      </c>
      <c r="G2236">
        <f>IF(AND(A2236&gt;=Inputs!$B$5,A2236&lt;=Inputs!$B$6),1,0)</f>
        <v/>
      </c>
    </row>
    <row r="2237">
      <c r="A2237" t="inlineStr">
        <is>
          <t>2026-07</t>
        </is>
      </c>
      <c r="B2237" t="inlineStr">
        <is>
          <t>HOSP-4</t>
        </is>
      </c>
      <c r="C2237" t="inlineStr">
        <is>
          <t>SS-01139</t>
        </is>
      </c>
      <c r="D2237" t="n">
        <v>144</v>
      </c>
      <c r="E2237" t="n">
        <v>0</v>
      </c>
      <c r="G2237">
        <f>IF(AND(A2237&gt;=Inputs!$B$5,A2237&lt;=Inputs!$B$6),1,0)</f>
        <v/>
      </c>
    </row>
    <row r="2238">
      <c r="A2238" t="inlineStr">
        <is>
          <t>2026-07</t>
        </is>
      </c>
      <c r="B2238" t="inlineStr">
        <is>
          <t>HOSP-1</t>
        </is>
      </c>
      <c r="C2238" t="inlineStr">
        <is>
          <t>SS-01140</t>
        </is>
      </c>
      <c r="D2238" t="n">
        <v>0</v>
      </c>
      <c r="E2238" t="n">
        <v>0</v>
      </c>
      <c r="G2238">
        <f>IF(AND(A2238&gt;=Inputs!$B$5,A2238&lt;=Inputs!$B$6),1,0)</f>
        <v/>
      </c>
    </row>
    <row r="2239">
      <c r="A2239" t="inlineStr">
        <is>
          <t>2026-07</t>
        </is>
      </c>
      <c r="B2239" t="inlineStr">
        <is>
          <t>HOSP-2</t>
        </is>
      </c>
      <c r="C2239" t="inlineStr">
        <is>
          <t>SS-01141</t>
        </is>
      </c>
      <c r="D2239" t="n">
        <v>84</v>
      </c>
      <c r="E2239" t="n">
        <v>0</v>
      </c>
      <c r="G2239">
        <f>IF(AND(A2239&gt;=Inputs!$B$5,A2239&lt;=Inputs!$B$6),1,0)</f>
        <v/>
      </c>
    </row>
    <row r="2240">
      <c r="A2240" t="inlineStr">
        <is>
          <t>2026-07</t>
        </is>
      </c>
      <c r="B2240" t="inlineStr">
        <is>
          <t>HOSP-3</t>
        </is>
      </c>
      <c r="C2240" t="inlineStr">
        <is>
          <t>SS-01142</t>
        </is>
      </c>
      <c r="D2240" t="n">
        <v>104</v>
      </c>
      <c r="E2240" t="n">
        <v>0</v>
      </c>
      <c r="G2240">
        <f>IF(AND(A2240&gt;=Inputs!$B$5,A2240&lt;=Inputs!$B$6),1,0)</f>
        <v/>
      </c>
    </row>
    <row r="2241">
      <c r="A2241" t="inlineStr">
        <is>
          <t>2026-07</t>
        </is>
      </c>
      <c r="B2241" t="inlineStr">
        <is>
          <t>HOSP-4</t>
        </is>
      </c>
      <c r="C2241" t="inlineStr">
        <is>
          <t>SS-01143</t>
        </is>
      </c>
      <c r="D2241" t="n">
        <v>24</v>
      </c>
      <c r="E2241" t="n">
        <v>0</v>
      </c>
      <c r="G2241">
        <f>IF(AND(A2241&gt;=Inputs!$B$5,A2241&lt;=Inputs!$B$6),1,0)</f>
        <v/>
      </c>
    </row>
    <row r="2242">
      <c r="A2242" t="inlineStr">
        <is>
          <t>2026-07</t>
        </is>
      </c>
      <c r="B2242" t="inlineStr">
        <is>
          <t>HOSP-1</t>
        </is>
      </c>
      <c r="C2242" t="inlineStr">
        <is>
          <t>SS-01144</t>
        </is>
      </c>
      <c r="D2242" t="n">
        <v>12</v>
      </c>
      <c r="E2242" t="n">
        <v>0</v>
      </c>
      <c r="G2242">
        <f>IF(AND(A2242&gt;=Inputs!$B$5,A2242&lt;=Inputs!$B$6),1,0)</f>
        <v/>
      </c>
    </row>
    <row r="2243">
      <c r="A2243" t="inlineStr">
        <is>
          <t>2026-07</t>
        </is>
      </c>
      <c r="B2243" t="inlineStr">
        <is>
          <t>HOSP-2</t>
        </is>
      </c>
      <c r="C2243" t="inlineStr">
        <is>
          <t>SS-01145</t>
        </is>
      </c>
      <c r="D2243" t="n">
        <v>0</v>
      </c>
      <c r="E2243" t="n">
        <v>0</v>
      </c>
      <c r="G2243">
        <f>IF(AND(A2243&gt;=Inputs!$B$5,A2243&lt;=Inputs!$B$6),1,0)</f>
        <v/>
      </c>
    </row>
    <row r="2244">
      <c r="A2244" t="inlineStr">
        <is>
          <t>2026-07</t>
        </is>
      </c>
      <c r="B2244" t="inlineStr">
        <is>
          <t>HOSP-3</t>
        </is>
      </c>
      <c r="C2244" t="inlineStr">
        <is>
          <t>SS-01146</t>
        </is>
      </c>
      <c r="D2244" t="n">
        <v>0</v>
      </c>
      <c r="E2244" t="n">
        <v>0</v>
      </c>
      <c r="G2244">
        <f>IF(AND(A2244&gt;=Inputs!$B$5,A2244&lt;=Inputs!$B$6),1,0)</f>
        <v/>
      </c>
    </row>
    <row r="2245">
      <c r="A2245" t="inlineStr">
        <is>
          <t>2026-07</t>
        </is>
      </c>
      <c r="B2245" t="inlineStr">
        <is>
          <t>HOSP-4</t>
        </is>
      </c>
      <c r="C2245" t="inlineStr">
        <is>
          <t>SS-01147</t>
        </is>
      </c>
      <c r="D2245" t="n">
        <v>12</v>
      </c>
      <c r="E2245" t="n">
        <v>0</v>
      </c>
      <c r="G2245">
        <f>IF(AND(A2245&gt;=Inputs!$B$5,A2245&lt;=Inputs!$B$6),1,0)</f>
        <v/>
      </c>
    </row>
    <row r="2246">
      <c r="A2246" t="inlineStr">
        <is>
          <t>2026-07</t>
        </is>
      </c>
      <c r="B2246" t="inlineStr">
        <is>
          <t>HOSP-1</t>
        </is>
      </c>
      <c r="C2246" t="inlineStr">
        <is>
          <t>SS-01148</t>
        </is>
      </c>
      <c r="D2246" t="n">
        <v>12</v>
      </c>
      <c r="E2246" t="n">
        <v>0</v>
      </c>
      <c r="G2246">
        <f>IF(AND(A2246&gt;=Inputs!$B$5,A2246&lt;=Inputs!$B$6),1,0)</f>
        <v/>
      </c>
    </row>
    <row r="2247">
      <c r="A2247" t="inlineStr">
        <is>
          <t>2026-07</t>
        </is>
      </c>
      <c r="B2247" t="inlineStr">
        <is>
          <t>HOSP-2</t>
        </is>
      </c>
      <c r="C2247" t="inlineStr">
        <is>
          <t>SS-01149</t>
        </is>
      </c>
      <c r="D2247" t="n">
        <v>0</v>
      </c>
      <c r="E2247" t="n">
        <v>0</v>
      </c>
      <c r="G2247">
        <f>IF(AND(A2247&gt;=Inputs!$B$5,A2247&lt;=Inputs!$B$6),1,0)</f>
        <v/>
      </c>
    </row>
    <row r="2248">
      <c r="A2248" t="inlineStr">
        <is>
          <t>2026-07</t>
        </is>
      </c>
      <c r="B2248" t="inlineStr">
        <is>
          <t>HOSP-3</t>
        </is>
      </c>
      <c r="C2248" t="inlineStr">
        <is>
          <t>SS-01150</t>
        </is>
      </c>
      <c r="D2248" t="n">
        <v>12</v>
      </c>
      <c r="E2248" t="n">
        <v>0</v>
      </c>
      <c r="G2248">
        <f>IF(AND(A2248&gt;=Inputs!$B$5,A2248&lt;=Inputs!$B$6),1,0)</f>
        <v/>
      </c>
    </row>
    <row r="2249">
      <c r="A2249" t="inlineStr">
        <is>
          <t>2026-07</t>
        </is>
      </c>
      <c r="B2249" t="inlineStr">
        <is>
          <t>HOSP-4</t>
        </is>
      </c>
      <c r="C2249" t="inlineStr">
        <is>
          <t>SS-01151</t>
        </is>
      </c>
      <c r="D2249" t="n">
        <v>22</v>
      </c>
      <c r="E2249" t="n">
        <v>1</v>
      </c>
      <c r="G2249">
        <f>IF(AND(A2249&gt;=Inputs!$B$5,A2249&lt;=Inputs!$B$6),1,0)</f>
        <v/>
      </c>
    </row>
    <row r="2250">
      <c r="A2250" t="inlineStr">
        <is>
          <t>2026-07</t>
        </is>
      </c>
      <c r="B2250" t="inlineStr">
        <is>
          <t>HOSP-1</t>
        </is>
      </c>
      <c r="C2250" t="inlineStr">
        <is>
          <t>SS-01152</t>
        </is>
      </c>
      <c r="D2250" t="n">
        <v>36</v>
      </c>
      <c r="E2250" t="n">
        <v>0</v>
      </c>
      <c r="G2250">
        <f>IF(AND(A2250&gt;=Inputs!$B$5,A2250&lt;=Inputs!$B$6),1,0)</f>
        <v/>
      </c>
    </row>
    <row r="2251">
      <c r="A2251" t="inlineStr">
        <is>
          <t>2026-07</t>
        </is>
      </c>
      <c r="B2251" t="inlineStr">
        <is>
          <t>HOSP-2</t>
        </is>
      </c>
      <c r="C2251" t="inlineStr">
        <is>
          <t>SS-01153</t>
        </is>
      </c>
      <c r="D2251" t="n">
        <v>24</v>
      </c>
      <c r="E2251" t="n">
        <v>0</v>
      </c>
      <c r="F2251" t="inlineStr">
        <is>
          <t>surge</t>
        </is>
      </c>
      <c r="G2251">
        <f>IF(AND(A2251&gt;=Inputs!$B$5,A2251&lt;=Inputs!$B$6),1,0)</f>
        <v/>
      </c>
    </row>
    <row r="2252">
      <c r="A2252" t="inlineStr">
        <is>
          <t>2026-07</t>
        </is>
      </c>
      <c r="B2252" t="inlineStr">
        <is>
          <t>HOSP-3</t>
        </is>
      </c>
      <c r="C2252" t="inlineStr">
        <is>
          <t>SS-01154</t>
        </is>
      </c>
      <c r="D2252" t="n">
        <v>384</v>
      </c>
      <c r="E2252" t="n">
        <v>0</v>
      </c>
      <c r="G2252">
        <f>IF(AND(A2252&gt;=Inputs!$B$5,A2252&lt;=Inputs!$B$6),1,0)</f>
        <v/>
      </c>
    </row>
    <row r="2253">
      <c r="A2253" t="inlineStr">
        <is>
          <t>2026-07</t>
        </is>
      </c>
      <c r="B2253" t="inlineStr">
        <is>
          <t>HOSP-4</t>
        </is>
      </c>
      <c r="C2253" t="inlineStr">
        <is>
          <t>SS-01155</t>
        </is>
      </c>
      <c r="D2253" t="n">
        <v>0</v>
      </c>
      <c r="E2253" t="n">
        <v>0</v>
      </c>
      <c r="G2253">
        <f>IF(AND(A2253&gt;=Inputs!$B$5,A2253&lt;=Inputs!$B$6),1,0)</f>
        <v/>
      </c>
    </row>
    <row r="2254">
      <c r="A2254" t="inlineStr">
        <is>
          <t>2026-07</t>
        </is>
      </c>
      <c r="B2254" t="inlineStr">
        <is>
          <t>HOSP-1</t>
        </is>
      </c>
      <c r="C2254" t="inlineStr">
        <is>
          <t>SS-01156</t>
        </is>
      </c>
      <c r="D2254" t="n">
        <v>0</v>
      </c>
      <c r="E2254" t="n">
        <v>0</v>
      </c>
      <c r="G2254">
        <f>IF(AND(A2254&gt;=Inputs!$B$5,A2254&lt;=Inputs!$B$6),1,0)</f>
        <v/>
      </c>
    </row>
    <row r="2255">
      <c r="A2255" t="inlineStr">
        <is>
          <t>2026-07</t>
        </is>
      </c>
      <c r="B2255" t="inlineStr">
        <is>
          <t>HOSP-2</t>
        </is>
      </c>
      <c r="C2255" t="inlineStr">
        <is>
          <t>SS-01157</t>
        </is>
      </c>
      <c r="D2255" t="n">
        <v>21</v>
      </c>
      <c r="E2255" t="n">
        <v>0</v>
      </c>
      <c r="G2255">
        <f>IF(AND(A2255&gt;=Inputs!$B$5,A2255&lt;=Inputs!$B$6),1,0)</f>
        <v/>
      </c>
    </row>
    <row r="2256">
      <c r="A2256" t="inlineStr">
        <is>
          <t>2026-07</t>
        </is>
      </c>
      <c r="B2256" t="inlineStr">
        <is>
          <t>HOSP-3</t>
        </is>
      </c>
      <c r="C2256" t="inlineStr">
        <is>
          <t>SS-01158</t>
        </is>
      </c>
      <c r="D2256" t="n">
        <v>84</v>
      </c>
      <c r="E2256" t="n">
        <v>0</v>
      </c>
      <c r="G2256">
        <f>IF(AND(A2256&gt;=Inputs!$B$5,A2256&lt;=Inputs!$B$6),1,0)</f>
        <v/>
      </c>
    </row>
    <row r="2257">
      <c r="A2257" t="inlineStr">
        <is>
          <t>2026-07</t>
        </is>
      </c>
      <c r="B2257" t="inlineStr">
        <is>
          <t>HOSP-4</t>
        </is>
      </c>
      <c r="C2257" t="inlineStr">
        <is>
          <t>SS-01159</t>
        </is>
      </c>
      <c r="D2257" t="n">
        <v>0</v>
      </c>
      <c r="E2257" t="n">
        <v>0</v>
      </c>
      <c r="G2257">
        <f>IF(AND(A2257&gt;=Inputs!$B$5,A2257&lt;=Inputs!$B$6),1,0)</f>
        <v/>
      </c>
    </row>
    <row r="2258">
      <c r="A2258" t="inlineStr">
        <is>
          <t>2026-07</t>
        </is>
      </c>
      <c r="B2258" t="inlineStr">
        <is>
          <t>HOSP-1</t>
        </is>
      </c>
      <c r="C2258" t="inlineStr">
        <is>
          <t>SS-01160</t>
        </is>
      </c>
      <c r="D2258" t="n">
        <v>12</v>
      </c>
      <c r="E2258" t="n">
        <v>0</v>
      </c>
      <c r="G2258">
        <f>IF(AND(A2258&gt;=Inputs!$B$5,A2258&lt;=Inputs!$B$6),1,0)</f>
        <v/>
      </c>
    </row>
    <row r="2259">
      <c r="A2259" t="inlineStr">
        <is>
          <t>2026-07</t>
        </is>
      </c>
      <c r="B2259" t="inlineStr">
        <is>
          <t>HOSP-2</t>
        </is>
      </c>
      <c r="C2259" t="inlineStr">
        <is>
          <t>SS-01161</t>
        </is>
      </c>
      <c r="D2259" t="n">
        <v>0</v>
      </c>
      <c r="E2259" t="n">
        <v>1</v>
      </c>
      <c r="G2259">
        <f>IF(AND(A2259&gt;=Inputs!$B$5,A2259&lt;=Inputs!$B$6),1,0)</f>
        <v/>
      </c>
    </row>
    <row r="2260">
      <c r="A2260" t="inlineStr">
        <is>
          <t>2026-07</t>
        </is>
      </c>
      <c r="B2260" t="inlineStr">
        <is>
          <t>HOSP-3</t>
        </is>
      </c>
      <c r="C2260" t="inlineStr">
        <is>
          <t>SS-01162</t>
        </is>
      </c>
      <c r="D2260" t="n">
        <v>108</v>
      </c>
      <c r="E2260" t="n">
        <v>0</v>
      </c>
      <c r="G2260">
        <f>IF(AND(A2260&gt;=Inputs!$B$5,A2260&lt;=Inputs!$B$6),1,0)</f>
        <v/>
      </c>
    </row>
    <row r="2261">
      <c r="A2261" t="inlineStr">
        <is>
          <t>2026-07</t>
        </is>
      </c>
      <c r="B2261" t="inlineStr">
        <is>
          <t>HOSP-4</t>
        </is>
      </c>
      <c r="C2261" t="inlineStr">
        <is>
          <t>SS-01002</t>
        </is>
      </c>
      <c r="D2261" t="n">
        <v>58</v>
      </c>
      <c r="E2261" t="n">
        <v>1</v>
      </c>
      <c r="G2261">
        <f>IF(AND(A2261&gt;=Inputs!$B$5,A2261&lt;=Inputs!$B$6),1,0)</f>
        <v/>
      </c>
    </row>
    <row r="2262">
      <c r="A2262" t="inlineStr">
        <is>
          <t>2026-07</t>
        </is>
      </c>
      <c r="B2262" t="inlineStr">
        <is>
          <t>HOSP-1</t>
        </is>
      </c>
      <c r="C2262" t="inlineStr">
        <is>
          <t>SS-01164</t>
        </is>
      </c>
      <c r="D2262" t="n">
        <v>12</v>
      </c>
      <c r="E2262" t="n">
        <v>0</v>
      </c>
      <c r="G2262">
        <f>IF(AND(A2262&gt;=Inputs!$B$5,A2262&lt;=Inputs!$B$6),1,0)</f>
        <v/>
      </c>
    </row>
    <row r="2263">
      <c r="A2263" t="inlineStr">
        <is>
          <t>2026-07</t>
        </is>
      </c>
      <c r="B2263" t="inlineStr">
        <is>
          <t>HOSP-2</t>
        </is>
      </c>
      <c r="C2263" t="inlineStr">
        <is>
          <t>SS-01165</t>
        </is>
      </c>
      <c r="D2263" t="n">
        <v>48</v>
      </c>
      <c r="E2263" t="n">
        <v>0</v>
      </c>
      <c r="G2263">
        <f>IF(AND(A2263&gt;=Inputs!$B$5,A2263&lt;=Inputs!$B$6),1,0)</f>
        <v/>
      </c>
    </row>
    <row r="2264">
      <c r="A2264" t="inlineStr">
        <is>
          <t>2026-07</t>
        </is>
      </c>
      <c r="B2264" t="inlineStr">
        <is>
          <t>HOSP-3</t>
        </is>
      </c>
      <c r="C2264" t="inlineStr">
        <is>
          <t>SS-01166</t>
        </is>
      </c>
      <c r="D2264" t="n">
        <v>12</v>
      </c>
      <c r="E2264" t="n">
        <v>0</v>
      </c>
      <c r="G2264">
        <f>IF(AND(A2264&gt;=Inputs!$B$5,A2264&lt;=Inputs!$B$6),1,0)</f>
        <v/>
      </c>
    </row>
    <row r="2265">
      <c r="A2265" t="inlineStr">
        <is>
          <t>2026-07</t>
        </is>
      </c>
      <c r="B2265" t="inlineStr">
        <is>
          <t>HOSP-4</t>
        </is>
      </c>
      <c r="C2265" t="inlineStr">
        <is>
          <t>SS-01167</t>
        </is>
      </c>
      <c r="D2265" t="n">
        <v>36</v>
      </c>
      <c r="E2265" t="n">
        <v>0</v>
      </c>
      <c r="G2265">
        <f>IF(AND(A2265&gt;=Inputs!$B$5,A2265&lt;=Inputs!$B$6),1,0)</f>
        <v/>
      </c>
    </row>
    <row r="2266">
      <c r="A2266" t="inlineStr">
        <is>
          <t>2026-07</t>
        </is>
      </c>
      <c r="B2266" t="inlineStr">
        <is>
          <t>HOSP-1</t>
        </is>
      </c>
      <c r="C2266" t="inlineStr">
        <is>
          <t>SS-01168</t>
        </is>
      </c>
      <c r="D2266" t="n">
        <v>144</v>
      </c>
      <c r="E2266" t="n">
        <v>0</v>
      </c>
      <c r="G2266">
        <f>IF(AND(A2266&gt;=Inputs!$B$5,A2266&lt;=Inputs!$B$6),1,0)</f>
        <v/>
      </c>
    </row>
    <row r="2267">
      <c r="A2267" t="inlineStr">
        <is>
          <t>2026-07</t>
        </is>
      </c>
      <c r="B2267" t="inlineStr">
        <is>
          <t>HOSP-2</t>
        </is>
      </c>
      <c r="C2267" t="inlineStr">
        <is>
          <t>SS-01169</t>
        </is>
      </c>
      <c r="D2267" t="n">
        <v>12</v>
      </c>
      <c r="E2267" t="n">
        <v>0</v>
      </c>
      <c r="G2267">
        <f>IF(AND(A2267&gt;=Inputs!$B$5,A2267&lt;=Inputs!$B$6),1,0)</f>
        <v/>
      </c>
    </row>
    <row r="2268">
      <c r="A2268" t="inlineStr">
        <is>
          <t>2026-07</t>
        </is>
      </c>
      <c r="B2268" t="inlineStr">
        <is>
          <t>HOSP-3</t>
        </is>
      </c>
      <c r="C2268" t="inlineStr">
        <is>
          <t>SS-01170</t>
        </is>
      </c>
      <c r="D2268" t="n">
        <v>38</v>
      </c>
      <c r="E2268" t="n">
        <v>0</v>
      </c>
      <c r="G2268">
        <f>IF(AND(A2268&gt;=Inputs!$B$5,A2268&lt;=Inputs!$B$6),1,0)</f>
        <v/>
      </c>
    </row>
    <row r="2269">
      <c r="A2269" t="inlineStr">
        <is>
          <t>2026-07</t>
        </is>
      </c>
      <c r="B2269" t="inlineStr">
        <is>
          <t>HOSP-4</t>
        </is>
      </c>
      <c r="C2269" t="inlineStr">
        <is>
          <t>SS-01171</t>
        </is>
      </c>
      <c r="D2269" t="n">
        <v>456</v>
      </c>
      <c r="E2269" t="n">
        <v>0</v>
      </c>
      <c r="G2269">
        <f>IF(AND(A2269&gt;=Inputs!$B$5,A2269&lt;=Inputs!$B$6),1,0)</f>
        <v/>
      </c>
    </row>
    <row r="2270">
      <c r="A2270" t="inlineStr">
        <is>
          <t>2026-07</t>
        </is>
      </c>
      <c r="B2270" t="inlineStr">
        <is>
          <t>HOSP-1</t>
        </is>
      </c>
      <c r="C2270" t="inlineStr">
        <is>
          <t>SS-01172</t>
        </is>
      </c>
      <c r="D2270" t="n">
        <v>24</v>
      </c>
      <c r="E2270" t="n">
        <v>0</v>
      </c>
      <c r="G2270">
        <f>IF(AND(A2270&gt;=Inputs!$B$5,A2270&lt;=Inputs!$B$6),1,0)</f>
        <v/>
      </c>
    </row>
    <row r="2271">
      <c r="A2271" t="inlineStr">
        <is>
          <t>2026-07</t>
        </is>
      </c>
      <c r="B2271" t="inlineStr">
        <is>
          <t>HOSP-2</t>
        </is>
      </c>
      <c r="C2271" t="inlineStr">
        <is>
          <t>SS-01173</t>
        </is>
      </c>
      <c r="D2271" t="n">
        <v>168</v>
      </c>
      <c r="E2271" t="n">
        <v>0</v>
      </c>
      <c r="G2271">
        <f>IF(AND(A2271&gt;=Inputs!$B$5,A2271&lt;=Inputs!$B$6),1,0)</f>
        <v/>
      </c>
    </row>
    <row r="2272">
      <c r="A2272" t="inlineStr">
        <is>
          <t>2026-07</t>
        </is>
      </c>
      <c r="B2272" t="inlineStr">
        <is>
          <t>HOSP-3</t>
        </is>
      </c>
      <c r="C2272" t="inlineStr">
        <is>
          <t>SS-01174</t>
        </is>
      </c>
      <c r="D2272" t="n">
        <v>228</v>
      </c>
      <c r="E2272" t="n">
        <v>0</v>
      </c>
      <c r="G2272">
        <f>IF(AND(A2272&gt;=Inputs!$B$5,A2272&lt;=Inputs!$B$6),1,0)</f>
        <v/>
      </c>
    </row>
    <row r="2273">
      <c r="A2273" t="inlineStr">
        <is>
          <t>2026-07</t>
        </is>
      </c>
      <c r="B2273" t="inlineStr">
        <is>
          <t>HOSP-4</t>
        </is>
      </c>
      <c r="C2273" t="inlineStr">
        <is>
          <t>SS-01175</t>
        </is>
      </c>
      <c r="D2273" t="n">
        <v>0</v>
      </c>
      <c r="E2273" t="n">
        <v>0</v>
      </c>
      <c r="G2273">
        <f>IF(AND(A2273&gt;=Inputs!$B$5,A2273&lt;=Inputs!$B$6),1,0)</f>
        <v/>
      </c>
    </row>
    <row r="2274">
      <c r="A2274" t="inlineStr">
        <is>
          <t>2026-07</t>
        </is>
      </c>
      <c r="B2274" t="inlineStr">
        <is>
          <t>HOSP-1</t>
        </is>
      </c>
      <c r="C2274" t="inlineStr">
        <is>
          <t>SS-01176</t>
        </is>
      </c>
      <c r="D2274" t="n">
        <v>48</v>
      </c>
      <c r="E2274" t="n">
        <v>0</v>
      </c>
      <c r="G2274">
        <f>IF(AND(A2274&gt;=Inputs!$B$5,A2274&lt;=Inputs!$B$6),1,0)</f>
        <v/>
      </c>
    </row>
    <row r="2275">
      <c r="A2275" t="inlineStr">
        <is>
          <t>2026-07</t>
        </is>
      </c>
      <c r="B2275" t="inlineStr">
        <is>
          <t>HOSP-2</t>
        </is>
      </c>
      <c r="C2275" t="inlineStr">
        <is>
          <t>SS-01177</t>
        </is>
      </c>
      <c r="D2275" t="n">
        <v>120</v>
      </c>
      <c r="E2275" t="n">
        <v>0</v>
      </c>
      <c r="G2275">
        <f>IF(AND(A2275&gt;=Inputs!$B$5,A2275&lt;=Inputs!$B$6),1,0)</f>
        <v/>
      </c>
    </row>
    <row r="2276">
      <c r="A2276" t="inlineStr">
        <is>
          <t>2026-07</t>
        </is>
      </c>
      <c r="B2276" t="inlineStr">
        <is>
          <t>HOSP-3</t>
        </is>
      </c>
      <c r="C2276" t="inlineStr">
        <is>
          <t>SS-01150</t>
        </is>
      </c>
      <c r="D2276" t="n">
        <v>27</v>
      </c>
      <c r="E2276" t="n">
        <v>1</v>
      </c>
      <c r="G2276">
        <f>IF(AND(A2276&gt;=Inputs!$B$5,A2276&lt;=Inputs!$B$6),1,0)</f>
        <v/>
      </c>
    </row>
    <row r="2277">
      <c r="A2277" t="inlineStr">
        <is>
          <t>2026-07</t>
        </is>
      </c>
      <c r="B2277" t="inlineStr">
        <is>
          <t>HOSP-4</t>
        </is>
      </c>
      <c r="C2277" t="inlineStr">
        <is>
          <t>SS-01179</t>
        </is>
      </c>
      <c r="D2277" t="n">
        <v>0</v>
      </c>
      <c r="E2277" t="n">
        <v>0</v>
      </c>
      <c r="G2277">
        <f>IF(AND(A2277&gt;=Inputs!$B$5,A2277&lt;=Inputs!$B$6),1,0)</f>
        <v/>
      </c>
    </row>
    <row r="2278">
      <c r="A2278" t="inlineStr">
        <is>
          <t>2026-07</t>
        </is>
      </c>
      <c r="B2278" t="inlineStr">
        <is>
          <t>HOSP-1</t>
        </is>
      </c>
      <c r="C2278" t="inlineStr">
        <is>
          <t>SS-01180</t>
        </is>
      </c>
      <c r="D2278" t="n">
        <v>0</v>
      </c>
      <c r="E2278" t="n">
        <v>0</v>
      </c>
      <c r="G2278">
        <f>IF(AND(A2278&gt;=Inputs!$B$5,A2278&lt;=Inputs!$B$6),1,0)</f>
        <v/>
      </c>
    </row>
    <row r="2279">
      <c r="A2279" t="inlineStr">
        <is>
          <t>2026-07</t>
        </is>
      </c>
      <c r="B2279" t="inlineStr">
        <is>
          <t>HOSP-2</t>
        </is>
      </c>
      <c r="C2279" t="inlineStr">
        <is>
          <t>SS-01181</t>
        </is>
      </c>
      <c r="D2279" t="n">
        <v>12</v>
      </c>
      <c r="E2279" t="n">
        <v>0</v>
      </c>
      <c r="G2279">
        <f>IF(AND(A2279&gt;=Inputs!$B$5,A2279&lt;=Inputs!$B$6),1,0)</f>
        <v/>
      </c>
    </row>
    <row r="2280">
      <c r="A2280" t="inlineStr">
        <is>
          <t>2026-07</t>
        </is>
      </c>
      <c r="B2280" t="inlineStr">
        <is>
          <t>HOSP-3</t>
        </is>
      </c>
      <c r="C2280" t="inlineStr">
        <is>
          <t>SS-01182</t>
        </is>
      </c>
      <c r="D2280" t="n">
        <v>0</v>
      </c>
      <c r="E2280" t="n">
        <v>0</v>
      </c>
      <c r="G2280">
        <f>IF(AND(A2280&gt;=Inputs!$B$5,A2280&lt;=Inputs!$B$6),1,0)</f>
        <v/>
      </c>
    </row>
    <row r="2281">
      <c r="A2281" t="inlineStr">
        <is>
          <t>2026-07</t>
        </is>
      </c>
      <c r="B2281" t="inlineStr">
        <is>
          <t>HOSP-4</t>
        </is>
      </c>
      <c r="C2281" t="inlineStr">
        <is>
          <t>SS-01183</t>
        </is>
      </c>
      <c r="D2281" t="n">
        <v>12</v>
      </c>
      <c r="E2281" t="n">
        <v>0</v>
      </c>
      <c r="G2281">
        <f>IF(AND(A2281&gt;=Inputs!$B$5,A2281&lt;=Inputs!$B$6),1,0)</f>
        <v/>
      </c>
    </row>
    <row r="2282">
      <c r="A2282" t="inlineStr">
        <is>
          <t>2026-07</t>
        </is>
      </c>
      <c r="B2282" t="inlineStr">
        <is>
          <t>HOSP-1</t>
        </is>
      </c>
      <c r="C2282" t="inlineStr">
        <is>
          <t>SS-01184</t>
        </is>
      </c>
      <c r="D2282" t="n">
        <v>84</v>
      </c>
      <c r="E2282" t="n">
        <v>0</v>
      </c>
      <c r="G2282">
        <f>IF(AND(A2282&gt;=Inputs!$B$5,A2282&lt;=Inputs!$B$6),1,0)</f>
        <v/>
      </c>
    </row>
    <row r="2283">
      <c r="A2283" t="inlineStr">
        <is>
          <t>2026-07</t>
        </is>
      </c>
      <c r="B2283" t="inlineStr">
        <is>
          <t>HOSP-2</t>
        </is>
      </c>
      <c r="C2283" t="inlineStr">
        <is>
          <t>SS-01185</t>
        </is>
      </c>
      <c r="D2283" t="n">
        <v>36</v>
      </c>
      <c r="E2283" t="n">
        <v>0</v>
      </c>
      <c r="G2283">
        <f>IF(AND(A2283&gt;=Inputs!$B$5,A2283&lt;=Inputs!$B$6),1,0)</f>
        <v/>
      </c>
    </row>
    <row r="2284">
      <c r="A2284" t="inlineStr">
        <is>
          <t>2026-07</t>
        </is>
      </c>
      <c r="B2284" t="inlineStr">
        <is>
          <t>HOSP-3</t>
        </is>
      </c>
      <c r="C2284" t="inlineStr">
        <is>
          <t>SS-01186</t>
        </is>
      </c>
      <c r="D2284" t="n">
        <v>0</v>
      </c>
      <c r="E2284" t="n">
        <v>0</v>
      </c>
      <c r="G2284">
        <f>IF(AND(A2284&gt;=Inputs!$B$5,A2284&lt;=Inputs!$B$6),1,0)</f>
        <v/>
      </c>
    </row>
    <row r="2285">
      <c r="A2285" t="inlineStr">
        <is>
          <t>2026-07</t>
        </is>
      </c>
      <c r="B2285" t="inlineStr">
        <is>
          <t>HOSP-4</t>
        </is>
      </c>
      <c r="C2285" t="inlineStr">
        <is>
          <t>SS-01187</t>
        </is>
      </c>
      <c r="D2285" t="n">
        <v>24</v>
      </c>
      <c r="E2285" t="n">
        <v>0</v>
      </c>
      <c r="G2285">
        <f>IF(AND(A2285&gt;=Inputs!$B$5,A2285&lt;=Inputs!$B$6),1,0)</f>
        <v/>
      </c>
    </row>
    <row r="2286">
      <c r="A2286" t="inlineStr">
        <is>
          <t>2026-07</t>
        </is>
      </c>
      <c r="B2286" t="inlineStr">
        <is>
          <t>HOSP-1</t>
        </is>
      </c>
      <c r="C2286" t="inlineStr">
        <is>
          <t>SS-01188</t>
        </is>
      </c>
      <c r="D2286" t="n">
        <v>24</v>
      </c>
      <c r="E2286" t="n">
        <v>0</v>
      </c>
      <c r="G2286">
        <f>IF(AND(A2286&gt;=Inputs!$B$5,A2286&lt;=Inputs!$B$6),1,0)</f>
        <v/>
      </c>
    </row>
    <row r="2287">
      <c r="A2287" t="inlineStr">
        <is>
          <t>2026-07</t>
        </is>
      </c>
      <c r="B2287" t="inlineStr">
        <is>
          <t>HOSP-2</t>
        </is>
      </c>
      <c r="C2287" t="inlineStr">
        <is>
          <t>SS-01189</t>
        </is>
      </c>
      <c r="D2287" t="n">
        <v>114</v>
      </c>
      <c r="E2287" t="n">
        <v>0</v>
      </c>
      <c r="G2287">
        <f>IF(AND(A2287&gt;=Inputs!$B$5,A2287&lt;=Inputs!$B$6),1,0)</f>
        <v/>
      </c>
    </row>
    <row r="2288">
      <c r="A2288" t="inlineStr">
        <is>
          <t>2026-07</t>
        </is>
      </c>
      <c r="B2288" t="inlineStr">
        <is>
          <t>HOSP-3</t>
        </is>
      </c>
      <c r="C2288" t="inlineStr">
        <is>
          <t>SS-01190</t>
        </is>
      </c>
      <c r="D2288" t="n">
        <v>48</v>
      </c>
      <c r="E2288" t="n">
        <v>0</v>
      </c>
      <c r="G2288">
        <f>IF(AND(A2288&gt;=Inputs!$B$5,A2288&lt;=Inputs!$B$6),1,0)</f>
        <v/>
      </c>
    </row>
    <row r="2289">
      <c r="A2289" t="inlineStr">
        <is>
          <t>2026-08</t>
        </is>
      </c>
      <c r="B2289" t="inlineStr">
        <is>
          <t>HOSP-4</t>
        </is>
      </c>
      <c r="C2289" t="inlineStr">
        <is>
          <t>SS-01191</t>
        </is>
      </c>
      <c r="D2289" t="n">
        <v>12</v>
      </c>
      <c r="E2289" t="n">
        <v>0</v>
      </c>
      <c r="G2289">
        <f>IF(AND(A2289&gt;=Inputs!$B$5,A2289&lt;=Inputs!$B$6),1,0)</f>
        <v/>
      </c>
    </row>
    <row r="2290">
      <c r="A2290" t="inlineStr">
        <is>
          <t>2026-08</t>
        </is>
      </c>
      <c r="B2290" t="inlineStr">
        <is>
          <t>HOSP-1</t>
        </is>
      </c>
      <c r="C2290" t="inlineStr">
        <is>
          <t>SS-01192</t>
        </is>
      </c>
      <c r="D2290" t="n">
        <v>24</v>
      </c>
      <c r="E2290" t="n">
        <v>0</v>
      </c>
      <c r="G2290">
        <f>IF(AND(A2290&gt;=Inputs!$B$5,A2290&lt;=Inputs!$B$6),1,0)</f>
        <v/>
      </c>
    </row>
    <row r="2291">
      <c r="A2291" t="inlineStr">
        <is>
          <t>2026-08</t>
        </is>
      </c>
      <c r="B2291" t="inlineStr">
        <is>
          <t>HOSP-2</t>
        </is>
      </c>
      <c r="C2291" t="inlineStr">
        <is>
          <t>SS-01193</t>
        </is>
      </c>
      <c r="D2291" t="n">
        <v>0</v>
      </c>
      <c r="E2291" t="n">
        <v>0</v>
      </c>
      <c r="G2291">
        <f>IF(AND(A2291&gt;=Inputs!$B$5,A2291&lt;=Inputs!$B$6),1,0)</f>
        <v/>
      </c>
    </row>
    <row r="2292">
      <c r="A2292" t="inlineStr">
        <is>
          <t>2026-08</t>
        </is>
      </c>
      <c r="B2292" t="inlineStr">
        <is>
          <t>HOSP-3</t>
        </is>
      </c>
      <c r="C2292" t="inlineStr">
        <is>
          <t>SS-01194</t>
        </is>
      </c>
      <c r="D2292" t="n">
        <v>24</v>
      </c>
      <c r="E2292" t="n">
        <v>0</v>
      </c>
      <c r="G2292">
        <f>IF(AND(A2292&gt;=Inputs!$B$5,A2292&lt;=Inputs!$B$6),1,0)</f>
        <v/>
      </c>
    </row>
    <row r="2293">
      <c r="A2293" t="inlineStr">
        <is>
          <t>2026-08</t>
        </is>
      </c>
      <c r="B2293" t="inlineStr">
        <is>
          <t>HOSP-4</t>
        </is>
      </c>
      <c r="C2293" t="inlineStr">
        <is>
          <t>SS-01195</t>
        </is>
      </c>
      <c r="D2293" t="n">
        <v>48</v>
      </c>
      <c r="E2293" t="n">
        <v>0</v>
      </c>
      <c r="G2293">
        <f>IF(AND(A2293&gt;=Inputs!$B$5,A2293&lt;=Inputs!$B$6),1,0)</f>
        <v/>
      </c>
    </row>
    <row r="2294">
      <c r="A2294" t="inlineStr">
        <is>
          <t>2026-08</t>
        </is>
      </c>
      <c r="B2294" t="inlineStr">
        <is>
          <t>HOSP-1</t>
        </is>
      </c>
      <c r="C2294" t="inlineStr">
        <is>
          <t>SS-01196</t>
        </is>
      </c>
      <c r="D2294" t="n">
        <v>0</v>
      </c>
      <c r="E2294" t="n">
        <v>0</v>
      </c>
      <c r="G2294">
        <f>IF(AND(A2294&gt;=Inputs!$B$5,A2294&lt;=Inputs!$B$6),1,0)</f>
        <v/>
      </c>
    </row>
    <row r="2295">
      <c r="A2295" t="inlineStr">
        <is>
          <t>2026-08</t>
        </is>
      </c>
      <c r="B2295" t="inlineStr">
        <is>
          <t>HOSP-2</t>
        </is>
      </c>
      <c r="C2295" t="inlineStr">
        <is>
          <t>SS-01197</t>
        </is>
      </c>
      <c r="D2295" t="n">
        <v>32</v>
      </c>
      <c r="E2295" t="n">
        <v>3</v>
      </c>
      <c r="G2295">
        <f>IF(AND(A2295&gt;=Inputs!$B$5,A2295&lt;=Inputs!$B$6),1,0)</f>
        <v/>
      </c>
    </row>
    <row r="2296">
      <c r="A2296" t="inlineStr">
        <is>
          <t>2026-08</t>
        </is>
      </c>
      <c r="B2296" t="inlineStr">
        <is>
          <t>HOSP-3</t>
        </is>
      </c>
      <c r="C2296" t="inlineStr">
        <is>
          <t>SS-01198</t>
        </is>
      </c>
      <c r="D2296" t="n">
        <v>72</v>
      </c>
      <c r="E2296" t="n">
        <v>0</v>
      </c>
      <c r="G2296">
        <f>IF(AND(A2296&gt;=Inputs!$B$5,A2296&lt;=Inputs!$B$6),1,0)</f>
        <v/>
      </c>
    </row>
    <row r="2297">
      <c r="A2297" t="inlineStr">
        <is>
          <t>2026-08</t>
        </is>
      </c>
      <c r="B2297" t="inlineStr">
        <is>
          <t>HOSP-4</t>
        </is>
      </c>
      <c r="C2297" t="inlineStr">
        <is>
          <t>SS-01199</t>
        </is>
      </c>
      <c r="D2297" t="n">
        <v>12</v>
      </c>
      <c r="E2297" t="n">
        <v>0</v>
      </c>
      <c r="G2297">
        <f>IF(AND(A2297&gt;=Inputs!$B$5,A2297&lt;=Inputs!$B$6),1,0)</f>
        <v/>
      </c>
    </row>
    <row r="2298">
      <c r="A2298" t="inlineStr">
        <is>
          <t>2026-08</t>
        </is>
      </c>
      <c r="B2298" t="inlineStr">
        <is>
          <t>HOSP-1</t>
        </is>
      </c>
      <c r="C2298" t="inlineStr">
        <is>
          <t>SS-01200</t>
        </is>
      </c>
      <c r="D2298" t="n">
        <v>44</v>
      </c>
      <c r="E2298" t="n">
        <v>0</v>
      </c>
      <c r="G2298">
        <f>IF(AND(A2298&gt;=Inputs!$B$5,A2298&lt;=Inputs!$B$6),1,0)</f>
        <v/>
      </c>
    </row>
    <row r="2299">
      <c r="A2299" t="inlineStr">
        <is>
          <t>2026-08</t>
        </is>
      </c>
      <c r="B2299" t="inlineStr">
        <is>
          <t>HOSP-2</t>
        </is>
      </c>
      <c r="C2299" t="inlineStr">
        <is>
          <t>SS-01201</t>
        </is>
      </c>
      <c r="D2299" t="n">
        <v>0</v>
      </c>
      <c r="E2299" t="n">
        <v>0</v>
      </c>
      <c r="G2299">
        <f>IF(AND(A2299&gt;=Inputs!$B$5,A2299&lt;=Inputs!$B$6),1,0)</f>
        <v/>
      </c>
    </row>
    <row r="2300">
      <c r="A2300" t="inlineStr">
        <is>
          <t>2026-08</t>
        </is>
      </c>
      <c r="B2300" t="inlineStr">
        <is>
          <t>HOSP-3</t>
        </is>
      </c>
      <c r="C2300" t="inlineStr">
        <is>
          <t>SS-01202</t>
        </is>
      </c>
      <c r="D2300" t="n">
        <v>0</v>
      </c>
      <c r="E2300" t="n">
        <v>0</v>
      </c>
      <c r="G2300">
        <f>IF(AND(A2300&gt;=Inputs!$B$5,A2300&lt;=Inputs!$B$6),1,0)</f>
        <v/>
      </c>
    </row>
    <row r="2301">
      <c r="A2301" t="inlineStr">
        <is>
          <t>2026-08</t>
        </is>
      </c>
      <c r="B2301" t="inlineStr">
        <is>
          <t>HOSP-4</t>
        </is>
      </c>
      <c r="C2301" t="inlineStr">
        <is>
          <t>SS-01203</t>
        </is>
      </c>
      <c r="D2301" t="n">
        <v>21</v>
      </c>
      <c r="E2301" t="n">
        <v>0</v>
      </c>
      <c r="G2301">
        <f>IF(AND(A2301&gt;=Inputs!$B$5,A2301&lt;=Inputs!$B$6),1,0)</f>
        <v/>
      </c>
    </row>
    <row r="2302">
      <c r="A2302" t="inlineStr">
        <is>
          <t>2026-08</t>
        </is>
      </c>
      <c r="B2302" t="inlineStr">
        <is>
          <t>HOSP-1</t>
        </is>
      </c>
      <c r="C2302" t="inlineStr">
        <is>
          <t>SS-01204</t>
        </is>
      </c>
      <c r="D2302" t="n">
        <v>12</v>
      </c>
      <c r="E2302" t="n">
        <v>0</v>
      </c>
      <c r="G2302">
        <f>IF(AND(A2302&gt;=Inputs!$B$5,A2302&lt;=Inputs!$B$6),1,0)</f>
        <v/>
      </c>
    </row>
    <row r="2303">
      <c r="A2303" t="inlineStr">
        <is>
          <t>2026-08</t>
        </is>
      </c>
      <c r="B2303" t="inlineStr">
        <is>
          <t>HOSP-2</t>
        </is>
      </c>
      <c r="C2303" t="inlineStr">
        <is>
          <t>SS-01205</t>
        </is>
      </c>
      <c r="D2303" t="n">
        <v>19</v>
      </c>
      <c r="E2303" t="n">
        <v>0</v>
      </c>
      <c r="G2303">
        <f>IF(AND(A2303&gt;=Inputs!$B$5,A2303&lt;=Inputs!$B$6),1,0)</f>
        <v/>
      </c>
    </row>
    <row r="2304">
      <c r="A2304" t="inlineStr">
        <is>
          <t>2026-08</t>
        </is>
      </c>
      <c r="B2304" t="inlineStr">
        <is>
          <t>HOSP-3</t>
        </is>
      </c>
      <c r="C2304" t="inlineStr">
        <is>
          <t>SS-01206</t>
        </is>
      </c>
      <c r="D2304" t="n">
        <v>85</v>
      </c>
      <c r="E2304" t="n">
        <v>0</v>
      </c>
      <c r="G2304">
        <f>IF(AND(A2304&gt;=Inputs!$B$5,A2304&lt;=Inputs!$B$6),1,0)</f>
        <v/>
      </c>
    </row>
    <row r="2305">
      <c r="A2305" t="inlineStr">
        <is>
          <t>2026-08</t>
        </is>
      </c>
      <c r="B2305" t="inlineStr">
        <is>
          <t>HOSP-4</t>
        </is>
      </c>
      <c r="C2305" t="inlineStr">
        <is>
          <t>SS-01207</t>
        </is>
      </c>
      <c r="D2305" t="n">
        <v>10</v>
      </c>
      <c r="E2305" t="n">
        <v>0</v>
      </c>
      <c r="G2305">
        <f>IF(AND(A2305&gt;=Inputs!$B$5,A2305&lt;=Inputs!$B$6),1,0)</f>
        <v/>
      </c>
    </row>
    <row r="2306">
      <c r="A2306" t="inlineStr">
        <is>
          <t>2026-08</t>
        </is>
      </c>
      <c r="B2306" t="inlineStr">
        <is>
          <t>HOSP-1</t>
        </is>
      </c>
      <c r="C2306" t="inlineStr">
        <is>
          <t>SS-01208</t>
        </is>
      </c>
      <c r="D2306" t="n">
        <v>103</v>
      </c>
      <c r="E2306" t="n">
        <v>0</v>
      </c>
      <c r="G2306">
        <f>IF(AND(A2306&gt;=Inputs!$B$5,A2306&lt;=Inputs!$B$6),1,0)</f>
        <v/>
      </c>
    </row>
    <row r="2307">
      <c r="A2307" t="inlineStr">
        <is>
          <t>2026-08</t>
        </is>
      </c>
      <c r="B2307" t="inlineStr">
        <is>
          <t>HOSP-2</t>
        </is>
      </c>
      <c r="C2307" t="inlineStr">
        <is>
          <t>SS-01209</t>
        </is>
      </c>
      <c r="D2307" t="n">
        <v>36</v>
      </c>
      <c r="E2307" t="n">
        <v>0</v>
      </c>
      <c r="G2307">
        <f>IF(AND(A2307&gt;=Inputs!$B$5,A2307&lt;=Inputs!$B$6),1,0)</f>
        <v/>
      </c>
    </row>
    <row r="2308">
      <c r="A2308" t="inlineStr">
        <is>
          <t>2026-08</t>
        </is>
      </c>
      <c r="B2308" t="inlineStr">
        <is>
          <t>HOSP-3</t>
        </is>
      </c>
      <c r="C2308" t="inlineStr">
        <is>
          <t>SS-01210</t>
        </is>
      </c>
      <c r="D2308" t="n">
        <v>12</v>
      </c>
      <c r="E2308" t="n">
        <v>0</v>
      </c>
      <c r="G2308">
        <f>IF(AND(A2308&gt;=Inputs!$B$5,A2308&lt;=Inputs!$B$6),1,0)</f>
        <v/>
      </c>
    </row>
    <row r="2309">
      <c r="A2309" t="inlineStr">
        <is>
          <t>2026-08</t>
        </is>
      </c>
      <c r="B2309" t="inlineStr">
        <is>
          <t>HOSP-4</t>
        </is>
      </c>
      <c r="C2309" t="inlineStr">
        <is>
          <t>SS-01211</t>
        </is>
      </c>
      <c r="D2309" t="n">
        <v>132</v>
      </c>
      <c r="E2309" t="n">
        <v>0</v>
      </c>
      <c r="G2309">
        <f>IF(AND(A2309&gt;=Inputs!$B$5,A2309&lt;=Inputs!$B$6),1,0)</f>
        <v/>
      </c>
    </row>
    <row r="2310">
      <c r="A2310" t="inlineStr">
        <is>
          <t>2026-08</t>
        </is>
      </c>
      <c r="B2310" t="inlineStr">
        <is>
          <t>HOSP-1</t>
        </is>
      </c>
      <c r="C2310" t="inlineStr">
        <is>
          <t>SS-01212</t>
        </is>
      </c>
      <c r="D2310" t="n">
        <v>24</v>
      </c>
      <c r="E2310" t="n">
        <v>0</v>
      </c>
      <c r="G2310">
        <f>IF(AND(A2310&gt;=Inputs!$B$5,A2310&lt;=Inputs!$B$6),1,0)</f>
        <v/>
      </c>
    </row>
    <row r="2311">
      <c r="A2311" t="inlineStr">
        <is>
          <t>2026-08</t>
        </is>
      </c>
      <c r="B2311" t="inlineStr">
        <is>
          <t>HOSP-2</t>
        </is>
      </c>
      <c r="C2311" t="inlineStr">
        <is>
          <t>SS-01213</t>
        </is>
      </c>
      <c r="D2311" t="n">
        <v>168</v>
      </c>
      <c r="E2311" t="n">
        <v>0</v>
      </c>
      <c r="G2311">
        <f>IF(AND(A2311&gt;=Inputs!$B$5,A2311&lt;=Inputs!$B$6),1,0)</f>
        <v/>
      </c>
    </row>
    <row r="2312">
      <c r="A2312" t="inlineStr">
        <is>
          <t>2026-08</t>
        </is>
      </c>
      <c r="B2312" t="inlineStr">
        <is>
          <t>HOSP-3</t>
        </is>
      </c>
      <c r="C2312" t="inlineStr">
        <is>
          <t>SS-01214</t>
        </is>
      </c>
      <c r="D2312" t="n">
        <v>180</v>
      </c>
      <c r="E2312" t="n">
        <v>0</v>
      </c>
      <c r="G2312">
        <f>IF(AND(A2312&gt;=Inputs!$B$5,A2312&lt;=Inputs!$B$6),1,0)</f>
        <v/>
      </c>
    </row>
    <row r="2313">
      <c r="A2313" t="inlineStr">
        <is>
          <t>2026-08</t>
        </is>
      </c>
      <c r="B2313" t="inlineStr">
        <is>
          <t>HOSP-4</t>
        </is>
      </c>
      <c r="C2313" t="inlineStr">
        <is>
          <t>SS-01215</t>
        </is>
      </c>
      <c r="D2313" t="n">
        <v>24</v>
      </c>
      <c r="E2313" t="n">
        <v>0</v>
      </c>
      <c r="G2313">
        <f>IF(AND(A2313&gt;=Inputs!$B$5,A2313&lt;=Inputs!$B$6),1,0)</f>
        <v/>
      </c>
    </row>
    <row r="2314">
      <c r="A2314" t="inlineStr">
        <is>
          <t>2026-08</t>
        </is>
      </c>
      <c r="B2314" t="inlineStr">
        <is>
          <t>HOSP-1</t>
        </is>
      </c>
      <c r="C2314" t="inlineStr">
        <is>
          <t>SS-01216</t>
        </is>
      </c>
      <c r="D2314" t="n">
        <v>12</v>
      </c>
      <c r="E2314" t="n">
        <v>0</v>
      </c>
      <c r="G2314">
        <f>IF(AND(A2314&gt;=Inputs!$B$5,A2314&lt;=Inputs!$B$6),1,0)</f>
        <v/>
      </c>
    </row>
    <row r="2315">
      <c r="A2315" t="inlineStr">
        <is>
          <t>2026-08</t>
        </is>
      </c>
      <c r="B2315" t="inlineStr">
        <is>
          <t>HOSP-2</t>
        </is>
      </c>
      <c r="C2315" t="inlineStr">
        <is>
          <t>SS-01217</t>
        </is>
      </c>
      <c r="D2315" t="n">
        <v>12</v>
      </c>
      <c r="E2315" t="n">
        <v>0</v>
      </c>
      <c r="G2315">
        <f>IF(AND(A2315&gt;=Inputs!$B$5,A2315&lt;=Inputs!$B$6),1,0)</f>
        <v/>
      </c>
    </row>
    <row r="2316">
      <c r="A2316" t="inlineStr">
        <is>
          <t>2026-08</t>
        </is>
      </c>
      <c r="B2316" t="inlineStr">
        <is>
          <t>HOSP-3</t>
        </is>
      </c>
      <c r="C2316" t="inlineStr">
        <is>
          <t>SS-01218</t>
        </is>
      </c>
      <c r="D2316" t="n">
        <v>12</v>
      </c>
      <c r="E2316" t="n">
        <v>0</v>
      </c>
      <c r="G2316">
        <f>IF(AND(A2316&gt;=Inputs!$B$5,A2316&lt;=Inputs!$B$6),1,0)</f>
        <v/>
      </c>
    </row>
    <row r="2317">
      <c r="A2317" t="inlineStr">
        <is>
          <t>2026-08</t>
        </is>
      </c>
      <c r="B2317" t="inlineStr">
        <is>
          <t>HOSP-4</t>
        </is>
      </c>
      <c r="C2317" t="inlineStr">
        <is>
          <t>SS-01219</t>
        </is>
      </c>
      <c r="D2317" t="n">
        <v>34</v>
      </c>
      <c r="E2317" t="n">
        <v>0</v>
      </c>
      <c r="G2317">
        <f>IF(AND(A2317&gt;=Inputs!$B$5,A2317&lt;=Inputs!$B$6),1,0)</f>
        <v/>
      </c>
    </row>
    <row r="2318">
      <c r="A2318" t="inlineStr">
        <is>
          <t>2026-08</t>
        </is>
      </c>
      <c r="B2318" t="inlineStr">
        <is>
          <t>HOSP-1</t>
        </is>
      </c>
      <c r="C2318" t="inlineStr">
        <is>
          <t>SS-01220</t>
        </is>
      </c>
      <c r="D2318" t="n">
        <v>12</v>
      </c>
      <c r="E2318" t="n">
        <v>2</v>
      </c>
      <c r="G2318">
        <f>IF(AND(A2318&gt;=Inputs!$B$5,A2318&lt;=Inputs!$B$6),1,0)</f>
        <v/>
      </c>
    </row>
    <row r="2319">
      <c r="A2319" t="inlineStr">
        <is>
          <t>2026-08</t>
        </is>
      </c>
      <c r="B2319" t="inlineStr">
        <is>
          <t>HOSP-2</t>
        </is>
      </c>
      <c r="C2319" t="inlineStr">
        <is>
          <t>SS-01221</t>
        </is>
      </c>
      <c r="D2319" t="n">
        <v>24</v>
      </c>
      <c r="E2319" t="n">
        <v>0</v>
      </c>
      <c r="G2319">
        <f>IF(AND(A2319&gt;=Inputs!$B$5,A2319&lt;=Inputs!$B$6),1,0)</f>
        <v/>
      </c>
    </row>
    <row r="2320">
      <c r="A2320" t="inlineStr">
        <is>
          <t>2026-08</t>
        </is>
      </c>
      <c r="B2320" t="inlineStr">
        <is>
          <t>HOSP-3</t>
        </is>
      </c>
      <c r="C2320" t="inlineStr">
        <is>
          <t>SS-01222</t>
        </is>
      </c>
      <c r="D2320" t="n">
        <v>48</v>
      </c>
      <c r="E2320" t="n">
        <v>0</v>
      </c>
      <c r="G2320">
        <f>IF(AND(A2320&gt;=Inputs!$B$5,A2320&lt;=Inputs!$B$6),1,0)</f>
        <v/>
      </c>
    </row>
    <row r="2321">
      <c r="A2321" t="inlineStr">
        <is>
          <t>2026-08</t>
        </is>
      </c>
      <c r="B2321" t="inlineStr">
        <is>
          <t>HOSP-4</t>
        </is>
      </c>
      <c r="C2321" t="inlineStr">
        <is>
          <t>SS-01223</t>
        </is>
      </c>
      <c r="D2321" t="n">
        <v>12</v>
      </c>
      <c r="E2321" t="n">
        <v>0</v>
      </c>
      <c r="G2321">
        <f>IF(AND(A2321&gt;=Inputs!$B$5,A2321&lt;=Inputs!$B$6),1,0)</f>
        <v/>
      </c>
    </row>
    <row r="2322">
      <c r="A2322" t="inlineStr">
        <is>
          <t>2026-08</t>
        </is>
      </c>
      <c r="B2322" t="inlineStr">
        <is>
          <t>HOSP-1</t>
        </is>
      </c>
      <c r="C2322" t="inlineStr">
        <is>
          <t>SS-01224</t>
        </is>
      </c>
      <c r="D2322" t="n">
        <v>72</v>
      </c>
      <c r="E2322" t="n">
        <v>0</v>
      </c>
      <c r="G2322">
        <f>IF(AND(A2322&gt;=Inputs!$B$5,A2322&lt;=Inputs!$B$6),1,0)</f>
        <v/>
      </c>
    </row>
    <row r="2323">
      <c r="A2323" t="inlineStr">
        <is>
          <t>2026-08</t>
        </is>
      </c>
      <c r="B2323" t="inlineStr">
        <is>
          <t>HOSP-2</t>
        </is>
      </c>
      <c r="C2323" t="inlineStr">
        <is>
          <t>SS-01225</t>
        </is>
      </c>
      <c r="D2323" t="n">
        <v>35</v>
      </c>
      <c r="E2323" t="n">
        <v>0</v>
      </c>
      <c r="G2323">
        <f>IF(AND(A2323&gt;=Inputs!$B$5,A2323&lt;=Inputs!$B$6),1,0)</f>
        <v/>
      </c>
    </row>
    <row r="2324">
      <c r="A2324" t="inlineStr">
        <is>
          <t>2026-08</t>
        </is>
      </c>
      <c r="B2324" t="inlineStr">
        <is>
          <t>HOSP-3</t>
        </is>
      </c>
      <c r="C2324" t="inlineStr">
        <is>
          <t>SS-01226</t>
        </is>
      </c>
      <c r="D2324" t="n">
        <v>0</v>
      </c>
      <c r="E2324" t="n">
        <v>0</v>
      </c>
      <c r="G2324">
        <f>IF(AND(A2324&gt;=Inputs!$B$5,A2324&lt;=Inputs!$B$6),1,0)</f>
        <v/>
      </c>
    </row>
    <row r="2325">
      <c r="A2325" t="inlineStr">
        <is>
          <t>2026-08</t>
        </is>
      </c>
      <c r="B2325" t="inlineStr">
        <is>
          <t>HOSP-4</t>
        </is>
      </c>
      <c r="C2325" t="inlineStr">
        <is>
          <t>SS-01227</t>
        </is>
      </c>
      <c r="D2325" t="n">
        <v>16</v>
      </c>
      <c r="E2325" t="n">
        <v>2</v>
      </c>
      <c r="G2325">
        <f>IF(AND(A2325&gt;=Inputs!$B$5,A2325&lt;=Inputs!$B$6),1,0)</f>
        <v/>
      </c>
    </row>
    <row r="2326">
      <c r="A2326" t="inlineStr">
        <is>
          <t>2026-08</t>
        </is>
      </c>
      <c r="B2326" t="inlineStr">
        <is>
          <t>HOSP-1</t>
        </is>
      </c>
      <c r="C2326" t="inlineStr">
        <is>
          <t>SS-01228</t>
        </is>
      </c>
      <c r="D2326" t="n">
        <v>0</v>
      </c>
      <c r="E2326" t="n">
        <v>0</v>
      </c>
      <c r="G2326">
        <f>IF(AND(A2326&gt;=Inputs!$B$5,A2326&lt;=Inputs!$B$6),1,0)</f>
        <v/>
      </c>
    </row>
    <row r="2327">
      <c r="A2327" t="inlineStr">
        <is>
          <t>2026-08</t>
        </is>
      </c>
      <c r="B2327" t="inlineStr">
        <is>
          <t>HOSP-2</t>
        </is>
      </c>
      <c r="C2327" t="inlineStr">
        <is>
          <t>SS-01229</t>
        </is>
      </c>
      <c r="D2327" t="n">
        <v>7</v>
      </c>
      <c r="E2327" t="n">
        <v>0</v>
      </c>
      <c r="G2327">
        <f>IF(AND(A2327&gt;=Inputs!$B$5,A2327&lt;=Inputs!$B$6),1,0)</f>
        <v/>
      </c>
    </row>
    <row r="2328">
      <c r="A2328" t="inlineStr">
        <is>
          <t>2026-08</t>
        </is>
      </c>
      <c r="B2328" t="inlineStr">
        <is>
          <t>HOSP-3</t>
        </is>
      </c>
      <c r="C2328" t="inlineStr">
        <is>
          <t>SS-01230</t>
        </is>
      </c>
      <c r="D2328" t="n">
        <v>12</v>
      </c>
      <c r="E2328" t="n">
        <v>0</v>
      </c>
      <c r="G2328">
        <f>IF(AND(A2328&gt;=Inputs!$B$5,A2328&lt;=Inputs!$B$6),1,0)</f>
        <v/>
      </c>
    </row>
    <row r="2329">
      <c r="A2329" t="inlineStr">
        <is>
          <t>2026-08</t>
        </is>
      </c>
      <c r="B2329" t="inlineStr">
        <is>
          <t>HOSP-4</t>
        </is>
      </c>
      <c r="C2329" t="inlineStr">
        <is>
          <t>SS-01231</t>
        </is>
      </c>
      <c r="D2329" t="n">
        <v>59</v>
      </c>
      <c r="E2329" t="n">
        <v>0</v>
      </c>
      <c r="G2329">
        <f>IF(AND(A2329&gt;=Inputs!$B$5,A2329&lt;=Inputs!$B$6),1,0)</f>
        <v/>
      </c>
    </row>
    <row r="2330">
      <c r="A2330" t="inlineStr">
        <is>
          <t>2026-08</t>
        </is>
      </c>
      <c r="B2330" t="inlineStr">
        <is>
          <t>HOSP-1</t>
        </is>
      </c>
      <c r="C2330" t="inlineStr">
        <is>
          <t>SS-01232</t>
        </is>
      </c>
      <c r="D2330" t="n">
        <v>0</v>
      </c>
      <c r="E2330" t="n">
        <v>0</v>
      </c>
      <c r="G2330">
        <f>IF(AND(A2330&gt;=Inputs!$B$5,A2330&lt;=Inputs!$B$6),1,0)</f>
        <v/>
      </c>
    </row>
    <row r="2331">
      <c r="A2331" t="inlineStr">
        <is>
          <t>2026-08</t>
        </is>
      </c>
      <c r="B2331" t="inlineStr">
        <is>
          <t>HOSP-2</t>
        </is>
      </c>
      <c r="C2331" t="inlineStr">
        <is>
          <t>SS-01233</t>
        </is>
      </c>
      <c r="D2331" t="n">
        <v>72</v>
      </c>
      <c r="E2331" t="n">
        <v>0</v>
      </c>
      <c r="G2331">
        <f>IF(AND(A2331&gt;=Inputs!$B$5,A2331&lt;=Inputs!$B$6),1,0)</f>
        <v/>
      </c>
    </row>
    <row r="2332">
      <c r="A2332" t="inlineStr">
        <is>
          <t>2026-08</t>
        </is>
      </c>
      <c r="B2332" t="inlineStr">
        <is>
          <t>HOSP-3</t>
        </is>
      </c>
      <c r="C2332" t="inlineStr">
        <is>
          <t>SS-01001</t>
        </is>
      </c>
      <c r="D2332" t="n">
        <v>0</v>
      </c>
      <c r="E2332" t="n">
        <v>0</v>
      </c>
      <c r="G2332">
        <f>IF(AND(A2332&gt;=Inputs!$B$5,A2332&lt;=Inputs!$B$6),1,0)</f>
        <v/>
      </c>
    </row>
    <row r="2333">
      <c r="A2333" t="inlineStr">
        <is>
          <t>2026-08</t>
        </is>
      </c>
      <c r="B2333" t="inlineStr">
        <is>
          <t>HOSP-4</t>
        </is>
      </c>
      <c r="C2333" t="inlineStr">
        <is>
          <t>SS-01002</t>
        </is>
      </c>
      <c r="D2333" t="n">
        <v>16</v>
      </c>
      <c r="E2333" t="n">
        <v>1</v>
      </c>
      <c r="G2333">
        <f>IF(AND(A2333&gt;=Inputs!$B$5,A2333&lt;=Inputs!$B$6),1,0)</f>
        <v/>
      </c>
    </row>
    <row r="2334">
      <c r="A2334" t="inlineStr">
        <is>
          <t>2026-08</t>
        </is>
      </c>
      <c r="B2334" t="inlineStr">
        <is>
          <t>HOSP-1</t>
        </is>
      </c>
      <c r="C2334" t="inlineStr">
        <is>
          <t>SS-01003</t>
        </is>
      </c>
      <c r="D2334" t="n">
        <v>11</v>
      </c>
      <c r="E2334" t="n">
        <v>0</v>
      </c>
      <c r="G2334">
        <f>IF(AND(A2334&gt;=Inputs!$B$5,A2334&lt;=Inputs!$B$6),1,0)</f>
        <v/>
      </c>
    </row>
    <row r="2335">
      <c r="A2335" t="inlineStr">
        <is>
          <t>2026-08</t>
        </is>
      </c>
      <c r="B2335" t="inlineStr">
        <is>
          <t>HOSP-2</t>
        </is>
      </c>
      <c r="C2335" t="inlineStr">
        <is>
          <t>SS-01004</t>
        </is>
      </c>
      <c r="D2335" t="n">
        <v>0</v>
      </c>
      <c r="E2335" t="n">
        <v>0</v>
      </c>
      <c r="G2335">
        <f>IF(AND(A2335&gt;=Inputs!$B$5,A2335&lt;=Inputs!$B$6),1,0)</f>
        <v/>
      </c>
    </row>
    <row r="2336">
      <c r="A2336" t="inlineStr">
        <is>
          <t>2026-08</t>
        </is>
      </c>
      <c r="B2336" t="inlineStr">
        <is>
          <t>HOSP-3</t>
        </is>
      </c>
      <c r="C2336" t="inlineStr">
        <is>
          <t>SS-01005</t>
        </is>
      </c>
      <c r="D2336" t="n">
        <v>60</v>
      </c>
      <c r="E2336" t="n">
        <v>0</v>
      </c>
      <c r="G2336">
        <f>IF(AND(A2336&gt;=Inputs!$B$5,A2336&lt;=Inputs!$B$6),1,0)</f>
        <v/>
      </c>
    </row>
    <row r="2337">
      <c r="A2337" t="inlineStr">
        <is>
          <t>2026-08</t>
        </is>
      </c>
      <c r="B2337" t="inlineStr">
        <is>
          <t>HOSP-4</t>
        </is>
      </c>
      <c r="C2337" t="inlineStr">
        <is>
          <t>SS-01006</t>
        </is>
      </c>
      <c r="D2337" t="n">
        <v>14</v>
      </c>
      <c r="E2337" t="n">
        <v>0</v>
      </c>
      <c r="G2337">
        <f>IF(AND(A2337&gt;=Inputs!$B$5,A2337&lt;=Inputs!$B$6),1,0)</f>
        <v/>
      </c>
    </row>
    <row r="2338">
      <c r="A2338" t="inlineStr">
        <is>
          <t>2026-08</t>
        </is>
      </c>
      <c r="B2338" t="inlineStr">
        <is>
          <t>HOSP-1</t>
        </is>
      </c>
      <c r="C2338" t="inlineStr">
        <is>
          <t>SS-01007</t>
        </is>
      </c>
      <c r="D2338" t="n">
        <v>3</v>
      </c>
      <c r="E2338" t="n">
        <v>0</v>
      </c>
      <c r="G2338">
        <f>IF(AND(A2338&gt;=Inputs!$B$5,A2338&lt;=Inputs!$B$6),1,0)</f>
        <v/>
      </c>
    </row>
    <row r="2339">
      <c r="A2339" t="inlineStr">
        <is>
          <t>2026-08</t>
        </is>
      </c>
      <c r="B2339" t="inlineStr">
        <is>
          <t>HOSP-2</t>
        </is>
      </c>
      <c r="C2339" t="inlineStr">
        <is>
          <t>SS-01008</t>
        </is>
      </c>
      <c r="D2339" t="n">
        <v>24</v>
      </c>
      <c r="E2339" t="n">
        <v>0</v>
      </c>
      <c r="G2339">
        <f>IF(AND(A2339&gt;=Inputs!$B$5,A2339&lt;=Inputs!$B$6),1,0)</f>
        <v/>
      </c>
    </row>
    <row r="2340">
      <c r="A2340" t="inlineStr">
        <is>
          <t>2026-08</t>
        </is>
      </c>
      <c r="B2340" t="inlineStr">
        <is>
          <t>HOSP-3</t>
        </is>
      </c>
      <c r="C2340" t="inlineStr">
        <is>
          <t>SS-01009</t>
        </is>
      </c>
      <c r="D2340" t="n">
        <v>252</v>
      </c>
      <c r="E2340" t="n">
        <v>0</v>
      </c>
      <c r="G2340">
        <f>IF(AND(A2340&gt;=Inputs!$B$5,A2340&lt;=Inputs!$B$6),1,0)</f>
        <v/>
      </c>
    </row>
    <row r="2341">
      <c r="A2341" t="inlineStr">
        <is>
          <t>2026-08</t>
        </is>
      </c>
      <c r="B2341" t="inlineStr">
        <is>
          <t>HOSP-4</t>
        </is>
      </c>
      <c r="C2341" t="inlineStr">
        <is>
          <t>SS-01010</t>
        </is>
      </c>
      <c r="D2341" t="n">
        <v>0</v>
      </c>
      <c r="E2341" t="n">
        <v>0</v>
      </c>
      <c r="G2341">
        <f>IF(AND(A2341&gt;=Inputs!$B$5,A2341&lt;=Inputs!$B$6),1,0)</f>
        <v/>
      </c>
    </row>
    <row r="2342">
      <c r="A2342" t="inlineStr">
        <is>
          <t>2026-08</t>
        </is>
      </c>
      <c r="B2342" t="inlineStr">
        <is>
          <t>HOSP-1</t>
        </is>
      </c>
      <c r="C2342" t="inlineStr">
        <is>
          <t>SS-01011</t>
        </is>
      </c>
      <c r="D2342" t="n">
        <v>0</v>
      </c>
      <c r="E2342" t="n">
        <v>0</v>
      </c>
      <c r="G2342">
        <f>IF(AND(A2342&gt;=Inputs!$B$5,A2342&lt;=Inputs!$B$6),1,0)</f>
        <v/>
      </c>
    </row>
    <row r="2343">
      <c r="A2343" t="inlineStr">
        <is>
          <t>2026-08</t>
        </is>
      </c>
      <c r="B2343" t="inlineStr">
        <is>
          <t>HOSP-2</t>
        </is>
      </c>
      <c r="C2343" t="inlineStr">
        <is>
          <t>SS-01012</t>
        </is>
      </c>
      <c r="D2343" t="n">
        <v>12</v>
      </c>
      <c r="E2343" t="n">
        <v>0</v>
      </c>
      <c r="G2343">
        <f>IF(AND(A2343&gt;=Inputs!$B$5,A2343&lt;=Inputs!$B$6),1,0)</f>
        <v/>
      </c>
    </row>
    <row r="2344">
      <c r="A2344" t="inlineStr">
        <is>
          <t>2026-08</t>
        </is>
      </c>
      <c r="B2344" t="inlineStr">
        <is>
          <t>HOSP-3</t>
        </is>
      </c>
      <c r="C2344" t="inlineStr">
        <is>
          <t>SS-01013</t>
        </is>
      </c>
      <c r="D2344" t="n">
        <v>0</v>
      </c>
      <c r="E2344" t="n">
        <v>4</v>
      </c>
      <c r="G2344">
        <f>IF(AND(A2344&gt;=Inputs!$B$5,A2344&lt;=Inputs!$B$6),1,0)</f>
        <v/>
      </c>
    </row>
    <row r="2345">
      <c r="A2345" t="inlineStr">
        <is>
          <t>2026-08</t>
        </is>
      </c>
      <c r="B2345" t="inlineStr">
        <is>
          <t>HOSP-4</t>
        </is>
      </c>
      <c r="C2345" t="inlineStr">
        <is>
          <t>SS-01125</t>
        </is>
      </c>
      <c r="D2345" t="n">
        <v>7</v>
      </c>
      <c r="E2345" t="n">
        <v>1</v>
      </c>
      <c r="G2345">
        <f>IF(AND(A2345&gt;=Inputs!$B$5,A2345&lt;=Inputs!$B$6),1,0)</f>
        <v/>
      </c>
    </row>
    <row r="2346">
      <c r="A2346" t="inlineStr">
        <is>
          <t>2026-08</t>
        </is>
      </c>
      <c r="B2346" t="inlineStr">
        <is>
          <t>HOSP-1</t>
        </is>
      </c>
      <c r="C2346" t="inlineStr">
        <is>
          <t>SS-01015</t>
        </is>
      </c>
      <c r="D2346" t="n">
        <v>0</v>
      </c>
      <c r="E2346" t="n">
        <v>0</v>
      </c>
      <c r="G2346">
        <f>IF(AND(A2346&gt;=Inputs!$B$5,A2346&lt;=Inputs!$B$6),1,0)</f>
        <v/>
      </c>
    </row>
    <row r="2347">
      <c r="A2347" t="inlineStr">
        <is>
          <t>2026-08</t>
        </is>
      </c>
      <c r="B2347" t="inlineStr">
        <is>
          <t>HOSP-2</t>
        </is>
      </c>
      <c r="C2347" t="inlineStr">
        <is>
          <t>SS-01016</t>
        </is>
      </c>
      <c r="D2347" t="n">
        <v>228</v>
      </c>
      <c r="E2347" t="n">
        <v>0</v>
      </c>
      <c r="G2347">
        <f>IF(AND(A2347&gt;=Inputs!$B$5,A2347&lt;=Inputs!$B$6),1,0)</f>
        <v/>
      </c>
    </row>
    <row r="2348">
      <c r="A2348" t="inlineStr">
        <is>
          <t>2026-08</t>
        </is>
      </c>
      <c r="B2348" t="inlineStr">
        <is>
          <t>HOSP-3</t>
        </is>
      </c>
      <c r="C2348" t="inlineStr">
        <is>
          <t>SS-01017</t>
        </is>
      </c>
      <c r="D2348" t="n">
        <v>144</v>
      </c>
      <c r="E2348" t="n">
        <v>0</v>
      </c>
      <c r="G2348">
        <f>IF(AND(A2348&gt;=Inputs!$B$5,A2348&lt;=Inputs!$B$6),1,0)</f>
        <v/>
      </c>
    </row>
    <row r="2349">
      <c r="A2349" t="inlineStr">
        <is>
          <t>2026-08</t>
        </is>
      </c>
      <c r="B2349" t="inlineStr">
        <is>
          <t>HOSP-4</t>
        </is>
      </c>
      <c r="C2349" t="inlineStr">
        <is>
          <t>SS-01018</t>
        </is>
      </c>
      <c r="D2349" t="n">
        <v>14</v>
      </c>
      <c r="E2349" t="n">
        <v>3</v>
      </c>
      <c r="G2349">
        <f>IF(AND(A2349&gt;=Inputs!$B$5,A2349&lt;=Inputs!$B$6),1,0)</f>
        <v/>
      </c>
    </row>
    <row r="2350">
      <c r="A2350" t="inlineStr">
        <is>
          <t>2026-08</t>
        </is>
      </c>
      <c r="B2350" t="inlineStr">
        <is>
          <t>HOSP-1</t>
        </is>
      </c>
      <c r="C2350" t="inlineStr">
        <is>
          <t>SS-01019</t>
        </is>
      </c>
      <c r="D2350" t="n">
        <v>67</v>
      </c>
      <c r="E2350" t="n">
        <v>0</v>
      </c>
      <c r="G2350">
        <f>IF(AND(A2350&gt;=Inputs!$B$5,A2350&lt;=Inputs!$B$6),1,0)</f>
        <v/>
      </c>
    </row>
    <row r="2351">
      <c r="A2351" t="inlineStr">
        <is>
          <t>2026-08</t>
        </is>
      </c>
      <c r="B2351" t="inlineStr">
        <is>
          <t>HOSP-2</t>
        </is>
      </c>
      <c r="C2351" t="inlineStr">
        <is>
          <t>SS-01020</t>
        </is>
      </c>
      <c r="D2351" t="n">
        <v>12</v>
      </c>
      <c r="E2351" t="n">
        <v>0</v>
      </c>
      <c r="G2351">
        <f>IF(AND(A2351&gt;=Inputs!$B$5,A2351&lt;=Inputs!$B$6),1,0)</f>
        <v/>
      </c>
    </row>
    <row r="2352">
      <c r="A2352" t="inlineStr">
        <is>
          <t>2026-08</t>
        </is>
      </c>
      <c r="B2352" t="inlineStr">
        <is>
          <t>HOSP-3</t>
        </is>
      </c>
      <c r="C2352" t="inlineStr">
        <is>
          <t>SS-01021</t>
        </is>
      </c>
      <c r="D2352" t="n">
        <v>12</v>
      </c>
      <c r="E2352" t="n">
        <v>0</v>
      </c>
      <c r="G2352">
        <f>IF(AND(A2352&gt;=Inputs!$B$5,A2352&lt;=Inputs!$B$6),1,0)</f>
        <v/>
      </c>
    </row>
    <row r="2353">
      <c r="A2353" t="inlineStr">
        <is>
          <t>2026-08</t>
        </is>
      </c>
      <c r="B2353" t="inlineStr">
        <is>
          <t>HOSP-4</t>
        </is>
      </c>
      <c r="C2353" t="inlineStr">
        <is>
          <t>SS-01022</t>
        </is>
      </c>
      <c r="D2353" t="n">
        <v>12</v>
      </c>
      <c r="E2353" t="n">
        <v>0</v>
      </c>
      <c r="G2353">
        <f>IF(AND(A2353&gt;=Inputs!$B$5,A2353&lt;=Inputs!$B$6),1,0)</f>
        <v/>
      </c>
    </row>
    <row r="2354">
      <c r="A2354" t="inlineStr">
        <is>
          <t>2026-08</t>
        </is>
      </c>
      <c r="B2354" t="inlineStr">
        <is>
          <t>HOSP-1</t>
        </is>
      </c>
      <c r="C2354" t="inlineStr">
        <is>
          <t>SS-01023</t>
        </is>
      </c>
      <c r="D2354" t="n">
        <v>93</v>
      </c>
      <c r="E2354" t="n">
        <v>2</v>
      </c>
      <c r="G2354">
        <f>IF(AND(A2354&gt;=Inputs!$B$5,A2354&lt;=Inputs!$B$6),1,0)</f>
        <v/>
      </c>
    </row>
    <row r="2355">
      <c r="A2355" t="inlineStr">
        <is>
          <t>2026-08</t>
        </is>
      </c>
      <c r="B2355" t="inlineStr">
        <is>
          <t>HOSP-2</t>
        </is>
      </c>
      <c r="C2355" t="inlineStr">
        <is>
          <t>SS-01024</t>
        </is>
      </c>
      <c r="D2355" t="n">
        <v>48</v>
      </c>
      <c r="E2355" t="n">
        <v>0</v>
      </c>
      <c r="G2355">
        <f>IF(AND(A2355&gt;=Inputs!$B$5,A2355&lt;=Inputs!$B$6),1,0)</f>
        <v/>
      </c>
    </row>
    <row r="2356">
      <c r="A2356" t="inlineStr">
        <is>
          <t>2026-08</t>
        </is>
      </c>
      <c r="B2356" t="inlineStr">
        <is>
          <t>HOSP-3</t>
        </is>
      </c>
      <c r="C2356" t="inlineStr">
        <is>
          <t>SS-01123</t>
        </is>
      </c>
      <c r="D2356" t="n">
        <v>66</v>
      </c>
      <c r="E2356" t="n">
        <v>0</v>
      </c>
      <c r="G2356">
        <f>IF(AND(A2356&gt;=Inputs!$B$5,A2356&lt;=Inputs!$B$6),1,0)</f>
        <v/>
      </c>
    </row>
    <row r="2357">
      <c r="A2357" t="inlineStr">
        <is>
          <t>2026-08</t>
        </is>
      </c>
      <c r="B2357" t="inlineStr">
        <is>
          <t>HOSP-4</t>
        </is>
      </c>
      <c r="C2357" t="inlineStr">
        <is>
          <t>SS-01026</t>
        </is>
      </c>
      <c r="D2357" t="n">
        <v>12</v>
      </c>
      <c r="E2357" t="n">
        <v>0</v>
      </c>
      <c r="G2357">
        <f>IF(AND(A2357&gt;=Inputs!$B$5,A2357&lt;=Inputs!$B$6),1,0)</f>
        <v/>
      </c>
    </row>
    <row r="2358">
      <c r="A2358" t="inlineStr">
        <is>
          <t>2026-08</t>
        </is>
      </c>
      <c r="B2358" t="inlineStr">
        <is>
          <t>HOSP-1</t>
        </is>
      </c>
      <c r="C2358" t="inlineStr">
        <is>
          <t>SS-01027</t>
        </is>
      </c>
      <c r="D2358" t="n">
        <v>24</v>
      </c>
      <c r="E2358" t="n">
        <v>0</v>
      </c>
      <c r="G2358">
        <f>IF(AND(A2358&gt;=Inputs!$B$5,A2358&lt;=Inputs!$B$6),1,0)</f>
        <v/>
      </c>
    </row>
    <row r="2359">
      <c r="A2359" t="inlineStr">
        <is>
          <t>2026-08</t>
        </is>
      </c>
      <c r="B2359" t="inlineStr">
        <is>
          <t>HOSP-2</t>
        </is>
      </c>
      <c r="C2359" t="inlineStr">
        <is>
          <t>SS-01028</t>
        </is>
      </c>
      <c r="D2359" t="n">
        <v>12</v>
      </c>
      <c r="E2359" t="n">
        <v>0</v>
      </c>
      <c r="G2359">
        <f>IF(AND(A2359&gt;=Inputs!$B$5,A2359&lt;=Inputs!$B$6),1,0)</f>
        <v/>
      </c>
    </row>
    <row r="2360">
      <c r="A2360" t="inlineStr">
        <is>
          <t>2026-08</t>
        </is>
      </c>
      <c r="B2360" t="inlineStr">
        <is>
          <t>HOSP-3</t>
        </is>
      </c>
      <c r="C2360" t="inlineStr">
        <is>
          <t>SS-01029</t>
        </is>
      </c>
      <c r="D2360" t="n">
        <v>12</v>
      </c>
      <c r="E2360" t="n">
        <v>0</v>
      </c>
      <c r="G2360">
        <f>IF(AND(A2360&gt;=Inputs!$B$5,A2360&lt;=Inputs!$B$6),1,0)</f>
        <v/>
      </c>
    </row>
    <row r="2361">
      <c r="A2361" t="inlineStr">
        <is>
          <t>2026-08</t>
        </is>
      </c>
      <c r="B2361" t="inlineStr">
        <is>
          <t>HOSP-4</t>
        </is>
      </c>
      <c r="C2361" t="inlineStr">
        <is>
          <t>SS-01030</t>
        </is>
      </c>
      <c r="D2361" t="n">
        <v>24</v>
      </c>
      <c r="E2361" t="n">
        <v>0</v>
      </c>
      <c r="G2361">
        <f>IF(AND(A2361&gt;=Inputs!$B$5,A2361&lt;=Inputs!$B$6),1,0)</f>
        <v/>
      </c>
    </row>
    <row r="2362">
      <c r="A2362" t="inlineStr">
        <is>
          <t>2026-08</t>
        </is>
      </c>
      <c r="B2362" t="inlineStr">
        <is>
          <t>HOSP-1</t>
        </is>
      </c>
      <c r="C2362" t="inlineStr">
        <is>
          <t>SS-01031</t>
        </is>
      </c>
      <c r="D2362" t="n">
        <v>108</v>
      </c>
      <c r="E2362" t="n">
        <v>0</v>
      </c>
      <c r="G2362">
        <f>IF(AND(A2362&gt;=Inputs!$B$5,A2362&lt;=Inputs!$B$6),1,0)</f>
        <v/>
      </c>
    </row>
    <row r="2363">
      <c r="A2363" t="inlineStr">
        <is>
          <t>2026-08</t>
        </is>
      </c>
      <c r="B2363" t="inlineStr">
        <is>
          <t>HOSP-2</t>
        </is>
      </c>
      <c r="C2363" t="inlineStr">
        <is>
          <t>SS-01032</t>
        </is>
      </c>
      <c r="D2363" t="n">
        <v>12</v>
      </c>
      <c r="E2363" t="n">
        <v>0</v>
      </c>
      <c r="G2363">
        <f>IF(AND(A2363&gt;=Inputs!$B$5,A2363&lt;=Inputs!$B$6),1,0)</f>
        <v/>
      </c>
    </row>
    <row r="2364">
      <c r="A2364" t="inlineStr">
        <is>
          <t>2026-08</t>
        </is>
      </c>
      <c r="B2364" t="inlineStr">
        <is>
          <t>HOSP-3</t>
        </is>
      </c>
      <c r="C2364" t="inlineStr">
        <is>
          <t>SS-01033</t>
        </is>
      </c>
      <c r="D2364" t="n">
        <v>12</v>
      </c>
      <c r="E2364" t="n">
        <v>0</v>
      </c>
      <c r="G2364">
        <f>IF(AND(A2364&gt;=Inputs!$B$5,A2364&lt;=Inputs!$B$6),1,0)</f>
        <v/>
      </c>
    </row>
    <row r="2365">
      <c r="A2365" t="inlineStr">
        <is>
          <t>2026-08</t>
        </is>
      </c>
      <c r="B2365" t="inlineStr">
        <is>
          <t>HOSP-4</t>
        </is>
      </c>
      <c r="C2365" t="inlineStr">
        <is>
          <t>SS-01086</t>
        </is>
      </c>
      <c r="D2365" t="n">
        <v>2</v>
      </c>
      <c r="E2365" t="n">
        <v>2</v>
      </c>
      <c r="G2365">
        <f>IF(AND(A2365&gt;=Inputs!$B$5,A2365&lt;=Inputs!$B$6),1,0)</f>
        <v/>
      </c>
    </row>
    <row r="2366">
      <c r="A2366" t="inlineStr">
        <is>
          <t>2026-08</t>
        </is>
      </c>
      <c r="B2366" t="inlineStr">
        <is>
          <t>HOSP-1</t>
        </is>
      </c>
      <c r="C2366" t="inlineStr">
        <is>
          <t>SS-01035</t>
        </is>
      </c>
      <c r="D2366" t="n">
        <v>36</v>
      </c>
      <c r="E2366" t="n">
        <v>0</v>
      </c>
      <c r="G2366">
        <f>IF(AND(A2366&gt;=Inputs!$B$5,A2366&lt;=Inputs!$B$6),1,0)</f>
        <v/>
      </c>
    </row>
    <row r="2367">
      <c r="A2367" t="inlineStr">
        <is>
          <t>2026-08</t>
        </is>
      </c>
      <c r="B2367" t="inlineStr">
        <is>
          <t>HOSP-2</t>
        </is>
      </c>
      <c r="C2367" t="inlineStr">
        <is>
          <t>SS-01078</t>
        </is>
      </c>
      <c r="D2367" t="n">
        <v>12</v>
      </c>
      <c r="E2367" t="n">
        <v>0</v>
      </c>
      <c r="G2367">
        <f>IF(AND(A2367&gt;=Inputs!$B$5,A2367&lt;=Inputs!$B$6),1,0)</f>
        <v/>
      </c>
    </row>
    <row r="2368">
      <c r="A2368" t="inlineStr">
        <is>
          <t>2026-08</t>
        </is>
      </c>
      <c r="B2368" t="inlineStr">
        <is>
          <t>HOSP-3</t>
        </is>
      </c>
      <c r="C2368" t="inlineStr">
        <is>
          <t>SS-01029</t>
        </is>
      </c>
      <c r="D2368" t="n">
        <v>0</v>
      </c>
      <c r="E2368" t="n">
        <v>0</v>
      </c>
      <c r="G2368">
        <f>IF(AND(A2368&gt;=Inputs!$B$5,A2368&lt;=Inputs!$B$6),1,0)</f>
        <v/>
      </c>
    </row>
    <row r="2369">
      <c r="A2369" t="inlineStr">
        <is>
          <t>2026-08</t>
        </is>
      </c>
      <c r="B2369" t="inlineStr">
        <is>
          <t>HOSP-4</t>
        </is>
      </c>
      <c r="C2369" t="inlineStr">
        <is>
          <t>SS-01038</t>
        </is>
      </c>
      <c r="D2369" t="n">
        <v>0</v>
      </c>
      <c r="E2369" t="n">
        <v>0</v>
      </c>
      <c r="G2369">
        <f>IF(AND(A2369&gt;=Inputs!$B$5,A2369&lt;=Inputs!$B$6),1,0)</f>
        <v/>
      </c>
    </row>
    <row r="2370">
      <c r="A2370" t="inlineStr">
        <is>
          <t>2026-08</t>
        </is>
      </c>
      <c r="B2370" t="inlineStr">
        <is>
          <t>HOSP-1</t>
        </is>
      </c>
      <c r="C2370" t="inlineStr">
        <is>
          <t>SS-01039</t>
        </is>
      </c>
      <c r="D2370" t="n">
        <v>12</v>
      </c>
      <c r="E2370" t="n">
        <v>0</v>
      </c>
      <c r="G2370">
        <f>IF(AND(A2370&gt;=Inputs!$B$5,A2370&lt;=Inputs!$B$6),1,0)</f>
        <v/>
      </c>
    </row>
    <row r="2371">
      <c r="A2371" t="inlineStr">
        <is>
          <t>2026-08</t>
        </is>
      </c>
      <c r="B2371" t="inlineStr">
        <is>
          <t>HOSP-2</t>
        </is>
      </c>
      <c r="C2371" t="inlineStr">
        <is>
          <t>SS-01040</t>
        </is>
      </c>
      <c r="D2371" t="n">
        <v>24</v>
      </c>
      <c r="E2371" t="n">
        <v>0</v>
      </c>
      <c r="G2371">
        <f>IF(AND(A2371&gt;=Inputs!$B$5,A2371&lt;=Inputs!$B$6),1,0)</f>
        <v/>
      </c>
    </row>
    <row r="2372">
      <c r="A2372" t="inlineStr">
        <is>
          <t>2026-08</t>
        </is>
      </c>
      <c r="B2372" t="inlineStr">
        <is>
          <t>HOSP-3</t>
        </is>
      </c>
      <c r="C2372" t="inlineStr">
        <is>
          <t>SS-01112</t>
        </is>
      </c>
      <c r="D2372" t="n">
        <v>12</v>
      </c>
      <c r="E2372" t="n">
        <v>0</v>
      </c>
      <c r="G2372">
        <f>IF(AND(A2372&gt;=Inputs!$B$5,A2372&lt;=Inputs!$B$6),1,0)</f>
        <v/>
      </c>
    </row>
    <row r="2373">
      <c r="A2373" t="inlineStr">
        <is>
          <t>2026-08</t>
        </is>
      </c>
      <c r="B2373" t="inlineStr">
        <is>
          <t>HOSP-4</t>
        </is>
      </c>
      <c r="C2373" t="inlineStr">
        <is>
          <t>SS-01042</t>
        </is>
      </c>
      <c r="D2373" t="n">
        <v>0</v>
      </c>
      <c r="E2373" t="n">
        <v>1</v>
      </c>
      <c r="G2373">
        <f>IF(AND(A2373&gt;=Inputs!$B$5,A2373&lt;=Inputs!$B$6),1,0)</f>
        <v/>
      </c>
    </row>
    <row r="2374">
      <c r="A2374" t="inlineStr">
        <is>
          <t>2026-08</t>
        </is>
      </c>
      <c r="B2374" t="inlineStr">
        <is>
          <t>HOSP-1</t>
        </is>
      </c>
      <c r="C2374" t="inlineStr">
        <is>
          <t>SS-01043</t>
        </is>
      </c>
      <c r="D2374" t="n">
        <v>21</v>
      </c>
      <c r="E2374" t="n">
        <v>0</v>
      </c>
      <c r="G2374">
        <f>IF(AND(A2374&gt;=Inputs!$B$5,A2374&lt;=Inputs!$B$6),1,0)</f>
        <v/>
      </c>
    </row>
    <row r="2375">
      <c r="A2375" t="inlineStr">
        <is>
          <t>2026-08</t>
        </is>
      </c>
      <c r="B2375" t="inlineStr">
        <is>
          <t>HOSP-2</t>
        </is>
      </c>
      <c r="C2375" t="inlineStr">
        <is>
          <t>SS-01182</t>
        </is>
      </c>
      <c r="D2375" t="n">
        <v>72</v>
      </c>
      <c r="E2375" t="n">
        <v>0</v>
      </c>
      <c r="G2375">
        <f>IF(AND(A2375&gt;=Inputs!$B$5,A2375&lt;=Inputs!$B$6),1,0)</f>
        <v/>
      </c>
    </row>
    <row r="2376">
      <c r="A2376" t="inlineStr">
        <is>
          <t>2026-08</t>
        </is>
      </c>
      <c r="B2376" t="inlineStr">
        <is>
          <t>HOSP-3</t>
        </is>
      </c>
      <c r="C2376" t="inlineStr">
        <is>
          <t>SS-01045</t>
        </is>
      </c>
      <c r="D2376" t="n">
        <v>0</v>
      </c>
      <c r="E2376" t="n">
        <v>0</v>
      </c>
      <c r="G2376">
        <f>IF(AND(A2376&gt;=Inputs!$B$5,A2376&lt;=Inputs!$B$6),1,0)</f>
        <v/>
      </c>
    </row>
    <row r="2377">
      <c r="A2377" t="inlineStr">
        <is>
          <t>2026-08</t>
        </is>
      </c>
      <c r="B2377" t="inlineStr">
        <is>
          <t>HOSP-4</t>
        </is>
      </c>
      <c r="C2377" t="inlineStr">
        <is>
          <t>SS-01046</t>
        </is>
      </c>
      <c r="D2377" t="n">
        <v>24</v>
      </c>
      <c r="E2377" t="n">
        <v>0</v>
      </c>
      <c r="G2377">
        <f>IF(AND(A2377&gt;=Inputs!$B$5,A2377&lt;=Inputs!$B$6),1,0)</f>
        <v/>
      </c>
    </row>
    <row r="2378">
      <c r="A2378" t="inlineStr">
        <is>
          <t>2026-08</t>
        </is>
      </c>
      <c r="B2378" t="inlineStr">
        <is>
          <t>HOSP-1</t>
        </is>
      </c>
      <c r="C2378" t="inlineStr">
        <is>
          <t>SS-01047</t>
        </is>
      </c>
      <c r="D2378" t="n">
        <v>0</v>
      </c>
      <c r="E2378" t="n">
        <v>0</v>
      </c>
      <c r="G2378">
        <f>IF(AND(A2378&gt;=Inputs!$B$5,A2378&lt;=Inputs!$B$6),1,0)</f>
        <v/>
      </c>
    </row>
    <row r="2379">
      <c r="A2379" t="inlineStr">
        <is>
          <t>2026-08</t>
        </is>
      </c>
      <c r="B2379" t="inlineStr">
        <is>
          <t>HOSP-2</t>
        </is>
      </c>
      <c r="C2379" t="inlineStr">
        <is>
          <t>SS-01048</t>
        </is>
      </c>
      <c r="D2379" t="n">
        <v>24</v>
      </c>
      <c r="E2379" t="n">
        <v>0</v>
      </c>
      <c r="G2379">
        <f>IF(AND(A2379&gt;=Inputs!$B$5,A2379&lt;=Inputs!$B$6),1,0)</f>
        <v/>
      </c>
    </row>
    <row r="2380">
      <c r="A2380" t="inlineStr">
        <is>
          <t>2026-08</t>
        </is>
      </c>
      <c r="B2380" t="inlineStr">
        <is>
          <t>HOSP-3</t>
        </is>
      </c>
      <c r="C2380" t="inlineStr">
        <is>
          <t>SS-01049</t>
        </is>
      </c>
      <c r="D2380" t="n">
        <v>4</v>
      </c>
      <c r="E2380" t="n">
        <v>3</v>
      </c>
      <c r="G2380">
        <f>IF(AND(A2380&gt;=Inputs!$B$5,A2380&lt;=Inputs!$B$6),1,0)</f>
        <v/>
      </c>
    </row>
    <row r="2381">
      <c r="A2381" t="inlineStr">
        <is>
          <t>2026-08</t>
        </is>
      </c>
      <c r="B2381" t="inlineStr">
        <is>
          <t>HOSP-4</t>
        </is>
      </c>
      <c r="C2381" t="inlineStr">
        <is>
          <t>SS-01050</t>
        </is>
      </c>
      <c r="D2381" t="n">
        <v>12</v>
      </c>
      <c r="E2381" t="n">
        <v>0</v>
      </c>
      <c r="G2381">
        <f>IF(AND(A2381&gt;=Inputs!$B$5,A2381&lt;=Inputs!$B$6),1,0)</f>
        <v/>
      </c>
    </row>
    <row r="2382">
      <c r="A2382" t="inlineStr">
        <is>
          <t>2026-08</t>
        </is>
      </c>
      <c r="B2382" t="inlineStr">
        <is>
          <t>HOSP-1</t>
        </is>
      </c>
      <c r="C2382" t="inlineStr">
        <is>
          <t>SS-01051</t>
        </is>
      </c>
      <c r="D2382" t="n">
        <v>12</v>
      </c>
      <c r="E2382" t="n">
        <v>0</v>
      </c>
      <c r="G2382">
        <f>IF(AND(A2382&gt;=Inputs!$B$5,A2382&lt;=Inputs!$B$6),1,0)</f>
        <v/>
      </c>
    </row>
    <row r="2383">
      <c r="A2383" t="inlineStr">
        <is>
          <t>2026-08</t>
        </is>
      </c>
      <c r="B2383" t="inlineStr">
        <is>
          <t>HOSP-2</t>
        </is>
      </c>
      <c r="C2383" t="inlineStr">
        <is>
          <t>SS-01052</t>
        </is>
      </c>
      <c r="D2383" t="n">
        <v>0</v>
      </c>
      <c r="E2383" t="n">
        <v>0</v>
      </c>
      <c r="G2383">
        <f>IF(AND(A2383&gt;=Inputs!$B$5,A2383&lt;=Inputs!$B$6),1,0)</f>
        <v/>
      </c>
    </row>
    <row r="2384">
      <c r="A2384" t="inlineStr">
        <is>
          <t>2026-08</t>
        </is>
      </c>
      <c r="B2384" t="inlineStr">
        <is>
          <t>HOSP-3</t>
        </is>
      </c>
      <c r="C2384" t="inlineStr">
        <is>
          <t>SS-01053</t>
        </is>
      </c>
      <c r="D2384" t="n">
        <v>0</v>
      </c>
      <c r="E2384" t="n">
        <v>0</v>
      </c>
      <c r="G2384">
        <f>IF(AND(A2384&gt;=Inputs!$B$5,A2384&lt;=Inputs!$B$6),1,0)</f>
        <v/>
      </c>
    </row>
    <row r="2385">
      <c r="A2385" t="inlineStr">
        <is>
          <t>2026-08</t>
        </is>
      </c>
      <c r="B2385" t="inlineStr">
        <is>
          <t>HOSP-4</t>
        </is>
      </c>
      <c r="C2385" t="inlineStr">
        <is>
          <t>SS-01054</t>
        </is>
      </c>
      <c r="D2385" t="n">
        <v>6</v>
      </c>
      <c r="E2385" t="n">
        <v>0</v>
      </c>
      <c r="G2385">
        <f>IF(AND(A2385&gt;=Inputs!$B$5,A2385&lt;=Inputs!$B$6),1,0)</f>
        <v/>
      </c>
    </row>
    <row r="2386">
      <c r="A2386" t="inlineStr">
        <is>
          <t>2026-08</t>
        </is>
      </c>
      <c r="B2386" t="inlineStr">
        <is>
          <t>HOSP-1</t>
        </is>
      </c>
      <c r="C2386" t="inlineStr">
        <is>
          <t>SS-01055</t>
        </is>
      </c>
      <c r="D2386" t="n">
        <v>12</v>
      </c>
      <c r="E2386" t="n">
        <v>1</v>
      </c>
      <c r="G2386">
        <f>IF(AND(A2386&gt;=Inputs!$B$5,A2386&lt;=Inputs!$B$6),1,0)</f>
        <v/>
      </c>
    </row>
    <row r="2387">
      <c r="A2387" t="inlineStr">
        <is>
          <t>2026-08</t>
        </is>
      </c>
      <c r="B2387" t="inlineStr">
        <is>
          <t>HOSP-2</t>
        </is>
      </c>
      <c r="C2387" t="inlineStr">
        <is>
          <t>SS-01056</t>
        </is>
      </c>
      <c r="D2387" t="n">
        <v>0</v>
      </c>
      <c r="E2387" t="n">
        <v>0</v>
      </c>
      <c r="G2387">
        <f>IF(AND(A2387&gt;=Inputs!$B$5,A2387&lt;=Inputs!$B$6),1,0)</f>
        <v/>
      </c>
    </row>
    <row r="2388">
      <c r="A2388" t="inlineStr">
        <is>
          <t>2026-08</t>
        </is>
      </c>
      <c r="B2388" t="inlineStr">
        <is>
          <t>HOSP-3</t>
        </is>
      </c>
      <c r="C2388" t="inlineStr">
        <is>
          <t>SS-01057</t>
        </is>
      </c>
      <c r="D2388" t="n">
        <v>12</v>
      </c>
      <c r="E2388" t="n">
        <v>0</v>
      </c>
      <c r="G2388">
        <f>IF(AND(A2388&gt;=Inputs!$B$5,A2388&lt;=Inputs!$B$6),1,0)</f>
        <v/>
      </c>
    </row>
    <row r="2389">
      <c r="A2389" t="inlineStr">
        <is>
          <t>2026-08</t>
        </is>
      </c>
      <c r="B2389" t="inlineStr">
        <is>
          <t>HOSP-4</t>
        </is>
      </c>
      <c r="C2389" t="inlineStr">
        <is>
          <t>SS-01058</t>
        </is>
      </c>
      <c r="D2389" t="n">
        <v>60</v>
      </c>
      <c r="E2389" t="n">
        <v>0</v>
      </c>
      <c r="G2389">
        <f>IF(AND(A2389&gt;=Inputs!$B$5,A2389&lt;=Inputs!$B$6),1,0)</f>
        <v/>
      </c>
    </row>
    <row r="2390">
      <c r="A2390" t="inlineStr">
        <is>
          <t>2026-08</t>
        </is>
      </c>
      <c r="B2390" t="inlineStr">
        <is>
          <t>HOSP-1</t>
        </is>
      </c>
      <c r="C2390" t="inlineStr">
        <is>
          <t>SS-01059</t>
        </is>
      </c>
      <c r="D2390" t="n">
        <v>0</v>
      </c>
      <c r="E2390" t="n">
        <v>0</v>
      </c>
      <c r="G2390">
        <f>IF(AND(A2390&gt;=Inputs!$B$5,A2390&lt;=Inputs!$B$6),1,0)</f>
        <v/>
      </c>
    </row>
    <row r="2391">
      <c r="A2391" t="inlineStr">
        <is>
          <t>2026-08</t>
        </is>
      </c>
      <c r="B2391" t="inlineStr">
        <is>
          <t>HOSP-2</t>
        </is>
      </c>
      <c r="C2391" t="inlineStr">
        <is>
          <t>SS-01060</t>
        </is>
      </c>
      <c r="D2391" t="n">
        <v>12</v>
      </c>
      <c r="E2391" t="n">
        <v>0</v>
      </c>
      <c r="G2391">
        <f>IF(AND(A2391&gt;=Inputs!$B$5,A2391&lt;=Inputs!$B$6),1,0)</f>
        <v/>
      </c>
    </row>
    <row r="2392">
      <c r="A2392" t="inlineStr">
        <is>
          <t>2026-08</t>
        </is>
      </c>
      <c r="B2392" t="inlineStr">
        <is>
          <t>HOSP-3</t>
        </is>
      </c>
      <c r="C2392" t="inlineStr">
        <is>
          <t>SS-01061</t>
        </is>
      </c>
      <c r="D2392" t="n">
        <v>36</v>
      </c>
      <c r="E2392" t="n">
        <v>0</v>
      </c>
      <c r="G2392">
        <f>IF(AND(A2392&gt;=Inputs!$B$5,A2392&lt;=Inputs!$B$6),1,0)</f>
        <v/>
      </c>
    </row>
    <row r="2393">
      <c r="A2393" t="inlineStr">
        <is>
          <t>2026-08</t>
        </is>
      </c>
      <c r="B2393" t="inlineStr">
        <is>
          <t>HOSP-4</t>
        </is>
      </c>
      <c r="C2393" t="inlineStr">
        <is>
          <t>SS-01062</t>
        </is>
      </c>
      <c r="D2393" t="n">
        <v>36</v>
      </c>
      <c r="E2393" t="n">
        <v>0</v>
      </c>
      <c r="G2393">
        <f>IF(AND(A2393&gt;=Inputs!$B$5,A2393&lt;=Inputs!$B$6),1,0)</f>
        <v/>
      </c>
    </row>
    <row r="2394">
      <c r="A2394" t="inlineStr">
        <is>
          <t>2026-08</t>
        </is>
      </c>
      <c r="B2394" t="inlineStr">
        <is>
          <t>HOSP-1</t>
        </is>
      </c>
      <c r="C2394" t="inlineStr">
        <is>
          <t>SS-01063</t>
        </is>
      </c>
      <c r="D2394" t="n">
        <v>732</v>
      </c>
      <c r="E2394" t="n">
        <v>0</v>
      </c>
      <c r="G2394">
        <f>IF(AND(A2394&gt;=Inputs!$B$5,A2394&lt;=Inputs!$B$6),1,0)</f>
        <v/>
      </c>
    </row>
    <row r="2395">
      <c r="A2395" t="inlineStr">
        <is>
          <t>2026-08</t>
        </is>
      </c>
      <c r="B2395" t="inlineStr">
        <is>
          <t>HOSP-2</t>
        </is>
      </c>
      <c r="C2395" t="inlineStr">
        <is>
          <t>SS-01064</t>
        </is>
      </c>
      <c r="D2395" t="n">
        <v>101</v>
      </c>
      <c r="E2395" t="n">
        <v>0</v>
      </c>
      <c r="G2395">
        <f>IF(AND(A2395&gt;=Inputs!$B$5,A2395&lt;=Inputs!$B$6),1,0)</f>
        <v/>
      </c>
    </row>
    <row r="2396">
      <c r="A2396" t="inlineStr">
        <is>
          <t>2026-08</t>
        </is>
      </c>
      <c r="B2396" t="inlineStr">
        <is>
          <t>HOSP-3</t>
        </is>
      </c>
      <c r="C2396" t="inlineStr">
        <is>
          <t>SS-01065</t>
        </is>
      </c>
      <c r="D2396" t="n">
        <v>24</v>
      </c>
      <c r="E2396" t="n">
        <v>0</v>
      </c>
      <c r="G2396">
        <f>IF(AND(A2396&gt;=Inputs!$B$5,A2396&lt;=Inputs!$B$6),1,0)</f>
        <v/>
      </c>
    </row>
    <row r="2397">
      <c r="A2397" t="inlineStr">
        <is>
          <t>2026-08</t>
        </is>
      </c>
      <c r="B2397" t="inlineStr">
        <is>
          <t>HOSP-4</t>
        </is>
      </c>
      <c r="C2397" t="inlineStr">
        <is>
          <t>SS-01066</t>
        </is>
      </c>
      <c r="D2397" t="n">
        <v>12</v>
      </c>
      <c r="E2397" t="n">
        <v>0</v>
      </c>
      <c r="G2397">
        <f>IF(AND(A2397&gt;=Inputs!$B$5,A2397&lt;=Inputs!$B$6),1,0)</f>
        <v/>
      </c>
    </row>
    <row r="2398">
      <c r="A2398" t="inlineStr">
        <is>
          <t>2026-08</t>
        </is>
      </c>
      <c r="B2398" t="inlineStr">
        <is>
          <t>HOSP-1</t>
        </is>
      </c>
      <c r="C2398" t="inlineStr">
        <is>
          <t>SS-01067</t>
        </is>
      </c>
      <c r="D2398" t="n">
        <v>0</v>
      </c>
      <c r="E2398" t="n">
        <v>0</v>
      </c>
      <c r="G2398">
        <f>IF(AND(A2398&gt;=Inputs!$B$5,A2398&lt;=Inputs!$B$6),1,0)</f>
        <v/>
      </c>
    </row>
    <row r="2399">
      <c r="A2399" t="inlineStr">
        <is>
          <t>2026-08</t>
        </is>
      </c>
      <c r="B2399" t="inlineStr">
        <is>
          <t>HOSP-2</t>
        </is>
      </c>
      <c r="C2399" t="inlineStr">
        <is>
          <t>SS-01068</t>
        </is>
      </c>
      <c r="D2399" t="n">
        <v>12</v>
      </c>
      <c r="E2399" t="n">
        <v>0</v>
      </c>
      <c r="G2399">
        <f>IF(AND(A2399&gt;=Inputs!$B$5,A2399&lt;=Inputs!$B$6),1,0)</f>
        <v/>
      </c>
    </row>
    <row r="2400">
      <c r="A2400" t="inlineStr">
        <is>
          <t>2026-08</t>
        </is>
      </c>
      <c r="B2400" t="inlineStr">
        <is>
          <t>HOSP-3</t>
        </is>
      </c>
      <c r="C2400" t="inlineStr">
        <is>
          <t>SS-01069</t>
        </is>
      </c>
      <c r="D2400" t="n">
        <v>24</v>
      </c>
      <c r="E2400" t="n">
        <v>0</v>
      </c>
      <c r="G2400">
        <f>IF(AND(A2400&gt;=Inputs!$B$5,A2400&lt;=Inputs!$B$6),1,0)</f>
        <v/>
      </c>
    </row>
    <row r="2401">
      <c r="A2401" t="inlineStr">
        <is>
          <t>2026-08</t>
        </is>
      </c>
      <c r="B2401" t="inlineStr">
        <is>
          <t>HOSP-4</t>
        </is>
      </c>
      <c r="C2401" t="inlineStr">
        <is>
          <t>SS-01070</t>
        </is>
      </c>
      <c r="D2401" t="n">
        <v>24</v>
      </c>
      <c r="E2401" t="n">
        <v>0</v>
      </c>
      <c r="G2401">
        <f>IF(AND(A2401&gt;=Inputs!$B$5,A2401&lt;=Inputs!$B$6),1,0)</f>
        <v/>
      </c>
    </row>
    <row r="2402">
      <c r="A2402" t="inlineStr">
        <is>
          <t>2026-08</t>
        </is>
      </c>
      <c r="B2402" t="inlineStr">
        <is>
          <t>HOSP-1</t>
        </is>
      </c>
      <c r="C2402" t="inlineStr">
        <is>
          <t>SS-01071</t>
        </is>
      </c>
      <c r="D2402" t="n">
        <v>0</v>
      </c>
      <c r="E2402" t="n">
        <v>0</v>
      </c>
      <c r="G2402">
        <f>IF(AND(A2402&gt;=Inputs!$B$5,A2402&lt;=Inputs!$B$6),1,0)</f>
        <v/>
      </c>
    </row>
    <row r="2403">
      <c r="A2403" t="inlineStr">
        <is>
          <t>2026-08</t>
        </is>
      </c>
      <c r="B2403" t="inlineStr">
        <is>
          <t>HOSP-2</t>
        </is>
      </c>
      <c r="C2403" t="inlineStr">
        <is>
          <t>SS-01072</t>
        </is>
      </c>
      <c r="D2403" t="n">
        <v>24</v>
      </c>
      <c r="E2403" t="n">
        <v>0</v>
      </c>
      <c r="G2403">
        <f>IF(AND(A2403&gt;=Inputs!$B$5,A2403&lt;=Inputs!$B$6),1,0)</f>
        <v/>
      </c>
    </row>
    <row r="2404">
      <c r="A2404" t="inlineStr">
        <is>
          <t>2026-08</t>
        </is>
      </c>
      <c r="B2404" t="inlineStr">
        <is>
          <t>HOSP-3</t>
        </is>
      </c>
      <c r="C2404" t="inlineStr">
        <is>
          <t>SS-01073</t>
        </is>
      </c>
      <c r="D2404" t="n">
        <v>0</v>
      </c>
      <c r="E2404" t="n">
        <v>0</v>
      </c>
      <c r="G2404">
        <f>IF(AND(A2404&gt;=Inputs!$B$5,A2404&lt;=Inputs!$B$6),1,0)</f>
        <v/>
      </c>
    </row>
    <row r="2405">
      <c r="A2405" t="inlineStr">
        <is>
          <t>2026-08</t>
        </is>
      </c>
      <c r="B2405" t="inlineStr">
        <is>
          <t>HOSP-4</t>
        </is>
      </c>
      <c r="C2405" t="inlineStr">
        <is>
          <t>SS-01074</t>
        </is>
      </c>
      <c r="D2405" t="n">
        <v>72</v>
      </c>
      <c r="E2405" t="n">
        <v>0</v>
      </c>
      <c r="G2405">
        <f>IF(AND(A2405&gt;=Inputs!$B$5,A2405&lt;=Inputs!$B$6),1,0)</f>
        <v/>
      </c>
    </row>
    <row r="2406">
      <c r="A2406" t="inlineStr">
        <is>
          <t>2026-08</t>
        </is>
      </c>
      <c r="B2406" t="inlineStr">
        <is>
          <t>HOSP-1</t>
        </is>
      </c>
      <c r="C2406" t="inlineStr">
        <is>
          <t>SS-01075</t>
        </is>
      </c>
      <c r="D2406" t="n">
        <v>6</v>
      </c>
      <c r="E2406" t="n">
        <v>0</v>
      </c>
      <c r="G2406">
        <f>IF(AND(A2406&gt;=Inputs!$B$5,A2406&lt;=Inputs!$B$6),1,0)</f>
        <v/>
      </c>
    </row>
    <row r="2407">
      <c r="A2407" t="inlineStr">
        <is>
          <t>2026-08</t>
        </is>
      </c>
      <c r="B2407" t="inlineStr">
        <is>
          <t>HOSP-2</t>
        </is>
      </c>
      <c r="C2407" t="inlineStr">
        <is>
          <t>SS-01076</t>
        </is>
      </c>
      <c r="D2407" t="n">
        <v>24</v>
      </c>
      <c r="E2407" t="n">
        <v>0</v>
      </c>
      <c r="G2407">
        <f>IF(AND(A2407&gt;=Inputs!$B$5,A2407&lt;=Inputs!$B$6),1,0)</f>
        <v/>
      </c>
    </row>
    <row r="2408">
      <c r="A2408" t="inlineStr">
        <is>
          <t>2026-08</t>
        </is>
      </c>
      <c r="B2408" t="inlineStr">
        <is>
          <t>HOSP-3</t>
        </is>
      </c>
      <c r="C2408" t="inlineStr">
        <is>
          <t>SS-01077</t>
        </is>
      </c>
      <c r="D2408" t="n">
        <v>55</v>
      </c>
      <c r="E2408" t="n">
        <v>0</v>
      </c>
      <c r="G2408">
        <f>IF(AND(A2408&gt;=Inputs!$B$5,A2408&lt;=Inputs!$B$6),1,0)</f>
        <v/>
      </c>
    </row>
    <row r="2409">
      <c r="A2409" t="inlineStr">
        <is>
          <t>2026-08</t>
        </is>
      </c>
      <c r="B2409" t="inlineStr">
        <is>
          <t>HOSP-4</t>
        </is>
      </c>
      <c r="C2409" t="inlineStr">
        <is>
          <t>SS-01078</t>
        </is>
      </c>
      <c r="D2409" t="n">
        <v>24</v>
      </c>
      <c r="E2409" t="n">
        <v>0</v>
      </c>
      <c r="G2409">
        <f>IF(AND(A2409&gt;=Inputs!$B$5,A2409&lt;=Inputs!$B$6),1,0)</f>
        <v/>
      </c>
    </row>
    <row r="2410">
      <c r="A2410" t="inlineStr">
        <is>
          <t>2026-08</t>
        </is>
      </c>
      <c r="B2410" t="inlineStr">
        <is>
          <t>HOSP-1</t>
        </is>
      </c>
      <c r="C2410" t="inlineStr">
        <is>
          <t>SS-01079</t>
        </is>
      </c>
      <c r="D2410" t="n">
        <v>322</v>
      </c>
      <c r="E2410" t="n">
        <v>0</v>
      </c>
      <c r="G2410">
        <f>IF(AND(A2410&gt;=Inputs!$B$5,A2410&lt;=Inputs!$B$6),1,0)</f>
        <v/>
      </c>
    </row>
    <row r="2411">
      <c r="A2411" t="inlineStr">
        <is>
          <t>2026-08</t>
        </is>
      </c>
      <c r="B2411" t="inlineStr">
        <is>
          <t>HOSP-2</t>
        </is>
      </c>
      <c r="C2411" t="inlineStr">
        <is>
          <t>SS-01080</t>
        </is>
      </c>
      <c r="D2411" t="n">
        <v>72</v>
      </c>
      <c r="E2411" t="n">
        <v>0</v>
      </c>
      <c r="G2411">
        <f>IF(AND(A2411&gt;=Inputs!$B$5,A2411&lt;=Inputs!$B$6),1,0)</f>
        <v/>
      </c>
    </row>
    <row r="2412">
      <c r="A2412" t="inlineStr">
        <is>
          <t>2026-08</t>
        </is>
      </c>
      <c r="B2412" t="inlineStr">
        <is>
          <t>HOSP-3</t>
        </is>
      </c>
      <c r="C2412" t="inlineStr">
        <is>
          <t>SS-01081</t>
        </is>
      </c>
      <c r="D2412" t="n">
        <v>12</v>
      </c>
      <c r="E2412" t="n">
        <v>0</v>
      </c>
      <c r="G2412">
        <f>IF(AND(A2412&gt;=Inputs!$B$5,A2412&lt;=Inputs!$B$6),1,0)</f>
        <v/>
      </c>
    </row>
    <row r="2413">
      <c r="A2413" t="inlineStr">
        <is>
          <t>2026-08</t>
        </is>
      </c>
      <c r="B2413" t="inlineStr">
        <is>
          <t>HOSP-4</t>
        </is>
      </c>
      <c r="C2413" t="inlineStr">
        <is>
          <t>SS-01082</t>
        </is>
      </c>
      <c r="D2413" t="n">
        <v>8</v>
      </c>
      <c r="E2413" t="n">
        <v>0</v>
      </c>
      <c r="G2413">
        <f>IF(AND(A2413&gt;=Inputs!$B$5,A2413&lt;=Inputs!$B$6),1,0)</f>
        <v/>
      </c>
    </row>
    <row r="2414">
      <c r="A2414" t="inlineStr">
        <is>
          <t>2026-08</t>
        </is>
      </c>
      <c r="B2414" t="inlineStr">
        <is>
          <t>HOSP-1</t>
        </is>
      </c>
      <c r="C2414" t="inlineStr">
        <is>
          <t>SS-01083</t>
        </is>
      </c>
      <c r="D2414" t="n">
        <v>12</v>
      </c>
      <c r="E2414" t="n">
        <v>0</v>
      </c>
      <c r="G2414">
        <f>IF(AND(A2414&gt;=Inputs!$B$5,A2414&lt;=Inputs!$B$6),1,0)</f>
        <v/>
      </c>
    </row>
    <row r="2415">
      <c r="A2415" t="inlineStr">
        <is>
          <t>2026-08</t>
        </is>
      </c>
      <c r="B2415" t="inlineStr">
        <is>
          <t>HOSP-2</t>
        </is>
      </c>
      <c r="C2415" t="inlineStr">
        <is>
          <t>SS-01084</t>
        </is>
      </c>
      <c r="D2415" t="n">
        <v>0</v>
      </c>
      <c r="E2415" t="n">
        <v>0</v>
      </c>
      <c r="G2415">
        <f>IF(AND(A2415&gt;=Inputs!$B$5,A2415&lt;=Inputs!$B$6),1,0)</f>
        <v/>
      </c>
    </row>
    <row r="2416">
      <c r="A2416" t="inlineStr">
        <is>
          <t>2026-08</t>
        </is>
      </c>
      <c r="B2416" t="inlineStr">
        <is>
          <t>HOSP-3</t>
        </is>
      </c>
      <c r="C2416" t="inlineStr">
        <is>
          <t>SS-01085</t>
        </is>
      </c>
      <c r="D2416" t="n">
        <v>48</v>
      </c>
      <c r="E2416" t="n">
        <v>0</v>
      </c>
      <c r="G2416">
        <f>IF(AND(A2416&gt;=Inputs!$B$5,A2416&lt;=Inputs!$B$6),1,0)</f>
        <v/>
      </c>
    </row>
    <row r="2417">
      <c r="A2417" t="inlineStr">
        <is>
          <t>2026-08</t>
        </is>
      </c>
      <c r="B2417" t="inlineStr">
        <is>
          <t>HOSP-4</t>
        </is>
      </c>
      <c r="C2417" t="inlineStr">
        <is>
          <t>SS-01086</t>
        </is>
      </c>
      <c r="D2417" t="n">
        <v>0</v>
      </c>
      <c r="E2417" t="n">
        <v>0</v>
      </c>
      <c r="G2417">
        <f>IF(AND(A2417&gt;=Inputs!$B$5,A2417&lt;=Inputs!$B$6),1,0)</f>
        <v/>
      </c>
    </row>
    <row r="2418">
      <c r="A2418" t="inlineStr">
        <is>
          <t>2026-08</t>
        </is>
      </c>
      <c r="B2418" t="inlineStr">
        <is>
          <t>HOSP-1</t>
        </is>
      </c>
      <c r="C2418" t="inlineStr">
        <is>
          <t>SS-01087</t>
        </is>
      </c>
      <c r="D2418" t="n">
        <v>0</v>
      </c>
      <c r="E2418" t="n">
        <v>0</v>
      </c>
      <c r="G2418">
        <f>IF(AND(A2418&gt;=Inputs!$B$5,A2418&lt;=Inputs!$B$6),1,0)</f>
        <v/>
      </c>
    </row>
    <row r="2419">
      <c r="A2419" t="inlineStr">
        <is>
          <t>2026-08</t>
        </is>
      </c>
      <c r="B2419" t="inlineStr">
        <is>
          <t>HOSP-2</t>
        </is>
      </c>
      <c r="C2419" t="inlineStr">
        <is>
          <t>SS-01088</t>
        </is>
      </c>
      <c r="D2419" t="n">
        <v>12</v>
      </c>
      <c r="E2419" t="n">
        <v>0</v>
      </c>
      <c r="G2419">
        <f>IF(AND(A2419&gt;=Inputs!$B$5,A2419&lt;=Inputs!$B$6),1,0)</f>
        <v/>
      </c>
    </row>
    <row r="2420">
      <c r="A2420" t="inlineStr">
        <is>
          <t>2026-08</t>
        </is>
      </c>
      <c r="B2420" t="inlineStr">
        <is>
          <t>HOSP-3</t>
        </is>
      </c>
      <c r="C2420" t="inlineStr">
        <is>
          <t>SS-01089</t>
        </is>
      </c>
      <c r="D2420" t="n">
        <v>0</v>
      </c>
      <c r="E2420" t="n">
        <v>0</v>
      </c>
      <c r="G2420">
        <f>IF(AND(A2420&gt;=Inputs!$B$5,A2420&lt;=Inputs!$B$6),1,0)</f>
        <v/>
      </c>
    </row>
    <row r="2421">
      <c r="A2421" t="inlineStr">
        <is>
          <t>2026-08</t>
        </is>
      </c>
      <c r="B2421" t="inlineStr">
        <is>
          <t>HOSP-4</t>
        </is>
      </c>
      <c r="C2421" t="inlineStr">
        <is>
          <t>SS-01090</t>
        </is>
      </c>
      <c r="D2421" t="n">
        <v>60</v>
      </c>
      <c r="E2421" t="n">
        <v>0</v>
      </c>
      <c r="G2421">
        <f>IF(AND(A2421&gt;=Inputs!$B$5,A2421&lt;=Inputs!$B$6),1,0)</f>
        <v/>
      </c>
    </row>
    <row r="2422">
      <c r="A2422" t="inlineStr">
        <is>
          <t>2026-08</t>
        </is>
      </c>
      <c r="B2422" t="inlineStr">
        <is>
          <t>HOSP-1</t>
        </is>
      </c>
      <c r="C2422" t="inlineStr">
        <is>
          <t>SS-01091</t>
        </is>
      </c>
      <c r="D2422" t="n">
        <v>0</v>
      </c>
      <c r="E2422" t="n">
        <v>1</v>
      </c>
      <c r="G2422">
        <f>IF(AND(A2422&gt;=Inputs!$B$5,A2422&lt;=Inputs!$B$6),1,0)</f>
        <v/>
      </c>
    </row>
    <row r="2423">
      <c r="A2423" t="inlineStr">
        <is>
          <t>2026-08</t>
        </is>
      </c>
      <c r="B2423" t="inlineStr">
        <is>
          <t>HOSP-2</t>
        </is>
      </c>
      <c r="C2423" t="inlineStr">
        <is>
          <t>SS-01092</t>
        </is>
      </c>
      <c r="D2423" t="n">
        <v>60</v>
      </c>
      <c r="E2423" t="n">
        <v>0</v>
      </c>
      <c r="G2423">
        <f>IF(AND(A2423&gt;=Inputs!$B$5,A2423&lt;=Inputs!$B$6),1,0)</f>
        <v/>
      </c>
    </row>
    <row r="2424">
      <c r="A2424" t="inlineStr">
        <is>
          <t>2026-08</t>
        </is>
      </c>
      <c r="B2424" t="inlineStr">
        <is>
          <t>HOSP-3</t>
        </is>
      </c>
      <c r="C2424" t="inlineStr">
        <is>
          <t>SS-01093</t>
        </is>
      </c>
      <c r="D2424" t="n">
        <v>12</v>
      </c>
      <c r="E2424" t="n">
        <v>0</v>
      </c>
      <c r="F2424" t="inlineStr">
        <is>
          <t>surge</t>
        </is>
      </c>
      <c r="G2424">
        <f>IF(AND(A2424&gt;=Inputs!$B$5,A2424&lt;=Inputs!$B$6),1,0)</f>
        <v/>
      </c>
    </row>
    <row r="2425">
      <c r="A2425" t="inlineStr">
        <is>
          <t>2026-08</t>
        </is>
      </c>
      <c r="B2425" t="inlineStr">
        <is>
          <t>HOSP-4</t>
        </is>
      </c>
      <c r="C2425" t="inlineStr">
        <is>
          <t>SS-01094</t>
        </is>
      </c>
      <c r="D2425" t="n">
        <v>84</v>
      </c>
      <c r="E2425" t="n">
        <v>0</v>
      </c>
      <c r="G2425">
        <f>IF(AND(A2425&gt;=Inputs!$B$5,A2425&lt;=Inputs!$B$6),1,0)</f>
        <v/>
      </c>
    </row>
    <row r="2426">
      <c r="A2426" t="inlineStr">
        <is>
          <t>2026-08</t>
        </is>
      </c>
      <c r="B2426" t="inlineStr">
        <is>
          <t>HOSP-1</t>
        </is>
      </c>
      <c r="C2426" t="inlineStr">
        <is>
          <t>SS-01095</t>
        </is>
      </c>
      <c r="D2426" t="n">
        <v>0</v>
      </c>
      <c r="E2426" t="n">
        <v>0</v>
      </c>
      <c r="G2426">
        <f>IF(AND(A2426&gt;=Inputs!$B$5,A2426&lt;=Inputs!$B$6),1,0)</f>
        <v/>
      </c>
    </row>
    <row r="2427">
      <c r="A2427" t="inlineStr">
        <is>
          <t>2026-08</t>
        </is>
      </c>
      <c r="B2427" t="inlineStr">
        <is>
          <t>HOSP-2</t>
        </is>
      </c>
      <c r="C2427" t="inlineStr">
        <is>
          <t>SS-01096</t>
        </is>
      </c>
      <c r="D2427" t="n">
        <v>36</v>
      </c>
      <c r="E2427" t="n">
        <v>0</v>
      </c>
      <c r="G2427">
        <f>IF(AND(A2427&gt;=Inputs!$B$5,A2427&lt;=Inputs!$B$6),1,0)</f>
        <v/>
      </c>
    </row>
    <row r="2428">
      <c r="A2428" t="inlineStr">
        <is>
          <t>2026-08</t>
        </is>
      </c>
      <c r="B2428" t="inlineStr">
        <is>
          <t>HOSP-3</t>
        </is>
      </c>
      <c r="C2428" t="inlineStr">
        <is>
          <t>SS-01097</t>
        </is>
      </c>
      <c r="D2428" t="n">
        <v>12</v>
      </c>
      <c r="E2428" t="n">
        <v>0</v>
      </c>
      <c r="G2428">
        <f>IF(AND(A2428&gt;=Inputs!$B$5,A2428&lt;=Inputs!$B$6),1,0)</f>
        <v/>
      </c>
    </row>
    <row r="2429">
      <c r="A2429" t="inlineStr">
        <is>
          <t>2026-08</t>
        </is>
      </c>
      <c r="B2429" t="inlineStr">
        <is>
          <t>HOSP-4</t>
        </is>
      </c>
      <c r="C2429" t="inlineStr">
        <is>
          <t>SS-01098</t>
        </is>
      </c>
      <c r="D2429" t="n">
        <v>27</v>
      </c>
      <c r="E2429" t="n">
        <v>0</v>
      </c>
      <c r="G2429">
        <f>IF(AND(A2429&gt;=Inputs!$B$5,A2429&lt;=Inputs!$B$6),1,0)</f>
        <v/>
      </c>
    </row>
    <row r="2430">
      <c r="A2430" t="inlineStr">
        <is>
          <t>2026-08</t>
        </is>
      </c>
      <c r="B2430" t="inlineStr">
        <is>
          <t>HOSP-1</t>
        </is>
      </c>
      <c r="C2430" t="inlineStr">
        <is>
          <t>SS-01099</t>
        </is>
      </c>
      <c r="D2430" t="n">
        <v>12</v>
      </c>
      <c r="E2430" t="n">
        <v>0</v>
      </c>
      <c r="G2430">
        <f>IF(AND(A2430&gt;=Inputs!$B$5,A2430&lt;=Inputs!$B$6),1,0)</f>
        <v/>
      </c>
    </row>
    <row r="2431">
      <c r="A2431" t="inlineStr">
        <is>
          <t>2026-08</t>
        </is>
      </c>
      <c r="B2431" t="inlineStr">
        <is>
          <t>HOSP-2</t>
        </is>
      </c>
      <c r="C2431" t="inlineStr">
        <is>
          <t>SS-01100</t>
        </is>
      </c>
      <c r="D2431" t="n">
        <v>0</v>
      </c>
      <c r="E2431" t="n">
        <v>0</v>
      </c>
      <c r="G2431">
        <f>IF(AND(A2431&gt;=Inputs!$B$5,A2431&lt;=Inputs!$B$6),1,0)</f>
        <v/>
      </c>
    </row>
    <row r="2432">
      <c r="A2432" t="inlineStr">
        <is>
          <t>2026-08</t>
        </is>
      </c>
      <c r="B2432" t="inlineStr">
        <is>
          <t>HOSP-3</t>
        </is>
      </c>
      <c r="C2432" t="inlineStr">
        <is>
          <t>SS-01101</t>
        </is>
      </c>
      <c r="D2432" t="n">
        <v>12</v>
      </c>
      <c r="E2432" t="n">
        <v>0</v>
      </c>
      <c r="G2432">
        <f>IF(AND(A2432&gt;=Inputs!$B$5,A2432&lt;=Inputs!$B$6),1,0)</f>
        <v/>
      </c>
    </row>
    <row r="2433">
      <c r="A2433" t="inlineStr">
        <is>
          <t>2026-08</t>
        </is>
      </c>
      <c r="B2433" t="inlineStr">
        <is>
          <t>HOSP-4</t>
        </is>
      </c>
      <c r="C2433" t="inlineStr">
        <is>
          <t>SS-01102</t>
        </is>
      </c>
      <c r="D2433" t="n">
        <v>0</v>
      </c>
      <c r="E2433" t="n">
        <v>0</v>
      </c>
      <c r="G2433">
        <f>IF(AND(A2433&gt;=Inputs!$B$5,A2433&lt;=Inputs!$B$6),1,0)</f>
        <v/>
      </c>
    </row>
    <row r="2434">
      <c r="A2434" t="inlineStr">
        <is>
          <t>2026-08</t>
        </is>
      </c>
      <c r="B2434" t="inlineStr">
        <is>
          <t>HOSP-1</t>
        </is>
      </c>
      <c r="C2434" t="inlineStr">
        <is>
          <t>SS-01156</t>
        </is>
      </c>
      <c r="D2434" t="n">
        <v>240</v>
      </c>
      <c r="E2434" t="n">
        <v>0</v>
      </c>
      <c r="G2434">
        <f>IF(AND(A2434&gt;=Inputs!$B$5,A2434&lt;=Inputs!$B$6),1,0)</f>
        <v/>
      </c>
    </row>
    <row r="2435">
      <c r="A2435" t="inlineStr">
        <is>
          <t>2026-08</t>
        </is>
      </c>
      <c r="B2435" t="inlineStr">
        <is>
          <t>HOSP-2</t>
        </is>
      </c>
      <c r="C2435" t="inlineStr">
        <is>
          <t>SS-01104</t>
        </is>
      </c>
      <c r="D2435" t="n">
        <v>4</v>
      </c>
      <c r="E2435" t="n">
        <v>1</v>
      </c>
      <c r="G2435">
        <f>IF(AND(A2435&gt;=Inputs!$B$5,A2435&lt;=Inputs!$B$6),1,0)</f>
        <v/>
      </c>
    </row>
    <row r="2436">
      <c r="A2436" t="inlineStr">
        <is>
          <t>2026-08</t>
        </is>
      </c>
      <c r="B2436" t="inlineStr">
        <is>
          <t>HOSP-3</t>
        </is>
      </c>
      <c r="C2436" t="inlineStr">
        <is>
          <t>SS-01105</t>
        </is>
      </c>
      <c r="D2436" t="n">
        <v>12</v>
      </c>
      <c r="E2436" t="n">
        <v>0</v>
      </c>
      <c r="G2436">
        <f>IF(AND(A2436&gt;=Inputs!$B$5,A2436&lt;=Inputs!$B$6),1,0)</f>
        <v/>
      </c>
    </row>
    <row r="2437">
      <c r="A2437" t="inlineStr">
        <is>
          <t>2026-08</t>
        </is>
      </c>
      <c r="B2437" t="inlineStr">
        <is>
          <t>HOSP-4</t>
        </is>
      </c>
      <c r="C2437" t="inlineStr">
        <is>
          <t>SS-01106</t>
        </is>
      </c>
      <c r="D2437" t="n">
        <v>11</v>
      </c>
      <c r="E2437" t="n">
        <v>0</v>
      </c>
      <c r="G2437">
        <f>IF(AND(A2437&gt;=Inputs!$B$5,A2437&lt;=Inputs!$B$6),1,0)</f>
        <v/>
      </c>
    </row>
    <row r="2438">
      <c r="A2438" t="inlineStr">
        <is>
          <t>2026-08</t>
        </is>
      </c>
      <c r="B2438" t="inlineStr">
        <is>
          <t>HOSP-1</t>
        </is>
      </c>
      <c r="C2438" t="inlineStr">
        <is>
          <t>SS-01107</t>
        </is>
      </c>
      <c r="D2438" t="n">
        <v>0</v>
      </c>
      <c r="E2438" t="n">
        <v>0</v>
      </c>
      <c r="G2438">
        <f>IF(AND(A2438&gt;=Inputs!$B$5,A2438&lt;=Inputs!$B$6),1,0)</f>
        <v/>
      </c>
    </row>
    <row r="2439">
      <c r="A2439" t="inlineStr">
        <is>
          <t>2026-08</t>
        </is>
      </c>
      <c r="B2439" t="inlineStr">
        <is>
          <t>HOSP-2</t>
        </is>
      </c>
      <c r="C2439" t="inlineStr">
        <is>
          <t>SS-01108</t>
        </is>
      </c>
      <c r="D2439" t="n">
        <v>18</v>
      </c>
      <c r="E2439" t="n">
        <v>0</v>
      </c>
      <c r="G2439">
        <f>IF(AND(A2439&gt;=Inputs!$B$5,A2439&lt;=Inputs!$B$6),1,0)</f>
        <v/>
      </c>
    </row>
    <row r="2440">
      <c r="A2440" t="inlineStr">
        <is>
          <t>2026-08</t>
        </is>
      </c>
      <c r="B2440" t="inlineStr">
        <is>
          <t>HOSP-3</t>
        </is>
      </c>
      <c r="C2440" t="inlineStr">
        <is>
          <t>SS-01109</t>
        </is>
      </c>
      <c r="D2440" t="n">
        <v>7</v>
      </c>
      <c r="E2440" t="n">
        <v>2</v>
      </c>
      <c r="G2440">
        <f>IF(AND(A2440&gt;=Inputs!$B$5,A2440&lt;=Inputs!$B$6),1,0)</f>
        <v/>
      </c>
    </row>
    <row r="2441">
      <c r="A2441" t="inlineStr">
        <is>
          <t>2026-08</t>
        </is>
      </c>
      <c r="B2441" t="inlineStr">
        <is>
          <t>HOSP-4</t>
        </is>
      </c>
      <c r="C2441" t="inlineStr">
        <is>
          <t>SS-01110</t>
        </is>
      </c>
      <c r="D2441" t="n">
        <v>24</v>
      </c>
      <c r="E2441" t="n">
        <v>0</v>
      </c>
      <c r="G2441">
        <f>IF(AND(A2441&gt;=Inputs!$B$5,A2441&lt;=Inputs!$B$6),1,0)</f>
        <v/>
      </c>
    </row>
    <row r="2442">
      <c r="A2442" t="inlineStr">
        <is>
          <t>2026-08</t>
        </is>
      </c>
      <c r="B2442" t="inlineStr">
        <is>
          <t>HOSP-1</t>
        </is>
      </c>
      <c r="C2442" t="inlineStr">
        <is>
          <t>SS-01111</t>
        </is>
      </c>
      <c r="D2442" t="n">
        <v>12</v>
      </c>
      <c r="E2442" t="n">
        <v>0</v>
      </c>
      <c r="G2442">
        <f>IF(AND(A2442&gt;=Inputs!$B$5,A2442&lt;=Inputs!$B$6),1,0)</f>
        <v/>
      </c>
    </row>
    <row r="2443">
      <c r="A2443" t="inlineStr">
        <is>
          <t>2026-08</t>
        </is>
      </c>
      <c r="B2443" t="inlineStr">
        <is>
          <t>HOSP-2</t>
        </is>
      </c>
      <c r="C2443" t="inlineStr">
        <is>
          <t>SS-01112</t>
        </is>
      </c>
      <c r="D2443" t="n">
        <v>180</v>
      </c>
      <c r="E2443" t="n">
        <v>0</v>
      </c>
      <c r="G2443">
        <f>IF(AND(A2443&gt;=Inputs!$B$5,A2443&lt;=Inputs!$B$6),1,0)</f>
        <v/>
      </c>
    </row>
    <row r="2444">
      <c r="A2444" t="inlineStr">
        <is>
          <t>2026-08</t>
        </is>
      </c>
      <c r="B2444" t="inlineStr">
        <is>
          <t>HOSP-3</t>
        </is>
      </c>
      <c r="C2444" t="inlineStr">
        <is>
          <t>SS-01113</t>
        </is>
      </c>
      <c r="D2444" t="n">
        <v>0</v>
      </c>
      <c r="E2444" t="n">
        <v>0</v>
      </c>
      <c r="G2444">
        <f>IF(AND(A2444&gt;=Inputs!$B$5,A2444&lt;=Inputs!$B$6),1,0)</f>
        <v/>
      </c>
    </row>
    <row r="2445">
      <c r="A2445" t="inlineStr">
        <is>
          <t>2026-08</t>
        </is>
      </c>
      <c r="B2445" t="inlineStr">
        <is>
          <t>HOSP-4</t>
        </is>
      </c>
      <c r="C2445" t="inlineStr">
        <is>
          <t>SS-01114</t>
        </is>
      </c>
      <c r="D2445" t="n">
        <v>12</v>
      </c>
      <c r="E2445" t="n">
        <v>0</v>
      </c>
      <c r="G2445">
        <f>IF(AND(A2445&gt;=Inputs!$B$5,A2445&lt;=Inputs!$B$6),1,0)</f>
        <v/>
      </c>
    </row>
    <row r="2446">
      <c r="A2446" t="inlineStr">
        <is>
          <t>2026-08</t>
        </is>
      </c>
      <c r="B2446" t="inlineStr">
        <is>
          <t>HOSP-1</t>
        </is>
      </c>
      <c r="C2446" t="inlineStr">
        <is>
          <t>SS-01115</t>
        </is>
      </c>
      <c r="D2446" t="n">
        <v>12</v>
      </c>
      <c r="E2446" t="n">
        <v>0</v>
      </c>
      <c r="G2446">
        <f>IF(AND(A2446&gt;=Inputs!$B$5,A2446&lt;=Inputs!$B$6),1,0)</f>
        <v/>
      </c>
    </row>
    <row r="2447">
      <c r="A2447" t="inlineStr">
        <is>
          <t>2026-08</t>
        </is>
      </c>
      <c r="B2447" t="inlineStr">
        <is>
          <t>HOSP-2</t>
        </is>
      </c>
      <c r="C2447" t="inlineStr">
        <is>
          <t>SS-01116</t>
        </is>
      </c>
      <c r="D2447" t="n">
        <v>216</v>
      </c>
      <c r="E2447" t="n">
        <v>0</v>
      </c>
      <c r="G2447">
        <f>IF(AND(A2447&gt;=Inputs!$B$5,A2447&lt;=Inputs!$B$6),1,0)</f>
        <v/>
      </c>
    </row>
    <row r="2448">
      <c r="A2448" t="inlineStr">
        <is>
          <t>2026-08</t>
        </is>
      </c>
      <c r="B2448" t="inlineStr">
        <is>
          <t>HOSP-3</t>
        </is>
      </c>
      <c r="C2448" t="inlineStr">
        <is>
          <t>SS-01117</t>
        </is>
      </c>
      <c r="D2448" t="n">
        <v>12</v>
      </c>
      <c r="E2448" t="n">
        <v>0</v>
      </c>
      <c r="G2448">
        <f>IF(AND(A2448&gt;=Inputs!$B$5,A2448&lt;=Inputs!$B$6),1,0)</f>
        <v/>
      </c>
    </row>
    <row r="2449">
      <c r="A2449" t="inlineStr">
        <is>
          <t>2026-08</t>
        </is>
      </c>
      <c r="B2449" t="inlineStr">
        <is>
          <t>HOSP-4</t>
        </is>
      </c>
      <c r="C2449" t="inlineStr">
        <is>
          <t>SS-01118</t>
        </is>
      </c>
      <c r="D2449" t="n">
        <v>24</v>
      </c>
      <c r="E2449" t="n">
        <v>0</v>
      </c>
      <c r="G2449">
        <f>IF(AND(A2449&gt;=Inputs!$B$5,A2449&lt;=Inputs!$B$6),1,0)</f>
        <v/>
      </c>
    </row>
    <row r="2450">
      <c r="A2450" t="inlineStr">
        <is>
          <t>2026-08</t>
        </is>
      </c>
      <c r="B2450" t="inlineStr">
        <is>
          <t>HOSP-1</t>
        </is>
      </c>
      <c r="C2450" t="inlineStr">
        <is>
          <t>SS-01081</t>
        </is>
      </c>
      <c r="D2450" t="n">
        <v>48</v>
      </c>
      <c r="E2450" t="n">
        <v>0</v>
      </c>
      <c r="G2450">
        <f>IF(AND(A2450&gt;=Inputs!$B$5,A2450&lt;=Inputs!$B$6),1,0)</f>
        <v/>
      </c>
    </row>
    <row r="2451">
      <c r="A2451" t="inlineStr">
        <is>
          <t>2026-08</t>
        </is>
      </c>
      <c r="B2451" t="inlineStr">
        <is>
          <t>HOSP-2</t>
        </is>
      </c>
      <c r="C2451" t="inlineStr">
        <is>
          <t>SS-01120</t>
        </is>
      </c>
      <c r="D2451" t="n">
        <v>60</v>
      </c>
      <c r="E2451" t="n">
        <v>0</v>
      </c>
      <c r="G2451">
        <f>IF(AND(A2451&gt;=Inputs!$B$5,A2451&lt;=Inputs!$B$6),1,0)</f>
        <v/>
      </c>
    </row>
    <row r="2452">
      <c r="A2452" t="inlineStr">
        <is>
          <t>2026-08</t>
        </is>
      </c>
      <c r="B2452" t="inlineStr">
        <is>
          <t>HOSP-3</t>
        </is>
      </c>
      <c r="C2452" t="inlineStr">
        <is>
          <t>SS-01121</t>
        </is>
      </c>
      <c r="D2452" t="n">
        <v>24</v>
      </c>
      <c r="E2452" t="n">
        <v>0</v>
      </c>
      <c r="G2452">
        <f>IF(AND(A2452&gt;=Inputs!$B$5,A2452&lt;=Inputs!$B$6),1,0)</f>
        <v/>
      </c>
    </row>
    <row r="2453">
      <c r="A2453" t="inlineStr">
        <is>
          <t>2026-08</t>
        </is>
      </c>
      <c r="B2453" t="inlineStr">
        <is>
          <t>HOSP-4</t>
        </is>
      </c>
      <c r="C2453" t="inlineStr">
        <is>
          <t>SS-01122</t>
        </is>
      </c>
      <c r="D2453" t="n">
        <v>12</v>
      </c>
      <c r="E2453" t="n">
        <v>0</v>
      </c>
      <c r="G2453">
        <f>IF(AND(A2453&gt;=Inputs!$B$5,A2453&lt;=Inputs!$B$6),1,0)</f>
        <v/>
      </c>
    </row>
    <row r="2454">
      <c r="A2454" t="inlineStr">
        <is>
          <t>2026-08</t>
        </is>
      </c>
      <c r="B2454" t="inlineStr">
        <is>
          <t>HOSP-1</t>
        </is>
      </c>
      <c r="C2454" t="inlineStr">
        <is>
          <t>SS-01123</t>
        </is>
      </c>
      <c r="D2454" t="n">
        <v>0</v>
      </c>
      <c r="E2454" t="n">
        <v>0</v>
      </c>
      <c r="G2454">
        <f>IF(AND(A2454&gt;=Inputs!$B$5,A2454&lt;=Inputs!$B$6),1,0)</f>
        <v/>
      </c>
    </row>
    <row r="2455">
      <c r="A2455" t="inlineStr">
        <is>
          <t>2026-08</t>
        </is>
      </c>
      <c r="B2455" t="inlineStr">
        <is>
          <t>HOSP-2</t>
        </is>
      </c>
      <c r="C2455" t="inlineStr">
        <is>
          <t>SS-01124</t>
        </is>
      </c>
      <c r="D2455" t="n">
        <v>0</v>
      </c>
      <c r="E2455" t="n">
        <v>0</v>
      </c>
      <c r="G2455">
        <f>IF(AND(A2455&gt;=Inputs!$B$5,A2455&lt;=Inputs!$B$6),1,0)</f>
        <v/>
      </c>
    </row>
    <row r="2456">
      <c r="A2456" t="inlineStr">
        <is>
          <t>2026-08</t>
        </is>
      </c>
      <c r="B2456" t="inlineStr">
        <is>
          <t>HOSP-3</t>
        </is>
      </c>
      <c r="C2456" t="inlineStr">
        <is>
          <t>SS-01125</t>
        </is>
      </c>
      <c r="D2456" t="n">
        <v>12</v>
      </c>
      <c r="E2456" t="n">
        <v>0</v>
      </c>
      <c r="G2456">
        <f>IF(AND(A2456&gt;=Inputs!$B$5,A2456&lt;=Inputs!$B$6),1,0)</f>
        <v/>
      </c>
    </row>
    <row r="2457">
      <c r="A2457" t="inlineStr">
        <is>
          <t>2026-08</t>
        </is>
      </c>
      <c r="B2457" t="inlineStr">
        <is>
          <t>HOSP-4</t>
        </is>
      </c>
      <c r="C2457" t="inlineStr">
        <is>
          <t>SS-01126</t>
        </is>
      </c>
      <c r="D2457" t="n">
        <v>51</v>
      </c>
      <c r="E2457" t="n">
        <v>5</v>
      </c>
      <c r="G2457">
        <f>IF(AND(A2457&gt;=Inputs!$B$5,A2457&lt;=Inputs!$B$6),1,0)</f>
        <v/>
      </c>
    </row>
    <row r="2458">
      <c r="A2458" t="inlineStr">
        <is>
          <t>2026-08</t>
        </is>
      </c>
      <c r="B2458" t="inlineStr">
        <is>
          <t>HOSP-1</t>
        </is>
      </c>
      <c r="C2458" t="inlineStr">
        <is>
          <t>SS-01127</t>
        </is>
      </c>
      <c r="D2458" t="n">
        <v>12</v>
      </c>
      <c r="E2458" t="n">
        <v>0</v>
      </c>
      <c r="G2458">
        <f>IF(AND(A2458&gt;=Inputs!$B$5,A2458&lt;=Inputs!$B$6),1,0)</f>
        <v/>
      </c>
    </row>
    <row r="2459">
      <c r="A2459" t="inlineStr">
        <is>
          <t>2026-08</t>
        </is>
      </c>
      <c r="B2459" t="inlineStr">
        <is>
          <t>HOSP-2</t>
        </is>
      </c>
      <c r="C2459" t="inlineStr">
        <is>
          <t>SS-01128</t>
        </is>
      </c>
      <c r="D2459" t="n">
        <v>37</v>
      </c>
      <c r="E2459" t="n">
        <v>0</v>
      </c>
      <c r="G2459">
        <f>IF(AND(A2459&gt;=Inputs!$B$5,A2459&lt;=Inputs!$B$6),1,0)</f>
        <v/>
      </c>
    </row>
    <row r="2460">
      <c r="A2460" t="inlineStr">
        <is>
          <t>2026-08</t>
        </is>
      </c>
      <c r="B2460" t="inlineStr">
        <is>
          <t>HOSP-3</t>
        </is>
      </c>
      <c r="C2460" t="inlineStr">
        <is>
          <t>SS-01129</t>
        </is>
      </c>
      <c r="D2460" t="n">
        <v>0</v>
      </c>
      <c r="E2460" t="n">
        <v>0</v>
      </c>
      <c r="G2460">
        <f>IF(AND(A2460&gt;=Inputs!$B$5,A2460&lt;=Inputs!$B$6),1,0)</f>
        <v/>
      </c>
    </row>
    <row r="2461">
      <c r="A2461" t="inlineStr">
        <is>
          <t>2026-08</t>
        </is>
      </c>
      <c r="B2461" t="inlineStr">
        <is>
          <t>HOSP-4</t>
        </is>
      </c>
      <c r="C2461" t="inlineStr">
        <is>
          <t>SS-01130</t>
        </is>
      </c>
      <c r="D2461" t="n">
        <v>61</v>
      </c>
      <c r="E2461" t="n">
        <v>0</v>
      </c>
      <c r="G2461">
        <f>IF(AND(A2461&gt;=Inputs!$B$5,A2461&lt;=Inputs!$B$6),1,0)</f>
        <v/>
      </c>
    </row>
    <row r="2462">
      <c r="A2462" t="inlineStr">
        <is>
          <t>2026-08</t>
        </is>
      </c>
      <c r="B2462" t="inlineStr">
        <is>
          <t>HOSP-1</t>
        </is>
      </c>
      <c r="C2462" t="inlineStr">
        <is>
          <t>SS-01131</t>
        </is>
      </c>
      <c r="D2462" t="n">
        <v>31</v>
      </c>
      <c r="E2462" t="n">
        <v>1</v>
      </c>
      <c r="G2462">
        <f>IF(AND(A2462&gt;=Inputs!$B$5,A2462&lt;=Inputs!$B$6),1,0)</f>
        <v/>
      </c>
    </row>
    <row r="2463">
      <c r="A2463" t="inlineStr">
        <is>
          <t>2026-08</t>
        </is>
      </c>
      <c r="B2463" t="inlineStr">
        <is>
          <t>HOSP-2</t>
        </is>
      </c>
      <c r="C2463" t="inlineStr">
        <is>
          <t>SS-01132</t>
        </is>
      </c>
      <c r="D2463" t="n">
        <v>12</v>
      </c>
      <c r="E2463" t="n">
        <v>0</v>
      </c>
      <c r="G2463">
        <f>IF(AND(A2463&gt;=Inputs!$B$5,A2463&lt;=Inputs!$B$6),1,0)</f>
        <v/>
      </c>
    </row>
    <row r="2464">
      <c r="A2464" t="inlineStr">
        <is>
          <t>2026-08</t>
        </is>
      </c>
      <c r="B2464" t="inlineStr">
        <is>
          <t>HOSP-3</t>
        </is>
      </c>
      <c r="C2464" t="inlineStr">
        <is>
          <t>SS-01133</t>
        </is>
      </c>
      <c r="D2464" t="n">
        <v>26</v>
      </c>
      <c r="E2464" t="n">
        <v>2</v>
      </c>
      <c r="G2464">
        <f>IF(AND(A2464&gt;=Inputs!$B$5,A2464&lt;=Inputs!$B$6),1,0)</f>
        <v/>
      </c>
    </row>
    <row r="2465">
      <c r="A2465" t="inlineStr">
        <is>
          <t>2026-08</t>
        </is>
      </c>
      <c r="B2465" t="inlineStr">
        <is>
          <t>HOSP-4</t>
        </is>
      </c>
      <c r="C2465" t="inlineStr">
        <is>
          <t>SS-01134</t>
        </is>
      </c>
      <c r="D2465" t="n">
        <v>12</v>
      </c>
      <c r="E2465" t="n">
        <v>0</v>
      </c>
      <c r="G2465">
        <f>IF(AND(A2465&gt;=Inputs!$B$5,A2465&lt;=Inputs!$B$6),1,0)</f>
        <v/>
      </c>
    </row>
    <row r="2466">
      <c r="A2466" t="inlineStr">
        <is>
          <t>2026-08</t>
        </is>
      </c>
      <c r="B2466" t="inlineStr">
        <is>
          <t>HOSP-1</t>
        </is>
      </c>
      <c r="C2466" t="inlineStr">
        <is>
          <t>SS-01135</t>
        </is>
      </c>
      <c r="D2466" t="n">
        <v>36</v>
      </c>
      <c r="E2466" t="n">
        <v>0</v>
      </c>
      <c r="G2466">
        <f>IF(AND(A2466&gt;=Inputs!$B$5,A2466&lt;=Inputs!$B$6),1,0)</f>
        <v/>
      </c>
    </row>
    <row r="2467">
      <c r="A2467" t="inlineStr">
        <is>
          <t>2026-08</t>
        </is>
      </c>
      <c r="B2467" t="inlineStr">
        <is>
          <t>HOSP-2</t>
        </is>
      </c>
      <c r="C2467" t="inlineStr">
        <is>
          <t>SS-01136</t>
        </is>
      </c>
      <c r="D2467" t="n">
        <v>44</v>
      </c>
      <c r="E2467" t="n">
        <v>1</v>
      </c>
      <c r="G2467">
        <f>IF(AND(A2467&gt;=Inputs!$B$5,A2467&lt;=Inputs!$B$6),1,0)</f>
        <v/>
      </c>
    </row>
    <row r="2468">
      <c r="A2468" t="inlineStr">
        <is>
          <t>2026-08</t>
        </is>
      </c>
      <c r="B2468" t="inlineStr">
        <is>
          <t>HOSP-3</t>
        </is>
      </c>
      <c r="C2468" t="inlineStr">
        <is>
          <t>SS-01137</t>
        </is>
      </c>
      <c r="D2468" t="n">
        <v>9</v>
      </c>
      <c r="E2468" t="n">
        <v>0</v>
      </c>
      <c r="G2468">
        <f>IF(AND(A2468&gt;=Inputs!$B$5,A2468&lt;=Inputs!$B$6),1,0)</f>
        <v/>
      </c>
    </row>
    <row r="2469">
      <c r="A2469" t="inlineStr">
        <is>
          <t>2026-08</t>
        </is>
      </c>
      <c r="B2469" t="inlineStr">
        <is>
          <t>HOSP-4</t>
        </is>
      </c>
      <c r="C2469" t="inlineStr">
        <is>
          <t>SS-01138</t>
        </is>
      </c>
      <c r="D2469" t="n">
        <v>0</v>
      </c>
      <c r="E2469" t="n">
        <v>0</v>
      </c>
      <c r="G2469">
        <f>IF(AND(A2469&gt;=Inputs!$B$5,A2469&lt;=Inputs!$B$6),1,0)</f>
        <v/>
      </c>
    </row>
    <row r="2470">
      <c r="A2470" t="inlineStr">
        <is>
          <t>2026-08</t>
        </is>
      </c>
      <c r="B2470" t="inlineStr">
        <is>
          <t>HOSP-1</t>
        </is>
      </c>
      <c r="C2470" t="inlineStr">
        <is>
          <t>SS-01139</t>
        </is>
      </c>
      <c r="D2470" t="n">
        <v>120</v>
      </c>
      <c r="E2470" t="n">
        <v>0</v>
      </c>
      <c r="G2470">
        <f>IF(AND(A2470&gt;=Inputs!$B$5,A2470&lt;=Inputs!$B$6),1,0)</f>
        <v/>
      </c>
    </row>
    <row r="2471">
      <c r="A2471" t="inlineStr">
        <is>
          <t>2026-08</t>
        </is>
      </c>
      <c r="B2471" t="inlineStr">
        <is>
          <t>HOSP-2</t>
        </is>
      </c>
      <c r="C2471" t="inlineStr">
        <is>
          <t>SS-01140</t>
        </is>
      </c>
      <c r="D2471" t="n">
        <v>12</v>
      </c>
      <c r="E2471" t="n">
        <v>0</v>
      </c>
      <c r="G2471">
        <f>IF(AND(A2471&gt;=Inputs!$B$5,A2471&lt;=Inputs!$B$6),1,0)</f>
        <v/>
      </c>
    </row>
    <row r="2472">
      <c r="A2472" t="inlineStr">
        <is>
          <t>2026-08</t>
        </is>
      </c>
      <c r="B2472" t="inlineStr">
        <is>
          <t>HOSP-3</t>
        </is>
      </c>
      <c r="C2472" t="inlineStr">
        <is>
          <t>SS-01141</t>
        </is>
      </c>
      <c r="D2472" t="n">
        <v>12</v>
      </c>
      <c r="E2472" t="n">
        <v>0</v>
      </c>
      <c r="G2472">
        <f>IF(AND(A2472&gt;=Inputs!$B$5,A2472&lt;=Inputs!$B$6),1,0)</f>
        <v/>
      </c>
    </row>
    <row r="2473">
      <c r="A2473" t="inlineStr">
        <is>
          <t>2026-08</t>
        </is>
      </c>
      <c r="B2473" t="inlineStr">
        <is>
          <t>HOSP-4</t>
        </is>
      </c>
      <c r="C2473" t="inlineStr">
        <is>
          <t>SS-01142</t>
        </is>
      </c>
      <c r="D2473" t="n">
        <v>16</v>
      </c>
      <c r="E2473" t="n">
        <v>1</v>
      </c>
      <c r="G2473">
        <f>IF(AND(A2473&gt;=Inputs!$B$5,A2473&lt;=Inputs!$B$6),1,0)</f>
        <v/>
      </c>
    </row>
    <row r="2474">
      <c r="A2474" t="inlineStr">
        <is>
          <t>2026-08</t>
        </is>
      </c>
      <c r="B2474" t="inlineStr">
        <is>
          <t>HOSP-1</t>
        </is>
      </c>
      <c r="C2474" t="inlineStr">
        <is>
          <t>SS-01143</t>
        </is>
      </c>
      <c r="D2474" t="n">
        <v>12</v>
      </c>
      <c r="E2474" t="n">
        <v>0</v>
      </c>
      <c r="G2474">
        <f>IF(AND(A2474&gt;=Inputs!$B$5,A2474&lt;=Inputs!$B$6),1,0)</f>
        <v/>
      </c>
    </row>
    <row r="2475">
      <c r="A2475" t="inlineStr">
        <is>
          <t>2026-08</t>
        </is>
      </c>
      <c r="B2475" t="inlineStr">
        <is>
          <t>HOSP-2</t>
        </is>
      </c>
      <c r="C2475" t="inlineStr">
        <is>
          <t>SS-01144</t>
        </is>
      </c>
      <c r="D2475" t="n">
        <v>8</v>
      </c>
      <c r="E2475" t="n">
        <v>1</v>
      </c>
      <c r="G2475">
        <f>IF(AND(A2475&gt;=Inputs!$B$5,A2475&lt;=Inputs!$B$6),1,0)</f>
        <v/>
      </c>
    </row>
    <row r="2476">
      <c r="A2476" t="inlineStr">
        <is>
          <t>2026-08</t>
        </is>
      </c>
      <c r="B2476" t="inlineStr">
        <is>
          <t>HOSP-3</t>
        </is>
      </c>
      <c r="C2476" t="inlineStr">
        <is>
          <t>SS-01145</t>
        </is>
      </c>
      <c r="D2476" t="n">
        <v>12</v>
      </c>
      <c r="E2476" t="n">
        <v>0</v>
      </c>
      <c r="G2476">
        <f>IF(AND(A2476&gt;=Inputs!$B$5,A2476&lt;=Inputs!$B$6),1,0)</f>
        <v/>
      </c>
    </row>
    <row r="2477">
      <c r="A2477" t="inlineStr">
        <is>
          <t>2026-08</t>
        </is>
      </c>
      <c r="B2477" t="inlineStr">
        <is>
          <t>HOSP-4</t>
        </is>
      </c>
      <c r="C2477" t="inlineStr">
        <is>
          <t>SS-01146</t>
        </is>
      </c>
      <c r="D2477" t="n">
        <v>13</v>
      </c>
      <c r="E2477" t="n">
        <v>0</v>
      </c>
      <c r="G2477">
        <f>IF(AND(A2477&gt;=Inputs!$B$5,A2477&lt;=Inputs!$B$6),1,0)</f>
        <v/>
      </c>
    </row>
    <row r="2478">
      <c r="A2478" t="inlineStr">
        <is>
          <t>2026-08</t>
        </is>
      </c>
      <c r="B2478" t="inlineStr">
        <is>
          <t>HOSP-1</t>
        </is>
      </c>
      <c r="C2478" t="inlineStr">
        <is>
          <t>SS-01058</t>
        </is>
      </c>
      <c r="D2478" t="n">
        <v>12</v>
      </c>
      <c r="E2478" t="n">
        <v>0</v>
      </c>
      <c r="G2478">
        <f>IF(AND(A2478&gt;=Inputs!$B$5,A2478&lt;=Inputs!$B$6),1,0)</f>
        <v/>
      </c>
    </row>
    <row r="2479">
      <c r="A2479" t="inlineStr">
        <is>
          <t>2026-08</t>
        </is>
      </c>
      <c r="B2479" t="inlineStr">
        <is>
          <t>HOSP-2</t>
        </is>
      </c>
      <c r="C2479" t="inlineStr">
        <is>
          <t>SS-01148</t>
        </is>
      </c>
      <c r="D2479" t="n">
        <v>36</v>
      </c>
      <c r="E2479" t="n">
        <v>0</v>
      </c>
      <c r="G2479">
        <f>IF(AND(A2479&gt;=Inputs!$B$5,A2479&lt;=Inputs!$B$6),1,0)</f>
        <v/>
      </c>
    </row>
    <row r="2480">
      <c r="A2480" t="inlineStr">
        <is>
          <t>2026-08</t>
        </is>
      </c>
      <c r="B2480" t="inlineStr">
        <is>
          <t>HOSP-3</t>
        </is>
      </c>
      <c r="C2480" t="inlineStr">
        <is>
          <t>SS-01149</t>
        </is>
      </c>
      <c r="D2480" t="n">
        <v>48</v>
      </c>
      <c r="E2480" t="n">
        <v>0</v>
      </c>
      <c r="G2480">
        <f>IF(AND(A2480&gt;=Inputs!$B$5,A2480&lt;=Inputs!$B$6),1,0)</f>
        <v/>
      </c>
    </row>
    <row r="2481">
      <c r="A2481" t="inlineStr">
        <is>
          <t>2026-08</t>
        </is>
      </c>
      <c r="B2481" t="inlineStr">
        <is>
          <t>HOSP-4</t>
        </is>
      </c>
      <c r="C2481" t="inlineStr">
        <is>
          <t>SS-01150</t>
        </is>
      </c>
      <c r="D2481" t="n">
        <v>14</v>
      </c>
      <c r="E2481" t="n">
        <v>0</v>
      </c>
      <c r="G2481">
        <f>IF(AND(A2481&gt;=Inputs!$B$5,A2481&lt;=Inputs!$B$6),1,0)</f>
        <v/>
      </c>
    </row>
    <row r="2482">
      <c r="A2482" t="inlineStr">
        <is>
          <t>2026-08</t>
        </is>
      </c>
      <c r="B2482" t="inlineStr">
        <is>
          <t>HOSP-1</t>
        </is>
      </c>
      <c r="C2482" t="inlineStr">
        <is>
          <t>SS-01151</t>
        </is>
      </c>
      <c r="D2482" t="n">
        <v>4</v>
      </c>
      <c r="E2482" t="n">
        <v>1</v>
      </c>
      <c r="G2482">
        <f>IF(AND(A2482&gt;=Inputs!$B$5,A2482&lt;=Inputs!$B$6),1,0)</f>
        <v/>
      </c>
    </row>
    <row r="2483">
      <c r="A2483" t="inlineStr">
        <is>
          <t>2026-08</t>
        </is>
      </c>
      <c r="B2483" t="inlineStr">
        <is>
          <t>HOSP-2</t>
        </is>
      </c>
      <c r="C2483" t="inlineStr">
        <is>
          <t>SS-01152</t>
        </is>
      </c>
      <c r="D2483" t="n">
        <v>0</v>
      </c>
      <c r="E2483" t="n">
        <v>0</v>
      </c>
      <c r="G2483">
        <f>IF(AND(A2483&gt;=Inputs!$B$5,A2483&lt;=Inputs!$B$6),1,0)</f>
        <v/>
      </c>
    </row>
    <row r="2484">
      <c r="A2484" t="inlineStr">
        <is>
          <t>2026-08</t>
        </is>
      </c>
      <c r="B2484" t="inlineStr">
        <is>
          <t>HOSP-3</t>
        </is>
      </c>
      <c r="C2484" t="inlineStr">
        <is>
          <t>SS-01153</t>
        </is>
      </c>
      <c r="D2484" t="n">
        <v>12</v>
      </c>
      <c r="E2484" t="n">
        <v>0</v>
      </c>
      <c r="G2484">
        <f>IF(AND(A2484&gt;=Inputs!$B$5,A2484&lt;=Inputs!$B$6),1,0)</f>
        <v/>
      </c>
    </row>
    <row r="2485">
      <c r="A2485" t="inlineStr">
        <is>
          <t>2026-08</t>
        </is>
      </c>
      <c r="B2485" t="inlineStr">
        <is>
          <t>HOSP-4</t>
        </is>
      </c>
      <c r="C2485" t="inlineStr">
        <is>
          <t>SS-01154</t>
        </is>
      </c>
      <c r="D2485" t="n">
        <v>0</v>
      </c>
      <c r="E2485" t="n">
        <v>0</v>
      </c>
      <c r="G2485">
        <f>IF(AND(A2485&gt;=Inputs!$B$5,A2485&lt;=Inputs!$B$6),1,0)</f>
        <v/>
      </c>
    </row>
    <row r="2486">
      <c r="A2486" t="inlineStr">
        <is>
          <t>2026-08</t>
        </is>
      </c>
      <c r="B2486" t="inlineStr">
        <is>
          <t>HOSP-1</t>
        </is>
      </c>
      <c r="C2486" t="inlineStr">
        <is>
          <t>SS-01155</t>
        </is>
      </c>
      <c r="D2486" t="n">
        <v>0</v>
      </c>
      <c r="E2486" t="n">
        <v>0</v>
      </c>
      <c r="G2486">
        <f>IF(AND(A2486&gt;=Inputs!$B$5,A2486&lt;=Inputs!$B$6),1,0)</f>
        <v/>
      </c>
    </row>
    <row r="2487">
      <c r="A2487" t="inlineStr">
        <is>
          <t>2026-08</t>
        </is>
      </c>
      <c r="B2487" t="inlineStr">
        <is>
          <t>HOSP-2</t>
        </is>
      </c>
      <c r="C2487" t="inlineStr">
        <is>
          <t>SS-01156</t>
        </is>
      </c>
      <c r="D2487" t="n">
        <v>11</v>
      </c>
      <c r="E2487" t="n">
        <v>1</v>
      </c>
      <c r="G2487">
        <f>IF(AND(A2487&gt;=Inputs!$B$5,A2487&lt;=Inputs!$B$6),1,0)</f>
        <v/>
      </c>
    </row>
    <row r="2488">
      <c r="A2488" t="inlineStr">
        <is>
          <t>2026-08</t>
        </is>
      </c>
      <c r="B2488" t="inlineStr">
        <is>
          <t>HOSP-3</t>
        </is>
      </c>
      <c r="C2488" t="inlineStr">
        <is>
          <t>SS-01157</t>
        </is>
      </c>
      <c r="D2488" t="n">
        <v>72</v>
      </c>
      <c r="E2488" t="n">
        <v>0</v>
      </c>
      <c r="G2488">
        <f>IF(AND(A2488&gt;=Inputs!$B$5,A2488&lt;=Inputs!$B$6),1,0)</f>
        <v/>
      </c>
    </row>
    <row r="2489">
      <c r="A2489" t="inlineStr">
        <is>
          <t>2026-08</t>
        </is>
      </c>
      <c r="B2489" t="inlineStr">
        <is>
          <t>HOSP-4</t>
        </is>
      </c>
      <c r="C2489" t="inlineStr">
        <is>
          <t>SS-01158</t>
        </is>
      </c>
      <c r="D2489" t="n">
        <v>12</v>
      </c>
      <c r="E2489" t="n">
        <v>0</v>
      </c>
      <c r="G2489">
        <f>IF(AND(A2489&gt;=Inputs!$B$5,A2489&lt;=Inputs!$B$6),1,0)</f>
        <v/>
      </c>
    </row>
    <row r="2490">
      <c r="A2490" t="inlineStr">
        <is>
          <t>2026-08</t>
        </is>
      </c>
      <c r="B2490" t="inlineStr">
        <is>
          <t>HOSP-1</t>
        </is>
      </c>
      <c r="C2490" t="inlineStr">
        <is>
          <t>SS-01159</t>
        </is>
      </c>
      <c r="D2490" t="n">
        <v>72</v>
      </c>
      <c r="E2490" t="n">
        <v>0</v>
      </c>
      <c r="G2490">
        <f>IF(AND(A2490&gt;=Inputs!$B$5,A2490&lt;=Inputs!$B$6),1,0)</f>
        <v/>
      </c>
    </row>
    <row r="2491">
      <c r="A2491" t="inlineStr">
        <is>
          <t>2026-08</t>
        </is>
      </c>
      <c r="B2491" t="inlineStr">
        <is>
          <t>HOSP-2</t>
        </is>
      </c>
      <c r="C2491" t="inlineStr">
        <is>
          <t>SS-01160</t>
        </is>
      </c>
      <c r="D2491" t="n">
        <v>0</v>
      </c>
      <c r="E2491" t="n">
        <v>1</v>
      </c>
      <c r="G2491">
        <f>IF(AND(A2491&gt;=Inputs!$B$5,A2491&lt;=Inputs!$B$6),1,0)</f>
        <v/>
      </c>
    </row>
    <row r="2492">
      <c r="A2492" t="inlineStr">
        <is>
          <t>2026-08</t>
        </is>
      </c>
      <c r="B2492" t="inlineStr">
        <is>
          <t>HOSP-3</t>
        </is>
      </c>
      <c r="C2492" t="inlineStr">
        <is>
          <t>SS-01161</t>
        </is>
      </c>
      <c r="D2492" t="n">
        <v>0</v>
      </c>
      <c r="E2492" t="n">
        <v>0</v>
      </c>
      <c r="G2492">
        <f>IF(AND(A2492&gt;=Inputs!$B$5,A2492&lt;=Inputs!$B$6),1,0)</f>
        <v/>
      </c>
    </row>
    <row r="2493">
      <c r="A2493" t="inlineStr">
        <is>
          <t>2026-08</t>
        </is>
      </c>
      <c r="B2493" t="inlineStr">
        <is>
          <t>HOSP-4</t>
        </is>
      </c>
      <c r="C2493" t="inlineStr">
        <is>
          <t>SS-01162</t>
        </is>
      </c>
      <c r="D2493" t="n">
        <v>0</v>
      </c>
      <c r="E2493" t="n">
        <v>0</v>
      </c>
      <c r="G2493">
        <f>IF(AND(A2493&gt;=Inputs!$B$5,A2493&lt;=Inputs!$B$6),1,0)</f>
        <v/>
      </c>
    </row>
    <row r="2494">
      <c r="A2494" t="inlineStr">
        <is>
          <t>2026-08</t>
        </is>
      </c>
      <c r="B2494" t="inlineStr">
        <is>
          <t>HOSP-1</t>
        </is>
      </c>
      <c r="C2494" t="inlineStr">
        <is>
          <t>SS-01100</t>
        </is>
      </c>
      <c r="D2494" t="n">
        <v>32</v>
      </c>
      <c r="E2494" t="n">
        <v>0</v>
      </c>
      <c r="G2494">
        <f>IF(AND(A2494&gt;=Inputs!$B$5,A2494&lt;=Inputs!$B$6),1,0)</f>
        <v/>
      </c>
    </row>
    <row r="2495">
      <c r="A2495" t="inlineStr">
        <is>
          <t>2026-08</t>
        </is>
      </c>
      <c r="B2495" t="inlineStr">
        <is>
          <t>HOSP-2</t>
        </is>
      </c>
      <c r="C2495" t="inlineStr">
        <is>
          <t>SS-01164</t>
        </is>
      </c>
      <c r="D2495" t="n">
        <v>0</v>
      </c>
      <c r="E2495" t="n">
        <v>0</v>
      </c>
      <c r="G2495">
        <f>IF(AND(A2495&gt;=Inputs!$B$5,A2495&lt;=Inputs!$B$6),1,0)</f>
        <v/>
      </c>
    </row>
    <row r="2496">
      <c r="A2496" t="inlineStr">
        <is>
          <t>2026-08</t>
        </is>
      </c>
      <c r="B2496" t="inlineStr">
        <is>
          <t>HOSP-3</t>
        </is>
      </c>
      <c r="C2496" t="inlineStr">
        <is>
          <t>SS-01165</t>
        </is>
      </c>
      <c r="D2496" t="n">
        <v>24</v>
      </c>
      <c r="E2496" t="n">
        <v>0</v>
      </c>
      <c r="G2496">
        <f>IF(AND(A2496&gt;=Inputs!$B$5,A2496&lt;=Inputs!$B$6),1,0)</f>
        <v/>
      </c>
    </row>
    <row r="2497">
      <c r="A2497" t="inlineStr">
        <is>
          <t>2026-08</t>
        </is>
      </c>
      <c r="B2497" t="inlineStr">
        <is>
          <t>HOSP-4</t>
        </is>
      </c>
      <c r="C2497" t="inlineStr">
        <is>
          <t>SS-01166</t>
        </is>
      </c>
      <c r="D2497" t="n">
        <v>24</v>
      </c>
      <c r="E2497" t="n">
        <v>0</v>
      </c>
      <c r="G2497">
        <f>IF(AND(A2497&gt;=Inputs!$B$5,A2497&lt;=Inputs!$B$6),1,0)</f>
        <v/>
      </c>
    </row>
    <row r="2498">
      <c r="A2498" t="inlineStr">
        <is>
          <t>2026-08</t>
        </is>
      </c>
      <c r="B2498" t="inlineStr">
        <is>
          <t>HOSP-1</t>
        </is>
      </c>
      <c r="C2498" t="inlineStr">
        <is>
          <t>SS-01097</t>
        </is>
      </c>
      <c r="D2498" t="n">
        <v>12</v>
      </c>
      <c r="E2498" t="n">
        <v>0</v>
      </c>
      <c r="G2498">
        <f>IF(AND(A2498&gt;=Inputs!$B$5,A2498&lt;=Inputs!$B$6),1,0)</f>
        <v/>
      </c>
    </row>
    <row r="2499">
      <c r="A2499" t="inlineStr">
        <is>
          <t>2026-08</t>
        </is>
      </c>
      <c r="B2499" t="inlineStr">
        <is>
          <t>HOSP-2</t>
        </is>
      </c>
      <c r="C2499" t="inlineStr">
        <is>
          <t>SS-01049</t>
        </is>
      </c>
      <c r="D2499" t="n">
        <v>72</v>
      </c>
      <c r="E2499" t="n">
        <v>0</v>
      </c>
      <c r="G2499">
        <f>IF(AND(A2499&gt;=Inputs!$B$5,A2499&lt;=Inputs!$B$6),1,0)</f>
        <v/>
      </c>
    </row>
    <row r="2500">
      <c r="A2500" t="inlineStr">
        <is>
          <t>2026-08</t>
        </is>
      </c>
      <c r="B2500" t="inlineStr">
        <is>
          <t>HOSP-3</t>
        </is>
      </c>
      <c r="C2500" t="inlineStr">
        <is>
          <t>SS-01169</t>
        </is>
      </c>
      <c r="D2500" t="n">
        <v>12</v>
      </c>
      <c r="E2500" t="n">
        <v>0</v>
      </c>
      <c r="G2500">
        <f>IF(AND(A2500&gt;=Inputs!$B$5,A2500&lt;=Inputs!$B$6),1,0)</f>
        <v/>
      </c>
    </row>
    <row r="2501">
      <c r="A2501" t="inlineStr">
        <is>
          <t>2026-08</t>
        </is>
      </c>
      <c r="B2501" t="inlineStr">
        <is>
          <t>HOSP-4</t>
        </is>
      </c>
      <c r="C2501" t="inlineStr">
        <is>
          <t>SS-01170</t>
        </is>
      </c>
      <c r="D2501" t="n">
        <v>47</v>
      </c>
      <c r="E2501" t="n">
        <v>0</v>
      </c>
      <c r="G2501">
        <f>IF(AND(A2501&gt;=Inputs!$B$5,A2501&lt;=Inputs!$B$6),1,0)</f>
        <v/>
      </c>
    </row>
    <row r="2502">
      <c r="A2502" t="inlineStr">
        <is>
          <t>2026-08</t>
        </is>
      </c>
      <c r="B2502" t="inlineStr">
        <is>
          <t>HOSP-1</t>
        </is>
      </c>
      <c r="C2502" t="inlineStr">
        <is>
          <t>SS-01171</t>
        </is>
      </c>
      <c r="D2502" t="n">
        <v>24</v>
      </c>
      <c r="E2502" t="n">
        <v>0</v>
      </c>
      <c r="G2502">
        <f>IF(AND(A2502&gt;=Inputs!$B$5,A2502&lt;=Inputs!$B$6),1,0)</f>
        <v/>
      </c>
    </row>
    <row r="2503">
      <c r="A2503" t="inlineStr">
        <is>
          <t>2026-08</t>
        </is>
      </c>
      <c r="B2503" t="inlineStr">
        <is>
          <t>HOSP-2</t>
        </is>
      </c>
      <c r="C2503" t="inlineStr">
        <is>
          <t>SS-01172</t>
        </is>
      </c>
      <c r="D2503" t="n">
        <v>12</v>
      </c>
      <c r="E2503" t="n">
        <v>0</v>
      </c>
      <c r="G2503">
        <f>IF(AND(A2503&gt;=Inputs!$B$5,A2503&lt;=Inputs!$B$6),1,0)</f>
        <v/>
      </c>
    </row>
    <row r="2504">
      <c r="A2504" t="inlineStr">
        <is>
          <t>2026-08</t>
        </is>
      </c>
      <c r="B2504" t="inlineStr">
        <is>
          <t>HOSP-3</t>
        </is>
      </c>
      <c r="C2504" t="inlineStr">
        <is>
          <t>SS-01173</t>
        </is>
      </c>
      <c r="D2504" t="n">
        <v>12</v>
      </c>
      <c r="E2504" t="n">
        <v>0</v>
      </c>
      <c r="G2504">
        <f>IF(AND(A2504&gt;=Inputs!$B$5,A2504&lt;=Inputs!$B$6),1,0)</f>
        <v/>
      </c>
    </row>
    <row r="2505">
      <c r="A2505" t="inlineStr">
        <is>
          <t>2026-08</t>
        </is>
      </c>
      <c r="B2505" t="inlineStr">
        <is>
          <t>HOSP-4</t>
        </is>
      </c>
      <c r="C2505" t="inlineStr">
        <is>
          <t>SS-01174</t>
        </is>
      </c>
      <c r="D2505" t="n">
        <v>12</v>
      </c>
      <c r="E2505" t="n">
        <v>0</v>
      </c>
      <c r="G2505">
        <f>IF(AND(A2505&gt;=Inputs!$B$5,A2505&lt;=Inputs!$B$6),1,0)</f>
        <v/>
      </c>
    </row>
    <row r="2506">
      <c r="A2506" t="inlineStr">
        <is>
          <t>2026-08</t>
        </is>
      </c>
      <c r="B2506" t="inlineStr">
        <is>
          <t>HOSP-1</t>
        </is>
      </c>
      <c r="C2506" t="inlineStr">
        <is>
          <t>SS-01175</t>
        </is>
      </c>
      <c r="D2506" t="n">
        <v>48</v>
      </c>
      <c r="E2506" t="n">
        <v>0</v>
      </c>
      <c r="G2506">
        <f>IF(AND(A2506&gt;=Inputs!$B$5,A2506&lt;=Inputs!$B$6),1,0)</f>
        <v/>
      </c>
    </row>
    <row r="2507">
      <c r="A2507" t="inlineStr">
        <is>
          <t>2026-08</t>
        </is>
      </c>
      <c r="B2507" t="inlineStr">
        <is>
          <t>HOSP-2</t>
        </is>
      </c>
      <c r="C2507" t="inlineStr">
        <is>
          <t>SS-01176</t>
        </is>
      </c>
      <c r="D2507" t="n">
        <v>48</v>
      </c>
      <c r="E2507" t="n">
        <v>0</v>
      </c>
      <c r="G2507">
        <f>IF(AND(A2507&gt;=Inputs!$B$5,A2507&lt;=Inputs!$B$6),1,0)</f>
        <v/>
      </c>
    </row>
    <row r="2508">
      <c r="A2508" t="inlineStr">
        <is>
          <t>2026-08</t>
        </is>
      </c>
      <c r="B2508" t="inlineStr">
        <is>
          <t>HOSP-3</t>
        </is>
      </c>
      <c r="C2508" t="inlineStr">
        <is>
          <t>SS-01177</t>
        </is>
      </c>
      <c r="D2508" t="n">
        <v>24</v>
      </c>
      <c r="E2508" t="n">
        <v>0</v>
      </c>
      <c r="G2508">
        <f>IF(AND(A2508&gt;=Inputs!$B$5,A2508&lt;=Inputs!$B$6),1,0)</f>
        <v/>
      </c>
    </row>
    <row r="2509">
      <c r="A2509" t="inlineStr">
        <is>
          <t>2026-08</t>
        </is>
      </c>
      <c r="B2509" t="inlineStr">
        <is>
          <t>HOSP-4</t>
        </is>
      </c>
      <c r="C2509" t="inlineStr">
        <is>
          <t>SS-01178</t>
        </is>
      </c>
      <c r="D2509" t="n">
        <v>0</v>
      </c>
      <c r="E2509" t="n">
        <v>0</v>
      </c>
      <c r="G2509">
        <f>IF(AND(A2509&gt;=Inputs!$B$5,A2509&lt;=Inputs!$B$6),1,0)</f>
        <v/>
      </c>
    </row>
    <row r="2510">
      <c r="A2510" t="inlineStr">
        <is>
          <t>2026-08</t>
        </is>
      </c>
      <c r="B2510" t="inlineStr">
        <is>
          <t>HOSP-1</t>
        </is>
      </c>
      <c r="C2510" t="inlineStr">
        <is>
          <t>SS-01179</t>
        </is>
      </c>
      <c r="D2510" t="n">
        <v>48</v>
      </c>
      <c r="E2510" t="n">
        <v>0</v>
      </c>
      <c r="G2510">
        <f>IF(AND(A2510&gt;=Inputs!$B$5,A2510&lt;=Inputs!$B$6),1,0)</f>
        <v/>
      </c>
    </row>
    <row r="2511">
      <c r="A2511" t="inlineStr">
        <is>
          <t>2026-08</t>
        </is>
      </c>
      <c r="B2511" t="inlineStr">
        <is>
          <t>HOSP-2</t>
        </is>
      </c>
      <c r="C2511" t="inlineStr">
        <is>
          <t>SS-01180</t>
        </is>
      </c>
      <c r="D2511" t="n">
        <v>12</v>
      </c>
      <c r="E2511" t="n">
        <v>0</v>
      </c>
      <c r="G2511">
        <f>IF(AND(A2511&gt;=Inputs!$B$5,A2511&lt;=Inputs!$B$6),1,0)</f>
        <v/>
      </c>
    </row>
    <row r="2512">
      <c r="A2512" t="inlineStr">
        <is>
          <t>2026-08</t>
        </is>
      </c>
      <c r="B2512" t="inlineStr">
        <is>
          <t>HOSP-3</t>
        </is>
      </c>
      <c r="C2512" t="inlineStr">
        <is>
          <t>SS-01181</t>
        </is>
      </c>
      <c r="D2512" t="n">
        <v>36</v>
      </c>
      <c r="E2512" t="n">
        <v>0</v>
      </c>
      <c r="G2512">
        <f>IF(AND(A2512&gt;=Inputs!$B$5,A2512&lt;=Inputs!$B$6),1,0)</f>
        <v/>
      </c>
    </row>
    <row r="2513">
      <c r="A2513" t="inlineStr">
        <is>
          <t>2026-08</t>
        </is>
      </c>
      <c r="B2513" t="inlineStr">
        <is>
          <t>HOSP-4</t>
        </is>
      </c>
      <c r="C2513" t="inlineStr">
        <is>
          <t>SS-01182</t>
        </is>
      </c>
      <c r="D2513" t="n">
        <v>24</v>
      </c>
      <c r="E2513" t="n">
        <v>0</v>
      </c>
      <c r="G2513">
        <f>IF(AND(A2513&gt;=Inputs!$B$5,A2513&lt;=Inputs!$B$6),1,0)</f>
        <v/>
      </c>
    </row>
    <row r="2514">
      <c r="A2514" t="inlineStr">
        <is>
          <t>2026-08</t>
        </is>
      </c>
      <c r="B2514" t="inlineStr">
        <is>
          <t>HOSP-1</t>
        </is>
      </c>
      <c r="C2514" t="inlineStr">
        <is>
          <t>SS-01183</t>
        </is>
      </c>
      <c r="D2514" t="n">
        <v>0</v>
      </c>
      <c r="E2514" t="n">
        <v>0</v>
      </c>
      <c r="G2514">
        <f>IF(AND(A2514&gt;=Inputs!$B$5,A2514&lt;=Inputs!$B$6),1,0)</f>
        <v/>
      </c>
    </row>
    <row r="2515">
      <c r="A2515" t="inlineStr">
        <is>
          <t>2026-08</t>
        </is>
      </c>
      <c r="B2515" t="inlineStr">
        <is>
          <t>HOSP-2</t>
        </is>
      </c>
      <c r="C2515" t="inlineStr">
        <is>
          <t>SS-01184</t>
        </is>
      </c>
      <c r="D2515" t="n">
        <v>0</v>
      </c>
      <c r="E2515" t="n">
        <v>0</v>
      </c>
      <c r="G2515">
        <f>IF(AND(A2515&gt;=Inputs!$B$5,A2515&lt;=Inputs!$B$6),1,0)</f>
        <v/>
      </c>
    </row>
    <row r="2516">
      <c r="A2516" t="inlineStr">
        <is>
          <t>2026-08</t>
        </is>
      </c>
      <c r="B2516" t="inlineStr">
        <is>
          <t>HOSP-3</t>
        </is>
      </c>
      <c r="C2516" t="inlineStr">
        <is>
          <t>SS-01185</t>
        </is>
      </c>
      <c r="D2516" t="n">
        <v>156</v>
      </c>
      <c r="E2516" t="n">
        <v>0</v>
      </c>
      <c r="G2516">
        <f>IF(AND(A2516&gt;=Inputs!$B$5,A2516&lt;=Inputs!$B$6),1,0)</f>
        <v/>
      </c>
    </row>
    <row r="2517">
      <c r="A2517" t="inlineStr">
        <is>
          <t>2026-08</t>
        </is>
      </c>
      <c r="B2517" t="inlineStr">
        <is>
          <t>HOSP-4</t>
        </is>
      </c>
      <c r="C2517" t="inlineStr">
        <is>
          <t>SS-01186</t>
        </is>
      </c>
      <c r="D2517" t="n">
        <v>17</v>
      </c>
      <c r="E2517" t="n">
        <v>2</v>
      </c>
      <c r="G2517">
        <f>IF(AND(A2517&gt;=Inputs!$B$5,A2517&lt;=Inputs!$B$6),1,0)</f>
        <v/>
      </c>
    </row>
    <row r="2518">
      <c r="A2518" t="inlineStr">
        <is>
          <t>2026-08</t>
        </is>
      </c>
      <c r="B2518" t="inlineStr">
        <is>
          <t>HOSP-1</t>
        </is>
      </c>
      <c r="C2518" t="inlineStr">
        <is>
          <t>SS-01187</t>
        </is>
      </c>
      <c r="D2518" t="n">
        <v>0</v>
      </c>
      <c r="E2518" t="n">
        <v>0</v>
      </c>
      <c r="G2518">
        <f>IF(AND(A2518&gt;=Inputs!$B$5,A2518&lt;=Inputs!$B$6),1,0)</f>
        <v/>
      </c>
    </row>
    <row r="2519">
      <c r="A2519" t="inlineStr">
        <is>
          <t>2026-08</t>
        </is>
      </c>
      <c r="B2519" t="inlineStr">
        <is>
          <t>HOSP-2</t>
        </is>
      </c>
      <c r="C2519" t="inlineStr">
        <is>
          <t>SS-01188</t>
        </is>
      </c>
      <c r="D2519" t="n">
        <v>0</v>
      </c>
      <c r="E2519" t="n">
        <v>5</v>
      </c>
      <c r="G2519">
        <f>IF(AND(A2519&gt;=Inputs!$B$5,A2519&lt;=Inputs!$B$6),1,0)</f>
        <v/>
      </c>
    </row>
    <row r="2520">
      <c r="A2520" t="inlineStr">
        <is>
          <t>2026-08</t>
        </is>
      </c>
      <c r="B2520" t="inlineStr">
        <is>
          <t>HOSP-3</t>
        </is>
      </c>
      <c r="C2520" t="inlineStr">
        <is>
          <t>SS-01189</t>
        </is>
      </c>
      <c r="D2520" t="n">
        <v>36</v>
      </c>
      <c r="E2520" t="n">
        <v>0</v>
      </c>
      <c r="G2520">
        <f>IF(AND(A2520&gt;=Inputs!$B$5,A2520&lt;=Inputs!$B$6),1,0)</f>
        <v/>
      </c>
    </row>
    <row r="2521">
      <c r="A2521" t="inlineStr">
        <is>
          <t>2026-08</t>
        </is>
      </c>
      <c r="B2521" t="inlineStr">
        <is>
          <t>HOSP-4</t>
        </is>
      </c>
      <c r="C2521" t="inlineStr">
        <is>
          <t>SS-01190</t>
        </is>
      </c>
      <c r="D2521" t="n">
        <v>12</v>
      </c>
      <c r="E2521" t="n">
        <v>0</v>
      </c>
      <c r="G2521">
        <f>IF(AND(A2521&gt;=Inputs!$B$5,A2521&lt;=Inputs!$B$6),1,0)</f>
        <v/>
      </c>
    </row>
    <row r="2522">
      <c r="A2522" t="inlineStr">
        <is>
          <t>2026-08</t>
        </is>
      </c>
      <c r="B2522" t="inlineStr">
        <is>
          <t>HOSP-1</t>
        </is>
      </c>
      <c r="C2522" t="inlineStr">
        <is>
          <t>SS-01191</t>
        </is>
      </c>
      <c r="D2522" t="n">
        <v>120</v>
      </c>
      <c r="E2522" t="n">
        <v>0</v>
      </c>
      <c r="G2522">
        <f>IF(AND(A2522&gt;=Inputs!$B$5,A2522&lt;=Inputs!$B$6),1,0)</f>
        <v/>
      </c>
    </row>
    <row r="2523">
      <c r="A2523" t="inlineStr">
        <is>
          <t>2026-08</t>
        </is>
      </c>
      <c r="B2523" t="inlineStr">
        <is>
          <t>HOSP-2</t>
        </is>
      </c>
      <c r="C2523" t="inlineStr">
        <is>
          <t>SS-01192</t>
        </is>
      </c>
      <c r="D2523" t="n">
        <v>96</v>
      </c>
      <c r="E2523" t="n">
        <v>0</v>
      </c>
      <c r="G2523">
        <f>IF(AND(A2523&gt;=Inputs!$B$5,A2523&lt;=Inputs!$B$6),1,0)</f>
        <v/>
      </c>
    </row>
    <row r="2524">
      <c r="A2524" t="inlineStr">
        <is>
          <t>2026-08</t>
        </is>
      </c>
      <c r="B2524" t="inlineStr">
        <is>
          <t>HOSP-3</t>
        </is>
      </c>
      <c r="C2524" t="inlineStr">
        <is>
          <t>SS-01193</t>
        </is>
      </c>
      <c r="D2524" t="n">
        <v>36</v>
      </c>
      <c r="E2524" t="n">
        <v>0</v>
      </c>
      <c r="G2524">
        <f>IF(AND(A2524&gt;=Inputs!$B$5,A2524&lt;=Inputs!$B$6),1,0)</f>
        <v/>
      </c>
    </row>
    <row r="2525">
      <c r="A2525" t="inlineStr">
        <is>
          <t>2026-08</t>
        </is>
      </c>
      <c r="B2525" t="inlineStr">
        <is>
          <t>HOSP-4</t>
        </is>
      </c>
      <c r="C2525" t="inlineStr">
        <is>
          <t>SS-01194</t>
        </is>
      </c>
      <c r="D2525" t="n">
        <v>12</v>
      </c>
      <c r="E2525" t="n">
        <v>0</v>
      </c>
      <c r="G2525">
        <f>IF(AND(A2525&gt;=Inputs!$B$5,A2525&lt;=Inputs!$B$6),1,0)</f>
        <v/>
      </c>
    </row>
    <row r="2526">
      <c r="A2526" t="inlineStr">
        <is>
          <t>2026-08</t>
        </is>
      </c>
      <c r="B2526" t="inlineStr">
        <is>
          <t>HOSP-1</t>
        </is>
      </c>
      <c r="C2526" t="inlineStr">
        <is>
          <t>SS-01195</t>
        </is>
      </c>
      <c r="D2526" t="n">
        <v>36</v>
      </c>
      <c r="E2526" t="n">
        <v>0</v>
      </c>
      <c r="G2526">
        <f>IF(AND(A2526&gt;=Inputs!$B$5,A2526&lt;=Inputs!$B$6),1,0)</f>
        <v/>
      </c>
    </row>
    <row r="2527">
      <c r="A2527" t="inlineStr">
        <is>
          <t>2026-08</t>
        </is>
      </c>
      <c r="B2527" t="inlineStr">
        <is>
          <t>HOSP-2</t>
        </is>
      </c>
      <c r="C2527" t="inlineStr">
        <is>
          <t>SS-01196</t>
        </is>
      </c>
      <c r="D2527" t="n">
        <v>84</v>
      </c>
      <c r="E2527" t="n">
        <v>0</v>
      </c>
      <c r="G2527">
        <f>IF(AND(A2527&gt;=Inputs!$B$5,A2527&lt;=Inputs!$B$6),1,0)</f>
        <v/>
      </c>
    </row>
    <row r="2528">
      <c r="A2528" t="inlineStr">
        <is>
          <t>2026-08</t>
        </is>
      </c>
      <c r="B2528" t="inlineStr">
        <is>
          <t>HOSP-3</t>
        </is>
      </c>
      <c r="C2528" t="inlineStr">
        <is>
          <t>SS-01197</t>
        </is>
      </c>
      <c r="D2528" t="n">
        <v>0</v>
      </c>
      <c r="E2528" t="n">
        <v>0</v>
      </c>
      <c r="G2528">
        <f>IF(AND(A2528&gt;=Inputs!$B$5,A2528&lt;=Inputs!$B$6),1,0)</f>
        <v/>
      </c>
    </row>
    <row r="2529">
      <c r="A2529" t="inlineStr">
        <is>
          <t>2026-08</t>
        </is>
      </c>
      <c r="B2529" t="inlineStr">
        <is>
          <t>HOSP-4</t>
        </is>
      </c>
      <c r="C2529" t="inlineStr">
        <is>
          <t>SS-01198</t>
        </is>
      </c>
      <c r="D2529" t="n">
        <v>36</v>
      </c>
      <c r="E2529" t="n">
        <v>0</v>
      </c>
      <c r="G2529">
        <f>IF(AND(A2529&gt;=Inputs!$B$5,A2529&lt;=Inputs!$B$6),1,0)</f>
        <v/>
      </c>
    </row>
    <row r="2530">
      <c r="A2530" t="inlineStr">
        <is>
          <t>2026-08</t>
        </is>
      </c>
      <c r="B2530" t="inlineStr">
        <is>
          <t>HOSP-1</t>
        </is>
      </c>
      <c r="C2530" t="inlineStr">
        <is>
          <t>SS-01199</t>
        </is>
      </c>
      <c r="D2530" t="n">
        <v>69</v>
      </c>
      <c r="E2530" t="n">
        <v>0</v>
      </c>
      <c r="G2530">
        <f>IF(AND(A2530&gt;=Inputs!$B$5,A2530&lt;=Inputs!$B$6),1,0)</f>
        <v/>
      </c>
    </row>
    <row r="2531">
      <c r="A2531" t="inlineStr">
        <is>
          <t>2026-08</t>
        </is>
      </c>
      <c r="B2531" t="inlineStr">
        <is>
          <t>HOSP-2</t>
        </is>
      </c>
      <c r="C2531" t="inlineStr">
        <is>
          <t>SS-01200</t>
        </is>
      </c>
      <c r="D2531" t="n">
        <v>0</v>
      </c>
      <c r="E2531" t="n">
        <v>0</v>
      </c>
      <c r="G2531">
        <f>IF(AND(A2531&gt;=Inputs!$B$5,A2531&lt;=Inputs!$B$6),1,0)</f>
        <v/>
      </c>
    </row>
    <row r="2532">
      <c r="A2532" t="inlineStr">
        <is>
          <t>2026-08</t>
        </is>
      </c>
      <c r="B2532" t="inlineStr">
        <is>
          <t>HOSP-3</t>
        </is>
      </c>
      <c r="C2532" t="inlineStr">
        <is>
          <t>SS-01201</t>
        </is>
      </c>
      <c r="D2532" t="n">
        <v>19</v>
      </c>
      <c r="E2532" t="n">
        <v>0</v>
      </c>
      <c r="G2532">
        <f>IF(AND(A2532&gt;=Inputs!$B$5,A2532&lt;=Inputs!$B$6),1,0)</f>
        <v/>
      </c>
    </row>
    <row r="2533">
      <c r="A2533" t="inlineStr">
        <is>
          <t>2026-08</t>
        </is>
      </c>
      <c r="B2533" t="inlineStr">
        <is>
          <t>HOSP-4</t>
        </is>
      </c>
      <c r="C2533" t="inlineStr">
        <is>
          <t>SS-01202</t>
        </is>
      </c>
      <c r="D2533" t="n">
        <v>12</v>
      </c>
      <c r="E2533" t="n">
        <v>0</v>
      </c>
      <c r="G2533">
        <f>IF(AND(A2533&gt;=Inputs!$B$5,A2533&lt;=Inputs!$B$6),1,0)</f>
        <v/>
      </c>
    </row>
    <row r="2534">
      <c r="A2534" t="inlineStr">
        <is>
          <t>2026-08</t>
        </is>
      </c>
      <c r="B2534" t="inlineStr">
        <is>
          <t>HOSP-1</t>
        </is>
      </c>
      <c r="C2534" t="inlineStr">
        <is>
          <t>SS-01203</t>
        </is>
      </c>
      <c r="D2534" t="n">
        <v>24</v>
      </c>
      <c r="E2534" t="n">
        <v>0</v>
      </c>
      <c r="G2534">
        <f>IF(AND(A2534&gt;=Inputs!$B$5,A2534&lt;=Inputs!$B$6),1,0)</f>
        <v/>
      </c>
    </row>
    <row r="2535">
      <c r="A2535" t="inlineStr">
        <is>
          <t>2026-08</t>
        </is>
      </c>
      <c r="B2535" t="inlineStr">
        <is>
          <t>HOSP-2</t>
        </is>
      </c>
      <c r="C2535" t="inlineStr">
        <is>
          <t>SS-01015</t>
        </is>
      </c>
      <c r="D2535" t="n">
        <v>36</v>
      </c>
      <c r="E2535" t="n">
        <v>0</v>
      </c>
      <c r="G2535">
        <f>IF(AND(A2535&gt;=Inputs!$B$5,A2535&lt;=Inputs!$B$6),1,0)</f>
        <v/>
      </c>
    </row>
    <row r="2536">
      <c r="A2536" t="inlineStr">
        <is>
          <t>2026-08</t>
        </is>
      </c>
      <c r="B2536" t="inlineStr">
        <is>
          <t>HOSP-3</t>
        </is>
      </c>
      <c r="C2536" t="inlineStr">
        <is>
          <t>SS-01205</t>
        </is>
      </c>
      <c r="D2536" t="n">
        <v>36</v>
      </c>
      <c r="E2536" t="n">
        <v>0</v>
      </c>
      <c r="G2536">
        <f>IF(AND(A2536&gt;=Inputs!$B$5,A2536&lt;=Inputs!$B$6),1,0)</f>
        <v/>
      </c>
    </row>
    <row r="2537">
      <c r="A2537" t="inlineStr">
        <is>
          <t>2026-08</t>
        </is>
      </c>
      <c r="B2537" t="inlineStr">
        <is>
          <t>HOSP-4</t>
        </is>
      </c>
      <c r="C2537" t="inlineStr">
        <is>
          <t>SS-01206</t>
        </is>
      </c>
      <c r="D2537" t="n">
        <v>184</v>
      </c>
      <c r="E2537" t="n">
        <v>0</v>
      </c>
      <c r="G2537">
        <f>IF(AND(A2537&gt;=Inputs!$B$5,A2537&lt;=Inputs!$B$6),1,0)</f>
        <v/>
      </c>
    </row>
    <row r="2538">
      <c r="A2538" t="inlineStr">
        <is>
          <t>2026-08</t>
        </is>
      </c>
      <c r="B2538" t="inlineStr">
        <is>
          <t>HOSP-1</t>
        </is>
      </c>
      <c r="C2538" t="inlineStr">
        <is>
          <t>SS-01207</t>
        </is>
      </c>
      <c r="D2538" t="n">
        <v>24</v>
      </c>
      <c r="E2538" t="n">
        <v>0</v>
      </c>
      <c r="G2538">
        <f>IF(AND(A2538&gt;=Inputs!$B$5,A2538&lt;=Inputs!$B$6),1,0)</f>
        <v/>
      </c>
    </row>
    <row r="2539">
      <c r="A2539" t="inlineStr">
        <is>
          <t>2026-08</t>
        </is>
      </c>
      <c r="B2539" t="inlineStr">
        <is>
          <t>HOSP-2</t>
        </is>
      </c>
      <c r="C2539" t="inlineStr">
        <is>
          <t>SS-01208</t>
        </is>
      </c>
      <c r="D2539" t="n">
        <v>96</v>
      </c>
      <c r="E2539" t="n">
        <v>0</v>
      </c>
      <c r="G2539">
        <f>IF(AND(A2539&gt;=Inputs!$B$5,A2539&lt;=Inputs!$B$6),1,0)</f>
        <v/>
      </c>
    </row>
    <row r="2540">
      <c r="A2540" t="inlineStr">
        <is>
          <t>2026-08</t>
        </is>
      </c>
      <c r="B2540" t="inlineStr">
        <is>
          <t>HOSP-3</t>
        </is>
      </c>
      <c r="C2540" t="inlineStr">
        <is>
          <t>SS-01209</t>
        </is>
      </c>
      <c r="D2540" t="n">
        <v>36</v>
      </c>
      <c r="E2540" t="n">
        <v>0</v>
      </c>
      <c r="G2540">
        <f>IF(AND(A2540&gt;=Inputs!$B$5,A2540&lt;=Inputs!$B$6),1,0)</f>
        <v/>
      </c>
    </row>
    <row r="2541">
      <c r="A2541" t="inlineStr">
        <is>
          <t>2026-08</t>
        </is>
      </c>
      <c r="B2541" t="inlineStr">
        <is>
          <t>HOSP-4</t>
        </is>
      </c>
      <c r="C2541" t="inlineStr">
        <is>
          <t>SS-01210</t>
        </is>
      </c>
      <c r="D2541" t="n">
        <v>12</v>
      </c>
      <c r="E2541" t="n">
        <v>0</v>
      </c>
      <c r="G2541">
        <f>IF(AND(A2541&gt;=Inputs!$B$5,A2541&lt;=Inputs!$B$6),1,0)</f>
        <v/>
      </c>
    </row>
    <row r="2542">
      <c r="A2542" t="inlineStr">
        <is>
          <t>2026-08</t>
        </is>
      </c>
      <c r="B2542" t="inlineStr">
        <is>
          <t>HOSP-1</t>
        </is>
      </c>
      <c r="C2542" t="inlineStr">
        <is>
          <t>SS-01211</t>
        </is>
      </c>
      <c r="D2542" t="n">
        <v>12</v>
      </c>
      <c r="E2542" t="n">
        <v>0</v>
      </c>
      <c r="G2542">
        <f>IF(AND(A2542&gt;=Inputs!$B$5,A2542&lt;=Inputs!$B$6),1,0)</f>
        <v/>
      </c>
    </row>
    <row r="2543">
      <c r="A2543" t="inlineStr">
        <is>
          <t>2026-08</t>
        </is>
      </c>
      <c r="B2543" t="inlineStr">
        <is>
          <t>HOSP-2</t>
        </is>
      </c>
      <c r="C2543" t="inlineStr">
        <is>
          <t>SS-01212</t>
        </is>
      </c>
      <c r="D2543" t="n">
        <v>72</v>
      </c>
      <c r="E2543" t="n">
        <v>0</v>
      </c>
      <c r="G2543">
        <f>IF(AND(A2543&gt;=Inputs!$B$5,A2543&lt;=Inputs!$B$6),1,0)</f>
        <v/>
      </c>
    </row>
    <row r="2544">
      <c r="A2544" t="inlineStr">
        <is>
          <t>2026-08</t>
        </is>
      </c>
      <c r="B2544" t="inlineStr">
        <is>
          <t>HOSP-3</t>
        </is>
      </c>
      <c r="C2544" t="inlineStr">
        <is>
          <t>SS-01213</t>
        </is>
      </c>
      <c r="D2544" t="n">
        <v>24</v>
      </c>
      <c r="E2544" t="n">
        <v>0</v>
      </c>
      <c r="G2544">
        <f>IF(AND(A2544&gt;=Inputs!$B$5,A2544&lt;=Inputs!$B$6),1,0)</f>
        <v/>
      </c>
    </row>
    <row r="2545">
      <c r="A2545" t="inlineStr">
        <is>
          <t>2026-08</t>
        </is>
      </c>
      <c r="B2545" t="inlineStr">
        <is>
          <t>HOSP-4</t>
        </is>
      </c>
      <c r="C2545" t="inlineStr">
        <is>
          <t>SS-01214</t>
        </is>
      </c>
      <c r="D2545" t="n">
        <v>12</v>
      </c>
      <c r="E2545" t="n">
        <v>0</v>
      </c>
      <c r="G2545">
        <f>IF(AND(A2545&gt;=Inputs!$B$5,A2545&lt;=Inputs!$B$6),1,0)</f>
        <v/>
      </c>
    </row>
    <row r="2546">
      <c r="A2546" t="inlineStr">
        <is>
          <t>2026-08</t>
        </is>
      </c>
      <c r="B2546" t="inlineStr">
        <is>
          <t>HOSP-1</t>
        </is>
      </c>
      <c r="C2546" t="inlineStr">
        <is>
          <t>SS-01215</t>
        </is>
      </c>
      <c r="D2546" t="n">
        <v>12</v>
      </c>
      <c r="E2546" t="n">
        <v>0</v>
      </c>
      <c r="G2546">
        <f>IF(AND(A2546&gt;=Inputs!$B$5,A2546&lt;=Inputs!$B$6),1,0)</f>
        <v/>
      </c>
    </row>
    <row r="2547">
      <c r="A2547" t="inlineStr">
        <is>
          <t>2026-08</t>
        </is>
      </c>
      <c r="B2547" t="inlineStr">
        <is>
          <t>HOSP-2</t>
        </is>
      </c>
      <c r="C2547" t="inlineStr">
        <is>
          <t>SS-01216</t>
        </is>
      </c>
      <c r="D2547" t="n">
        <v>144</v>
      </c>
      <c r="E2547" t="n">
        <v>0</v>
      </c>
      <c r="G2547">
        <f>IF(AND(A2547&gt;=Inputs!$B$5,A2547&lt;=Inputs!$B$6),1,0)</f>
        <v/>
      </c>
    </row>
    <row r="2548">
      <c r="A2548" t="inlineStr">
        <is>
          <t>2026-08</t>
        </is>
      </c>
      <c r="B2548" t="inlineStr">
        <is>
          <t>HOSP-3</t>
        </is>
      </c>
      <c r="C2548" t="inlineStr">
        <is>
          <t>SS-01165</t>
        </is>
      </c>
      <c r="D2548" t="n">
        <v>0</v>
      </c>
      <c r="E2548" t="n">
        <v>0</v>
      </c>
      <c r="G2548">
        <f>IF(AND(A2548&gt;=Inputs!$B$5,A2548&lt;=Inputs!$B$6),1,0)</f>
        <v/>
      </c>
    </row>
    <row r="2549">
      <c r="A2549" t="inlineStr">
        <is>
          <t>2026-08</t>
        </is>
      </c>
      <c r="B2549" t="inlineStr">
        <is>
          <t>HOSP-4</t>
        </is>
      </c>
      <c r="C2549" t="inlineStr">
        <is>
          <t>SS-01218</t>
        </is>
      </c>
      <c r="D2549" t="n">
        <v>0</v>
      </c>
      <c r="E2549" t="n">
        <v>0</v>
      </c>
      <c r="G2549">
        <f>IF(AND(A2549&gt;=Inputs!$B$5,A2549&lt;=Inputs!$B$6),1,0)</f>
        <v/>
      </c>
    </row>
    <row r="2550">
      <c r="A2550" t="inlineStr">
        <is>
          <t>2026-08</t>
        </is>
      </c>
      <c r="B2550" t="inlineStr">
        <is>
          <t>HOSP-1</t>
        </is>
      </c>
      <c r="C2550" t="inlineStr">
        <is>
          <t>SS-01219</t>
        </is>
      </c>
      <c r="D2550" t="n">
        <v>36</v>
      </c>
      <c r="E2550" t="n">
        <v>0</v>
      </c>
      <c r="G2550">
        <f>IF(AND(A2550&gt;=Inputs!$B$5,A2550&lt;=Inputs!$B$6),1,0)</f>
        <v/>
      </c>
    </row>
    <row r="2551">
      <c r="A2551" t="inlineStr">
        <is>
          <t>2026-08</t>
        </is>
      </c>
      <c r="B2551" t="inlineStr">
        <is>
          <t>HOSP-2</t>
        </is>
      </c>
      <c r="C2551" t="inlineStr">
        <is>
          <t>SS-01220</t>
        </is>
      </c>
      <c r="D2551" t="n">
        <v>12</v>
      </c>
      <c r="E2551" t="n">
        <v>0</v>
      </c>
      <c r="G2551">
        <f>IF(AND(A2551&gt;=Inputs!$B$5,A2551&lt;=Inputs!$B$6),1,0)</f>
        <v/>
      </c>
    </row>
    <row r="2552">
      <c r="A2552" t="inlineStr">
        <is>
          <t>2026-08</t>
        </is>
      </c>
      <c r="B2552" t="inlineStr">
        <is>
          <t>HOSP-3</t>
        </is>
      </c>
      <c r="C2552" t="inlineStr">
        <is>
          <t>SS-01221</t>
        </is>
      </c>
      <c r="D2552" t="n">
        <v>24</v>
      </c>
      <c r="E2552" t="n">
        <v>0</v>
      </c>
      <c r="G2552">
        <f>IF(AND(A2552&gt;=Inputs!$B$5,A2552&lt;=Inputs!$B$6),1,0)</f>
        <v/>
      </c>
    </row>
    <row r="2553">
      <c r="A2553" t="inlineStr">
        <is>
          <t>2026-08</t>
        </is>
      </c>
      <c r="B2553" t="inlineStr">
        <is>
          <t>HOSP-4</t>
        </is>
      </c>
      <c r="C2553" t="inlineStr">
        <is>
          <t>SS-01056</t>
        </is>
      </c>
      <c r="D2553" t="n">
        <v>103</v>
      </c>
      <c r="E2553" t="n">
        <v>0</v>
      </c>
      <c r="G2553">
        <f>IF(AND(A2553&gt;=Inputs!$B$5,A2553&lt;=Inputs!$B$6),1,0)</f>
        <v/>
      </c>
    </row>
    <row r="2554">
      <c r="A2554" t="inlineStr">
        <is>
          <t>2026-08</t>
        </is>
      </c>
      <c r="B2554" t="inlineStr">
        <is>
          <t>HOSP-1</t>
        </is>
      </c>
      <c r="C2554" t="inlineStr">
        <is>
          <t>SS-01223</t>
        </is>
      </c>
      <c r="D2554" t="n">
        <v>12</v>
      </c>
      <c r="E2554" t="n">
        <v>0</v>
      </c>
      <c r="G2554">
        <f>IF(AND(A2554&gt;=Inputs!$B$5,A2554&lt;=Inputs!$B$6),1,0)</f>
        <v/>
      </c>
    </row>
    <row r="2555">
      <c r="A2555" t="inlineStr">
        <is>
          <t>2026-08</t>
        </is>
      </c>
      <c r="B2555" t="inlineStr">
        <is>
          <t>HOSP-2</t>
        </is>
      </c>
      <c r="C2555" t="inlineStr">
        <is>
          <t>SS-01066</t>
        </is>
      </c>
      <c r="D2555" t="n">
        <v>48</v>
      </c>
      <c r="E2555" t="n">
        <v>0</v>
      </c>
      <c r="G2555">
        <f>IF(AND(A2555&gt;=Inputs!$B$5,A2555&lt;=Inputs!$B$6),1,0)</f>
        <v/>
      </c>
    </row>
    <row r="2556">
      <c r="A2556" t="inlineStr">
        <is>
          <t>2026-08</t>
        </is>
      </c>
      <c r="B2556" t="inlineStr">
        <is>
          <t>HOSP-3</t>
        </is>
      </c>
      <c r="C2556" t="inlineStr">
        <is>
          <t>SS-01225</t>
        </is>
      </c>
      <c r="D2556" t="n">
        <v>0</v>
      </c>
      <c r="E2556" t="n">
        <v>0</v>
      </c>
      <c r="G2556">
        <f>IF(AND(A2556&gt;=Inputs!$B$5,A2556&lt;=Inputs!$B$6),1,0)</f>
        <v/>
      </c>
    </row>
    <row r="2557">
      <c r="A2557" t="inlineStr">
        <is>
          <t>2026-08</t>
        </is>
      </c>
      <c r="B2557" t="inlineStr">
        <is>
          <t>HOSP-4</t>
        </is>
      </c>
      <c r="C2557" t="inlineStr">
        <is>
          <t>SS-01226</t>
        </is>
      </c>
      <c r="D2557" t="n">
        <v>0</v>
      </c>
      <c r="E2557" t="n">
        <v>6</v>
      </c>
      <c r="G2557">
        <f>IF(AND(A2557&gt;=Inputs!$B$5,A2557&lt;=Inputs!$B$6),1,0)</f>
        <v/>
      </c>
    </row>
    <row r="2558">
      <c r="A2558" t="inlineStr">
        <is>
          <t>2026-08</t>
        </is>
      </c>
      <c r="B2558" t="inlineStr">
        <is>
          <t>HOSP-1</t>
        </is>
      </c>
      <c r="C2558" t="inlineStr">
        <is>
          <t>SS-01227</t>
        </is>
      </c>
      <c r="D2558" t="n">
        <v>84</v>
      </c>
      <c r="E2558" t="n">
        <v>0</v>
      </c>
      <c r="G2558">
        <f>IF(AND(A2558&gt;=Inputs!$B$5,A2558&lt;=Inputs!$B$6),1,0)</f>
        <v/>
      </c>
    </row>
    <row r="2559">
      <c r="A2559" t="inlineStr">
        <is>
          <t>2026-08</t>
        </is>
      </c>
      <c r="B2559" t="inlineStr">
        <is>
          <t>HOSP-2</t>
        </is>
      </c>
      <c r="C2559" t="inlineStr">
        <is>
          <t>SS-01228</t>
        </is>
      </c>
      <c r="D2559" t="n">
        <v>0</v>
      </c>
      <c r="E2559" t="n">
        <v>0</v>
      </c>
      <c r="G2559">
        <f>IF(AND(A2559&gt;=Inputs!$B$5,A2559&lt;=Inputs!$B$6),1,0)</f>
        <v/>
      </c>
    </row>
    <row r="2560">
      <c r="A2560" t="inlineStr">
        <is>
          <t>2026-08</t>
        </is>
      </c>
      <c r="B2560" t="inlineStr">
        <is>
          <t>HOSP-3</t>
        </is>
      </c>
      <c r="C2560" t="inlineStr">
        <is>
          <t>SS-01229</t>
        </is>
      </c>
      <c r="D2560" t="n">
        <v>12</v>
      </c>
      <c r="E2560" t="n">
        <v>0</v>
      </c>
      <c r="G2560">
        <f>IF(AND(A2560&gt;=Inputs!$B$5,A2560&lt;=Inputs!$B$6),1,0)</f>
        <v/>
      </c>
    </row>
    <row r="2561">
      <c r="A2561" t="inlineStr">
        <is>
          <t>2026-08</t>
        </is>
      </c>
      <c r="B2561" t="inlineStr">
        <is>
          <t>HOSP-4</t>
        </is>
      </c>
      <c r="C2561" t="inlineStr">
        <is>
          <t>SS-01230</t>
        </is>
      </c>
      <c r="D2561" t="n">
        <v>24</v>
      </c>
      <c r="E2561" t="n">
        <v>0</v>
      </c>
      <c r="G2561">
        <f>IF(AND(A2561&gt;=Inputs!$B$5,A2561&lt;=Inputs!$B$6),1,0)</f>
        <v/>
      </c>
    </row>
    <row r="2562">
      <c r="A2562" t="inlineStr">
        <is>
          <t>2026-08</t>
        </is>
      </c>
      <c r="B2562" t="inlineStr">
        <is>
          <t>HOSP-1</t>
        </is>
      </c>
      <c r="C2562" t="inlineStr">
        <is>
          <t>SS-01231</t>
        </is>
      </c>
      <c r="D2562" t="n">
        <v>0</v>
      </c>
      <c r="E2562" t="n">
        <v>0</v>
      </c>
      <c r="G2562">
        <f>IF(AND(A2562&gt;=Inputs!$B$5,A2562&lt;=Inputs!$B$6),1,0)</f>
        <v/>
      </c>
    </row>
    <row r="2563">
      <c r="A2563" t="inlineStr">
        <is>
          <t>2026-08</t>
        </is>
      </c>
      <c r="B2563" t="inlineStr">
        <is>
          <t>HOSP-2</t>
        </is>
      </c>
      <c r="C2563" t="inlineStr">
        <is>
          <t>SS-01232</t>
        </is>
      </c>
      <c r="D2563" t="n">
        <v>12</v>
      </c>
      <c r="E2563" t="n">
        <v>0</v>
      </c>
      <c r="G2563">
        <f>IF(AND(A2563&gt;=Inputs!$B$5,A2563&lt;=Inputs!$B$6),1,0)</f>
        <v/>
      </c>
    </row>
    <row r="2564">
      <c r="A2564" t="inlineStr">
        <is>
          <t>2026-08</t>
        </is>
      </c>
      <c r="B2564" t="inlineStr">
        <is>
          <t>HOSP-3</t>
        </is>
      </c>
      <c r="C2564" t="inlineStr">
        <is>
          <t>SS-01233</t>
        </is>
      </c>
      <c r="D2564" t="n">
        <v>60</v>
      </c>
      <c r="E2564" t="n">
        <v>0</v>
      </c>
      <c r="G2564">
        <f>IF(AND(A2564&gt;=Inputs!$B$5,A2564&lt;=Inputs!$B$6),1,0)</f>
        <v/>
      </c>
    </row>
    <row r="2565">
      <c r="A2565" t="inlineStr">
        <is>
          <t>2026-08</t>
        </is>
      </c>
      <c r="B2565" t="inlineStr">
        <is>
          <t>HOSP-4</t>
        </is>
      </c>
      <c r="C2565" t="inlineStr">
        <is>
          <t>SS-01001</t>
        </is>
      </c>
      <c r="D2565" t="n">
        <v>12</v>
      </c>
      <c r="E2565" t="n">
        <v>0</v>
      </c>
      <c r="G2565">
        <f>IF(AND(A2565&gt;=Inputs!$B$5,A2565&lt;=Inputs!$B$6),1,0)</f>
        <v/>
      </c>
    </row>
    <row r="2566">
      <c r="A2566" t="inlineStr">
        <is>
          <t>2026-08</t>
        </is>
      </c>
      <c r="B2566" t="inlineStr">
        <is>
          <t>HOSP-1</t>
        </is>
      </c>
      <c r="C2566" t="inlineStr">
        <is>
          <t>SS-01002</t>
        </is>
      </c>
      <c r="D2566" t="n">
        <v>0</v>
      </c>
      <c r="E2566" t="n">
        <v>0</v>
      </c>
      <c r="G2566">
        <f>IF(AND(A2566&gt;=Inputs!$B$5,A2566&lt;=Inputs!$B$6),1,0)</f>
        <v/>
      </c>
    </row>
    <row r="2567">
      <c r="A2567" t="inlineStr">
        <is>
          <t>2026-08</t>
        </is>
      </c>
      <c r="B2567" t="inlineStr">
        <is>
          <t>HOSP-2</t>
        </is>
      </c>
      <c r="C2567" t="inlineStr">
        <is>
          <t>SS-01120</t>
        </is>
      </c>
      <c r="D2567" t="n">
        <v>36</v>
      </c>
      <c r="E2567" t="n">
        <v>0</v>
      </c>
      <c r="G2567">
        <f>IF(AND(A2567&gt;=Inputs!$B$5,A2567&lt;=Inputs!$B$6),1,0)</f>
        <v/>
      </c>
    </row>
    <row r="2568">
      <c r="A2568" t="inlineStr">
        <is>
          <t>2026-08</t>
        </is>
      </c>
      <c r="B2568" t="inlineStr">
        <is>
          <t>HOSP-3</t>
        </is>
      </c>
      <c r="C2568" t="inlineStr">
        <is>
          <t>SS-01004</t>
        </is>
      </c>
      <c r="D2568" t="n">
        <v>96</v>
      </c>
      <c r="E2568" t="n">
        <v>0</v>
      </c>
      <c r="G2568">
        <f>IF(AND(A2568&gt;=Inputs!$B$5,A2568&lt;=Inputs!$B$6),1,0)</f>
        <v/>
      </c>
    </row>
    <row r="2569">
      <c r="A2569" t="inlineStr">
        <is>
          <t>2026-08</t>
        </is>
      </c>
      <c r="B2569" t="inlineStr">
        <is>
          <t>HOSP-4</t>
        </is>
      </c>
      <c r="C2569" t="inlineStr">
        <is>
          <t>SS-01005</t>
        </is>
      </c>
      <c r="D2569" t="n">
        <v>12</v>
      </c>
      <c r="E2569" t="n">
        <v>0</v>
      </c>
      <c r="G2569">
        <f>IF(AND(A2569&gt;=Inputs!$B$5,A2569&lt;=Inputs!$B$6),1,0)</f>
        <v/>
      </c>
    </row>
    <row r="2570">
      <c r="A2570" t="inlineStr">
        <is>
          <t>2026-08</t>
        </is>
      </c>
      <c r="B2570" t="inlineStr">
        <is>
          <t>HOSP-1</t>
        </is>
      </c>
      <c r="C2570" t="inlineStr">
        <is>
          <t>SS-01006</t>
        </is>
      </c>
      <c r="D2570" t="n">
        <v>12</v>
      </c>
      <c r="E2570" t="n">
        <v>0</v>
      </c>
      <c r="G2570">
        <f>IF(AND(A2570&gt;=Inputs!$B$5,A2570&lt;=Inputs!$B$6),1,0)</f>
        <v/>
      </c>
    </row>
    <row r="2571">
      <c r="A2571" t="inlineStr">
        <is>
          <t>2026-08</t>
        </is>
      </c>
      <c r="B2571" t="inlineStr">
        <is>
          <t>HOSP-2</t>
        </is>
      </c>
      <c r="C2571" t="inlineStr">
        <is>
          <t>SS-01007</t>
        </is>
      </c>
      <c r="D2571" t="n">
        <v>12</v>
      </c>
      <c r="E2571" t="n">
        <v>0</v>
      </c>
      <c r="G2571">
        <f>IF(AND(A2571&gt;=Inputs!$B$5,A2571&lt;=Inputs!$B$6),1,0)</f>
        <v/>
      </c>
    </row>
    <row r="2572">
      <c r="A2572" t="inlineStr">
        <is>
          <t>2026-08</t>
        </is>
      </c>
      <c r="B2572" t="inlineStr">
        <is>
          <t>HOSP-3</t>
        </is>
      </c>
      <c r="C2572" t="inlineStr">
        <is>
          <t>SS-01008</t>
        </is>
      </c>
      <c r="D2572" t="n">
        <v>0</v>
      </c>
      <c r="E2572" t="n">
        <v>0</v>
      </c>
      <c r="G2572">
        <f>IF(AND(A2572&gt;=Inputs!$B$5,A2572&lt;=Inputs!$B$6),1,0)</f>
        <v/>
      </c>
    </row>
    <row r="2573">
      <c r="A2573" t="inlineStr">
        <is>
          <t>2026-08</t>
        </is>
      </c>
      <c r="B2573" t="inlineStr">
        <is>
          <t>HOSP-4</t>
        </is>
      </c>
      <c r="C2573" t="inlineStr">
        <is>
          <t>SS-01009</t>
        </is>
      </c>
      <c r="D2573" t="n">
        <v>24</v>
      </c>
      <c r="E2573" t="n">
        <v>0</v>
      </c>
      <c r="G2573">
        <f>IF(AND(A2573&gt;=Inputs!$B$5,A2573&lt;=Inputs!$B$6),1,0)</f>
        <v/>
      </c>
    </row>
    <row r="2574">
      <c r="A2574" t="inlineStr">
        <is>
          <t>2026-08</t>
        </is>
      </c>
      <c r="B2574" t="inlineStr">
        <is>
          <t>HOSP-1</t>
        </is>
      </c>
      <c r="C2574" t="inlineStr">
        <is>
          <t>SS-01010</t>
        </is>
      </c>
      <c r="D2574" t="n">
        <v>120</v>
      </c>
      <c r="E2574" t="n">
        <v>0</v>
      </c>
      <c r="G2574">
        <f>IF(AND(A2574&gt;=Inputs!$B$5,A2574&lt;=Inputs!$B$6),1,0)</f>
        <v/>
      </c>
    </row>
    <row r="2575">
      <c r="A2575" t="inlineStr">
        <is>
          <t>2026-08</t>
        </is>
      </c>
      <c r="B2575" t="inlineStr">
        <is>
          <t>HOSP-2</t>
        </is>
      </c>
      <c r="C2575" t="inlineStr">
        <is>
          <t>SS-01011</t>
        </is>
      </c>
      <c r="D2575" t="n">
        <v>0</v>
      </c>
      <c r="E2575" t="n">
        <v>4</v>
      </c>
      <c r="G2575">
        <f>IF(AND(A2575&gt;=Inputs!$B$5,A2575&lt;=Inputs!$B$6),1,0)</f>
        <v/>
      </c>
    </row>
    <row r="2576">
      <c r="A2576" t="inlineStr">
        <is>
          <t>2026-08</t>
        </is>
      </c>
      <c r="B2576" t="inlineStr">
        <is>
          <t>HOSP-3</t>
        </is>
      </c>
      <c r="C2576" t="inlineStr">
        <is>
          <t>SS-01208</t>
        </is>
      </c>
      <c r="D2576" t="n">
        <v>11</v>
      </c>
      <c r="E2576" t="n">
        <v>0</v>
      </c>
      <c r="G2576">
        <f>IF(AND(A2576&gt;=Inputs!$B$5,A2576&lt;=Inputs!$B$6),1,0)</f>
        <v/>
      </c>
    </row>
    <row r="2577">
      <c r="A2577" t="inlineStr">
        <is>
          <t>2026-08</t>
        </is>
      </c>
      <c r="B2577" t="inlineStr">
        <is>
          <t>HOSP-4</t>
        </is>
      </c>
      <c r="C2577" t="inlineStr">
        <is>
          <t>SS-01013</t>
        </is>
      </c>
      <c r="D2577" t="n">
        <v>12</v>
      </c>
      <c r="E2577" t="n">
        <v>0</v>
      </c>
      <c r="G2577">
        <f>IF(AND(A2577&gt;=Inputs!$B$5,A2577&lt;=Inputs!$B$6),1,0)</f>
        <v/>
      </c>
    </row>
    <row r="2578">
      <c r="A2578" t="inlineStr">
        <is>
          <t>2026-08</t>
        </is>
      </c>
      <c r="B2578" t="inlineStr">
        <is>
          <t>HOSP-1</t>
        </is>
      </c>
      <c r="C2578" t="inlineStr">
        <is>
          <t>SS-01014</t>
        </is>
      </c>
      <c r="D2578" t="n">
        <v>0</v>
      </c>
      <c r="E2578" t="n">
        <v>0</v>
      </c>
      <c r="G2578">
        <f>IF(AND(A2578&gt;=Inputs!$B$5,A2578&lt;=Inputs!$B$6),1,0)</f>
        <v/>
      </c>
    </row>
    <row r="2579">
      <c r="A2579" t="inlineStr">
        <is>
          <t>2026-08</t>
        </is>
      </c>
      <c r="B2579" t="inlineStr">
        <is>
          <t>HOSP-2</t>
        </is>
      </c>
      <c r="C2579" t="inlineStr">
        <is>
          <t>SS-01015</t>
        </is>
      </c>
      <c r="D2579" t="n">
        <v>84</v>
      </c>
      <c r="E2579" t="n">
        <v>0</v>
      </c>
      <c r="G2579">
        <f>IF(AND(A2579&gt;=Inputs!$B$5,A2579&lt;=Inputs!$B$6),1,0)</f>
        <v/>
      </c>
    </row>
    <row r="2580">
      <c r="A2580" t="inlineStr">
        <is>
          <t>2026-08</t>
        </is>
      </c>
      <c r="B2580" t="inlineStr">
        <is>
          <t>HOSP-3</t>
        </is>
      </c>
      <c r="C2580" t="inlineStr">
        <is>
          <t>SS-01016</t>
        </is>
      </c>
      <c r="D2580" t="n">
        <v>24</v>
      </c>
      <c r="E2580" t="n">
        <v>0</v>
      </c>
      <c r="G2580">
        <f>IF(AND(A2580&gt;=Inputs!$B$5,A2580&lt;=Inputs!$B$6),1,0)</f>
        <v/>
      </c>
    </row>
    <row r="2581">
      <c r="A2581" t="inlineStr">
        <is>
          <t>2026-08</t>
        </is>
      </c>
      <c r="B2581" t="inlineStr">
        <is>
          <t>HOSP-4</t>
        </is>
      </c>
      <c r="C2581" t="inlineStr">
        <is>
          <t>SS-01017</t>
        </is>
      </c>
      <c r="D2581" t="n">
        <v>0</v>
      </c>
      <c r="E2581" t="n">
        <v>0</v>
      </c>
      <c r="G2581">
        <f>IF(AND(A2581&gt;=Inputs!$B$5,A2581&lt;=Inputs!$B$6),1,0)</f>
        <v/>
      </c>
    </row>
    <row r="2582">
      <c r="A2582" t="inlineStr">
        <is>
          <t>2026-08</t>
        </is>
      </c>
      <c r="B2582" t="inlineStr">
        <is>
          <t>HOSP-1</t>
        </is>
      </c>
      <c r="C2582" t="inlineStr">
        <is>
          <t>SS-01018</t>
        </is>
      </c>
      <c r="D2582" t="n">
        <v>12</v>
      </c>
      <c r="E2582" t="n">
        <v>0</v>
      </c>
      <c r="G2582">
        <f>IF(AND(A2582&gt;=Inputs!$B$5,A2582&lt;=Inputs!$B$6),1,0)</f>
        <v/>
      </c>
    </row>
    <row r="2583">
      <c r="A2583" t="inlineStr">
        <is>
          <t>2026-08</t>
        </is>
      </c>
      <c r="B2583" t="inlineStr">
        <is>
          <t>HOSP-2</t>
        </is>
      </c>
      <c r="C2583" t="inlineStr">
        <is>
          <t>SS-01019</t>
        </is>
      </c>
      <c r="D2583" t="n">
        <v>0</v>
      </c>
      <c r="E2583" t="n">
        <v>0</v>
      </c>
      <c r="G2583">
        <f>IF(AND(A2583&gt;=Inputs!$B$5,A2583&lt;=Inputs!$B$6),1,0)</f>
        <v/>
      </c>
    </row>
    <row r="2584">
      <c r="A2584" t="inlineStr">
        <is>
          <t>2026-08</t>
        </is>
      </c>
      <c r="B2584" t="inlineStr">
        <is>
          <t>HOSP-3</t>
        </is>
      </c>
      <c r="C2584" t="inlineStr">
        <is>
          <t>SS-01020</t>
        </is>
      </c>
      <c r="D2584" t="n">
        <v>12</v>
      </c>
      <c r="E2584" t="n">
        <v>0</v>
      </c>
      <c r="G2584">
        <f>IF(AND(A2584&gt;=Inputs!$B$5,A2584&lt;=Inputs!$B$6),1,0)</f>
        <v/>
      </c>
    </row>
    <row r="2585">
      <c r="A2585" t="inlineStr">
        <is>
          <t>2026-08</t>
        </is>
      </c>
      <c r="B2585" t="inlineStr">
        <is>
          <t>HOSP-4</t>
        </is>
      </c>
      <c r="C2585" t="inlineStr">
        <is>
          <t>SS-01021</t>
        </is>
      </c>
      <c r="D2585" t="n">
        <v>13</v>
      </c>
      <c r="E2585" t="n">
        <v>0</v>
      </c>
      <c r="G2585">
        <f>IF(AND(A2585&gt;=Inputs!$B$5,A2585&lt;=Inputs!$B$6),1,0)</f>
        <v/>
      </c>
    </row>
    <row r="2586">
      <c r="A2586" t="inlineStr">
        <is>
          <t>2026-08</t>
        </is>
      </c>
      <c r="B2586" t="inlineStr">
        <is>
          <t>HOSP-1</t>
        </is>
      </c>
      <c r="C2586" t="inlineStr">
        <is>
          <t>SS-01022</t>
        </is>
      </c>
      <c r="D2586" t="n">
        <v>24</v>
      </c>
      <c r="E2586" t="n">
        <v>0</v>
      </c>
      <c r="G2586">
        <f>IF(AND(A2586&gt;=Inputs!$B$5,A2586&lt;=Inputs!$B$6),1,0)</f>
        <v/>
      </c>
    </row>
    <row r="2587">
      <c r="A2587" t="inlineStr">
        <is>
          <t>2026-08</t>
        </is>
      </c>
      <c r="B2587" t="inlineStr">
        <is>
          <t>HOSP-2</t>
        </is>
      </c>
      <c r="C2587" t="inlineStr">
        <is>
          <t>SS-01023</t>
        </is>
      </c>
      <c r="D2587" t="n">
        <v>40</v>
      </c>
      <c r="E2587" t="n">
        <v>0</v>
      </c>
      <c r="G2587">
        <f>IF(AND(A2587&gt;=Inputs!$B$5,A2587&lt;=Inputs!$B$6),1,0)</f>
        <v/>
      </c>
    </row>
    <row r="2588">
      <c r="A2588" t="inlineStr">
        <is>
          <t>2026-08</t>
        </is>
      </c>
      <c r="B2588" t="inlineStr">
        <is>
          <t>HOSP-3</t>
        </is>
      </c>
      <c r="C2588" t="inlineStr">
        <is>
          <t>SS-01024</t>
        </is>
      </c>
      <c r="D2588" t="n">
        <v>12</v>
      </c>
      <c r="E2588" t="n">
        <v>0</v>
      </c>
      <c r="G2588">
        <f>IF(AND(A2588&gt;=Inputs!$B$5,A2588&lt;=Inputs!$B$6),1,0)</f>
        <v/>
      </c>
    </row>
    <row r="2589">
      <c r="A2589" t="inlineStr">
        <is>
          <t>2026-08</t>
        </is>
      </c>
      <c r="B2589" t="inlineStr">
        <is>
          <t>HOSP-4</t>
        </is>
      </c>
      <c r="C2589" t="inlineStr">
        <is>
          <t>SS-01025</t>
        </is>
      </c>
      <c r="D2589" t="n">
        <v>0</v>
      </c>
      <c r="E2589" t="n">
        <v>0</v>
      </c>
      <c r="G2589">
        <f>IF(AND(A2589&gt;=Inputs!$B$5,A2589&lt;=Inputs!$B$6),1,0)</f>
        <v/>
      </c>
    </row>
    <row r="2590">
      <c r="A2590" t="inlineStr">
        <is>
          <t>2026-08</t>
        </is>
      </c>
      <c r="B2590" t="inlineStr">
        <is>
          <t>HOSP-1</t>
        </is>
      </c>
      <c r="C2590" t="inlineStr">
        <is>
          <t>SS-01026</t>
        </is>
      </c>
      <c r="D2590" t="n">
        <v>12</v>
      </c>
      <c r="E2590" t="n">
        <v>0</v>
      </c>
      <c r="G2590">
        <f>IF(AND(A2590&gt;=Inputs!$B$5,A2590&lt;=Inputs!$B$6),1,0)</f>
        <v/>
      </c>
    </row>
    <row r="2591">
      <c r="A2591" t="inlineStr">
        <is>
          <t>2026-08</t>
        </is>
      </c>
      <c r="B2591" t="inlineStr">
        <is>
          <t>HOSP-2</t>
        </is>
      </c>
      <c r="C2591" t="inlineStr">
        <is>
          <t>SS-01027</t>
        </is>
      </c>
      <c r="D2591" t="n">
        <v>132</v>
      </c>
      <c r="E2591" t="n">
        <v>0</v>
      </c>
      <c r="G2591">
        <f>IF(AND(A2591&gt;=Inputs!$B$5,A2591&lt;=Inputs!$B$6),1,0)</f>
        <v/>
      </c>
    </row>
    <row r="2592">
      <c r="A2592" t="inlineStr">
        <is>
          <t>2026-08</t>
        </is>
      </c>
      <c r="B2592" t="inlineStr">
        <is>
          <t>HOSP-3</t>
        </is>
      </c>
      <c r="C2592" t="inlineStr">
        <is>
          <t>SS-01203</t>
        </is>
      </c>
      <c r="D2592" t="n">
        <v>29</v>
      </c>
      <c r="E2592" t="n">
        <v>1</v>
      </c>
      <c r="G2592">
        <f>IF(AND(A2592&gt;=Inputs!$B$5,A2592&lt;=Inputs!$B$6),1,0)</f>
        <v/>
      </c>
    </row>
    <row r="2593">
      <c r="A2593" t="inlineStr">
        <is>
          <t>2026-08</t>
        </is>
      </c>
      <c r="B2593" t="inlineStr">
        <is>
          <t>HOSP-4</t>
        </is>
      </c>
      <c r="C2593" t="inlineStr">
        <is>
          <t>SS-01029</t>
        </is>
      </c>
      <c r="D2593" t="n">
        <v>12</v>
      </c>
      <c r="E2593" t="n">
        <v>0</v>
      </c>
      <c r="G2593">
        <f>IF(AND(A2593&gt;=Inputs!$B$5,A2593&lt;=Inputs!$B$6),1,0)</f>
        <v/>
      </c>
    </row>
    <row r="2594">
      <c r="A2594" t="inlineStr">
        <is>
          <t>2026-08</t>
        </is>
      </c>
      <c r="B2594" t="inlineStr">
        <is>
          <t>HOSP-1</t>
        </is>
      </c>
      <c r="C2594" t="inlineStr">
        <is>
          <t>SS-01030</t>
        </is>
      </c>
      <c r="D2594" t="n">
        <v>60</v>
      </c>
      <c r="E2594" t="n">
        <v>0</v>
      </c>
      <c r="G2594">
        <f>IF(AND(A2594&gt;=Inputs!$B$5,A2594&lt;=Inputs!$B$6),1,0)</f>
        <v/>
      </c>
    </row>
    <row r="2595">
      <c r="A2595" t="inlineStr">
        <is>
          <t>2026-08</t>
        </is>
      </c>
      <c r="B2595" t="inlineStr">
        <is>
          <t>HOSP-2</t>
        </is>
      </c>
      <c r="C2595" t="inlineStr">
        <is>
          <t>SS-01031</t>
        </is>
      </c>
      <c r="D2595" t="n">
        <v>24</v>
      </c>
      <c r="E2595" t="n">
        <v>0</v>
      </c>
      <c r="G2595">
        <f>IF(AND(A2595&gt;=Inputs!$B$5,A2595&lt;=Inputs!$B$6),1,0)</f>
        <v/>
      </c>
    </row>
    <row r="2596">
      <c r="A2596" t="inlineStr">
        <is>
          <t>2026-08</t>
        </is>
      </c>
      <c r="B2596" t="inlineStr">
        <is>
          <t>HOSP-3</t>
        </is>
      </c>
      <c r="C2596" t="inlineStr">
        <is>
          <t>SS-01032</t>
        </is>
      </c>
      <c r="D2596" t="n">
        <v>12</v>
      </c>
      <c r="E2596" t="n">
        <v>0</v>
      </c>
      <c r="G2596">
        <f>IF(AND(A2596&gt;=Inputs!$B$5,A2596&lt;=Inputs!$B$6),1,0)</f>
        <v/>
      </c>
    </row>
    <row r="2597">
      <c r="A2597" t="inlineStr">
        <is>
          <t>2026-08</t>
        </is>
      </c>
      <c r="B2597" t="inlineStr">
        <is>
          <t>HOSP-4</t>
        </is>
      </c>
      <c r="C2597" t="inlineStr">
        <is>
          <t>SS-01033</t>
        </is>
      </c>
      <c r="D2597" t="n">
        <v>60</v>
      </c>
      <c r="E2597" t="n">
        <v>0</v>
      </c>
      <c r="F2597" t="inlineStr">
        <is>
          <t>surge</t>
        </is>
      </c>
      <c r="G2597">
        <f>IF(AND(A2597&gt;=Inputs!$B$5,A2597&lt;=Inputs!$B$6),1,0)</f>
        <v/>
      </c>
    </row>
    <row r="2598">
      <c r="A2598" t="inlineStr">
        <is>
          <t>2026-08</t>
        </is>
      </c>
      <c r="B2598" t="inlineStr">
        <is>
          <t>HOSP-1</t>
        </is>
      </c>
      <c r="C2598" t="inlineStr">
        <is>
          <t>SS-01034</t>
        </is>
      </c>
      <c r="D2598" t="n">
        <v>26</v>
      </c>
      <c r="E2598" t="n">
        <v>0</v>
      </c>
      <c r="G2598">
        <f>IF(AND(A2598&gt;=Inputs!$B$5,A2598&lt;=Inputs!$B$6),1,0)</f>
        <v/>
      </c>
    </row>
    <row r="2599">
      <c r="A2599" t="inlineStr">
        <is>
          <t>2026-08</t>
        </is>
      </c>
      <c r="B2599" t="inlineStr">
        <is>
          <t>HOSP-2</t>
        </is>
      </c>
      <c r="C2599" t="inlineStr">
        <is>
          <t>SS-01035</t>
        </is>
      </c>
      <c r="D2599" t="n">
        <v>0</v>
      </c>
      <c r="E2599" t="n">
        <v>0</v>
      </c>
      <c r="G2599">
        <f>IF(AND(A2599&gt;=Inputs!$B$5,A2599&lt;=Inputs!$B$6),1,0)</f>
        <v/>
      </c>
    </row>
    <row r="2600">
      <c r="A2600" t="inlineStr">
        <is>
          <t>2026-08</t>
        </is>
      </c>
      <c r="B2600" t="inlineStr">
        <is>
          <t>HOSP-3</t>
        </is>
      </c>
      <c r="C2600" t="inlineStr">
        <is>
          <t>SS-01036</t>
        </is>
      </c>
      <c r="D2600" t="n">
        <v>0</v>
      </c>
      <c r="E2600" t="n">
        <v>0</v>
      </c>
      <c r="G2600">
        <f>IF(AND(A2600&gt;=Inputs!$B$5,A2600&lt;=Inputs!$B$6),1,0)</f>
        <v/>
      </c>
    </row>
    <row r="2601">
      <c r="A2601" t="inlineStr">
        <is>
          <t>2026-08</t>
        </is>
      </c>
      <c r="B2601" t="inlineStr">
        <is>
          <t>HOSP-4</t>
        </is>
      </c>
      <c r="C2601" t="inlineStr">
        <is>
          <t>SS-01037</t>
        </is>
      </c>
      <c r="D2601" t="n">
        <v>36</v>
      </c>
      <c r="E2601" t="n">
        <v>0</v>
      </c>
      <c r="G2601">
        <f>IF(AND(A2601&gt;=Inputs!$B$5,A2601&lt;=Inputs!$B$6),1,0)</f>
        <v/>
      </c>
    </row>
    <row r="2602">
      <c r="A2602" t="inlineStr">
        <is>
          <t>2026-08</t>
        </is>
      </c>
      <c r="B2602" t="inlineStr">
        <is>
          <t>HOSP-1</t>
        </is>
      </c>
      <c r="C2602" t="inlineStr">
        <is>
          <t>SS-01038</t>
        </is>
      </c>
      <c r="D2602" t="n">
        <v>34</v>
      </c>
      <c r="E2602" t="n">
        <v>1</v>
      </c>
      <c r="G2602">
        <f>IF(AND(A2602&gt;=Inputs!$B$5,A2602&lt;=Inputs!$B$6),1,0)</f>
        <v/>
      </c>
    </row>
    <row r="2603">
      <c r="A2603" t="inlineStr">
        <is>
          <t>2026-08</t>
        </is>
      </c>
      <c r="B2603" t="inlineStr">
        <is>
          <t>HOSP-2</t>
        </is>
      </c>
      <c r="C2603" t="inlineStr">
        <is>
          <t>SS-01039</t>
        </is>
      </c>
      <c r="D2603" t="n">
        <v>0</v>
      </c>
      <c r="E2603" t="n">
        <v>0</v>
      </c>
      <c r="G2603">
        <f>IF(AND(A2603&gt;=Inputs!$B$5,A2603&lt;=Inputs!$B$6),1,0)</f>
        <v/>
      </c>
    </row>
    <row r="2604">
      <c r="A2604" t="inlineStr">
        <is>
          <t>2026-08</t>
        </is>
      </c>
      <c r="B2604" t="inlineStr">
        <is>
          <t>HOSP-3</t>
        </is>
      </c>
      <c r="C2604" t="inlineStr">
        <is>
          <t>SS-01040</t>
        </is>
      </c>
      <c r="D2604" t="n">
        <v>24</v>
      </c>
      <c r="E2604" t="n">
        <v>0</v>
      </c>
      <c r="G2604">
        <f>IF(AND(A2604&gt;=Inputs!$B$5,A2604&lt;=Inputs!$B$6),1,0)</f>
        <v/>
      </c>
    </row>
    <row r="2605">
      <c r="A2605" t="inlineStr">
        <is>
          <t>2026-08</t>
        </is>
      </c>
      <c r="B2605" t="inlineStr">
        <is>
          <t>HOSP-4</t>
        </is>
      </c>
      <c r="C2605" t="inlineStr">
        <is>
          <t>SS-01196</t>
        </is>
      </c>
      <c r="D2605" t="n">
        <v>492</v>
      </c>
      <c r="E2605" t="n">
        <v>0</v>
      </c>
      <c r="G2605">
        <f>IF(AND(A2605&gt;=Inputs!$B$5,A2605&lt;=Inputs!$B$6),1,0)</f>
        <v/>
      </c>
    </row>
    <row r="2606">
      <c r="A2606" t="inlineStr">
        <is>
          <t>2026-08</t>
        </is>
      </c>
      <c r="B2606" t="inlineStr">
        <is>
          <t>HOSP-1</t>
        </is>
      </c>
      <c r="C2606" t="inlineStr">
        <is>
          <t>SS-01019</t>
        </is>
      </c>
      <c r="D2606" t="n">
        <v>12</v>
      </c>
      <c r="E2606" t="n">
        <v>0</v>
      </c>
      <c r="G2606">
        <f>IF(AND(A2606&gt;=Inputs!$B$5,A2606&lt;=Inputs!$B$6),1,0)</f>
        <v/>
      </c>
    </row>
    <row r="2607">
      <c r="A2607" t="inlineStr">
        <is>
          <t>2026-08</t>
        </is>
      </c>
      <c r="B2607" t="inlineStr">
        <is>
          <t>HOSP-2</t>
        </is>
      </c>
      <c r="C2607" t="inlineStr">
        <is>
          <t>SS-01043</t>
        </is>
      </c>
      <c r="D2607" t="n">
        <v>10</v>
      </c>
      <c r="E2607" t="n">
        <v>0</v>
      </c>
      <c r="G2607">
        <f>IF(AND(A2607&gt;=Inputs!$B$5,A2607&lt;=Inputs!$B$6),1,0)</f>
        <v/>
      </c>
    </row>
    <row r="2608">
      <c r="A2608" t="inlineStr">
        <is>
          <t>2026-08</t>
        </is>
      </c>
      <c r="B2608" t="inlineStr">
        <is>
          <t>HOSP-3</t>
        </is>
      </c>
      <c r="C2608" t="inlineStr">
        <is>
          <t>SS-01044</t>
        </is>
      </c>
      <c r="D2608" t="n">
        <v>8</v>
      </c>
      <c r="E2608" t="n">
        <v>1</v>
      </c>
      <c r="G2608">
        <f>IF(AND(A2608&gt;=Inputs!$B$5,A2608&lt;=Inputs!$B$6),1,0)</f>
        <v/>
      </c>
    </row>
    <row r="2609">
      <c r="A2609" t="inlineStr">
        <is>
          <t>2026-08</t>
        </is>
      </c>
      <c r="B2609" t="inlineStr">
        <is>
          <t>HOSP-4</t>
        </is>
      </c>
      <c r="C2609" t="inlineStr">
        <is>
          <t>SS-01045</t>
        </is>
      </c>
      <c r="D2609" t="n">
        <v>0</v>
      </c>
      <c r="E2609" t="n">
        <v>0</v>
      </c>
      <c r="G2609">
        <f>IF(AND(A2609&gt;=Inputs!$B$5,A2609&lt;=Inputs!$B$6),1,0)</f>
        <v/>
      </c>
    </row>
    <row r="2610">
      <c r="A2610" t="inlineStr">
        <is>
          <t>2026-08</t>
        </is>
      </c>
      <c r="B2610" t="inlineStr">
        <is>
          <t>HOSP-1</t>
        </is>
      </c>
      <c r="C2610" t="inlineStr">
        <is>
          <t>SS-01046</t>
        </is>
      </c>
      <c r="D2610" t="n">
        <v>0</v>
      </c>
      <c r="E2610" t="n">
        <v>0</v>
      </c>
      <c r="G2610">
        <f>IF(AND(A2610&gt;=Inputs!$B$5,A2610&lt;=Inputs!$B$6),1,0)</f>
        <v/>
      </c>
    </row>
    <row r="2611">
      <c r="A2611" t="inlineStr">
        <is>
          <t>2026-08</t>
        </is>
      </c>
      <c r="B2611" t="inlineStr">
        <is>
          <t>HOSP-2</t>
        </is>
      </c>
      <c r="C2611" t="inlineStr">
        <is>
          <t>SS-01047</t>
        </is>
      </c>
      <c r="D2611" t="n">
        <v>0</v>
      </c>
      <c r="E2611" t="n">
        <v>0</v>
      </c>
      <c r="G2611">
        <f>IF(AND(A2611&gt;=Inputs!$B$5,A2611&lt;=Inputs!$B$6),1,0)</f>
        <v/>
      </c>
    </row>
    <row r="2612">
      <c r="A2612" t="inlineStr">
        <is>
          <t>2026-08</t>
        </is>
      </c>
      <c r="B2612" t="inlineStr">
        <is>
          <t>HOSP-3</t>
        </is>
      </c>
      <c r="C2612" t="inlineStr">
        <is>
          <t>SS-01048</t>
        </is>
      </c>
      <c r="D2612" t="n">
        <v>24</v>
      </c>
      <c r="E2612" t="n">
        <v>0</v>
      </c>
      <c r="G2612">
        <f>IF(AND(A2612&gt;=Inputs!$B$5,A2612&lt;=Inputs!$B$6),1,0)</f>
        <v/>
      </c>
    </row>
    <row r="2613">
      <c r="A2613" t="inlineStr">
        <is>
          <t>2026-08</t>
        </is>
      </c>
      <c r="B2613" t="inlineStr">
        <is>
          <t>HOSP-4</t>
        </is>
      </c>
      <c r="C2613" t="inlineStr">
        <is>
          <t>SS-01049</t>
        </is>
      </c>
      <c r="D2613" t="n">
        <v>24</v>
      </c>
      <c r="E2613" t="n">
        <v>0</v>
      </c>
      <c r="G2613">
        <f>IF(AND(A2613&gt;=Inputs!$B$5,A2613&lt;=Inputs!$B$6),1,0)</f>
        <v/>
      </c>
    </row>
    <row r="2614">
      <c r="A2614" t="inlineStr">
        <is>
          <t>2026-08</t>
        </is>
      </c>
      <c r="B2614" t="inlineStr">
        <is>
          <t>HOSP-1</t>
        </is>
      </c>
      <c r="C2614" t="inlineStr">
        <is>
          <t>SS-01050</t>
        </is>
      </c>
      <c r="D2614" t="n">
        <v>102</v>
      </c>
      <c r="E2614" t="n">
        <v>1</v>
      </c>
      <c r="G2614">
        <f>IF(AND(A2614&gt;=Inputs!$B$5,A2614&lt;=Inputs!$B$6),1,0)</f>
        <v/>
      </c>
    </row>
    <row r="2615">
      <c r="A2615" t="inlineStr">
        <is>
          <t>2026-08</t>
        </is>
      </c>
      <c r="B2615" t="inlineStr">
        <is>
          <t>HOSP-2</t>
        </is>
      </c>
      <c r="C2615" t="inlineStr">
        <is>
          <t>SS-01051</t>
        </is>
      </c>
      <c r="D2615" t="n">
        <v>12</v>
      </c>
      <c r="E2615" t="n">
        <v>0</v>
      </c>
      <c r="G2615">
        <f>IF(AND(A2615&gt;=Inputs!$B$5,A2615&lt;=Inputs!$B$6),1,0)</f>
        <v/>
      </c>
    </row>
    <row r="2616">
      <c r="A2616" t="inlineStr">
        <is>
          <t>2026-08</t>
        </is>
      </c>
      <c r="B2616" t="inlineStr">
        <is>
          <t>HOSP-3</t>
        </is>
      </c>
      <c r="C2616" t="inlineStr">
        <is>
          <t>SS-01052</t>
        </is>
      </c>
      <c r="D2616" t="n">
        <v>0</v>
      </c>
      <c r="E2616" t="n">
        <v>0</v>
      </c>
      <c r="G2616">
        <f>IF(AND(A2616&gt;=Inputs!$B$5,A2616&lt;=Inputs!$B$6),1,0)</f>
        <v/>
      </c>
    </row>
    <row r="2617">
      <c r="A2617" t="inlineStr">
        <is>
          <t>2026-08</t>
        </is>
      </c>
      <c r="B2617" t="inlineStr">
        <is>
          <t>HOSP-4</t>
        </is>
      </c>
      <c r="C2617" t="inlineStr">
        <is>
          <t>SS-01148</t>
        </is>
      </c>
      <c r="D2617" t="n">
        <v>24</v>
      </c>
      <c r="E2617" t="n">
        <v>2</v>
      </c>
      <c r="G2617">
        <f>IF(AND(A2617&gt;=Inputs!$B$5,A2617&lt;=Inputs!$B$6),1,0)</f>
        <v/>
      </c>
    </row>
    <row r="2618">
      <c r="A2618" t="inlineStr">
        <is>
          <t>2026-08</t>
        </is>
      </c>
      <c r="B2618" t="inlineStr">
        <is>
          <t>HOSP-1</t>
        </is>
      </c>
      <c r="C2618" t="inlineStr">
        <is>
          <t>SS-01054</t>
        </is>
      </c>
      <c r="D2618" t="n">
        <v>36</v>
      </c>
      <c r="E2618" t="n">
        <v>0</v>
      </c>
      <c r="G2618">
        <f>IF(AND(A2618&gt;=Inputs!$B$5,A2618&lt;=Inputs!$B$6),1,0)</f>
        <v/>
      </c>
    </row>
    <row r="2619">
      <c r="A2619" t="inlineStr">
        <is>
          <t>2026-08</t>
        </is>
      </c>
      <c r="B2619" t="inlineStr">
        <is>
          <t>HOSP-2</t>
        </is>
      </c>
      <c r="C2619" t="inlineStr">
        <is>
          <t>SS-01055</t>
        </is>
      </c>
      <c r="D2619" t="n">
        <v>12</v>
      </c>
      <c r="E2619" t="n">
        <v>0</v>
      </c>
      <c r="G2619">
        <f>IF(AND(A2619&gt;=Inputs!$B$5,A2619&lt;=Inputs!$B$6),1,0)</f>
        <v/>
      </c>
    </row>
    <row r="2620">
      <c r="A2620" t="inlineStr">
        <is>
          <t>2026-08</t>
        </is>
      </c>
      <c r="B2620" t="inlineStr">
        <is>
          <t>HOSP-3</t>
        </is>
      </c>
      <c r="C2620" t="inlineStr">
        <is>
          <t>SS-01009</t>
        </is>
      </c>
      <c r="D2620" t="n">
        <v>13</v>
      </c>
      <c r="E2620" t="n">
        <v>11</v>
      </c>
      <c r="G2620">
        <f>IF(AND(A2620&gt;=Inputs!$B$5,A2620&lt;=Inputs!$B$6),1,0)</f>
        <v/>
      </c>
    </row>
    <row r="2621">
      <c r="A2621" t="inlineStr">
        <is>
          <t>2026-08</t>
        </is>
      </c>
      <c r="B2621" t="inlineStr">
        <is>
          <t>HOSP-4</t>
        </is>
      </c>
      <c r="C2621" t="inlineStr">
        <is>
          <t>SS-01057</t>
        </is>
      </c>
      <c r="D2621" t="n">
        <v>48</v>
      </c>
      <c r="E2621" t="n">
        <v>0</v>
      </c>
      <c r="G2621">
        <f>IF(AND(A2621&gt;=Inputs!$B$5,A2621&lt;=Inputs!$B$6),1,0)</f>
        <v/>
      </c>
    </row>
    <row r="2622">
      <c r="A2622" t="inlineStr">
        <is>
          <t>2026-08</t>
        </is>
      </c>
      <c r="B2622" t="inlineStr">
        <is>
          <t>HOSP-1</t>
        </is>
      </c>
      <c r="C2622" t="inlineStr">
        <is>
          <t>SS-01058</t>
        </is>
      </c>
      <c r="D2622" t="n">
        <v>12</v>
      </c>
      <c r="E2622" t="n">
        <v>0</v>
      </c>
      <c r="G2622">
        <f>IF(AND(A2622&gt;=Inputs!$B$5,A2622&lt;=Inputs!$B$6),1,0)</f>
        <v/>
      </c>
    </row>
    <row r="2623">
      <c r="A2623" t="inlineStr">
        <is>
          <t>2026-08</t>
        </is>
      </c>
      <c r="B2623" t="inlineStr">
        <is>
          <t>HOSP-2</t>
        </is>
      </c>
      <c r="C2623" t="inlineStr">
        <is>
          <t>SS-01059</t>
        </is>
      </c>
      <c r="D2623" t="n">
        <v>12</v>
      </c>
      <c r="E2623" t="n">
        <v>0</v>
      </c>
      <c r="G2623">
        <f>IF(AND(A2623&gt;=Inputs!$B$5,A2623&lt;=Inputs!$B$6),1,0)</f>
        <v/>
      </c>
    </row>
    <row r="2624">
      <c r="A2624" t="inlineStr">
        <is>
          <t>2026-08</t>
        </is>
      </c>
      <c r="B2624" t="inlineStr">
        <is>
          <t>HOSP-3</t>
        </is>
      </c>
      <c r="C2624" t="inlineStr">
        <is>
          <t>SS-01060</t>
        </is>
      </c>
      <c r="D2624" t="n">
        <v>12</v>
      </c>
      <c r="E2624" t="n">
        <v>0</v>
      </c>
      <c r="G2624">
        <f>IF(AND(A2624&gt;=Inputs!$B$5,A2624&lt;=Inputs!$B$6),1,0)</f>
        <v/>
      </c>
    </row>
    <row r="2625">
      <c r="A2625" t="inlineStr">
        <is>
          <t>2026-08</t>
        </is>
      </c>
      <c r="B2625" t="inlineStr">
        <is>
          <t>HOSP-4</t>
        </is>
      </c>
      <c r="C2625" t="inlineStr">
        <is>
          <t>SS-01061</t>
        </is>
      </c>
      <c r="D2625" t="n">
        <v>12</v>
      </c>
      <c r="E2625" t="n">
        <v>0</v>
      </c>
      <c r="G2625">
        <f>IF(AND(A2625&gt;=Inputs!$B$5,A2625&lt;=Inputs!$B$6),1,0)</f>
        <v/>
      </c>
    </row>
    <row r="2626">
      <c r="A2626" t="inlineStr">
        <is>
          <t>2026-08</t>
        </is>
      </c>
      <c r="B2626" t="inlineStr">
        <is>
          <t>HOSP-1</t>
        </is>
      </c>
      <c r="C2626" t="inlineStr">
        <is>
          <t>SS-01062</t>
        </is>
      </c>
      <c r="D2626" t="n">
        <v>0</v>
      </c>
      <c r="E2626" t="n">
        <v>0</v>
      </c>
      <c r="G2626">
        <f>IF(AND(A2626&gt;=Inputs!$B$5,A2626&lt;=Inputs!$B$6),1,0)</f>
        <v/>
      </c>
    </row>
    <row r="2627">
      <c r="A2627" t="inlineStr">
        <is>
          <t>2026-08</t>
        </is>
      </c>
      <c r="B2627" t="inlineStr">
        <is>
          <t>HOSP-2</t>
        </is>
      </c>
      <c r="C2627" t="inlineStr">
        <is>
          <t>SS-01063</t>
        </is>
      </c>
      <c r="D2627" t="n">
        <v>12</v>
      </c>
      <c r="E2627" t="n">
        <v>0</v>
      </c>
      <c r="G2627">
        <f>IF(AND(A2627&gt;=Inputs!$B$5,A2627&lt;=Inputs!$B$6),1,0)</f>
        <v/>
      </c>
    </row>
    <row r="2628">
      <c r="A2628" t="inlineStr">
        <is>
          <t>2026-08</t>
        </is>
      </c>
      <c r="B2628" t="inlineStr">
        <is>
          <t>HOSP-3</t>
        </is>
      </c>
      <c r="C2628" t="inlineStr">
        <is>
          <t>SS-01064</t>
        </is>
      </c>
      <c r="D2628" t="n">
        <v>0</v>
      </c>
      <c r="E2628" t="n">
        <v>0</v>
      </c>
      <c r="G2628">
        <f>IF(AND(A2628&gt;=Inputs!$B$5,A2628&lt;=Inputs!$B$6),1,0)</f>
        <v/>
      </c>
    </row>
    <row r="2629">
      <c r="A2629" t="inlineStr">
        <is>
          <t>2026-08</t>
        </is>
      </c>
      <c r="B2629" t="inlineStr">
        <is>
          <t>HOSP-4</t>
        </is>
      </c>
      <c r="C2629" t="inlineStr">
        <is>
          <t>SS-01065</t>
        </is>
      </c>
      <c r="D2629" t="n">
        <v>444</v>
      </c>
      <c r="E2629" t="n">
        <v>0</v>
      </c>
      <c r="G2629">
        <f>IF(AND(A2629&gt;=Inputs!$B$5,A2629&lt;=Inputs!$B$6),1,0)</f>
        <v/>
      </c>
    </row>
    <row r="2630">
      <c r="A2630" t="inlineStr">
        <is>
          <t>2026-08</t>
        </is>
      </c>
      <c r="B2630" t="inlineStr">
        <is>
          <t>HOSP-1</t>
        </is>
      </c>
      <c r="C2630" t="inlineStr">
        <is>
          <t>SS-01066</t>
        </is>
      </c>
      <c r="D2630" t="n">
        <v>54</v>
      </c>
      <c r="E2630" t="n">
        <v>0</v>
      </c>
      <c r="G2630">
        <f>IF(AND(A2630&gt;=Inputs!$B$5,A2630&lt;=Inputs!$B$6),1,0)</f>
        <v/>
      </c>
    </row>
    <row r="2631">
      <c r="A2631" t="inlineStr">
        <is>
          <t>2026-08</t>
        </is>
      </c>
      <c r="B2631" t="inlineStr">
        <is>
          <t>HOSP-2</t>
        </is>
      </c>
      <c r="C2631" t="inlineStr">
        <is>
          <t>SS-01067</t>
        </is>
      </c>
      <c r="D2631" t="n">
        <v>36</v>
      </c>
      <c r="E2631" t="n">
        <v>0</v>
      </c>
      <c r="G2631">
        <f>IF(AND(A2631&gt;=Inputs!$B$5,A2631&lt;=Inputs!$B$6),1,0)</f>
        <v/>
      </c>
    </row>
    <row r="2632">
      <c r="A2632" t="inlineStr">
        <is>
          <t>2026-08</t>
        </is>
      </c>
      <c r="B2632" t="inlineStr">
        <is>
          <t>HOSP-3</t>
        </is>
      </c>
      <c r="C2632" t="inlineStr">
        <is>
          <t>SS-01068</t>
        </is>
      </c>
      <c r="D2632" t="n">
        <v>36</v>
      </c>
      <c r="E2632" t="n">
        <v>0</v>
      </c>
      <c r="G2632">
        <f>IF(AND(A2632&gt;=Inputs!$B$5,A2632&lt;=Inputs!$B$6),1,0)</f>
        <v/>
      </c>
    </row>
    <row r="2633">
      <c r="A2633" t="inlineStr">
        <is>
          <t>2026-08</t>
        </is>
      </c>
      <c r="B2633" t="inlineStr">
        <is>
          <t>HOSP-4</t>
        </is>
      </c>
      <c r="C2633" t="inlineStr">
        <is>
          <t>SS-01069</t>
        </is>
      </c>
      <c r="D2633" t="n">
        <v>60</v>
      </c>
      <c r="E2633" t="n">
        <v>0</v>
      </c>
      <c r="G2633">
        <f>IF(AND(A2633&gt;=Inputs!$B$5,A2633&lt;=Inputs!$B$6),1,0)</f>
        <v/>
      </c>
    </row>
    <row r="2634">
      <c r="A2634" t="inlineStr">
        <is>
          <t>2026-08</t>
        </is>
      </c>
      <c r="B2634" t="inlineStr">
        <is>
          <t>HOSP-1</t>
        </is>
      </c>
      <c r="C2634" t="inlineStr">
        <is>
          <t>SS-01070</t>
        </is>
      </c>
      <c r="D2634" t="n">
        <v>12</v>
      </c>
      <c r="E2634" t="n">
        <v>0</v>
      </c>
      <c r="G2634">
        <f>IF(AND(A2634&gt;=Inputs!$B$5,A2634&lt;=Inputs!$B$6),1,0)</f>
        <v/>
      </c>
    </row>
    <row r="2635">
      <c r="A2635" t="inlineStr">
        <is>
          <t>2026-08</t>
        </is>
      </c>
      <c r="B2635" t="inlineStr">
        <is>
          <t>HOSP-2</t>
        </is>
      </c>
      <c r="C2635" t="inlineStr">
        <is>
          <t>SS-01071</t>
        </is>
      </c>
      <c r="D2635" t="n">
        <v>96</v>
      </c>
      <c r="E2635" t="n">
        <v>0</v>
      </c>
      <c r="G2635">
        <f>IF(AND(A2635&gt;=Inputs!$B$5,A2635&lt;=Inputs!$B$6),1,0)</f>
        <v/>
      </c>
    </row>
    <row r="2636">
      <c r="A2636" t="inlineStr">
        <is>
          <t>2026-09</t>
        </is>
      </c>
      <c r="B2636" t="inlineStr">
        <is>
          <t>HOSP-3</t>
        </is>
      </c>
      <c r="C2636" t="inlineStr">
        <is>
          <t>SS-01072</t>
        </is>
      </c>
      <c r="D2636" t="n">
        <v>1</v>
      </c>
      <c r="E2636" t="n">
        <v>3</v>
      </c>
      <c r="G2636">
        <f>IF(AND(A2636&gt;=Inputs!$B$5,A2636&lt;=Inputs!$B$6),1,0)</f>
        <v/>
      </c>
    </row>
    <row r="2637">
      <c r="A2637" t="inlineStr">
        <is>
          <t>2026-09</t>
        </is>
      </c>
      <c r="B2637" t="inlineStr">
        <is>
          <t>HOSP-4</t>
        </is>
      </c>
      <c r="C2637" t="inlineStr">
        <is>
          <t>SS-01201</t>
        </is>
      </c>
      <c r="D2637" t="n">
        <v>6</v>
      </c>
      <c r="E2637" t="n">
        <v>0</v>
      </c>
      <c r="G2637">
        <f>IF(AND(A2637&gt;=Inputs!$B$5,A2637&lt;=Inputs!$B$6),1,0)</f>
        <v/>
      </c>
    </row>
    <row r="2638">
      <c r="A2638" t="inlineStr">
        <is>
          <t>2026-09</t>
        </is>
      </c>
      <c r="B2638" t="inlineStr">
        <is>
          <t>HOSP-1</t>
        </is>
      </c>
      <c r="C2638" t="inlineStr">
        <is>
          <t>SS-01052</t>
        </is>
      </c>
      <c r="D2638" t="n">
        <v>0</v>
      </c>
      <c r="E2638" t="n">
        <v>0</v>
      </c>
      <c r="G2638">
        <f>IF(AND(A2638&gt;=Inputs!$B$5,A2638&lt;=Inputs!$B$6),1,0)</f>
        <v/>
      </c>
    </row>
    <row r="2639">
      <c r="A2639" t="inlineStr">
        <is>
          <t>2026-09</t>
        </is>
      </c>
      <c r="B2639" t="inlineStr">
        <is>
          <t>HOSP-2</t>
        </is>
      </c>
      <c r="C2639" t="inlineStr">
        <is>
          <t>SS-01075</t>
        </is>
      </c>
      <c r="D2639" t="n">
        <v>12</v>
      </c>
      <c r="E2639" t="n">
        <v>0</v>
      </c>
      <c r="G2639">
        <f>IF(AND(A2639&gt;=Inputs!$B$5,A2639&lt;=Inputs!$B$6),1,0)</f>
        <v/>
      </c>
    </row>
    <row r="2640">
      <c r="A2640" t="inlineStr">
        <is>
          <t>2026-09</t>
        </is>
      </c>
      <c r="B2640" t="inlineStr">
        <is>
          <t>HOSP-3</t>
        </is>
      </c>
      <c r="C2640" t="inlineStr">
        <is>
          <t>SS-01076</t>
        </is>
      </c>
      <c r="D2640" t="n">
        <v>12</v>
      </c>
      <c r="E2640" t="n">
        <v>0</v>
      </c>
      <c r="G2640">
        <f>IF(AND(A2640&gt;=Inputs!$B$5,A2640&lt;=Inputs!$B$6),1,0)</f>
        <v/>
      </c>
    </row>
    <row r="2641">
      <c r="A2641" t="inlineStr">
        <is>
          <t>2026-09</t>
        </is>
      </c>
      <c r="B2641" t="inlineStr">
        <is>
          <t>HOSP-4</t>
        </is>
      </c>
      <c r="C2641" t="inlineStr">
        <is>
          <t>SS-01077</t>
        </is>
      </c>
      <c r="D2641" t="n">
        <v>0</v>
      </c>
      <c r="E2641" t="n">
        <v>0</v>
      </c>
      <c r="G2641">
        <f>IF(AND(A2641&gt;=Inputs!$B$5,A2641&lt;=Inputs!$B$6),1,0)</f>
        <v/>
      </c>
    </row>
    <row r="2642">
      <c r="A2642" t="inlineStr">
        <is>
          <t>2026-09</t>
        </is>
      </c>
      <c r="B2642" t="inlineStr">
        <is>
          <t>HOSP-1</t>
        </is>
      </c>
      <c r="C2642" t="inlineStr">
        <is>
          <t>SS-01078</t>
        </is>
      </c>
      <c r="D2642" t="n">
        <v>5</v>
      </c>
      <c r="E2642" t="n">
        <v>0</v>
      </c>
      <c r="G2642">
        <f>IF(AND(A2642&gt;=Inputs!$B$5,A2642&lt;=Inputs!$B$6),1,0)</f>
        <v/>
      </c>
    </row>
    <row r="2643">
      <c r="A2643" t="inlineStr">
        <is>
          <t>2026-09</t>
        </is>
      </c>
      <c r="B2643" t="inlineStr">
        <is>
          <t>HOSP-2</t>
        </is>
      </c>
      <c r="C2643" t="inlineStr">
        <is>
          <t>SS-01079</t>
        </is>
      </c>
      <c r="D2643" t="n">
        <v>36</v>
      </c>
      <c r="E2643" t="n">
        <v>0</v>
      </c>
      <c r="G2643">
        <f>IF(AND(A2643&gt;=Inputs!$B$5,A2643&lt;=Inputs!$B$6),1,0)</f>
        <v/>
      </c>
    </row>
    <row r="2644">
      <c r="A2644" t="inlineStr">
        <is>
          <t>2026-09</t>
        </is>
      </c>
      <c r="B2644" t="inlineStr">
        <is>
          <t>HOSP-3</t>
        </is>
      </c>
      <c r="C2644" t="inlineStr">
        <is>
          <t>SS-01080</t>
        </is>
      </c>
      <c r="D2644" t="n">
        <v>48</v>
      </c>
      <c r="E2644" t="n">
        <v>0</v>
      </c>
      <c r="G2644">
        <f>IF(AND(A2644&gt;=Inputs!$B$5,A2644&lt;=Inputs!$B$6),1,0)</f>
        <v/>
      </c>
    </row>
    <row r="2645">
      <c r="A2645" t="inlineStr">
        <is>
          <t>2026-09</t>
        </is>
      </c>
      <c r="B2645" t="inlineStr">
        <is>
          <t>HOSP-4</t>
        </is>
      </c>
      <c r="C2645" t="inlineStr">
        <is>
          <t>SS-01081</t>
        </is>
      </c>
      <c r="D2645" t="n">
        <v>60</v>
      </c>
      <c r="E2645" t="n">
        <v>0</v>
      </c>
      <c r="G2645">
        <f>IF(AND(A2645&gt;=Inputs!$B$5,A2645&lt;=Inputs!$B$6),1,0)</f>
        <v/>
      </c>
    </row>
    <row r="2646">
      <c r="A2646" t="inlineStr">
        <is>
          <t>2026-09</t>
        </is>
      </c>
      <c r="B2646" t="inlineStr">
        <is>
          <t>HOSP-1</t>
        </is>
      </c>
      <c r="C2646" t="inlineStr">
        <is>
          <t>SS-01082</t>
        </is>
      </c>
      <c r="D2646" t="n">
        <v>24</v>
      </c>
      <c r="E2646" t="n">
        <v>0</v>
      </c>
      <c r="G2646">
        <f>IF(AND(A2646&gt;=Inputs!$B$5,A2646&lt;=Inputs!$B$6),1,0)</f>
        <v/>
      </c>
    </row>
    <row r="2647">
      <c r="A2647" t="inlineStr">
        <is>
          <t>2026-09</t>
        </is>
      </c>
      <c r="B2647" t="inlineStr">
        <is>
          <t>HOSP-2</t>
        </is>
      </c>
      <c r="C2647" t="inlineStr">
        <is>
          <t>SS-01083</t>
        </is>
      </c>
      <c r="D2647" t="n">
        <v>24</v>
      </c>
      <c r="E2647" t="n">
        <v>0</v>
      </c>
      <c r="G2647">
        <f>IF(AND(A2647&gt;=Inputs!$B$5,A2647&lt;=Inputs!$B$6),1,0)</f>
        <v/>
      </c>
    </row>
    <row r="2648">
      <c r="A2648" t="inlineStr">
        <is>
          <t>2026-09</t>
        </is>
      </c>
      <c r="B2648" t="inlineStr">
        <is>
          <t>HOSP-3</t>
        </is>
      </c>
      <c r="C2648" t="inlineStr">
        <is>
          <t>SS-01084</t>
        </is>
      </c>
      <c r="D2648" t="n">
        <v>4</v>
      </c>
      <c r="E2648" t="n">
        <v>1</v>
      </c>
      <c r="G2648">
        <f>IF(AND(A2648&gt;=Inputs!$B$5,A2648&lt;=Inputs!$B$6),1,0)</f>
        <v/>
      </c>
    </row>
    <row r="2649">
      <c r="A2649" t="inlineStr">
        <is>
          <t>2026-09</t>
        </is>
      </c>
      <c r="B2649" t="inlineStr">
        <is>
          <t>HOSP-4</t>
        </is>
      </c>
      <c r="C2649" t="inlineStr">
        <is>
          <t>SS-01085</t>
        </is>
      </c>
      <c r="D2649" t="n">
        <v>39</v>
      </c>
      <c r="E2649" t="n">
        <v>0</v>
      </c>
      <c r="G2649">
        <f>IF(AND(A2649&gt;=Inputs!$B$5,A2649&lt;=Inputs!$B$6),1,0)</f>
        <v/>
      </c>
    </row>
    <row r="2650">
      <c r="A2650" t="inlineStr">
        <is>
          <t>2026-09</t>
        </is>
      </c>
      <c r="B2650" t="inlineStr">
        <is>
          <t>HOSP-1</t>
        </is>
      </c>
      <c r="C2650" t="inlineStr">
        <is>
          <t>SS-01086</t>
        </is>
      </c>
      <c r="D2650" t="n">
        <v>24</v>
      </c>
      <c r="E2650" t="n">
        <v>0</v>
      </c>
      <c r="G2650">
        <f>IF(AND(A2650&gt;=Inputs!$B$5,A2650&lt;=Inputs!$B$6),1,0)</f>
        <v/>
      </c>
    </row>
    <row r="2651">
      <c r="A2651" t="inlineStr">
        <is>
          <t>2026-09</t>
        </is>
      </c>
      <c r="B2651" t="inlineStr">
        <is>
          <t>HOSP-2</t>
        </is>
      </c>
      <c r="C2651" t="inlineStr">
        <is>
          <t>SS-01087</t>
        </is>
      </c>
      <c r="D2651" t="n">
        <v>24</v>
      </c>
      <c r="E2651" t="n">
        <v>0</v>
      </c>
      <c r="G2651">
        <f>IF(AND(A2651&gt;=Inputs!$B$5,A2651&lt;=Inputs!$B$6),1,0)</f>
        <v/>
      </c>
    </row>
    <row r="2652">
      <c r="A2652" t="inlineStr">
        <is>
          <t>2026-09</t>
        </is>
      </c>
      <c r="B2652" t="inlineStr">
        <is>
          <t>HOSP-3</t>
        </is>
      </c>
      <c r="C2652" t="inlineStr">
        <is>
          <t>SS-01088</t>
        </is>
      </c>
      <c r="D2652" t="n">
        <v>0</v>
      </c>
      <c r="E2652" t="n">
        <v>0</v>
      </c>
      <c r="G2652">
        <f>IF(AND(A2652&gt;=Inputs!$B$5,A2652&lt;=Inputs!$B$6),1,0)</f>
        <v/>
      </c>
    </row>
    <row r="2653">
      <c r="A2653" t="inlineStr">
        <is>
          <t>2026-09</t>
        </is>
      </c>
      <c r="B2653" t="inlineStr">
        <is>
          <t>HOSP-4</t>
        </is>
      </c>
      <c r="C2653" t="inlineStr">
        <is>
          <t>SS-01089</t>
        </is>
      </c>
      <c r="D2653" t="n">
        <v>36</v>
      </c>
      <c r="E2653" t="n">
        <v>0</v>
      </c>
      <c r="G2653">
        <f>IF(AND(A2653&gt;=Inputs!$B$5,A2653&lt;=Inputs!$B$6),1,0)</f>
        <v/>
      </c>
    </row>
    <row r="2654">
      <c r="A2654" t="inlineStr">
        <is>
          <t>2026-09</t>
        </is>
      </c>
      <c r="B2654" t="inlineStr">
        <is>
          <t>HOSP-1</t>
        </is>
      </c>
      <c r="C2654" t="inlineStr">
        <is>
          <t>SS-01090</t>
        </is>
      </c>
      <c r="D2654" t="n">
        <v>48</v>
      </c>
      <c r="E2654" t="n">
        <v>0</v>
      </c>
      <c r="G2654">
        <f>IF(AND(A2654&gt;=Inputs!$B$5,A2654&lt;=Inputs!$B$6),1,0)</f>
        <v/>
      </c>
    </row>
    <row r="2655">
      <c r="A2655" t="inlineStr">
        <is>
          <t>2026-09</t>
        </is>
      </c>
      <c r="B2655" t="inlineStr">
        <is>
          <t>HOSP-2</t>
        </is>
      </c>
      <c r="C2655" t="inlineStr">
        <is>
          <t>SS-01091</t>
        </is>
      </c>
      <c r="D2655" t="n">
        <v>0</v>
      </c>
      <c r="E2655" t="n">
        <v>1</v>
      </c>
      <c r="G2655">
        <f>IF(AND(A2655&gt;=Inputs!$B$5,A2655&lt;=Inputs!$B$6),1,0)</f>
        <v/>
      </c>
    </row>
    <row r="2656">
      <c r="A2656" t="inlineStr">
        <is>
          <t>2026-09</t>
        </is>
      </c>
      <c r="B2656" t="inlineStr">
        <is>
          <t>HOSP-3</t>
        </is>
      </c>
      <c r="C2656" t="inlineStr">
        <is>
          <t>SS-01092</t>
        </is>
      </c>
      <c r="D2656" t="n">
        <v>2</v>
      </c>
      <c r="E2656" t="n">
        <v>0</v>
      </c>
      <c r="G2656">
        <f>IF(AND(A2656&gt;=Inputs!$B$5,A2656&lt;=Inputs!$B$6),1,0)</f>
        <v/>
      </c>
    </row>
    <row r="2657">
      <c r="A2657" t="inlineStr">
        <is>
          <t>2026-09</t>
        </is>
      </c>
      <c r="B2657" t="inlineStr">
        <is>
          <t>HOSP-4</t>
        </is>
      </c>
      <c r="C2657" t="inlineStr">
        <is>
          <t>SS-01093</t>
        </is>
      </c>
      <c r="D2657" t="n">
        <v>12</v>
      </c>
      <c r="E2657" t="n">
        <v>0</v>
      </c>
      <c r="G2657">
        <f>IF(AND(A2657&gt;=Inputs!$B$5,A2657&lt;=Inputs!$B$6),1,0)</f>
        <v/>
      </c>
    </row>
    <row r="2658">
      <c r="A2658" t="inlineStr">
        <is>
          <t>2026-09</t>
        </is>
      </c>
      <c r="B2658" t="inlineStr">
        <is>
          <t>HOSP-1</t>
        </is>
      </c>
      <c r="C2658" t="inlineStr">
        <is>
          <t>SS-01094</t>
        </is>
      </c>
      <c r="D2658" t="n">
        <v>0</v>
      </c>
      <c r="E2658" t="n">
        <v>0</v>
      </c>
      <c r="G2658">
        <f>IF(AND(A2658&gt;=Inputs!$B$5,A2658&lt;=Inputs!$B$6),1,0)</f>
        <v/>
      </c>
    </row>
    <row r="2659">
      <c r="A2659" t="inlineStr">
        <is>
          <t>2026-09</t>
        </is>
      </c>
      <c r="B2659" t="inlineStr">
        <is>
          <t>HOSP-2</t>
        </is>
      </c>
      <c r="C2659" t="inlineStr">
        <is>
          <t>SS-01095</t>
        </is>
      </c>
      <c r="D2659" t="n">
        <v>1196</v>
      </c>
      <c r="E2659" t="n">
        <v>1</v>
      </c>
      <c r="G2659">
        <f>IF(AND(A2659&gt;=Inputs!$B$5,A2659&lt;=Inputs!$B$6),1,0)</f>
        <v/>
      </c>
    </row>
    <row r="2660">
      <c r="A2660" t="inlineStr">
        <is>
          <t>2026-09</t>
        </is>
      </c>
      <c r="B2660" t="inlineStr">
        <is>
          <t>HOSP-3</t>
        </is>
      </c>
      <c r="C2660" t="inlineStr">
        <is>
          <t>SS-01096</t>
        </is>
      </c>
      <c r="D2660" t="n">
        <v>13</v>
      </c>
      <c r="E2660" t="n">
        <v>0</v>
      </c>
      <c r="G2660">
        <f>IF(AND(A2660&gt;=Inputs!$B$5,A2660&lt;=Inputs!$B$6),1,0)</f>
        <v/>
      </c>
    </row>
    <row r="2661">
      <c r="A2661" t="inlineStr">
        <is>
          <t>2026-09</t>
        </is>
      </c>
      <c r="B2661" t="inlineStr">
        <is>
          <t>HOSP-4</t>
        </is>
      </c>
      <c r="C2661" t="inlineStr">
        <is>
          <t>SS-01097</t>
        </is>
      </c>
      <c r="D2661" t="n">
        <v>5</v>
      </c>
      <c r="E2661" t="n">
        <v>5</v>
      </c>
      <c r="G2661">
        <f>IF(AND(A2661&gt;=Inputs!$B$5,A2661&lt;=Inputs!$B$6),1,0)</f>
        <v/>
      </c>
    </row>
    <row r="2662">
      <c r="A2662" t="inlineStr">
        <is>
          <t>2026-09</t>
        </is>
      </c>
      <c r="B2662" t="inlineStr">
        <is>
          <t>HOSP-1</t>
        </is>
      </c>
      <c r="C2662" t="inlineStr">
        <is>
          <t>SS-01032</t>
        </is>
      </c>
      <c r="D2662" t="n">
        <v>2</v>
      </c>
      <c r="E2662" t="n">
        <v>3</v>
      </c>
      <c r="G2662">
        <f>IF(AND(A2662&gt;=Inputs!$B$5,A2662&lt;=Inputs!$B$6),1,0)</f>
        <v/>
      </c>
    </row>
    <row r="2663">
      <c r="A2663" t="inlineStr">
        <is>
          <t>2026-09</t>
        </is>
      </c>
      <c r="B2663" t="inlineStr">
        <is>
          <t>HOSP-2</t>
        </is>
      </c>
      <c r="C2663" t="inlineStr">
        <is>
          <t>SS-01221</t>
        </is>
      </c>
      <c r="D2663" t="n">
        <v>9</v>
      </c>
      <c r="E2663" t="n">
        <v>4</v>
      </c>
      <c r="G2663">
        <f>IF(AND(A2663&gt;=Inputs!$B$5,A2663&lt;=Inputs!$B$6),1,0)</f>
        <v/>
      </c>
    </row>
    <row r="2664">
      <c r="A2664" t="inlineStr">
        <is>
          <t>2026-09</t>
        </is>
      </c>
      <c r="B2664" t="inlineStr">
        <is>
          <t>HOSP-3</t>
        </is>
      </c>
      <c r="C2664" t="inlineStr">
        <is>
          <t>SS-01100</t>
        </is>
      </c>
      <c r="D2664" t="n">
        <v>36</v>
      </c>
      <c r="E2664" t="n">
        <v>0</v>
      </c>
      <c r="G2664">
        <f>IF(AND(A2664&gt;=Inputs!$B$5,A2664&lt;=Inputs!$B$6),1,0)</f>
        <v/>
      </c>
    </row>
    <row r="2665">
      <c r="A2665" t="inlineStr">
        <is>
          <t>2026-09</t>
        </is>
      </c>
      <c r="B2665" t="inlineStr">
        <is>
          <t>HOSP-4</t>
        </is>
      </c>
      <c r="C2665" t="inlineStr">
        <is>
          <t>SS-01101</t>
        </is>
      </c>
      <c r="D2665" t="n">
        <v>12</v>
      </c>
      <c r="E2665" t="n">
        <v>0</v>
      </c>
      <c r="G2665">
        <f>IF(AND(A2665&gt;=Inputs!$B$5,A2665&lt;=Inputs!$B$6),1,0)</f>
        <v/>
      </c>
    </row>
    <row r="2666">
      <c r="A2666" t="inlineStr">
        <is>
          <t>2026-09</t>
        </is>
      </c>
      <c r="B2666" t="inlineStr">
        <is>
          <t>HOSP-1</t>
        </is>
      </c>
      <c r="C2666" t="inlineStr">
        <is>
          <t>SS-01102</t>
        </is>
      </c>
      <c r="D2666" t="n">
        <v>24</v>
      </c>
      <c r="E2666" t="n">
        <v>0</v>
      </c>
      <c r="G2666">
        <f>IF(AND(A2666&gt;=Inputs!$B$5,A2666&lt;=Inputs!$B$6),1,0)</f>
        <v/>
      </c>
    </row>
    <row r="2667">
      <c r="A2667" t="inlineStr">
        <is>
          <t>2026-09</t>
        </is>
      </c>
      <c r="B2667" t="inlineStr">
        <is>
          <t>HOSP-2</t>
        </is>
      </c>
      <c r="C2667" t="inlineStr">
        <is>
          <t>SS-01103</t>
        </is>
      </c>
      <c r="D2667" t="n">
        <v>108</v>
      </c>
      <c r="E2667" t="n">
        <v>0</v>
      </c>
      <c r="G2667">
        <f>IF(AND(A2667&gt;=Inputs!$B$5,A2667&lt;=Inputs!$B$6),1,0)</f>
        <v/>
      </c>
    </row>
    <row r="2668">
      <c r="A2668" t="inlineStr">
        <is>
          <t>2026-09</t>
        </is>
      </c>
      <c r="B2668" t="inlineStr">
        <is>
          <t>HOSP-3</t>
        </is>
      </c>
      <c r="C2668" t="inlineStr">
        <is>
          <t>SS-01104</t>
        </is>
      </c>
      <c r="D2668" t="n">
        <v>12</v>
      </c>
      <c r="E2668" t="n">
        <v>0</v>
      </c>
      <c r="G2668">
        <f>IF(AND(A2668&gt;=Inputs!$B$5,A2668&lt;=Inputs!$B$6),1,0)</f>
        <v/>
      </c>
    </row>
    <row r="2669">
      <c r="A2669" t="inlineStr">
        <is>
          <t>2026-09</t>
        </is>
      </c>
      <c r="B2669" t="inlineStr">
        <is>
          <t>HOSP-4</t>
        </is>
      </c>
      <c r="C2669" t="inlineStr">
        <is>
          <t>SS-01105</t>
        </is>
      </c>
      <c r="D2669" t="n">
        <v>0</v>
      </c>
      <c r="E2669" t="n">
        <v>0</v>
      </c>
      <c r="G2669">
        <f>IF(AND(A2669&gt;=Inputs!$B$5,A2669&lt;=Inputs!$B$6),1,0)</f>
        <v/>
      </c>
    </row>
    <row r="2670">
      <c r="A2670" t="inlineStr">
        <is>
          <t>2026-09</t>
        </is>
      </c>
      <c r="B2670" t="inlineStr">
        <is>
          <t>HOSP-1</t>
        </is>
      </c>
      <c r="C2670" t="inlineStr">
        <is>
          <t>SS-01175</t>
        </is>
      </c>
      <c r="D2670" t="n">
        <v>96</v>
      </c>
      <c r="E2670" t="n">
        <v>0</v>
      </c>
      <c r="G2670">
        <f>IF(AND(A2670&gt;=Inputs!$B$5,A2670&lt;=Inputs!$B$6),1,0)</f>
        <v/>
      </c>
    </row>
    <row r="2671">
      <c r="A2671" t="inlineStr">
        <is>
          <t>2026-09</t>
        </is>
      </c>
      <c r="B2671" t="inlineStr">
        <is>
          <t>HOSP-2</t>
        </is>
      </c>
      <c r="C2671" t="inlineStr">
        <is>
          <t>SS-01107</t>
        </is>
      </c>
      <c r="D2671" t="n">
        <v>12</v>
      </c>
      <c r="E2671" t="n">
        <v>0</v>
      </c>
      <c r="G2671">
        <f>IF(AND(A2671&gt;=Inputs!$B$5,A2671&lt;=Inputs!$B$6),1,0)</f>
        <v/>
      </c>
    </row>
    <row r="2672">
      <c r="A2672" t="inlineStr">
        <is>
          <t>2026-09</t>
        </is>
      </c>
      <c r="B2672" t="inlineStr">
        <is>
          <t>HOSP-3</t>
        </is>
      </c>
      <c r="C2672" t="inlineStr">
        <is>
          <t>SS-01108</t>
        </is>
      </c>
      <c r="D2672" t="n">
        <v>0</v>
      </c>
      <c r="E2672" t="n">
        <v>0</v>
      </c>
      <c r="G2672">
        <f>IF(AND(A2672&gt;=Inputs!$B$5,A2672&lt;=Inputs!$B$6),1,0)</f>
        <v/>
      </c>
    </row>
    <row r="2673">
      <c r="A2673" t="inlineStr">
        <is>
          <t>2026-09</t>
        </is>
      </c>
      <c r="B2673" t="inlineStr">
        <is>
          <t>HOSP-4</t>
        </is>
      </c>
      <c r="C2673" t="inlineStr">
        <is>
          <t>SS-01109</t>
        </is>
      </c>
      <c r="D2673" t="n">
        <v>204</v>
      </c>
      <c r="E2673" t="n">
        <v>0</v>
      </c>
      <c r="G2673">
        <f>IF(AND(A2673&gt;=Inputs!$B$5,A2673&lt;=Inputs!$B$6),1,0)</f>
        <v/>
      </c>
    </row>
    <row r="2674">
      <c r="A2674" t="inlineStr">
        <is>
          <t>2026-09</t>
        </is>
      </c>
      <c r="B2674" t="inlineStr">
        <is>
          <t>HOSP-1</t>
        </is>
      </c>
      <c r="C2674" t="inlineStr">
        <is>
          <t>SS-01137</t>
        </is>
      </c>
      <c r="D2674" t="n">
        <v>12</v>
      </c>
      <c r="E2674" t="n">
        <v>0</v>
      </c>
      <c r="G2674">
        <f>IF(AND(A2674&gt;=Inputs!$B$5,A2674&lt;=Inputs!$B$6),1,0)</f>
        <v/>
      </c>
    </row>
    <row r="2675">
      <c r="A2675" t="inlineStr">
        <is>
          <t>2026-09</t>
        </is>
      </c>
      <c r="B2675" t="inlineStr">
        <is>
          <t>HOSP-2</t>
        </is>
      </c>
      <c r="C2675" t="inlineStr">
        <is>
          <t>SS-01111</t>
        </is>
      </c>
      <c r="D2675" t="n">
        <v>24</v>
      </c>
      <c r="E2675" t="n">
        <v>0</v>
      </c>
      <c r="G2675">
        <f>IF(AND(A2675&gt;=Inputs!$B$5,A2675&lt;=Inputs!$B$6),1,0)</f>
        <v/>
      </c>
    </row>
    <row r="2676">
      <c r="A2676" t="inlineStr">
        <is>
          <t>2026-09</t>
        </is>
      </c>
      <c r="B2676" t="inlineStr">
        <is>
          <t>HOSP-3</t>
        </is>
      </c>
      <c r="C2676" t="inlineStr">
        <is>
          <t>SS-01112</t>
        </is>
      </c>
      <c r="D2676" t="n">
        <v>12</v>
      </c>
      <c r="E2676" t="n">
        <v>0</v>
      </c>
      <c r="G2676">
        <f>IF(AND(A2676&gt;=Inputs!$B$5,A2676&lt;=Inputs!$B$6),1,0)</f>
        <v/>
      </c>
    </row>
    <row r="2677">
      <c r="A2677" t="inlineStr">
        <is>
          <t>2026-09</t>
        </is>
      </c>
      <c r="B2677" t="inlineStr">
        <is>
          <t>HOSP-4</t>
        </is>
      </c>
      <c r="C2677" t="inlineStr">
        <is>
          <t>SS-01113</t>
        </is>
      </c>
      <c r="D2677" t="n">
        <v>31</v>
      </c>
      <c r="E2677" t="n">
        <v>0</v>
      </c>
      <c r="G2677">
        <f>IF(AND(A2677&gt;=Inputs!$B$5,A2677&lt;=Inputs!$B$6),1,0)</f>
        <v/>
      </c>
    </row>
    <row r="2678">
      <c r="A2678" t="inlineStr">
        <is>
          <t>2026-09</t>
        </is>
      </c>
      <c r="B2678" t="inlineStr">
        <is>
          <t>HOSP-1</t>
        </is>
      </c>
      <c r="C2678" t="inlineStr">
        <is>
          <t>SS-01114</t>
        </is>
      </c>
      <c r="D2678" t="n">
        <v>0</v>
      </c>
      <c r="E2678" t="n">
        <v>0</v>
      </c>
      <c r="G2678">
        <f>IF(AND(A2678&gt;=Inputs!$B$5,A2678&lt;=Inputs!$B$6),1,0)</f>
        <v/>
      </c>
    </row>
    <row r="2679">
      <c r="A2679" t="inlineStr">
        <is>
          <t>2026-09</t>
        </is>
      </c>
      <c r="B2679" t="inlineStr">
        <is>
          <t>HOSP-2</t>
        </is>
      </c>
      <c r="C2679" t="inlineStr">
        <is>
          <t>SS-01115</t>
        </is>
      </c>
      <c r="D2679" t="n">
        <v>24</v>
      </c>
      <c r="E2679" t="n">
        <v>0</v>
      </c>
      <c r="G2679">
        <f>IF(AND(A2679&gt;=Inputs!$B$5,A2679&lt;=Inputs!$B$6),1,0)</f>
        <v/>
      </c>
    </row>
    <row r="2680">
      <c r="A2680" t="inlineStr">
        <is>
          <t>2026-09</t>
        </is>
      </c>
      <c r="B2680" t="inlineStr">
        <is>
          <t>HOSP-3</t>
        </is>
      </c>
      <c r="C2680" t="inlineStr">
        <is>
          <t>SS-01116</t>
        </is>
      </c>
      <c r="D2680" t="n">
        <v>0</v>
      </c>
      <c r="E2680" t="n">
        <v>0</v>
      </c>
      <c r="G2680">
        <f>IF(AND(A2680&gt;=Inputs!$B$5,A2680&lt;=Inputs!$B$6),1,0)</f>
        <v/>
      </c>
    </row>
    <row r="2681">
      <c r="A2681" t="inlineStr">
        <is>
          <t>2026-09</t>
        </is>
      </c>
      <c r="B2681" t="inlineStr">
        <is>
          <t>HOSP-4</t>
        </is>
      </c>
      <c r="C2681" t="inlineStr">
        <is>
          <t>SS-01117</t>
        </is>
      </c>
      <c r="D2681" t="n">
        <v>4</v>
      </c>
      <c r="E2681" t="n">
        <v>1</v>
      </c>
      <c r="G2681">
        <f>IF(AND(A2681&gt;=Inputs!$B$5,A2681&lt;=Inputs!$B$6),1,0)</f>
        <v/>
      </c>
    </row>
    <row r="2682">
      <c r="A2682" t="inlineStr">
        <is>
          <t>2026-09</t>
        </is>
      </c>
      <c r="B2682" t="inlineStr">
        <is>
          <t>HOSP-1</t>
        </is>
      </c>
      <c r="C2682" t="inlineStr">
        <is>
          <t>SS-01118</t>
        </is>
      </c>
      <c r="D2682" t="n">
        <v>12</v>
      </c>
      <c r="E2682" t="n">
        <v>0</v>
      </c>
      <c r="G2682">
        <f>IF(AND(A2682&gt;=Inputs!$B$5,A2682&lt;=Inputs!$B$6),1,0)</f>
        <v/>
      </c>
    </row>
    <row r="2683">
      <c r="A2683" t="inlineStr">
        <is>
          <t>2026-09</t>
        </is>
      </c>
      <c r="B2683" t="inlineStr">
        <is>
          <t>HOSP-2</t>
        </is>
      </c>
      <c r="C2683" t="inlineStr">
        <is>
          <t>SS-01119</t>
        </is>
      </c>
      <c r="D2683" t="n">
        <v>36</v>
      </c>
      <c r="E2683" t="n">
        <v>0</v>
      </c>
      <c r="G2683">
        <f>IF(AND(A2683&gt;=Inputs!$B$5,A2683&lt;=Inputs!$B$6),1,0)</f>
        <v/>
      </c>
    </row>
    <row r="2684">
      <c r="A2684" t="inlineStr">
        <is>
          <t>2026-09</t>
        </is>
      </c>
      <c r="B2684" t="inlineStr">
        <is>
          <t>HOSP-3</t>
        </is>
      </c>
      <c r="C2684" t="inlineStr">
        <is>
          <t>SS-01120</t>
        </is>
      </c>
      <c r="D2684" t="n">
        <v>144</v>
      </c>
      <c r="E2684" t="n">
        <v>0</v>
      </c>
      <c r="G2684">
        <f>IF(AND(A2684&gt;=Inputs!$B$5,A2684&lt;=Inputs!$B$6),1,0)</f>
        <v/>
      </c>
    </row>
    <row r="2685">
      <c r="A2685" t="inlineStr">
        <is>
          <t>2026-09</t>
        </is>
      </c>
      <c r="B2685" t="inlineStr">
        <is>
          <t>HOSP-4</t>
        </is>
      </c>
      <c r="C2685" t="inlineStr">
        <is>
          <t>SS-01121</t>
        </is>
      </c>
      <c r="D2685" t="n">
        <v>24</v>
      </c>
      <c r="E2685" t="n">
        <v>0</v>
      </c>
      <c r="G2685">
        <f>IF(AND(A2685&gt;=Inputs!$B$5,A2685&lt;=Inputs!$B$6),1,0)</f>
        <v/>
      </c>
    </row>
    <row r="2686">
      <c r="A2686" t="inlineStr">
        <is>
          <t>2026-09</t>
        </is>
      </c>
      <c r="B2686" t="inlineStr">
        <is>
          <t>HOSP-1</t>
        </is>
      </c>
      <c r="C2686" t="inlineStr">
        <is>
          <t>SS-01122</t>
        </is>
      </c>
      <c r="D2686" t="n">
        <v>24</v>
      </c>
      <c r="E2686" t="n">
        <v>0</v>
      </c>
      <c r="G2686">
        <f>IF(AND(A2686&gt;=Inputs!$B$5,A2686&lt;=Inputs!$B$6),1,0)</f>
        <v/>
      </c>
    </row>
    <row r="2687">
      <c r="A2687" t="inlineStr">
        <is>
          <t>2026-09</t>
        </is>
      </c>
      <c r="B2687" t="inlineStr">
        <is>
          <t>HOSP-2</t>
        </is>
      </c>
      <c r="C2687" t="inlineStr">
        <is>
          <t>SS-01123</t>
        </is>
      </c>
      <c r="D2687" t="n">
        <v>24</v>
      </c>
      <c r="E2687" t="n">
        <v>0</v>
      </c>
      <c r="G2687">
        <f>IF(AND(A2687&gt;=Inputs!$B$5,A2687&lt;=Inputs!$B$6),1,0)</f>
        <v/>
      </c>
    </row>
    <row r="2688">
      <c r="A2688" t="inlineStr">
        <is>
          <t>2026-09</t>
        </is>
      </c>
      <c r="B2688" t="inlineStr">
        <is>
          <t>HOSP-3</t>
        </is>
      </c>
      <c r="C2688" t="inlineStr">
        <is>
          <t>SS-01124</t>
        </is>
      </c>
      <c r="D2688" t="n">
        <v>24</v>
      </c>
      <c r="E2688" t="n">
        <v>0</v>
      </c>
      <c r="G2688">
        <f>IF(AND(A2688&gt;=Inputs!$B$5,A2688&lt;=Inputs!$B$6),1,0)</f>
        <v/>
      </c>
    </row>
    <row r="2689">
      <c r="A2689" t="inlineStr">
        <is>
          <t>2026-09</t>
        </is>
      </c>
      <c r="B2689" t="inlineStr">
        <is>
          <t>HOSP-4</t>
        </is>
      </c>
      <c r="C2689" t="inlineStr">
        <is>
          <t>SS-01125</t>
        </is>
      </c>
      <c r="D2689" t="n">
        <v>0</v>
      </c>
      <c r="E2689" t="n">
        <v>0</v>
      </c>
      <c r="G2689">
        <f>IF(AND(A2689&gt;=Inputs!$B$5,A2689&lt;=Inputs!$B$6),1,0)</f>
        <v/>
      </c>
    </row>
    <row r="2690">
      <c r="A2690" t="inlineStr">
        <is>
          <t>2026-09</t>
        </is>
      </c>
      <c r="B2690" t="inlineStr">
        <is>
          <t>HOSP-1</t>
        </is>
      </c>
      <c r="C2690" t="inlineStr">
        <is>
          <t>SS-01126</t>
        </is>
      </c>
      <c r="D2690" t="n">
        <v>36</v>
      </c>
      <c r="E2690" t="n">
        <v>0</v>
      </c>
      <c r="G2690">
        <f>IF(AND(A2690&gt;=Inputs!$B$5,A2690&lt;=Inputs!$B$6),1,0)</f>
        <v/>
      </c>
    </row>
    <row r="2691">
      <c r="A2691" t="inlineStr">
        <is>
          <t>2026-09</t>
        </is>
      </c>
      <c r="B2691" t="inlineStr">
        <is>
          <t>HOSP-2</t>
        </is>
      </c>
      <c r="C2691" t="inlineStr">
        <is>
          <t>SS-01127</t>
        </is>
      </c>
      <c r="D2691" t="n">
        <v>132</v>
      </c>
      <c r="E2691" t="n">
        <v>0</v>
      </c>
      <c r="G2691">
        <f>IF(AND(A2691&gt;=Inputs!$B$5,A2691&lt;=Inputs!$B$6),1,0)</f>
        <v/>
      </c>
    </row>
    <row r="2692">
      <c r="A2692" t="inlineStr">
        <is>
          <t>2026-09</t>
        </is>
      </c>
      <c r="B2692" t="inlineStr">
        <is>
          <t>HOSP-3</t>
        </is>
      </c>
      <c r="C2692" t="inlineStr">
        <is>
          <t>SS-01128</t>
        </is>
      </c>
      <c r="D2692" t="n">
        <v>12</v>
      </c>
      <c r="E2692" t="n">
        <v>0</v>
      </c>
      <c r="G2692">
        <f>IF(AND(A2692&gt;=Inputs!$B$5,A2692&lt;=Inputs!$B$6),1,0)</f>
        <v/>
      </c>
    </row>
    <row r="2693">
      <c r="A2693" t="inlineStr">
        <is>
          <t>2026-09</t>
        </is>
      </c>
      <c r="B2693" t="inlineStr">
        <is>
          <t>HOSP-4</t>
        </is>
      </c>
      <c r="C2693" t="inlineStr">
        <is>
          <t>SS-01129</t>
        </is>
      </c>
      <c r="D2693" t="n">
        <v>0</v>
      </c>
      <c r="E2693" t="n">
        <v>0</v>
      </c>
      <c r="G2693">
        <f>IF(AND(A2693&gt;=Inputs!$B$5,A2693&lt;=Inputs!$B$6),1,0)</f>
        <v/>
      </c>
    </row>
    <row r="2694">
      <c r="A2694" t="inlineStr">
        <is>
          <t>2026-09</t>
        </is>
      </c>
      <c r="B2694" t="inlineStr">
        <is>
          <t>HOSP-1</t>
        </is>
      </c>
      <c r="C2694" t="inlineStr">
        <is>
          <t>SS-01130</t>
        </is>
      </c>
      <c r="D2694" t="n">
        <v>12</v>
      </c>
      <c r="E2694" t="n">
        <v>0</v>
      </c>
      <c r="G2694">
        <f>IF(AND(A2694&gt;=Inputs!$B$5,A2694&lt;=Inputs!$B$6),1,0)</f>
        <v/>
      </c>
    </row>
    <row r="2695">
      <c r="A2695" t="inlineStr">
        <is>
          <t>2026-09</t>
        </is>
      </c>
      <c r="B2695" t="inlineStr">
        <is>
          <t>HOSP-2</t>
        </is>
      </c>
      <c r="C2695" t="inlineStr">
        <is>
          <t>SS-01131</t>
        </is>
      </c>
      <c r="D2695" t="n">
        <v>12</v>
      </c>
      <c r="E2695" t="n">
        <v>0</v>
      </c>
      <c r="G2695">
        <f>IF(AND(A2695&gt;=Inputs!$B$5,A2695&lt;=Inputs!$B$6),1,0)</f>
        <v/>
      </c>
    </row>
    <row r="2696">
      <c r="A2696" t="inlineStr">
        <is>
          <t>2026-09</t>
        </is>
      </c>
      <c r="B2696" t="inlineStr">
        <is>
          <t>HOSP-3</t>
        </is>
      </c>
      <c r="C2696" t="inlineStr">
        <is>
          <t>SS-01132</t>
        </is>
      </c>
      <c r="D2696" t="n">
        <v>24</v>
      </c>
      <c r="E2696" t="n">
        <v>0</v>
      </c>
      <c r="G2696">
        <f>IF(AND(A2696&gt;=Inputs!$B$5,A2696&lt;=Inputs!$B$6),1,0)</f>
        <v/>
      </c>
    </row>
    <row r="2697">
      <c r="A2697" t="inlineStr">
        <is>
          <t>2026-09</t>
        </is>
      </c>
      <c r="B2697" t="inlineStr">
        <is>
          <t>HOSP-4</t>
        </is>
      </c>
      <c r="C2697" t="inlineStr">
        <is>
          <t>SS-01133</t>
        </is>
      </c>
      <c r="D2697" t="n">
        <v>46</v>
      </c>
      <c r="E2697" t="n">
        <v>0</v>
      </c>
      <c r="G2697">
        <f>IF(AND(A2697&gt;=Inputs!$B$5,A2697&lt;=Inputs!$B$6),1,0)</f>
        <v/>
      </c>
    </row>
    <row r="2698">
      <c r="A2698" t="inlineStr">
        <is>
          <t>2026-09</t>
        </is>
      </c>
      <c r="B2698" t="inlineStr">
        <is>
          <t>HOSP-1</t>
        </is>
      </c>
      <c r="C2698" t="inlineStr">
        <is>
          <t>SS-01134</t>
        </is>
      </c>
      <c r="D2698" t="n">
        <v>36</v>
      </c>
      <c r="E2698" t="n">
        <v>0</v>
      </c>
      <c r="G2698">
        <f>IF(AND(A2698&gt;=Inputs!$B$5,A2698&lt;=Inputs!$B$6),1,0)</f>
        <v/>
      </c>
    </row>
    <row r="2699">
      <c r="A2699" t="inlineStr">
        <is>
          <t>2026-09</t>
        </is>
      </c>
      <c r="B2699" t="inlineStr">
        <is>
          <t>HOSP-2</t>
        </is>
      </c>
      <c r="C2699" t="inlineStr">
        <is>
          <t>SS-01135</t>
        </is>
      </c>
      <c r="D2699" t="n">
        <v>48</v>
      </c>
      <c r="E2699" t="n">
        <v>0</v>
      </c>
      <c r="G2699">
        <f>IF(AND(A2699&gt;=Inputs!$B$5,A2699&lt;=Inputs!$B$6),1,0)</f>
        <v/>
      </c>
    </row>
    <row r="2700">
      <c r="A2700" t="inlineStr">
        <is>
          <t>2026-09</t>
        </is>
      </c>
      <c r="B2700" t="inlineStr">
        <is>
          <t>HOSP-3</t>
        </is>
      </c>
      <c r="C2700" t="inlineStr">
        <is>
          <t>SS-01136</t>
        </is>
      </c>
      <c r="D2700" t="n">
        <v>12</v>
      </c>
      <c r="E2700" t="n">
        <v>0</v>
      </c>
      <c r="G2700">
        <f>IF(AND(A2700&gt;=Inputs!$B$5,A2700&lt;=Inputs!$B$6),1,0)</f>
        <v/>
      </c>
    </row>
    <row r="2701">
      <c r="A2701" t="inlineStr">
        <is>
          <t>2026-09</t>
        </is>
      </c>
      <c r="B2701" t="inlineStr">
        <is>
          <t>HOSP-4</t>
        </is>
      </c>
      <c r="C2701" t="inlineStr">
        <is>
          <t>SS-01137</t>
        </is>
      </c>
      <c r="D2701" t="n">
        <v>0</v>
      </c>
      <c r="E2701" t="n">
        <v>0</v>
      </c>
      <c r="G2701">
        <f>IF(AND(A2701&gt;=Inputs!$B$5,A2701&lt;=Inputs!$B$6),1,0)</f>
        <v/>
      </c>
    </row>
    <row r="2702">
      <c r="A2702" t="inlineStr">
        <is>
          <t>2026-09</t>
        </is>
      </c>
      <c r="B2702" t="inlineStr">
        <is>
          <t>HOSP-1</t>
        </is>
      </c>
      <c r="C2702" t="inlineStr">
        <is>
          <t>SS-01138</t>
        </is>
      </c>
      <c r="D2702" t="n">
        <v>0</v>
      </c>
      <c r="E2702" t="n">
        <v>0</v>
      </c>
      <c r="G2702">
        <f>IF(AND(A2702&gt;=Inputs!$B$5,A2702&lt;=Inputs!$B$6),1,0)</f>
        <v/>
      </c>
    </row>
    <row r="2703">
      <c r="A2703" t="inlineStr">
        <is>
          <t>2026-09</t>
        </is>
      </c>
      <c r="B2703" t="inlineStr">
        <is>
          <t>HOSP-2</t>
        </is>
      </c>
      <c r="C2703" t="inlineStr">
        <is>
          <t>SS-01139</t>
        </is>
      </c>
      <c r="D2703" t="n">
        <v>0</v>
      </c>
      <c r="E2703" t="n">
        <v>0</v>
      </c>
      <c r="G2703">
        <f>IF(AND(A2703&gt;=Inputs!$B$5,A2703&lt;=Inputs!$B$6),1,0)</f>
        <v/>
      </c>
    </row>
    <row r="2704">
      <c r="A2704" t="inlineStr">
        <is>
          <t>2026-09</t>
        </is>
      </c>
      <c r="B2704" t="inlineStr">
        <is>
          <t>HOSP-3</t>
        </is>
      </c>
      <c r="C2704" t="inlineStr">
        <is>
          <t>SS-01148</t>
        </is>
      </c>
      <c r="D2704" t="n">
        <v>24</v>
      </c>
      <c r="E2704" t="n">
        <v>3</v>
      </c>
      <c r="G2704">
        <f>IF(AND(A2704&gt;=Inputs!$B$5,A2704&lt;=Inputs!$B$6),1,0)</f>
        <v/>
      </c>
    </row>
    <row r="2705">
      <c r="A2705" t="inlineStr">
        <is>
          <t>2026-09</t>
        </is>
      </c>
      <c r="B2705" t="inlineStr">
        <is>
          <t>HOSP-4</t>
        </is>
      </c>
      <c r="C2705" t="inlineStr">
        <is>
          <t>SS-01141</t>
        </is>
      </c>
      <c r="D2705" t="n">
        <v>24</v>
      </c>
      <c r="E2705" t="n">
        <v>0</v>
      </c>
      <c r="G2705">
        <f>IF(AND(A2705&gt;=Inputs!$B$5,A2705&lt;=Inputs!$B$6),1,0)</f>
        <v/>
      </c>
    </row>
    <row r="2706">
      <c r="A2706" t="inlineStr">
        <is>
          <t>2026-09</t>
        </is>
      </c>
      <c r="B2706" t="inlineStr">
        <is>
          <t>HOSP-1</t>
        </is>
      </c>
      <c r="C2706" t="inlineStr">
        <is>
          <t>SS-01142</t>
        </is>
      </c>
      <c r="D2706" t="n">
        <v>204</v>
      </c>
      <c r="E2706" t="n">
        <v>0</v>
      </c>
      <c r="G2706">
        <f>IF(AND(A2706&gt;=Inputs!$B$5,A2706&lt;=Inputs!$B$6),1,0)</f>
        <v/>
      </c>
    </row>
    <row r="2707">
      <c r="A2707" t="inlineStr">
        <is>
          <t>2026-09</t>
        </is>
      </c>
      <c r="B2707" t="inlineStr">
        <is>
          <t>HOSP-2</t>
        </is>
      </c>
      <c r="C2707" t="inlineStr">
        <is>
          <t>SS-01143</t>
        </is>
      </c>
      <c r="D2707" t="n">
        <v>12</v>
      </c>
      <c r="E2707" t="n">
        <v>0</v>
      </c>
      <c r="G2707">
        <f>IF(AND(A2707&gt;=Inputs!$B$5,A2707&lt;=Inputs!$B$6),1,0)</f>
        <v/>
      </c>
    </row>
    <row r="2708">
      <c r="A2708" t="inlineStr">
        <is>
          <t>2026-09</t>
        </is>
      </c>
      <c r="B2708" t="inlineStr">
        <is>
          <t>HOSP-3</t>
        </is>
      </c>
      <c r="C2708" t="inlineStr">
        <is>
          <t>SS-01144</t>
        </is>
      </c>
      <c r="D2708" t="n">
        <v>12</v>
      </c>
      <c r="E2708" t="n">
        <v>0</v>
      </c>
      <c r="G2708">
        <f>IF(AND(A2708&gt;=Inputs!$B$5,A2708&lt;=Inputs!$B$6),1,0)</f>
        <v/>
      </c>
    </row>
    <row r="2709">
      <c r="A2709" t="inlineStr">
        <is>
          <t>2026-09</t>
        </is>
      </c>
      <c r="B2709" t="inlineStr">
        <is>
          <t>HOSP-4</t>
        </is>
      </c>
      <c r="C2709" t="inlineStr">
        <is>
          <t>SS-01145</t>
        </is>
      </c>
      <c r="D2709" t="n">
        <v>50</v>
      </c>
      <c r="E2709" t="n">
        <v>1</v>
      </c>
      <c r="G2709">
        <f>IF(AND(A2709&gt;=Inputs!$B$5,A2709&lt;=Inputs!$B$6),1,0)</f>
        <v/>
      </c>
    </row>
    <row r="2710">
      <c r="A2710" t="inlineStr">
        <is>
          <t>2026-09</t>
        </is>
      </c>
      <c r="B2710" t="inlineStr">
        <is>
          <t>HOSP-1</t>
        </is>
      </c>
      <c r="C2710" t="inlineStr">
        <is>
          <t>SS-01146</t>
        </is>
      </c>
      <c r="D2710" t="n">
        <v>0</v>
      </c>
      <c r="E2710" t="n">
        <v>0</v>
      </c>
      <c r="G2710">
        <f>IF(AND(A2710&gt;=Inputs!$B$5,A2710&lt;=Inputs!$B$6),1,0)</f>
        <v/>
      </c>
    </row>
    <row r="2711">
      <c r="A2711" t="inlineStr">
        <is>
          <t>2026-09</t>
        </is>
      </c>
      <c r="B2711" t="inlineStr">
        <is>
          <t>HOSP-2</t>
        </is>
      </c>
      <c r="C2711" t="inlineStr">
        <is>
          <t>SS-01147</t>
        </is>
      </c>
      <c r="D2711" t="n">
        <v>8</v>
      </c>
      <c r="E2711" t="n">
        <v>1</v>
      </c>
      <c r="G2711">
        <f>IF(AND(A2711&gt;=Inputs!$B$5,A2711&lt;=Inputs!$B$6),1,0)</f>
        <v/>
      </c>
    </row>
    <row r="2712">
      <c r="A2712" t="inlineStr">
        <is>
          <t>2026-09</t>
        </is>
      </c>
      <c r="B2712" t="inlineStr">
        <is>
          <t>HOSP-3</t>
        </is>
      </c>
      <c r="C2712" t="inlineStr">
        <is>
          <t>SS-01148</t>
        </is>
      </c>
      <c r="D2712" t="n">
        <v>12</v>
      </c>
      <c r="E2712" t="n">
        <v>0</v>
      </c>
      <c r="G2712">
        <f>IF(AND(A2712&gt;=Inputs!$B$5,A2712&lt;=Inputs!$B$6),1,0)</f>
        <v/>
      </c>
    </row>
    <row r="2713">
      <c r="A2713" t="inlineStr">
        <is>
          <t>2026-09</t>
        </is>
      </c>
      <c r="B2713" t="inlineStr">
        <is>
          <t>HOSP-4</t>
        </is>
      </c>
      <c r="C2713" t="inlineStr">
        <is>
          <t>SS-01149</t>
        </is>
      </c>
      <c r="D2713" t="n">
        <v>24</v>
      </c>
      <c r="E2713" t="n">
        <v>0</v>
      </c>
      <c r="G2713">
        <f>IF(AND(A2713&gt;=Inputs!$B$5,A2713&lt;=Inputs!$B$6),1,0)</f>
        <v/>
      </c>
    </row>
    <row r="2714">
      <c r="A2714" t="inlineStr">
        <is>
          <t>2026-09</t>
        </is>
      </c>
      <c r="B2714" t="inlineStr">
        <is>
          <t>HOSP-1</t>
        </is>
      </c>
      <c r="C2714" t="inlineStr">
        <is>
          <t>SS-01150</t>
        </is>
      </c>
      <c r="D2714" t="n">
        <v>12</v>
      </c>
      <c r="E2714" t="n">
        <v>0</v>
      </c>
      <c r="G2714">
        <f>IF(AND(A2714&gt;=Inputs!$B$5,A2714&lt;=Inputs!$B$6),1,0)</f>
        <v/>
      </c>
    </row>
    <row r="2715">
      <c r="A2715" t="inlineStr">
        <is>
          <t>2026-09</t>
        </is>
      </c>
      <c r="B2715" t="inlineStr">
        <is>
          <t>HOSP-2</t>
        </is>
      </c>
      <c r="C2715" t="inlineStr">
        <is>
          <t>SS-01151</t>
        </is>
      </c>
      <c r="D2715" t="n">
        <v>0</v>
      </c>
      <c r="E2715" t="n">
        <v>0</v>
      </c>
      <c r="G2715">
        <f>IF(AND(A2715&gt;=Inputs!$B$5,A2715&lt;=Inputs!$B$6),1,0)</f>
        <v/>
      </c>
    </row>
    <row r="2716">
      <c r="A2716" t="inlineStr">
        <is>
          <t>2026-09</t>
        </is>
      </c>
      <c r="B2716" t="inlineStr">
        <is>
          <t>HOSP-3</t>
        </is>
      </c>
      <c r="C2716" t="inlineStr">
        <is>
          <t>SS-01094</t>
        </is>
      </c>
      <c r="D2716" t="n">
        <v>21</v>
      </c>
      <c r="E2716" t="n">
        <v>6</v>
      </c>
      <c r="G2716">
        <f>IF(AND(A2716&gt;=Inputs!$B$5,A2716&lt;=Inputs!$B$6),1,0)</f>
        <v/>
      </c>
    </row>
    <row r="2717">
      <c r="A2717" t="inlineStr">
        <is>
          <t>2026-09</t>
        </is>
      </c>
      <c r="B2717" t="inlineStr">
        <is>
          <t>HOSP-4</t>
        </is>
      </c>
      <c r="C2717" t="inlineStr">
        <is>
          <t>SS-01153</t>
        </is>
      </c>
      <c r="D2717" t="n">
        <v>24</v>
      </c>
      <c r="E2717" t="n">
        <v>0</v>
      </c>
      <c r="G2717">
        <f>IF(AND(A2717&gt;=Inputs!$B$5,A2717&lt;=Inputs!$B$6),1,0)</f>
        <v/>
      </c>
    </row>
    <row r="2718">
      <c r="A2718" t="inlineStr">
        <is>
          <t>2026-09</t>
        </is>
      </c>
      <c r="B2718" t="inlineStr">
        <is>
          <t>HOSP-1</t>
        </is>
      </c>
      <c r="C2718" t="inlineStr">
        <is>
          <t>SS-01154</t>
        </is>
      </c>
      <c r="D2718" t="n">
        <v>72</v>
      </c>
      <c r="E2718" t="n">
        <v>0</v>
      </c>
      <c r="G2718">
        <f>IF(AND(A2718&gt;=Inputs!$B$5,A2718&lt;=Inputs!$B$6),1,0)</f>
        <v/>
      </c>
    </row>
    <row r="2719">
      <c r="A2719" t="inlineStr">
        <is>
          <t>2026-09</t>
        </is>
      </c>
      <c r="B2719" t="inlineStr">
        <is>
          <t>HOSP-2</t>
        </is>
      </c>
      <c r="C2719" t="inlineStr">
        <is>
          <t>SS-01155</t>
        </is>
      </c>
      <c r="D2719" t="n">
        <v>12</v>
      </c>
      <c r="E2719" t="n">
        <v>0</v>
      </c>
      <c r="G2719">
        <f>IF(AND(A2719&gt;=Inputs!$B$5,A2719&lt;=Inputs!$B$6),1,0)</f>
        <v/>
      </c>
    </row>
    <row r="2720">
      <c r="A2720" t="inlineStr">
        <is>
          <t>2026-09</t>
        </is>
      </c>
      <c r="B2720" t="inlineStr">
        <is>
          <t>HOSP-3</t>
        </is>
      </c>
      <c r="C2720" t="inlineStr">
        <is>
          <t>SS-01156</t>
        </is>
      </c>
      <c r="D2720" t="n">
        <v>0</v>
      </c>
      <c r="E2720" t="n">
        <v>0</v>
      </c>
      <c r="G2720">
        <f>IF(AND(A2720&gt;=Inputs!$B$5,A2720&lt;=Inputs!$B$6),1,0)</f>
        <v/>
      </c>
    </row>
    <row r="2721">
      <c r="A2721" t="inlineStr">
        <is>
          <t>2026-09</t>
        </is>
      </c>
      <c r="B2721" t="inlineStr">
        <is>
          <t>HOSP-4</t>
        </is>
      </c>
      <c r="C2721" t="inlineStr">
        <is>
          <t>SS-01157</t>
        </is>
      </c>
      <c r="D2721" t="n">
        <v>12</v>
      </c>
      <c r="E2721" t="n">
        <v>0</v>
      </c>
      <c r="G2721">
        <f>IF(AND(A2721&gt;=Inputs!$B$5,A2721&lt;=Inputs!$B$6),1,0)</f>
        <v/>
      </c>
    </row>
    <row r="2722">
      <c r="A2722" t="inlineStr">
        <is>
          <t>2026-09</t>
        </is>
      </c>
      <c r="B2722" t="inlineStr">
        <is>
          <t>HOSP-1</t>
        </is>
      </c>
      <c r="C2722" t="inlineStr">
        <is>
          <t>SS-01158</t>
        </is>
      </c>
      <c r="D2722" t="n">
        <v>1</v>
      </c>
      <c r="E2722" t="n">
        <v>2</v>
      </c>
      <c r="G2722">
        <f>IF(AND(A2722&gt;=Inputs!$B$5,A2722&lt;=Inputs!$B$6),1,0)</f>
        <v/>
      </c>
    </row>
    <row r="2723">
      <c r="A2723" t="inlineStr">
        <is>
          <t>2026-09</t>
        </is>
      </c>
      <c r="B2723" t="inlineStr">
        <is>
          <t>HOSP-2</t>
        </is>
      </c>
      <c r="C2723" t="inlineStr">
        <is>
          <t>SS-01159</t>
        </is>
      </c>
      <c r="D2723" t="n">
        <v>18</v>
      </c>
      <c r="E2723" t="n">
        <v>2</v>
      </c>
      <c r="G2723">
        <f>IF(AND(A2723&gt;=Inputs!$B$5,A2723&lt;=Inputs!$B$6),1,0)</f>
        <v/>
      </c>
    </row>
    <row r="2724">
      <c r="A2724" t="inlineStr">
        <is>
          <t>2026-09</t>
        </is>
      </c>
      <c r="B2724" t="inlineStr">
        <is>
          <t>HOSP-3</t>
        </is>
      </c>
      <c r="C2724" t="inlineStr">
        <is>
          <t>SS-01160</t>
        </is>
      </c>
      <c r="D2724" t="n">
        <v>12</v>
      </c>
      <c r="E2724" t="n">
        <v>0</v>
      </c>
      <c r="G2724">
        <f>IF(AND(A2724&gt;=Inputs!$B$5,A2724&lt;=Inputs!$B$6),1,0)</f>
        <v/>
      </c>
    </row>
    <row r="2725">
      <c r="A2725" t="inlineStr">
        <is>
          <t>2026-09</t>
        </is>
      </c>
      <c r="B2725" t="inlineStr">
        <is>
          <t>HOSP-4</t>
        </is>
      </c>
      <c r="C2725" t="inlineStr">
        <is>
          <t>SS-01161</t>
        </is>
      </c>
      <c r="D2725" t="n">
        <v>24</v>
      </c>
      <c r="E2725" t="n">
        <v>0</v>
      </c>
      <c r="G2725">
        <f>IF(AND(A2725&gt;=Inputs!$B$5,A2725&lt;=Inputs!$B$6),1,0)</f>
        <v/>
      </c>
    </row>
    <row r="2726">
      <c r="A2726" t="inlineStr">
        <is>
          <t>2026-09</t>
        </is>
      </c>
      <c r="B2726" t="inlineStr">
        <is>
          <t>HOSP-1</t>
        </is>
      </c>
      <c r="C2726" t="inlineStr">
        <is>
          <t>SS-01162</t>
        </is>
      </c>
      <c r="D2726" t="n">
        <v>24</v>
      </c>
      <c r="E2726" t="n">
        <v>0</v>
      </c>
      <c r="G2726">
        <f>IF(AND(A2726&gt;=Inputs!$B$5,A2726&lt;=Inputs!$B$6),1,0)</f>
        <v/>
      </c>
    </row>
    <row r="2727">
      <c r="A2727" t="inlineStr">
        <is>
          <t>2026-09</t>
        </is>
      </c>
      <c r="B2727" t="inlineStr">
        <is>
          <t>HOSP-2</t>
        </is>
      </c>
      <c r="C2727" t="inlineStr">
        <is>
          <t>SS-01163</t>
        </is>
      </c>
      <c r="D2727" t="n">
        <v>12</v>
      </c>
      <c r="E2727" t="n">
        <v>0</v>
      </c>
      <c r="G2727">
        <f>IF(AND(A2727&gt;=Inputs!$B$5,A2727&lt;=Inputs!$B$6),1,0)</f>
        <v/>
      </c>
    </row>
    <row r="2728">
      <c r="A2728" t="inlineStr">
        <is>
          <t>2026-09</t>
        </is>
      </c>
      <c r="B2728" t="inlineStr">
        <is>
          <t>HOSP-3</t>
        </is>
      </c>
      <c r="C2728" t="inlineStr">
        <is>
          <t>SS-01164</t>
        </is>
      </c>
      <c r="D2728" t="n">
        <v>24</v>
      </c>
      <c r="E2728" t="n">
        <v>0</v>
      </c>
      <c r="G2728">
        <f>IF(AND(A2728&gt;=Inputs!$B$5,A2728&lt;=Inputs!$B$6),1,0)</f>
        <v/>
      </c>
    </row>
    <row r="2729">
      <c r="A2729" t="inlineStr">
        <is>
          <t>2026-09</t>
        </is>
      </c>
      <c r="B2729" t="inlineStr">
        <is>
          <t>HOSP-4</t>
        </is>
      </c>
      <c r="C2729" t="inlineStr">
        <is>
          <t>SS-01165</t>
        </is>
      </c>
      <c r="D2729" t="n">
        <v>3</v>
      </c>
      <c r="E2729" t="n">
        <v>2</v>
      </c>
      <c r="G2729">
        <f>IF(AND(A2729&gt;=Inputs!$B$5,A2729&lt;=Inputs!$B$6),1,0)</f>
        <v/>
      </c>
    </row>
    <row r="2730">
      <c r="A2730" t="inlineStr">
        <is>
          <t>2026-09</t>
        </is>
      </c>
      <c r="B2730" t="inlineStr">
        <is>
          <t>HOSP-1</t>
        </is>
      </c>
      <c r="C2730" t="inlineStr">
        <is>
          <t>SS-01166</t>
        </is>
      </c>
      <c r="D2730" t="n">
        <v>15</v>
      </c>
      <c r="E2730" t="n">
        <v>1</v>
      </c>
      <c r="G2730">
        <f>IF(AND(A2730&gt;=Inputs!$B$5,A2730&lt;=Inputs!$B$6),1,0)</f>
        <v/>
      </c>
    </row>
    <row r="2731">
      <c r="A2731" t="inlineStr">
        <is>
          <t>2026-09</t>
        </is>
      </c>
      <c r="B2731" t="inlineStr">
        <is>
          <t>HOSP-2</t>
        </is>
      </c>
      <c r="C2731" t="inlineStr">
        <is>
          <t>SS-01167</t>
        </is>
      </c>
      <c r="D2731" t="n">
        <v>37</v>
      </c>
      <c r="E2731" t="n">
        <v>0</v>
      </c>
      <c r="G2731">
        <f>IF(AND(A2731&gt;=Inputs!$B$5,A2731&lt;=Inputs!$B$6),1,0)</f>
        <v/>
      </c>
    </row>
    <row r="2732">
      <c r="A2732" t="inlineStr">
        <is>
          <t>2026-09</t>
        </is>
      </c>
      <c r="B2732" t="inlineStr">
        <is>
          <t>HOSP-3</t>
        </is>
      </c>
      <c r="C2732" t="inlineStr">
        <is>
          <t>SS-01168</t>
        </is>
      </c>
      <c r="D2732" t="n">
        <v>0</v>
      </c>
      <c r="E2732" t="n">
        <v>0</v>
      </c>
      <c r="G2732">
        <f>IF(AND(A2732&gt;=Inputs!$B$5,A2732&lt;=Inputs!$B$6),1,0)</f>
        <v/>
      </c>
    </row>
    <row r="2733">
      <c r="A2733" t="inlineStr">
        <is>
          <t>2026-09</t>
        </is>
      </c>
      <c r="B2733" t="inlineStr">
        <is>
          <t>HOSP-4</t>
        </is>
      </c>
      <c r="C2733" t="inlineStr">
        <is>
          <t>SS-01169</t>
        </is>
      </c>
      <c r="D2733" t="n">
        <v>0</v>
      </c>
      <c r="E2733" t="n">
        <v>1</v>
      </c>
      <c r="G2733">
        <f>IF(AND(A2733&gt;=Inputs!$B$5,A2733&lt;=Inputs!$B$6),1,0)</f>
        <v/>
      </c>
    </row>
    <row r="2734">
      <c r="A2734" t="inlineStr">
        <is>
          <t>2026-09</t>
        </is>
      </c>
      <c r="B2734" t="inlineStr">
        <is>
          <t>HOSP-1</t>
        </is>
      </c>
      <c r="C2734" t="inlineStr">
        <is>
          <t>SS-01170</t>
        </is>
      </c>
      <c r="D2734" t="n">
        <v>24</v>
      </c>
      <c r="E2734" t="n">
        <v>1</v>
      </c>
      <c r="G2734">
        <f>IF(AND(A2734&gt;=Inputs!$B$5,A2734&lt;=Inputs!$B$6),1,0)</f>
        <v/>
      </c>
    </row>
    <row r="2735">
      <c r="A2735" t="inlineStr">
        <is>
          <t>2026-09</t>
        </is>
      </c>
      <c r="B2735" t="inlineStr">
        <is>
          <t>HOSP-2</t>
        </is>
      </c>
      <c r="C2735" t="inlineStr">
        <is>
          <t>SS-01165</t>
        </is>
      </c>
      <c r="D2735" t="n">
        <v>0</v>
      </c>
      <c r="E2735" t="n">
        <v>0</v>
      </c>
      <c r="G2735">
        <f>IF(AND(A2735&gt;=Inputs!$B$5,A2735&lt;=Inputs!$B$6),1,0)</f>
        <v/>
      </c>
    </row>
    <row r="2736">
      <c r="A2736" t="inlineStr">
        <is>
          <t>2026-09</t>
        </is>
      </c>
      <c r="B2736" t="inlineStr">
        <is>
          <t>HOSP-3</t>
        </is>
      </c>
      <c r="C2736" t="inlineStr">
        <is>
          <t>SS-01098</t>
        </is>
      </c>
      <c r="D2736" t="n">
        <v>51</v>
      </c>
      <c r="E2736" t="n">
        <v>1</v>
      </c>
      <c r="G2736">
        <f>IF(AND(A2736&gt;=Inputs!$B$5,A2736&lt;=Inputs!$B$6),1,0)</f>
        <v/>
      </c>
    </row>
    <row r="2737">
      <c r="A2737" t="inlineStr">
        <is>
          <t>2026-09</t>
        </is>
      </c>
      <c r="B2737" t="inlineStr">
        <is>
          <t>HOSP-4</t>
        </is>
      </c>
      <c r="C2737" t="inlineStr">
        <is>
          <t>SS-01173</t>
        </is>
      </c>
      <c r="D2737" t="n">
        <v>24</v>
      </c>
      <c r="E2737" t="n">
        <v>0</v>
      </c>
      <c r="G2737">
        <f>IF(AND(A2737&gt;=Inputs!$B$5,A2737&lt;=Inputs!$B$6),1,0)</f>
        <v/>
      </c>
    </row>
    <row r="2738">
      <c r="A2738" t="inlineStr">
        <is>
          <t>2026-09</t>
        </is>
      </c>
      <c r="B2738" t="inlineStr">
        <is>
          <t>HOSP-1</t>
        </is>
      </c>
      <c r="C2738" t="inlineStr">
        <is>
          <t>SS-01174</t>
        </is>
      </c>
      <c r="D2738" t="n">
        <v>12</v>
      </c>
      <c r="E2738" t="n">
        <v>0</v>
      </c>
      <c r="G2738">
        <f>IF(AND(A2738&gt;=Inputs!$B$5,A2738&lt;=Inputs!$B$6),1,0)</f>
        <v/>
      </c>
    </row>
    <row r="2739">
      <c r="A2739" t="inlineStr">
        <is>
          <t>2026-09</t>
        </is>
      </c>
      <c r="B2739" t="inlineStr">
        <is>
          <t>HOSP-2</t>
        </is>
      </c>
      <c r="C2739" t="inlineStr">
        <is>
          <t>SS-01175</t>
        </is>
      </c>
      <c r="D2739" t="n">
        <v>12</v>
      </c>
      <c r="E2739" t="n">
        <v>0</v>
      </c>
      <c r="G2739">
        <f>IF(AND(A2739&gt;=Inputs!$B$5,A2739&lt;=Inputs!$B$6),1,0)</f>
        <v/>
      </c>
    </row>
    <row r="2740">
      <c r="A2740" t="inlineStr">
        <is>
          <t>2026-09</t>
        </is>
      </c>
      <c r="B2740" t="inlineStr">
        <is>
          <t>HOSP-3</t>
        </is>
      </c>
      <c r="C2740" t="inlineStr">
        <is>
          <t>SS-01176</t>
        </is>
      </c>
      <c r="D2740" t="n">
        <v>24</v>
      </c>
      <c r="E2740" t="n">
        <v>0</v>
      </c>
      <c r="G2740">
        <f>IF(AND(A2740&gt;=Inputs!$B$5,A2740&lt;=Inputs!$B$6),1,0)</f>
        <v/>
      </c>
    </row>
    <row r="2741">
      <c r="A2741" t="inlineStr">
        <is>
          <t>2026-09</t>
        </is>
      </c>
      <c r="B2741" t="inlineStr">
        <is>
          <t>HOSP-4</t>
        </is>
      </c>
      <c r="C2741" t="inlineStr">
        <is>
          <t>SS-01177</t>
        </is>
      </c>
      <c r="D2741" t="n">
        <v>30</v>
      </c>
      <c r="E2741" t="n">
        <v>0</v>
      </c>
      <c r="G2741">
        <f>IF(AND(A2741&gt;=Inputs!$B$5,A2741&lt;=Inputs!$B$6),1,0)</f>
        <v/>
      </c>
    </row>
    <row r="2742">
      <c r="A2742" t="inlineStr">
        <is>
          <t>2026-09</t>
        </is>
      </c>
      <c r="B2742" t="inlineStr">
        <is>
          <t>HOSP-1</t>
        </is>
      </c>
      <c r="C2742" t="inlineStr">
        <is>
          <t>SS-01178</t>
        </is>
      </c>
      <c r="D2742" t="n">
        <v>24</v>
      </c>
      <c r="E2742" t="n">
        <v>0</v>
      </c>
      <c r="G2742">
        <f>IF(AND(A2742&gt;=Inputs!$B$5,A2742&lt;=Inputs!$B$6),1,0)</f>
        <v/>
      </c>
    </row>
    <row r="2743">
      <c r="A2743" t="inlineStr">
        <is>
          <t>2026-09</t>
        </is>
      </c>
      <c r="B2743" t="inlineStr">
        <is>
          <t>HOSP-2</t>
        </is>
      </c>
      <c r="C2743" t="inlineStr">
        <is>
          <t>SS-01179</t>
        </is>
      </c>
      <c r="D2743" t="n">
        <v>12</v>
      </c>
      <c r="E2743" t="n">
        <v>0</v>
      </c>
      <c r="G2743">
        <f>IF(AND(A2743&gt;=Inputs!$B$5,A2743&lt;=Inputs!$B$6),1,0)</f>
        <v/>
      </c>
    </row>
    <row r="2744">
      <c r="A2744" t="inlineStr">
        <is>
          <t>2026-09</t>
        </is>
      </c>
      <c r="B2744" t="inlineStr">
        <is>
          <t>HOSP-3</t>
        </is>
      </c>
      <c r="C2744" t="inlineStr">
        <is>
          <t>SS-01180</t>
        </is>
      </c>
      <c r="D2744" t="n">
        <v>157</v>
      </c>
      <c r="E2744" t="n">
        <v>0</v>
      </c>
      <c r="G2744">
        <f>IF(AND(A2744&gt;=Inputs!$B$5,A2744&lt;=Inputs!$B$6),1,0)</f>
        <v/>
      </c>
    </row>
    <row r="2745">
      <c r="A2745" t="inlineStr">
        <is>
          <t>2026-09</t>
        </is>
      </c>
      <c r="B2745" t="inlineStr">
        <is>
          <t>HOSP-4</t>
        </is>
      </c>
      <c r="C2745" t="inlineStr">
        <is>
          <t>SS-01181</t>
        </is>
      </c>
      <c r="D2745" t="n">
        <v>0</v>
      </c>
      <c r="E2745" t="n">
        <v>0</v>
      </c>
      <c r="G2745">
        <f>IF(AND(A2745&gt;=Inputs!$B$5,A2745&lt;=Inputs!$B$6),1,0)</f>
        <v/>
      </c>
    </row>
    <row r="2746">
      <c r="A2746" t="inlineStr">
        <is>
          <t>2026-09</t>
        </is>
      </c>
      <c r="B2746" t="inlineStr">
        <is>
          <t>HOSP-1</t>
        </is>
      </c>
      <c r="C2746" t="inlineStr">
        <is>
          <t>SS-01182</t>
        </is>
      </c>
      <c r="D2746" t="n">
        <v>12</v>
      </c>
      <c r="E2746" t="n">
        <v>0</v>
      </c>
      <c r="G2746">
        <f>IF(AND(A2746&gt;=Inputs!$B$5,A2746&lt;=Inputs!$B$6),1,0)</f>
        <v/>
      </c>
    </row>
    <row r="2747">
      <c r="A2747" t="inlineStr">
        <is>
          <t>2026-09</t>
        </is>
      </c>
      <c r="B2747" t="inlineStr">
        <is>
          <t>HOSP-2</t>
        </is>
      </c>
      <c r="C2747" t="inlineStr">
        <is>
          <t>SS-01183</t>
        </is>
      </c>
      <c r="D2747" t="n">
        <v>0</v>
      </c>
      <c r="E2747" t="n">
        <v>0</v>
      </c>
      <c r="G2747">
        <f>IF(AND(A2747&gt;=Inputs!$B$5,A2747&lt;=Inputs!$B$6),1,0)</f>
        <v/>
      </c>
    </row>
    <row r="2748">
      <c r="A2748" t="inlineStr">
        <is>
          <t>2026-09</t>
        </is>
      </c>
      <c r="B2748" t="inlineStr">
        <is>
          <t>HOSP-3</t>
        </is>
      </c>
      <c r="C2748" t="inlineStr">
        <is>
          <t>SS-01184</t>
        </is>
      </c>
      <c r="D2748" t="n">
        <v>0</v>
      </c>
      <c r="E2748" t="n">
        <v>0</v>
      </c>
      <c r="G2748">
        <f>IF(AND(A2748&gt;=Inputs!$B$5,A2748&lt;=Inputs!$B$6),1,0)</f>
        <v/>
      </c>
    </row>
    <row r="2749">
      <c r="A2749" t="inlineStr">
        <is>
          <t>2026-09</t>
        </is>
      </c>
      <c r="B2749" t="inlineStr">
        <is>
          <t>HOSP-4</t>
        </is>
      </c>
      <c r="C2749" t="inlineStr">
        <is>
          <t>SS-01185</t>
        </is>
      </c>
      <c r="D2749" t="n">
        <v>60</v>
      </c>
      <c r="E2749" t="n">
        <v>0</v>
      </c>
      <c r="G2749">
        <f>IF(AND(A2749&gt;=Inputs!$B$5,A2749&lt;=Inputs!$B$6),1,0)</f>
        <v/>
      </c>
    </row>
    <row r="2750">
      <c r="A2750" t="inlineStr">
        <is>
          <t>2026-09</t>
        </is>
      </c>
      <c r="B2750" t="inlineStr">
        <is>
          <t>HOSP-1</t>
        </is>
      </c>
      <c r="C2750" t="inlineStr">
        <is>
          <t>SS-01186</t>
        </is>
      </c>
      <c r="D2750" t="n">
        <v>4</v>
      </c>
      <c r="E2750" t="n">
        <v>1</v>
      </c>
      <c r="G2750">
        <f>IF(AND(A2750&gt;=Inputs!$B$5,A2750&lt;=Inputs!$B$6),1,0)</f>
        <v/>
      </c>
    </row>
    <row r="2751">
      <c r="A2751" t="inlineStr">
        <is>
          <t>2026-09</t>
        </is>
      </c>
      <c r="B2751" t="inlineStr">
        <is>
          <t>HOSP-2</t>
        </is>
      </c>
      <c r="C2751" t="inlineStr">
        <is>
          <t>SS-01187</t>
        </is>
      </c>
      <c r="D2751" t="n">
        <v>24</v>
      </c>
      <c r="E2751" t="n">
        <v>0</v>
      </c>
      <c r="G2751">
        <f>IF(AND(A2751&gt;=Inputs!$B$5,A2751&lt;=Inputs!$B$6),1,0)</f>
        <v/>
      </c>
    </row>
    <row r="2752">
      <c r="A2752" t="inlineStr">
        <is>
          <t>2026-09</t>
        </is>
      </c>
      <c r="B2752" t="inlineStr">
        <is>
          <t>HOSP-3</t>
        </is>
      </c>
      <c r="C2752" t="inlineStr">
        <is>
          <t>SS-01188</t>
        </is>
      </c>
      <c r="D2752" t="n">
        <v>12</v>
      </c>
      <c r="E2752" t="n">
        <v>0</v>
      </c>
      <c r="G2752">
        <f>IF(AND(A2752&gt;=Inputs!$B$5,A2752&lt;=Inputs!$B$6),1,0)</f>
        <v/>
      </c>
    </row>
    <row r="2753">
      <c r="A2753" t="inlineStr">
        <is>
          <t>2026-09</t>
        </is>
      </c>
      <c r="B2753" t="inlineStr">
        <is>
          <t>HOSP-4</t>
        </is>
      </c>
      <c r="C2753" t="inlineStr">
        <is>
          <t>SS-01189</t>
        </is>
      </c>
      <c r="D2753" t="n">
        <v>12</v>
      </c>
      <c r="E2753" t="n">
        <v>0</v>
      </c>
      <c r="G2753">
        <f>IF(AND(A2753&gt;=Inputs!$B$5,A2753&lt;=Inputs!$B$6),1,0)</f>
        <v/>
      </c>
    </row>
    <row r="2754">
      <c r="A2754" t="inlineStr">
        <is>
          <t>2026-09</t>
        </is>
      </c>
      <c r="B2754" t="inlineStr">
        <is>
          <t>HOSP-1</t>
        </is>
      </c>
      <c r="C2754" t="inlineStr">
        <is>
          <t>SS-01190</t>
        </is>
      </c>
      <c r="D2754" t="n">
        <v>0</v>
      </c>
      <c r="E2754" t="n">
        <v>0</v>
      </c>
      <c r="G2754">
        <f>IF(AND(A2754&gt;=Inputs!$B$5,A2754&lt;=Inputs!$B$6),1,0)</f>
        <v/>
      </c>
    </row>
    <row r="2755">
      <c r="A2755" t="inlineStr">
        <is>
          <t>2026-09</t>
        </is>
      </c>
      <c r="B2755" t="inlineStr">
        <is>
          <t>HOSP-2</t>
        </is>
      </c>
      <c r="C2755" t="inlineStr">
        <is>
          <t>SS-01191</t>
        </is>
      </c>
      <c r="D2755" t="n">
        <v>62</v>
      </c>
      <c r="E2755" t="n">
        <v>4</v>
      </c>
      <c r="G2755">
        <f>IF(AND(A2755&gt;=Inputs!$B$5,A2755&lt;=Inputs!$B$6),1,0)</f>
        <v/>
      </c>
    </row>
    <row r="2756">
      <c r="A2756" t="inlineStr">
        <is>
          <t>2026-09</t>
        </is>
      </c>
      <c r="B2756" t="inlineStr">
        <is>
          <t>HOSP-3</t>
        </is>
      </c>
      <c r="C2756" t="inlineStr">
        <is>
          <t>SS-01192</t>
        </is>
      </c>
      <c r="D2756" t="n">
        <v>360</v>
      </c>
      <c r="E2756" t="n">
        <v>0</v>
      </c>
      <c r="G2756">
        <f>IF(AND(A2756&gt;=Inputs!$B$5,A2756&lt;=Inputs!$B$6),1,0)</f>
        <v/>
      </c>
    </row>
    <row r="2757">
      <c r="A2757" t="inlineStr">
        <is>
          <t>2026-09</t>
        </is>
      </c>
      <c r="B2757" t="inlineStr">
        <is>
          <t>HOSP-4</t>
        </is>
      </c>
      <c r="C2757" t="inlineStr">
        <is>
          <t>SS-01193</t>
        </is>
      </c>
      <c r="D2757" t="n">
        <v>12</v>
      </c>
      <c r="E2757" t="n">
        <v>0</v>
      </c>
      <c r="G2757">
        <f>IF(AND(A2757&gt;=Inputs!$B$5,A2757&lt;=Inputs!$B$6),1,0)</f>
        <v/>
      </c>
    </row>
    <row r="2758">
      <c r="A2758" t="inlineStr">
        <is>
          <t>2026-09</t>
        </is>
      </c>
      <c r="B2758" t="inlineStr">
        <is>
          <t>HOSP-1</t>
        </is>
      </c>
      <c r="C2758" t="inlineStr">
        <is>
          <t>SS-01194</t>
        </is>
      </c>
      <c r="D2758" t="n">
        <v>180</v>
      </c>
      <c r="E2758" t="n">
        <v>0</v>
      </c>
      <c r="G2758">
        <f>IF(AND(A2758&gt;=Inputs!$B$5,A2758&lt;=Inputs!$B$6),1,0)</f>
        <v/>
      </c>
    </row>
    <row r="2759">
      <c r="A2759" t="inlineStr">
        <is>
          <t>2026-09</t>
        </is>
      </c>
      <c r="B2759" t="inlineStr">
        <is>
          <t>HOSP-2</t>
        </is>
      </c>
      <c r="C2759" t="inlineStr">
        <is>
          <t>SS-01195</t>
        </is>
      </c>
      <c r="D2759" t="n">
        <v>12</v>
      </c>
      <c r="E2759" t="n">
        <v>0</v>
      </c>
      <c r="G2759">
        <f>IF(AND(A2759&gt;=Inputs!$B$5,A2759&lt;=Inputs!$B$6),1,0)</f>
        <v/>
      </c>
    </row>
    <row r="2760">
      <c r="A2760" t="inlineStr">
        <is>
          <t>2026-09</t>
        </is>
      </c>
      <c r="B2760" t="inlineStr">
        <is>
          <t>HOSP-3</t>
        </is>
      </c>
      <c r="C2760" t="inlineStr">
        <is>
          <t>SS-01196</t>
        </is>
      </c>
      <c r="D2760" t="n">
        <v>12</v>
      </c>
      <c r="E2760" t="n">
        <v>0</v>
      </c>
      <c r="G2760">
        <f>IF(AND(A2760&gt;=Inputs!$B$5,A2760&lt;=Inputs!$B$6),1,0)</f>
        <v/>
      </c>
    </row>
    <row r="2761">
      <c r="A2761" t="inlineStr">
        <is>
          <t>2026-09</t>
        </is>
      </c>
      <c r="B2761" t="inlineStr">
        <is>
          <t>HOSP-4</t>
        </is>
      </c>
      <c r="C2761" t="inlineStr">
        <is>
          <t>SS-01197</t>
        </is>
      </c>
      <c r="D2761" t="n">
        <v>36</v>
      </c>
      <c r="E2761" t="n">
        <v>0</v>
      </c>
      <c r="G2761">
        <f>IF(AND(A2761&gt;=Inputs!$B$5,A2761&lt;=Inputs!$B$6),1,0)</f>
        <v/>
      </c>
    </row>
    <row r="2762">
      <c r="A2762" t="inlineStr">
        <is>
          <t>2026-09</t>
        </is>
      </c>
      <c r="B2762" t="inlineStr">
        <is>
          <t>HOSP-1</t>
        </is>
      </c>
      <c r="C2762" t="inlineStr">
        <is>
          <t>SS-01198</t>
        </is>
      </c>
      <c r="D2762" t="n">
        <v>24</v>
      </c>
      <c r="E2762" t="n">
        <v>0</v>
      </c>
      <c r="G2762">
        <f>IF(AND(A2762&gt;=Inputs!$B$5,A2762&lt;=Inputs!$B$6),1,0)</f>
        <v/>
      </c>
    </row>
    <row r="2763">
      <c r="A2763" t="inlineStr">
        <is>
          <t>2026-09</t>
        </is>
      </c>
      <c r="B2763" t="inlineStr">
        <is>
          <t>HOSP-2</t>
        </is>
      </c>
      <c r="C2763" t="inlineStr">
        <is>
          <t>SS-01199</t>
        </is>
      </c>
      <c r="D2763" t="n">
        <v>12</v>
      </c>
      <c r="E2763" t="n">
        <v>0</v>
      </c>
      <c r="G2763">
        <f>IF(AND(A2763&gt;=Inputs!$B$5,A2763&lt;=Inputs!$B$6),1,0)</f>
        <v/>
      </c>
    </row>
    <row r="2764">
      <c r="A2764" t="inlineStr">
        <is>
          <t>2026-09</t>
        </is>
      </c>
      <c r="B2764" t="inlineStr">
        <is>
          <t>HOSP-3</t>
        </is>
      </c>
      <c r="C2764" t="inlineStr">
        <is>
          <t>SS-01200</t>
        </is>
      </c>
      <c r="D2764" t="n">
        <v>0</v>
      </c>
      <c r="E2764" t="n">
        <v>0</v>
      </c>
      <c r="G2764">
        <f>IF(AND(A2764&gt;=Inputs!$B$5,A2764&lt;=Inputs!$B$6),1,0)</f>
        <v/>
      </c>
    </row>
    <row r="2765">
      <c r="A2765" t="inlineStr">
        <is>
          <t>2026-09</t>
        </is>
      </c>
      <c r="B2765" t="inlineStr">
        <is>
          <t>HOSP-4</t>
        </is>
      </c>
      <c r="C2765" t="inlineStr">
        <is>
          <t>SS-01201</t>
        </is>
      </c>
      <c r="D2765" t="n">
        <v>36</v>
      </c>
      <c r="E2765" t="n">
        <v>0</v>
      </c>
      <c r="G2765">
        <f>IF(AND(A2765&gt;=Inputs!$B$5,A2765&lt;=Inputs!$B$6),1,0)</f>
        <v/>
      </c>
    </row>
    <row r="2766">
      <c r="A2766" t="inlineStr">
        <is>
          <t>2026-09</t>
        </is>
      </c>
      <c r="B2766" t="inlineStr">
        <is>
          <t>HOSP-1</t>
        </is>
      </c>
      <c r="C2766" t="inlineStr">
        <is>
          <t>SS-01202</t>
        </is>
      </c>
      <c r="D2766" t="n">
        <v>0</v>
      </c>
      <c r="E2766" t="n">
        <v>0</v>
      </c>
      <c r="G2766">
        <f>IF(AND(A2766&gt;=Inputs!$B$5,A2766&lt;=Inputs!$B$6),1,0)</f>
        <v/>
      </c>
    </row>
    <row r="2767">
      <c r="A2767" t="inlineStr">
        <is>
          <t>2026-09</t>
        </is>
      </c>
      <c r="B2767" t="inlineStr">
        <is>
          <t>HOSP-2</t>
        </is>
      </c>
      <c r="C2767" t="inlineStr">
        <is>
          <t>SS-01203</t>
        </is>
      </c>
      <c r="D2767" t="n">
        <v>12</v>
      </c>
      <c r="E2767" t="n">
        <v>0</v>
      </c>
      <c r="G2767">
        <f>IF(AND(A2767&gt;=Inputs!$B$5,A2767&lt;=Inputs!$B$6),1,0)</f>
        <v/>
      </c>
    </row>
    <row r="2768">
      <c r="A2768" t="inlineStr">
        <is>
          <t>2026-09</t>
        </is>
      </c>
      <c r="B2768" t="inlineStr">
        <is>
          <t>HOSP-3</t>
        </is>
      </c>
      <c r="C2768" t="inlineStr">
        <is>
          <t>SS-01204</t>
        </is>
      </c>
      <c r="D2768" t="n">
        <v>6</v>
      </c>
      <c r="E2768" t="n">
        <v>2</v>
      </c>
      <c r="G2768">
        <f>IF(AND(A2768&gt;=Inputs!$B$5,A2768&lt;=Inputs!$B$6),1,0)</f>
        <v/>
      </c>
    </row>
    <row r="2769">
      <c r="A2769" t="inlineStr">
        <is>
          <t>2026-09</t>
        </is>
      </c>
      <c r="B2769" t="inlineStr">
        <is>
          <t>HOSP-4</t>
        </is>
      </c>
      <c r="C2769" t="inlineStr">
        <is>
          <t>SS-01205</t>
        </is>
      </c>
      <c r="D2769" t="n">
        <v>144</v>
      </c>
      <c r="E2769" t="n">
        <v>0</v>
      </c>
      <c r="G2769">
        <f>IF(AND(A2769&gt;=Inputs!$B$5,A2769&lt;=Inputs!$B$6),1,0)</f>
        <v/>
      </c>
    </row>
    <row r="2770">
      <c r="A2770" t="inlineStr">
        <is>
          <t>2026-09</t>
        </is>
      </c>
      <c r="B2770" t="inlineStr">
        <is>
          <t>HOSP-1</t>
        </is>
      </c>
      <c r="C2770" t="inlineStr">
        <is>
          <t>SS-01206</t>
        </is>
      </c>
      <c r="D2770" t="n">
        <v>144</v>
      </c>
      <c r="E2770" t="n">
        <v>0</v>
      </c>
      <c r="F2770" t="inlineStr">
        <is>
          <t>surge</t>
        </is>
      </c>
      <c r="G2770">
        <f>IF(AND(A2770&gt;=Inputs!$B$5,A2770&lt;=Inputs!$B$6),1,0)</f>
        <v/>
      </c>
    </row>
    <row r="2771">
      <c r="A2771" t="inlineStr">
        <is>
          <t>2026-09</t>
        </is>
      </c>
      <c r="B2771" t="inlineStr">
        <is>
          <t>HOSP-2</t>
        </is>
      </c>
      <c r="C2771" t="inlineStr">
        <is>
          <t>SS-01207</t>
        </is>
      </c>
      <c r="D2771" t="n">
        <v>36</v>
      </c>
      <c r="E2771" t="n">
        <v>0</v>
      </c>
      <c r="G2771">
        <f>IF(AND(A2771&gt;=Inputs!$B$5,A2771&lt;=Inputs!$B$6),1,0)</f>
        <v/>
      </c>
    </row>
    <row r="2772">
      <c r="A2772" t="inlineStr">
        <is>
          <t>2026-09</t>
        </is>
      </c>
      <c r="B2772" t="inlineStr">
        <is>
          <t>HOSP-3</t>
        </is>
      </c>
      <c r="C2772" t="inlineStr">
        <is>
          <t>SS-01208</t>
        </is>
      </c>
      <c r="D2772" t="n">
        <v>0</v>
      </c>
      <c r="E2772" t="n">
        <v>0</v>
      </c>
      <c r="G2772">
        <f>IF(AND(A2772&gt;=Inputs!$B$5,A2772&lt;=Inputs!$B$6),1,0)</f>
        <v/>
      </c>
    </row>
    <row r="2773">
      <c r="A2773" t="inlineStr">
        <is>
          <t>2026-09</t>
        </is>
      </c>
      <c r="B2773" t="inlineStr">
        <is>
          <t>HOSP-4</t>
        </is>
      </c>
      <c r="C2773" t="inlineStr">
        <is>
          <t>SS-01209</t>
        </is>
      </c>
      <c r="D2773" t="n">
        <v>47</v>
      </c>
      <c r="E2773" t="n">
        <v>0</v>
      </c>
      <c r="G2773">
        <f>IF(AND(A2773&gt;=Inputs!$B$5,A2773&lt;=Inputs!$B$6),1,0)</f>
        <v/>
      </c>
    </row>
    <row r="2774">
      <c r="A2774" t="inlineStr">
        <is>
          <t>2026-09</t>
        </is>
      </c>
      <c r="B2774" t="inlineStr">
        <is>
          <t>HOSP-1</t>
        </is>
      </c>
      <c r="C2774" t="inlineStr">
        <is>
          <t>SS-01210</t>
        </is>
      </c>
      <c r="D2774" t="n">
        <v>12</v>
      </c>
      <c r="E2774" t="n">
        <v>0</v>
      </c>
      <c r="G2774">
        <f>IF(AND(A2774&gt;=Inputs!$B$5,A2774&lt;=Inputs!$B$6),1,0)</f>
        <v/>
      </c>
    </row>
    <row r="2775">
      <c r="A2775" t="inlineStr">
        <is>
          <t>2026-09</t>
        </is>
      </c>
      <c r="B2775" t="inlineStr">
        <is>
          <t>HOSP-2</t>
        </is>
      </c>
      <c r="C2775" t="inlineStr">
        <is>
          <t>SS-01211</t>
        </is>
      </c>
      <c r="D2775" t="n">
        <v>24</v>
      </c>
      <c r="E2775" t="n">
        <v>0</v>
      </c>
      <c r="G2775">
        <f>IF(AND(A2775&gt;=Inputs!$B$5,A2775&lt;=Inputs!$B$6),1,0)</f>
        <v/>
      </c>
    </row>
    <row r="2776">
      <c r="A2776" t="inlineStr">
        <is>
          <t>2026-09</t>
        </is>
      </c>
      <c r="B2776" t="inlineStr">
        <is>
          <t>HOSP-3</t>
        </is>
      </c>
      <c r="C2776" t="inlineStr">
        <is>
          <t>SS-01212</t>
        </is>
      </c>
      <c r="D2776" t="n">
        <v>12</v>
      </c>
      <c r="E2776" t="n">
        <v>0</v>
      </c>
      <c r="G2776">
        <f>IF(AND(A2776&gt;=Inputs!$B$5,A2776&lt;=Inputs!$B$6),1,0)</f>
        <v/>
      </c>
    </row>
    <row r="2777">
      <c r="A2777" t="inlineStr">
        <is>
          <t>2026-09</t>
        </is>
      </c>
      <c r="B2777" t="inlineStr">
        <is>
          <t>HOSP-4</t>
        </is>
      </c>
      <c r="C2777" t="inlineStr">
        <is>
          <t>SS-01213</t>
        </is>
      </c>
      <c r="D2777" t="n">
        <v>0</v>
      </c>
      <c r="E2777" t="n">
        <v>0</v>
      </c>
      <c r="G2777">
        <f>IF(AND(A2777&gt;=Inputs!$B$5,A2777&lt;=Inputs!$B$6),1,0)</f>
        <v/>
      </c>
    </row>
    <row r="2778">
      <c r="A2778" t="inlineStr">
        <is>
          <t>2026-09</t>
        </is>
      </c>
      <c r="B2778" t="inlineStr">
        <is>
          <t>HOSP-1</t>
        </is>
      </c>
      <c r="C2778" t="inlineStr">
        <is>
          <t>SS-01214</t>
        </is>
      </c>
      <c r="D2778" t="n">
        <v>12</v>
      </c>
      <c r="E2778" t="n">
        <v>0</v>
      </c>
      <c r="G2778">
        <f>IF(AND(A2778&gt;=Inputs!$B$5,A2778&lt;=Inputs!$B$6),1,0)</f>
        <v/>
      </c>
    </row>
    <row r="2779">
      <c r="A2779" t="inlineStr">
        <is>
          <t>2026-09</t>
        </is>
      </c>
      <c r="B2779" t="inlineStr">
        <is>
          <t>HOSP-2</t>
        </is>
      </c>
      <c r="C2779" t="inlineStr">
        <is>
          <t>SS-01215</t>
        </is>
      </c>
      <c r="D2779" t="n">
        <v>120</v>
      </c>
      <c r="E2779" t="n">
        <v>0</v>
      </c>
      <c r="G2779">
        <f>IF(AND(A2779&gt;=Inputs!$B$5,A2779&lt;=Inputs!$B$6),1,0)</f>
        <v/>
      </c>
    </row>
    <row r="2780">
      <c r="A2780" t="inlineStr">
        <is>
          <t>2026-09</t>
        </is>
      </c>
      <c r="B2780" t="inlineStr">
        <is>
          <t>HOSP-3</t>
        </is>
      </c>
      <c r="C2780" t="inlineStr">
        <is>
          <t>SS-01216</t>
        </is>
      </c>
      <c r="D2780" t="n">
        <v>0</v>
      </c>
      <c r="E2780" t="n">
        <v>0</v>
      </c>
      <c r="G2780">
        <f>IF(AND(A2780&gt;=Inputs!$B$5,A2780&lt;=Inputs!$B$6),1,0)</f>
        <v/>
      </c>
    </row>
    <row r="2781">
      <c r="A2781" t="inlineStr">
        <is>
          <t>2026-09</t>
        </is>
      </c>
      <c r="B2781" t="inlineStr">
        <is>
          <t>HOSP-4</t>
        </is>
      </c>
      <c r="C2781" t="inlineStr">
        <is>
          <t>SS-01217</t>
        </is>
      </c>
      <c r="D2781" t="n">
        <v>12</v>
      </c>
      <c r="E2781" t="n">
        <v>0</v>
      </c>
      <c r="G2781">
        <f>IF(AND(A2781&gt;=Inputs!$B$5,A2781&lt;=Inputs!$B$6),1,0)</f>
        <v/>
      </c>
    </row>
    <row r="2782">
      <c r="A2782" t="inlineStr">
        <is>
          <t>2026-09</t>
        </is>
      </c>
      <c r="B2782" t="inlineStr">
        <is>
          <t>HOSP-1</t>
        </is>
      </c>
      <c r="C2782" t="inlineStr">
        <is>
          <t>SS-01218</t>
        </is>
      </c>
      <c r="D2782" t="n">
        <v>24</v>
      </c>
      <c r="E2782" t="n">
        <v>0</v>
      </c>
      <c r="G2782">
        <f>IF(AND(A2782&gt;=Inputs!$B$5,A2782&lt;=Inputs!$B$6),1,0)</f>
        <v/>
      </c>
    </row>
    <row r="2783">
      <c r="A2783" t="inlineStr">
        <is>
          <t>2026-09</t>
        </is>
      </c>
      <c r="B2783" t="inlineStr">
        <is>
          <t>HOSP-2</t>
        </is>
      </c>
      <c r="C2783" t="inlineStr">
        <is>
          <t>SS-01219</t>
        </is>
      </c>
      <c r="D2783" t="n">
        <v>48</v>
      </c>
      <c r="E2783" t="n">
        <v>0</v>
      </c>
      <c r="G2783">
        <f>IF(AND(A2783&gt;=Inputs!$B$5,A2783&lt;=Inputs!$B$6),1,0)</f>
        <v/>
      </c>
    </row>
    <row r="2784">
      <c r="A2784" t="inlineStr">
        <is>
          <t>2026-09</t>
        </is>
      </c>
      <c r="B2784" t="inlineStr">
        <is>
          <t>HOSP-3</t>
        </is>
      </c>
      <c r="C2784" t="inlineStr">
        <is>
          <t>SS-01220</t>
        </is>
      </c>
      <c r="D2784" t="n">
        <v>12</v>
      </c>
      <c r="E2784" t="n">
        <v>0</v>
      </c>
      <c r="G2784">
        <f>IF(AND(A2784&gt;=Inputs!$B$5,A2784&lt;=Inputs!$B$6),1,0)</f>
        <v/>
      </c>
    </row>
    <row r="2785">
      <c r="A2785" t="inlineStr">
        <is>
          <t>2026-09</t>
        </is>
      </c>
      <c r="B2785" t="inlineStr">
        <is>
          <t>HOSP-4</t>
        </is>
      </c>
      <c r="C2785" t="inlineStr">
        <is>
          <t>SS-01221</t>
        </is>
      </c>
      <c r="D2785" t="n">
        <v>24</v>
      </c>
      <c r="E2785" t="n">
        <v>0</v>
      </c>
      <c r="G2785">
        <f>IF(AND(A2785&gt;=Inputs!$B$5,A2785&lt;=Inputs!$B$6),1,0)</f>
        <v/>
      </c>
    </row>
    <row r="2786">
      <c r="A2786" t="inlineStr">
        <is>
          <t>2026-09</t>
        </is>
      </c>
      <c r="B2786" t="inlineStr">
        <is>
          <t>HOSP-1</t>
        </is>
      </c>
      <c r="C2786" t="inlineStr">
        <is>
          <t>SS-01222</t>
        </is>
      </c>
      <c r="D2786" t="n">
        <v>36</v>
      </c>
      <c r="E2786" t="n">
        <v>0</v>
      </c>
      <c r="G2786">
        <f>IF(AND(A2786&gt;=Inputs!$B$5,A2786&lt;=Inputs!$B$6),1,0)</f>
        <v/>
      </c>
    </row>
    <row r="2787">
      <c r="A2787" t="inlineStr">
        <is>
          <t>2026-09</t>
        </is>
      </c>
      <c r="B2787" t="inlineStr">
        <is>
          <t>HOSP-2</t>
        </is>
      </c>
      <c r="C2787" t="inlineStr">
        <is>
          <t>SS-01223</t>
        </is>
      </c>
      <c r="D2787" t="n">
        <v>48</v>
      </c>
      <c r="E2787" t="n">
        <v>0</v>
      </c>
      <c r="G2787">
        <f>IF(AND(A2787&gt;=Inputs!$B$5,A2787&lt;=Inputs!$B$6),1,0)</f>
        <v/>
      </c>
    </row>
    <row r="2788">
      <c r="A2788" t="inlineStr">
        <is>
          <t>2026-09</t>
        </is>
      </c>
      <c r="B2788" t="inlineStr">
        <is>
          <t>HOSP-3</t>
        </is>
      </c>
      <c r="C2788" t="inlineStr">
        <is>
          <t>SS-01224</t>
        </is>
      </c>
      <c r="D2788" t="n">
        <v>24</v>
      </c>
      <c r="E2788" t="n">
        <v>0</v>
      </c>
      <c r="G2788">
        <f>IF(AND(A2788&gt;=Inputs!$B$5,A2788&lt;=Inputs!$B$6),1,0)</f>
        <v/>
      </c>
    </row>
    <row r="2789">
      <c r="A2789" t="inlineStr">
        <is>
          <t>2026-09</t>
        </is>
      </c>
      <c r="B2789" t="inlineStr">
        <is>
          <t>HOSP-4</t>
        </is>
      </c>
      <c r="C2789" t="inlineStr">
        <is>
          <t>SS-01225</t>
        </is>
      </c>
      <c r="D2789" t="n">
        <v>53</v>
      </c>
      <c r="E2789" t="n">
        <v>1</v>
      </c>
      <c r="G2789">
        <f>IF(AND(A2789&gt;=Inputs!$B$5,A2789&lt;=Inputs!$B$6),1,0)</f>
        <v/>
      </c>
    </row>
    <row r="2790">
      <c r="A2790" t="inlineStr">
        <is>
          <t>2026-09</t>
        </is>
      </c>
      <c r="B2790" t="inlineStr">
        <is>
          <t>HOSP-1</t>
        </is>
      </c>
      <c r="C2790" t="inlineStr">
        <is>
          <t>SS-01226</t>
        </is>
      </c>
      <c r="D2790" t="n">
        <v>0</v>
      </c>
      <c r="E2790" t="n">
        <v>0</v>
      </c>
      <c r="G2790">
        <f>IF(AND(A2790&gt;=Inputs!$B$5,A2790&lt;=Inputs!$B$6),1,0)</f>
        <v/>
      </c>
    </row>
    <row r="2791">
      <c r="A2791" t="inlineStr">
        <is>
          <t>2026-09</t>
        </is>
      </c>
      <c r="B2791" t="inlineStr">
        <is>
          <t>HOSP-2</t>
        </is>
      </c>
      <c r="C2791" t="inlineStr">
        <is>
          <t>SS-01227</t>
        </is>
      </c>
      <c r="D2791" t="n">
        <v>12</v>
      </c>
      <c r="E2791" t="n">
        <v>0</v>
      </c>
      <c r="G2791">
        <f>IF(AND(A2791&gt;=Inputs!$B$5,A2791&lt;=Inputs!$B$6),1,0)</f>
        <v/>
      </c>
    </row>
    <row r="2792">
      <c r="A2792" t="inlineStr">
        <is>
          <t>2026-09</t>
        </is>
      </c>
      <c r="B2792" t="inlineStr">
        <is>
          <t>HOSP-3</t>
        </is>
      </c>
      <c r="C2792" t="inlineStr">
        <is>
          <t>SS-01228</t>
        </is>
      </c>
      <c r="D2792" t="n">
        <v>285</v>
      </c>
      <c r="E2792" t="n">
        <v>0</v>
      </c>
      <c r="G2792">
        <f>IF(AND(A2792&gt;=Inputs!$B$5,A2792&lt;=Inputs!$B$6),1,0)</f>
        <v/>
      </c>
    </row>
    <row r="2793">
      <c r="A2793" t="inlineStr">
        <is>
          <t>2026-09</t>
        </is>
      </c>
      <c r="B2793" t="inlineStr">
        <is>
          <t>HOSP-4</t>
        </is>
      </c>
      <c r="C2793" t="inlineStr">
        <is>
          <t>SS-01229</t>
        </is>
      </c>
      <c r="D2793" t="n">
        <v>0</v>
      </c>
      <c r="E2793" t="n">
        <v>1</v>
      </c>
      <c r="G2793">
        <f>IF(AND(A2793&gt;=Inputs!$B$5,A2793&lt;=Inputs!$B$6),1,0)</f>
        <v/>
      </c>
    </row>
    <row r="2794">
      <c r="A2794" t="inlineStr">
        <is>
          <t>2026-09</t>
        </is>
      </c>
      <c r="B2794" t="inlineStr">
        <is>
          <t>HOSP-1</t>
        </is>
      </c>
      <c r="C2794" t="inlineStr">
        <is>
          <t>SS-01230</t>
        </is>
      </c>
      <c r="D2794" t="n">
        <v>0</v>
      </c>
      <c r="E2794" t="n">
        <v>0</v>
      </c>
      <c r="G2794">
        <f>IF(AND(A2794&gt;=Inputs!$B$5,A2794&lt;=Inputs!$B$6),1,0)</f>
        <v/>
      </c>
    </row>
    <row r="2795">
      <c r="A2795" t="inlineStr">
        <is>
          <t>2026-09</t>
        </is>
      </c>
      <c r="B2795" t="inlineStr">
        <is>
          <t>HOSP-2</t>
        </is>
      </c>
      <c r="C2795" t="inlineStr">
        <is>
          <t>SS-01231</t>
        </is>
      </c>
      <c r="D2795" t="n">
        <v>12</v>
      </c>
      <c r="E2795" t="n">
        <v>0</v>
      </c>
      <c r="G2795">
        <f>IF(AND(A2795&gt;=Inputs!$B$5,A2795&lt;=Inputs!$B$6),1,0)</f>
        <v/>
      </c>
    </row>
    <row r="2796">
      <c r="A2796" t="inlineStr">
        <is>
          <t>2026-09</t>
        </is>
      </c>
      <c r="B2796" t="inlineStr">
        <is>
          <t>HOSP-3</t>
        </is>
      </c>
      <c r="C2796" t="inlineStr">
        <is>
          <t>SS-01232</t>
        </is>
      </c>
      <c r="D2796" t="n">
        <v>60</v>
      </c>
      <c r="E2796" t="n">
        <v>0</v>
      </c>
      <c r="G2796">
        <f>IF(AND(A2796&gt;=Inputs!$B$5,A2796&lt;=Inputs!$B$6),1,0)</f>
        <v/>
      </c>
    </row>
    <row r="2797">
      <c r="A2797" t="inlineStr">
        <is>
          <t>2026-09</t>
        </is>
      </c>
      <c r="B2797" t="inlineStr">
        <is>
          <t>HOSP-4</t>
        </is>
      </c>
      <c r="C2797" t="inlineStr">
        <is>
          <t>SS-01233</t>
        </is>
      </c>
      <c r="D2797" t="n">
        <v>36</v>
      </c>
      <c r="E2797" t="n">
        <v>0</v>
      </c>
      <c r="G2797">
        <f>IF(AND(A2797&gt;=Inputs!$B$5,A2797&lt;=Inputs!$B$6),1,0)</f>
        <v/>
      </c>
    </row>
    <row r="2798">
      <c r="A2798" t="inlineStr">
        <is>
          <t>2026-09</t>
        </is>
      </c>
      <c r="B2798" t="inlineStr">
        <is>
          <t>HOSP-1</t>
        </is>
      </c>
      <c r="C2798" t="inlineStr">
        <is>
          <t>SS-01001</t>
        </is>
      </c>
      <c r="D2798" t="n">
        <v>0</v>
      </c>
      <c r="E2798" t="n">
        <v>0</v>
      </c>
      <c r="G2798">
        <f>IF(AND(A2798&gt;=Inputs!$B$5,A2798&lt;=Inputs!$B$6),1,0)</f>
        <v/>
      </c>
    </row>
    <row r="2799">
      <c r="A2799" t="inlineStr">
        <is>
          <t>2026-09</t>
        </is>
      </c>
      <c r="B2799" t="inlineStr">
        <is>
          <t>HOSP-2</t>
        </is>
      </c>
      <c r="C2799" t="inlineStr">
        <is>
          <t>SS-01002</t>
        </is>
      </c>
      <c r="D2799" t="n">
        <v>24</v>
      </c>
      <c r="E2799" t="n">
        <v>0</v>
      </c>
      <c r="G2799">
        <f>IF(AND(A2799&gt;=Inputs!$B$5,A2799&lt;=Inputs!$B$6),1,0)</f>
        <v/>
      </c>
    </row>
    <row r="2800">
      <c r="A2800" t="inlineStr">
        <is>
          <t>2026-09</t>
        </is>
      </c>
      <c r="B2800" t="inlineStr">
        <is>
          <t>HOSP-3</t>
        </is>
      </c>
      <c r="C2800" t="inlineStr">
        <is>
          <t>SS-01003</t>
        </is>
      </c>
      <c r="D2800" t="n">
        <v>0</v>
      </c>
      <c r="E2800" t="n">
        <v>0</v>
      </c>
      <c r="G2800">
        <f>IF(AND(A2800&gt;=Inputs!$B$5,A2800&lt;=Inputs!$B$6),1,0)</f>
        <v/>
      </c>
    </row>
    <row r="2801">
      <c r="A2801" t="inlineStr">
        <is>
          <t>2026-09</t>
        </is>
      </c>
      <c r="B2801" t="inlineStr">
        <is>
          <t>HOSP-4</t>
        </is>
      </c>
      <c r="C2801" t="inlineStr">
        <is>
          <t>SS-01004</t>
        </is>
      </c>
      <c r="D2801" t="n">
        <v>12</v>
      </c>
      <c r="E2801" t="n">
        <v>0</v>
      </c>
      <c r="G2801">
        <f>IF(AND(A2801&gt;=Inputs!$B$5,A2801&lt;=Inputs!$B$6),1,0)</f>
        <v/>
      </c>
    </row>
    <row r="2802">
      <c r="A2802" t="inlineStr">
        <is>
          <t>2026-09</t>
        </is>
      </c>
      <c r="B2802" t="inlineStr">
        <is>
          <t>HOSP-1</t>
        </is>
      </c>
      <c r="C2802" t="inlineStr">
        <is>
          <t>SS-01005</t>
        </is>
      </c>
      <c r="D2802" t="n">
        <v>64</v>
      </c>
      <c r="E2802" t="n">
        <v>0</v>
      </c>
      <c r="G2802">
        <f>IF(AND(A2802&gt;=Inputs!$B$5,A2802&lt;=Inputs!$B$6),1,0)</f>
        <v/>
      </c>
    </row>
    <row r="2803">
      <c r="A2803" t="inlineStr">
        <is>
          <t>2026-09</t>
        </is>
      </c>
      <c r="B2803" t="inlineStr">
        <is>
          <t>HOSP-2</t>
        </is>
      </c>
      <c r="C2803" t="inlineStr">
        <is>
          <t>SS-01006</t>
        </is>
      </c>
      <c r="D2803" t="n">
        <v>31</v>
      </c>
      <c r="E2803" t="n">
        <v>1</v>
      </c>
      <c r="G2803">
        <f>IF(AND(A2803&gt;=Inputs!$B$5,A2803&lt;=Inputs!$B$6),1,0)</f>
        <v/>
      </c>
    </row>
    <row r="2804">
      <c r="A2804" t="inlineStr">
        <is>
          <t>2026-09</t>
        </is>
      </c>
      <c r="B2804" t="inlineStr">
        <is>
          <t>HOSP-3</t>
        </is>
      </c>
      <c r="C2804" t="inlineStr">
        <is>
          <t>SS-01007</t>
        </is>
      </c>
      <c r="D2804" t="n">
        <v>0</v>
      </c>
      <c r="E2804" t="n">
        <v>0</v>
      </c>
      <c r="G2804">
        <f>IF(AND(A2804&gt;=Inputs!$B$5,A2804&lt;=Inputs!$B$6),1,0)</f>
        <v/>
      </c>
    </row>
    <row r="2805">
      <c r="A2805" t="inlineStr">
        <is>
          <t>2026-09</t>
        </is>
      </c>
      <c r="B2805" t="inlineStr">
        <is>
          <t>HOSP-4</t>
        </is>
      </c>
      <c r="C2805" t="inlineStr">
        <is>
          <t>SS-01008</t>
        </is>
      </c>
      <c r="D2805" t="n">
        <v>0</v>
      </c>
      <c r="E2805" t="n">
        <v>0</v>
      </c>
      <c r="G2805">
        <f>IF(AND(A2805&gt;=Inputs!$B$5,A2805&lt;=Inputs!$B$6),1,0)</f>
        <v/>
      </c>
    </row>
    <row r="2806">
      <c r="A2806" t="inlineStr">
        <is>
          <t>2026-09</t>
        </is>
      </c>
      <c r="B2806" t="inlineStr">
        <is>
          <t>HOSP-1</t>
        </is>
      </c>
      <c r="C2806" t="inlineStr">
        <is>
          <t>SS-01009</t>
        </is>
      </c>
      <c r="D2806" t="n">
        <v>48</v>
      </c>
      <c r="E2806" t="n">
        <v>0</v>
      </c>
      <c r="G2806">
        <f>IF(AND(A2806&gt;=Inputs!$B$5,A2806&lt;=Inputs!$B$6),1,0)</f>
        <v/>
      </c>
    </row>
    <row r="2807">
      <c r="A2807" t="inlineStr">
        <is>
          <t>2026-09</t>
        </is>
      </c>
      <c r="B2807" t="inlineStr">
        <is>
          <t>HOSP-2</t>
        </is>
      </c>
      <c r="C2807" t="inlineStr">
        <is>
          <t>SS-01010</t>
        </is>
      </c>
      <c r="D2807" t="n">
        <v>0</v>
      </c>
      <c r="E2807" t="n">
        <v>0</v>
      </c>
      <c r="G2807">
        <f>IF(AND(A2807&gt;=Inputs!$B$5,A2807&lt;=Inputs!$B$6),1,0)</f>
        <v/>
      </c>
    </row>
    <row r="2808">
      <c r="A2808" t="inlineStr">
        <is>
          <t>2026-09</t>
        </is>
      </c>
      <c r="B2808" t="inlineStr">
        <is>
          <t>HOSP-3</t>
        </is>
      </c>
      <c r="C2808" t="inlineStr">
        <is>
          <t>SS-01011</t>
        </is>
      </c>
      <c r="D2808" t="n">
        <v>17</v>
      </c>
      <c r="E2808" t="n">
        <v>1</v>
      </c>
      <c r="G2808">
        <f>IF(AND(A2808&gt;=Inputs!$B$5,A2808&lt;=Inputs!$B$6),1,0)</f>
        <v/>
      </c>
    </row>
    <row r="2809">
      <c r="A2809" t="inlineStr">
        <is>
          <t>2026-09</t>
        </is>
      </c>
      <c r="B2809" t="inlineStr">
        <is>
          <t>HOSP-4</t>
        </is>
      </c>
      <c r="C2809" t="inlineStr">
        <is>
          <t>SS-01012</t>
        </is>
      </c>
      <c r="D2809" t="n">
        <v>0</v>
      </c>
      <c r="E2809" t="n">
        <v>0</v>
      </c>
      <c r="G2809">
        <f>IF(AND(A2809&gt;=Inputs!$B$5,A2809&lt;=Inputs!$B$6),1,0)</f>
        <v/>
      </c>
    </row>
    <row r="2810">
      <c r="A2810" t="inlineStr">
        <is>
          <t>2026-09</t>
        </is>
      </c>
      <c r="B2810" t="inlineStr">
        <is>
          <t>HOSP-1</t>
        </is>
      </c>
      <c r="C2810" t="inlineStr">
        <is>
          <t>SS-01013</t>
        </is>
      </c>
      <c r="D2810" t="n">
        <v>168</v>
      </c>
      <c r="E2810" t="n">
        <v>0</v>
      </c>
      <c r="G2810">
        <f>IF(AND(A2810&gt;=Inputs!$B$5,A2810&lt;=Inputs!$B$6),1,0)</f>
        <v/>
      </c>
    </row>
    <row r="2811">
      <c r="A2811" t="inlineStr">
        <is>
          <t>2026-09</t>
        </is>
      </c>
      <c r="B2811" t="inlineStr">
        <is>
          <t>HOSP-2</t>
        </is>
      </c>
      <c r="C2811" t="inlineStr">
        <is>
          <t>SS-01181</t>
        </is>
      </c>
      <c r="D2811" t="n">
        <v>96</v>
      </c>
      <c r="E2811" t="n">
        <v>0</v>
      </c>
      <c r="G2811">
        <f>IF(AND(A2811&gt;=Inputs!$B$5,A2811&lt;=Inputs!$B$6),1,0)</f>
        <v/>
      </c>
    </row>
    <row r="2812">
      <c r="A2812" t="inlineStr">
        <is>
          <t>2026-09</t>
        </is>
      </c>
      <c r="B2812" t="inlineStr">
        <is>
          <t>HOSP-3</t>
        </is>
      </c>
      <c r="C2812" t="inlineStr">
        <is>
          <t>SS-01015</t>
        </is>
      </c>
      <c r="D2812" t="n">
        <v>40</v>
      </c>
      <c r="E2812" t="n">
        <v>0</v>
      </c>
      <c r="G2812">
        <f>IF(AND(A2812&gt;=Inputs!$B$5,A2812&lt;=Inputs!$B$6),1,0)</f>
        <v/>
      </c>
    </row>
    <row r="2813">
      <c r="A2813" t="inlineStr">
        <is>
          <t>2026-09</t>
        </is>
      </c>
      <c r="B2813" t="inlineStr">
        <is>
          <t>HOSP-4</t>
        </is>
      </c>
      <c r="C2813" t="inlineStr">
        <is>
          <t>SS-01016</t>
        </is>
      </c>
      <c r="D2813" t="n">
        <v>12</v>
      </c>
      <c r="E2813" t="n">
        <v>0</v>
      </c>
      <c r="G2813">
        <f>IF(AND(A2813&gt;=Inputs!$B$5,A2813&lt;=Inputs!$B$6),1,0)</f>
        <v/>
      </c>
    </row>
    <row r="2814">
      <c r="A2814" t="inlineStr">
        <is>
          <t>2026-09</t>
        </is>
      </c>
      <c r="B2814" t="inlineStr">
        <is>
          <t>HOSP-1</t>
        </is>
      </c>
      <c r="C2814" t="inlineStr">
        <is>
          <t>SS-01017</t>
        </is>
      </c>
      <c r="D2814" t="n">
        <v>12</v>
      </c>
      <c r="E2814" t="n">
        <v>0</v>
      </c>
      <c r="G2814">
        <f>IF(AND(A2814&gt;=Inputs!$B$5,A2814&lt;=Inputs!$B$6),1,0)</f>
        <v/>
      </c>
    </row>
    <row r="2815">
      <c r="A2815" t="inlineStr">
        <is>
          <t>2026-09</t>
        </is>
      </c>
      <c r="B2815" t="inlineStr">
        <is>
          <t>HOSP-2</t>
        </is>
      </c>
      <c r="C2815" t="inlineStr">
        <is>
          <t>SS-01018</t>
        </is>
      </c>
      <c r="D2815" t="n">
        <v>0</v>
      </c>
      <c r="E2815" t="n">
        <v>0</v>
      </c>
      <c r="G2815">
        <f>IF(AND(A2815&gt;=Inputs!$B$5,A2815&lt;=Inputs!$B$6),1,0)</f>
        <v/>
      </c>
    </row>
    <row r="2816">
      <c r="A2816" t="inlineStr">
        <is>
          <t>2026-09</t>
        </is>
      </c>
      <c r="B2816" t="inlineStr">
        <is>
          <t>HOSP-3</t>
        </is>
      </c>
      <c r="C2816" t="inlineStr">
        <is>
          <t>SS-01019</t>
        </is>
      </c>
      <c r="D2816" t="n">
        <v>12</v>
      </c>
      <c r="E2816" t="n">
        <v>0</v>
      </c>
      <c r="G2816">
        <f>IF(AND(A2816&gt;=Inputs!$B$5,A2816&lt;=Inputs!$B$6),1,0)</f>
        <v/>
      </c>
    </row>
    <row r="2817">
      <c r="A2817" t="inlineStr">
        <is>
          <t>2026-09</t>
        </is>
      </c>
      <c r="B2817" t="inlineStr">
        <is>
          <t>HOSP-4</t>
        </is>
      </c>
      <c r="C2817" t="inlineStr">
        <is>
          <t>SS-01020</t>
        </is>
      </c>
      <c r="D2817" t="n">
        <v>48</v>
      </c>
      <c r="E2817" t="n">
        <v>0</v>
      </c>
      <c r="G2817">
        <f>IF(AND(A2817&gt;=Inputs!$B$5,A2817&lt;=Inputs!$B$6),1,0)</f>
        <v/>
      </c>
    </row>
    <row r="2818">
      <c r="A2818" t="inlineStr">
        <is>
          <t>2026-09</t>
        </is>
      </c>
      <c r="B2818" t="inlineStr">
        <is>
          <t>HOSP-1</t>
        </is>
      </c>
      <c r="C2818" t="inlineStr">
        <is>
          <t>SS-01021</t>
        </is>
      </c>
      <c r="D2818" t="n">
        <v>96</v>
      </c>
      <c r="E2818" t="n">
        <v>0</v>
      </c>
      <c r="G2818">
        <f>IF(AND(A2818&gt;=Inputs!$B$5,A2818&lt;=Inputs!$B$6),1,0)</f>
        <v/>
      </c>
    </row>
    <row r="2819">
      <c r="A2819" t="inlineStr">
        <is>
          <t>2026-09</t>
        </is>
      </c>
      <c r="B2819" t="inlineStr">
        <is>
          <t>HOSP-2</t>
        </is>
      </c>
      <c r="C2819" t="inlineStr">
        <is>
          <t>SS-01022</t>
        </is>
      </c>
      <c r="D2819" t="n">
        <v>12</v>
      </c>
      <c r="E2819" t="n">
        <v>0</v>
      </c>
      <c r="G2819">
        <f>IF(AND(A2819&gt;=Inputs!$B$5,A2819&lt;=Inputs!$B$6),1,0)</f>
        <v/>
      </c>
    </row>
    <row r="2820">
      <c r="A2820" t="inlineStr">
        <is>
          <t>2026-09</t>
        </is>
      </c>
      <c r="B2820" t="inlineStr">
        <is>
          <t>HOSP-3</t>
        </is>
      </c>
      <c r="C2820" t="inlineStr">
        <is>
          <t>SS-01023</t>
        </is>
      </c>
      <c r="D2820" t="n">
        <v>24</v>
      </c>
      <c r="E2820" t="n">
        <v>0</v>
      </c>
      <c r="G2820">
        <f>IF(AND(A2820&gt;=Inputs!$B$5,A2820&lt;=Inputs!$B$6),1,0)</f>
        <v/>
      </c>
    </row>
    <row r="2821">
      <c r="A2821" t="inlineStr">
        <is>
          <t>2026-09</t>
        </is>
      </c>
      <c r="B2821" t="inlineStr">
        <is>
          <t>HOSP-4</t>
        </is>
      </c>
      <c r="C2821" t="inlineStr">
        <is>
          <t>SS-01024</t>
        </is>
      </c>
      <c r="D2821" t="n">
        <v>120</v>
      </c>
      <c r="E2821" t="n">
        <v>0</v>
      </c>
      <c r="G2821">
        <f>IF(AND(A2821&gt;=Inputs!$B$5,A2821&lt;=Inputs!$B$6),1,0)</f>
        <v/>
      </c>
    </row>
    <row r="2822">
      <c r="A2822" t="inlineStr">
        <is>
          <t>2026-09</t>
        </is>
      </c>
      <c r="B2822" t="inlineStr">
        <is>
          <t>HOSP-1</t>
        </is>
      </c>
      <c r="C2822" t="inlineStr">
        <is>
          <t>SS-01025</t>
        </is>
      </c>
      <c r="D2822" t="n">
        <v>12</v>
      </c>
      <c r="E2822" t="n">
        <v>0</v>
      </c>
      <c r="G2822">
        <f>IF(AND(A2822&gt;=Inputs!$B$5,A2822&lt;=Inputs!$B$6),1,0)</f>
        <v/>
      </c>
    </row>
    <row r="2823">
      <c r="A2823" t="inlineStr">
        <is>
          <t>2026-09</t>
        </is>
      </c>
      <c r="B2823" t="inlineStr">
        <is>
          <t>HOSP-2</t>
        </is>
      </c>
      <c r="C2823" t="inlineStr">
        <is>
          <t>SS-01026</t>
        </is>
      </c>
      <c r="D2823" t="n">
        <v>24</v>
      </c>
      <c r="E2823" t="n">
        <v>0</v>
      </c>
      <c r="G2823">
        <f>IF(AND(A2823&gt;=Inputs!$B$5,A2823&lt;=Inputs!$B$6),1,0)</f>
        <v/>
      </c>
    </row>
    <row r="2824">
      <c r="A2824" t="inlineStr">
        <is>
          <t>2026-09</t>
        </is>
      </c>
      <c r="B2824" t="inlineStr">
        <is>
          <t>HOSP-3</t>
        </is>
      </c>
      <c r="C2824" t="inlineStr">
        <is>
          <t>SS-01027</t>
        </is>
      </c>
      <c r="D2824" t="n">
        <v>0</v>
      </c>
      <c r="E2824" t="n">
        <v>0</v>
      </c>
      <c r="G2824">
        <f>IF(AND(A2824&gt;=Inputs!$B$5,A2824&lt;=Inputs!$B$6),1,0)</f>
        <v/>
      </c>
    </row>
    <row r="2825">
      <c r="A2825" t="inlineStr">
        <is>
          <t>2026-09</t>
        </is>
      </c>
      <c r="B2825" t="inlineStr">
        <is>
          <t>HOSP-4</t>
        </is>
      </c>
      <c r="C2825" t="inlineStr">
        <is>
          <t>SS-01028</t>
        </is>
      </c>
      <c r="D2825" t="n">
        <v>0</v>
      </c>
      <c r="E2825" t="n">
        <v>0</v>
      </c>
      <c r="G2825">
        <f>IF(AND(A2825&gt;=Inputs!$B$5,A2825&lt;=Inputs!$B$6),1,0)</f>
        <v/>
      </c>
    </row>
    <row r="2826">
      <c r="A2826" t="inlineStr">
        <is>
          <t>2026-09</t>
        </is>
      </c>
      <c r="B2826" t="inlineStr">
        <is>
          <t>HOSP-1</t>
        </is>
      </c>
      <c r="C2826" t="inlineStr">
        <is>
          <t>SS-01029</t>
        </is>
      </c>
      <c r="D2826" t="n">
        <v>24</v>
      </c>
      <c r="E2826" t="n">
        <v>0</v>
      </c>
      <c r="G2826">
        <f>IF(AND(A2826&gt;=Inputs!$B$5,A2826&lt;=Inputs!$B$6),1,0)</f>
        <v/>
      </c>
    </row>
    <row r="2827">
      <c r="A2827" t="inlineStr">
        <is>
          <t>2026-09</t>
        </is>
      </c>
      <c r="B2827" t="inlineStr">
        <is>
          <t>HOSP-2</t>
        </is>
      </c>
      <c r="C2827" t="inlineStr">
        <is>
          <t>SS-01217</t>
        </is>
      </c>
      <c r="D2827" t="n">
        <v>24</v>
      </c>
      <c r="E2827" t="n">
        <v>0</v>
      </c>
      <c r="G2827">
        <f>IF(AND(A2827&gt;=Inputs!$B$5,A2827&lt;=Inputs!$B$6),1,0)</f>
        <v/>
      </c>
    </row>
    <row r="2828">
      <c r="A2828" t="inlineStr">
        <is>
          <t>2026-09</t>
        </is>
      </c>
      <c r="B2828" t="inlineStr">
        <is>
          <t>HOSP-3</t>
        </is>
      </c>
      <c r="C2828" t="inlineStr">
        <is>
          <t>SS-01031</t>
        </is>
      </c>
      <c r="D2828" t="n">
        <v>72</v>
      </c>
      <c r="E2828" t="n">
        <v>0</v>
      </c>
      <c r="G2828">
        <f>IF(AND(A2828&gt;=Inputs!$B$5,A2828&lt;=Inputs!$B$6),1,0)</f>
        <v/>
      </c>
    </row>
    <row r="2829">
      <c r="A2829" t="inlineStr">
        <is>
          <t>2026-09</t>
        </is>
      </c>
      <c r="B2829" t="inlineStr">
        <is>
          <t>HOSP-4</t>
        </is>
      </c>
      <c r="C2829" t="inlineStr">
        <is>
          <t>SS-01032</t>
        </is>
      </c>
      <c r="D2829" t="n">
        <v>25</v>
      </c>
      <c r="E2829" t="n">
        <v>2</v>
      </c>
      <c r="G2829">
        <f>IF(AND(A2829&gt;=Inputs!$B$5,A2829&lt;=Inputs!$B$6),1,0)</f>
        <v/>
      </c>
    </row>
    <row r="2830">
      <c r="A2830" t="inlineStr">
        <is>
          <t>2026-09</t>
        </is>
      </c>
      <c r="B2830" t="inlineStr">
        <is>
          <t>HOSP-1</t>
        </is>
      </c>
      <c r="C2830" t="inlineStr">
        <is>
          <t>SS-01033</t>
        </is>
      </c>
      <c r="D2830" t="n">
        <v>21</v>
      </c>
      <c r="E2830" t="n">
        <v>1</v>
      </c>
      <c r="G2830">
        <f>IF(AND(A2830&gt;=Inputs!$B$5,A2830&lt;=Inputs!$B$6),1,0)</f>
        <v/>
      </c>
    </row>
    <row r="2831">
      <c r="A2831" t="inlineStr">
        <is>
          <t>2026-09</t>
        </is>
      </c>
      <c r="B2831" t="inlineStr">
        <is>
          <t>HOSP-2</t>
        </is>
      </c>
      <c r="C2831" t="inlineStr">
        <is>
          <t>SS-01034</t>
        </is>
      </c>
      <c r="D2831" t="n">
        <v>0</v>
      </c>
      <c r="E2831" t="n">
        <v>0</v>
      </c>
      <c r="G2831">
        <f>IF(AND(A2831&gt;=Inputs!$B$5,A2831&lt;=Inputs!$B$6),1,0)</f>
        <v/>
      </c>
    </row>
    <row r="2832">
      <c r="A2832" t="inlineStr">
        <is>
          <t>2026-09</t>
        </is>
      </c>
      <c r="B2832" t="inlineStr">
        <is>
          <t>HOSP-3</t>
        </is>
      </c>
      <c r="C2832" t="inlineStr">
        <is>
          <t>SS-01035</t>
        </is>
      </c>
      <c r="D2832" t="n">
        <v>12</v>
      </c>
      <c r="E2832" t="n">
        <v>0</v>
      </c>
      <c r="G2832">
        <f>IF(AND(A2832&gt;=Inputs!$B$5,A2832&lt;=Inputs!$B$6),1,0)</f>
        <v/>
      </c>
    </row>
    <row r="2833">
      <c r="A2833" t="inlineStr">
        <is>
          <t>2026-09</t>
        </is>
      </c>
      <c r="B2833" t="inlineStr">
        <is>
          <t>HOSP-4</t>
        </is>
      </c>
      <c r="C2833" t="inlineStr">
        <is>
          <t>SS-01036</t>
        </is>
      </c>
      <c r="D2833" t="n">
        <v>60</v>
      </c>
      <c r="E2833" t="n">
        <v>0</v>
      </c>
      <c r="G2833">
        <f>IF(AND(A2833&gt;=Inputs!$B$5,A2833&lt;=Inputs!$B$6),1,0)</f>
        <v/>
      </c>
    </row>
    <row r="2834">
      <c r="A2834" t="inlineStr">
        <is>
          <t>2026-09</t>
        </is>
      </c>
      <c r="B2834" t="inlineStr">
        <is>
          <t>HOSP-1</t>
        </is>
      </c>
      <c r="C2834" t="inlineStr">
        <is>
          <t>SS-01037</t>
        </is>
      </c>
      <c r="D2834" t="n">
        <v>48</v>
      </c>
      <c r="E2834" t="n">
        <v>0</v>
      </c>
      <c r="G2834">
        <f>IF(AND(A2834&gt;=Inputs!$B$5,A2834&lt;=Inputs!$B$6),1,0)</f>
        <v/>
      </c>
    </row>
    <row r="2835">
      <c r="A2835" t="inlineStr">
        <is>
          <t>2026-09</t>
        </is>
      </c>
      <c r="B2835" t="inlineStr">
        <is>
          <t>HOSP-2</t>
        </is>
      </c>
      <c r="C2835" t="inlineStr">
        <is>
          <t>SS-01001</t>
        </is>
      </c>
      <c r="D2835" t="n">
        <v>5</v>
      </c>
      <c r="E2835" t="n">
        <v>4</v>
      </c>
      <c r="G2835">
        <f>IF(AND(A2835&gt;=Inputs!$B$5,A2835&lt;=Inputs!$B$6),1,0)</f>
        <v/>
      </c>
    </row>
    <row r="2836">
      <c r="A2836" t="inlineStr">
        <is>
          <t>2026-09</t>
        </is>
      </c>
      <c r="B2836" t="inlineStr">
        <is>
          <t>HOSP-3</t>
        </is>
      </c>
      <c r="C2836" t="inlineStr">
        <is>
          <t>SS-01039</t>
        </is>
      </c>
      <c r="D2836" t="n">
        <v>24</v>
      </c>
      <c r="E2836" t="n">
        <v>0</v>
      </c>
      <c r="G2836">
        <f>IF(AND(A2836&gt;=Inputs!$B$5,A2836&lt;=Inputs!$B$6),1,0)</f>
        <v/>
      </c>
    </row>
    <row r="2837">
      <c r="A2837" t="inlineStr">
        <is>
          <t>2026-09</t>
        </is>
      </c>
      <c r="B2837" t="inlineStr">
        <is>
          <t>HOSP-4</t>
        </is>
      </c>
      <c r="C2837" t="inlineStr">
        <is>
          <t>SS-01040</t>
        </is>
      </c>
      <c r="D2837" t="n">
        <v>0</v>
      </c>
      <c r="E2837" t="n">
        <v>0</v>
      </c>
      <c r="G2837">
        <f>IF(AND(A2837&gt;=Inputs!$B$5,A2837&lt;=Inputs!$B$6),1,0)</f>
        <v/>
      </c>
    </row>
    <row r="2838">
      <c r="A2838" t="inlineStr">
        <is>
          <t>2026-09</t>
        </is>
      </c>
      <c r="B2838" t="inlineStr">
        <is>
          <t>HOSP-1</t>
        </is>
      </c>
      <c r="C2838" t="inlineStr">
        <is>
          <t>SS-01041</t>
        </is>
      </c>
      <c r="D2838" t="n">
        <v>192</v>
      </c>
      <c r="E2838" t="n">
        <v>0</v>
      </c>
      <c r="G2838">
        <f>IF(AND(A2838&gt;=Inputs!$B$5,A2838&lt;=Inputs!$B$6),1,0)</f>
        <v/>
      </c>
    </row>
    <row r="2839">
      <c r="A2839" t="inlineStr">
        <is>
          <t>2026-09</t>
        </is>
      </c>
      <c r="B2839" t="inlineStr">
        <is>
          <t>HOSP-2</t>
        </is>
      </c>
      <c r="C2839" t="inlineStr">
        <is>
          <t>SS-01042</t>
        </is>
      </c>
      <c r="D2839" t="n">
        <v>6</v>
      </c>
      <c r="E2839" t="n">
        <v>0</v>
      </c>
      <c r="G2839">
        <f>IF(AND(A2839&gt;=Inputs!$B$5,A2839&lt;=Inputs!$B$6),1,0)</f>
        <v/>
      </c>
    </row>
    <row r="2840">
      <c r="A2840" t="inlineStr">
        <is>
          <t>2026-09</t>
        </is>
      </c>
      <c r="B2840" t="inlineStr">
        <is>
          <t>HOSP-3</t>
        </is>
      </c>
      <c r="C2840" t="inlineStr">
        <is>
          <t>SS-01043</t>
        </is>
      </c>
      <c r="D2840" t="n">
        <v>12</v>
      </c>
      <c r="E2840" t="n">
        <v>0</v>
      </c>
      <c r="G2840">
        <f>IF(AND(A2840&gt;=Inputs!$B$5,A2840&lt;=Inputs!$B$6),1,0)</f>
        <v/>
      </c>
    </row>
    <row r="2841">
      <c r="A2841" t="inlineStr">
        <is>
          <t>2026-09</t>
        </is>
      </c>
      <c r="B2841" t="inlineStr">
        <is>
          <t>HOSP-4</t>
        </is>
      </c>
      <c r="C2841" t="inlineStr">
        <is>
          <t>SS-01044</t>
        </is>
      </c>
      <c r="D2841" t="n">
        <v>12</v>
      </c>
      <c r="E2841" t="n">
        <v>0</v>
      </c>
      <c r="G2841">
        <f>IF(AND(A2841&gt;=Inputs!$B$5,A2841&lt;=Inputs!$B$6),1,0)</f>
        <v/>
      </c>
    </row>
    <row r="2842">
      <c r="A2842" t="inlineStr">
        <is>
          <t>2026-09</t>
        </is>
      </c>
      <c r="B2842" t="inlineStr">
        <is>
          <t>HOSP-1</t>
        </is>
      </c>
      <c r="C2842" t="inlineStr">
        <is>
          <t>SS-01045</t>
        </is>
      </c>
      <c r="D2842" t="n">
        <v>96</v>
      </c>
      <c r="E2842" t="n">
        <v>0</v>
      </c>
      <c r="G2842">
        <f>IF(AND(A2842&gt;=Inputs!$B$5,A2842&lt;=Inputs!$B$6),1,0)</f>
        <v/>
      </c>
    </row>
    <row r="2843">
      <c r="A2843" t="inlineStr">
        <is>
          <t>2026-09</t>
        </is>
      </c>
      <c r="B2843" t="inlineStr">
        <is>
          <t>HOSP-2</t>
        </is>
      </c>
      <c r="C2843" t="inlineStr">
        <is>
          <t>SS-01046</t>
        </is>
      </c>
      <c r="D2843" t="n">
        <v>24</v>
      </c>
      <c r="E2843" t="n">
        <v>0</v>
      </c>
      <c r="G2843">
        <f>IF(AND(A2843&gt;=Inputs!$B$5,A2843&lt;=Inputs!$B$6),1,0)</f>
        <v/>
      </c>
    </row>
    <row r="2844">
      <c r="A2844" t="inlineStr">
        <is>
          <t>2026-09</t>
        </is>
      </c>
      <c r="B2844" t="inlineStr">
        <is>
          <t>HOSP-3</t>
        </is>
      </c>
      <c r="C2844" t="inlineStr">
        <is>
          <t>SS-01047</t>
        </is>
      </c>
      <c r="D2844" t="n">
        <v>0</v>
      </c>
      <c r="E2844" t="n">
        <v>0</v>
      </c>
      <c r="G2844">
        <f>IF(AND(A2844&gt;=Inputs!$B$5,A2844&lt;=Inputs!$B$6),1,0)</f>
        <v/>
      </c>
    </row>
    <row r="2845">
      <c r="A2845" t="inlineStr">
        <is>
          <t>2026-09</t>
        </is>
      </c>
      <c r="B2845" t="inlineStr">
        <is>
          <t>HOSP-4</t>
        </is>
      </c>
      <c r="C2845" t="inlineStr">
        <is>
          <t>SS-01048</t>
        </is>
      </c>
      <c r="D2845" t="n">
        <v>168</v>
      </c>
      <c r="E2845" t="n">
        <v>0</v>
      </c>
      <c r="G2845">
        <f>IF(AND(A2845&gt;=Inputs!$B$5,A2845&lt;=Inputs!$B$6),1,0)</f>
        <v/>
      </c>
    </row>
    <row r="2846">
      <c r="A2846" t="inlineStr">
        <is>
          <t>2026-09</t>
        </is>
      </c>
      <c r="B2846" t="inlineStr">
        <is>
          <t>HOSP-1</t>
        </is>
      </c>
      <c r="C2846" t="inlineStr">
        <is>
          <t>SS-01049</t>
        </is>
      </c>
      <c r="D2846" t="n">
        <v>48</v>
      </c>
      <c r="E2846" t="n">
        <v>0</v>
      </c>
      <c r="G2846">
        <f>IF(AND(A2846&gt;=Inputs!$B$5,A2846&lt;=Inputs!$B$6),1,0)</f>
        <v/>
      </c>
    </row>
    <row r="2847">
      <c r="A2847" t="inlineStr">
        <is>
          <t>2026-09</t>
        </is>
      </c>
      <c r="B2847" t="inlineStr">
        <is>
          <t>HOSP-2</t>
        </is>
      </c>
      <c r="C2847" t="inlineStr">
        <is>
          <t>SS-01050</t>
        </is>
      </c>
      <c r="D2847" t="n">
        <v>11</v>
      </c>
      <c r="E2847" t="n">
        <v>1</v>
      </c>
      <c r="G2847">
        <f>IF(AND(A2847&gt;=Inputs!$B$5,A2847&lt;=Inputs!$B$6),1,0)</f>
        <v/>
      </c>
    </row>
    <row r="2848">
      <c r="A2848" t="inlineStr">
        <is>
          <t>2026-09</t>
        </is>
      </c>
      <c r="B2848" t="inlineStr">
        <is>
          <t>HOSP-3</t>
        </is>
      </c>
      <c r="C2848" t="inlineStr">
        <is>
          <t>SS-01051</t>
        </is>
      </c>
      <c r="D2848" t="n">
        <v>35</v>
      </c>
      <c r="E2848" t="n">
        <v>1</v>
      </c>
      <c r="G2848">
        <f>IF(AND(A2848&gt;=Inputs!$B$5,A2848&lt;=Inputs!$B$6),1,0)</f>
        <v/>
      </c>
    </row>
    <row r="2849">
      <c r="A2849" t="inlineStr">
        <is>
          <t>2026-09</t>
        </is>
      </c>
      <c r="B2849" t="inlineStr">
        <is>
          <t>HOSP-4</t>
        </is>
      </c>
      <c r="C2849" t="inlineStr">
        <is>
          <t>SS-01052</t>
        </is>
      </c>
      <c r="D2849" t="n">
        <v>0</v>
      </c>
      <c r="E2849" t="n">
        <v>0</v>
      </c>
      <c r="G2849">
        <f>IF(AND(A2849&gt;=Inputs!$B$5,A2849&lt;=Inputs!$B$6),1,0)</f>
        <v/>
      </c>
    </row>
    <row r="2850">
      <c r="A2850" t="inlineStr">
        <is>
          <t>2026-09</t>
        </is>
      </c>
      <c r="B2850" t="inlineStr">
        <is>
          <t>HOSP-1</t>
        </is>
      </c>
      <c r="C2850" t="inlineStr">
        <is>
          <t>SS-01053</t>
        </is>
      </c>
      <c r="D2850" t="n">
        <v>57</v>
      </c>
      <c r="E2850" t="n">
        <v>1</v>
      </c>
      <c r="G2850">
        <f>IF(AND(A2850&gt;=Inputs!$B$5,A2850&lt;=Inputs!$B$6),1,0)</f>
        <v/>
      </c>
    </row>
    <row r="2851">
      <c r="A2851" t="inlineStr">
        <is>
          <t>2026-09</t>
        </is>
      </c>
      <c r="B2851" t="inlineStr">
        <is>
          <t>HOSP-2</t>
        </is>
      </c>
      <c r="C2851" t="inlineStr">
        <is>
          <t>SS-01054</t>
        </is>
      </c>
      <c r="D2851" t="n">
        <v>24</v>
      </c>
      <c r="E2851" t="n">
        <v>0</v>
      </c>
      <c r="G2851">
        <f>IF(AND(A2851&gt;=Inputs!$B$5,A2851&lt;=Inputs!$B$6),1,0)</f>
        <v/>
      </c>
    </row>
    <row r="2852">
      <c r="A2852" t="inlineStr">
        <is>
          <t>2026-09</t>
        </is>
      </c>
      <c r="B2852" t="inlineStr">
        <is>
          <t>HOSP-3</t>
        </is>
      </c>
      <c r="C2852" t="inlineStr">
        <is>
          <t>SS-01055</t>
        </is>
      </c>
      <c r="D2852" t="n">
        <v>6</v>
      </c>
      <c r="E2852" t="n">
        <v>2</v>
      </c>
      <c r="G2852">
        <f>IF(AND(A2852&gt;=Inputs!$B$5,A2852&lt;=Inputs!$B$6),1,0)</f>
        <v/>
      </c>
    </row>
    <row r="2853">
      <c r="A2853" t="inlineStr">
        <is>
          <t>2026-09</t>
        </is>
      </c>
      <c r="B2853" t="inlineStr">
        <is>
          <t>HOSP-4</t>
        </is>
      </c>
      <c r="C2853" t="inlineStr">
        <is>
          <t>SS-01056</t>
        </is>
      </c>
      <c r="D2853" t="n">
        <v>0</v>
      </c>
      <c r="E2853" t="n">
        <v>0</v>
      </c>
      <c r="G2853">
        <f>IF(AND(A2853&gt;=Inputs!$B$5,A2853&lt;=Inputs!$B$6),1,0)</f>
        <v/>
      </c>
    </row>
    <row r="2854">
      <c r="A2854" t="inlineStr">
        <is>
          <t>2026-09</t>
        </is>
      </c>
      <c r="B2854" t="inlineStr">
        <is>
          <t>HOSP-1</t>
        </is>
      </c>
      <c r="C2854" t="inlineStr">
        <is>
          <t>SS-01057</t>
        </is>
      </c>
      <c r="D2854" t="n">
        <v>12</v>
      </c>
      <c r="E2854" t="n">
        <v>0</v>
      </c>
      <c r="G2854">
        <f>IF(AND(A2854&gt;=Inputs!$B$5,A2854&lt;=Inputs!$B$6),1,0)</f>
        <v/>
      </c>
    </row>
    <row r="2855">
      <c r="A2855" t="inlineStr">
        <is>
          <t>2026-09</t>
        </is>
      </c>
      <c r="B2855" t="inlineStr">
        <is>
          <t>HOSP-2</t>
        </is>
      </c>
      <c r="C2855" t="inlineStr">
        <is>
          <t>SS-01058</t>
        </is>
      </c>
      <c r="D2855" t="n">
        <v>0</v>
      </c>
      <c r="E2855" t="n">
        <v>0</v>
      </c>
      <c r="G2855">
        <f>IF(AND(A2855&gt;=Inputs!$B$5,A2855&lt;=Inputs!$B$6),1,0)</f>
        <v/>
      </c>
    </row>
    <row r="2856">
      <c r="A2856" t="inlineStr">
        <is>
          <t>2026-09</t>
        </is>
      </c>
      <c r="B2856" t="inlineStr">
        <is>
          <t>HOSP-3</t>
        </is>
      </c>
      <c r="C2856" t="inlineStr">
        <is>
          <t>SS-01059</t>
        </is>
      </c>
      <c r="D2856" t="n">
        <v>12</v>
      </c>
      <c r="E2856" t="n">
        <v>0</v>
      </c>
      <c r="G2856">
        <f>IF(AND(A2856&gt;=Inputs!$B$5,A2856&lt;=Inputs!$B$6),1,0)</f>
        <v/>
      </c>
    </row>
    <row r="2857">
      <c r="A2857" t="inlineStr">
        <is>
          <t>2026-09</t>
        </is>
      </c>
      <c r="B2857" t="inlineStr">
        <is>
          <t>HOSP-4</t>
        </is>
      </c>
      <c r="C2857" t="inlineStr">
        <is>
          <t>SS-01060</t>
        </is>
      </c>
      <c r="D2857" t="n">
        <v>0</v>
      </c>
      <c r="E2857" t="n">
        <v>0</v>
      </c>
      <c r="G2857">
        <f>IF(AND(A2857&gt;=Inputs!$B$5,A2857&lt;=Inputs!$B$6),1,0)</f>
        <v/>
      </c>
    </row>
    <row r="2858">
      <c r="A2858" t="inlineStr">
        <is>
          <t>2026-09</t>
        </is>
      </c>
      <c r="B2858" t="inlineStr">
        <is>
          <t>HOSP-1</t>
        </is>
      </c>
      <c r="C2858" t="inlineStr">
        <is>
          <t>SS-01061</t>
        </is>
      </c>
      <c r="D2858" t="n">
        <v>24</v>
      </c>
      <c r="E2858" t="n">
        <v>0</v>
      </c>
      <c r="G2858">
        <f>IF(AND(A2858&gt;=Inputs!$B$5,A2858&lt;=Inputs!$B$6),1,0)</f>
        <v/>
      </c>
    </row>
    <row r="2859">
      <c r="A2859" t="inlineStr">
        <is>
          <t>2026-09</t>
        </is>
      </c>
      <c r="B2859" t="inlineStr">
        <is>
          <t>HOSP-2</t>
        </is>
      </c>
      <c r="C2859" t="inlineStr">
        <is>
          <t>SS-01062</t>
        </is>
      </c>
      <c r="D2859" t="n">
        <v>24</v>
      </c>
      <c r="E2859" t="n">
        <v>0</v>
      </c>
      <c r="G2859">
        <f>IF(AND(A2859&gt;=Inputs!$B$5,A2859&lt;=Inputs!$B$6),1,0)</f>
        <v/>
      </c>
    </row>
    <row r="2860">
      <c r="A2860" t="inlineStr">
        <is>
          <t>2026-09</t>
        </is>
      </c>
      <c r="B2860" t="inlineStr">
        <is>
          <t>HOSP-3</t>
        </is>
      </c>
      <c r="C2860" t="inlineStr">
        <is>
          <t>SS-01171</t>
        </is>
      </c>
      <c r="D2860" t="n">
        <v>12</v>
      </c>
      <c r="E2860" t="n">
        <v>0</v>
      </c>
      <c r="G2860">
        <f>IF(AND(A2860&gt;=Inputs!$B$5,A2860&lt;=Inputs!$B$6),1,0)</f>
        <v/>
      </c>
    </row>
    <row r="2861">
      <c r="A2861" t="inlineStr">
        <is>
          <t>2026-09</t>
        </is>
      </c>
      <c r="B2861" t="inlineStr">
        <is>
          <t>HOSP-4</t>
        </is>
      </c>
      <c r="C2861" t="inlineStr">
        <is>
          <t>SS-01064</t>
        </is>
      </c>
      <c r="D2861" t="n">
        <v>36</v>
      </c>
      <c r="E2861" t="n">
        <v>0</v>
      </c>
      <c r="G2861">
        <f>IF(AND(A2861&gt;=Inputs!$B$5,A2861&lt;=Inputs!$B$6),1,0)</f>
        <v/>
      </c>
    </row>
    <row r="2862">
      <c r="A2862" t="inlineStr">
        <is>
          <t>2026-09</t>
        </is>
      </c>
      <c r="B2862" t="inlineStr">
        <is>
          <t>HOSP-1</t>
        </is>
      </c>
      <c r="C2862" t="inlineStr">
        <is>
          <t>SS-01065</t>
        </is>
      </c>
      <c r="D2862" t="n">
        <v>0</v>
      </c>
      <c r="E2862" t="n">
        <v>0</v>
      </c>
      <c r="G2862">
        <f>IF(AND(A2862&gt;=Inputs!$B$5,A2862&lt;=Inputs!$B$6),1,0)</f>
        <v/>
      </c>
    </row>
    <row r="2863">
      <c r="A2863" t="inlineStr">
        <is>
          <t>2026-09</t>
        </is>
      </c>
      <c r="B2863" t="inlineStr">
        <is>
          <t>HOSP-2</t>
        </is>
      </c>
      <c r="C2863" t="inlineStr">
        <is>
          <t>SS-01066</t>
        </is>
      </c>
      <c r="D2863" t="n">
        <v>23</v>
      </c>
      <c r="E2863" t="n">
        <v>0</v>
      </c>
      <c r="G2863">
        <f>IF(AND(A2863&gt;=Inputs!$B$5,A2863&lt;=Inputs!$B$6),1,0)</f>
        <v/>
      </c>
    </row>
    <row r="2864">
      <c r="A2864" t="inlineStr">
        <is>
          <t>2026-09</t>
        </is>
      </c>
      <c r="B2864" t="inlineStr">
        <is>
          <t>HOSP-3</t>
        </is>
      </c>
      <c r="C2864" t="inlineStr">
        <is>
          <t>SS-01067</t>
        </is>
      </c>
      <c r="D2864" t="n">
        <v>48</v>
      </c>
      <c r="E2864" t="n">
        <v>0</v>
      </c>
      <c r="G2864">
        <f>IF(AND(A2864&gt;=Inputs!$B$5,A2864&lt;=Inputs!$B$6),1,0)</f>
        <v/>
      </c>
    </row>
    <row r="2865">
      <c r="A2865" t="inlineStr">
        <is>
          <t>2026-09</t>
        </is>
      </c>
      <c r="B2865" t="inlineStr">
        <is>
          <t>HOSP-4</t>
        </is>
      </c>
      <c r="C2865" t="inlineStr">
        <is>
          <t>SS-01189</t>
        </is>
      </c>
      <c r="D2865" t="n">
        <v>384</v>
      </c>
      <c r="E2865" t="n">
        <v>0</v>
      </c>
      <c r="G2865">
        <f>IF(AND(A2865&gt;=Inputs!$B$5,A2865&lt;=Inputs!$B$6),1,0)</f>
        <v/>
      </c>
    </row>
    <row r="2866">
      <c r="A2866" t="inlineStr">
        <is>
          <t>2026-09</t>
        </is>
      </c>
      <c r="B2866" t="inlineStr">
        <is>
          <t>HOSP-1</t>
        </is>
      </c>
      <c r="C2866" t="inlineStr">
        <is>
          <t>SS-01069</t>
        </is>
      </c>
      <c r="D2866" t="n">
        <v>12</v>
      </c>
      <c r="E2866" t="n">
        <v>0</v>
      </c>
      <c r="G2866">
        <f>IF(AND(A2866&gt;=Inputs!$B$5,A2866&lt;=Inputs!$B$6),1,0)</f>
        <v/>
      </c>
    </row>
    <row r="2867">
      <c r="A2867" t="inlineStr">
        <is>
          <t>2026-09</t>
        </is>
      </c>
      <c r="B2867" t="inlineStr">
        <is>
          <t>HOSP-2</t>
        </is>
      </c>
      <c r="C2867" t="inlineStr">
        <is>
          <t>SS-01070</t>
        </is>
      </c>
      <c r="D2867" t="n">
        <v>28</v>
      </c>
      <c r="E2867" t="n">
        <v>0</v>
      </c>
      <c r="G2867">
        <f>IF(AND(A2867&gt;=Inputs!$B$5,A2867&lt;=Inputs!$B$6),1,0)</f>
        <v/>
      </c>
    </row>
    <row r="2868">
      <c r="A2868" t="inlineStr">
        <is>
          <t>2026-09</t>
        </is>
      </c>
      <c r="B2868" t="inlineStr">
        <is>
          <t>HOSP-3</t>
        </is>
      </c>
      <c r="C2868" t="inlineStr">
        <is>
          <t>SS-01071</t>
        </is>
      </c>
      <c r="D2868" t="n">
        <v>0</v>
      </c>
      <c r="E2868" t="n">
        <v>0</v>
      </c>
      <c r="G2868">
        <f>IF(AND(A2868&gt;=Inputs!$B$5,A2868&lt;=Inputs!$B$6),1,0)</f>
        <v/>
      </c>
    </row>
    <row r="2869">
      <c r="A2869" t="inlineStr">
        <is>
          <t>2026-09</t>
        </is>
      </c>
      <c r="B2869" t="inlineStr">
        <is>
          <t>HOSP-4</t>
        </is>
      </c>
      <c r="C2869" t="inlineStr">
        <is>
          <t>SS-01072</t>
        </is>
      </c>
      <c r="D2869" t="n">
        <v>84</v>
      </c>
      <c r="E2869" t="n">
        <v>0</v>
      </c>
      <c r="G2869">
        <f>IF(AND(A2869&gt;=Inputs!$B$5,A2869&lt;=Inputs!$B$6),1,0)</f>
        <v/>
      </c>
    </row>
    <row r="2870">
      <c r="A2870" t="inlineStr">
        <is>
          <t>2026-09</t>
        </is>
      </c>
      <c r="B2870" t="inlineStr">
        <is>
          <t>HOSP-1</t>
        </is>
      </c>
      <c r="C2870" t="inlineStr">
        <is>
          <t>SS-01073</t>
        </is>
      </c>
      <c r="D2870" t="n">
        <v>11</v>
      </c>
      <c r="E2870" t="n">
        <v>0</v>
      </c>
      <c r="G2870">
        <f>IF(AND(A2870&gt;=Inputs!$B$5,A2870&lt;=Inputs!$B$6),1,0)</f>
        <v/>
      </c>
    </row>
    <row r="2871">
      <c r="A2871" t="inlineStr">
        <is>
          <t>2026-09</t>
        </is>
      </c>
      <c r="B2871" t="inlineStr">
        <is>
          <t>HOSP-2</t>
        </is>
      </c>
      <c r="C2871" t="inlineStr">
        <is>
          <t>SS-01074</t>
        </is>
      </c>
      <c r="D2871" t="n">
        <v>12</v>
      </c>
      <c r="E2871" t="n">
        <v>0</v>
      </c>
      <c r="G2871">
        <f>IF(AND(A2871&gt;=Inputs!$B$5,A2871&lt;=Inputs!$B$6),1,0)</f>
        <v/>
      </c>
    </row>
    <row r="2872">
      <c r="A2872" t="inlineStr">
        <is>
          <t>2026-09</t>
        </is>
      </c>
      <c r="B2872" t="inlineStr">
        <is>
          <t>HOSP-3</t>
        </is>
      </c>
      <c r="C2872" t="inlineStr">
        <is>
          <t>SS-01075</t>
        </is>
      </c>
      <c r="D2872" t="n">
        <v>60</v>
      </c>
      <c r="E2872" t="n">
        <v>0</v>
      </c>
      <c r="G2872">
        <f>IF(AND(A2872&gt;=Inputs!$B$5,A2872&lt;=Inputs!$B$6),1,0)</f>
        <v/>
      </c>
    </row>
    <row r="2873">
      <c r="A2873" t="inlineStr">
        <is>
          <t>2026-09</t>
        </is>
      </c>
      <c r="B2873" t="inlineStr">
        <is>
          <t>HOSP-4</t>
        </is>
      </c>
      <c r="C2873" t="inlineStr">
        <is>
          <t>SS-01076</t>
        </is>
      </c>
      <c r="D2873" t="n">
        <v>12</v>
      </c>
      <c r="E2873" t="n">
        <v>0</v>
      </c>
      <c r="G2873">
        <f>IF(AND(A2873&gt;=Inputs!$B$5,A2873&lt;=Inputs!$B$6),1,0)</f>
        <v/>
      </c>
    </row>
    <row r="2874">
      <c r="A2874" t="inlineStr">
        <is>
          <t>2026-09</t>
        </is>
      </c>
      <c r="B2874" t="inlineStr">
        <is>
          <t>HOSP-1</t>
        </is>
      </c>
      <c r="C2874" t="inlineStr">
        <is>
          <t>SS-01077</t>
        </is>
      </c>
      <c r="D2874" t="n">
        <v>132</v>
      </c>
      <c r="E2874" t="n">
        <v>0</v>
      </c>
      <c r="G2874">
        <f>IF(AND(A2874&gt;=Inputs!$B$5,A2874&lt;=Inputs!$B$6),1,0)</f>
        <v/>
      </c>
    </row>
    <row r="2875">
      <c r="A2875" t="inlineStr">
        <is>
          <t>2026-09</t>
        </is>
      </c>
      <c r="B2875" t="inlineStr">
        <is>
          <t>HOSP-2</t>
        </is>
      </c>
      <c r="C2875" t="inlineStr">
        <is>
          <t>SS-01078</t>
        </is>
      </c>
      <c r="D2875" t="n">
        <v>0</v>
      </c>
      <c r="E2875" t="n">
        <v>0</v>
      </c>
      <c r="G2875">
        <f>IF(AND(A2875&gt;=Inputs!$B$5,A2875&lt;=Inputs!$B$6),1,0)</f>
        <v/>
      </c>
    </row>
    <row r="2876">
      <c r="A2876" t="inlineStr">
        <is>
          <t>2026-09</t>
        </is>
      </c>
      <c r="B2876" t="inlineStr">
        <is>
          <t>HOSP-3</t>
        </is>
      </c>
      <c r="C2876" t="inlineStr">
        <is>
          <t>SS-01079</t>
        </is>
      </c>
      <c r="D2876" t="n">
        <v>95</v>
      </c>
      <c r="E2876" t="n">
        <v>0</v>
      </c>
      <c r="G2876">
        <f>IF(AND(A2876&gt;=Inputs!$B$5,A2876&lt;=Inputs!$B$6),1,0)</f>
        <v/>
      </c>
    </row>
    <row r="2877">
      <c r="A2877" t="inlineStr">
        <is>
          <t>2026-09</t>
        </is>
      </c>
      <c r="B2877" t="inlineStr">
        <is>
          <t>HOSP-4</t>
        </is>
      </c>
      <c r="C2877" t="inlineStr">
        <is>
          <t>SS-01080</t>
        </is>
      </c>
      <c r="D2877" t="n">
        <v>12</v>
      </c>
      <c r="E2877" t="n">
        <v>0</v>
      </c>
      <c r="G2877">
        <f>IF(AND(A2877&gt;=Inputs!$B$5,A2877&lt;=Inputs!$B$6),1,0)</f>
        <v/>
      </c>
    </row>
    <row r="2878">
      <c r="A2878" t="inlineStr">
        <is>
          <t>2026-09</t>
        </is>
      </c>
      <c r="B2878" t="inlineStr">
        <is>
          <t>HOSP-1</t>
        </is>
      </c>
      <c r="C2878" t="inlineStr">
        <is>
          <t>SS-01081</t>
        </is>
      </c>
      <c r="D2878" t="n">
        <v>57</v>
      </c>
      <c r="E2878" t="n">
        <v>0</v>
      </c>
      <c r="G2878">
        <f>IF(AND(A2878&gt;=Inputs!$B$5,A2878&lt;=Inputs!$B$6),1,0)</f>
        <v/>
      </c>
    </row>
    <row r="2879">
      <c r="A2879" t="inlineStr">
        <is>
          <t>2026-09</t>
        </is>
      </c>
      <c r="B2879" t="inlineStr">
        <is>
          <t>HOSP-2</t>
        </is>
      </c>
      <c r="C2879" t="inlineStr">
        <is>
          <t>SS-01082</t>
        </is>
      </c>
      <c r="D2879" t="n">
        <v>12</v>
      </c>
      <c r="E2879" t="n">
        <v>0</v>
      </c>
      <c r="G2879">
        <f>IF(AND(A2879&gt;=Inputs!$B$5,A2879&lt;=Inputs!$B$6),1,0)</f>
        <v/>
      </c>
    </row>
    <row r="2880">
      <c r="A2880" t="inlineStr">
        <is>
          <t>2026-09</t>
        </is>
      </c>
      <c r="B2880" t="inlineStr">
        <is>
          <t>HOSP-3</t>
        </is>
      </c>
      <c r="C2880" t="inlineStr">
        <is>
          <t>SS-01083</t>
        </is>
      </c>
      <c r="D2880" t="n">
        <v>12</v>
      </c>
      <c r="E2880" t="n">
        <v>0</v>
      </c>
      <c r="G2880">
        <f>IF(AND(A2880&gt;=Inputs!$B$5,A2880&lt;=Inputs!$B$6),1,0)</f>
        <v/>
      </c>
    </row>
    <row r="2881">
      <c r="A2881" t="inlineStr">
        <is>
          <t>2026-09</t>
        </is>
      </c>
      <c r="B2881" t="inlineStr">
        <is>
          <t>HOSP-4</t>
        </is>
      </c>
      <c r="C2881" t="inlineStr">
        <is>
          <t>SS-01084</t>
        </is>
      </c>
      <c r="D2881" t="n">
        <v>12</v>
      </c>
      <c r="E2881" t="n">
        <v>0</v>
      </c>
      <c r="G2881">
        <f>IF(AND(A2881&gt;=Inputs!$B$5,A2881&lt;=Inputs!$B$6),1,0)</f>
        <v/>
      </c>
    </row>
    <row r="2882">
      <c r="A2882" t="inlineStr">
        <is>
          <t>2026-09</t>
        </is>
      </c>
      <c r="B2882" t="inlineStr">
        <is>
          <t>HOSP-1</t>
        </is>
      </c>
      <c r="C2882" t="inlineStr">
        <is>
          <t>SS-01085</t>
        </is>
      </c>
      <c r="D2882" t="n">
        <v>0</v>
      </c>
      <c r="E2882" t="n">
        <v>0</v>
      </c>
      <c r="G2882">
        <f>IF(AND(A2882&gt;=Inputs!$B$5,A2882&lt;=Inputs!$B$6),1,0)</f>
        <v/>
      </c>
    </row>
    <row r="2883">
      <c r="A2883" t="inlineStr">
        <is>
          <t>2026-09</t>
        </is>
      </c>
      <c r="B2883" t="inlineStr">
        <is>
          <t>HOSP-2</t>
        </is>
      </c>
      <c r="C2883" t="inlineStr">
        <is>
          <t>SS-01218</t>
        </is>
      </c>
      <c r="D2883" t="n">
        <v>17</v>
      </c>
      <c r="E2883" t="n">
        <v>1</v>
      </c>
      <c r="G2883">
        <f>IF(AND(A2883&gt;=Inputs!$B$5,A2883&lt;=Inputs!$B$6),1,0)</f>
        <v/>
      </c>
    </row>
    <row r="2884">
      <c r="A2884" t="inlineStr">
        <is>
          <t>2026-09</t>
        </is>
      </c>
      <c r="B2884" t="inlineStr">
        <is>
          <t>HOSP-3</t>
        </is>
      </c>
      <c r="C2884" t="inlineStr">
        <is>
          <t>SS-01087</t>
        </is>
      </c>
      <c r="D2884" t="n">
        <v>0</v>
      </c>
      <c r="E2884" t="n">
        <v>0</v>
      </c>
      <c r="G2884">
        <f>IF(AND(A2884&gt;=Inputs!$B$5,A2884&lt;=Inputs!$B$6),1,0)</f>
        <v/>
      </c>
    </row>
    <row r="2885">
      <c r="A2885" t="inlineStr">
        <is>
          <t>2026-09</t>
        </is>
      </c>
      <c r="B2885" t="inlineStr">
        <is>
          <t>HOSP-4</t>
        </is>
      </c>
      <c r="C2885" t="inlineStr">
        <is>
          <t>SS-01088</t>
        </is>
      </c>
      <c r="D2885" t="n">
        <v>24</v>
      </c>
      <c r="E2885" t="n">
        <v>0</v>
      </c>
      <c r="G2885">
        <f>IF(AND(A2885&gt;=Inputs!$B$5,A2885&lt;=Inputs!$B$6),1,0)</f>
        <v/>
      </c>
    </row>
    <row r="2886">
      <c r="A2886" t="inlineStr">
        <is>
          <t>2026-09</t>
        </is>
      </c>
      <c r="B2886" t="inlineStr">
        <is>
          <t>HOSP-1</t>
        </is>
      </c>
      <c r="C2886" t="inlineStr">
        <is>
          <t>SS-01089</t>
        </is>
      </c>
      <c r="D2886" t="n">
        <v>0</v>
      </c>
      <c r="E2886" t="n">
        <v>0</v>
      </c>
      <c r="G2886">
        <f>IF(AND(A2886&gt;=Inputs!$B$5,A2886&lt;=Inputs!$B$6),1,0)</f>
        <v/>
      </c>
    </row>
    <row r="2887">
      <c r="A2887" t="inlineStr">
        <is>
          <t>2026-09</t>
        </is>
      </c>
      <c r="B2887" t="inlineStr">
        <is>
          <t>HOSP-2</t>
        </is>
      </c>
      <c r="C2887" t="inlineStr">
        <is>
          <t>SS-01090</t>
        </is>
      </c>
      <c r="D2887" t="n">
        <v>84</v>
      </c>
      <c r="E2887" t="n">
        <v>0</v>
      </c>
      <c r="G2887">
        <f>IF(AND(A2887&gt;=Inputs!$B$5,A2887&lt;=Inputs!$B$6),1,0)</f>
        <v/>
      </c>
    </row>
    <row r="2888">
      <c r="A2888" t="inlineStr">
        <is>
          <t>2026-09</t>
        </is>
      </c>
      <c r="B2888" t="inlineStr">
        <is>
          <t>HOSP-3</t>
        </is>
      </c>
      <c r="C2888" t="inlineStr">
        <is>
          <t>SS-01091</t>
        </is>
      </c>
      <c r="D2888" t="n">
        <v>60</v>
      </c>
      <c r="E2888" t="n">
        <v>0</v>
      </c>
      <c r="G2888">
        <f>IF(AND(A2888&gt;=Inputs!$B$5,A2888&lt;=Inputs!$B$6),1,0)</f>
        <v/>
      </c>
    </row>
    <row r="2889">
      <c r="A2889" t="inlineStr">
        <is>
          <t>2026-09</t>
        </is>
      </c>
      <c r="B2889" t="inlineStr">
        <is>
          <t>HOSP-4</t>
        </is>
      </c>
      <c r="C2889" t="inlineStr">
        <is>
          <t>SS-01106</t>
        </is>
      </c>
      <c r="D2889" t="n">
        <v>39</v>
      </c>
      <c r="E2889" t="n">
        <v>0</v>
      </c>
      <c r="G2889">
        <f>IF(AND(A2889&gt;=Inputs!$B$5,A2889&lt;=Inputs!$B$6),1,0)</f>
        <v/>
      </c>
    </row>
    <row r="2890">
      <c r="A2890" t="inlineStr">
        <is>
          <t>2026-09</t>
        </is>
      </c>
      <c r="B2890" t="inlineStr">
        <is>
          <t>HOSP-1</t>
        </is>
      </c>
      <c r="C2890" t="inlineStr">
        <is>
          <t>SS-01093</t>
        </is>
      </c>
      <c r="D2890" t="n">
        <v>72</v>
      </c>
      <c r="E2890" t="n">
        <v>0</v>
      </c>
      <c r="G2890">
        <f>IF(AND(A2890&gt;=Inputs!$B$5,A2890&lt;=Inputs!$B$6),1,0)</f>
        <v/>
      </c>
    </row>
    <row r="2891">
      <c r="A2891" t="inlineStr">
        <is>
          <t>2026-09</t>
        </is>
      </c>
      <c r="B2891" t="inlineStr">
        <is>
          <t>HOSP-2</t>
        </is>
      </c>
      <c r="C2891" t="inlineStr">
        <is>
          <t>SS-01094</t>
        </is>
      </c>
      <c r="D2891" t="n">
        <v>8</v>
      </c>
      <c r="E2891" t="n">
        <v>0</v>
      </c>
      <c r="G2891">
        <f>IF(AND(A2891&gt;=Inputs!$B$5,A2891&lt;=Inputs!$B$6),1,0)</f>
        <v/>
      </c>
    </row>
    <row r="2892">
      <c r="A2892" t="inlineStr">
        <is>
          <t>2026-09</t>
        </is>
      </c>
      <c r="B2892" t="inlineStr">
        <is>
          <t>HOSP-3</t>
        </is>
      </c>
      <c r="C2892" t="inlineStr">
        <is>
          <t>SS-01095</t>
        </is>
      </c>
      <c r="D2892" t="n">
        <v>60</v>
      </c>
      <c r="E2892" t="n">
        <v>0</v>
      </c>
      <c r="G2892">
        <f>IF(AND(A2892&gt;=Inputs!$B$5,A2892&lt;=Inputs!$B$6),1,0)</f>
        <v/>
      </c>
    </row>
    <row r="2893">
      <c r="A2893" t="inlineStr">
        <is>
          <t>2026-09</t>
        </is>
      </c>
      <c r="B2893" t="inlineStr">
        <is>
          <t>HOSP-4</t>
        </is>
      </c>
      <c r="C2893" t="inlineStr">
        <is>
          <t>SS-01096</t>
        </is>
      </c>
      <c r="D2893" t="n">
        <v>41</v>
      </c>
      <c r="E2893" t="n">
        <v>0</v>
      </c>
      <c r="G2893">
        <f>IF(AND(A2893&gt;=Inputs!$B$5,A2893&lt;=Inputs!$B$6),1,0)</f>
        <v/>
      </c>
    </row>
    <row r="2894">
      <c r="A2894" t="inlineStr">
        <is>
          <t>2026-09</t>
        </is>
      </c>
      <c r="B2894" t="inlineStr">
        <is>
          <t>HOSP-1</t>
        </is>
      </c>
      <c r="C2894" t="inlineStr">
        <is>
          <t>SS-01178</t>
        </is>
      </c>
      <c r="D2894" t="n">
        <v>0</v>
      </c>
      <c r="E2894" t="n">
        <v>0</v>
      </c>
      <c r="G2894">
        <f>IF(AND(A2894&gt;=Inputs!$B$5,A2894&lt;=Inputs!$B$6),1,0)</f>
        <v/>
      </c>
    </row>
    <row r="2895">
      <c r="A2895" t="inlineStr">
        <is>
          <t>2026-09</t>
        </is>
      </c>
      <c r="B2895" t="inlineStr">
        <is>
          <t>HOSP-2</t>
        </is>
      </c>
      <c r="C2895" t="inlineStr">
        <is>
          <t>SS-01098</t>
        </is>
      </c>
      <c r="D2895" t="n">
        <v>36</v>
      </c>
      <c r="E2895" t="n">
        <v>0</v>
      </c>
      <c r="G2895">
        <f>IF(AND(A2895&gt;=Inputs!$B$5,A2895&lt;=Inputs!$B$6),1,0)</f>
        <v/>
      </c>
    </row>
    <row r="2896">
      <c r="A2896" t="inlineStr">
        <is>
          <t>2026-09</t>
        </is>
      </c>
      <c r="B2896" t="inlineStr">
        <is>
          <t>HOSP-3</t>
        </is>
      </c>
      <c r="C2896" t="inlineStr">
        <is>
          <t>SS-01099</t>
        </is>
      </c>
      <c r="D2896" t="n">
        <v>0</v>
      </c>
      <c r="E2896" t="n">
        <v>0</v>
      </c>
      <c r="G2896">
        <f>IF(AND(A2896&gt;=Inputs!$B$5,A2896&lt;=Inputs!$B$6),1,0)</f>
        <v/>
      </c>
    </row>
    <row r="2897">
      <c r="A2897" t="inlineStr">
        <is>
          <t>2026-09</t>
        </is>
      </c>
      <c r="B2897" t="inlineStr">
        <is>
          <t>HOSP-4</t>
        </is>
      </c>
      <c r="C2897" t="inlineStr">
        <is>
          <t>SS-01100</t>
        </is>
      </c>
      <c r="D2897" t="n">
        <v>0</v>
      </c>
      <c r="E2897" t="n">
        <v>0</v>
      </c>
      <c r="G2897">
        <f>IF(AND(A2897&gt;=Inputs!$B$5,A2897&lt;=Inputs!$B$6),1,0)</f>
        <v/>
      </c>
    </row>
    <row r="2898">
      <c r="A2898" t="inlineStr">
        <is>
          <t>2026-09</t>
        </is>
      </c>
      <c r="B2898" t="inlineStr">
        <is>
          <t>HOSP-1</t>
        </is>
      </c>
      <c r="C2898" t="inlineStr">
        <is>
          <t>SS-01101</t>
        </is>
      </c>
      <c r="D2898" t="n">
        <v>12</v>
      </c>
      <c r="E2898" t="n">
        <v>0</v>
      </c>
      <c r="G2898">
        <f>IF(AND(A2898&gt;=Inputs!$B$5,A2898&lt;=Inputs!$B$6),1,0)</f>
        <v/>
      </c>
    </row>
    <row r="2899">
      <c r="A2899" t="inlineStr">
        <is>
          <t>2026-09</t>
        </is>
      </c>
      <c r="B2899" t="inlineStr">
        <is>
          <t>HOSP-2</t>
        </is>
      </c>
      <c r="C2899" t="inlineStr">
        <is>
          <t>SS-01102</t>
        </is>
      </c>
      <c r="D2899" t="n">
        <v>48</v>
      </c>
      <c r="E2899" t="n">
        <v>0</v>
      </c>
      <c r="G2899">
        <f>IF(AND(A2899&gt;=Inputs!$B$5,A2899&lt;=Inputs!$B$6),1,0)</f>
        <v/>
      </c>
    </row>
    <row r="2900">
      <c r="A2900" t="inlineStr">
        <is>
          <t>2026-09</t>
        </is>
      </c>
      <c r="B2900" t="inlineStr">
        <is>
          <t>HOSP-3</t>
        </is>
      </c>
      <c r="C2900" t="inlineStr">
        <is>
          <t>SS-01103</t>
        </is>
      </c>
      <c r="D2900" t="n">
        <v>12</v>
      </c>
      <c r="E2900" t="n">
        <v>0</v>
      </c>
      <c r="G2900">
        <f>IF(AND(A2900&gt;=Inputs!$B$5,A2900&lt;=Inputs!$B$6),1,0)</f>
        <v/>
      </c>
    </row>
    <row r="2901">
      <c r="A2901" t="inlineStr">
        <is>
          <t>2026-09</t>
        </is>
      </c>
      <c r="B2901" t="inlineStr">
        <is>
          <t>HOSP-4</t>
        </is>
      </c>
      <c r="C2901" t="inlineStr">
        <is>
          <t>SS-01104</t>
        </is>
      </c>
      <c r="D2901" t="n">
        <v>12</v>
      </c>
      <c r="E2901" t="n">
        <v>0</v>
      </c>
      <c r="G2901">
        <f>IF(AND(A2901&gt;=Inputs!$B$5,A2901&lt;=Inputs!$B$6),1,0)</f>
        <v/>
      </c>
    </row>
    <row r="2902">
      <c r="A2902" t="inlineStr">
        <is>
          <t>2026-09</t>
        </is>
      </c>
      <c r="B2902" t="inlineStr">
        <is>
          <t>HOSP-1</t>
        </is>
      </c>
      <c r="C2902" t="inlineStr">
        <is>
          <t>SS-01105</t>
        </is>
      </c>
      <c r="D2902" t="n">
        <v>3</v>
      </c>
      <c r="E2902" t="n">
        <v>2</v>
      </c>
      <c r="G2902">
        <f>IF(AND(A2902&gt;=Inputs!$B$5,A2902&lt;=Inputs!$B$6),1,0)</f>
        <v/>
      </c>
    </row>
    <row r="2903">
      <c r="A2903" t="inlineStr">
        <is>
          <t>2026-09</t>
        </is>
      </c>
      <c r="B2903" t="inlineStr">
        <is>
          <t>HOSP-2</t>
        </is>
      </c>
      <c r="C2903" t="inlineStr">
        <is>
          <t>SS-01106</t>
        </is>
      </c>
      <c r="D2903" t="n">
        <v>0</v>
      </c>
      <c r="E2903" t="n">
        <v>0</v>
      </c>
      <c r="G2903">
        <f>IF(AND(A2903&gt;=Inputs!$B$5,A2903&lt;=Inputs!$B$6),1,0)</f>
        <v/>
      </c>
    </row>
    <row r="2904">
      <c r="A2904" t="inlineStr">
        <is>
          <t>2026-09</t>
        </is>
      </c>
      <c r="B2904" t="inlineStr">
        <is>
          <t>HOSP-3</t>
        </is>
      </c>
      <c r="C2904" t="inlineStr">
        <is>
          <t>SS-01107</t>
        </is>
      </c>
      <c r="D2904" t="n">
        <v>21</v>
      </c>
      <c r="E2904" t="n">
        <v>2</v>
      </c>
      <c r="G2904">
        <f>IF(AND(A2904&gt;=Inputs!$B$5,A2904&lt;=Inputs!$B$6),1,0)</f>
        <v/>
      </c>
    </row>
    <row r="2905">
      <c r="A2905" t="inlineStr">
        <is>
          <t>2026-09</t>
        </is>
      </c>
      <c r="B2905" t="inlineStr">
        <is>
          <t>HOSP-4</t>
        </is>
      </c>
      <c r="C2905" t="inlineStr">
        <is>
          <t>SS-01108</t>
        </is>
      </c>
      <c r="D2905" t="n">
        <v>84</v>
      </c>
      <c r="E2905" t="n">
        <v>0</v>
      </c>
      <c r="G2905">
        <f>IF(AND(A2905&gt;=Inputs!$B$5,A2905&lt;=Inputs!$B$6),1,0)</f>
        <v/>
      </c>
    </row>
    <row r="2906">
      <c r="A2906" t="inlineStr">
        <is>
          <t>2026-09</t>
        </is>
      </c>
      <c r="B2906" t="inlineStr">
        <is>
          <t>HOSP-1</t>
        </is>
      </c>
      <c r="C2906" t="inlineStr">
        <is>
          <t>SS-01109</t>
        </is>
      </c>
      <c r="D2906" t="n">
        <v>48</v>
      </c>
      <c r="E2906" t="n">
        <v>0</v>
      </c>
      <c r="G2906">
        <f>IF(AND(A2906&gt;=Inputs!$B$5,A2906&lt;=Inputs!$B$6),1,0)</f>
        <v/>
      </c>
    </row>
    <row r="2907">
      <c r="A2907" t="inlineStr">
        <is>
          <t>2026-09</t>
        </is>
      </c>
      <c r="B2907" t="inlineStr">
        <is>
          <t>HOSP-2</t>
        </is>
      </c>
      <c r="C2907" t="inlineStr">
        <is>
          <t>SS-01110</t>
        </is>
      </c>
      <c r="D2907" t="n">
        <v>24</v>
      </c>
      <c r="E2907" t="n">
        <v>0</v>
      </c>
      <c r="G2907">
        <f>IF(AND(A2907&gt;=Inputs!$B$5,A2907&lt;=Inputs!$B$6),1,0)</f>
        <v/>
      </c>
    </row>
    <row r="2908">
      <c r="A2908" t="inlineStr">
        <is>
          <t>2026-09</t>
        </is>
      </c>
      <c r="B2908" t="inlineStr">
        <is>
          <t>HOSP-3</t>
        </is>
      </c>
      <c r="C2908" t="inlineStr">
        <is>
          <t>SS-01133</t>
        </is>
      </c>
      <c r="D2908" t="n">
        <v>216</v>
      </c>
      <c r="E2908" t="n">
        <v>0</v>
      </c>
      <c r="G2908">
        <f>IF(AND(A2908&gt;=Inputs!$B$5,A2908&lt;=Inputs!$B$6),1,0)</f>
        <v/>
      </c>
    </row>
    <row r="2909">
      <c r="A2909" t="inlineStr">
        <is>
          <t>2026-09</t>
        </is>
      </c>
      <c r="B2909" t="inlineStr">
        <is>
          <t>HOSP-4</t>
        </is>
      </c>
      <c r="C2909" t="inlineStr">
        <is>
          <t>SS-01112</t>
        </is>
      </c>
      <c r="D2909" t="n">
        <v>55</v>
      </c>
      <c r="E2909" t="n">
        <v>0</v>
      </c>
      <c r="G2909">
        <f>IF(AND(A2909&gt;=Inputs!$B$5,A2909&lt;=Inputs!$B$6),1,0)</f>
        <v/>
      </c>
    </row>
    <row r="2910">
      <c r="A2910" t="inlineStr">
        <is>
          <t>2026-09</t>
        </is>
      </c>
      <c r="B2910" t="inlineStr">
        <is>
          <t>HOSP-1</t>
        </is>
      </c>
      <c r="C2910" t="inlineStr">
        <is>
          <t>SS-01113</t>
        </is>
      </c>
      <c r="D2910" t="n">
        <v>0</v>
      </c>
      <c r="E2910" t="n">
        <v>0</v>
      </c>
      <c r="G2910">
        <f>IF(AND(A2910&gt;=Inputs!$B$5,A2910&lt;=Inputs!$B$6),1,0)</f>
        <v/>
      </c>
    </row>
    <row r="2911">
      <c r="A2911" t="inlineStr">
        <is>
          <t>2026-09</t>
        </is>
      </c>
      <c r="B2911" t="inlineStr">
        <is>
          <t>HOSP-2</t>
        </is>
      </c>
      <c r="C2911" t="inlineStr">
        <is>
          <t>SS-01114</t>
        </is>
      </c>
      <c r="D2911" t="n">
        <v>12</v>
      </c>
      <c r="E2911" t="n">
        <v>0</v>
      </c>
      <c r="G2911">
        <f>IF(AND(A2911&gt;=Inputs!$B$5,A2911&lt;=Inputs!$B$6),1,0)</f>
        <v/>
      </c>
    </row>
    <row r="2912">
      <c r="A2912" t="inlineStr">
        <is>
          <t>2026-09</t>
        </is>
      </c>
      <c r="B2912" t="inlineStr">
        <is>
          <t>HOSP-3</t>
        </is>
      </c>
      <c r="C2912" t="inlineStr">
        <is>
          <t>SS-01115</t>
        </is>
      </c>
      <c r="D2912" t="n">
        <v>12</v>
      </c>
      <c r="E2912" t="n">
        <v>0</v>
      </c>
      <c r="G2912">
        <f>IF(AND(A2912&gt;=Inputs!$B$5,A2912&lt;=Inputs!$B$6),1,0)</f>
        <v/>
      </c>
    </row>
    <row r="2913">
      <c r="A2913" t="inlineStr">
        <is>
          <t>2026-09</t>
        </is>
      </c>
      <c r="B2913" t="inlineStr">
        <is>
          <t>HOSP-4</t>
        </is>
      </c>
      <c r="C2913" t="inlineStr">
        <is>
          <t>SS-01116</t>
        </is>
      </c>
      <c r="D2913" t="n">
        <v>48</v>
      </c>
      <c r="E2913" t="n">
        <v>0</v>
      </c>
      <c r="G2913">
        <f>IF(AND(A2913&gt;=Inputs!$B$5,A2913&lt;=Inputs!$B$6),1,0)</f>
        <v/>
      </c>
    </row>
    <row r="2914">
      <c r="A2914" t="inlineStr">
        <is>
          <t>2026-09</t>
        </is>
      </c>
      <c r="B2914" t="inlineStr">
        <is>
          <t>HOSP-1</t>
        </is>
      </c>
      <c r="C2914" t="inlineStr">
        <is>
          <t>SS-01117</t>
        </is>
      </c>
      <c r="D2914" t="n">
        <v>0</v>
      </c>
      <c r="E2914" t="n">
        <v>0</v>
      </c>
      <c r="G2914">
        <f>IF(AND(A2914&gt;=Inputs!$B$5,A2914&lt;=Inputs!$B$6),1,0)</f>
        <v/>
      </c>
    </row>
    <row r="2915">
      <c r="A2915" t="inlineStr">
        <is>
          <t>2026-09</t>
        </is>
      </c>
      <c r="B2915" t="inlineStr">
        <is>
          <t>HOSP-2</t>
        </is>
      </c>
      <c r="C2915" t="inlineStr">
        <is>
          <t>SS-01118</t>
        </is>
      </c>
      <c r="D2915" t="n">
        <v>8</v>
      </c>
      <c r="E2915" t="n">
        <v>2</v>
      </c>
      <c r="G2915">
        <f>IF(AND(A2915&gt;=Inputs!$B$5,A2915&lt;=Inputs!$B$6),1,0)</f>
        <v/>
      </c>
    </row>
    <row r="2916">
      <c r="A2916" t="inlineStr">
        <is>
          <t>2026-09</t>
        </is>
      </c>
      <c r="B2916" t="inlineStr">
        <is>
          <t>HOSP-3</t>
        </is>
      </c>
      <c r="C2916" t="inlineStr">
        <is>
          <t>SS-01129</t>
        </is>
      </c>
      <c r="D2916" t="n">
        <v>9</v>
      </c>
      <c r="E2916" t="n">
        <v>0</v>
      </c>
      <c r="G2916">
        <f>IF(AND(A2916&gt;=Inputs!$B$5,A2916&lt;=Inputs!$B$6),1,0)</f>
        <v/>
      </c>
    </row>
    <row r="2917">
      <c r="A2917" t="inlineStr">
        <is>
          <t>2026-09</t>
        </is>
      </c>
      <c r="B2917" t="inlineStr">
        <is>
          <t>HOSP-4</t>
        </is>
      </c>
      <c r="C2917" t="inlineStr">
        <is>
          <t>SS-01120</t>
        </is>
      </c>
      <c r="D2917" t="n">
        <v>12</v>
      </c>
      <c r="E2917" t="n">
        <v>0</v>
      </c>
      <c r="G2917">
        <f>IF(AND(A2917&gt;=Inputs!$B$5,A2917&lt;=Inputs!$B$6),1,0)</f>
        <v/>
      </c>
    </row>
    <row r="2918">
      <c r="A2918" t="inlineStr">
        <is>
          <t>2026-09</t>
        </is>
      </c>
      <c r="B2918" t="inlineStr">
        <is>
          <t>HOSP-1</t>
        </is>
      </c>
      <c r="C2918" t="inlineStr">
        <is>
          <t>SS-01121</t>
        </is>
      </c>
      <c r="D2918" t="n">
        <v>12</v>
      </c>
      <c r="E2918" t="n">
        <v>0</v>
      </c>
      <c r="G2918">
        <f>IF(AND(A2918&gt;=Inputs!$B$5,A2918&lt;=Inputs!$B$6),1,0)</f>
        <v/>
      </c>
    </row>
    <row r="2919">
      <c r="A2919" t="inlineStr">
        <is>
          <t>2026-09</t>
        </is>
      </c>
      <c r="B2919" t="inlineStr">
        <is>
          <t>HOSP-2</t>
        </is>
      </c>
      <c r="C2919" t="inlineStr">
        <is>
          <t>SS-01122</t>
        </is>
      </c>
      <c r="D2919" t="n">
        <v>100</v>
      </c>
      <c r="E2919" t="n">
        <v>0</v>
      </c>
      <c r="G2919">
        <f>IF(AND(A2919&gt;=Inputs!$B$5,A2919&lt;=Inputs!$B$6),1,0)</f>
        <v/>
      </c>
    </row>
    <row r="2920">
      <c r="A2920" t="inlineStr">
        <is>
          <t>2026-09</t>
        </is>
      </c>
      <c r="B2920" t="inlineStr">
        <is>
          <t>HOSP-3</t>
        </is>
      </c>
      <c r="C2920" t="inlineStr">
        <is>
          <t>SS-01123</t>
        </is>
      </c>
      <c r="D2920" t="n">
        <v>0</v>
      </c>
      <c r="E2920" t="n">
        <v>0</v>
      </c>
      <c r="G2920">
        <f>IF(AND(A2920&gt;=Inputs!$B$5,A2920&lt;=Inputs!$B$6),1,0)</f>
        <v/>
      </c>
    </row>
    <row r="2921">
      <c r="A2921" t="inlineStr">
        <is>
          <t>2026-09</t>
        </is>
      </c>
      <c r="B2921" t="inlineStr">
        <is>
          <t>HOSP-4</t>
        </is>
      </c>
      <c r="C2921" t="inlineStr">
        <is>
          <t>SS-01124</t>
        </is>
      </c>
      <c r="D2921" t="n">
        <v>36</v>
      </c>
      <c r="E2921" t="n">
        <v>0</v>
      </c>
      <c r="G2921">
        <f>IF(AND(A2921&gt;=Inputs!$B$5,A2921&lt;=Inputs!$B$6),1,0)</f>
        <v/>
      </c>
    </row>
    <row r="2922">
      <c r="A2922" t="inlineStr">
        <is>
          <t>2026-09</t>
        </is>
      </c>
      <c r="B2922" t="inlineStr">
        <is>
          <t>HOSP-1</t>
        </is>
      </c>
      <c r="C2922" t="inlineStr">
        <is>
          <t>SS-01125</t>
        </is>
      </c>
      <c r="D2922" t="n">
        <v>12</v>
      </c>
      <c r="E2922" t="n">
        <v>0</v>
      </c>
      <c r="G2922">
        <f>IF(AND(A2922&gt;=Inputs!$B$5,A2922&lt;=Inputs!$B$6),1,0)</f>
        <v/>
      </c>
    </row>
    <row r="2923">
      <c r="A2923" t="inlineStr">
        <is>
          <t>2026-09</t>
        </is>
      </c>
      <c r="B2923" t="inlineStr">
        <is>
          <t>HOSP-2</t>
        </is>
      </c>
      <c r="C2923" t="inlineStr">
        <is>
          <t>SS-01132</t>
        </is>
      </c>
      <c r="D2923" t="n">
        <v>33</v>
      </c>
      <c r="E2923" t="n">
        <v>1</v>
      </c>
      <c r="G2923">
        <f>IF(AND(A2923&gt;=Inputs!$B$5,A2923&lt;=Inputs!$B$6),1,0)</f>
        <v/>
      </c>
    </row>
    <row r="2924">
      <c r="A2924" t="inlineStr">
        <is>
          <t>2026-09</t>
        </is>
      </c>
      <c r="B2924" t="inlineStr">
        <is>
          <t>HOSP-3</t>
        </is>
      </c>
      <c r="C2924" t="inlineStr">
        <is>
          <t>SS-01127</t>
        </is>
      </c>
      <c r="D2924" t="n">
        <v>0</v>
      </c>
      <c r="E2924" t="n">
        <v>0</v>
      </c>
      <c r="G2924">
        <f>IF(AND(A2924&gt;=Inputs!$B$5,A2924&lt;=Inputs!$B$6),1,0)</f>
        <v/>
      </c>
    </row>
    <row r="2925">
      <c r="A2925" t="inlineStr">
        <is>
          <t>2026-09</t>
        </is>
      </c>
      <c r="B2925" t="inlineStr">
        <is>
          <t>HOSP-4</t>
        </is>
      </c>
      <c r="C2925" t="inlineStr">
        <is>
          <t>SS-01128</t>
        </is>
      </c>
      <c r="D2925" t="n">
        <v>24</v>
      </c>
      <c r="E2925" t="n">
        <v>0</v>
      </c>
      <c r="G2925">
        <f>IF(AND(A2925&gt;=Inputs!$B$5,A2925&lt;=Inputs!$B$6),1,0)</f>
        <v/>
      </c>
    </row>
    <row r="2926">
      <c r="A2926" t="inlineStr">
        <is>
          <t>2026-09</t>
        </is>
      </c>
      <c r="B2926" t="inlineStr">
        <is>
          <t>HOSP-1</t>
        </is>
      </c>
      <c r="C2926" t="inlineStr">
        <is>
          <t>SS-01213</t>
        </is>
      </c>
      <c r="D2926" t="n">
        <v>34</v>
      </c>
      <c r="E2926" t="n">
        <v>0</v>
      </c>
      <c r="G2926">
        <f>IF(AND(A2926&gt;=Inputs!$B$5,A2926&lt;=Inputs!$B$6),1,0)</f>
        <v/>
      </c>
    </row>
    <row r="2927">
      <c r="A2927" t="inlineStr">
        <is>
          <t>2026-09</t>
        </is>
      </c>
      <c r="B2927" t="inlineStr">
        <is>
          <t>HOSP-2</t>
        </is>
      </c>
      <c r="C2927" t="inlineStr">
        <is>
          <t>SS-01130</t>
        </is>
      </c>
      <c r="D2927" t="n">
        <v>0</v>
      </c>
      <c r="E2927" t="n">
        <v>0</v>
      </c>
      <c r="G2927">
        <f>IF(AND(A2927&gt;=Inputs!$B$5,A2927&lt;=Inputs!$B$6),1,0)</f>
        <v/>
      </c>
    </row>
    <row r="2928">
      <c r="A2928" t="inlineStr">
        <is>
          <t>2026-09</t>
        </is>
      </c>
      <c r="B2928" t="inlineStr">
        <is>
          <t>HOSP-3</t>
        </is>
      </c>
      <c r="C2928" t="inlineStr">
        <is>
          <t>SS-01131</t>
        </is>
      </c>
      <c r="D2928" t="n">
        <v>2</v>
      </c>
      <c r="E2928" t="n">
        <v>8</v>
      </c>
      <c r="G2928">
        <f>IF(AND(A2928&gt;=Inputs!$B$5,A2928&lt;=Inputs!$B$6),1,0)</f>
        <v/>
      </c>
    </row>
    <row r="2929">
      <c r="A2929" t="inlineStr">
        <is>
          <t>2026-09</t>
        </is>
      </c>
      <c r="B2929" t="inlineStr">
        <is>
          <t>HOSP-4</t>
        </is>
      </c>
      <c r="C2929" t="inlineStr">
        <is>
          <t>SS-01132</t>
        </is>
      </c>
      <c r="D2929" t="n">
        <v>20</v>
      </c>
      <c r="E2929" t="n">
        <v>1</v>
      </c>
      <c r="G2929">
        <f>IF(AND(A2929&gt;=Inputs!$B$5,A2929&lt;=Inputs!$B$6),1,0)</f>
        <v/>
      </c>
    </row>
    <row r="2930">
      <c r="A2930" t="inlineStr">
        <is>
          <t>2026-09</t>
        </is>
      </c>
      <c r="B2930" t="inlineStr">
        <is>
          <t>HOSP-1</t>
        </is>
      </c>
      <c r="C2930" t="inlineStr">
        <is>
          <t>SS-01133</t>
        </is>
      </c>
      <c r="D2930" t="n">
        <v>0</v>
      </c>
      <c r="E2930" t="n">
        <v>0</v>
      </c>
      <c r="G2930">
        <f>IF(AND(A2930&gt;=Inputs!$B$5,A2930&lt;=Inputs!$B$6),1,0)</f>
        <v/>
      </c>
    </row>
    <row r="2931">
      <c r="A2931" t="inlineStr">
        <is>
          <t>2026-09</t>
        </is>
      </c>
      <c r="B2931" t="inlineStr">
        <is>
          <t>HOSP-2</t>
        </is>
      </c>
      <c r="C2931" t="inlineStr">
        <is>
          <t>SS-01134</t>
        </is>
      </c>
      <c r="D2931" t="n">
        <v>120</v>
      </c>
      <c r="E2931" t="n">
        <v>0</v>
      </c>
      <c r="G2931">
        <f>IF(AND(A2931&gt;=Inputs!$B$5,A2931&lt;=Inputs!$B$6),1,0)</f>
        <v/>
      </c>
    </row>
    <row r="2932">
      <c r="A2932" t="inlineStr">
        <is>
          <t>2026-09</t>
        </is>
      </c>
      <c r="B2932" t="inlineStr">
        <is>
          <t>HOSP-3</t>
        </is>
      </c>
      <c r="C2932" t="inlineStr">
        <is>
          <t>SS-01135</t>
        </is>
      </c>
      <c r="D2932" t="n">
        <v>48</v>
      </c>
      <c r="E2932" t="n">
        <v>0</v>
      </c>
      <c r="G2932">
        <f>IF(AND(A2932&gt;=Inputs!$B$5,A2932&lt;=Inputs!$B$6),1,0)</f>
        <v/>
      </c>
    </row>
    <row r="2933">
      <c r="A2933" t="inlineStr">
        <is>
          <t>2026-09</t>
        </is>
      </c>
      <c r="B2933" t="inlineStr">
        <is>
          <t>HOSP-4</t>
        </is>
      </c>
      <c r="C2933" t="inlineStr">
        <is>
          <t>SS-01018</t>
        </is>
      </c>
      <c r="D2933" t="n">
        <v>792</v>
      </c>
      <c r="E2933" t="n">
        <v>0</v>
      </c>
      <c r="G2933">
        <f>IF(AND(A2933&gt;=Inputs!$B$5,A2933&lt;=Inputs!$B$6),1,0)</f>
        <v/>
      </c>
    </row>
    <row r="2934">
      <c r="A2934" t="inlineStr">
        <is>
          <t>2026-09</t>
        </is>
      </c>
      <c r="B2934" t="inlineStr">
        <is>
          <t>HOSP-1</t>
        </is>
      </c>
      <c r="C2934" t="inlineStr">
        <is>
          <t>SS-01137</t>
        </is>
      </c>
      <c r="D2934" t="n">
        <v>0</v>
      </c>
      <c r="E2934" t="n">
        <v>0</v>
      </c>
      <c r="G2934">
        <f>IF(AND(A2934&gt;=Inputs!$B$5,A2934&lt;=Inputs!$B$6),1,0)</f>
        <v/>
      </c>
    </row>
    <row r="2935">
      <c r="A2935" t="inlineStr">
        <is>
          <t>2026-09</t>
        </is>
      </c>
      <c r="B2935" t="inlineStr">
        <is>
          <t>HOSP-2</t>
        </is>
      </c>
      <c r="C2935" t="inlineStr">
        <is>
          <t>SS-01138</t>
        </is>
      </c>
      <c r="D2935" t="n">
        <v>12</v>
      </c>
      <c r="E2935" t="n">
        <v>0</v>
      </c>
      <c r="G2935">
        <f>IF(AND(A2935&gt;=Inputs!$B$5,A2935&lt;=Inputs!$B$6),1,0)</f>
        <v/>
      </c>
    </row>
    <row r="2936">
      <c r="A2936" t="inlineStr">
        <is>
          <t>2026-09</t>
        </is>
      </c>
      <c r="B2936" t="inlineStr">
        <is>
          <t>HOSP-3</t>
        </is>
      </c>
      <c r="C2936" t="inlineStr">
        <is>
          <t>SS-01139</t>
        </is>
      </c>
      <c r="D2936" t="n">
        <v>57</v>
      </c>
      <c r="E2936" t="n">
        <v>0</v>
      </c>
      <c r="G2936">
        <f>IF(AND(A2936&gt;=Inputs!$B$5,A2936&lt;=Inputs!$B$6),1,0)</f>
        <v/>
      </c>
    </row>
    <row r="2937">
      <c r="A2937" t="inlineStr">
        <is>
          <t>2026-09</t>
        </is>
      </c>
      <c r="B2937" t="inlineStr">
        <is>
          <t>HOSP-4</t>
        </is>
      </c>
      <c r="C2937" t="inlineStr">
        <is>
          <t>SS-01140</t>
        </is>
      </c>
      <c r="D2937" t="n">
        <v>12</v>
      </c>
      <c r="E2937" t="n">
        <v>0</v>
      </c>
      <c r="G2937">
        <f>IF(AND(A2937&gt;=Inputs!$B$5,A2937&lt;=Inputs!$B$6),1,0)</f>
        <v/>
      </c>
    </row>
    <row r="2938">
      <c r="A2938" t="inlineStr">
        <is>
          <t>2026-09</t>
        </is>
      </c>
      <c r="B2938" t="inlineStr">
        <is>
          <t>HOSP-1</t>
        </is>
      </c>
      <c r="C2938" t="inlineStr">
        <is>
          <t>SS-01141</t>
        </is>
      </c>
      <c r="D2938" t="n">
        <v>12</v>
      </c>
      <c r="E2938" t="n">
        <v>0</v>
      </c>
      <c r="G2938">
        <f>IF(AND(A2938&gt;=Inputs!$B$5,A2938&lt;=Inputs!$B$6),1,0)</f>
        <v/>
      </c>
    </row>
    <row r="2939">
      <c r="A2939" t="inlineStr">
        <is>
          <t>2026-09</t>
        </is>
      </c>
      <c r="B2939" t="inlineStr">
        <is>
          <t>HOSP-2</t>
        </is>
      </c>
      <c r="C2939" t="inlineStr">
        <is>
          <t>SS-01142</t>
        </is>
      </c>
      <c r="D2939" t="n">
        <v>60</v>
      </c>
      <c r="E2939" t="n">
        <v>0</v>
      </c>
      <c r="G2939">
        <f>IF(AND(A2939&gt;=Inputs!$B$5,A2939&lt;=Inputs!$B$6),1,0)</f>
        <v/>
      </c>
    </row>
    <row r="2940">
      <c r="A2940" t="inlineStr">
        <is>
          <t>2026-09</t>
        </is>
      </c>
      <c r="B2940" t="inlineStr">
        <is>
          <t>HOSP-3</t>
        </is>
      </c>
      <c r="C2940" t="inlineStr">
        <is>
          <t>SS-01143</t>
        </is>
      </c>
      <c r="D2940" t="n">
        <v>36</v>
      </c>
      <c r="E2940" t="n">
        <v>0</v>
      </c>
      <c r="G2940">
        <f>IF(AND(A2940&gt;=Inputs!$B$5,A2940&lt;=Inputs!$B$6),1,0)</f>
        <v/>
      </c>
    </row>
    <row r="2941">
      <c r="A2941" t="inlineStr">
        <is>
          <t>2026-09</t>
        </is>
      </c>
      <c r="B2941" t="inlineStr">
        <is>
          <t>HOSP-4</t>
        </is>
      </c>
      <c r="C2941" t="inlineStr">
        <is>
          <t>SS-01144</t>
        </is>
      </c>
      <c r="D2941" t="n">
        <v>0</v>
      </c>
      <c r="E2941" t="n">
        <v>0</v>
      </c>
      <c r="G2941">
        <f>IF(AND(A2941&gt;=Inputs!$B$5,A2941&lt;=Inputs!$B$6),1,0)</f>
        <v/>
      </c>
    </row>
    <row r="2942">
      <c r="A2942" t="inlineStr">
        <is>
          <t>2026-09</t>
        </is>
      </c>
      <c r="B2942" t="inlineStr">
        <is>
          <t>HOSP-1</t>
        </is>
      </c>
      <c r="C2942" t="inlineStr">
        <is>
          <t>SS-01145</t>
        </is>
      </c>
      <c r="D2942" t="n">
        <v>0</v>
      </c>
      <c r="E2942" t="n">
        <v>0</v>
      </c>
      <c r="G2942">
        <f>IF(AND(A2942&gt;=Inputs!$B$5,A2942&lt;=Inputs!$B$6),1,0)</f>
        <v/>
      </c>
    </row>
    <row r="2943">
      <c r="A2943" t="inlineStr">
        <is>
          <t>2026-09</t>
        </is>
      </c>
      <c r="B2943" t="inlineStr">
        <is>
          <t>HOSP-2</t>
        </is>
      </c>
      <c r="C2943" t="inlineStr">
        <is>
          <t>SS-01146</t>
        </is>
      </c>
      <c r="D2943" t="n">
        <v>12</v>
      </c>
      <c r="E2943" t="n">
        <v>0</v>
      </c>
      <c r="F2943" t="inlineStr">
        <is>
          <t>surge</t>
        </is>
      </c>
      <c r="G2943">
        <f>IF(AND(A2943&gt;=Inputs!$B$5,A2943&lt;=Inputs!$B$6),1,0)</f>
        <v/>
      </c>
    </row>
    <row r="2944">
      <c r="A2944" t="inlineStr">
        <is>
          <t>2026-09</t>
        </is>
      </c>
      <c r="B2944" t="inlineStr">
        <is>
          <t>HOSP-3</t>
        </is>
      </c>
      <c r="C2944" t="inlineStr">
        <is>
          <t>SS-01147</t>
        </is>
      </c>
      <c r="D2944" t="n">
        <v>0</v>
      </c>
      <c r="E2944" t="n">
        <v>0</v>
      </c>
      <c r="G2944">
        <f>IF(AND(A2944&gt;=Inputs!$B$5,A2944&lt;=Inputs!$B$6),1,0)</f>
        <v/>
      </c>
    </row>
    <row r="2945">
      <c r="A2945" t="inlineStr">
        <is>
          <t>2026-09</t>
        </is>
      </c>
      <c r="B2945" t="inlineStr">
        <is>
          <t>HOSP-4</t>
        </is>
      </c>
      <c r="C2945" t="inlineStr">
        <is>
          <t>SS-01148</t>
        </is>
      </c>
      <c r="D2945" t="n">
        <v>12</v>
      </c>
      <c r="E2945" t="n">
        <v>0</v>
      </c>
      <c r="G2945">
        <f>IF(AND(A2945&gt;=Inputs!$B$5,A2945&lt;=Inputs!$B$6),1,0)</f>
        <v/>
      </c>
    </row>
    <row r="2946">
      <c r="A2946" t="inlineStr">
        <is>
          <t>2026-09</t>
        </is>
      </c>
      <c r="B2946" t="inlineStr">
        <is>
          <t>HOSP-1</t>
        </is>
      </c>
      <c r="C2946" t="inlineStr">
        <is>
          <t>SS-01149</t>
        </is>
      </c>
      <c r="D2946" t="n">
        <v>276</v>
      </c>
      <c r="E2946" t="n">
        <v>0</v>
      </c>
      <c r="G2946">
        <f>IF(AND(A2946&gt;=Inputs!$B$5,A2946&lt;=Inputs!$B$6),1,0)</f>
        <v/>
      </c>
    </row>
    <row r="2947">
      <c r="A2947" t="inlineStr">
        <is>
          <t>2026-09</t>
        </is>
      </c>
      <c r="B2947" t="inlineStr">
        <is>
          <t>HOSP-2</t>
        </is>
      </c>
      <c r="C2947" t="inlineStr">
        <is>
          <t>SS-01150</t>
        </is>
      </c>
      <c r="D2947" t="n">
        <v>8</v>
      </c>
      <c r="E2947" t="n">
        <v>0</v>
      </c>
      <c r="G2947">
        <f>IF(AND(A2947&gt;=Inputs!$B$5,A2947&lt;=Inputs!$B$6),1,0)</f>
        <v/>
      </c>
    </row>
    <row r="2948">
      <c r="A2948" t="inlineStr">
        <is>
          <t>2026-09</t>
        </is>
      </c>
      <c r="B2948" t="inlineStr">
        <is>
          <t>HOSP-3</t>
        </is>
      </c>
      <c r="C2948" t="inlineStr">
        <is>
          <t>SS-01151</t>
        </is>
      </c>
      <c r="D2948" t="n">
        <v>24</v>
      </c>
      <c r="E2948" t="n">
        <v>0</v>
      </c>
      <c r="G2948">
        <f>IF(AND(A2948&gt;=Inputs!$B$5,A2948&lt;=Inputs!$B$6),1,0)</f>
        <v/>
      </c>
    </row>
    <row r="2949">
      <c r="A2949" t="inlineStr">
        <is>
          <t>2026-09</t>
        </is>
      </c>
      <c r="B2949" t="inlineStr">
        <is>
          <t>HOSP-4</t>
        </is>
      </c>
      <c r="C2949" t="inlineStr">
        <is>
          <t>SS-01152</t>
        </is>
      </c>
      <c r="D2949" t="n">
        <v>84</v>
      </c>
      <c r="E2949" t="n">
        <v>0</v>
      </c>
      <c r="G2949">
        <f>IF(AND(A2949&gt;=Inputs!$B$5,A2949&lt;=Inputs!$B$6),1,0)</f>
        <v/>
      </c>
    </row>
    <row r="2950">
      <c r="A2950" t="inlineStr">
        <is>
          <t>2026-09</t>
        </is>
      </c>
      <c r="B2950" t="inlineStr">
        <is>
          <t>HOSP-1</t>
        </is>
      </c>
      <c r="C2950" t="inlineStr">
        <is>
          <t>SS-01153</t>
        </is>
      </c>
      <c r="D2950" t="n">
        <v>12</v>
      </c>
      <c r="E2950" t="n">
        <v>0</v>
      </c>
      <c r="G2950">
        <f>IF(AND(A2950&gt;=Inputs!$B$5,A2950&lt;=Inputs!$B$6),1,0)</f>
        <v/>
      </c>
    </row>
    <row r="2951">
      <c r="A2951" t="inlineStr">
        <is>
          <t>2026-09</t>
        </is>
      </c>
      <c r="B2951" t="inlineStr">
        <is>
          <t>HOSP-2</t>
        </is>
      </c>
      <c r="C2951" t="inlineStr">
        <is>
          <t>SS-01154</t>
        </is>
      </c>
      <c r="D2951" t="n">
        <v>0</v>
      </c>
      <c r="E2951" t="n">
        <v>0</v>
      </c>
      <c r="G2951">
        <f>IF(AND(A2951&gt;=Inputs!$B$5,A2951&lt;=Inputs!$B$6),1,0)</f>
        <v/>
      </c>
    </row>
    <row r="2952">
      <c r="A2952" t="inlineStr">
        <is>
          <t>2026-09</t>
        </is>
      </c>
      <c r="B2952" t="inlineStr">
        <is>
          <t>HOSP-3</t>
        </is>
      </c>
      <c r="C2952" t="inlineStr">
        <is>
          <t>SS-01155</t>
        </is>
      </c>
      <c r="D2952" t="n">
        <v>12</v>
      </c>
      <c r="E2952" t="n">
        <v>0</v>
      </c>
      <c r="G2952">
        <f>IF(AND(A2952&gt;=Inputs!$B$5,A2952&lt;=Inputs!$B$6),1,0)</f>
        <v/>
      </c>
    </row>
    <row r="2953">
      <c r="A2953" t="inlineStr">
        <is>
          <t>2026-09</t>
        </is>
      </c>
      <c r="B2953" t="inlineStr">
        <is>
          <t>HOSP-4</t>
        </is>
      </c>
      <c r="C2953" t="inlineStr">
        <is>
          <t>SS-01156</t>
        </is>
      </c>
      <c r="D2953" t="n">
        <v>10</v>
      </c>
      <c r="E2953" t="n">
        <v>0</v>
      </c>
      <c r="G2953">
        <f>IF(AND(A2953&gt;=Inputs!$B$5,A2953&lt;=Inputs!$B$6),1,0)</f>
        <v/>
      </c>
    </row>
    <row r="2954">
      <c r="A2954" t="inlineStr">
        <is>
          <t>2026-09</t>
        </is>
      </c>
      <c r="B2954" t="inlineStr">
        <is>
          <t>HOSP-1</t>
        </is>
      </c>
      <c r="C2954" t="inlineStr">
        <is>
          <t>SS-01157</t>
        </is>
      </c>
      <c r="D2954" t="n">
        <v>24</v>
      </c>
      <c r="E2954" t="n">
        <v>0</v>
      </c>
      <c r="G2954">
        <f>IF(AND(A2954&gt;=Inputs!$B$5,A2954&lt;=Inputs!$B$6),1,0)</f>
        <v/>
      </c>
    </row>
    <row r="2955">
      <c r="A2955" t="inlineStr">
        <is>
          <t>2026-09</t>
        </is>
      </c>
      <c r="B2955" t="inlineStr">
        <is>
          <t>HOSP-2</t>
        </is>
      </c>
      <c r="C2955" t="inlineStr">
        <is>
          <t>SS-01158</t>
        </is>
      </c>
      <c r="D2955" t="n">
        <v>24</v>
      </c>
      <c r="E2955" t="n">
        <v>0</v>
      </c>
      <c r="G2955">
        <f>IF(AND(A2955&gt;=Inputs!$B$5,A2955&lt;=Inputs!$B$6),1,0)</f>
        <v/>
      </c>
    </row>
    <row r="2956">
      <c r="A2956" t="inlineStr">
        <is>
          <t>2026-09</t>
        </is>
      </c>
      <c r="B2956" t="inlineStr">
        <is>
          <t>HOSP-3</t>
        </is>
      </c>
      <c r="C2956" t="inlineStr">
        <is>
          <t>SS-01159</t>
        </is>
      </c>
      <c r="D2956" t="n">
        <v>17</v>
      </c>
      <c r="E2956" t="n">
        <v>1</v>
      </c>
      <c r="G2956">
        <f>IF(AND(A2956&gt;=Inputs!$B$5,A2956&lt;=Inputs!$B$6),1,0)</f>
        <v/>
      </c>
    </row>
    <row r="2957">
      <c r="A2957" t="inlineStr">
        <is>
          <t>2026-09</t>
        </is>
      </c>
      <c r="B2957" t="inlineStr">
        <is>
          <t>HOSP-4</t>
        </is>
      </c>
      <c r="C2957" t="inlineStr">
        <is>
          <t>SS-01160</t>
        </is>
      </c>
      <c r="D2957" t="n">
        <v>132</v>
      </c>
      <c r="E2957" t="n">
        <v>0</v>
      </c>
      <c r="G2957">
        <f>IF(AND(A2957&gt;=Inputs!$B$5,A2957&lt;=Inputs!$B$6),1,0)</f>
        <v/>
      </c>
    </row>
    <row r="2958">
      <c r="A2958" t="inlineStr">
        <is>
          <t>2026-09</t>
        </is>
      </c>
      <c r="B2958" t="inlineStr">
        <is>
          <t>HOSP-1</t>
        </is>
      </c>
      <c r="C2958" t="inlineStr">
        <is>
          <t>SS-01161</t>
        </is>
      </c>
      <c r="D2958" t="n">
        <v>0</v>
      </c>
      <c r="E2958" t="n">
        <v>4</v>
      </c>
      <c r="G2958">
        <f>IF(AND(A2958&gt;=Inputs!$B$5,A2958&lt;=Inputs!$B$6),1,0)</f>
        <v/>
      </c>
    </row>
    <row r="2959">
      <c r="A2959" t="inlineStr">
        <is>
          <t>2026-09</t>
        </is>
      </c>
      <c r="B2959" t="inlineStr">
        <is>
          <t>HOSP-2</t>
        </is>
      </c>
      <c r="C2959" t="inlineStr">
        <is>
          <t>SS-01162</t>
        </is>
      </c>
      <c r="D2959" t="n">
        <v>0</v>
      </c>
      <c r="E2959" t="n">
        <v>0</v>
      </c>
      <c r="G2959">
        <f>IF(AND(A2959&gt;=Inputs!$B$5,A2959&lt;=Inputs!$B$6),1,0)</f>
        <v/>
      </c>
    </row>
    <row r="2960">
      <c r="A2960" t="inlineStr">
        <is>
          <t>2026-09</t>
        </is>
      </c>
      <c r="B2960" t="inlineStr">
        <is>
          <t>HOSP-3</t>
        </is>
      </c>
      <c r="C2960" t="inlineStr">
        <is>
          <t>SS-01163</t>
        </is>
      </c>
      <c r="D2960" t="n">
        <v>0</v>
      </c>
      <c r="E2960" t="n">
        <v>1</v>
      </c>
      <c r="G2960">
        <f>IF(AND(A2960&gt;=Inputs!$B$5,A2960&lt;=Inputs!$B$6),1,0)</f>
        <v/>
      </c>
    </row>
    <row r="2961">
      <c r="A2961" t="inlineStr">
        <is>
          <t>2026-09</t>
        </is>
      </c>
      <c r="B2961" t="inlineStr">
        <is>
          <t>HOSP-4</t>
        </is>
      </c>
      <c r="C2961" t="inlineStr">
        <is>
          <t>SS-01164</t>
        </is>
      </c>
      <c r="D2961" t="n">
        <v>24</v>
      </c>
      <c r="E2961" t="n">
        <v>0</v>
      </c>
      <c r="G2961">
        <f>IF(AND(A2961&gt;=Inputs!$B$5,A2961&lt;=Inputs!$B$6),1,0)</f>
        <v/>
      </c>
    </row>
    <row r="2962">
      <c r="A2962" t="inlineStr">
        <is>
          <t>2026-09</t>
        </is>
      </c>
      <c r="B2962" t="inlineStr">
        <is>
          <t>HOSP-1</t>
        </is>
      </c>
      <c r="C2962" t="inlineStr">
        <is>
          <t>SS-01165</t>
        </is>
      </c>
      <c r="D2962" t="n">
        <v>12</v>
      </c>
      <c r="E2962" t="n">
        <v>0</v>
      </c>
      <c r="G2962">
        <f>IF(AND(A2962&gt;=Inputs!$B$5,A2962&lt;=Inputs!$B$6),1,0)</f>
        <v/>
      </c>
    </row>
    <row r="2963">
      <c r="A2963" t="inlineStr">
        <is>
          <t>2026-09</t>
        </is>
      </c>
      <c r="B2963" t="inlineStr">
        <is>
          <t>HOSP-2</t>
        </is>
      </c>
      <c r="C2963" t="inlineStr">
        <is>
          <t>SS-01166</t>
        </is>
      </c>
      <c r="D2963" t="n">
        <v>96</v>
      </c>
      <c r="E2963" t="n">
        <v>0</v>
      </c>
      <c r="G2963">
        <f>IF(AND(A2963&gt;=Inputs!$B$5,A2963&lt;=Inputs!$B$6),1,0)</f>
        <v/>
      </c>
    </row>
    <row r="2964">
      <c r="A2964" t="inlineStr">
        <is>
          <t>2026-09</t>
        </is>
      </c>
      <c r="B2964" t="inlineStr">
        <is>
          <t>HOSP-3</t>
        </is>
      </c>
      <c r="C2964" t="inlineStr">
        <is>
          <t>SS-01167</t>
        </is>
      </c>
      <c r="D2964" t="n">
        <v>24</v>
      </c>
      <c r="E2964" t="n">
        <v>0</v>
      </c>
      <c r="G2964">
        <f>IF(AND(A2964&gt;=Inputs!$B$5,A2964&lt;=Inputs!$B$6),1,0)</f>
        <v/>
      </c>
    </row>
    <row r="2965">
      <c r="A2965" t="inlineStr">
        <is>
          <t>2026-09</t>
        </is>
      </c>
      <c r="B2965" t="inlineStr">
        <is>
          <t>HOSP-4</t>
        </is>
      </c>
      <c r="C2965" t="inlineStr">
        <is>
          <t>SS-01168</t>
        </is>
      </c>
      <c r="D2965" t="n">
        <v>168</v>
      </c>
      <c r="E2965" t="n">
        <v>0</v>
      </c>
      <c r="G2965">
        <f>IF(AND(A2965&gt;=Inputs!$B$5,A2965&lt;=Inputs!$B$6),1,0)</f>
        <v/>
      </c>
    </row>
    <row r="2966">
      <c r="A2966" t="inlineStr">
        <is>
          <t>2026-09</t>
        </is>
      </c>
      <c r="B2966" t="inlineStr">
        <is>
          <t>HOSP-1</t>
        </is>
      </c>
      <c r="C2966" t="inlineStr">
        <is>
          <t>SS-01169</t>
        </is>
      </c>
      <c r="D2966" t="n">
        <v>24</v>
      </c>
      <c r="E2966" t="n">
        <v>0</v>
      </c>
      <c r="G2966">
        <f>IF(AND(A2966&gt;=Inputs!$B$5,A2966&lt;=Inputs!$B$6),1,0)</f>
        <v/>
      </c>
    </row>
    <row r="2967">
      <c r="A2967" t="inlineStr">
        <is>
          <t>2026-09</t>
        </is>
      </c>
      <c r="B2967" t="inlineStr">
        <is>
          <t>HOSP-2</t>
        </is>
      </c>
      <c r="C2967" t="inlineStr">
        <is>
          <t>SS-01170</t>
        </is>
      </c>
      <c r="D2967" t="n">
        <v>24</v>
      </c>
      <c r="E2967" t="n">
        <v>0</v>
      </c>
      <c r="G2967">
        <f>IF(AND(A2967&gt;=Inputs!$B$5,A2967&lt;=Inputs!$B$6),1,0)</f>
        <v/>
      </c>
    </row>
    <row r="2968">
      <c r="A2968" t="inlineStr">
        <is>
          <t>2026-09</t>
        </is>
      </c>
      <c r="B2968" t="inlineStr">
        <is>
          <t>HOSP-3</t>
        </is>
      </c>
      <c r="C2968" t="inlineStr">
        <is>
          <t>SS-01171</t>
        </is>
      </c>
      <c r="D2968" t="n">
        <v>2</v>
      </c>
      <c r="E2968" t="n">
        <v>3</v>
      </c>
      <c r="G2968">
        <f>IF(AND(A2968&gt;=Inputs!$B$5,A2968&lt;=Inputs!$B$6),1,0)</f>
        <v/>
      </c>
    </row>
    <row r="2969">
      <c r="A2969" t="inlineStr">
        <is>
          <t>2026-10</t>
        </is>
      </c>
      <c r="B2969" t="inlineStr">
        <is>
          <t>HOSP-4</t>
        </is>
      </c>
      <c r="C2969" t="inlineStr">
        <is>
          <t>SS-01172</t>
        </is>
      </c>
      <c r="D2969" t="n">
        <v>48</v>
      </c>
      <c r="E2969" t="n">
        <v>0</v>
      </c>
      <c r="G2969">
        <f>IF(AND(A2969&gt;=Inputs!$B$5,A2969&lt;=Inputs!$B$6),1,0)</f>
        <v/>
      </c>
    </row>
    <row r="2970">
      <c r="A2970" t="inlineStr">
        <is>
          <t>2026-10</t>
        </is>
      </c>
      <c r="B2970" t="inlineStr">
        <is>
          <t>HOSP-1</t>
        </is>
      </c>
      <c r="C2970" t="inlineStr">
        <is>
          <t>SS-01173</t>
        </is>
      </c>
      <c r="D2970" t="n">
        <v>43</v>
      </c>
      <c r="E2970" t="n">
        <v>8</v>
      </c>
      <c r="G2970">
        <f>IF(AND(A2970&gt;=Inputs!$B$5,A2970&lt;=Inputs!$B$6),1,0)</f>
        <v/>
      </c>
    </row>
    <row r="2971">
      <c r="A2971" t="inlineStr">
        <is>
          <t>2026-10</t>
        </is>
      </c>
      <c r="B2971" t="inlineStr">
        <is>
          <t>HOSP-2</t>
        </is>
      </c>
      <c r="C2971" t="inlineStr">
        <is>
          <t>SS-01174</t>
        </is>
      </c>
      <c r="D2971" t="n">
        <v>0</v>
      </c>
      <c r="E2971" t="n">
        <v>0</v>
      </c>
      <c r="G2971">
        <f>IF(AND(A2971&gt;=Inputs!$B$5,A2971&lt;=Inputs!$B$6),1,0)</f>
        <v/>
      </c>
    </row>
    <row r="2972">
      <c r="A2972" t="inlineStr">
        <is>
          <t>2026-10</t>
        </is>
      </c>
      <c r="B2972" t="inlineStr">
        <is>
          <t>HOSP-3</t>
        </is>
      </c>
      <c r="C2972" t="inlineStr">
        <is>
          <t>SS-01175</t>
        </is>
      </c>
      <c r="D2972" t="n">
        <v>118</v>
      </c>
      <c r="E2972" t="n">
        <v>0</v>
      </c>
      <c r="G2972">
        <f>IF(AND(A2972&gt;=Inputs!$B$5,A2972&lt;=Inputs!$B$6),1,0)</f>
        <v/>
      </c>
    </row>
    <row r="2973">
      <c r="A2973" t="inlineStr">
        <is>
          <t>2026-10</t>
        </is>
      </c>
      <c r="B2973" t="inlineStr">
        <is>
          <t>HOSP-4</t>
        </is>
      </c>
      <c r="C2973" t="inlineStr">
        <is>
          <t>SS-01176</t>
        </is>
      </c>
      <c r="D2973" t="n">
        <v>48</v>
      </c>
      <c r="E2973" t="n">
        <v>0</v>
      </c>
      <c r="G2973">
        <f>IF(AND(A2973&gt;=Inputs!$B$5,A2973&lt;=Inputs!$B$6),1,0)</f>
        <v/>
      </c>
    </row>
    <row r="2974">
      <c r="A2974" t="inlineStr">
        <is>
          <t>2026-10</t>
        </is>
      </c>
      <c r="B2974" t="inlineStr">
        <is>
          <t>HOSP-1</t>
        </is>
      </c>
      <c r="C2974" t="inlineStr">
        <is>
          <t>SS-01177</t>
        </is>
      </c>
      <c r="D2974" t="n">
        <v>204</v>
      </c>
      <c r="E2974" t="n">
        <v>0</v>
      </c>
      <c r="G2974">
        <f>IF(AND(A2974&gt;=Inputs!$B$5,A2974&lt;=Inputs!$B$6),1,0)</f>
        <v/>
      </c>
    </row>
    <row r="2975">
      <c r="A2975" t="inlineStr">
        <is>
          <t>2026-10</t>
        </is>
      </c>
      <c r="B2975" t="inlineStr">
        <is>
          <t>HOSP-2</t>
        </is>
      </c>
      <c r="C2975" t="inlineStr">
        <is>
          <t>SS-01178</t>
        </is>
      </c>
      <c r="D2975" t="n">
        <v>22</v>
      </c>
      <c r="E2975" t="n">
        <v>1</v>
      </c>
      <c r="G2975">
        <f>IF(AND(A2975&gt;=Inputs!$B$5,A2975&lt;=Inputs!$B$6),1,0)</f>
        <v/>
      </c>
    </row>
    <row r="2976">
      <c r="A2976" t="inlineStr">
        <is>
          <t>2026-10</t>
        </is>
      </c>
      <c r="B2976" t="inlineStr">
        <is>
          <t>HOSP-3</t>
        </is>
      </c>
      <c r="C2976" t="inlineStr">
        <is>
          <t>SS-01179</t>
        </is>
      </c>
      <c r="D2976" t="n">
        <v>12</v>
      </c>
      <c r="E2976" t="n">
        <v>0</v>
      </c>
      <c r="G2976">
        <f>IF(AND(A2976&gt;=Inputs!$B$5,A2976&lt;=Inputs!$B$6),1,0)</f>
        <v/>
      </c>
    </row>
    <row r="2977">
      <c r="A2977" t="inlineStr">
        <is>
          <t>2026-10</t>
        </is>
      </c>
      <c r="B2977" t="inlineStr">
        <is>
          <t>HOSP-4</t>
        </is>
      </c>
      <c r="C2977" t="inlineStr">
        <is>
          <t>SS-01180</t>
        </is>
      </c>
      <c r="D2977" t="n">
        <v>12</v>
      </c>
      <c r="E2977" t="n">
        <v>0</v>
      </c>
      <c r="G2977">
        <f>IF(AND(A2977&gt;=Inputs!$B$5,A2977&lt;=Inputs!$B$6),1,0)</f>
        <v/>
      </c>
    </row>
    <row r="2978">
      <c r="A2978" t="inlineStr">
        <is>
          <t>2026-10</t>
        </is>
      </c>
      <c r="B2978" t="inlineStr">
        <is>
          <t>HOSP-1</t>
        </is>
      </c>
      <c r="C2978" t="inlineStr">
        <is>
          <t>SS-01181</t>
        </is>
      </c>
      <c r="D2978" t="n">
        <v>12</v>
      </c>
      <c r="E2978" t="n">
        <v>0</v>
      </c>
      <c r="G2978">
        <f>IF(AND(A2978&gt;=Inputs!$B$5,A2978&lt;=Inputs!$B$6),1,0)</f>
        <v/>
      </c>
    </row>
    <row r="2979">
      <c r="A2979" t="inlineStr">
        <is>
          <t>2026-10</t>
        </is>
      </c>
      <c r="B2979" t="inlineStr">
        <is>
          <t>HOSP-2</t>
        </is>
      </c>
      <c r="C2979" t="inlineStr">
        <is>
          <t>SS-01182</t>
        </is>
      </c>
      <c r="D2979" t="n">
        <v>0</v>
      </c>
      <c r="E2979" t="n">
        <v>0</v>
      </c>
      <c r="G2979">
        <f>IF(AND(A2979&gt;=Inputs!$B$5,A2979&lt;=Inputs!$B$6),1,0)</f>
        <v/>
      </c>
    </row>
    <row r="2980">
      <c r="A2980" t="inlineStr">
        <is>
          <t>2026-10</t>
        </is>
      </c>
      <c r="B2980" t="inlineStr">
        <is>
          <t>HOSP-3</t>
        </is>
      </c>
      <c r="C2980" t="inlineStr">
        <is>
          <t>SS-01183</t>
        </is>
      </c>
      <c r="D2980" t="n">
        <v>12</v>
      </c>
      <c r="E2980" t="n">
        <v>0</v>
      </c>
      <c r="G2980">
        <f>IF(AND(A2980&gt;=Inputs!$B$5,A2980&lt;=Inputs!$B$6),1,0)</f>
        <v/>
      </c>
    </row>
    <row r="2981">
      <c r="A2981" t="inlineStr">
        <is>
          <t>2026-10</t>
        </is>
      </c>
      <c r="B2981" t="inlineStr">
        <is>
          <t>HOSP-4</t>
        </is>
      </c>
      <c r="C2981" t="inlineStr">
        <is>
          <t>SS-01184</t>
        </is>
      </c>
      <c r="D2981" t="n">
        <v>96</v>
      </c>
      <c r="E2981" t="n">
        <v>0</v>
      </c>
      <c r="G2981">
        <f>IF(AND(A2981&gt;=Inputs!$B$5,A2981&lt;=Inputs!$B$6),1,0)</f>
        <v/>
      </c>
    </row>
    <row r="2982">
      <c r="A2982" t="inlineStr">
        <is>
          <t>2026-10</t>
        </is>
      </c>
      <c r="B2982" t="inlineStr">
        <is>
          <t>HOSP-1</t>
        </is>
      </c>
      <c r="C2982" t="inlineStr">
        <is>
          <t>SS-01185</t>
        </is>
      </c>
      <c r="D2982" t="n">
        <v>24</v>
      </c>
      <c r="E2982" t="n">
        <v>0</v>
      </c>
      <c r="G2982">
        <f>IF(AND(A2982&gt;=Inputs!$B$5,A2982&lt;=Inputs!$B$6),1,0)</f>
        <v/>
      </c>
    </row>
    <row r="2983">
      <c r="A2983" t="inlineStr">
        <is>
          <t>2026-10</t>
        </is>
      </c>
      <c r="B2983" t="inlineStr">
        <is>
          <t>HOSP-2</t>
        </is>
      </c>
      <c r="C2983" t="inlineStr">
        <is>
          <t>SS-01186</t>
        </is>
      </c>
      <c r="D2983" t="n">
        <v>24</v>
      </c>
      <c r="E2983" t="n">
        <v>0</v>
      </c>
      <c r="G2983">
        <f>IF(AND(A2983&gt;=Inputs!$B$5,A2983&lt;=Inputs!$B$6),1,0)</f>
        <v/>
      </c>
    </row>
    <row r="2984">
      <c r="A2984" t="inlineStr">
        <is>
          <t>2026-10</t>
        </is>
      </c>
      <c r="B2984" t="inlineStr">
        <is>
          <t>HOSP-3</t>
        </is>
      </c>
      <c r="C2984" t="inlineStr">
        <is>
          <t>SS-01187</t>
        </is>
      </c>
      <c r="D2984" t="n">
        <v>12</v>
      </c>
      <c r="E2984" t="n">
        <v>0</v>
      </c>
      <c r="G2984">
        <f>IF(AND(A2984&gt;=Inputs!$B$5,A2984&lt;=Inputs!$B$6),1,0)</f>
        <v/>
      </c>
    </row>
    <row r="2985">
      <c r="A2985" t="inlineStr">
        <is>
          <t>2026-10</t>
        </is>
      </c>
      <c r="B2985" t="inlineStr">
        <is>
          <t>HOSP-4</t>
        </is>
      </c>
      <c r="C2985" t="inlineStr">
        <is>
          <t>SS-01188</t>
        </is>
      </c>
      <c r="D2985" t="n">
        <v>0</v>
      </c>
      <c r="E2985" t="n">
        <v>0</v>
      </c>
      <c r="G2985">
        <f>IF(AND(A2985&gt;=Inputs!$B$5,A2985&lt;=Inputs!$B$6),1,0)</f>
        <v/>
      </c>
    </row>
    <row r="2986">
      <c r="A2986" t="inlineStr">
        <is>
          <t>2026-10</t>
        </is>
      </c>
      <c r="B2986" t="inlineStr">
        <is>
          <t>HOSP-1</t>
        </is>
      </c>
      <c r="C2986" t="inlineStr">
        <is>
          <t>SS-01189</t>
        </is>
      </c>
      <c r="D2986" t="n">
        <v>12</v>
      </c>
      <c r="E2986" t="n">
        <v>0</v>
      </c>
      <c r="G2986">
        <f>IF(AND(A2986&gt;=Inputs!$B$5,A2986&lt;=Inputs!$B$6),1,0)</f>
        <v/>
      </c>
    </row>
    <row r="2987">
      <c r="A2987" t="inlineStr">
        <is>
          <t>2026-10</t>
        </is>
      </c>
      <c r="B2987" t="inlineStr">
        <is>
          <t>HOSP-2</t>
        </is>
      </c>
      <c r="C2987" t="inlineStr">
        <is>
          <t>SS-01190</t>
        </is>
      </c>
      <c r="D2987" t="n">
        <v>12</v>
      </c>
      <c r="E2987" t="n">
        <v>0</v>
      </c>
      <c r="G2987">
        <f>IF(AND(A2987&gt;=Inputs!$B$5,A2987&lt;=Inputs!$B$6),1,0)</f>
        <v/>
      </c>
    </row>
    <row r="2988">
      <c r="A2988" t="inlineStr">
        <is>
          <t>2026-10</t>
        </is>
      </c>
      <c r="B2988" t="inlineStr">
        <is>
          <t>HOSP-3</t>
        </is>
      </c>
      <c r="C2988" t="inlineStr">
        <is>
          <t>SS-01191</t>
        </is>
      </c>
      <c r="D2988" t="n">
        <v>21</v>
      </c>
      <c r="E2988" t="n">
        <v>0</v>
      </c>
      <c r="G2988">
        <f>IF(AND(A2988&gt;=Inputs!$B$5,A2988&lt;=Inputs!$B$6),1,0)</f>
        <v/>
      </c>
    </row>
    <row r="2989">
      <c r="A2989" t="inlineStr">
        <is>
          <t>2026-10</t>
        </is>
      </c>
      <c r="B2989" t="inlineStr">
        <is>
          <t>HOSP-4</t>
        </is>
      </c>
      <c r="C2989" t="inlineStr">
        <is>
          <t>SS-01192</t>
        </is>
      </c>
      <c r="D2989" t="n">
        <v>12</v>
      </c>
      <c r="E2989" t="n">
        <v>0</v>
      </c>
      <c r="G2989">
        <f>IF(AND(A2989&gt;=Inputs!$B$5,A2989&lt;=Inputs!$B$6),1,0)</f>
        <v/>
      </c>
    </row>
    <row r="2990">
      <c r="A2990" t="inlineStr">
        <is>
          <t>2026-10</t>
        </is>
      </c>
      <c r="B2990" t="inlineStr">
        <is>
          <t>HOSP-1</t>
        </is>
      </c>
      <c r="C2990" t="inlineStr">
        <is>
          <t>SS-01193</t>
        </is>
      </c>
      <c r="D2990" t="n">
        <v>24</v>
      </c>
      <c r="E2990" t="n">
        <v>0</v>
      </c>
      <c r="G2990">
        <f>IF(AND(A2990&gt;=Inputs!$B$5,A2990&lt;=Inputs!$B$6),1,0)</f>
        <v/>
      </c>
    </row>
    <row r="2991">
      <c r="A2991" t="inlineStr">
        <is>
          <t>2026-10</t>
        </is>
      </c>
      <c r="B2991" t="inlineStr">
        <is>
          <t>HOSP-2</t>
        </is>
      </c>
      <c r="C2991" t="inlineStr">
        <is>
          <t>SS-01194</t>
        </is>
      </c>
      <c r="D2991" t="n">
        <v>12</v>
      </c>
      <c r="E2991" t="n">
        <v>0</v>
      </c>
      <c r="G2991">
        <f>IF(AND(A2991&gt;=Inputs!$B$5,A2991&lt;=Inputs!$B$6),1,0)</f>
        <v/>
      </c>
    </row>
    <row r="2992">
      <c r="A2992" t="inlineStr">
        <is>
          <t>2026-10</t>
        </is>
      </c>
      <c r="B2992" t="inlineStr">
        <is>
          <t>HOSP-3</t>
        </is>
      </c>
      <c r="C2992" t="inlineStr">
        <is>
          <t>SS-01195</t>
        </is>
      </c>
      <c r="D2992" t="n">
        <v>36</v>
      </c>
      <c r="E2992" t="n">
        <v>0</v>
      </c>
      <c r="G2992">
        <f>IF(AND(A2992&gt;=Inputs!$B$5,A2992&lt;=Inputs!$B$6),1,0)</f>
        <v/>
      </c>
    </row>
    <row r="2993">
      <c r="A2993" t="inlineStr">
        <is>
          <t>2026-10</t>
        </is>
      </c>
      <c r="B2993" t="inlineStr">
        <is>
          <t>HOSP-4</t>
        </is>
      </c>
      <c r="C2993" t="inlineStr">
        <is>
          <t>SS-01013</t>
        </is>
      </c>
      <c r="D2993" t="n">
        <v>9</v>
      </c>
      <c r="E2993" t="n">
        <v>15</v>
      </c>
      <c r="G2993">
        <f>IF(AND(A2993&gt;=Inputs!$B$5,A2993&lt;=Inputs!$B$6),1,0)</f>
        <v/>
      </c>
    </row>
    <row r="2994">
      <c r="A2994" t="inlineStr">
        <is>
          <t>2026-10</t>
        </is>
      </c>
      <c r="B2994" t="inlineStr">
        <is>
          <t>HOSP-1</t>
        </is>
      </c>
      <c r="C2994" t="inlineStr">
        <is>
          <t>SS-01197</t>
        </is>
      </c>
      <c r="D2994" t="n">
        <v>36</v>
      </c>
      <c r="E2994" t="n">
        <v>0</v>
      </c>
      <c r="G2994">
        <f>IF(AND(A2994&gt;=Inputs!$B$5,A2994&lt;=Inputs!$B$6),1,0)</f>
        <v/>
      </c>
    </row>
    <row r="2995">
      <c r="A2995" t="inlineStr">
        <is>
          <t>2026-10</t>
        </is>
      </c>
      <c r="B2995" t="inlineStr">
        <is>
          <t>HOSP-2</t>
        </is>
      </c>
      <c r="C2995" t="inlineStr">
        <is>
          <t>SS-01198</t>
        </is>
      </c>
      <c r="D2995" t="n">
        <v>0</v>
      </c>
      <c r="E2995" t="n">
        <v>0</v>
      </c>
      <c r="G2995">
        <f>IF(AND(A2995&gt;=Inputs!$B$5,A2995&lt;=Inputs!$B$6),1,0)</f>
        <v/>
      </c>
    </row>
    <row r="2996">
      <c r="A2996" t="inlineStr">
        <is>
          <t>2026-10</t>
        </is>
      </c>
      <c r="B2996" t="inlineStr">
        <is>
          <t>HOSP-3</t>
        </is>
      </c>
      <c r="C2996" t="inlineStr">
        <is>
          <t>SS-01199</t>
        </is>
      </c>
      <c r="D2996" t="n">
        <v>60</v>
      </c>
      <c r="E2996" t="n">
        <v>0</v>
      </c>
      <c r="G2996">
        <f>IF(AND(A2996&gt;=Inputs!$B$5,A2996&lt;=Inputs!$B$6),1,0)</f>
        <v/>
      </c>
    </row>
    <row r="2997">
      <c r="A2997" t="inlineStr">
        <is>
          <t>2026-10</t>
        </is>
      </c>
      <c r="B2997" t="inlineStr">
        <is>
          <t>HOSP-4</t>
        </is>
      </c>
      <c r="C2997" t="inlineStr">
        <is>
          <t>SS-01200</t>
        </is>
      </c>
      <c r="D2997" t="n">
        <v>24</v>
      </c>
      <c r="E2997" t="n">
        <v>0</v>
      </c>
      <c r="G2997">
        <f>IF(AND(A2997&gt;=Inputs!$B$5,A2997&lt;=Inputs!$B$6),1,0)</f>
        <v/>
      </c>
    </row>
    <row r="2998">
      <c r="A2998" t="inlineStr">
        <is>
          <t>2026-10</t>
        </is>
      </c>
      <c r="B2998" t="inlineStr">
        <is>
          <t>HOSP-1</t>
        </is>
      </c>
      <c r="C2998" t="inlineStr">
        <is>
          <t>SS-01201</t>
        </is>
      </c>
      <c r="D2998" t="n">
        <v>36</v>
      </c>
      <c r="E2998" t="n">
        <v>0</v>
      </c>
      <c r="G2998">
        <f>IF(AND(A2998&gt;=Inputs!$B$5,A2998&lt;=Inputs!$B$6),1,0)</f>
        <v/>
      </c>
    </row>
    <row r="2999">
      <c r="A2999" t="inlineStr">
        <is>
          <t>2026-10</t>
        </is>
      </c>
      <c r="B2999" t="inlineStr">
        <is>
          <t>HOSP-2</t>
        </is>
      </c>
      <c r="C2999" t="inlineStr">
        <is>
          <t>SS-01202</t>
        </is>
      </c>
      <c r="D2999" t="n">
        <v>60</v>
      </c>
      <c r="E2999" t="n">
        <v>0</v>
      </c>
      <c r="G2999">
        <f>IF(AND(A2999&gt;=Inputs!$B$5,A2999&lt;=Inputs!$B$6),1,0)</f>
        <v/>
      </c>
    </row>
    <row r="3000">
      <c r="A3000" t="inlineStr">
        <is>
          <t>2026-10</t>
        </is>
      </c>
      <c r="B3000" t="inlineStr">
        <is>
          <t>HOSP-3</t>
        </is>
      </c>
      <c r="C3000" t="inlineStr">
        <is>
          <t>SS-01203</t>
        </is>
      </c>
      <c r="D3000" t="n">
        <v>10</v>
      </c>
      <c r="E3000" t="n">
        <v>0</v>
      </c>
      <c r="G3000">
        <f>IF(AND(A3000&gt;=Inputs!$B$5,A3000&lt;=Inputs!$B$6),1,0)</f>
        <v/>
      </c>
    </row>
    <row r="3001">
      <c r="A3001" t="inlineStr">
        <is>
          <t>2026-10</t>
        </is>
      </c>
      <c r="B3001" t="inlineStr">
        <is>
          <t>HOSP-4</t>
        </is>
      </c>
      <c r="C3001" t="inlineStr">
        <is>
          <t>SS-01204</t>
        </is>
      </c>
      <c r="D3001" t="n">
        <v>144</v>
      </c>
      <c r="E3001" t="n">
        <v>0</v>
      </c>
      <c r="G3001">
        <f>IF(AND(A3001&gt;=Inputs!$B$5,A3001&lt;=Inputs!$B$6),1,0)</f>
        <v/>
      </c>
    </row>
    <row r="3002">
      <c r="A3002" t="inlineStr">
        <is>
          <t>2026-10</t>
        </is>
      </c>
      <c r="B3002" t="inlineStr">
        <is>
          <t>HOSP-1</t>
        </is>
      </c>
      <c r="C3002" t="inlineStr">
        <is>
          <t>SS-01204</t>
        </is>
      </c>
      <c r="D3002" t="n">
        <v>28</v>
      </c>
      <c r="E3002" t="n">
        <v>0</v>
      </c>
      <c r="G3002">
        <f>IF(AND(A3002&gt;=Inputs!$B$5,A3002&lt;=Inputs!$B$6),1,0)</f>
        <v/>
      </c>
    </row>
    <row r="3003">
      <c r="A3003" t="inlineStr">
        <is>
          <t>2026-10</t>
        </is>
      </c>
      <c r="B3003" t="inlineStr">
        <is>
          <t>HOSP-2</t>
        </is>
      </c>
      <c r="C3003" t="inlineStr">
        <is>
          <t>SS-01206</t>
        </is>
      </c>
      <c r="D3003" t="n">
        <v>0</v>
      </c>
      <c r="E3003" t="n">
        <v>0</v>
      </c>
      <c r="G3003">
        <f>IF(AND(A3003&gt;=Inputs!$B$5,A3003&lt;=Inputs!$B$6),1,0)</f>
        <v/>
      </c>
    </row>
    <row r="3004">
      <c r="A3004" t="inlineStr">
        <is>
          <t>2026-10</t>
        </is>
      </c>
      <c r="B3004" t="inlineStr">
        <is>
          <t>HOSP-3</t>
        </is>
      </c>
      <c r="C3004" t="inlineStr">
        <is>
          <t>SS-01207</t>
        </is>
      </c>
      <c r="D3004" t="n">
        <v>9</v>
      </c>
      <c r="E3004" t="n">
        <v>0</v>
      </c>
      <c r="G3004">
        <f>IF(AND(A3004&gt;=Inputs!$B$5,A3004&lt;=Inputs!$B$6),1,0)</f>
        <v/>
      </c>
    </row>
    <row r="3005">
      <c r="A3005" t="inlineStr">
        <is>
          <t>2026-10</t>
        </is>
      </c>
      <c r="B3005" t="inlineStr">
        <is>
          <t>HOSP-4</t>
        </is>
      </c>
      <c r="C3005" t="inlineStr">
        <is>
          <t>SS-01208</t>
        </is>
      </c>
      <c r="D3005" t="n">
        <v>0</v>
      </c>
      <c r="E3005" t="n">
        <v>0</v>
      </c>
      <c r="G3005">
        <f>IF(AND(A3005&gt;=Inputs!$B$5,A3005&lt;=Inputs!$B$6),1,0)</f>
        <v/>
      </c>
    </row>
    <row r="3006">
      <c r="A3006" t="inlineStr">
        <is>
          <t>2026-10</t>
        </is>
      </c>
      <c r="B3006" t="inlineStr">
        <is>
          <t>HOSP-1</t>
        </is>
      </c>
      <c r="C3006" t="inlineStr">
        <is>
          <t>SS-01209</t>
        </is>
      </c>
      <c r="D3006" t="n">
        <v>21</v>
      </c>
      <c r="E3006" t="n">
        <v>0</v>
      </c>
      <c r="G3006">
        <f>IF(AND(A3006&gt;=Inputs!$B$5,A3006&lt;=Inputs!$B$6),1,0)</f>
        <v/>
      </c>
    </row>
    <row r="3007">
      <c r="A3007" t="inlineStr">
        <is>
          <t>2026-10</t>
        </is>
      </c>
      <c r="B3007" t="inlineStr">
        <is>
          <t>HOSP-2</t>
        </is>
      </c>
      <c r="C3007" t="inlineStr">
        <is>
          <t>SS-01210</t>
        </is>
      </c>
      <c r="D3007" t="n">
        <v>24</v>
      </c>
      <c r="E3007" t="n">
        <v>0</v>
      </c>
      <c r="G3007">
        <f>IF(AND(A3007&gt;=Inputs!$B$5,A3007&lt;=Inputs!$B$6),1,0)</f>
        <v/>
      </c>
    </row>
    <row r="3008">
      <c r="A3008" t="inlineStr">
        <is>
          <t>2026-10</t>
        </is>
      </c>
      <c r="B3008" t="inlineStr">
        <is>
          <t>HOSP-3</t>
        </is>
      </c>
      <c r="C3008" t="inlineStr">
        <is>
          <t>SS-01211</t>
        </is>
      </c>
      <c r="D3008" t="n">
        <v>36</v>
      </c>
      <c r="E3008" t="n">
        <v>0</v>
      </c>
      <c r="G3008">
        <f>IF(AND(A3008&gt;=Inputs!$B$5,A3008&lt;=Inputs!$B$6),1,0)</f>
        <v/>
      </c>
    </row>
    <row r="3009">
      <c r="A3009" t="inlineStr">
        <is>
          <t>2026-10</t>
        </is>
      </c>
      <c r="B3009" t="inlineStr">
        <is>
          <t>HOSP-4</t>
        </is>
      </c>
      <c r="C3009" t="inlineStr">
        <is>
          <t>SS-01212</t>
        </is>
      </c>
      <c r="D3009" t="n">
        <v>5</v>
      </c>
      <c r="E3009" t="n">
        <v>0</v>
      </c>
      <c r="G3009">
        <f>IF(AND(A3009&gt;=Inputs!$B$5,A3009&lt;=Inputs!$B$6),1,0)</f>
        <v/>
      </c>
    </row>
    <row r="3010">
      <c r="A3010" t="inlineStr">
        <is>
          <t>2026-10</t>
        </is>
      </c>
      <c r="B3010" t="inlineStr">
        <is>
          <t>HOSP-1</t>
        </is>
      </c>
      <c r="C3010" t="inlineStr">
        <is>
          <t>SS-01213</t>
        </is>
      </c>
      <c r="D3010" t="n">
        <v>24</v>
      </c>
      <c r="E3010" t="n">
        <v>0</v>
      </c>
      <c r="G3010">
        <f>IF(AND(A3010&gt;=Inputs!$B$5,A3010&lt;=Inputs!$B$6),1,0)</f>
        <v/>
      </c>
    </row>
    <row r="3011">
      <c r="A3011" t="inlineStr">
        <is>
          <t>2026-10</t>
        </is>
      </c>
      <c r="B3011" t="inlineStr">
        <is>
          <t>HOSP-2</t>
        </is>
      </c>
      <c r="C3011" t="inlineStr">
        <is>
          <t>SS-01214</t>
        </is>
      </c>
      <c r="D3011" t="n">
        <v>36</v>
      </c>
      <c r="E3011" t="n">
        <v>0</v>
      </c>
      <c r="G3011">
        <f>IF(AND(A3011&gt;=Inputs!$B$5,A3011&lt;=Inputs!$B$6),1,0)</f>
        <v/>
      </c>
    </row>
    <row r="3012">
      <c r="A3012" t="inlineStr">
        <is>
          <t>2026-10</t>
        </is>
      </c>
      <c r="B3012" t="inlineStr">
        <is>
          <t>HOSP-3</t>
        </is>
      </c>
      <c r="C3012" t="inlineStr">
        <is>
          <t>SS-01076</t>
        </is>
      </c>
      <c r="D3012" t="n">
        <v>216</v>
      </c>
      <c r="E3012" t="n">
        <v>0</v>
      </c>
      <c r="G3012">
        <f>IF(AND(A3012&gt;=Inputs!$B$5,A3012&lt;=Inputs!$B$6),1,0)</f>
        <v/>
      </c>
    </row>
    <row r="3013">
      <c r="A3013" t="inlineStr">
        <is>
          <t>2026-10</t>
        </is>
      </c>
      <c r="B3013" t="inlineStr">
        <is>
          <t>HOSP-4</t>
        </is>
      </c>
      <c r="C3013" t="inlineStr">
        <is>
          <t>SS-01216</t>
        </is>
      </c>
      <c r="D3013" t="n">
        <v>60</v>
      </c>
      <c r="E3013" t="n">
        <v>0</v>
      </c>
      <c r="G3013">
        <f>IF(AND(A3013&gt;=Inputs!$B$5,A3013&lt;=Inputs!$B$6),1,0)</f>
        <v/>
      </c>
    </row>
    <row r="3014">
      <c r="A3014" t="inlineStr">
        <is>
          <t>2026-10</t>
        </is>
      </c>
      <c r="B3014" t="inlineStr">
        <is>
          <t>HOSP-1</t>
        </is>
      </c>
      <c r="C3014" t="inlineStr">
        <is>
          <t>SS-01217</t>
        </is>
      </c>
      <c r="D3014" t="n">
        <v>0</v>
      </c>
      <c r="E3014" t="n">
        <v>0</v>
      </c>
      <c r="G3014">
        <f>IF(AND(A3014&gt;=Inputs!$B$5,A3014&lt;=Inputs!$B$6),1,0)</f>
        <v/>
      </c>
    </row>
    <row r="3015">
      <c r="A3015" t="inlineStr">
        <is>
          <t>2026-10</t>
        </is>
      </c>
      <c r="B3015" t="inlineStr">
        <is>
          <t>HOSP-2</t>
        </is>
      </c>
      <c r="C3015" t="inlineStr">
        <is>
          <t>SS-01218</t>
        </is>
      </c>
      <c r="D3015" t="n">
        <v>28</v>
      </c>
      <c r="E3015" t="n">
        <v>0</v>
      </c>
      <c r="G3015">
        <f>IF(AND(A3015&gt;=Inputs!$B$5,A3015&lt;=Inputs!$B$6),1,0)</f>
        <v/>
      </c>
    </row>
    <row r="3016">
      <c r="A3016" t="inlineStr">
        <is>
          <t>2026-10</t>
        </is>
      </c>
      <c r="B3016" t="inlineStr">
        <is>
          <t>HOSP-3</t>
        </is>
      </c>
      <c r="C3016" t="inlineStr">
        <is>
          <t>SS-01219</t>
        </is>
      </c>
      <c r="D3016" t="n">
        <v>120</v>
      </c>
      <c r="E3016" t="n">
        <v>0</v>
      </c>
      <c r="G3016">
        <f>IF(AND(A3016&gt;=Inputs!$B$5,A3016&lt;=Inputs!$B$6),1,0)</f>
        <v/>
      </c>
    </row>
    <row r="3017">
      <c r="A3017" t="inlineStr">
        <is>
          <t>2026-10</t>
        </is>
      </c>
      <c r="B3017" t="inlineStr">
        <is>
          <t>HOSP-4</t>
        </is>
      </c>
      <c r="C3017" t="inlineStr">
        <is>
          <t>SS-01220</t>
        </is>
      </c>
      <c r="D3017" t="n">
        <v>12</v>
      </c>
      <c r="E3017" t="n">
        <v>0</v>
      </c>
      <c r="G3017">
        <f>IF(AND(A3017&gt;=Inputs!$B$5,A3017&lt;=Inputs!$B$6),1,0)</f>
        <v/>
      </c>
    </row>
    <row r="3018">
      <c r="A3018" t="inlineStr">
        <is>
          <t>2026-10</t>
        </is>
      </c>
      <c r="B3018" t="inlineStr">
        <is>
          <t>HOSP-1</t>
        </is>
      </c>
      <c r="C3018" t="inlineStr">
        <is>
          <t>SS-01221</t>
        </is>
      </c>
      <c r="D3018" t="n">
        <v>12</v>
      </c>
      <c r="E3018" t="n">
        <v>0</v>
      </c>
      <c r="G3018">
        <f>IF(AND(A3018&gt;=Inputs!$B$5,A3018&lt;=Inputs!$B$6),1,0)</f>
        <v/>
      </c>
    </row>
    <row r="3019">
      <c r="A3019" t="inlineStr">
        <is>
          <t>2026-10</t>
        </is>
      </c>
      <c r="B3019" t="inlineStr">
        <is>
          <t>HOSP-2</t>
        </is>
      </c>
      <c r="C3019" t="inlineStr">
        <is>
          <t>SS-01156</t>
        </is>
      </c>
      <c r="D3019" t="n">
        <v>252</v>
      </c>
      <c r="E3019" t="n">
        <v>1</v>
      </c>
      <c r="G3019">
        <f>IF(AND(A3019&gt;=Inputs!$B$5,A3019&lt;=Inputs!$B$6),1,0)</f>
        <v/>
      </c>
    </row>
    <row r="3020">
      <c r="A3020" t="inlineStr">
        <is>
          <t>2026-10</t>
        </is>
      </c>
      <c r="B3020" t="inlineStr">
        <is>
          <t>HOSP-3</t>
        </is>
      </c>
      <c r="C3020" t="inlineStr">
        <is>
          <t>SS-01223</t>
        </is>
      </c>
      <c r="D3020" t="n">
        <v>36</v>
      </c>
      <c r="E3020" t="n">
        <v>0</v>
      </c>
      <c r="G3020">
        <f>IF(AND(A3020&gt;=Inputs!$B$5,A3020&lt;=Inputs!$B$6),1,0)</f>
        <v/>
      </c>
    </row>
    <row r="3021">
      <c r="A3021" t="inlineStr">
        <is>
          <t>2026-10</t>
        </is>
      </c>
      <c r="B3021" t="inlineStr">
        <is>
          <t>HOSP-4</t>
        </is>
      </c>
      <c r="C3021" t="inlineStr">
        <is>
          <t>SS-01224</t>
        </is>
      </c>
      <c r="D3021" t="n">
        <v>0</v>
      </c>
      <c r="E3021" t="n">
        <v>0</v>
      </c>
      <c r="G3021">
        <f>IF(AND(A3021&gt;=Inputs!$B$5,A3021&lt;=Inputs!$B$6),1,0)</f>
        <v/>
      </c>
    </row>
    <row r="3022">
      <c r="A3022" t="inlineStr">
        <is>
          <t>2026-10</t>
        </is>
      </c>
      <c r="B3022" t="inlineStr">
        <is>
          <t>HOSP-1</t>
        </is>
      </c>
      <c r="C3022" t="inlineStr">
        <is>
          <t>SS-01225</t>
        </is>
      </c>
      <c r="D3022" t="n">
        <v>25</v>
      </c>
      <c r="E3022" t="n">
        <v>0</v>
      </c>
      <c r="G3022">
        <f>IF(AND(A3022&gt;=Inputs!$B$5,A3022&lt;=Inputs!$B$6),1,0)</f>
        <v/>
      </c>
    </row>
    <row r="3023">
      <c r="A3023" t="inlineStr">
        <is>
          <t>2026-10</t>
        </is>
      </c>
      <c r="B3023" t="inlineStr">
        <is>
          <t>HOSP-2</t>
        </is>
      </c>
      <c r="C3023" t="inlineStr">
        <is>
          <t>SS-01226</t>
        </is>
      </c>
      <c r="D3023" t="n">
        <v>12</v>
      </c>
      <c r="E3023" t="n">
        <v>0</v>
      </c>
      <c r="G3023">
        <f>IF(AND(A3023&gt;=Inputs!$B$5,A3023&lt;=Inputs!$B$6),1,0)</f>
        <v/>
      </c>
    </row>
    <row r="3024">
      <c r="A3024" t="inlineStr">
        <is>
          <t>2026-10</t>
        </is>
      </c>
      <c r="B3024" t="inlineStr">
        <is>
          <t>HOSP-3</t>
        </is>
      </c>
      <c r="C3024" t="inlineStr">
        <is>
          <t>SS-01227</t>
        </is>
      </c>
      <c r="D3024" t="n">
        <v>24</v>
      </c>
      <c r="E3024" t="n">
        <v>0</v>
      </c>
      <c r="G3024">
        <f>IF(AND(A3024&gt;=Inputs!$B$5,A3024&lt;=Inputs!$B$6),1,0)</f>
        <v/>
      </c>
    </row>
    <row r="3025">
      <c r="A3025" t="inlineStr">
        <is>
          <t>2026-10</t>
        </is>
      </c>
      <c r="B3025" t="inlineStr">
        <is>
          <t>HOSP-4</t>
        </is>
      </c>
      <c r="C3025" t="inlineStr">
        <is>
          <t>SS-01228</t>
        </is>
      </c>
      <c r="D3025" t="n">
        <v>96</v>
      </c>
      <c r="E3025" t="n">
        <v>0</v>
      </c>
      <c r="G3025">
        <f>IF(AND(A3025&gt;=Inputs!$B$5,A3025&lt;=Inputs!$B$6),1,0)</f>
        <v/>
      </c>
    </row>
    <row r="3026">
      <c r="A3026" t="inlineStr">
        <is>
          <t>2026-10</t>
        </is>
      </c>
      <c r="B3026" t="inlineStr">
        <is>
          <t>HOSP-1</t>
        </is>
      </c>
      <c r="C3026" t="inlineStr">
        <is>
          <t>SS-01229</t>
        </is>
      </c>
      <c r="D3026" t="n">
        <v>12</v>
      </c>
      <c r="E3026" t="n">
        <v>0</v>
      </c>
      <c r="G3026">
        <f>IF(AND(A3026&gt;=Inputs!$B$5,A3026&lt;=Inputs!$B$6),1,0)</f>
        <v/>
      </c>
    </row>
    <row r="3027">
      <c r="A3027" t="inlineStr">
        <is>
          <t>2026-10</t>
        </is>
      </c>
      <c r="B3027" t="inlineStr">
        <is>
          <t>HOSP-2</t>
        </is>
      </c>
      <c r="C3027" t="inlineStr">
        <is>
          <t>SS-01230</t>
        </is>
      </c>
      <c r="D3027" t="n">
        <v>21</v>
      </c>
      <c r="E3027" t="n">
        <v>2</v>
      </c>
      <c r="G3027">
        <f>IF(AND(A3027&gt;=Inputs!$B$5,A3027&lt;=Inputs!$B$6),1,0)</f>
        <v/>
      </c>
    </row>
    <row r="3028">
      <c r="A3028" t="inlineStr">
        <is>
          <t>2026-10</t>
        </is>
      </c>
      <c r="B3028" t="inlineStr">
        <is>
          <t>HOSP-3</t>
        </is>
      </c>
      <c r="C3028" t="inlineStr">
        <is>
          <t>SS-01231</t>
        </is>
      </c>
      <c r="D3028" t="n">
        <v>72</v>
      </c>
      <c r="E3028" t="n">
        <v>0</v>
      </c>
      <c r="G3028">
        <f>IF(AND(A3028&gt;=Inputs!$B$5,A3028&lt;=Inputs!$B$6),1,0)</f>
        <v/>
      </c>
    </row>
    <row r="3029">
      <c r="A3029" t="inlineStr">
        <is>
          <t>2026-10</t>
        </is>
      </c>
      <c r="B3029" t="inlineStr">
        <is>
          <t>HOSP-4</t>
        </is>
      </c>
      <c r="C3029" t="inlineStr">
        <is>
          <t>SS-01232</t>
        </is>
      </c>
      <c r="D3029" t="n">
        <v>1</v>
      </c>
      <c r="E3029" t="n">
        <v>2</v>
      </c>
      <c r="G3029">
        <f>IF(AND(A3029&gt;=Inputs!$B$5,A3029&lt;=Inputs!$B$6),1,0)</f>
        <v/>
      </c>
    </row>
    <row r="3030">
      <c r="A3030" t="inlineStr">
        <is>
          <t>2026-10</t>
        </is>
      </c>
      <c r="B3030" t="inlineStr">
        <is>
          <t>HOSP-1</t>
        </is>
      </c>
      <c r="C3030" t="inlineStr">
        <is>
          <t>SS-01233</t>
        </is>
      </c>
      <c r="D3030" t="n">
        <v>24</v>
      </c>
      <c r="E3030" t="n">
        <v>0</v>
      </c>
      <c r="G3030">
        <f>IF(AND(A3030&gt;=Inputs!$B$5,A3030&lt;=Inputs!$B$6),1,0)</f>
        <v/>
      </c>
    </row>
    <row r="3031">
      <c r="A3031" t="inlineStr">
        <is>
          <t>2026-10</t>
        </is>
      </c>
      <c r="B3031" t="inlineStr">
        <is>
          <t>HOSP-2</t>
        </is>
      </c>
      <c r="C3031" t="inlineStr">
        <is>
          <t>SS-01001</t>
        </is>
      </c>
      <c r="D3031" t="n">
        <v>0</v>
      </c>
      <c r="E3031" t="n">
        <v>0</v>
      </c>
      <c r="G3031">
        <f>IF(AND(A3031&gt;=Inputs!$B$5,A3031&lt;=Inputs!$B$6),1,0)</f>
        <v/>
      </c>
    </row>
    <row r="3032">
      <c r="A3032" t="inlineStr">
        <is>
          <t>2026-10</t>
        </is>
      </c>
      <c r="B3032" t="inlineStr">
        <is>
          <t>HOSP-3</t>
        </is>
      </c>
      <c r="C3032" t="inlineStr">
        <is>
          <t>SS-01002</t>
        </is>
      </c>
      <c r="D3032" t="n">
        <v>24</v>
      </c>
      <c r="E3032" t="n">
        <v>0</v>
      </c>
      <c r="G3032">
        <f>IF(AND(A3032&gt;=Inputs!$B$5,A3032&lt;=Inputs!$B$6),1,0)</f>
        <v/>
      </c>
    </row>
    <row r="3033">
      <c r="A3033" t="inlineStr">
        <is>
          <t>2026-10</t>
        </is>
      </c>
      <c r="B3033" t="inlineStr">
        <is>
          <t>HOSP-4</t>
        </is>
      </c>
      <c r="C3033" t="inlineStr">
        <is>
          <t>SS-01003</t>
        </is>
      </c>
      <c r="D3033" t="n">
        <v>40</v>
      </c>
      <c r="E3033" t="n">
        <v>0</v>
      </c>
      <c r="G3033">
        <f>IF(AND(A3033&gt;=Inputs!$B$5,A3033&lt;=Inputs!$B$6),1,0)</f>
        <v/>
      </c>
    </row>
    <row r="3034">
      <c r="A3034" t="inlineStr">
        <is>
          <t>2026-10</t>
        </is>
      </c>
      <c r="B3034" t="inlineStr">
        <is>
          <t>HOSP-1</t>
        </is>
      </c>
      <c r="C3034" t="inlineStr">
        <is>
          <t>SS-01004</t>
        </is>
      </c>
      <c r="D3034" t="n">
        <v>12</v>
      </c>
      <c r="E3034" t="n">
        <v>0</v>
      </c>
      <c r="G3034">
        <f>IF(AND(A3034&gt;=Inputs!$B$5,A3034&lt;=Inputs!$B$6),1,0)</f>
        <v/>
      </c>
    </row>
    <row r="3035">
      <c r="A3035" t="inlineStr">
        <is>
          <t>2026-10</t>
        </is>
      </c>
      <c r="B3035" t="inlineStr">
        <is>
          <t>HOSP-2</t>
        </is>
      </c>
      <c r="C3035" t="inlineStr">
        <is>
          <t>SS-01005</t>
        </is>
      </c>
      <c r="D3035" t="n">
        <v>24</v>
      </c>
      <c r="E3035" t="n">
        <v>0</v>
      </c>
      <c r="G3035">
        <f>IF(AND(A3035&gt;=Inputs!$B$5,A3035&lt;=Inputs!$B$6),1,0)</f>
        <v/>
      </c>
    </row>
    <row r="3036">
      <c r="A3036" t="inlineStr">
        <is>
          <t>2026-10</t>
        </is>
      </c>
      <c r="B3036" t="inlineStr">
        <is>
          <t>HOSP-3</t>
        </is>
      </c>
      <c r="C3036" t="inlineStr">
        <is>
          <t>SS-01006</t>
        </is>
      </c>
      <c r="D3036" t="n">
        <v>14</v>
      </c>
      <c r="E3036" t="n">
        <v>0</v>
      </c>
      <c r="G3036">
        <f>IF(AND(A3036&gt;=Inputs!$B$5,A3036&lt;=Inputs!$B$6),1,0)</f>
        <v/>
      </c>
    </row>
    <row r="3037">
      <c r="A3037" t="inlineStr">
        <is>
          <t>2026-10</t>
        </is>
      </c>
      <c r="B3037" t="inlineStr">
        <is>
          <t>HOSP-4</t>
        </is>
      </c>
      <c r="C3037" t="inlineStr">
        <is>
          <t>SS-01007</t>
        </is>
      </c>
      <c r="D3037" t="n">
        <v>24</v>
      </c>
      <c r="E3037" t="n">
        <v>0</v>
      </c>
      <c r="G3037">
        <f>IF(AND(A3037&gt;=Inputs!$B$5,A3037&lt;=Inputs!$B$6),1,0)</f>
        <v/>
      </c>
    </row>
    <row r="3038">
      <c r="A3038" t="inlineStr">
        <is>
          <t>2026-10</t>
        </is>
      </c>
      <c r="B3038" t="inlineStr">
        <is>
          <t>HOSP-1</t>
        </is>
      </c>
      <c r="C3038" t="inlineStr">
        <is>
          <t>SS-01008</t>
        </is>
      </c>
      <c r="D3038" t="n">
        <v>10</v>
      </c>
      <c r="E3038" t="n">
        <v>0</v>
      </c>
      <c r="G3038">
        <f>IF(AND(A3038&gt;=Inputs!$B$5,A3038&lt;=Inputs!$B$6),1,0)</f>
        <v/>
      </c>
    </row>
    <row r="3039">
      <c r="A3039" t="inlineStr">
        <is>
          <t>2026-10</t>
        </is>
      </c>
      <c r="B3039" t="inlineStr">
        <is>
          <t>HOSP-2</t>
        </is>
      </c>
      <c r="C3039" t="inlineStr">
        <is>
          <t>SS-01009</t>
        </is>
      </c>
      <c r="D3039" t="n">
        <v>36</v>
      </c>
      <c r="E3039" t="n">
        <v>0</v>
      </c>
      <c r="G3039">
        <f>IF(AND(A3039&gt;=Inputs!$B$5,A3039&lt;=Inputs!$B$6),1,0)</f>
        <v/>
      </c>
    </row>
    <row r="3040">
      <c r="A3040" t="inlineStr">
        <is>
          <t>2026-10</t>
        </is>
      </c>
      <c r="B3040" t="inlineStr">
        <is>
          <t>HOSP-3</t>
        </is>
      </c>
      <c r="C3040" t="inlineStr">
        <is>
          <t>SS-01010</t>
        </is>
      </c>
      <c r="D3040" t="n">
        <v>24</v>
      </c>
      <c r="E3040" t="n">
        <v>0</v>
      </c>
      <c r="G3040">
        <f>IF(AND(A3040&gt;=Inputs!$B$5,A3040&lt;=Inputs!$B$6),1,0)</f>
        <v/>
      </c>
    </row>
    <row r="3041">
      <c r="A3041" t="inlineStr">
        <is>
          <t>2026-10</t>
        </is>
      </c>
      <c r="B3041" t="inlineStr">
        <is>
          <t>HOSP-4</t>
        </is>
      </c>
      <c r="C3041" t="inlineStr">
        <is>
          <t>SS-01011</t>
        </is>
      </c>
      <c r="D3041" t="n">
        <v>12</v>
      </c>
      <c r="E3041" t="n">
        <v>0</v>
      </c>
      <c r="G3041">
        <f>IF(AND(A3041&gt;=Inputs!$B$5,A3041&lt;=Inputs!$B$6),1,0)</f>
        <v/>
      </c>
    </row>
    <row r="3042">
      <c r="A3042" t="inlineStr">
        <is>
          <t>2026-10</t>
        </is>
      </c>
      <c r="B3042" t="inlineStr">
        <is>
          <t>HOSP-1</t>
        </is>
      </c>
      <c r="C3042" t="inlineStr">
        <is>
          <t>SS-01059</t>
        </is>
      </c>
      <c r="D3042" t="n">
        <v>11</v>
      </c>
      <c r="E3042" t="n">
        <v>1</v>
      </c>
      <c r="G3042">
        <f>IF(AND(A3042&gt;=Inputs!$B$5,A3042&lt;=Inputs!$B$6),1,0)</f>
        <v/>
      </c>
    </row>
    <row r="3043">
      <c r="A3043" t="inlineStr">
        <is>
          <t>2026-10</t>
        </is>
      </c>
      <c r="B3043" t="inlineStr">
        <is>
          <t>HOSP-2</t>
        </is>
      </c>
      <c r="C3043" t="inlineStr">
        <is>
          <t>SS-01013</t>
        </is>
      </c>
      <c r="D3043" t="n">
        <v>24</v>
      </c>
      <c r="E3043" t="n">
        <v>0</v>
      </c>
      <c r="G3043">
        <f>IF(AND(A3043&gt;=Inputs!$B$5,A3043&lt;=Inputs!$B$6),1,0)</f>
        <v/>
      </c>
    </row>
    <row r="3044">
      <c r="A3044" t="inlineStr">
        <is>
          <t>2026-10</t>
        </is>
      </c>
      <c r="B3044" t="inlineStr">
        <is>
          <t>HOSP-3</t>
        </is>
      </c>
      <c r="C3044" t="inlineStr">
        <is>
          <t>SS-01014</t>
        </is>
      </c>
      <c r="D3044" t="n">
        <v>165</v>
      </c>
      <c r="E3044" t="n">
        <v>0</v>
      </c>
      <c r="G3044">
        <f>IF(AND(A3044&gt;=Inputs!$B$5,A3044&lt;=Inputs!$B$6),1,0)</f>
        <v/>
      </c>
    </row>
    <row r="3045">
      <c r="A3045" t="inlineStr">
        <is>
          <t>2026-10</t>
        </is>
      </c>
      <c r="B3045" t="inlineStr">
        <is>
          <t>HOSP-4</t>
        </is>
      </c>
      <c r="C3045" t="inlineStr">
        <is>
          <t>SS-01015</t>
        </is>
      </c>
      <c r="D3045" t="n">
        <v>25</v>
      </c>
      <c r="E3045" t="n">
        <v>2</v>
      </c>
      <c r="G3045">
        <f>IF(AND(A3045&gt;=Inputs!$B$5,A3045&lt;=Inputs!$B$6),1,0)</f>
        <v/>
      </c>
    </row>
    <row r="3046">
      <c r="A3046" t="inlineStr">
        <is>
          <t>2026-10</t>
        </is>
      </c>
      <c r="B3046" t="inlineStr">
        <is>
          <t>HOSP-1</t>
        </is>
      </c>
      <c r="C3046" t="inlineStr">
        <is>
          <t>SS-01016</t>
        </is>
      </c>
      <c r="D3046" t="n">
        <v>1</v>
      </c>
      <c r="E3046" t="n">
        <v>1</v>
      </c>
      <c r="G3046">
        <f>IF(AND(A3046&gt;=Inputs!$B$5,A3046&lt;=Inputs!$B$6),1,0)</f>
        <v/>
      </c>
    </row>
    <row r="3047">
      <c r="A3047" t="inlineStr">
        <is>
          <t>2026-10</t>
        </is>
      </c>
      <c r="B3047" t="inlineStr">
        <is>
          <t>HOSP-2</t>
        </is>
      </c>
      <c r="C3047" t="inlineStr">
        <is>
          <t>SS-01017</t>
        </is>
      </c>
      <c r="D3047" t="n">
        <v>12</v>
      </c>
      <c r="E3047" t="n">
        <v>0</v>
      </c>
      <c r="G3047">
        <f>IF(AND(A3047&gt;=Inputs!$B$5,A3047&lt;=Inputs!$B$6),1,0)</f>
        <v/>
      </c>
    </row>
    <row r="3048">
      <c r="A3048" t="inlineStr">
        <is>
          <t>2026-10</t>
        </is>
      </c>
      <c r="B3048" t="inlineStr">
        <is>
          <t>HOSP-3</t>
        </is>
      </c>
      <c r="C3048" t="inlineStr">
        <is>
          <t>SS-01168</t>
        </is>
      </c>
      <c r="D3048" t="n">
        <v>23</v>
      </c>
      <c r="E3048" t="n">
        <v>1</v>
      </c>
      <c r="G3048">
        <f>IF(AND(A3048&gt;=Inputs!$B$5,A3048&lt;=Inputs!$B$6),1,0)</f>
        <v/>
      </c>
    </row>
    <row r="3049">
      <c r="A3049" t="inlineStr">
        <is>
          <t>2026-10</t>
        </is>
      </c>
      <c r="B3049" t="inlineStr">
        <is>
          <t>HOSP-4</t>
        </is>
      </c>
      <c r="C3049" t="inlineStr">
        <is>
          <t>SS-01019</t>
        </is>
      </c>
      <c r="D3049" t="n">
        <v>0</v>
      </c>
      <c r="E3049" t="n">
        <v>0</v>
      </c>
      <c r="G3049">
        <f>IF(AND(A3049&gt;=Inputs!$B$5,A3049&lt;=Inputs!$B$6),1,0)</f>
        <v/>
      </c>
    </row>
    <row r="3050">
      <c r="A3050" t="inlineStr">
        <is>
          <t>2026-10</t>
        </is>
      </c>
      <c r="B3050" t="inlineStr">
        <is>
          <t>HOSP-1</t>
        </is>
      </c>
      <c r="C3050" t="inlineStr">
        <is>
          <t>SS-01020</t>
        </is>
      </c>
      <c r="D3050" t="n">
        <v>24</v>
      </c>
      <c r="E3050" t="n">
        <v>0</v>
      </c>
      <c r="G3050">
        <f>IF(AND(A3050&gt;=Inputs!$B$5,A3050&lt;=Inputs!$B$6),1,0)</f>
        <v/>
      </c>
    </row>
    <row r="3051">
      <c r="A3051" t="inlineStr">
        <is>
          <t>2026-10</t>
        </is>
      </c>
      <c r="B3051" t="inlineStr">
        <is>
          <t>HOSP-2</t>
        </is>
      </c>
      <c r="C3051" t="inlineStr">
        <is>
          <t>SS-01021</t>
        </is>
      </c>
      <c r="D3051" t="n">
        <v>132</v>
      </c>
      <c r="E3051" t="n">
        <v>0</v>
      </c>
      <c r="G3051">
        <f>IF(AND(A3051&gt;=Inputs!$B$5,A3051&lt;=Inputs!$B$6),1,0)</f>
        <v/>
      </c>
    </row>
    <row r="3052">
      <c r="A3052" t="inlineStr">
        <is>
          <t>2026-10</t>
        </is>
      </c>
      <c r="B3052" t="inlineStr">
        <is>
          <t>HOSP-3</t>
        </is>
      </c>
      <c r="C3052" t="inlineStr">
        <is>
          <t>SS-01022</t>
        </is>
      </c>
      <c r="D3052" t="n">
        <v>168</v>
      </c>
      <c r="E3052" t="n">
        <v>0</v>
      </c>
      <c r="G3052">
        <f>IF(AND(A3052&gt;=Inputs!$B$5,A3052&lt;=Inputs!$B$6),1,0)</f>
        <v/>
      </c>
    </row>
    <row r="3053">
      <c r="A3053" t="inlineStr">
        <is>
          <t>2026-10</t>
        </is>
      </c>
      <c r="B3053" t="inlineStr">
        <is>
          <t>HOSP-4</t>
        </is>
      </c>
      <c r="C3053" t="inlineStr">
        <is>
          <t>SS-01023</t>
        </is>
      </c>
      <c r="D3053" t="n">
        <v>24</v>
      </c>
      <c r="E3053" t="n">
        <v>0</v>
      </c>
      <c r="G3053">
        <f>IF(AND(A3053&gt;=Inputs!$B$5,A3053&lt;=Inputs!$B$6),1,0)</f>
        <v/>
      </c>
    </row>
    <row r="3054">
      <c r="A3054" t="inlineStr">
        <is>
          <t>2026-10</t>
        </is>
      </c>
      <c r="B3054" t="inlineStr">
        <is>
          <t>HOSP-1</t>
        </is>
      </c>
      <c r="C3054" t="inlineStr">
        <is>
          <t>SS-01055</t>
        </is>
      </c>
      <c r="D3054" t="n">
        <v>48</v>
      </c>
      <c r="E3054" t="n">
        <v>0</v>
      </c>
      <c r="G3054">
        <f>IF(AND(A3054&gt;=Inputs!$B$5,A3054&lt;=Inputs!$B$6),1,0)</f>
        <v/>
      </c>
    </row>
    <row r="3055">
      <c r="A3055" t="inlineStr">
        <is>
          <t>2026-10</t>
        </is>
      </c>
      <c r="B3055" t="inlineStr">
        <is>
          <t>HOSP-2</t>
        </is>
      </c>
      <c r="C3055" t="inlineStr">
        <is>
          <t>SS-01025</t>
        </is>
      </c>
      <c r="D3055" t="n">
        <v>24</v>
      </c>
      <c r="E3055" t="n">
        <v>0</v>
      </c>
      <c r="G3055">
        <f>IF(AND(A3055&gt;=Inputs!$B$5,A3055&lt;=Inputs!$B$6),1,0)</f>
        <v/>
      </c>
    </row>
    <row r="3056">
      <c r="A3056" t="inlineStr">
        <is>
          <t>2026-10</t>
        </is>
      </c>
      <c r="B3056" t="inlineStr">
        <is>
          <t>HOSP-3</t>
        </is>
      </c>
      <c r="C3056" t="inlineStr">
        <is>
          <t>SS-01026</t>
        </is>
      </c>
      <c r="D3056" t="n">
        <v>0</v>
      </c>
      <c r="E3056" t="n">
        <v>0</v>
      </c>
      <c r="G3056">
        <f>IF(AND(A3056&gt;=Inputs!$B$5,A3056&lt;=Inputs!$B$6),1,0)</f>
        <v/>
      </c>
    </row>
    <row r="3057">
      <c r="A3057" t="inlineStr">
        <is>
          <t>2026-10</t>
        </is>
      </c>
      <c r="B3057" t="inlineStr">
        <is>
          <t>HOSP-4</t>
        </is>
      </c>
      <c r="C3057" t="inlineStr">
        <is>
          <t>SS-01027</t>
        </is>
      </c>
      <c r="D3057" t="n">
        <v>14</v>
      </c>
      <c r="E3057" t="n">
        <v>1</v>
      </c>
      <c r="G3057">
        <f>IF(AND(A3057&gt;=Inputs!$B$5,A3057&lt;=Inputs!$B$6),1,0)</f>
        <v/>
      </c>
    </row>
    <row r="3058">
      <c r="A3058" t="inlineStr">
        <is>
          <t>2026-10</t>
        </is>
      </c>
      <c r="B3058" t="inlineStr">
        <is>
          <t>HOSP-1</t>
        </is>
      </c>
      <c r="C3058" t="inlineStr">
        <is>
          <t>SS-01028</t>
        </is>
      </c>
      <c r="D3058" t="n">
        <v>72</v>
      </c>
      <c r="E3058" t="n">
        <v>0</v>
      </c>
      <c r="G3058">
        <f>IF(AND(A3058&gt;=Inputs!$B$5,A3058&lt;=Inputs!$B$6),1,0)</f>
        <v/>
      </c>
    </row>
    <row r="3059">
      <c r="A3059" t="inlineStr">
        <is>
          <t>2026-10</t>
        </is>
      </c>
      <c r="B3059" t="inlineStr">
        <is>
          <t>HOSP-2</t>
        </is>
      </c>
      <c r="C3059" t="inlineStr">
        <is>
          <t>SS-01029</t>
        </is>
      </c>
      <c r="D3059" t="n">
        <v>84</v>
      </c>
      <c r="E3059" t="n">
        <v>0</v>
      </c>
      <c r="G3059">
        <f>IF(AND(A3059&gt;=Inputs!$B$5,A3059&lt;=Inputs!$B$6),1,0)</f>
        <v/>
      </c>
    </row>
    <row r="3060">
      <c r="A3060" t="inlineStr">
        <is>
          <t>2026-10</t>
        </is>
      </c>
      <c r="B3060" t="inlineStr">
        <is>
          <t>HOSP-3</t>
        </is>
      </c>
      <c r="C3060" t="inlineStr">
        <is>
          <t>SS-01030</t>
        </is>
      </c>
      <c r="D3060" t="n">
        <v>99</v>
      </c>
      <c r="E3060" t="n">
        <v>0</v>
      </c>
      <c r="G3060">
        <f>IF(AND(A3060&gt;=Inputs!$B$5,A3060&lt;=Inputs!$B$6),1,0)</f>
        <v/>
      </c>
    </row>
    <row r="3061">
      <c r="A3061" t="inlineStr">
        <is>
          <t>2026-10</t>
        </is>
      </c>
      <c r="B3061" t="inlineStr">
        <is>
          <t>HOSP-4</t>
        </is>
      </c>
      <c r="C3061" t="inlineStr">
        <is>
          <t>SS-01031</t>
        </is>
      </c>
      <c r="D3061" t="n">
        <v>5</v>
      </c>
      <c r="E3061" t="n">
        <v>0</v>
      </c>
      <c r="G3061">
        <f>IF(AND(A3061&gt;=Inputs!$B$5,A3061&lt;=Inputs!$B$6),1,0)</f>
        <v/>
      </c>
    </row>
    <row r="3062">
      <c r="A3062" t="inlineStr">
        <is>
          <t>2026-10</t>
        </is>
      </c>
      <c r="B3062" t="inlineStr">
        <is>
          <t>HOSP-1</t>
        </is>
      </c>
      <c r="C3062" t="inlineStr">
        <is>
          <t>SS-01032</t>
        </is>
      </c>
      <c r="D3062" t="n">
        <v>36</v>
      </c>
      <c r="E3062" t="n">
        <v>0</v>
      </c>
      <c r="G3062">
        <f>IF(AND(A3062&gt;=Inputs!$B$5,A3062&lt;=Inputs!$B$6),1,0)</f>
        <v/>
      </c>
    </row>
    <row r="3063">
      <c r="A3063" t="inlineStr">
        <is>
          <t>2026-10</t>
        </is>
      </c>
      <c r="B3063" t="inlineStr">
        <is>
          <t>HOSP-2</t>
        </is>
      </c>
      <c r="C3063" t="inlineStr">
        <is>
          <t>SS-01033</t>
        </is>
      </c>
      <c r="D3063" t="n">
        <v>12</v>
      </c>
      <c r="E3063" t="n">
        <v>0</v>
      </c>
      <c r="G3063">
        <f>IF(AND(A3063&gt;=Inputs!$B$5,A3063&lt;=Inputs!$B$6),1,0)</f>
        <v/>
      </c>
    </row>
    <row r="3064">
      <c r="A3064" t="inlineStr">
        <is>
          <t>2026-10</t>
        </is>
      </c>
      <c r="B3064" t="inlineStr">
        <is>
          <t>HOSP-3</t>
        </is>
      </c>
      <c r="C3064" t="inlineStr">
        <is>
          <t>SS-01034</t>
        </is>
      </c>
      <c r="D3064" t="n">
        <v>12</v>
      </c>
      <c r="E3064" t="n">
        <v>0</v>
      </c>
      <c r="G3064">
        <f>IF(AND(A3064&gt;=Inputs!$B$5,A3064&lt;=Inputs!$B$6),1,0)</f>
        <v/>
      </c>
    </row>
    <row r="3065">
      <c r="A3065" t="inlineStr">
        <is>
          <t>2026-10</t>
        </is>
      </c>
      <c r="B3065" t="inlineStr">
        <is>
          <t>HOSP-4</t>
        </is>
      </c>
      <c r="C3065" t="inlineStr">
        <is>
          <t>SS-01035</t>
        </is>
      </c>
      <c r="D3065" t="n">
        <v>48</v>
      </c>
      <c r="E3065" t="n">
        <v>0</v>
      </c>
      <c r="G3065">
        <f>IF(AND(A3065&gt;=Inputs!$B$5,A3065&lt;=Inputs!$B$6),1,0)</f>
        <v/>
      </c>
    </row>
    <row r="3066">
      <c r="A3066" t="inlineStr">
        <is>
          <t>2026-10</t>
        </is>
      </c>
      <c r="B3066" t="inlineStr">
        <is>
          <t>HOSP-1</t>
        </is>
      </c>
      <c r="C3066" t="inlineStr">
        <is>
          <t>SS-01036</t>
        </is>
      </c>
      <c r="D3066" t="n">
        <v>0</v>
      </c>
      <c r="E3066" t="n">
        <v>0</v>
      </c>
      <c r="G3066">
        <f>IF(AND(A3066&gt;=Inputs!$B$5,A3066&lt;=Inputs!$B$6),1,0)</f>
        <v/>
      </c>
    </row>
    <row r="3067">
      <c r="A3067" t="inlineStr">
        <is>
          <t>2026-10</t>
        </is>
      </c>
      <c r="B3067" t="inlineStr">
        <is>
          <t>HOSP-2</t>
        </is>
      </c>
      <c r="C3067" t="inlineStr">
        <is>
          <t>SS-01037</t>
        </is>
      </c>
      <c r="D3067" t="n">
        <v>240</v>
      </c>
      <c r="E3067" t="n">
        <v>0</v>
      </c>
      <c r="G3067">
        <f>IF(AND(A3067&gt;=Inputs!$B$5,A3067&lt;=Inputs!$B$6),1,0)</f>
        <v/>
      </c>
    </row>
    <row r="3068">
      <c r="A3068" t="inlineStr">
        <is>
          <t>2026-10</t>
        </is>
      </c>
      <c r="B3068" t="inlineStr">
        <is>
          <t>HOSP-3</t>
        </is>
      </c>
      <c r="C3068" t="inlineStr">
        <is>
          <t>SS-01038</t>
        </is>
      </c>
      <c r="D3068" t="n">
        <v>0</v>
      </c>
      <c r="E3068" t="n">
        <v>0</v>
      </c>
      <c r="G3068">
        <f>IF(AND(A3068&gt;=Inputs!$B$5,A3068&lt;=Inputs!$B$6),1,0)</f>
        <v/>
      </c>
    </row>
    <row r="3069">
      <c r="A3069" t="inlineStr">
        <is>
          <t>2026-10</t>
        </is>
      </c>
      <c r="B3069" t="inlineStr">
        <is>
          <t>HOSP-4</t>
        </is>
      </c>
      <c r="C3069" t="inlineStr">
        <is>
          <t>SS-01039</t>
        </is>
      </c>
      <c r="D3069" t="n">
        <v>168</v>
      </c>
      <c r="E3069" t="n">
        <v>0</v>
      </c>
      <c r="G3069">
        <f>IF(AND(A3069&gt;=Inputs!$B$5,A3069&lt;=Inputs!$B$6),1,0)</f>
        <v/>
      </c>
    </row>
    <row r="3070">
      <c r="A3070" t="inlineStr">
        <is>
          <t>2026-10</t>
        </is>
      </c>
      <c r="B3070" t="inlineStr">
        <is>
          <t>HOSP-1</t>
        </is>
      </c>
      <c r="C3070" t="inlineStr">
        <is>
          <t>SS-01040</t>
        </is>
      </c>
      <c r="D3070" t="n">
        <v>38</v>
      </c>
      <c r="E3070" t="n">
        <v>1</v>
      </c>
      <c r="G3070">
        <f>IF(AND(A3070&gt;=Inputs!$B$5,A3070&lt;=Inputs!$B$6),1,0)</f>
        <v/>
      </c>
    </row>
    <row r="3071">
      <c r="A3071" t="inlineStr">
        <is>
          <t>2026-10</t>
        </is>
      </c>
      <c r="B3071" t="inlineStr">
        <is>
          <t>HOSP-2</t>
        </is>
      </c>
      <c r="C3071" t="inlineStr">
        <is>
          <t>SS-01041</t>
        </is>
      </c>
      <c r="D3071" t="n">
        <v>84</v>
      </c>
      <c r="E3071" t="n">
        <v>0</v>
      </c>
      <c r="G3071">
        <f>IF(AND(A3071&gt;=Inputs!$B$5,A3071&lt;=Inputs!$B$6),1,0)</f>
        <v/>
      </c>
    </row>
    <row r="3072">
      <c r="A3072" t="inlineStr">
        <is>
          <t>2026-10</t>
        </is>
      </c>
      <c r="B3072" t="inlineStr">
        <is>
          <t>HOSP-3</t>
        </is>
      </c>
      <c r="C3072" t="inlineStr">
        <is>
          <t>SS-01042</t>
        </is>
      </c>
      <c r="D3072" t="n">
        <v>108</v>
      </c>
      <c r="E3072" t="n">
        <v>0</v>
      </c>
      <c r="G3072">
        <f>IF(AND(A3072&gt;=Inputs!$B$5,A3072&lt;=Inputs!$B$6),1,0)</f>
        <v/>
      </c>
    </row>
    <row r="3073">
      <c r="A3073" t="inlineStr">
        <is>
          <t>2026-10</t>
        </is>
      </c>
      <c r="B3073" t="inlineStr">
        <is>
          <t>HOSP-4</t>
        </is>
      </c>
      <c r="C3073" t="inlineStr">
        <is>
          <t>SS-01043</t>
        </is>
      </c>
      <c r="D3073" t="n">
        <v>34</v>
      </c>
      <c r="E3073" t="n">
        <v>3</v>
      </c>
      <c r="G3073">
        <f>IF(AND(A3073&gt;=Inputs!$B$5,A3073&lt;=Inputs!$B$6),1,0)</f>
        <v/>
      </c>
    </row>
    <row r="3074">
      <c r="A3074" t="inlineStr">
        <is>
          <t>2026-10</t>
        </is>
      </c>
      <c r="B3074" t="inlineStr">
        <is>
          <t>HOSP-1</t>
        </is>
      </c>
      <c r="C3074" t="inlineStr">
        <is>
          <t>SS-01044</t>
        </is>
      </c>
      <c r="D3074" t="n">
        <v>8</v>
      </c>
      <c r="E3074" t="n">
        <v>2</v>
      </c>
      <c r="G3074">
        <f>IF(AND(A3074&gt;=Inputs!$B$5,A3074&lt;=Inputs!$B$6),1,0)</f>
        <v/>
      </c>
    </row>
    <row r="3075">
      <c r="A3075" t="inlineStr">
        <is>
          <t>2026-10</t>
        </is>
      </c>
      <c r="B3075" t="inlineStr">
        <is>
          <t>HOSP-2</t>
        </is>
      </c>
      <c r="C3075" t="inlineStr">
        <is>
          <t>SS-01045</t>
        </is>
      </c>
      <c r="D3075" t="n">
        <v>36</v>
      </c>
      <c r="E3075" t="n">
        <v>2</v>
      </c>
      <c r="G3075">
        <f>IF(AND(A3075&gt;=Inputs!$B$5,A3075&lt;=Inputs!$B$6),1,0)</f>
        <v/>
      </c>
    </row>
    <row r="3076">
      <c r="A3076" t="inlineStr">
        <is>
          <t>2026-10</t>
        </is>
      </c>
      <c r="B3076" t="inlineStr">
        <is>
          <t>HOSP-3</t>
        </is>
      </c>
      <c r="C3076" t="inlineStr">
        <is>
          <t>SS-01046</t>
        </is>
      </c>
      <c r="D3076" t="n">
        <v>15</v>
      </c>
      <c r="E3076" t="n">
        <v>1</v>
      </c>
      <c r="G3076">
        <f>IF(AND(A3076&gt;=Inputs!$B$5,A3076&lt;=Inputs!$B$6),1,0)</f>
        <v/>
      </c>
    </row>
    <row r="3077">
      <c r="A3077" t="inlineStr">
        <is>
          <t>2026-10</t>
        </is>
      </c>
      <c r="B3077" t="inlineStr">
        <is>
          <t>HOSP-4</t>
        </is>
      </c>
      <c r="C3077" t="inlineStr">
        <is>
          <t>SS-01047</t>
        </is>
      </c>
      <c r="D3077" t="n">
        <v>47</v>
      </c>
      <c r="E3077" t="n">
        <v>0</v>
      </c>
      <c r="G3077">
        <f>IF(AND(A3077&gt;=Inputs!$B$5,A3077&lt;=Inputs!$B$6),1,0)</f>
        <v/>
      </c>
    </row>
    <row r="3078">
      <c r="A3078" t="inlineStr">
        <is>
          <t>2026-10</t>
        </is>
      </c>
      <c r="B3078" t="inlineStr">
        <is>
          <t>HOSP-1</t>
        </is>
      </c>
      <c r="C3078" t="inlineStr">
        <is>
          <t>SS-01048</t>
        </is>
      </c>
      <c r="D3078" t="n">
        <v>12</v>
      </c>
      <c r="E3078" t="n">
        <v>1</v>
      </c>
      <c r="G3078">
        <f>IF(AND(A3078&gt;=Inputs!$B$5,A3078&lt;=Inputs!$B$6),1,0)</f>
        <v/>
      </c>
    </row>
    <row r="3079">
      <c r="A3079" t="inlineStr">
        <is>
          <t>2026-10</t>
        </is>
      </c>
      <c r="B3079" t="inlineStr">
        <is>
          <t>HOSP-2</t>
        </is>
      </c>
      <c r="C3079" t="inlineStr">
        <is>
          <t>SS-01049</t>
        </is>
      </c>
      <c r="D3079" t="n">
        <v>48</v>
      </c>
      <c r="E3079" t="n">
        <v>0</v>
      </c>
      <c r="G3079">
        <f>IF(AND(A3079&gt;=Inputs!$B$5,A3079&lt;=Inputs!$B$6),1,0)</f>
        <v/>
      </c>
    </row>
    <row r="3080">
      <c r="A3080" t="inlineStr">
        <is>
          <t>2026-10</t>
        </is>
      </c>
      <c r="B3080" t="inlineStr">
        <is>
          <t>HOSP-3</t>
        </is>
      </c>
      <c r="C3080" t="inlineStr">
        <is>
          <t>SS-01050</t>
        </is>
      </c>
      <c r="D3080" t="n">
        <v>12</v>
      </c>
      <c r="E3080" t="n">
        <v>0</v>
      </c>
      <c r="G3080">
        <f>IF(AND(A3080&gt;=Inputs!$B$5,A3080&lt;=Inputs!$B$6),1,0)</f>
        <v/>
      </c>
    </row>
    <row r="3081">
      <c r="A3081" t="inlineStr">
        <is>
          <t>2026-10</t>
        </is>
      </c>
      <c r="B3081" t="inlineStr">
        <is>
          <t>HOSP-4</t>
        </is>
      </c>
      <c r="C3081" t="inlineStr">
        <is>
          <t>SS-01051</t>
        </is>
      </c>
      <c r="D3081" t="n">
        <v>36</v>
      </c>
      <c r="E3081" t="n">
        <v>0</v>
      </c>
      <c r="G3081">
        <f>IF(AND(A3081&gt;=Inputs!$B$5,A3081&lt;=Inputs!$B$6),1,0)</f>
        <v/>
      </c>
    </row>
    <row r="3082">
      <c r="A3082" t="inlineStr">
        <is>
          <t>2026-10</t>
        </is>
      </c>
      <c r="B3082" t="inlineStr">
        <is>
          <t>HOSP-1</t>
        </is>
      </c>
      <c r="C3082" t="inlineStr">
        <is>
          <t>SS-01119</t>
        </is>
      </c>
      <c r="D3082" t="n">
        <v>34</v>
      </c>
      <c r="E3082" t="n">
        <v>0</v>
      </c>
      <c r="G3082">
        <f>IF(AND(A3082&gt;=Inputs!$B$5,A3082&lt;=Inputs!$B$6),1,0)</f>
        <v/>
      </c>
    </row>
    <row r="3083">
      <c r="A3083" t="inlineStr">
        <is>
          <t>2026-10</t>
        </is>
      </c>
      <c r="B3083" t="inlineStr">
        <is>
          <t>HOSP-2</t>
        </is>
      </c>
      <c r="C3083" t="inlineStr">
        <is>
          <t>SS-01053</t>
        </is>
      </c>
      <c r="D3083" t="n">
        <v>120</v>
      </c>
      <c r="E3083" t="n">
        <v>0</v>
      </c>
      <c r="G3083">
        <f>IF(AND(A3083&gt;=Inputs!$B$5,A3083&lt;=Inputs!$B$6),1,0)</f>
        <v/>
      </c>
    </row>
    <row r="3084">
      <c r="A3084" t="inlineStr">
        <is>
          <t>2026-10</t>
        </is>
      </c>
      <c r="B3084" t="inlineStr">
        <is>
          <t>HOSP-3</t>
        </is>
      </c>
      <c r="C3084" t="inlineStr">
        <is>
          <t>SS-01054</t>
        </is>
      </c>
      <c r="D3084" t="n">
        <v>6</v>
      </c>
      <c r="E3084" t="n">
        <v>1</v>
      </c>
      <c r="G3084">
        <f>IF(AND(A3084&gt;=Inputs!$B$5,A3084&lt;=Inputs!$B$6),1,0)</f>
        <v/>
      </c>
    </row>
    <row r="3085">
      <c r="A3085" t="inlineStr">
        <is>
          <t>2026-10</t>
        </is>
      </c>
      <c r="B3085" t="inlineStr">
        <is>
          <t>HOSP-4</t>
        </is>
      </c>
      <c r="C3085" t="inlineStr">
        <is>
          <t>SS-01055</t>
        </is>
      </c>
      <c r="D3085" t="n">
        <v>0</v>
      </c>
      <c r="E3085" t="n">
        <v>0</v>
      </c>
      <c r="G3085">
        <f>IF(AND(A3085&gt;=Inputs!$B$5,A3085&lt;=Inputs!$B$6),1,0)</f>
        <v/>
      </c>
    </row>
    <row r="3086">
      <c r="A3086" t="inlineStr">
        <is>
          <t>2026-10</t>
        </is>
      </c>
      <c r="B3086" t="inlineStr">
        <is>
          <t>HOSP-1</t>
        </is>
      </c>
      <c r="C3086" t="inlineStr">
        <is>
          <t>SS-01056</t>
        </is>
      </c>
      <c r="D3086" t="n">
        <v>14</v>
      </c>
      <c r="E3086" t="n">
        <v>0</v>
      </c>
      <c r="G3086">
        <f>IF(AND(A3086&gt;=Inputs!$B$5,A3086&lt;=Inputs!$B$6),1,0)</f>
        <v/>
      </c>
    </row>
    <row r="3087">
      <c r="A3087" t="inlineStr">
        <is>
          <t>2026-10</t>
        </is>
      </c>
      <c r="B3087" t="inlineStr">
        <is>
          <t>HOSP-2</t>
        </is>
      </c>
      <c r="C3087" t="inlineStr">
        <is>
          <t>SS-01057</t>
        </is>
      </c>
      <c r="D3087" t="n">
        <v>48</v>
      </c>
      <c r="E3087" t="n">
        <v>0</v>
      </c>
      <c r="G3087">
        <f>IF(AND(A3087&gt;=Inputs!$B$5,A3087&lt;=Inputs!$B$6),1,0)</f>
        <v/>
      </c>
    </row>
    <row r="3088">
      <c r="A3088" t="inlineStr">
        <is>
          <t>2026-10</t>
        </is>
      </c>
      <c r="B3088" t="inlineStr">
        <is>
          <t>HOSP-3</t>
        </is>
      </c>
      <c r="C3088" t="inlineStr">
        <is>
          <t>SS-01058</t>
        </is>
      </c>
      <c r="D3088" t="n">
        <v>10</v>
      </c>
      <c r="E3088" t="n">
        <v>1</v>
      </c>
      <c r="G3088">
        <f>IF(AND(A3088&gt;=Inputs!$B$5,A3088&lt;=Inputs!$B$6),1,0)</f>
        <v/>
      </c>
    </row>
    <row r="3089">
      <c r="A3089" t="inlineStr">
        <is>
          <t>2026-10</t>
        </is>
      </c>
      <c r="B3089" t="inlineStr">
        <is>
          <t>HOSP-4</t>
        </is>
      </c>
      <c r="C3089" t="inlineStr">
        <is>
          <t>SS-01059</t>
        </is>
      </c>
      <c r="D3089" t="n">
        <v>72</v>
      </c>
      <c r="E3089" t="n">
        <v>0</v>
      </c>
      <c r="G3089">
        <f>IF(AND(A3089&gt;=Inputs!$B$5,A3089&lt;=Inputs!$B$6),1,0)</f>
        <v/>
      </c>
    </row>
    <row r="3090">
      <c r="A3090" t="inlineStr">
        <is>
          <t>2026-10</t>
        </is>
      </c>
      <c r="B3090" t="inlineStr">
        <is>
          <t>HOSP-1</t>
        </is>
      </c>
      <c r="C3090" t="inlineStr">
        <is>
          <t>SS-01060</t>
        </is>
      </c>
      <c r="D3090" t="n">
        <v>12</v>
      </c>
      <c r="E3090" t="n">
        <v>0</v>
      </c>
      <c r="G3090">
        <f>IF(AND(A3090&gt;=Inputs!$B$5,A3090&lt;=Inputs!$B$6),1,0)</f>
        <v/>
      </c>
    </row>
    <row r="3091">
      <c r="A3091" t="inlineStr">
        <is>
          <t>2026-10</t>
        </is>
      </c>
      <c r="B3091" t="inlineStr">
        <is>
          <t>HOSP-2</t>
        </is>
      </c>
      <c r="C3091" t="inlineStr">
        <is>
          <t>SS-01061</t>
        </is>
      </c>
      <c r="D3091" t="n">
        <v>36</v>
      </c>
      <c r="E3091" t="n">
        <v>0</v>
      </c>
      <c r="G3091">
        <f>IF(AND(A3091&gt;=Inputs!$B$5,A3091&lt;=Inputs!$B$6),1,0)</f>
        <v/>
      </c>
    </row>
    <row r="3092">
      <c r="A3092" t="inlineStr">
        <is>
          <t>2026-10</t>
        </is>
      </c>
      <c r="B3092" t="inlineStr">
        <is>
          <t>HOSP-3</t>
        </is>
      </c>
      <c r="C3092" t="inlineStr">
        <is>
          <t>SS-01062</t>
        </is>
      </c>
      <c r="D3092" t="n">
        <v>0</v>
      </c>
      <c r="E3092" t="n">
        <v>0</v>
      </c>
      <c r="G3092">
        <f>IF(AND(A3092&gt;=Inputs!$B$5,A3092&lt;=Inputs!$B$6),1,0)</f>
        <v/>
      </c>
    </row>
    <row r="3093">
      <c r="A3093" t="inlineStr">
        <is>
          <t>2026-10</t>
        </is>
      </c>
      <c r="B3093" t="inlineStr">
        <is>
          <t>HOSP-4</t>
        </is>
      </c>
      <c r="C3093" t="inlineStr">
        <is>
          <t>SS-01063</t>
        </is>
      </c>
      <c r="D3093" t="n">
        <v>12</v>
      </c>
      <c r="E3093" t="n">
        <v>0</v>
      </c>
      <c r="G3093">
        <f>IF(AND(A3093&gt;=Inputs!$B$5,A3093&lt;=Inputs!$B$6),1,0)</f>
        <v/>
      </c>
    </row>
    <row r="3094">
      <c r="A3094" t="inlineStr">
        <is>
          <t>2026-10</t>
        </is>
      </c>
      <c r="B3094" t="inlineStr">
        <is>
          <t>HOSP-1</t>
        </is>
      </c>
      <c r="C3094" t="inlineStr">
        <is>
          <t>SS-01064</t>
        </is>
      </c>
      <c r="D3094" t="n">
        <v>60</v>
      </c>
      <c r="E3094" t="n">
        <v>0</v>
      </c>
      <c r="G3094">
        <f>IF(AND(A3094&gt;=Inputs!$B$5,A3094&lt;=Inputs!$B$6),1,0)</f>
        <v/>
      </c>
    </row>
    <row r="3095">
      <c r="A3095" t="inlineStr">
        <is>
          <t>2026-10</t>
        </is>
      </c>
      <c r="B3095" t="inlineStr">
        <is>
          <t>HOSP-2</t>
        </is>
      </c>
      <c r="C3095" t="inlineStr">
        <is>
          <t>SS-01065</t>
        </is>
      </c>
      <c r="D3095" t="n">
        <v>204</v>
      </c>
      <c r="E3095" t="n">
        <v>0</v>
      </c>
      <c r="G3095">
        <f>IF(AND(A3095&gt;=Inputs!$B$5,A3095&lt;=Inputs!$B$6),1,0)</f>
        <v/>
      </c>
    </row>
    <row r="3096">
      <c r="A3096" t="inlineStr">
        <is>
          <t>2026-10</t>
        </is>
      </c>
      <c r="B3096" t="inlineStr">
        <is>
          <t>HOSP-3</t>
        </is>
      </c>
      <c r="C3096" t="inlineStr">
        <is>
          <t>SS-01066</t>
        </is>
      </c>
      <c r="D3096" t="n">
        <v>108</v>
      </c>
      <c r="E3096" t="n">
        <v>0</v>
      </c>
      <c r="G3096">
        <f>IF(AND(A3096&gt;=Inputs!$B$5,A3096&lt;=Inputs!$B$6),1,0)</f>
        <v/>
      </c>
    </row>
    <row r="3097">
      <c r="A3097" t="inlineStr">
        <is>
          <t>2026-10</t>
        </is>
      </c>
      <c r="B3097" t="inlineStr">
        <is>
          <t>HOSP-4</t>
        </is>
      </c>
      <c r="C3097" t="inlineStr">
        <is>
          <t>SS-01067</t>
        </is>
      </c>
      <c r="D3097" t="n">
        <v>36</v>
      </c>
      <c r="E3097" t="n">
        <v>0</v>
      </c>
      <c r="G3097">
        <f>IF(AND(A3097&gt;=Inputs!$B$5,A3097&lt;=Inputs!$B$6),1,0)</f>
        <v/>
      </c>
    </row>
    <row r="3098">
      <c r="A3098" t="inlineStr">
        <is>
          <t>2026-10</t>
        </is>
      </c>
      <c r="B3098" t="inlineStr">
        <is>
          <t>HOSP-1</t>
        </is>
      </c>
      <c r="C3098" t="inlineStr">
        <is>
          <t>SS-01068</t>
        </is>
      </c>
      <c r="D3098" t="n">
        <v>24</v>
      </c>
      <c r="E3098" t="n">
        <v>0</v>
      </c>
      <c r="G3098">
        <f>IF(AND(A3098&gt;=Inputs!$B$5,A3098&lt;=Inputs!$B$6),1,0)</f>
        <v/>
      </c>
    </row>
    <row r="3099">
      <c r="A3099" t="inlineStr">
        <is>
          <t>2026-10</t>
        </is>
      </c>
      <c r="B3099" t="inlineStr">
        <is>
          <t>HOSP-2</t>
        </is>
      </c>
      <c r="C3099" t="inlineStr">
        <is>
          <t>SS-01069</t>
        </is>
      </c>
      <c r="D3099" t="n">
        <v>0</v>
      </c>
      <c r="E3099" t="n">
        <v>0</v>
      </c>
      <c r="G3099">
        <f>IF(AND(A3099&gt;=Inputs!$B$5,A3099&lt;=Inputs!$B$6),1,0)</f>
        <v/>
      </c>
    </row>
    <row r="3100">
      <c r="A3100" t="inlineStr">
        <is>
          <t>2026-10</t>
        </is>
      </c>
      <c r="B3100" t="inlineStr">
        <is>
          <t>HOSP-3</t>
        </is>
      </c>
      <c r="C3100" t="inlineStr">
        <is>
          <t>SS-01070</t>
        </is>
      </c>
      <c r="D3100" t="n">
        <v>228</v>
      </c>
      <c r="E3100" t="n">
        <v>0</v>
      </c>
      <c r="G3100">
        <f>IF(AND(A3100&gt;=Inputs!$B$5,A3100&lt;=Inputs!$B$6),1,0)</f>
        <v/>
      </c>
    </row>
    <row r="3101">
      <c r="A3101" t="inlineStr">
        <is>
          <t>2026-10</t>
        </is>
      </c>
      <c r="B3101" t="inlineStr">
        <is>
          <t>HOSP-4</t>
        </is>
      </c>
      <c r="C3101" t="inlineStr">
        <is>
          <t>SS-01071</t>
        </is>
      </c>
      <c r="D3101" t="n">
        <v>14</v>
      </c>
      <c r="E3101" t="n">
        <v>0</v>
      </c>
      <c r="G3101">
        <f>IF(AND(A3101&gt;=Inputs!$B$5,A3101&lt;=Inputs!$B$6),1,0)</f>
        <v/>
      </c>
    </row>
    <row r="3102">
      <c r="A3102" t="inlineStr">
        <is>
          <t>2026-10</t>
        </is>
      </c>
      <c r="B3102" t="inlineStr">
        <is>
          <t>HOSP-1</t>
        </is>
      </c>
      <c r="C3102" t="inlineStr">
        <is>
          <t>SS-01072</t>
        </is>
      </c>
      <c r="D3102" t="n">
        <v>108</v>
      </c>
      <c r="E3102" t="n">
        <v>0</v>
      </c>
      <c r="G3102">
        <f>IF(AND(A3102&gt;=Inputs!$B$5,A3102&lt;=Inputs!$B$6),1,0)</f>
        <v/>
      </c>
    </row>
    <row r="3103">
      <c r="A3103" t="inlineStr">
        <is>
          <t>2026-10</t>
        </is>
      </c>
      <c r="B3103" t="inlineStr">
        <is>
          <t>HOSP-2</t>
        </is>
      </c>
      <c r="C3103" t="inlineStr">
        <is>
          <t>SS-01073</t>
        </is>
      </c>
      <c r="D3103" t="n">
        <v>0</v>
      </c>
      <c r="E3103" t="n">
        <v>0</v>
      </c>
      <c r="G3103">
        <f>IF(AND(A3103&gt;=Inputs!$B$5,A3103&lt;=Inputs!$B$6),1,0)</f>
        <v/>
      </c>
    </row>
    <row r="3104">
      <c r="A3104" t="inlineStr">
        <is>
          <t>2026-10</t>
        </is>
      </c>
      <c r="B3104" t="inlineStr">
        <is>
          <t>HOSP-3</t>
        </is>
      </c>
      <c r="C3104" t="inlineStr">
        <is>
          <t>SS-01074</t>
        </is>
      </c>
      <c r="D3104" t="n">
        <v>12</v>
      </c>
      <c r="E3104" t="n">
        <v>0</v>
      </c>
      <c r="G3104">
        <f>IF(AND(A3104&gt;=Inputs!$B$5,A3104&lt;=Inputs!$B$6),1,0)</f>
        <v/>
      </c>
    </row>
    <row r="3105">
      <c r="A3105" t="inlineStr">
        <is>
          <t>2026-10</t>
        </is>
      </c>
      <c r="B3105" t="inlineStr">
        <is>
          <t>HOSP-4</t>
        </is>
      </c>
      <c r="C3105" t="inlineStr">
        <is>
          <t>SS-01075</t>
        </is>
      </c>
      <c r="D3105" t="n">
        <v>0</v>
      </c>
      <c r="E3105" t="n">
        <v>0</v>
      </c>
      <c r="G3105">
        <f>IF(AND(A3105&gt;=Inputs!$B$5,A3105&lt;=Inputs!$B$6),1,0)</f>
        <v/>
      </c>
    </row>
    <row r="3106">
      <c r="A3106" t="inlineStr">
        <is>
          <t>2026-10</t>
        </is>
      </c>
      <c r="B3106" t="inlineStr">
        <is>
          <t>HOSP-1</t>
        </is>
      </c>
      <c r="C3106" t="inlineStr">
        <is>
          <t>SS-01076</t>
        </is>
      </c>
      <c r="D3106" t="n">
        <v>12</v>
      </c>
      <c r="E3106" t="n">
        <v>0</v>
      </c>
      <c r="G3106">
        <f>IF(AND(A3106&gt;=Inputs!$B$5,A3106&lt;=Inputs!$B$6),1,0)</f>
        <v/>
      </c>
    </row>
    <row r="3107">
      <c r="A3107" t="inlineStr">
        <is>
          <t>2026-10</t>
        </is>
      </c>
      <c r="B3107" t="inlineStr">
        <is>
          <t>HOSP-2</t>
        </is>
      </c>
      <c r="C3107" t="inlineStr">
        <is>
          <t>SS-01230</t>
        </is>
      </c>
      <c r="D3107" t="n">
        <v>24</v>
      </c>
      <c r="E3107" t="n">
        <v>0</v>
      </c>
      <c r="G3107">
        <f>IF(AND(A3107&gt;=Inputs!$B$5,A3107&lt;=Inputs!$B$6),1,0)</f>
        <v/>
      </c>
    </row>
    <row r="3108">
      <c r="A3108" t="inlineStr">
        <is>
          <t>2026-10</t>
        </is>
      </c>
      <c r="B3108" t="inlineStr">
        <is>
          <t>HOSP-3</t>
        </is>
      </c>
      <c r="C3108" t="inlineStr">
        <is>
          <t>SS-01078</t>
        </is>
      </c>
      <c r="D3108" t="n">
        <v>12</v>
      </c>
      <c r="E3108" t="n">
        <v>0</v>
      </c>
      <c r="G3108">
        <f>IF(AND(A3108&gt;=Inputs!$B$5,A3108&lt;=Inputs!$B$6),1,0)</f>
        <v/>
      </c>
    </row>
    <row r="3109">
      <c r="A3109" t="inlineStr">
        <is>
          <t>2026-10</t>
        </is>
      </c>
      <c r="B3109" t="inlineStr">
        <is>
          <t>HOSP-4</t>
        </is>
      </c>
      <c r="C3109" t="inlineStr">
        <is>
          <t>SS-01079</t>
        </is>
      </c>
      <c r="D3109" t="n">
        <v>48</v>
      </c>
      <c r="E3109" t="n">
        <v>0</v>
      </c>
      <c r="G3109">
        <f>IF(AND(A3109&gt;=Inputs!$B$5,A3109&lt;=Inputs!$B$6),1,0)</f>
        <v/>
      </c>
    </row>
    <row r="3110">
      <c r="A3110" t="inlineStr">
        <is>
          <t>2026-10</t>
        </is>
      </c>
      <c r="B3110" t="inlineStr">
        <is>
          <t>HOSP-1</t>
        </is>
      </c>
      <c r="C3110" t="inlineStr">
        <is>
          <t>SS-01080</t>
        </is>
      </c>
      <c r="D3110" t="n">
        <v>36</v>
      </c>
      <c r="E3110" t="n">
        <v>0</v>
      </c>
      <c r="G3110">
        <f>IF(AND(A3110&gt;=Inputs!$B$5,A3110&lt;=Inputs!$B$6),1,0)</f>
        <v/>
      </c>
    </row>
    <row r="3111">
      <c r="A3111" t="inlineStr">
        <is>
          <t>2026-10</t>
        </is>
      </c>
      <c r="B3111" t="inlineStr">
        <is>
          <t>HOSP-2</t>
        </is>
      </c>
      <c r="C3111" t="inlineStr">
        <is>
          <t>SS-01081</t>
        </is>
      </c>
      <c r="D3111" t="n">
        <v>18</v>
      </c>
      <c r="E3111" t="n">
        <v>1</v>
      </c>
      <c r="G3111">
        <f>IF(AND(A3111&gt;=Inputs!$B$5,A3111&lt;=Inputs!$B$6),1,0)</f>
        <v/>
      </c>
    </row>
    <row r="3112">
      <c r="A3112" t="inlineStr">
        <is>
          <t>2026-10</t>
        </is>
      </c>
      <c r="B3112" t="inlineStr">
        <is>
          <t>HOSP-3</t>
        </is>
      </c>
      <c r="C3112" t="inlineStr">
        <is>
          <t>SS-01082</t>
        </is>
      </c>
      <c r="D3112" t="n">
        <v>19</v>
      </c>
      <c r="E3112" t="n">
        <v>0</v>
      </c>
      <c r="G3112">
        <f>IF(AND(A3112&gt;=Inputs!$B$5,A3112&lt;=Inputs!$B$6),1,0)</f>
        <v/>
      </c>
    </row>
    <row r="3113">
      <c r="A3113" t="inlineStr">
        <is>
          <t>2026-10</t>
        </is>
      </c>
      <c r="B3113" t="inlineStr">
        <is>
          <t>HOSP-4</t>
        </is>
      </c>
      <c r="C3113" t="inlineStr">
        <is>
          <t>SS-01083</t>
        </is>
      </c>
      <c r="D3113" t="n">
        <v>24</v>
      </c>
      <c r="E3113" t="n">
        <v>0</v>
      </c>
      <c r="G3113">
        <f>IF(AND(A3113&gt;=Inputs!$B$5,A3113&lt;=Inputs!$B$6),1,0)</f>
        <v/>
      </c>
    </row>
    <row r="3114">
      <c r="A3114" t="inlineStr">
        <is>
          <t>2026-10</t>
        </is>
      </c>
      <c r="B3114" t="inlineStr">
        <is>
          <t>HOSP-1</t>
        </is>
      </c>
      <c r="C3114" t="inlineStr">
        <is>
          <t>SS-01084</t>
        </is>
      </c>
      <c r="D3114" t="n">
        <v>0</v>
      </c>
      <c r="E3114" t="n">
        <v>0</v>
      </c>
      <c r="G3114">
        <f>IF(AND(A3114&gt;=Inputs!$B$5,A3114&lt;=Inputs!$B$6),1,0)</f>
        <v/>
      </c>
    </row>
    <row r="3115">
      <c r="A3115" t="inlineStr">
        <is>
          <t>2026-10</t>
        </is>
      </c>
      <c r="B3115" t="inlineStr">
        <is>
          <t>HOSP-2</t>
        </is>
      </c>
      <c r="C3115" t="inlineStr">
        <is>
          <t>SS-01085</t>
        </is>
      </c>
      <c r="D3115" t="n">
        <v>24</v>
      </c>
      <c r="E3115" t="n">
        <v>0</v>
      </c>
      <c r="G3115">
        <f>IF(AND(A3115&gt;=Inputs!$B$5,A3115&lt;=Inputs!$B$6),1,0)</f>
        <v/>
      </c>
    </row>
    <row r="3116">
      <c r="A3116" t="inlineStr">
        <is>
          <t>2026-10</t>
        </is>
      </c>
      <c r="B3116" t="inlineStr">
        <is>
          <t>HOSP-3</t>
        </is>
      </c>
      <c r="C3116" t="inlineStr">
        <is>
          <t>SS-01086</t>
        </is>
      </c>
      <c r="D3116" t="n">
        <v>24</v>
      </c>
      <c r="E3116" t="n">
        <v>0</v>
      </c>
      <c r="F3116" t="inlineStr">
        <is>
          <t>surge</t>
        </is>
      </c>
      <c r="G3116">
        <f>IF(AND(A3116&gt;=Inputs!$B$5,A3116&lt;=Inputs!$B$6),1,0)</f>
        <v/>
      </c>
    </row>
    <row r="3117">
      <c r="A3117" t="inlineStr">
        <is>
          <t>2026-10</t>
        </is>
      </c>
      <c r="B3117" t="inlineStr">
        <is>
          <t>HOSP-4</t>
        </is>
      </c>
      <c r="C3117" t="inlineStr">
        <is>
          <t>SS-01087</t>
        </is>
      </c>
      <c r="D3117" t="n">
        <v>24</v>
      </c>
      <c r="E3117" t="n">
        <v>0</v>
      </c>
      <c r="G3117">
        <f>IF(AND(A3117&gt;=Inputs!$B$5,A3117&lt;=Inputs!$B$6),1,0)</f>
        <v/>
      </c>
    </row>
    <row r="3118">
      <c r="A3118" t="inlineStr">
        <is>
          <t>2026-10</t>
        </is>
      </c>
      <c r="B3118" t="inlineStr">
        <is>
          <t>HOSP-1</t>
        </is>
      </c>
      <c r="C3118" t="inlineStr">
        <is>
          <t>SS-01088</t>
        </is>
      </c>
      <c r="D3118" t="n">
        <v>12</v>
      </c>
      <c r="E3118" t="n">
        <v>0</v>
      </c>
      <c r="G3118">
        <f>IF(AND(A3118&gt;=Inputs!$B$5,A3118&lt;=Inputs!$B$6),1,0)</f>
        <v/>
      </c>
    </row>
    <row r="3119">
      <c r="A3119" t="inlineStr">
        <is>
          <t>2026-10</t>
        </is>
      </c>
      <c r="B3119" t="inlineStr">
        <is>
          <t>HOSP-2</t>
        </is>
      </c>
      <c r="C3119" t="inlineStr">
        <is>
          <t>SS-01089</t>
        </is>
      </c>
      <c r="D3119" t="n">
        <v>24</v>
      </c>
      <c r="E3119" t="n">
        <v>0</v>
      </c>
      <c r="G3119">
        <f>IF(AND(A3119&gt;=Inputs!$B$5,A3119&lt;=Inputs!$B$6),1,0)</f>
        <v/>
      </c>
    </row>
    <row r="3120">
      <c r="A3120" t="inlineStr">
        <is>
          <t>2026-10</t>
        </is>
      </c>
      <c r="B3120" t="inlineStr">
        <is>
          <t>HOSP-3</t>
        </is>
      </c>
      <c r="C3120" t="inlineStr">
        <is>
          <t>SS-01090</t>
        </is>
      </c>
      <c r="D3120" t="n">
        <v>3</v>
      </c>
      <c r="E3120" t="n">
        <v>1</v>
      </c>
      <c r="G3120">
        <f>IF(AND(A3120&gt;=Inputs!$B$5,A3120&lt;=Inputs!$B$6),1,0)</f>
        <v/>
      </c>
    </row>
    <row r="3121">
      <c r="A3121" t="inlineStr">
        <is>
          <t>2026-10</t>
        </is>
      </c>
      <c r="B3121" t="inlineStr">
        <is>
          <t>HOSP-4</t>
        </is>
      </c>
      <c r="C3121" t="inlineStr">
        <is>
          <t>SS-01091</t>
        </is>
      </c>
      <c r="D3121" t="n">
        <v>0</v>
      </c>
      <c r="E3121" t="n">
        <v>0</v>
      </c>
      <c r="G3121">
        <f>IF(AND(A3121&gt;=Inputs!$B$5,A3121&lt;=Inputs!$B$6),1,0)</f>
        <v/>
      </c>
    </row>
    <row r="3122">
      <c r="A3122" t="inlineStr">
        <is>
          <t>2026-10</t>
        </is>
      </c>
      <c r="B3122" t="inlineStr">
        <is>
          <t>HOSP-1</t>
        </is>
      </c>
      <c r="C3122" t="inlineStr">
        <is>
          <t>SS-01092</t>
        </is>
      </c>
      <c r="D3122" t="n">
        <v>12</v>
      </c>
      <c r="E3122" t="n">
        <v>0</v>
      </c>
      <c r="G3122">
        <f>IF(AND(A3122&gt;=Inputs!$B$5,A3122&lt;=Inputs!$B$6),1,0)</f>
        <v/>
      </c>
    </row>
    <row r="3123">
      <c r="A3123" t="inlineStr">
        <is>
          <t>2026-10</t>
        </is>
      </c>
      <c r="B3123" t="inlineStr">
        <is>
          <t>HOSP-2</t>
        </is>
      </c>
      <c r="C3123" t="inlineStr">
        <is>
          <t>SS-01093</t>
        </is>
      </c>
      <c r="D3123" t="n">
        <v>23</v>
      </c>
      <c r="E3123" t="n">
        <v>1</v>
      </c>
      <c r="G3123">
        <f>IF(AND(A3123&gt;=Inputs!$B$5,A3123&lt;=Inputs!$B$6),1,0)</f>
        <v/>
      </c>
    </row>
    <row r="3124">
      <c r="A3124" t="inlineStr">
        <is>
          <t>2026-10</t>
        </is>
      </c>
      <c r="B3124" t="inlineStr">
        <is>
          <t>HOSP-3</t>
        </is>
      </c>
      <c r="C3124" t="inlineStr">
        <is>
          <t>SS-01094</t>
        </is>
      </c>
      <c r="D3124" t="n">
        <v>34</v>
      </c>
      <c r="E3124" t="n">
        <v>1</v>
      </c>
      <c r="G3124">
        <f>IF(AND(A3124&gt;=Inputs!$B$5,A3124&lt;=Inputs!$B$6),1,0)</f>
        <v/>
      </c>
    </row>
    <row r="3125">
      <c r="A3125" t="inlineStr">
        <is>
          <t>2026-10</t>
        </is>
      </c>
      <c r="B3125" t="inlineStr">
        <is>
          <t>HOSP-4</t>
        </is>
      </c>
      <c r="C3125" t="inlineStr">
        <is>
          <t>SS-01095</t>
        </is>
      </c>
      <c r="D3125" t="n">
        <v>72</v>
      </c>
      <c r="E3125" t="n">
        <v>0</v>
      </c>
      <c r="G3125">
        <f>IF(AND(A3125&gt;=Inputs!$B$5,A3125&lt;=Inputs!$B$6),1,0)</f>
        <v/>
      </c>
    </row>
    <row r="3126">
      <c r="A3126" t="inlineStr">
        <is>
          <t>2026-10</t>
        </is>
      </c>
      <c r="B3126" t="inlineStr">
        <is>
          <t>HOSP-1</t>
        </is>
      </c>
      <c r="C3126" t="inlineStr">
        <is>
          <t>SS-01096</t>
        </is>
      </c>
      <c r="D3126" t="n">
        <v>96</v>
      </c>
      <c r="E3126" t="n">
        <v>0</v>
      </c>
      <c r="G3126">
        <f>IF(AND(A3126&gt;=Inputs!$B$5,A3126&lt;=Inputs!$B$6),1,0)</f>
        <v/>
      </c>
    </row>
    <row r="3127">
      <c r="A3127" t="inlineStr">
        <is>
          <t>2026-10</t>
        </is>
      </c>
      <c r="B3127" t="inlineStr">
        <is>
          <t>HOSP-2</t>
        </is>
      </c>
      <c r="C3127" t="inlineStr">
        <is>
          <t>SS-01097</t>
        </is>
      </c>
      <c r="D3127" t="n">
        <v>50</v>
      </c>
      <c r="E3127" t="n">
        <v>3</v>
      </c>
      <c r="G3127">
        <f>IF(AND(A3127&gt;=Inputs!$B$5,A3127&lt;=Inputs!$B$6),1,0)</f>
        <v/>
      </c>
    </row>
    <row r="3128">
      <c r="A3128" t="inlineStr">
        <is>
          <t>2026-10</t>
        </is>
      </c>
      <c r="B3128" t="inlineStr">
        <is>
          <t>HOSP-3</t>
        </is>
      </c>
      <c r="C3128" t="inlineStr">
        <is>
          <t>SS-01041</t>
        </is>
      </c>
      <c r="D3128" t="n">
        <v>120</v>
      </c>
      <c r="E3128" t="n">
        <v>0</v>
      </c>
      <c r="G3128">
        <f>IF(AND(A3128&gt;=Inputs!$B$5,A3128&lt;=Inputs!$B$6),1,0)</f>
        <v/>
      </c>
    </row>
    <row r="3129">
      <c r="A3129" t="inlineStr">
        <is>
          <t>2026-10</t>
        </is>
      </c>
      <c r="B3129" t="inlineStr">
        <is>
          <t>HOSP-4</t>
        </is>
      </c>
      <c r="C3129" t="inlineStr">
        <is>
          <t>SS-01099</t>
        </is>
      </c>
      <c r="D3129" t="n">
        <v>61</v>
      </c>
      <c r="E3129" t="n">
        <v>0</v>
      </c>
      <c r="G3129">
        <f>IF(AND(A3129&gt;=Inputs!$B$5,A3129&lt;=Inputs!$B$6),1,0)</f>
        <v/>
      </c>
    </row>
    <row r="3130">
      <c r="A3130" t="inlineStr">
        <is>
          <t>2026-10</t>
        </is>
      </c>
      <c r="B3130" t="inlineStr">
        <is>
          <t>HOSP-1</t>
        </is>
      </c>
      <c r="C3130" t="inlineStr">
        <is>
          <t>SS-01044</t>
        </is>
      </c>
      <c r="D3130" t="n">
        <v>120</v>
      </c>
      <c r="E3130" t="n">
        <v>0</v>
      </c>
      <c r="G3130">
        <f>IF(AND(A3130&gt;=Inputs!$B$5,A3130&lt;=Inputs!$B$6),1,0)</f>
        <v/>
      </c>
    </row>
    <row r="3131">
      <c r="A3131" t="inlineStr">
        <is>
          <t>2026-10</t>
        </is>
      </c>
      <c r="B3131" t="inlineStr">
        <is>
          <t>HOSP-2</t>
        </is>
      </c>
      <c r="C3131" t="inlineStr">
        <is>
          <t>SS-01101</t>
        </is>
      </c>
      <c r="D3131" t="n">
        <v>12</v>
      </c>
      <c r="E3131" t="n">
        <v>0</v>
      </c>
      <c r="G3131">
        <f>IF(AND(A3131&gt;=Inputs!$B$5,A3131&lt;=Inputs!$B$6),1,0)</f>
        <v/>
      </c>
    </row>
    <row r="3132">
      <c r="A3132" t="inlineStr">
        <is>
          <t>2026-10</t>
        </is>
      </c>
      <c r="B3132" t="inlineStr">
        <is>
          <t>HOSP-3</t>
        </is>
      </c>
      <c r="C3132" t="inlineStr">
        <is>
          <t>SS-01102</t>
        </is>
      </c>
      <c r="D3132" t="n">
        <v>24</v>
      </c>
      <c r="E3132" t="n">
        <v>0</v>
      </c>
      <c r="G3132">
        <f>IF(AND(A3132&gt;=Inputs!$B$5,A3132&lt;=Inputs!$B$6),1,0)</f>
        <v/>
      </c>
    </row>
    <row r="3133">
      <c r="A3133" t="inlineStr">
        <is>
          <t>2026-10</t>
        </is>
      </c>
      <c r="B3133" t="inlineStr">
        <is>
          <t>HOSP-4</t>
        </is>
      </c>
      <c r="C3133" t="inlineStr">
        <is>
          <t>SS-01103</t>
        </is>
      </c>
      <c r="D3133" t="n">
        <v>36</v>
      </c>
      <c r="E3133" t="n">
        <v>0</v>
      </c>
      <c r="G3133">
        <f>IF(AND(A3133&gt;=Inputs!$B$5,A3133&lt;=Inputs!$B$6),1,0)</f>
        <v/>
      </c>
    </row>
    <row r="3134">
      <c r="A3134" t="inlineStr">
        <is>
          <t>2026-10</t>
        </is>
      </c>
      <c r="B3134" t="inlineStr">
        <is>
          <t>HOSP-1</t>
        </is>
      </c>
      <c r="C3134" t="inlineStr">
        <is>
          <t>SS-01104</t>
        </is>
      </c>
      <c r="D3134" t="n">
        <v>36</v>
      </c>
      <c r="E3134" t="n">
        <v>0</v>
      </c>
      <c r="G3134">
        <f>IF(AND(A3134&gt;=Inputs!$B$5,A3134&lt;=Inputs!$B$6),1,0)</f>
        <v/>
      </c>
    </row>
    <row r="3135">
      <c r="A3135" t="inlineStr">
        <is>
          <t>2026-10</t>
        </is>
      </c>
      <c r="B3135" t="inlineStr">
        <is>
          <t>HOSP-2</t>
        </is>
      </c>
      <c r="C3135" t="inlineStr">
        <is>
          <t>SS-01105</t>
        </is>
      </c>
      <c r="D3135" t="n">
        <v>11</v>
      </c>
      <c r="E3135" t="n">
        <v>0</v>
      </c>
      <c r="G3135">
        <f>IF(AND(A3135&gt;=Inputs!$B$5,A3135&lt;=Inputs!$B$6),1,0)</f>
        <v/>
      </c>
    </row>
    <row r="3136">
      <c r="A3136" t="inlineStr">
        <is>
          <t>2026-10</t>
        </is>
      </c>
      <c r="B3136" t="inlineStr">
        <is>
          <t>HOSP-3</t>
        </is>
      </c>
      <c r="C3136" t="inlineStr">
        <is>
          <t>SS-01106</t>
        </is>
      </c>
      <c r="D3136" t="n">
        <v>24</v>
      </c>
      <c r="E3136" t="n">
        <v>0</v>
      </c>
      <c r="G3136">
        <f>IF(AND(A3136&gt;=Inputs!$B$5,A3136&lt;=Inputs!$B$6),1,0)</f>
        <v/>
      </c>
    </row>
    <row r="3137">
      <c r="A3137" t="inlineStr">
        <is>
          <t>2026-10</t>
        </is>
      </c>
      <c r="B3137" t="inlineStr">
        <is>
          <t>HOSP-4</t>
        </is>
      </c>
      <c r="C3137" t="inlineStr">
        <is>
          <t>SS-01107</t>
        </is>
      </c>
      <c r="D3137" t="n">
        <v>0</v>
      </c>
      <c r="E3137" t="n">
        <v>0</v>
      </c>
      <c r="G3137">
        <f>IF(AND(A3137&gt;=Inputs!$B$5,A3137&lt;=Inputs!$B$6),1,0)</f>
        <v/>
      </c>
    </row>
    <row r="3138">
      <c r="A3138" t="inlineStr">
        <is>
          <t>2026-10</t>
        </is>
      </c>
      <c r="B3138" t="inlineStr">
        <is>
          <t>HOSP-1</t>
        </is>
      </c>
      <c r="C3138" t="inlineStr">
        <is>
          <t>SS-01108</t>
        </is>
      </c>
      <c r="D3138" t="n">
        <v>6</v>
      </c>
      <c r="E3138" t="n">
        <v>0</v>
      </c>
      <c r="G3138">
        <f>IF(AND(A3138&gt;=Inputs!$B$5,A3138&lt;=Inputs!$B$6),1,0)</f>
        <v/>
      </c>
    </row>
    <row r="3139">
      <c r="A3139" t="inlineStr">
        <is>
          <t>2026-10</t>
        </is>
      </c>
      <c r="B3139" t="inlineStr">
        <is>
          <t>HOSP-2</t>
        </is>
      </c>
      <c r="C3139" t="inlineStr">
        <is>
          <t>SS-01109</t>
        </is>
      </c>
      <c r="D3139" t="n">
        <v>6</v>
      </c>
      <c r="E3139" t="n">
        <v>0</v>
      </c>
      <c r="G3139">
        <f>IF(AND(A3139&gt;=Inputs!$B$5,A3139&lt;=Inputs!$B$6),1,0)</f>
        <v/>
      </c>
    </row>
    <row r="3140">
      <c r="A3140" t="inlineStr">
        <is>
          <t>2026-10</t>
        </is>
      </c>
      <c r="B3140" t="inlineStr">
        <is>
          <t>HOSP-3</t>
        </is>
      </c>
      <c r="C3140" t="inlineStr">
        <is>
          <t>SS-01110</t>
        </is>
      </c>
      <c r="D3140" t="n">
        <v>24</v>
      </c>
      <c r="E3140" t="n">
        <v>0</v>
      </c>
      <c r="G3140">
        <f>IF(AND(A3140&gt;=Inputs!$B$5,A3140&lt;=Inputs!$B$6),1,0)</f>
        <v/>
      </c>
    </row>
    <row r="3141">
      <c r="A3141" t="inlineStr">
        <is>
          <t>2026-10</t>
        </is>
      </c>
      <c r="B3141" t="inlineStr">
        <is>
          <t>HOSP-4</t>
        </is>
      </c>
      <c r="C3141" t="inlineStr">
        <is>
          <t>SS-01111</t>
        </is>
      </c>
      <c r="D3141" t="n">
        <v>72</v>
      </c>
      <c r="E3141" t="n">
        <v>0</v>
      </c>
      <c r="G3141">
        <f>IF(AND(A3141&gt;=Inputs!$B$5,A3141&lt;=Inputs!$B$6),1,0)</f>
        <v/>
      </c>
    </row>
    <row r="3142">
      <c r="A3142" t="inlineStr">
        <is>
          <t>2026-10</t>
        </is>
      </c>
      <c r="B3142" t="inlineStr">
        <is>
          <t>HOSP-1</t>
        </is>
      </c>
      <c r="C3142" t="inlineStr">
        <is>
          <t>SS-01191</t>
        </is>
      </c>
      <c r="D3142" t="n">
        <v>33</v>
      </c>
      <c r="E3142" t="n">
        <v>8</v>
      </c>
      <c r="G3142">
        <f>IF(AND(A3142&gt;=Inputs!$B$5,A3142&lt;=Inputs!$B$6),1,0)</f>
        <v/>
      </c>
    </row>
    <row r="3143">
      <c r="A3143" t="inlineStr">
        <is>
          <t>2026-10</t>
        </is>
      </c>
      <c r="B3143" t="inlineStr">
        <is>
          <t>HOSP-2</t>
        </is>
      </c>
      <c r="C3143" t="inlineStr">
        <is>
          <t>SS-01113</t>
        </is>
      </c>
      <c r="D3143" t="n">
        <v>0</v>
      </c>
      <c r="E3143" t="n">
        <v>0</v>
      </c>
      <c r="G3143">
        <f>IF(AND(A3143&gt;=Inputs!$B$5,A3143&lt;=Inputs!$B$6),1,0)</f>
        <v/>
      </c>
    </row>
    <row r="3144">
      <c r="A3144" t="inlineStr">
        <is>
          <t>2026-10</t>
        </is>
      </c>
      <c r="B3144" t="inlineStr">
        <is>
          <t>HOSP-3</t>
        </is>
      </c>
      <c r="C3144" t="inlineStr">
        <is>
          <t>SS-01114</t>
        </is>
      </c>
      <c r="D3144" t="n">
        <v>12</v>
      </c>
      <c r="E3144" t="n">
        <v>0</v>
      </c>
      <c r="G3144">
        <f>IF(AND(A3144&gt;=Inputs!$B$5,A3144&lt;=Inputs!$B$6),1,0)</f>
        <v/>
      </c>
    </row>
    <row r="3145">
      <c r="A3145" t="inlineStr">
        <is>
          <t>2026-10</t>
        </is>
      </c>
      <c r="B3145" t="inlineStr">
        <is>
          <t>HOSP-4</t>
        </is>
      </c>
      <c r="C3145" t="inlineStr">
        <is>
          <t>SS-01115</t>
        </is>
      </c>
      <c r="D3145" t="n">
        <v>12</v>
      </c>
      <c r="E3145" t="n">
        <v>0</v>
      </c>
      <c r="G3145">
        <f>IF(AND(A3145&gt;=Inputs!$B$5,A3145&lt;=Inputs!$B$6),1,0)</f>
        <v/>
      </c>
    </row>
    <row r="3146">
      <c r="A3146" t="inlineStr">
        <is>
          <t>2026-10</t>
        </is>
      </c>
      <c r="B3146" t="inlineStr">
        <is>
          <t>HOSP-1</t>
        </is>
      </c>
      <c r="C3146" t="inlineStr">
        <is>
          <t>SS-01116</t>
        </is>
      </c>
      <c r="D3146" t="n">
        <v>48</v>
      </c>
      <c r="E3146" t="n">
        <v>0</v>
      </c>
      <c r="G3146">
        <f>IF(AND(A3146&gt;=Inputs!$B$5,A3146&lt;=Inputs!$B$6),1,0)</f>
        <v/>
      </c>
    </row>
    <row r="3147">
      <c r="A3147" t="inlineStr">
        <is>
          <t>2026-10</t>
        </is>
      </c>
      <c r="B3147" t="inlineStr">
        <is>
          <t>HOSP-2</t>
        </is>
      </c>
      <c r="C3147" t="inlineStr">
        <is>
          <t>SS-01117</t>
        </is>
      </c>
      <c r="D3147" t="n">
        <v>12</v>
      </c>
      <c r="E3147" t="n">
        <v>0</v>
      </c>
      <c r="G3147">
        <f>IF(AND(A3147&gt;=Inputs!$B$5,A3147&lt;=Inputs!$B$6),1,0)</f>
        <v/>
      </c>
    </row>
    <row r="3148">
      <c r="A3148" t="inlineStr">
        <is>
          <t>2026-10</t>
        </is>
      </c>
      <c r="B3148" t="inlineStr">
        <is>
          <t>HOSP-3</t>
        </is>
      </c>
      <c r="C3148" t="inlineStr">
        <is>
          <t>SS-01118</t>
        </is>
      </c>
      <c r="D3148" t="n">
        <v>36</v>
      </c>
      <c r="E3148" t="n">
        <v>0</v>
      </c>
      <c r="G3148">
        <f>IF(AND(A3148&gt;=Inputs!$B$5,A3148&lt;=Inputs!$B$6),1,0)</f>
        <v/>
      </c>
    </row>
    <row r="3149">
      <c r="A3149" t="inlineStr">
        <is>
          <t>2026-10</t>
        </is>
      </c>
      <c r="B3149" t="inlineStr">
        <is>
          <t>HOSP-4</t>
        </is>
      </c>
      <c r="C3149" t="inlineStr">
        <is>
          <t>SS-01119</t>
        </is>
      </c>
      <c r="D3149" t="n">
        <v>0</v>
      </c>
      <c r="E3149" t="n">
        <v>0</v>
      </c>
      <c r="G3149">
        <f>IF(AND(A3149&gt;=Inputs!$B$5,A3149&lt;=Inputs!$B$6),1,0)</f>
        <v/>
      </c>
    </row>
    <row r="3150">
      <c r="A3150" t="inlineStr">
        <is>
          <t>2026-10</t>
        </is>
      </c>
      <c r="B3150" t="inlineStr">
        <is>
          <t>HOSP-1</t>
        </is>
      </c>
      <c r="C3150" t="inlineStr">
        <is>
          <t>SS-01120</t>
        </is>
      </c>
      <c r="D3150" t="n">
        <v>12</v>
      </c>
      <c r="E3150" t="n">
        <v>0</v>
      </c>
      <c r="G3150">
        <f>IF(AND(A3150&gt;=Inputs!$B$5,A3150&lt;=Inputs!$B$6),1,0)</f>
        <v/>
      </c>
    </row>
    <row r="3151">
      <c r="A3151" t="inlineStr">
        <is>
          <t>2026-10</t>
        </is>
      </c>
      <c r="B3151" t="inlineStr">
        <is>
          <t>HOSP-2</t>
        </is>
      </c>
      <c r="C3151" t="inlineStr">
        <is>
          <t>SS-01121</t>
        </is>
      </c>
      <c r="D3151" t="n">
        <v>43</v>
      </c>
      <c r="E3151" t="n">
        <v>0</v>
      </c>
      <c r="G3151">
        <f>IF(AND(A3151&gt;=Inputs!$B$5,A3151&lt;=Inputs!$B$6),1,0)</f>
        <v/>
      </c>
    </row>
    <row r="3152">
      <c r="A3152" t="inlineStr">
        <is>
          <t>2026-10</t>
        </is>
      </c>
      <c r="B3152" t="inlineStr">
        <is>
          <t>HOSP-3</t>
        </is>
      </c>
      <c r="C3152" t="inlineStr">
        <is>
          <t>SS-01122</t>
        </is>
      </c>
      <c r="D3152" t="n">
        <v>12</v>
      </c>
      <c r="E3152" t="n">
        <v>0</v>
      </c>
      <c r="G3152">
        <f>IF(AND(A3152&gt;=Inputs!$B$5,A3152&lt;=Inputs!$B$6),1,0)</f>
        <v/>
      </c>
    </row>
    <row r="3153">
      <c r="A3153" t="inlineStr">
        <is>
          <t>2026-10</t>
        </is>
      </c>
      <c r="B3153" t="inlineStr">
        <is>
          <t>HOSP-4</t>
        </is>
      </c>
      <c r="C3153" t="inlineStr">
        <is>
          <t>SS-01123</t>
        </is>
      </c>
      <c r="D3153" t="n">
        <v>84</v>
      </c>
      <c r="E3153" t="n">
        <v>0</v>
      </c>
      <c r="G3153">
        <f>IF(AND(A3153&gt;=Inputs!$B$5,A3153&lt;=Inputs!$B$6),1,0)</f>
        <v/>
      </c>
    </row>
    <row r="3154">
      <c r="A3154" t="inlineStr">
        <is>
          <t>2026-10</t>
        </is>
      </c>
      <c r="B3154" t="inlineStr">
        <is>
          <t>HOSP-1</t>
        </is>
      </c>
      <c r="C3154" t="inlineStr">
        <is>
          <t>SS-01124</t>
        </is>
      </c>
      <c r="D3154" t="n">
        <v>96</v>
      </c>
      <c r="E3154" t="n">
        <v>0</v>
      </c>
      <c r="G3154">
        <f>IF(AND(A3154&gt;=Inputs!$B$5,A3154&lt;=Inputs!$B$6),1,0)</f>
        <v/>
      </c>
    </row>
    <row r="3155">
      <c r="A3155" t="inlineStr">
        <is>
          <t>2026-10</t>
        </is>
      </c>
      <c r="B3155" t="inlineStr">
        <is>
          <t>HOSP-2</t>
        </is>
      </c>
      <c r="C3155" t="inlineStr">
        <is>
          <t>SS-01125</t>
        </is>
      </c>
      <c r="D3155" t="n">
        <v>12</v>
      </c>
      <c r="E3155" t="n">
        <v>0</v>
      </c>
      <c r="G3155">
        <f>IF(AND(A3155&gt;=Inputs!$B$5,A3155&lt;=Inputs!$B$6),1,0)</f>
        <v/>
      </c>
    </row>
    <row r="3156">
      <c r="A3156" t="inlineStr">
        <is>
          <t>2026-10</t>
        </is>
      </c>
      <c r="B3156" t="inlineStr">
        <is>
          <t>HOSP-3</t>
        </is>
      </c>
      <c r="C3156" t="inlineStr">
        <is>
          <t>SS-01126</t>
        </is>
      </c>
      <c r="D3156" t="n">
        <v>39</v>
      </c>
      <c r="E3156" t="n">
        <v>2</v>
      </c>
      <c r="G3156">
        <f>IF(AND(A3156&gt;=Inputs!$B$5,A3156&lt;=Inputs!$B$6),1,0)</f>
        <v/>
      </c>
    </row>
    <row r="3157">
      <c r="A3157" t="inlineStr">
        <is>
          <t>2026-10</t>
        </is>
      </c>
      <c r="B3157" t="inlineStr">
        <is>
          <t>HOSP-4</t>
        </is>
      </c>
      <c r="C3157" t="inlineStr">
        <is>
          <t>SS-01127</t>
        </is>
      </c>
      <c r="D3157" t="n">
        <v>48</v>
      </c>
      <c r="E3157" t="n">
        <v>0</v>
      </c>
      <c r="G3157">
        <f>IF(AND(A3157&gt;=Inputs!$B$5,A3157&lt;=Inputs!$B$6),1,0)</f>
        <v/>
      </c>
    </row>
    <row r="3158">
      <c r="A3158" t="inlineStr">
        <is>
          <t>2026-10</t>
        </is>
      </c>
      <c r="B3158" t="inlineStr">
        <is>
          <t>HOSP-1</t>
        </is>
      </c>
      <c r="C3158" t="inlineStr">
        <is>
          <t>SS-01128</t>
        </is>
      </c>
      <c r="D3158" t="n">
        <v>48</v>
      </c>
      <c r="E3158" t="n">
        <v>0</v>
      </c>
      <c r="G3158">
        <f>IF(AND(A3158&gt;=Inputs!$B$5,A3158&lt;=Inputs!$B$6),1,0)</f>
        <v/>
      </c>
    </row>
    <row r="3159">
      <c r="A3159" t="inlineStr">
        <is>
          <t>2026-10</t>
        </is>
      </c>
      <c r="B3159" t="inlineStr">
        <is>
          <t>HOSP-2</t>
        </is>
      </c>
      <c r="C3159" t="inlineStr">
        <is>
          <t>SS-01129</t>
        </is>
      </c>
      <c r="D3159" t="n">
        <v>12</v>
      </c>
      <c r="E3159" t="n">
        <v>0</v>
      </c>
      <c r="G3159">
        <f>IF(AND(A3159&gt;=Inputs!$B$5,A3159&lt;=Inputs!$B$6),1,0)</f>
        <v/>
      </c>
    </row>
    <row r="3160">
      <c r="A3160" t="inlineStr">
        <is>
          <t>2026-10</t>
        </is>
      </c>
      <c r="B3160" t="inlineStr">
        <is>
          <t>HOSP-3</t>
        </is>
      </c>
      <c r="C3160" t="inlineStr">
        <is>
          <t>SS-01130</t>
        </is>
      </c>
      <c r="D3160" t="n">
        <v>12</v>
      </c>
      <c r="E3160" t="n">
        <v>0</v>
      </c>
      <c r="G3160">
        <f>IF(AND(A3160&gt;=Inputs!$B$5,A3160&lt;=Inputs!$B$6),1,0)</f>
        <v/>
      </c>
    </row>
    <row r="3161">
      <c r="A3161" t="inlineStr">
        <is>
          <t>2026-10</t>
        </is>
      </c>
      <c r="B3161" t="inlineStr">
        <is>
          <t>HOSP-4</t>
        </is>
      </c>
      <c r="C3161" t="inlineStr">
        <is>
          <t>SS-01131</t>
        </is>
      </c>
      <c r="D3161" t="n">
        <v>24</v>
      </c>
      <c r="E3161" t="n">
        <v>0</v>
      </c>
      <c r="G3161">
        <f>IF(AND(A3161&gt;=Inputs!$B$5,A3161&lt;=Inputs!$B$6),1,0)</f>
        <v/>
      </c>
    </row>
    <row r="3162">
      <c r="A3162" t="inlineStr">
        <is>
          <t>2026-10</t>
        </is>
      </c>
      <c r="B3162" t="inlineStr">
        <is>
          <t>HOSP-1</t>
        </is>
      </c>
      <c r="C3162" t="inlineStr">
        <is>
          <t>SS-01132</t>
        </is>
      </c>
      <c r="D3162" t="n">
        <v>12</v>
      </c>
      <c r="E3162" t="n">
        <v>0</v>
      </c>
      <c r="G3162">
        <f>IF(AND(A3162&gt;=Inputs!$B$5,A3162&lt;=Inputs!$B$6),1,0)</f>
        <v/>
      </c>
    </row>
    <row r="3163">
      <c r="A3163" t="inlineStr">
        <is>
          <t>2026-10</t>
        </is>
      </c>
      <c r="B3163" t="inlineStr">
        <is>
          <t>HOSP-2</t>
        </is>
      </c>
      <c r="C3163" t="inlineStr">
        <is>
          <t>SS-01133</t>
        </is>
      </c>
      <c r="D3163" t="n">
        <v>48</v>
      </c>
      <c r="E3163" t="n">
        <v>0</v>
      </c>
      <c r="G3163">
        <f>IF(AND(A3163&gt;=Inputs!$B$5,A3163&lt;=Inputs!$B$6),1,0)</f>
        <v/>
      </c>
    </row>
    <row r="3164">
      <c r="A3164" t="inlineStr">
        <is>
          <t>2026-10</t>
        </is>
      </c>
      <c r="B3164" t="inlineStr">
        <is>
          <t>HOSP-3</t>
        </is>
      </c>
      <c r="C3164" t="inlineStr">
        <is>
          <t>SS-01134</t>
        </is>
      </c>
      <c r="D3164" t="n">
        <v>7</v>
      </c>
      <c r="E3164" t="n">
        <v>3</v>
      </c>
      <c r="G3164">
        <f>IF(AND(A3164&gt;=Inputs!$B$5,A3164&lt;=Inputs!$B$6),1,0)</f>
        <v/>
      </c>
    </row>
    <row r="3165">
      <c r="A3165" t="inlineStr">
        <is>
          <t>2026-10</t>
        </is>
      </c>
      <c r="B3165" t="inlineStr">
        <is>
          <t>HOSP-4</t>
        </is>
      </c>
      <c r="C3165" t="inlineStr">
        <is>
          <t>SS-01135</t>
        </is>
      </c>
      <c r="D3165" t="n">
        <v>0</v>
      </c>
      <c r="E3165" t="n">
        <v>1</v>
      </c>
      <c r="G3165">
        <f>IF(AND(A3165&gt;=Inputs!$B$5,A3165&lt;=Inputs!$B$6),1,0)</f>
        <v/>
      </c>
    </row>
    <row r="3166">
      <c r="A3166" t="inlineStr">
        <is>
          <t>2026-10</t>
        </is>
      </c>
      <c r="B3166" t="inlineStr">
        <is>
          <t>HOSP-1</t>
        </is>
      </c>
      <c r="C3166" t="inlineStr">
        <is>
          <t>SS-01136</t>
        </is>
      </c>
      <c r="D3166" t="n">
        <v>12</v>
      </c>
      <c r="E3166" t="n">
        <v>0</v>
      </c>
      <c r="G3166">
        <f>IF(AND(A3166&gt;=Inputs!$B$5,A3166&lt;=Inputs!$B$6),1,0)</f>
        <v/>
      </c>
    </row>
    <row r="3167">
      <c r="A3167" t="inlineStr">
        <is>
          <t>2026-10</t>
        </is>
      </c>
      <c r="B3167" t="inlineStr">
        <is>
          <t>HOSP-2</t>
        </is>
      </c>
      <c r="C3167" t="inlineStr">
        <is>
          <t>SS-01137</t>
        </is>
      </c>
      <c r="D3167" t="n">
        <v>48</v>
      </c>
      <c r="E3167" t="n">
        <v>0</v>
      </c>
      <c r="G3167">
        <f>IF(AND(A3167&gt;=Inputs!$B$5,A3167&lt;=Inputs!$B$6),1,0)</f>
        <v/>
      </c>
    </row>
    <row r="3168">
      <c r="A3168" t="inlineStr">
        <is>
          <t>2026-10</t>
        </is>
      </c>
      <c r="B3168" t="inlineStr">
        <is>
          <t>HOSP-3</t>
        </is>
      </c>
      <c r="C3168" t="inlineStr">
        <is>
          <t>SS-01138</t>
        </is>
      </c>
      <c r="D3168" t="n">
        <v>46</v>
      </c>
      <c r="E3168" t="n">
        <v>0</v>
      </c>
      <c r="G3168">
        <f>IF(AND(A3168&gt;=Inputs!$B$5,A3168&lt;=Inputs!$B$6),1,0)</f>
        <v/>
      </c>
    </row>
    <row r="3169">
      <c r="A3169" t="inlineStr">
        <is>
          <t>2026-10</t>
        </is>
      </c>
      <c r="B3169" t="inlineStr">
        <is>
          <t>HOSP-4</t>
        </is>
      </c>
      <c r="C3169" t="inlineStr">
        <is>
          <t>SS-01139</t>
        </is>
      </c>
      <c r="D3169" t="n">
        <v>0</v>
      </c>
      <c r="E3169" t="n">
        <v>0</v>
      </c>
      <c r="G3169">
        <f>IF(AND(A3169&gt;=Inputs!$B$5,A3169&lt;=Inputs!$B$6),1,0)</f>
        <v/>
      </c>
    </row>
    <row r="3170">
      <c r="A3170" t="inlineStr">
        <is>
          <t>2026-10</t>
        </is>
      </c>
      <c r="B3170" t="inlineStr">
        <is>
          <t>HOSP-1</t>
        </is>
      </c>
      <c r="C3170" t="inlineStr">
        <is>
          <t>SS-01140</t>
        </is>
      </c>
      <c r="D3170" t="n">
        <v>36</v>
      </c>
      <c r="E3170" t="n">
        <v>0</v>
      </c>
      <c r="G3170">
        <f>IF(AND(A3170&gt;=Inputs!$B$5,A3170&lt;=Inputs!$B$6),1,0)</f>
        <v/>
      </c>
    </row>
    <row r="3171">
      <c r="A3171" t="inlineStr">
        <is>
          <t>2026-10</t>
        </is>
      </c>
      <c r="B3171" t="inlineStr">
        <is>
          <t>HOSP-2</t>
        </is>
      </c>
      <c r="C3171" t="inlineStr">
        <is>
          <t>SS-01141</t>
        </is>
      </c>
      <c r="D3171" t="n">
        <v>0</v>
      </c>
      <c r="E3171" t="n">
        <v>0</v>
      </c>
      <c r="G3171">
        <f>IF(AND(A3171&gt;=Inputs!$B$5,A3171&lt;=Inputs!$B$6),1,0)</f>
        <v/>
      </c>
    </row>
    <row r="3172">
      <c r="A3172" t="inlineStr">
        <is>
          <t>2026-10</t>
        </is>
      </c>
      <c r="B3172" t="inlineStr">
        <is>
          <t>HOSP-3</t>
        </is>
      </c>
      <c r="C3172" t="inlineStr">
        <is>
          <t>SS-01142</t>
        </is>
      </c>
      <c r="D3172" t="n">
        <v>118</v>
      </c>
      <c r="E3172" t="n">
        <v>0</v>
      </c>
      <c r="G3172">
        <f>IF(AND(A3172&gt;=Inputs!$B$5,A3172&lt;=Inputs!$B$6),1,0)</f>
        <v/>
      </c>
    </row>
    <row r="3173">
      <c r="A3173" t="inlineStr">
        <is>
          <t>2026-10</t>
        </is>
      </c>
      <c r="B3173" t="inlineStr">
        <is>
          <t>HOSP-4</t>
        </is>
      </c>
      <c r="C3173" t="inlineStr">
        <is>
          <t>SS-01143</t>
        </is>
      </c>
      <c r="D3173" t="n">
        <v>12</v>
      </c>
      <c r="E3173" t="n">
        <v>0</v>
      </c>
      <c r="G3173">
        <f>IF(AND(A3173&gt;=Inputs!$B$5,A3173&lt;=Inputs!$B$6),1,0)</f>
        <v/>
      </c>
    </row>
    <row r="3174">
      <c r="A3174" t="inlineStr">
        <is>
          <t>2026-10</t>
        </is>
      </c>
      <c r="B3174" t="inlineStr">
        <is>
          <t>HOSP-1</t>
        </is>
      </c>
      <c r="C3174" t="inlineStr">
        <is>
          <t>SS-01144</t>
        </is>
      </c>
      <c r="D3174" t="n">
        <v>0</v>
      </c>
      <c r="E3174" t="n">
        <v>1</v>
      </c>
      <c r="G3174">
        <f>IF(AND(A3174&gt;=Inputs!$B$5,A3174&lt;=Inputs!$B$6),1,0)</f>
        <v/>
      </c>
    </row>
    <row r="3175">
      <c r="A3175" t="inlineStr">
        <is>
          <t>2026-10</t>
        </is>
      </c>
      <c r="B3175" t="inlineStr">
        <is>
          <t>HOSP-2</t>
        </is>
      </c>
      <c r="C3175" t="inlineStr">
        <is>
          <t>SS-01145</t>
        </is>
      </c>
      <c r="D3175" t="n">
        <v>48</v>
      </c>
      <c r="E3175" t="n">
        <v>0</v>
      </c>
      <c r="G3175">
        <f>IF(AND(A3175&gt;=Inputs!$B$5,A3175&lt;=Inputs!$B$6),1,0)</f>
        <v/>
      </c>
    </row>
    <row r="3176">
      <c r="A3176" t="inlineStr">
        <is>
          <t>2026-10</t>
        </is>
      </c>
      <c r="B3176" t="inlineStr">
        <is>
          <t>HOSP-3</t>
        </is>
      </c>
      <c r="C3176" t="inlineStr">
        <is>
          <t>SS-01146</t>
        </is>
      </c>
      <c r="D3176" t="n">
        <v>0</v>
      </c>
      <c r="E3176" t="n">
        <v>0</v>
      </c>
      <c r="G3176">
        <f>IF(AND(A3176&gt;=Inputs!$B$5,A3176&lt;=Inputs!$B$6),1,0)</f>
        <v/>
      </c>
    </row>
    <row r="3177">
      <c r="A3177" t="inlineStr">
        <is>
          <t>2026-10</t>
        </is>
      </c>
      <c r="B3177" t="inlineStr">
        <is>
          <t>HOSP-4</t>
        </is>
      </c>
      <c r="C3177" t="inlineStr">
        <is>
          <t>SS-01147</t>
        </is>
      </c>
      <c r="D3177" t="n">
        <v>48</v>
      </c>
      <c r="E3177" t="n">
        <v>0</v>
      </c>
      <c r="G3177">
        <f>IF(AND(A3177&gt;=Inputs!$B$5,A3177&lt;=Inputs!$B$6),1,0)</f>
        <v/>
      </c>
    </row>
    <row r="3178">
      <c r="A3178" t="inlineStr">
        <is>
          <t>2026-10</t>
        </is>
      </c>
      <c r="B3178" t="inlineStr">
        <is>
          <t>HOSP-1</t>
        </is>
      </c>
      <c r="C3178" t="inlineStr">
        <is>
          <t>SS-01148</t>
        </is>
      </c>
      <c r="D3178" t="n">
        <v>0</v>
      </c>
      <c r="E3178" t="n">
        <v>0</v>
      </c>
      <c r="G3178">
        <f>IF(AND(A3178&gt;=Inputs!$B$5,A3178&lt;=Inputs!$B$6),1,0)</f>
        <v/>
      </c>
    </row>
    <row r="3179">
      <c r="A3179" t="inlineStr">
        <is>
          <t>2026-10</t>
        </is>
      </c>
      <c r="B3179" t="inlineStr">
        <is>
          <t>HOSP-2</t>
        </is>
      </c>
      <c r="C3179" t="inlineStr">
        <is>
          <t>SS-01149</t>
        </is>
      </c>
      <c r="D3179" t="n">
        <v>12</v>
      </c>
      <c r="E3179" t="n">
        <v>0</v>
      </c>
      <c r="G3179">
        <f>IF(AND(A3179&gt;=Inputs!$B$5,A3179&lt;=Inputs!$B$6),1,0)</f>
        <v/>
      </c>
    </row>
    <row r="3180">
      <c r="A3180" t="inlineStr">
        <is>
          <t>2026-10</t>
        </is>
      </c>
      <c r="B3180" t="inlineStr">
        <is>
          <t>HOSP-3</t>
        </is>
      </c>
      <c r="C3180" t="inlineStr">
        <is>
          <t>SS-01150</t>
        </is>
      </c>
      <c r="D3180" t="n">
        <v>24</v>
      </c>
      <c r="E3180" t="n">
        <v>0</v>
      </c>
      <c r="G3180">
        <f>IF(AND(A3180&gt;=Inputs!$B$5,A3180&lt;=Inputs!$B$6),1,0)</f>
        <v/>
      </c>
    </row>
    <row r="3181">
      <c r="A3181" t="inlineStr">
        <is>
          <t>2026-10</t>
        </is>
      </c>
      <c r="B3181" t="inlineStr">
        <is>
          <t>HOSP-4</t>
        </is>
      </c>
      <c r="C3181" t="inlineStr">
        <is>
          <t>SS-01151</t>
        </is>
      </c>
      <c r="D3181" t="n">
        <v>0</v>
      </c>
      <c r="E3181" t="n">
        <v>0</v>
      </c>
      <c r="G3181">
        <f>IF(AND(A3181&gt;=Inputs!$B$5,A3181&lt;=Inputs!$B$6),1,0)</f>
        <v/>
      </c>
    </row>
    <row r="3182">
      <c r="A3182" t="inlineStr">
        <is>
          <t>2026-10</t>
        </is>
      </c>
      <c r="B3182" t="inlineStr">
        <is>
          <t>HOSP-1</t>
        </is>
      </c>
      <c r="C3182" t="inlineStr">
        <is>
          <t>SS-01152</t>
        </is>
      </c>
      <c r="D3182" t="n">
        <v>24</v>
      </c>
      <c r="E3182" t="n">
        <v>0</v>
      </c>
      <c r="G3182">
        <f>IF(AND(A3182&gt;=Inputs!$B$5,A3182&lt;=Inputs!$B$6),1,0)</f>
        <v/>
      </c>
    </row>
    <row r="3183">
      <c r="A3183" t="inlineStr">
        <is>
          <t>2026-10</t>
        </is>
      </c>
      <c r="B3183" t="inlineStr">
        <is>
          <t>HOSP-2</t>
        </is>
      </c>
      <c r="C3183" t="inlineStr">
        <is>
          <t>SS-01153</t>
        </is>
      </c>
      <c r="D3183" t="n">
        <v>12</v>
      </c>
      <c r="E3183" t="n">
        <v>0</v>
      </c>
      <c r="G3183">
        <f>IF(AND(A3183&gt;=Inputs!$B$5,A3183&lt;=Inputs!$B$6),1,0)</f>
        <v/>
      </c>
    </row>
    <row r="3184">
      <c r="A3184" t="inlineStr">
        <is>
          <t>2026-10</t>
        </is>
      </c>
      <c r="B3184" t="inlineStr">
        <is>
          <t>HOSP-3</t>
        </is>
      </c>
      <c r="C3184" t="inlineStr">
        <is>
          <t>SS-01154</t>
        </is>
      </c>
      <c r="D3184" t="n">
        <v>0</v>
      </c>
      <c r="E3184" t="n">
        <v>0</v>
      </c>
      <c r="G3184">
        <f>IF(AND(A3184&gt;=Inputs!$B$5,A3184&lt;=Inputs!$B$6),1,0)</f>
        <v/>
      </c>
    </row>
    <row r="3185">
      <c r="A3185" t="inlineStr">
        <is>
          <t>2026-10</t>
        </is>
      </c>
      <c r="B3185" t="inlineStr">
        <is>
          <t>HOSP-4</t>
        </is>
      </c>
      <c r="C3185" t="inlineStr">
        <is>
          <t>SS-01155</t>
        </is>
      </c>
      <c r="D3185" t="n">
        <v>36</v>
      </c>
      <c r="E3185" t="n">
        <v>0</v>
      </c>
      <c r="G3185">
        <f>IF(AND(A3185&gt;=Inputs!$B$5,A3185&lt;=Inputs!$B$6),1,0)</f>
        <v/>
      </c>
    </row>
    <row r="3186">
      <c r="A3186" t="inlineStr">
        <is>
          <t>2026-10</t>
        </is>
      </c>
      <c r="B3186" t="inlineStr">
        <is>
          <t>HOSP-1</t>
        </is>
      </c>
      <c r="C3186" t="inlineStr">
        <is>
          <t>SS-01156</t>
        </is>
      </c>
      <c r="D3186" t="n">
        <v>24</v>
      </c>
      <c r="E3186" t="n">
        <v>0</v>
      </c>
      <c r="G3186">
        <f>IF(AND(A3186&gt;=Inputs!$B$5,A3186&lt;=Inputs!$B$6),1,0)</f>
        <v/>
      </c>
    </row>
    <row r="3187">
      <c r="A3187" t="inlineStr">
        <is>
          <t>2026-10</t>
        </is>
      </c>
      <c r="B3187" t="inlineStr">
        <is>
          <t>HOSP-2</t>
        </is>
      </c>
      <c r="C3187" t="inlineStr">
        <is>
          <t>SS-01157</t>
        </is>
      </c>
      <c r="D3187" t="n">
        <v>0</v>
      </c>
      <c r="E3187" t="n">
        <v>0</v>
      </c>
      <c r="G3187">
        <f>IF(AND(A3187&gt;=Inputs!$B$5,A3187&lt;=Inputs!$B$6),1,0)</f>
        <v/>
      </c>
    </row>
    <row r="3188">
      <c r="A3188" t="inlineStr">
        <is>
          <t>2026-10</t>
        </is>
      </c>
      <c r="B3188" t="inlineStr">
        <is>
          <t>HOSP-3</t>
        </is>
      </c>
      <c r="C3188" t="inlineStr">
        <is>
          <t>SS-01158</t>
        </is>
      </c>
      <c r="D3188" t="n">
        <v>32</v>
      </c>
      <c r="E3188" t="n">
        <v>1</v>
      </c>
      <c r="G3188">
        <f>IF(AND(A3188&gt;=Inputs!$B$5,A3188&lt;=Inputs!$B$6),1,0)</f>
        <v/>
      </c>
    </row>
    <row r="3189">
      <c r="A3189" t="inlineStr">
        <is>
          <t>2026-10</t>
        </is>
      </c>
      <c r="B3189" t="inlineStr">
        <is>
          <t>HOSP-4</t>
        </is>
      </c>
      <c r="C3189" t="inlineStr">
        <is>
          <t>SS-01159</t>
        </is>
      </c>
      <c r="D3189" t="n">
        <v>0</v>
      </c>
      <c r="E3189" t="n">
        <v>0</v>
      </c>
      <c r="G3189">
        <f>IF(AND(A3189&gt;=Inputs!$B$5,A3189&lt;=Inputs!$B$6),1,0)</f>
        <v/>
      </c>
    </row>
    <row r="3190">
      <c r="A3190" t="inlineStr">
        <is>
          <t>2026-10</t>
        </is>
      </c>
      <c r="B3190" t="inlineStr">
        <is>
          <t>HOSP-1</t>
        </is>
      </c>
      <c r="C3190" t="inlineStr">
        <is>
          <t>SS-01160</t>
        </is>
      </c>
      <c r="D3190" t="n">
        <v>0</v>
      </c>
      <c r="E3190" t="n">
        <v>0</v>
      </c>
      <c r="G3190">
        <f>IF(AND(A3190&gt;=Inputs!$B$5,A3190&lt;=Inputs!$B$6),1,0)</f>
        <v/>
      </c>
    </row>
    <row r="3191">
      <c r="A3191" t="inlineStr">
        <is>
          <t>2026-10</t>
        </is>
      </c>
      <c r="B3191" t="inlineStr">
        <is>
          <t>HOSP-2</t>
        </is>
      </c>
      <c r="C3191" t="inlineStr">
        <is>
          <t>SS-01006</t>
        </is>
      </c>
      <c r="D3191" t="n">
        <v>22</v>
      </c>
      <c r="E3191" t="n">
        <v>1</v>
      </c>
      <c r="G3191">
        <f>IF(AND(A3191&gt;=Inputs!$B$5,A3191&lt;=Inputs!$B$6),1,0)</f>
        <v/>
      </c>
    </row>
    <row r="3192">
      <c r="A3192" t="inlineStr">
        <is>
          <t>2026-10</t>
        </is>
      </c>
      <c r="B3192" t="inlineStr">
        <is>
          <t>HOSP-3</t>
        </is>
      </c>
      <c r="C3192" t="inlineStr">
        <is>
          <t>SS-01162</t>
        </is>
      </c>
      <c r="D3192" t="n">
        <v>12</v>
      </c>
      <c r="E3192" t="n">
        <v>0</v>
      </c>
      <c r="G3192">
        <f>IF(AND(A3192&gt;=Inputs!$B$5,A3192&lt;=Inputs!$B$6),1,0)</f>
        <v/>
      </c>
    </row>
    <row r="3193">
      <c r="A3193" t="inlineStr">
        <is>
          <t>2026-10</t>
        </is>
      </c>
      <c r="B3193" t="inlineStr">
        <is>
          <t>HOSP-4</t>
        </is>
      </c>
      <c r="C3193" t="inlineStr">
        <is>
          <t>SS-01171</t>
        </is>
      </c>
      <c r="D3193" t="n">
        <v>24</v>
      </c>
      <c r="E3193" t="n">
        <v>0</v>
      </c>
      <c r="G3193">
        <f>IF(AND(A3193&gt;=Inputs!$B$5,A3193&lt;=Inputs!$B$6),1,0)</f>
        <v/>
      </c>
    </row>
    <row r="3194">
      <c r="A3194" t="inlineStr">
        <is>
          <t>2026-10</t>
        </is>
      </c>
      <c r="B3194" t="inlineStr">
        <is>
          <t>HOSP-1</t>
        </is>
      </c>
      <c r="C3194" t="inlineStr">
        <is>
          <t>SS-01164</t>
        </is>
      </c>
      <c r="D3194" t="n">
        <v>60</v>
      </c>
      <c r="E3194" t="n">
        <v>0</v>
      </c>
      <c r="G3194">
        <f>IF(AND(A3194&gt;=Inputs!$B$5,A3194&lt;=Inputs!$B$6),1,0)</f>
        <v/>
      </c>
    </row>
    <row r="3195">
      <c r="A3195" t="inlineStr">
        <is>
          <t>2026-10</t>
        </is>
      </c>
      <c r="B3195" t="inlineStr">
        <is>
          <t>HOSP-2</t>
        </is>
      </c>
      <c r="C3195" t="inlineStr">
        <is>
          <t>SS-01219</t>
        </is>
      </c>
      <c r="D3195" t="n">
        <v>0</v>
      </c>
      <c r="E3195" t="n">
        <v>2</v>
      </c>
      <c r="G3195">
        <f>IF(AND(A3195&gt;=Inputs!$B$5,A3195&lt;=Inputs!$B$6),1,0)</f>
        <v/>
      </c>
    </row>
    <row r="3196">
      <c r="A3196" t="inlineStr">
        <is>
          <t>2026-10</t>
        </is>
      </c>
      <c r="B3196" t="inlineStr">
        <is>
          <t>HOSP-3</t>
        </is>
      </c>
      <c r="C3196" t="inlineStr">
        <is>
          <t>SS-01166</t>
        </is>
      </c>
      <c r="D3196" t="n">
        <v>120</v>
      </c>
      <c r="E3196" t="n">
        <v>0</v>
      </c>
      <c r="G3196">
        <f>IF(AND(A3196&gt;=Inputs!$B$5,A3196&lt;=Inputs!$B$6),1,0)</f>
        <v/>
      </c>
    </row>
    <row r="3197">
      <c r="A3197" t="inlineStr">
        <is>
          <t>2026-10</t>
        </is>
      </c>
      <c r="B3197" t="inlineStr">
        <is>
          <t>HOSP-4</t>
        </is>
      </c>
      <c r="C3197" t="inlineStr">
        <is>
          <t>SS-01167</t>
        </is>
      </c>
      <c r="D3197" t="n">
        <v>81</v>
      </c>
      <c r="E3197" t="n">
        <v>0</v>
      </c>
      <c r="G3197">
        <f>IF(AND(A3197&gt;=Inputs!$B$5,A3197&lt;=Inputs!$B$6),1,0)</f>
        <v/>
      </c>
    </row>
    <row r="3198">
      <c r="A3198" t="inlineStr">
        <is>
          <t>2026-10</t>
        </is>
      </c>
      <c r="B3198" t="inlineStr">
        <is>
          <t>HOSP-1</t>
        </is>
      </c>
      <c r="C3198" t="inlineStr">
        <is>
          <t>SS-01168</t>
        </is>
      </c>
      <c r="D3198" t="n">
        <v>0</v>
      </c>
      <c r="E3198" t="n">
        <v>0</v>
      </c>
      <c r="G3198">
        <f>IF(AND(A3198&gt;=Inputs!$B$5,A3198&lt;=Inputs!$B$6),1,0)</f>
        <v/>
      </c>
    </row>
    <row r="3199">
      <c r="A3199" t="inlineStr">
        <is>
          <t>2026-10</t>
        </is>
      </c>
      <c r="B3199" t="inlineStr">
        <is>
          <t>HOSP-2</t>
        </is>
      </c>
      <c r="C3199" t="inlineStr">
        <is>
          <t>SS-01036</t>
        </is>
      </c>
      <c r="D3199" t="n">
        <v>384</v>
      </c>
      <c r="E3199" t="n">
        <v>0</v>
      </c>
      <c r="G3199">
        <f>IF(AND(A3199&gt;=Inputs!$B$5,A3199&lt;=Inputs!$B$6),1,0)</f>
        <v/>
      </c>
    </row>
    <row r="3200">
      <c r="A3200" t="inlineStr">
        <is>
          <t>2026-10</t>
        </is>
      </c>
      <c r="B3200" t="inlineStr">
        <is>
          <t>HOSP-3</t>
        </is>
      </c>
      <c r="C3200" t="inlineStr">
        <is>
          <t>SS-01170</t>
        </is>
      </c>
      <c r="D3200" t="n">
        <v>120</v>
      </c>
      <c r="E3200" t="n">
        <v>0</v>
      </c>
      <c r="G3200">
        <f>IF(AND(A3200&gt;=Inputs!$B$5,A3200&lt;=Inputs!$B$6),1,0)</f>
        <v/>
      </c>
    </row>
    <row r="3201">
      <c r="A3201" t="inlineStr">
        <is>
          <t>2026-10</t>
        </is>
      </c>
      <c r="B3201" t="inlineStr">
        <is>
          <t>HOSP-4</t>
        </is>
      </c>
      <c r="C3201" t="inlineStr">
        <is>
          <t>SS-01171</t>
        </is>
      </c>
      <c r="D3201" t="n">
        <v>12</v>
      </c>
      <c r="E3201" t="n">
        <v>1</v>
      </c>
      <c r="G3201">
        <f>IF(AND(A3201&gt;=Inputs!$B$5,A3201&lt;=Inputs!$B$6),1,0)</f>
        <v/>
      </c>
    </row>
    <row r="3202">
      <c r="A3202" t="inlineStr">
        <is>
          <t>2026-10</t>
        </is>
      </c>
      <c r="B3202" t="inlineStr">
        <is>
          <t>HOSP-1</t>
        </is>
      </c>
      <c r="C3202" t="inlineStr">
        <is>
          <t>SS-01172</t>
        </is>
      </c>
      <c r="D3202" t="n">
        <v>24</v>
      </c>
      <c r="E3202" t="n">
        <v>0</v>
      </c>
      <c r="G3202">
        <f>IF(AND(A3202&gt;=Inputs!$B$5,A3202&lt;=Inputs!$B$6),1,0)</f>
        <v/>
      </c>
    </row>
    <row r="3203">
      <c r="A3203" t="inlineStr">
        <is>
          <t>2026-10</t>
        </is>
      </c>
      <c r="B3203" t="inlineStr">
        <is>
          <t>HOSP-2</t>
        </is>
      </c>
      <c r="C3203" t="inlineStr">
        <is>
          <t>SS-01173</t>
        </is>
      </c>
      <c r="D3203" t="n">
        <v>24</v>
      </c>
      <c r="E3203" t="n">
        <v>0</v>
      </c>
      <c r="G3203">
        <f>IF(AND(A3203&gt;=Inputs!$B$5,A3203&lt;=Inputs!$B$6),1,0)</f>
        <v/>
      </c>
    </row>
    <row r="3204">
      <c r="A3204" t="inlineStr">
        <is>
          <t>2026-10</t>
        </is>
      </c>
      <c r="B3204" t="inlineStr">
        <is>
          <t>HOSP-3</t>
        </is>
      </c>
      <c r="C3204" t="inlineStr">
        <is>
          <t>SS-01174</t>
        </is>
      </c>
      <c r="D3204" t="n">
        <v>48</v>
      </c>
      <c r="E3204" t="n">
        <v>0</v>
      </c>
      <c r="G3204">
        <f>IF(AND(A3204&gt;=Inputs!$B$5,A3204&lt;=Inputs!$B$6),1,0)</f>
        <v/>
      </c>
    </row>
    <row r="3205">
      <c r="A3205" t="inlineStr">
        <is>
          <t>2026-10</t>
        </is>
      </c>
      <c r="B3205" t="inlineStr">
        <is>
          <t>HOSP-4</t>
        </is>
      </c>
      <c r="C3205" t="inlineStr">
        <is>
          <t>SS-01175</t>
        </is>
      </c>
      <c r="D3205" t="n">
        <v>0</v>
      </c>
      <c r="E3205" t="n">
        <v>1</v>
      </c>
      <c r="G3205">
        <f>IF(AND(A3205&gt;=Inputs!$B$5,A3205&lt;=Inputs!$B$6),1,0)</f>
        <v/>
      </c>
    </row>
    <row r="3206">
      <c r="A3206" t="inlineStr">
        <is>
          <t>2026-10</t>
        </is>
      </c>
      <c r="B3206" t="inlineStr">
        <is>
          <t>HOSP-1</t>
        </is>
      </c>
      <c r="C3206" t="inlineStr">
        <is>
          <t>SS-01176</t>
        </is>
      </c>
      <c r="D3206" t="n">
        <v>32</v>
      </c>
      <c r="E3206" t="n">
        <v>3</v>
      </c>
      <c r="G3206">
        <f>IF(AND(A3206&gt;=Inputs!$B$5,A3206&lt;=Inputs!$B$6),1,0)</f>
        <v/>
      </c>
    </row>
    <row r="3207">
      <c r="A3207" t="inlineStr">
        <is>
          <t>2026-10</t>
        </is>
      </c>
      <c r="B3207" t="inlineStr">
        <is>
          <t>HOSP-2</t>
        </is>
      </c>
      <c r="C3207" t="inlineStr">
        <is>
          <t>SS-01177</t>
        </is>
      </c>
      <c r="D3207" t="n">
        <v>12</v>
      </c>
      <c r="E3207" t="n">
        <v>0</v>
      </c>
      <c r="G3207">
        <f>IF(AND(A3207&gt;=Inputs!$B$5,A3207&lt;=Inputs!$B$6),1,0)</f>
        <v/>
      </c>
    </row>
    <row r="3208">
      <c r="A3208" t="inlineStr">
        <is>
          <t>2026-10</t>
        </is>
      </c>
      <c r="B3208" t="inlineStr">
        <is>
          <t>HOSP-3</t>
        </is>
      </c>
      <c r="C3208" t="inlineStr">
        <is>
          <t>SS-01178</t>
        </is>
      </c>
      <c r="D3208" t="n">
        <v>168</v>
      </c>
      <c r="E3208" t="n">
        <v>0</v>
      </c>
      <c r="G3208">
        <f>IF(AND(A3208&gt;=Inputs!$B$5,A3208&lt;=Inputs!$B$6),1,0)</f>
        <v/>
      </c>
    </row>
    <row r="3209">
      <c r="A3209" t="inlineStr">
        <is>
          <t>2026-10</t>
        </is>
      </c>
      <c r="B3209" t="inlineStr">
        <is>
          <t>HOSP-4</t>
        </is>
      </c>
      <c r="C3209" t="inlineStr">
        <is>
          <t>SS-01179</t>
        </is>
      </c>
      <c r="D3209" t="n">
        <v>168</v>
      </c>
      <c r="E3209" t="n">
        <v>0</v>
      </c>
      <c r="G3209">
        <f>IF(AND(A3209&gt;=Inputs!$B$5,A3209&lt;=Inputs!$B$6),1,0)</f>
        <v/>
      </c>
    </row>
    <row r="3210">
      <c r="A3210" t="inlineStr">
        <is>
          <t>2026-10</t>
        </is>
      </c>
      <c r="B3210" t="inlineStr">
        <is>
          <t>HOSP-1</t>
        </is>
      </c>
      <c r="C3210" t="inlineStr">
        <is>
          <t>SS-01180</t>
        </is>
      </c>
      <c r="D3210" t="n">
        <v>96</v>
      </c>
      <c r="E3210" t="n">
        <v>0</v>
      </c>
      <c r="G3210">
        <f>IF(AND(A3210&gt;=Inputs!$B$5,A3210&lt;=Inputs!$B$6),1,0)</f>
        <v/>
      </c>
    </row>
    <row r="3211">
      <c r="A3211" t="inlineStr">
        <is>
          <t>2026-10</t>
        </is>
      </c>
      <c r="B3211" t="inlineStr">
        <is>
          <t>HOSP-2</t>
        </is>
      </c>
      <c r="C3211" t="inlineStr">
        <is>
          <t>SS-01181</t>
        </is>
      </c>
      <c r="D3211" t="n">
        <v>0</v>
      </c>
      <c r="E3211" t="n">
        <v>0</v>
      </c>
      <c r="G3211">
        <f>IF(AND(A3211&gt;=Inputs!$B$5,A3211&lt;=Inputs!$B$6),1,0)</f>
        <v/>
      </c>
    </row>
    <row r="3212">
      <c r="A3212" t="inlineStr">
        <is>
          <t>2026-10</t>
        </is>
      </c>
      <c r="B3212" t="inlineStr">
        <is>
          <t>HOSP-3</t>
        </is>
      </c>
      <c r="C3212" t="inlineStr">
        <is>
          <t>SS-01182</t>
        </is>
      </c>
      <c r="D3212" t="n">
        <v>31</v>
      </c>
      <c r="E3212" t="n">
        <v>0</v>
      </c>
      <c r="G3212">
        <f>IF(AND(A3212&gt;=Inputs!$B$5,A3212&lt;=Inputs!$B$6),1,0)</f>
        <v/>
      </c>
    </row>
    <row r="3213">
      <c r="A3213" t="inlineStr">
        <is>
          <t>2026-10</t>
        </is>
      </c>
      <c r="B3213" t="inlineStr">
        <is>
          <t>HOSP-4</t>
        </is>
      </c>
      <c r="C3213" t="inlineStr">
        <is>
          <t>SS-01183</t>
        </is>
      </c>
      <c r="D3213" t="n">
        <v>36</v>
      </c>
      <c r="E3213" t="n">
        <v>0</v>
      </c>
      <c r="G3213">
        <f>IF(AND(A3213&gt;=Inputs!$B$5,A3213&lt;=Inputs!$B$6),1,0)</f>
        <v/>
      </c>
    </row>
    <row r="3214">
      <c r="A3214" t="inlineStr">
        <is>
          <t>2026-10</t>
        </is>
      </c>
      <c r="B3214" t="inlineStr">
        <is>
          <t>HOSP-1</t>
        </is>
      </c>
      <c r="C3214" t="inlineStr">
        <is>
          <t>SS-01184</t>
        </is>
      </c>
      <c r="D3214" t="n">
        <v>120</v>
      </c>
      <c r="E3214" t="n">
        <v>0</v>
      </c>
      <c r="G3214">
        <f>IF(AND(A3214&gt;=Inputs!$B$5,A3214&lt;=Inputs!$B$6),1,0)</f>
        <v/>
      </c>
    </row>
    <row r="3215">
      <c r="A3215" t="inlineStr">
        <is>
          <t>2026-10</t>
        </is>
      </c>
      <c r="B3215" t="inlineStr">
        <is>
          <t>HOSP-2</t>
        </is>
      </c>
      <c r="C3215" t="inlineStr">
        <is>
          <t>SS-01185</t>
        </is>
      </c>
      <c r="D3215" t="n">
        <v>36</v>
      </c>
      <c r="E3215" t="n">
        <v>0</v>
      </c>
      <c r="G3215">
        <f>IF(AND(A3215&gt;=Inputs!$B$5,A3215&lt;=Inputs!$B$6),1,0)</f>
        <v/>
      </c>
    </row>
    <row r="3216">
      <c r="A3216" t="inlineStr">
        <is>
          <t>2026-10</t>
        </is>
      </c>
      <c r="B3216" t="inlineStr">
        <is>
          <t>HOSP-3</t>
        </is>
      </c>
      <c r="C3216" t="inlineStr">
        <is>
          <t>SS-01186</t>
        </is>
      </c>
      <c r="D3216" t="n">
        <v>0</v>
      </c>
      <c r="E3216" t="n">
        <v>0</v>
      </c>
      <c r="G3216">
        <f>IF(AND(A3216&gt;=Inputs!$B$5,A3216&lt;=Inputs!$B$6),1,0)</f>
        <v/>
      </c>
    </row>
    <row r="3217">
      <c r="A3217" t="inlineStr">
        <is>
          <t>2026-10</t>
        </is>
      </c>
      <c r="B3217" t="inlineStr">
        <is>
          <t>HOSP-4</t>
        </is>
      </c>
      <c r="C3217" t="inlineStr">
        <is>
          <t>SS-01187</t>
        </is>
      </c>
      <c r="D3217" t="n">
        <v>0</v>
      </c>
      <c r="E3217" t="n">
        <v>0</v>
      </c>
      <c r="G3217">
        <f>IF(AND(A3217&gt;=Inputs!$B$5,A3217&lt;=Inputs!$B$6),1,0)</f>
        <v/>
      </c>
    </row>
    <row r="3218">
      <c r="A3218" t="inlineStr">
        <is>
          <t>2026-10</t>
        </is>
      </c>
      <c r="B3218" t="inlineStr">
        <is>
          <t>HOSP-1</t>
        </is>
      </c>
      <c r="C3218" t="inlineStr">
        <is>
          <t>SS-01188</t>
        </is>
      </c>
      <c r="D3218" t="n">
        <v>180</v>
      </c>
      <c r="E3218" t="n">
        <v>0</v>
      </c>
      <c r="G3218">
        <f>IF(AND(A3218&gt;=Inputs!$B$5,A3218&lt;=Inputs!$B$6),1,0)</f>
        <v/>
      </c>
    </row>
    <row r="3219">
      <c r="A3219" t="inlineStr">
        <is>
          <t>2026-10</t>
        </is>
      </c>
      <c r="B3219" t="inlineStr">
        <is>
          <t>HOSP-2</t>
        </is>
      </c>
      <c r="C3219" t="inlineStr">
        <is>
          <t>SS-01189</t>
        </is>
      </c>
      <c r="D3219" t="n">
        <v>0</v>
      </c>
      <c r="E3219" t="n">
        <v>0</v>
      </c>
      <c r="G3219">
        <f>IF(AND(A3219&gt;=Inputs!$B$5,A3219&lt;=Inputs!$B$6),1,0)</f>
        <v/>
      </c>
    </row>
    <row r="3220">
      <c r="A3220" t="inlineStr">
        <is>
          <t>2026-10</t>
        </is>
      </c>
      <c r="B3220" t="inlineStr">
        <is>
          <t>HOSP-3</t>
        </is>
      </c>
      <c r="C3220" t="inlineStr">
        <is>
          <t>SS-01190</t>
        </is>
      </c>
      <c r="D3220" t="n">
        <v>96</v>
      </c>
      <c r="E3220" t="n">
        <v>0</v>
      </c>
      <c r="G3220">
        <f>IF(AND(A3220&gt;=Inputs!$B$5,A3220&lt;=Inputs!$B$6),1,0)</f>
        <v/>
      </c>
    </row>
    <row r="3221">
      <c r="A3221" t="inlineStr">
        <is>
          <t>2026-10</t>
        </is>
      </c>
      <c r="B3221" t="inlineStr">
        <is>
          <t>HOSP-4</t>
        </is>
      </c>
      <c r="C3221" t="inlineStr">
        <is>
          <t>SS-01191</t>
        </is>
      </c>
      <c r="D3221" t="n">
        <v>24</v>
      </c>
      <c r="E3221" t="n">
        <v>0</v>
      </c>
      <c r="G3221">
        <f>IF(AND(A3221&gt;=Inputs!$B$5,A3221&lt;=Inputs!$B$6),1,0)</f>
        <v/>
      </c>
    </row>
    <row r="3222">
      <c r="A3222" t="inlineStr">
        <is>
          <t>2026-10</t>
        </is>
      </c>
      <c r="B3222" t="inlineStr">
        <is>
          <t>HOSP-1</t>
        </is>
      </c>
      <c r="C3222" t="inlineStr">
        <is>
          <t>SS-01192</t>
        </is>
      </c>
      <c r="D3222" t="n">
        <v>0</v>
      </c>
      <c r="E3222" t="n">
        <v>0</v>
      </c>
      <c r="G3222">
        <f>IF(AND(A3222&gt;=Inputs!$B$5,A3222&lt;=Inputs!$B$6),1,0)</f>
        <v/>
      </c>
    </row>
    <row r="3223">
      <c r="A3223" t="inlineStr">
        <is>
          <t>2026-10</t>
        </is>
      </c>
      <c r="B3223" t="inlineStr">
        <is>
          <t>HOSP-2</t>
        </is>
      </c>
      <c r="C3223" t="inlineStr">
        <is>
          <t>SS-01141</t>
        </is>
      </c>
      <c r="D3223" t="n">
        <v>12</v>
      </c>
      <c r="E3223" t="n">
        <v>0</v>
      </c>
      <c r="G3223">
        <f>IF(AND(A3223&gt;=Inputs!$B$5,A3223&lt;=Inputs!$B$6),1,0)</f>
        <v/>
      </c>
    </row>
    <row r="3224">
      <c r="A3224" t="inlineStr">
        <is>
          <t>2026-10</t>
        </is>
      </c>
      <c r="B3224" t="inlineStr">
        <is>
          <t>HOSP-3</t>
        </is>
      </c>
      <c r="C3224" t="inlineStr">
        <is>
          <t>SS-01194</t>
        </is>
      </c>
      <c r="D3224" t="n">
        <v>0</v>
      </c>
      <c r="E3224" t="n">
        <v>0</v>
      </c>
      <c r="G3224">
        <f>IF(AND(A3224&gt;=Inputs!$B$5,A3224&lt;=Inputs!$B$6),1,0)</f>
        <v/>
      </c>
    </row>
    <row r="3225">
      <c r="A3225" t="inlineStr">
        <is>
          <t>2026-10</t>
        </is>
      </c>
      <c r="B3225" t="inlineStr">
        <is>
          <t>HOSP-4</t>
        </is>
      </c>
      <c r="C3225" t="inlineStr">
        <is>
          <t>SS-01195</t>
        </is>
      </c>
      <c r="D3225" t="n">
        <v>228</v>
      </c>
      <c r="E3225" t="n">
        <v>0</v>
      </c>
      <c r="G3225">
        <f>IF(AND(A3225&gt;=Inputs!$B$5,A3225&lt;=Inputs!$B$6),1,0)</f>
        <v/>
      </c>
    </row>
    <row r="3226">
      <c r="A3226" t="inlineStr">
        <is>
          <t>2026-10</t>
        </is>
      </c>
      <c r="B3226" t="inlineStr">
        <is>
          <t>HOSP-1</t>
        </is>
      </c>
      <c r="C3226" t="inlineStr">
        <is>
          <t>SS-01196</t>
        </is>
      </c>
      <c r="D3226" t="n">
        <v>48</v>
      </c>
      <c r="E3226" t="n">
        <v>0</v>
      </c>
      <c r="G3226">
        <f>IF(AND(A3226&gt;=Inputs!$B$5,A3226&lt;=Inputs!$B$6),1,0)</f>
        <v/>
      </c>
    </row>
    <row r="3227">
      <c r="A3227" t="inlineStr">
        <is>
          <t>2026-10</t>
        </is>
      </c>
      <c r="B3227" t="inlineStr">
        <is>
          <t>HOSP-2</t>
        </is>
      </c>
      <c r="C3227" t="inlineStr">
        <is>
          <t>SS-01197</t>
        </is>
      </c>
      <c r="D3227" t="n">
        <v>552</v>
      </c>
      <c r="E3227" t="n">
        <v>0</v>
      </c>
      <c r="G3227">
        <f>IF(AND(A3227&gt;=Inputs!$B$5,A3227&lt;=Inputs!$B$6),1,0)</f>
        <v/>
      </c>
    </row>
    <row r="3228">
      <c r="A3228" t="inlineStr">
        <is>
          <t>2026-10</t>
        </is>
      </c>
      <c r="B3228" t="inlineStr">
        <is>
          <t>HOSP-3</t>
        </is>
      </c>
      <c r="C3228" t="inlineStr">
        <is>
          <t>SS-01198</t>
        </is>
      </c>
      <c r="D3228" t="n">
        <v>0</v>
      </c>
      <c r="E3228" t="n">
        <v>0</v>
      </c>
      <c r="G3228">
        <f>IF(AND(A3228&gt;=Inputs!$B$5,A3228&lt;=Inputs!$B$6),1,0)</f>
        <v/>
      </c>
    </row>
    <row r="3229">
      <c r="A3229" t="inlineStr">
        <is>
          <t>2026-10</t>
        </is>
      </c>
      <c r="B3229" t="inlineStr">
        <is>
          <t>HOSP-4</t>
        </is>
      </c>
      <c r="C3229" t="inlineStr">
        <is>
          <t>SS-01199</t>
        </is>
      </c>
      <c r="D3229" t="n">
        <v>0</v>
      </c>
      <c r="E3229" t="n">
        <v>0</v>
      </c>
      <c r="G3229">
        <f>IF(AND(A3229&gt;=Inputs!$B$5,A3229&lt;=Inputs!$B$6),1,0)</f>
        <v/>
      </c>
    </row>
    <row r="3230">
      <c r="A3230" t="inlineStr">
        <is>
          <t>2026-10</t>
        </is>
      </c>
      <c r="B3230" t="inlineStr">
        <is>
          <t>HOSP-1</t>
        </is>
      </c>
      <c r="C3230" t="inlineStr">
        <is>
          <t>SS-01200</t>
        </is>
      </c>
      <c r="D3230" t="n">
        <v>0</v>
      </c>
      <c r="E3230" t="n">
        <v>0</v>
      </c>
      <c r="G3230">
        <f>IF(AND(A3230&gt;=Inputs!$B$5,A3230&lt;=Inputs!$B$6),1,0)</f>
        <v/>
      </c>
    </row>
    <row r="3231">
      <c r="A3231" t="inlineStr">
        <is>
          <t>2026-10</t>
        </is>
      </c>
      <c r="B3231" t="inlineStr">
        <is>
          <t>HOSP-2</t>
        </is>
      </c>
      <c r="C3231" t="inlineStr">
        <is>
          <t>SS-01201</t>
        </is>
      </c>
      <c r="D3231" t="n">
        <v>84</v>
      </c>
      <c r="E3231" t="n">
        <v>0</v>
      </c>
      <c r="G3231">
        <f>IF(AND(A3231&gt;=Inputs!$B$5,A3231&lt;=Inputs!$B$6),1,0)</f>
        <v/>
      </c>
    </row>
    <row r="3232">
      <c r="A3232" t="inlineStr">
        <is>
          <t>2026-10</t>
        </is>
      </c>
      <c r="B3232" t="inlineStr">
        <is>
          <t>HOSP-3</t>
        </is>
      </c>
      <c r="C3232" t="inlineStr">
        <is>
          <t>SS-01202</t>
        </is>
      </c>
      <c r="D3232" t="n">
        <v>24</v>
      </c>
      <c r="E3232" t="n">
        <v>0</v>
      </c>
      <c r="G3232">
        <f>IF(AND(A3232&gt;=Inputs!$B$5,A3232&lt;=Inputs!$B$6),1,0)</f>
        <v/>
      </c>
    </row>
    <row r="3233">
      <c r="A3233" t="inlineStr">
        <is>
          <t>2026-10</t>
        </is>
      </c>
      <c r="B3233" t="inlineStr">
        <is>
          <t>HOSP-4</t>
        </is>
      </c>
      <c r="C3233" t="inlineStr">
        <is>
          <t>SS-01203</t>
        </is>
      </c>
      <c r="D3233" t="n">
        <v>180</v>
      </c>
      <c r="E3233" t="n">
        <v>0</v>
      </c>
      <c r="G3233">
        <f>IF(AND(A3233&gt;=Inputs!$B$5,A3233&lt;=Inputs!$B$6),1,0)</f>
        <v/>
      </c>
    </row>
    <row r="3234">
      <c r="A3234" t="inlineStr">
        <is>
          <t>2026-10</t>
        </is>
      </c>
      <c r="B3234" t="inlineStr">
        <is>
          <t>HOSP-1</t>
        </is>
      </c>
      <c r="C3234" t="inlineStr">
        <is>
          <t>SS-01204</t>
        </is>
      </c>
      <c r="D3234" t="n">
        <v>0</v>
      </c>
      <c r="E3234" t="n">
        <v>0</v>
      </c>
      <c r="G3234">
        <f>IF(AND(A3234&gt;=Inputs!$B$5,A3234&lt;=Inputs!$B$6),1,0)</f>
        <v/>
      </c>
    </row>
    <row r="3235">
      <c r="A3235" t="inlineStr">
        <is>
          <t>2026-10</t>
        </is>
      </c>
      <c r="B3235" t="inlineStr">
        <is>
          <t>HOSP-2</t>
        </is>
      </c>
      <c r="C3235" t="inlineStr">
        <is>
          <t>SS-01205</t>
        </is>
      </c>
      <c r="D3235" t="n">
        <v>12</v>
      </c>
      <c r="E3235" t="n">
        <v>0</v>
      </c>
      <c r="G3235">
        <f>IF(AND(A3235&gt;=Inputs!$B$5,A3235&lt;=Inputs!$B$6),1,0)</f>
        <v/>
      </c>
    </row>
    <row r="3236">
      <c r="A3236" t="inlineStr">
        <is>
          <t>2026-10</t>
        </is>
      </c>
      <c r="B3236" t="inlineStr">
        <is>
          <t>HOSP-3</t>
        </is>
      </c>
      <c r="C3236" t="inlineStr">
        <is>
          <t>SS-01206</t>
        </is>
      </c>
      <c r="D3236" t="n">
        <v>0</v>
      </c>
      <c r="E3236" t="n">
        <v>2</v>
      </c>
      <c r="G3236">
        <f>IF(AND(A3236&gt;=Inputs!$B$5,A3236&lt;=Inputs!$B$6),1,0)</f>
        <v/>
      </c>
    </row>
    <row r="3237">
      <c r="A3237" t="inlineStr">
        <is>
          <t>2026-10</t>
        </is>
      </c>
      <c r="B3237" t="inlineStr">
        <is>
          <t>HOSP-4</t>
        </is>
      </c>
      <c r="C3237" t="inlineStr">
        <is>
          <t>SS-01207</t>
        </is>
      </c>
      <c r="D3237" t="n">
        <v>0</v>
      </c>
      <c r="E3237" t="n">
        <v>0</v>
      </c>
      <c r="G3237">
        <f>IF(AND(A3237&gt;=Inputs!$B$5,A3237&lt;=Inputs!$B$6),1,0)</f>
        <v/>
      </c>
    </row>
    <row r="3238">
      <c r="A3238" t="inlineStr">
        <is>
          <t>2026-10</t>
        </is>
      </c>
      <c r="B3238" t="inlineStr">
        <is>
          <t>HOSP-1</t>
        </is>
      </c>
      <c r="C3238" t="inlineStr">
        <is>
          <t>SS-01208</t>
        </is>
      </c>
      <c r="D3238" t="n">
        <v>72</v>
      </c>
      <c r="E3238" t="n">
        <v>0</v>
      </c>
      <c r="G3238">
        <f>IF(AND(A3238&gt;=Inputs!$B$5,A3238&lt;=Inputs!$B$6),1,0)</f>
        <v/>
      </c>
    </row>
    <row r="3239">
      <c r="A3239" t="inlineStr">
        <is>
          <t>2026-10</t>
        </is>
      </c>
      <c r="B3239" t="inlineStr">
        <is>
          <t>HOSP-2</t>
        </is>
      </c>
      <c r="C3239" t="inlineStr">
        <is>
          <t>SS-01209</t>
        </is>
      </c>
      <c r="D3239" t="n">
        <v>18</v>
      </c>
      <c r="E3239" t="n">
        <v>0</v>
      </c>
      <c r="G3239">
        <f>IF(AND(A3239&gt;=Inputs!$B$5,A3239&lt;=Inputs!$B$6),1,0)</f>
        <v/>
      </c>
    </row>
    <row r="3240">
      <c r="A3240" t="inlineStr">
        <is>
          <t>2026-10</t>
        </is>
      </c>
      <c r="B3240" t="inlineStr">
        <is>
          <t>HOSP-3</t>
        </is>
      </c>
      <c r="C3240" t="inlineStr">
        <is>
          <t>SS-01210</t>
        </is>
      </c>
      <c r="D3240" t="n">
        <v>0</v>
      </c>
      <c r="E3240" t="n">
        <v>0</v>
      </c>
      <c r="G3240">
        <f>IF(AND(A3240&gt;=Inputs!$B$5,A3240&lt;=Inputs!$B$6),1,0)</f>
        <v/>
      </c>
    </row>
    <row r="3241">
      <c r="A3241" t="inlineStr">
        <is>
          <t>2026-10</t>
        </is>
      </c>
      <c r="B3241" t="inlineStr">
        <is>
          <t>HOSP-4</t>
        </is>
      </c>
      <c r="C3241" t="inlineStr">
        <is>
          <t>SS-01211</t>
        </is>
      </c>
      <c r="D3241" t="n">
        <v>12</v>
      </c>
      <c r="E3241" t="n">
        <v>0</v>
      </c>
      <c r="G3241">
        <f>IF(AND(A3241&gt;=Inputs!$B$5,A3241&lt;=Inputs!$B$6),1,0)</f>
        <v/>
      </c>
    </row>
    <row r="3242">
      <c r="A3242" t="inlineStr">
        <is>
          <t>2026-10</t>
        </is>
      </c>
      <c r="B3242" t="inlineStr">
        <is>
          <t>HOSP-1</t>
        </is>
      </c>
      <c r="C3242" t="inlineStr">
        <is>
          <t>SS-01212</t>
        </is>
      </c>
      <c r="D3242" t="n">
        <v>24</v>
      </c>
      <c r="E3242" t="n">
        <v>0</v>
      </c>
      <c r="G3242">
        <f>IF(AND(A3242&gt;=Inputs!$B$5,A3242&lt;=Inputs!$B$6),1,0)</f>
        <v/>
      </c>
    </row>
    <row r="3243">
      <c r="A3243" t="inlineStr">
        <is>
          <t>2026-10</t>
        </is>
      </c>
      <c r="B3243" t="inlineStr">
        <is>
          <t>HOSP-2</t>
        </is>
      </c>
      <c r="C3243" t="inlineStr">
        <is>
          <t>SS-01213</t>
        </is>
      </c>
      <c r="D3243" t="n">
        <v>24</v>
      </c>
      <c r="E3243" t="n">
        <v>0</v>
      </c>
      <c r="G3243">
        <f>IF(AND(A3243&gt;=Inputs!$B$5,A3243&lt;=Inputs!$B$6),1,0)</f>
        <v/>
      </c>
    </row>
    <row r="3244">
      <c r="A3244" t="inlineStr">
        <is>
          <t>2026-10</t>
        </is>
      </c>
      <c r="B3244" t="inlineStr">
        <is>
          <t>HOSP-3</t>
        </is>
      </c>
      <c r="C3244" t="inlineStr">
        <is>
          <t>SS-01214</t>
        </is>
      </c>
      <c r="D3244" t="n">
        <v>12</v>
      </c>
      <c r="E3244" t="n">
        <v>0</v>
      </c>
      <c r="G3244">
        <f>IF(AND(A3244&gt;=Inputs!$B$5,A3244&lt;=Inputs!$B$6),1,0)</f>
        <v/>
      </c>
    </row>
    <row r="3245">
      <c r="A3245" t="inlineStr">
        <is>
          <t>2026-10</t>
        </is>
      </c>
      <c r="B3245" t="inlineStr">
        <is>
          <t>HOSP-4</t>
        </is>
      </c>
      <c r="C3245" t="inlineStr">
        <is>
          <t>SS-01215</t>
        </is>
      </c>
      <c r="D3245" t="n">
        <v>12</v>
      </c>
      <c r="E3245" t="n">
        <v>0</v>
      </c>
      <c r="G3245">
        <f>IF(AND(A3245&gt;=Inputs!$B$5,A3245&lt;=Inputs!$B$6),1,0)</f>
        <v/>
      </c>
    </row>
    <row r="3246">
      <c r="A3246" t="inlineStr">
        <is>
          <t>2026-10</t>
        </is>
      </c>
      <c r="B3246" t="inlineStr">
        <is>
          <t>HOSP-1</t>
        </is>
      </c>
      <c r="C3246" t="inlineStr">
        <is>
          <t>SS-01216</t>
        </is>
      </c>
      <c r="D3246" t="n">
        <v>28</v>
      </c>
      <c r="E3246" t="n">
        <v>3</v>
      </c>
      <c r="G3246">
        <f>IF(AND(A3246&gt;=Inputs!$B$5,A3246&lt;=Inputs!$B$6),1,0)</f>
        <v/>
      </c>
    </row>
    <row r="3247">
      <c r="A3247" t="inlineStr">
        <is>
          <t>2026-10</t>
        </is>
      </c>
      <c r="B3247" t="inlineStr">
        <is>
          <t>HOSP-2</t>
        </is>
      </c>
      <c r="C3247" t="inlineStr">
        <is>
          <t>SS-01217</t>
        </is>
      </c>
      <c r="D3247" t="n">
        <v>48</v>
      </c>
      <c r="E3247" t="n">
        <v>0</v>
      </c>
      <c r="G3247">
        <f>IF(AND(A3247&gt;=Inputs!$B$5,A3247&lt;=Inputs!$B$6),1,0)</f>
        <v/>
      </c>
    </row>
    <row r="3248">
      <c r="A3248" t="inlineStr">
        <is>
          <t>2026-10</t>
        </is>
      </c>
      <c r="B3248" t="inlineStr">
        <is>
          <t>HOSP-3</t>
        </is>
      </c>
      <c r="C3248" t="inlineStr">
        <is>
          <t>SS-01218</t>
        </is>
      </c>
      <c r="D3248" t="n">
        <v>0</v>
      </c>
      <c r="E3248" t="n">
        <v>0</v>
      </c>
      <c r="G3248">
        <f>IF(AND(A3248&gt;=Inputs!$B$5,A3248&lt;=Inputs!$B$6),1,0)</f>
        <v/>
      </c>
    </row>
    <row r="3249">
      <c r="A3249" t="inlineStr">
        <is>
          <t>2026-10</t>
        </is>
      </c>
      <c r="B3249" t="inlineStr">
        <is>
          <t>HOSP-4</t>
        </is>
      </c>
      <c r="C3249" t="inlineStr">
        <is>
          <t>SS-01219</t>
        </is>
      </c>
      <c r="D3249" t="n">
        <v>4</v>
      </c>
      <c r="E3249" t="n">
        <v>1</v>
      </c>
      <c r="G3249">
        <f>IF(AND(A3249&gt;=Inputs!$B$5,A3249&lt;=Inputs!$B$6),1,0)</f>
        <v/>
      </c>
    </row>
    <row r="3250">
      <c r="A3250" t="inlineStr">
        <is>
          <t>2026-10</t>
        </is>
      </c>
      <c r="B3250" t="inlineStr">
        <is>
          <t>HOSP-1</t>
        </is>
      </c>
      <c r="C3250" t="inlineStr">
        <is>
          <t>SS-01220</t>
        </is>
      </c>
      <c r="D3250" t="n">
        <v>12</v>
      </c>
      <c r="E3250" t="n">
        <v>0</v>
      </c>
      <c r="G3250">
        <f>IF(AND(A3250&gt;=Inputs!$B$5,A3250&lt;=Inputs!$B$6),1,0)</f>
        <v/>
      </c>
    </row>
    <row r="3251">
      <c r="A3251" t="inlineStr">
        <is>
          <t>2026-10</t>
        </is>
      </c>
      <c r="B3251" t="inlineStr">
        <is>
          <t>HOSP-2</t>
        </is>
      </c>
      <c r="C3251" t="inlineStr">
        <is>
          <t>SS-01221</t>
        </is>
      </c>
      <c r="D3251" t="n">
        <v>144</v>
      </c>
      <c r="E3251" t="n">
        <v>0</v>
      </c>
      <c r="G3251">
        <f>IF(AND(A3251&gt;=Inputs!$B$5,A3251&lt;=Inputs!$B$6),1,0)</f>
        <v/>
      </c>
    </row>
    <row r="3252">
      <c r="A3252" t="inlineStr">
        <is>
          <t>2026-10</t>
        </is>
      </c>
      <c r="B3252" t="inlineStr">
        <is>
          <t>HOSP-3</t>
        </is>
      </c>
      <c r="C3252" t="inlineStr">
        <is>
          <t>SS-01222</t>
        </is>
      </c>
      <c r="D3252" t="n">
        <v>12</v>
      </c>
      <c r="E3252" t="n">
        <v>0</v>
      </c>
      <c r="G3252">
        <f>IF(AND(A3252&gt;=Inputs!$B$5,A3252&lt;=Inputs!$B$6),1,0)</f>
        <v/>
      </c>
    </row>
    <row r="3253">
      <c r="A3253" t="inlineStr">
        <is>
          <t>2026-10</t>
        </is>
      </c>
      <c r="B3253" t="inlineStr">
        <is>
          <t>HOSP-4</t>
        </is>
      </c>
      <c r="C3253" t="inlineStr">
        <is>
          <t>SS-01223</t>
        </is>
      </c>
      <c r="D3253" t="n">
        <v>12</v>
      </c>
      <c r="E3253" t="n">
        <v>0</v>
      </c>
      <c r="G3253">
        <f>IF(AND(A3253&gt;=Inputs!$B$5,A3253&lt;=Inputs!$B$6),1,0)</f>
        <v/>
      </c>
    </row>
    <row r="3254">
      <c r="A3254" t="inlineStr">
        <is>
          <t>2026-10</t>
        </is>
      </c>
      <c r="B3254" t="inlineStr">
        <is>
          <t>HOSP-1</t>
        </is>
      </c>
      <c r="C3254" t="inlineStr">
        <is>
          <t>SS-01224</t>
        </is>
      </c>
      <c r="D3254" t="n">
        <v>0</v>
      </c>
      <c r="E3254" t="n">
        <v>2</v>
      </c>
      <c r="G3254">
        <f>IF(AND(A3254&gt;=Inputs!$B$5,A3254&lt;=Inputs!$B$6),1,0)</f>
        <v/>
      </c>
    </row>
    <row r="3255">
      <c r="A3255" t="inlineStr">
        <is>
          <t>2026-10</t>
        </is>
      </c>
      <c r="B3255" t="inlineStr">
        <is>
          <t>HOSP-2</t>
        </is>
      </c>
      <c r="C3255" t="inlineStr">
        <is>
          <t>SS-01225</t>
        </is>
      </c>
      <c r="D3255" t="n">
        <v>12</v>
      </c>
      <c r="E3255" t="n">
        <v>0</v>
      </c>
      <c r="G3255">
        <f>IF(AND(A3255&gt;=Inputs!$B$5,A3255&lt;=Inputs!$B$6),1,0)</f>
        <v/>
      </c>
    </row>
    <row r="3256">
      <c r="A3256" t="inlineStr">
        <is>
          <t>2026-10</t>
        </is>
      </c>
      <c r="B3256" t="inlineStr">
        <is>
          <t>HOSP-3</t>
        </is>
      </c>
      <c r="C3256" t="inlineStr">
        <is>
          <t>SS-01226</t>
        </is>
      </c>
      <c r="D3256" t="n">
        <v>24</v>
      </c>
      <c r="E3256" t="n">
        <v>0</v>
      </c>
      <c r="G3256">
        <f>IF(AND(A3256&gt;=Inputs!$B$5,A3256&lt;=Inputs!$B$6),1,0)</f>
        <v/>
      </c>
    </row>
    <row r="3257">
      <c r="A3257" t="inlineStr">
        <is>
          <t>2026-10</t>
        </is>
      </c>
      <c r="B3257" t="inlineStr">
        <is>
          <t>HOSP-4</t>
        </is>
      </c>
      <c r="C3257" t="inlineStr">
        <is>
          <t>SS-01072</t>
        </is>
      </c>
      <c r="D3257" t="n">
        <v>40</v>
      </c>
      <c r="E3257" t="n">
        <v>0</v>
      </c>
      <c r="G3257">
        <f>IF(AND(A3257&gt;=Inputs!$B$5,A3257&lt;=Inputs!$B$6),1,0)</f>
        <v/>
      </c>
    </row>
    <row r="3258">
      <c r="A3258" t="inlineStr">
        <is>
          <t>2026-10</t>
        </is>
      </c>
      <c r="B3258" t="inlineStr">
        <is>
          <t>HOSP-1</t>
        </is>
      </c>
      <c r="C3258" t="inlineStr">
        <is>
          <t>SS-01228</t>
        </is>
      </c>
      <c r="D3258" t="n">
        <v>84</v>
      </c>
      <c r="E3258" t="n">
        <v>0</v>
      </c>
      <c r="G3258">
        <f>IF(AND(A3258&gt;=Inputs!$B$5,A3258&lt;=Inputs!$B$6),1,0)</f>
        <v/>
      </c>
    </row>
    <row r="3259">
      <c r="A3259" t="inlineStr">
        <is>
          <t>2026-10</t>
        </is>
      </c>
      <c r="B3259" t="inlineStr">
        <is>
          <t>HOSP-2</t>
        </is>
      </c>
      <c r="C3259" t="inlineStr">
        <is>
          <t>SS-01229</t>
        </is>
      </c>
      <c r="D3259" t="n">
        <v>36</v>
      </c>
      <c r="E3259" t="n">
        <v>0</v>
      </c>
      <c r="G3259">
        <f>IF(AND(A3259&gt;=Inputs!$B$5,A3259&lt;=Inputs!$B$6),1,0)</f>
        <v/>
      </c>
    </row>
    <row r="3260">
      <c r="A3260" t="inlineStr">
        <is>
          <t>2026-10</t>
        </is>
      </c>
      <c r="B3260" t="inlineStr">
        <is>
          <t>HOSP-3</t>
        </is>
      </c>
      <c r="C3260" t="inlineStr">
        <is>
          <t>SS-01230</t>
        </is>
      </c>
      <c r="D3260" t="n">
        <v>48</v>
      </c>
      <c r="E3260" t="n">
        <v>0</v>
      </c>
      <c r="G3260">
        <f>IF(AND(A3260&gt;=Inputs!$B$5,A3260&lt;=Inputs!$B$6),1,0)</f>
        <v/>
      </c>
    </row>
    <row r="3261">
      <c r="A3261" t="inlineStr">
        <is>
          <t>2026-10</t>
        </is>
      </c>
      <c r="B3261" t="inlineStr">
        <is>
          <t>HOSP-4</t>
        </is>
      </c>
      <c r="C3261" t="inlineStr">
        <is>
          <t>SS-01231</t>
        </is>
      </c>
      <c r="D3261" t="n">
        <v>12</v>
      </c>
      <c r="E3261" t="n">
        <v>0</v>
      </c>
      <c r="G3261">
        <f>IF(AND(A3261&gt;=Inputs!$B$5,A3261&lt;=Inputs!$B$6),1,0)</f>
        <v/>
      </c>
    </row>
    <row r="3262">
      <c r="A3262" t="inlineStr">
        <is>
          <t>2026-10</t>
        </is>
      </c>
      <c r="B3262" t="inlineStr">
        <is>
          <t>HOSP-1</t>
        </is>
      </c>
      <c r="C3262" t="inlineStr">
        <is>
          <t>SS-01232</t>
        </is>
      </c>
      <c r="D3262" t="n">
        <v>84</v>
      </c>
      <c r="E3262" t="n">
        <v>0</v>
      </c>
      <c r="G3262">
        <f>IF(AND(A3262&gt;=Inputs!$B$5,A3262&lt;=Inputs!$B$6),1,0)</f>
        <v/>
      </c>
    </row>
    <row r="3263">
      <c r="A3263" t="inlineStr">
        <is>
          <t>2026-10</t>
        </is>
      </c>
      <c r="B3263" t="inlineStr">
        <is>
          <t>HOSP-2</t>
        </is>
      </c>
      <c r="C3263" t="inlineStr">
        <is>
          <t>SS-01233</t>
        </is>
      </c>
      <c r="D3263" t="n">
        <v>228</v>
      </c>
      <c r="E3263" t="n">
        <v>0</v>
      </c>
      <c r="G3263">
        <f>IF(AND(A3263&gt;=Inputs!$B$5,A3263&lt;=Inputs!$B$6),1,0)</f>
        <v/>
      </c>
    </row>
    <row r="3264">
      <c r="A3264" t="inlineStr">
        <is>
          <t>2026-10</t>
        </is>
      </c>
      <c r="B3264" t="inlineStr">
        <is>
          <t>HOSP-3</t>
        </is>
      </c>
      <c r="C3264" t="inlineStr">
        <is>
          <t>SS-01001</t>
        </is>
      </c>
      <c r="D3264" t="n">
        <v>24</v>
      </c>
      <c r="E3264" t="n">
        <v>0</v>
      </c>
      <c r="G3264">
        <f>IF(AND(A3264&gt;=Inputs!$B$5,A3264&lt;=Inputs!$B$6),1,0)</f>
        <v/>
      </c>
    </row>
    <row r="3265">
      <c r="A3265" t="inlineStr">
        <is>
          <t>2026-10</t>
        </is>
      </c>
      <c r="B3265" t="inlineStr">
        <is>
          <t>HOSP-4</t>
        </is>
      </c>
      <c r="C3265" t="inlineStr">
        <is>
          <t>SS-01002</t>
        </is>
      </c>
      <c r="D3265" t="n">
        <v>36</v>
      </c>
      <c r="E3265" t="n">
        <v>0</v>
      </c>
      <c r="G3265">
        <f>IF(AND(A3265&gt;=Inputs!$B$5,A3265&lt;=Inputs!$B$6),1,0)</f>
        <v/>
      </c>
    </row>
    <row r="3266">
      <c r="A3266" t="inlineStr">
        <is>
          <t>2026-10</t>
        </is>
      </c>
      <c r="B3266" t="inlineStr">
        <is>
          <t>HOSP-1</t>
        </is>
      </c>
      <c r="C3266" t="inlineStr">
        <is>
          <t>SS-01003</t>
        </is>
      </c>
      <c r="D3266" t="n">
        <v>12</v>
      </c>
      <c r="E3266" t="n">
        <v>0</v>
      </c>
      <c r="G3266">
        <f>IF(AND(A3266&gt;=Inputs!$B$5,A3266&lt;=Inputs!$B$6),1,0)</f>
        <v/>
      </c>
    </row>
    <row r="3267">
      <c r="A3267" t="inlineStr">
        <is>
          <t>2026-10</t>
        </is>
      </c>
      <c r="B3267" t="inlineStr">
        <is>
          <t>HOSP-2</t>
        </is>
      </c>
      <c r="C3267" t="inlineStr">
        <is>
          <t>SS-01004</t>
        </is>
      </c>
      <c r="D3267" t="n">
        <v>96</v>
      </c>
      <c r="E3267" t="n">
        <v>0</v>
      </c>
      <c r="G3267">
        <f>IF(AND(A3267&gt;=Inputs!$B$5,A3267&lt;=Inputs!$B$6),1,0)</f>
        <v/>
      </c>
    </row>
    <row r="3268">
      <c r="A3268" t="inlineStr">
        <is>
          <t>2026-10</t>
        </is>
      </c>
      <c r="B3268" t="inlineStr">
        <is>
          <t>HOSP-3</t>
        </is>
      </c>
      <c r="C3268" t="inlineStr">
        <is>
          <t>SS-01005</t>
        </is>
      </c>
      <c r="D3268" t="n">
        <v>20</v>
      </c>
      <c r="E3268" t="n">
        <v>0</v>
      </c>
      <c r="G3268">
        <f>IF(AND(A3268&gt;=Inputs!$B$5,A3268&lt;=Inputs!$B$6),1,0)</f>
        <v/>
      </c>
    </row>
    <row r="3269">
      <c r="A3269" t="inlineStr">
        <is>
          <t>2026-10</t>
        </is>
      </c>
      <c r="B3269" t="inlineStr">
        <is>
          <t>HOSP-4</t>
        </is>
      </c>
      <c r="C3269" t="inlineStr">
        <is>
          <t>SS-01006</t>
        </is>
      </c>
      <c r="D3269" t="n">
        <v>23</v>
      </c>
      <c r="E3269" t="n">
        <v>1</v>
      </c>
      <c r="G3269">
        <f>IF(AND(A3269&gt;=Inputs!$B$5,A3269&lt;=Inputs!$B$6),1,0)</f>
        <v/>
      </c>
    </row>
    <row r="3270">
      <c r="A3270" t="inlineStr">
        <is>
          <t>2026-10</t>
        </is>
      </c>
      <c r="B3270" t="inlineStr">
        <is>
          <t>HOSP-1</t>
        </is>
      </c>
      <c r="C3270" t="inlineStr">
        <is>
          <t>SS-01007</t>
        </is>
      </c>
      <c r="D3270" t="n">
        <v>0</v>
      </c>
      <c r="E3270" t="n">
        <v>0</v>
      </c>
      <c r="G3270">
        <f>IF(AND(A3270&gt;=Inputs!$B$5,A3270&lt;=Inputs!$B$6),1,0)</f>
        <v/>
      </c>
    </row>
    <row r="3271">
      <c r="A3271" t="inlineStr">
        <is>
          <t>2026-10</t>
        </is>
      </c>
      <c r="B3271" t="inlineStr">
        <is>
          <t>HOSP-2</t>
        </is>
      </c>
      <c r="C3271" t="inlineStr">
        <is>
          <t>SS-01008</t>
        </is>
      </c>
      <c r="D3271" t="n">
        <v>24</v>
      </c>
      <c r="E3271" t="n">
        <v>0</v>
      </c>
      <c r="G3271">
        <f>IF(AND(A3271&gt;=Inputs!$B$5,A3271&lt;=Inputs!$B$6),1,0)</f>
        <v/>
      </c>
    </row>
    <row r="3272">
      <c r="A3272" t="inlineStr">
        <is>
          <t>2026-10</t>
        </is>
      </c>
      <c r="B3272" t="inlineStr">
        <is>
          <t>HOSP-3</t>
        </is>
      </c>
      <c r="C3272" t="inlineStr">
        <is>
          <t>SS-01009</t>
        </is>
      </c>
      <c r="D3272" t="n">
        <v>96</v>
      </c>
      <c r="E3272" t="n">
        <v>0</v>
      </c>
      <c r="G3272">
        <f>IF(AND(A3272&gt;=Inputs!$B$5,A3272&lt;=Inputs!$B$6),1,0)</f>
        <v/>
      </c>
    </row>
    <row r="3273">
      <c r="A3273" t="inlineStr">
        <is>
          <t>2026-10</t>
        </is>
      </c>
      <c r="B3273" t="inlineStr">
        <is>
          <t>HOSP-4</t>
        </is>
      </c>
      <c r="C3273" t="inlineStr">
        <is>
          <t>SS-01010</t>
        </is>
      </c>
      <c r="D3273" t="n">
        <v>36</v>
      </c>
      <c r="E3273" t="n">
        <v>0</v>
      </c>
      <c r="G3273">
        <f>IF(AND(A3273&gt;=Inputs!$B$5,A3273&lt;=Inputs!$B$6),1,0)</f>
        <v/>
      </c>
    </row>
    <row r="3274">
      <c r="A3274" t="inlineStr">
        <is>
          <t>2026-10</t>
        </is>
      </c>
      <c r="B3274" t="inlineStr">
        <is>
          <t>HOSP-1</t>
        </is>
      </c>
      <c r="C3274" t="inlineStr">
        <is>
          <t>SS-01011</t>
        </is>
      </c>
      <c r="D3274" t="n">
        <v>0</v>
      </c>
      <c r="E3274" t="n">
        <v>0</v>
      </c>
      <c r="G3274">
        <f>IF(AND(A3274&gt;=Inputs!$B$5,A3274&lt;=Inputs!$B$6),1,0)</f>
        <v/>
      </c>
    </row>
    <row r="3275">
      <c r="A3275" t="inlineStr">
        <is>
          <t>2026-10</t>
        </is>
      </c>
      <c r="B3275" t="inlineStr">
        <is>
          <t>HOSP-2</t>
        </is>
      </c>
      <c r="C3275" t="inlineStr">
        <is>
          <t>SS-01012</t>
        </is>
      </c>
      <c r="D3275" t="n">
        <v>12</v>
      </c>
      <c r="E3275" t="n">
        <v>0</v>
      </c>
      <c r="G3275">
        <f>IF(AND(A3275&gt;=Inputs!$B$5,A3275&lt;=Inputs!$B$6),1,0)</f>
        <v/>
      </c>
    </row>
    <row r="3276">
      <c r="A3276" t="inlineStr">
        <is>
          <t>2026-10</t>
        </is>
      </c>
      <c r="B3276" t="inlineStr">
        <is>
          <t>HOSP-3</t>
        </is>
      </c>
      <c r="C3276" t="inlineStr">
        <is>
          <t>SS-01013</t>
        </is>
      </c>
      <c r="D3276" t="n">
        <v>0</v>
      </c>
      <c r="E3276" t="n">
        <v>0</v>
      </c>
      <c r="G3276">
        <f>IF(AND(A3276&gt;=Inputs!$B$5,A3276&lt;=Inputs!$B$6),1,0)</f>
        <v/>
      </c>
    </row>
    <row r="3277">
      <c r="A3277" t="inlineStr">
        <is>
          <t>2026-10</t>
        </is>
      </c>
      <c r="B3277" t="inlineStr">
        <is>
          <t>HOSP-4</t>
        </is>
      </c>
      <c r="C3277" t="inlineStr">
        <is>
          <t>SS-01014</t>
        </is>
      </c>
      <c r="D3277" t="n">
        <v>12</v>
      </c>
      <c r="E3277" t="n">
        <v>0</v>
      </c>
      <c r="G3277">
        <f>IF(AND(A3277&gt;=Inputs!$B$5,A3277&lt;=Inputs!$B$6),1,0)</f>
        <v/>
      </c>
    </row>
    <row r="3278">
      <c r="A3278" t="inlineStr">
        <is>
          <t>2026-10</t>
        </is>
      </c>
      <c r="B3278" t="inlineStr">
        <is>
          <t>HOSP-1</t>
        </is>
      </c>
      <c r="C3278" t="inlineStr">
        <is>
          <t>SS-01015</t>
        </is>
      </c>
      <c r="D3278" t="n">
        <v>0</v>
      </c>
      <c r="E3278" t="n">
        <v>0</v>
      </c>
      <c r="G3278">
        <f>IF(AND(A3278&gt;=Inputs!$B$5,A3278&lt;=Inputs!$B$6),1,0)</f>
        <v/>
      </c>
    </row>
    <row r="3279">
      <c r="A3279" t="inlineStr">
        <is>
          <t>2026-10</t>
        </is>
      </c>
      <c r="B3279" t="inlineStr">
        <is>
          <t>HOSP-2</t>
        </is>
      </c>
      <c r="C3279" t="inlineStr">
        <is>
          <t>SS-01016</t>
        </is>
      </c>
      <c r="D3279" t="n">
        <v>24</v>
      </c>
      <c r="E3279" t="n">
        <v>0</v>
      </c>
      <c r="G3279">
        <f>IF(AND(A3279&gt;=Inputs!$B$5,A3279&lt;=Inputs!$B$6),1,0)</f>
        <v/>
      </c>
    </row>
    <row r="3280">
      <c r="A3280" t="inlineStr">
        <is>
          <t>2026-10</t>
        </is>
      </c>
      <c r="B3280" t="inlineStr">
        <is>
          <t>HOSP-3</t>
        </is>
      </c>
      <c r="C3280" t="inlineStr">
        <is>
          <t>SS-01017</t>
        </is>
      </c>
      <c r="D3280" t="n">
        <v>36</v>
      </c>
      <c r="E3280" t="n">
        <v>0</v>
      </c>
      <c r="G3280">
        <f>IF(AND(A3280&gt;=Inputs!$B$5,A3280&lt;=Inputs!$B$6),1,0)</f>
        <v/>
      </c>
    </row>
    <row r="3281">
      <c r="A3281" t="inlineStr">
        <is>
          <t>2026-10</t>
        </is>
      </c>
      <c r="B3281" t="inlineStr">
        <is>
          <t>HOSP-4</t>
        </is>
      </c>
      <c r="C3281" t="inlineStr">
        <is>
          <t>SS-01018</t>
        </is>
      </c>
      <c r="D3281" t="n">
        <v>0</v>
      </c>
      <c r="E3281" t="n">
        <v>1</v>
      </c>
      <c r="G3281">
        <f>IF(AND(A3281&gt;=Inputs!$B$5,A3281&lt;=Inputs!$B$6),1,0)</f>
        <v/>
      </c>
    </row>
    <row r="3282">
      <c r="A3282" t="inlineStr">
        <is>
          <t>2026-10</t>
        </is>
      </c>
      <c r="B3282" t="inlineStr">
        <is>
          <t>HOSP-1</t>
        </is>
      </c>
      <c r="C3282" t="inlineStr">
        <is>
          <t>SS-01019</t>
        </is>
      </c>
      <c r="D3282" t="n">
        <v>36</v>
      </c>
      <c r="E3282" t="n">
        <v>0</v>
      </c>
      <c r="G3282">
        <f>IF(AND(A3282&gt;=Inputs!$B$5,A3282&lt;=Inputs!$B$6),1,0)</f>
        <v/>
      </c>
    </row>
    <row r="3283">
      <c r="A3283" t="inlineStr">
        <is>
          <t>2026-10</t>
        </is>
      </c>
      <c r="B3283" t="inlineStr">
        <is>
          <t>HOSP-2</t>
        </is>
      </c>
      <c r="C3283" t="inlineStr">
        <is>
          <t>SS-01020</t>
        </is>
      </c>
      <c r="D3283" t="n">
        <v>0</v>
      </c>
      <c r="E3283" t="n">
        <v>0</v>
      </c>
      <c r="G3283">
        <f>IF(AND(A3283&gt;=Inputs!$B$5,A3283&lt;=Inputs!$B$6),1,0)</f>
        <v/>
      </c>
    </row>
    <row r="3284">
      <c r="A3284" t="inlineStr">
        <is>
          <t>2026-10</t>
        </is>
      </c>
      <c r="B3284" t="inlineStr">
        <is>
          <t>HOSP-3</t>
        </is>
      </c>
      <c r="C3284" t="inlineStr">
        <is>
          <t>SS-01021</t>
        </is>
      </c>
      <c r="D3284" t="n">
        <v>24</v>
      </c>
      <c r="E3284" t="n">
        <v>0</v>
      </c>
      <c r="G3284">
        <f>IF(AND(A3284&gt;=Inputs!$B$5,A3284&lt;=Inputs!$B$6),1,0)</f>
        <v/>
      </c>
    </row>
    <row r="3285">
      <c r="A3285" t="inlineStr">
        <is>
          <t>2026-10</t>
        </is>
      </c>
      <c r="B3285" t="inlineStr">
        <is>
          <t>HOSP-4</t>
        </is>
      </c>
      <c r="C3285" t="inlineStr">
        <is>
          <t>SS-01022</t>
        </is>
      </c>
      <c r="D3285" t="n">
        <v>13</v>
      </c>
      <c r="E3285" t="n">
        <v>0</v>
      </c>
      <c r="G3285">
        <f>IF(AND(A3285&gt;=Inputs!$B$5,A3285&lt;=Inputs!$B$6),1,0)</f>
        <v/>
      </c>
    </row>
    <row r="3286">
      <c r="A3286" t="inlineStr">
        <is>
          <t>2026-10</t>
        </is>
      </c>
      <c r="B3286" t="inlineStr">
        <is>
          <t>HOSP-1</t>
        </is>
      </c>
      <c r="C3286" t="inlineStr">
        <is>
          <t>SS-01023</t>
        </is>
      </c>
      <c r="D3286" t="n">
        <v>60</v>
      </c>
      <c r="E3286" t="n">
        <v>0</v>
      </c>
      <c r="G3286">
        <f>IF(AND(A3286&gt;=Inputs!$B$5,A3286&lt;=Inputs!$B$6),1,0)</f>
        <v/>
      </c>
    </row>
    <row r="3287">
      <c r="A3287" t="inlineStr">
        <is>
          <t>2026-10</t>
        </is>
      </c>
      <c r="B3287" t="inlineStr">
        <is>
          <t>HOSP-2</t>
        </is>
      </c>
      <c r="C3287" t="inlineStr">
        <is>
          <t>SS-01024</t>
        </is>
      </c>
      <c r="D3287" t="n">
        <v>48</v>
      </c>
      <c r="E3287" t="n">
        <v>0</v>
      </c>
      <c r="G3287">
        <f>IF(AND(A3287&gt;=Inputs!$B$5,A3287&lt;=Inputs!$B$6),1,0)</f>
        <v/>
      </c>
    </row>
    <row r="3288">
      <c r="A3288" t="inlineStr">
        <is>
          <t>2026-10</t>
        </is>
      </c>
      <c r="B3288" t="inlineStr">
        <is>
          <t>HOSP-3</t>
        </is>
      </c>
      <c r="C3288" t="inlineStr">
        <is>
          <t>SS-01025</t>
        </is>
      </c>
      <c r="D3288" t="n">
        <v>84</v>
      </c>
      <c r="E3288" t="n">
        <v>0</v>
      </c>
      <c r="G3288">
        <f>IF(AND(A3288&gt;=Inputs!$B$5,A3288&lt;=Inputs!$B$6),1,0)</f>
        <v/>
      </c>
    </row>
    <row r="3289">
      <c r="A3289" t="inlineStr">
        <is>
          <t>2026-10</t>
        </is>
      </c>
      <c r="B3289" t="inlineStr">
        <is>
          <t>HOSP-4</t>
        </is>
      </c>
      <c r="C3289" t="inlineStr">
        <is>
          <t>SS-01026</t>
        </is>
      </c>
      <c r="D3289" t="n">
        <v>84</v>
      </c>
      <c r="E3289" t="n">
        <v>0</v>
      </c>
      <c r="F3289" t="inlineStr">
        <is>
          <t>surge</t>
        </is>
      </c>
      <c r="G3289">
        <f>IF(AND(A3289&gt;=Inputs!$B$5,A3289&lt;=Inputs!$B$6),1,0)</f>
        <v/>
      </c>
    </row>
    <row r="3290">
      <c r="A3290" t="inlineStr">
        <is>
          <t>2026-10</t>
        </is>
      </c>
      <c r="B3290" t="inlineStr">
        <is>
          <t>HOSP-1</t>
        </is>
      </c>
      <c r="C3290" t="inlineStr">
        <is>
          <t>SS-01027</t>
        </is>
      </c>
      <c r="D3290" t="n">
        <v>0</v>
      </c>
      <c r="E3290" t="n">
        <v>2</v>
      </c>
      <c r="G3290">
        <f>IF(AND(A3290&gt;=Inputs!$B$5,A3290&lt;=Inputs!$B$6),1,0)</f>
        <v/>
      </c>
    </row>
    <row r="3291">
      <c r="A3291" t="inlineStr">
        <is>
          <t>2026-10</t>
        </is>
      </c>
      <c r="B3291" t="inlineStr">
        <is>
          <t>HOSP-2</t>
        </is>
      </c>
      <c r="C3291" t="inlineStr">
        <is>
          <t>SS-01028</t>
        </is>
      </c>
      <c r="D3291" t="n">
        <v>0</v>
      </c>
      <c r="E3291" t="n">
        <v>0</v>
      </c>
      <c r="G3291">
        <f>IF(AND(A3291&gt;=Inputs!$B$5,A3291&lt;=Inputs!$B$6),1,0)</f>
        <v/>
      </c>
    </row>
    <row r="3292">
      <c r="A3292" t="inlineStr">
        <is>
          <t>2026-10</t>
        </is>
      </c>
      <c r="B3292" t="inlineStr">
        <is>
          <t>HOSP-3</t>
        </is>
      </c>
      <c r="C3292" t="inlineStr">
        <is>
          <t>SS-01029</t>
        </is>
      </c>
      <c r="D3292" t="n">
        <v>12</v>
      </c>
      <c r="E3292" t="n">
        <v>0</v>
      </c>
      <c r="G3292">
        <f>IF(AND(A3292&gt;=Inputs!$B$5,A3292&lt;=Inputs!$B$6),1,0)</f>
        <v/>
      </c>
    </row>
    <row r="3293">
      <c r="A3293" t="inlineStr">
        <is>
          <t>2026-10</t>
        </is>
      </c>
      <c r="B3293" t="inlineStr">
        <is>
          <t>HOSP-4</t>
        </is>
      </c>
      <c r="C3293" t="inlineStr">
        <is>
          <t>SS-01030</t>
        </is>
      </c>
      <c r="D3293" t="n">
        <v>12</v>
      </c>
      <c r="E3293" t="n">
        <v>0</v>
      </c>
      <c r="G3293">
        <f>IF(AND(A3293&gt;=Inputs!$B$5,A3293&lt;=Inputs!$B$6),1,0)</f>
        <v/>
      </c>
    </row>
    <row r="3294">
      <c r="A3294" t="inlineStr">
        <is>
          <t>2026-10</t>
        </is>
      </c>
      <c r="B3294" t="inlineStr">
        <is>
          <t>HOSP-1</t>
        </is>
      </c>
      <c r="C3294" t="inlineStr">
        <is>
          <t>SS-01031</t>
        </is>
      </c>
      <c r="D3294" t="n">
        <v>34</v>
      </c>
      <c r="E3294" t="n">
        <v>0</v>
      </c>
      <c r="G3294">
        <f>IF(AND(A3294&gt;=Inputs!$B$5,A3294&lt;=Inputs!$B$6),1,0)</f>
        <v/>
      </c>
    </row>
    <row r="3295">
      <c r="A3295" t="inlineStr">
        <is>
          <t>2026-10</t>
        </is>
      </c>
      <c r="B3295" t="inlineStr">
        <is>
          <t>HOSP-2</t>
        </is>
      </c>
      <c r="C3295" t="inlineStr">
        <is>
          <t>SS-01032</t>
        </is>
      </c>
      <c r="D3295" t="n">
        <v>12</v>
      </c>
      <c r="E3295" t="n">
        <v>0</v>
      </c>
      <c r="G3295">
        <f>IF(AND(A3295&gt;=Inputs!$B$5,A3295&lt;=Inputs!$B$6),1,0)</f>
        <v/>
      </c>
    </row>
    <row r="3296">
      <c r="A3296" t="inlineStr">
        <is>
          <t>2026-10</t>
        </is>
      </c>
      <c r="B3296" t="inlineStr">
        <is>
          <t>HOSP-3</t>
        </is>
      </c>
      <c r="C3296" t="inlineStr">
        <is>
          <t>SS-01068</t>
        </is>
      </c>
      <c r="D3296" t="n">
        <v>28</v>
      </c>
      <c r="E3296" t="n">
        <v>6</v>
      </c>
      <c r="G3296">
        <f>IF(AND(A3296&gt;=Inputs!$B$5,A3296&lt;=Inputs!$B$6),1,0)</f>
        <v/>
      </c>
    </row>
    <row r="3297">
      <c r="A3297" t="inlineStr">
        <is>
          <t>2026-10</t>
        </is>
      </c>
      <c r="B3297" t="inlineStr">
        <is>
          <t>HOSP-4</t>
        </is>
      </c>
      <c r="C3297" t="inlineStr">
        <is>
          <t>SS-01034</t>
        </is>
      </c>
      <c r="D3297" t="n">
        <v>321</v>
      </c>
      <c r="E3297" t="n">
        <v>0</v>
      </c>
      <c r="G3297">
        <f>IF(AND(A3297&gt;=Inputs!$B$5,A3297&lt;=Inputs!$B$6),1,0)</f>
        <v/>
      </c>
    </row>
    <row r="3298">
      <c r="A3298" t="inlineStr">
        <is>
          <t>2026-10</t>
        </is>
      </c>
      <c r="B3298" t="inlineStr">
        <is>
          <t>HOSP-1</t>
        </is>
      </c>
      <c r="C3298" t="inlineStr">
        <is>
          <t>SS-01035</t>
        </is>
      </c>
      <c r="D3298" t="n">
        <v>60</v>
      </c>
      <c r="E3298" t="n">
        <v>0</v>
      </c>
      <c r="G3298">
        <f>IF(AND(A3298&gt;=Inputs!$B$5,A3298&lt;=Inputs!$B$6),1,0)</f>
        <v/>
      </c>
    </row>
    <row r="3299">
      <c r="A3299" t="inlineStr">
        <is>
          <t>2026-10</t>
        </is>
      </c>
      <c r="B3299" t="inlineStr">
        <is>
          <t>HOSP-2</t>
        </is>
      </c>
      <c r="C3299" t="inlineStr">
        <is>
          <t>SS-01036</t>
        </is>
      </c>
      <c r="D3299" t="n">
        <v>12</v>
      </c>
      <c r="E3299" t="n">
        <v>0</v>
      </c>
      <c r="G3299">
        <f>IF(AND(A3299&gt;=Inputs!$B$5,A3299&lt;=Inputs!$B$6),1,0)</f>
        <v/>
      </c>
    </row>
    <row r="3300">
      <c r="A3300" t="inlineStr">
        <is>
          <t>2026-10</t>
        </is>
      </c>
      <c r="B3300" t="inlineStr">
        <is>
          <t>HOSP-3</t>
        </is>
      </c>
      <c r="C3300" t="inlineStr">
        <is>
          <t>SS-01037</t>
        </is>
      </c>
      <c r="D3300" t="n">
        <v>0</v>
      </c>
      <c r="E3300" t="n">
        <v>0</v>
      </c>
      <c r="G3300">
        <f>IF(AND(A3300&gt;=Inputs!$B$5,A3300&lt;=Inputs!$B$6),1,0)</f>
        <v/>
      </c>
    </row>
    <row r="3301">
      <c r="A3301" t="inlineStr">
        <is>
          <t>2026-10</t>
        </is>
      </c>
      <c r="B3301" t="inlineStr">
        <is>
          <t>HOSP-4</t>
        </is>
      </c>
      <c r="C3301" t="inlineStr">
        <is>
          <t>SS-01038</t>
        </is>
      </c>
      <c r="D3301" t="n">
        <v>12</v>
      </c>
      <c r="E3301" t="n">
        <v>0</v>
      </c>
      <c r="G3301">
        <f>IF(AND(A3301&gt;=Inputs!$B$5,A3301&lt;=Inputs!$B$6),1,0)</f>
        <v/>
      </c>
    </row>
    <row r="3302">
      <c r="A3302" t="inlineStr">
        <is>
          <t>2026-10</t>
        </is>
      </c>
      <c r="B3302" t="inlineStr">
        <is>
          <t>HOSP-1</t>
        </is>
      </c>
      <c r="C3302" t="inlineStr">
        <is>
          <t>SS-01039</t>
        </is>
      </c>
      <c r="D3302" t="n">
        <v>12</v>
      </c>
      <c r="E3302" t="n">
        <v>0</v>
      </c>
      <c r="G3302">
        <f>IF(AND(A3302&gt;=Inputs!$B$5,A3302&lt;=Inputs!$B$6),1,0)</f>
        <v/>
      </c>
    </row>
    <row r="3303">
      <c r="A3303" t="inlineStr">
        <is>
          <t>2026-10</t>
        </is>
      </c>
      <c r="B3303" t="inlineStr">
        <is>
          <t>HOSP-2</t>
        </is>
      </c>
      <c r="C3303" t="inlineStr">
        <is>
          <t>SS-01040</t>
        </is>
      </c>
      <c r="D3303" t="n">
        <v>36</v>
      </c>
      <c r="E3303" t="n">
        <v>0</v>
      </c>
      <c r="G3303">
        <f>IF(AND(A3303&gt;=Inputs!$B$5,A3303&lt;=Inputs!$B$6),1,0)</f>
        <v/>
      </c>
    </row>
    <row r="3304">
      <c r="A3304" t="inlineStr">
        <is>
          <t>2026-10</t>
        </is>
      </c>
      <c r="B3304" t="inlineStr">
        <is>
          <t>HOSP-3</t>
        </is>
      </c>
      <c r="C3304" t="inlineStr">
        <is>
          <t>SS-01041</t>
        </is>
      </c>
      <c r="D3304" t="n">
        <v>0</v>
      </c>
      <c r="E3304" t="n">
        <v>0</v>
      </c>
      <c r="G3304">
        <f>IF(AND(A3304&gt;=Inputs!$B$5,A3304&lt;=Inputs!$B$6),1,0)</f>
        <v/>
      </c>
    </row>
    <row r="3305">
      <c r="A3305" t="inlineStr">
        <is>
          <t>2026-10</t>
        </is>
      </c>
      <c r="B3305" t="inlineStr">
        <is>
          <t>HOSP-4</t>
        </is>
      </c>
      <c r="C3305" t="inlineStr">
        <is>
          <t>SS-01042</t>
        </is>
      </c>
      <c r="D3305" t="n">
        <v>12</v>
      </c>
      <c r="E3305" t="n">
        <v>0</v>
      </c>
      <c r="G3305">
        <f>IF(AND(A3305&gt;=Inputs!$B$5,A3305&lt;=Inputs!$B$6),1,0)</f>
        <v/>
      </c>
    </row>
    <row r="3306">
      <c r="A3306" t="inlineStr">
        <is>
          <t>2026-10</t>
        </is>
      </c>
      <c r="B3306" t="inlineStr">
        <is>
          <t>HOSP-1</t>
        </is>
      </c>
      <c r="C3306" t="inlineStr">
        <is>
          <t>SS-01043</t>
        </is>
      </c>
      <c r="D3306" t="n">
        <v>12</v>
      </c>
      <c r="E3306" t="n">
        <v>0</v>
      </c>
      <c r="G3306">
        <f>IF(AND(A3306&gt;=Inputs!$B$5,A3306&lt;=Inputs!$B$6),1,0)</f>
        <v/>
      </c>
    </row>
    <row r="3307">
      <c r="A3307" t="inlineStr">
        <is>
          <t>2026-10</t>
        </is>
      </c>
      <c r="B3307" t="inlineStr">
        <is>
          <t>HOSP-2</t>
        </is>
      </c>
      <c r="C3307" t="inlineStr">
        <is>
          <t>SS-01018</t>
        </is>
      </c>
      <c r="D3307" t="n">
        <v>1008</v>
      </c>
      <c r="E3307" t="n">
        <v>0</v>
      </c>
      <c r="G3307">
        <f>IF(AND(A3307&gt;=Inputs!$B$5,A3307&lt;=Inputs!$B$6),1,0)</f>
        <v/>
      </c>
    </row>
    <row r="3308">
      <c r="A3308" t="inlineStr">
        <is>
          <t>2026-10</t>
        </is>
      </c>
      <c r="B3308" t="inlineStr">
        <is>
          <t>HOSP-3</t>
        </is>
      </c>
      <c r="C3308" t="inlineStr">
        <is>
          <t>SS-01045</t>
        </is>
      </c>
      <c r="D3308" t="n">
        <v>120</v>
      </c>
      <c r="E3308" t="n">
        <v>0</v>
      </c>
      <c r="G3308">
        <f>IF(AND(A3308&gt;=Inputs!$B$5,A3308&lt;=Inputs!$B$6),1,0)</f>
        <v/>
      </c>
    </row>
    <row r="3309">
      <c r="A3309" t="inlineStr">
        <is>
          <t>2026-10</t>
        </is>
      </c>
      <c r="B3309" t="inlineStr">
        <is>
          <t>HOSP-4</t>
        </is>
      </c>
      <c r="C3309" t="inlineStr">
        <is>
          <t>SS-01046</t>
        </is>
      </c>
      <c r="D3309" t="n">
        <v>12</v>
      </c>
      <c r="E3309" t="n">
        <v>0</v>
      </c>
      <c r="G3309">
        <f>IF(AND(A3309&gt;=Inputs!$B$5,A3309&lt;=Inputs!$B$6),1,0)</f>
        <v/>
      </c>
    </row>
    <row r="3310">
      <c r="A3310" t="inlineStr">
        <is>
          <t>2026-10</t>
        </is>
      </c>
      <c r="B3310" t="inlineStr">
        <is>
          <t>HOSP-1</t>
        </is>
      </c>
      <c r="C3310" t="inlineStr">
        <is>
          <t>SS-01206</t>
        </is>
      </c>
      <c r="D3310" t="n">
        <v>12</v>
      </c>
      <c r="E3310" t="n">
        <v>0</v>
      </c>
      <c r="G3310">
        <f>IF(AND(A3310&gt;=Inputs!$B$5,A3310&lt;=Inputs!$B$6),1,0)</f>
        <v/>
      </c>
    </row>
    <row r="3311">
      <c r="A3311" t="inlineStr">
        <is>
          <t>2026-10</t>
        </is>
      </c>
      <c r="B3311" t="inlineStr">
        <is>
          <t>HOSP-2</t>
        </is>
      </c>
      <c r="C3311" t="inlineStr">
        <is>
          <t>SS-01048</t>
        </is>
      </c>
      <c r="D3311" t="n">
        <v>12</v>
      </c>
      <c r="E3311" t="n">
        <v>0</v>
      </c>
      <c r="G3311">
        <f>IF(AND(A3311&gt;=Inputs!$B$5,A3311&lt;=Inputs!$B$6),1,0)</f>
        <v/>
      </c>
    </row>
    <row r="3312">
      <c r="A3312" t="inlineStr">
        <is>
          <t>2026-10</t>
        </is>
      </c>
      <c r="B3312" t="inlineStr">
        <is>
          <t>HOSP-3</t>
        </is>
      </c>
      <c r="C3312" t="inlineStr">
        <is>
          <t>SS-01049</t>
        </is>
      </c>
      <c r="D3312" t="n">
        <v>0</v>
      </c>
      <c r="E3312" t="n">
        <v>0</v>
      </c>
      <c r="G3312">
        <f>IF(AND(A3312&gt;=Inputs!$B$5,A3312&lt;=Inputs!$B$6),1,0)</f>
        <v/>
      </c>
    </row>
    <row r="3313">
      <c r="A3313" t="inlineStr">
        <is>
          <t>2026-10</t>
        </is>
      </c>
      <c r="B3313" t="inlineStr">
        <is>
          <t>HOSP-4</t>
        </is>
      </c>
      <c r="C3313" t="inlineStr">
        <is>
          <t>SS-01050</t>
        </is>
      </c>
      <c r="D3313" t="n">
        <v>12</v>
      </c>
      <c r="E3313" t="n">
        <v>0</v>
      </c>
      <c r="G3313">
        <f>IF(AND(A3313&gt;=Inputs!$B$5,A3313&lt;=Inputs!$B$6),1,0)</f>
        <v/>
      </c>
    </row>
    <row r="3314">
      <c r="A3314" t="inlineStr">
        <is>
          <t>2026-10</t>
        </is>
      </c>
      <c r="B3314" t="inlineStr">
        <is>
          <t>HOSP-1</t>
        </is>
      </c>
      <c r="C3314" t="inlineStr">
        <is>
          <t>SS-01051</t>
        </is>
      </c>
      <c r="D3314" t="n">
        <v>0</v>
      </c>
      <c r="E3314" t="n">
        <v>0</v>
      </c>
      <c r="G3314">
        <f>IF(AND(A3314&gt;=Inputs!$B$5,A3314&lt;=Inputs!$B$6),1,0)</f>
        <v/>
      </c>
    </row>
    <row r="3315">
      <c r="A3315" t="inlineStr">
        <is>
          <t>2026-10</t>
        </is>
      </c>
      <c r="B3315" t="inlineStr">
        <is>
          <t>HOSP-2</t>
        </is>
      </c>
      <c r="C3315" t="inlineStr">
        <is>
          <t>SS-01052</t>
        </is>
      </c>
      <c r="D3315" t="n">
        <v>174</v>
      </c>
      <c r="E3315" t="n">
        <v>0</v>
      </c>
      <c r="G3315">
        <f>IF(AND(A3315&gt;=Inputs!$B$5,A3315&lt;=Inputs!$B$6),1,0)</f>
        <v/>
      </c>
    </row>
    <row r="3316">
      <c r="A3316" t="inlineStr">
        <is>
          <t>2026-10</t>
        </is>
      </c>
      <c r="B3316" t="inlineStr">
        <is>
          <t>HOSP-3</t>
        </is>
      </c>
      <c r="C3316" t="inlineStr">
        <is>
          <t>SS-01053</t>
        </is>
      </c>
      <c r="D3316" t="n">
        <v>0</v>
      </c>
      <c r="E3316" t="n">
        <v>2</v>
      </c>
      <c r="G3316">
        <f>IF(AND(A3316&gt;=Inputs!$B$5,A3316&lt;=Inputs!$B$6),1,0)</f>
        <v/>
      </c>
    </row>
    <row r="3317">
      <c r="A3317" t="inlineStr">
        <is>
          <t>2026-10</t>
        </is>
      </c>
      <c r="B3317" t="inlineStr">
        <is>
          <t>HOSP-4</t>
        </is>
      </c>
      <c r="C3317" t="inlineStr">
        <is>
          <t>SS-01138</t>
        </is>
      </c>
      <c r="D3317" t="n">
        <v>0</v>
      </c>
      <c r="E3317" t="n">
        <v>0</v>
      </c>
      <c r="G3317">
        <f>IF(AND(A3317&gt;=Inputs!$B$5,A3317&lt;=Inputs!$B$6),1,0)</f>
        <v/>
      </c>
    </row>
    <row r="3318">
      <c r="A3318" t="inlineStr">
        <is>
          <t>2026-10</t>
        </is>
      </c>
      <c r="B3318" t="inlineStr">
        <is>
          <t>HOSP-1</t>
        </is>
      </c>
      <c r="C3318" t="inlineStr">
        <is>
          <t>SS-01055</t>
        </is>
      </c>
      <c r="D3318" t="n">
        <v>48</v>
      </c>
      <c r="E3318" t="n">
        <v>0</v>
      </c>
      <c r="G3318">
        <f>IF(AND(A3318&gt;=Inputs!$B$5,A3318&lt;=Inputs!$B$6),1,0)</f>
        <v/>
      </c>
    </row>
    <row r="3319">
      <c r="A3319" t="inlineStr">
        <is>
          <t>2026-10</t>
        </is>
      </c>
      <c r="B3319" t="inlineStr">
        <is>
          <t>HOSP-2</t>
        </is>
      </c>
      <c r="C3319" t="inlineStr">
        <is>
          <t>SS-01056</t>
        </is>
      </c>
      <c r="D3319" t="n">
        <v>0</v>
      </c>
      <c r="E3319" t="n">
        <v>0</v>
      </c>
      <c r="G3319">
        <f>IF(AND(A3319&gt;=Inputs!$B$5,A3319&lt;=Inputs!$B$6),1,0)</f>
        <v/>
      </c>
    </row>
    <row r="3320">
      <c r="A3320" t="inlineStr">
        <is>
          <t>2026-10</t>
        </is>
      </c>
      <c r="B3320" t="inlineStr">
        <is>
          <t>HOSP-3</t>
        </is>
      </c>
      <c r="C3320" t="inlineStr">
        <is>
          <t>SS-01057</t>
        </is>
      </c>
      <c r="D3320" t="n">
        <v>12</v>
      </c>
      <c r="E3320" t="n">
        <v>0</v>
      </c>
      <c r="G3320">
        <f>IF(AND(A3320&gt;=Inputs!$B$5,A3320&lt;=Inputs!$B$6),1,0)</f>
        <v/>
      </c>
    </row>
    <row r="3321">
      <c r="A3321" t="inlineStr">
        <is>
          <t>2026-10</t>
        </is>
      </c>
      <c r="B3321" t="inlineStr">
        <is>
          <t>HOSP-4</t>
        </is>
      </c>
      <c r="C3321" t="inlineStr">
        <is>
          <t>SS-01058</t>
        </is>
      </c>
      <c r="D3321" t="n">
        <v>0</v>
      </c>
      <c r="E3321" t="n">
        <v>0</v>
      </c>
      <c r="G3321">
        <f>IF(AND(A3321&gt;=Inputs!$B$5,A3321&lt;=Inputs!$B$6),1,0)</f>
        <v/>
      </c>
    </row>
    <row r="3322">
      <c r="A3322" t="inlineStr">
        <is>
          <t>2026-10</t>
        </is>
      </c>
      <c r="B3322" t="inlineStr">
        <is>
          <t>HOSP-1</t>
        </is>
      </c>
      <c r="C3322" t="inlineStr">
        <is>
          <t>SS-01059</t>
        </is>
      </c>
      <c r="D3322" t="n">
        <v>15</v>
      </c>
      <c r="E3322" t="n">
        <v>1</v>
      </c>
      <c r="G3322">
        <f>IF(AND(A3322&gt;=Inputs!$B$5,A3322&lt;=Inputs!$B$6),1,0)</f>
        <v/>
      </c>
    </row>
    <row r="3323">
      <c r="A3323" t="inlineStr">
        <is>
          <t>2026-10</t>
        </is>
      </c>
      <c r="B3323" t="inlineStr">
        <is>
          <t>HOSP-2</t>
        </is>
      </c>
      <c r="C3323" t="inlineStr">
        <is>
          <t>SS-01060</t>
        </is>
      </c>
      <c r="D3323" t="n">
        <v>56</v>
      </c>
      <c r="E3323" t="n">
        <v>0</v>
      </c>
      <c r="G3323">
        <f>IF(AND(A3323&gt;=Inputs!$B$5,A3323&lt;=Inputs!$B$6),1,0)</f>
        <v/>
      </c>
    </row>
    <row r="3324">
      <c r="A3324" t="inlineStr">
        <is>
          <t>2026-10</t>
        </is>
      </c>
      <c r="B3324" t="inlineStr">
        <is>
          <t>HOSP-3</t>
        </is>
      </c>
      <c r="C3324" t="inlineStr">
        <is>
          <t>SS-01061</t>
        </is>
      </c>
      <c r="D3324" t="n">
        <v>12</v>
      </c>
      <c r="E3324" t="n">
        <v>0</v>
      </c>
      <c r="G3324">
        <f>IF(AND(A3324&gt;=Inputs!$B$5,A3324&lt;=Inputs!$B$6),1,0)</f>
        <v/>
      </c>
    </row>
    <row r="3325">
      <c r="A3325" t="inlineStr">
        <is>
          <t>2026-10</t>
        </is>
      </c>
      <c r="B3325" t="inlineStr">
        <is>
          <t>HOSP-4</t>
        </is>
      </c>
      <c r="C3325" t="inlineStr">
        <is>
          <t>SS-01062</t>
        </is>
      </c>
      <c r="D3325" t="n">
        <v>36</v>
      </c>
      <c r="E3325" t="n">
        <v>0</v>
      </c>
      <c r="G3325">
        <f>IF(AND(A3325&gt;=Inputs!$B$5,A3325&lt;=Inputs!$B$6),1,0)</f>
        <v/>
      </c>
    </row>
    <row r="3326">
      <c r="A3326" t="inlineStr">
        <is>
          <t>2026-10</t>
        </is>
      </c>
      <c r="B3326" t="inlineStr">
        <is>
          <t>HOSP-1</t>
        </is>
      </c>
      <c r="C3326" t="inlineStr">
        <is>
          <t>SS-01083</t>
        </is>
      </c>
      <c r="D3326" t="n">
        <v>0</v>
      </c>
      <c r="E3326" t="n">
        <v>1</v>
      </c>
      <c r="G3326">
        <f>IF(AND(A3326&gt;=Inputs!$B$5,A3326&lt;=Inputs!$B$6),1,0)</f>
        <v/>
      </c>
    </row>
    <row r="3327">
      <c r="A3327" t="inlineStr">
        <is>
          <t>2026-10</t>
        </is>
      </c>
      <c r="B3327" t="inlineStr">
        <is>
          <t>HOSP-2</t>
        </is>
      </c>
      <c r="C3327" t="inlineStr">
        <is>
          <t>SS-01064</t>
        </is>
      </c>
      <c r="D3327" t="n">
        <v>0</v>
      </c>
      <c r="E3327" t="n">
        <v>0</v>
      </c>
      <c r="G3327">
        <f>IF(AND(A3327&gt;=Inputs!$B$5,A3327&lt;=Inputs!$B$6),1,0)</f>
        <v/>
      </c>
    </row>
    <row r="3328">
      <c r="A3328" t="inlineStr">
        <is>
          <t>2026-10</t>
        </is>
      </c>
      <c r="B3328" t="inlineStr">
        <is>
          <t>HOSP-3</t>
        </is>
      </c>
      <c r="C3328" t="inlineStr">
        <is>
          <t>SS-01065</t>
        </is>
      </c>
      <c r="D3328" t="n">
        <v>24</v>
      </c>
      <c r="E3328" t="n">
        <v>0</v>
      </c>
      <c r="G3328">
        <f>IF(AND(A3328&gt;=Inputs!$B$5,A3328&lt;=Inputs!$B$6),1,0)</f>
        <v/>
      </c>
    </row>
    <row r="3329">
      <c r="A3329" t="inlineStr">
        <is>
          <t>2026-10</t>
        </is>
      </c>
      <c r="B3329" t="inlineStr">
        <is>
          <t>HOSP-4</t>
        </is>
      </c>
      <c r="C3329" t="inlineStr">
        <is>
          <t>SS-01066</t>
        </is>
      </c>
      <c r="D3329" t="n">
        <v>0</v>
      </c>
      <c r="E3329" t="n">
        <v>0</v>
      </c>
      <c r="G3329">
        <f>IF(AND(A3329&gt;=Inputs!$B$5,A3329&lt;=Inputs!$B$6),1,0)</f>
        <v/>
      </c>
    </row>
    <row r="3330">
      <c r="A3330" t="inlineStr">
        <is>
          <t>2026-10</t>
        </is>
      </c>
      <c r="B3330" t="inlineStr">
        <is>
          <t>HOSP-1</t>
        </is>
      </c>
      <c r="C3330" t="inlineStr">
        <is>
          <t>SS-01067</t>
        </is>
      </c>
      <c r="D3330" t="n">
        <v>12</v>
      </c>
      <c r="E3330" t="n">
        <v>0</v>
      </c>
      <c r="G3330">
        <f>IF(AND(A3330&gt;=Inputs!$B$5,A3330&lt;=Inputs!$B$6),1,0)</f>
        <v/>
      </c>
    </row>
    <row r="3331">
      <c r="A3331" t="inlineStr">
        <is>
          <t>2026-10</t>
        </is>
      </c>
      <c r="B3331" t="inlineStr">
        <is>
          <t>HOSP-2</t>
        </is>
      </c>
      <c r="C3331" t="inlineStr">
        <is>
          <t>SS-01068</t>
        </is>
      </c>
      <c r="D3331" t="n">
        <v>12</v>
      </c>
      <c r="E3331" t="n">
        <v>0</v>
      </c>
      <c r="G3331">
        <f>IF(AND(A3331&gt;=Inputs!$B$5,A3331&lt;=Inputs!$B$6),1,0)</f>
        <v/>
      </c>
    </row>
    <row r="3332">
      <c r="A3332" t="inlineStr">
        <is>
          <t>2026-10</t>
        </is>
      </c>
      <c r="B3332" t="inlineStr">
        <is>
          <t>HOSP-3</t>
        </is>
      </c>
      <c r="C3332" t="inlineStr">
        <is>
          <t>SS-01069</t>
        </is>
      </c>
      <c r="D3332" t="n">
        <v>11</v>
      </c>
      <c r="E3332" t="n">
        <v>1</v>
      </c>
      <c r="G3332">
        <f>IF(AND(A3332&gt;=Inputs!$B$5,A3332&lt;=Inputs!$B$6),1,0)</f>
        <v/>
      </c>
    </row>
    <row r="3333">
      <c r="A3333" t="inlineStr">
        <is>
          <t>2026-10</t>
        </is>
      </c>
      <c r="B3333" t="inlineStr">
        <is>
          <t>HOSP-4</t>
        </is>
      </c>
      <c r="C3333" t="inlineStr">
        <is>
          <t>SS-01070</t>
        </is>
      </c>
      <c r="D3333" t="n">
        <v>348</v>
      </c>
      <c r="E3333" t="n">
        <v>0</v>
      </c>
      <c r="G3333">
        <f>IF(AND(A3333&gt;=Inputs!$B$5,A3333&lt;=Inputs!$B$6),1,0)</f>
        <v/>
      </c>
    </row>
    <row r="3334">
      <c r="A3334" t="inlineStr">
        <is>
          <t>2026-10</t>
        </is>
      </c>
      <c r="B3334" t="inlineStr">
        <is>
          <t>HOSP-1</t>
        </is>
      </c>
      <c r="C3334" t="inlineStr">
        <is>
          <t>SS-01071</t>
        </is>
      </c>
      <c r="D3334" t="n">
        <v>108</v>
      </c>
      <c r="E3334" t="n">
        <v>0</v>
      </c>
      <c r="G3334">
        <f>IF(AND(A3334&gt;=Inputs!$B$5,A3334&lt;=Inputs!$B$6),1,0)</f>
        <v/>
      </c>
    </row>
    <row r="3335">
      <c r="A3335" t="inlineStr">
        <is>
          <t>2026-10</t>
        </is>
      </c>
      <c r="B3335" t="inlineStr">
        <is>
          <t>HOSP-2</t>
        </is>
      </c>
      <c r="C3335" t="inlineStr">
        <is>
          <t>SS-01072</t>
        </is>
      </c>
      <c r="D3335" t="n">
        <v>228</v>
      </c>
      <c r="E3335" t="n">
        <v>0</v>
      </c>
      <c r="G3335">
        <f>IF(AND(A3335&gt;=Inputs!$B$5,A3335&lt;=Inputs!$B$6),1,0)</f>
        <v/>
      </c>
    </row>
    <row r="3336">
      <c r="A3336" t="inlineStr">
        <is>
          <t>2026-10</t>
        </is>
      </c>
      <c r="B3336" t="inlineStr">
        <is>
          <t>HOSP-3</t>
        </is>
      </c>
      <c r="C3336" t="inlineStr">
        <is>
          <t>SS-01073</t>
        </is>
      </c>
      <c r="D3336" t="n">
        <v>12</v>
      </c>
      <c r="E3336" t="n">
        <v>0</v>
      </c>
      <c r="G3336">
        <f>IF(AND(A3336&gt;=Inputs!$B$5,A3336&lt;=Inputs!$B$6),1,0)</f>
        <v/>
      </c>
    </row>
    <row r="3337">
      <c r="A3337" t="inlineStr">
        <is>
          <t>2026-10</t>
        </is>
      </c>
      <c r="B3337" t="inlineStr">
        <is>
          <t>HOSP-4</t>
        </is>
      </c>
      <c r="C3337" t="inlineStr">
        <is>
          <t>SS-01074</t>
        </is>
      </c>
      <c r="D3337" t="n">
        <v>0</v>
      </c>
      <c r="E3337" t="n">
        <v>0</v>
      </c>
      <c r="G3337">
        <f>IF(AND(A3337&gt;=Inputs!$B$5,A3337&lt;=Inputs!$B$6),1,0)</f>
        <v/>
      </c>
    </row>
    <row r="3338">
      <c r="A3338" t="inlineStr">
        <is>
          <t>2026-10</t>
        </is>
      </c>
      <c r="B3338" t="inlineStr">
        <is>
          <t>HOSP-1</t>
        </is>
      </c>
      <c r="C3338" t="inlineStr">
        <is>
          <t>SS-01075</t>
        </is>
      </c>
      <c r="D3338" t="n">
        <v>0</v>
      </c>
      <c r="E3338" t="n">
        <v>1</v>
      </c>
      <c r="G3338">
        <f>IF(AND(A3338&gt;=Inputs!$B$5,A3338&lt;=Inputs!$B$6),1,0)</f>
        <v/>
      </c>
    </row>
    <row r="3339">
      <c r="A3339" t="inlineStr">
        <is>
          <t>2026-10</t>
        </is>
      </c>
      <c r="B3339" t="inlineStr">
        <is>
          <t>HOSP-2</t>
        </is>
      </c>
      <c r="C3339" t="inlineStr">
        <is>
          <t>SS-01076</t>
        </is>
      </c>
      <c r="D3339" t="n">
        <v>756</v>
      </c>
      <c r="E3339" t="n">
        <v>0</v>
      </c>
      <c r="G3339">
        <f>IF(AND(A3339&gt;=Inputs!$B$5,A3339&lt;=Inputs!$B$6),1,0)</f>
        <v/>
      </c>
    </row>
    <row r="3340">
      <c r="A3340" t="inlineStr">
        <is>
          <t>2026-10</t>
        </is>
      </c>
      <c r="B3340" t="inlineStr">
        <is>
          <t>HOSP-3</t>
        </is>
      </c>
      <c r="C3340" t="inlineStr">
        <is>
          <t>SS-01077</t>
        </is>
      </c>
      <c r="D3340" t="n">
        <v>36</v>
      </c>
      <c r="E3340" t="n">
        <v>0</v>
      </c>
      <c r="G3340">
        <f>IF(AND(A3340&gt;=Inputs!$B$5,A3340&lt;=Inputs!$B$6),1,0)</f>
        <v/>
      </c>
    </row>
    <row r="3341">
      <c r="A3341" t="inlineStr">
        <is>
          <t>2026-10</t>
        </is>
      </c>
      <c r="B3341" t="inlineStr">
        <is>
          <t>HOSP-4</t>
        </is>
      </c>
      <c r="C3341" t="inlineStr">
        <is>
          <t>SS-01078</t>
        </is>
      </c>
      <c r="D3341" t="n">
        <v>156</v>
      </c>
      <c r="E3341" t="n">
        <v>0</v>
      </c>
      <c r="G3341">
        <f>IF(AND(A3341&gt;=Inputs!$B$5,A3341&lt;=Inputs!$B$6),1,0)</f>
        <v/>
      </c>
    </row>
    <row r="3342">
      <c r="A3342" t="inlineStr">
        <is>
          <t>2026-10</t>
        </is>
      </c>
      <c r="B3342" t="inlineStr">
        <is>
          <t>HOSP-1</t>
        </is>
      </c>
      <c r="C3342" t="inlineStr">
        <is>
          <t>SS-01079</t>
        </is>
      </c>
      <c r="D3342" t="n">
        <v>12</v>
      </c>
      <c r="E3342" t="n">
        <v>0</v>
      </c>
      <c r="G3342">
        <f>IF(AND(A3342&gt;=Inputs!$B$5,A3342&lt;=Inputs!$B$6),1,0)</f>
        <v/>
      </c>
    </row>
    <row r="3343">
      <c r="A3343" t="inlineStr">
        <is>
          <t>2026-10</t>
        </is>
      </c>
      <c r="B3343" t="inlineStr">
        <is>
          <t>HOSP-2</t>
        </is>
      </c>
      <c r="C3343" t="inlineStr">
        <is>
          <t>SS-01080</t>
        </is>
      </c>
      <c r="D3343" t="n">
        <v>47</v>
      </c>
      <c r="E3343" t="n">
        <v>0</v>
      </c>
      <c r="G3343">
        <f>IF(AND(A3343&gt;=Inputs!$B$5,A3343&lt;=Inputs!$B$6),1,0)</f>
        <v/>
      </c>
    </row>
    <row r="3344">
      <c r="A3344" t="inlineStr">
        <is>
          <t>2026-10</t>
        </is>
      </c>
      <c r="B3344" t="inlineStr">
        <is>
          <t>HOSP-3</t>
        </is>
      </c>
      <c r="C3344" t="inlineStr">
        <is>
          <t>SS-01081</t>
        </is>
      </c>
      <c r="D3344" t="n">
        <v>24</v>
      </c>
      <c r="E3344" t="n">
        <v>0</v>
      </c>
      <c r="G3344">
        <f>IF(AND(A3344&gt;=Inputs!$B$5,A3344&lt;=Inputs!$B$6),1,0)</f>
        <v/>
      </c>
    </row>
    <row r="3345">
      <c r="A3345" t="inlineStr">
        <is>
          <t>2026-10</t>
        </is>
      </c>
      <c r="B3345" t="inlineStr">
        <is>
          <t>HOSP-4</t>
        </is>
      </c>
      <c r="C3345" t="inlineStr">
        <is>
          <t>SS-01082</t>
        </is>
      </c>
      <c r="D3345" t="n">
        <v>54</v>
      </c>
      <c r="E3345" t="n">
        <v>0</v>
      </c>
      <c r="G3345">
        <f>IF(AND(A3345&gt;=Inputs!$B$5,A3345&lt;=Inputs!$B$6),1,0)</f>
        <v/>
      </c>
    </row>
    <row r="3346">
      <c r="A3346" t="inlineStr">
        <is>
          <t>2026-10</t>
        </is>
      </c>
      <c r="B3346" t="inlineStr">
        <is>
          <t>HOSP-1</t>
        </is>
      </c>
      <c r="C3346" t="inlineStr">
        <is>
          <t>SS-01083</t>
        </is>
      </c>
      <c r="D3346" t="n">
        <v>12</v>
      </c>
      <c r="E3346" t="n">
        <v>0</v>
      </c>
      <c r="G3346">
        <f>IF(AND(A3346&gt;=Inputs!$B$5,A3346&lt;=Inputs!$B$6),1,0)</f>
        <v/>
      </c>
    </row>
    <row r="3347">
      <c r="A3347" t="inlineStr">
        <is>
          <t>2026-10</t>
        </is>
      </c>
      <c r="B3347" t="inlineStr">
        <is>
          <t>HOSP-2</t>
        </is>
      </c>
      <c r="C3347" t="inlineStr">
        <is>
          <t>SS-01084</t>
        </is>
      </c>
      <c r="D3347" t="n">
        <v>180</v>
      </c>
      <c r="E3347" t="n">
        <v>0</v>
      </c>
      <c r="G3347">
        <f>IF(AND(A3347&gt;=Inputs!$B$5,A3347&lt;=Inputs!$B$6),1,0)</f>
        <v/>
      </c>
    </row>
    <row r="3348">
      <c r="A3348" t="inlineStr">
        <is>
          <t>2026-11</t>
        </is>
      </c>
      <c r="B3348" t="inlineStr">
        <is>
          <t>HOSP-3</t>
        </is>
      </c>
      <c r="C3348" t="inlineStr">
        <is>
          <t>SS-01085</t>
        </is>
      </c>
      <c r="D3348" t="n">
        <v>0</v>
      </c>
      <c r="E3348" t="n">
        <v>0</v>
      </c>
      <c r="G3348">
        <f>IF(AND(A3348&gt;=Inputs!$B$5,A3348&lt;=Inputs!$B$6),1,0)</f>
        <v/>
      </c>
    </row>
    <row r="3349">
      <c r="A3349" t="inlineStr">
        <is>
          <t>2026-11</t>
        </is>
      </c>
      <c r="B3349" t="inlineStr">
        <is>
          <t>HOSP-4</t>
        </is>
      </c>
      <c r="C3349" t="inlineStr">
        <is>
          <t>SS-01086</t>
        </is>
      </c>
      <c r="D3349" t="n">
        <v>0</v>
      </c>
      <c r="E3349" t="n">
        <v>1</v>
      </c>
      <c r="G3349">
        <f>IF(AND(A3349&gt;=Inputs!$B$5,A3349&lt;=Inputs!$B$6),1,0)</f>
        <v/>
      </c>
    </row>
    <row r="3350">
      <c r="A3350" t="inlineStr">
        <is>
          <t>2026-11</t>
        </is>
      </c>
      <c r="B3350" t="inlineStr">
        <is>
          <t>HOSP-1</t>
        </is>
      </c>
      <c r="C3350" t="inlineStr">
        <is>
          <t>SS-01087</t>
        </is>
      </c>
      <c r="D3350" t="n">
        <v>0</v>
      </c>
      <c r="E3350" t="n">
        <v>0</v>
      </c>
      <c r="G3350">
        <f>IF(AND(A3350&gt;=Inputs!$B$5,A3350&lt;=Inputs!$B$6),1,0)</f>
        <v/>
      </c>
    </row>
    <row r="3351">
      <c r="A3351" t="inlineStr">
        <is>
          <t>2026-11</t>
        </is>
      </c>
      <c r="B3351" t="inlineStr">
        <is>
          <t>HOSP-2</t>
        </is>
      </c>
      <c r="C3351" t="inlineStr">
        <is>
          <t>SS-01088</t>
        </is>
      </c>
      <c r="D3351" t="n">
        <v>5</v>
      </c>
      <c r="E3351" t="n">
        <v>2</v>
      </c>
      <c r="G3351">
        <f>IF(AND(A3351&gt;=Inputs!$B$5,A3351&lt;=Inputs!$B$6),1,0)</f>
        <v/>
      </c>
    </row>
    <row r="3352">
      <c r="A3352" t="inlineStr">
        <is>
          <t>2026-11</t>
        </is>
      </c>
      <c r="B3352" t="inlineStr">
        <is>
          <t>HOSP-3</t>
        </is>
      </c>
      <c r="C3352" t="inlineStr">
        <is>
          <t>SS-01089</t>
        </is>
      </c>
      <c r="D3352" t="n">
        <v>12</v>
      </c>
      <c r="E3352" t="n">
        <v>0</v>
      </c>
      <c r="G3352">
        <f>IF(AND(A3352&gt;=Inputs!$B$5,A3352&lt;=Inputs!$B$6),1,0)</f>
        <v/>
      </c>
    </row>
    <row r="3353">
      <c r="A3353" t="inlineStr">
        <is>
          <t>2026-11</t>
        </is>
      </c>
      <c r="B3353" t="inlineStr">
        <is>
          <t>HOSP-4</t>
        </is>
      </c>
      <c r="C3353" t="inlineStr">
        <is>
          <t>SS-01090</t>
        </is>
      </c>
      <c r="D3353" t="n">
        <v>24</v>
      </c>
      <c r="E3353" t="n">
        <v>0</v>
      </c>
      <c r="G3353">
        <f>IF(AND(A3353&gt;=Inputs!$B$5,A3353&lt;=Inputs!$B$6),1,0)</f>
        <v/>
      </c>
    </row>
    <row r="3354">
      <c r="A3354" t="inlineStr">
        <is>
          <t>2026-11</t>
        </is>
      </c>
      <c r="B3354" t="inlineStr">
        <is>
          <t>HOSP-1</t>
        </is>
      </c>
      <c r="C3354" t="inlineStr">
        <is>
          <t>SS-01091</t>
        </is>
      </c>
      <c r="D3354" t="n">
        <v>0</v>
      </c>
      <c r="E3354" t="n">
        <v>0</v>
      </c>
      <c r="G3354">
        <f>IF(AND(A3354&gt;=Inputs!$B$5,A3354&lt;=Inputs!$B$6),1,0)</f>
        <v/>
      </c>
    </row>
    <row r="3355">
      <c r="A3355" t="inlineStr">
        <is>
          <t>2026-11</t>
        </is>
      </c>
      <c r="B3355" t="inlineStr">
        <is>
          <t>HOSP-2</t>
        </is>
      </c>
      <c r="C3355" t="inlineStr">
        <is>
          <t>SS-01092</t>
        </is>
      </c>
      <c r="D3355" t="n">
        <v>96</v>
      </c>
      <c r="E3355" t="n">
        <v>0</v>
      </c>
      <c r="G3355">
        <f>IF(AND(A3355&gt;=Inputs!$B$5,A3355&lt;=Inputs!$B$6),1,0)</f>
        <v/>
      </c>
    </row>
    <row r="3356">
      <c r="A3356" t="inlineStr">
        <is>
          <t>2026-11</t>
        </is>
      </c>
      <c r="B3356" t="inlineStr">
        <is>
          <t>HOSP-3</t>
        </is>
      </c>
      <c r="C3356" t="inlineStr">
        <is>
          <t>SS-01093</t>
        </is>
      </c>
      <c r="D3356" t="n">
        <v>13</v>
      </c>
      <c r="E3356" t="n">
        <v>1</v>
      </c>
      <c r="G3356">
        <f>IF(AND(A3356&gt;=Inputs!$B$5,A3356&lt;=Inputs!$B$6),1,0)</f>
        <v/>
      </c>
    </row>
    <row r="3357">
      <c r="A3357" t="inlineStr">
        <is>
          <t>2026-11</t>
        </is>
      </c>
      <c r="B3357" t="inlineStr">
        <is>
          <t>HOSP-4</t>
        </is>
      </c>
      <c r="C3357" t="inlineStr">
        <is>
          <t>SS-01094</t>
        </is>
      </c>
      <c r="D3357" t="n">
        <v>114</v>
      </c>
      <c r="E3357" t="n">
        <v>0</v>
      </c>
      <c r="G3357">
        <f>IF(AND(A3357&gt;=Inputs!$B$5,A3357&lt;=Inputs!$B$6),1,0)</f>
        <v/>
      </c>
    </row>
    <row r="3358">
      <c r="A3358" t="inlineStr">
        <is>
          <t>2026-11</t>
        </is>
      </c>
      <c r="B3358" t="inlineStr">
        <is>
          <t>HOSP-1</t>
        </is>
      </c>
      <c r="C3358" t="inlineStr">
        <is>
          <t>SS-01095</t>
        </is>
      </c>
      <c r="D3358" t="n">
        <v>72</v>
      </c>
      <c r="E3358" t="n">
        <v>0</v>
      </c>
      <c r="G3358">
        <f>IF(AND(A3358&gt;=Inputs!$B$5,A3358&lt;=Inputs!$B$6),1,0)</f>
        <v/>
      </c>
    </row>
    <row r="3359">
      <c r="A3359" t="inlineStr">
        <is>
          <t>2026-11</t>
        </is>
      </c>
      <c r="B3359" t="inlineStr">
        <is>
          <t>HOSP-2</t>
        </is>
      </c>
      <c r="C3359" t="inlineStr">
        <is>
          <t>SS-01018</t>
        </is>
      </c>
      <c r="D3359" t="n">
        <v>684</v>
      </c>
      <c r="E3359" t="n">
        <v>0</v>
      </c>
      <c r="G3359">
        <f>IF(AND(A3359&gt;=Inputs!$B$5,A3359&lt;=Inputs!$B$6),1,0)</f>
        <v/>
      </c>
    </row>
    <row r="3360">
      <c r="A3360" t="inlineStr">
        <is>
          <t>2026-11</t>
        </is>
      </c>
      <c r="B3360" t="inlineStr">
        <is>
          <t>HOSP-3</t>
        </is>
      </c>
      <c r="C3360" t="inlineStr">
        <is>
          <t>SS-01097</t>
        </is>
      </c>
      <c r="D3360" t="n">
        <v>132</v>
      </c>
      <c r="E3360" t="n">
        <v>0</v>
      </c>
      <c r="G3360">
        <f>IF(AND(A3360&gt;=Inputs!$B$5,A3360&lt;=Inputs!$B$6),1,0)</f>
        <v/>
      </c>
    </row>
    <row r="3361">
      <c r="A3361" t="inlineStr">
        <is>
          <t>2026-11</t>
        </is>
      </c>
      <c r="B3361" t="inlineStr">
        <is>
          <t>HOSP-4</t>
        </is>
      </c>
      <c r="C3361" t="inlineStr">
        <is>
          <t>SS-01098</t>
        </is>
      </c>
      <c r="D3361" t="n">
        <v>0</v>
      </c>
      <c r="E3361" t="n">
        <v>0</v>
      </c>
      <c r="G3361">
        <f>IF(AND(A3361&gt;=Inputs!$B$5,A3361&lt;=Inputs!$B$6),1,0)</f>
        <v/>
      </c>
    </row>
    <row r="3362">
      <c r="A3362" t="inlineStr">
        <is>
          <t>2026-11</t>
        </is>
      </c>
      <c r="B3362" t="inlineStr">
        <is>
          <t>HOSP-1</t>
        </is>
      </c>
      <c r="C3362" t="inlineStr">
        <is>
          <t>SS-01099</t>
        </is>
      </c>
      <c r="D3362" t="n">
        <v>0</v>
      </c>
      <c r="E3362" t="n">
        <v>0</v>
      </c>
      <c r="G3362">
        <f>IF(AND(A3362&gt;=Inputs!$B$5,A3362&lt;=Inputs!$B$6),1,0)</f>
        <v/>
      </c>
    </row>
    <row r="3363">
      <c r="A3363" t="inlineStr">
        <is>
          <t>2026-11</t>
        </is>
      </c>
      <c r="B3363" t="inlineStr">
        <is>
          <t>HOSP-2</t>
        </is>
      </c>
      <c r="C3363" t="inlineStr">
        <is>
          <t>SS-01100</t>
        </is>
      </c>
      <c r="D3363" t="n">
        <v>12</v>
      </c>
      <c r="E3363" t="n">
        <v>0</v>
      </c>
      <c r="G3363">
        <f>IF(AND(A3363&gt;=Inputs!$B$5,A3363&lt;=Inputs!$B$6),1,0)</f>
        <v/>
      </c>
    </row>
    <row r="3364">
      <c r="A3364" t="inlineStr">
        <is>
          <t>2026-11</t>
        </is>
      </c>
      <c r="B3364" t="inlineStr">
        <is>
          <t>HOSP-3</t>
        </is>
      </c>
      <c r="C3364" t="inlineStr">
        <is>
          <t>SS-01101</t>
        </is>
      </c>
      <c r="D3364" t="n">
        <v>0</v>
      </c>
      <c r="E3364" t="n">
        <v>0</v>
      </c>
      <c r="G3364">
        <f>IF(AND(A3364&gt;=Inputs!$B$5,A3364&lt;=Inputs!$B$6),1,0)</f>
        <v/>
      </c>
    </row>
    <row r="3365">
      <c r="A3365" t="inlineStr">
        <is>
          <t>2026-11</t>
        </is>
      </c>
      <c r="B3365" t="inlineStr">
        <is>
          <t>HOSP-4</t>
        </is>
      </c>
      <c r="C3365" t="inlineStr">
        <is>
          <t>SS-01102</t>
        </is>
      </c>
      <c r="D3365" t="n">
        <v>12</v>
      </c>
      <c r="E3365" t="n">
        <v>0</v>
      </c>
      <c r="G3365">
        <f>IF(AND(A3365&gt;=Inputs!$B$5,A3365&lt;=Inputs!$B$6),1,0)</f>
        <v/>
      </c>
    </row>
    <row r="3366">
      <c r="A3366" t="inlineStr">
        <is>
          <t>2026-11</t>
        </is>
      </c>
      <c r="B3366" t="inlineStr">
        <is>
          <t>HOSP-1</t>
        </is>
      </c>
      <c r="C3366" t="inlineStr">
        <is>
          <t>SS-01103</t>
        </is>
      </c>
      <c r="D3366" t="n">
        <v>12</v>
      </c>
      <c r="E3366" t="n">
        <v>0</v>
      </c>
      <c r="G3366">
        <f>IF(AND(A3366&gt;=Inputs!$B$5,A3366&lt;=Inputs!$B$6),1,0)</f>
        <v/>
      </c>
    </row>
    <row r="3367">
      <c r="A3367" t="inlineStr">
        <is>
          <t>2026-11</t>
        </is>
      </c>
      <c r="B3367" t="inlineStr">
        <is>
          <t>HOSP-2</t>
        </is>
      </c>
      <c r="C3367" t="inlineStr">
        <is>
          <t>SS-01104</t>
        </is>
      </c>
      <c r="D3367" t="n">
        <v>2</v>
      </c>
      <c r="E3367" t="n">
        <v>2</v>
      </c>
      <c r="G3367">
        <f>IF(AND(A3367&gt;=Inputs!$B$5,A3367&lt;=Inputs!$B$6),1,0)</f>
        <v/>
      </c>
    </row>
    <row r="3368">
      <c r="A3368" t="inlineStr">
        <is>
          <t>2026-11</t>
        </is>
      </c>
      <c r="B3368" t="inlineStr">
        <is>
          <t>HOSP-3</t>
        </is>
      </c>
      <c r="C3368" t="inlineStr">
        <is>
          <t>SS-01105</t>
        </is>
      </c>
      <c r="D3368" t="n">
        <v>72</v>
      </c>
      <c r="E3368" t="n">
        <v>0</v>
      </c>
      <c r="G3368">
        <f>IF(AND(A3368&gt;=Inputs!$B$5,A3368&lt;=Inputs!$B$6),1,0)</f>
        <v/>
      </c>
    </row>
    <row r="3369">
      <c r="A3369" t="inlineStr">
        <is>
          <t>2026-11</t>
        </is>
      </c>
      <c r="B3369" t="inlineStr">
        <is>
          <t>HOSP-4</t>
        </is>
      </c>
      <c r="C3369" t="inlineStr">
        <is>
          <t>SS-01106</t>
        </is>
      </c>
      <c r="D3369" t="n">
        <v>12</v>
      </c>
      <c r="E3369" t="n">
        <v>0</v>
      </c>
      <c r="G3369">
        <f>IF(AND(A3369&gt;=Inputs!$B$5,A3369&lt;=Inputs!$B$6),1,0)</f>
        <v/>
      </c>
    </row>
    <row r="3370">
      <c r="A3370" t="inlineStr">
        <is>
          <t>2026-11</t>
        </is>
      </c>
      <c r="B3370" t="inlineStr">
        <is>
          <t>HOSP-1</t>
        </is>
      </c>
      <c r="C3370" t="inlineStr">
        <is>
          <t>SS-01107</t>
        </is>
      </c>
      <c r="D3370" t="n">
        <v>72</v>
      </c>
      <c r="E3370" t="n">
        <v>0</v>
      </c>
      <c r="G3370">
        <f>IF(AND(A3370&gt;=Inputs!$B$5,A3370&lt;=Inputs!$B$6),1,0)</f>
        <v/>
      </c>
    </row>
    <row r="3371">
      <c r="A3371" t="inlineStr">
        <is>
          <t>2026-11</t>
        </is>
      </c>
      <c r="B3371" t="inlineStr">
        <is>
          <t>HOSP-2</t>
        </is>
      </c>
      <c r="C3371" t="inlineStr">
        <is>
          <t>SS-01108</t>
        </is>
      </c>
      <c r="D3371" t="n">
        <v>192</v>
      </c>
      <c r="E3371" t="n">
        <v>0</v>
      </c>
      <c r="G3371">
        <f>IF(AND(A3371&gt;=Inputs!$B$5,A3371&lt;=Inputs!$B$6),1,0)</f>
        <v/>
      </c>
    </row>
    <row r="3372">
      <c r="A3372" t="inlineStr">
        <is>
          <t>2026-11</t>
        </is>
      </c>
      <c r="B3372" t="inlineStr">
        <is>
          <t>HOSP-3</t>
        </is>
      </c>
      <c r="C3372" t="inlineStr">
        <is>
          <t>SS-01109</t>
        </is>
      </c>
      <c r="D3372" t="n">
        <v>0</v>
      </c>
      <c r="E3372" t="n">
        <v>0</v>
      </c>
      <c r="G3372">
        <f>IF(AND(A3372&gt;=Inputs!$B$5,A3372&lt;=Inputs!$B$6),1,0)</f>
        <v/>
      </c>
    </row>
    <row r="3373">
      <c r="A3373" t="inlineStr">
        <is>
          <t>2026-11</t>
        </is>
      </c>
      <c r="B3373" t="inlineStr">
        <is>
          <t>HOSP-4</t>
        </is>
      </c>
      <c r="C3373" t="inlineStr">
        <is>
          <t>SS-01110</t>
        </is>
      </c>
      <c r="D3373" t="n">
        <v>12</v>
      </c>
      <c r="E3373" t="n">
        <v>0</v>
      </c>
      <c r="G3373">
        <f>IF(AND(A3373&gt;=Inputs!$B$5,A3373&lt;=Inputs!$B$6),1,0)</f>
        <v/>
      </c>
    </row>
    <row r="3374">
      <c r="A3374" t="inlineStr">
        <is>
          <t>2026-11</t>
        </is>
      </c>
      <c r="B3374" t="inlineStr">
        <is>
          <t>HOSP-1</t>
        </is>
      </c>
      <c r="C3374" t="inlineStr">
        <is>
          <t>SS-01111</t>
        </is>
      </c>
      <c r="D3374" t="n">
        <v>24</v>
      </c>
      <c r="E3374" t="n">
        <v>0</v>
      </c>
      <c r="G3374">
        <f>IF(AND(A3374&gt;=Inputs!$B$5,A3374&lt;=Inputs!$B$6),1,0)</f>
        <v/>
      </c>
    </row>
    <row r="3375">
      <c r="A3375" t="inlineStr">
        <is>
          <t>2026-11</t>
        </is>
      </c>
      <c r="B3375" t="inlineStr">
        <is>
          <t>HOSP-2</t>
        </is>
      </c>
      <c r="C3375" t="inlineStr">
        <is>
          <t>SS-01112</t>
        </is>
      </c>
      <c r="D3375" t="n">
        <v>0</v>
      </c>
      <c r="E3375" t="n">
        <v>0</v>
      </c>
      <c r="G3375">
        <f>IF(AND(A3375&gt;=Inputs!$B$5,A3375&lt;=Inputs!$B$6),1,0)</f>
        <v/>
      </c>
    </row>
    <row r="3376">
      <c r="A3376" t="inlineStr">
        <is>
          <t>2026-11</t>
        </is>
      </c>
      <c r="B3376" t="inlineStr">
        <is>
          <t>HOSP-3</t>
        </is>
      </c>
      <c r="C3376" t="inlineStr">
        <is>
          <t>SS-01113</t>
        </is>
      </c>
      <c r="D3376" t="n">
        <v>10</v>
      </c>
      <c r="E3376" t="n">
        <v>0</v>
      </c>
      <c r="G3376">
        <f>IF(AND(A3376&gt;=Inputs!$B$5,A3376&lt;=Inputs!$B$6),1,0)</f>
        <v/>
      </c>
    </row>
    <row r="3377">
      <c r="A3377" t="inlineStr">
        <is>
          <t>2026-11</t>
        </is>
      </c>
      <c r="B3377" t="inlineStr">
        <is>
          <t>HOSP-4</t>
        </is>
      </c>
      <c r="C3377" t="inlineStr">
        <is>
          <t>SS-01114</t>
        </is>
      </c>
      <c r="D3377" t="n">
        <v>0</v>
      </c>
      <c r="E3377" t="n">
        <v>0</v>
      </c>
      <c r="G3377">
        <f>IF(AND(A3377&gt;=Inputs!$B$5,A3377&lt;=Inputs!$B$6),1,0)</f>
        <v/>
      </c>
    </row>
    <row r="3378">
      <c r="A3378" t="inlineStr">
        <is>
          <t>2026-11</t>
        </is>
      </c>
      <c r="B3378" t="inlineStr">
        <is>
          <t>HOSP-1</t>
        </is>
      </c>
      <c r="C3378" t="inlineStr">
        <is>
          <t>SS-01115</t>
        </is>
      </c>
      <c r="D3378" t="n">
        <v>24</v>
      </c>
      <c r="E3378" t="n">
        <v>0</v>
      </c>
      <c r="G3378">
        <f>IF(AND(A3378&gt;=Inputs!$B$5,A3378&lt;=Inputs!$B$6),1,0)</f>
        <v/>
      </c>
    </row>
    <row r="3379">
      <c r="A3379" t="inlineStr">
        <is>
          <t>2026-11</t>
        </is>
      </c>
      <c r="B3379" t="inlineStr">
        <is>
          <t>HOSP-2</t>
        </is>
      </c>
      <c r="C3379" t="inlineStr">
        <is>
          <t>SS-01116</t>
        </is>
      </c>
      <c r="D3379" t="n">
        <v>48</v>
      </c>
      <c r="E3379" t="n">
        <v>0</v>
      </c>
      <c r="G3379">
        <f>IF(AND(A3379&gt;=Inputs!$B$5,A3379&lt;=Inputs!$B$6),1,0)</f>
        <v/>
      </c>
    </row>
    <row r="3380">
      <c r="A3380" t="inlineStr">
        <is>
          <t>2026-11</t>
        </is>
      </c>
      <c r="B3380" t="inlineStr">
        <is>
          <t>HOSP-3</t>
        </is>
      </c>
      <c r="C3380" t="inlineStr">
        <is>
          <t>SS-01117</t>
        </is>
      </c>
      <c r="D3380" t="n">
        <v>8</v>
      </c>
      <c r="E3380" t="n">
        <v>3</v>
      </c>
      <c r="G3380">
        <f>IF(AND(A3380&gt;=Inputs!$B$5,A3380&lt;=Inputs!$B$6),1,0)</f>
        <v/>
      </c>
    </row>
    <row r="3381">
      <c r="A3381" t="inlineStr">
        <is>
          <t>2026-11</t>
        </is>
      </c>
      <c r="B3381" t="inlineStr">
        <is>
          <t>HOSP-4</t>
        </is>
      </c>
      <c r="C3381" t="inlineStr">
        <is>
          <t>SS-01118</t>
        </is>
      </c>
      <c r="D3381" t="n">
        <v>0</v>
      </c>
      <c r="E3381" t="n">
        <v>0</v>
      </c>
      <c r="G3381">
        <f>IF(AND(A3381&gt;=Inputs!$B$5,A3381&lt;=Inputs!$B$6),1,0)</f>
        <v/>
      </c>
    </row>
    <row r="3382">
      <c r="A3382" t="inlineStr">
        <is>
          <t>2026-11</t>
        </is>
      </c>
      <c r="B3382" t="inlineStr">
        <is>
          <t>HOSP-1</t>
        </is>
      </c>
      <c r="C3382" t="inlineStr">
        <is>
          <t>SS-01119</t>
        </is>
      </c>
      <c r="D3382" t="n">
        <v>276</v>
      </c>
      <c r="E3382" t="n">
        <v>0</v>
      </c>
      <c r="G3382">
        <f>IF(AND(A3382&gt;=Inputs!$B$5,A3382&lt;=Inputs!$B$6),1,0)</f>
        <v/>
      </c>
    </row>
    <row r="3383">
      <c r="A3383" t="inlineStr">
        <is>
          <t>2026-11</t>
        </is>
      </c>
      <c r="B3383" t="inlineStr">
        <is>
          <t>HOSP-2</t>
        </is>
      </c>
      <c r="C3383" t="inlineStr">
        <is>
          <t>SS-01120</t>
        </is>
      </c>
      <c r="D3383" t="n">
        <v>12</v>
      </c>
      <c r="E3383" t="n">
        <v>0</v>
      </c>
      <c r="G3383">
        <f>IF(AND(A3383&gt;=Inputs!$B$5,A3383&lt;=Inputs!$B$6),1,0)</f>
        <v/>
      </c>
    </row>
    <row r="3384">
      <c r="A3384" t="inlineStr">
        <is>
          <t>2026-11</t>
        </is>
      </c>
      <c r="B3384" t="inlineStr">
        <is>
          <t>HOSP-3</t>
        </is>
      </c>
      <c r="C3384" t="inlineStr">
        <is>
          <t>SS-01121</t>
        </is>
      </c>
      <c r="D3384" t="n">
        <v>36</v>
      </c>
      <c r="E3384" t="n">
        <v>1</v>
      </c>
      <c r="G3384">
        <f>IF(AND(A3384&gt;=Inputs!$B$5,A3384&lt;=Inputs!$B$6),1,0)</f>
        <v/>
      </c>
    </row>
    <row r="3385">
      <c r="A3385" t="inlineStr">
        <is>
          <t>2026-11</t>
        </is>
      </c>
      <c r="B3385" t="inlineStr">
        <is>
          <t>HOSP-4</t>
        </is>
      </c>
      <c r="C3385" t="inlineStr">
        <is>
          <t>SS-01122</t>
        </is>
      </c>
      <c r="D3385" t="n">
        <v>0</v>
      </c>
      <c r="E3385" t="n">
        <v>0</v>
      </c>
      <c r="G3385">
        <f>IF(AND(A3385&gt;=Inputs!$B$5,A3385&lt;=Inputs!$B$6),1,0)</f>
        <v/>
      </c>
    </row>
    <row r="3386">
      <c r="A3386" t="inlineStr">
        <is>
          <t>2026-11</t>
        </is>
      </c>
      <c r="B3386" t="inlineStr">
        <is>
          <t>HOSP-1</t>
        </is>
      </c>
      <c r="C3386" t="inlineStr">
        <is>
          <t>SS-01123</t>
        </is>
      </c>
      <c r="D3386" t="n">
        <v>132</v>
      </c>
      <c r="E3386" t="n">
        <v>0</v>
      </c>
      <c r="G3386">
        <f>IF(AND(A3386&gt;=Inputs!$B$5,A3386&lt;=Inputs!$B$6),1,0)</f>
        <v/>
      </c>
    </row>
    <row r="3387">
      <c r="A3387" t="inlineStr">
        <is>
          <t>2026-11</t>
        </is>
      </c>
      <c r="B3387" t="inlineStr">
        <is>
          <t>HOSP-2</t>
        </is>
      </c>
      <c r="C3387" t="inlineStr">
        <is>
          <t>SS-01124</t>
        </is>
      </c>
      <c r="D3387" t="n">
        <v>12</v>
      </c>
      <c r="E3387" t="n">
        <v>0</v>
      </c>
      <c r="G3387">
        <f>IF(AND(A3387&gt;=Inputs!$B$5,A3387&lt;=Inputs!$B$6),1,0)</f>
        <v/>
      </c>
    </row>
    <row r="3388">
      <c r="A3388" t="inlineStr">
        <is>
          <t>2026-11</t>
        </is>
      </c>
      <c r="B3388" t="inlineStr">
        <is>
          <t>HOSP-3</t>
        </is>
      </c>
      <c r="C3388" t="inlineStr">
        <is>
          <t>SS-01125</t>
        </is>
      </c>
      <c r="D3388" t="n">
        <v>8</v>
      </c>
      <c r="E3388" t="n">
        <v>1</v>
      </c>
      <c r="G3388">
        <f>IF(AND(A3388&gt;=Inputs!$B$5,A3388&lt;=Inputs!$B$6),1,0)</f>
        <v/>
      </c>
    </row>
    <row r="3389">
      <c r="A3389" t="inlineStr">
        <is>
          <t>2026-11</t>
        </is>
      </c>
      <c r="B3389" t="inlineStr">
        <is>
          <t>HOSP-4</t>
        </is>
      </c>
      <c r="C3389" t="inlineStr">
        <is>
          <t>SS-01126</t>
        </is>
      </c>
      <c r="D3389" t="n">
        <v>24</v>
      </c>
      <c r="E3389" t="n">
        <v>0</v>
      </c>
      <c r="G3389">
        <f>IF(AND(A3389&gt;=Inputs!$B$5,A3389&lt;=Inputs!$B$6),1,0)</f>
        <v/>
      </c>
    </row>
    <row r="3390">
      <c r="A3390" t="inlineStr">
        <is>
          <t>2026-11</t>
        </is>
      </c>
      <c r="B3390" t="inlineStr">
        <is>
          <t>HOSP-1</t>
        </is>
      </c>
      <c r="C3390" t="inlineStr">
        <is>
          <t>SS-01127</t>
        </is>
      </c>
      <c r="D3390" t="n">
        <v>48</v>
      </c>
      <c r="E3390" t="n">
        <v>0</v>
      </c>
      <c r="G3390">
        <f>IF(AND(A3390&gt;=Inputs!$B$5,A3390&lt;=Inputs!$B$6),1,0)</f>
        <v/>
      </c>
    </row>
    <row r="3391">
      <c r="A3391" t="inlineStr">
        <is>
          <t>2026-11</t>
        </is>
      </c>
      <c r="B3391" t="inlineStr">
        <is>
          <t>HOSP-2</t>
        </is>
      </c>
      <c r="C3391" t="inlineStr">
        <is>
          <t>SS-01128</t>
        </is>
      </c>
      <c r="D3391" t="n">
        <v>0</v>
      </c>
      <c r="E3391" t="n">
        <v>0</v>
      </c>
      <c r="G3391">
        <f>IF(AND(A3391&gt;=Inputs!$B$5,A3391&lt;=Inputs!$B$6),1,0)</f>
        <v/>
      </c>
    </row>
    <row r="3392">
      <c r="A3392" t="inlineStr">
        <is>
          <t>2026-11</t>
        </is>
      </c>
      <c r="B3392" t="inlineStr">
        <is>
          <t>HOSP-3</t>
        </is>
      </c>
      <c r="C3392" t="inlineStr">
        <is>
          <t>SS-01129</t>
        </is>
      </c>
      <c r="D3392" t="n">
        <v>4</v>
      </c>
      <c r="E3392" t="n">
        <v>1</v>
      </c>
      <c r="G3392">
        <f>IF(AND(A3392&gt;=Inputs!$B$5,A3392&lt;=Inputs!$B$6),1,0)</f>
        <v/>
      </c>
    </row>
    <row r="3393">
      <c r="A3393" t="inlineStr">
        <is>
          <t>2026-11</t>
        </is>
      </c>
      <c r="B3393" t="inlineStr">
        <is>
          <t>HOSP-4</t>
        </is>
      </c>
      <c r="C3393" t="inlineStr">
        <is>
          <t>SS-01130</t>
        </is>
      </c>
      <c r="D3393" t="n">
        <v>55</v>
      </c>
      <c r="E3393" t="n">
        <v>0</v>
      </c>
      <c r="G3393">
        <f>IF(AND(A3393&gt;=Inputs!$B$5,A3393&lt;=Inputs!$B$6),1,0)</f>
        <v/>
      </c>
    </row>
    <row r="3394">
      <c r="A3394" t="inlineStr">
        <is>
          <t>2026-11</t>
        </is>
      </c>
      <c r="B3394" t="inlineStr">
        <is>
          <t>HOSP-1</t>
        </is>
      </c>
      <c r="C3394" t="inlineStr">
        <is>
          <t>SS-01131</t>
        </is>
      </c>
      <c r="D3394" t="n">
        <v>0</v>
      </c>
      <c r="E3394" t="n">
        <v>1</v>
      </c>
      <c r="G3394">
        <f>IF(AND(A3394&gt;=Inputs!$B$5,A3394&lt;=Inputs!$B$6),1,0)</f>
        <v/>
      </c>
    </row>
    <row r="3395">
      <c r="A3395" t="inlineStr">
        <is>
          <t>2026-11</t>
        </is>
      </c>
      <c r="B3395" t="inlineStr">
        <is>
          <t>HOSP-2</t>
        </is>
      </c>
      <c r="C3395" t="inlineStr">
        <is>
          <t>SS-01132</t>
        </is>
      </c>
      <c r="D3395" t="n">
        <v>156</v>
      </c>
      <c r="E3395" t="n">
        <v>0</v>
      </c>
      <c r="G3395">
        <f>IF(AND(A3395&gt;=Inputs!$B$5,A3395&lt;=Inputs!$B$6),1,0)</f>
        <v/>
      </c>
    </row>
    <row r="3396">
      <c r="A3396" t="inlineStr">
        <is>
          <t>2026-11</t>
        </is>
      </c>
      <c r="B3396" t="inlineStr">
        <is>
          <t>HOSP-3</t>
        </is>
      </c>
      <c r="C3396" t="inlineStr">
        <is>
          <t>SS-01133</t>
        </is>
      </c>
      <c r="D3396" t="n">
        <v>12</v>
      </c>
      <c r="E3396" t="n">
        <v>0</v>
      </c>
      <c r="G3396">
        <f>IF(AND(A3396&gt;=Inputs!$B$5,A3396&lt;=Inputs!$B$6),1,0)</f>
        <v/>
      </c>
    </row>
    <row r="3397">
      <c r="A3397" t="inlineStr">
        <is>
          <t>2026-11</t>
        </is>
      </c>
      <c r="B3397" t="inlineStr">
        <is>
          <t>HOSP-4</t>
        </is>
      </c>
      <c r="C3397" t="inlineStr">
        <is>
          <t>SS-01134</t>
        </is>
      </c>
      <c r="D3397" t="n">
        <v>4</v>
      </c>
      <c r="E3397" t="n">
        <v>1</v>
      </c>
      <c r="G3397">
        <f>IF(AND(A3397&gt;=Inputs!$B$5,A3397&lt;=Inputs!$B$6),1,0)</f>
        <v/>
      </c>
    </row>
    <row r="3398">
      <c r="A3398" t="inlineStr">
        <is>
          <t>2026-11</t>
        </is>
      </c>
      <c r="B3398" t="inlineStr">
        <is>
          <t>HOSP-1</t>
        </is>
      </c>
      <c r="C3398" t="inlineStr">
        <is>
          <t>SS-01161</t>
        </is>
      </c>
      <c r="D3398" t="n">
        <v>0</v>
      </c>
      <c r="E3398" t="n">
        <v>1</v>
      </c>
      <c r="G3398">
        <f>IF(AND(A3398&gt;=Inputs!$B$5,A3398&lt;=Inputs!$B$6),1,0)</f>
        <v/>
      </c>
    </row>
    <row r="3399">
      <c r="A3399" t="inlineStr">
        <is>
          <t>2026-11</t>
        </is>
      </c>
      <c r="B3399" t="inlineStr">
        <is>
          <t>HOSP-2</t>
        </is>
      </c>
      <c r="C3399" t="inlineStr">
        <is>
          <t>SS-01136</t>
        </is>
      </c>
      <c r="D3399" t="n">
        <v>12</v>
      </c>
      <c r="E3399" t="n">
        <v>0</v>
      </c>
      <c r="G3399">
        <f>IF(AND(A3399&gt;=Inputs!$B$5,A3399&lt;=Inputs!$B$6),1,0)</f>
        <v/>
      </c>
    </row>
    <row r="3400">
      <c r="A3400" t="inlineStr">
        <is>
          <t>2026-11</t>
        </is>
      </c>
      <c r="B3400" t="inlineStr">
        <is>
          <t>HOSP-3</t>
        </is>
      </c>
      <c r="C3400" t="inlineStr">
        <is>
          <t>SS-01137</t>
        </is>
      </c>
      <c r="D3400" t="n">
        <v>72</v>
      </c>
      <c r="E3400" t="n">
        <v>0</v>
      </c>
      <c r="G3400">
        <f>IF(AND(A3400&gt;=Inputs!$B$5,A3400&lt;=Inputs!$B$6),1,0)</f>
        <v/>
      </c>
    </row>
    <row r="3401">
      <c r="A3401" t="inlineStr">
        <is>
          <t>2026-11</t>
        </is>
      </c>
      <c r="B3401" t="inlineStr">
        <is>
          <t>HOSP-4</t>
        </is>
      </c>
      <c r="C3401" t="inlineStr">
        <is>
          <t>SS-01138</t>
        </is>
      </c>
      <c r="D3401" t="n">
        <v>11</v>
      </c>
      <c r="E3401" t="n">
        <v>0</v>
      </c>
      <c r="G3401">
        <f>IF(AND(A3401&gt;=Inputs!$B$5,A3401&lt;=Inputs!$B$6),1,0)</f>
        <v/>
      </c>
    </row>
    <row r="3402">
      <c r="A3402" t="inlineStr">
        <is>
          <t>2026-11</t>
        </is>
      </c>
      <c r="B3402" t="inlineStr">
        <is>
          <t>HOSP-1</t>
        </is>
      </c>
      <c r="C3402" t="inlineStr">
        <is>
          <t>SS-01139</t>
        </is>
      </c>
      <c r="D3402" t="n">
        <v>34</v>
      </c>
      <c r="E3402" t="n">
        <v>0</v>
      </c>
      <c r="G3402">
        <f>IF(AND(A3402&gt;=Inputs!$B$5,A3402&lt;=Inputs!$B$6),1,0)</f>
        <v/>
      </c>
    </row>
    <row r="3403">
      <c r="A3403" t="inlineStr">
        <is>
          <t>2026-11</t>
        </is>
      </c>
      <c r="B3403" t="inlineStr">
        <is>
          <t>HOSP-2</t>
        </is>
      </c>
      <c r="C3403" t="inlineStr">
        <is>
          <t>SS-01140</t>
        </is>
      </c>
      <c r="D3403" t="n">
        <v>12</v>
      </c>
      <c r="E3403" t="n">
        <v>0</v>
      </c>
      <c r="G3403">
        <f>IF(AND(A3403&gt;=Inputs!$B$5,A3403&lt;=Inputs!$B$6),1,0)</f>
        <v/>
      </c>
    </row>
    <row r="3404">
      <c r="A3404" t="inlineStr">
        <is>
          <t>2026-11</t>
        </is>
      </c>
      <c r="B3404" t="inlineStr">
        <is>
          <t>HOSP-3</t>
        </is>
      </c>
      <c r="C3404" t="inlineStr">
        <is>
          <t>SS-01141</t>
        </is>
      </c>
      <c r="D3404" t="n">
        <v>96</v>
      </c>
      <c r="E3404" t="n">
        <v>0</v>
      </c>
      <c r="G3404">
        <f>IF(AND(A3404&gt;=Inputs!$B$5,A3404&lt;=Inputs!$B$6),1,0)</f>
        <v/>
      </c>
    </row>
    <row r="3405">
      <c r="A3405" t="inlineStr">
        <is>
          <t>2026-11</t>
        </is>
      </c>
      <c r="B3405" t="inlineStr">
        <is>
          <t>HOSP-4</t>
        </is>
      </c>
      <c r="C3405" t="inlineStr">
        <is>
          <t>SS-01142</t>
        </is>
      </c>
      <c r="D3405" t="n">
        <v>24</v>
      </c>
      <c r="E3405" t="n">
        <v>0</v>
      </c>
      <c r="G3405">
        <f>IF(AND(A3405&gt;=Inputs!$B$5,A3405&lt;=Inputs!$B$6),1,0)</f>
        <v/>
      </c>
    </row>
    <row r="3406">
      <c r="A3406" t="inlineStr">
        <is>
          <t>2026-11</t>
        </is>
      </c>
      <c r="B3406" t="inlineStr">
        <is>
          <t>HOSP-1</t>
        </is>
      </c>
      <c r="C3406" t="inlineStr">
        <is>
          <t>SS-01143</t>
        </is>
      </c>
      <c r="D3406" t="n">
        <v>108</v>
      </c>
      <c r="E3406" t="n">
        <v>0</v>
      </c>
      <c r="G3406">
        <f>IF(AND(A3406&gt;=Inputs!$B$5,A3406&lt;=Inputs!$B$6),1,0)</f>
        <v/>
      </c>
    </row>
    <row r="3407">
      <c r="A3407" t="inlineStr">
        <is>
          <t>2026-11</t>
        </is>
      </c>
      <c r="B3407" t="inlineStr">
        <is>
          <t>HOSP-2</t>
        </is>
      </c>
      <c r="C3407" t="inlineStr">
        <is>
          <t>SS-01144</t>
        </is>
      </c>
      <c r="D3407" t="n">
        <v>12</v>
      </c>
      <c r="E3407" t="n">
        <v>0</v>
      </c>
      <c r="G3407">
        <f>IF(AND(A3407&gt;=Inputs!$B$5,A3407&lt;=Inputs!$B$6),1,0)</f>
        <v/>
      </c>
    </row>
    <row r="3408">
      <c r="A3408" t="inlineStr">
        <is>
          <t>2026-11</t>
        </is>
      </c>
      <c r="B3408" t="inlineStr">
        <is>
          <t>HOSP-3</t>
        </is>
      </c>
      <c r="C3408" t="inlineStr">
        <is>
          <t>SS-01145</t>
        </is>
      </c>
      <c r="D3408" t="n">
        <v>24</v>
      </c>
      <c r="E3408" t="n">
        <v>0</v>
      </c>
      <c r="G3408">
        <f>IF(AND(A3408&gt;=Inputs!$B$5,A3408&lt;=Inputs!$B$6),1,0)</f>
        <v/>
      </c>
    </row>
    <row r="3409">
      <c r="A3409" t="inlineStr">
        <is>
          <t>2026-11</t>
        </is>
      </c>
      <c r="B3409" t="inlineStr">
        <is>
          <t>HOSP-4</t>
        </is>
      </c>
      <c r="C3409" t="inlineStr">
        <is>
          <t>SS-01146</t>
        </is>
      </c>
      <c r="D3409" t="n">
        <v>74</v>
      </c>
      <c r="E3409" t="n">
        <v>0</v>
      </c>
      <c r="G3409">
        <f>IF(AND(A3409&gt;=Inputs!$B$5,A3409&lt;=Inputs!$B$6),1,0)</f>
        <v/>
      </c>
    </row>
    <row r="3410">
      <c r="A3410" t="inlineStr">
        <is>
          <t>2026-11</t>
        </is>
      </c>
      <c r="B3410" t="inlineStr">
        <is>
          <t>HOSP-1</t>
        </is>
      </c>
      <c r="C3410" t="inlineStr">
        <is>
          <t>SS-01043</t>
        </is>
      </c>
      <c r="D3410" t="n">
        <v>4</v>
      </c>
      <c r="E3410" t="n">
        <v>2</v>
      </c>
      <c r="G3410">
        <f>IF(AND(A3410&gt;=Inputs!$B$5,A3410&lt;=Inputs!$B$6),1,0)</f>
        <v/>
      </c>
    </row>
    <row r="3411">
      <c r="A3411" t="inlineStr">
        <is>
          <t>2026-11</t>
        </is>
      </c>
      <c r="B3411" t="inlineStr">
        <is>
          <t>HOSP-2</t>
        </is>
      </c>
      <c r="C3411" t="inlineStr">
        <is>
          <t>SS-01148</t>
        </is>
      </c>
      <c r="D3411" t="n">
        <v>0</v>
      </c>
      <c r="E3411" t="n">
        <v>0</v>
      </c>
      <c r="G3411">
        <f>IF(AND(A3411&gt;=Inputs!$B$5,A3411&lt;=Inputs!$B$6),1,0)</f>
        <v/>
      </c>
    </row>
    <row r="3412">
      <c r="A3412" t="inlineStr">
        <is>
          <t>2026-11</t>
        </is>
      </c>
      <c r="B3412" t="inlineStr">
        <is>
          <t>HOSP-3</t>
        </is>
      </c>
      <c r="C3412" t="inlineStr">
        <is>
          <t>SS-01149</t>
        </is>
      </c>
      <c r="D3412" t="n">
        <v>36</v>
      </c>
      <c r="E3412" t="n">
        <v>0</v>
      </c>
      <c r="G3412">
        <f>IF(AND(A3412&gt;=Inputs!$B$5,A3412&lt;=Inputs!$B$6),1,0)</f>
        <v/>
      </c>
    </row>
    <row r="3413">
      <c r="A3413" t="inlineStr">
        <is>
          <t>2026-11</t>
        </is>
      </c>
      <c r="B3413" t="inlineStr">
        <is>
          <t>HOSP-4</t>
        </is>
      </c>
      <c r="C3413" t="inlineStr">
        <is>
          <t>SS-01150</t>
        </is>
      </c>
      <c r="D3413" t="n">
        <v>0</v>
      </c>
      <c r="E3413" t="n">
        <v>0</v>
      </c>
      <c r="G3413">
        <f>IF(AND(A3413&gt;=Inputs!$B$5,A3413&lt;=Inputs!$B$6),1,0)</f>
        <v/>
      </c>
    </row>
    <row r="3414">
      <c r="A3414" t="inlineStr">
        <is>
          <t>2026-11</t>
        </is>
      </c>
      <c r="B3414" t="inlineStr">
        <is>
          <t>HOSP-1</t>
        </is>
      </c>
      <c r="C3414" t="inlineStr">
        <is>
          <t>SS-01151</t>
        </is>
      </c>
      <c r="D3414" t="n">
        <v>35</v>
      </c>
      <c r="E3414" t="n">
        <v>0</v>
      </c>
      <c r="G3414">
        <f>IF(AND(A3414&gt;=Inputs!$B$5,A3414&lt;=Inputs!$B$6),1,0)</f>
        <v/>
      </c>
    </row>
    <row r="3415">
      <c r="A3415" t="inlineStr">
        <is>
          <t>2026-11</t>
        </is>
      </c>
      <c r="B3415" t="inlineStr">
        <is>
          <t>HOSP-2</t>
        </is>
      </c>
      <c r="C3415" t="inlineStr">
        <is>
          <t>SS-01152</t>
        </is>
      </c>
      <c r="D3415" t="n">
        <v>0</v>
      </c>
      <c r="E3415" t="n">
        <v>1</v>
      </c>
      <c r="G3415">
        <f>IF(AND(A3415&gt;=Inputs!$B$5,A3415&lt;=Inputs!$B$6),1,0)</f>
        <v/>
      </c>
    </row>
    <row r="3416">
      <c r="A3416" t="inlineStr">
        <is>
          <t>2026-11</t>
        </is>
      </c>
      <c r="B3416" t="inlineStr">
        <is>
          <t>HOSP-3</t>
        </is>
      </c>
      <c r="C3416" t="inlineStr">
        <is>
          <t>SS-01153</t>
        </is>
      </c>
      <c r="D3416" t="n">
        <v>48</v>
      </c>
      <c r="E3416" t="n">
        <v>0</v>
      </c>
      <c r="G3416">
        <f>IF(AND(A3416&gt;=Inputs!$B$5,A3416&lt;=Inputs!$B$6),1,0)</f>
        <v/>
      </c>
    </row>
    <row r="3417">
      <c r="A3417" t="inlineStr">
        <is>
          <t>2026-11</t>
        </is>
      </c>
      <c r="B3417" t="inlineStr">
        <is>
          <t>HOSP-4</t>
        </is>
      </c>
      <c r="C3417" t="inlineStr">
        <is>
          <t>SS-01154</t>
        </is>
      </c>
      <c r="D3417" t="n">
        <v>8</v>
      </c>
      <c r="E3417" t="n">
        <v>1</v>
      </c>
      <c r="G3417">
        <f>IF(AND(A3417&gt;=Inputs!$B$5,A3417&lt;=Inputs!$B$6),1,0)</f>
        <v/>
      </c>
    </row>
    <row r="3418">
      <c r="A3418" t="inlineStr">
        <is>
          <t>2026-11</t>
        </is>
      </c>
      <c r="B3418" t="inlineStr">
        <is>
          <t>HOSP-1</t>
        </is>
      </c>
      <c r="C3418" t="inlineStr">
        <is>
          <t>SS-01155</t>
        </is>
      </c>
      <c r="D3418" t="n">
        <v>0</v>
      </c>
      <c r="E3418" t="n">
        <v>0</v>
      </c>
      <c r="G3418">
        <f>IF(AND(A3418&gt;=Inputs!$B$5,A3418&lt;=Inputs!$B$6),1,0)</f>
        <v/>
      </c>
    </row>
    <row r="3419">
      <c r="A3419" t="inlineStr">
        <is>
          <t>2026-11</t>
        </is>
      </c>
      <c r="B3419" t="inlineStr">
        <is>
          <t>HOSP-2</t>
        </is>
      </c>
      <c r="C3419" t="inlineStr">
        <is>
          <t>SS-01156</t>
        </is>
      </c>
      <c r="D3419" t="n">
        <v>60</v>
      </c>
      <c r="E3419" t="n">
        <v>0</v>
      </c>
      <c r="G3419">
        <f>IF(AND(A3419&gt;=Inputs!$B$5,A3419&lt;=Inputs!$B$6),1,0)</f>
        <v/>
      </c>
    </row>
    <row r="3420">
      <c r="A3420" t="inlineStr">
        <is>
          <t>2026-11</t>
        </is>
      </c>
      <c r="B3420" t="inlineStr">
        <is>
          <t>HOSP-3</t>
        </is>
      </c>
      <c r="C3420" t="inlineStr">
        <is>
          <t>SS-01157</t>
        </is>
      </c>
      <c r="D3420" t="n">
        <v>96</v>
      </c>
      <c r="E3420" t="n">
        <v>0</v>
      </c>
      <c r="G3420">
        <f>IF(AND(A3420&gt;=Inputs!$B$5,A3420&lt;=Inputs!$B$6),1,0)</f>
        <v/>
      </c>
    </row>
    <row r="3421">
      <c r="A3421" t="inlineStr">
        <is>
          <t>2026-11</t>
        </is>
      </c>
      <c r="B3421" t="inlineStr">
        <is>
          <t>HOSP-4</t>
        </is>
      </c>
      <c r="C3421" t="inlineStr">
        <is>
          <t>SS-01158</t>
        </is>
      </c>
      <c r="D3421" t="n">
        <v>12</v>
      </c>
      <c r="E3421" t="n">
        <v>0</v>
      </c>
      <c r="G3421">
        <f>IF(AND(A3421&gt;=Inputs!$B$5,A3421&lt;=Inputs!$B$6),1,0)</f>
        <v/>
      </c>
    </row>
    <row r="3422">
      <c r="A3422" t="inlineStr">
        <is>
          <t>2026-11</t>
        </is>
      </c>
      <c r="B3422" t="inlineStr">
        <is>
          <t>HOSP-1</t>
        </is>
      </c>
      <c r="C3422" t="inlineStr">
        <is>
          <t>SS-01159</t>
        </is>
      </c>
      <c r="D3422" t="n">
        <v>12</v>
      </c>
      <c r="E3422" t="n">
        <v>0</v>
      </c>
      <c r="G3422">
        <f>IF(AND(A3422&gt;=Inputs!$B$5,A3422&lt;=Inputs!$B$6),1,0)</f>
        <v/>
      </c>
    </row>
    <row r="3423">
      <c r="A3423" t="inlineStr">
        <is>
          <t>2026-11</t>
        </is>
      </c>
      <c r="B3423" t="inlineStr">
        <is>
          <t>HOSP-2</t>
        </is>
      </c>
      <c r="C3423" t="inlineStr">
        <is>
          <t>SS-01160</t>
        </is>
      </c>
      <c r="D3423" t="n">
        <v>156</v>
      </c>
      <c r="E3423" t="n">
        <v>0</v>
      </c>
      <c r="G3423">
        <f>IF(AND(A3423&gt;=Inputs!$B$5,A3423&lt;=Inputs!$B$6),1,0)</f>
        <v/>
      </c>
    </row>
    <row r="3424">
      <c r="A3424" t="inlineStr">
        <is>
          <t>2026-11</t>
        </is>
      </c>
      <c r="B3424" t="inlineStr">
        <is>
          <t>HOSP-3</t>
        </is>
      </c>
      <c r="C3424" t="inlineStr">
        <is>
          <t>SS-01010</t>
        </is>
      </c>
      <c r="D3424" t="n">
        <v>144</v>
      </c>
      <c r="E3424" t="n">
        <v>0</v>
      </c>
      <c r="G3424">
        <f>IF(AND(A3424&gt;=Inputs!$B$5,A3424&lt;=Inputs!$B$6),1,0)</f>
        <v/>
      </c>
    </row>
    <row r="3425">
      <c r="A3425" t="inlineStr">
        <is>
          <t>2026-11</t>
        </is>
      </c>
      <c r="B3425" t="inlineStr">
        <is>
          <t>HOSP-4</t>
        </is>
      </c>
      <c r="C3425" t="inlineStr">
        <is>
          <t>SS-01162</t>
        </is>
      </c>
      <c r="D3425" t="n">
        <v>36</v>
      </c>
      <c r="E3425" t="n">
        <v>0</v>
      </c>
      <c r="G3425">
        <f>IF(AND(A3425&gt;=Inputs!$B$5,A3425&lt;=Inputs!$B$6),1,0)</f>
        <v/>
      </c>
    </row>
    <row r="3426">
      <c r="A3426" t="inlineStr">
        <is>
          <t>2026-11</t>
        </is>
      </c>
      <c r="B3426" t="inlineStr">
        <is>
          <t>HOSP-1</t>
        </is>
      </c>
      <c r="C3426" t="inlineStr">
        <is>
          <t>SS-01163</t>
        </is>
      </c>
      <c r="D3426" t="n">
        <v>12</v>
      </c>
      <c r="E3426" t="n">
        <v>0</v>
      </c>
      <c r="G3426">
        <f>IF(AND(A3426&gt;=Inputs!$B$5,A3426&lt;=Inputs!$B$6),1,0)</f>
        <v/>
      </c>
    </row>
    <row r="3427">
      <c r="A3427" t="inlineStr">
        <is>
          <t>2026-11</t>
        </is>
      </c>
      <c r="B3427" t="inlineStr">
        <is>
          <t>HOSP-2</t>
        </is>
      </c>
      <c r="C3427" t="inlineStr">
        <is>
          <t>SS-01164</t>
        </is>
      </c>
      <c r="D3427" t="n">
        <v>12</v>
      </c>
      <c r="E3427" t="n">
        <v>0</v>
      </c>
      <c r="G3427">
        <f>IF(AND(A3427&gt;=Inputs!$B$5,A3427&lt;=Inputs!$B$6),1,0)</f>
        <v/>
      </c>
    </row>
    <row r="3428">
      <c r="A3428" t="inlineStr">
        <is>
          <t>2026-11</t>
        </is>
      </c>
      <c r="B3428" t="inlineStr">
        <is>
          <t>HOSP-3</t>
        </is>
      </c>
      <c r="C3428" t="inlineStr">
        <is>
          <t>SS-01165</t>
        </is>
      </c>
      <c r="D3428" t="n">
        <v>60</v>
      </c>
      <c r="E3428" t="n">
        <v>0</v>
      </c>
      <c r="G3428">
        <f>IF(AND(A3428&gt;=Inputs!$B$5,A3428&lt;=Inputs!$B$6),1,0)</f>
        <v/>
      </c>
    </row>
    <row r="3429">
      <c r="A3429" t="inlineStr">
        <is>
          <t>2026-11</t>
        </is>
      </c>
      <c r="B3429" t="inlineStr">
        <is>
          <t>HOSP-4</t>
        </is>
      </c>
      <c r="C3429" t="inlineStr">
        <is>
          <t>SS-01166</t>
        </is>
      </c>
      <c r="D3429" t="n">
        <v>12</v>
      </c>
      <c r="E3429" t="n">
        <v>0</v>
      </c>
      <c r="G3429">
        <f>IF(AND(A3429&gt;=Inputs!$B$5,A3429&lt;=Inputs!$B$6),1,0)</f>
        <v/>
      </c>
    </row>
    <row r="3430">
      <c r="A3430" t="inlineStr">
        <is>
          <t>2026-11</t>
        </is>
      </c>
      <c r="B3430" t="inlineStr">
        <is>
          <t>HOSP-1</t>
        </is>
      </c>
      <c r="C3430" t="inlineStr">
        <is>
          <t>SS-01167</t>
        </is>
      </c>
      <c r="D3430" t="n">
        <v>64</v>
      </c>
      <c r="E3430" t="n">
        <v>0</v>
      </c>
      <c r="G3430">
        <f>IF(AND(A3430&gt;=Inputs!$B$5,A3430&lt;=Inputs!$B$6),1,0)</f>
        <v/>
      </c>
    </row>
    <row r="3431">
      <c r="A3431" t="inlineStr">
        <is>
          <t>2026-11</t>
        </is>
      </c>
      <c r="B3431" t="inlineStr">
        <is>
          <t>HOSP-2</t>
        </is>
      </c>
      <c r="C3431" t="inlineStr">
        <is>
          <t>SS-01168</t>
        </is>
      </c>
      <c r="D3431" t="n">
        <v>0</v>
      </c>
      <c r="E3431" t="n">
        <v>0</v>
      </c>
      <c r="G3431">
        <f>IF(AND(A3431&gt;=Inputs!$B$5,A3431&lt;=Inputs!$B$6),1,0)</f>
        <v/>
      </c>
    </row>
    <row r="3432">
      <c r="A3432" t="inlineStr">
        <is>
          <t>2026-11</t>
        </is>
      </c>
      <c r="B3432" t="inlineStr">
        <is>
          <t>HOSP-3</t>
        </is>
      </c>
      <c r="C3432" t="inlineStr">
        <is>
          <t>SS-01169</t>
        </is>
      </c>
      <c r="D3432" t="n">
        <v>0</v>
      </c>
      <c r="E3432" t="n">
        <v>0</v>
      </c>
      <c r="G3432">
        <f>IF(AND(A3432&gt;=Inputs!$B$5,A3432&lt;=Inputs!$B$6),1,0)</f>
        <v/>
      </c>
    </row>
    <row r="3433">
      <c r="A3433" t="inlineStr">
        <is>
          <t>2026-11</t>
        </is>
      </c>
      <c r="B3433" t="inlineStr">
        <is>
          <t>HOSP-4</t>
        </is>
      </c>
      <c r="C3433" t="inlineStr">
        <is>
          <t>SS-01170</t>
        </is>
      </c>
      <c r="D3433" t="n">
        <v>60</v>
      </c>
      <c r="E3433" t="n">
        <v>0</v>
      </c>
      <c r="G3433">
        <f>IF(AND(A3433&gt;=Inputs!$B$5,A3433&lt;=Inputs!$B$6),1,0)</f>
        <v/>
      </c>
    </row>
    <row r="3434">
      <c r="A3434" t="inlineStr">
        <is>
          <t>2026-11</t>
        </is>
      </c>
      <c r="B3434" t="inlineStr">
        <is>
          <t>HOSP-1</t>
        </is>
      </c>
      <c r="C3434" t="inlineStr">
        <is>
          <t>SS-01171</t>
        </is>
      </c>
      <c r="D3434" t="n">
        <v>36</v>
      </c>
      <c r="E3434" t="n">
        <v>0</v>
      </c>
      <c r="G3434">
        <f>IF(AND(A3434&gt;=Inputs!$B$5,A3434&lt;=Inputs!$B$6),1,0)</f>
        <v/>
      </c>
    </row>
    <row r="3435">
      <c r="A3435" t="inlineStr">
        <is>
          <t>2026-11</t>
        </is>
      </c>
      <c r="B3435" t="inlineStr">
        <is>
          <t>HOSP-2</t>
        </is>
      </c>
      <c r="C3435" t="inlineStr">
        <is>
          <t>SS-01172</t>
        </is>
      </c>
      <c r="D3435" t="n">
        <v>0</v>
      </c>
      <c r="E3435" t="n">
        <v>0</v>
      </c>
      <c r="G3435">
        <f>IF(AND(A3435&gt;=Inputs!$B$5,A3435&lt;=Inputs!$B$6),1,0)</f>
        <v/>
      </c>
    </row>
    <row r="3436">
      <c r="A3436" t="inlineStr">
        <is>
          <t>2026-11</t>
        </is>
      </c>
      <c r="B3436" t="inlineStr">
        <is>
          <t>HOSP-3</t>
        </is>
      </c>
      <c r="C3436" t="inlineStr">
        <is>
          <t>SS-01173</t>
        </is>
      </c>
      <c r="D3436" t="n">
        <v>12</v>
      </c>
      <c r="E3436" t="n">
        <v>0</v>
      </c>
      <c r="G3436">
        <f>IF(AND(A3436&gt;=Inputs!$B$5,A3436&lt;=Inputs!$B$6),1,0)</f>
        <v/>
      </c>
    </row>
    <row r="3437">
      <c r="A3437" t="inlineStr">
        <is>
          <t>2026-11</t>
        </is>
      </c>
      <c r="B3437" t="inlineStr">
        <is>
          <t>HOSP-4</t>
        </is>
      </c>
      <c r="C3437" t="inlineStr">
        <is>
          <t>SS-01174</t>
        </is>
      </c>
      <c r="D3437" t="n">
        <v>60</v>
      </c>
      <c r="E3437" t="n">
        <v>0</v>
      </c>
      <c r="G3437">
        <f>IF(AND(A3437&gt;=Inputs!$B$5,A3437&lt;=Inputs!$B$6),1,0)</f>
        <v/>
      </c>
    </row>
    <row r="3438">
      <c r="A3438" t="inlineStr">
        <is>
          <t>2026-11</t>
        </is>
      </c>
      <c r="B3438" t="inlineStr">
        <is>
          <t>HOSP-1</t>
        </is>
      </c>
      <c r="C3438" t="inlineStr">
        <is>
          <t>SS-01175</t>
        </is>
      </c>
      <c r="D3438" t="n">
        <v>12</v>
      </c>
      <c r="E3438" t="n">
        <v>0</v>
      </c>
      <c r="G3438">
        <f>IF(AND(A3438&gt;=Inputs!$B$5,A3438&lt;=Inputs!$B$6),1,0)</f>
        <v/>
      </c>
    </row>
    <row r="3439">
      <c r="A3439" t="inlineStr">
        <is>
          <t>2026-11</t>
        </is>
      </c>
      <c r="B3439" t="inlineStr">
        <is>
          <t>HOSP-2</t>
        </is>
      </c>
      <c r="C3439" t="inlineStr">
        <is>
          <t>SS-01176</t>
        </is>
      </c>
      <c r="D3439" t="n">
        <v>12</v>
      </c>
      <c r="E3439" t="n">
        <v>0</v>
      </c>
      <c r="G3439">
        <f>IF(AND(A3439&gt;=Inputs!$B$5,A3439&lt;=Inputs!$B$6),1,0)</f>
        <v/>
      </c>
    </row>
    <row r="3440">
      <c r="A3440" t="inlineStr">
        <is>
          <t>2026-11</t>
        </is>
      </c>
      <c r="B3440" t="inlineStr">
        <is>
          <t>HOSP-3</t>
        </is>
      </c>
      <c r="C3440" t="inlineStr">
        <is>
          <t>SS-01177</t>
        </is>
      </c>
      <c r="D3440" t="n">
        <v>0</v>
      </c>
      <c r="E3440" t="n">
        <v>0</v>
      </c>
      <c r="G3440">
        <f>IF(AND(A3440&gt;=Inputs!$B$5,A3440&lt;=Inputs!$B$6),1,0)</f>
        <v/>
      </c>
    </row>
    <row r="3441">
      <c r="A3441" t="inlineStr">
        <is>
          <t>2026-11</t>
        </is>
      </c>
      <c r="B3441" t="inlineStr">
        <is>
          <t>HOSP-4</t>
        </is>
      </c>
      <c r="C3441" t="inlineStr">
        <is>
          <t>SS-01178</t>
        </is>
      </c>
      <c r="D3441" t="n">
        <v>144</v>
      </c>
      <c r="E3441" t="n">
        <v>0</v>
      </c>
      <c r="G3441">
        <f>IF(AND(A3441&gt;=Inputs!$B$5,A3441&lt;=Inputs!$B$6),1,0)</f>
        <v/>
      </c>
    </row>
    <row r="3442">
      <c r="A3442" t="inlineStr">
        <is>
          <t>2026-11</t>
        </is>
      </c>
      <c r="B3442" t="inlineStr">
        <is>
          <t>HOSP-1</t>
        </is>
      </c>
      <c r="C3442" t="inlineStr">
        <is>
          <t>SS-01179</t>
        </is>
      </c>
      <c r="D3442" t="n">
        <v>6</v>
      </c>
      <c r="E3442" t="n">
        <v>1</v>
      </c>
      <c r="G3442">
        <f>IF(AND(A3442&gt;=Inputs!$B$5,A3442&lt;=Inputs!$B$6),1,0)</f>
        <v/>
      </c>
    </row>
    <row r="3443">
      <c r="A3443" t="inlineStr">
        <is>
          <t>2026-11</t>
        </is>
      </c>
      <c r="B3443" t="inlineStr">
        <is>
          <t>HOSP-2</t>
        </is>
      </c>
      <c r="C3443" t="inlineStr">
        <is>
          <t>SS-01180</t>
        </is>
      </c>
      <c r="D3443" t="n">
        <v>35</v>
      </c>
      <c r="E3443" t="n">
        <v>0</v>
      </c>
      <c r="G3443">
        <f>IF(AND(A3443&gt;=Inputs!$B$5,A3443&lt;=Inputs!$B$6),1,0)</f>
        <v/>
      </c>
    </row>
    <row r="3444">
      <c r="A3444" t="inlineStr">
        <is>
          <t>2026-11</t>
        </is>
      </c>
      <c r="B3444" t="inlineStr">
        <is>
          <t>HOSP-3</t>
        </is>
      </c>
      <c r="C3444" t="inlineStr">
        <is>
          <t>SS-01181</t>
        </is>
      </c>
      <c r="D3444" t="n">
        <v>0</v>
      </c>
      <c r="E3444" t="n">
        <v>0</v>
      </c>
      <c r="G3444">
        <f>IF(AND(A3444&gt;=Inputs!$B$5,A3444&lt;=Inputs!$B$6),1,0)</f>
        <v/>
      </c>
    </row>
    <row r="3445">
      <c r="A3445" t="inlineStr">
        <is>
          <t>2026-11</t>
        </is>
      </c>
      <c r="B3445" t="inlineStr">
        <is>
          <t>HOSP-4</t>
        </is>
      </c>
      <c r="C3445" t="inlineStr">
        <is>
          <t>SS-01182</t>
        </is>
      </c>
      <c r="D3445" t="n">
        <v>96</v>
      </c>
      <c r="E3445" t="n">
        <v>0</v>
      </c>
      <c r="G3445">
        <f>IF(AND(A3445&gt;=Inputs!$B$5,A3445&lt;=Inputs!$B$6),1,0)</f>
        <v/>
      </c>
    </row>
    <row r="3446">
      <c r="A3446" t="inlineStr">
        <is>
          <t>2026-11</t>
        </is>
      </c>
      <c r="B3446" t="inlineStr">
        <is>
          <t>HOSP-1</t>
        </is>
      </c>
      <c r="C3446" t="inlineStr">
        <is>
          <t>SS-01127</t>
        </is>
      </c>
      <c r="D3446" t="n">
        <v>13</v>
      </c>
      <c r="E3446" t="n">
        <v>2</v>
      </c>
      <c r="G3446">
        <f>IF(AND(A3446&gt;=Inputs!$B$5,A3446&lt;=Inputs!$B$6),1,0)</f>
        <v/>
      </c>
    </row>
    <row r="3447">
      <c r="A3447" t="inlineStr">
        <is>
          <t>2026-11</t>
        </is>
      </c>
      <c r="B3447" t="inlineStr">
        <is>
          <t>HOSP-2</t>
        </is>
      </c>
      <c r="C3447" t="inlineStr">
        <is>
          <t>SS-01184</t>
        </is>
      </c>
      <c r="D3447" t="n">
        <v>48</v>
      </c>
      <c r="E3447" t="n">
        <v>0</v>
      </c>
      <c r="G3447">
        <f>IF(AND(A3447&gt;=Inputs!$B$5,A3447&lt;=Inputs!$B$6),1,0)</f>
        <v/>
      </c>
    </row>
    <row r="3448">
      <c r="A3448" t="inlineStr">
        <is>
          <t>2026-11</t>
        </is>
      </c>
      <c r="B3448" t="inlineStr">
        <is>
          <t>HOSP-3</t>
        </is>
      </c>
      <c r="C3448" t="inlineStr">
        <is>
          <t>SS-01185</t>
        </is>
      </c>
      <c r="D3448" t="n">
        <v>72</v>
      </c>
      <c r="E3448" t="n">
        <v>0</v>
      </c>
      <c r="G3448">
        <f>IF(AND(A3448&gt;=Inputs!$B$5,A3448&lt;=Inputs!$B$6),1,0)</f>
        <v/>
      </c>
    </row>
    <row r="3449">
      <c r="A3449" t="inlineStr">
        <is>
          <t>2026-11</t>
        </is>
      </c>
      <c r="B3449" t="inlineStr">
        <is>
          <t>HOSP-4</t>
        </is>
      </c>
      <c r="C3449" t="inlineStr">
        <is>
          <t>SS-01186</t>
        </is>
      </c>
      <c r="D3449" t="n">
        <v>12</v>
      </c>
      <c r="E3449" t="n">
        <v>0</v>
      </c>
      <c r="G3449">
        <f>IF(AND(A3449&gt;=Inputs!$B$5,A3449&lt;=Inputs!$B$6),1,0)</f>
        <v/>
      </c>
    </row>
    <row r="3450">
      <c r="A3450" t="inlineStr">
        <is>
          <t>2026-11</t>
        </is>
      </c>
      <c r="B3450" t="inlineStr">
        <is>
          <t>HOSP-1</t>
        </is>
      </c>
      <c r="C3450" t="inlineStr">
        <is>
          <t>SS-01187</t>
        </is>
      </c>
      <c r="D3450" t="n">
        <v>492</v>
      </c>
      <c r="E3450" t="n">
        <v>0</v>
      </c>
      <c r="G3450">
        <f>IF(AND(A3450&gt;=Inputs!$B$5,A3450&lt;=Inputs!$B$6),1,0)</f>
        <v/>
      </c>
    </row>
    <row r="3451">
      <c r="A3451" t="inlineStr">
        <is>
          <t>2026-11</t>
        </is>
      </c>
      <c r="B3451" t="inlineStr">
        <is>
          <t>HOSP-2</t>
        </is>
      </c>
      <c r="C3451" t="inlineStr">
        <is>
          <t>SS-01188</t>
        </is>
      </c>
      <c r="D3451" t="n">
        <v>0</v>
      </c>
      <c r="E3451" t="n">
        <v>0</v>
      </c>
      <c r="G3451">
        <f>IF(AND(A3451&gt;=Inputs!$B$5,A3451&lt;=Inputs!$B$6),1,0)</f>
        <v/>
      </c>
    </row>
    <row r="3452">
      <c r="A3452" t="inlineStr">
        <is>
          <t>2026-11</t>
        </is>
      </c>
      <c r="B3452" t="inlineStr">
        <is>
          <t>HOSP-3</t>
        </is>
      </c>
      <c r="C3452" t="inlineStr">
        <is>
          <t>SS-01189</t>
        </is>
      </c>
      <c r="D3452" t="n">
        <v>132</v>
      </c>
      <c r="E3452" t="n">
        <v>0</v>
      </c>
      <c r="G3452">
        <f>IF(AND(A3452&gt;=Inputs!$B$5,A3452&lt;=Inputs!$B$6),1,0)</f>
        <v/>
      </c>
    </row>
    <row r="3453">
      <c r="A3453" t="inlineStr">
        <is>
          <t>2026-11</t>
        </is>
      </c>
      <c r="B3453" t="inlineStr">
        <is>
          <t>HOSP-4</t>
        </is>
      </c>
      <c r="C3453" t="inlineStr">
        <is>
          <t>SS-01190</t>
        </is>
      </c>
      <c r="D3453" t="n">
        <v>0</v>
      </c>
      <c r="E3453" t="n">
        <v>0</v>
      </c>
      <c r="G3453">
        <f>IF(AND(A3453&gt;=Inputs!$B$5,A3453&lt;=Inputs!$B$6),1,0)</f>
        <v/>
      </c>
    </row>
    <row r="3454">
      <c r="A3454" t="inlineStr">
        <is>
          <t>2026-11</t>
        </is>
      </c>
      <c r="B3454" t="inlineStr">
        <is>
          <t>HOSP-1</t>
        </is>
      </c>
      <c r="C3454" t="inlineStr">
        <is>
          <t>SS-01191</t>
        </is>
      </c>
      <c r="D3454" t="n">
        <v>48</v>
      </c>
      <c r="E3454" t="n">
        <v>0</v>
      </c>
      <c r="G3454">
        <f>IF(AND(A3454&gt;=Inputs!$B$5,A3454&lt;=Inputs!$B$6),1,0)</f>
        <v/>
      </c>
    </row>
    <row r="3455">
      <c r="A3455" t="inlineStr">
        <is>
          <t>2026-11</t>
        </is>
      </c>
      <c r="B3455" t="inlineStr">
        <is>
          <t>HOSP-2</t>
        </is>
      </c>
      <c r="C3455" t="inlineStr">
        <is>
          <t>SS-01192</t>
        </is>
      </c>
      <c r="D3455" t="n">
        <v>0</v>
      </c>
      <c r="E3455" t="n">
        <v>0</v>
      </c>
      <c r="G3455">
        <f>IF(AND(A3455&gt;=Inputs!$B$5,A3455&lt;=Inputs!$B$6),1,0)</f>
        <v/>
      </c>
    </row>
    <row r="3456">
      <c r="A3456" t="inlineStr">
        <is>
          <t>2026-11</t>
        </is>
      </c>
      <c r="B3456" t="inlineStr">
        <is>
          <t>HOSP-3</t>
        </is>
      </c>
      <c r="C3456" t="inlineStr">
        <is>
          <t>SS-01193</t>
        </is>
      </c>
      <c r="D3456" t="n">
        <v>24</v>
      </c>
      <c r="E3456" t="n">
        <v>0</v>
      </c>
      <c r="G3456">
        <f>IF(AND(A3456&gt;=Inputs!$B$5,A3456&lt;=Inputs!$B$6),1,0)</f>
        <v/>
      </c>
    </row>
    <row r="3457">
      <c r="A3457" t="inlineStr">
        <is>
          <t>2026-11</t>
        </is>
      </c>
      <c r="B3457" t="inlineStr">
        <is>
          <t>HOSP-4</t>
        </is>
      </c>
      <c r="C3457" t="inlineStr">
        <is>
          <t>SS-01194</t>
        </is>
      </c>
      <c r="D3457" t="n">
        <v>36</v>
      </c>
      <c r="E3457" t="n">
        <v>0</v>
      </c>
      <c r="G3457">
        <f>IF(AND(A3457&gt;=Inputs!$B$5,A3457&lt;=Inputs!$B$6),1,0)</f>
        <v/>
      </c>
    </row>
    <row r="3458">
      <c r="A3458" t="inlineStr">
        <is>
          <t>2026-11</t>
        </is>
      </c>
      <c r="B3458" t="inlineStr">
        <is>
          <t>HOSP-1</t>
        </is>
      </c>
      <c r="C3458" t="inlineStr">
        <is>
          <t>SS-01195</t>
        </is>
      </c>
      <c r="D3458" t="n">
        <v>0</v>
      </c>
      <c r="E3458" t="n">
        <v>0</v>
      </c>
      <c r="G3458">
        <f>IF(AND(A3458&gt;=Inputs!$B$5,A3458&lt;=Inputs!$B$6),1,0)</f>
        <v/>
      </c>
    </row>
    <row r="3459">
      <c r="A3459" t="inlineStr">
        <is>
          <t>2026-11</t>
        </is>
      </c>
      <c r="B3459" t="inlineStr">
        <is>
          <t>HOSP-2</t>
        </is>
      </c>
      <c r="C3459" t="inlineStr">
        <is>
          <t>SS-01196</t>
        </is>
      </c>
      <c r="D3459" t="n">
        <v>12</v>
      </c>
      <c r="E3459" t="n">
        <v>0</v>
      </c>
      <c r="G3459">
        <f>IF(AND(A3459&gt;=Inputs!$B$5,A3459&lt;=Inputs!$B$6),1,0)</f>
        <v/>
      </c>
    </row>
    <row r="3460">
      <c r="A3460" t="inlineStr">
        <is>
          <t>2026-11</t>
        </is>
      </c>
      <c r="B3460" t="inlineStr">
        <is>
          <t>HOSP-3</t>
        </is>
      </c>
      <c r="C3460" t="inlineStr">
        <is>
          <t>SS-01197</t>
        </is>
      </c>
      <c r="D3460" t="n">
        <v>0</v>
      </c>
      <c r="E3460" t="n">
        <v>0</v>
      </c>
      <c r="G3460">
        <f>IF(AND(A3460&gt;=Inputs!$B$5,A3460&lt;=Inputs!$B$6),1,0)</f>
        <v/>
      </c>
    </row>
    <row r="3461">
      <c r="A3461" t="inlineStr">
        <is>
          <t>2026-11</t>
        </is>
      </c>
      <c r="B3461" t="inlineStr">
        <is>
          <t>HOSP-4</t>
        </is>
      </c>
      <c r="C3461" t="inlineStr">
        <is>
          <t>SS-01198</t>
        </is>
      </c>
      <c r="D3461" t="n">
        <v>12</v>
      </c>
      <c r="E3461" t="n">
        <v>0</v>
      </c>
      <c r="G3461">
        <f>IF(AND(A3461&gt;=Inputs!$B$5,A3461&lt;=Inputs!$B$6),1,0)</f>
        <v/>
      </c>
    </row>
    <row r="3462">
      <c r="A3462" t="inlineStr">
        <is>
          <t>2026-11</t>
        </is>
      </c>
      <c r="B3462" t="inlineStr">
        <is>
          <t>HOSP-1</t>
        </is>
      </c>
      <c r="C3462" t="inlineStr">
        <is>
          <t>SS-01199</t>
        </is>
      </c>
      <c r="D3462" t="n">
        <v>12</v>
      </c>
      <c r="E3462" t="n">
        <v>0</v>
      </c>
      <c r="F3462" t="inlineStr">
        <is>
          <t>surge</t>
        </is>
      </c>
      <c r="G3462">
        <f>IF(AND(A3462&gt;=Inputs!$B$5,A3462&lt;=Inputs!$B$6),1,0)</f>
        <v/>
      </c>
    </row>
    <row r="3463">
      <c r="A3463" t="inlineStr">
        <is>
          <t>2026-11</t>
        </is>
      </c>
      <c r="B3463" t="inlineStr">
        <is>
          <t>HOSP-2</t>
        </is>
      </c>
      <c r="C3463" t="inlineStr">
        <is>
          <t>SS-01200</t>
        </is>
      </c>
      <c r="D3463" t="n">
        <v>5</v>
      </c>
      <c r="E3463" t="n">
        <v>0</v>
      </c>
      <c r="G3463">
        <f>IF(AND(A3463&gt;=Inputs!$B$5,A3463&lt;=Inputs!$B$6),1,0)</f>
        <v/>
      </c>
    </row>
    <row r="3464">
      <c r="A3464" t="inlineStr">
        <is>
          <t>2026-11</t>
        </is>
      </c>
      <c r="B3464" t="inlineStr">
        <is>
          <t>HOSP-3</t>
        </is>
      </c>
      <c r="C3464" t="inlineStr">
        <is>
          <t>SS-01201</t>
        </is>
      </c>
      <c r="D3464" t="n">
        <v>0</v>
      </c>
      <c r="E3464" t="n">
        <v>0</v>
      </c>
      <c r="G3464">
        <f>IF(AND(A3464&gt;=Inputs!$B$5,A3464&lt;=Inputs!$B$6),1,0)</f>
        <v/>
      </c>
    </row>
    <row r="3465">
      <c r="A3465" t="inlineStr">
        <is>
          <t>2026-11</t>
        </is>
      </c>
      <c r="B3465" t="inlineStr">
        <is>
          <t>HOSP-4</t>
        </is>
      </c>
      <c r="C3465" t="inlineStr">
        <is>
          <t>SS-01202</t>
        </is>
      </c>
      <c r="D3465" t="n">
        <v>0</v>
      </c>
      <c r="E3465" t="n">
        <v>0</v>
      </c>
      <c r="G3465">
        <f>IF(AND(A3465&gt;=Inputs!$B$5,A3465&lt;=Inputs!$B$6),1,0)</f>
        <v/>
      </c>
    </row>
    <row r="3466">
      <c r="A3466" t="inlineStr">
        <is>
          <t>2026-11</t>
        </is>
      </c>
      <c r="B3466" t="inlineStr">
        <is>
          <t>HOSP-1</t>
        </is>
      </c>
      <c r="C3466" t="inlineStr">
        <is>
          <t>SS-01203</t>
        </is>
      </c>
      <c r="D3466" t="n">
        <v>216</v>
      </c>
      <c r="E3466" t="n">
        <v>0</v>
      </c>
      <c r="G3466">
        <f>IF(AND(A3466&gt;=Inputs!$B$5,A3466&lt;=Inputs!$B$6),1,0)</f>
        <v/>
      </c>
    </row>
    <row r="3467">
      <c r="A3467" t="inlineStr">
        <is>
          <t>2026-11</t>
        </is>
      </c>
      <c r="B3467" t="inlineStr">
        <is>
          <t>HOSP-2</t>
        </is>
      </c>
      <c r="C3467" t="inlineStr">
        <is>
          <t>SS-01204</t>
        </is>
      </c>
      <c r="D3467" t="n">
        <v>0</v>
      </c>
      <c r="E3467" t="n">
        <v>0</v>
      </c>
      <c r="G3467">
        <f>IF(AND(A3467&gt;=Inputs!$B$5,A3467&lt;=Inputs!$B$6),1,0)</f>
        <v/>
      </c>
    </row>
    <row r="3468">
      <c r="A3468" t="inlineStr">
        <is>
          <t>2026-11</t>
        </is>
      </c>
      <c r="B3468" t="inlineStr">
        <is>
          <t>HOSP-3</t>
        </is>
      </c>
      <c r="C3468" t="inlineStr">
        <is>
          <t>SS-01205</t>
        </is>
      </c>
      <c r="D3468" t="n">
        <v>12</v>
      </c>
      <c r="E3468" t="n">
        <v>0</v>
      </c>
      <c r="G3468">
        <f>IF(AND(A3468&gt;=Inputs!$B$5,A3468&lt;=Inputs!$B$6),1,0)</f>
        <v/>
      </c>
    </row>
    <row r="3469">
      <c r="A3469" t="inlineStr">
        <is>
          <t>2026-11</t>
        </is>
      </c>
      <c r="B3469" t="inlineStr">
        <is>
          <t>HOSP-4</t>
        </is>
      </c>
      <c r="C3469" t="inlineStr">
        <is>
          <t>SS-01206</t>
        </is>
      </c>
      <c r="D3469" t="n">
        <v>12</v>
      </c>
      <c r="E3469" t="n">
        <v>0</v>
      </c>
      <c r="G3469">
        <f>IF(AND(A3469&gt;=Inputs!$B$5,A3469&lt;=Inputs!$B$6),1,0)</f>
        <v/>
      </c>
    </row>
    <row r="3470">
      <c r="A3470" t="inlineStr">
        <is>
          <t>2026-11</t>
        </is>
      </c>
      <c r="B3470" t="inlineStr">
        <is>
          <t>HOSP-1</t>
        </is>
      </c>
      <c r="C3470" t="inlineStr">
        <is>
          <t>SS-01099</t>
        </is>
      </c>
      <c r="D3470" t="n">
        <v>0</v>
      </c>
      <c r="E3470" t="n">
        <v>0</v>
      </c>
      <c r="G3470">
        <f>IF(AND(A3470&gt;=Inputs!$B$5,A3470&lt;=Inputs!$B$6),1,0)</f>
        <v/>
      </c>
    </row>
    <row r="3471">
      <c r="A3471" t="inlineStr">
        <is>
          <t>2026-11</t>
        </is>
      </c>
      <c r="B3471" t="inlineStr">
        <is>
          <t>HOSP-2</t>
        </is>
      </c>
      <c r="C3471" t="inlineStr">
        <is>
          <t>SS-01208</t>
        </is>
      </c>
      <c r="D3471" t="n">
        <v>10</v>
      </c>
      <c r="E3471" t="n">
        <v>0</v>
      </c>
      <c r="G3471">
        <f>IF(AND(A3471&gt;=Inputs!$B$5,A3471&lt;=Inputs!$B$6),1,0)</f>
        <v/>
      </c>
    </row>
    <row r="3472">
      <c r="A3472" t="inlineStr">
        <is>
          <t>2026-11</t>
        </is>
      </c>
      <c r="B3472" t="inlineStr">
        <is>
          <t>HOSP-3</t>
        </is>
      </c>
      <c r="C3472" t="inlineStr">
        <is>
          <t>SS-01209</t>
        </is>
      </c>
      <c r="D3472" t="n">
        <v>12</v>
      </c>
      <c r="E3472" t="n">
        <v>0</v>
      </c>
      <c r="G3472">
        <f>IF(AND(A3472&gt;=Inputs!$B$5,A3472&lt;=Inputs!$B$6),1,0)</f>
        <v/>
      </c>
    </row>
    <row r="3473">
      <c r="A3473" t="inlineStr">
        <is>
          <t>2026-11</t>
        </is>
      </c>
      <c r="B3473" t="inlineStr">
        <is>
          <t>HOSP-4</t>
        </is>
      </c>
      <c r="C3473" t="inlineStr">
        <is>
          <t>SS-01210</t>
        </is>
      </c>
      <c r="D3473" t="n">
        <v>0</v>
      </c>
      <c r="E3473" t="n">
        <v>0</v>
      </c>
      <c r="G3473">
        <f>IF(AND(A3473&gt;=Inputs!$B$5,A3473&lt;=Inputs!$B$6),1,0)</f>
        <v/>
      </c>
    </row>
    <row r="3474">
      <c r="A3474" t="inlineStr">
        <is>
          <t>2026-11</t>
        </is>
      </c>
      <c r="B3474" t="inlineStr">
        <is>
          <t>HOSP-1</t>
        </is>
      </c>
      <c r="C3474" t="inlineStr">
        <is>
          <t>SS-01211</t>
        </is>
      </c>
      <c r="D3474" t="n">
        <v>48</v>
      </c>
      <c r="E3474" t="n">
        <v>0</v>
      </c>
      <c r="G3474">
        <f>IF(AND(A3474&gt;=Inputs!$B$5,A3474&lt;=Inputs!$B$6),1,0)</f>
        <v/>
      </c>
    </row>
    <row r="3475">
      <c r="A3475" t="inlineStr">
        <is>
          <t>2026-11</t>
        </is>
      </c>
      <c r="B3475" t="inlineStr">
        <is>
          <t>HOSP-2</t>
        </is>
      </c>
      <c r="C3475" t="inlineStr">
        <is>
          <t>SS-01212</t>
        </is>
      </c>
      <c r="D3475" t="n">
        <v>36</v>
      </c>
      <c r="E3475" t="n">
        <v>0</v>
      </c>
      <c r="G3475">
        <f>IF(AND(A3475&gt;=Inputs!$B$5,A3475&lt;=Inputs!$B$6),1,0)</f>
        <v/>
      </c>
    </row>
    <row r="3476">
      <c r="A3476" t="inlineStr">
        <is>
          <t>2026-11</t>
        </is>
      </c>
      <c r="B3476" t="inlineStr">
        <is>
          <t>HOSP-3</t>
        </is>
      </c>
      <c r="C3476" t="inlineStr">
        <is>
          <t>SS-01213</t>
        </is>
      </c>
      <c r="D3476" t="n">
        <v>84</v>
      </c>
      <c r="E3476" t="n">
        <v>0</v>
      </c>
      <c r="G3476">
        <f>IF(AND(A3476&gt;=Inputs!$B$5,A3476&lt;=Inputs!$B$6),1,0)</f>
        <v/>
      </c>
    </row>
    <row r="3477">
      <c r="A3477" t="inlineStr">
        <is>
          <t>2026-11</t>
        </is>
      </c>
      <c r="B3477" t="inlineStr">
        <is>
          <t>HOSP-4</t>
        </is>
      </c>
      <c r="C3477" t="inlineStr">
        <is>
          <t>SS-01214</t>
        </is>
      </c>
      <c r="D3477" t="n">
        <v>48</v>
      </c>
      <c r="E3477" t="n">
        <v>0</v>
      </c>
      <c r="G3477">
        <f>IF(AND(A3477&gt;=Inputs!$B$5,A3477&lt;=Inputs!$B$6),1,0)</f>
        <v/>
      </c>
    </row>
    <row r="3478">
      <c r="A3478" t="inlineStr">
        <is>
          <t>2026-11</t>
        </is>
      </c>
      <c r="B3478" t="inlineStr">
        <is>
          <t>HOSP-1</t>
        </is>
      </c>
      <c r="C3478" t="inlineStr">
        <is>
          <t>SS-01215</t>
        </is>
      </c>
      <c r="D3478" t="n">
        <v>0</v>
      </c>
      <c r="E3478" t="n">
        <v>0</v>
      </c>
      <c r="G3478">
        <f>IF(AND(A3478&gt;=Inputs!$B$5,A3478&lt;=Inputs!$B$6),1,0)</f>
        <v/>
      </c>
    </row>
    <row r="3479">
      <c r="A3479" t="inlineStr">
        <is>
          <t>2026-11</t>
        </is>
      </c>
      <c r="B3479" t="inlineStr">
        <is>
          <t>HOSP-2</t>
        </is>
      </c>
      <c r="C3479" t="inlineStr">
        <is>
          <t>SS-01216</t>
        </is>
      </c>
      <c r="D3479" t="n">
        <v>0</v>
      </c>
      <c r="E3479" t="n">
        <v>2</v>
      </c>
      <c r="G3479">
        <f>IF(AND(A3479&gt;=Inputs!$B$5,A3479&lt;=Inputs!$B$6),1,0)</f>
        <v/>
      </c>
    </row>
    <row r="3480">
      <c r="A3480" t="inlineStr">
        <is>
          <t>2026-11</t>
        </is>
      </c>
      <c r="B3480" t="inlineStr">
        <is>
          <t>HOSP-3</t>
        </is>
      </c>
      <c r="C3480" t="inlineStr">
        <is>
          <t>SS-01217</t>
        </is>
      </c>
      <c r="D3480" t="n">
        <v>0</v>
      </c>
      <c r="E3480" t="n">
        <v>0</v>
      </c>
      <c r="G3480">
        <f>IF(AND(A3480&gt;=Inputs!$B$5,A3480&lt;=Inputs!$B$6),1,0)</f>
        <v/>
      </c>
    </row>
    <row r="3481">
      <c r="A3481" t="inlineStr">
        <is>
          <t>2026-11</t>
        </is>
      </c>
      <c r="B3481" t="inlineStr">
        <is>
          <t>HOSP-4</t>
        </is>
      </c>
      <c r="C3481" t="inlineStr">
        <is>
          <t>SS-01218</t>
        </is>
      </c>
      <c r="D3481" t="n">
        <v>19</v>
      </c>
      <c r="E3481" t="n">
        <v>0</v>
      </c>
      <c r="G3481">
        <f>IF(AND(A3481&gt;=Inputs!$B$5,A3481&lt;=Inputs!$B$6),1,0)</f>
        <v/>
      </c>
    </row>
    <row r="3482">
      <c r="A3482" t="inlineStr">
        <is>
          <t>2026-11</t>
        </is>
      </c>
      <c r="B3482" t="inlineStr">
        <is>
          <t>HOSP-1</t>
        </is>
      </c>
      <c r="C3482" t="inlineStr">
        <is>
          <t>SS-01219</t>
        </is>
      </c>
      <c r="D3482" t="n">
        <v>0</v>
      </c>
      <c r="E3482" t="n">
        <v>0</v>
      </c>
      <c r="G3482">
        <f>IF(AND(A3482&gt;=Inputs!$B$5,A3482&lt;=Inputs!$B$6),1,0)</f>
        <v/>
      </c>
    </row>
    <row r="3483">
      <c r="A3483" t="inlineStr">
        <is>
          <t>2026-11</t>
        </is>
      </c>
      <c r="B3483" t="inlineStr">
        <is>
          <t>HOSP-2</t>
        </is>
      </c>
      <c r="C3483" t="inlineStr">
        <is>
          <t>SS-01220</t>
        </is>
      </c>
      <c r="D3483" t="n">
        <v>14</v>
      </c>
      <c r="E3483" t="n">
        <v>1</v>
      </c>
      <c r="G3483">
        <f>IF(AND(A3483&gt;=Inputs!$B$5,A3483&lt;=Inputs!$B$6),1,0)</f>
        <v/>
      </c>
    </row>
    <row r="3484">
      <c r="A3484" t="inlineStr">
        <is>
          <t>2026-11</t>
        </is>
      </c>
      <c r="B3484" t="inlineStr">
        <is>
          <t>HOSP-3</t>
        </is>
      </c>
      <c r="C3484" t="inlineStr">
        <is>
          <t>SS-01221</t>
        </is>
      </c>
      <c r="D3484" t="n">
        <v>36</v>
      </c>
      <c r="E3484" t="n">
        <v>0</v>
      </c>
      <c r="G3484">
        <f>IF(AND(A3484&gt;=Inputs!$B$5,A3484&lt;=Inputs!$B$6),1,0)</f>
        <v/>
      </c>
    </row>
    <row r="3485">
      <c r="A3485" t="inlineStr">
        <is>
          <t>2026-11</t>
        </is>
      </c>
      <c r="B3485" t="inlineStr">
        <is>
          <t>HOSP-4</t>
        </is>
      </c>
      <c r="C3485" t="inlineStr">
        <is>
          <t>SS-01222</t>
        </is>
      </c>
      <c r="D3485" t="n">
        <v>72</v>
      </c>
      <c r="E3485" t="n">
        <v>0</v>
      </c>
      <c r="G3485">
        <f>IF(AND(A3485&gt;=Inputs!$B$5,A3485&lt;=Inputs!$B$6),1,0)</f>
        <v/>
      </c>
    </row>
    <row r="3486">
      <c r="A3486" t="inlineStr">
        <is>
          <t>2026-11</t>
        </is>
      </c>
      <c r="B3486" t="inlineStr">
        <is>
          <t>HOSP-1</t>
        </is>
      </c>
      <c r="C3486" t="inlineStr">
        <is>
          <t>SS-01223</t>
        </is>
      </c>
      <c r="D3486" t="n">
        <v>0</v>
      </c>
      <c r="E3486" t="n">
        <v>0</v>
      </c>
      <c r="G3486">
        <f>IF(AND(A3486&gt;=Inputs!$B$5,A3486&lt;=Inputs!$B$6),1,0)</f>
        <v/>
      </c>
    </row>
    <row r="3487">
      <c r="A3487" t="inlineStr">
        <is>
          <t>2026-11</t>
        </is>
      </c>
      <c r="B3487" t="inlineStr">
        <is>
          <t>HOSP-2</t>
        </is>
      </c>
      <c r="C3487" t="inlineStr">
        <is>
          <t>SS-01224</t>
        </is>
      </c>
      <c r="D3487" t="n">
        <v>12</v>
      </c>
      <c r="E3487" t="n">
        <v>0</v>
      </c>
      <c r="G3487">
        <f>IF(AND(A3487&gt;=Inputs!$B$5,A3487&lt;=Inputs!$B$6),1,0)</f>
        <v/>
      </c>
    </row>
    <row r="3488">
      <c r="A3488" t="inlineStr">
        <is>
          <t>2026-11</t>
        </is>
      </c>
      <c r="B3488" t="inlineStr">
        <is>
          <t>HOSP-3</t>
        </is>
      </c>
      <c r="C3488" t="inlineStr">
        <is>
          <t>SS-01225</t>
        </is>
      </c>
      <c r="D3488" t="n">
        <v>0</v>
      </c>
      <c r="E3488" t="n">
        <v>0</v>
      </c>
      <c r="G3488">
        <f>IF(AND(A3488&gt;=Inputs!$B$5,A3488&lt;=Inputs!$B$6),1,0)</f>
        <v/>
      </c>
    </row>
    <row r="3489">
      <c r="A3489" t="inlineStr">
        <is>
          <t>2026-11</t>
        </is>
      </c>
      <c r="B3489" t="inlineStr">
        <is>
          <t>HOSP-4</t>
        </is>
      </c>
      <c r="C3489" t="inlineStr">
        <is>
          <t>SS-01226</t>
        </is>
      </c>
      <c r="D3489" t="n">
        <v>22</v>
      </c>
      <c r="E3489" t="n">
        <v>0</v>
      </c>
      <c r="G3489">
        <f>IF(AND(A3489&gt;=Inputs!$B$5,A3489&lt;=Inputs!$B$6),1,0)</f>
        <v/>
      </c>
    </row>
    <row r="3490">
      <c r="A3490" t="inlineStr">
        <is>
          <t>2026-11</t>
        </is>
      </c>
      <c r="B3490" t="inlineStr">
        <is>
          <t>HOSP-1</t>
        </is>
      </c>
      <c r="C3490" t="inlineStr">
        <is>
          <t>SS-01227</t>
        </is>
      </c>
      <c r="D3490" t="n">
        <v>5</v>
      </c>
      <c r="E3490" t="n">
        <v>3</v>
      </c>
      <c r="G3490">
        <f>IF(AND(A3490&gt;=Inputs!$B$5,A3490&lt;=Inputs!$B$6),1,0)</f>
        <v/>
      </c>
    </row>
    <row r="3491">
      <c r="A3491" t="inlineStr">
        <is>
          <t>2026-11</t>
        </is>
      </c>
      <c r="B3491" t="inlineStr">
        <is>
          <t>HOSP-2</t>
        </is>
      </c>
      <c r="C3491" t="inlineStr">
        <is>
          <t>SS-01228</t>
        </is>
      </c>
      <c r="D3491" t="n">
        <v>12</v>
      </c>
      <c r="E3491" t="n">
        <v>0</v>
      </c>
      <c r="G3491">
        <f>IF(AND(A3491&gt;=Inputs!$B$5,A3491&lt;=Inputs!$B$6),1,0)</f>
        <v/>
      </c>
    </row>
    <row r="3492">
      <c r="A3492" t="inlineStr">
        <is>
          <t>2026-11</t>
        </is>
      </c>
      <c r="B3492" t="inlineStr">
        <is>
          <t>HOSP-3</t>
        </is>
      </c>
      <c r="C3492" t="inlineStr">
        <is>
          <t>SS-01229</t>
        </is>
      </c>
      <c r="D3492" t="n">
        <v>62</v>
      </c>
      <c r="E3492" t="n">
        <v>0</v>
      </c>
      <c r="G3492">
        <f>IF(AND(A3492&gt;=Inputs!$B$5,A3492&lt;=Inputs!$B$6),1,0)</f>
        <v/>
      </c>
    </row>
    <row r="3493">
      <c r="A3493" t="inlineStr">
        <is>
          <t>2026-11</t>
        </is>
      </c>
      <c r="B3493" t="inlineStr">
        <is>
          <t>HOSP-4</t>
        </is>
      </c>
      <c r="C3493" t="inlineStr">
        <is>
          <t>SS-01130</t>
        </is>
      </c>
      <c r="D3493" t="n">
        <v>132</v>
      </c>
      <c r="E3493" t="n">
        <v>0</v>
      </c>
      <c r="G3493">
        <f>IF(AND(A3493&gt;=Inputs!$B$5,A3493&lt;=Inputs!$B$6),1,0)</f>
        <v/>
      </c>
    </row>
    <row r="3494">
      <c r="A3494" t="inlineStr">
        <is>
          <t>2026-11</t>
        </is>
      </c>
      <c r="B3494" t="inlineStr">
        <is>
          <t>HOSP-1</t>
        </is>
      </c>
      <c r="C3494" t="inlineStr">
        <is>
          <t>SS-01231</t>
        </is>
      </c>
      <c r="D3494" t="n">
        <v>0</v>
      </c>
      <c r="E3494" t="n">
        <v>0</v>
      </c>
      <c r="G3494">
        <f>IF(AND(A3494&gt;=Inputs!$B$5,A3494&lt;=Inputs!$B$6),1,0)</f>
        <v/>
      </c>
    </row>
    <row r="3495">
      <c r="A3495" t="inlineStr">
        <is>
          <t>2026-11</t>
        </is>
      </c>
      <c r="B3495" t="inlineStr">
        <is>
          <t>HOSP-2</t>
        </is>
      </c>
      <c r="C3495" t="inlineStr">
        <is>
          <t>SS-01232</t>
        </is>
      </c>
      <c r="D3495" t="n">
        <v>12</v>
      </c>
      <c r="E3495" t="n">
        <v>0</v>
      </c>
      <c r="G3495">
        <f>IF(AND(A3495&gt;=Inputs!$B$5,A3495&lt;=Inputs!$B$6),1,0)</f>
        <v/>
      </c>
    </row>
    <row r="3496">
      <c r="A3496" t="inlineStr">
        <is>
          <t>2026-11</t>
        </is>
      </c>
      <c r="B3496" t="inlineStr">
        <is>
          <t>HOSP-3</t>
        </is>
      </c>
      <c r="C3496" t="inlineStr">
        <is>
          <t>SS-01233</t>
        </is>
      </c>
      <c r="D3496" t="n">
        <v>72</v>
      </c>
      <c r="E3496" t="n">
        <v>0</v>
      </c>
      <c r="G3496">
        <f>IF(AND(A3496&gt;=Inputs!$B$5,A3496&lt;=Inputs!$B$6),1,0)</f>
        <v/>
      </c>
    </row>
    <row r="3497">
      <c r="A3497" t="inlineStr">
        <is>
          <t>2026-11</t>
        </is>
      </c>
      <c r="B3497" t="inlineStr">
        <is>
          <t>HOSP-4</t>
        </is>
      </c>
      <c r="C3497" t="inlineStr">
        <is>
          <t>SS-01001</t>
        </is>
      </c>
      <c r="D3497" t="n">
        <v>12</v>
      </c>
      <c r="E3497" t="n">
        <v>0</v>
      </c>
      <c r="G3497">
        <f>IF(AND(A3497&gt;=Inputs!$B$5,A3497&lt;=Inputs!$B$6),1,0)</f>
        <v/>
      </c>
    </row>
    <row r="3498">
      <c r="A3498" t="inlineStr">
        <is>
          <t>2026-11</t>
        </is>
      </c>
      <c r="B3498" t="inlineStr">
        <is>
          <t>HOSP-1</t>
        </is>
      </c>
      <c r="C3498" t="inlineStr">
        <is>
          <t>SS-01002</t>
        </is>
      </c>
      <c r="D3498" t="n">
        <v>0</v>
      </c>
      <c r="E3498" t="n">
        <v>1</v>
      </c>
      <c r="G3498">
        <f>IF(AND(A3498&gt;=Inputs!$B$5,A3498&lt;=Inputs!$B$6),1,0)</f>
        <v/>
      </c>
    </row>
    <row r="3499">
      <c r="A3499" t="inlineStr">
        <is>
          <t>2026-11</t>
        </is>
      </c>
      <c r="B3499" t="inlineStr">
        <is>
          <t>HOSP-2</t>
        </is>
      </c>
      <c r="C3499" t="inlineStr">
        <is>
          <t>SS-01231</t>
        </is>
      </c>
      <c r="D3499" t="n">
        <v>2</v>
      </c>
      <c r="E3499" t="n">
        <v>3</v>
      </c>
      <c r="G3499">
        <f>IF(AND(A3499&gt;=Inputs!$B$5,A3499&lt;=Inputs!$B$6),1,0)</f>
        <v/>
      </c>
    </row>
    <row r="3500">
      <c r="A3500" t="inlineStr">
        <is>
          <t>2026-11</t>
        </is>
      </c>
      <c r="B3500" t="inlineStr">
        <is>
          <t>HOSP-3</t>
        </is>
      </c>
      <c r="C3500" t="inlineStr">
        <is>
          <t>SS-01004</t>
        </is>
      </c>
      <c r="D3500" t="n">
        <v>0</v>
      </c>
      <c r="E3500" t="n">
        <v>0</v>
      </c>
      <c r="G3500">
        <f>IF(AND(A3500&gt;=Inputs!$B$5,A3500&lt;=Inputs!$B$6),1,0)</f>
        <v/>
      </c>
    </row>
    <row r="3501">
      <c r="A3501" t="inlineStr">
        <is>
          <t>2026-11</t>
        </is>
      </c>
      <c r="B3501" t="inlineStr">
        <is>
          <t>HOSP-4</t>
        </is>
      </c>
      <c r="C3501" t="inlineStr">
        <is>
          <t>SS-01005</t>
        </is>
      </c>
      <c r="D3501" t="n">
        <v>24</v>
      </c>
      <c r="E3501" t="n">
        <v>0</v>
      </c>
      <c r="G3501">
        <f>IF(AND(A3501&gt;=Inputs!$B$5,A3501&lt;=Inputs!$B$6),1,0)</f>
        <v/>
      </c>
    </row>
    <row r="3502">
      <c r="A3502" t="inlineStr">
        <is>
          <t>2026-11</t>
        </is>
      </c>
      <c r="B3502" t="inlineStr">
        <is>
          <t>HOSP-1</t>
        </is>
      </c>
      <c r="C3502" t="inlineStr">
        <is>
          <t>SS-01006</t>
        </is>
      </c>
      <c r="D3502" t="n">
        <v>22</v>
      </c>
      <c r="E3502" t="n">
        <v>1</v>
      </c>
      <c r="G3502">
        <f>IF(AND(A3502&gt;=Inputs!$B$5,A3502&lt;=Inputs!$B$6),1,0)</f>
        <v/>
      </c>
    </row>
    <row r="3503">
      <c r="A3503" t="inlineStr">
        <is>
          <t>2026-11</t>
        </is>
      </c>
      <c r="B3503" t="inlineStr">
        <is>
          <t>HOSP-2</t>
        </is>
      </c>
      <c r="C3503" t="inlineStr">
        <is>
          <t>SS-01007</t>
        </is>
      </c>
      <c r="D3503" t="n">
        <v>0</v>
      </c>
      <c r="E3503" t="n">
        <v>0</v>
      </c>
      <c r="G3503">
        <f>IF(AND(A3503&gt;=Inputs!$B$5,A3503&lt;=Inputs!$B$6),1,0)</f>
        <v/>
      </c>
    </row>
    <row r="3504">
      <c r="A3504" t="inlineStr">
        <is>
          <t>2026-11</t>
        </is>
      </c>
      <c r="B3504" t="inlineStr">
        <is>
          <t>HOSP-3</t>
        </is>
      </c>
      <c r="C3504" t="inlineStr">
        <is>
          <t>SS-01008</t>
        </is>
      </c>
      <c r="D3504" t="n">
        <v>36</v>
      </c>
      <c r="E3504" t="n">
        <v>0</v>
      </c>
      <c r="G3504">
        <f>IF(AND(A3504&gt;=Inputs!$B$5,A3504&lt;=Inputs!$B$6),1,0)</f>
        <v/>
      </c>
    </row>
    <row r="3505">
      <c r="A3505" t="inlineStr">
        <is>
          <t>2026-11</t>
        </is>
      </c>
      <c r="B3505" t="inlineStr">
        <is>
          <t>HOSP-4</t>
        </is>
      </c>
      <c r="C3505" t="inlineStr">
        <is>
          <t>SS-01009</t>
        </is>
      </c>
      <c r="D3505" t="n">
        <v>12</v>
      </c>
      <c r="E3505" t="n">
        <v>0</v>
      </c>
      <c r="G3505">
        <f>IF(AND(A3505&gt;=Inputs!$B$5,A3505&lt;=Inputs!$B$6),1,0)</f>
        <v/>
      </c>
    </row>
    <row r="3506">
      <c r="A3506" t="inlineStr">
        <is>
          <t>2026-11</t>
        </is>
      </c>
      <c r="B3506" t="inlineStr">
        <is>
          <t>HOSP-1</t>
        </is>
      </c>
      <c r="C3506" t="inlineStr">
        <is>
          <t>SS-01010</t>
        </is>
      </c>
      <c r="D3506" t="n">
        <v>24</v>
      </c>
      <c r="E3506" t="n">
        <v>0</v>
      </c>
      <c r="G3506">
        <f>IF(AND(A3506&gt;=Inputs!$B$5,A3506&lt;=Inputs!$B$6),1,0)</f>
        <v/>
      </c>
    </row>
    <row r="3507">
      <c r="A3507" t="inlineStr">
        <is>
          <t>2026-11</t>
        </is>
      </c>
      <c r="B3507" t="inlineStr">
        <is>
          <t>HOSP-2</t>
        </is>
      </c>
      <c r="C3507" t="inlineStr">
        <is>
          <t>SS-01011</t>
        </is>
      </c>
      <c r="D3507" t="n">
        <v>12</v>
      </c>
      <c r="E3507" t="n">
        <v>0</v>
      </c>
      <c r="G3507">
        <f>IF(AND(A3507&gt;=Inputs!$B$5,A3507&lt;=Inputs!$B$6),1,0)</f>
        <v/>
      </c>
    </row>
    <row r="3508">
      <c r="A3508" t="inlineStr">
        <is>
          <t>2026-11</t>
        </is>
      </c>
      <c r="B3508" t="inlineStr">
        <is>
          <t>HOSP-3</t>
        </is>
      </c>
      <c r="C3508" t="inlineStr">
        <is>
          <t>SS-01012</t>
        </is>
      </c>
      <c r="D3508" t="n">
        <v>12</v>
      </c>
      <c r="E3508" t="n">
        <v>0</v>
      </c>
      <c r="G3508">
        <f>IF(AND(A3508&gt;=Inputs!$B$5,A3508&lt;=Inputs!$B$6),1,0)</f>
        <v/>
      </c>
    </row>
    <row r="3509">
      <c r="A3509" t="inlineStr">
        <is>
          <t>2026-11</t>
        </is>
      </c>
      <c r="B3509" t="inlineStr">
        <is>
          <t>HOSP-4</t>
        </is>
      </c>
      <c r="C3509" t="inlineStr">
        <is>
          <t>SS-01013</t>
        </is>
      </c>
      <c r="D3509" t="n">
        <v>0</v>
      </c>
      <c r="E3509" t="n">
        <v>0</v>
      </c>
      <c r="G3509">
        <f>IF(AND(A3509&gt;=Inputs!$B$5,A3509&lt;=Inputs!$B$6),1,0)</f>
        <v/>
      </c>
    </row>
    <row r="3510">
      <c r="A3510" t="inlineStr">
        <is>
          <t>2026-11</t>
        </is>
      </c>
      <c r="B3510" t="inlineStr">
        <is>
          <t>HOSP-1</t>
        </is>
      </c>
      <c r="C3510" t="inlineStr">
        <is>
          <t>SS-01014</t>
        </is>
      </c>
      <c r="D3510" t="n">
        <v>12</v>
      </c>
      <c r="E3510" t="n">
        <v>0</v>
      </c>
      <c r="G3510">
        <f>IF(AND(A3510&gt;=Inputs!$B$5,A3510&lt;=Inputs!$B$6),1,0)</f>
        <v/>
      </c>
    </row>
    <row r="3511">
      <c r="A3511" t="inlineStr">
        <is>
          <t>2026-11</t>
        </is>
      </c>
      <c r="B3511" t="inlineStr">
        <is>
          <t>HOSP-2</t>
        </is>
      </c>
      <c r="C3511" t="inlineStr">
        <is>
          <t>SS-01015</t>
        </is>
      </c>
      <c r="D3511" t="n">
        <v>48</v>
      </c>
      <c r="E3511" t="n">
        <v>0</v>
      </c>
      <c r="G3511">
        <f>IF(AND(A3511&gt;=Inputs!$B$5,A3511&lt;=Inputs!$B$6),1,0)</f>
        <v/>
      </c>
    </row>
    <row r="3512">
      <c r="A3512" t="inlineStr">
        <is>
          <t>2026-11</t>
        </is>
      </c>
      <c r="B3512" t="inlineStr">
        <is>
          <t>HOSP-3</t>
        </is>
      </c>
      <c r="C3512" t="inlineStr">
        <is>
          <t>SS-01016</t>
        </is>
      </c>
      <c r="D3512" t="n">
        <v>1</v>
      </c>
      <c r="E3512" t="n">
        <v>4</v>
      </c>
      <c r="G3512">
        <f>IF(AND(A3512&gt;=Inputs!$B$5,A3512&lt;=Inputs!$B$6),1,0)</f>
        <v/>
      </c>
    </row>
    <row r="3513">
      <c r="A3513" t="inlineStr">
        <is>
          <t>2026-11</t>
        </is>
      </c>
      <c r="B3513" t="inlineStr">
        <is>
          <t>HOSP-4</t>
        </is>
      </c>
      <c r="C3513" t="inlineStr">
        <is>
          <t>SS-01033</t>
        </is>
      </c>
      <c r="D3513" t="n">
        <v>0</v>
      </c>
      <c r="E3513" t="n">
        <v>0</v>
      </c>
      <c r="G3513">
        <f>IF(AND(A3513&gt;=Inputs!$B$5,A3513&lt;=Inputs!$B$6),1,0)</f>
        <v/>
      </c>
    </row>
    <row r="3514">
      <c r="A3514" t="inlineStr">
        <is>
          <t>2026-11</t>
        </is>
      </c>
      <c r="B3514" t="inlineStr">
        <is>
          <t>HOSP-1</t>
        </is>
      </c>
      <c r="C3514" t="inlineStr">
        <is>
          <t>SS-01018</t>
        </is>
      </c>
      <c r="D3514" t="n">
        <v>0</v>
      </c>
      <c r="E3514" t="n">
        <v>0</v>
      </c>
      <c r="G3514">
        <f>IF(AND(A3514&gt;=Inputs!$B$5,A3514&lt;=Inputs!$B$6),1,0)</f>
        <v/>
      </c>
    </row>
    <row r="3515">
      <c r="A3515" t="inlineStr">
        <is>
          <t>2026-11</t>
        </is>
      </c>
      <c r="B3515" t="inlineStr">
        <is>
          <t>HOSP-2</t>
        </is>
      </c>
      <c r="C3515" t="inlineStr">
        <is>
          <t>SS-01019</t>
        </is>
      </c>
      <c r="D3515" t="n">
        <v>12</v>
      </c>
      <c r="E3515" t="n">
        <v>0</v>
      </c>
      <c r="G3515">
        <f>IF(AND(A3515&gt;=Inputs!$B$5,A3515&lt;=Inputs!$B$6),1,0)</f>
        <v/>
      </c>
    </row>
    <row r="3516">
      <c r="A3516" t="inlineStr">
        <is>
          <t>2026-11</t>
        </is>
      </c>
      <c r="B3516" t="inlineStr">
        <is>
          <t>HOSP-3</t>
        </is>
      </c>
      <c r="C3516" t="inlineStr">
        <is>
          <t>SS-01020</t>
        </is>
      </c>
      <c r="D3516" t="n">
        <v>0</v>
      </c>
      <c r="E3516" t="n">
        <v>0</v>
      </c>
      <c r="G3516">
        <f>IF(AND(A3516&gt;=Inputs!$B$5,A3516&lt;=Inputs!$B$6),1,0)</f>
        <v/>
      </c>
    </row>
    <row r="3517">
      <c r="A3517" t="inlineStr">
        <is>
          <t>2026-11</t>
        </is>
      </c>
      <c r="B3517" t="inlineStr">
        <is>
          <t>HOSP-4</t>
        </is>
      </c>
      <c r="C3517" t="inlineStr">
        <is>
          <t>SS-01021</t>
        </is>
      </c>
      <c r="D3517" t="n">
        <v>2</v>
      </c>
      <c r="E3517" t="n">
        <v>0</v>
      </c>
      <c r="G3517">
        <f>IF(AND(A3517&gt;=Inputs!$B$5,A3517&lt;=Inputs!$B$6),1,0)</f>
        <v/>
      </c>
    </row>
    <row r="3518">
      <c r="A3518" t="inlineStr">
        <is>
          <t>2026-11</t>
        </is>
      </c>
      <c r="B3518" t="inlineStr">
        <is>
          <t>HOSP-1</t>
        </is>
      </c>
      <c r="C3518" t="inlineStr">
        <is>
          <t>SS-01022</t>
        </is>
      </c>
      <c r="D3518" t="n">
        <v>60</v>
      </c>
      <c r="E3518" t="n">
        <v>0</v>
      </c>
      <c r="G3518">
        <f>IF(AND(A3518&gt;=Inputs!$B$5,A3518&lt;=Inputs!$B$6),1,0)</f>
        <v/>
      </c>
    </row>
    <row r="3519">
      <c r="A3519" t="inlineStr">
        <is>
          <t>2026-11</t>
        </is>
      </c>
      <c r="B3519" t="inlineStr">
        <is>
          <t>HOSP-2</t>
        </is>
      </c>
      <c r="C3519" t="inlineStr">
        <is>
          <t>SS-01023</t>
        </is>
      </c>
      <c r="D3519" t="n">
        <v>108</v>
      </c>
      <c r="E3519" t="n">
        <v>0</v>
      </c>
      <c r="G3519">
        <f>IF(AND(A3519&gt;=Inputs!$B$5,A3519&lt;=Inputs!$B$6),1,0)</f>
        <v/>
      </c>
    </row>
    <row r="3520">
      <c r="A3520" t="inlineStr">
        <is>
          <t>2026-11</t>
        </is>
      </c>
      <c r="B3520" t="inlineStr">
        <is>
          <t>HOSP-3</t>
        </is>
      </c>
      <c r="C3520" t="inlineStr">
        <is>
          <t>SS-01024</t>
        </is>
      </c>
      <c r="D3520" t="n">
        <v>12</v>
      </c>
      <c r="E3520" t="n">
        <v>0</v>
      </c>
      <c r="G3520">
        <f>IF(AND(A3520&gt;=Inputs!$B$5,A3520&lt;=Inputs!$B$6),1,0)</f>
        <v/>
      </c>
    </row>
    <row r="3521">
      <c r="A3521" t="inlineStr">
        <is>
          <t>2026-11</t>
        </is>
      </c>
      <c r="B3521" t="inlineStr">
        <is>
          <t>HOSP-4</t>
        </is>
      </c>
      <c r="C3521" t="inlineStr">
        <is>
          <t>SS-01025</t>
        </is>
      </c>
      <c r="D3521" t="n">
        <v>48</v>
      </c>
      <c r="E3521" t="n">
        <v>0</v>
      </c>
      <c r="G3521">
        <f>IF(AND(A3521&gt;=Inputs!$B$5,A3521&lt;=Inputs!$B$6),1,0)</f>
        <v/>
      </c>
    </row>
    <row r="3522">
      <c r="A3522" t="inlineStr">
        <is>
          <t>2026-11</t>
        </is>
      </c>
      <c r="B3522" t="inlineStr">
        <is>
          <t>HOSP-1</t>
        </is>
      </c>
      <c r="C3522" t="inlineStr">
        <is>
          <t>SS-01026</t>
        </is>
      </c>
      <c r="D3522" t="n">
        <v>9</v>
      </c>
      <c r="E3522" t="n">
        <v>0</v>
      </c>
      <c r="G3522">
        <f>IF(AND(A3522&gt;=Inputs!$B$5,A3522&lt;=Inputs!$B$6),1,0)</f>
        <v/>
      </c>
    </row>
    <row r="3523">
      <c r="A3523" t="inlineStr">
        <is>
          <t>2026-11</t>
        </is>
      </c>
      <c r="B3523" t="inlineStr">
        <is>
          <t>HOSP-2</t>
        </is>
      </c>
      <c r="C3523" t="inlineStr">
        <is>
          <t>SS-01027</t>
        </is>
      </c>
      <c r="D3523" t="n">
        <v>0</v>
      </c>
      <c r="E3523" t="n">
        <v>0</v>
      </c>
      <c r="G3523">
        <f>IF(AND(A3523&gt;=Inputs!$B$5,A3523&lt;=Inputs!$B$6),1,0)</f>
        <v/>
      </c>
    </row>
    <row r="3524">
      <c r="A3524" t="inlineStr">
        <is>
          <t>2026-11</t>
        </is>
      </c>
      <c r="B3524" t="inlineStr">
        <is>
          <t>HOSP-3</t>
        </is>
      </c>
      <c r="C3524" t="inlineStr">
        <is>
          <t>SS-01028</t>
        </is>
      </c>
      <c r="D3524" t="n">
        <v>60</v>
      </c>
      <c r="E3524" t="n">
        <v>0</v>
      </c>
      <c r="G3524">
        <f>IF(AND(A3524&gt;=Inputs!$B$5,A3524&lt;=Inputs!$B$6),1,0)</f>
        <v/>
      </c>
    </row>
    <row r="3525">
      <c r="A3525" t="inlineStr">
        <is>
          <t>2026-11</t>
        </is>
      </c>
      <c r="B3525" t="inlineStr">
        <is>
          <t>HOSP-4</t>
        </is>
      </c>
      <c r="C3525" t="inlineStr">
        <is>
          <t>SS-01029</t>
        </is>
      </c>
      <c r="D3525" t="n">
        <v>24</v>
      </c>
      <c r="E3525" t="n">
        <v>0</v>
      </c>
      <c r="G3525">
        <f>IF(AND(A3525&gt;=Inputs!$B$5,A3525&lt;=Inputs!$B$6),1,0)</f>
        <v/>
      </c>
    </row>
    <row r="3526">
      <c r="A3526" t="inlineStr">
        <is>
          <t>2026-11</t>
        </is>
      </c>
      <c r="B3526" t="inlineStr">
        <is>
          <t>HOSP-1</t>
        </is>
      </c>
      <c r="C3526" t="inlineStr">
        <is>
          <t>SS-01030</t>
        </is>
      </c>
      <c r="D3526" t="n">
        <v>48</v>
      </c>
      <c r="E3526" t="n">
        <v>0</v>
      </c>
      <c r="G3526">
        <f>IF(AND(A3526&gt;=Inputs!$B$5,A3526&lt;=Inputs!$B$6),1,0)</f>
        <v/>
      </c>
    </row>
    <row r="3527">
      <c r="A3527" t="inlineStr">
        <is>
          <t>2026-11</t>
        </is>
      </c>
      <c r="B3527" t="inlineStr">
        <is>
          <t>HOSP-2</t>
        </is>
      </c>
      <c r="C3527" t="inlineStr">
        <is>
          <t>SS-01031</t>
        </is>
      </c>
      <c r="D3527" t="n">
        <v>17</v>
      </c>
      <c r="E3527" t="n">
        <v>2</v>
      </c>
      <c r="G3527">
        <f>IF(AND(A3527&gt;=Inputs!$B$5,A3527&lt;=Inputs!$B$6),1,0)</f>
        <v/>
      </c>
    </row>
    <row r="3528">
      <c r="A3528" t="inlineStr">
        <is>
          <t>2026-11</t>
        </is>
      </c>
      <c r="B3528" t="inlineStr">
        <is>
          <t>HOSP-3</t>
        </is>
      </c>
      <c r="C3528" t="inlineStr">
        <is>
          <t>SS-01032</t>
        </is>
      </c>
      <c r="D3528" t="n">
        <v>40</v>
      </c>
      <c r="E3528" t="n">
        <v>0</v>
      </c>
      <c r="G3528">
        <f>IF(AND(A3528&gt;=Inputs!$B$5,A3528&lt;=Inputs!$B$6),1,0)</f>
        <v/>
      </c>
    </row>
    <row r="3529">
      <c r="A3529" t="inlineStr">
        <is>
          <t>2026-11</t>
        </is>
      </c>
      <c r="B3529" t="inlineStr">
        <is>
          <t>HOSP-4</t>
        </is>
      </c>
      <c r="C3529" t="inlineStr">
        <is>
          <t>SS-01100</t>
        </is>
      </c>
      <c r="D3529" t="n">
        <v>19</v>
      </c>
      <c r="E3529" t="n">
        <v>0</v>
      </c>
      <c r="G3529">
        <f>IF(AND(A3529&gt;=Inputs!$B$5,A3529&lt;=Inputs!$B$6),1,0)</f>
        <v/>
      </c>
    </row>
    <row r="3530">
      <c r="A3530" t="inlineStr">
        <is>
          <t>2026-11</t>
        </is>
      </c>
      <c r="B3530" t="inlineStr">
        <is>
          <t>HOSP-1</t>
        </is>
      </c>
      <c r="C3530" t="inlineStr">
        <is>
          <t>SS-01034</t>
        </is>
      </c>
      <c r="D3530" t="n">
        <v>0</v>
      </c>
      <c r="E3530" t="n">
        <v>0</v>
      </c>
      <c r="G3530">
        <f>IF(AND(A3530&gt;=Inputs!$B$5,A3530&lt;=Inputs!$B$6),1,0)</f>
        <v/>
      </c>
    </row>
    <row r="3531">
      <c r="A3531" t="inlineStr">
        <is>
          <t>2026-11</t>
        </is>
      </c>
      <c r="B3531" t="inlineStr">
        <is>
          <t>HOSP-2</t>
        </is>
      </c>
      <c r="C3531" t="inlineStr">
        <is>
          <t>SS-01035</t>
        </is>
      </c>
      <c r="D3531" t="n">
        <v>60</v>
      </c>
      <c r="E3531" t="n">
        <v>0</v>
      </c>
      <c r="G3531">
        <f>IF(AND(A3531&gt;=Inputs!$B$5,A3531&lt;=Inputs!$B$6),1,0)</f>
        <v/>
      </c>
    </row>
    <row r="3532">
      <c r="A3532" t="inlineStr">
        <is>
          <t>2026-11</t>
        </is>
      </c>
      <c r="B3532" t="inlineStr">
        <is>
          <t>HOSP-3</t>
        </is>
      </c>
      <c r="C3532" t="inlineStr">
        <is>
          <t>SS-01036</t>
        </is>
      </c>
      <c r="D3532" t="n">
        <v>56</v>
      </c>
      <c r="E3532" t="n">
        <v>0</v>
      </c>
      <c r="G3532">
        <f>IF(AND(A3532&gt;=Inputs!$B$5,A3532&lt;=Inputs!$B$6),1,0)</f>
        <v/>
      </c>
    </row>
    <row r="3533">
      <c r="A3533" t="inlineStr">
        <is>
          <t>2026-11</t>
        </is>
      </c>
      <c r="B3533" t="inlineStr">
        <is>
          <t>HOSP-4</t>
        </is>
      </c>
      <c r="C3533" t="inlineStr">
        <is>
          <t>SS-01037</t>
        </is>
      </c>
      <c r="D3533" t="n">
        <v>48</v>
      </c>
      <c r="E3533" t="n">
        <v>0</v>
      </c>
      <c r="G3533">
        <f>IF(AND(A3533&gt;=Inputs!$B$5,A3533&lt;=Inputs!$B$6),1,0)</f>
        <v/>
      </c>
    </row>
    <row r="3534">
      <c r="A3534" t="inlineStr">
        <is>
          <t>2026-11</t>
        </is>
      </c>
      <c r="B3534" t="inlineStr">
        <is>
          <t>HOSP-1</t>
        </is>
      </c>
      <c r="C3534" t="inlineStr">
        <is>
          <t>SS-01038</t>
        </is>
      </c>
      <c r="D3534" t="n">
        <v>48</v>
      </c>
      <c r="E3534" t="n">
        <v>0</v>
      </c>
      <c r="G3534">
        <f>IF(AND(A3534&gt;=Inputs!$B$5,A3534&lt;=Inputs!$B$6),1,0)</f>
        <v/>
      </c>
    </row>
    <row r="3535">
      <c r="A3535" t="inlineStr">
        <is>
          <t>2026-11</t>
        </is>
      </c>
      <c r="B3535" t="inlineStr">
        <is>
          <t>HOSP-2</t>
        </is>
      </c>
      <c r="C3535" t="inlineStr">
        <is>
          <t>SS-01039</t>
        </is>
      </c>
      <c r="D3535" t="n">
        <v>300</v>
      </c>
      <c r="E3535" t="n">
        <v>0</v>
      </c>
      <c r="G3535">
        <f>IF(AND(A3535&gt;=Inputs!$B$5,A3535&lt;=Inputs!$B$6),1,0)</f>
        <v/>
      </c>
    </row>
    <row r="3536">
      <c r="A3536" t="inlineStr">
        <is>
          <t>2026-11</t>
        </is>
      </c>
      <c r="B3536" t="inlineStr">
        <is>
          <t>HOSP-3</t>
        </is>
      </c>
      <c r="C3536" t="inlineStr">
        <is>
          <t>SS-01040</t>
        </is>
      </c>
      <c r="D3536" t="n">
        <v>0</v>
      </c>
      <c r="E3536" t="n">
        <v>0</v>
      </c>
      <c r="G3536">
        <f>IF(AND(A3536&gt;=Inputs!$B$5,A3536&lt;=Inputs!$B$6),1,0)</f>
        <v/>
      </c>
    </row>
    <row r="3537">
      <c r="A3537" t="inlineStr">
        <is>
          <t>2026-11</t>
        </is>
      </c>
      <c r="B3537" t="inlineStr">
        <is>
          <t>HOSP-4</t>
        </is>
      </c>
      <c r="C3537" t="inlineStr">
        <is>
          <t>SS-01041</t>
        </is>
      </c>
      <c r="D3537" t="n">
        <v>10</v>
      </c>
      <c r="E3537" t="n">
        <v>0</v>
      </c>
      <c r="G3537">
        <f>IF(AND(A3537&gt;=Inputs!$B$5,A3537&lt;=Inputs!$B$6),1,0)</f>
        <v/>
      </c>
    </row>
    <row r="3538">
      <c r="A3538" t="inlineStr">
        <is>
          <t>2026-11</t>
        </is>
      </c>
      <c r="B3538" t="inlineStr">
        <is>
          <t>HOSP-1</t>
        </is>
      </c>
      <c r="C3538" t="inlineStr">
        <is>
          <t>SS-01042</t>
        </is>
      </c>
      <c r="D3538" t="n">
        <v>12</v>
      </c>
      <c r="E3538" t="n">
        <v>0</v>
      </c>
      <c r="G3538">
        <f>IF(AND(A3538&gt;=Inputs!$B$5,A3538&lt;=Inputs!$B$6),1,0)</f>
        <v/>
      </c>
    </row>
    <row r="3539">
      <c r="A3539" t="inlineStr">
        <is>
          <t>2026-11</t>
        </is>
      </c>
      <c r="B3539" t="inlineStr">
        <is>
          <t>HOSP-2</t>
        </is>
      </c>
      <c r="C3539" t="inlineStr">
        <is>
          <t>SS-01043</t>
        </is>
      </c>
      <c r="D3539" t="n">
        <v>48</v>
      </c>
      <c r="E3539" t="n">
        <v>0</v>
      </c>
      <c r="G3539">
        <f>IF(AND(A3539&gt;=Inputs!$B$5,A3539&lt;=Inputs!$B$6),1,0)</f>
        <v/>
      </c>
    </row>
    <row r="3540">
      <c r="A3540" t="inlineStr">
        <is>
          <t>2026-11</t>
        </is>
      </c>
      <c r="B3540" t="inlineStr">
        <is>
          <t>HOSP-3</t>
        </is>
      </c>
      <c r="C3540" t="inlineStr">
        <is>
          <t>SS-01044</t>
        </is>
      </c>
      <c r="D3540" t="n">
        <v>60</v>
      </c>
      <c r="E3540" t="n">
        <v>0</v>
      </c>
      <c r="G3540">
        <f>IF(AND(A3540&gt;=Inputs!$B$5,A3540&lt;=Inputs!$B$6),1,0)</f>
        <v/>
      </c>
    </row>
    <row r="3541">
      <c r="A3541" t="inlineStr">
        <is>
          <t>2026-11</t>
        </is>
      </c>
      <c r="B3541" t="inlineStr">
        <is>
          <t>HOSP-4</t>
        </is>
      </c>
      <c r="C3541" t="inlineStr">
        <is>
          <t>SS-01045</t>
        </is>
      </c>
      <c r="D3541" t="n">
        <v>12</v>
      </c>
      <c r="E3541" t="n">
        <v>0</v>
      </c>
      <c r="G3541">
        <f>IF(AND(A3541&gt;=Inputs!$B$5,A3541&lt;=Inputs!$B$6),1,0)</f>
        <v/>
      </c>
    </row>
    <row r="3542">
      <c r="A3542" t="inlineStr">
        <is>
          <t>2026-11</t>
        </is>
      </c>
      <c r="B3542" t="inlineStr">
        <is>
          <t>HOSP-1</t>
        </is>
      </c>
      <c r="C3542" t="inlineStr">
        <is>
          <t>SS-01046</t>
        </is>
      </c>
      <c r="D3542" t="n">
        <v>180</v>
      </c>
      <c r="E3542" t="n">
        <v>0</v>
      </c>
      <c r="G3542">
        <f>IF(AND(A3542&gt;=Inputs!$B$5,A3542&lt;=Inputs!$B$6),1,0)</f>
        <v/>
      </c>
    </row>
    <row r="3543">
      <c r="A3543" t="inlineStr">
        <is>
          <t>2026-11</t>
        </is>
      </c>
      <c r="B3543" t="inlineStr">
        <is>
          <t>HOSP-2</t>
        </is>
      </c>
      <c r="C3543" t="inlineStr">
        <is>
          <t>SS-01047</t>
        </is>
      </c>
      <c r="D3543" t="n">
        <v>31</v>
      </c>
      <c r="E3543" t="n">
        <v>0</v>
      </c>
      <c r="G3543">
        <f>IF(AND(A3543&gt;=Inputs!$B$5,A3543&lt;=Inputs!$B$6),1,0)</f>
        <v/>
      </c>
    </row>
    <row r="3544">
      <c r="A3544" t="inlineStr">
        <is>
          <t>2026-11</t>
        </is>
      </c>
      <c r="B3544" t="inlineStr">
        <is>
          <t>HOSP-3</t>
        </is>
      </c>
      <c r="C3544" t="inlineStr">
        <is>
          <t>SS-01048</t>
        </is>
      </c>
      <c r="D3544" t="n">
        <v>24</v>
      </c>
      <c r="E3544" t="n">
        <v>0</v>
      </c>
      <c r="G3544">
        <f>IF(AND(A3544&gt;=Inputs!$B$5,A3544&lt;=Inputs!$B$6),1,0)</f>
        <v/>
      </c>
    </row>
    <row r="3545">
      <c r="A3545" t="inlineStr">
        <is>
          <t>2026-11</t>
        </is>
      </c>
      <c r="B3545" t="inlineStr">
        <is>
          <t>HOSP-4</t>
        </is>
      </c>
      <c r="C3545" t="inlineStr">
        <is>
          <t>SS-01049</t>
        </is>
      </c>
      <c r="D3545" t="n">
        <v>12</v>
      </c>
      <c r="E3545" t="n">
        <v>0</v>
      </c>
      <c r="G3545">
        <f>IF(AND(A3545&gt;=Inputs!$B$5,A3545&lt;=Inputs!$B$6),1,0)</f>
        <v/>
      </c>
    </row>
    <row r="3546">
      <c r="A3546" t="inlineStr">
        <is>
          <t>2026-11</t>
        </is>
      </c>
      <c r="B3546" t="inlineStr">
        <is>
          <t>HOSP-1</t>
        </is>
      </c>
      <c r="C3546" t="inlineStr">
        <is>
          <t>SS-01050</t>
        </is>
      </c>
      <c r="D3546" t="n">
        <v>0</v>
      </c>
      <c r="E3546" t="n">
        <v>0</v>
      </c>
      <c r="G3546">
        <f>IF(AND(A3546&gt;=Inputs!$B$5,A3546&lt;=Inputs!$B$6),1,0)</f>
        <v/>
      </c>
    </row>
    <row r="3547">
      <c r="A3547" t="inlineStr">
        <is>
          <t>2026-11</t>
        </is>
      </c>
      <c r="B3547" t="inlineStr">
        <is>
          <t>HOSP-2</t>
        </is>
      </c>
      <c r="C3547" t="inlineStr">
        <is>
          <t>SS-01051</t>
        </is>
      </c>
      <c r="D3547" t="n">
        <v>12</v>
      </c>
      <c r="E3547" t="n">
        <v>0</v>
      </c>
      <c r="G3547">
        <f>IF(AND(A3547&gt;=Inputs!$B$5,A3547&lt;=Inputs!$B$6),1,0)</f>
        <v/>
      </c>
    </row>
    <row r="3548">
      <c r="A3548" t="inlineStr">
        <is>
          <t>2026-11</t>
        </is>
      </c>
      <c r="B3548" t="inlineStr">
        <is>
          <t>HOSP-3</t>
        </is>
      </c>
      <c r="C3548" t="inlineStr">
        <is>
          <t>SS-01052</t>
        </is>
      </c>
      <c r="D3548" t="n">
        <v>24</v>
      </c>
      <c r="E3548" t="n">
        <v>0</v>
      </c>
      <c r="G3548">
        <f>IF(AND(A3548&gt;=Inputs!$B$5,A3548&lt;=Inputs!$B$6),1,0)</f>
        <v/>
      </c>
    </row>
    <row r="3549">
      <c r="A3549" t="inlineStr">
        <is>
          <t>2026-11</t>
        </is>
      </c>
      <c r="B3549" t="inlineStr">
        <is>
          <t>HOSP-4</t>
        </is>
      </c>
      <c r="C3549" t="inlineStr">
        <is>
          <t>SS-01053</t>
        </is>
      </c>
      <c r="D3549" t="n">
        <v>0</v>
      </c>
      <c r="E3549" t="n">
        <v>0</v>
      </c>
      <c r="G3549">
        <f>IF(AND(A3549&gt;=Inputs!$B$5,A3549&lt;=Inputs!$B$6),1,0)</f>
        <v/>
      </c>
    </row>
    <row r="3550">
      <c r="A3550" t="inlineStr">
        <is>
          <t>2026-11</t>
        </is>
      </c>
      <c r="B3550" t="inlineStr">
        <is>
          <t>HOSP-1</t>
        </is>
      </c>
      <c r="C3550" t="inlineStr">
        <is>
          <t>SS-01054</t>
        </is>
      </c>
      <c r="D3550" t="n">
        <v>30</v>
      </c>
      <c r="E3550" t="n">
        <v>0</v>
      </c>
      <c r="G3550">
        <f>IF(AND(A3550&gt;=Inputs!$B$5,A3550&lt;=Inputs!$B$6),1,0)</f>
        <v/>
      </c>
    </row>
    <row r="3551">
      <c r="A3551" t="inlineStr">
        <is>
          <t>2026-11</t>
        </is>
      </c>
      <c r="B3551" t="inlineStr">
        <is>
          <t>HOSP-2</t>
        </is>
      </c>
      <c r="C3551" t="inlineStr">
        <is>
          <t>SS-01055</t>
        </is>
      </c>
      <c r="D3551" t="n">
        <v>0</v>
      </c>
      <c r="E3551" t="n">
        <v>0</v>
      </c>
      <c r="G3551">
        <f>IF(AND(A3551&gt;=Inputs!$B$5,A3551&lt;=Inputs!$B$6),1,0)</f>
        <v/>
      </c>
    </row>
    <row r="3552">
      <c r="A3552" t="inlineStr">
        <is>
          <t>2026-11</t>
        </is>
      </c>
      <c r="B3552" t="inlineStr">
        <is>
          <t>HOSP-3</t>
        </is>
      </c>
      <c r="C3552" t="inlineStr">
        <is>
          <t>SS-01056</t>
        </is>
      </c>
      <c r="D3552" t="n">
        <v>0</v>
      </c>
      <c r="E3552" t="n">
        <v>0</v>
      </c>
      <c r="G3552">
        <f>IF(AND(A3552&gt;=Inputs!$B$5,A3552&lt;=Inputs!$B$6),1,0)</f>
        <v/>
      </c>
    </row>
    <row r="3553">
      <c r="A3553" t="inlineStr">
        <is>
          <t>2026-11</t>
        </is>
      </c>
      <c r="B3553" t="inlineStr">
        <is>
          <t>HOSP-4</t>
        </is>
      </c>
      <c r="C3553" t="inlineStr">
        <is>
          <t>SS-01057</t>
        </is>
      </c>
      <c r="D3553" t="n">
        <v>72</v>
      </c>
      <c r="E3553" t="n">
        <v>0</v>
      </c>
      <c r="G3553">
        <f>IF(AND(A3553&gt;=Inputs!$B$5,A3553&lt;=Inputs!$B$6),1,0)</f>
        <v/>
      </c>
    </row>
    <row r="3554">
      <c r="A3554" t="inlineStr">
        <is>
          <t>2026-11</t>
        </is>
      </c>
      <c r="B3554" t="inlineStr">
        <is>
          <t>HOSP-1</t>
        </is>
      </c>
      <c r="C3554" t="inlineStr">
        <is>
          <t>SS-01058</t>
        </is>
      </c>
      <c r="D3554" t="n">
        <v>60</v>
      </c>
      <c r="E3554" t="n">
        <v>0</v>
      </c>
      <c r="G3554">
        <f>IF(AND(A3554&gt;=Inputs!$B$5,A3554&lt;=Inputs!$B$6),1,0)</f>
        <v/>
      </c>
    </row>
    <row r="3555">
      <c r="A3555" t="inlineStr">
        <is>
          <t>2026-11</t>
        </is>
      </c>
      <c r="B3555" t="inlineStr">
        <is>
          <t>HOSP-2</t>
        </is>
      </c>
      <c r="C3555" t="inlineStr">
        <is>
          <t>SS-01059</t>
        </is>
      </c>
      <c r="D3555" t="n">
        <v>36</v>
      </c>
      <c r="E3555" t="n">
        <v>0</v>
      </c>
      <c r="G3555">
        <f>IF(AND(A3555&gt;=Inputs!$B$5,A3555&lt;=Inputs!$B$6),1,0)</f>
        <v/>
      </c>
    </row>
    <row r="3556">
      <c r="A3556" t="inlineStr">
        <is>
          <t>2026-11</t>
        </is>
      </c>
      <c r="B3556" t="inlineStr">
        <is>
          <t>HOSP-3</t>
        </is>
      </c>
      <c r="C3556" t="inlineStr">
        <is>
          <t>SS-01060</t>
        </is>
      </c>
      <c r="D3556" t="n">
        <v>12</v>
      </c>
      <c r="E3556" t="n">
        <v>0</v>
      </c>
      <c r="G3556">
        <f>IF(AND(A3556&gt;=Inputs!$B$5,A3556&lt;=Inputs!$B$6),1,0)</f>
        <v/>
      </c>
    </row>
    <row r="3557">
      <c r="A3557" t="inlineStr">
        <is>
          <t>2026-11</t>
        </is>
      </c>
      <c r="B3557" t="inlineStr">
        <is>
          <t>HOSP-4</t>
        </is>
      </c>
      <c r="C3557" t="inlineStr">
        <is>
          <t>SS-01061</t>
        </is>
      </c>
      <c r="D3557" t="n">
        <v>13</v>
      </c>
      <c r="E3557" t="n">
        <v>0</v>
      </c>
      <c r="G3557">
        <f>IF(AND(A3557&gt;=Inputs!$B$5,A3557&lt;=Inputs!$B$6),1,0)</f>
        <v/>
      </c>
    </row>
    <row r="3558">
      <c r="A3558" t="inlineStr">
        <is>
          <t>2026-11</t>
        </is>
      </c>
      <c r="B3558" t="inlineStr">
        <is>
          <t>HOSP-1</t>
        </is>
      </c>
      <c r="C3558" t="inlineStr">
        <is>
          <t>SS-01062</t>
        </is>
      </c>
      <c r="D3558" t="n">
        <v>52</v>
      </c>
      <c r="E3558" t="n">
        <v>0</v>
      </c>
      <c r="G3558">
        <f>IF(AND(A3558&gt;=Inputs!$B$5,A3558&lt;=Inputs!$B$6),1,0)</f>
        <v/>
      </c>
    </row>
    <row r="3559">
      <c r="A3559" t="inlineStr">
        <is>
          <t>2026-11</t>
        </is>
      </c>
      <c r="B3559" t="inlineStr">
        <is>
          <t>HOSP-2</t>
        </is>
      </c>
      <c r="C3559" t="inlineStr">
        <is>
          <t>SS-01063</t>
        </is>
      </c>
      <c r="D3559" t="n">
        <v>0</v>
      </c>
      <c r="E3559" t="n">
        <v>0</v>
      </c>
      <c r="G3559">
        <f>IF(AND(A3559&gt;=Inputs!$B$5,A3559&lt;=Inputs!$B$6),1,0)</f>
        <v/>
      </c>
    </row>
    <row r="3560">
      <c r="A3560" t="inlineStr">
        <is>
          <t>2026-11</t>
        </is>
      </c>
      <c r="B3560" t="inlineStr">
        <is>
          <t>HOSP-3</t>
        </is>
      </c>
      <c r="C3560" t="inlineStr">
        <is>
          <t>SS-01064</t>
        </is>
      </c>
      <c r="D3560" t="n">
        <v>24</v>
      </c>
      <c r="E3560" t="n">
        <v>0</v>
      </c>
      <c r="G3560">
        <f>IF(AND(A3560&gt;=Inputs!$B$5,A3560&lt;=Inputs!$B$6),1,0)</f>
        <v/>
      </c>
    </row>
    <row r="3561">
      <c r="A3561" t="inlineStr">
        <is>
          <t>2026-11</t>
        </is>
      </c>
      <c r="B3561" t="inlineStr">
        <is>
          <t>HOSP-4</t>
        </is>
      </c>
      <c r="C3561" t="inlineStr">
        <is>
          <t>SS-01065</t>
        </is>
      </c>
      <c r="D3561" t="n">
        <v>60</v>
      </c>
      <c r="E3561" t="n">
        <v>0</v>
      </c>
      <c r="G3561">
        <f>IF(AND(A3561&gt;=Inputs!$B$5,A3561&lt;=Inputs!$B$6),1,0)</f>
        <v/>
      </c>
    </row>
    <row r="3562">
      <c r="A3562" t="inlineStr">
        <is>
          <t>2026-11</t>
        </is>
      </c>
      <c r="B3562" t="inlineStr">
        <is>
          <t>HOSP-1</t>
        </is>
      </c>
      <c r="C3562" t="inlineStr">
        <is>
          <t>SS-01066</t>
        </is>
      </c>
      <c r="D3562" t="n">
        <v>12</v>
      </c>
      <c r="E3562" t="n">
        <v>0</v>
      </c>
      <c r="G3562">
        <f>IF(AND(A3562&gt;=Inputs!$B$5,A3562&lt;=Inputs!$B$6),1,0)</f>
        <v/>
      </c>
    </row>
    <row r="3563">
      <c r="A3563" t="inlineStr">
        <is>
          <t>2026-11</t>
        </is>
      </c>
      <c r="B3563" t="inlineStr">
        <is>
          <t>HOSP-2</t>
        </is>
      </c>
      <c r="C3563" t="inlineStr">
        <is>
          <t>SS-01067</t>
        </is>
      </c>
      <c r="D3563" t="n">
        <v>12</v>
      </c>
      <c r="E3563" t="n">
        <v>0</v>
      </c>
      <c r="G3563">
        <f>IF(AND(A3563&gt;=Inputs!$B$5,A3563&lt;=Inputs!$B$6),1,0)</f>
        <v/>
      </c>
    </row>
    <row r="3564">
      <c r="A3564" t="inlineStr">
        <is>
          <t>2026-11</t>
        </is>
      </c>
      <c r="B3564" t="inlineStr">
        <is>
          <t>HOSP-3</t>
        </is>
      </c>
      <c r="C3564" t="inlineStr">
        <is>
          <t>SS-01068</t>
        </is>
      </c>
      <c r="D3564" t="n">
        <v>0</v>
      </c>
      <c r="E3564" t="n">
        <v>0</v>
      </c>
      <c r="G3564">
        <f>IF(AND(A3564&gt;=Inputs!$B$5,A3564&lt;=Inputs!$B$6),1,0)</f>
        <v/>
      </c>
    </row>
    <row r="3565">
      <c r="A3565" t="inlineStr">
        <is>
          <t>2026-11</t>
        </is>
      </c>
      <c r="B3565" t="inlineStr">
        <is>
          <t>HOSP-4</t>
        </is>
      </c>
      <c r="C3565" t="inlineStr">
        <is>
          <t>SS-01069</t>
        </is>
      </c>
      <c r="D3565" t="n">
        <v>0</v>
      </c>
      <c r="E3565" t="n">
        <v>0</v>
      </c>
      <c r="G3565">
        <f>IF(AND(A3565&gt;=Inputs!$B$5,A3565&lt;=Inputs!$B$6),1,0)</f>
        <v/>
      </c>
    </row>
    <row r="3566">
      <c r="A3566" t="inlineStr">
        <is>
          <t>2026-11</t>
        </is>
      </c>
      <c r="B3566" t="inlineStr">
        <is>
          <t>HOSP-1</t>
        </is>
      </c>
      <c r="C3566" t="inlineStr">
        <is>
          <t>SS-01070</t>
        </is>
      </c>
      <c r="D3566" t="n">
        <v>12</v>
      </c>
      <c r="E3566" t="n">
        <v>0</v>
      </c>
      <c r="G3566">
        <f>IF(AND(A3566&gt;=Inputs!$B$5,A3566&lt;=Inputs!$B$6),1,0)</f>
        <v/>
      </c>
    </row>
    <row r="3567">
      <c r="A3567" t="inlineStr">
        <is>
          <t>2026-11</t>
        </is>
      </c>
      <c r="B3567" t="inlineStr">
        <is>
          <t>HOSP-2</t>
        </is>
      </c>
      <c r="C3567" t="inlineStr">
        <is>
          <t>SS-01071</t>
        </is>
      </c>
      <c r="D3567" t="n">
        <v>12</v>
      </c>
      <c r="E3567" t="n">
        <v>0</v>
      </c>
      <c r="G3567">
        <f>IF(AND(A3567&gt;=Inputs!$B$5,A3567&lt;=Inputs!$B$6),1,0)</f>
        <v/>
      </c>
    </row>
    <row r="3568">
      <c r="A3568" t="inlineStr">
        <is>
          <t>2026-11</t>
        </is>
      </c>
      <c r="B3568" t="inlineStr">
        <is>
          <t>HOSP-3</t>
        </is>
      </c>
      <c r="C3568" t="inlineStr">
        <is>
          <t>SS-01072</t>
        </is>
      </c>
      <c r="D3568" t="n">
        <v>0</v>
      </c>
      <c r="E3568" t="n">
        <v>0</v>
      </c>
      <c r="G3568">
        <f>IF(AND(A3568&gt;=Inputs!$B$5,A3568&lt;=Inputs!$B$6),1,0)</f>
        <v/>
      </c>
    </row>
    <row r="3569">
      <c r="A3569" t="inlineStr">
        <is>
          <t>2026-11</t>
        </is>
      </c>
      <c r="B3569" t="inlineStr">
        <is>
          <t>HOSP-4</t>
        </is>
      </c>
      <c r="C3569" t="inlineStr">
        <is>
          <t>SS-01027</t>
        </is>
      </c>
      <c r="D3569" t="n">
        <v>12</v>
      </c>
      <c r="E3569" t="n">
        <v>0</v>
      </c>
      <c r="G3569">
        <f>IF(AND(A3569&gt;=Inputs!$B$5,A3569&lt;=Inputs!$B$6),1,0)</f>
        <v/>
      </c>
    </row>
    <row r="3570">
      <c r="A3570" t="inlineStr">
        <is>
          <t>2026-11</t>
        </is>
      </c>
      <c r="B3570" t="inlineStr">
        <is>
          <t>HOSP-1</t>
        </is>
      </c>
      <c r="C3570" t="inlineStr">
        <is>
          <t>SS-01074</t>
        </is>
      </c>
      <c r="D3570" t="n">
        <v>0</v>
      </c>
      <c r="E3570" t="n">
        <v>0</v>
      </c>
      <c r="G3570">
        <f>IF(AND(A3570&gt;=Inputs!$B$5,A3570&lt;=Inputs!$B$6),1,0)</f>
        <v/>
      </c>
    </row>
    <row r="3571">
      <c r="A3571" t="inlineStr">
        <is>
          <t>2026-11</t>
        </is>
      </c>
      <c r="B3571" t="inlineStr">
        <is>
          <t>HOSP-2</t>
        </is>
      </c>
      <c r="C3571" t="inlineStr">
        <is>
          <t>SS-01075</t>
        </is>
      </c>
      <c r="D3571" t="n">
        <v>12</v>
      </c>
      <c r="E3571" t="n">
        <v>0</v>
      </c>
      <c r="G3571">
        <f>IF(AND(A3571&gt;=Inputs!$B$5,A3571&lt;=Inputs!$B$6),1,0)</f>
        <v/>
      </c>
    </row>
    <row r="3572">
      <c r="A3572" t="inlineStr">
        <is>
          <t>2026-11</t>
        </is>
      </c>
      <c r="B3572" t="inlineStr">
        <is>
          <t>HOSP-3</t>
        </is>
      </c>
      <c r="C3572" t="inlineStr">
        <is>
          <t>SS-01076</t>
        </is>
      </c>
      <c r="D3572" t="n">
        <v>72</v>
      </c>
      <c r="E3572" t="n">
        <v>0</v>
      </c>
      <c r="G3572">
        <f>IF(AND(A3572&gt;=Inputs!$B$5,A3572&lt;=Inputs!$B$6),1,0)</f>
        <v/>
      </c>
    </row>
    <row r="3573">
      <c r="A3573" t="inlineStr">
        <is>
          <t>2026-11</t>
        </is>
      </c>
      <c r="B3573" t="inlineStr">
        <is>
          <t>HOSP-4</t>
        </is>
      </c>
      <c r="C3573" t="inlineStr">
        <is>
          <t>SS-01077</t>
        </is>
      </c>
      <c r="D3573" t="n">
        <v>24</v>
      </c>
      <c r="E3573" t="n">
        <v>0</v>
      </c>
      <c r="G3573">
        <f>IF(AND(A3573&gt;=Inputs!$B$5,A3573&lt;=Inputs!$B$6),1,0)</f>
        <v/>
      </c>
    </row>
    <row r="3574">
      <c r="A3574" t="inlineStr">
        <is>
          <t>2026-11</t>
        </is>
      </c>
      <c r="B3574" t="inlineStr">
        <is>
          <t>HOSP-1</t>
        </is>
      </c>
      <c r="C3574" t="inlineStr">
        <is>
          <t>SS-01078</t>
        </is>
      </c>
      <c r="D3574" t="n">
        <v>12</v>
      </c>
      <c r="E3574" t="n">
        <v>0</v>
      </c>
      <c r="G3574">
        <f>IF(AND(A3574&gt;=Inputs!$B$5,A3574&lt;=Inputs!$B$6),1,0)</f>
        <v/>
      </c>
    </row>
    <row r="3575">
      <c r="A3575" t="inlineStr">
        <is>
          <t>2026-11</t>
        </is>
      </c>
      <c r="B3575" t="inlineStr">
        <is>
          <t>HOSP-2</t>
        </is>
      </c>
      <c r="C3575" t="inlineStr">
        <is>
          <t>SS-01079</t>
        </is>
      </c>
      <c r="D3575" t="n">
        <v>12</v>
      </c>
      <c r="E3575" t="n">
        <v>0</v>
      </c>
      <c r="G3575">
        <f>IF(AND(A3575&gt;=Inputs!$B$5,A3575&lt;=Inputs!$B$6),1,0)</f>
        <v/>
      </c>
    </row>
    <row r="3576">
      <c r="A3576" t="inlineStr">
        <is>
          <t>2026-11</t>
        </is>
      </c>
      <c r="B3576" t="inlineStr">
        <is>
          <t>HOSP-3</t>
        </is>
      </c>
      <c r="C3576" t="inlineStr">
        <is>
          <t>SS-01164</t>
        </is>
      </c>
      <c r="D3576" t="n">
        <v>24</v>
      </c>
      <c r="E3576" t="n">
        <v>0</v>
      </c>
      <c r="G3576">
        <f>IF(AND(A3576&gt;=Inputs!$B$5,A3576&lt;=Inputs!$B$6),1,0)</f>
        <v/>
      </c>
    </row>
    <row r="3577">
      <c r="A3577" t="inlineStr">
        <is>
          <t>2026-11</t>
        </is>
      </c>
      <c r="B3577" t="inlineStr">
        <is>
          <t>HOSP-4</t>
        </is>
      </c>
      <c r="C3577" t="inlineStr">
        <is>
          <t>SS-01035</t>
        </is>
      </c>
      <c r="D3577" t="n">
        <v>2</v>
      </c>
      <c r="E3577" t="n">
        <v>7</v>
      </c>
      <c r="G3577">
        <f>IF(AND(A3577&gt;=Inputs!$B$5,A3577&lt;=Inputs!$B$6),1,0)</f>
        <v/>
      </c>
    </row>
    <row r="3578">
      <c r="A3578" t="inlineStr">
        <is>
          <t>2026-11</t>
        </is>
      </c>
      <c r="B3578" t="inlineStr">
        <is>
          <t>HOSP-1</t>
        </is>
      </c>
      <c r="C3578" t="inlineStr">
        <is>
          <t>SS-01082</t>
        </is>
      </c>
      <c r="D3578" t="n">
        <v>24</v>
      </c>
      <c r="E3578" t="n">
        <v>0</v>
      </c>
      <c r="G3578">
        <f>IF(AND(A3578&gt;=Inputs!$B$5,A3578&lt;=Inputs!$B$6),1,0)</f>
        <v/>
      </c>
    </row>
    <row r="3579">
      <c r="A3579" t="inlineStr">
        <is>
          <t>2026-11</t>
        </is>
      </c>
      <c r="B3579" t="inlineStr">
        <is>
          <t>HOSP-2</t>
        </is>
      </c>
      <c r="C3579" t="inlineStr">
        <is>
          <t>SS-01083</t>
        </is>
      </c>
      <c r="D3579" t="n">
        <v>12</v>
      </c>
      <c r="E3579" t="n">
        <v>0</v>
      </c>
      <c r="G3579">
        <f>IF(AND(A3579&gt;=Inputs!$B$5,A3579&lt;=Inputs!$B$6),1,0)</f>
        <v/>
      </c>
    </row>
    <row r="3580">
      <c r="A3580" t="inlineStr">
        <is>
          <t>2026-11</t>
        </is>
      </c>
      <c r="B3580" t="inlineStr">
        <is>
          <t>HOSP-3</t>
        </is>
      </c>
      <c r="C3580" t="inlineStr">
        <is>
          <t>SS-01084</t>
        </is>
      </c>
      <c r="D3580" t="n">
        <v>2</v>
      </c>
      <c r="E3580" t="n">
        <v>3</v>
      </c>
      <c r="G3580">
        <f>IF(AND(A3580&gt;=Inputs!$B$5,A3580&lt;=Inputs!$B$6),1,0)</f>
        <v/>
      </c>
    </row>
    <row r="3581">
      <c r="A3581" t="inlineStr">
        <is>
          <t>2026-11</t>
        </is>
      </c>
      <c r="B3581" t="inlineStr">
        <is>
          <t>HOSP-4</t>
        </is>
      </c>
      <c r="C3581" t="inlineStr">
        <is>
          <t>SS-01085</t>
        </is>
      </c>
      <c r="D3581" t="n">
        <v>5</v>
      </c>
      <c r="E3581" t="n">
        <v>0</v>
      </c>
      <c r="G3581">
        <f>IF(AND(A3581&gt;=Inputs!$B$5,A3581&lt;=Inputs!$B$6),1,0)</f>
        <v/>
      </c>
    </row>
    <row r="3582">
      <c r="A3582" t="inlineStr">
        <is>
          <t>2026-11</t>
        </is>
      </c>
      <c r="B3582" t="inlineStr">
        <is>
          <t>HOSP-1</t>
        </is>
      </c>
      <c r="C3582" t="inlineStr">
        <is>
          <t>SS-01233</t>
        </is>
      </c>
      <c r="D3582" t="n">
        <v>132</v>
      </c>
      <c r="E3582" t="n">
        <v>0</v>
      </c>
      <c r="G3582">
        <f>IF(AND(A3582&gt;=Inputs!$B$5,A3582&lt;=Inputs!$B$6),1,0)</f>
        <v/>
      </c>
    </row>
    <row r="3583">
      <c r="A3583" t="inlineStr">
        <is>
          <t>2026-11</t>
        </is>
      </c>
      <c r="B3583" t="inlineStr">
        <is>
          <t>HOSP-2</t>
        </is>
      </c>
      <c r="C3583" t="inlineStr">
        <is>
          <t>SS-01087</t>
        </is>
      </c>
      <c r="D3583" t="n">
        <v>36</v>
      </c>
      <c r="E3583" t="n">
        <v>0</v>
      </c>
      <c r="G3583">
        <f>IF(AND(A3583&gt;=Inputs!$B$5,A3583&lt;=Inputs!$B$6),1,0)</f>
        <v/>
      </c>
    </row>
    <row r="3584">
      <c r="A3584" t="inlineStr">
        <is>
          <t>2026-11</t>
        </is>
      </c>
      <c r="B3584" t="inlineStr">
        <is>
          <t>HOSP-3</t>
        </is>
      </c>
      <c r="C3584" t="inlineStr">
        <is>
          <t>SS-01088</t>
        </is>
      </c>
      <c r="D3584" t="n">
        <v>0</v>
      </c>
      <c r="E3584" t="n">
        <v>0</v>
      </c>
      <c r="G3584">
        <f>IF(AND(A3584&gt;=Inputs!$B$5,A3584&lt;=Inputs!$B$6),1,0)</f>
        <v/>
      </c>
    </row>
    <row r="3585">
      <c r="A3585" t="inlineStr">
        <is>
          <t>2026-11</t>
        </is>
      </c>
      <c r="B3585" t="inlineStr">
        <is>
          <t>HOSP-4</t>
        </is>
      </c>
      <c r="C3585" t="inlineStr">
        <is>
          <t>SS-01089</t>
        </is>
      </c>
      <c r="D3585" t="n">
        <v>12</v>
      </c>
      <c r="E3585" t="n">
        <v>0</v>
      </c>
      <c r="G3585">
        <f>IF(AND(A3585&gt;=Inputs!$B$5,A3585&lt;=Inputs!$B$6),1,0)</f>
        <v/>
      </c>
    </row>
    <row r="3586">
      <c r="A3586" t="inlineStr">
        <is>
          <t>2026-11</t>
        </is>
      </c>
      <c r="B3586" t="inlineStr">
        <is>
          <t>HOSP-1</t>
        </is>
      </c>
      <c r="C3586" t="inlineStr">
        <is>
          <t>SS-01090</t>
        </is>
      </c>
      <c r="D3586" t="n">
        <v>24</v>
      </c>
      <c r="E3586" t="n">
        <v>0</v>
      </c>
      <c r="G3586">
        <f>IF(AND(A3586&gt;=Inputs!$B$5,A3586&lt;=Inputs!$B$6),1,0)</f>
        <v/>
      </c>
    </row>
    <row r="3587">
      <c r="A3587" t="inlineStr">
        <is>
          <t>2026-11</t>
        </is>
      </c>
      <c r="B3587" t="inlineStr">
        <is>
          <t>HOSP-2</t>
        </is>
      </c>
      <c r="C3587" t="inlineStr">
        <is>
          <t>SS-01091</t>
        </is>
      </c>
      <c r="D3587" t="n">
        <v>36</v>
      </c>
      <c r="E3587" t="n">
        <v>0</v>
      </c>
      <c r="G3587">
        <f>IF(AND(A3587&gt;=Inputs!$B$5,A3587&lt;=Inputs!$B$6),1,0)</f>
        <v/>
      </c>
    </row>
    <row r="3588">
      <c r="A3588" t="inlineStr">
        <is>
          <t>2026-11</t>
        </is>
      </c>
      <c r="B3588" t="inlineStr">
        <is>
          <t>HOSP-3</t>
        </is>
      </c>
      <c r="C3588" t="inlineStr">
        <is>
          <t>SS-01092</t>
        </is>
      </c>
      <c r="D3588" t="n">
        <v>12</v>
      </c>
      <c r="E3588" t="n">
        <v>0</v>
      </c>
      <c r="G3588">
        <f>IF(AND(A3588&gt;=Inputs!$B$5,A3588&lt;=Inputs!$B$6),1,0)</f>
        <v/>
      </c>
    </row>
    <row r="3589">
      <c r="A3589" t="inlineStr">
        <is>
          <t>2026-11</t>
        </is>
      </c>
      <c r="B3589" t="inlineStr">
        <is>
          <t>HOSP-4</t>
        </is>
      </c>
      <c r="C3589" t="inlineStr">
        <is>
          <t>SS-01093</t>
        </is>
      </c>
      <c r="D3589" t="n">
        <v>12</v>
      </c>
      <c r="E3589" t="n">
        <v>0</v>
      </c>
      <c r="G3589">
        <f>IF(AND(A3589&gt;=Inputs!$B$5,A3589&lt;=Inputs!$B$6),1,0)</f>
        <v/>
      </c>
    </row>
    <row r="3590">
      <c r="A3590" t="inlineStr">
        <is>
          <t>2026-11</t>
        </is>
      </c>
      <c r="B3590" t="inlineStr">
        <is>
          <t>HOSP-1</t>
        </is>
      </c>
      <c r="C3590" t="inlineStr">
        <is>
          <t>SS-01094</t>
        </is>
      </c>
      <c r="D3590" t="n">
        <v>454</v>
      </c>
      <c r="E3590" t="n">
        <v>0</v>
      </c>
      <c r="G3590">
        <f>IF(AND(A3590&gt;=Inputs!$B$5,A3590&lt;=Inputs!$B$6),1,0)</f>
        <v/>
      </c>
    </row>
    <row r="3591">
      <c r="A3591" t="inlineStr">
        <is>
          <t>2026-11</t>
        </is>
      </c>
      <c r="B3591" t="inlineStr">
        <is>
          <t>HOSP-2</t>
        </is>
      </c>
      <c r="C3591" t="inlineStr">
        <is>
          <t>SS-01095</t>
        </is>
      </c>
      <c r="D3591" t="n">
        <v>12</v>
      </c>
      <c r="E3591" t="n">
        <v>0</v>
      </c>
      <c r="G3591">
        <f>IF(AND(A3591&gt;=Inputs!$B$5,A3591&lt;=Inputs!$B$6),1,0)</f>
        <v/>
      </c>
    </row>
    <row r="3592">
      <c r="A3592" t="inlineStr">
        <is>
          <t>2026-11</t>
        </is>
      </c>
      <c r="B3592" t="inlineStr">
        <is>
          <t>HOSP-3</t>
        </is>
      </c>
      <c r="C3592" t="inlineStr">
        <is>
          <t>SS-01096</t>
        </is>
      </c>
      <c r="D3592" t="n">
        <v>48</v>
      </c>
      <c r="E3592" t="n">
        <v>0</v>
      </c>
      <c r="G3592">
        <f>IF(AND(A3592&gt;=Inputs!$B$5,A3592&lt;=Inputs!$B$6),1,0)</f>
        <v/>
      </c>
    </row>
    <row r="3593">
      <c r="A3593" t="inlineStr">
        <is>
          <t>2026-11</t>
        </is>
      </c>
      <c r="B3593" t="inlineStr">
        <is>
          <t>HOSP-4</t>
        </is>
      </c>
      <c r="C3593" t="inlineStr">
        <is>
          <t>SS-01050</t>
        </is>
      </c>
      <c r="D3593" t="n">
        <v>10</v>
      </c>
      <c r="E3593" t="n">
        <v>1</v>
      </c>
      <c r="G3593">
        <f>IF(AND(A3593&gt;=Inputs!$B$5,A3593&lt;=Inputs!$B$6),1,0)</f>
        <v/>
      </c>
    </row>
    <row r="3594">
      <c r="A3594" t="inlineStr">
        <is>
          <t>2026-11</t>
        </is>
      </c>
      <c r="B3594" t="inlineStr">
        <is>
          <t>HOSP-1</t>
        </is>
      </c>
      <c r="C3594" t="inlineStr">
        <is>
          <t>SS-01098</t>
        </is>
      </c>
      <c r="D3594" t="n">
        <v>12</v>
      </c>
      <c r="E3594" t="n">
        <v>0</v>
      </c>
      <c r="G3594">
        <f>IF(AND(A3594&gt;=Inputs!$B$5,A3594&lt;=Inputs!$B$6),1,0)</f>
        <v/>
      </c>
    </row>
    <row r="3595">
      <c r="A3595" t="inlineStr">
        <is>
          <t>2026-11</t>
        </is>
      </c>
      <c r="B3595" t="inlineStr">
        <is>
          <t>HOSP-2</t>
        </is>
      </c>
      <c r="C3595" t="inlineStr">
        <is>
          <t>SS-01099</t>
        </is>
      </c>
      <c r="D3595" t="n">
        <v>24</v>
      </c>
      <c r="E3595" t="n">
        <v>0</v>
      </c>
      <c r="G3595">
        <f>IF(AND(A3595&gt;=Inputs!$B$5,A3595&lt;=Inputs!$B$6),1,0)</f>
        <v/>
      </c>
    </row>
    <row r="3596">
      <c r="A3596" t="inlineStr">
        <is>
          <t>2026-11</t>
        </is>
      </c>
      <c r="B3596" t="inlineStr">
        <is>
          <t>HOSP-3</t>
        </is>
      </c>
      <c r="C3596" t="inlineStr">
        <is>
          <t>SS-01100</t>
        </is>
      </c>
      <c r="D3596" t="n">
        <v>12</v>
      </c>
      <c r="E3596" t="n">
        <v>0</v>
      </c>
      <c r="G3596">
        <f>IF(AND(A3596&gt;=Inputs!$B$5,A3596&lt;=Inputs!$B$6),1,0)</f>
        <v/>
      </c>
    </row>
    <row r="3597">
      <c r="A3597" t="inlineStr">
        <is>
          <t>2026-11</t>
        </is>
      </c>
      <c r="B3597" t="inlineStr">
        <is>
          <t>HOSP-4</t>
        </is>
      </c>
      <c r="C3597" t="inlineStr">
        <is>
          <t>SS-01101</t>
        </is>
      </c>
      <c r="D3597" t="n">
        <v>12</v>
      </c>
      <c r="E3597" t="n">
        <v>0</v>
      </c>
      <c r="G3597">
        <f>IF(AND(A3597&gt;=Inputs!$B$5,A3597&lt;=Inputs!$B$6),1,0)</f>
        <v/>
      </c>
    </row>
    <row r="3598">
      <c r="A3598" t="inlineStr">
        <is>
          <t>2026-11</t>
        </is>
      </c>
      <c r="B3598" t="inlineStr">
        <is>
          <t>HOSP-1</t>
        </is>
      </c>
      <c r="C3598" t="inlineStr">
        <is>
          <t>SS-01102</t>
        </is>
      </c>
      <c r="D3598" t="n">
        <v>35</v>
      </c>
      <c r="E3598" t="n">
        <v>0</v>
      </c>
      <c r="G3598">
        <f>IF(AND(A3598&gt;=Inputs!$B$5,A3598&lt;=Inputs!$B$6),1,0)</f>
        <v/>
      </c>
    </row>
    <row r="3599">
      <c r="A3599" t="inlineStr">
        <is>
          <t>2026-11</t>
        </is>
      </c>
      <c r="B3599" t="inlineStr">
        <is>
          <t>HOSP-2</t>
        </is>
      </c>
      <c r="C3599" t="inlineStr">
        <is>
          <t>SS-01103</t>
        </is>
      </c>
      <c r="D3599" t="n">
        <v>168</v>
      </c>
      <c r="E3599" t="n">
        <v>0</v>
      </c>
      <c r="G3599">
        <f>IF(AND(A3599&gt;=Inputs!$B$5,A3599&lt;=Inputs!$B$6),1,0)</f>
        <v/>
      </c>
    </row>
    <row r="3600">
      <c r="A3600" t="inlineStr">
        <is>
          <t>2026-11</t>
        </is>
      </c>
      <c r="B3600" t="inlineStr">
        <is>
          <t>HOSP-3</t>
        </is>
      </c>
      <c r="C3600" t="inlineStr">
        <is>
          <t>SS-01104</t>
        </is>
      </c>
      <c r="D3600" t="n">
        <v>168</v>
      </c>
      <c r="E3600" t="n">
        <v>0</v>
      </c>
      <c r="G3600">
        <f>IF(AND(A3600&gt;=Inputs!$B$5,A3600&lt;=Inputs!$B$6),1,0)</f>
        <v/>
      </c>
    </row>
    <row r="3601">
      <c r="A3601" t="inlineStr">
        <is>
          <t>2026-11</t>
        </is>
      </c>
      <c r="B3601" t="inlineStr">
        <is>
          <t>HOSP-4</t>
        </is>
      </c>
      <c r="C3601" t="inlineStr">
        <is>
          <t>SS-01105</t>
        </is>
      </c>
      <c r="D3601" t="n">
        <v>24</v>
      </c>
      <c r="E3601" t="n">
        <v>0</v>
      </c>
      <c r="G3601">
        <f>IF(AND(A3601&gt;=Inputs!$B$5,A3601&lt;=Inputs!$B$6),1,0)</f>
        <v/>
      </c>
    </row>
    <row r="3602">
      <c r="A3602" t="inlineStr">
        <is>
          <t>2026-11</t>
        </is>
      </c>
      <c r="B3602" t="inlineStr">
        <is>
          <t>HOSP-1</t>
        </is>
      </c>
      <c r="C3602" t="inlineStr">
        <is>
          <t>SS-01106</t>
        </is>
      </c>
      <c r="D3602" t="n">
        <v>192</v>
      </c>
      <c r="E3602" t="n">
        <v>0</v>
      </c>
      <c r="G3602">
        <f>IF(AND(A3602&gt;=Inputs!$B$5,A3602&lt;=Inputs!$B$6),1,0)</f>
        <v/>
      </c>
    </row>
    <row r="3603">
      <c r="A3603" t="inlineStr">
        <is>
          <t>2026-11</t>
        </is>
      </c>
      <c r="B3603" t="inlineStr">
        <is>
          <t>HOSP-2</t>
        </is>
      </c>
      <c r="C3603" t="inlineStr">
        <is>
          <t>SS-01107</t>
        </is>
      </c>
      <c r="D3603" t="n">
        <v>36</v>
      </c>
      <c r="E3603" t="n">
        <v>0</v>
      </c>
      <c r="G3603">
        <f>IF(AND(A3603&gt;=Inputs!$B$5,A3603&lt;=Inputs!$B$6),1,0)</f>
        <v/>
      </c>
    </row>
    <row r="3604">
      <c r="A3604" t="inlineStr">
        <is>
          <t>2026-11</t>
        </is>
      </c>
      <c r="B3604" t="inlineStr">
        <is>
          <t>HOSP-3</t>
        </is>
      </c>
      <c r="C3604" t="inlineStr">
        <is>
          <t>SS-01108</t>
        </is>
      </c>
      <c r="D3604" t="n">
        <v>60</v>
      </c>
      <c r="E3604" t="n">
        <v>0</v>
      </c>
      <c r="G3604">
        <f>IF(AND(A3604&gt;=Inputs!$B$5,A3604&lt;=Inputs!$B$6),1,0)</f>
        <v/>
      </c>
    </row>
    <row r="3605">
      <c r="A3605" t="inlineStr">
        <is>
          <t>2026-11</t>
        </is>
      </c>
      <c r="B3605" t="inlineStr">
        <is>
          <t>HOSP-4</t>
        </is>
      </c>
      <c r="C3605" t="inlineStr">
        <is>
          <t>SS-01109</t>
        </is>
      </c>
      <c r="D3605" t="n">
        <v>0</v>
      </c>
      <c r="E3605" t="n">
        <v>2</v>
      </c>
      <c r="G3605">
        <f>IF(AND(A3605&gt;=Inputs!$B$5,A3605&lt;=Inputs!$B$6),1,0)</f>
        <v/>
      </c>
    </row>
    <row r="3606">
      <c r="A3606" t="inlineStr">
        <is>
          <t>2026-11</t>
        </is>
      </c>
      <c r="B3606" t="inlineStr">
        <is>
          <t>HOSP-1</t>
        </is>
      </c>
      <c r="C3606" t="inlineStr">
        <is>
          <t>SS-01183</t>
        </is>
      </c>
      <c r="D3606" t="n">
        <v>24</v>
      </c>
      <c r="E3606" t="n">
        <v>0</v>
      </c>
      <c r="G3606">
        <f>IF(AND(A3606&gt;=Inputs!$B$5,A3606&lt;=Inputs!$B$6),1,0)</f>
        <v/>
      </c>
    </row>
    <row r="3607">
      <c r="A3607" t="inlineStr">
        <is>
          <t>2026-11</t>
        </is>
      </c>
      <c r="B3607" t="inlineStr">
        <is>
          <t>HOSP-2</t>
        </is>
      </c>
      <c r="C3607" t="inlineStr">
        <is>
          <t>SS-01111</t>
        </is>
      </c>
      <c r="D3607" t="n">
        <v>60</v>
      </c>
      <c r="E3607" t="n">
        <v>0</v>
      </c>
      <c r="G3607">
        <f>IF(AND(A3607&gt;=Inputs!$B$5,A3607&lt;=Inputs!$B$6),1,0)</f>
        <v/>
      </c>
    </row>
    <row r="3608">
      <c r="A3608" t="inlineStr">
        <is>
          <t>2026-11</t>
        </is>
      </c>
      <c r="B3608" t="inlineStr">
        <is>
          <t>HOSP-3</t>
        </is>
      </c>
      <c r="C3608" t="inlineStr">
        <is>
          <t>SS-01112</t>
        </is>
      </c>
      <c r="D3608" t="n">
        <v>13</v>
      </c>
      <c r="E3608" t="n">
        <v>0</v>
      </c>
      <c r="G3608">
        <f>IF(AND(A3608&gt;=Inputs!$B$5,A3608&lt;=Inputs!$B$6),1,0)</f>
        <v/>
      </c>
    </row>
    <row r="3609">
      <c r="A3609" t="inlineStr">
        <is>
          <t>2026-11</t>
        </is>
      </c>
      <c r="B3609" t="inlineStr">
        <is>
          <t>HOSP-4</t>
        </is>
      </c>
      <c r="C3609" t="inlineStr">
        <is>
          <t>SS-01113</t>
        </is>
      </c>
      <c r="D3609" t="n">
        <v>12</v>
      </c>
      <c r="E3609" t="n">
        <v>0</v>
      </c>
      <c r="G3609">
        <f>IF(AND(A3609&gt;=Inputs!$B$5,A3609&lt;=Inputs!$B$6),1,0)</f>
        <v/>
      </c>
    </row>
    <row r="3610">
      <c r="A3610" t="inlineStr">
        <is>
          <t>2026-11</t>
        </is>
      </c>
      <c r="B3610" t="inlineStr">
        <is>
          <t>HOSP-1</t>
        </is>
      </c>
      <c r="C3610" t="inlineStr">
        <is>
          <t>SS-01114</t>
        </is>
      </c>
      <c r="D3610" t="n">
        <v>12</v>
      </c>
      <c r="E3610" t="n">
        <v>0</v>
      </c>
      <c r="G3610">
        <f>IF(AND(A3610&gt;=Inputs!$B$5,A3610&lt;=Inputs!$B$6),1,0)</f>
        <v/>
      </c>
    </row>
    <row r="3611">
      <c r="A3611" t="inlineStr">
        <is>
          <t>2026-11</t>
        </is>
      </c>
      <c r="B3611" t="inlineStr">
        <is>
          <t>HOSP-2</t>
        </is>
      </c>
      <c r="C3611" t="inlineStr">
        <is>
          <t>SS-01115</t>
        </is>
      </c>
      <c r="D3611" t="n">
        <v>12</v>
      </c>
      <c r="E3611" t="n">
        <v>0</v>
      </c>
      <c r="G3611">
        <f>IF(AND(A3611&gt;=Inputs!$B$5,A3611&lt;=Inputs!$B$6),1,0)</f>
        <v/>
      </c>
    </row>
    <row r="3612">
      <c r="A3612" t="inlineStr">
        <is>
          <t>2026-11</t>
        </is>
      </c>
      <c r="B3612" t="inlineStr">
        <is>
          <t>HOSP-3</t>
        </is>
      </c>
      <c r="C3612" t="inlineStr">
        <is>
          <t>SS-01116</t>
        </is>
      </c>
      <c r="D3612" t="n">
        <v>108</v>
      </c>
      <c r="E3612" t="n">
        <v>0</v>
      </c>
      <c r="G3612">
        <f>IF(AND(A3612&gt;=Inputs!$B$5,A3612&lt;=Inputs!$B$6),1,0)</f>
        <v/>
      </c>
    </row>
    <row r="3613">
      <c r="A3613" t="inlineStr">
        <is>
          <t>2026-11</t>
        </is>
      </c>
      <c r="B3613" t="inlineStr">
        <is>
          <t>HOSP-4</t>
        </is>
      </c>
      <c r="C3613" t="inlineStr">
        <is>
          <t>SS-01117</t>
        </is>
      </c>
      <c r="D3613" t="n">
        <v>24</v>
      </c>
      <c r="E3613" t="n">
        <v>0</v>
      </c>
      <c r="G3613">
        <f>IF(AND(A3613&gt;=Inputs!$B$5,A3613&lt;=Inputs!$B$6),1,0)</f>
        <v/>
      </c>
    </row>
    <row r="3614">
      <c r="A3614" t="inlineStr">
        <is>
          <t>2026-11</t>
        </is>
      </c>
      <c r="B3614" t="inlineStr">
        <is>
          <t>HOSP-1</t>
        </is>
      </c>
      <c r="C3614" t="inlineStr">
        <is>
          <t>SS-01218</t>
        </is>
      </c>
      <c r="D3614" t="n">
        <v>14</v>
      </c>
      <c r="E3614" t="n">
        <v>1</v>
      </c>
      <c r="G3614">
        <f>IF(AND(A3614&gt;=Inputs!$B$5,A3614&lt;=Inputs!$B$6),1,0)</f>
        <v/>
      </c>
    </row>
    <row r="3615">
      <c r="A3615" t="inlineStr">
        <is>
          <t>2026-11</t>
        </is>
      </c>
      <c r="B3615" t="inlineStr">
        <is>
          <t>HOSP-2</t>
        </is>
      </c>
      <c r="C3615" t="inlineStr">
        <is>
          <t>SS-01119</t>
        </is>
      </c>
      <c r="D3615" t="n">
        <v>6</v>
      </c>
      <c r="E3615" t="n">
        <v>3</v>
      </c>
      <c r="G3615">
        <f>IF(AND(A3615&gt;=Inputs!$B$5,A3615&lt;=Inputs!$B$6),1,0)</f>
        <v/>
      </c>
    </row>
    <row r="3616">
      <c r="A3616" t="inlineStr">
        <is>
          <t>2026-11</t>
        </is>
      </c>
      <c r="B3616" t="inlineStr">
        <is>
          <t>HOSP-3</t>
        </is>
      </c>
      <c r="C3616" t="inlineStr">
        <is>
          <t>SS-01120</t>
        </is>
      </c>
      <c r="D3616" t="n">
        <v>48</v>
      </c>
      <c r="E3616" t="n">
        <v>0</v>
      </c>
      <c r="G3616">
        <f>IF(AND(A3616&gt;=Inputs!$B$5,A3616&lt;=Inputs!$B$6),1,0)</f>
        <v/>
      </c>
    </row>
    <row r="3617">
      <c r="A3617" t="inlineStr">
        <is>
          <t>2026-11</t>
        </is>
      </c>
      <c r="B3617" t="inlineStr">
        <is>
          <t>HOSP-4</t>
        </is>
      </c>
      <c r="C3617" t="inlineStr">
        <is>
          <t>SS-01121</t>
        </is>
      </c>
      <c r="D3617" t="n">
        <v>12</v>
      </c>
      <c r="E3617" t="n">
        <v>0</v>
      </c>
      <c r="G3617">
        <f>IF(AND(A3617&gt;=Inputs!$B$5,A3617&lt;=Inputs!$B$6),1,0)</f>
        <v/>
      </c>
    </row>
    <row r="3618">
      <c r="A3618" t="inlineStr">
        <is>
          <t>2026-11</t>
        </is>
      </c>
      <c r="B3618" t="inlineStr">
        <is>
          <t>HOSP-1</t>
        </is>
      </c>
      <c r="C3618" t="inlineStr">
        <is>
          <t>SS-01122</t>
        </is>
      </c>
      <c r="D3618" t="n">
        <v>60</v>
      </c>
      <c r="E3618" t="n">
        <v>0</v>
      </c>
      <c r="G3618">
        <f>IF(AND(A3618&gt;=Inputs!$B$5,A3618&lt;=Inputs!$B$6),1,0)</f>
        <v/>
      </c>
    </row>
    <row r="3619">
      <c r="A3619" t="inlineStr">
        <is>
          <t>2026-11</t>
        </is>
      </c>
      <c r="B3619" t="inlineStr">
        <is>
          <t>HOSP-2</t>
        </is>
      </c>
      <c r="C3619" t="inlineStr">
        <is>
          <t>SS-01123</t>
        </is>
      </c>
      <c r="D3619" t="n">
        <v>5</v>
      </c>
      <c r="E3619" t="n">
        <v>0</v>
      </c>
      <c r="G3619">
        <f>IF(AND(A3619&gt;=Inputs!$B$5,A3619&lt;=Inputs!$B$6),1,0)</f>
        <v/>
      </c>
    </row>
    <row r="3620">
      <c r="A3620" t="inlineStr">
        <is>
          <t>2026-11</t>
        </is>
      </c>
      <c r="B3620" t="inlineStr">
        <is>
          <t>HOSP-3</t>
        </is>
      </c>
      <c r="C3620" t="inlineStr">
        <is>
          <t>SS-01124</t>
        </is>
      </c>
      <c r="D3620" t="n">
        <v>0</v>
      </c>
      <c r="E3620" t="n">
        <v>0</v>
      </c>
      <c r="G3620">
        <f>IF(AND(A3620&gt;=Inputs!$B$5,A3620&lt;=Inputs!$B$6),1,0)</f>
        <v/>
      </c>
    </row>
    <row r="3621">
      <c r="A3621" t="inlineStr">
        <is>
          <t>2026-11</t>
        </is>
      </c>
      <c r="B3621" t="inlineStr">
        <is>
          <t>HOSP-4</t>
        </is>
      </c>
      <c r="C3621" t="inlineStr">
        <is>
          <t>SS-01125</t>
        </is>
      </c>
      <c r="D3621" t="n">
        <v>120</v>
      </c>
      <c r="E3621" t="n">
        <v>0</v>
      </c>
      <c r="G3621">
        <f>IF(AND(A3621&gt;=Inputs!$B$5,A3621&lt;=Inputs!$B$6),1,0)</f>
        <v/>
      </c>
    </row>
    <row r="3622">
      <c r="A3622" t="inlineStr">
        <is>
          <t>2026-11</t>
        </is>
      </c>
      <c r="B3622" t="inlineStr">
        <is>
          <t>HOSP-1</t>
        </is>
      </c>
      <c r="C3622" t="inlineStr">
        <is>
          <t>SS-01148</t>
        </is>
      </c>
      <c r="D3622" t="n">
        <v>19</v>
      </c>
      <c r="E3622" t="n">
        <v>2</v>
      </c>
      <c r="G3622">
        <f>IF(AND(A3622&gt;=Inputs!$B$5,A3622&lt;=Inputs!$B$6),1,0)</f>
        <v/>
      </c>
    </row>
    <row r="3623">
      <c r="A3623" t="inlineStr">
        <is>
          <t>2026-11</t>
        </is>
      </c>
      <c r="B3623" t="inlineStr">
        <is>
          <t>HOSP-2</t>
        </is>
      </c>
      <c r="C3623" t="inlineStr">
        <is>
          <t>SS-01127</t>
        </is>
      </c>
      <c r="D3623" t="n">
        <v>32</v>
      </c>
      <c r="E3623" t="n">
        <v>0</v>
      </c>
      <c r="G3623">
        <f>IF(AND(A3623&gt;=Inputs!$B$5,A3623&lt;=Inputs!$B$6),1,0)</f>
        <v/>
      </c>
    </row>
    <row r="3624">
      <c r="A3624" t="inlineStr">
        <is>
          <t>2026-11</t>
        </is>
      </c>
      <c r="B3624" t="inlineStr">
        <is>
          <t>HOSP-3</t>
        </is>
      </c>
      <c r="C3624" t="inlineStr">
        <is>
          <t>SS-01128</t>
        </is>
      </c>
      <c r="D3624" t="n">
        <v>408</v>
      </c>
      <c r="E3624" t="n">
        <v>0</v>
      </c>
      <c r="G3624">
        <f>IF(AND(A3624&gt;=Inputs!$B$5,A3624&lt;=Inputs!$B$6),1,0)</f>
        <v/>
      </c>
    </row>
    <row r="3625">
      <c r="A3625" t="inlineStr">
        <is>
          <t>2026-11</t>
        </is>
      </c>
      <c r="B3625" t="inlineStr">
        <is>
          <t>HOSP-4</t>
        </is>
      </c>
      <c r="C3625" t="inlineStr">
        <is>
          <t>SS-01129</t>
        </is>
      </c>
      <c r="D3625" t="n">
        <v>0</v>
      </c>
      <c r="E3625" t="n">
        <v>0</v>
      </c>
      <c r="G3625">
        <f>IF(AND(A3625&gt;=Inputs!$B$5,A3625&lt;=Inputs!$B$6),1,0)</f>
        <v/>
      </c>
    </row>
    <row r="3626">
      <c r="A3626" t="inlineStr">
        <is>
          <t>2026-11</t>
        </is>
      </c>
      <c r="B3626" t="inlineStr">
        <is>
          <t>HOSP-1</t>
        </is>
      </c>
      <c r="C3626" t="inlineStr">
        <is>
          <t>SS-01130</t>
        </is>
      </c>
      <c r="D3626" t="n">
        <v>0</v>
      </c>
      <c r="E3626" t="n">
        <v>0</v>
      </c>
      <c r="G3626">
        <f>IF(AND(A3626&gt;=Inputs!$B$5,A3626&lt;=Inputs!$B$6),1,0)</f>
        <v/>
      </c>
    </row>
    <row r="3627">
      <c r="A3627" t="inlineStr">
        <is>
          <t>2026-11</t>
        </is>
      </c>
      <c r="B3627" t="inlineStr">
        <is>
          <t>HOSP-2</t>
        </is>
      </c>
      <c r="C3627" t="inlineStr">
        <is>
          <t>SS-01131</t>
        </is>
      </c>
      <c r="D3627" t="n">
        <v>12</v>
      </c>
      <c r="E3627" t="n">
        <v>0</v>
      </c>
      <c r="G3627">
        <f>IF(AND(A3627&gt;=Inputs!$B$5,A3627&lt;=Inputs!$B$6),1,0)</f>
        <v/>
      </c>
    </row>
    <row r="3628">
      <c r="A3628" t="inlineStr">
        <is>
          <t>2026-11</t>
        </is>
      </c>
      <c r="B3628" t="inlineStr">
        <is>
          <t>HOSP-3</t>
        </is>
      </c>
      <c r="C3628" t="inlineStr">
        <is>
          <t>SS-01132</t>
        </is>
      </c>
      <c r="D3628" t="n">
        <v>408</v>
      </c>
      <c r="E3628" t="n">
        <v>0</v>
      </c>
      <c r="G3628">
        <f>IF(AND(A3628&gt;=Inputs!$B$5,A3628&lt;=Inputs!$B$6),1,0)</f>
        <v/>
      </c>
    </row>
    <row r="3629">
      <c r="A3629" t="inlineStr">
        <is>
          <t>2026-11</t>
        </is>
      </c>
      <c r="B3629" t="inlineStr">
        <is>
          <t>HOSP-4</t>
        </is>
      </c>
      <c r="C3629" t="inlineStr">
        <is>
          <t>SS-01133</t>
        </is>
      </c>
      <c r="D3629" t="n">
        <v>12</v>
      </c>
      <c r="E3629" t="n">
        <v>0</v>
      </c>
      <c r="G3629">
        <f>IF(AND(A3629&gt;=Inputs!$B$5,A3629&lt;=Inputs!$B$6),1,0)</f>
        <v/>
      </c>
    </row>
    <row r="3630">
      <c r="A3630" t="inlineStr">
        <is>
          <t>2026-11</t>
        </is>
      </c>
      <c r="B3630" t="inlineStr">
        <is>
          <t>HOSP-1</t>
        </is>
      </c>
      <c r="C3630" t="inlineStr">
        <is>
          <t>SS-01134</t>
        </is>
      </c>
      <c r="D3630" t="n">
        <v>53</v>
      </c>
      <c r="E3630" t="n">
        <v>1</v>
      </c>
      <c r="G3630">
        <f>IF(AND(A3630&gt;=Inputs!$B$5,A3630&lt;=Inputs!$B$6),1,0)</f>
        <v/>
      </c>
    </row>
    <row r="3631">
      <c r="A3631" t="inlineStr">
        <is>
          <t>2026-11</t>
        </is>
      </c>
      <c r="B3631" t="inlineStr">
        <is>
          <t>HOSP-2</t>
        </is>
      </c>
      <c r="C3631" t="inlineStr">
        <is>
          <t>SS-01135</t>
        </is>
      </c>
      <c r="D3631" t="n">
        <v>24</v>
      </c>
      <c r="E3631" t="n">
        <v>0</v>
      </c>
      <c r="G3631">
        <f>IF(AND(A3631&gt;=Inputs!$B$5,A3631&lt;=Inputs!$B$6),1,0)</f>
        <v/>
      </c>
    </row>
    <row r="3632">
      <c r="A3632" t="inlineStr">
        <is>
          <t>2026-11</t>
        </is>
      </c>
      <c r="B3632" t="inlineStr">
        <is>
          <t>HOSP-3</t>
        </is>
      </c>
      <c r="C3632" t="inlineStr">
        <is>
          <t>SS-01136</t>
        </is>
      </c>
      <c r="D3632" t="n">
        <v>24</v>
      </c>
      <c r="E3632" t="n">
        <v>0</v>
      </c>
      <c r="G3632">
        <f>IF(AND(A3632&gt;=Inputs!$B$5,A3632&lt;=Inputs!$B$6),1,0)</f>
        <v/>
      </c>
    </row>
    <row r="3633">
      <c r="A3633" t="inlineStr">
        <is>
          <t>2026-11</t>
        </is>
      </c>
      <c r="B3633" t="inlineStr">
        <is>
          <t>HOSP-4</t>
        </is>
      </c>
      <c r="C3633" t="inlineStr">
        <is>
          <t>SS-01137</t>
        </is>
      </c>
      <c r="D3633" t="n">
        <v>0</v>
      </c>
      <c r="E3633" t="n">
        <v>0</v>
      </c>
      <c r="G3633">
        <f>IF(AND(A3633&gt;=Inputs!$B$5,A3633&lt;=Inputs!$B$6),1,0)</f>
        <v/>
      </c>
    </row>
    <row r="3634">
      <c r="A3634" t="inlineStr">
        <is>
          <t>2026-11</t>
        </is>
      </c>
      <c r="B3634" t="inlineStr">
        <is>
          <t>HOSP-1</t>
        </is>
      </c>
      <c r="C3634" t="inlineStr">
        <is>
          <t>SS-01138</t>
        </is>
      </c>
      <c r="D3634" t="n">
        <v>12</v>
      </c>
      <c r="E3634" t="n">
        <v>0</v>
      </c>
      <c r="G3634">
        <f>IF(AND(A3634&gt;=Inputs!$B$5,A3634&lt;=Inputs!$B$6),1,0)</f>
        <v/>
      </c>
    </row>
    <row r="3635">
      <c r="A3635" t="inlineStr">
        <is>
          <t>2026-11</t>
        </is>
      </c>
      <c r="B3635" t="inlineStr">
        <is>
          <t>HOSP-2</t>
        </is>
      </c>
      <c r="C3635" t="inlineStr">
        <is>
          <t>SS-01139</t>
        </is>
      </c>
      <c r="D3635" t="n">
        <v>0</v>
      </c>
      <c r="E3635" t="n">
        <v>7</v>
      </c>
      <c r="F3635" t="inlineStr">
        <is>
          <t>surge</t>
        </is>
      </c>
      <c r="G3635">
        <f>IF(AND(A3635&gt;=Inputs!$B$5,A3635&lt;=Inputs!$B$6),1,0)</f>
        <v/>
      </c>
    </row>
    <row r="3636">
      <c r="A3636" t="inlineStr">
        <is>
          <t>2026-11</t>
        </is>
      </c>
      <c r="B3636" t="inlineStr">
        <is>
          <t>HOSP-3</t>
        </is>
      </c>
      <c r="C3636" t="inlineStr">
        <is>
          <t>SS-01140</t>
        </is>
      </c>
      <c r="D3636" t="n">
        <v>0</v>
      </c>
      <c r="E3636" t="n">
        <v>0</v>
      </c>
      <c r="G3636">
        <f>IF(AND(A3636&gt;=Inputs!$B$5,A3636&lt;=Inputs!$B$6),1,0)</f>
        <v/>
      </c>
    </row>
    <row r="3637">
      <c r="A3637" t="inlineStr">
        <is>
          <t>2026-11</t>
        </is>
      </c>
      <c r="B3637" t="inlineStr">
        <is>
          <t>HOSP-4</t>
        </is>
      </c>
      <c r="C3637" t="inlineStr">
        <is>
          <t>SS-01141</t>
        </is>
      </c>
      <c r="D3637" t="n">
        <v>17</v>
      </c>
      <c r="E3637" t="n">
        <v>0</v>
      </c>
      <c r="G3637">
        <f>IF(AND(A3637&gt;=Inputs!$B$5,A3637&lt;=Inputs!$B$6),1,0)</f>
        <v/>
      </c>
    </row>
    <row r="3638">
      <c r="A3638" t="inlineStr">
        <is>
          <t>2026-11</t>
        </is>
      </c>
      <c r="B3638" t="inlineStr">
        <is>
          <t>HOSP-1</t>
        </is>
      </c>
      <c r="C3638" t="inlineStr">
        <is>
          <t>SS-01142</t>
        </is>
      </c>
      <c r="D3638" t="n">
        <v>12</v>
      </c>
      <c r="E3638" t="n">
        <v>0</v>
      </c>
      <c r="G3638">
        <f>IF(AND(A3638&gt;=Inputs!$B$5,A3638&lt;=Inputs!$B$6),1,0)</f>
        <v/>
      </c>
    </row>
    <row r="3639">
      <c r="A3639" t="inlineStr">
        <is>
          <t>2026-11</t>
        </is>
      </c>
      <c r="B3639" t="inlineStr">
        <is>
          <t>HOSP-2</t>
        </is>
      </c>
      <c r="C3639" t="inlineStr">
        <is>
          <t>SS-01201</t>
        </is>
      </c>
      <c r="D3639" t="n">
        <v>6</v>
      </c>
      <c r="E3639" t="n">
        <v>0</v>
      </c>
      <c r="G3639">
        <f>IF(AND(A3639&gt;=Inputs!$B$5,A3639&lt;=Inputs!$B$6),1,0)</f>
        <v/>
      </c>
    </row>
    <row r="3640">
      <c r="A3640" t="inlineStr">
        <is>
          <t>2026-11</t>
        </is>
      </c>
      <c r="B3640" t="inlineStr">
        <is>
          <t>HOSP-3</t>
        </is>
      </c>
      <c r="C3640" t="inlineStr">
        <is>
          <t>SS-01144</t>
        </is>
      </c>
      <c r="D3640" t="n">
        <v>60</v>
      </c>
      <c r="E3640" t="n">
        <v>0</v>
      </c>
      <c r="G3640">
        <f>IF(AND(A3640&gt;=Inputs!$B$5,A3640&lt;=Inputs!$B$6),1,0)</f>
        <v/>
      </c>
    </row>
    <row r="3641">
      <c r="A3641" t="inlineStr">
        <is>
          <t>2026-11</t>
        </is>
      </c>
      <c r="B3641" t="inlineStr">
        <is>
          <t>HOSP-4</t>
        </is>
      </c>
      <c r="C3641" t="inlineStr">
        <is>
          <t>SS-01145</t>
        </is>
      </c>
      <c r="D3641" t="n">
        <v>12</v>
      </c>
      <c r="E3641" t="n">
        <v>0</v>
      </c>
      <c r="G3641">
        <f>IF(AND(A3641&gt;=Inputs!$B$5,A3641&lt;=Inputs!$B$6),1,0)</f>
        <v/>
      </c>
    </row>
    <row r="3642">
      <c r="A3642" t="inlineStr">
        <is>
          <t>2026-11</t>
        </is>
      </c>
      <c r="B3642" t="inlineStr">
        <is>
          <t>HOSP-1</t>
        </is>
      </c>
      <c r="C3642" t="inlineStr">
        <is>
          <t>SS-01146</t>
        </is>
      </c>
      <c r="D3642" t="n">
        <v>15</v>
      </c>
      <c r="E3642" t="n">
        <v>2</v>
      </c>
      <c r="G3642">
        <f>IF(AND(A3642&gt;=Inputs!$B$5,A3642&lt;=Inputs!$B$6),1,0)</f>
        <v/>
      </c>
    </row>
    <row r="3643">
      <c r="A3643" t="inlineStr">
        <is>
          <t>2026-11</t>
        </is>
      </c>
      <c r="B3643" t="inlineStr">
        <is>
          <t>HOSP-2</t>
        </is>
      </c>
      <c r="C3643" t="inlineStr">
        <is>
          <t>SS-01147</t>
        </is>
      </c>
      <c r="D3643" t="n">
        <v>60</v>
      </c>
      <c r="E3643" t="n">
        <v>0</v>
      </c>
      <c r="G3643">
        <f>IF(AND(A3643&gt;=Inputs!$B$5,A3643&lt;=Inputs!$B$6),1,0)</f>
        <v/>
      </c>
    </row>
    <row r="3644">
      <c r="A3644" t="inlineStr">
        <is>
          <t>2026-11</t>
        </is>
      </c>
      <c r="B3644" t="inlineStr">
        <is>
          <t>HOSP-3</t>
        </is>
      </c>
      <c r="C3644" t="inlineStr">
        <is>
          <t>SS-01148</t>
        </is>
      </c>
      <c r="D3644" t="n">
        <v>0</v>
      </c>
      <c r="E3644" t="n">
        <v>0</v>
      </c>
      <c r="G3644">
        <f>IF(AND(A3644&gt;=Inputs!$B$5,A3644&lt;=Inputs!$B$6),1,0)</f>
        <v/>
      </c>
    </row>
    <row r="3645">
      <c r="A3645" t="inlineStr">
        <is>
          <t>2026-11</t>
        </is>
      </c>
      <c r="B3645" t="inlineStr">
        <is>
          <t>HOSP-4</t>
        </is>
      </c>
      <c r="C3645" t="inlineStr">
        <is>
          <t>SS-01149</t>
        </is>
      </c>
      <c r="D3645" t="n">
        <v>14</v>
      </c>
      <c r="E3645" t="n">
        <v>1</v>
      </c>
      <c r="G3645">
        <f>IF(AND(A3645&gt;=Inputs!$B$5,A3645&lt;=Inputs!$B$6),1,0)</f>
        <v/>
      </c>
    </row>
    <row r="3646">
      <c r="A3646" t="inlineStr">
        <is>
          <t>2026-11</t>
        </is>
      </c>
      <c r="B3646" t="inlineStr">
        <is>
          <t>HOSP-1</t>
        </is>
      </c>
      <c r="C3646" t="inlineStr">
        <is>
          <t>SS-01150</t>
        </is>
      </c>
      <c r="D3646" t="n">
        <v>12</v>
      </c>
      <c r="E3646" t="n">
        <v>0</v>
      </c>
      <c r="G3646">
        <f>IF(AND(A3646&gt;=Inputs!$B$5,A3646&lt;=Inputs!$B$6),1,0)</f>
        <v/>
      </c>
    </row>
    <row r="3647">
      <c r="A3647" t="inlineStr">
        <is>
          <t>2026-11</t>
        </is>
      </c>
      <c r="B3647" t="inlineStr">
        <is>
          <t>HOSP-2</t>
        </is>
      </c>
      <c r="C3647" t="inlineStr">
        <is>
          <t>SS-01151</t>
        </is>
      </c>
      <c r="D3647" t="n">
        <v>24</v>
      </c>
      <c r="E3647" t="n">
        <v>0</v>
      </c>
      <c r="G3647">
        <f>IF(AND(A3647&gt;=Inputs!$B$5,A3647&lt;=Inputs!$B$6),1,0)</f>
        <v/>
      </c>
    </row>
    <row r="3648">
      <c r="A3648" t="inlineStr">
        <is>
          <t>2026-11</t>
        </is>
      </c>
      <c r="B3648" t="inlineStr">
        <is>
          <t>HOSP-3</t>
        </is>
      </c>
      <c r="C3648" t="inlineStr">
        <is>
          <t>SS-01152</t>
        </is>
      </c>
      <c r="D3648" t="n">
        <v>12</v>
      </c>
      <c r="E3648" t="n">
        <v>0</v>
      </c>
      <c r="G3648">
        <f>IF(AND(A3648&gt;=Inputs!$B$5,A3648&lt;=Inputs!$B$6),1,0)</f>
        <v/>
      </c>
    </row>
    <row r="3649">
      <c r="A3649" t="inlineStr">
        <is>
          <t>2026-11</t>
        </is>
      </c>
      <c r="B3649" t="inlineStr">
        <is>
          <t>HOSP-4</t>
        </is>
      </c>
      <c r="C3649" t="inlineStr">
        <is>
          <t>SS-01153</t>
        </is>
      </c>
      <c r="D3649" t="n">
        <v>12</v>
      </c>
      <c r="E3649" t="n">
        <v>0</v>
      </c>
      <c r="G3649">
        <f>IF(AND(A3649&gt;=Inputs!$B$5,A3649&lt;=Inputs!$B$6),1,0)</f>
        <v/>
      </c>
    </row>
    <row r="3650">
      <c r="A3650" t="inlineStr">
        <is>
          <t>2026-11</t>
        </is>
      </c>
      <c r="B3650" t="inlineStr">
        <is>
          <t>HOSP-1</t>
        </is>
      </c>
      <c r="C3650" t="inlineStr">
        <is>
          <t>SS-01154</t>
        </is>
      </c>
      <c r="D3650" t="n">
        <v>0</v>
      </c>
      <c r="E3650" t="n">
        <v>0</v>
      </c>
      <c r="G3650">
        <f>IF(AND(A3650&gt;=Inputs!$B$5,A3650&lt;=Inputs!$B$6),1,0)</f>
        <v/>
      </c>
    </row>
    <row r="3651">
      <c r="A3651" t="inlineStr">
        <is>
          <t>2026-11</t>
        </is>
      </c>
      <c r="B3651" t="inlineStr">
        <is>
          <t>HOSP-2</t>
        </is>
      </c>
      <c r="C3651" t="inlineStr">
        <is>
          <t>SS-01155</t>
        </is>
      </c>
      <c r="D3651" t="n">
        <v>12</v>
      </c>
      <c r="E3651" t="n">
        <v>0</v>
      </c>
      <c r="G3651">
        <f>IF(AND(A3651&gt;=Inputs!$B$5,A3651&lt;=Inputs!$B$6),1,0)</f>
        <v/>
      </c>
    </row>
    <row r="3652">
      <c r="A3652" t="inlineStr">
        <is>
          <t>2026-11</t>
        </is>
      </c>
      <c r="B3652" t="inlineStr">
        <is>
          <t>HOSP-3</t>
        </is>
      </c>
      <c r="C3652" t="inlineStr">
        <is>
          <t>SS-01156</t>
        </is>
      </c>
      <c r="D3652" t="n">
        <v>17</v>
      </c>
      <c r="E3652" t="n">
        <v>1</v>
      </c>
      <c r="G3652">
        <f>IF(AND(A3652&gt;=Inputs!$B$5,A3652&lt;=Inputs!$B$6),1,0)</f>
        <v/>
      </c>
    </row>
    <row r="3653">
      <c r="A3653" t="inlineStr">
        <is>
          <t>2026-11</t>
        </is>
      </c>
      <c r="B3653" t="inlineStr">
        <is>
          <t>HOSP-4</t>
        </is>
      </c>
      <c r="C3653" t="inlineStr">
        <is>
          <t>SS-01157</t>
        </is>
      </c>
      <c r="D3653" t="n">
        <v>48</v>
      </c>
      <c r="E3653" t="n">
        <v>0</v>
      </c>
      <c r="G3653">
        <f>IF(AND(A3653&gt;=Inputs!$B$5,A3653&lt;=Inputs!$B$6),1,0)</f>
        <v/>
      </c>
    </row>
    <row r="3654">
      <c r="A3654" t="inlineStr">
        <is>
          <t>2026-11</t>
        </is>
      </c>
      <c r="B3654" t="inlineStr">
        <is>
          <t>HOSP-1</t>
        </is>
      </c>
      <c r="C3654" t="inlineStr">
        <is>
          <t>SS-01158</t>
        </is>
      </c>
      <c r="D3654" t="n">
        <v>24</v>
      </c>
      <c r="E3654" t="n">
        <v>0</v>
      </c>
      <c r="G3654">
        <f>IF(AND(A3654&gt;=Inputs!$B$5,A3654&lt;=Inputs!$B$6),1,0)</f>
        <v/>
      </c>
    </row>
    <row r="3655">
      <c r="A3655" t="inlineStr">
        <is>
          <t>2026-11</t>
        </is>
      </c>
      <c r="B3655" t="inlineStr">
        <is>
          <t>HOSP-2</t>
        </is>
      </c>
      <c r="C3655" t="inlineStr">
        <is>
          <t>SS-01159</t>
        </is>
      </c>
      <c r="D3655" t="n">
        <v>0</v>
      </c>
      <c r="E3655" t="n">
        <v>1</v>
      </c>
      <c r="G3655">
        <f>IF(AND(A3655&gt;=Inputs!$B$5,A3655&lt;=Inputs!$B$6),1,0)</f>
        <v/>
      </c>
    </row>
    <row r="3656">
      <c r="A3656" t="inlineStr">
        <is>
          <t>2026-11</t>
        </is>
      </c>
      <c r="B3656" t="inlineStr">
        <is>
          <t>HOSP-3</t>
        </is>
      </c>
      <c r="C3656" t="inlineStr">
        <is>
          <t>SS-01160</t>
        </is>
      </c>
      <c r="D3656" t="n">
        <v>0</v>
      </c>
      <c r="E3656" t="n">
        <v>1</v>
      </c>
      <c r="G3656">
        <f>IF(AND(A3656&gt;=Inputs!$B$5,A3656&lt;=Inputs!$B$6),1,0)</f>
        <v/>
      </c>
    </row>
    <row r="3657">
      <c r="A3657" t="inlineStr">
        <is>
          <t>2026-11</t>
        </is>
      </c>
      <c r="B3657" t="inlineStr">
        <is>
          <t>HOSP-4</t>
        </is>
      </c>
      <c r="C3657" t="inlineStr">
        <is>
          <t>SS-01161</t>
        </is>
      </c>
      <c r="D3657" t="n">
        <v>28</v>
      </c>
      <c r="E3657" t="n">
        <v>0</v>
      </c>
      <c r="G3657">
        <f>IF(AND(A3657&gt;=Inputs!$B$5,A3657&lt;=Inputs!$B$6),1,0)</f>
        <v/>
      </c>
    </row>
    <row r="3658">
      <c r="A3658" t="inlineStr">
        <is>
          <t>2026-11</t>
        </is>
      </c>
      <c r="B3658" t="inlineStr">
        <is>
          <t>HOSP-1</t>
        </is>
      </c>
      <c r="C3658" t="inlineStr">
        <is>
          <t>SS-01162</t>
        </is>
      </c>
      <c r="D3658" t="n">
        <v>8</v>
      </c>
      <c r="E3658" t="n">
        <v>1</v>
      </c>
      <c r="G3658">
        <f>IF(AND(A3658&gt;=Inputs!$B$5,A3658&lt;=Inputs!$B$6),1,0)</f>
        <v/>
      </c>
    </row>
    <row r="3659">
      <c r="A3659" t="inlineStr">
        <is>
          <t>2026-11</t>
        </is>
      </c>
      <c r="B3659" t="inlineStr">
        <is>
          <t>HOSP-2</t>
        </is>
      </c>
      <c r="C3659" t="inlineStr">
        <is>
          <t>SS-01163</t>
        </is>
      </c>
      <c r="D3659" t="n">
        <v>0</v>
      </c>
      <c r="E3659" t="n">
        <v>0</v>
      </c>
      <c r="G3659">
        <f>IF(AND(A3659&gt;=Inputs!$B$5,A3659&lt;=Inputs!$B$6),1,0)</f>
        <v/>
      </c>
    </row>
    <row r="3660">
      <c r="A3660" t="inlineStr">
        <is>
          <t>2026-11</t>
        </is>
      </c>
      <c r="B3660" t="inlineStr">
        <is>
          <t>HOSP-3</t>
        </is>
      </c>
      <c r="C3660" t="inlineStr">
        <is>
          <t>SS-01164</t>
        </is>
      </c>
      <c r="D3660" t="n">
        <v>72</v>
      </c>
      <c r="E3660" t="n">
        <v>0</v>
      </c>
      <c r="G3660">
        <f>IF(AND(A3660&gt;=Inputs!$B$5,A3660&lt;=Inputs!$B$6),1,0)</f>
        <v/>
      </c>
    </row>
    <row r="3661">
      <c r="A3661" t="inlineStr">
        <is>
          <t>2026-11</t>
        </is>
      </c>
      <c r="B3661" t="inlineStr">
        <is>
          <t>HOSP-4</t>
        </is>
      </c>
      <c r="C3661" t="inlineStr">
        <is>
          <t>SS-01165</t>
        </is>
      </c>
      <c r="D3661" t="n">
        <v>60</v>
      </c>
      <c r="E3661" t="n">
        <v>0</v>
      </c>
      <c r="G3661">
        <f>IF(AND(A3661&gt;=Inputs!$B$5,A3661&lt;=Inputs!$B$6),1,0)</f>
        <v/>
      </c>
    </row>
    <row r="3662">
      <c r="A3662" t="inlineStr">
        <is>
          <t>2026-11</t>
        </is>
      </c>
      <c r="B3662" t="inlineStr">
        <is>
          <t>HOSP-1</t>
        </is>
      </c>
      <c r="C3662" t="inlineStr">
        <is>
          <t>SS-01166</t>
        </is>
      </c>
      <c r="D3662" t="n">
        <v>24</v>
      </c>
      <c r="E3662" t="n">
        <v>0</v>
      </c>
      <c r="G3662">
        <f>IF(AND(A3662&gt;=Inputs!$B$5,A3662&lt;=Inputs!$B$6),1,0)</f>
        <v/>
      </c>
    </row>
    <row r="3663">
      <c r="A3663" t="inlineStr">
        <is>
          <t>2026-11</t>
        </is>
      </c>
      <c r="B3663" t="inlineStr">
        <is>
          <t>HOSP-2</t>
        </is>
      </c>
      <c r="C3663" t="inlineStr">
        <is>
          <t>SS-01167</t>
        </is>
      </c>
      <c r="D3663" t="n">
        <v>60</v>
      </c>
      <c r="E3663" t="n">
        <v>0</v>
      </c>
      <c r="G3663">
        <f>IF(AND(A3663&gt;=Inputs!$B$5,A3663&lt;=Inputs!$B$6),1,0)</f>
        <v/>
      </c>
    </row>
    <row r="3664">
      <c r="A3664" t="inlineStr">
        <is>
          <t>2026-11</t>
        </is>
      </c>
      <c r="B3664" t="inlineStr">
        <is>
          <t>HOSP-3</t>
        </is>
      </c>
      <c r="C3664" t="inlineStr">
        <is>
          <t>SS-01168</t>
        </is>
      </c>
      <c r="D3664" t="n">
        <v>0</v>
      </c>
      <c r="E3664" t="n">
        <v>0</v>
      </c>
      <c r="G3664">
        <f>IF(AND(A3664&gt;=Inputs!$B$5,A3664&lt;=Inputs!$B$6),1,0)</f>
        <v/>
      </c>
    </row>
    <row r="3665">
      <c r="A3665" t="inlineStr">
        <is>
          <t>2026-11</t>
        </is>
      </c>
      <c r="B3665" t="inlineStr">
        <is>
          <t>HOSP-4</t>
        </is>
      </c>
      <c r="C3665" t="inlineStr">
        <is>
          <t>SS-01169</t>
        </is>
      </c>
      <c r="D3665" t="n">
        <v>72</v>
      </c>
      <c r="E3665" t="n">
        <v>0</v>
      </c>
      <c r="G3665">
        <f>IF(AND(A3665&gt;=Inputs!$B$5,A3665&lt;=Inputs!$B$6),1,0)</f>
        <v/>
      </c>
    </row>
    <row r="3666">
      <c r="A3666" t="inlineStr">
        <is>
          <t>2026-11</t>
        </is>
      </c>
      <c r="B3666" t="inlineStr">
        <is>
          <t>HOSP-1</t>
        </is>
      </c>
      <c r="C3666" t="inlineStr">
        <is>
          <t>SS-01170</t>
        </is>
      </c>
      <c r="D3666" t="n">
        <v>8</v>
      </c>
      <c r="E3666" t="n">
        <v>6</v>
      </c>
      <c r="G3666">
        <f>IF(AND(A3666&gt;=Inputs!$B$5,A3666&lt;=Inputs!$B$6),1,0)</f>
        <v/>
      </c>
    </row>
    <row r="3667">
      <c r="A3667" t="inlineStr">
        <is>
          <t>2026-11</t>
        </is>
      </c>
      <c r="B3667" t="inlineStr">
        <is>
          <t>HOSP-2</t>
        </is>
      </c>
      <c r="C3667" t="inlineStr">
        <is>
          <t>SS-01171</t>
        </is>
      </c>
      <c r="D3667" t="n">
        <v>0</v>
      </c>
      <c r="E3667" t="n">
        <v>1</v>
      </c>
      <c r="G3667">
        <f>IF(AND(A3667&gt;=Inputs!$B$5,A3667&lt;=Inputs!$B$6),1,0)</f>
        <v/>
      </c>
    </row>
    <row r="3668">
      <c r="A3668" t="inlineStr">
        <is>
          <t>2026-11</t>
        </is>
      </c>
      <c r="B3668" t="inlineStr">
        <is>
          <t>HOSP-3</t>
        </is>
      </c>
      <c r="C3668" t="inlineStr">
        <is>
          <t>SS-01172</t>
        </is>
      </c>
      <c r="D3668" t="n">
        <v>37</v>
      </c>
      <c r="E3668" t="n">
        <v>3</v>
      </c>
      <c r="G3668">
        <f>IF(AND(A3668&gt;=Inputs!$B$5,A3668&lt;=Inputs!$B$6),1,0)</f>
        <v/>
      </c>
    </row>
    <row r="3669">
      <c r="A3669" t="inlineStr">
        <is>
          <t>2026-11</t>
        </is>
      </c>
      <c r="B3669" t="inlineStr">
        <is>
          <t>HOSP-4</t>
        </is>
      </c>
      <c r="C3669" t="inlineStr">
        <is>
          <t>SS-01173</t>
        </is>
      </c>
      <c r="D3669" t="n">
        <v>12</v>
      </c>
      <c r="E3669" t="n">
        <v>0</v>
      </c>
      <c r="G3669">
        <f>IF(AND(A3669&gt;=Inputs!$B$5,A3669&lt;=Inputs!$B$6),1,0)</f>
        <v/>
      </c>
    </row>
    <row r="3670">
      <c r="A3670" t="inlineStr">
        <is>
          <t>2026-11</t>
        </is>
      </c>
      <c r="B3670" t="inlineStr">
        <is>
          <t>HOSP-1</t>
        </is>
      </c>
      <c r="C3670" t="inlineStr">
        <is>
          <t>SS-01174</t>
        </is>
      </c>
      <c r="D3670" t="n">
        <v>36</v>
      </c>
      <c r="E3670" t="n">
        <v>0</v>
      </c>
      <c r="G3670">
        <f>IF(AND(A3670&gt;=Inputs!$B$5,A3670&lt;=Inputs!$B$6),1,0)</f>
        <v/>
      </c>
    </row>
    <row r="3671">
      <c r="A3671" t="inlineStr">
        <is>
          <t>2026-11</t>
        </is>
      </c>
      <c r="B3671" t="inlineStr">
        <is>
          <t>HOSP-2</t>
        </is>
      </c>
      <c r="C3671" t="inlineStr">
        <is>
          <t>SS-01175</t>
        </is>
      </c>
      <c r="D3671" t="n">
        <v>36</v>
      </c>
      <c r="E3671" t="n">
        <v>0</v>
      </c>
      <c r="G3671">
        <f>IF(AND(A3671&gt;=Inputs!$B$5,A3671&lt;=Inputs!$B$6),1,0)</f>
        <v/>
      </c>
    </row>
    <row r="3672">
      <c r="A3672" t="inlineStr">
        <is>
          <t>2026-11</t>
        </is>
      </c>
      <c r="B3672" t="inlineStr">
        <is>
          <t>HOSP-3</t>
        </is>
      </c>
      <c r="C3672" t="inlineStr">
        <is>
          <t>SS-01176</t>
        </is>
      </c>
      <c r="D3672" t="n">
        <v>3</v>
      </c>
      <c r="E3672" t="n">
        <v>0</v>
      </c>
      <c r="G3672">
        <f>IF(AND(A3672&gt;=Inputs!$B$5,A3672&lt;=Inputs!$B$6),1,0)</f>
        <v/>
      </c>
    </row>
    <row r="3673">
      <c r="A3673" t="inlineStr">
        <is>
          <t>2026-11</t>
        </is>
      </c>
      <c r="B3673" t="inlineStr">
        <is>
          <t>HOSP-4</t>
        </is>
      </c>
      <c r="C3673" t="inlineStr">
        <is>
          <t>SS-01177</t>
        </is>
      </c>
      <c r="D3673" t="n">
        <v>24</v>
      </c>
      <c r="E3673" t="n">
        <v>0</v>
      </c>
      <c r="G3673">
        <f>IF(AND(A3673&gt;=Inputs!$B$5,A3673&lt;=Inputs!$B$6),1,0)</f>
        <v/>
      </c>
    </row>
    <row r="3674">
      <c r="A3674" t="inlineStr">
        <is>
          <t>2026-11</t>
        </is>
      </c>
      <c r="B3674" t="inlineStr">
        <is>
          <t>HOSP-1</t>
        </is>
      </c>
      <c r="C3674" t="inlineStr">
        <is>
          <t>SS-01178</t>
        </is>
      </c>
      <c r="D3674" t="n">
        <v>24</v>
      </c>
      <c r="E3674" t="n">
        <v>0</v>
      </c>
      <c r="G3674">
        <f>IF(AND(A3674&gt;=Inputs!$B$5,A3674&lt;=Inputs!$B$6),1,0)</f>
        <v/>
      </c>
    </row>
    <row r="3675">
      <c r="A3675" t="inlineStr">
        <is>
          <t>2026-11</t>
        </is>
      </c>
      <c r="B3675" t="inlineStr">
        <is>
          <t>HOSP-2</t>
        </is>
      </c>
      <c r="C3675" t="inlineStr">
        <is>
          <t>SS-01179</t>
        </is>
      </c>
      <c r="D3675" t="n">
        <v>59</v>
      </c>
      <c r="E3675" t="n">
        <v>0</v>
      </c>
      <c r="G3675">
        <f>IF(AND(A3675&gt;=Inputs!$B$5,A3675&lt;=Inputs!$B$6),1,0)</f>
        <v/>
      </c>
    </row>
    <row r="3676">
      <c r="A3676" t="inlineStr">
        <is>
          <t>2026-11</t>
        </is>
      </c>
      <c r="B3676" t="inlineStr">
        <is>
          <t>HOSP-3</t>
        </is>
      </c>
      <c r="C3676" t="inlineStr">
        <is>
          <t>SS-01180</t>
        </is>
      </c>
      <c r="D3676" t="n">
        <v>36</v>
      </c>
      <c r="E3676" t="n">
        <v>0</v>
      </c>
      <c r="G3676">
        <f>IF(AND(A3676&gt;=Inputs!$B$5,A3676&lt;=Inputs!$B$6),1,0)</f>
        <v/>
      </c>
    </row>
    <row r="3677">
      <c r="A3677" t="inlineStr">
        <is>
          <t>2026-11</t>
        </is>
      </c>
      <c r="B3677" t="inlineStr">
        <is>
          <t>HOSP-4</t>
        </is>
      </c>
      <c r="C3677" t="inlineStr">
        <is>
          <t>SS-01181</t>
        </is>
      </c>
      <c r="D3677" t="n">
        <v>12</v>
      </c>
      <c r="E3677" t="n">
        <v>0</v>
      </c>
      <c r="G3677">
        <f>IF(AND(A3677&gt;=Inputs!$B$5,A3677&lt;=Inputs!$B$6),1,0)</f>
        <v/>
      </c>
    </row>
    <row r="3678">
      <c r="A3678" t="inlineStr">
        <is>
          <t>2026-11</t>
        </is>
      </c>
      <c r="B3678" t="inlineStr">
        <is>
          <t>HOSP-1</t>
        </is>
      </c>
      <c r="C3678" t="inlineStr">
        <is>
          <t>SS-01182</t>
        </is>
      </c>
      <c r="D3678" t="n">
        <v>36</v>
      </c>
      <c r="E3678" t="n">
        <v>0</v>
      </c>
      <c r="G3678">
        <f>IF(AND(A3678&gt;=Inputs!$B$5,A3678&lt;=Inputs!$B$6),1,0)</f>
        <v/>
      </c>
    </row>
    <row r="3679">
      <c r="A3679" t="inlineStr">
        <is>
          <t>2026-11</t>
        </is>
      </c>
      <c r="B3679" t="inlineStr">
        <is>
          <t>HOSP-2</t>
        </is>
      </c>
      <c r="C3679" t="inlineStr">
        <is>
          <t>SS-01183</t>
        </is>
      </c>
      <c r="D3679" t="n">
        <v>24</v>
      </c>
      <c r="E3679" t="n">
        <v>0</v>
      </c>
      <c r="G3679">
        <f>IF(AND(A3679&gt;=Inputs!$B$5,A3679&lt;=Inputs!$B$6),1,0)</f>
        <v/>
      </c>
    </row>
    <row r="3680">
      <c r="A3680" t="inlineStr">
        <is>
          <t>2026-11</t>
        </is>
      </c>
      <c r="B3680" t="inlineStr">
        <is>
          <t>HOSP-3</t>
        </is>
      </c>
      <c r="C3680" t="inlineStr">
        <is>
          <t>SS-01184</t>
        </is>
      </c>
      <c r="D3680" t="n">
        <v>12</v>
      </c>
      <c r="E3680" t="n">
        <v>0</v>
      </c>
      <c r="G3680">
        <f>IF(AND(A3680&gt;=Inputs!$B$5,A3680&lt;=Inputs!$B$6),1,0)</f>
        <v/>
      </c>
    </row>
    <row r="3681">
      <c r="A3681" t="inlineStr">
        <is>
          <t>2026-11</t>
        </is>
      </c>
      <c r="B3681" t="inlineStr">
        <is>
          <t>HOSP-4</t>
        </is>
      </c>
      <c r="C3681" t="inlineStr">
        <is>
          <t>SS-01185</t>
        </is>
      </c>
      <c r="D3681" t="n">
        <v>0</v>
      </c>
      <c r="E3681" t="n">
        <v>0</v>
      </c>
      <c r="G3681">
        <f>IF(AND(A3681&gt;=Inputs!$B$5,A3681&lt;=Inputs!$B$6),1,0)</f>
        <v/>
      </c>
    </row>
    <row r="3682">
      <c r="A3682" t="inlineStr">
        <is>
          <t>2026-11</t>
        </is>
      </c>
      <c r="B3682" t="inlineStr">
        <is>
          <t>HOSP-1</t>
        </is>
      </c>
      <c r="C3682" t="inlineStr">
        <is>
          <t>SS-01186</t>
        </is>
      </c>
      <c r="D3682" t="n">
        <v>0</v>
      </c>
      <c r="E3682" t="n">
        <v>0</v>
      </c>
      <c r="G3682">
        <f>IF(AND(A3682&gt;=Inputs!$B$5,A3682&lt;=Inputs!$B$6),1,0)</f>
        <v/>
      </c>
    </row>
    <row r="3683">
      <c r="A3683" t="inlineStr">
        <is>
          <t>2026-11</t>
        </is>
      </c>
      <c r="B3683" t="inlineStr">
        <is>
          <t>HOSP-2</t>
        </is>
      </c>
      <c r="C3683" t="inlineStr">
        <is>
          <t>SS-01187</t>
        </is>
      </c>
      <c r="D3683" t="n">
        <v>0</v>
      </c>
      <c r="E3683" t="n">
        <v>0</v>
      </c>
      <c r="G3683">
        <f>IF(AND(A3683&gt;=Inputs!$B$5,A3683&lt;=Inputs!$B$6),1,0)</f>
        <v/>
      </c>
    </row>
    <row r="3684">
      <c r="A3684" t="inlineStr">
        <is>
          <t>2026-11</t>
        </is>
      </c>
      <c r="B3684" t="inlineStr">
        <is>
          <t>HOSP-3</t>
        </is>
      </c>
      <c r="C3684" t="inlineStr">
        <is>
          <t>SS-01188</t>
        </is>
      </c>
      <c r="D3684" t="n">
        <v>36</v>
      </c>
      <c r="E3684" t="n">
        <v>0</v>
      </c>
      <c r="G3684">
        <f>IF(AND(A3684&gt;=Inputs!$B$5,A3684&lt;=Inputs!$B$6),1,0)</f>
        <v/>
      </c>
    </row>
    <row r="3685">
      <c r="A3685" t="inlineStr">
        <is>
          <t>2026-11</t>
        </is>
      </c>
      <c r="B3685" t="inlineStr">
        <is>
          <t>HOSP-4</t>
        </is>
      </c>
      <c r="C3685" t="inlineStr">
        <is>
          <t>SS-01189</t>
        </is>
      </c>
      <c r="D3685" t="n">
        <v>48</v>
      </c>
      <c r="E3685" t="n">
        <v>0</v>
      </c>
      <c r="G3685">
        <f>IF(AND(A3685&gt;=Inputs!$B$5,A3685&lt;=Inputs!$B$6),1,0)</f>
        <v/>
      </c>
    </row>
    <row r="3686">
      <c r="A3686" t="inlineStr">
        <is>
          <t>2026-11</t>
        </is>
      </c>
      <c r="B3686" t="inlineStr">
        <is>
          <t>HOSP-1</t>
        </is>
      </c>
      <c r="C3686" t="inlineStr">
        <is>
          <t>SS-01190</t>
        </is>
      </c>
      <c r="D3686" t="n">
        <v>36</v>
      </c>
      <c r="E3686" t="n">
        <v>0</v>
      </c>
      <c r="G3686">
        <f>IF(AND(A3686&gt;=Inputs!$B$5,A3686&lt;=Inputs!$B$6),1,0)</f>
        <v/>
      </c>
    </row>
    <row r="3687">
      <c r="A3687" t="inlineStr">
        <is>
          <t>2026-11</t>
        </is>
      </c>
      <c r="B3687" t="inlineStr">
        <is>
          <t>HOSP-2</t>
        </is>
      </c>
      <c r="C3687" t="inlineStr">
        <is>
          <t>SS-01191</t>
        </is>
      </c>
      <c r="D3687" t="n">
        <v>0</v>
      </c>
      <c r="E3687" t="n">
        <v>0</v>
      </c>
      <c r="G3687">
        <f>IF(AND(A3687&gt;=Inputs!$B$5,A3687&lt;=Inputs!$B$6),1,0)</f>
        <v/>
      </c>
    </row>
    <row r="3688">
      <c r="A3688" t="inlineStr">
        <is>
          <t>2026-11</t>
        </is>
      </c>
      <c r="B3688" t="inlineStr">
        <is>
          <t>HOSP-3</t>
        </is>
      </c>
      <c r="C3688" t="inlineStr">
        <is>
          <t>SS-01192</t>
        </is>
      </c>
      <c r="D3688" t="n">
        <v>20</v>
      </c>
      <c r="E3688" t="n">
        <v>2</v>
      </c>
      <c r="G3688">
        <f>IF(AND(A3688&gt;=Inputs!$B$5,A3688&lt;=Inputs!$B$6),1,0)</f>
        <v/>
      </c>
    </row>
    <row r="3689">
      <c r="A3689" t="inlineStr">
        <is>
          <t>2026-11</t>
        </is>
      </c>
      <c r="B3689" t="inlineStr">
        <is>
          <t>HOSP-4</t>
        </is>
      </c>
      <c r="C3689" t="inlineStr">
        <is>
          <t>SS-01193</t>
        </is>
      </c>
      <c r="D3689" t="n">
        <v>0</v>
      </c>
      <c r="E3689" t="n">
        <v>0</v>
      </c>
      <c r="G3689">
        <f>IF(AND(A3689&gt;=Inputs!$B$5,A3689&lt;=Inputs!$B$6),1,0)</f>
        <v/>
      </c>
    </row>
    <row r="3690">
      <c r="A3690" t="inlineStr">
        <is>
          <t>2026-11</t>
        </is>
      </c>
      <c r="B3690" t="inlineStr">
        <is>
          <t>HOSP-1</t>
        </is>
      </c>
      <c r="C3690" t="inlineStr">
        <is>
          <t>SS-01194</t>
        </is>
      </c>
      <c r="D3690" t="n">
        <v>192</v>
      </c>
      <c r="E3690" t="n">
        <v>0</v>
      </c>
      <c r="G3690">
        <f>IF(AND(A3690&gt;=Inputs!$B$5,A3690&lt;=Inputs!$B$6),1,0)</f>
        <v/>
      </c>
    </row>
    <row r="3691">
      <c r="A3691" t="inlineStr">
        <is>
          <t>2026-11</t>
        </is>
      </c>
      <c r="B3691" t="inlineStr">
        <is>
          <t>HOSP-2</t>
        </is>
      </c>
      <c r="C3691" t="inlineStr">
        <is>
          <t>SS-01195</t>
        </is>
      </c>
      <c r="D3691" t="n">
        <v>12</v>
      </c>
      <c r="E3691" t="n">
        <v>0</v>
      </c>
      <c r="G3691">
        <f>IF(AND(A3691&gt;=Inputs!$B$5,A3691&lt;=Inputs!$B$6),1,0)</f>
        <v/>
      </c>
    </row>
    <row r="3692">
      <c r="A3692" t="inlineStr">
        <is>
          <t>2026-11</t>
        </is>
      </c>
      <c r="B3692" t="inlineStr">
        <is>
          <t>HOSP-3</t>
        </is>
      </c>
      <c r="C3692" t="inlineStr">
        <is>
          <t>SS-01196</t>
        </is>
      </c>
      <c r="D3692" t="n">
        <v>0</v>
      </c>
      <c r="E3692" t="n">
        <v>0</v>
      </c>
      <c r="G3692">
        <f>IF(AND(A3692&gt;=Inputs!$B$5,A3692&lt;=Inputs!$B$6),1,0)</f>
        <v/>
      </c>
    </row>
    <row r="3693">
      <c r="A3693" t="inlineStr">
        <is>
          <t>2026-11</t>
        </is>
      </c>
      <c r="B3693" t="inlineStr">
        <is>
          <t>HOSP-4</t>
        </is>
      </c>
      <c r="C3693" t="inlineStr">
        <is>
          <t>SS-01197</t>
        </is>
      </c>
      <c r="D3693" t="n">
        <v>0</v>
      </c>
      <c r="E3693" t="n">
        <v>0</v>
      </c>
      <c r="G3693">
        <f>IF(AND(A3693&gt;=Inputs!$B$5,A3693&lt;=Inputs!$B$6),1,0)</f>
        <v/>
      </c>
    </row>
    <row r="3694">
      <c r="A3694" t="inlineStr">
        <is>
          <t>2026-11</t>
        </is>
      </c>
      <c r="B3694" t="inlineStr">
        <is>
          <t>HOSP-1</t>
        </is>
      </c>
      <c r="C3694" t="inlineStr">
        <is>
          <t>SS-01198</t>
        </is>
      </c>
      <c r="D3694" t="n">
        <v>24</v>
      </c>
      <c r="E3694" t="n">
        <v>0</v>
      </c>
      <c r="G3694">
        <f>IF(AND(A3694&gt;=Inputs!$B$5,A3694&lt;=Inputs!$B$6),1,0)</f>
        <v/>
      </c>
    </row>
    <row r="3695">
      <c r="A3695" t="inlineStr">
        <is>
          <t>2026-11</t>
        </is>
      </c>
      <c r="B3695" t="inlineStr">
        <is>
          <t>HOSP-2</t>
        </is>
      </c>
      <c r="C3695" t="inlineStr">
        <is>
          <t>SS-01199</t>
        </is>
      </c>
      <c r="D3695" t="n">
        <v>0</v>
      </c>
      <c r="E3695" t="n">
        <v>0</v>
      </c>
      <c r="G3695">
        <f>IF(AND(A3695&gt;=Inputs!$B$5,A3695&lt;=Inputs!$B$6),1,0)</f>
        <v/>
      </c>
    </row>
    <row r="3696">
      <c r="A3696" t="inlineStr">
        <is>
          <t>2026-11</t>
        </is>
      </c>
      <c r="B3696" t="inlineStr">
        <is>
          <t>HOSP-3</t>
        </is>
      </c>
      <c r="C3696" t="inlineStr">
        <is>
          <t>SS-01168</t>
        </is>
      </c>
      <c r="D3696" t="n">
        <v>18</v>
      </c>
      <c r="E3696" t="n">
        <v>1</v>
      </c>
      <c r="G3696">
        <f>IF(AND(A3696&gt;=Inputs!$B$5,A3696&lt;=Inputs!$B$6),1,0)</f>
        <v/>
      </c>
    </row>
    <row r="3697">
      <c r="A3697" t="inlineStr">
        <is>
          <t>2026-11</t>
        </is>
      </c>
      <c r="B3697" t="inlineStr">
        <is>
          <t>HOSP-4</t>
        </is>
      </c>
      <c r="C3697" t="inlineStr">
        <is>
          <t>SS-01201</t>
        </is>
      </c>
      <c r="D3697" t="n">
        <v>0</v>
      </c>
      <c r="E3697" t="n">
        <v>4</v>
      </c>
      <c r="G3697">
        <f>IF(AND(A3697&gt;=Inputs!$B$5,A3697&lt;=Inputs!$B$6),1,0)</f>
        <v/>
      </c>
    </row>
    <row r="3698">
      <c r="A3698" t="inlineStr">
        <is>
          <t>2026-11</t>
        </is>
      </c>
      <c r="B3698" t="inlineStr">
        <is>
          <t>HOSP-1</t>
        </is>
      </c>
      <c r="C3698" t="inlineStr">
        <is>
          <t>SS-01202</t>
        </is>
      </c>
      <c r="D3698" t="n">
        <v>0</v>
      </c>
      <c r="E3698" t="n">
        <v>0</v>
      </c>
      <c r="G3698">
        <f>IF(AND(A3698&gt;=Inputs!$B$5,A3698&lt;=Inputs!$B$6),1,0)</f>
        <v/>
      </c>
    </row>
    <row r="3699">
      <c r="A3699" t="inlineStr">
        <is>
          <t>2026-11</t>
        </is>
      </c>
      <c r="B3699" t="inlineStr">
        <is>
          <t>HOSP-2</t>
        </is>
      </c>
      <c r="C3699" t="inlineStr">
        <is>
          <t>SS-01203</t>
        </is>
      </c>
      <c r="D3699" t="n">
        <v>48</v>
      </c>
      <c r="E3699" t="n">
        <v>0</v>
      </c>
      <c r="G3699">
        <f>IF(AND(A3699&gt;=Inputs!$B$5,A3699&lt;=Inputs!$B$6),1,0)</f>
        <v/>
      </c>
    </row>
    <row r="3700">
      <c r="A3700" t="inlineStr">
        <is>
          <t>2026-11</t>
        </is>
      </c>
      <c r="B3700" t="inlineStr">
        <is>
          <t>HOSP-3</t>
        </is>
      </c>
      <c r="C3700" t="inlineStr">
        <is>
          <t>SS-01204</t>
        </is>
      </c>
      <c r="D3700" t="n">
        <v>48</v>
      </c>
      <c r="E3700" t="n">
        <v>0</v>
      </c>
      <c r="G3700">
        <f>IF(AND(A3700&gt;=Inputs!$B$5,A3700&lt;=Inputs!$B$6),1,0)</f>
        <v/>
      </c>
    </row>
    <row r="3701">
      <c r="A3701" t="inlineStr">
        <is>
          <t>2026-11</t>
        </is>
      </c>
      <c r="B3701" t="inlineStr">
        <is>
          <t>HOSP-4</t>
        </is>
      </c>
      <c r="C3701" t="inlineStr">
        <is>
          <t>SS-01205</t>
        </is>
      </c>
      <c r="D3701" t="n">
        <v>0</v>
      </c>
      <c r="E3701" t="n">
        <v>0</v>
      </c>
      <c r="G3701">
        <f>IF(AND(A3701&gt;=Inputs!$B$5,A3701&lt;=Inputs!$B$6),1,0)</f>
        <v/>
      </c>
    </row>
    <row r="3702">
      <c r="A3702" t="inlineStr">
        <is>
          <t>2026-11</t>
        </is>
      </c>
      <c r="B3702" t="inlineStr">
        <is>
          <t>HOSP-1</t>
        </is>
      </c>
      <c r="C3702" t="inlineStr">
        <is>
          <t>SS-01206</t>
        </is>
      </c>
      <c r="D3702" t="n">
        <v>20</v>
      </c>
      <c r="E3702" t="n">
        <v>0</v>
      </c>
      <c r="G3702">
        <f>IF(AND(A3702&gt;=Inputs!$B$5,A3702&lt;=Inputs!$B$6),1,0)</f>
        <v/>
      </c>
    </row>
    <row r="3703">
      <c r="A3703" t="inlineStr">
        <is>
          <t>2026-11</t>
        </is>
      </c>
      <c r="B3703" t="inlineStr">
        <is>
          <t>HOSP-2</t>
        </is>
      </c>
      <c r="C3703" t="inlineStr">
        <is>
          <t>SS-01207</t>
        </is>
      </c>
      <c r="D3703" t="n">
        <v>12</v>
      </c>
      <c r="E3703" t="n">
        <v>0</v>
      </c>
      <c r="G3703">
        <f>IF(AND(A3703&gt;=Inputs!$B$5,A3703&lt;=Inputs!$B$6),1,0)</f>
        <v/>
      </c>
    </row>
    <row r="3704">
      <c r="A3704" t="inlineStr">
        <is>
          <t>2026-11</t>
        </is>
      </c>
      <c r="B3704" t="inlineStr">
        <is>
          <t>HOSP-3</t>
        </is>
      </c>
      <c r="C3704" t="inlineStr">
        <is>
          <t>SS-01208</t>
        </is>
      </c>
      <c r="D3704" t="n">
        <v>10</v>
      </c>
      <c r="E3704" t="n">
        <v>0</v>
      </c>
      <c r="G3704">
        <f>IF(AND(A3704&gt;=Inputs!$B$5,A3704&lt;=Inputs!$B$6),1,0)</f>
        <v/>
      </c>
    </row>
    <row r="3705">
      <c r="A3705" t="inlineStr">
        <is>
          <t>2026-11</t>
        </is>
      </c>
      <c r="B3705" t="inlineStr">
        <is>
          <t>HOSP-4</t>
        </is>
      </c>
      <c r="C3705" t="inlineStr">
        <is>
          <t>SS-01209</t>
        </is>
      </c>
      <c r="D3705" t="n">
        <v>276</v>
      </c>
      <c r="E3705" t="n">
        <v>0</v>
      </c>
      <c r="G3705">
        <f>IF(AND(A3705&gt;=Inputs!$B$5,A3705&lt;=Inputs!$B$6),1,0)</f>
        <v/>
      </c>
    </row>
    <row r="3706">
      <c r="A3706" t="inlineStr">
        <is>
          <t>2026-11</t>
        </is>
      </c>
      <c r="B3706" t="inlineStr">
        <is>
          <t>HOSP-1</t>
        </is>
      </c>
      <c r="C3706" t="inlineStr">
        <is>
          <t>SS-01210</t>
        </is>
      </c>
      <c r="D3706" t="n">
        <v>12</v>
      </c>
      <c r="E3706" t="n">
        <v>0</v>
      </c>
      <c r="G3706">
        <f>IF(AND(A3706&gt;=Inputs!$B$5,A3706&lt;=Inputs!$B$6),1,0)</f>
        <v/>
      </c>
    </row>
    <row r="3707">
      <c r="A3707" t="inlineStr">
        <is>
          <t>2026-11</t>
        </is>
      </c>
      <c r="B3707" t="inlineStr">
        <is>
          <t>HOSP-2</t>
        </is>
      </c>
      <c r="C3707" t="inlineStr">
        <is>
          <t>SS-01211</t>
        </is>
      </c>
      <c r="D3707" t="n">
        <v>24</v>
      </c>
      <c r="E3707" t="n">
        <v>0</v>
      </c>
      <c r="G3707">
        <f>IF(AND(A3707&gt;=Inputs!$B$5,A3707&lt;=Inputs!$B$6),1,0)</f>
        <v/>
      </c>
    </row>
    <row r="3708">
      <c r="A3708" t="inlineStr">
        <is>
          <t>2026-11</t>
        </is>
      </c>
      <c r="B3708" t="inlineStr">
        <is>
          <t>HOSP-3</t>
        </is>
      </c>
      <c r="C3708" t="inlineStr">
        <is>
          <t>SS-01212</t>
        </is>
      </c>
      <c r="D3708" t="n">
        <v>48</v>
      </c>
      <c r="E3708" t="n">
        <v>0</v>
      </c>
      <c r="G3708">
        <f>IF(AND(A3708&gt;=Inputs!$B$5,A3708&lt;=Inputs!$B$6),1,0)</f>
        <v/>
      </c>
    </row>
    <row r="3709">
      <c r="A3709" t="inlineStr">
        <is>
          <t>2026-11</t>
        </is>
      </c>
      <c r="B3709" t="inlineStr">
        <is>
          <t>HOSP-4</t>
        </is>
      </c>
      <c r="C3709" t="inlineStr">
        <is>
          <t>SS-01153</t>
        </is>
      </c>
      <c r="D3709" t="n">
        <v>14</v>
      </c>
      <c r="E3709" t="n">
        <v>6</v>
      </c>
      <c r="G3709">
        <f>IF(AND(A3709&gt;=Inputs!$B$5,A3709&lt;=Inputs!$B$6),1,0)</f>
        <v/>
      </c>
    </row>
    <row r="3710">
      <c r="A3710" t="inlineStr">
        <is>
          <t>2026-11</t>
        </is>
      </c>
      <c r="B3710" t="inlineStr">
        <is>
          <t>HOSP-1</t>
        </is>
      </c>
      <c r="C3710" t="inlineStr">
        <is>
          <t>SS-01214</t>
        </is>
      </c>
      <c r="D3710" t="n">
        <v>24</v>
      </c>
      <c r="E3710" t="n">
        <v>0</v>
      </c>
      <c r="G3710">
        <f>IF(AND(A3710&gt;=Inputs!$B$5,A3710&lt;=Inputs!$B$6),1,0)</f>
        <v/>
      </c>
    </row>
    <row r="3711">
      <c r="A3711" t="inlineStr">
        <is>
          <t>2026-11</t>
        </is>
      </c>
      <c r="B3711" t="inlineStr">
        <is>
          <t>HOSP-2</t>
        </is>
      </c>
      <c r="C3711" t="inlineStr">
        <is>
          <t>SS-01215</t>
        </is>
      </c>
      <c r="D3711" t="n">
        <v>0</v>
      </c>
      <c r="E3711" t="n">
        <v>0</v>
      </c>
      <c r="G3711">
        <f>IF(AND(A3711&gt;=Inputs!$B$5,A3711&lt;=Inputs!$B$6),1,0)</f>
        <v/>
      </c>
    </row>
    <row r="3712">
      <c r="A3712" t="inlineStr">
        <is>
          <t>2026-11</t>
        </is>
      </c>
      <c r="B3712" t="inlineStr">
        <is>
          <t>HOSP-3</t>
        </is>
      </c>
      <c r="C3712" t="inlineStr">
        <is>
          <t>SS-01216</t>
        </is>
      </c>
      <c r="D3712" t="n">
        <v>34</v>
      </c>
      <c r="E3712" t="n">
        <v>1</v>
      </c>
      <c r="G3712">
        <f>IF(AND(A3712&gt;=Inputs!$B$5,A3712&lt;=Inputs!$B$6),1,0)</f>
        <v/>
      </c>
    </row>
    <row r="3713">
      <c r="A3713" t="inlineStr">
        <is>
          <t>2026-11</t>
        </is>
      </c>
      <c r="B3713" t="inlineStr">
        <is>
          <t>HOSP-4</t>
        </is>
      </c>
      <c r="C3713" t="inlineStr">
        <is>
          <t>SS-01217</t>
        </is>
      </c>
      <c r="D3713" t="n">
        <v>60</v>
      </c>
      <c r="E3713" t="n">
        <v>0</v>
      </c>
      <c r="G3713">
        <f>IF(AND(A3713&gt;=Inputs!$B$5,A3713&lt;=Inputs!$B$6),1,0)</f>
        <v/>
      </c>
    </row>
    <row r="3714">
      <c r="A3714" t="inlineStr">
        <is>
          <t>2026-11</t>
        </is>
      </c>
      <c r="B3714" t="inlineStr">
        <is>
          <t>HOSP-1</t>
        </is>
      </c>
      <c r="C3714" t="inlineStr">
        <is>
          <t>SS-01218</t>
        </is>
      </c>
      <c r="D3714" t="n">
        <v>132</v>
      </c>
      <c r="E3714" t="n">
        <v>0</v>
      </c>
      <c r="G3714">
        <f>IF(AND(A3714&gt;=Inputs!$B$5,A3714&lt;=Inputs!$B$6),1,0)</f>
        <v/>
      </c>
    </row>
    <row r="3715">
      <c r="A3715" t="inlineStr">
        <is>
          <t>2026-11</t>
        </is>
      </c>
      <c r="B3715" t="inlineStr">
        <is>
          <t>HOSP-2</t>
        </is>
      </c>
      <c r="C3715" t="inlineStr">
        <is>
          <t>SS-01219</t>
        </is>
      </c>
      <c r="D3715" t="n">
        <v>12</v>
      </c>
      <c r="E3715" t="n">
        <v>0</v>
      </c>
      <c r="G3715">
        <f>IF(AND(A3715&gt;=Inputs!$B$5,A3715&lt;=Inputs!$B$6),1,0)</f>
        <v/>
      </c>
    </row>
    <row r="3716">
      <c r="A3716" t="inlineStr">
        <is>
          <t>2025-01</t>
        </is>
      </c>
      <c r="B3716" t="inlineStr">
        <is>
          <t>HOSP-3</t>
        </is>
      </c>
      <c r="C3716" t="inlineStr">
        <is>
          <t>SS-01220</t>
        </is>
      </c>
      <c r="D3716" t="n">
        <v>69</v>
      </c>
      <c r="E3716" t="n">
        <v>0</v>
      </c>
      <c r="G3716">
        <f>IF(AND(A3716&gt;=Inputs!$B$5,A3716&lt;=Inputs!$B$6),1,0)</f>
        <v/>
      </c>
    </row>
    <row r="3717">
      <c r="A3717" t="inlineStr">
        <is>
          <t>2025-01</t>
        </is>
      </c>
      <c r="B3717" t="inlineStr">
        <is>
          <t>HOSP-4</t>
        </is>
      </c>
      <c r="C3717" t="inlineStr">
        <is>
          <t>SS-01221</t>
        </is>
      </c>
      <c r="D3717" t="n">
        <v>36</v>
      </c>
      <c r="E3717" t="n">
        <v>0</v>
      </c>
      <c r="G3717">
        <f>IF(AND(A3717&gt;=Inputs!$B$5,A3717&lt;=Inputs!$B$6),1,0)</f>
        <v/>
      </c>
    </row>
    <row r="3718">
      <c r="A3718" t="inlineStr">
        <is>
          <t>2025-01</t>
        </is>
      </c>
      <c r="B3718" t="inlineStr">
        <is>
          <t>HOSP-1</t>
        </is>
      </c>
      <c r="C3718" t="inlineStr">
        <is>
          <t>SS-01222</t>
        </is>
      </c>
      <c r="D3718" t="n">
        <v>3</v>
      </c>
      <c r="E3718" t="n">
        <v>1</v>
      </c>
      <c r="G3718">
        <f>IF(AND(A3718&gt;=Inputs!$B$5,A3718&lt;=Inputs!$B$6),1,0)</f>
        <v/>
      </c>
    </row>
    <row r="3719">
      <c r="A3719" t="inlineStr">
        <is>
          <t>2025-01</t>
        </is>
      </c>
      <c r="B3719" t="inlineStr">
        <is>
          <t>HOSP-2</t>
        </is>
      </c>
      <c r="C3719" t="inlineStr">
        <is>
          <t>SS-01223</t>
        </is>
      </c>
      <c r="D3719" t="n">
        <v>12</v>
      </c>
      <c r="E3719" t="n">
        <v>0</v>
      </c>
      <c r="G3719">
        <f>IF(AND(A3719&gt;=Inputs!$B$5,A3719&lt;=Inputs!$B$6),1,0)</f>
        <v/>
      </c>
    </row>
    <row r="3720">
      <c r="A3720" t="inlineStr">
        <is>
          <t>2025-01</t>
        </is>
      </c>
      <c r="B3720" t="inlineStr">
        <is>
          <t>HOSP-3</t>
        </is>
      </c>
      <c r="C3720" t="inlineStr">
        <is>
          <t>SS-01224</t>
        </is>
      </c>
      <c r="D3720" t="n">
        <v>0</v>
      </c>
      <c r="E3720" t="n">
        <v>0</v>
      </c>
      <c r="G3720">
        <f>IF(AND(A3720&gt;=Inputs!$B$5,A3720&lt;=Inputs!$B$6),1,0)</f>
        <v/>
      </c>
    </row>
    <row r="3721">
      <c r="A3721" t="inlineStr">
        <is>
          <t>2025-01</t>
        </is>
      </c>
      <c r="B3721" t="inlineStr">
        <is>
          <t>HOSP-4</t>
        </is>
      </c>
      <c r="C3721" t="inlineStr">
        <is>
          <t>SS-01225</t>
        </is>
      </c>
      <c r="D3721" t="n">
        <v>48</v>
      </c>
      <c r="E3721" t="n">
        <v>0</v>
      </c>
      <c r="G3721">
        <f>IF(AND(A3721&gt;=Inputs!$B$5,A3721&lt;=Inputs!$B$6),1,0)</f>
        <v/>
      </c>
    </row>
    <row r="3722">
      <c r="A3722" t="inlineStr">
        <is>
          <t>2025-01</t>
        </is>
      </c>
      <c r="B3722" t="inlineStr">
        <is>
          <t>HOSP-1</t>
        </is>
      </c>
      <c r="C3722" t="inlineStr">
        <is>
          <t>SS-01226</t>
        </is>
      </c>
      <c r="D3722" t="n">
        <v>24</v>
      </c>
      <c r="E3722" t="n">
        <v>0</v>
      </c>
      <c r="G3722">
        <f>IF(AND(A3722&gt;=Inputs!$B$5,A3722&lt;=Inputs!$B$6),1,0)</f>
        <v/>
      </c>
    </row>
    <row r="3723">
      <c r="A3723" t="inlineStr">
        <is>
          <t>2025-01</t>
        </is>
      </c>
      <c r="B3723" t="inlineStr">
        <is>
          <t>HOSP-2</t>
        </is>
      </c>
      <c r="C3723" t="inlineStr">
        <is>
          <t>SS-01227</t>
        </is>
      </c>
      <c r="D3723" t="n">
        <v>120</v>
      </c>
      <c r="E3723" t="n">
        <v>0</v>
      </c>
      <c r="G3723">
        <f>IF(AND(A3723&gt;=Inputs!$B$5,A3723&lt;=Inputs!$B$6),1,0)</f>
        <v/>
      </c>
    </row>
    <row r="3724">
      <c r="A3724" t="inlineStr">
        <is>
          <t>2025-01</t>
        </is>
      </c>
      <c r="B3724" t="inlineStr">
        <is>
          <t>HOSP-3</t>
        </is>
      </c>
      <c r="C3724" t="inlineStr">
        <is>
          <t>SS-01228</t>
        </is>
      </c>
      <c r="D3724" t="n">
        <v>0</v>
      </c>
      <c r="E3724" t="n">
        <v>0</v>
      </c>
      <c r="G3724">
        <f>IF(AND(A3724&gt;=Inputs!$B$5,A3724&lt;=Inputs!$B$6),1,0)</f>
        <v/>
      </c>
    </row>
    <row r="3725">
      <c r="A3725" t="inlineStr">
        <is>
          <t>2025-01</t>
        </is>
      </c>
      <c r="B3725" t="inlineStr">
        <is>
          <t>HOSP-4</t>
        </is>
      </c>
      <c r="C3725" t="inlineStr">
        <is>
          <t>SS-01178</t>
        </is>
      </c>
      <c r="D3725" t="n">
        <v>0</v>
      </c>
      <c r="E3725" t="n">
        <v>0</v>
      </c>
      <c r="G3725">
        <f>IF(AND(A3725&gt;=Inputs!$B$5,A3725&lt;=Inputs!$B$6),1,0)</f>
        <v/>
      </c>
    </row>
    <row r="3726">
      <c r="A3726" t="inlineStr">
        <is>
          <t>2025-01</t>
        </is>
      </c>
      <c r="B3726" t="inlineStr">
        <is>
          <t>HOSP-1</t>
        </is>
      </c>
      <c r="C3726" t="inlineStr">
        <is>
          <t>SS-01230</t>
        </is>
      </c>
      <c r="D3726" t="n">
        <v>7</v>
      </c>
      <c r="E3726" t="n">
        <v>1</v>
      </c>
      <c r="G3726">
        <f>IF(AND(A3726&gt;=Inputs!$B$5,A3726&lt;=Inputs!$B$6),1,0)</f>
        <v/>
      </c>
    </row>
    <row r="3727">
      <c r="A3727" t="inlineStr">
        <is>
          <t>2025-01</t>
        </is>
      </c>
      <c r="B3727" t="inlineStr">
        <is>
          <t>HOSP-2</t>
        </is>
      </c>
      <c r="C3727" t="inlineStr">
        <is>
          <t>SS-01231</t>
        </is>
      </c>
      <c r="D3727" t="n">
        <v>12</v>
      </c>
      <c r="E3727" t="n">
        <v>0</v>
      </c>
      <c r="G3727">
        <f>IF(AND(A3727&gt;=Inputs!$B$5,A3727&lt;=Inputs!$B$6),1,0)</f>
        <v/>
      </c>
    </row>
    <row r="3728">
      <c r="A3728" t="inlineStr">
        <is>
          <t>2025-01</t>
        </is>
      </c>
      <c r="B3728" t="inlineStr">
        <is>
          <t>HOSP-3</t>
        </is>
      </c>
      <c r="C3728" t="inlineStr">
        <is>
          <t>SS-01232</t>
        </is>
      </c>
      <c r="D3728" t="n">
        <v>12</v>
      </c>
      <c r="E3728" t="n">
        <v>0</v>
      </c>
      <c r="G3728">
        <f>IF(AND(A3728&gt;=Inputs!$B$5,A3728&lt;=Inputs!$B$6),1,0)</f>
        <v/>
      </c>
    </row>
    <row r="3729">
      <c r="A3729" t="inlineStr">
        <is>
          <t>2025-01</t>
        </is>
      </c>
      <c r="B3729" t="inlineStr">
        <is>
          <t>HOSP-4</t>
        </is>
      </c>
      <c r="C3729" t="inlineStr">
        <is>
          <t>SS-01043</t>
        </is>
      </c>
      <c r="D3729" t="n">
        <v>1</v>
      </c>
      <c r="E3729" t="n">
        <v>4</v>
      </c>
      <c r="G3729">
        <f>IF(AND(A3729&gt;=Inputs!$B$5,A3729&lt;=Inputs!$B$6),1,0)</f>
        <v/>
      </c>
    </row>
    <row r="3730">
      <c r="A3730" t="inlineStr">
        <is>
          <t>2025-01</t>
        </is>
      </c>
      <c r="B3730" t="inlineStr">
        <is>
          <t>HOSP-1</t>
        </is>
      </c>
      <c r="C3730" t="inlineStr">
        <is>
          <t>SS-01001</t>
        </is>
      </c>
      <c r="D3730" t="n">
        <v>48</v>
      </c>
      <c r="E3730" t="n">
        <v>0</v>
      </c>
      <c r="G3730">
        <f>IF(AND(A3730&gt;=Inputs!$B$5,A3730&lt;=Inputs!$B$6),1,0)</f>
        <v/>
      </c>
    </row>
    <row r="3731">
      <c r="A3731" t="inlineStr">
        <is>
          <t>2025-01</t>
        </is>
      </c>
      <c r="B3731" t="inlineStr">
        <is>
          <t>HOSP-2</t>
        </is>
      </c>
      <c r="C3731" t="inlineStr">
        <is>
          <t>SS-01002</t>
        </is>
      </c>
      <c r="D3731" t="n">
        <v>24</v>
      </c>
      <c r="E3731" t="n">
        <v>0</v>
      </c>
      <c r="G3731">
        <f>IF(AND(A3731&gt;=Inputs!$B$5,A3731&lt;=Inputs!$B$6),1,0)</f>
        <v/>
      </c>
    </row>
    <row r="3732">
      <c r="A3732" t="inlineStr">
        <is>
          <t>2025-01</t>
        </is>
      </c>
      <c r="B3732" t="inlineStr">
        <is>
          <t>HOSP-3</t>
        </is>
      </c>
      <c r="C3732" t="inlineStr">
        <is>
          <t>SS-01100</t>
        </is>
      </c>
      <c r="D3732" t="n">
        <v>47</v>
      </c>
      <c r="E3732" t="n">
        <v>0</v>
      </c>
      <c r="G3732">
        <f>IF(AND(A3732&gt;=Inputs!$B$5,A3732&lt;=Inputs!$B$6),1,0)</f>
        <v/>
      </c>
    </row>
    <row r="3733">
      <c r="A3733" t="inlineStr">
        <is>
          <t>2025-01</t>
        </is>
      </c>
      <c r="B3733" t="inlineStr">
        <is>
          <t>HOSP-4</t>
        </is>
      </c>
      <c r="C3733" t="inlineStr">
        <is>
          <t>SS-01004</t>
        </is>
      </c>
      <c r="D3733" t="n">
        <v>204</v>
      </c>
      <c r="E3733" t="n">
        <v>0</v>
      </c>
      <c r="G3733">
        <f>IF(AND(A3733&gt;=Inputs!$B$5,A3733&lt;=Inputs!$B$6),1,0)</f>
        <v/>
      </c>
    </row>
    <row r="3734">
      <c r="A3734" t="inlineStr">
        <is>
          <t>2025-01</t>
        </is>
      </c>
      <c r="B3734" t="inlineStr">
        <is>
          <t>HOSP-1</t>
        </is>
      </c>
      <c r="C3734" t="inlineStr">
        <is>
          <t>SS-01005</t>
        </is>
      </c>
      <c r="D3734" t="n">
        <v>96</v>
      </c>
      <c r="E3734" t="n">
        <v>0</v>
      </c>
      <c r="G3734">
        <f>IF(AND(A3734&gt;=Inputs!$B$5,A3734&lt;=Inputs!$B$6),1,0)</f>
        <v/>
      </c>
    </row>
    <row r="3735">
      <c r="A3735" t="inlineStr">
        <is>
          <t>2025-01</t>
        </is>
      </c>
      <c r="B3735" t="inlineStr">
        <is>
          <t>HOSP-2</t>
        </is>
      </c>
      <c r="C3735" t="inlineStr">
        <is>
          <t>SS-01006</t>
        </is>
      </c>
      <c r="D3735" t="n">
        <v>36</v>
      </c>
      <c r="E3735" t="n">
        <v>0</v>
      </c>
      <c r="G3735">
        <f>IF(AND(A3735&gt;=Inputs!$B$5,A3735&lt;=Inputs!$B$6),1,0)</f>
        <v/>
      </c>
    </row>
    <row r="3736">
      <c r="A3736" t="inlineStr">
        <is>
          <t>2025-01</t>
        </is>
      </c>
      <c r="B3736" t="inlineStr">
        <is>
          <t>HOSP-3</t>
        </is>
      </c>
      <c r="C3736" t="inlineStr">
        <is>
          <t>SS-01147</t>
        </is>
      </c>
      <c r="D3736" t="n">
        <v>36</v>
      </c>
      <c r="E3736" t="n">
        <v>0</v>
      </c>
      <c r="G3736">
        <f>IF(AND(A3736&gt;=Inputs!$B$5,A3736&lt;=Inputs!$B$6),1,0)</f>
        <v/>
      </c>
    </row>
    <row r="3737">
      <c r="A3737" t="inlineStr">
        <is>
          <t>2025-01</t>
        </is>
      </c>
      <c r="B3737" t="inlineStr">
        <is>
          <t>HOSP-4</t>
        </is>
      </c>
      <c r="C3737" t="inlineStr">
        <is>
          <t>SS-01008</t>
        </is>
      </c>
      <c r="D3737" t="n">
        <v>0</v>
      </c>
      <c r="E3737" t="n">
        <v>1</v>
      </c>
      <c r="G3737">
        <f>IF(AND(A3737&gt;=Inputs!$B$5,A3737&lt;=Inputs!$B$6),1,0)</f>
        <v/>
      </c>
    </row>
    <row r="3738">
      <c r="A3738" t="inlineStr">
        <is>
          <t>2025-01</t>
        </is>
      </c>
      <c r="B3738" t="inlineStr">
        <is>
          <t>HOSP-1</t>
        </is>
      </c>
      <c r="C3738" t="inlineStr">
        <is>
          <t>SS-01163</t>
        </is>
      </c>
      <c r="D3738" t="n">
        <v>48</v>
      </c>
      <c r="E3738" t="n">
        <v>0</v>
      </c>
      <c r="G3738">
        <f>IF(AND(A3738&gt;=Inputs!$B$5,A3738&lt;=Inputs!$B$6),1,0)</f>
        <v/>
      </c>
    </row>
    <row r="3739">
      <c r="A3739" t="inlineStr">
        <is>
          <t>2025-01</t>
        </is>
      </c>
      <c r="B3739" t="inlineStr">
        <is>
          <t>HOSP-2</t>
        </is>
      </c>
      <c r="C3739" t="inlineStr">
        <is>
          <t>SS-01064</t>
        </is>
      </c>
      <c r="D3739" t="n">
        <v>11</v>
      </c>
      <c r="E3739" t="n">
        <v>1</v>
      </c>
      <c r="G3739">
        <f>IF(AND(A3739&gt;=Inputs!$B$5,A3739&lt;=Inputs!$B$6),1,0)</f>
        <v/>
      </c>
    </row>
    <row r="3740">
      <c r="A3740" t="inlineStr">
        <is>
          <t>2025-01</t>
        </is>
      </c>
      <c r="B3740" t="inlineStr">
        <is>
          <t>HOSP-3</t>
        </is>
      </c>
      <c r="C3740" t="inlineStr">
        <is>
          <t>SS-01011</t>
        </is>
      </c>
      <c r="D3740" t="n">
        <v>10</v>
      </c>
      <c r="E3740" t="n">
        <v>0</v>
      </c>
      <c r="G3740">
        <f>IF(AND(A3740&gt;=Inputs!$B$5,A3740&lt;=Inputs!$B$6),1,0)</f>
        <v/>
      </c>
    </row>
    <row r="3741">
      <c r="A3741" t="inlineStr">
        <is>
          <t>2025-01</t>
        </is>
      </c>
      <c r="B3741" t="inlineStr">
        <is>
          <t>HOSP-4</t>
        </is>
      </c>
      <c r="C3741" t="inlineStr">
        <is>
          <t>SS-01012</t>
        </is>
      </c>
      <c r="D3741" t="n">
        <v>0</v>
      </c>
      <c r="E3741" t="n">
        <v>0</v>
      </c>
      <c r="G3741">
        <f>IF(AND(A3741&gt;=Inputs!$B$5,A3741&lt;=Inputs!$B$6),1,0)</f>
        <v/>
      </c>
    </row>
    <row r="3742">
      <c r="A3742" t="inlineStr">
        <is>
          <t>2025-01</t>
        </is>
      </c>
      <c r="B3742" t="inlineStr">
        <is>
          <t>HOSP-1</t>
        </is>
      </c>
      <c r="C3742" t="inlineStr">
        <is>
          <t>SS-01224</t>
        </is>
      </c>
      <c r="D3742" t="n">
        <v>96</v>
      </c>
      <c r="E3742" t="n">
        <v>0</v>
      </c>
      <c r="G3742">
        <f>IF(AND(A3742&gt;=Inputs!$B$5,A3742&lt;=Inputs!$B$6),1,0)</f>
        <v/>
      </c>
    </row>
    <row r="3743">
      <c r="A3743" t="inlineStr">
        <is>
          <t>2025-01</t>
        </is>
      </c>
      <c r="B3743" t="inlineStr">
        <is>
          <t>HOSP-2</t>
        </is>
      </c>
      <c r="C3743" t="inlineStr">
        <is>
          <t>SS-01014</t>
        </is>
      </c>
      <c r="D3743" t="n">
        <v>12</v>
      </c>
      <c r="E3743" t="n">
        <v>0</v>
      </c>
      <c r="G3743">
        <f>IF(AND(A3743&gt;=Inputs!$B$5,A3743&lt;=Inputs!$B$6),1,0)</f>
        <v/>
      </c>
    </row>
    <row r="3744">
      <c r="A3744" t="inlineStr">
        <is>
          <t>2025-01</t>
        </is>
      </c>
      <c r="B3744" t="inlineStr">
        <is>
          <t>HOSP-3</t>
        </is>
      </c>
      <c r="C3744" t="inlineStr">
        <is>
          <t>SS-01015</t>
        </is>
      </c>
      <c r="D3744" t="n">
        <v>13</v>
      </c>
      <c r="E3744" t="n">
        <v>0</v>
      </c>
      <c r="G3744">
        <f>IF(AND(A3744&gt;=Inputs!$B$5,A3744&lt;=Inputs!$B$6),1,0)</f>
        <v/>
      </c>
    </row>
    <row r="3745">
      <c r="A3745" t="inlineStr">
        <is>
          <t>2025-01</t>
        </is>
      </c>
      <c r="B3745" t="inlineStr">
        <is>
          <t>HOSP-4</t>
        </is>
      </c>
      <c r="C3745" t="inlineStr">
        <is>
          <t>SS-01050</t>
        </is>
      </c>
      <c r="D3745" t="n">
        <v>13</v>
      </c>
      <c r="E3745" t="n">
        <v>1</v>
      </c>
      <c r="G3745">
        <f>IF(AND(A3745&gt;=Inputs!$B$5,A3745&lt;=Inputs!$B$6),1,0)</f>
        <v/>
      </c>
    </row>
    <row r="3746">
      <c r="A3746" t="inlineStr">
        <is>
          <t>2025-01</t>
        </is>
      </c>
      <c r="B3746" t="inlineStr">
        <is>
          <t>HOSP-1</t>
        </is>
      </c>
      <c r="C3746" t="inlineStr">
        <is>
          <t>SS-01017</t>
        </is>
      </c>
      <c r="D3746" t="n">
        <v>26</v>
      </c>
      <c r="E3746" t="n">
        <v>0</v>
      </c>
      <c r="G3746">
        <f>IF(AND(A3746&gt;=Inputs!$B$5,A3746&lt;=Inputs!$B$6),1,0)</f>
        <v/>
      </c>
    </row>
    <row r="3747">
      <c r="A3747" t="inlineStr">
        <is>
          <t>2025-01</t>
        </is>
      </c>
      <c r="B3747" t="inlineStr">
        <is>
          <t>HOSP-2</t>
        </is>
      </c>
      <c r="C3747" t="inlineStr">
        <is>
          <t>SS-01018</t>
        </is>
      </c>
      <c r="D3747" t="n">
        <v>12</v>
      </c>
      <c r="E3747" t="n">
        <v>0</v>
      </c>
      <c r="G3747">
        <f>IF(AND(A3747&gt;=Inputs!$B$5,A3747&lt;=Inputs!$B$6),1,0)</f>
        <v/>
      </c>
    </row>
    <row r="3748">
      <c r="A3748" t="inlineStr">
        <is>
          <t>2025-01</t>
        </is>
      </c>
      <c r="B3748" t="inlineStr">
        <is>
          <t>HOSP-3</t>
        </is>
      </c>
      <c r="C3748" t="inlineStr">
        <is>
          <t>SS-01019</t>
        </is>
      </c>
      <c r="D3748" t="n">
        <v>0</v>
      </c>
      <c r="E3748" t="n">
        <v>2</v>
      </c>
      <c r="G3748">
        <f>IF(AND(A3748&gt;=Inputs!$B$5,A3748&lt;=Inputs!$B$6),1,0)</f>
        <v/>
      </c>
    </row>
    <row r="3749">
      <c r="A3749" t="inlineStr">
        <is>
          <t>2025-01</t>
        </is>
      </c>
      <c r="B3749" t="inlineStr">
        <is>
          <t>HOSP-4</t>
        </is>
      </c>
      <c r="C3749" t="inlineStr">
        <is>
          <t>SS-01020</t>
        </is>
      </c>
      <c r="D3749" t="n">
        <v>0</v>
      </c>
      <c r="E3749" t="n">
        <v>0</v>
      </c>
      <c r="G3749">
        <f>IF(AND(A3749&gt;=Inputs!$B$5,A3749&lt;=Inputs!$B$6),1,0)</f>
        <v/>
      </c>
    </row>
    <row r="3750">
      <c r="A3750" t="inlineStr">
        <is>
          <t>2025-01</t>
        </is>
      </c>
      <c r="B3750" t="inlineStr">
        <is>
          <t>HOSP-1</t>
        </is>
      </c>
      <c r="C3750" t="inlineStr">
        <is>
          <t>SS-01021</t>
        </is>
      </c>
      <c r="D3750" t="n">
        <v>72</v>
      </c>
      <c r="E3750" t="n">
        <v>0</v>
      </c>
      <c r="G3750">
        <f>IF(AND(A3750&gt;=Inputs!$B$5,A3750&lt;=Inputs!$B$6),1,0)</f>
        <v/>
      </c>
    </row>
    <row r="3751">
      <c r="A3751" t="inlineStr">
        <is>
          <t>2025-01</t>
        </is>
      </c>
      <c r="B3751" t="inlineStr">
        <is>
          <t>HOSP-2</t>
        </is>
      </c>
      <c r="C3751" t="inlineStr">
        <is>
          <t>SS-01022</t>
        </is>
      </c>
      <c r="D3751" t="n">
        <v>0</v>
      </c>
      <c r="E3751" t="n">
        <v>0</v>
      </c>
      <c r="G3751">
        <f>IF(AND(A3751&gt;=Inputs!$B$5,A3751&lt;=Inputs!$B$6),1,0)</f>
        <v/>
      </c>
    </row>
    <row r="3752">
      <c r="A3752" t="inlineStr">
        <is>
          <t>2025-01</t>
        </is>
      </c>
      <c r="B3752" t="inlineStr">
        <is>
          <t>HOSP-3</t>
        </is>
      </c>
      <c r="C3752" t="inlineStr">
        <is>
          <t>SS-01023</t>
        </is>
      </c>
      <c r="D3752" t="n">
        <v>12</v>
      </c>
      <c r="E3752" t="n">
        <v>0</v>
      </c>
      <c r="G3752">
        <f>IF(AND(A3752&gt;=Inputs!$B$5,A3752&lt;=Inputs!$B$6),1,0)</f>
        <v/>
      </c>
    </row>
    <row r="3753">
      <c r="A3753" t="inlineStr">
        <is>
          <t>2025-01</t>
        </is>
      </c>
      <c r="B3753" t="inlineStr">
        <is>
          <t>HOSP-4</t>
        </is>
      </c>
      <c r="C3753" t="inlineStr">
        <is>
          <t>SS-01046</t>
        </is>
      </c>
      <c r="D3753" t="n">
        <v>10</v>
      </c>
      <c r="E3753" t="n">
        <v>6</v>
      </c>
      <c r="G3753">
        <f>IF(AND(A3753&gt;=Inputs!$B$5,A3753&lt;=Inputs!$B$6),1,0)</f>
        <v/>
      </c>
    </row>
    <row r="3754">
      <c r="A3754" t="inlineStr">
        <is>
          <t>2025-01</t>
        </is>
      </c>
      <c r="B3754" t="inlineStr">
        <is>
          <t>HOSP-1</t>
        </is>
      </c>
      <c r="C3754" t="inlineStr">
        <is>
          <t>SS-01025</t>
        </is>
      </c>
      <c r="D3754" t="n">
        <v>12</v>
      </c>
      <c r="E3754" t="n">
        <v>0</v>
      </c>
      <c r="G3754">
        <f>IF(AND(A3754&gt;=Inputs!$B$5,A3754&lt;=Inputs!$B$6),1,0)</f>
        <v/>
      </c>
    </row>
    <row r="3755">
      <c r="A3755" t="inlineStr">
        <is>
          <t>2025-01</t>
        </is>
      </c>
      <c r="B3755" t="inlineStr">
        <is>
          <t>HOSP-2</t>
        </is>
      </c>
      <c r="C3755" t="inlineStr">
        <is>
          <t>SS-01026</t>
        </is>
      </c>
      <c r="D3755" t="n">
        <v>289</v>
      </c>
      <c r="E3755" t="n">
        <v>0</v>
      </c>
      <c r="G3755">
        <f>IF(AND(A3755&gt;=Inputs!$B$5,A3755&lt;=Inputs!$B$6),1,0)</f>
        <v/>
      </c>
    </row>
    <row r="3756">
      <c r="A3756" t="inlineStr">
        <is>
          <t>2025-01</t>
        </is>
      </c>
      <c r="B3756" t="inlineStr">
        <is>
          <t>HOSP-3</t>
        </is>
      </c>
      <c r="C3756" t="inlineStr">
        <is>
          <t>SS-01027</t>
        </is>
      </c>
      <c r="D3756" t="n">
        <v>0</v>
      </c>
      <c r="E3756" t="n">
        <v>0</v>
      </c>
      <c r="G3756">
        <f>IF(AND(A3756&gt;=Inputs!$B$5,A3756&lt;=Inputs!$B$6),1,0)</f>
        <v/>
      </c>
    </row>
    <row r="3757">
      <c r="A3757" t="inlineStr">
        <is>
          <t>2025-01</t>
        </is>
      </c>
      <c r="B3757" t="inlineStr">
        <is>
          <t>HOSP-4</t>
        </is>
      </c>
      <c r="C3757" t="inlineStr">
        <is>
          <t>SS-01028</t>
        </is>
      </c>
      <c r="D3757" t="n">
        <v>0</v>
      </c>
      <c r="E3757" t="n">
        <v>0</v>
      </c>
      <c r="G3757">
        <f>IF(AND(A3757&gt;=Inputs!$B$5,A3757&lt;=Inputs!$B$6),1,0)</f>
        <v/>
      </c>
    </row>
    <row r="3758">
      <c r="A3758" t="inlineStr">
        <is>
          <t>2025-01</t>
        </is>
      </c>
      <c r="B3758" t="inlineStr">
        <is>
          <t>HOSP-1</t>
        </is>
      </c>
      <c r="C3758" t="inlineStr">
        <is>
          <t>SS-01029</t>
        </is>
      </c>
      <c r="D3758" t="n">
        <v>0</v>
      </c>
      <c r="E3758" t="n">
        <v>0</v>
      </c>
      <c r="G3758">
        <f>IF(AND(A3758&gt;=Inputs!$B$5,A3758&lt;=Inputs!$B$6),1,0)</f>
        <v/>
      </c>
    </row>
    <row r="3759">
      <c r="A3759" t="inlineStr">
        <is>
          <t>2025-01</t>
        </is>
      </c>
      <c r="B3759" t="inlineStr">
        <is>
          <t>HOSP-2</t>
        </is>
      </c>
      <c r="C3759" t="inlineStr">
        <is>
          <t>SS-01030</t>
        </is>
      </c>
      <c r="D3759" t="n">
        <v>38</v>
      </c>
      <c r="E3759" t="n">
        <v>0</v>
      </c>
      <c r="G3759">
        <f>IF(AND(A3759&gt;=Inputs!$B$5,A3759&lt;=Inputs!$B$6),1,0)</f>
        <v/>
      </c>
    </row>
    <row r="3760">
      <c r="A3760" t="inlineStr">
        <is>
          <t>2025-01</t>
        </is>
      </c>
      <c r="B3760" t="inlineStr">
        <is>
          <t>HOSP-3</t>
        </is>
      </c>
      <c r="C3760" t="inlineStr">
        <is>
          <t>SS-01031</t>
        </is>
      </c>
      <c r="D3760" t="n">
        <v>12</v>
      </c>
      <c r="E3760" t="n">
        <v>0</v>
      </c>
      <c r="G3760">
        <f>IF(AND(A3760&gt;=Inputs!$B$5,A3760&lt;=Inputs!$B$6),1,0)</f>
        <v/>
      </c>
    </row>
    <row r="3761">
      <c r="A3761" t="inlineStr">
        <is>
          <t>2025-01</t>
        </is>
      </c>
      <c r="B3761" t="inlineStr">
        <is>
          <t>HOSP-4</t>
        </is>
      </c>
      <c r="C3761" t="inlineStr">
        <is>
          <t>SS-01032</t>
        </is>
      </c>
      <c r="D3761" t="n">
        <v>12</v>
      </c>
      <c r="E3761" t="n">
        <v>0</v>
      </c>
      <c r="G3761">
        <f>IF(AND(A3761&gt;=Inputs!$B$5,A3761&lt;=Inputs!$B$6),1,0)</f>
        <v/>
      </c>
    </row>
    <row r="3762">
      <c r="A3762" t="inlineStr">
        <is>
          <t>2025-01</t>
        </is>
      </c>
      <c r="B3762" t="inlineStr">
        <is>
          <t>HOSP-1</t>
        </is>
      </c>
      <c r="C3762" t="inlineStr">
        <is>
          <t>SS-01033</t>
        </is>
      </c>
      <c r="D3762" t="n">
        <v>12</v>
      </c>
      <c r="E3762" t="n">
        <v>0</v>
      </c>
      <c r="G3762">
        <f>IF(AND(A3762&gt;=Inputs!$B$5,A3762&lt;=Inputs!$B$6),1,0)</f>
        <v/>
      </c>
    </row>
    <row r="3763">
      <c r="A3763" t="inlineStr">
        <is>
          <t>2025-01</t>
        </is>
      </c>
      <c r="B3763" t="inlineStr">
        <is>
          <t>HOSP-2</t>
        </is>
      </c>
      <c r="C3763" t="inlineStr">
        <is>
          <t>SS-01034</t>
        </is>
      </c>
      <c r="D3763" t="n">
        <v>36</v>
      </c>
      <c r="E3763" t="n">
        <v>0</v>
      </c>
      <c r="G3763">
        <f>IF(AND(A3763&gt;=Inputs!$B$5,A3763&lt;=Inputs!$B$6),1,0)</f>
        <v/>
      </c>
    </row>
    <row r="3764">
      <c r="A3764" t="inlineStr">
        <is>
          <t>2025-01</t>
        </is>
      </c>
      <c r="B3764" t="inlineStr">
        <is>
          <t>HOSP-3</t>
        </is>
      </c>
      <c r="C3764" t="inlineStr">
        <is>
          <t>SS-01035</t>
        </is>
      </c>
      <c r="D3764" t="n">
        <v>0</v>
      </c>
      <c r="E3764" t="n">
        <v>0</v>
      </c>
      <c r="G3764">
        <f>IF(AND(A3764&gt;=Inputs!$B$5,A3764&lt;=Inputs!$B$6),1,0)</f>
        <v/>
      </c>
    </row>
    <row r="3765">
      <c r="A3765" t="inlineStr">
        <is>
          <t>2025-01</t>
        </is>
      </c>
      <c r="B3765" t="inlineStr">
        <is>
          <t>HOSP-4</t>
        </is>
      </c>
      <c r="C3765" t="inlineStr">
        <is>
          <t>SS-01060</t>
        </is>
      </c>
      <c r="D3765" t="n">
        <v>33</v>
      </c>
      <c r="E3765" t="n">
        <v>5</v>
      </c>
      <c r="G3765">
        <f>IF(AND(A3765&gt;=Inputs!$B$5,A3765&lt;=Inputs!$B$6),1,0)</f>
        <v/>
      </c>
    </row>
    <row r="3766">
      <c r="A3766" t="inlineStr">
        <is>
          <t>2025-01</t>
        </is>
      </c>
      <c r="B3766" t="inlineStr">
        <is>
          <t>HOSP-1</t>
        </is>
      </c>
      <c r="C3766" t="inlineStr">
        <is>
          <t>SS-01037</t>
        </is>
      </c>
      <c r="D3766" t="n">
        <v>0</v>
      </c>
      <c r="E3766" t="n">
        <v>0</v>
      </c>
      <c r="G3766">
        <f>IF(AND(A3766&gt;=Inputs!$B$5,A3766&lt;=Inputs!$B$6),1,0)</f>
        <v/>
      </c>
    </row>
    <row r="3767">
      <c r="A3767" t="inlineStr">
        <is>
          <t>2025-01</t>
        </is>
      </c>
      <c r="B3767" t="inlineStr">
        <is>
          <t>HOSP-2</t>
        </is>
      </c>
      <c r="C3767" t="inlineStr">
        <is>
          <t>SS-01038</t>
        </is>
      </c>
      <c r="D3767" t="n">
        <v>12</v>
      </c>
      <c r="E3767" t="n">
        <v>0</v>
      </c>
      <c r="G3767">
        <f>IF(AND(A3767&gt;=Inputs!$B$5,A3767&lt;=Inputs!$B$6),1,0)</f>
        <v/>
      </c>
    </row>
    <row r="3768">
      <c r="A3768" t="inlineStr">
        <is>
          <t>2025-01</t>
        </is>
      </c>
      <c r="B3768" t="inlineStr">
        <is>
          <t>HOSP-3</t>
        </is>
      </c>
      <c r="C3768" t="inlineStr">
        <is>
          <t>SS-01039</t>
        </is>
      </c>
      <c r="D3768" t="n">
        <v>21</v>
      </c>
      <c r="E3768" t="n">
        <v>3</v>
      </c>
      <c r="G3768">
        <f>IF(AND(A3768&gt;=Inputs!$B$5,A3768&lt;=Inputs!$B$6),1,0)</f>
        <v/>
      </c>
    </row>
    <row r="3769">
      <c r="A3769" t="inlineStr">
        <is>
          <t>2025-01</t>
        </is>
      </c>
      <c r="B3769" t="inlineStr">
        <is>
          <t>HOSP-4</t>
        </is>
      </c>
      <c r="C3769" t="inlineStr">
        <is>
          <t>SS-01040</t>
        </is>
      </c>
      <c r="D3769" t="n">
        <v>0</v>
      </c>
      <c r="E3769" t="n">
        <v>0</v>
      </c>
      <c r="G3769">
        <f>IF(AND(A3769&gt;=Inputs!$B$5,A3769&lt;=Inputs!$B$6),1,0)</f>
        <v/>
      </c>
    </row>
    <row r="3770">
      <c r="A3770" t="inlineStr">
        <is>
          <t>2025-01</t>
        </is>
      </c>
      <c r="B3770" t="inlineStr">
        <is>
          <t>HOSP-1</t>
        </is>
      </c>
      <c r="C3770" t="inlineStr">
        <is>
          <t>SS-01079</t>
        </is>
      </c>
      <c r="D3770" t="n">
        <v>12</v>
      </c>
      <c r="E3770" t="n">
        <v>0</v>
      </c>
      <c r="G3770">
        <f>IF(AND(A3770&gt;=Inputs!$B$5,A3770&lt;=Inputs!$B$6),1,0)</f>
        <v/>
      </c>
    </row>
    <row r="3771">
      <c r="A3771" t="inlineStr">
        <is>
          <t>2025-01</t>
        </is>
      </c>
      <c r="B3771" t="inlineStr">
        <is>
          <t>HOSP-2</t>
        </is>
      </c>
      <c r="C3771" t="inlineStr">
        <is>
          <t>SS-01001</t>
        </is>
      </c>
      <c r="D3771" t="n">
        <v>10</v>
      </c>
      <c r="E3771" t="n">
        <v>2</v>
      </c>
      <c r="G3771">
        <f>IF(AND(A3771&gt;=Inputs!$B$5,A3771&lt;=Inputs!$B$6),1,0)</f>
        <v/>
      </c>
    </row>
    <row r="3772">
      <c r="A3772" t="inlineStr">
        <is>
          <t>2025-01</t>
        </is>
      </c>
      <c r="B3772" t="inlineStr">
        <is>
          <t>HOSP-3</t>
        </is>
      </c>
      <c r="C3772" t="inlineStr">
        <is>
          <t>SS-01043</t>
        </is>
      </c>
      <c r="D3772" t="n">
        <v>0</v>
      </c>
      <c r="E3772" t="n">
        <v>0</v>
      </c>
      <c r="G3772">
        <f>IF(AND(A3772&gt;=Inputs!$B$5,A3772&lt;=Inputs!$B$6),1,0)</f>
        <v/>
      </c>
    </row>
    <row r="3773">
      <c r="A3773" t="inlineStr">
        <is>
          <t>2025-01</t>
        </is>
      </c>
      <c r="B3773" t="inlineStr">
        <is>
          <t>HOSP-4</t>
        </is>
      </c>
      <c r="C3773" t="inlineStr">
        <is>
          <t>SS-01044</t>
        </is>
      </c>
      <c r="D3773" t="n">
        <v>24</v>
      </c>
      <c r="E3773" t="n">
        <v>0</v>
      </c>
      <c r="G3773">
        <f>IF(AND(A3773&gt;=Inputs!$B$5,A3773&lt;=Inputs!$B$6),1,0)</f>
        <v/>
      </c>
    </row>
    <row r="3774">
      <c r="A3774" t="inlineStr">
        <is>
          <t>2025-01</t>
        </is>
      </c>
      <c r="B3774" t="inlineStr">
        <is>
          <t>HOSP-1</t>
        </is>
      </c>
      <c r="C3774" t="inlineStr">
        <is>
          <t>SS-01045</t>
        </is>
      </c>
      <c r="D3774" t="n">
        <v>60</v>
      </c>
      <c r="E3774" t="n">
        <v>0</v>
      </c>
      <c r="G3774">
        <f>IF(AND(A3774&gt;=Inputs!$B$5,A3774&lt;=Inputs!$B$6),1,0)</f>
        <v/>
      </c>
    </row>
    <row r="3775">
      <c r="A3775" t="inlineStr">
        <is>
          <t>2025-01</t>
        </is>
      </c>
      <c r="B3775" t="inlineStr">
        <is>
          <t>HOSP-2</t>
        </is>
      </c>
      <c r="C3775" t="inlineStr">
        <is>
          <t>SS-01046</t>
        </is>
      </c>
      <c r="D3775" t="n">
        <v>0</v>
      </c>
      <c r="E3775" t="n">
        <v>0</v>
      </c>
      <c r="G3775">
        <f>IF(AND(A3775&gt;=Inputs!$B$5,A3775&lt;=Inputs!$B$6),1,0)</f>
        <v/>
      </c>
    </row>
    <row r="3776">
      <c r="A3776" t="inlineStr">
        <is>
          <t>2025-01</t>
        </is>
      </c>
      <c r="B3776" t="inlineStr">
        <is>
          <t>HOSP-3</t>
        </is>
      </c>
      <c r="C3776" t="inlineStr">
        <is>
          <t>SS-01153</t>
        </is>
      </c>
      <c r="D3776" t="n">
        <v>39</v>
      </c>
      <c r="E3776" t="n">
        <v>3</v>
      </c>
      <c r="G3776">
        <f>IF(AND(A3776&gt;=Inputs!$B$5,A3776&lt;=Inputs!$B$6),1,0)</f>
        <v/>
      </c>
    </row>
    <row r="3777">
      <c r="A3777" t="inlineStr">
        <is>
          <t>2025-01</t>
        </is>
      </c>
      <c r="B3777" t="inlineStr">
        <is>
          <t>HOSP-4</t>
        </is>
      </c>
      <c r="C3777" t="inlineStr">
        <is>
          <t>SS-01048</t>
        </is>
      </c>
      <c r="D3777" t="n">
        <v>36</v>
      </c>
      <c r="E3777" t="n">
        <v>0</v>
      </c>
      <c r="G3777">
        <f>IF(AND(A3777&gt;=Inputs!$B$5,A3777&lt;=Inputs!$B$6),1,0)</f>
        <v/>
      </c>
    </row>
    <row r="3778">
      <c r="A3778" t="inlineStr">
        <is>
          <t>2025-01</t>
        </is>
      </c>
      <c r="B3778" t="inlineStr">
        <is>
          <t>HOSP-1</t>
        </is>
      </c>
      <c r="C3778" t="inlineStr">
        <is>
          <t>SS-01049</t>
        </is>
      </c>
      <c r="D3778" t="n">
        <v>0</v>
      </c>
      <c r="E3778" t="n">
        <v>0</v>
      </c>
      <c r="G3778">
        <f>IF(AND(A3778&gt;=Inputs!$B$5,A3778&lt;=Inputs!$B$6),1,0)</f>
        <v/>
      </c>
    </row>
    <row r="3779">
      <c r="A3779" t="inlineStr">
        <is>
          <t>2025-01</t>
        </is>
      </c>
      <c r="B3779" t="inlineStr">
        <is>
          <t>HOSP-2</t>
        </is>
      </c>
      <c r="C3779" t="inlineStr">
        <is>
          <t>SS-01050</t>
        </is>
      </c>
      <c r="D3779" t="n">
        <v>31</v>
      </c>
      <c r="E3779" t="n">
        <v>0</v>
      </c>
      <c r="G3779">
        <f>IF(AND(A3779&gt;=Inputs!$B$5,A3779&lt;=Inputs!$B$6),1,0)</f>
        <v/>
      </c>
    </row>
    <row r="3780">
      <c r="A3780" t="inlineStr">
        <is>
          <t>2025-01</t>
        </is>
      </c>
      <c r="B3780" t="inlineStr">
        <is>
          <t>HOSP-3</t>
        </is>
      </c>
      <c r="C3780" t="inlineStr">
        <is>
          <t>SS-01051</t>
        </is>
      </c>
      <c r="D3780" t="n">
        <v>0</v>
      </c>
      <c r="E3780" t="n">
        <v>4</v>
      </c>
      <c r="G3780">
        <f>IF(AND(A3780&gt;=Inputs!$B$5,A3780&lt;=Inputs!$B$6),1,0)</f>
        <v/>
      </c>
    </row>
    <row r="3781">
      <c r="A3781" t="inlineStr">
        <is>
          <t>2025-01</t>
        </is>
      </c>
      <c r="B3781" t="inlineStr">
        <is>
          <t>HOSP-4</t>
        </is>
      </c>
      <c r="C3781" t="inlineStr">
        <is>
          <t>SS-01052</t>
        </is>
      </c>
      <c r="D3781" t="n">
        <v>0</v>
      </c>
      <c r="E3781" t="n">
        <v>0</v>
      </c>
      <c r="G3781">
        <f>IF(AND(A3781&gt;=Inputs!$B$5,A3781&lt;=Inputs!$B$6),1,0)</f>
        <v/>
      </c>
    </row>
    <row r="3782">
      <c r="A3782" t="inlineStr">
        <is>
          <t>2025-01</t>
        </is>
      </c>
      <c r="B3782" t="inlineStr">
        <is>
          <t>HOSP-1</t>
        </is>
      </c>
      <c r="C3782" t="inlineStr">
        <is>
          <t>SS-01182</t>
        </is>
      </c>
      <c r="D3782" t="n">
        <v>67</v>
      </c>
      <c r="E3782" t="n">
        <v>1</v>
      </c>
      <c r="G3782">
        <f>IF(AND(A3782&gt;=Inputs!$B$5,A3782&lt;=Inputs!$B$6),1,0)</f>
        <v/>
      </c>
    </row>
    <row r="3783">
      <c r="A3783" t="inlineStr">
        <is>
          <t>2025-01</t>
        </is>
      </c>
      <c r="B3783" t="inlineStr">
        <is>
          <t>HOSP-2</t>
        </is>
      </c>
      <c r="C3783" t="inlineStr">
        <is>
          <t>SS-01054</t>
        </is>
      </c>
      <c r="D3783" t="n">
        <v>24</v>
      </c>
      <c r="E3783" t="n">
        <v>0</v>
      </c>
      <c r="G3783">
        <f>IF(AND(A3783&gt;=Inputs!$B$5,A3783&lt;=Inputs!$B$6),1,0)</f>
        <v/>
      </c>
    </row>
    <row r="3784">
      <c r="A3784" t="inlineStr">
        <is>
          <t>2025-01</t>
        </is>
      </c>
      <c r="B3784" t="inlineStr">
        <is>
          <t>HOSP-3</t>
        </is>
      </c>
      <c r="C3784" t="inlineStr">
        <is>
          <t>SS-01055</t>
        </is>
      </c>
      <c r="D3784" t="n">
        <v>36</v>
      </c>
      <c r="E3784" t="n">
        <v>0</v>
      </c>
      <c r="G3784">
        <f>IF(AND(A3784&gt;=Inputs!$B$5,A3784&lt;=Inputs!$B$6),1,0)</f>
        <v/>
      </c>
    </row>
    <row r="3785">
      <c r="A3785" t="inlineStr">
        <is>
          <t>2025-01</t>
        </is>
      </c>
      <c r="B3785" t="inlineStr">
        <is>
          <t>HOSP-4</t>
        </is>
      </c>
      <c r="C3785" t="inlineStr">
        <is>
          <t>SS-01056</t>
        </is>
      </c>
      <c r="D3785" t="n">
        <v>48</v>
      </c>
      <c r="E3785" t="n">
        <v>0</v>
      </c>
      <c r="G3785">
        <f>IF(AND(A3785&gt;=Inputs!$B$5,A3785&lt;=Inputs!$B$6),1,0)</f>
        <v/>
      </c>
    </row>
    <row r="3786">
      <c r="A3786" t="inlineStr">
        <is>
          <t>2025-01</t>
        </is>
      </c>
      <c r="B3786" t="inlineStr">
        <is>
          <t>HOSP-1</t>
        </is>
      </c>
      <c r="C3786" t="inlineStr">
        <is>
          <t>SS-01057</t>
        </is>
      </c>
      <c r="D3786" t="n">
        <v>12</v>
      </c>
      <c r="E3786" t="n">
        <v>0</v>
      </c>
      <c r="G3786">
        <f>IF(AND(A3786&gt;=Inputs!$B$5,A3786&lt;=Inputs!$B$6),1,0)</f>
        <v/>
      </c>
    </row>
    <row r="3787">
      <c r="A3787" t="inlineStr">
        <is>
          <t>2025-01</t>
        </is>
      </c>
      <c r="B3787" t="inlineStr">
        <is>
          <t>HOSP-2</t>
        </is>
      </c>
      <c r="C3787" t="inlineStr">
        <is>
          <t>SS-01058</t>
        </is>
      </c>
      <c r="D3787" t="n">
        <v>72</v>
      </c>
      <c r="E3787" t="n">
        <v>0</v>
      </c>
      <c r="G3787">
        <f>IF(AND(A3787&gt;=Inputs!$B$5,A3787&lt;=Inputs!$B$6),1,0)</f>
        <v/>
      </c>
    </row>
    <row r="3788">
      <c r="A3788" t="inlineStr">
        <is>
          <t>2025-01</t>
        </is>
      </c>
      <c r="B3788" t="inlineStr">
        <is>
          <t>HOSP-3</t>
        </is>
      </c>
      <c r="C3788" t="inlineStr">
        <is>
          <t>SS-01059</t>
        </is>
      </c>
      <c r="D3788" t="n">
        <v>60</v>
      </c>
      <c r="E3788" t="n">
        <v>0</v>
      </c>
      <c r="G3788">
        <f>IF(AND(A3788&gt;=Inputs!$B$5,A3788&lt;=Inputs!$B$6),1,0)</f>
        <v/>
      </c>
    </row>
    <row r="3789">
      <c r="A3789" t="inlineStr">
        <is>
          <t>2025-01</t>
        </is>
      </c>
      <c r="B3789" t="inlineStr">
        <is>
          <t>HOSP-4</t>
        </is>
      </c>
      <c r="C3789" t="inlineStr">
        <is>
          <t>SS-01060</t>
        </is>
      </c>
      <c r="D3789" t="n">
        <v>87</v>
      </c>
      <c r="E3789" t="n">
        <v>0</v>
      </c>
      <c r="G3789">
        <f>IF(AND(A3789&gt;=Inputs!$B$5,A3789&lt;=Inputs!$B$6),1,0)</f>
        <v/>
      </c>
    </row>
    <row r="3790">
      <c r="A3790" t="inlineStr">
        <is>
          <t>2025-01</t>
        </is>
      </c>
      <c r="B3790" t="inlineStr">
        <is>
          <t>HOSP-1</t>
        </is>
      </c>
      <c r="C3790" t="inlineStr">
        <is>
          <t>SS-01061</t>
        </is>
      </c>
      <c r="D3790" t="n">
        <v>199</v>
      </c>
      <c r="E3790" t="n">
        <v>0</v>
      </c>
      <c r="G3790">
        <f>IF(AND(A3790&gt;=Inputs!$B$5,A3790&lt;=Inputs!$B$6),1,0)</f>
        <v/>
      </c>
    </row>
    <row r="3791">
      <c r="A3791" t="inlineStr">
        <is>
          <t>2025-01</t>
        </is>
      </c>
      <c r="B3791" t="inlineStr">
        <is>
          <t>HOSP-2</t>
        </is>
      </c>
      <c r="C3791" t="inlineStr">
        <is>
          <t>SS-01062</t>
        </is>
      </c>
      <c r="D3791" t="n">
        <v>48</v>
      </c>
      <c r="E3791" t="n">
        <v>0</v>
      </c>
      <c r="G3791">
        <f>IF(AND(A3791&gt;=Inputs!$B$5,A3791&lt;=Inputs!$B$6),1,0)</f>
        <v/>
      </c>
    </row>
    <row r="3792">
      <c r="A3792" t="inlineStr">
        <is>
          <t>2025-01</t>
        </is>
      </c>
      <c r="B3792" t="inlineStr">
        <is>
          <t>HOSP-3</t>
        </is>
      </c>
      <c r="C3792" t="inlineStr">
        <is>
          <t>SS-01063</t>
        </is>
      </c>
      <c r="D3792" t="n">
        <v>45</v>
      </c>
      <c r="E3792" t="n">
        <v>0</v>
      </c>
      <c r="G3792">
        <f>IF(AND(A3792&gt;=Inputs!$B$5,A3792&lt;=Inputs!$B$6),1,0)</f>
        <v/>
      </c>
    </row>
    <row r="3793">
      <c r="A3793" t="inlineStr">
        <is>
          <t>2025-01</t>
        </is>
      </c>
      <c r="B3793" t="inlineStr">
        <is>
          <t>HOSP-4</t>
        </is>
      </c>
      <c r="C3793" t="inlineStr">
        <is>
          <t>SS-01064</t>
        </is>
      </c>
      <c r="D3793" t="n">
        <v>0</v>
      </c>
      <c r="E3793" t="n">
        <v>0</v>
      </c>
      <c r="G3793">
        <f>IF(AND(A3793&gt;=Inputs!$B$5,A3793&lt;=Inputs!$B$6),1,0)</f>
        <v/>
      </c>
    </row>
    <row r="3794">
      <c r="A3794" t="inlineStr">
        <is>
          <t>2025-01</t>
        </is>
      </c>
      <c r="B3794" t="inlineStr">
        <is>
          <t>HOSP-1</t>
        </is>
      </c>
      <c r="C3794" t="inlineStr">
        <is>
          <t>SS-01065</t>
        </is>
      </c>
      <c r="D3794" t="n">
        <v>36</v>
      </c>
      <c r="E3794" t="n">
        <v>0</v>
      </c>
      <c r="G3794">
        <f>IF(AND(A3794&gt;=Inputs!$B$5,A3794&lt;=Inputs!$B$6),1,0)</f>
        <v/>
      </c>
    </row>
    <row r="3795">
      <c r="A3795" t="inlineStr">
        <is>
          <t>2025-01</t>
        </is>
      </c>
      <c r="B3795" t="inlineStr">
        <is>
          <t>HOSP-2</t>
        </is>
      </c>
      <c r="C3795" t="inlineStr">
        <is>
          <t>SS-01104</t>
        </is>
      </c>
      <c r="D3795" t="n">
        <v>2</v>
      </c>
      <c r="E3795" t="n">
        <v>3</v>
      </c>
      <c r="G3795">
        <f>IF(AND(A3795&gt;=Inputs!$B$5,A3795&lt;=Inputs!$B$6),1,0)</f>
        <v/>
      </c>
    </row>
    <row r="3796">
      <c r="A3796" t="inlineStr">
        <is>
          <t>2025-01</t>
        </is>
      </c>
      <c r="B3796" t="inlineStr">
        <is>
          <t>HOSP-3</t>
        </is>
      </c>
      <c r="C3796" t="inlineStr">
        <is>
          <t>SS-01067</t>
        </is>
      </c>
      <c r="D3796" t="n">
        <v>36</v>
      </c>
      <c r="E3796" t="n">
        <v>0</v>
      </c>
      <c r="G3796">
        <f>IF(AND(A3796&gt;=Inputs!$B$5,A3796&lt;=Inputs!$B$6),1,0)</f>
        <v/>
      </c>
    </row>
    <row r="3797">
      <c r="A3797" t="inlineStr">
        <is>
          <t>2025-01</t>
        </is>
      </c>
      <c r="B3797" t="inlineStr">
        <is>
          <t>HOSP-4</t>
        </is>
      </c>
      <c r="C3797" t="inlineStr">
        <is>
          <t>SS-01068</t>
        </is>
      </c>
      <c r="D3797" t="n">
        <v>72</v>
      </c>
      <c r="E3797" t="n">
        <v>0</v>
      </c>
      <c r="G3797">
        <f>IF(AND(A3797&gt;=Inputs!$B$5,A3797&lt;=Inputs!$B$6),1,0)</f>
        <v/>
      </c>
    </row>
    <row r="3798">
      <c r="A3798" t="inlineStr">
        <is>
          <t>2025-01</t>
        </is>
      </c>
      <c r="B3798" t="inlineStr">
        <is>
          <t>HOSP-1</t>
        </is>
      </c>
      <c r="C3798" t="inlineStr">
        <is>
          <t>SS-01069</t>
        </is>
      </c>
      <c r="D3798" t="n">
        <v>0</v>
      </c>
      <c r="E3798" t="n">
        <v>0</v>
      </c>
      <c r="G3798">
        <f>IF(AND(A3798&gt;=Inputs!$B$5,A3798&lt;=Inputs!$B$6),1,0)</f>
        <v/>
      </c>
    </row>
    <row r="3799">
      <c r="A3799" t="inlineStr">
        <is>
          <t>2025-01</t>
        </is>
      </c>
      <c r="B3799" t="inlineStr">
        <is>
          <t>HOSP-2</t>
        </is>
      </c>
      <c r="C3799" t="inlineStr">
        <is>
          <t>SS-01070</t>
        </is>
      </c>
      <c r="D3799" t="n">
        <v>48</v>
      </c>
      <c r="E3799" t="n">
        <v>0</v>
      </c>
      <c r="G3799">
        <f>IF(AND(A3799&gt;=Inputs!$B$5,A3799&lt;=Inputs!$B$6),1,0)</f>
        <v/>
      </c>
    </row>
    <row r="3800">
      <c r="A3800" t="inlineStr">
        <is>
          <t>2025-01</t>
        </is>
      </c>
      <c r="B3800" t="inlineStr">
        <is>
          <t>HOSP-3</t>
        </is>
      </c>
      <c r="C3800" t="inlineStr">
        <is>
          <t>SS-01071</t>
        </is>
      </c>
      <c r="D3800" t="n">
        <v>12</v>
      </c>
      <c r="E3800" t="n">
        <v>3</v>
      </c>
      <c r="G3800">
        <f>IF(AND(A3800&gt;=Inputs!$B$5,A3800&lt;=Inputs!$B$6),1,0)</f>
        <v/>
      </c>
    </row>
    <row r="3801">
      <c r="A3801" t="inlineStr">
        <is>
          <t>2025-01</t>
        </is>
      </c>
      <c r="B3801" t="inlineStr">
        <is>
          <t>HOSP-4</t>
        </is>
      </c>
      <c r="C3801" t="inlineStr">
        <is>
          <t>SS-01088</t>
        </is>
      </c>
      <c r="D3801" t="n">
        <v>24</v>
      </c>
      <c r="E3801" t="n">
        <v>0</v>
      </c>
      <c r="G3801">
        <f>IF(AND(A3801&gt;=Inputs!$B$5,A3801&lt;=Inputs!$B$6),1,0)</f>
        <v/>
      </c>
    </row>
    <row r="3802">
      <c r="A3802" t="inlineStr">
        <is>
          <t>2025-01</t>
        </is>
      </c>
      <c r="B3802" t="inlineStr">
        <is>
          <t>HOSP-1</t>
        </is>
      </c>
      <c r="C3802" t="inlineStr">
        <is>
          <t>SS-01073</t>
        </is>
      </c>
      <c r="D3802" t="n">
        <v>37</v>
      </c>
      <c r="E3802" t="n">
        <v>1</v>
      </c>
      <c r="G3802">
        <f>IF(AND(A3802&gt;=Inputs!$B$5,A3802&lt;=Inputs!$B$6),1,0)</f>
        <v/>
      </c>
    </row>
    <row r="3803">
      <c r="A3803" t="inlineStr">
        <is>
          <t>2025-01</t>
        </is>
      </c>
      <c r="B3803" t="inlineStr">
        <is>
          <t>HOSP-2</t>
        </is>
      </c>
      <c r="C3803" t="inlineStr">
        <is>
          <t>SS-01074</t>
        </is>
      </c>
      <c r="D3803" t="n">
        <v>14</v>
      </c>
      <c r="E3803" t="n">
        <v>1</v>
      </c>
      <c r="G3803">
        <f>IF(AND(A3803&gt;=Inputs!$B$5,A3803&lt;=Inputs!$B$6),1,0)</f>
        <v/>
      </c>
    </row>
    <row r="3804">
      <c r="A3804" t="inlineStr">
        <is>
          <t>2025-01</t>
        </is>
      </c>
      <c r="B3804" t="inlineStr">
        <is>
          <t>HOSP-3</t>
        </is>
      </c>
      <c r="C3804" t="inlineStr">
        <is>
          <t>SS-01107</t>
        </is>
      </c>
      <c r="D3804" t="n">
        <v>36</v>
      </c>
      <c r="E3804" t="n">
        <v>0</v>
      </c>
      <c r="G3804">
        <f>IF(AND(A3804&gt;=Inputs!$B$5,A3804&lt;=Inputs!$B$6),1,0)</f>
        <v/>
      </c>
    </row>
    <row r="3805">
      <c r="A3805" t="inlineStr">
        <is>
          <t>2025-01</t>
        </is>
      </c>
      <c r="B3805" t="inlineStr">
        <is>
          <t>HOSP-4</t>
        </is>
      </c>
      <c r="C3805" t="inlineStr">
        <is>
          <t>SS-01076</t>
        </is>
      </c>
      <c r="D3805" t="n">
        <v>12</v>
      </c>
      <c r="E3805" t="n">
        <v>0</v>
      </c>
      <c r="G3805">
        <f>IF(AND(A3805&gt;=Inputs!$B$5,A3805&lt;=Inputs!$B$6),1,0)</f>
        <v/>
      </c>
    </row>
    <row r="3806">
      <c r="A3806" t="inlineStr">
        <is>
          <t>2025-01</t>
        </is>
      </c>
      <c r="B3806" t="inlineStr">
        <is>
          <t>HOSP-1</t>
        </is>
      </c>
      <c r="C3806" t="inlineStr">
        <is>
          <t>SS-01077</t>
        </is>
      </c>
      <c r="D3806" t="n">
        <v>0</v>
      </c>
      <c r="E3806" t="n">
        <v>0</v>
      </c>
      <c r="G3806">
        <f>IF(AND(A3806&gt;=Inputs!$B$5,A3806&lt;=Inputs!$B$6),1,0)</f>
        <v/>
      </c>
    </row>
    <row r="3807">
      <c r="A3807" t="inlineStr">
        <is>
          <t>2025-01</t>
        </is>
      </c>
      <c r="B3807" t="inlineStr">
        <is>
          <t>HOSP-2</t>
        </is>
      </c>
      <c r="C3807" t="inlineStr">
        <is>
          <t>SS-01078</t>
        </is>
      </c>
      <c r="D3807" t="n">
        <v>0</v>
      </c>
      <c r="E3807" t="n">
        <v>0</v>
      </c>
      <c r="G3807">
        <f>IF(AND(A3807&gt;=Inputs!$B$5,A3807&lt;=Inputs!$B$6),1,0)</f>
        <v/>
      </c>
    </row>
    <row r="3808">
      <c r="A3808" t="inlineStr">
        <is>
          <t>2025-01</t>
        </is>
      </c>
      <c r="B3808" t="inlineStr">
        <is>
          <t>HOSP-3</t>
        </is>
      </c>
      <c r="C3808" t="inlineStr">
        <is>
          <t>SS-01079</t>
        </is>
      </c>
      <c r="D3808" t="n">
        <v>24</v>
      </c>
      <c r="E3808" t="n">
        <v>0</v>
      </c>
      <c r="F3808" t="inlineStr">
        <is>
          <t>surge</t>
        </is>
      </c>
      <c r="G3808">
        <f>IF(AND(A3808&gt;=Inputs!$B$5,A3808&lt;=Inputs!$B$6),1,0)</f>
        <v/>
      </c>
    </row>
    <row r="3809">
      <c r="A3809" t="inlineStr">
        <is>
          <t>2025-01</t>
        </is>
      </c>
      <c r="B3809" t="inlineStr">
        <is>
          <t>HOSP-4</t>
        </is>
      </c>
      <c r="C3809" t="inlineStr">
        <is>
          <t>SS-01080</t>
        </is>
      </c>
      <c r="D3809" t="n">
        <v>48</v>
      </c>
      <c r="E3809" t="n">
        <v>0</v>
      </c>
      <c r="G3809">
        <f>IF(AND(A3809&gt;=Inputs!$B$5,A3809&lt;=Inputs!$B$6),1,0)</f>
        <v/>
      </c>
    </row>
    <row r="3810">
      <c r="A3810" t="inlineStr">
        <is>
          <t>2025-01</t>
        </is>
      </c>
      <c r="B3810" t="inlineStr">
        <is>
          <t>HOSP-1</t>
        </is>
      </c>
      <c r="C3810" t="inlineStr">
        <is>
          <t>SS-01081</t>
        </is>
      </c>
      <c r="D3810" t="n">
        <v>17</v>
      </c>
      <c r="E3810" t="n">
        <v>0</v>
      </c>
      <c r="G3810">
        <f>IF(AND(A3810&gt;=Inputs!$B$5,A3810&lt;=Inputs!$B$6),1,0)</f>
        <v/>
      </c>
    </row>
    <row r="3811">
      <c r="A3811" t="inlineStr">
        <is>
          <t>2025-01</t>
        </is>
      </c>
      <c r="B3811" t="inlineStr">
        <is>
          <t>HOSP-2</t>
        </is>
      </c>
      <c r="C3811" t="inlineStr">
        <is>
          <t>SS-01082</t>
        </is>
      </c>
      <c r="D3811" t="n">
        <v>48</v>
      </c>
      <c r="E3811" t="n">
        <v>0</v>
      </c>
      <c r="G3811">
        <f>IF(AND(A3811&gt;=Inputs!$B$5,A3811&lt;=Inputs!$B$6),1,0)</f>
        <v/>
      </c>
    </row>
    <row r="3812">
      <c r="A3812" t="inlineStr">
        <is>
          <t>2025-01</t>
        </is>
      </c>
      <c r="B3812" t="inlineStr">
        <is>
          <t>HOSP-3</t>
        </is>
      </c>
      <c r="C3812" t="inlineStr">
        <is>
          <t>SS-01083</t>
        </is>
      </c>
      <c r="D3812" t="n">
        <v>24</v>
      </c>
      <c r="E3812" t="n">
        <v>0</v>
      </c>
      <c r="G3812">
        <f>IF(AND(A3812&gt;=Inputs!$B$5,A3812&lt;=Inputs!$B$6),1,0)</f>
        <v/>
      </c>
    </row>
    <row r="3813">
      <c r="A3813" t="inlineStr">
        <is>
          <t>2025-01</t>
        </is>
      </c>
      <c r="B3813" t="inlineStr">
        <is>
          <t>HOSP-4</t>
        </is>
      </c>
      <c r="C3813" t="inlineStr">
        <is>
          <t>SS-01084</t>
        </is>
      </c>
      <c r="D3813" t="n">
        <v>108</v>
      </c>
      <c r="E3813" t="n">
        <v>0</v>
      </c>
      <c r="G3813">
        <f>IF(AND(A3813&gt;=Inputs!$B$5,A3813&lt;=Inputs!$B$6),1,0)</f>
        <v/>
      </c>
    </row>
    <row r="3814">
      <c r="A3814" t="inlineStr">
        <is>
          <t>2025-01</t>
        </is>
      </c>
      <c r="B3814" t="inlineStr">
        <is>
          <t>HOSP-1</t>
        </is>
      </c>
      <c r="C3814" t="inlineStr">
        <is>
          <t>SS-01085</t>
        </is>
      </c>
      <c r="D3814" t="n">
        <v>0</v>
      </c>
      <c r="E3814" t="n">
        <v>1</v>
      </c>
      <c r="G3814">
        <f>IF(AND(A3814&gt;=Inputs!$B$5,A3814&lt;=Inputs!$B$6),1,0)</f>
        <v/>
      </c>
    </row>
    <row r="3815">
      <c r="A3815" t="inlineStr">
        <is>
          <t>2025-01</t>
        </is>
      </c>
      <c r="B3815" t="inlineStr">
        <is>
          <t>HOSP-2</t>
        </is>
      </c>
      <c r="C3815" t="inlineStr">
        <is>
          <t>SS-01086</t>
        </is>
      </c>
      <c r="D3815" t="n">
        <v>24</v>
      </c>
      <c r="E3815" t="n">
        <v>0</v>
      </c>
      <c r="G3815">
        <f>IF(AND(A3815&gt;=Inputs!$B$5,A3815&lt;=Inputs!$B$6),1,0)</f>
        <v/>
      </c>
    </row>
    <row r="3816">
      <c r="A3816" t="inlineStr">
        <is>
          <t>2025-01</t>
        </is>
      </c>
      <c r="B3816" t="inlineStr">
        <is>
          <t>HOSP-3</t>
        </is>
      </c>
      <c r="C3816" t="inlineStr">
        <is>
          <t>SS-01087</t>
        </is>
      </c>
      <c r="D3816" t="n">
        <v>12</v>
      </c>
      <c r="E3816" t="n">
        <v>0</v>
      </c>
      <c r="G3816">
        <f>IF(AND(A3816&gt;=Inputs!$B$5,A3816&lt;=Inputs!$B$6),1,0)</f>
        <v/>
      </c>
    </row>
    <row r="3817">
      <c r="A3817" t="inlineStr">
        <is>
          <t>2025-01</t>
        </is>
      </c>
      <c r="B3817" t="inlineStr">
        <is>
          <t>HOSP-4</t>
        </is>
      </c>
      <c r="C3817" t="inlineStr">
        <is>
          <t>SS-01088</t>
        </is>
      </c>
      <c r="D3817" t="n">
        <v>12</v>
      </c>
      <c r="E3817" t="n">
        <v>0</v>
      </c>
      <c r="G3817">
        <f>IF(AND(A3817&gt;=Inputs!$B$5,A3817&lt;=Inputs!$B$6),1,0)</f>
        <v/>
      </c>
    </row>
    <row r="3818">
      <c r="A3818" t="inlineStr">
        <is>
          <t>2025-01</t>
        </is>
      </c>
      <c r="B3818" t="inlineStr">
        <is>
          <t>HOSP-1</t>
        </is>
      </c>
      <c r="C3818" t="inlineStr">
        <is>
          <t>SS-01089</t>
        </is>
      </c>
      <c r="D3818" t="n">
        <v>12</v>
      </c>
      <c r="E3818" t="n">
        <v>0</v>
      </c>
      <c r="G3818">
        <f>IF(AND(A3818&gt;=Inputs!$B$5,A3818&lt;=Inputs!$B$6),1,0)</f>
        <v/>
      </c>
    </row>
    <row r="3819">
      <c r="A3819" t="inlineStr">
        <is>
          <t>2025-01</t>
        </is>
      </c>
      <c r="B3819" t="inlineStr">
        <is>
          <t>HOSP-2</t>
        </is>
      </c>
      <c r="C3819" t="inlineStr">
        <is>
          <t>SS-01090</t>
        </is>
      </c>
      <c r="D3819" t="n">
        <v>84</v>
      </c>
      <c r="E3819" t="n">
        <v>0</v>
      </c>
      <c r="G3819">
        <f>IF(AND(A3819&gt;=Inputs!$B$5,A3819&lt;=Inputs!$B$6),1,0)</f>
        <v/>
      </c>
    </row>
    <row r="3820">
      <c r="A3820" t="inlineStr">
        <is>
          <t>2025-01</t>
        </is>
      </c>
      <c r="B3820" t="inlineStr">
        <is>
          <t>HOSP-3</t>
        </is>
      </c>
      <c r="C3820" t="inlineStr">
        <is>
          <t>SS-01018</t>
        </is>
      </c>
      <c r="D3820" t="n">
        <v>756</v>
      </c>
      <c r="E3820" t="n">
        <v>0</v>
      </c>
      <c r="G3820">
        <f>IF(AND(A3820&gt;=Inputs!$B$5,A3820&lt;=Inputs!$B$6),1,0)</f>
        <v/>
      </c>
    </row>
    <row r="3821">
      <c r="A3821" t="inlineStr">
        <is>
          <t>2025-01</t>
        </is>
      </c>
      <c r="B3821" t="inlineStr">
        <is>
          <t>HOSP-4</t>
        </is>
      </c>
      <c r="C3821" t="inlineStr">
        <is>
          <t>SS-01092</t>
        </is>
      </c>
      <c r="D3821" t="n">
        <v>24</v>
      </c>
      <c r="E3821" t="n">
        <v>0</v>
      </c>
      <c r="G3821">
        <f>IF(AND(A3821&gt;=Inputs!$B$5,A3821&lt;=Inputs!$B$6),1,0)</f>
        <v/>
      </c>
    </row>
    <row r="3822">
      <c r="A3822" t="inlineStr">
        <is>
          <t>2025-01</t>
        </is>
      </c>
      <c r="B3822" t="inlineStr">
        <is>
          <t>HOSP-1</t>
        </is>
      </c>
      <c r="C3822" t="inlineStr">
        <is>
          <t>SS-01152</t>
        </is>
      </c>
      <c r="D3822" t="n">
        <v>58</v>
      </c>
      <c r="E3822" t="n">
        <v>1</v>
      </c>
      <c r="G3822">
        <f>IF(AND(A3822&gt;=Inputs!$B$5,A3822&lt;=Inputs!$B$6),1,0)</f>
        <v/>
      </c>
    </row>
    <row r="3823">
      <c r="A3823" t="inlineStr">
        <is>
          <t>2025-01</t>
        </is>
      </c>
      <c r="B3823" t="inlineStr">
        <is>
          <t>HOSP-2</t>
        </is>
      </c>
      <c r="C3823" t="inlineStr">
        <is>
          <t>SS-01094</t>
        </is>
      </c>
      <c r="D3823" t="n">
        <v>12</v>
      </c>
      <c r="E3823" t="n">
        <v>0</v>
      </c>
      <c r="G3823">
        <f>IF(AND(A3823&gt;=Inputs!$B$5,A3823&lt;=Inputs!$B$6),1,0)</f>
        <v/>
      </c>
    </row>
    <row r="3824">
      <c r="A3824" t="inlineStr">
        <is>
          <t>2025-01</t>
        </is>
      </c>
      <c r="B3824" t="inlineStr">
        <is>
          <t>HOSP-3</t>
        </is>
      </c>
      <c r="C3824" t="inlineStr">
        <is>
          <t>SS-01095</t>
        </is>
      </c>
      <c r="D3824" t="n">
        <v>4</v>
      </c>
      <c r="E3824" t="n">
        <v>1</v>
      </c>
      <c r="G3824">
        <f>IF(AND(A3824&gt;=Inputs!$B$5,A3824&lt;=Inputs!$B$6),1,0)</f>
        <v/>
      </c>
    </row>
    <row r="3825">
      <c r="A3825" t="inlineStr">
        <is>
          <t>2025-01</t>
        </is>
      </c>
      <c r="B3825" t="inlineStr">
        <is>
          <t>HOSP-4</t>
        </is>
      </c>
      <c r="C3825" t="inlineStr">
        <is>
          <t>SS-01199</t>
        </is>
      </c>
      <c r="D3825" t="n">
        <v>6</v>
      </c>
      <c r="E3825" t="n">
        <v>7</v>
      </c>
      <c r="G3825">
        <f>IF(AND(A3825&gt;=Inputs!$B$5,A3825&lt;=Inputs!$B$6),1,0)</f>
        <v/>
      </c>
    </row>
    <row r="3826">
      <c r="A3826" t="inlineStr">
        <is>
          <t>2025-01</t>
        </is>
      </c>
      <c r="B3826" t="inlineStr">
        <is>
          <t>HOSP-1</t>
        </is>
      </c>
      <c r="C3826" t="inlineStr">
        <is>
          <t>SS-01097</t>
        </is>
      </c>
      <c r="D3826" t="n">
        <v>0</v>
      </c>
      <c r="E3826" t="n">
        <v>0</v>
      </c>
      <c r="G3826">
        <f>IF(AND(A3826&gt;=Inputs!$B$5,A3826&lt;=Inputs!$B$6),1,0)</f>
        <v/>
      </c>
    </row>
    <row r="3827">
      <c r="A3827" t="inlineStr">
        <is>
          <t>2025-01</t>
        </is>
      </c>
      <c r="B3827" t="inlineStr">
        <is>
          <t>HOSP-2</t>
        </is>
      </c>
      <c r="C3827" t="inlineStr">
        <is>
          <t>SS-01098</t>
        </is>
      </c>
      <c r="D3827" t="n">
        <v>27</v>
      </c>
      <c r="E3827" t="n">
        <v>1</v>
      </c>
      <c r="G3827">
        <f>IF(AND(A3827&gt;=Inputs!$B$5,A3827&lt;=Inputs!$B$6),1,0)</f>
        <v/>
      </c>
    </row>
    <row r="3828">
      <c r="A3828" t="inlineStr">
        <is>
          <t>2025-01</t>
        </is>
      </c>
      <c r="B3828" t="inlineStr">
        <is>
          <t>HOSP-3</t>
        </is>
      </c>
      <c r="C3828" t="inlineStr">
        <is>
          <t>SS-01146</t>
        </is>
      </c>
      <c r="D3828" t="n">
        <v>108</v>
      </c>
      <c r="E3828" t="n">
        <v>0</v>
      </c>
      <c r="G3828">
        <f>IF(AND(A3828&gt;=Inputs!$B$5,A3828&lt;=Inputs!$B$6),1,0)</f>
        <v/>
      </c>
    </row>
    <row r="3829">
      <c r="A3829" t="inlineStr">
        <is>
          <t>2025-01</t>
        </is>
      </c>
      <c r="B3829" t="inlineStr">
        <is>
          <t>HOSP-4</t>
        </is>
      </c>
      <c r="C3829" t="inlineStr">
        <is>
          <t>SS-01100</t>
        </is>
      </c>
      <c r="D3829" t="n">
        <v>12</v>
      </c>
      <c r="E3829" t="n">
        <v>0</v>
      </c>
      <c r="G3829">
        <f>IF(AND(A3829&gt;=Inputs!$B$5,A3829&lt;=Inputs!$B$6),1,0)</f>
        <v/>
      </c>
    </row>
    <row r="3830">
      <c r="A3830" t="inlineStr">
        <is>
          <t>2025-01</t>
        </is>
      </c>
      <c r="B3830" t="inlineStr">
        <is>
          <t>HOSP-1</t>
        </is>
      </c>
      <c r="C3830" t="inlineStr">
        <is>
          <t>SS-01101</t>
        </is>
      </c>
      <c r="D3830" t="n">
        <v>12</v>
      </c>
      <c r="E3830" t="n">
        <v>0</v>
      </c>
      <c r="G3830">
        <f>IF(AND(A3830&gt;=Inputs!$B$5,A3830&lt;=Inputs!$B$6),1,0)</f>
        <v/>
      </c>
    </row>
    <row r="3831">
      <c r="A3831" t="inlineStr">
        <is>
          <t>2025-01</t>
        </is>
      </c>
      <c r="B3831" t="inlineStr">
        <is>
          <t>HOSP-2</t>
        </is>
      </c>
      <c r="C3831" t="inlineStr">
        <is>
          <t>SS-01102</t>
        </is>
      </c>
      <c r="D3831" t="n">
        <v>0</v>
      </c>
      <c r="E3831" t="n">
        <v>0</v>
      </c>
      <c r="G3831">
        <f>IF(AND(A3831&gt;=Inputs!$B$5,A3831&lt;=Inputs!$B$6),1,0)</f>
        <v/>
      </c>
    </row>
    <row r="3832">
      <c r="A3832" t="inlineStr">
        <is>
          <t>2025-01</t>
        </is>
      </c>
      <c r="B3832" t="inlineStr">
        <is>
          <t>HOSP-3</t>
        </is>
      </c>
      <c r="C3832" t="inlineStr">
        <is>
          <t>SS-01173</t>
        </is>
      </c>
      <c r="D3832" t="n">
        <v>48</v>
      </c>
      <c r="E3832" t="n">
        <v>0</v>
      </c>
      <c r="G3832">
        <f>IF(AND(A3832&gt;=Inputs!$B$5,A3832&lt;=Inputs!$B$6),1,0)</f>
        <v/>
      </c>
    </row>
    <row r="3833">
      <c r="A3833" t="inlineStr">
        <is>
          <t>2025-01</t>
        </is>
      </c>
      <c r="B3833" t="inlineStr">
        <is>
          <t>HOSP-4</t>
        </is>
      </c>
      <c r="C3833" t="inlineStr">
        <is>
          <t>SS-01104</t>
        </is>
      </c>
      <c r="D3833" t="n">
        <v>0</v>
      </c>
      <c r="E3833" t="n">
        <v>0</v>
      </c>
      <c r="G3833">
        <f>IF(AND(A3833&gt;=Inputs!$B$5,A3833&lt;=Inputs!$B$6),1,0)</f>
        <v/>
      </c>
    </row>
    <row r="3834">
      <c r="A3834" t="inlineStr">
        <is>
          <t>2025-01</t>
        </is>
      </c>
      <c r="B3834" t="inlineStr">
        <is>
          <t>HOSP-1</t>
        </is>
      </c>
      <c r="C3834" t="inlineStr">
        <is>
          <t>SS-01105</t>
        </is>
      </c>
      <c r="D3834" t="n">
        <v>0</v>
      </c>
      <c r="E3834" t="n">
        <v>0</v>
      </c>
      <c r="G3834">
        <f>IF(AND(A3834&gt;=Inputs!$B$5,A3834&lt;=Inputs!$B$6),1,0)</f>
        <v/>
      </c>
    </row>
    <row r="3835">
      <c r="A3835" t="inlineStr">
        <is>
          <t>2025-01</t>
        </is>
      </c>
      <c r="B3835" t="inlineStr">
        <is>
          <t>HOSP-2</t>
        </is>
      </c>
      <c r="C3835" t="inlineStr">
        <is>
          <t>SS-01106</t>
        </is>
      </c>
      <c r="D3835" t="n">
        <v>12</v>
      </c>
      <c r="E3835" t="n">
        <v>0</v>
      </c>
      <c r="G3835">
        <f>IF(AND(A3835&gt;=Inputs!$B$5,A3835&lt;=Inputs!$B$6),1,0)</f>
        <v/>
      </c>
    </row>
    <row r="3836">
      <c r="A3836" t="inlineStr">
        <is>
          <t>2025-01</t>
        </is>
      </c>
      <c r="B3836" t="inlineStr">
        <is>
          <t>HOSP-3</t>
        </is>
      </c>
      <c r="C3836" t="inlineStr">
        <is>
          <t>SS-01107</t>
        </is>
      </c>
      <c r="D3836" t="n">
        <v>0</v>
      </c>
      <c r="E3836" t="n">
        <v>0</v>
      </c>
      <c r="G3836">
        <f>IF(AND(A3836&gt;=Inputs!$B$5,A3836&lt;=Inputs!$B$6),1,0)</f>
        <v/>
      </c>
    </row>
    <row r="3837">
      <c r="A3837" t="inlineStr">
        <is>
          <t>2025-01</t>
        </is>
      </c>
      <c r="B3837" t="inlineStr">
        <is>
          <t>HOSP-4</t>
        </is>
      </c>
      <c r="C3837" t="inlineStr">
        <is>
          <t>SS-01212</t>
        </is>
      </c>
      <c r="D3837" t="n">
        <v>7</v>
      </c>
      <c r="E3837" t="n">
        <v>6</v>
      </c>
      <c r="G3837">
        <f>IF(AND(A3837&gt;=Inputs!$B$5,A3837&lt;=Inputs!$B$6),1,0)</f>
        <v/>
      </c>
    </row>
    <row r="3838">
      <c r="A3838" t="inlineStr">
        <is>
          <t>2025-01</t>
        </is>
      </c>
      <c r="B3838" t="inlineStr">
        <is>
          <t>HOSP-1</t>
        </is>
      </c>
      <c r="C3838" t="inlineStr">
        <is>
          <t>SS-01109</t>
        </is>
      </c>
      <c r="D3838" t="n">
        <v>24</v>
      </c>
      <c r="E3838" t="n">
        <v>0</v>
      </c>
      <c r="G3838">
        <f>IF(AND(A3838&gt;=Inputs!$B$5,A3838&lt;=Inputs!$B$6),1,0)</f>
        <v/>
      </c>
    </row>
    <row r="3839">
      <c r="A3839" t="inlineStr">
        <is>
          <t>2025-01</t>
        </is>
      </c>
      <c r="B3839" t="inlineStr">
        <is>
          <t>HOSP-2</t>
        </is>
      </c>
      <c r="C3839" t="inlineStr">
        <is>
          <t>SS-01110</t>
        </is>
      </c>
      <c r="D3839" t="n">
        <v>0</v>
      </c>
      <c r="E3839" t="n">
        <v>0</v>
      </c>
      <c r="G3839">
        <f>IF(AND(A3839&gt;=Inputs!$B$5,A3839&lt;=Inputs!$B$6),1,0)</f>
        <v/>
      </c>
    </row>
    <row r="3840">
      <c r="A3840" t="inlineStr">
        <is>
          <t>2025-01</t>
        </is>
      </c>
      <c r="B3840" t="inlineStr">
        <is>
          <t>HOSP-3</t>
        </is>
      </c>
      <c r="C3840" t="inlineStr">
        <is>
          <t>SS-01111</t>
        </is>
      </c>
      <c r="D3840" t="n">
        <v>0</v>
      </c>
      <c r="E3840" t="n">
        <v>0</v>
      </c>
      <c r="G3840">
        <f>IF(AND(A3840&gt;=Inputs!$B$5,A3840&lt;=Inputs!$B$6),1,0)</f>
        <v/>
      </c>
    </row>
    <row r="3841">
      <c r="A3841" t="inlineStr">
        <is>
          <t>2025-01</t>
        </is>
      </c>
      <c r="B3841" t="inlineStr">
        <is>
          <t>HOSP-4</t>
        </is>
      </c>
      <c r="C3841" t="inlineStr">
        <is>
          <t>SS-01112</t>
        </is>
      </c>
      <c r="D3841" t="n">
        <v>12</v>
      </c>
      <c r="E3841" t="n">
        <v>0</v>
      </c>
      <c r="G3841">
        <f>IF(AND(A3841&gt;=Inputs!$B$5,A3841&lt;=Inputs!$B$6),1,0)</f>
        <v/>
      </c>
    </row>
    <row r="3842">
      <c r="A3842" t="inlineStr">
        <is>
          <t>2025-01</t>
        </is>
      </c>
      <c r="B3842" t="inlineStr">
        <is>
          <t>HOSP-1</t>
        </is>
      </c>
      <c r="C3842" t="inlineStr">
        <is>
          <t>SS-01113</t>
        </is>
      </c>
      <c r="D3842" t="n">
        <v>33</v>
      </c>
      <c r="E3842" t="n">
        <v>0</v>
      </c>
      <c r="G3842">
        <f>IF(AND(A3842&gt;=Inputs!$B$5,A3842&lt;=Inputs!$B$6),1,0)</f>
        <v/>
      </c>
    </row>
    <row r="3843">
      <c r="A3843" t="inlineStr">
        <is>
          <t>2025-01</t>
        </is>
      </c>
      <c r="B3843" t="inlineStr">
        <is>
          <t>HOSP-2</t>
        </is>
      </c>
      <c r="C3843" t="inlineStr">
        <is>
          <t>SS-01114</t>
        </is>
      </c>
      <c r="D3843" t="n">
        <v>36</v>
      </c>
      <c r="E3843" t="n">
        <v>0</v>
      </c>
      <c r="G3843">
        <f>IF(AND(A3843&gt;=Inputs!$B$5,A3843&lt;=Inputs!$B$6),1,0)</f>
        <v/>
      </c>
    </row>
    <row r="3844">
      <c r="A3844" t="inlineStr">
        <is>
          <t>2025-01</t>
        </is>
      </c>
      <c r="B3844" t="inlineStr">
        <is>
          <t>HOSP-3</t>
        </is>
      </c>
      <c r="C3844" t="inlineStr">
        <is>
          <t>SS-01115</t>
        </is>
      </c>
      <c r="D3844" t="n">
        <v>0</v>
      </c>
      <c r="E3844" t="n">
        <v>0</v>
      </c>
      <c r="G3844">
        <f>IF(AND(A3844&gt;=Inputs!$B$5,A3844&lt;=Inputs!$B$6),1,0)</f>
        <v/>
      </c>
    </row>
    <row r="3845">
      <c r="A3845" t="inlineStr">
        <is>
          <t>2025-01</t>
        </is>
      </c>
      <c r="B3845" t="inlineStr">
        <is>
          <t>HOSP-4</t>
        </is>
      </c>
      <c r="C3845" t="inlineStr">
        <is>
          <t>SS-01116</t>
        </is>
      </c>
      <c r="D3845" t="n">
        <v>12</v>
      </c>
      <c r="E3845" t="n">
        <v>0</v>
      </c>
      <c r="G3845">
        <f>IF(AND(A3845&gt;=Inputs!$B$5,A3845&lt;=Inputs!$B$6),1,0)</f>
        <v/>
      </c>
    </row>
    <row r="3846">
      <c r="A3846" t="inlineStr">
        <is>
          <t>2025-01</t>
        </is>
      </c>
      <c r="B3846" t="inlineStr">
        <is>
          <t>HOSP-1</t>
        </is>
      </c>
      <c r="C3846" t="inlineStr">
        <is>
          <t>SS-01126</t>
        </is>
      </c>
      <c r="D3846" t="n">
        <v>16</v>
      </c>
      <c r="E3846" t="n">
        <v>4</v>
      </c>
      <c r="G3846">
        <f>IF(AND(A3846&gt;=Inputs!$B$5,A3846&lt;=Inputs!$B$6),1,0)</f>
        <v/>
      </c>
    </row>
    <row r="3847">
      <c r="A3847" t="inlineStr">
        <is>
          <t>2025-01</t>
        </is>
      </c>
      <c r="B3847" t="inlineStr">
        <is>
          <t>HOSP-2</t>
        </is>
      </c>
      <c r="C3847" t="inlineStr">
        <is>
          <t>SS-01118</t>
        </is>
      </c>
      <c r="D3847" t="n">
        <v>24</v>
      </c>
      <c r="E3847" t="n">
        <v>0</v>
      </c>
      <c r="G3847">
        <f>IF(AND(A3847&gt;=Inputs!$B$5,A3847&lt;=Inputs!$B$6),1,0)</f>
        <v/>
      </c>
    </row>
    <row r="3848">
      <c r="A3848" t="inlineStr">
        <is>
          <t>2025-01</t>
        </is>
      </c>
      <c r="B3848" t="inlineStr">
        <is>
          <t>HOSP-3</t>
        </is>
      </c>
      <c r="C3848" t="inlineStr">
        <is>
          <t>SS-01119</t>
        </is>
      </c>
      <c r="D3848" t="n">
        <v>0</v>
      </c>
      <c r="E3848" t="n">
        <v>0</v>
      </c>
      <c r="G3848">
        <f>IF(AND(A3848&gt;=Inputs!$B$5,A3848&lt;=Inputs!$B$6),1,0)</f>
        <v/>
      </c>
    </row>
    <row r="3849">
      <c r="A3849" t="inlineStr">
        <is>
          <t>2025-01</t>
        </is>
      </c>
      <c r="B3849" t="inlineStr">
        <is>
          <t>HOSP-4</t>
        </is>
      </c>
      <c r="C3849" t="inlineStr">
        <is>
          <t>SS-01120</t>
        </is>
      </c>
      <c r="D3849" t="n">
        <v>144</v>
      </c>
      <c r="E3849" t="n">
        <v>0</v>
      </c>
      <c r="G3849">
        <f>IF(AND(A3849&gt;=Inputs!$B$5,A3849&lt;=Inputs!$B$6),1,0)</f>
        <v/>
      </c>
    </row>
    <row r="3850">
      <c r="A3850" t="inlineStr">
        <is>
          <t>2025-01</t>
        </is>
      </c>
      <c r="B3850" t="inlineStr">
        <is>
          <t>HOSP-1</t>
        </is>
      </c>
      <c r="C3850" t="inlineStr">
        <is>
          <t>SS-01121</t>
        </is>
      </c>
      <c r="D3850" t="n">
        <v>72</v>
      </c>
      <c r="E3850" t="n">
        <v>0</v>
      </c>
      <c r="G3850">
        <f>IF(AND(A3850&gt;=Inputs!$B$5,A3850&lt;=Inputs!$B$6),1,0)</f>
        <v/>
      </c>
    </row>
    <row r="3851">
      <c r="A3851" t="inlineStr">
        <is>
          <t>2025-01</t>
        </is>
      </c>
      <c r="B3851" t="inlineStr">
        <is>
          <t>HOSP-2</t>
        </is>
      </c>
      <c r="C3851" t="inlineStr">
        <is>
          <t>SS-01122</t>
        </is>
      </c>
      <c r="D3851" t="n">
        <v>24</v>
      </c>
      <c r="E3851" t="n">
        <v>0</v>
      </c>
      <c r="G3851">
        <f>IF(AND(A3851&gt;=Inputs!$B$5,A3851&lt;=Inputs!$B$6),1,0)</f>
        <v/>
      </c>
    </row>
    <row r="3852">
      <c r="A3852" t="inlineStr">
        <is>
          <t>2025-01</t>
        </is>
      </c>
      <c r="B3852" t="inlineStr">
        <is>
          <t>HOSP-3</t>
        </is>
      </c>
      <c r="C3852" t="inlineStr">
        <is>
          <t>SS-01123</t>
        </is>
      </c>
      <c r="D3852" t="n">
        <v>24</v>
      </c>
      <c r="E3852" t="n">
        <v>0</v>
      </c>
      <c r="G3852">
        <f>IF(AND(A3852&gt;=Inputs!$B$5,A3852&lt;=Inputs!$B$6),1,0)</f>
        <v/>
      </c>
    </row>
    <row r="3853">
      <c r="A3853" t="inlineStr">
        <is>
          <t>2025-01</t>
        </is>
      </c>
      <c r="B3853" t="inlineStr">
        <is>
          <t>HOSP-4</t>
        </is>
      </c>
      <c r="C3853" t="inlineStr">
        <is>
          <t>SS-01124</t>
        </is>
      </c>
      <c r="D3853" t="n">
        <v>72</v>
      </c>
      <c r="E3853" t="n">
        <v>0</v>
      </c>
      <c r="G3853">
        <f>IF(AND(A3853&gt;=Inputs!$B$5,A3853&lt;=Inputs!$B$6),1,0)</f>
        <v/>
      </c>
    </row>
    <row r="3854">
      <c r="A3854" t="inlineStr">
        <is>
          <t>2025-01</t>
        </is>
      </c>
      <c r="B3854" t="inlineStr">
        <is>
          <t>HOSP-1</t>
        </is>
      </c>
      <c r="C3854" t="inlineStr">
        <is>
          <t>SS-01137</t>
        </is>
      </c>
      <c r="D3854" t="n">
        <v>144</v>
      </c>
      <c r="E3854" t="n">
        <v>0</v>
      </c>
      <c r="G3854">
        <f>IF(AND(A3854&gt;=Inputs!$B$5,A3854&lt;=Inputs!$B$6),1,0)</f>
        <v/>
      </c>
    </row>
    <row r="3855">
      <c r="A3855" t="inlineStr">
        <is>
          <t>2025-01</t>
        </is>
      </c>
      <c r="B3855" t="inlineStr">
        <is>
          <t>HOSP-2</t>
        </is>
      </c>
      <c r="C3855" t="inlineStr">
        <is>
          <t>SS-01126</t>
        </is>
      </c>
      <c r="D3855" t="n">
        <v>24</v>
      </c>
      <c r="E3855" t="n">
        <v>0</v>
      </c>
      <c r="G3855">
        <f>IF(AND(A3855&gt;=Inputs!$B$5,A3855&lt;=Inputs!$B$6),1,0)</f>
        <v/>
      </c>
    </row>
    <row r="3856">
      <c r="A3856" t="inlineStr">
        <is>
          <t>2025-01</t>
        </is>
      </c>
      <c r="B3856" t="inlineStr">
        <is>
          <t>HOSP-3</t>
        </is>
      </c>
      <c r="C3856" t="inlineStr">
        <is>
          <t>SS-01127</t>
        </is>
      </c>
      <c r="D3856" t="n">
        <v>72</v>
      </c>
      <c r="E3856" t="n">
        <v>0</v>
      </c>
      <c r="G3856">
        <f>IF(AND(A3856&gt;=Inputs!$B$5,A3856&lt;=Inputs!$B$6),1,0)</f>
        <v/>
      </c>
    </row>
    <row r="3857">
      <c r="A3857" t="inlineStr">
        <is>
          <t>2025-01</t>
        </is>
      </c>
      <c r="B3857" t="inlineStr">
        <is>
          <t>HOSP-4</t>
        </is>
      </c>
      <c r="C3857" t="inlineStr">
        <is>
          <t>SS-01116</t>
        </is>
      </c>
      <c r="D3857" t="n">
        <v>24</v>
      </c>
      <c r="E3857" t="n">
        <v>0</v>
      </c>
      <c r="G3857">
        <f>IF(AND(A3857&gt;=Inputs!$B$5,A3857&lt;=Inputs!$B$6),1,0)</f>
        <v/>
      </c>
    </row>
    <row r="3858">
      <c r="A3858" t="inlineStr">
        <is>
          <t>2025-01</t>
        </is>
      </c>
      <c r="B3858" t="inlineStr">
        <is>
          <t>HOSP-1</t>
        </is>
      </c>
      <c r="C3858" t="inlineStr">
        <is>
          <t>SS-01109</t>
        </is>
      </c>
      <c r="D3858" t="n">
        <v>96</v>
      </c>
      <c r="E3858" t="n">
        <v>0</v>
      </c>
      <c r="G3858">
        <f>IF(AND(A3858&gt;=Inputs!$B$5,A3858&lt;=Inputs!$B$6),1,0)</f>
        <v/>
      </c>
    </row>
    <row r="3859">
      <c r="A3859" t="inlineStr">
        <is>
          <t>2025-01</t>
        </is>
      </c>
      <c r="B3859" t="inlineStr">
        <is>
          <t>HOSP-2</t>
        </is>
      </c>
      <c r="C3859" t="inlineStr">
        <is>
          <t>SS-01130</t>
        </is>
      </c>
      <c r="D3859" t="n">
        <v>12</v>
      </c>
      <c r="E3859" t="n">
        <v>0</v>
      </c>
      <c r="G3859">
        <f>IF(AND(A3859&gt;=Inputs!$B$5,A3859&lt;=Inputs!$B$6),1,0)</f>
        <v/>
      </c>
    </row>
    <row r="3860">
      <c r="A3860" t="inlineStr">
        <is>
          <t>2025-01</t>
        </is>
      </c>
      <c r="B3860" t="inlineStr">
        <is>
          <t>HOSP-3</t>
        </is>
      </c>
      <c r="C3860" t="inlineStr">
        <is>
          <t>SS-01131</t>
        </is>
      </c>
      <c r="D3860" t="n">
        <v>12</v>
      </c>
      <c r="E3860" t="n">
        <v>0</v>
      </c>
      <c r="G3860">
        <f>IF(AND(A3860&gt;=Inputs!$B$5,A3860&lt;=Inputs!$B$6),1,0)</f>
        <v/>
      </c>
    </row>
    <row r="3861">
      <c r="A3861" t="inlineStr">
        <is>
          <t>2025-01</t>
        </is>
      </c>
      <c r="B3861" t="inlineStr">
        <is>
          <t>HOSP-4</t>
        </is>
      </c>
      <c r="C3861" t="inlineStr">
        <is>
          <t>SS-01015</t>
        </is>
      </c>
      <c r="D3861" t="n">
        <v>108</v>
      </c>
      <c r="E3861" t="n">
        <v>0</v>
      </c>
      <c r="G3861">
        <f>IF(AND(A3861&gt;=Inputs!$B$5,A3861&lt;=Inputs!$B$6),1,0)</f>
        <v/>
      </c>
    </row>
    <row r="3862">
      <c r="A3862" t="inlineStr">
        <is>
          <t>2025-01</t>
        </is>
      </c>
      <c r="B3862" t="inlineStr">
        <is>
          <t>HOSP-1</t>
        </is>
      </c>
      <c r="C3862" t="inlineStr">
        <is>
          <t>SS-01098</t>
        </is>
      </c>
      <c r="D3862" t="n">
        <v>39</v>
      </c>
      <c r="E3862" t="n">
        <v>1</v>
      </c>
      <c r="G3862">
        <f>IF(AND(A3862&gt;=Inputs!$B$5,A3862&lt;=Inputs!$B$6),1,0)</f>
        <v/>
      </c>
    </row>
    <row r="3863">
      <c r="A3863" t="inlineStr">
        <is>
          <t>2025-01</t>
        </is>
      </c>
      <c r="B3863" t="inlineStr">
        <is>
          <t>HOSP-2</t>
        </is>
      </c>
      <c r="C3863" t="inlineStr">
        <is>
          <t>SS-01134</t>
        </is>
      </c>
      <c r="D3863" t="n">
        <v>48</v>
      </c>
      <c r="E3863" t="n">
        <v>0</v>
      </c>
      <c r="G3863">
        <f>IF(AND(A3863&gt;=Inputs!$B$5,A3863&lt;=Inputs!$B$6),1,0)</f>
        <v/>
      </c>
    </row>
    <row r="3864">
      <c r="A3864" t="inlineStr">
        <is>
          <t>2025-01</t>
        </is>
      </c>
      <c r="B3864" t="inlineStr">
        <is>
          <t>HOSP-3</t>
        </is>
      </c>
      <c r="C3864" t="inlineStr">
        <is>
          <t>SS-01135</t>
        </is>
      </c>
      <c r="D3864" t="n">
        <v>0</v>
      </c>
      <c r="E3864" t="n">
        <v>1</v>
      </c>
      <c r="G3864">
        <f>IF(AND(A3864&gt;=Inputs!$B$5,A3864&lt;=Inputs!$B$6),1,0)</f>
        <v/>
      </c>
    </row>
    <row r="3865">
      <c r="A3865" t="inlineStr">
        <is>
          <t>2025-01</t>
        </is>
      </c>
      <c r="B3865" t="inlineStr">
        <is>
          <t>HOSP-4</t>
        </is>
      </c>
      <c r="C3865" t="inlineStr">
        <is>
          <t>SS-01136</t>
        </is>
      </c>
      <c r="D3865" t="n">
        <v>48</v>
      </c>
      <c r="E3865" t="n">
        <v>0</v>
      </c>
      <c r="G3865">
        <f>IF(AND(A3865&gt;=Inputs!$B$5,A3865&lt;=Inputs!$B$6),1,0)</f>
        <v/>
      </c>
    </row>
    <row r="3866">
      <c r="A3866" t="inlineStr">
        <is>
          <t>2025-01</t>
        </is>
      </c>
      <c r="B3866" t="inlineStr">
        <is>
          <t>HOSP-1</t>
        </is>
      </c>
      <c r="C3866" t="inlineStr">
        <is>
          <t>SS-01187</t>
        </is>
      </c>
      <c r="D3866" t="n">
        <v>0</v>
      </c>
      <c r="E3866" t="n">
        <v>0</v>
      </c>
      <c r="G3866">
        <f>IF(AND(A3866&gt;=Inputs!$B$5,A3866&lt;=Inputs!$B$6),1,0)</f>
        <v/>
      </c>
    </row>
    <row r="3867">
      <c r="A3867" t="inlineStr">
        <is>
          <t>2025-01</t>
        </is>
      </c>
      <c r="B3867" t="inlineStr">
        <is>
          <t>HOSP-2</t>
        </is>
      </c>
      <c r="C3867" t="inlineStr">
        <is>
          <t>SS-01138</t>
        </is>
      </c>
      <c r="D3867" t="n">
        <v>6</v>
      </c>
      <c r="E3867" t="n">
        <v>1</v>
      </c>
      <c r="G3867">
        <f>IF(AND(A3867&gt;=Inputs!$B$5,A3867&lt;=Inputs!$B$6),1,0)</f>
        <v/>
      </c>
    </row>
    <row r="3868">
      <c r="A3868" t="inlineStr">
        <is>
          <t>2025-01</t>
        </is>
      </c>
      <c r="B3868" t="inlineStr">
        <is>
          <t>HOSP-3</t>
        </is>
      </c>
      <c r="C3868" t="inlineStr">
        <is>
          <t>SS-01139</t>
        </is>
      </c>
      <c r="D3868" t="n">
        <v>12</v>
      </c>
      <c r="E3868" t="n">
        <v>0</v>
      </c>
      <c r="G3868">
        <f>IF(AND(A3868&gt;=Inputs!$B$5,A3868&lt;=Inputs!$B$6),1,0)</f>
        <v/>
      </c>
    </row>
    <row r="3869">
      <c r="A3869" t="inlineStr">
        <is>
          <t>2025-01</t>
        </is>
      </c>
      <c r="B3869" t="inlineStr">
        <is>
          <t>HOSP-4</t>
        </is>
      </c>
      <c r="C3869" t="inlineStr">
        <is>
          <t>SS-01140</t>
        </is>
      </c>
      <c r="D3869" t="n">
        <v>12</v>
      </c>
      <c r="E3869" t="n">
        <v>0</v>
      </c>
      <c r="G3869">
        <f>IF(AND(A3869&gt;=Inputs!$B$5,A3869&lt;=Inputs!$B$6),1,0)</f>
        <v/>
      </c>
    </row>
    <row r="3870">
      <c r="A3870" t="inlineStr">
        <is>
          <t>2025-01</t>
        </is>
      </c>
      <c r="B3870" t="inlineStr">
        <is>
          <t>HOSP-1</t>
        </is>
      </c>
      <c r="C3870" t="inlineStr">
        <is>
          <t>SS-01141</t>
        </is>
      </c>
      <c r="D3870" t="n">
        <v>60</v>
      </c>
      <c r="E3870" t="n">
        <v>0</v>
      </c>
      <c r="G3870">
        <f>IF(AND(A3870&gt;=Inputs!$B$5,A3870&lt;=Inputs!$B$6),1,0)</f>
        <v/>
      </c>
    </row>
    <row r="3871">
      <c r="A3871" t="inlineStr">
        <is>
          <t>2025-01</t>
        </is>
      </c>
      <c r="B3871" t="inlineStr">
        <is>
          <t>HOSP-2</t>
        </is>
      </c>
      <c r="C3871" t="inlineStr">
        <is>
          <t>SS-01142</t>
        </is>
      </c>
      <c r="D3871" t="n">
        <v>12</v>
      </c>
      <c r="E3871" t="n">
        <v>0</v>
      </c>
      <c r="G3871">
        <f>IF(AND(A3871&gt;=Inputs!$B$5,A3871&lt;=Inputs!$B$6),1,0)</f>
        <v/>
      </c>
    </row>
    <row r="3872">
      <c r="A3872" t="inlineStr">
        <is>
          <t>2025-01</t>
        </is>
      </c>
      <c r="B3872" t="inlineStr">
        <is>
          <t>HOSP-3</t>
        </is>
      </c>
      <c r="C3872" t="inlineStr">
        <is>
          <t>SS-01094</t>
        </is>
      </c>
      <c r="D3872" t="n">
        <v>23</v>
      </c>
      <c r="E3872" t="n">
        <v>2</v>
      </c>
      <c r="G3872">
        <f>IF(AND(A3872&gt;=Inputs!$B$5,A3872&lt;=Inputs!$B$6),1,0)</f>
        <v/>
      </c>
    </row>
    <row r="3873">
      <c r="A3873" t="inlineStr">
        <is>
          <t>2025-01</t>
        </is>
      </c>
      <c r="B3873" t="inlineStr">
        <is>
          <t>HOSP-4</t>
        </is>
      </c>
      <c r="C3873" t="inlineStr">
        <is>
          <t>SS-01059</t>
        </is>
      </c>
      <c r="D3873" t="n">
        <v>2</v>
      </c>
      <c r="E3873" t="n">
        <v>1</v>
      </c>
      <c r="G3873">
        <f>IF(AND(A3873&gt;=Inputs!$B$5,A3873&lt;=Inputs!$B$6),1,0)</f>
        <v/>
      </c>
    </row>
    <row r="3874">
      <c r="A3874" t="inlineStr">
        <is>
          <t>2025-01</t>
        </is>
      </c>
      <c r="B3874" t="inlineStr">
        <is>
          <t>HOSP-1</t>
        </is>
      </c>
      <c r="C3874" t="inlineStr">
        <is>
          <t>SS-01145</t>
        </is>
      </c>
      <c r="D3874" t="n">
        <v>12</v>
      </c>
      <c r="E3874" t="n">
        <v>0</v>
      </c>
      <c r="G3874">
        <f>IF(AND(A3874&gt;=Inputs!$B$5,A3874&lt;=Inputs!$B$6),1,0)</f>
        <v/>
      </c>
    </row>
    <row r="3875">
      <c r="A3875" t="inlineStr">
        <is>
          <t>2025-01</t>
        </is>
      </c>
      <c r="B3875" t="inlineStr">
        <is>
          <t>HOSP-2</t>
        </is>
      </c>
      <c r="C3875" t="inlineStr">
        <is>
          <t>SS-01146</t>
        </is>
      </c>
      <c r="D3875" t="n">
        <v>0</v>
      </c>
      <c r="E3875" t="n">
        <v>0</v>
      </c>
      <c r="G3875">
        <f>IF(AND(A3875&gt;=Inputs!$B$5,A3875&lt;=Inputs!$B$6),1,0)</f>
        <v/>
      </c>
    </row>
    <row r="3876">
      <c r="A3876" t="inlineStr">
        <is>
          <t>2025-01</t>
        </is>
      </c>
      <c r="B3876" t="inlineStr">
        <is>
          <t>HOSP-3</t>
        </is>
      </c>
      <c r="C3876" t="inlineStr">
        <is>
          <t>SS-01147</t>
        </is>
      </c>
      <c r="D3876" t="n">
        <v>12</v>
      </c>
      <c r="E3876" t="n">
        <v>0</v>
      </c>
      <c r="G3876">
        <f>IF(AND(A3876&gt;=Inputs!$B$5,A3876&lt;=Inputs!$B$6),1,0)</f>
        <v/>
      </c>
    </row>
    <row r="3877">
      <c r="A3877" t="inlineStr">
        <is>
          <t>2025-01</t>
        </is>
      </c>
      <c r="B3877" t="inlineStr">
        <is>
          <t>HOSP-4</t>
        </is>
      </c>
      <c r="C3877" t="inlineStr">
        <is>
          <t>SS-01148</t>
        </is>
      </c>
      <c r="D3877" t="n">
        <v>0</v>
      </c>
      <c r="E3877" t="n">
        <v>0</v>
      </c>
      <c r="G3877">
        <f>IF(AND(A3877&gt;=Inputs!$B$5,A3877&lt;=Inputs!$B$6),1,0)</f>
        <v/>
      </c>
    </row>
    <row r="3878">
      <c r="A3878" t="inlineStr">
        <is>
          <t>2025-01</t>
        </is>
      </c>
      <c r="B3878" t="inlineStr">
        <is>
          <t>HOSP-1</t>
        </is>
      </c>
      <c r="C3878" t="inlineStr">
        <is>
          <t>SS-01149</t>
        </is>
      </c>
      <c r="D3878" t="n">
        <v>48</v>
      </c>
      <c r="E3878" t="n">
        <v>0</v>
      </c>
      <c r="G3878">
        <f>IF(AND(A3878&gt;=Inputs!$B$5,A3878&lt;=Inputs!$B$6),1,0)</f>
        <v/>
      </c>
    </row>
    <row r="3879">
      <c r="A3879" t="inlineStr">
        <is>
          <t>2025-01</t>
        </is>
      </c>
      <c r="B3879" t="inlineStr">
        <is>
          <t>HOSP-2</t>
        </is>
      </c>
      <c r="C3879" t="inlineStr">
        <is>
          <t>SS-01150</t>
        </is>
      </c>
      <c r="D3879" t="n">
        <v>12</v>
      </c>
      <c r="E3879" t="n">
        <v>0</v>
      </c>
      <c r="G3879">
        <f>IF(AND(A3879&gt;=Inputs!$B$5,A3879&lt;=Inputs!$B$6),1,0)</f>
        <v/>
      </c>
    </row>
    <row r="3880">
      <c r="A3880" t="inlineStr">
        <is>
          <t>2025-01</t>
        </is>
      </c>
      <c r="B3880" t="inlineStr">
        <is>
          <t>HOSP-3</t>
        </is>
      </c>
      <c r="C3880" t="inlineStr">
        <is>
          <t>SS-01151</t>
        </is>
      </c>
      <c r="D3880" t="n">
        <v>60</v>
      </c>
      <c r="E3880" t="n">
        <v>0</v>
      </c>
      <c r="G3880">
        <f>IF(AND(A3880&gt;=Inputs!$B$5,A3880&lt;=Inputs!$B$6),1,0)</f>
        <v/>
      </c>
    </row>
    <row r="3881">
      <c r="A3881" t="inlineStr">
        <is>
          <t>2025-01</t>
        </is>
      </c>
      <c r="B3881" t="inlineStr">
        <is>
          <t>HOSP-4</t>
        </is>
      </c>
      <c r="C3881" t="inlineStr">
        <is>
          <t>SS-01152</t>
        </is>
      </c>
      <c r="D3881" t="n">
        <v>0</v>
      </c>
      <c r="E3881" t="n">
        <v>1</v>
      </c>
      <c r="G3881">
        <f>IF(AND(A3881&gt;=Inputs!$B$5,A3881&lt;=Inputs!$B$6),1,0)</f>
        <v/>
      </c>
    </row>
    <row r="3882">
      <c r="A3882" t="inlineStr">
        <is>
          <t>2025-01</t>
        </is>
      </c>
      <c r="B3882" t="inlineStr">
        <is>
          <t>HOSP-1</t>
        </is>
      </c>
      <c r="C3882" t="inlineStr">
        <is>
          <t>SS-01153</t>
        </is>
      </c>
      <c r="D3882" t="n">
        <v>12</v>
      </c>
      <c r="E3882" t="n">
        <v>0</v>
      </c>
      <c r="G3882">
        <f>IF(AND(A3882&gt;=Inputs!$B$5,A3882&lt;=Inputs!$B$6),1,0)</f>
        <v/>
      </c>
    </row>
    <row r="3883">
      <c r="A3883" t="inlineStr">
        <is>
          <t>2025-01</t>
        </is>
      </c>
      <c r="B3883" t="inlineStr">
        <is>
          <t>HOSP-2</t>
        </is>
      </c>
      <c r="C3883" t="inlineStr">
        <is>
          <t>SS-01154</t>
        </is>
      </c>
      <c r="D3883" t="n">
        <v>60</v>
      </c>
      <c r="E3883" t="n">
        <v>0</v>
      </c>
      <c r="G3883">
        <f>IF(AND(A3883&gt;=Inputs!$B$5,A3883&lt;=Inputs!$B$6),1,0)</f>
        <v/>
      </c>
    </row>
    <row r="3884">
      <c r="A3884" t="inlineStr">
        <is>
          <t>2025-01</t>
        </is>
      </c>
      <c r="B3884" t="inlineStr">
        <is>
          <t>HOSP-3</t>
        </is>
      </c>
      <c r="C3884" t="inlineStr">
        <is>
          <t>SS-01155</t>
        </is>
      </c>
      <c r="D3884" t="n">
        <v>12</v>
      </c>
      <c r="E3884" t="n">
        <v>0</v>
      </c>
      <c r="G3884">
        <f>IF(AND(A3884&gt;=Inputs!$B$5,A3884&lt;=Inputs!$B$6),1,0)</f>
        <v/>
      </c>
    </row>
    <row r="3885">
      <c r="A3885" t="inlineStr">
        <is>
          <t>2025-01</t>
        </is>
      </c>
      <c r="B3885" t="inlineStr">
        <is>
          <t>HOSP-4</t>
        </is>
      </c>
      <c r="C3885" t="inlineStr">
        <is>
          <t>SS-01156</t>
        </is>
      </c>
      <c r="D3885" t="n">
        <v>0</v>
      </c>
      <c r="E3885" t="n">
        <v>0</v>
      </c>
      <c r="G3885">
        <f>IF(AND(A3885&gt;=Inputs!$B$5,A3885&lt;=Inputs!$B$6),1,0)</f>
        <v/>
      </c>
    </row>
    <row r="3886">
      <c r="A3886" t="inlineStr">
        <is>
          <t>2025-01</t>
        </is>
      </c>
      <c r="B3886" t="inlineStr">
        <is>
          <t>HOSP-1</t>
        </is>
      </c>
      <c r="C3886" t="inlineStr">
        <is>
          <t>SS-01230</t>
        </is>
      </c>
      <c r="D3886" t="n">
        <v>60</v>
      </c>
      <c r="E3886" t="n">
        <v>0</v>
      </c>
      <c r="G3886">
        <f>IF(AND(A3886&gt;=Inputs!$B$5,A3886&lt;=Inputs!$B$6),1,0)</f>
        <v/>
      </c>
    </row>
    <row r="3887">
      <c r="A3887" t="inlineStr">
        <is>
          <t>2025-01</t>
        </is>
      </c>
      <c r="B3887" t="inlineStr">
        <is>
          <t>HOSP-2</t>
        </is>
      </c>
      <c r="C3887" t="inlineStr">
        <is>
          <t>SS-01130</t>
        </is>
      </c>
      <c r="D3887" t="n">
        <v>120</v>
      </c>
      <c r="E3887" t="n">
        <v>0</v>
      </c>
      <c r="G3887">
        <f>IF(AND(A3887&gt;=Inputs!$B$5,A3887&lt;=Inputs!$B$6),1,0)</f>
        <v/>
      </c>
    </row>
    <row r="3888">
      <c r="A3888" t="inlineStr">
        <is>
          <t>2025-01</t>
        </is>
      </c>
      <c r="B3888" t="inlineStr">
        <is>
          <t>HOSP-3</t>
        </is>
      </c>
      <c r="C3888" t="inlineStr">
        <is>
          <t>SS-01159</t>
        </is>
      </c>
      <c r="D3888" t="n">
        <v>0</v>
      </c>
      <c r="E3888" t="n">
        <v>0</v>
      </c>
      <c r="G3888">
        <f>IF(AND(A3888&gt;=Inputs!$B$5,A3888&lt;=Inputs!$B$6),1,0)</f>
        <v/>
      </c>
    </row>
    <row r="3889">
      <c r="A3889" t="inlineStr">
        <is>
          <t>2025-01</t>
        </is>
      </c>
      <c r="B3889" t="inlineStr">
        <is>
          <t>HOSP-4</t>
        </is>
      </c>
      <c r="C3889" t="inlineStr">
        <is>
          <t>SS-01041</t>
        </is>
      </c>
      <c r="D3889" t="n">
        <v>48</v>
      </c>
      <c r="E3889" t="n">
        <v>0</v>
      </c>
      <c r="G3889">
        <f>IF(AND(A3889&gt;=Inputs!$B$5,A3889&lt;=Inputs!$B$6),1,0)</f>
        <v/>
      </c>
    </row>
    <row r="3890">
      <c r="A3890" t="inlineStr">
        <is>
          <t>2025-01</t>
        </is>
      </c>
      <c r="B3890" t="inlineStr">
        <is>
          <t>HOSP-1</t>
        </is>
      </c>
      <c r="C3890" t="inlineStr">
        <is>
          <t>SS-01161</t>
        </is>
      </c>
      <c r="D3890" t="n">
        <v>12</v>
      </c>
      <c r="E3890" t="n">
        <v>0</v>
      </c>
      <c r="G3890">
        <f>IF(AND(A3890&gt;=Inputs!$B$5,A3890&lt;=Inputs!$B$6),1,0)</f>
        <v/>
      </c>
    </row>
    <row r="3891">
      <c r="A3891" t="inlineStr">
        <is>
          <t>2025-01</t>
        </is>
      </c>
      <c r="B3891" t="inlineStr">
        <is>
          <t>HOSP-2</t>
        </is>
      </c>
      <c r="C3891" t="inlineStr">
        <is>
          <t>SS-01162</t>
        </is>
      </c>
      <c r="D3891" t="n">
        <v>36</v>
      </c>
      <c r="E3891" t="n">
        <v>0</v>
      </c>
      <c r="G3891">
        <f>IF(AND(A3891&gt;=Inputs!$B$5,A3891&lt;=Inputs!$B$6),1,0)</f>
        <v/>
      </c>
    </row>
    <row r="3892">
      <c r="A3892" t="inlineStr">
        <is>
          <t>2025-01</t>
        </is>
      </c>
      <c r="B3892" t="inlineStr">
        <is>
          <t>HOSP-3</t>
        </is>
      </c>
      <c r="C3892" t="inlineStr">
        <is>
          <t>SS-01163</t>
        </is>
      </c>
      <c r="D3892" t="n">
        <v>0</v>
      </c>
      <c r="E3892" t="n">
        <v>0</v>
      </c>
      <c r="G3892">
        <f>IF(AND(A3892&gt;=Inputs!$B$5,A3892&lt;=Inputs!$B$6),1,0)</f>
        <v/>
      </c>
    </row>
    <row r="3893">
      <c r="A3893" t="inlineStr">
        <is>
          <t>2025-01</t>
        </is>
      </c>
      <c r="B3893" t="inlineStr">
        <is>
          <t>HOSP-4</t>
        </is>
      </c>
      <c r="C3893" t="inlineStr">
        <is>
          <t>SS-01164</t>
        </is>
      </c>
      <c r="D3893" t="n">
        <v>36</v>
      </c>
      <c r="E3893" t="n">
        <v>0</v>
      </c>
      <c r="G3893">
        <f>IF(AND(A3893&gt;=Inputs!$B$5,A3893&lt;=Inputs!$B$6),1,0)</f>
        <v/>
      </c>
    </row>
    <row r="3894">
      <c r="A3894" t="inlineStr">
        <is>
          <t>2025-01</t>
        </is>
      </c>
      <c r="B3894" t="inlineStr">
        <is>
          <t>HOSP-1</t>
        </is>
      </c>
      <c r="C3894" t="inlineStr">
        <is>
          <t>SS-01165</t>
        </is>
      </c>
      <c r="D3894" t="n">
        <v>48</v>
      </c>
      <c r="E3894" t="n">
        <v>0</v>
      </c>
      <c r="G3894">
        <f>IF(AND(A3894&gt;=Inputs!$B$5,A3894&lt;=Inputs!$B$6),1,0)</f>
        <v/>
      </c>
    </row>
    <row r="3895">
      <c r="A3895" t="inlineStr">
        <is>
          <t>2025-01</t>
        </is>
      </c>
      <c r="B3895" t="inlineStr">
        <is>
          <t>HOSP-2</t>
        </is>
      </c>
      <c r="C3895" t="inlineStr">
        <is>
          <t>SS-01166</t>
        </is>
      </c>
      <c r="D3895" t="n">
        <v>22</v>
      </c>
      <c r="E3895" t="n">
        <v>0</v>
      </c>
      <c r="G3895">
        <f>IF(AND(A3895&gt;=Inputs!$B$5,A3895&lt;=Inputs!$B$6),1,0)</f>
        <v/>
      </c>
    </row>
    <row r="3896">
      <c r="A3896" t="inlineStr">
        <is>
          <t>2025-01</t>
        </is>
      </c>
      <c r="B3896" t="inlineStr">
        <is>
          <t>HOSP-3</t>
        </is>
      </c>
      <c r="C3896" t="inlineStr">
        <is>
          <t>SS-01167</t>
        </is>
      </c>
      <c r="D3896" t="n">
        <v>12</v>
      </c>
      <c r="E3896" t="n">
        <v>0</v>
      </c>
      <c r="G3896">
        <f>IF(AND(A3896&gt;=Inputs!$B$5,A3896&lt;=Inputs!$B$6),1,0)</f>
        <v/>
      </c>
    </row>
    <row r="3897">
      <c r="A3897" t="inlineStr">
        <is>
          <t>2025-01</t>
        </is>
      </c>
      <c r="B3897" t="inlineStr">
        <is>
          <t>HOSP-4</t>
        </is>
      </c>
      <c r="C3897" t="inlineStr">
        <is>
          <t>SS-01168</t>
        </is>
      </c>
      <c r="D3897" t="n">
        <v>0</v>
      </c>
      <c r="E3897" t="n">
        <v>0</v>
      </c>
      <c r="G3897">
        <f>IF(AND(A3897&gt;=Inputs!$B$5,A3897&lt;=Inputs!$B$6),1,0)</f>
        <v/>
      </c>
    </row>
    <row r="3898">
      <c r="A3898" t="inlineStr">
        <is>
          <t>2025-01</t>
        </is>
      </c>
      <c r="B3898" t="inlineStr">
        <is>
          <t>HOSP-1</t>
        </is>
      </c>
      <c r="C3898" t="inlineStr">
        <is>
          <t>SS-01169</t>
        </is>
      </c>
      <c r="D3898" t="n">
        <v>12</v>
      </c>
      <c r="E3898" t="n">
        <v>0</v>
      </c>
      <c r="G3898">
        <f>IF(AND(A3898&gt;=Inputs!$B$5,A3898&lt;=Inputs!$B$6),1,0)</f>
        <v/>
      </c>
    </row>
    <row r="3899">
      <c r="A3899" t="inlineStr">
        <is>
          <t>2025-01</t>
        </is>
      </c>
      <c r="B3899" t="inlineStr">
        <is>
          <t>HOSP-2</t>
        </is>
      </c>
      <c r="C3899" t="inlineStr">
        <is>
          <t>SS-01170</t>
        </is>
      </c>
      <c r="D3899" t="n">
        <v>0</v>
      </c>
      <c r="E3899" t="n">
        <v>0</v>
      </c>
      <c r="G3899">
        <f>IF(AND(A3899&gt;=Inputs!$B$5,A3899&lt;=Inputs!$B$6),1,0)</f>
        <v/>
      </c>
    </row>
    <row r="3900">
      <c r="A3900" t="inlineStr">
        <is>
          <t>2025-01</t>
        </is>
      </c>
      <c r="B3900" t="inlineStr">
        <is>
          <t>HOSP-3</t>
        </is>
      </c>
      <c r="C3900" t="inlineStr">
        <is>
          <t>SS-01171</t>
        </is>
      </c>
      <c r="D3900" t="n">
        <v>24</v>
      </c>
      <c r="E3900" t="n">
        <v>0</v>
      </c>
      <c r="G3900">
        <f>IF(AND(A3900&gt;=Inputs!$B$5,A3900&lt;=Inputs!$B$6),1,0)</f>
        <v/>
      </c>
    </row>
    <row r="3901">
      <c r="A3901" t="inlineStr">
        <is>
          <t>2025-01</t>
        </is>
      </c>
      <c r="B3901" t="inlineStr">
        <is>
          <t>HOSP-4</t>
        </is>
      </c>
      <c r="C3901" t="inlineStr">
        <is>
          <t>SS-01172</t>
        </is>
      </c>
      <c r="D3901" t="n">
        <v>0</v>
      </c>
      <c r="E3901" t="n">
        <v>0</v>
      </c>
      <c r="G3901">
        <f>IF(AND(A3901&gt;=Inputs!$B$5,A3901&lt;=Inputs!$B$6),1,0)</f>
        <v/>
      </c>
    </row>
    <row r="3902">
      <c r="A3902" t="inlineStr">
        <is>
          <t>2025-01</t>
        </is>
      </c>
      <c r="B3902" t="inlineStr">
        <is>
          <t>HOSP-1</t>
        </is>
      </c>
      <c r="C3902" t="inlineStr">
        <is>
          <t>SS-01173</t>
        </is>
      </c>
      <c r="D3902" t="n">
        <v>36</v>
      </c>
      <c r="E3902" t="n">
        <v>0</v>
      </c>
      <c r="G3902">
        <f>IF(AND(A3902&gt;=Inputs!$B$5,A3902&lt;=Inputs!$B$6),1,0)</f>
        <v/>
      </c>
    </row>
    <row r="3903">
      <c r="A3903" t="inlineStr">
        <is>
          <t>2025-01</t>
        </is>
      </c>
      <c r="B3903" t="inlineStr">
        <is>
          <t>HOSP-2</t>
        </is>
      </c>
      <c r="C3903" t="inlineStr">
        <is>
          <t>SS-01174</t>
        </is>
      </c>
      <c r="D3903" t="n">
        <v>29</v>
      </c>
      <c r="E3903" t="n">
        <v>0</v>
      </c>
      <c r="G3903">
        <f>IF(AND(A3903&gt;=Inputs!$B$5,A3903&lt;=Inputs!$B$6),1,0)</f>
        <v/>
      </c>
    </row>
    <row r="3904">
      <c r="A3904" t="inlineStr">
        <is>
          <t>2025-01</t>
        </is>
      </c>
      <c r="B3904" t="inlineStr">
        <is>
          <t>HOSP-3</t>
        </is>
      </c>
      <c r="C3904" t="inlineStr">
        <is>
          <t>SS-01175</t>
        </is>
      </c>
      <c r="D3904" t="n">
        <v>48</v>
      </c>
      <c r="E3904" t="n">
        <v>0</v>
      </c>
      <c r="G3904">
        <f>IF(AND(A3904&gt;=Inputs!$B$5,A3904&lt;=Inputs!$B$6),1,0)</f>
        <v/>
      </c>
    </row>
    <row r="3905">
      <c r="A3905" t="inlineStr">
        <is>
          <t>2025-01</t>
        </is>
      </c>
      <c r="B3905" t="inlineStr">
        <is>
          <t>HOSP-4</t>
        </is>
      </c>
      <c r="C3905" t="inlineStr">
        <is>
          <t>SS-01176</t>
        </is>
      </c>
      <c r="D3905" t="n">
        <v>24</v>
      </c>
      <c r="E3905" t="n">
        <v>0</v>
      </c>
      <c r="G3905">
        <f>IF(AND(A3905&gt;=Inputs!$B$5,A3905&lt;=Inputs!$B$6),1,0)</f>
        <v/>
      </c>
    </row>
    <row r="3906">
      <c r="A3906" t="inlineStr">
        <is>
          <t>2025-01</t>
        </is>
      </c>
      <c r="B3906" t="inlineStr">
        <is>
          <t>HOSP-1</t>
        </is>
      </c>
      <c r="C3906" t="inlineStr">
        <is>
          <t>SS-01177</t>
        </is>
      </c>
      <c r="D3906" t="n">
        <v>12</v>
      </c>
      <c r="E3906" t="n">
        <v>0</v>
      </c>
      <c r="G3906">
        <f>IF(AND(A3906&gt;=Inputs!$B$5,A3906&lt;=Inputs!$B$6),1,0)</f>
        <v/>
      </c>
    </row>
    <row r="3907">
      <c r="A3907" t="inlineStr">
        <is>
          <t>2025-01</t>
        </is>
      </c>
      <c r="B3907" t="inlineStr">
        <is>
          <t>HOSP-2</t>
        </is>
      </c>
      <c r="C3907" t="inlineStr">
        <is>
          <t>SS-01178</t>
        </is>
      </c>
      <c r="D3907" t="n">
        <v>20</v>
      </c>
      <c r="E3907" t="n">
        <v>1</v>
      </c>
      <c r="G3907">
        <f>IF(AND(A3907&gt;=Inputs!$B$5,A3907&lt;=Inputs!$B$6),1,0)</f>
        <v/>
      </c>
    </row>
    <row r="3908">
      <c r="A3908" t="inlineStr">
        <is>
          <t>2025-01</t>
        </is>
      </c>
      <c r="B3908" t="inlineStr">
        <is>
          <t>HOSP-3</t>
        </is>
      </c>
      <c r="C3908" t="inlineStr">
        <is>
          <t>SS-01179</t>
        </is>
      </c>
      <c r="D3908" t="n">
        <v>0</v>
      </c>
      <c r="E3908" t="n">
        <v>0</v>
      </c>
      <c r="G3908">
        <f>IF(AND(A3908&gt;=Inputs!$B$5,A3908&lt;=Inputs!$B$6),1,0)</f>
        <v/>
      </c>
    </row>
    <row r="3909">
      <c r="A3909" t="inlineStr">
        <is>
          <t>2025-01</t>
        </is>
      </c>
      <c r="B3909" t="inlineStr">
        <is>
          <t>HOSP-4</t>
        </is>
      </c>
      <c r="C3909" t="inlineStr">
        <is>
          <t>SS-01180</t>
        </is>
      </c>
      <c r="D3909" t="n">
        <v>0</v>
      </c>
      <c r="E3909" t="n">
        <v>0</v>
      </c>
      <c r="G3909">
        <f>IF(AND(A3909&gt;=Inputs!$B$5,A3909&lt;=Inputs!$B$6),1,0)</f>
        <v/>
      </c>
    </row>
    <row r="3910">
      <c r="A3910" t="inlineStr">
        <is>
          <t>2025-01</t>
        </is>
      </c>
      <c r="B3910" t="inlineStr">
        <is>
          <t>HOSP-1</t>
        </is>
      </c>
      <c r="C3910" t="inlineStr">
        <is>
          <t>SS-01181</t>
        </is>
      </c>
      <c r="D3910" t="n">
        <v>60</v>
      </c>
      <c r="E3910" t="n">
        <v>0</v>
      </c>
      <c r="G3910">
        <f>IF(AND(A3910&gt;=Inputs!$B$5,A3910&lt;=Inputs!$B$6),1,0)</f>
        <v/>
      </c>
    </row>
    <row r="3911">
      <c r="A3911" t="inlineStr">
        <is>
          <t>2025-01</t>
        </is>
      </c>
      <c r="B3911" t="inlineStr">
        <is>
          <t>HOSP-2</t>
        </is>
      </c>
      <c r="C3911" t="inlineStr">
        <is>
          <t>SS-01182</t>
        </is>
      </c>
      <c r="D3911" t="n">
        <v>48</v>
      </c>
      <c r="E3911" t="n">
        <v>0</v>
      </c>
      <c r="G3911">
        <f>IF(AND(A3911&gt;=Inputs!$B$5,A3911&lt;=Inputs!$B$6),1,0)</f>
        <v/>
      </c>
    </row>
    <row r="3912">
      <c r="A3912" t="inlineStr">
        <is>
          <t>2025-01</t>
        </is>
      </c>
      <c r="B3912" t="inlineStr">
        <is>
          <t>HOSP-3</t>
        </is>
      </c>
      <c r="C3912" t="inlineStr">
        <is>
          <t>SS-01189</t>
        </is>
      </c>
      <c r="D3912" t="n">
        <v>444</v>
      </c>
      <c r="E3912" t="n">
        <v>0</v>
      </c>
      <c r="G3912">
        <f>IF(AND(A3912&gt;=Inputs!$B$5,A3912&lt;=Inputs!$B$6),1,0)</f>
        <v/>
      </c>
    </row>
    <row r="3913">
      <c r="A3913" t="inlineStr">
        <is>
          <t>2025-01</t>
        </is>
      </c>
      <c r="B3913" t="inlineStr">
        <is>
          <t>HOSP-4</t>
        </is>
      </c>
      <c r="C3913" t="inlineStr">
        <is>
          <t>SS-01184</t>
        </is>
      </c>
      <c r="D3913" t="n">
        <v>20</v>
      </c>
      <c r="E3913" t="n">
        <v>0</v>
      </c>
      <c r="G3913">
        <f>IF(AND(A3913&gt;=Inputs!$B$5,A3913&lt;=Inputs!$B$6),1,0)</f>
        <v/>
      </c>
    </row>
    <row r="3914">
      <c r="A3914" t="inlineStr">
        <is>
          <t>2025-01</t>
        </is>
      </c>
      <c r="B3914" t="inlineStr">
        <is>
          <t>HOSP-1</t>
        </is>
      </c>
      <c r="C3914" t="inlineStr">
        <is>
          <t>SS-01185</t>
        </is>
      </c>
      <c r="D3914" t="n">
        <v>0</v>
      </c>
      <c r="E3914" t="n">
        <v>0</v>
      </c>
      <c r="G3914">
        <f>IF(AND(A3914&gt;=Inputs!$B$5,A3914&lt;=Inputs!$B$6),1,0)</f>
        <v/>
      </c>
    </row>
    <row r="3915">
      <c r="A3915" t="inlineStr">
        <is>
          <t>2025-01</t>
        </is>
      </c>
      <c r="B3915" t="inlineStr">
        <is>
          <t>HOSP-2</t>
        </is>
      </c>
      <c r="C3915" t="inlineStr">
        <is>
          <t>SS-01186</t>
        </is>
      </c>
      <c r="D3915" t="n">
        <v>12</v>
      </c>
      <c r="E3915" t="n">
        <v>0</v>
      </c>
      <c r="G3915">
        <f>IF(AND(A3915&gt;=Inputs!$B$5,A3915&lt;=Inputs!$B$6),1,0)</f>
        <v/>
      </c>
    </row>
    <row r="3916">
      <c r="A3916" t="inlineStr">
        <is>
          <t>2025-01</t>
        </is>
      </c>
      <c r="B3916" t="inlineStr">
        <is>
          <t>HOSP-3</t>
        </is>
      </c>
      <c r="C3916" t="inlineStr">
        <is>
          <t>SS-01187</t>
        </is>
      </c>
      <c r="D3916" t="n">
        <v>0</v>
      </c>
      <c r="E3916" t="n">
        <v>0</v>
      </c>
      <c r="G3916">
        <f>IF(AND(A3916&gt;=Inputs!$B$5,A3916&lt;=Inputs!$B$6),1,0)</f>
        <v/>
      </c>
    </row>
    <row r="3917">
      <c r="A3917" t="inlineStr">
        <is>
          <t>2025-01</t>
        </is>
      </c>
      <c r="B3917" t="inlineStr">
        <is>
          <t>HOSP-4</t>
        </is>
      </c>
      <c r="C3917" t="inlineStr">
        <is>
          <t>SS-01022</t>
        </is>
      </c>
      <c r="D3917" t="n">
        <v>0</v>
      </c>
      <c r="E3917" t="n">
        <v>0</v>
      </c>
      <c r="G3917">
        <f>IF(AND(A3917&gt;=Inputs!$B$5,A3917&lt;=Inputs!$B$6),1,0)</f>
        <v/>
      </c>
    </row>
    <row r="3918">
      <c r="A3918" t="inlineStr">
        <is>
          <t>2025-01</t>
        </is>
      </c>
      <c r="B3918" t="inlineStr">
        <is>
          <t>HOSP-1</t>
        </is>
      </c>
      <c r="C3918" t="inlineStr">
        <is>
          <t>SS-01189</t>
        </is>
      </c>
      <c r="D3918" t="n">
        <v>13</v>
      </c>
      <c r="E3918" t="n">
        <v>1</v>
      </c>
      <c r="G3918">
        <f>IF(AND(A3918&gt;=Inputs!$B$5,A3918&lt;=Inputs!$B$6),1,0)</f>
        <v/>
      </c>
    </row>
    <row r="3919">
      <c r="A3919" t="inlineStr">
        <is>
          <t>2025-01</t>
        </is>
      </c>
      <c r="B3919" t="inlineStr">
        <is>
          <t>HOSP-2</t>
        </is>
      </c>
      <c r="C3919" t="inlineStr">
        <is>
          <t>SS-01190</t>
        </is>
      </c>
      <c r="D3919" t="n">
        <v>12</v>
      </c>
      <c r="E3919" t="n">
        <v>0</v>
      </c>
      <c r="G3919">
        <f>IF(AND(A3919&gt;=Inputs!$B$5,A3919&lt;=Inputs!$B$6),1,0)</f>
        <v/>
      </c>
    </row>
    <row r="3920">
      <c r="A3920" t="inlineStr">
        <is>
          <t>2025-01</t>
        </is>
      </c>
      <c r="B3920" t="inlineStr">
        <is>
          <t>HOSP-3</t>
        </is>
      </c>
      <c r="C3920" t="inlineStr">
        <is>
          <t>SS-01191</t>
        </is>
      </c>
      <c r="D3920" t="n">
        <v>48</v>
      </c>
      <c r="E3920" t="n">
        <v>0</v>
      </c>
      <c r="G3920">
        <f>IF(AND(A3920&gt;=Inputs!$B$5,A3920&lt;=Inputs!$B$6),1,0)</f>
        <v/>
      </c>
    </row>
    <row r="3921">
      <c r="A3921" t="inlineStr">
        <is>
          <t>2025-01</t>
        </is>
      </c>
      <c r="B3921" t="inlineStr">
        <is>
          <t>HOSP-4</t>
        </is>
      </c>
      <c r="C3921" t="inlineStr">
        <is>
          <t>SS-01192</t>
        </is>
      </c>
      <c r="D3921" t="n">
        <v>48</v>
      </c>
      <c r="E3921" t="n">
        <v>0</v>
      </c>
      <c r="G3921">
        <f>IF(AND(A3921&gt;=Inputs!$B$5,A3921&lt;=Inputs!$B$6),1,0)</f>
        <v/>
      </c>
    </row>
    <row r="3922">
      <c r="A3922" t="inlineStr">
        <is>
          <t>2025-01</t>
        </is>
      </c>
      <c r="B3922" t="inlineStr">
        <is>
          <t>HOSP-1</t>
        </is>
      </c>
      <c r="C3922" t="inlineStr">
        <is>
          <t>SS-01193</t>
        </is>
      </c>
      <c r="D3922" t="n">
        <v>0</v>
      </c>
      <c r="E3922" t="n">
        <v>0</v>
      </c>
      <c r="G3922">
        <f>IF(AND(A3922&gt;=Inputs!$B$5,A3922&lt;=Inputs!$B$6),1,0)</f>
        <v/>
      </c>
    </row>
    <row r="3923">
      <c r="A3923" t="inlineStr">
        <is>
          <t>2025-01</t>
        </is>
      </c>
      <c r="B3923" t="inlineStr">
        <is>
          <t>HOSP-2</t>
        </is>
      </c>
      <c r="C3923" t="inlineStr">
        <is>
          <t>SS-01194</t>
        </is>
      </c>
      <c r="D3923" t="n">
        <v>24</v>
      </c>
      <c r="E3923" t="n">
        <v>0</v>
      </c>
      <c r="G3923">
        <f>IF(AND(A3923&gt;=Inputs!$B$5,A3923&lt;=Inputs!$B$6),1,0)</f>
        <v/>
      </c>
    </row>
    <row r="3924">
      <c r="A3924" t="inlineStr">
        <is>
          <t>2025-01</t>
        </is>
      </c>
      <c r="B3924" t="inlineStr">
        <is>
          <t>HOSP-3</t>
        </is>
      </c>
      <c r="C3924" t="inlineStr">
        <is>
          <t>SS-01195</t>
        </is>
      </c>
      <c r="D3924" t="n">
        <v>6</v>
      </c>
      <c r="E3924" t="n">
        <v>0</v>
      </c>
      <c r="G3924">
        <f>IF(AND(A3924&gt;=Inputs!$B$5,A3924&lt;=Inputs!$B$6),1,0)</f>
        <v/>
      </c>
    </row>
    <row r="3925">
      <c r="A3925" t="inlineStr">
        <is>
          <t>2025-01</t>
        </is>
      </c>
      <c r="B3925" t="inlineStr">
        <is>
          <t>HOSP-4</t>
        </is>
      </c>
      <c r="C3925" t="inlineStr">
        <is>
          <t>SS-01196</t>
        </is>
      </c>
      <c r="D3925" t="n">
        <v>60</v>
      </c>
      <c r="E3925" t="n">
        <v>0</v>
      </c>
      <c r="G3925">
        <f>IF(AND(A3925&gt;=Inputs!$B$5,A3925&lt;=Inputs!$B$6),1,0)</f>
        <v/>
      </c>
    </row>
    <row r="3926">
      <c r="A3926" t="inlineStr">
        <is>
          <t>2025-01</t>
        </is>
      </c>
      <c r="B3926" t="inlineStr">
        <is>
          <t>HOSP-1</t>
        </is>
      </c>
      <c r="C3926" t="inlineStr">
        <is>
          <t>SS-01197</t>
        </is>
      </c>
      <c r="D3926" t="n">
        <v>12</v>
      </c>
      <c r="E3926" t="n">
        <v>0</v>
      </c>
      <c r="G3926">
        <f>IF(AND(A3926&gt;=Inputs!$B$5,A3926&lt;=Inputs!$B$6),1,0)</f>
        <v/>
      </c>
    </row>
    <row r="3927">
      <c r="A3927" t="inlineStr">
        <is>
          <t>2025-01</t>
        </is>
      </c>
      <c r="B3927" t="inlineStr">
        <is>
          <t>HOSP-2</t>
        </is>
      </c>
      <c r="C3927" t="inlineStr">
        <is>
          <t>SS-01198</t>
        </is>
      </c>
      <c r="D3927" t="n">
        <v>12</v>
      </c>
      <c r="E3927" t="n">
        <v>0</v>
      </c>
      <c r="G3927">
        <f>IF(AND(A3927&gt;=Inputs!$B$5,A3927&lt;=Inputs!$B$6),1,0)</f>
        <v/>
      </c>
    </row>
    <row r="3928">
      <c r="A3928" t="inlineStr">
        <is>
          <t>2025-01</t>
        </is>
      </c>
      <c r="B3928" t="inlineStr">
        <is>
          <t>HOSP-3</t>
        </is>
      </c>
      <c r="C3928" t="inlineStr">
        <is>
          <t>SS-01012</t>
        </is>
      </c>
      <c r="D3928" t="n">
        <v>12</v>
      </c>
      <c r="E3928" t="n">
        <v>0</v>
      </c>
      <c r="G3928">
        <f>IF(AND(A3928&gt;=Inputs!$B$5,A3928&lt;=Inputs!$B$6),1,0)</f>
        <v/>
      </c>
    </row>
    <row r="3929">
      <c r="A3929" t="inlineStr">
        <is>
          <t>2025-01</t>
        </is>
      </c>
      <c r="B3929" t="inlineStr">
        <is>
          <t>HOSP-4</t>
        </is>
      </c>
      <c r="C3929" t="inlineStr">
        <is>
          <t>SS-01200</t>
        </is>
      </c>
      <c r="D3929" t="n">
        <v>24</v>
      </c>
      <c r="E3929" t="n">
        <v>0</v>
      </c>
      <c r="G3929">
        <f>IF(AND(A3929&gt;=Inputs!$B$5,A3929&lt;=Inputs!$B$6),1,0)</f>
        <v/>
      </c>
    </row>
    <row r="3930">
      <c r="A3930" t="inlineStr">
        <is>
          <t>2025-01</t>
        </is>
      </c>
      <c r="B3930" t="inlineStr">
        <is>
          <t>HOSP-1</t>
        </is>
      </c>
      <c r="C3930" t="inlineStr">
        <is>
          <t>SS-01201</t>
        </is>
      </c>
      <c r="D3930" t="n">
        <v>12</v>
      </c>
      <c r="E3930" t="n">
        <v>0</v>
      </c>
      <c r="G3930">
        <f>IF(AND(A3930&gt;=Inputs!$B$5,A3930&lt;=Inputs!$B$6),1,0)</f>
        <v/>
      </c>
    </row>
    <row r="3931">
      <c r="A3931" t="inlineStr">
        <is>
          <t>2025-01</t>
        </is>
      </c>
      <c r="B3931" t="inlineStr">
        <is>
          <t>HOSP-2</t>
        </is>
      </c>
      <c r="C3931" t="inlineStr">
        <is>
          <t>SS-01202</t>
        </is>
      </c>
      <c r="D3931" t="n">
        <v>12</v>
      </c>
      <c r="E3931" t="n">
        <v>0</v>
      </c>
      <c r="G3931">
        <f>IF(AND(A3931&gt;=Inputs!$B$5,A3931&lt;=Inputs!$B$6),1,0)</f>
        <v/>
      </c>
    </row>
    <row r="3932">
      <c r="A3932" t="inlineStr">
        <is>
          <t>2025-01</t>
        </is>
      </c>
      <c r="B3932" t="inlineStr">
        <is>
          <t>HOSP-3</t>
        </is>
      </c>
      <c r="C3932" t="inlineStr">
        <is>
          <t>SS-01203</t>
        </is>
      </c>
      <c r="D3932" t="n">
        <v>88</v>
      </c>
      <c r="E3932" t="n">
        <v>0</v>
      </c>
      <c r="G3932">
        <f>IF(AND(A3932&gt;=Inputs!$B$5,A3932&lt;=Inputs!$B$6),1,0)</f>
        <v/>
      </c>
    </row>
    <row r="3933">
      <c r="A3933" t="inlineStr">
        <is>
          <t>2025-01</t>
        </is>
      </c>
      <c r="B3933" t="inlineStr">
        <is>
          <t>HOSP-4</t>
        </is>
      </c>
      <c r="C3933" t="inlineStr">
        <is>
          <t>SS-01204</t>
        </is>
      </c>
      <c r="D3933" t="n">
        <v>2</v>
      </c>
      <c r="E3933" t="n">
        <v>1</v>
      </c>
      <c r="G3933">
        <f>IF(AND(A3933&gt;=Inputs!$B$5,A3933&lt;=Inputs!$B$6),1,0)</f>
        <v/>
      </c>
    </row>
    <row r="3934">
      <c r="A3934" t="inlineStr">
        <is>
          <t>2025-01</t>
        </is>
      </c>
      <c r="B3934" t="inlineStr">
        <is>
          <t>HOSP-1</t>
        </is>
      </c>
      <c r="C3934" t="inlineStr">
        <is>
          <t>SS-01205</t>
        </is>
      </c>
      <c r="D3934" t="n">
        <v>60</v>
      </c>
      <c r="E3934" t="n">
        <v>0</v>
      </c>
      <c r="G3934">
        <f>IF(AND(A3934&gt;=Inputs!$B$5,A3934&lt;=Inputs!$B$6),1,0)</f>
        <v/>
      </c>
    </row>
    <row r="3935">
      <c r="A3935" t="inlineStr">
        <is>
          <t>2025-01</t>
        </is>
      </c>
      <c r="B3935" t="inlineStr">
        <is>
          <t>HOSP-2</t>
        </is>
      </c>
      <c r="C3935" t="inlineStr">
        <is>
          <t>SS-01206</t>
        </is>
      </c>
      <c r="D3935" t="n">
        <v>108</v>
      </c>
      <c r="E3935" t="n">
        <v>0</v>
      </c>
      <c r="G3935">
        <f>IF(AND(A3935&gt;=Inputs!$B$5,A3935&lt;=Inputs!$B$6),1,0)</f>
        <v/>
      </c>
    </row>
    <row r="3936">
      <c r="A3936" t="inlineStr">
        <is>
          <t>2025-01</t>
        </is>
      </c>
      <c r="B3936" t="inlineStr">
        <is>
          <t>HOSP-3</t>
        </is>
      </c>
      <c r="C3936" t="inlineStr">
        <is>
          <t>SS-01207</t>
        </is>
      </c>
      <c r="D3936" t="n">
        <v>24</v>
      </c>
      <c r="E3936" t="n">
        <v>0</v>
      </c>
      <c r="G3936">
        <f>IF(AND(A3936&gt;=Inputs!$B$5,A3936&lt;=Inputs!$B$6),1,0)</f>
        <v/>
      </c>
    </row>
    <row r="3937">
      <c r="A3937" t="inlineStr">
        <is>
          <t>2025-01</t>
        </is>
      </c>
      <c r="B3937" t="inlineStr">
        <is>
          <t>HOSP-4</t>
        </is>
      </c>
      <c r="C3937" t="inlineStr">
        <is>
          <t>SS-01208</t>
        </is>
      </c>
      <c r="D3937" t="n">
        <v>12</v>
      </c>
      <c r="E3937" t="n">
        <v>0</v>
      </c>
      <c r="G3937">
        <f>IF(AND(A3937&gt;=Inputs!$B$5,A3937&lt;=Inputs!$B$6),1,0)</f>
        <v/>
      </c>
    </row>
    <row r="3938">
      <c r="A3938" t="inlineStr">
        <is>
          <t>2025-01</t>
        </is>
      </c>
      <c r="B3938" t="inlineStr">
        <is>
          <t>HOSP-1</t>
        </is>
      </c>
      <c r="C3938" t="inlineStr">
        <is>
          <t>SS-01031</t>
        </is>
      </c>
      <c r="D3938" t="n">
        <v>5</v>
      </c>
      <c r="E3938" t="n">
        <v>1</v>
      </c>
      <c r="G3938">
        <f>IF(AND(A3938&gt;=Inputs!$B$5,A3938&lt;=Inputs!$B$6),1,0)</f>
        <v/>
      </c>
    </row>
    <row r="3939">
      <c r="A3939" t="inlineStr">
        <is>
          <t>2025-01</t>
        </is>
      </c>
      <c r="B3939" t="inlineStr">
        <is>
          <t>HOSP-2</t>
        </is>
      </c>
      <c r="C3939" t="inlineStr">
        <is>
          <t>SS-01210</t>
        </is>
      </c>
      <c r="D3939" t="n">
        <v>12</v>
      </c>
      <c r="E3939" t="n">
        <v>0</v>
      </c>
      <c r="G3939">
        <f>IF(AND(A3939&gt;=Inputs!$B$5,A3939&lt;=Inputs!$B$6),1,0)</f>
        <v/>
      </c>
    </row>
    <row r="3940">
      <c r="A3940" t="inlineStr">
        <is>
          <t>2025-01</t>
        </is>
      </c>
      <c r="B3940" t="inlineStr">
        <is>
          <t>HOSP-3</t>
        </is>
      </c>
      <c r="C3940" t="inlineStr">
        <is>
          <t>SS-01211</t>
        </is>
      </c>
      <c r="D3940" t="n">
        <v>24</v>
      </c>
      <c r="E3940" t="n">
        <v>0</v>
      </c>
      <c r="G3940">
        <f>IF(AND(A3940&gt;=Inputs!$B$5,A3940&lt;=Inputs!$B$6),1,0)</f>
        <v/>
      </c>
    </row>
    <row r="3941">
      <c r="A3941" t="inlineStr">
        <is>
          <t>2025-01</t>
        </is>
      </c>
      <c r="B3941" t="inlineStr">
        <is>
          <t>HOSP-4</t>
        </is>
      </c>
      <c r="C3941" t="inlineStr">
        <is>
          <t>SS-01212</t>
        </is>
      </c>
      <c r="D3941" t="n">
        <v>0</v>
      </c>
      <c r="E3941" t="n">
        <v>1</v>
      </c>
      <c r="G3941">
        <f>IF(AND(A3941&gt;=Inputs!$B$5,A3941&lt;=Inputs!$B$6),1,0)</f>
        <v/>
      </c>
    </row>
    <row r="3942">
      <c r="A3942" t="inlineStr">
        <is>
          <t>2025-01</t>
        </is>
      </c>
      <c r="B3942" t="inlineStr">
        <is>
          <t>HOSP-1</t>
        </is>
      </c>
      <c r="C3942" t="inlineStr">
        <is>
          <t>SS-01213</t>
        </is>
      </c>
      <c r="D3942" t="n">
        <v>0</v>
      </c>
      <c r="E3942" t="n">
        <v>0</v>
      </c>
      <c r="G3942">
        <f>IF(AND(A3942&gt;=Inputs!$B$5,A3942&lt;=Inputs!$B$6),1,0)</f>
        <v/>
      </c>
    </row>
    <row r="3943">
      <c r="A3943" t="inlineStr">
        <is>
          <t>2025-01</t>
        </is>
      </c>
      <c r="B3943" t="inlineStr">
        <is>
          <t>HOSP-2</t>
        </is>
      </c>
      <c r="C3943" t="inlineStr">
        <is>
          <t>SS-01214</t>
        </is>
      </c>
      <c r="D3943" t="n">
        <v>0</v>
      </c>
      <c r="E3943" t="n">
        <v>0</v>
      </c>
      <c r="G3943">
        <f>IF(AND(A3943&gt;=Inputs!$B$5,A3943&lt;=Inputs!$B$6),1,0)</f>
        <v/>
      </c>
    </row>
    <row r="3944">
      <c r="A3944" t="inlineStr">
        <is>
          <t>2025-01</t>
        </is>
      </c>
      <c r="B3944" t="inlineStr">
        <is>
          <t>HOSP-3</t>
        </is>
      </c>
      <c r="C3944" t="inlineStr">
        <is>
          <t>SS-01215</t>
        </is>
      </c>
      <c r="D3944" t="n">
        <v>24</v>
      </c>
      <c r="E3944" t="n">
        <v>0</v>
      </c>
      <c r="G3944">
        <f>IF(AND(A3944&gt;=Inputs!$B$5,A3944&lt;=Inputs!$B$6),1,0)</f>
        <v/>
      </c>
    </row>
    <row r="3945">
      <c r="A3945" t="inlineStr">
        <is>
          <t>2025-01</t>
        </is>
      </c>
      <c r="B3945" t="inlineStr">
        <is>
          <t>HOSP-4</t>
        </is>
      </c>
      <c r="C3945" t="inlineStr">
        <is>
          <t>SS-01216</t>
        </is>
      </c>
      <c r="D3945" t="n">
        <v>24</v>
      </c>
      <c r="E3945" t="n">
        <v>0</v>
      </c>
      <c r="G3945">
        <f>IF(AND(A3945&gt;=Inputs!$B$5,A3945&lt;=Inputs!$B$6),1,0)</f>
        <v/>
      </c>
    </row>
    <row r="3946">
      <c r="A3946" t="inlineStr">
        <is>
          <t>2025-01</t>
        </is>
      </c>
      <c r="B3946" t="inlineStr">
        <is>
          <t>HOSP-1</t>
        </is>
      </c>
      <c r="C3946" t="inlineStr">
        <is>
          <t>SS-01148</t>
        </is>
      </c>
      <c r="D3946" t="n">
        <v>30</v>
      </c>
      <c r="E3946" t="n">
        <v>2</v>
      </c>
      <c r="G3946">
        <f>IF(AND(A3946&gt;=Inputs!$B$5,A3946&lt;=Inputs!$B$6),1,0)</f>
        <v/>
      </c>
    </row>
    <row r="3947">
      <c r="A3947" t="inlineStr">
        <is>
          <t>2025-01</t>
        </is>
      </c>
      <c r="B3947" t="inlineStr">
        <is>
          <t>HOSP-2</t>
        </is>
      </c>
      <c r="C3947" t="inlineStr">
        <is>
          <t>SS-01166</t>
        </is>
      </c>
      <c r="D3947" t="n">
        <v>0</v>
      </c>
      <c r="E3947" t="n">
        <v>2</v>
      </c>
      <c r="G3947">
        <f>IF(AND(A3947&gt;=Inputs!$B$5,A3947&lt;=Inputs!$B$6),1,0)</f>
        <v/>
      </c>
    </row>
    <row r="3948">
      <c r="A3948" t="inlineStr">
        <is>
          <t>2025-01</t>
        </is>
      </c>
      <c r="B3948" t="inlineStr">
        <is>
          <t>HOSP-3</t>
        </is>
      </c>
      <c r="C3948" t="inlineStr">
        <is>
          <t>SS-01219</t>
        </is>
      </c>
      <c r="D3948" t="n">
        <v>35</v>
      </c>
      <c r="E3948" t="n">
        <v>0</v>
      </c>
      <c r="G3948">
        <f>IF(AND(A3948&gt;=Inputs!$B$5,A3948&lt;=Inputs!$B$6),1,0)</f>
        <v/>
      </c>
    </row>
    <row r="3949">
      <c r="A3949" t="inlineStr">
        <is>
          <t>2025-01</t>
        </is>
      </c>
      <c r="B3949" t="inlineStr">
        <is>
          <t>HOSP-4</t>
        </is>
      </c>
      <c r="C3949" t="inlineStr">
        <is>
          <t>SS-01220</t>
        </is>
      </c>
      <c r="D3949" t="n">
        <v>0</v>
      </c>
      <c r="E3949" t="n">
        <v>0</v>
      </c>
      <c r="G3949">
        <f>IF(AND(A3949&gt;=Inputs!$B$5,A3949&lt;=Inputs!$B$6),1,0)</f>
        <v/>
      </c>
    </row>
    <row r="3950">
      <c r="A3950" t="inlineStr">
        <is>
          <t>2025-01</t>
        </is>
      </c>
      <c r="B3950" t="inlineStr">
        <is>
          <t>HOSP-1</t>
        </is>
      </c>
      <c r="C3950" t="inlineStr">
        <is>
          <t>SS-01099</t>
        </is>
      </c>
      <c r="D3950" t="n">
        <v>0</v>
      </c>
      <c r="E3950" t="n">
        <v>0</v>
      </c>
      <c r="G3950">
        <f>IF(AND(A3950&gt;=Inputs!$B$5,A3950&lt;=Inputs!$B$6),1,0)</f>
        <v/>
      </c>
    </row>
    <row r="3951">
      <c r="A3951" t="inlineStr">
        <is>
          <t>2025-01</t>
        </is>
      </c>
      <c r="B3951" t="inlineStr">
        <is>
          <t>HOSP-2</t>
        </is>
      </c>
      <c r="C3951" t="inlineStr">
        <is>
          <t>SS-01222</t>
        </is>
      </c>
      <c r="D3951" t="n">
        <v>20</v>
      </c>
      <c r="E3951" t="n">
        <v>0</v>
      </c>
      <c r="G3951">
        <f>IF(AND(A3951&gt;=Inputs!$B$5,A3951&lt;=Inputs!$B$6),1,0)</f>
        <v/>
      </c>
    </row>
    <row r="3952">
      <c r="A3952" t="inlineStr">
        <is>
          <t>2025-01</t>
        </is>
      </c>
      <c r="B3952" t="inlineStr">
        <is>
          <t>HOSP-3</t>
        </is>
      </c>
      <c r="C3952" t="inlineStr">
        <is>
          <t>SS-01223</t>
        </is>
      </c>
      <c r="D3952" t="n">
        <v>78</v>
      </c>
      <c r="E3952" t="n">
        <v>0</v>
      </c>
      <c r="G3952">
        <f>IF(AND(A3952&gt;=Inputs!$B$5,A3952&lt;=Inputs!$B$6),1,0)</f>
        <v/>
      </c>
    </row>
    <row r="3953">
      <c r="A3953" t="inlineStr">
        <is>
          <t>2025-01</t>
        </is>
      </c>
      <c r="B3953" t="inlineStr">
        <is>
          <t>HOSP-4</t>
        </is>
      </c>
      <c r="C3953" t="inlineStr">
        <is>
          <t>SS-01224</t>
        </is>
      </c>
      <c r="D3953" t="n">
        <v>0</v>
      </c>
      <c r="E3953" t="n">
        <v>0</v>
      </c>
      <c r="G3953">
        <f>IF(AND(A3953&gt;=Inputs!$B$5,A3953&lt;=Inputs!$B$6),1,0)</f>
        <v/>
      </c>
    </row>
    <row r="3954">
      <c r="A3954" t="inlineStr">
        <is>
          <t>2025-01</t>
        </is>
      </c>
      <c r="B3954" t="inlineStr">
        <is>
          <t>HOSP-1</t>
        </is>
      </c>
      <c r="C3954" t="inlineStr">
        <is>
          <t>SS-01225</t>
        </is>
      </c>
      <c r="D3954" t="n">
        <v>24</v>
      </c>
      <c r="E3954" t="n">
        <v>0</v>
      </c>
      <c r="G3954">
        <f>IF(AND(A3954&gt;=Inputs!$B$5,A3954&lt;=Inputs!$B$6),1,0)</f>
        <v/>
      </c>
    </row>
    <row r="3955">
      <c r="A3955" t="inlineStr">
        <is>
          <t>2025-01</t>
        </is>
      </c>
      <c r="B3955" t="inlineStr">
        <is>
          <t>HOSP-2</t>
        </is>
      </c>
      <c r="C3955" t="inlineStr">
        <is>
          <t>SS-01226</t>
        </is>
      </c>
      <c r="D3955" t="n">
        <v>25</v>
      </c>
      <c r="E3955" t="n">
        <v>0</v>
      </c>
      <c r="G3955">
        <f>IF(AND(A3955&gt;=Inputs!$B$5,A3955&lt;=Inputs!$B$6),1,0)</f>
        <v/>
      </c>
    </row>
    <row r="3956">
      <c r="A3956" t="inlineStr">
        <is>
          <t>2025-01</t>
        </is>
      </c>
      <c r="B3956" t="inlineStr">
        <is>
          <t>HOSP-3</t>
        </is>
      </c>
      <c r="C3956" t="inlineStr">
        <is>
          <t>SS-01227</t>
        </is>
      </c>
      <c r="D3956" t="n">
        <v>12</v>
      </c>
      <c r="E3956" t="n">
        <v>0</v>
      </c>
      <c r="G3956">
        <f>IF(AND(A3956&gt;=Inputs!$B$5,A3956&lt;=Inputs!$B$6),1,0)</f>
        <v/>
      </c>
    </row>
    <row r="3957">
      <c r="A3957" t="inlineStr">
        <is>
          <t>2025-01</t>
        </is>
      </c>
      <c r="B3957" t="inlineStr">
        <is>
          <t>HOSP-4</t>
        </is>
      </c>
      <c r="C3957" t="inlineStr">
        <is>
          <t>SS-01228</t>
        </is>
      </c>
      <c r="D3957" t="n">
        <v>84</v>
      </c>
      <c r="E3957" t="n">
        <v>0</v>
      </c>
      <c r="G3957">
        <f>IF(AND(A3957&gt;=Inputs!$B$5,A3957&lt;=Inputs!$B$6),1,0)</f>
        <v/>
      </c>
    </row>
    <row r="3958">
      <c r="A3958" t="inlineStr">
        <is>
          <t>2025-01</t>
        </is>
      </c>
      <c r="B3958" t="inlineStr">
        <is>
          <t>HOSP-1</t>
        </is>
      </c>
      <c r="C3958" t="inlineStr">
        <is>
          <t>SS-01229</t>
        </is>
      </c>
      <c r="D3958" t="n">
        <v>25</v>
      </c>
      <c r="E3958" t="n">
        <v>0</v>
      </c>
      <c r="G3958">
        <f>IF(AND(A3958&gt;=Inputs!$B$5,A3958&lt;=Inputs!$B$6),1,0)</f>
        <v/>
      </c>
    </row>
    <row r="3959">
      <c r="A3959" t="inlineStr">
        <is>
          <t>2025-01</t>
        </is>
      </c>
      <c r="B3959" t="inlineStr">
        <is>
          <t>HOSP-2</t>
        </is>
      </c>
      <c r="C3959" t="inlineStr">
        <is>
          <t>SS-01230</t>
        </is>
      </c>
      <c r="D3959" t="n">
        <v>36</v>
      </c>
      <c r="E3959" t="n">
        <v>0</v>
      </c>
      <c r="G3959">
        <f>IF(AND(A3959&gt;=Inputs!$B$5,A3959&lt;=Inputs!$B$6),1,0)</f>
        <v/>
      </c>
    </row>
    <row r="3960">
      <c r="A3960" t="inlineStr">
        <is>
          <t>2025-01</t>
        </is>
      </c>
      <c r="B3960" t="inlineStr">
        <is>
          <t>HOSP-3</t>
        </is>
      </c>
      <c r="C3960" t="inlineStr">
        <is>
          <t>SS-01231</t>
        </is>
      </c>
      <c r="D3960" t="n">
        <v>12</v>
      </c>
      <c r="E3960" t="n">
        <v>0</v>
      </c>
      <c r="G3960">
        <f>IF(AND(A3960&gt;=Inputs!$B$5,A3960&lt;=Inputs!$B$6),1,0)</f>
        <v/>
      </c>
    </row>
    <row r="3961">
      <c r="A3961" t="inlineStr">
        <is>
          <t>2025-01</t>
        </is>
      </c>
      <c r="B3961" t="inlineStr">
        <is>
          <t>HOSP-4</t>
        </is>
      </c>
      <c r="C3961" t="inlineStr">
        <is>
          <t>SS-01232</t>
        </is>
      </c>
      <c r="D3961" t="n">
        <v>50</v>
      </c>
      <c r="E3961" t="n">
        <v>0</v>
      </c>
      <c r="G3961">
        <f>IF(AND(A3961&gt;=Inputs!$B$5,A3961&lt;=Inputs!$B$6),1,0)</f>
        <v/>
      </c>
    </row>
    <row r="3962">
      <c r="A3962" t="inlineStr">
        <is>
          <t>2025-01</t>
        </is>
      </c>
      <c r="B3962" t="inlineStr">
        <is>
          <t>HOSP-1</t>
        </is>
      </c>
      <c r="C3962" t="inlineStr">
        <is>
          <t>SS-01233</t>
        </is>
      </c>
      <c r="D3962" t="n">
        <v>36</v>
      </c>
      <c r="E3962" t="n">
        <v>0</v>
      </c>
      <c r="G3962">
        <f>IF(AND(A3962&gt;=Inputs!$B$5,A3962&lt;=Inputs!$B$6),1,0)</f>
        <v/>
      </c>
    </row>
    <row r="3963">
      <c r="A3963" t="inlineStr">
        <is>
          <t>2025-01</t>
        </is>
      </c>
      <c r="B3963" t="inlineStr">
        <is>
          <t>HOSP-2</t>
        </is>
      </c>
      <c r="C3963" t="inlineStr">
        <is>
          <t>SS-01001</t>
        </is>
      </c>
      <c r="D3963" t="n">
        <v>12</v>
      </c>
      <c r="E3963" t="n">
        <v>0</v>
      </c>
      <c r="G3963">
        <f>IF(AND(A3963&gt;=Inputs!$B$5,A3963&lt;=Inputs!$B$6),1,0)</f>
        <v/>
      </c>
    </row>
    <row r="3964">
      <c r="A3964" t="inlineStr">
        <is>
          <t>2025-01</t>
        </is>
      </c>
      <c r="B3964" t="inlineStr">
        <is>
          <t>HOSP-3</t>
        </is>
      </c>
      <c r="C3964" t="inlineStr">
        <is>
          <t>SS-01002</t>
        </is>
      </c>
      <c r="D3964" t="n">
        <v>12</v>
      </c>
      <c r="E3964" t="n">
        <v>0</v>
      </c>
      <c r="G3964">
        <f>IF(AND(A3964&gt;=Inputs!$B$5,A3964&lt;=Inputs!$B$6),1,0)</f>
        <v/>
      </c>
    </row>
    <row r="3965">
      <c r="A3965" t="inlineStr">
        <is>
          <t>2025-01</t>
        </is>
      </c>
      <c r="B3965" t="inlineStr">
        <is>
          <t>HOSP-4</t>
        </is>
      </c>
      <c r="C3965" t="inlineStr">
        <is>
          <t>SS-01003</t>
        </is>
      </c>
      <c r="D3965" t="n">
        <v>0</v>
      </c>
      <c r="E3965" t="n">
        <v>0</v>
      </c>
      <c r="G3965">
        <f>IF(AND(A3965&gt;=Inputs!$B$5,A3965&lt;=Inputs!$B$6),1,0)</f>
        <v/>
      </c>
    </row>
    <row r="3966">
      <c r="A3966" t="inlineStr">
        <is>
          <t>2025-01</t>
        </is>
      </c>
      <c r="B3966" t="inlineStr">
        <is>
          <t>HOSP-1</t>
        </is>
      </c>
      <c r="C3966" t="inlineStr">
        <is>
          <t>SS-01004</t>
        </is>
      </c>
      <c r="D3966" t="n">
        <v>93</v>
      </c>
      <c r="E3966" t="n">
        <v>0</v>
      </c>
      <c r="G3966">
        <f>IF(AND(A3966&gt;=Inputs!$B$5,A3966&lt;=Inputs!$B$6),1,0)</f>
        <v/>
      </c>
    </row>
    <row r="3967">
      <c r="A3967" t="inlineStr">
        <is>
          <t>2025-01</t>
        </is>
      </c>
      <c r="B3967" t="inlineStr">
        <is>
          <t>HOSP-2</t>
        </is>
      </c>
      <c r="C3967" t="inlineStr">
        <is>
          <t>SS-01005</t>
        </is>
      </c>
      <c r="D3967" t="n">
        <v>36</v>
      </c>
      <c r="E3967" t="n">
        <v>0</v>
      </c>
      <c r="G3967">
        <f>IF(AND(A3967&gt;=Inputs!$B$5,A3967&lt;=Inputs!$B$6),1,0)</f>
        <v/>
      </c>
    </row>
    <row r="3968">
      <c r="A3968" t="inlineStr">
        <is>
          <t>2025-01</t>
        </is>
      </c>
      <c r="B3968" t="inlineStr">
        <is>
          <t>HOSP-3</t>
        </is>
      </c>
      <c r="C3968" t="inlineStr">
        <is>
          <t>SS-01006</t>
        </is>
      </c>
      <c r="D3968" t="n">
        <v>0</v>
      </c>
      <c r="E3968" t="n">
        <v>0</v>
      </c>
      <c r="G3968">
        <f>IF(AND(A3968&gt;=Inputs!$B$5,A3968&lt;=Inputs!$B$6),1,0)</f>
        <v/>
      </c>
    </row>
    <row r="3969">
      <c r="A3969" t="inlineStr">
        <is>
          <t>2025-01</t>
        </is>
      </c>
      <c r="B3969" t="inlineStr">
        <is>
          <t>HOSP-4</t>
        </is>
      </c>
      <c r="C3969" t="inlineStr">
        <is>
          <t>SS-01007</t>
        </is>
      </c>
      <c r="D3969" t="n">
        <v>12</v>
      </c>
      <c r="E3969" t="n">
        <v>0</v>
      </c>
      <c r="G3969">
        <f>IF(AND(A3969&gt;=Inputs!$B$5,A3969&lt;=Inputs!$B$6),1,0)</f>
        <v/>
      </c>
    </row>
    <row r="3970">
      <c r="A3970" t="inlineStr">
        <is>
          <t>2025-01</t>
        </is>
      </c>
      <c r="B3970" t="inlineStr">
        <is>
          <t>HOSP-1</t>
        </is>
      </c>
      <c r="C3970" t="inlineStr">
        <is>
          <t>SS-01008</t>
        </is>
      </c>
      <c r="D3970" t="n">
        <v>48</v>
      </c>
      <c r="E3970" t="n">
        <v>0</v>
      </c>
      <c r="G3970">
        <f>IF(AND(A3970&gt;=Inputs!$B$5,A3970&lt;=Inputs!$B$6),1,0)</f>
        <v/>
      </c>
    </row>
    <row r="3971">
      <c r="A3971" t="inlineStr">
        <is>
          <t>2025-01</t>
        </is>
      </c>
      <c r="B3971" t="inlineStr">
        <is>
          <t>HOSP-2</t>
        </is>
      </c>
      <c r="C3971" t="inlineStr">
        <is>
          <t>SS-01009</t>
        </is>
      </c>
      <c r="D3971" t="n">
        <v>228</v>
      </c>
      <c r="E3971" t="n">
        <v>0</v>
      </c>
      <c r="G3971">
        <f>IF(AND(A3971&gt;=Inputs!$B$5,A3971&lt;=Inputs!$B$6),1,0)</f>
        <v/>
      </c>
    </row>
    <row r="3972">
      <c r="A3972" t="inlineStr">
        <is>
          <t>2025-01</t>
        </is>
      </c>
      <c r="B3972" t="inlineStr">
        <is>
          <t>HOSP-3</t>
        </is>
      </c>
      <c r="C3972" t="inlineStr">
        <is>
          <t>SS-01010</t>
        </is>
      </c>
      <c r="D3972" t="n">
        <v>12</v>
      </c>
      <c r="E3972" t="n">
        <v>0</v>
      </c>
      <c r="G3972">
        <f>IF(AND(A3972&gt;=Inputs!$B$5,A3972&lt;=Inputs!$B$6),1,0)</f>
        <v/>
      </c>
    </row>
    <row r="3973">
      <c r="A3973" t="inlineStr">
        <is>
          <t>2025-01</t>
        </is>
      </c>
      <c r="B3973" t="inlineStr">
        <is>
          <t>HOSP-4</t>
        </is>
      </c>
      <c r="C3973" t="inlineStr">
        <is>
          <t>SS-01011</t>
        </is>
      </c>
      <c r="D3973" t="n">
        <v>52</v>
      </c>
      <c r="E3973" t="n">
        <v>1</v>
      </c>
      <c r="G3973">
        <f>IF(AND(A3973&gt;=Inputs!$B$5,A3973&lt;=Inputs!$B$6),1,0)</f>
        <v/>
      </c>
    </row>
    <row r="3974">
      <c r="A3974" t="inlineStr">
        <is>
          <t>2025-01</t>
        </is>
      </c>
      <c r="B3974" t="inlineStr">
        <is>
          <t>HOSP-1</t>
        </is>
      </c>
      <c r="C3974" t="inlineStr">
        <is>
          <t>SS-01012</t>
        </is>
      </c>
      <c r="D3974" t="n">
        <v>0</v>
      </c>
      <c r="E3974" t="n">
        <v>0</v>
      </c>
      <c r="G3974">
        <f>IF(AND(A3974&gt;=Inputs!$B$5,A3974&lt;=Inputs!$B$6),1,0)</f>
        <v/>
      </c>
    </row>
    <row r="3975">
      <c r="A3975" t="inlineStr">
        <is>
          <t>2025-01</t>
        </is>
      </c>
      <c r="B3975" t="inlineStr">
        <is>
          <t>HOSP-2</t>
        </is>
      </c>
      <c r="C3975" t="inlineStr">
        <is>
          <t>SS-01158</t>
        </is>
      </c>
      <c r="D3975" t="n">
        <v>18</v>
      </c>
      <c r="E3975" t="n">
        <v>3</v>
      </c>
      <c r="G3975">
        <f>IF(AND(A3975&gt;=Inputs!$B$5,A3975&lt;=Inputs!$B$6),1,0)</f>
        <v/>
      </c>
    </row>
    <row r="3976">
      <c r="A3976" t="inlineStr">
        <is>
          <t>2025-01</t>
        </is>
      </c>
      <c r="B3976" t="inlineStr">
        <is>
          <t>HOSP-3</t>
        </is>
      </c>
      <c r="C3976" t="inlineStr">
        <is>
          <t>SS-01014</t>
        </is>
      </c>
      <c r="D3976" t="n">
        <v>48</v>
      </c>
      <c r="E3976" t="n">
        <v>0</v>
      </c>
      <c r="G3976">
        <f>IF(AND(A3976&gt;=Inputs!$B$5,A3976&lt;=Inputs!$B$6),1,0)</f>
        <v/>
      </c>
    </row>
    <row r="3977">
      <c r="A3977" t="inlineStr">
        <is>
          <t>2025-01</t>
        </is>
      </c>
      <c r="B3977" t="inlineStr">
        <is>
          <t>HOSP-4</t>
        </is>
      </c>
      <c r="C3977" t="inlineStr">
        <is>
          <t>SS-01015</t>
        </is>
      </c>
      <c r="D3977" t="n">
        <v>0</v>
      </c>
      <c r="E3977" t="n">
        <v>0</v>
      </c>
      <c r="G3977">
        <f>IF(AND(A3977&gt;=Inputs!$B$5,A3977&lt;=Inputs!$B$6),1,0)</f>
        <v/>
      </c>
    </row>
    <row r="3978">
      <c r="A3978" t="inlineStr">
        <is>
          <t>2025-01</t>
        </is>
      </c>
      <c r="B3978" t="inlineStr">
        <is>
          <t>HOSP-1</t>
        </is>
      </c>
      <c r="C3978" t="inlineStr">
        <is>
          <t>SS-01016</t>
        </is>
      </c>
      <c r="D3978" t="n">
        <v>48</v>
      </c>
      <c r="E3978" t="n">
        <v>0</v>
      </c>
      <c r="G3978">
        <f>IF(AND(A3978&gt;=Inputs!$B$5,A3978&lt;=Inputs!$B$6),1,0)</f>
        <v/>
      </c>
    </row>
    <row r="3979">
      <c r="A3979" t="inlineStr">
        <is>
          <t>2025-01</t>
        </is>
      </c>
      <c r="B3979" t="inlineStr">
        <is>
          <t>HOSP-2</t>
        </is>
      </c>
      <c r="C3979" t="inlineStr">
        <is>
          <t>SS-01017</t>
        </is>
      </c>
      <c r="D3979" t="n">
        <v>24</v>
      </c>
      <c r="E3979" t="n">
        <v>0</v>
      </c>
      <c r="G3979">
        <f>IF(AND(A3979&gt;=Inputs!$B$5,A3979&lt;=Inputs!$B$6),1,0)</f>
        <v/>
      </c>
    </row>
    <row r="3980">
      <c r="A3980" t="inlineStr">
        <is>
          <t>2025-01</t>
        </is>
      </c>
      <c r="B3980" t="inlineStr">
        <is>
          <t>HOSP-3</t>
        </is>
      </c>
      <c r="C3980" t="inlineStr">
        <is>
          <t>SS-01018</t>
        </is>
      </c>
      <c r="D3980" t="n">
        <v>0</v>
      </c>
      <c r="E3980" t="n">
        <v>0</v>
      </c>
      <c r="G3980">
        <f>IF(AND(A3980&gt;=Inputs!$B$5,A3980&lt;=Inputs!$B$6),1,0)</f>
        <v/>
      </c>
    </row>
    <row r="3981">
      <c r="A3981" t="inlineStr">
        <is>
          <t>2025-01</t>
        </is>
      </c>
      <c r="B3981" t="inlineStr">
        <is>
          <t>HOSP-4</t>
        </is>
      </c>
      <c r="C3981" t="inlineStr">
        <is>
          <t>SS-01019</t>
        </is>
      </c>
      <c r="D3981" t="n">
        <v>24</v>
      </c>
      <c r="E3981" t="n">
        <v>0</v>
      </c>
      <c r="F3981" t="inlineStr">
        <is>
          <t>surge</t>
        </is>
      </c>
      <c r="G3981">
        <f>IF(AND(A3981&gt;=Inputs!$B$5,A3981&lt;=Inputs!$B$6),1,0)</f>
        <v/>
      </c>
    </row>
    <row r="3982">
      <c r="A3982" t="inlineStr">
        <is>
          <t>2025-01</t>
        </is>
      </c>
      <c r="B3982" t="inlineStr">
        <is>
          <t>HOSP-1</t>
        </is>
      </c>
      <c r="C3982" t="inlineStr">
        <is>
          <t>SS-01020</t>
        </is>
      </c>
      <c r="D3982" t="n">
        <v>0</v>
      </c>
      <c r="E3982" t="n">
        <v>0</v>
      </c>
      <c r="G3982">
        <f>IF(AND(A3982&gt;=Inputs!$B$5,A3982&lt;=Inputs!$B$6),1,0)</f>
        <v/>
      </c>
    </row>
    <row r="3983">
      <c r="A3983" t="inlineStr">
        <is>
          <t>2025-01</t>
        </is>
      </c>
      <c r="B3983" t="inlineStr">
        <is>
          <t>HOSP-2</t>
        </is>
      </c>
      <c r="C3983" t="inlineStr">
        <is>
          <t>SS-01021</t>
        </is>
      </c>
      <c r="D3983" t="n">
        <v>0</v>
      </c>
      <c r="E3983" t="n">
        <v>0</v>
      </c>
      <c r="G3983">
        <f>IF(AND(A3983&gt;=Inputs!$B$5,A3983&lt;=Inputs!$B$6),1,0)</f>
        <v/>
      </c>
    </row>
    <row r="3984">
      <c r="A3984" t="inlineStr">
        <is>
          <t>2025-01</t>
        </is>
      </c>
      <c r="B3984" t="inlineStr">
        <is>
          <t>HOSP-3</t>
        </is>
      </c>
      <c r="C3984" t="inlineStr">
        <is>
          <t>SS-01022</t>
        </is>
      </c>
      <c r="D3984" t="n">
        <v>60</v>
      </c>
      <c r="E3984" t="n">
        <v>0</v>
      </c>
      <c r="G3984">
        <f>IF(AND(A3984&gt;=Inputs!$B$5,A3984&lt;=Inputs!$B$6),1,0)</f>
        <v/>
      </c>
    </row>
    <row r="3985">
      <c r="A3985" t="inlineStr">
        <is>
          <t>2025-01</t>
        </is>
      </c>
      <c r="B3985" t="inlineStr">
        <is>
          <t>HOSP-4</t>
        </is>
      </c>
      <c r="C3985" t="inlineStr">
        <is>
          <t>SS-01023</t>
        </is>
      </c>
      <c r="D3985" t="n">
        <v>12</v>
      </c>
      <c r="E3985" t="n">
        <v>0</v>
      </c>
      <c r="G3985">
        <f>IF(AND(A3985&gt;=Inputs!$B$5,A3985&lt;=Inputs!$B$6),1,0)</f>
        <v/>
      </c>
    </row>
    <row r="3986">
      <c r="A3986" t="inlineStr">
        <is>
          <t>2025-01</t>
        </is>
      </c>
      <c r="B3986" t="inlineStr">
        <is>
          <t>HOSP-1</t>
        </is>
      </c>
      <c r="C3986" t="inlineStr">
        <is>
          <t>SS-01087</t>
        </is>
      </c>
      <c r="D3986" t="n">
        <v>14</v>
      </c>
      <c r="E3986" t="n">
        <v>2</v>
      </c>
      <c r="G3986">
        <f>IF(AND(A3986&gt;=Inputs!$B$5,A3986&lt;=Inputs!$B$6),1,0)</f>
        <v/>
      </c>
    </row>
    <row r="3987">
      <c r="A3987" t="inlineStr">
        <is>
          <t>2025-01</t>
        </is>
      </c>
      <c r="B3987" t="inlineStr">
        <is>
          <t>HOSP-2</t>
        </is>
      </c>
      <c r="C3987" t="inlineStr">
        <is>
          <t>SS-01025</t>
        </is>
      </c>
      <c r="D3987" t="n">
        <v>12</v>
      </c>
      <c r="E3987" t="n">
        <v>0</v>
      </c>
      <c r="G3987">
        <f>IF(AND(A3987&gt;=Inputs!$B$5,A3987&lt;=Inputs!$B$6),1,0)</f>
        <v/>
      </c>
    </row>
    <row r="3988">
      <c r="A3988" t="inlineStr">
        <is>
          <t>2025-01</t>
        </is>
      </c>
      <c r="B3988" t="inlineStr">
        <is>
          <t>HOSP-3</t>
        </is>
      </c>
      <c r="C3988" t="inlineStr">
        <is>
          <t>SS-01026</t>
        </is>
      </c>
      <c r="D3988" t="n">
        <v>0</v>
      </c>
      <c r="E3988" t="n">
        <v>0</v>
      </c>
      <c r="G3988">
        <f>IF(AND(A3988&gt;=Inputs!$B$5,A3988&lt;=Inputs!$B$6),1,0)</f>
        <v/>
      </c>
    </row>
    <row r="3989">
      <c r="A3989" t="inlineStr">
        <is>
          <t>2025-01</t>
        </is>
      </c>
      <c r="B3989" t="inlineStr">
        <is>
          <t>HOSP-4</t>
        </is>
      </c>
      <c r="C3989" t="inlineStr">
        <is>
          <t>SS-01027</t>
        </is>
      </c>
      <c r="D3989" t="n">
        <v>12</v>
      </c>
      <c r="E3989" t="n">
        <v>0</v>
      </c>
      <c r="G3989">
        <f>IF(AND(A3989&gt;=Inputs!$B$5,A3989&lt;=Inputs!$B$6),1,0)</f>
        <v/>
      </c>
    </row>
    <row r="3990">
      <c r="A3990" t="inlineStr">
        <is>
          <t>2025-01</t>
        </is>
      </c>
      <c r="B3990" t="inlineStr">
        <is>
          <t>HOSP-1</t>
        </is>
      </c>
      <c r="C3990" t="inlineStr">
        <is>
          <t>SS-01028</t>
        </is>
      </c>
      <c r="D3990" t="n">
        <v>72</v>
      </c>
      <c r="E3990" t="n">
        <v>0</v>
      </c>
      <c r="G3990">
        <f>IF(AND(A3990&gt;=Inputs!$B$5,A3990&lt;=Inputs!$B$6),1,0)</f>
        <v/>
      </c>
    </row>
    <row r="3991">
      <c r="A3991" t="inlineStr">
        <is>
          <t>2025-01</t>
        </is>
      </c>
      <c r="B3991" t="inlineStr">
        <is>
          <t>HOSP-2</t>
        </is>
      </c>
      <c r="C3991" t="inlineStr">
        <is>
          <t>SS-01029</t>
        </is>
      </c>
      <c r="D3991" t="n">
        <v>0</v>
      </c>
      <c r="E3991" t="n">
        <v>0</v>
      </c>
      <c r="G3991">
        <f>IF(AND(A3991&gt;=Inputs!$B$5,A3991&lt;=Inputs!$B$6),1,0)</f>
        <v/>
      </c>
    </row>
    <row r="3992">
      <c r="A3992" t="inlineStr">
        <is>
          <t>2025-01</t>
        </is>
      </c>
      <c r="B3992" t="inlineStr">
        <is>
          <t>HOSP-3</t>
        </is>
      </c>
      <c r="C3992" t="inlineStr">
        <is>
          <t>SS-01030</t>
        </is>
      </c>
      <c r="D3992" t="n">
        <v>12</v>
      </c>
      <c r="E3992" t="n">
        <v>0</v>
      </c>
      <c r="G3992">
        <f>IF(AND(A3992&gt;=Inputs!$B$5,A3992&lt;=Inputs!$B$6),1,0)</f>
        <v/>
      </c>
    </row>
    <row r="3993">
      <c r="A3993" t="inlineStr">
        <is>
          <t>2025-01</t>
        </is>
      </c>
      <c r="B3993" t="inlineStr">
        <is>
          <t>HOSP-4</t>
        </is>
      </c>
      <c r="C3993" t="inlineStr">
        <is>
          <t>SS-01031</t>
        </is>
      </c>
      <c r="D3993" t="n">
        <v>0</v>
      </c>
      <c r="E3993" t="n">
        <v>0</v>
      </c>
      <c r="G3993">
        <f>IF(AND(A3993&gt;=Inputs!$B$5,A3993&lt;=Inputs!$B$6),1,0)</f>
        <v/>
      </c>
    </row>
    <row r="3994">
      <c r="A3994" t="inlineStr">
        <is>
          <t>2025-01</t>
        </is>
      </c>
      <c r="B3994" t="inlineStr">
        <is>
          <t>HOSP-1</t>
        </is>
      </c>
      <c r="C3994" t="inlineStr">
        <is>
          <t>SS-01032</t>
        </is>
      </c>
      <c r="D3994" t="n">
        <v>48</v>
      </c>
      <c r="E3994" t="n">
        <v>0</v>
      </c>
      <c r="G3994">
        <f>IF(AND(A3994&gt;=Inputs!$B$5,A3994&lt;=Inputs!$B$6),1,0)</f>
        <v/>
      </c>
    </row>
    <row r="3995">
      <c r="A3995" t="inlineStr">
        <is>
          <t>2025-01</t>
        </is>
      </c>
      <c r="B3995" t="inlineStr">
        <is>
          <t>HOSP-2</t>
        </is>
      </c>
      <c r="C3995" t="inlineStr">
        <is>
          <t>SS-01033</t>
        </is>
      </c>
      <c r="D3995" t="n">
        <v>72</v>
      </c>
      <c r="E3995" t="n">
        <v>0</v>
      </c>
      <c r="G3995">
        <f>IF(AND(A3995&gt;=Inputs!$B$5,A3995&lt;=Inputs!$B$6),1,0)</f>
        <v/>
      </c>
    </row>
    <row r="3996">
      <c r="A3996" t="inlineStr">
        <is>
          <t>2025-01</t>
        </is>
      </c>
      <c r="B3996" t="inlineStr">
        <is>
          <t>HOSP-3</t>
        </is>
      </c>
      <c r="C3996" t="inlineStr">
        <is>
          <t>SS-01034</t>
        </is>
      </c>
      <c r="D3996" t="n">
        <v>12</v>
      </c>
      <c r="E3996" t="n">
        <v>0</v>
      </c>
      <c r="G3996">
        <f>IF(AND(A3996&gt;=Inputs!$B$5,A3996&lt;=Inputs!$B$6),1,0)</f>
        <v/>
      </c>
    </row>
    <row r="3997">
      <c r="A3997" t="inlineStr">
        <is>
          <t>2025-01</t>
        </is>
      </c>
      <c r="B3997" t="inlineStr">
        <is>
          <t>HOSP-4</t>
        </is>
      </c>
      <c r="C3997" t="inlineStr">
        <is>
          <t>SS-01035</t>
        </is>
      </c>
      <c r="D3997" t="n">
        <v>12</v>
      </c>
      <c r="E3997" t="n">
        <v>0</v>
      </c>
      <c r="G3997">
        <f>IF(AND(A3997&gt;=Inputs!$B$5,A3997&lt;=Inputs!$B$6),1,0)</f>
        <v/>
      </c>
    </row>
    <row r="3998">
      <c r="A3998" t="inlineStr">
        <is>
          <t>2025-01</t>
        </is>
      </c>
      <c r="B3998" t="inlineStr">
        <is>
          <t>HOSP-1</t>
        </is>
      </c>
      <c r="C3998" t="inlineStr">
        <is>
          <t>SS-01204</t>
        </is>
      </c>
      <c r="D3998" t="n">
        <v>64</v>
      </c>
      <c r="E3998" t="n">
        <v>0</v>
      </c>
      <c r="G3998">
        <f>IF(AND(A3998&gt;=Inputs!$B$5,A3998&lt;=Inputs!$B$6),1,0)</f>
        <v/>
      </c>
    </row>
    <row r="3999">
      <c r="A3999" t="inlineStr">
        <is>
          <t>2025-01</t>
        </is>
      </c>
      <c r="B3999" t="inlineStr">
        <is>
          <t>HOSP-2</t>
        </is>
      </c>
      <c r="C3999" t="inlineStr">
        <is>
          <t>SS-01037</t>
        </is>
      </c>
      <c r="D3999" t="n">
        <v>0</v>
      </c>
      <c r="E3999" t="n">
        <v>1</v>
      </c>
      <c r="G3999">
        <f>IF(AND(A3999&gt;=Inputs!$B$5,A3999&lt;=Inputs!$B$6),1,0)</f>
        <v/>
      </c>
    </row>
    <row r="4000">
      <c r="A4000" t="inlineStr">
        <is>
          <t>2025-01</t>
        </is>
      </c>
      <c r="B4000" t="inlineStr">
        <is>
          <t>HOSP-3</t>
        </is>
      </c>
      <c r="C4000" t="inlineStr">
        <is>
          <t>SS-01038</t>
        </is>
      </c>
      <c r="D4000" t="n">
        <v>12</v>
      </c>
      <c r="E4000" t="n">
        <v>0</v>
      </c>
      <c r="G4000">
        <f>IF(AND(A4000&gt;=Inputs!$B$5,A4000&lt;=Inputs!$B$6),1,0)</f>
        <v/>
      </c>
    </row>
    <row r="4001">
      <c r="A4001" t="inlineStr">
        <is>
          <t>2025-01</t>
        </is>
      </c>
      <c r="B4001" t="inlineStr">
        <is>
          <t>HOSP-4</t>
        </is>
      </c>
      <c r="C4001" t="inlineStr">
        <is>
          <t>SS-01039</t>
        </is>
      </c>
      <c r="D4001" t="n">
        <v>10</v>
      </c>
      <c r="E4001" t="n">
        <v>2</v>
      </c>
      <c r="G4001">
        <f>IF(AND(A4001&gt;=Inputs!$B$5,A4001&lt;=Inputs!$B$6),1,0)</f>
        <v/>
      </c>
    </row>
    <row r="4002">
      <c r="A4002" t="inlineStr">
        <is>
          <t>2025-01</t>
        </is>
      </c>
      <c r="B4002" t="inlineStr">
        <is>
          <t>HOSP-1</t>
        </is>
      </c>
      <c r="C4002" t="inlineStr">
        <is>
          <t>SS-01040</t>
        </is>
      </c>
      <c r="D4002" t="n">
        <v>24</v>
      </c>
      <c r="E4002" t="n">
        <v>0</v>
      </c>
      <c r="G4002">
        <f>IF(AND(A4002&gt;=Inputs!$B$5,A4002&lt;=Inputs!$B$6),1,0)</f>
        <v/>
      </c>
    </row>
    <row r="4003">
      <c r="A4003" t="inlineStr">
        <is>
          <t>2025-01</t>
        </is>
      </c>
      <c r="B4003" t="inlineStr">
        <is>
          <t>HOSP-2</t>
        </is>
      </c>
      <c r="C4003" t="inlineStr">
        <is>
          <t>SS-01041</t>
        </is>
      </c>
      <c r="D4003" t="n">
        <v>96</v>
      </c>
      <c r="E4003" t="n">
        <v>0</v>
      </c>
      <c r="G4003">
        <f>IF(AND(A4003&gt;=Inputs!$B$5,A4003&lt;=Inputs!$B$6),1,0)</f>
        <v/>
      </c>
    </row>
    <row r="4004">
      <c r="A4004" t="inlineStr">
        <is>
          <t>2025-01</t>
        </is>
      </c>
      <c r="B4004" t="inlineStr">
        <is>
          <t>HOSP-3</t>
        </is>
      </c>
      <c r="C4004" t="inlineStr">
        <is>
          <t>SS-01042</t>
        </is>
      </c>
      <c r="D4004" t="n">
        <v>12</v>
      </c>
      <c r="E4004" t="n">
        <v>0</v>
      </c>
      <c r="G4004">
        <f>IF(AND(A4004&gt;=Inputs!$B$5,A4004&lt;=Inputs!$B$6),1,0)</f>
        <v/>
      </c>
    </row>
    <row r="4005">
      <c r="A4005" t="inlineStr">
        <is>
          <t>2025-01</t>
        </is>
      </c>
      <c r="B4005" t="inlineStr">
        <is>
          <t>HOSP-4</t>
        </is>
      </c>
      <c r="C4005" t="inlineStr">
        <is>
          <t>SS-01179</t>
        </is>
      </c>
      <c r="D4005" t="n">
        <v>252</v>
      </c>
      <c r="E4005" t="n">
        <v>0</v>
      </c>
      <c r="G4005">
        <f>IF(AND(A4005&gt;=Inputs!$B$5,A4005&lt;=Inputs!$B$6),1,0)</f>
        <v/>
      </c>
    </row>
    <row r="4006">
      <c r="A4006" t="inlineStr">
        <is>
          <t>2025-01</t>
        </is>
      </c>
      <c r="B4006" t="inlineStr">
        <is>
          <t>HOSP-1</t>
        </is>
      </c>
      <c r="C4006" t="inlineStr">
        <is>
          <t>SS-01044</t>
        </is>
      </c>
      <c r="D4006" t="n">
        <v>12</v>
      </c>
      <c r="E4006" t="n">
        <v>0</v>
      </c>
      <c r="G4006">
        <f>IF(AND(A4006&gt;=Inputs!$B$5,A4006&lt;=Inputs!$B$6),1,0)</f>
        <v/>
      </c>
    </row>
    <row r="4007">
      <c r="A4007" t="inlineStr">
        <is>
          <t>2025-01</t>
        </is>
      </c>
      <c r="B4007" t="inlineStr">
        <is>
          <t>HOSP-2</t>
        </is>
      </c>
      <c r="C4007" t="inlineStr">
        <is>
          <t>SS-01214</t>
        </is>
      </c>
      <c r="D4007" t="n">
        <v>8</v>
      </c>
      <c r="E4007" t="n">
        <v>2</v>
      </c>
      <c r="G4007">
        <f>IF(AND(A4007&gt;=Inputs!$B$5,A4007&lt;=Inputs!$B$6),1,0)</f>
        <v/>
      </c>
    </row>
    <row r="4008">
      <c r="A4008" t="inlineStr">
        <is>
          <t>2025-01</t>
        </is>
      </c>
      <c r="B4008" t="inlineStr">
        <is>
          <t>HOSP-3</t>
        </is>
      </c>
      <c r="C4008" t="inlineStr">
        <is>
          <t>SS-01046</t>
        </is>
      </c>
      <c r="D4008" t="n">
        <v>36</v>
      </c>
      <c r="E4008" t="n">
        <v>0</v>
      </c>
      <c r="G4008">
        <f>IF(AND(A4008&gt;=Inputs!$B$5,A4008&lt;=Inputs!$B$6),1,0)</f>
        <v/>
      </c>
    </row>
    <row r="4009">
      <c r="A4009" t="inlineStr">
        <is>
          <t>2025-01</t>
        </is>
      </c>
      <c r="B4009" t="inlineStr">
        <is>
          <t>HOSP-4</t>
        </is>
      </c>
      <c r="C4009" t="inlineStr">
        <is>
          <t>SS-01047</t>
        </is>
      </c>
      <c r="D4009" t="n">
        <v>0</v>
      </c>
      <c r="E4009" t="n">
        <v>0</v>
      </c>
      <c r="G4009">
        <f>IF(AND(A4009&gt;=Inputs!$B$5,A4009&lt;=Inputs!$B$6),1,0)</f>
        <v/>
      </c>
    </row>
    <row r="4010">
      <c r="A4010" t="inlineStr">
        <is>
          <t>2025-01</t>
        </is>
      </c>
      <c r="B4010" t="inlineStr">
        <is>
          <t>HOSP-1</t>
        </is>
      </c>
      <c r="C4010" t="inlineStr">
        <is>
          <t>SS-01086</t>
        </is>
      </c>
      <c r="D4010" t="n">
        <v>3</v>
      </c>
      <c r="E4010" t="n">
        <v>2</v>
      </c>
      <c r="G4010">
        <f>IF(AND(A4010&gt;=Inputs!$B$5,A4010&lt;=Inputs!$B$6),1,0)</f>
        <v/>
      </c>
    </row>
    <row r="4011">
      <c r="A4011" t="inlineStr">
        <is>
          <t>2025-01</t>
        </is>
      </c>
      <c r="B4011" t="inlineStr">
        <is>
          <t>HOSP-2</t>
        </is>
      </c>
      <c r="C4011" t="inlineStr">
        <is>
          <t>SS-01049</t>
        </is>
      </c>
      <c r="D4011" t="n">
        <v>84</v>
      </c>
      <c r="E4011" t="n">
        <v>0</v>
      </c>
      <c r="G4011">
        <f>IF(AND(A4011&gt;=Inputs!$B$5,A4011&lt;=Inputs!$B$6),1,0)</f>
        <v/>
      </c>
    </row>
    <row r="4012">
      <c r="A4012" t="inlineStr">
        <is>
          <t>2025-03</t>
        </is>
      </c>
      <c r="B4012" t="inlineStr">
        <is>
          <t>HOSP-3</t>
        </is>
      </c>
      <c r="C4012" t="inlineStr">
        <is>
          <t>SS-01063</t>
        </is>
      </c>
      <c r="D4012" t="n">
        <v>0</v>
      </c>
      <c r="E4012" t="n">
        <v>0</v>
      </c>
      <c r="G4012">
        <f>IF(AND(A4012&gt;=Inputs!$B$5,A4012&lt;=Inputs!$B$6),1,0)</f>
        <v/>
      </c>
    </row>
    <row r="4013">
      <c r="A4013" t="inlineStr">
        <is>
          <t>2025-03</t>
        </is>
      </c>
      <c r="B4013" t="inlineStr">
        <is>
          <t>HOSP-4</t>
        </is>
      </c>
      <c r="C4013" t="inlineStr">
        <is>
          <t>SS-01051</t>
        </is>
      </c>
      <c r="D4013" t="n">
        <v>36</v>
      </c>
      <c r="E4013" t="n">
        <v>0</v>
      </c>
      <c r="G4013">
        <f>IF(AND(A4013&gt;=Inputs!$B$5,A4013&lt;=Inputs!$B$6),1,0)</f>
        <v/>
      </c>
    </row>
    <row r="4014">
      <c r="A4014" t="inlineStr">
        <is>
          <t>2025-03</t>
        </is>
      </c>
      <c r="B4014" t="inlineStr">
        <is>
          <t>HOSP-1</t>
        </is>
      </c>
      <c r="C4014" t="inlineStr">
        <is>
          <t>SS-01052</t>
        </is>
      </c>
      <c r="D4014" t="n">
        <v>0</v>
      </c>
      <c r="E4014" t="n">
        <v>0</v>
      </c>
      <c r="G4014">
        <f>IF(AND(A4014&gt;=Inputs!$B$5,A4014&lt;=Inputs!$B$6),1,0)</f>
        <v/>
      </c>
    </row>
    <row r="4015">
      <c r="A4015" t="inlineStr">
        <is>
          <t>2025-03</t>
        </is>
      </c>
      <c r="B4015" t="inlineStr">
        <is>
          <t>HOSP-2</t>
        </is>
      </c>
      <c r="C4015" t="inlineStr">
        <is>
          <t>SS-01053</t>
        </is>
      </c>
      <c r="D4015" t="n">
        <v>8</v>
      </c>
      <c r="E4015" t="n">
        <v>0</v>
      </c>
      <c r="G4015">
        <f>IF(AND(A4015&gt;=Inputs!$B$5,A4015&lt;=Inputs!$B$6),1,0)</f>
        <v/>
      </c>
    </row>
    <row r="4016">
      <c r="A4016" t="inlineStr">
        <is>
          <t>2025-03</t>
        </is>
      </c>
      <c r="B4016" t="inlineStr">
        <is>
          <t>HOSP-3</t>
        </is>
      </c>
      <c r="C4016" t="inlineStr">
        <is>
          <t>SS-01054</t>
        </is>
      </c>
      <c r="D4016" t="n">
        <v>0</v>
      </c>
      <c r="E4016" t="n">
        <v>0</v>
      </c>
      <c r="G4016">
        <f>IF(AND(A4016&gt;=Inputs!$B$5,A4016&lt;=Inputs!$B$6),1,0)</f>
        <v/>
      </c>
    </row>
    <row r="4017">
      <c r="A4017" t="inlineStr">
        <is>
          <t>2025-03</t>
        </is>
      </c>
      <c r="B4017" t="inlineStr">
        <is>
          <t>HOSP-4</t>
        </is>
      </c>
      <c r="C4017" t="inlineStr">
        <is>
          <t>SS-01055</t>
        </is>
      </c>
      <c r="D4017" t="n">
        <v>144</v>
      </c>
      <c r="E4017" t="n">
        <v>0</v>
      </c>
      <c r="G4017">
        <f>IF(AND(A4017&gt;=Inputs!$B$5,A4017&lt;=Inputs!$B$6),1,0)</f>
        <v/>
      </c>
    </row>
    <row r="4018">
      <c r="A4018" t="inlineStr">
        <is>
          <t>2025-03</t>
        </is>
      </c>
      <c r="B4018" t="inlineStr">
        <is>
          <t>HOSP-1</t>
        </is>
      </c>
      <c r="C4018" t="inlineStr">
        <is>
          <t>SS-01056</t>
        </is>
      </c>
      <c r="D4018" t="n">
        <v>12</v>
      </c>
      <c r="E4018" t="n">
        <v>0</v>
      </c>
      <c r="G4018">
        <f>IF(AND(A4018&gt;=Inputs!$B$5,A4018&lt;=Inputs!$B$6),1,0)</f>
        <v/>
      </c>
    </row>
    <row r="4019">
      <c r="A4019" t="inlineStr">
        <is>
          <t>2025-03</t>
        </is>
      </c>
      <c r="B4019" t="inlineStr">
        <is>
          <t>HOSP-2</t>
        </is>
      </c>
      <c r="C4019" t="inlineStr">
        <is>
          <t>SS-01057</t>
        </is>
      </c>
      <c r="D4019" t="n">
        <v>36</v>
      </c>
      <c r="E4019" t="n">
        <v>0</v>
      </c>
      <c r="G4019">
        <f>IF(AND(A4019&gt;=Inputs!$B$5,A4019&lt;=Inputs!$B$6),1,0)</f>
        <v/>
      </c>
    </row>
    <row r="4020">
      <c r="A4020" t="inlineStr">
        <is>
          <t>2025-03</t>
        </is>
      </c>
      <c r="B4020" t="inlineStr">
        <is>
          <t>HOSP-3</t>
        </is>
      </c>
      <c r="C4020" t="inlineStr">
        <is>
          <t>SS-01058</t>
        </is>
      </c>
      <c r="D4020" t="n">
        <v>0</v>
      </c>
      <c r="E4020" t="n">
        <v>0</v>
      </c>
      <c r="G4020">
        <f>IF(AND(A4020&gt;=Inputs!$B$5,A4020&lt;=Inputs!$B$6),1,0)</f>
        <v/>
      </c>
    </row>
    <row r="4021">
      <c r="A4021" t="inlineStr">
        <is>
          <t>2025-03</t>
        </is>
      </c>
      <c r="B4021" t="inlineStr">
        <is>
          <t>HOSP-4</t>
        </is>
      </c>
      <c r="C4021" t="inlineStr">
        <is>
          <t>SS-01059</t>
        </is>
      </c>
      <c r="D4021" t="n">
        <v>24</v>
      </c>
      <c r="E4021" t="n">
        <v>0</v>
      </c>
      <c r="G4021">
        <f>IF(AND(A4021&gt;=Inputs!$B$5,A4021&lt;=Inputs!$B$6),1,0)</f>
        <v/>
      </c>
    </row>
    <row r="4022">
      <c r="A4022" t="inlineStr">
        <is>
          <t>2025-03</t>
        </is>
      </c>
      <c r="B4022" t="inlineStr">
        <is>
          <t>HOSP-1</t>
        </is>
      </c>
      <c r="C4022" t="inlineStr">
        <is>
          <t>SS-01060</t>
        </is>
      </c>
      <c r="D4022" t="n">
        <v>24</v>
      </c>
      <c r="E4022" t="n">
        <v>0</v>
      </c>
      <c r="G4022">
        <f>IF(AND(A4022&gt;=Inputs!$B$5,A4022&lt;=Inputs!$B$6),1,0)</f>
        <v/>
      </c>
    </row>
    <row r="4023">
      <c r="A4023" t="inlineStr">
        <is>
          <t>2025-03</t>
        </is>
      </c>
      <c r="B4023" t="inlineStr">
        <is>
          <t>HOSP-2</t>
        </is>
      </c>
      <c r="C4023" t="inlineStr">
        <is>
          <t>SS-01061</t>
        </is>
      </c>
      <c r="D4023" t="n">
        <v>12</v>
      </c>
      <c r="E4023" t="n">
        <v>0</v>
      </c>
      <c r="G4023">
        <f>IF(AND(A4023&gt;=Inputs!$B$5,A4023&lt;=Inputs!$B$6),1,0)</f>
        <v/>
      </c>
    </row>
    <row r="4024">
      <c r="A4024" t="inlineStr">
        <is>
          <t>2025-03</t>
        </is>
      </c>
      <c r="B4024" t="inlineStr">
        <is>
          <t>HOSP-3</t>
        </is>
      </c>
      <c r="C4024" t="inlineStr">
        <is>
          <t>SS-01062</t>
        </is>
      </c>
      <c r="D4024" t="n">
        <v>12</v>
      </c>
      <c r="E4024" t="n">
        <v>0</v>
      </c>
      <c r="G4024">
        <f>IF(AND(A4024&gt;=Inputs!$B$5,A4024&lt;=Inputs!$B$6),1,0)</f>
        <v/>
      </c>
    </row>
    <row r="4025">
      <c r="A4025" t="inlineStr">
        <is>
          <t>2025-03</t>
        </is>
      </c>
      <c r="B4025" t="inlineStr">
        <is>
          <t>HOSP-4</t>
        </is>
      </c>
      <c r="C4025" t="inlineStr">
        <is>
          <t>SS-01063</t>
        </is>
      </c>
      <c r="D4025" t="n">
        <v>0</v>
      </c>
      <c r="E4025" t="n">
        <v>0</v>
      </c>
      <c r="G4025">
        <f>IF(AND(A4025&gt;=Inputs!$B$5,A4025&lt;=Inputs!$B$6),1,0)</f>
        <v/>
      </c>
    </row>
    <row r="4026">
      <c r="A4026" t="inlineStr">
        <is>
          <t>2025-03</t>
        </is>
      </c>
      <c r="B4026" t="inlineStr">
        <is>
          <t>HOSP-1</t>
        </is>
      </c>
      <c r="C4026" t="inlineStr">
        <is>
          <t>SS-01064</t>
        </is>
      </c>
      <c r="D4026" t="n">
        <v>0</v>
      </c>
      <c r="E4026" t="n">
        <v>0</v>
      </c>
      <c r="G4026">
        <f>IF(AND(A4026&gt;=Inputs!$B$5,A4026&lt;=Inputs!$B$6),1,0)</f>
        <v/>
      </c>
    </row>
    <row r="4027">
      <c r="A4027" t="inlineStr">
        <is>
          <t>2025-03</t>
        </is>
      </c>
      <c r="B4027" t="inlineStr">
        <is>
          <t>HOSP-2</t>
        </is>
      </c>
      <c r="C4027" t="inlineStr">
        <is>
          <t>SS-01172</t>
        </is>
      </c>
      <c r="D4027" t="n">
        <v>36</v>
      </c>
      <c r="E4027" t="n">
        <v>0</v>
      </c>
      <c r="G4027">
        <f>IF(AND(A4027&gt;=Inputs!$B$5,A4027&lt;=Inputs!$B$6),1,0)</f>
        <v/>
      </c>
    </row>
    <row r="4028">
      <c r="A4028" t="inlineStr">
        <is>
          <t>2025-03</t>
        </is>
      </c>
      <c r="B4028" t="inlineStr">
        <is>
          <t>HOSP-3</t>
        </is>
      </c>
      <c r="C4028" t="inlineStr">
        <is>
          <t>SS-01066</t>
        </is>
      </c>
      <c r="D4028" t="n">
        <v>47</v>
      </c>
      <c r="E4028" t="n">
        <v>1</v>
      </c>
      <c r="G4028">
        <f>IF(AND(A4028&gt;=Inputs!$B$5,A4028&lt;=Inputs!$B$6),1,0)</f>
        <v/>
      </c>
    </row>
    <row r="4029">
      <c r="A4029" t="inlineStr">
        <is>
          <t>2025-03</t>
        </is>
      </c>
      <c r="B4029" t="inlineStr">
        <is>
          <t>HOSP-4</t>
        </is>
      </c>
      <c r="C4029" t="inlineStr">
        <is>
          <t>SS-01040</t>
        </is>
      </c>
      <c r="D4029" t="n">
        <v>12</v>
      </c>
      <c r="E4029" t="n">
        <v>0</v>
      </c>
      <c r="G4029">
        <f>IF(AND(A4029&gt;=Inputs!$B$5,A4029&lt;=Inputs!$B$6),1,0)</f>
        <v/>
      </c>
    </row>
    <row r="4030">
      <c r="A4030" t="inlineStr">
        <is>
          <t>2025-03</t>
        </is>
      </c>
      <c r="B4030" t="inlineStr">
        <is>
          <t>HOSP-1</t>
        </is>
      </c>
      <c r="C4030" t="inlineStr">
        <is>
          <t>SS-01068</t>
        </is>
      </c>
      <c r="D4030" t="n">
        <v>12</v>
      </c>
      <c r="E4030" t="n">
        <v>0</v>
      </c>
      <c r="G4030">
        <f>IF(AND(A4030&gt;=Inputs!$B$5,A4030&lt;=Inputs!$B$6),1,0)</f>
        <v/>
      </c>
    </row>
    <row r="4031">
      <c r="A4031" t="inlineStr">
        <is>
          <t>2025-03</t>
        </is>
      </c>
      <c r="B4031" t="inlineStr">
        <is>
          <t>HOSP-2</t>
        </is>
      </c>
      <c r="C4031" t="inlineStr">
        <is>
          <t>SS-01069</t>
        </is>
      </c>
      <c r="D4031" t="n">
        <v>12</v>
      </c>
      <c r="E4031" t="n">
        <v>0</v>
      </c>
      <c r="G4031">
        <f>IF(AND(A4031&gt;=Inputs!$B$5,A4031&lt;=Inputs!$B$6),1,0)</f>
        <v/>
      </c>
    </row>
    <row r="4032">
      <c r="A4032" t="inlineStr">
        <is>
          <t>2025-03</t>
        </is>
      </c>
      <c r="B4032" t="inlineStr">
        <is>
          <t>HOSP-3</t>
        </is>
      </c>
      <c r="C4032" t="inlineStr">
        <is>
          <t>SS-01070</t>
        </is>
      </c>
      <c r="D4032" t="n">
        <v>0</v>
      </c>
      <c r="E4032" t="n">
        <v>0</v>
      </c>
      <c r="G4032">
        <f>IF(AND(A4032&gt;=Inputs!$B$5,A4032&lt;=Inputs!$B$6),1,0)</f>
        <v/>
      </c>
    </row>
    <row r="4033">
      <c r="A4033" t="inlineStr">
        <is>
          <t>2025-03</t>
        </is>
      </c>
      <c r="B4033" t="inlineStr">
        <is>
          <t>HOSP-4</t>
        </is>
      </c>
      <c r="C4033" t="inlineStr">
        <is>
          <t>SS-01071</t>
        </is>
      </c>
      <c r="D4033" t="n">
        <v>0</v>
      </c>
      <c r="E4033" t="n">
        <v>0</v>
      </c>
      <c r="G4033">
        <f>IF(AND(A4033&gt;=Inputs!$B$5,A4033&lt;=Inputs!$B$6),1,0)</f>
        <v/>
      </c>
    </row>
    <row r="4034">
      <c r="A4034" t="inlineStr">
        <is>
          <t>2025-03</t>
        </is>
      </c>
      <c r="B4034" t="inlineStr">
        <is>
          <t>HOSP-1</t>
        </is>
      </c>
      <c r="C4034" t="inlineStr">
        <is>
          <t>SS-01147</t>
        </is>
      </c>
      <c r="D4034" t="n">
        <v>120</v>
      </c>
      <c r="E4034" t="n">
        <v>0</v>
      </c>
      <c r="G4034">
        <f>IF(AND(A4034&gt;=Inputs!$B$5,A4034&lt;=Inputs!$B$6),1,0)</f>
        <v/>
      </c>
    </row>
    <row r="4035">
      <c r="A4035" t="inlineStr">
        <is>
          <t>2025-03</t>
        </is>
      </c>
      <c r="B4035" t="inlineStr">
        <is>
          <t>HOSP-2</t>
        </is>
      </c>
      <c r="C4035" t="inlineStr">
        <is>
          <t>SS-01073</t>
        </is>
      </c>
      <c r="D4035" t="n">
        <v>0</v>
      </c>
      <c r="E4035" t="n">
        <v>0</v>
      </c>
      <c r="G4035">
        <f>IF(AND(A4035&gt;=Inputs!$B$5,A4035&lt;=Inputs!$B$6),1,0)</f>
        <v/>
      </c>
    </row>
    <row r="4036">
      <c r="A4036" t="inlineStr">
        <is>
          <t>2025-03</t>
        </is>
      </c>
      <c r="B4036" t="inlineStr">
        <is>
          <t>HOSP-3</t>
        </is>
      </c>
      <c r="C4036" t="inlineStr">
        <is>
          <t>SS-01074</t>
        </is>
      </c>
      <c r="D4036" t="n">
        <v>0</v>
      </c>
      <c r="E4036" t="n">
        <v>0</v>
      </c>
      <c r="G4036">
        <f>IF(AND(A4036&gt;=Inputs!$B$5,A4036&lt;=Inputs!$B$6),1,0)</f>
        <v/>
      </c>
    </row>
    <row r="4037">
      <c r="A4037" t="inlineStr">
        <is>
          <t>2025-03</t>
        </is>
      </c>
      <c r="B4037" t="inlineStr">
        <is>
          <t>HOSP-4</t>
        </is>
      </c>
      <c r="C4037" t="inlineStr">
        <is>
          <t>SS-01075</t>
        </is>
      </c>
      <c r="D4037" t="n">
        <v>0</v>
      </c>
      <c r="E4037" t="n">
        <v>0</v>
      </c>
      <c r="G4037">
        <f>IF(AND(A4037&gt;=Inputs!$B$5,A4037&lt;=Inputs!$B$6),1,0)</f>
        <v/>
      </c>
    </row>
    <row r="4038">
      <c r="A4038" t="inlineStr">
        <is>
          <t>2025-03</t>
        </is>
      </c>
      <c r="B4038" t="inlineStr">
        <is>
          <t>HOSP-1</t>
        </is>
      </c>
      <c r="C4038" t="inlineStr">
        <is>
          <t>SS-01076</t>
        </is>
      </c>
      <c r="D4038" t="n">
        <v>24</v>
      </c>
      <c r="E4038" t="n">
        <v>0</v>
      </c>
      <c r="G4038">
        <f>IF(AND(A4038&gt;=Inputs!$B$5,A4038&lt;=Inputs!$B$6),1,0)</f>
        <v/>
      </c>
    </row>
    <row r="4039">
      <c r="A4039" t="inlineStr">
        <is>
          <t>2025-03</t>
        </is>
      </c>
      <c r="B4039" t="inlineStr">
        <is>
          <t>HOSP-2</t>
        </is>
      </c>
      <c r="C4039" t="inlineStr">
        <is>
          <t>SS-01077</t>
        </is>
      </c>
      <c r="D4039" t="n">
        <v>15</v>
      </c>
      <c r="E4039" t="n">
        <v>0</v>
      </c>
      <c r="G4039">
        <f>IF(AND(A4039&gt;=Inputs!$B$5,A4039&lt;=Inputs!$B$6),1,0)</f>
        <v/>
      </c>
    </row>
    <row r="4040">
      <c r="A4040" t="inlineStr">
        <is>
          <t>2025-03</t>
        </is>
      </c>
      <c r="B4040" t="inlineStr">
        <is>
          <t>HOSP-3</t>
        </is>
      </c>
      <c r="C4040" t="inlineStr">
        <is>
          <t>SS-01078</t>
        </is>
      </c>
      <c r="D4040" t="n">
        <v>12</v>
      </c>
      <c r="E4040" t="n">
        <v>0</v>
      </c>
      <c r="G4040">
        <f>IF(AND(A4040&gt;=Inputs!$B$5,A4040&lt;=Inputs!$B$6),1,0)</f>
        <v/>
      </c>
    </row>
    <row r="4041">
      <c r="A4041" t="inlineStr">
        <is>
          <t>2025-03</t>
        </is>
      </c>
      <c r="B4041" t="inlineStr">
        <is>
          <t>HOSP-4</t>
        </is>
      </c>
      <c r="C4041" t="inlineStr">
        <is>
          <t>SS-01079</t>
        </is>
      </c>
      <c r="D4041" t="n">
        <v>24</v>
      </c>
      <c r="E4041" t="n">
        <v>0</v>
      </c>
      <c r="G4041">
        <f>IF(AND(A4041&gt;=Inputs!$B$5,A4041&lt;=Inputs!$B$6),1,0)</f>
        <v/>
      </c>
    </row>
    <row r="4042">
      <c r="A4042" t="inlineStr">
        <is>
          <t>2025-03</t>
        </is>
      </c>
      <c r="B4042" t="inlineStr">
        <is>
          <t>HOSP-1</t>
        </is>
      </c>
      <c r="C4042" t="inlineStr">
        <is>
          <t>SS-01080</t>
        </is>
      </c>
      <c r="D4042" t="n">
        <v>108</v>
      </c>
      <c r="E4042" t="n">
        <v>0</v>
      </c>
      <c r="G4042">
        <f>IF(AND(A4042&gt;=Inputs!$B$5,A4042&lt;=Inputs!$B$6),1,0)</f>
        <v/>
      </c>
    </row>
    <row r="4043">
      <c r="A4043" t="inlineStr">
        <is>
          <t>2025-03</t>
        </is>
      </c>
      <c r="B4043" t="inlineStr">
        <is>
          <t>HOSP-2</t>
        </is>
      </c>
      <c r="C4043" t="inlineStr">
        <is>
          <t>SS-01081</t>
        </is>
      </c>
      <c r="D4043" t="n">
        <v>108</v>
      </c>
      <c r="E4043" t="n">
        <v>0</v>
      </c>
      <c r="G4043">
        <f>IF(AND(A4043&gt;=Inputs!$B$5,A4043&lt;=Inputs!$B$6),1,0)</f>
        <v/>
      </c>
    </row>
    <row r="4044">
      <c r="A4044" t="inlineStr">
        <is>
          <t>2025-03</t>
        </is>
      </c>
      <c r="B4044" t="inlineStr">
        <is>
          <t>HOSP-3</t>
        </is>
      </c>
      <c r="C4044" t="inlineStr">
        <is>
          <t>SS-01082</t>
        </is>
      </c>
      <c r="D4044" t="n">
        <v>0</v>
      </c>
      <c r="E4044" t="n">
        <v>0</v>
      </c>
      <c r="G4044">
        <f>IF(AND(A4044&gt;=Inputs!$B$5,A4044&lt;=Inputs!$B$6),1,0)</f>
        <v/>
      </c>
    </row>
    <row r="4045">
      <c r="A4045" t="inlineStr">
        <is>
          <t>2025-03</t>
        </is>
      </c>
      <c r="B4045" t="inlineStr">
        <is>
          <t>HOSP-4</t>
        </is>
      </c>
      <c r="C4045" t="inlineStr">
        <is>
          <t>SS-01083</t>
        </is>
      </c>
      <c r="D4045" t="n">
        <v>12</v>
      </c>
      <c r="E4045" t="n">
        <v>0</v>
      </c>
      <c r="G4045">
        <f>IF(AND(A4045&gt;=Inputs!$B$5,A4045&lt;=Inputs!$B$6),1,0)</f>
        <v/>
      </c>
    </row>
    <row r="4046">
      <c r="A4046" t="inlineStr">
        <is>
          <t>2025-03</t>
        </is>
      </c>
      <c r="B4046" t="inlineStr">
        <is>
          <t>HOSP-1</t>
        </is>
      </c>
      <c r="C4046" t="inlineStr">
        <is>
          <t>SS-01144</t>
        </is>
      </c>
      <c r="D4046" t="n">
        <v>14</v>
      </c>
      <c r="E4046" t="n">
        <v>1</v>
      </c>
      <c r="G4046">
        <f>IF(AND(A4046&gt;=Inputs!$B$5,A4046&lt;=Inputs!$B$6),1,0)</f>
        <v/>
      </c>
    </row>
    <row r="4047">
      <c r="A4047" t="inlineStr">
        <is>
          <t>2025-03</t>
        </is>
      </c>
      <c r="B4047" t="inlineStr">
        <is>
          <t>HOSP-2</t>
        </is>
      </c>
      <c r="C4047" t="inlineStr">
        <is>
          <t>SS-01085</t>
        </is>
      </c>
      <c r="D4047" t="n">
        <v>24</v>
      </c>
      <c r="E4047" t="n">
        <v>0</v>
      </c>
      <c r="G4047">
        <f>IF(AND(A4047&gt;=Inputs!$B$5,A4047&lt;=Inputs!$B$6),1,0)</f>
        <v/>
      </c>
    </row>
    <row r="4048">
      <c r="A4048" t="inlineStr">
        <is>
          <t>2025-03</t>
        </is>
      </c>
      <c r="B4048" t="inlineStr">
        <is>
          <t>HOSP-3</t>
        </is>
      </c>
      <c r="C4048" t="inlineStr">
        <is>
          <t>SS-01086</t>
        </is>
      </c>
      <c r="D4048" t="n">
        <v>12</v>
      </c>
      <c r="E4048" t="n">
        <v>0</v>
      </c>
      <c r="G4048">
        <f>IF(AND(A4048&gt;=Inputs!$B$5,A4048&lt;=Inputs!$B$6),1,0)</f>
        <v/>
      </c>
    </row>
    <row r="4049">
      <c r="A4049" t="inlineStr">
        <is>
          <t>2025-03</t>
        </is>
      </c>
      <c r="B4049" t="inlineStr">
        <is>
          <t>HOSP-4</t>
        </is>
      </c>
      <c r="C4049" t="inlineStr">
        <is>
          <t>SS-01087</t>
        </is>
      </c>
      <c r="D4049" t="n">
        <v>12</v>
      </c>
      <c r="E4049" t="n">
        <v>0</v>
      </c>
      <c r="G4049">
        <f>IF(AND(A4049&gt;=Inputs!$B$5,A4049&lt;=Inputs!$B$6),1,0)</f>
        <v/>
      </c>
    </row>
    <row r="4050">
      <c r="A4050" t="inlineStr">
        <is>
          <t>2025-03</t>
        </is>
      </c>
      <c r="B4050" t="inlineStr">
        <is>
          <t>HOSP-1</t>
        </is>
      </c>
      <c r="C4050" t="inlineStr">
        <is>
          <t>SS-01100</t>
        </is>
      </c>
      <c r="D4050" t="n">
        <v>23</v>
      </c>
      <c r="E4050" t="n">
        <v>0</v>
      </c>
      <c r="G4050">
        <f>IF(AND(A4050&gt;=Inputs!$B$5,A4050&lt;=Inputs!$B$6),1,0)</f>
        <v/>
      </c>
    </row>
    <row r="4051">
      <c r="A4051" t="inlineStr">
        <is>
          <t>2025-03</t>
        </is>
      </c>
      <c r="B4051" t="inlineStr">
        <is>
          <t>HOSP-2</t>
        </is>
      </c>
      <c r="C4051" t="inlineStr">
        <is>
          <t>SS-01089</t>
        </is>
      </c>
      <c r="D4051" t="n">
        <v>168</v>
      </c>
      <c r="E4051" t="n">
        <v>0</v>
      </c>
      <c r="G4051">
        <f>IF(AND(A4051&gt;=Inputs!$B$5,A4051&lt;=Inputs!$B$6),1,0)</f>
        <v/>
      </c>
    </row>
    <row r="4052">
      <c r="A4052" t="inlineStr">
        <is>
          <t>2025-03</t>
        </is>
      </c>
      <c r="B4052" t="inlineStr">
        <is>
          <t>HOSP-3</t>
        </is>
      </c>
      <c r="C4052" t="inlineStr">
        <is>
          <t>SS-01090</t>
        </is>
      </c>
      <c r="D4052" t="n">
        <v>36</v>
      </c>
      <c r="E4052" t="n">
        <v>0</v>
      </c>
      <c r="G4052">
        <f>IF(AND(A4052&gt;=Inputs!$B$5,A4052&lt;=Inputs!$B$6),1,0)</f>
        <v/>
      </c>
    </row>
    <row r="4053">
      <c r="A4053" t="inlineStr">
        <is>
          <t>2025-03</t>
        </is>
      </c>
      <c r="B4053" t="inlineStr">
        <is>
          <t>HOSP-4</t>
        </is>
      </c>
      <c r="C4053" t="inlineStr">
        <is>
          <t>SS-01091</t>
        </is>
      </c>
      <c r="D4053" t="n">
        <v>12</v>
      </c>
      <c r="E4053" t="n">
        <v>0</v>
      </c>
      <c r="G4053">
        <f>IF(AND(A4053&gt;=Inputs!$B$5,A4053&lt;=Inputs!$B$6),1,0)</f>
        <v/>
      </c>
    </row>
    <row r="4054">
      <c r="A4054" t="inlineStr">
        <is>
          <t>2025-03</t>
        </is>
      </c>
      <c r="B4054" t="inlineStr">
        <is>
          <t>HOSP-1</t>
        </is>
      </c>
      <c r="C4054" t="inlineStr">
        <is>
          <t>SS-01092</t>
        </is>
      </c>
      <c r="D4054" t="n">
        <v>8</v>
      </c>
      <c r="E4054" t="n">
        <v>0</v>
      </c>
      <c r="G4054">
        <f>IF(AND(A4054&gt;=Inputs!$B$5,A4054&lt;=Inputs!$B$6),1,0)</f>
        <v/>
      </c>
    </row>
    <row r="4055">
      <c r="A4055" t="inlineStr">
        <is>
          <t>2025-03</t>
        </is>
      </c>
      <c r="B4055" t="inlineStr">
        <is>
          <t>HOSP-2</t>
        </is>
      </c>
      <c r="C4055" t="inlineStr">
        <is>
          <t>SS-01093</t>
        </is>
      </c>
      <c r="D4055" t="n">
        <v>12</v>
      </c>
      <c r="E4055" t="n">
        <v>0</v>
      </c>
      <c r="G4055">
        <f>IF(AND(A4055&gt;=Inputs!$B$5,A4055&lt;=Inputs!$B$6),1,0)</f>
        <v/>
      </c>
    </row>
    <row r="4056">
      <c r="A4056" t="inlineStr">
        <is>
          <t>2025-03</t>
        </is>
      </c>
      <c r="B4056" t="inlineStr">
        <is>
          <t>HOSP-3</t>
        </is>
      </c>
      <c r="C4056" t="inlineStr">
        <is>
          <t>SS-01094</t>
        </is>
      </c>
      <c r="D4056" t="n">
        <v>60</v>
      </c>
      <c r="E4056" t="n">
        <v>0</v>
      </c>
      <c r="G4056">
        <f>IF(AND(A4056&gt;=Inputs!$B$5,A4056&lt;=Inputs!$B$6),1,0)</f>
        <v/>
      </c>
    </row>
    <row r="4057">
      <c r="A4057" t="inlineStr">
        <is>
          <t>2025-03</t>
        </is>
      </c>
      <c r="B4057" t="inlineStr">
        <is>
          <t>HOSP-4</t>
        </is>
      </c>
      <c r="C4057" t="inlineStr">
        <is>
          <t>SS-01136</t>
        </is>
      </c>
      <c r="D4057" t="n">
        <v>24</v>
      </c>
      <c r="E4057" t="n">
        <v>0</v>
      </c>
      <c r="G4057">
        <f>IF(AND(A4057&gt;=Inputs!$B$5,A4057&lt;=Inputs!$B$6),1,0)</f>
        <v/>
      </c>
    </row>
    <row r="4058">
      <c r="A4058" t="inlineStr">
        <is>
          <t>2025-03</t>
        </is>
      </c>
      <c r="B4058" t="inlineStr">
        <is>
          <t>HOSP-1</t>
        </is>
      </c>
      <c r="C4058" t="inlineStr">
        <is>
          <t>SS-01096</t>
        </is>
      </c>
      <c r="D4058" t="n">
        <v>24</v>
      </c>
      <c r="E4058" t="n">
        <v>0</v>
      </c>
      <c r="G4058">
        <f>IF(AND(A4058&gt;=Inputs!$B$5,A4058&lt;=Inputs!$B$6),1,0)</f>
        <v/>
      </c>
    </row>
    <row r="4059">
      <c r="A4059" t="inlineStr">
        <is>
          <t>2025-03</t>
        </is>
      </c>
      <c r="B4059" t="inlineStr">
        <is>
          <t>HOSP-2</t>
        </is>
      </c>
      <c r="C4059" t="inlineStr">
        <is>
          <t>SS-01097</t>
        </is>
      </c>
      <c r="D4059" t="n">
        <v>48</v>
      </c>
      <c r="E4059" t="n">
        <v>0</v>
      </c>
      <c r="G4059">
        <f>IF(AND(A4059&gt;=Inputs!$B$5,A4059&lt;=Inputs!$B$6),1,0)</f>
        <v/>
      </c>
    </row>
    <row r="4060">
      <c r="A4060" t="inlineStr">
        <is>
          <t>2025-03</t>
        </is>
      </c>
      <c r="B4060" t="inlineStr">
        <is>
          <t>HOSP-3</t>
        </is>
      </c>
      <c r="C4060" t="inlineStr">
        <is>
          <t>SS-01185</t>
        </is>
      </c>
      <c r="D4060" t="n">
        <v>6</v>
      </c>
      <c r="E4060" t="n">
        <v>4</v>
      </c>
      <c r="G4060">
        <f>IF(AND(A4060&gt;=Inputs!$B$5,A4060&lt;=Inputs!$B$6),1,0)</f>
        <v/>
      </c>
    </row>
    <row r="4061">
      <c r="A4061" t="inlineStr">
        <is>
          <t>2025-03</t>
        </is>
      </c>
      <c r="B4061" t="inlineStr">
        <is>
          <t>HOSP-4</t>
        </is>
      </c>
      <c r="C4061" t="inlineStr">
        <is>
          <t>SS-01099</t>
        </is>
      </c>
      <c r="D4061" t="n">
        <v>36</v>
      </c>
      <c r="E4061" t="n">
        <v>0</v>
      </c>
      <c r="G4061">
        <f>IF(AND(A4061&gt;=Inputs!$B$5,A4061&lt;=Inputs!$B$6),1,0)</f>
        <v/>
      </c>
    </row>
    <row r="4062">
      <c r="A4062" t="inlineStr">
        <is>
          <t>2025-03</t>
        </is>
      </c>
      <c r="B4062" t="inlineStr">
        <is>
          <t>HOSP-1</t>
        </is>
      </c>
      <c r="C4062" t="inlineStr">
        <is>
          <t>SS-01055</t>
        </is>
      </c>
      <c r="D4062" t="n">
        <v>37</v>
      </c>
      <c r="E4062" t="n">
        <v>0</v>
      </c>
      <c r="G4062">
        <f>IF(AND(A4062&gt;=Inputs!$B$5,A4062&lt;=Inputs!$B$6),1,0)</f>
        <v/>
      </c>
    </row>
    <row r="4063">
      <c r="A4063" t="inlineStr">
        <is>
          <t>2025-03</t>
        </is>
      </c>
      <c r="B4063" t="inlineStr">
        <is>
          <t>HOSP-2</t>
        </is>
      </c>
      <c r="C4063" t="inlineStr">
        <is>
          <t>SS-01101</t>
        </is>
      </c>
      <c r="D4063" t="n">
        <v>0</v>
      </c>
      <c r="E4063" t="n">
        <v>0</v>
      </c>
      <c r="G4063">
        <f>IF(AND(A4063&gt;=Inputs!$B$5,A4063&lt;=Inputs!$B$6),1,0)</f>
        <v/>
      </c>
    </row>
    <row r="4064">
      <c r="A4064" t="inlineStr">
        <is>
          <t>2025-03</t>
        </is>
      </c>
      <c r="B4064" t="inlineStr">
        <is>
          <t>HOSP-3</t>
        </is>
      </c>
      <c r="C4064" t="inlineStr">
        <is>
          <t>SS-01102</t>
        </is>
      </c>
      <c r="D4064" t="n">
        <v>9</v>
      </c>
      <c r="E4064" t="n">
        <v>1</v>
      </c>
      <c r="G4064">
        <f>IF(AND(A4064&gt;=Inputs!$B$5,A4064&lt;=Inputs!$B$6),1,0)</f>
        <v/>
      </c>
    </row>
    <row r="4065">
      <c r="A4065" t="inlineStr">
        <is>
          <t>2025-03</t>
        </is>
      </c>
      <c r="B4065" t="inlineStr">
        <is>
          <t>HOSP-4</t>
        </is>
      </c>
      <c r="C4065" t="inlineStr">
        <is>
          <t>SS-01103</t>
        </is>
      </c>
      <c r="D4065" t="n">
        <v>0</v>
      </c>
      <c r="E4065" t="n">
        <v>0</v>
      </c>
      <c r="G4065">
        <f>IF(AND(A4065&gt;=Inputs!$B$5,A4065&lt;=Inputs!$B$6),1,0)</f>
        <v/>
      </c>
    </row>
    <row r="4066">
      <c r="A4066" t="inlineStr">
        <is>
          <t>2025-03</t>
        </is>
      </c>
      <c r="B4066" t="inlineStr">
        <is>
          <t>HOSP-1</t>
        </is>
      </c>
      <c r="C4066" t="inlineStr">
        <is>
          <t>SS-01135</t>
        </is>
      </c>
      <c r="D4066" t="n">
        <v>0</v>
      </c>
      <c r="E4066" t="n">
        <v>2</v>
      </c>
      <c r="G4066">
        <f>IF(AND(A4066&gt;=Inputs!$B$5,A4066&lt;=Inputs!$B$6),1,0)</f>
        <v/>
      </c>
    </row>
    <row r="4067">
      <c r="A4067" t="inlineStr">
        <is>
          <t>2025-03</t>
        </is>
      </c>
      <c r="B4067" t="inlineStr">
        <is>
          <t>HOSP-2</t>
        </is>
      </c>
      <c r="C4067" t="inlineStr">
        <is>
          <t>SS-01105</t>
        </is>
      </c>
      <c r="D4067" t="n">
        <v>12</v>
      </c>
      <c r="E4067" t="n">
        <v>0</v>
      </c>
      <c r="G4067">
        <f>IF(AND(A4067&gt;=Inputs!$B$5,A4067&lt;=Inputs!$B$6),1,0)</f>
        <v/>
      </c>
    </row>
    <row r="4068">
      <c r="A4068" t="inlineStr">
        <is>
          <t>2025-03</t>
        </is>
      </c>
      <c r="B4068" t="inlineStr">
        <is>
          <t>HOSP-3</t>
        </is>
      </c>
      <c r="C4068" t="inlineStr">
        <is>
          <t>SS-01106</t>
        </is>
      </c>
      <c r="D4068" t="n">
        <v>12</v>
      </c>
      <c r="E4068" t="n">
        <v>0</v>
      </c>
      <c r="G4068">
        <f>IF(AND(A4068&gt;=Inputs!$B$5,A4068&lt;=Inputs!$B$6),1,0)</f>
        <v/>
      </c>
    </row>
    <row r="4069">
      <c r="A4069" t="inlineStr">
        <is>
          <t>2025-03</t>
        </is>
      </c>
      <c r="B4069" t="inlineStr">
        <is>
          <t>HOSP-4</t>
        </is>
      </c>
      <c r="C4069" t="inlineStr">
        <is>
          <t>SS-01107</t>
        </is>
      </c>
      <c r="D4069" t="n">
        <v>6</v>
      </c>
      <c r="E4069" t="n">
        <v>1</v>
      </c>
      <c r="G4069">
        <f>IF(AND(A4069&gt;=Inputs!$B$5,A4069&lt;=Inputs!$B$6),1,0)</f>
        <v/>
      </c>
    </row>
    <row r="4070">
      <c r="A4070" t="inlineStr">
        <is>
          <t>2025-03</t>
        </is>
      </c>
      <c r="B4070" t="inlineStr">
        <is>
          <t>HOSP-1</t>
        </is>
      </c>
      <c r="C4070" t="inlineStr">
        <is>
          <t>SS-01108</t>
        </is>
      </c>
      <c r="D4070" t="n">
        <v>0</v>
      </c>
      <c r="E4070" t="n">
        <v>1</v>
      </c>
      <c r="G4070">
        <f>IF(AND(A4070&gt;=Inputs!$B$5,A4070&lt;=Inputs!$B$6),1,0)</f>
        <v/>
      </c>
    </row>
    <row r="4071">
      <c r="A4071" t="inlineStr">
        <is>
          <t>2025-03</t>
        </is>
      </c>
      <c r="B4071" t="inlineStr">
        <is>
          <t>HOSP-2</t>
        </is>
      </c>
      <c r="C4071" t="inlineStr">
        <is>
          <t>SS-01080</t>
        </is>
      </c>
      <c r="D4071" t="n">
        <v>24</v>
      </c>
      <c r="E4071" t="n">
        <v>0</v>
      </c>
      <c r="G4071">
        <f>IF(AND(A4071&gt;=Inputs!$B$5,A4071&lt;=Inputs!$B$6),1,0)</f>
        <v/>
      </c>
    </row>
    <row r="4072">
      <c r="A4072" t="inlineStr">
        <is>
          <t>2025-03</t>
        </is>
      </c>
      <c r="B4072" t="inlineStr">
        <is>
          <t>HOSP-3</t>
        </is>
      </c>
      <c r="C4072" t="inlineStr">
        <is>
          <t>SS-01110</t>
        </is>
      </c>
      <c r="D4072" t="n">
        <v>12</v>
      </c>
      <c r="E4072" t="n">
        <v>0</v>
      </c>
      <c r="G4072">
        <f>IF(AND(A4072&gt;=Inputs!$B$5,A4072&lt;=Inputs!$B$6),1,0)</f>
        <v/>
      </c>
    </row>
    <row r="4073">
      <c r="A4073" t="inlineStr">
        <is>
          <t>2025-03</t>
        </is>
      </c>
      <c r="B4073" t="inlineStr">
        <is>
          <t>HOSP-4</t>
        </is>
      </c>
      <c r="C4073" t="inlineStr">
        <is>
          <t>SS-01111</t>
        </is>
      </c>
      <c r="D4073" t="n">
        <v>0</v>
      </c>
      <c r="E4073" t="n">
        <v>0</v>
      </c>
      <c r="G4073">
        <f>IF(AND(A4073&gt;=Inputs!$B$5,A4073&lt;=Inputs!$B$6),1,0)</f>
        <v/>
      </c>
    </row>
    <row r="4074">
      <c r="A4074" t="inlineStr">
        <is>
          <t>2025-03</t>
        </is>
      </c>
      <c r="B4074" t="inlineStr">
        <is>
          <t>HOSP-1</t>
        </is>
      </c>
      <c r="C4074" t="inlineStr">
        <is>
          <t>SS-01110</t>
        </is>
      </c>
      <c r="D4074" t="n">
        <v>60</v>
      </c>
      <c r="E4074" t="n">
        <v>1</v>
      </c>
      <c r="G4074">
        <f>IF(AND(A4074&gt;=Inputs!$B$5,A4074&lt;=Inputs!$B$6),1,0)</f>
        <v/>
      </c>
    </row>
    <row r="4075">
      <c r="A4075" t="inlineStr">
        <is>
          <t>2025-03</t>
        </is>
      </c>
      <c r="B4075" t="inlineStr">
        <is>
          <t>HOSP-2</t>
        </is>
      </c>
      <c r="C4075" t="inlineStr">
        <is>
          <t>SS-01113</t>
        </is>
      </c>
      <c r="D4075" t="n">
        <v>0</v>
      </c>
      <c r="E4075" t="n">
        <v>0</v>
      </c>
      <c r="G4075">
        <f>IF(AND(A4075&gt;=Inputs!$B$5,A4075&lt;=Inputs!$B$6),1,0)</f>
        <v/>
      </c>
    </row>
    <row r="4076">
      <c r="A4076" t="inlineStr">
        <is>
          <t>2025-03</t>
        </is>
      </c>
      <c r="B4076" t="inlineStr">
        <is>
          <t>HOSP-3</t>
        </is>
      </c>
      <c r="C4076" t="inlineStr">
        <is>
          <t>SS-01114</t>
        </is>
      </c>
      <c r="D4076" t="n">
        <v>24</v>
      </c>
      <c r="E4076" t="n">
        <v>0</v>
      </c>
      <c r="G4076">
        <f>IF(AND(A4076&gt;=Inputs!$B$5,A4076&lt;=Inputs!$B$6),1,0)</f>
        <v/>
      </c>
    </row>
    <row r="4077">
      <c r="A4077" t="inlineStr">
        <is>
          <t>2025-03</t>
        </is>
      </c>
      <c r="B4077" t="inlineStr">
        <is>
          <t>HOSP-4</t>
        </is>
      </c>
      <c r="C4077" t="inlineStr">
        <is>
          <t>SS-01115</t>
        </is>
      </c>
      <c r="D4077" t="n">
        <v>19</v>
      </c>
      <c r="E4077" t="n">
        <v>1</v>
      </c>
      <c r="G4077">
        <f>IF(AND(A4077&gt;=Inputs!$B$5,A4077&lt;=Inputs!$B$6),1,0)</f>
        <v/>
      </c>
    </row>
    <row r="4078">
      <c r="A4078" t="inlineStr">
        <is>
          <t>2025-03</t>
        </is>
      </c>
      <c r="B4078" t="inlineStr">
        <is>
          <t>HOSP-1</t>
        </is>
      </c>
      <c r="C4078" t="inlineStr">
        <is>
          <t>SS-01151</t>
        </is>
      </c>
      <c r="D4078" t="n">
        <v>0</v>
      </c>
      <c r="E4078" t="n">
        <v>0</v>
      </c>
      <c r="G4078">
        <f>IF(AND(A4078&gt;=Inputs!$B$5,A4078&lt;=Inputs!$B$6),1,0)</f>
        <v/>
      </c>
    </row>
    <row r="4079">
      <c r="A4079" t="inlineStr">
        <is>
          <t>2025-03</t>
        </is>
      </c>
      <c r="B4079" t="inlineStr">
        <is>
          <t>HOSP-2</t>
        </is>
      </c>
      <c r="C4079" t="inlineStr">
        <is>
          <t>SS-01117</t>
        </is>
      </c>
      <c r="D4079" t="n">
        <v>120</v>
      </c>
      <c r="E4079" t="n">
        <v>0</v>
      </c>
      <c r="G4079">
        <f>IF(AND(A4079&gt;=Inputs!$B$5,A4079&lt;=Inputs!$B$6),1,0)</f>
        <v/>
      </c>
    </row>
    <row r="4080">
      <c r="A4080" t="inlineStr">
        <is>
          <t>2025-03</t>
        </is>
      </c>
      <c r="B4080" t="inlineStr">
        <is>
          <t>HOSP-3</t>
        </is>
      </c>
      <c r="C4080" t="inlineStr">
        <is>
          <t>SS-01118</t>
        </is>
      </c>
      <c r="D4080" t="n">
        <v>24</v>
      </c>
      <c r="E4080" t="n">
        <v>0</v>
      </c>
      <c r="G4080">
        <f>IF(AND(A4080&gt;=Inputs!$B$5,A4080&lt;=Inputs!$B$6),1,0)</f>
        <v/>
      </c>
    </row>
    <row r="4081">
      <c r="A4081" t="inlineStr">
        <is>
          <t>2025-03</t>
        </is>
      </c>
      <c r="B4081" t="inlineStr">
        <is>
          <t>HOSP-4</t>
        </is>
      </c>
      <c r="C4081" t="inlineStr">
        <is>
          <t>SS-01119</t>
        </is>
      </c>
      <c r="D4081" t="n">
        <v>12</v>
      </c>
      <c r="E4081" t="n">
        <v>0</v>
      </c>
      <c r="G4081">
        <f>IF(AND(A4081&gt;=Inputs!$B$5,A4081&lt;=Inputs!$B$6),1,0)</f>
        <v/>
      </c>
    </row>
    <row r="4082">
      <c r="A4082" t="inlineStr">
        <is>
          <t>2025-03</t>
        </is>
      </c>
      <c r="B4082" t="inlineStr">
        <is>
          <t>HOSP-1</t>
        </is>
      </c>
      <c r="C4082" t="inlineStr">
        <is>
          <t>SS-01120</t>
        </is>
      </c>
      <c r="D4082" t="n">
        <v>12</v>
      </c>
      <c r="E4082" t="n">
        <v>0</v>
      </c>
      <c r="G4082">
        <f>IF(AND(A4082&gt;=Inputs!$B$5,A4082&lt;=Inputs!$B$6),1,0)</f>
        <v/>
      </c>
    </row>
    <row r="4083">
      <c r="A4083" t="inlineStr">
        <is>
          <t>2025-03</t>
        </is>
      </c>
      <c r="B4083" t="inlineStr">
        <is>
          <t>HOSP-2</t>
        </is>
      </c>
      <c r="C4083" t="inlineStr">
        <is>
          <t>SS-01121</t>
        </is>
      </c>
      <c r="D4083" t="n">
        <v>37</v>
      </c>
      <c r="E4083" t="n">
        <v>0</v>
      </c>
      <c r="G4083">
        <f>IF(AND(A4083&gt;=Inputs!$B$5,A4083&lt;=Inputs!$B$6),1,0)</f>
        <v/>
      </c>
    </row>
    <row r="4084">
      <c r="A4084" t="inlineStr">
        <is>
          <t>2025-03</t>
        </is>
      </c>
      <c r="B4084" t="inlineStr">
        <is>
          <t>HOSP-3</t>
        </is>
      </c>
      <c r="C4084" t="inlineStr">
        <is>
          <t>SS-01122</t>
        </is>
      </c>
      <c r="D4084" t="n">
        <v>24</v>
      </c>
      <c r="E4084" t="n">
        <v>0</v>
      </c>
      <c r="G4084">
        <f>IF(AND(A4084&gt;=Inputs!$B$5,A4084&lt;=Inputs!$B$6),1,0)</f>
        <v/>
      </c>
    </row>
    <row r="4085">
      <c r="A4085" t="inlineStr">
        <is>
          <t>2025-03</t>
        </is>
      </c>
      <c r="B4085" t="inlineStr">
        <is>
          <t>HOSP-4</t>
        </is>
      </c>
      <c r="C4085" t="inlineStr">
        <is>
          <t>SS-01123</t>
        </is>
      </c>
      <c r="D4085" t="n">
        <v>8</v>
      </c>
      <c r="E4085" t="n">
        <v>0</v>
      </c>
      <c r="G4085">
        <f>IF(AND(A4085&gt;=Inputs!$B$5,A4085&lt;=Inputs!$B$6),1,0)</f>
        <v/>
      </c>
    </row>
    <row r="4086">
      <c r="A4086" t="inlineStr">
        <is>
          <t>2025-03</t>
        </is>
      </c>
      <c r="B4086" t="inlineStr">
        <is>
          <t>HOSP-1</t>
        </is>
      </c>
      <c r="C4086" t="inlineStr">
        <is>
          <t>SS-01124</t>
        </is>
      </c>
      <c r="D4086" t="n">
        <v>12</v>
      </c>
      <c r="E4086" t="n">
        <v>0</v>
      </c>
      <c r="G4086">
        <f>IF(AND(A4086&gt;=Inputs!$B$5,A4086&lt;=Inputs!$B$6),1,0)</f>
        <v/>
      </c>
    </row>
    <row r="4087">
      <c r="A4087" t="inlineStr">
        <is>
          <t>2025-03</t>
        </is>
      </c>
      <c r="B4087" t="inlineStr">
        <is>
          <t>HOSP-2</t>
        </is>
      </c>
      <c r="C4087" t="inlineStr">
        <is>
          <t>SS-01016</t>
        </is>
      </c>
      <c r="D4087" t="n">
        <v>12</v>
      </c>
      <c r="E4087" t="n">
        <v>14</v>
      </c>
      <c r="G4087">
        <f>IF(AND(A4087&gt;=Inputs!$B$5,A4087&lt;=Inputs!$B$6),1,0)</f>
        <v/>
      </c>
    </row>
    <row r="4088">
      <c r="A4088" t="inlineStr">
        <is>
          <t>2025-03</t>
        </is>
      </c>
      <c r="B4088" t="inlineStr">
        <is>
          <t>HOSP-3</t>
        </is>
      </c>
      <c r="C4088" t="inlineStr">
        <is>
          <t>SS-01126</t>
        </is>
      </c>
      <c r="D4088" t="n">
        <v>60</v>
      </c>
      <c r="E4088" t="n">
        <v>0</v>
      </c>
      <c r="G4088">
        <f>IF(AND(A4088&gt;=Inputs!$B$5,A4088&lt;=Inputs!$B$6),1,0)</f>
        <v/>
      </c>
    </row>
    <row r="4089">
      <c r="A4089" t="inlineStr">
        <is>
          <t>2025-03</t>
        </is>
      </c>
      <c r="B4089" t="inlineStr">
        <is>
          <t>HOSP-4</t>
        </is>
      </c>
      <c r="C4089" t="inlineStr">
        <is>
          <t>SS-01127</t>
        </is>
      </c>
      <c r="D4089" t="n">
        <v>24</v>
      </c>
      <c r="E4089" t="n">
        <v>0</v>
      </c>
      <c r="G4089">
        <f>IF(AND(A4089&gt;=Inputs!$B$5,A4089&lt;=Inputs!$B$6),1,0)</f>
        <v/>
      </c>
    </row>
    <row r="4090">
      <c r="A4090" t="inlineStr">
        <is>
          <t>2025-03</t>
        </is>
      </c>
      <c r="B4090" t="inlineStr">
        <is>
          <t>HOSP-1</t>
        </is>
      </c>
      <c r="C4090" t="inlineStr">
        <is>
          <t>SS-01128</t>
        </is>
      </c>
      <c r="D4090" t="n">
        <v>12</v>
      </c>
      <c r="E4090" t="n">
        <v>0</v>
      </c>
      <c r="G4090">
        <f>IF(AND(A4090&gt;=Inputs!$B$5,A4090&lt;=Inputs!$B$6),1,0)</f>
        <v/>
      </c>
    </row>
    <row r="4091">
      <c r="A4091" t="inlineStr">
        <is>
          <t>2025-03</t>
        </is>
      </c>
      <c r="B4091" t="inlineStr">
        <is>
          <t>HOSP-2</t>
        </is>
      </c>
      <c r="C4091" t="inlineStr">
        <is>
          <t>SS-01205</t>
        </is>
      </c>
      <c r="D4091" t="n">
        <v>60</v>
      </c>
      <c r="E4091" t="n">
        <v>0</v>
      </c>
      <c r="G4091">
        <f>IF(AND(A4091&gt;=Inputs!$B$5,A4091&lt;=Inputs!$B$6),1,0)</f>
        <v/>
      </c>
    </row>
    <row r="4092">
      <c r="A4092" t="inlineStr">
        <is>
          <t>2025-03</t>
        </is>
      </c>
      <c r="B4092" t="inlineStr">
        <is>
          <t>HOSP-3</t>
        </is>
      </c>
      <c r="C4092" t="inlineStr">
        <is>
          <t>SS-01140</t>
        </is>
      </c>
      <c r="D4092" t="n">
        <v>312</v>
      </c>
      <c r="E4092" t="n">
        <v>0</v>
      </c>
      <c r="G4092">
        <f>IF(AND(A4092&gt;=Inputs!$B$5,A4092&lt;=Inputs!$B$6),1,0)</f>
        <v/>
      </c>
    </row>
    <row r="4093">
      <c r="A4093" t="inlineStr">
        <is>
          <t>2025-03</t>
        </is>
      </c>
      <c r="B4093" t="inlineStr">
        <is>
          <t>HOSP-4</t>
        </is>
      </c>
      <c r="C4093" t="inlineStr">
        <is>
          <t>SS-01131</t>
        </is>
      </c>
      <c r="D4093" t="n">
        <v>0</v>
      </c>
      <c r="E4093" t="n">
        <v>0</v>
      </c>
      <c r="G4093">
        <f>IF(AND(A4093&gt;=Inputs!$B$5,A4093&lt;=Inputs!$B$6),1,0)</f>
        <v/>
      </c>
    </row>
    <row r="4094">
      <c r="A4094" t="inlineStr">
        <is>
          <t>2025-03</t>
        </is>
      </c>
      <c r="B4094" t="inlineStr">
        <is>
          <t>HOSP-1</t>
        </is>
      </c>
      <c r="C4094" t="inlineStr">
        <is>
          <t>SS-01132</t>
        </is>
      </c>
      <c r="D4094" t="n">
        <v>24</v>
      </c>
      <c r="E4094" t="n">
        <v>0</v>
      </c>
      <c r="G4094">
        <f>IF(AND(A4094&gt;=Inputs!$B$5,A4094&lt;=Inputs!$B$6),1,0)</f>
        <v/>
      </c>
    </row>
    <row r="4095">
      <c r="A4095" t="inlineStr">
        <is>
          <t>2025-03</t>
        </is>
      </c>
      <c r="B4095" t="inlineStr">
        <is>
          <t>HOSP-2</t>
        </is>
      </c>
      <c r="C4095" t="inlineStr">
        <is>
          <t>SS-01133</t>
        </is>
      </c>
      <c r="D4095" t="n">
        <v>12</v>
      </c>
      <c r="E4095" t="n">
        <v>0</v>
      </c>
      <c r="G4095">
        <f>IF(AND(A4095&gt;=Inputs!$B$5,A4095&lt;=Inputs!$B$6),1,0)</f>
        <v/>
      </c>
    </row>
    <row r="4096">
      <c r="A4096" t="inlineStr">
        <is>
          <t>2025-03</t>
        </is>
      </c>
      <c r="B4096" t="inlineStr">
        <is>
          <t>HOSP-3</t>
        </is>
      </c>
      <c r="C4096" t="inlineStr">
        <is>
          <t>SS-01134</t>
        </is>
      </c>
      <c r="D4096" t="n">
        <v>0</v>
      </c>
      <c r="E4096" t="n">
        <v>0</v>
      </c>
      <c r="G4096">
        <f>IF(AND(A4096&gt;=Inputs!$B$5,A4096&lt;=Inputs!$B$6),1,0)</f>
        <v/>
      </c>
    </row>
    <row r="4097">
      <c r="A4097" t="inlineStr">
        <is>
          <t>2025-03</t>
        </is>
      </c>
      <c r="B4097" t="inlineStr">
        <is>
          <t>HOSP-4</t>
        </is>
      </c>
      <c r="C4097" t="inlineStr">
        <is>
          <t>SS-01135</t>
        </is>
      </c>
      <c r="D4097" t="n">
        <v>89</v>
      </c>
      <c r="E4097" t="n">
        <v>0</v>
      </c>
      <c r="G4097">
        <f>IF(AND(A4097&gt;=Inputs!$B$5,A4097&lt;=Inputs!$B$6),1,0)</f>
        <v/>
      </c>
    </row>
    <row r="4098">
      <c r="A4098" t="inlineStr">
        <is>
          <t>2025-03</t>
        </is>
      </c>
      <c r="B4098" t="inlineStr">
        <is>
          <t>HOSP-1</t>
        </is>
      </c>
      <c r="C4098" t="inlineStr">
        <is>
          <t>SS-01136</t>
        </is>
      </c>
      <c r="D4098" t="n">
        <v>36</v>
      </c>
      <c r="E4098" t="n">
        <v>0</v>
      </c>
      <c r="G4098">
        <f>IF(AND(A4098&gt;=Inputs!$B$5,A4098&lt;=Inputs!$B$6),1,0)</f>
        <v/>
      </c>
    </row>
    <row r="4099">
      <c r="A4099" t="inlineStr">
        <is>
          <t>2025-03</t>
        </is>
      </c>
      <c r="B4099" t="inlineStr">
        <is>
          <t>HOSP-2</t>
        </is>
      </c>
      <c r="C4099" t="inlineStr">
        <is>
          <t>SS-01137</t>
        </is>
      </c>
      <c r="D4099" t="n">
        <v>12</v>
      </c>
      <c r="E4099" t="n">
        <v>0</v>
      </c>
      <c r="G4099">
        <f>IF(AND(A4099&gt;=Inputs!$B$5,A4099&lt;=Inputs!$B$6),1,0)</f>
        <v/>
      </c>
    </row>
    <row r="4100">
      <c r="A4100" t="inlineStr">
        <is>
          <t>2025-03</t>
        </is>
      </c>
      <c r="B4100" t="inlineStr">
        <is>
          <t>HOSP-3</t>
        </is>
      </c>
      <c r="C4100" t="inlineStr">
        <is>
          <t>SS-01046</t>
        </is>
      </c>
      <c r="D4100" t="n">
        <v>0</v>
      </c>
      <c r="E4100" t="n">
        <v>5</v>
      </c>
      <c r="G4100">
        <f>IF(AND(A4100&gt;=Inputs!$B$5,A4100&lt;=Inputs!$B$6),1,0)</f>
        <v/>
      </c>
    </row>
    <row r="4101">
      <c r="A4101" t="inlineStr">
        <is>
          <t>2025-03</t>
        </is>
      </c>
      <c r="B4101" t="inlineStr">
        <is>
          <t>HOSP-4</t>
        </is>
      </c>
      <c r="C4101" t="inlineStr">
        <is>
          <t>SS-01139</t>
        </is>
      </c>
      <c r="D4101" t="n">
        <v>0</v>
      </c>
      <c r="E4101" t="n">
        <v>0</v>
      </c>
      <c r="G4101">
        <f>IF(AND(A4101&gt;=Inputs!$B$5,A4101&lt;=Inputs!$B$6),1,0)</f>
        <v/>
      </c>
    </row>
    <row r="4102">
      <c r="A4102" t="inlineStr">
        <is>
          <t>2025-03</t>
        </is>
      </c>
      <c r="B4102" t="inlineStr">
        <is>
          <t>HOSP-1</t>
        </is>
      </c>
      <c r="C4102" t="inlineStr">
        <is>
          <t>SS-01092</t>
        </is>
      </c>
      <c r="D4102" t="n">
        <v>96</v>
      </c>
      <c r="E4102" t="n">
        <v>0</v>
      </c>
      <c r="G4102">
        <f>IF(AND(A4102&gt;=Inputs!$B$5,A4102&lt;=Inputs!$B$6),1,0)</f>
        <v/>
      </c>
    </row>
    <row r="4103">
      <c r="A4103" t="inlineStr">
        <is>
          <t>2025-03</t>
        </is>
      </c>
      <c r="B4103" t="inlineStr">
        <is>
          <t>HOSP-2</t>
        </is>
      </c>
      <c r="C4103" t="inlineStr">
        <is>
          <t>SS-01141</t>
        </is>
      </c>
      <c r="D4103" t="n">
        <v>12</v>
      </c>
      <c r="E4103" t="n">
        <v>0</v>
      </c>
      <c r="G4103">
        <f>IF(AND(A4103&gt;=Inputs!$B$5,A4103&lt;=Inputs!$B$6),1,0)</f>
        <v/>
      </c>
    </row>
    <row r="4104">
      <c r="A4104" t="inlineStr">
        <is>
          <t>2025-03</t>
        </is>
      </c>
      <c r="B4104" t="inlineStr">
        <is>
          <t>HOSP-3</t>
        </is>
      </c>
      <c r="C4104" t="inlineStr">
        <is>
          <t>SS-01142</t>
        </is>
      </c>
      <c r="D4104" t="n">
        <v>12</v>
      </c>
      <c r="E4104" t="n">
        <v>0</v>
      </c>
      <c r="G4104">
        <f>IF(AND(A4104&gt;=Inputs!$B$5,A4104&lt;=Inputs!$B$6),1,0)</f>
        <v/>
      </c>
    </row>
    <row r="4105">
      <c r="A4105" t="inlineStr">
        <is>
          <t>2025-03</t>
        </is>
      </c>
      <c r="B4105" t="inlineStr">
        <is>
          <t>HOSP-4</t>
        </is>
      </c>
      <c r="C4105" t="inlineStr">
        <is>
          <t>SS-01143</t>
        </is>
      </c>
      <c r="D4105" t="n">
        <v>12</v>
      </c>
      <c r="E4105" t="n">
        <v>0</v>
      </c>
      <c r="G4105">
        <f>IF(AND(A4105&gt;=Inputs!$B$5,A4105&lt;=Inputs!$B$6),1,0)</f>
        <v/>
      </c>
    </row>
    <row r="4106">
      <c r="A4106" t="inlineStr">
        <is>
          <t>2025-03</t>
        </is>
      </c>
      <c r="B4106" t="inlineStr">
        <is>
          <t>HOSP-1</t>
        </is>
      </c>
      <c r="C4106" t="inlineStr">
        <is>
          <t>SS-01144</t>
        </is>
      </c>
      <c r="D4106" t="n">
        <v>108</v>
      </c>
      <c r="E4106" t="n">
        <v>0</v>
      </c>
      <c r="G4106">
        <f>IF(AND(A4106&gt;=Inputs!$B$5,A4106&lt;=Inputs!$B$6),1,0)</f>
        <v/>
      </c>
    </row>
    <row r="4107">
      <c r="A4107" t="inlineStr">
        <is>
          <t>2025-03</t>
        </is>
      </c>
      <c r="B4107" t="inlineStr">
        <is>
          <t>HOSP-2</t>
        </is>
      </c>
      <c r="C4107" t="inlineStr">
        <is>
          <t>SS-01145</t>
        </is>
      </c>
      <c r="D4107" t="n">
        <v>12</v>
      </c>
      <c r="E4107" t="n">
        <v>0</v>
      </c>
      <c r="G4107">
        <f>IF(AND(A4107&gt;=Inputs!$B$5,A4107&lt;=Inputs!$B$6),1,0)</f>
        <v/>
      </c>
    </row>
    <row r="4108">
      <c r="A4108" t="inlineStr">
        <is>
          <t>2025-03</t>
        </is>
      </c>
      <c r="B4108" t="inlineStr">
        <is>
          <t>HOSP-3</t>
        </is>
      </c>
      <c r="C4108" t="inlineStr">
        <is>
          <t>SS-01146</t>
        </is>
      </c>
      <c r="D4108" t="n">
        <v>0</v>
      </c>
      <c r="E4108" t="n">
        <v>0</v>
      </c>
      <c r="G4108">
        <f>IF(AND(A4108&gt;=Inputs!$B$5,A4108&lt;=Inputs!$B$6),1,0)</f>
        <v/>
      </c>
    </row>
    <row r="4109">
      <c r="A4109" t="inlineStr">
        <is>
          <t>2025-03</t>
        </is>
      </c>
      <c r="B4109" t="inlineStr">
        <is>
          <t>HOSP-4</t>
        </is>
      </c>
      <c r="C4109" t="inlineStr">
        <is>
          <t>SS-01147</t>
        </is>
      </c>
      <c r="D4109" t="n">
        <v>17</v>
      </c>
      <c r="E4109" t="n">
        <v>2</v>
      </c>
      <c r="G4109">
        <f>IF(AND(A4109&gt;=Inputs!$B$5,A4109&lt;=Inputs!$B$6),1,0)</f>
        <v/>
      </c>
    </row>
    <row r="4110">
      <c r="A4110" t="inlineStr">
        <is>
          <t>2025-03</t>
        </is>
      </c>
      <c r="B4110" t="inlineStr">
        <is>
          <t>HOSP-1</t>
        </is>
      </c>
      <c r="C4110" t="inlineStr">
        <is>
          <t>SS-01148</t>
        </is>
      </c>
      <c r="D4110" t="n">
        <v>12</v>
      </c>
      <c r="E4110" t="n">
        <v>0</v>
      </c>
      <c r="G4110">
        <f>IF(AND(A4110&gt;=Inputs!$B$5,A4110&lt;=Inputs!$B$6),1,0)</f>
        <v/>
      </c>
    </row>
    <row r="4111">
      <c r="A4111" t="inlineStr">
        <is>
          <t>2025-03</t>
        </is>
      </c>
      <c r="B4111" t="inlineStr">
        <is>
          <t>HOSP-2</t>
        </is>
      </c>
      <c r="C4111" t="inlineStr">
        <is>
          <t>SS-01149</t>
        </is>
      </c>
      <c r="D4111" t="n">
        <v>0</v>
      </c>
      <c r="E4111" t="n">
        <v>0</v>
      </c>
      <c r="G4111">
        <f>IF(AND(A4111&gt;=Inputs!$B$5,A4111&lt;=Inputs!$B$6),1,0)</f>
        <v/>
      </c>
    </row>
    <row r="4112">
      <c r="A4112" t="inlineStr">
        <is>
          <t>2025-03</t>
        </is>
      </c>
      <c r="B4112" t="inlineStr">
        <is>
          <t>HOSP-3</t>
        </is>
      </c>
      <c r="C4112" t="inlineStr">
        <is>
          <t>SS-01132</t>
        </is>
      </c>
      <c r="D4112" t="n">
        <v>40</v>
      </c>
      <c r="E4112" t="n">
        <v>1</v>
      </c>
      <c r="G4112">
        <f>IF(AND(A4112&gt;=Inputs!$B$5,A4112&lt;=Inputs!$B$6),1,0)</f>
        <v/>
      </c>
    </row>
    <row r="4113">
      <c r="A4113" t="inlineStr">
        <is>
          <t>2025-03</t>
        </is>
      </c>
      <c r="B4113" t="inlineStr">
        <is>
          <t>HOSP-4</t>
        </is>
      </c>
      <c r="C4113" t="inlineStr">
        <is>
          <t>SS-01151</t>
        </is>
      </c>
      <c r="D4113" t="n">
        <v>48</v>
      </c>
      <c r="E4113" t="n">
        <v>0</v>
      </c>
      <c r="G4113">
        <f>IF(AND(A4113&gt;=Inputs!$B$5,A4113&lt;=Inputs!$B$6),1,0)</f>
        <v/>
      </c>
    </row>
    <row r="4114">
      <c r="A4114" t="inlineStr">
        <is>
          <t>2025-03</t>
        </is>
      </c>
      <c r="B4114" t="inlineStr">
        <is>
          <t>HOSP-1</t>
        </is>
      </c>
      <c r="C4114" t="inlineStr">
        <is>
          <t>SS-01152</t>
        </is>
      </c>
      <c r="D4114" t="n">
        <v>0</v>
      </c>
      <c r="E4114" t="n">
        <v>2</v>
      </c>
      <c r="G4114">
        <f>IF(AND(A4114&gt;=Inputs!$B$5,A4114&lt;=Inputs!$B$6),1,0)</f>
        <v/>
      </c>
    </row>
    <row r="4115">
      <c r="A4115" t="inlineStr">
        <is>
          <t>2025-03</t>
        </is>
      </c>
      <c r="B4115" t="inlineStr">
        <is>
          <t>HOSP-2</t>
        </is>
      </c>
      <c r="C4115" t="inlineStr">
        <is>
          <t>SS-01153</t>
        </is>
      </c>
      <c r="D4115" t="n">
        <v>12</v>
      </c>
      <c r="E4115" t="n">
        <v>0</v>
      </c>
      <c r="G4115">
        <f>IF(AND(A4115&gt;=Inputs!$B$5,A4115&lt;=Inputs!$B$6),1,0)</f>
        <v/>
      </c>
    </row>
    <row r="4116">
      <c r="A4116" t="inlineStr">
        <is>
          <t>2025-03</t>
        </is>
      </c>
      <c r="B4116" t="inlineStr">
        <is>
          <t>HOSP-3</t>
        </is>
      </c>
      <c r="C4116" t="inlineStr">
        <is>
          <t>SS-01154</t>
        </is>
      </c>
      <c r="D4116" t="n">
        <v>0</v>
      </c>
      <c r="E4116" t="n">
        <v>0</v>
      </c>
      <c r="G4116">
        <f>IF(AND(A4116&gt;=Inputs!$B$5,A4116&lt;=Inputs!$B$6),1,0)</f>
        <v/>
      </c>
    </row>
    <row r="4117">
      <c r="A4117" t="inlineStr">
        <is>
          <t>2025-03</t>
        </is>
      </c>
      <c r="B4117" t="inlineStr">
        <is>
          <t>HOSP-4</t>
        </is>
      </c>
      <c r="C4117" t="inlineStr">
        <is>
          <t>SS-01155</t>
        </is>
      </c>
      <c r="D4117" t="n">
        <v>0</v>
      </c>
      <c r="E4117" t="n">
        <v>1</v>
      </c>
      <c r="G4117">
        <f>IF(AND(A4117&gt;=Inputs!$B$5,A4117&lt;=Inputs!$B$6),1,0)</f>
        <v/>
      </c>
    </row>
    <row r="4118">
      <c r="A4118" t="inlineStr">
        <is>
          <t>2025-03</t>
        </is>
      </c>
      <c r="B4118" t="inlineStr">
        <is>
          <t>HOSP-1</t>
        </is>
      </c>
      <c r="C4118" t="inlineStr">
        <is>
          <t>SS-01098</t>
        </is>
      </c>
      <c r="D4118" t="n">
        <v>35</v>
      </c>
      <c r="E4118" t="n">
        <v>3</v>
      </c>
      <c r="G4118">
        <f>IF(AND(A4118&gt;=Inputs!$B$5,A4118&lt;=Inputs!$B$6),1,0)</f>
        <v/>
      </c>
    </row>
    <row r="4119">
      <c r="A4119" t="inlineStr">
        <is>
          <t>2025-03</t>
        </is>
      </c>
      <c r="B4119" t="inlineStr">
        <is>
          <t>HOSP-2</t>
        </is>
      </c>
      <c r="C4119" t="inlineStr">
        <is>
          <t>SS-01157</t>
        </is>
      </c>
      <c r="D4119" t="n">
        <v>12</v>
      </c>
      <c r="E4119" t="n">
        <v>0</v>
      </c>
      <c r="G4119">
        <f>IF(AND(A4119&gt;=Inputs!$B$5,A4119&lt;=Inputs!$B$6),1,0)</f>
        <v/>
      </c>
    </row>
    <row r="4120">
      <c r="A4120" t="inlineStr">
        <is>
          <t>2025-03</t>
        </is>
      </c>
      <c r="B4120" t="inlineStr">
        <is>
          <t>HOSP-3</t>
        </is>
      </c>
      <c r="C4120" t="inlineStr">
        <is>
          <t>SS-01158</t>
        </is>
      </c>
      <c r="D4120" t="n">
        <v>36</v>
      </c>
      <c r="E4120" t="n">
        <v>0</v>
      </c>
      <c r="G4120">
        <f>IF(AND(A4120&gt;=Inputs!$B$5,A4120&lt;=Inputs!$B$6),1,0)</f>
        <v/>
      </c>
    </row>
    <row r="4121">
      <c r="A4121" t="inlineStr">
        <is>
          <t>2025-03</t>
        </is>
      </c>
      <c r="B4121" t="inlineStr">
        <is>
          <t>HOSP-4</t>
        </is>
      </c>
      <c r="C4121" t="inlineStr">
        <is>
          <t>SS-01159</t>
        </is>
      </c>
      <c r="D4121" t="n">
        <v>84</v>
      </c>
      <c r="E4121" t="n">
        <v>0</v>
      </c>
      <c r="G4121">
        <f>IF(AND(A4121&gt;=Inputs!$B$5,A4121&lt;=Inputs!$B$6),1,0)</f>
        <v/>
      </c>
    </row>
    <row r="4122">
      <c r="A4122" t="inlineStr">
        <is>
          <t>2025-03</t>
        </is>
      </c>
      <c r="B4122" t="inlineStr">
        <is>
          <t>HOSP-1</t>
        </is>
      </c>
      <c r="C4122" t="inlineStr">
        <is>
          <t>SS-01160</t>
        </is>
      </c>
      <c r="D4122" t="n">
        <v>24</v>
      </c>
      <c r="E4122" t="n">
        <v>0</v>
      </c>
      <c r="G4122">
        <f>IF(AND(A4122&gt;=Inputs!$B$5,A4122&lt;=Inputs!$B$6),1,0)</f>
        <v/>
      </c>
    </row>
    <row r="4123">
      <c r="A4123" t="inlineStr">
        <is>
          <t>2025-03</t>
        </is>
      </c>
      <c r="B4123" t="inlineStr">
        <is>
          <t>HOSP-2</t>
        </is>
      </c>
      <c r="C4123" t="inlineStr">
        <is>
          <t>SS-01161</t>
        </is>
      </c>
      <c r="D4123" t="n">
        <v>48</v>
      </c>
      <c r="E4123" t="n">
        <v>0</v>
      </c>
      <c r="G4123">
        <f>IF(AND(A4123&gt;=Inputs!$B$5,A4123&lt;=Inputs!$B$6),1,0)</f>
        <v/>
      </c>
    </row>
    <row r="4124">
      <c r="A4124" t="inlineStr">
        <is>
          <t>2025-03</t>
        </is>
      </c>
      <c r="B4124" t="inlineStr">
        <is>
          <t>HOSP-3</t>
        </is>
      </c>
      <c r="C4124" t="inlineStr">
        <is>
          <t>SS-01162</t>
        </is>
      </c>
      <c r="D4124" t="n">
        <v>0</v>
      </c>
      <c r="E4124" t="n">
        <v>0</v>
      </c>
      <c r="G4124">
        <f>IF(AND(A4124&gt;=Inputs!$B$5,A4124&lt;=Inputs!$B$6),1,0)</f>
        <v/>
      </c>
    </row>
    <row r="4125">
      <c r="A4125" t="inlineStr">
        <is>
          <t>2025-03</t>
        </is>
      </c>
      <c r="B4125" t="inlineStr">
        <is>
          <t>HOSP-4</t>
        </is>
      </c>
      <c r="C4125" t="inlineStr">
        <is>
          <t>SS-01163</t>
        </is>
      </c>
      <c r="D4125" t="n">
        <v>0</v>
      </c>
      <c r="E4125" t="n">
        <v>0</v>
      </c>
      <c r="G4125">
        <f>IF(AND(A4125&gt;=Inputs!$B$5,A4125&lt;=Inputs!$B$6),1,0)</f>
        <v/>
      </c>
    </row>
    <row r="4126">
      <c r="A4126" t="inlineStr">
        <is>
          <t>2025-03</t>
        </is>
      </c>
      <c r="B4126" t="inlineStr">
        <is>
          <t>HOSP-1</t>
        </is>
      </c>
      <c r="C4126" t="inlineStr">
        <is>
          <t>SS-01164</t>
        </is>
      </c>
      <c r="D4126" t="n">
        <v>12</v>
      </c>
      <c r="E4126" t="n">
        <v>0</v>
      </c>
      <c r="G4126">
        <f>IF(AND(A4126&gt;=Inputs!$B$5,A4126&lt;=Inputs!$B$6),1,0)</f>
        <v/>
      </c>
    </row>
    <row r="4127">
      <c r="A4127" t="inlineStr">
        <is>
          <t>2025-03</t>
        </is>
      </c>
      <c r="B4127" t="inlineStr">
        <is>
          <t>HOSP-2</t>
        </is>
      </c>
      <c r="C4127" t="inlineStr">
        <is>
          <t>SS-01165</t>
        </is>
      </c>
      <c r="D4127" t="n">
        <v>0</v>
      </c>
      <c r="E4127" t="n">
        <v>0</v>
      </c>
      <c r="G4127">
        <f>IF(AND(A4127&gt;=Inputs!$B$5,A4127&lt;=Inputs!$B$6),1,0)</f>
        <v/>
      </c>
    </row>
    <row r="4128">
      <c r="A4128" t="inlineStr">
        <is>
          <t>2025-03</t>
        </is>
      </c>
      <c r="B4128" t="inlineStr">
        <is>
          <t>HOSP-3</t>
        </is>
      </c>
      <c r="C4128" t="inlineStr">
        <is>
          <t>SS-01166</t>
        </is>
      </c>
      <c r="D4128" t="n">
        <v>0</v>
      </c>
      <c r="E4128" t="n">
        <v>0</v>
      </c>
      <c r="G4128">
        <f>IF(AND(A4128&gt;=Inputs!$B$5,A4128&lt;=Inputs!$B$6),1,0)</f>
        <v/>
      </c>
    </row>
    <row r="4129">
      <c r="A4129" t="inlineStr">
        <is>
          <t>2025-03</t>
        </is>
      </c>
      <c r="B4129" t="inlineStr">
        <is>
          <t>HOSP-4</t>
        </is>
      </c>
      <c r="C4129" t="inlineStr">
        <is>
          <t>SS-01167</t>
        </is>
      </c>
      <c r="D4129" t="n">
        <v>12</v>
      </c>
      <c r="E4129" t="n">
        <v>0</v>
      </c>
      <c r="G4129">
        <f>IF(AND(A4129&gt;=Inputs!$B$5,A4129&lt;=Inputs!$B$6),1,0)</f>
        <v/>
      </c>
    </row>
    <row r="4130">
      <c r="A4130" t="inlineStr">
        <is>
          <t>2025-03</t>
        </is>
      </c>
      <c r="B4130" t="inlineStr">
        <is>
          <t>HOSP-1</t>
        </is>
      </c>
      <c r="C4130" t="inlineStr">
        <is>
          <t>SS-01168</t>
        </is>
      </c>
      <c r="D4130" t="n">
        <v>9</v>
      </c>
      <c r="E4130" t="n">
        <v>1</v>
      </c>
      <c r="G4130">
        <f>IF(AND(A4130&gt;=Inputs!$B$5,A4130&lt;=Inputs!$B$6),1,0)</f>
        <v/>
      </c>
    </row>
    <row r="4131">
      <c r="A4131" t="inlineStr">
        <is>
          <t>2025-03</t>
        </is>
      </c>
      <c r="B4131" t="inlineStr">
        <is>
          <t>HOSP-2</t>
        </is>
      </c>
      <c r="C4131" t="inlineStr">
        <is>
          <t>SS-01169</t>
        </is>
      </c>
      <c r="D4131" t="n">
        <v>0</v>
      </c>
      <c r="E4131" t="n">
        <v>0</v>
      </c>
      <c r="G4131">
        <f>IF(AND(A4131&gt;=Inputs!$B$5,A4131&lt;=Inputs!$B$6),1,0)</f>
        <v/>
      </c>
    </row>
    <row r="4132">
      <c r="A4132" t="inlineStr">
        <is>
          <t>2025-03</t>
        </is>
      </c>
      <c r="B4132" t="inlineStr">
        <is>
          <t>HOSP-3</t>
        </is>
      </c>
      <c r="C4132" t="inlineStr">
        <is>
          <t>SS-01170</t>
        </is>
      </c>
      <c r="D4132" t="n">
        <v>0</v>
      </c>
      <c r="E4132" t="n">
        <v>0</v>
      </c>
      <c r="G4132">
        <f>IF(AND(A4132&gt;=Inputs!$B$5,A4132&lt;=Inputs!$B$6),1,0)</f>
        <v/>
      </c>
    </row>
    <row r="4133">
      <c r="A4133" t="inlineStr">
        <is>
          <t>2025-03</t>
        </is>
      </c>
      <c r="B4133" t="inlineStr">
        <is>
          <t>HOSP-4</t>
        </is>
      </c>
      <c r="C4133" t="inlineStr">
        <is>
          <t>SS-01015</t>
        </is>
      </c>
      <c r="D4133" t="n">
        <v>132</v>
      </c>
      <c r="E4133" t="n">
        <v>0</v>
      </c>
      <c r="G4133">
        <f>IF(AND(A4133&gt;=Inputs!$B$5,A4133&lt;=Inputs!$B$6),1,0)</f>
        <v/>
      </c>
    </row>
    <row r="4134">
      <c r="A4134" t="inlineStr">
        <is>
          <t>2025-03</t>
        </is>
      </c>
      <c r="B4134" t="inlineStr">
        <is>
          <t>HOSP-1</t>
        </is>
      </c>
      <c r="C4134" t="inlineStr">
        <is>
          <t>SS-01172</t>
        </is>
      </c>
      <c r="D4134" t="n">
        <v>12</v>
      </c>
      <c r="E4134" t="n">
        <v>0</v>
      </c>
      <c r="G4134">
        <f>IF(AND(A4134&gt;=Inputs!$B$5,A4134&lt;=Inputs!$B$6),1,0)</f>
        <v/>
      </c>
    </row>
    <row r="4135">
      <c r="A4135" t="inlineStr">
        <is>
          <t>2025-03</t>
        </is>
      </c>
      <c r="B4135" t="inlineStr">
        <is>
          <t>HOSP-2</t>
        </is>
      </c>
      <c r="C4135" t="inlineStr">
        <is>
          <t>SS-01127</t>
        </is>
      </c>
      <c r="D4135" t="n">
        <v>10</v>
      </c>
      <c r="E4135" t="n">
        <v>3</v>
      </c>
      <c r="G4135">
        <f>IF(AND(A4135&gt;=Inputs!$B$5,A4135&lt;=Inputs!$B$6),1,0)</f>
        <v/>
      </c>
    </row>
    <row r="4136">
      <c r="A4136" t="inlineStr">
        <is>
          <t>2025-03</t>
        </is>
      </c>
      <c r="B4136" t="inlineStr">
        <is>
          <t>HOSP-3</t>
        </is>
      </c>
      <c r="C4136" t="inlineStr">
        <is>
          <t>SS-01174</t>
        </is>
      </c>
      <c r="D4136" t="n">
        <v>0</v>
      </c>
      <c r="E4136" t="n">
        <v>0</v>
      </c>
      <c r="G4136">
        <f>IF(AND(A4136&gt;=Inputs!$B$5,A4136&lt;=Inputs!$B$6),1,0)</f>
        <v/>
      </c>
    </row>
    <row r="4137">
      <c r="A4137" t="inlineStr">
        <is>
          <t>2025-03</t>
        </is>
      </c>
      <c r="B4137" t="inlineStr">
        <is>
          <t>HOSP-4</t>
        </is>
      </c>
      <c r="C4137" t="inlineStr">
        <is>
          <t>SS-01175</t>
        </is>
      </c>
      <c r="D4137" t="n">
        <v>12</v>
      </c>
      <c r="E4137" t="n">
        <v>0</v>
      </c>
      <c r="G4137">
        <f>IF(AND(A4137&gt;=Inputs!$B$5,A4137&lt;=Inputs!$B$6),1,0)</f>
        <v/>
      </c>
    </row>
    <row r="4138">
      <c r="A4138" t="inlineStr">
        <is>
          <t>2025-03</t>
        </is>
      </c>
      <c r="B4138" t="inlineStr">
        <is>
          <t>HOSP-1</t>
        </is>
      </c>
      <c r="C4138" t="inlineStr">
        <is>
          <t>SS-01095</t>
        </is>
      </c>
      <c r="D4138" t="n">
        <v>32</v>
      </c>
      <c r="E4138" t="n">
        <v>3</v>
      </c>
      <c r="G4138">
        <f>IF(AND(A4138&gt;=Inputs!$B$5,A4138&lt;=Inputs!$B$6),1,0)</f>
        <v/>
      </c>
    </row>
    <row r="4139">
      <c r="A4139" t="inlineStr">
        <is>
          <t>2025-03</t>
        </is>
      </c>
      <c r="B4139" t="inlineStr">
        <is>
          <t>HOSP-2</t>
        </is>
      </c>
      <c r="C4139" t="inlineStr">
        <is>
          <t>SS-01181</t>
        </is>
      </c>
      <c r="D4139" t="n">
        <v>84</v>
      </c>
      <c r="E4139" t="n">
        <v>0</v>
      </c>
      <c r="G4139">
        <f>IF(AND(A4139&gt;=Inputs!$B$5,A4139&lt;=Inputs!$B$6),1,0)</f>
        <v/>
      </c>
    </row>
    <row r="4140">
      <c r="A4140" t="inlineStr">
        <is>
          <t>2025-03</t>
        </is>
      </c>
      <c r="B4140" t="inlineStr">
        <is>
          <t>HOSP-3</t>
        </is>
      </c>
      <c r="C4140" t="inlineStr">
        <is>
          <t>SS-01021</t>
        </is>
      </c>
      <c r="D4140" t="n">
        <v>1</v>
      </c>
      <c r="E4140" t="n">
        <v>5</v>
      </c>
      <c r="G4140">
        <f>IF(AND(A4140&gt;=Inputs!$B$5,A4140&lt;=Inputs!$B$6),1,0)</f>
        <v/>
      </c>
    </row>
    <row r="4141">
      <c r="A4141" t="inlineStr">
        <is>
          <t>2025-03</t>
        </is>
      </c>
      <c r="B4141" t="inlineStr">
        <is>
          <t>HOSP-4</t>
        </is>
      </c>
      <c r="C4141" t="inlineStr">
        <is>
          <t>SS-01231</t>
        </is>
      </c>
      <c r="D4141" t="n">
        <v>3</v>
      </c>
      <c r="E4141" t="n">
        <v>2</v>
      </c>
      <c r="G4141">
        <f>IF(AND(A4141&gt;=Inputs!$B$5,A4141&lt;=Inputs!$B$6),1,0)</f>
        <v/>
      </c>
    </row>
    <row r="4142">
      <c r="A4142" t="inlineStr">
        <is>
          <t>2025-03</t>
        </is>
      </c>
      <c r="B4142" t="inlineStr">
        <is>
          <t>HOSP-1</t>
        </is>
      </c>
      <c r="C4142" t="inlineStr">
        <is>
          <t>SS-01180</t>
        </is>
      </c>
      <c r="D4142" t="n">
        <v>48</v>
      </c>
      <c r="E4142" t="n">
        <v>0</v>
      </c>
      <c r="G4142">
        <f>IF(AND(A4142&gt;=Inputs!$B$5,A4142&lt;=Inputs!$B$6),1,0)</f>
        <v/>
      </c>
    </row>
    <row r="4143">
      <c r="A4143" t="inlineStr">
        <is>
          <t>2025-03</t>
        </is>
      </c>
      <c r="B4143" t="inlineStr">
        <is>
          <t>HOSP-2</t>
        </is>
      </c>
      <c r="C4143" t="inlineStr">
        <is>
          <t>SS-01181</t>
        </is>
      </c>
      <c r="D4143" t="n">
        <v>0</v>
      </c>
      <c r="E4143" t="n">
        <v>0</v>
      </c>
      <c r="G4143">
        <f>IF(AND(A4143&gt;=Inputs!$B$5,A4143&lt;=Inputs!$B$6),1,0)</f>
        <v/>
      </c>
    </row>
    <row r="4144">
      <c r="A4144" t="inlineStr">
        <is>
          <t>2025-03</t>
        </is>
      </c>
      <c r="B4144" t="inlineStr">
        <is>
          <t>HOSP-3</t>
        </is>
      </c>
      <c r="C4144" t="inlineStr">
        <is>
          <t>SS-01182</t>
        </is>
      </c>
      <c r="D4144" t="n">
        <v>36</v>
      </c>
      <c r="E4144" t="n">
        <v>0</v>
      </c>
      <c r="G4144">
        <f>IF(AND(A4144&gt;=Inputs!$B$5,A4144&lt;=Inputs!$B$6),1,0)</f>
        <v/>
      </c>
    </row>
    <row r="4145">
      <c r="A4145" t="inlineStr">
        <is>
          <t>2025-03</t>
        </is>
      </c>
      <c r="B4145" t="inlineStr">
        <is>
          <t>HOSP-4</t>
        </is>
      </c>
      <c r="C4145" t="inlineStr">
        <is>
          <t>SS-01094</t>
        </is>
      </c>
      <c r="D4145" t="n">
        <v>36</v>
      </c>
      <c r="E4145" t="n">
        <v>2</v>
      </c>
      <c r="G4145">
        <f>IF(AND(A4145&gt;=Inputs!$B$5,A4145&lt;=Inputs!$B$6),1,0)</f>
        <v/>
      </c>
    </row>
    <row r="4146">
      <c r="A4146" t="inlineStr">
        <is>
          <t>2025-03</t>
        </is>
      </c>
      <c r="B4146" t="inlineStr">
        <is>
          <t>HOSP-1</t>
        </is>
      </c>
      <c r="C4146" t="inlineStr">
        <is>
          <t>SS-01018</t>
        </is>
      </c>
      <c r="D4146" t="n">
        <v>552</v>
      </c>
      <c r="E4146" t="n">
        <v>0</v>
      </c>
      <c r="G4146">
        <f>IF(AND(A4146&gt;=Inputs!$B$5,A4146&lt;=Inputs!$B$6),1,0)</f>
        <v/>
      </c>
    </row>
    <row r="4147">
      <c r="A4147" t="inlineStr">
        <is>
          <t>2025-03</t>
        </is>
      </c>
      <c r="B4147" t="inlineStr">
        <is>
          <t>HOSP-2</t>
        </is>
      </c>
      <c r="C4147" t="inlineStr">
        <is>
          <t>SS-01177</t>
        </is>
      </c>
      <c r="D4147" t="n">
        <v>0</v>
      </c>
      <c r="E4147" t="n">
        <v>0</v>
      </c>
      <c r="G4147">
        <f>IF(AND(A4147&gt;=Inputs!$B$5,A4147&lt;=Inputs!$B$6),1,0)</f>
        <v/>
      </c>
    </row>
    <row r="4148">
      <c r="A4148" t="inlineStr">
        <is>
          <t>2025-03</t>
        </is>
      </c>
      <c r="B4148" t="inlineStr">
        <is>
          <t>HOSP-3</t>
        </is>
      </c>
      <c r="C4148" t="inlineStr">
        <is>
          <t>SS-01186</t>
        </is>
      </c>
      <c r="D4148" t="n">
        <v>12</v>
      </c>
      <c r="E4148" t="n">
        <v>0</v>
      </c>
      <c r="G4148">
        <f>IF(AND(A4148&gt;=Inputs!$B$5,A4148&lt;=Inputs!$B$6),1,0)</f>
        <v/>
      </c>
    </row>
    <row r="4149">
      <c r="A4149" t="inlineStr">
        <is>
          <t>2025-03</t>
        </is>
      </c>
      <c r="B4149" t="inlineStr">
        <is>
          <t>HOSP-4</t>
        </is>
      </c>
      <c r="C4149" t="inlineStr">
        <is>
          <t>SS-01187</t>
        </is>
      </c>
      <c r="D4149" t="n">
        <v>12</v>
      </c>
      <c r="E4149" t="n">
        <v>0</v>
      </c>
      <c r="G4149">
        <f>IF(AND(A4149&gt;=Inputs!$B$5,A4149&lt;=Inputs!$B$6),1,0)</f>
        <v/>
      </c>
    </row>
    <row r="4150">
      <c r="A4150" t="inlineStr">
        <is>
          <t>2025-03</t>
        </is>
      </c>
      <c r="B4150" t="inlineStr">
        <is>
          <t>HOSP-1</t>
        </is>
      </c>
      <c r="C4150" t="inlineStr">
        <is>
          <t>SS-01188</t>
        </is>
      </c>
      <c r="D4150" t="n">
        <v>0</v>
      </c>
      <c r="E4150" t="n">
        <v>2</v>
      </c>
      <c r="G4150">
        <f>IF(AND(A4150&gt;=Inputs!$B$5,A4150&lt;=Inputs!$B$6),1,0)</f>
        <v/>
      </c>
    </row>
    <row r="4151">
      <c r="A4151" t="inlineStr">
        <is>
          <t>2025-03</t>
        </is>
      </c>
      <c r="B4151" t="inlineStr">
        <is>
          <t>HOSP-2</t>
        </is>
      </c>
      <c r="C4151" t="inlineStr">
        <is>
          <t>SS-01189</t>
        </is>
      </c>
      <c r="D4151" t="n">
        <v>12</v>
      </c>
      <c r="E4151" t="n">
        <v>0</v>
      </c>
      <c r="G4151">
        <f>IF(AND(A4151&gt;=Inputs!$B$5,A4151&lt;=Inputs!$B$6),1,0)</f>
        <v/>
      </c>
    </row>
    <row r="4152">
      <c r="A4152" t="inlineStr">
        <is>
          <t>2025-03</t>
        </is>
      </c>
      <c r="B4152" t="inlineStr">
        <is>
          <t>HOSP-3</t>
        </is>
      </c>
      <c r="C4152" t="inlineStr">
        <is>
          <t>SS-01190</t>
        </is>
      </c>
      <c r="D4152" t="n">
        <v>36</v>
      </c>
      <c r="E4152" t="n">
        <v>0</v>
      </c>
      <c r="G4152">
        <f>IF(AND(A4152&gt;=Inputs!$B$5,A4152&lt;=Inputs!$B$6),1,0)</f>
        <v/>
      </c>
    </row>
    <row r="4153">
      <c r="A4153" t="inlineStr">
        <is>
          <t>2025-03</t>
        </is>
      </c>
      <c r="B4153" t="inlineStr">
        <is>
          <t>HOSP-4</t>
        </is>
      </c>
      <c r="C4153" t="inlineStr">
        <is>
          <t>SS-01191</t>
        </is>
      </c>
      <c r="D4153" t="n">
        <v>1</v>
      </c>
      <c r="E4153" t="n">
        <v>3</v>
      </c>
      <c r="G4153">
        <f>IF(AND(A4153&gt;=Inputs!$B$5,A4153&lt;=Inputs!$B$6),1,0)</f>
        <v/>
      </c>
    </row>
    <row r="4154">
      <c r="A4154" t="inlineStr">
        <is>
          <t>2025-03</t>
        </is>
      </c>
      <c r="B4154" t="inlineStr">
        <is>
          <t>HOSP-1</t>
        </is>
      </c>
      <c r="C4154" t="inlineStr">
        <is>
          <t>SS-01192</t>
        </is>
      </c>
      <c r="D4154" t="n">
        <v>12</v>
      </c>
      <c r="E4154" t="n">
        <v>0</v>
      </c>
      <c r="F4154" t="inlineStr">
        <is>
          <t>surge</t>
        </is>
      </c>
      <c r="G4154">
        <f>IF(AND(A4154&gt;=Inputs!$B$5,A4154&lt;=Inputs!$B$6),1,0)</f>
        <v/>
      </c>
    </row>
    <row r="4155">
      <c r="A4155" t="inlineStr">
        <is>
          <t>2025-03</t>
        </is>
      </c>
      <c r="B4155" t="inlineStr">
        <is>
          <t>HOSP-2</t>
        </is>
      </c>
      <c r="C4155" t="inlineStr">
        <is>
          <t>SS-01193</t>
        </is>
      </c>
      <c r="D4155" t="n">
        <v>48</v>
      </c>
      <c r="E4155" t="n">
        <v>0</v>
      </c>
      <c r="G4155">
        <f>IF(AND(A4155&gt;=Inputs!$B$5,A4155&lt;=Inputs!$B$6),1,0)</f>
        <v/>
      </c>
    </row>
    <row r="4156">
      <c r="A4156" t="inlineStr">
        <is>
          <t>2025-03</t>
        </is>
      </c>
      <c r="B4156" t="inlineStr">
        <is>
          <t>HOSP-3</t>
        </is>
      </c>
      <c r="C4156" t="inlineStr">
        <is>
          <t>SS-01194</t>
        </is>
      </c>
      <c r="D4156" t="n">
        <v>42</v>
      </c>
      <c r="E4156" t="n">
        <v>0</v>
      </c>
      <c r="G4156">
        <f>IF(AND(A4156&gt;=Inputs!$B$5,A4156&lt;=Inputs!$B$6),1,0)</f>
        <v/>
      </c>
    </row>
    <row r="4157">
      <c r="A4157" t="inlineStr">
        <is>
          <t>2025-03</t>
        </is>
      </c>
      <c r="B4157" t="inlineStr">
        <is>
          <t>HOSP-4</t>
        </is>
      </c>
      <c r="C4157" t="inlineStr">
        <is>
          <t>SS-01195</t>
        </is>
      </c>
      <c r="D4157" t="n">
        <v>13</v>
      </c>
      <c r="E4157" t="n">
        <v>1</v>
      </c>
      <c r="G4157">
        <f>IF(AND(A4157&gt;=Inputs!$B$5,A4157&lt;=Inputs!$B$6),1,0)</f>
        <v/>
      </c>
    </row>
    <row r="4158">
      <c r="A4158" t="inlineStr">
        <is>
          <t>2025-03</t>
        </is>
      </c>
      <c r="B4158" t="inlineStr">
        <is>
          <t>HOSP-1</t>
        </is>
      </c>
      <c r="C4158" t="inlineStr">
        <is>
          <t>SS-01196</t>
        </is>
      </c>
      <c r="D4158" t="n">
        <v>0</v>
      </c>
      <c r="E4158" t="n">
        <v>0</v>
      </c>
      <c r="G4158">
        <f>IF(AND(A4158&gt;=Inputs!$B$5,A4158&lt;=Inputs!$B$6),1,0)</f>
        <v/>
      </c>
    </row>
    <row r="4159">
      <c r="A4159" t="inlineStr">
        <is>
          <t>2025-03</t>
        </is>
      </c>
      <c r="B4159" t="inlineStr">
        <is>
          <t>HOSP-2</t>
        </is>
      </c>
      <c r="C4159" t="inlineStr">
        <is>
          <t>SS-01197</t>
        </is>
      </c>
      <c r="D4159" t="n">
        <v>24</v>
      </c>
      <c r="E4159" t="n">
        <v>0</v>
      </c>
      <c r="G4159">
        <f>IF(AND(A4159&gt;=Inputs!$B$5,A4159&lt;=Inputs!$B$6),1,0)</f>
        <v/>
      </c>
    </row>
    <row r="4160">
      <c r="A4160" t="inlineStr">
        <is>
          <t>2025-03</t>
        </is>
      </c>
      <c r="B4160" t="inlineStr">
        <is>
          <t>HOSP-3</t>
        </is>
      </c>
      <c r="C4160" t="inlineStr">
        <is>
          <t>SS-01198</t>
        </is>
      </c>
      <c r="D4160" t="n">
        <v>45</v>
      </c>
      <c r="E4160" t="n">
        <v>0</v>
      </c>
      <c r="G4160">
        <f>IF(AND(A4160&gt;=Inputs!$B$5,A4160&lt;=Inputs!$B$6),1,0)</f>
        <v/>
      </c>
    </row>
    <row r="4161">
      <c r="A4161" t="inlineStr">
        <is>
          <t>2025-03</t>
        </is>
      </c>
      <c r="B4161" t="inlineStr">
        <is>
          <t>HOSP-4</t>
        </is>
      </c>
      <c r="C4161" t="inlineStr">
        <is>
          <t>SS-01199</t>
        </is>
      </c>
      <c r="D4161" t="n">
        <v>12</v>
      </c>
      <c r="E4161" t="n">
        <v>0</v>
      </c>
      <c r="G4161">
        <f>IF(AND(A4161&gt;=Inputs!$B$5,A4161&lt;=Inputs!$B$6),1,0)</f>
        <v/>
      </c>
    </row>
    <row r="4162">
      <c r="A4162" t="inlineStr">
        <is>
          <t>2025-03</t>
        </is>
      </c>
      <c r="B4162" t="inlineStr">
        <is>
          <t>HOSP-1</t>
        </is>
      </c>
      <c r="C4162" t="inlineStr">
        <is>
          <t>SS-01200</t>
        </is>
      </c>
      <c r="D4162" t="n">
        <v>173</v>
      </c>
      <c r="E4162" t="n">
        <v>0</v>
      </c>
      <c r="G4162">
        <f>IF(AND(A4162&gt;=Inputs!$B$5,A4162&lt;=Inputs!$B$6),1,0)</f>
        <v/>
      </c>
    </row>
    <row r="4163">
      <c r="A4163" t="inlineStr">
        <is>
          <t>2025-03</t>
        </is>
      </c>
      <c r="B4163" t="inlineStr">
        <is>
          <t>HOSP-2</t>
        </is>
      </c>
      <c r="C4163" t="inlineStr">
        <is>
          <t>SS-01201</t>
        </is>
      </c>
      <c r="D4163" t="n">
        <v>8</v>
      </c>
      <c r="E4163" t="n">
        <v>1</v>
      </c>
      <c r="G4163">
        <f>IF(AND(A4163&gt;=Inputs!$B$5,A4163&lt;=Inputs!$B$6),1,0)</f>
        <v/>
      </c>
    </row>
    <row r="4164">
      <c r="A4164" t="inlineStr">
        <is>
          <t>2025-03</t>
        </is>
      </c>
      <c r="B4164" t="inlineStr">
        <is>
          <t>HOSP-3</t>
        </is>
      </c>
      <c r="C4164" t="inlineStr">
        <is>
          <t>SS-01202</t>
        </is>
      </c>
      <c r="D4164" t="n">
        <v>120</v>
      </c>
      <c r="E4164" t="n">
        <v>0</v>
      </c>
      <c r="G4164">
        <f>IF(AND(A4164&gt;=Inputs!$B$5,A4164&lt;=Inputs!$B$6),1,0)</f>
        <v/>
      </c>
    </row>
    <row r="4165">
      <c r="A4165" t="inlineStr">
        <is>
          <t>2025-03</t>
        </is>
      </c>
      <c r="B4165" t="inlineStr">
        <is>
          <t>HOSP-4</t>
        </is>
      </c>
      <c r="C4165" t="inlineStr">
        <is>
          <t>SS-01203</t>
        </is>
      </c>
      <c r="D4165" t="n">
        <v>0</v>
      </c>
      <c r="E4165" t="n">
        <v>0</v>
      </c>
      <c r="G4165">
        <f>IF(AND(A4165&gt;=Inputs!$B$5,A4165&lt;=Inputs!$B$6),1,0)</f>
        <v/>
      </c>
    </row>
    <row r="4166">
      <c r="A4166" t="inlineStr">
        <is>
          <t>2025-03</t>
        </is>
      </c>
      <c r="B4166" t="inlineStr">
        <is>
          <t>HOSP-1</t>
        </is>
      </c>
      <c r="C4166" t="inlineStr">
        <is>
          <t>SS-01204</t>
        </is>
      </c>
      <c r="D4166" t="n">
        <v>0</v>
      </c>
      <c r="E4166" t="n">
        <v>0</v>
      </c>
      <c r="G4166">
        <f>IF(AND(A4166&gt;=Inputs!$B$5,A4166&lt;=Inputs!$B$6),1,0)</f>
        <v/>
      </c>
    </row>
    <row r="4167">
      <c r="A4167" t="inlineStr">
        <is>
          <t>2025-03</t>
        </is>
      </c>
      <c r="B4167" t="inlineStr">
        <is>
          <t>HOSP-2</t>
        </is>
      </c>
      <c r="C4167" t="inlineStr">
        <is>
          <t>SS-01205</t>
        </is>
      </c>
      <c r="D4167" t="n">
        <v>0</v>
      </c>
      <c r="E4167" t="n">
        <v>0</v>
      </c>
      <c r="G4167">
        <f>IF(AND(A4167&gt;=Inputs!$B$5,A4167&lt;=Inputs!$B$6),1,0)</f>
        <v/>
      </c>
    </row>
    <row r="4168">
      <c r="A4168" t="inlineStr">
        <is>
          <t>2025-03</t>
        </is>
      </c>
      <c r="B4168" t="inlineStr">
        <is>
          <t>HOSP-3</t>
        </is>
      </c>
      <c r="C4168" t="inlineStr">
        <is>
          <t>SS-01206</t>
        </is>
      </c>
      <c r="D4168" t="n">
        <v>108</v>
      </c>
      <c r="E4168" t="n">
        <v>0</v>
      </c>
      <c r="G4168">
        <f>IF(AND(A4168&gt;=Inputs!$B$5,A4168&lt;=Inputs!$B$6),1,0)</f>
        <v/>
      </c>
    </row>
    <row r="4169">
      <c r="A4169" t="inlineStr">
        <is>
          <t>2025-03</t>
        </is>
      </c>
      <c r="B4169" t="inlineStr">
        <is>
          <t>HOSP-4</t>
        </is>
      </c>
      <c r="C4169" t="inlineStr">
        <is>
          <t>SS-01207</t>
        </is>
      </c>
      <c r="D4169" t="n">
        <v>0</v>
      </c>
      <c r="E4169" t="n">
        <v>0</v>
      </c>
      <c r="G4169">
        <f>IF(AND(A4169&gt;=Inputs!$B$5,A4169&lt;=Inputs!$B$6),1,0)</f>
        <v/>
      </c>
    </row>
    <row r="4170">
      <c r="A4170" t="inlineStr">
        <is>
          <t>2025-03</t>
        </is>
      </c>
      <c r="B4170" t="inlineStr">
        <is>
          <t>HOSP-1</t>
        </is>
      </c>
      <c r="C4170" t="inlineStr">
        <is>
          <t>SS-01208</t>
        </is>
      </c>
      <c r="D4170" t="n">
        <v>32</v>
      </c>
      <c r="E4170" t="n">
        <v>0</v>
      </c>
      <c r="G4170">
        <f>IF(AND(A4170&gt;=Inputs!$B$5,A4170&lt;=Inputs!$B$6),1,0)</f>
        <v/>
      </c>
    </row>
    <row r="4171">
      <c r="A4171" t="inlineStr">
        <is>
          <t>2025-03</t>
        </is>
      </c>
      <c r="B4171" t="inlineStr">
        <is>
          <t>HOSP-2</t>
        </is>
      </c>
      <c r="C4171" t="inlineStr">
        <is>
          <t>SS-01009</t>
        </is>
      </c>
      <c r="D4171" t="n">
        <v>18</v>
      </c>
      <c r="E4171" t="n">
        <v>16</v>
      </c>
      <c r="G4171">
        <f>IF(AND(A4171&gt;=Inputs!$B$5,A4171&lt;=Inputs!$B$6),1,0)</f>
        <v/>
      </c>
    </row>
    <row r="4172">
      <c r="A4172" t="inlineStr">
        <is>
          <t>2025-03</t>
        </is>
      </c>
      <c r="B4172" t="inlineStr">
        <is>
          <t>HOSP-3</t>
        </is>
      </c>
      <c r="C4172" t="inlineStr">
        <is>
          <t>SS-01128</t>
        </is>
      </c>
      <c r="D4172" t="n">
        <v>12</v>
      </c>
      <c r="E4172" t="n">
        <v>0</v>
      </c>
      <c r="G4172">
        <f>IF(AND(A4172&gt;=Inputs!$B$5,A4172&lt;=Inputs!$B$6),1,0)</f>
        <v/>
      </c>
    </row>
    <row r="4173">
      <c r="A4173" t="inlineStr">
        <is>
          <t>2025-03</t>
        </is>
      </c>
      <c r="B4173" t="inlineStr">
        <is>
          <t>HOSP-4</t>
        </is>
      </c>
      <c r="C4173" t="inlineStr">
        <is>
          <t>SS-01211</t>
        </is>
      </c>
      <c r="D4173" t="n">
        <v>0</v>
      </c>
      <c r="E4173" t="n">
        <v>0</v>
      </c>
      <c r="G4173">
        <f>IF(AND(A4173&gt;=Inputs!$B$5,A4173&lt;=Inputs!$B$6),1,0)</f>
        <v/>
      </c>
    </row>
    <row r="4174">
      <c r="A4174" t="inlineStr">
        <is>
          <t>2025-03</t>
        </is>
      </c>
      <c r="B4174" t="inlineStr">
        <is>
          <t>HOSP-1</t>
        </is>
      </c>
      <c r="C4174" t="inlineStr">
        <is>
          <t>SS-01212</t>
        </is>
      </c>
      <c r="D4174" t="n">
        <v>84</v>
      </c>
      <c r="E4174" t="n">
        <v>0</v>
      </c>
      <c r="G4174">
        <f>IF(AND(A4174&gt;=Inputs!$B$5,A4174&lt;=Inputs!$B$6),1,0)</f>
        <v/>
      </c>
    </row>
    <row r="4175">
      <c r="A4175" t="inlineStr">
        <is>
          <t>2025-03</t>
        </is>
      </c>
      <c r="B4175" t="inlineStr">
        <is>
          <t>HOSP-2</t>
        </is>
      </c>
      <c r="C4175" t="inlineStr">
        <is>
          <t>SS-01213</t>
        </is>
      </c>
      <c r="D4175" t="n">
        <v>0</v>
      </c>
      <c r="E4175" t="n">
        <v>0</v>
      </c>
      <c r="G4175">
        <f>IF(AND(A4175&gt;=Inputs!$B$5,A4175&lt;=Inputs!$B$6),1,0)</f>
        <v/>
      </c>
    </row>
    <row r="4176">
      <c r="A4176" t="inlineStr">
        <is>
          <t>2025-03</t>
        </is>
      </c>
      <c r="B4176" t="inlineStr">
        <is>
          <t>HOSP-3</t>
        </is>
      </c>
      <c r="C4176" t="inlineStr">
        <is>
          <t>SS-01214</t>
        </is>
      </c>
      <c r="D4176" t="n">
        <v>36</v>
      </c>
      <c r="E4176" t="n">
        <v>0</v>
      </c>
      <c r="G4176">
        <f>IF(AND(A4176&gt;=Inputs!$B$5,A4176&lt;=Inputs!$B$6),1,0)</f>
        <v/>
      </c>
    </row>
    <row r="4177">
      <c r="A4177" t="inlineStr">
        <is>
          <t>2025-03</t>
        </is>
      </c>
      <c r="B4177" t="inlineStr">
        <is>
          <t>HOSP-4</t>
        </is>
      </c>
      <c r="C4177" t="inlineStr">
        <is>
          <t>SS-01215</t>
        </is>
      </c>
      <c r="D4177" t="n">
        <v>5</v>
      </c>
      <c r="E4177" t="n">
        <v>1</v>
      </c>
      <c r="G4177">
        <f>IF(AND(A4177&gt;=Inputs!$B$5,A4177&lt;=Inputs!$B$6),1,0)</f>
        <v/>
      </c>
    </row>
    <row r="4178">
      <c r="A4178" t="inlineStr">
        <is>
          <t>2025-03</t>
        </is>
      </c>
      <c r="B4178" t="inlineStr">
        <is>
          <t>HOSP-1</t>
        </is>
      </c>
      <c r="C4178" t="inlineStr">
        <is>
          <t>SS-01216</t>
        </is>
      </c>
      <c r="D4178" t="n">
        <v>12</v>
      </c>
      <c r="E4178" t="n">
        <v>0</v>
      </c>
      <c r="G4178">
        <f>IF(AND(A4178&gt;=Inputs!$B$5,A4178&lt;=Inputs!$B$6),1,0)</f>
        <v/>
      </c>
    </row>
    <row r="4179">
      <c r="A4179" t="inlineStr">
        <is>
          <t>2025-03</t>
        </is>
      </c>
      <c r="B4179" t="inlineStr">
        <is>
          <t>HOSP-2</t>
        </is>
      </c>
      <c r="C4179" t="inlineStr">
        <is>
          <t>SS-01217</t>
        </is>
      </c>
      <c r="D4179" t="n">
        <v>72</v>
      </c>
      <c r="E4179" t="n">
        <v>0</v>
      </c>
      <c r="G4179">
        <f>IF(AND(A4179&gt;=Inputs!$B$5,A4179&lt;=Inputs!$B$6),1,0)</f>
        <v/>
      </c>
    </row>
    <row r="4180">
      <c r="A4180" t="inlineStr">
        <is>
          <t>2025-03</t>
        </is>
      </c>
      <c r="B4180" t="inlineStr">
        <is>
          <t>HOSP-3</t>
        </is>
      </c>
      <c r="C4180" t="inlineStr">
        <is>
          <t>SS-01218</t>
        </is>
      </c>
      <c r="D4180" t="n">
        <v>36</v>
      </c>
      <c r="E4180" t="n">
        <v>0</v>
      </c>
      <c r="G4180">
        <f>IF(AND(A4180&gt;=Inputs!$B$5,A4180&lt;=Inputs!$B$6),1,0)</f>
        <v/>
      </c>
    </row>
    <row r="4181">
      <c r="A4181" t="inlineStr">
        <is>
          <t>2025-03</t>
        </is>
      </c>
      <c r="B4181" t="inlineStr">
        <is>
          <t>HOSP-4</t>
        </is>
      </c>
      <c r="C4181" t="inlineStr">
        <is>
          <t>SS-01219</t>
        </is>
      </c>
      <c r="D4181" t="n">
        <v>12</v>
      </c>
      <c r="E4181" t="n">
        <v>0</v>
      </c>
      <c r="G4181">
        <f>IF(AND(A4181&gt;=Inputs!$B$5,A4181&lt;=Inputs!$B$6),1,0)</f>
        <v/>
      </c>
    </row>
    <row r="4182">
      <c r="A4182" t="inlineStr">
        <is>
          <t>2025-03</t>
        </is>
      </c>
      <c r="B4182" t="inlineStr">
        <is>
          <t>HOSP-1</t>
        </is>
      </c>
      <c r="C4182" t="inlineStr">
        <is>
          <t>SS-01220</t>
        </is>
      </c>
      <c r="D4182" t="n">
        <v>21</v>
      </c>
      <c r="E4182" t="n">
        <v>0</v>
      </c>
      <c r="G4182">
        <f>IF(AND(A4182&gt;=Inputs!$B$5,A4182&lt;=Inputs!$B$6),1,0)</f>
        <v/>
      </c>
    </row>
    <row r="4183">
      <c r="A4183" t="inlineStr">
        <is>
          <t>2025-03</t>
        </is>
      </c>
      <c r="B4183" t="inlineStr">
        <is>
          <t>HOSP-2</t>
        </is>
      </c>
      <c r="C4183" t="inlineStr">
        <is>
          <t>SS-01221</t>
        </is>
      </c>
      <c r="D4183" t="n">
        <v>12</v>
      </c>
      <c r="E4183" t="n">
        <v>0</v>
      </c>
      <c r="G4183">
        <f>IF(AND(A4183&gt;=Inputs!$B$5,A4183&lt;=Inputs!$B$6),1,0)</f>
        <v/>
      </c>
    </row>
    <row r="4184">
      <c r="A4184" t="inlineStr">
        <is>
          <t>2025-03</t>
        </is>
      </c>
      <c r="B4184" t="inlineStr">
        <is>
          <t>HOSP-3</t>
        </is>
      </c>
      <c r="C4184" t="inlineStr">
        <is>
          <t>SS-01222</t>
        </is>
      </c>
      <c r="D4184" t="n">
        <v>48</v>
      </c>
      <c r="E4184" t="n">
        <v>0</v>
      </c>
      <c r="G4184">
        <f>IF(AND(A4184&gt;=Inputs!$B$5,A4184&lt;=Inputs!$B$6),1,0)</f>
        <v/>
      </c>
    </row>
    <row r="4185">
      <c r="A4185" t="inlineStr">
        <is>
          <t>2025-03</t>
        </is>
      </c>
      <c r="B4185" t="inlineStr">
        <is>
          <t>HOSP-4</t>
        </is>
      </c>
      <c r="C4185" t="inlineStr">
        <is>
          <t>SS-01223</t>
        </is>
      </c>
      <c r="D4185" t="n">
        <v>4</v>
      </c>
      <c r="E4185" t="n">
        <v>0</v>
      </c>
      <c r="G4185">
        <f>IF(AND(A4185&gt;=Inputs!$B$5,A4185&lt;=Inputs!$B$6),1,0)</f>
        <v/>
      </c>
    </row>
    <row r="4186">
      <c r="A4186" t="inlineStr">
        <is>
          <t>2025-03</t>
        </is>
      </c>
      <c r="B4186" t="inlineStr">
        <is>
          <t>HOSP-1</t>
        </is>
      </c>
      <c r="C4186" t="inlineStr">
        <is>
          <t>SS-01224</t>
        </is>
      </c>
      <c r="D4186" t="n">
        <v>0</v>
      </c>
      <c r="E4186" t="n">
        <v>0</v>
      </c>
      <c r="G4186">
        <f>IF(AND(A4186&gt;=Inputs!$B$5,A4186&lt;=Inputs!$B$6),1,0)</f>
        <v/>
      </c>
    </row>
    <row r="4187">
      <c r="A4187" t="inlineStr">
        <is>
          <t>2025-03</t>
        </is>
      </c>
      <c r="B4187" t="inlineStr">
        <is>
          <t>HOSP-2</t>
        </is>
      </c>
      <c r="C4187" t="inlineStr">
        <is>
          <t>SS-01225</t>
        </is>
      </c>
      <c r="D4187" t="n">
        <v>12</v>
      </c>
      <c r="E4187" t="n">
        <v>0</v>
      </c>
      <c r="G4187">
        <f>IF(AND(A4187&gt;=Inputs!$B$5,A4187&lt;=Inputs!$B$6),1,0)</f>
        <v/>
      </c>
    </row>
    <row r="4188">
      <c r="A4188" t="inlineStr">
        <is>
          <t>2025-03</t>
        </is>
      </c>
      <c r="B4188" t="inlineStr">
        <is>
          <t>HOSP-3</t>
        </is>
      </c>
      <c r="C4188" t="inlineStr">
        <is>
          <t>SS-01226</t>
        </is>
      </c>
      <c r="D4188" t="n">
        <v>12</v>
      </c>
      <c r="E4188" t="n">
        <v>0</v>
      </c>
      <c r="G4188">
        <f>IF(AND(A4188&gt;=Inputs!$B$5,A4188&lt;=Inputs!$B$6),1,0)</f>
        <v/>
      </c>
    </row>
    <row r="4189">
      <c r="A4189" t="inlineStr">
        <is>
          <t>2025-03</t>
        </is>
      </c>
      <c r="B4189" t="inlineStr">
        <is>
          <t>HOSP-4</t>
        </is>
      </c>
      <c r="C4189" t="inlineStr">
        <is>
          <t>SS-01227</t>
        </is>
      </c>
      <c r="D4189" t="n">
        <v>24</v>
      </c>
      <c r="E4189" t="n">
        <v>0</v>
      </c>
      <c r="G4189">
        <f>IF(AND(A4189&gt;=Inputs!$B$5,A4189&lt;=Inputs!$B$6),1,0)</f>
        <v/>
      </c>
    </row>
    <row r="4190">
      <c r="A4190" t="inlineStr">
        <is>
          <t>2025-03</t>
        </is>
      </c>
      <c r="B4190" t="inlineStr">
        <is>
          <t>HOSP-1</t>
        </is>
      </c>
      <c r="C4190" t="inlineStr">
        <is>
          <t>SS-01228</t>
        </is>
      </c>
      <c r="D4190" t="n">
        <v>0</v>
      </c>
      <c r="E4190" t="n">
        <v>0</v>
      </c>
      <c r="G4190">
        <f>IF(AND(A4190&gt;=Inputs!$B$5,A4190&lt;=Inputs!$B$6),1,0)</f>
        <v/>
      </c>
    </row>
    <row r="4191">
      <c r="A4191" t="inlineStr">
        <is>
          <t>2025-03</t>
        </is>
      </c>
      <c r="B4191" t="inlineStr">
        <is>
          <t>HOSP-2</t>
        </is>
      </c>
      <c r="C4191" t="inlineStr">
        <is>
          <t>SS-01229</t>
        </is>
      </c>
      <c r="D4191" t="n">
        <v>12</v>
      </c>
      <c r="E4191" t="n">
        <v>0</v>
      </c>
      <c r="G4191">
        <f>IF(AND(A4191&gt;=Inputs!$B$5,A4191&lt;=Inputs!$B$6),1,0)</f>
        <v/>
      </c>
    </row>
    <row r="4192">
      <c r="A4192" t="inlineStr">
        <is>
          <t>2025-03</t>
        </is>
      </c>
      <c r="B4192" t="inlineStr">
        <is>
          <t>HOSP-3</t>
        </is>
      </c>
      <c r="C4192" t="inlineStr">
        <is>
          <t>SS-01230</t>
        </is>
      </c>
      <c r="D4192" t="n">
        <v>12</v>
      </c>
      <c r="E4192" t="n">
        <v>0</v>
      </c>
      <c r="G4192">
        <f>IF(AND(A4192&gt;=Inputs!$B$5,A4192&lt;=Inputs!$B$6),1,0)</f>
        <v/>
      </c>
    </row>
    <row r="4193">
      <c r="A4193" t="inlineStr">
        <is>
          <t>2025-03</t>
        </is>
      </c>
      <c r="B4193" t="inlineStr">
        <is>
          <t>HOSP-4</t>
        </is>
      </c>
      <c r="C4193" t="inlineStr">
        <is>
          <t>SS-01231</t>
        </is>
      </c>
      <c r="D4193" t="n">
        <v>0</v>
      </c>
      <c r="E4193" t="n">
        <v>0</v>
      </c>
      <c r="G4193">
        <f>IF(AND(A4193&gt;=Inputs!$B$5,A4193&lt;=Inputs!$B$6),1,0)</f>
        <v/>
      </c>
    </row>
    <row r="4194">
      <c r="A4194" t="inlineStr">
        <is>
          <t>2025-03</t>
        </is>
      </c>
      <c r="B4194" t="inlineStr">
        <is>
          <t>HOSP-1</t>
        </is>
      </c>
      <c r="C4194" t="inlineStr">
        <is>
          <t>SS-01232</t>
        </is>
      </c>
      <c r="D4194" t="n">
        <v>12</v>
      </c>
      <c r="E4194" t="n">
        <v>0</v>
      </c>
      <c r="G4194">
        <f>IF(AND(A4194&gt;=Inputs!$B$5,A4194&lt;=Inputs!$B$6),1,0)</f>
        <v/>
      </c>
    </row>
    <row r="4195">
      <c r="A4195" t="inlineStr">
        <is>
          <t>2025-03</t>
        </is>
      </c>
      <c r="B4195" t="inlineStr">
        <is>
          <t>HOSP-2</t>
        </is>
      </c>
      <c r="C4195" t="inlineStr">
        <is>
          <t>SS-01233</t>
        </is>
      </c>
      <c r="D4195" t="n">
        <v>36</v>
      </c>
      <c r="E4195" t="n">
        <v>0</v>
      </c>
      <c r="G4195">
        <f>IF(AND(A4195&gt;=Inputs!$B$5,A4195&lt;=Inputs!$B$6),1,0)</f>
        <v/>
      </c>
    </row>
    <row r="4196">
      <c r="A4196" t="inlineStr">
        <is>
          <t>2025-03</t>
        </is>
      </c>
      <c r="B4196" t="inlineStr">
        <is>
          <t>HOSP-3</t>
        </is>
      </c>
      <c r="C4196" t="inlineStr">
        <is>
          <t>SS-01001</t>
        </is>
      </c>
      <c r="D4196" t="n">
        <v>0</v>
      </c>
      <c r="E4196" t="n">
        <v>0</v>
      </c>
      <c r="G4196">
        <f>IF(AND(A4196&gt;=Inputs!$B$5,A4196&lt;=Inputs!$B$6),1,0)</f>
        <v/>
      </c>
    </row>
    <row r="4197">
      <c r="A4197" t="inlineStr">
        <is>
          <t>2025-03</t>
        </is>
      </c>
      <c r="B4197" t="inlineStr">
        <is>
          <t>HOSP-4</t>
        </is>
      </c>
      <c r="C4197" t="inlineStr">
        <is>
          <t>SS-01002</t>
        </is>
      </c>
      <c r="D4197" t="n">
        <v>119</v>
      </c>
      <c r="E4197" t="n">
        <v>0</v>
      </c>
      <c r="G4197">
        <f>IF(AND(A4197&gt;=Inputs!$B$5,A4197&lt;=Inputs!$B$6),1,0)</f>
        <v/>
      </c>
    </row>
    <row r="4198">
      <c r="A4198" t="inlineStr">
        <is>
          <t>2025-03</t>
        </is>
      </c>
      <c r="B4198" t="inlineStr">
        <is>
          <t>HOSP-1</t>
        </is>
      </c>
      <c r="C4198" t="inlineStr">
        <is>
          <t>SS-01003</t>
        </is>
      </c>
      <c r="D4198" t="n">
        <v>216</v>
      </c>
      <c r="E4198" t="n">
        <v>0</v>
      </c>
      <c r="G4198">
        <f>IF(AND(A4198&gt;=Inputs!$B$5,A4198&lt;=Inputs!$B$6),1,0)</f>
        <v/>
      </c>
    </row>
    <row r="4199">
      <c r="A4199" t="inlineStr">
        <is>
          <t>2025-03</t>
        </is>
      </c>
      <c r="B4199" t="inlineStr">
        <is>
          <t>HOSP-2</t>
        </is>
      </c>
      <c r="C4199" t="inlineStr">
        <is>
          <t>SS-01004</t>
        </is>
      </c>
      <c r="D4199" t="n">
        <v>36</v>
      </c>
      <c r="E4199" t="n">
        <v>0</v>
      </c>
      <c r="G4199">
        <f>IF(AND(A4199&gt;=Inputs!$B$5,A4199&lt;=Inputs!$B$6),1,0)</f>
        <v/>
      </c>
    </row>
    <row r="4200">
      <c r="A4200" t="inlineStr">
        <is>
          <t>2025-03</t>
        </is>
      </c>
      <c r="B4200" t="inlineStr">
        <is>
          <t>HOSP-3</t>
        </is>
      </c>
      <c r="C4200" t="inlineStr">
        <is>
          <t>SS-01061</t>
        </is>
      </c>
      <c r="D4200" t="n">
        <v>18</v>
      </c>
      <c r="E4200" t="n">
        <v>7</v>
      </c>
      <c r="G4200">
        <f>IF(AND(A4200&gt;=Inputs!$B$5,A4200&lt;=Inputs!$B$6),1,0)</f>
        <v/>
      </c>
    </row>
    <row r="4201">
      <c r="A4201" t="inlineStr">
        <is>
          <t>2025-03</t>
        </is>
      </c>
      <c r="B4201" t="inlineStr">
        <is>
          <t>HOSP-4</t>
        </is>
      </c>
      <c r="C4201" t="inlineStr">
        <is>
          <t>SS-01006</t>
        </is>
      </c>
      <c r="D4201" t="n">
        <v>8</v>
      </c>
      <c r="E4201" t="n">
        <v>0</v>
      </c>
      <c r="G4201">
        <f>IF(AND(A4201&gt;=Inputs!$B$5,A4201&lt;=Inputs!$B$6),1,0)</f>
        <v/>
      </c>
    </row>
    <row r="4202">
      <c r="A4202" t="inlineStr">
        <is>
          <t>2025-03</t>
        </is>
      </c>
      <c r="B4202" t="inlineStr">
        <is>
          <t>HOSP-1</t>
        </is>
      </c>
      <c r="C4202" t="inlineStr">
        <is>
          <t>SS-01007</t>
        </is>
      </c>
      <c r="D4202" t="n">
        <v>12</v>
      </c>
      <c r="E4202" t="n">
        <v>0</v>
      </c>
      <c r="G4202">
        <f>IF(AND(A4202&gt;=Inputs!$B$5,A4202&lt;=Inputs!$B$6),1,0)</f>
        <v/>
      </c>
    </row>
    <row r="4203">
      <c r="A4203" t="inlineStr">
        <is>
          <t>2025-03</t>
        </is>
      </c>
      <c r="B4203" t="inlineStr">
        <is>
          <t>HOSP-2</t>
        </is>
      </c>
      <c r="C4203" t="inlineStr">
        <is>
          <t>SS-01008</t>
        </is>
      </c>
      <c r="D4203" t="n">
        <v>120</v>
      </c>
      <c r="E4203" t="n">
        <v>0</v>
      </c>
      <c r="G4203">
        <f>IF(AND(A4203&gt;=Inputs!$B$5,A4203&lt;=Inputs!$B$6),1,0)</f>
        <v/>
      </c>
    </row>
    <row r="4204">
      <c r="A4204" t="inlineStr">
        <is>
          <t>2025-03</t>
        </is>
      </c>
      <c r="B4204" t="inlineStr">
        <is>
          <t>HOSP-3</t>
        </is>
      </c>
      <c r="C4204" t="inlineStr">
        <is>
          <t>SS-01009</t>
        </is>
      </c>
      <c r="D4204" t="n">
        <v>0</v>
      </c>
      <c r="E4204" t="n">
        <v>0</v>
      </c>
      <c r="G4204">
        <f>IF(AND(A4204&gt;=Inputs!$B$5,A4204&lt;=Inputs!$B$6),1,0)</f>
        <v/>
      </c>
    </row>
    <row r="4205">
      <c r="A4205" t="inlineStr">
        <is>
          <t>2025-03</t>
        </is>
      </c>
      <c r="B4205" t="inlineStr">
        <is>
          <t>HOSP-4</t>
        </is>
      </c>
      <c r="C4205" t="inlineStr">
        <is>
          <t>SS-01122</t>
        </is>
      </c>
      <c r="D4205" t="n">
        <v>0</v>
      </c>
      <c r="E4205" t="n">
        <v>0</v>
      </c>
      <c r="G4205">
        <f>IF(AND(A4205&gt;=Inputs!$B$5,A4205&lt;=Inputs!$B$6),1,0)</f>
        <v/>
      </c>
    </row>
    <row r="4206">
      <c r="A4206" t="inlineStr">
        <is>
          <t>2025-03</t>
        </is>
      </c>
      <c r="B4206" t="inlineStr">
        <is>
          <t>HOSP-1</t>
        </is>
      </c>
      <c r="C4206" t="inlineStr">
        <is>
          <t>SS-01011</t>
        </is>
      </c>
      <c r="D4206" t="n">
        <v>12</v>
      </c>
      <c r="E4206" t="n">
        <v>0</v>
      </c>
      <c r="G4206">
        <f>IF(AND(A4206&gt;=Inputs!$B$5,A4206&lt;=Inputs!$B$6),1,0)</f>
        <v/>
      </c>
    </row>
    <row r="4207">
      <c r="A4207" t="inlineStr">
        <is>
          <t>2025-03</t>
        </is>
      </c>
      <c r="B4207" t="inlineStr">
        <is>
          <t>HOSP-2</t>
        </is>
      </c>
      <c r="C4207" t="inlineStr">
        <is>
          <t>SS-01012</t>
        </is>
      </c>
      <c r="D4207" t="n">
        <v>24</v>
      </c>
      <c r="E4207" t="n">
        <v>0</v>
      </c>
      <c r="G4207">
        <f>IF(AND(A4207&gt;=Inputs!$B$5,A4207&lt;=Inputs!$B$6),1,0)</f>
        <v/>
      </c>
    </row>
    <row r="4208">
      <c r="A4208" t="inlineStr">
        <is>
          <t>2025-03</t>
        </is>
      </c>
      <c r="B4208" t="inlineStr">
        <is>
          <t>HOSP-3</t>
        </is>
      </c>
      <c r="C4208" t="inlineStr">
        <is>
          <t>SS-01013</t>
        </is>
      </c>
      <c r="D4208" t="n">
        <v>12</v>
      </c>
      <c r="E4208" t="n">
        <v>0</v>
      </c>
      <c r="G4208">
        <f>IF(AND(A4208&gt;=Inputs!$B$5,A4208&lt;=Inputs!$B$6),1,0)</f>
        <v/>
      </c>
    </row>
    <row r="4209">
      <c r="A4209" t="inlineStr">
        <is>
          <t>2025-03</t>
        </is>
      </c>
      <c r="B4209" t="inlineStr">
        <is>
          <t>HOSP-4</t>
        </is>
      </c>
      <c r="C4209" t="inlineStr">
        <is>
          <t>SS-01014</t>
        </is>
      </c>
      <c r="D4209" t="n">
        <v>12</v>
      </c>
      <c r="E4209" t="n">
        <v>0</v>
      </c>
      <c r="G4209">
        <f>IF(AND(A4209&gt;=Inputs!$B$5,A4209&lt;=Inputs!$B$6),1,0)</f>
        <v/>
      </c>
    </row>
    <row r="4210">
      <c r="A4210" t="inlineStr">
        <is>
          <t>2025-03</t>
        </is>
      </c>
      <c r="B4210" t="inlineStr">
        <is>
          <t>HOSP-1</t>
        </is>
      </c>
      <c r="C4210" t="inlineStr">
        <is>
          <t>SS-01015</t>
        </is>
      </c>
      <c r="D4210" t="n">
        <v>8</v>
      </c>
      <c r="E4210" t="n">
        <v>0</v>
      </c>
      <c r="G4210">
        <f>IF(AND(A4210&gt;=Inputs!$B$5,A4210&lt;=Inputs!$B$6),1,0)</f>
        <v/>
      </c>
    </row>
    <row r="4211">
      <c r="A4211" t="inlineStr">
        <is>
          <t>2025-03</t>
        </is>
      </c>
      <c r="B4211" t="inlineStr">
        <is>
          <t>HOSP-2</t>
        </is>
      </c>
      <c r="C4211" t="inlineStr">
        <is>
          <t>SS-01016</t>
        </is>
      </c>
      <c r="D4211" t="n">
        <v>0</v>
      </c>
      <c r="E4211" t="n">
        <v>0</v>
      </c>
      <c r="G4211">
        <f>IF(AND(A4211&gt;=Inputs!$B$5,A4211&lt;=Inputs!$B$6),1,0)</f>
        <v/>
      </c>
    </row>
    <row r="4212">
      <c r="A4212" t="inlineStr">
        <is>
          <t>2025-03</t>
        </is>
      </c>
      <c r="B4212" t="inlineStr">
        <is>
          <t>HOSP-3</t>
        </is>
      </c>
      <c r="C4212" t="inlineStr">
        <is>
          <t>SS-01017</t>
        </is>
      </c>
      <c r="D4212" t="n">
        <v>0</v>
      </c>
      <c r="E4212" t="n">
        <v>0</v>
      </c>
      <c r="G4212">
        <f>IF(AND(A4212&gt;=Inputs!$B$5,A4212&lt;=Inputs!$B$6),1,0)</f>
        <v/>
      </c>
    </row>
    <row r="4213">
      <c r="A4213" t="inlineStr">
        <is>
          <t>2025-03</t>
        </is>
      </c>
      <c r="B4213" t="inlineStr">
        <is>
          <t>HOSP-4</t>
        </is>
      </c>
      <c r="C4213" t="inlineStr">
        <is>
          <t>SS-01018</t>
        </is>
      </c>
      <c r="D4213" t="n">
        <v>48</v>
      </c>
      <c r="E4213" t="n">
        <v>0</v>
      </c>
      <c r="G4213">
        <f>IF(AND(A4213&gt;=Inputs!$B$5,A4213&lt;=Inputs!$B$6),1,0)</f>
        <v/>
      </c>
    </row>
    <row r="4214">
      <c r="A4214" t="inlineStr">
        <is>
          <t>2025-03</t>
        </is>
      </c>
      <c r="B4214" t="inlineStr">
        <is>
          <t>HOSP-1</t>
        </is>
      </c>
      <c r="C4214" t="inlineStr">
        <is>
          <t>SS-01019</t>
        </is>
      </c>
      <c r="D4214" t="n">
        <v>36</v>
      </c>
      <c r="E4214" t="n">
        <v>0</v>
      </c>
      <c r="G4214">
        <f>IF(AND(A4214&gt;=Inputs!$B$5,A4214&lt;=Inputs!$B$6),1,0)</f>
        <v/>
      </c>
    </row>
    <row r="4215">
      <c r="A4215" t="inlineStr">
        <is>
          <t>2025-03</t>
        </is>
      </c>
      <c r="B4215" t="inlineStr">
        <is>
          <t>HOSP-2</t>
        </is>
      </c>
      <c r="C4215" t="inlineStr">
        <is>
          <t>SS-01020</t>
        </is>
      </c>
      <c r="D4215" t="n">
        <v>24</v>
      </c>
      <c r="E4215" t="n">
        <v>0</v>
      </c>
      <c r="G4215">
        <f>IF(AND(A4215&gt;=Inputs!$B$5,A4215&lt;=Inputs!$B$6),1,0)</f>
        <v/>
      </c>
    </row>
    <row r="4216">
      <c r="A4216" t="inlineStr">
        <is>
          <t>2025-03</t>
        </is>
      </c>
      <c r="B4216" t="inlineStr">
        <is>
          <t>HOSP-3</t>
        </is>
      </c>
      <c r="C4216" t="inlineStr">
        <is>
          <t>SS-01021</t>
        </is>
      </c>
      <c r="D4216" t="n">
        <v>26</v>
      </c>
      <c r="E4216" t="n">
        <v>0</v>
      </c>
      <c r="G4216">
        <f>IF(AND(A4216&gt;=Inputs!$B$5,A4216&lt;=Inputs!$B$6),1,0)</f>
        <v/>
      </c>
    </row>
    <row r="4217">
      <c r="A4217" t="inlineStr">
        <is>
          <t>2025-03</t>
        </is>
      </c>
      <c r="B4217" t="inlineStr">
        <is>
          <t>HOSP-4</t>
        </is>
      </c>
      <c r="C4217" t="inlineStr">
        <is>
          <t>SS-01022</t>
        </is>
      </c>
      <c r="D4217" t="n">
        <v>36</v>
      </c>
      <c r="E4217" t="n">
        <v>0</v>
      </c>
      <c r="G4217">
        <f>IF(AND(A4217&gt;=Inputs!$B$5,A4217&lt;=Inputs!$B$6),1,0)</f>
        <v/>
      </c>
    </row>
    <row r="4218">
      <c r="A4218" t="inlineStr">
        <is>
          <t>2025-03</t>
        </is>
      </c>
      <c r="B4218" t="inlineStr">
        <is>
          <t>HOSP-1</t>
        </is>
      </c>
      <c r="C4218" t="inlineStr">
        <is>
          <t>SS-01011</t>
        </is>
      </c>
      <c r="D4218" t="n">
        <v>48</v>
      </c>
      <c r="E4218" t="n">
        <v>0</v>
      </c>
      <c r="G4218">
        <f>IF(AND(A4218&gt;=Inputs!$B$5,A4218&lt;=Inputs!$B$6),1,0)</f>
        <v/>
      </c>
    </row>
    <row r="4219">
      <c r="A4219" t="inlineStr">
        <is>
          <t>2025-03</t>
        </is>
      </c>
      <c r="B4219" t="inlineStr">
        <is>
          <t>HOSP-2</t>
        </is>
      </c>
      <c r="C4219" t="inlineStr">
        <is>
          <t>SS-01024</t>
        </is>
      </c>
      <c r="D4219" t="n">
        <v>36</v>
      </c>
      <c r="E4219" t="n">
        <v>0</v>
      </c>
      <c r="G4219">
        <f>IF(AND(A4219&gt;=Inputs!$B$5,A4219&lt;=Inputs!$B$6),1,0)</f>
        <v/>
      </c>
    </row>
    <row r="4220">
      <c r="A4220" t="inlineStr">
        <is>
          <t>2025-03</t>
        </is>
      </c>
      <c r="B4220" t="inlineStr">
        <is>
          <t>HOSP-3</t>
        </is>
      </c>
      <c r="C4220" t="inlineStr">
        <is>
          <t>SS-01157</t>
        </is>
      </c>
      <c r="D4220" t="n">
        <v>23</v>
      </c>
      <c r="E4220" t="n">
        <v>0</v>
      </c>
      <c r="G4220">
        <f>IF(AND(A4220&gt;=Inputs!$B$5,A4220&lt;=Inputs!$B$6),1,0)</f>
        <v/>
      </c>
    </row>
    <row r="4221">
      <c r="A4221" t="inlineStr">
        <is>
          <t>2025-03</t>
        </is>
      </c>
      <c r="B4221" t="inlineStr">
        <is>
          <t>HOSP-4</t>
        </is>
      </c>
      <c r="C4221" t="inlineStr">
        <is>
          <t>SS-01026</t>
        </is>
      </c>
      <c r="D4221" t="n">
        <v>0</v>
      </c>
      <c r="E4221" t="n">
        <v>1</v>
      </c>
      <c r="G4221">
        <f>IF(AND(A4221&gt;=Inputs!$B$5,A4221&lt;=Inputs!$B$6),1,0)</f>
        <v/>
      </c>
    </row>
    <row r="4222">
      <c r="A4222" t="inlineStr">
        <is>
          <t>2025-03</t>
        </is>
      </c>
      <c r="B4222" t="inlineStr">
        <is>
          <t>HOSP-1</t>
        </is>
      </c>
      <c r="C4222" t="inlineStr">
        <is>
          <t>SS-01027</t>
        </is>
      </c>
      <c r="D4222" t="n">
        <v>12</v>
      </c>
      <c r="E4222" t="n">
        <v>0</v>
      </c>
      <c r="G4222">
        <f>IF(AND(A4222&gt;=Inputs!$B$5,A4222&lt;=Inputs!$B$6),1,0)</f>
        <v/>
      </c>
    </row>
    <row r="4223">
      <c r="A4223" t="inlineStr">
        <is>
          <t>2025-03</t>
        </is>
      </c>
      <c r="B4223" t="inlineStr">
        <is>
          <t>HOSP-2</t>
        </is>
      </c>
      <c r="C4223" t="inlineStr">
        <is>
          <t>SS-01028</t>
        </is>
      </c>
      <c r="D4223" t="n">
        <v>24</v>
      </c>
      <c r="E4223" t="n">
        <v>0</v>
      </c>
      <c r="G4223">
        <f>IF(AND(A4223&gt;=Inputs!$B$5,A4223&lt;=Inputs!$B$6),1,0)</f>
        <v/>
      </c>
    </row>
    <row r="4224">
      <c r="A4224" t="inlineStr">
        <is>
          <t>2025-03</t>
        </is>
      </c>
      <c r="B4224" t="inlineStr">
        <is>
          <t>HOSP-3</t>
        </is>
      </c>
      <c r="C4224" t="inlineStr">
        <is>
          <t>SS-01029</t>
        </is>
      </c>
      <c r="D4224" t="n">
        <v>180</v>
      </c>
      <c r="E4224" t="n">
        <v>0</v>
      </c>
      <c r="G4224">
        <f>IF(AND(A4224&gt;=Inputs!$B$5,A4224&lt;=Inputs!$B$6),1,0)</f>
        <v/>
      </c>
    </row>
    <row r="4225">
      <c r="A4225" t="inlineStr">
        <is>
          <t>2025-03</t>
        </is>
      </c>
      <c r="B4225" t="inlineStr">
        <is>
          <t>HOSP-4</t>
        </is>
      </c>
      <c r="C4225" t="inlineStr">
        <is>
          <t>SS-01196</t>
        </is>
      </c>
      <c r="D4225" t="n">
        <v>504</v>
      </c>
      <c r="E4225" t="n">
        <v>0</v>
      </c>
      <c r="G4225">
        <f>IF(AND(A4225&gt;=Inputs!$B$5,A4225&lt;=Inputs!$B$6),1,0)</f>
        <v/>
      </c>
    </row>
    <row r="4226">
      <c r="A4226" t="inlineStr">
        <is>
          <t>2025-03</t>
        </is>
      </c>
      <c r="B4226" t="inlineStr">
        <is>
          <t>HOSP-1</t>
        </is>
      </c>
      <c r="C4226" t="inlineStr">
        <is>
          <t>SS-01209</t>
        </is>
      </c>
      <c r="D4226" t="n">
        <v>8</v>
      </c>
      <c r="E4226" t="n">
        <v>8</v>
      </c>
      <c r="G4226">
        <f>IF(AND(A4226&gt;=Inputs!$B$5,A4226&lt;=Inputs!$B$6),1,0)</f>
        <v/>
      </c>
    </row>
    <row r="4227">
      <c r="A4227" t="inlineStr">
        <is>
          <t>2025-03</t>
        </is>
      </c>
      <c r="B4227" t="inlineStr">
        <is>
          <t>HOSP-2</t>
        </is>
      </c>
      <c r="C4227" t="inlineStr">
        <is>
          <t>SS-01032</t>
        </is>
      </c>
      <c r="D4227" t="n">
        <v>12</v>
      </c>
      <c r="E4227" t="n">
        <v>0</v>
      </c>
      <c r="G4227">
        <f>IF(AND(A4227&gt;=Inputs!$B$5,A4227&lt;=Inputs!$B$6),1,0)</f>
        <v/>
      </c>
    </row>
    <row r="4228">
      <c r="A4228" t="inlineStr">
        <is>
          <t>2025-03</t>
        </is>
      </c>
      <c r="B4228" t="inlineStr">
        <is>
          <t>HOSP-3</t>
        </is>
      </c>
      <c r="C4228" t="inlineStr">
        <is>
          <t>SS-01165</t>
        </is>
      </c>
      <c r="D4228" t="n">
        <v>0</v>
      </c>
      <c r="E4228" t="n">
        <v>0</v>
      </c>
      <c r="G4228">
        <f>IF(AND(A4228&gt;=Inputs!$B$5,A4228&lt;=Inputs!$B$6),1,0)</f>
        <v/>
      </c>
    </row>
    <row r="4229">
      <c r="A4229" t="inlineStr">
        <is>
          <t>2025-03</t>
        </is>
      </c>
      <c r="B4229" t="inlineStr">
        <is>
          <t>HOSP-4</t>
        </is>
      </c>
      <c r="C4229" t="inlineStr">
        <is>
          <t>SS-01034</t>
        </is>
      </c>
      <c r="D4229" t="n">
        <v>36</v>
      </c>
      <c r="E4229" t="n">
        <v>0</v>
      </c>
      <c r="G4229">
        <f>IF(AND(A4229&gt;=Inputs!$B$5,A4229&lt;=Inputs!$B$6),1,0)</f>
        <v/>
      </c>
    </row>
    <row r="4230">
      <c r="A4230" t="inlineStr">
        <is>
          <t>2025-03</t>
        </is>
      </c>
      <c r="B4230" t="inlineStr">
        <is>
          <t>HOSP-1</t>
        </is>
      </c>
      <c r="C4230" t="inlineStr">
        <is>
          <t>SS-01035</t>
        </is>
      </c>
      <c r="D4230" t="n">
        <v>3</v>
      </c>
      <c r="E4230" t="n">
        <v>2</v>
      </c>
      <c r="G4230">
        <f>IF(AND(A4230&gt;=Inputs!$B$5,A4230&lt;=Inputs!$B$6),1,0)</f>
        <v/>
      </c>
    </row>
    <row r="4231">
      <c r="A4231" t="inlineStr">
        <is>
          <t>2025-03</t>
        </is>
      </c>
      <c r="B4231" t="inlineStr">
        <is>
          <t>HOSP-2</t>
        </is>
      </c>
      <c r="C4231" t="inlineStr">
        <is>
          <t>SS-01036</t>
        </is>
      </c>
      <c r="D4231" t="n">
        <v>0</v>
      </c>
      <c r="E4231" t="n">
        <v>3</v>
      </c>
      <c r="G4231">
        <f>IF(AND(A4231&gt;=Inputs!$B$5,A4231&lt;=Inputs!$B$6),1,0)</f>
        <v/>
      </c>
    </row>
    <row r="4232">
      <c r="A4232" t="inlineStr">
        <is>
          <t>2025-03</t>
        </is>
      </c>
      <c r="B4232" t="inlineStr">
        <is>
          <t>HOSP-3</t>
        </is>
      </c>
      <c r="C4232" t="inlineStr">
        <is>
          <t>SS-01037</t>
        </is>
      </c>
      <c r="D4232" t="n">
        <v>0</v>
      </c>
      <c r="E4232" t="n">
        <v>0</v>
      </c>
      <c r="G4232">
        <f>IF(AND(A4232&gt;=Inputs!$B$5,A4232&lt;=Inputs!$B$6),1,0)</f>
        <v/>
      </c>
    </row>
    <row r="4233">
      <c r="A4233" t="inlineStr">
        <is>
          <t>2025-03</t>
        </is>
      </c>
      <c r="B4233" t="inlineStr">
        <is>
          <t>HOSP-4</t>
        </is>
      </c>
      <c r="C4233" t="inlineStr">
        <is>
          <t>SS-01038</t>
        </is>
      </c>
      <c r="D4233" t="n">
        <v>0</v>
      </c>
      <c r="E4233" t="n">
        <v>0</v>
      </c>
      <c r="G4233">
        <f>IF(AND(A4233&gt;=Inputs!$B$5,A4233&lt;=Inputs!$B$6),1,0)</f>
        <v/>
      </c>
    </row>
    <row r="4234">
      <c r="A4234" t="inlineStr">
        <is>
          <t>2025-03</t>
        </is>
      </c>
      <c r="B4234" t="inlineStr">
        <is>
          <t>HOSP-1</t>
        </is>
      </c>
      <c r="C4234" t="inlineStr">
        <is>
          <t>SS-01214</t>
        </is>
      </c>
      <c r="D4234" t="n">
        <v>3</v>
      </c>
      <c r="E4234" t="n">
        <v>2</v>
      </c>
      <c r="G4234">
        <f>IF(AND(A4234&gt;=Inputs!$B$5,A4234&lt;=Inputs!$B$6),1,0)</f>
        <v/>
      </c>
    </row>
    <row r="4235">
      <c r="A4235" t="inlineStr">
        <is>
          <t>2025-03</t>
        </is>
      </c>
      <c r="B4235" t="inlineStr">
        <is>
          <t>HOSP-2</t>
        </is>
      </c>
      <c r="C4235" t="inlineStr">
        <is>
          <t>SS-01040</t>
        </is>
      </c>
      <c r="D4235" t="n">
        <v>24</v>
      </c>
      <c r="E4235" t="n">
        <v>0</v>
      </c>
      <c r="G4235">
        <f>IF(AND(A4235&gt;=Inputs!$B$5,A4235&lt;=Inputs!$B$6),1,0)</f>
        <v/>
      </c>
    </row>
    <row r="4236">
      <c r="A4236" t="inlineStr">
        <is>
          <t>2025-03</t>
        </is>
      </c>
      <c r="B4236" t="inlineStr">
        <is>
          <t>HOSP-3</t>
        </is>
      </c>
      <c r="C4236" t="inlineStr">
        <is>
          <t>SS-01041</t>
        </is>
      </c>
      <c r="D4236" t="n">
        <v>36</v>
      </c>
      <c r="E4236" t="n">
        <v>0</v>
      </c>
      <c r="G4236">
        <f>IF(AND(A4236&gt;=Inputs!$B$5,A4236&lt;=Inputs!$B$6),1,0)</f>
        <v/>
      </c>
    </row>
    <row r="4237">
      <c r="A4237" t="inlineStr">
        <is>
          <t>2025-03</t>
        </is>
      </c>
      <c r="B4237" t="inlineStr">
        <is>
          <t>HOSP-4</t>
        </is>
      </c>
      <c r="C4237" t="inlineStr">
        <is>
          <t>SS-01042</t>
        </is>
      </c>
      <c r="D4237" t="n">
        <v>12</v>
      </c>
      <c r="E4237" t="n">
        <v>0</v>
      </c>
      <c r="G4237">
        <f>IF(AND(A4237&gt;=Inputs!$B$5,A4237&lt;=Inputs!$B$6),1,0)</f>
        <v/>
      </c>
    </row>
    <row r="4238">
      <c r="A4238" t="inlineStr">
        <is>
          <t>2025-03</t>
        </is>
      </c>
      <c r="B4238" t="inlineStr">
        <is>
          <t>HOSP-1</t>
        </is>
      </c>
      <c r="C4238" t="inlineStr">
        <is>
          <t>SS-01043</t>
        </is>
      </c>
      <c r="D4238" t="n">
        <v>24</v>
      </c>
      <c r="E4238" t="n">
        <v>0</v>
      </c>
      <c r="G4238">
        <f>IF(AND(A4238&gt;=Inputs!$B$5,A4238&lt;=Inputs!$B$6),1,0)</f>
        <v/>
      </c>
    </row>
    <row r="4239">
      <c r="A4239" t="inlineStr">
        <is>
          <t>2025-03</t>
        </is>
      </c>
      <c r="B4239" t="inlineStr">
        <is>
          <t>HOSP-2</t>
        </is>
      </c>
      <c r="C4239" t="inlineStr">
        <is>
          <t>SS-01060</t>
        </is>
      </c>
      <c r="D4239" t="n">
        <v>18</v>
      </c>
      <c r="E4239" t="n">
        <v>8</v>
      </c>
      <c r="G4239">
        <f>IF(AND(A4239&gt;=Inputs!$B$5,A4239&lt;=Inputs!$B$6),1,0)</f>
        <v/>
      </c>
    </row>
    <row r="4240">
      <c r="A4240" t="inlineStr">
        <is>
          <t>2025-03</t>
        </is>
      </c>
      <c r="B4240" t="inlineStr">
        <is>
          <t>HOSP-3</t>
        </is>
      </c>
      <c r="C4240" t="inlineStr">
        <is>
          <t>SS-01069</t>
        </is>
      </c>
      <c r="D4240" t="n">
        <v>0</v>
      </c>
      <c r="E4240" t="n">
        <v>0</v>
      </c>
      <c r="G4240">
        <f>IF(AND(A4240&gt;=Inputs!$B$5,A4240&lt;=Inputs!$B$6),1,0)</f>
        <v/>
      </c>
    </row>
    <row r="4241">
      <c r="A4241" t="inlineStr">
        <is>
          <t>2025-03</t>
        </is>
      </c>
      <c r="B4241" t="inlineStr">
        <is>
          <t>HOSP-4</t>
        </is>
      </c>
      <c r="C4241" t="inlineStr">
        <is>
          <t>SS-01046</t>
        </is>
      </c>
      <c r="D4241" t="n">
        <v>12</v>
      </c>
      <c r="E4241" t="n">
        <v>0</v>
      </c>
      <c r="G4241">
        <f>IF(AND(A4241&gt;=Inputs!$B$5,A4241&lt;=Inputs!$B$6),1,0)</f>
        <v/>
      </c>
    </row>
    <row r="4242">
      <c r="A4242" t="inlineStr">
        <is>
          <t>2025-03</t>
        </is>
      </c>
      <c r="B4242" t="inlineStr">
        <is>
          <t>HOSP-1</t>
        </is>
      </c>
      <c r="C4242" t="inlineStr">
        <is>
          <t>SS-01047</t>
        </is>
      </c>
      <c r="D4242" t="n">
        <v>12</v>
      </c>
      <c r="E4242" t="n">
        <v>1</v>
      </c>
      <c r="G4242">
        <f>IF(AND(A4242&gt;=Inputs!$B$5,A4242&lt;=Inputs!$B$6),1,0)</f>
        <v/>
      </c>
    </row>
    <row r="4243">
      <c r="A4243" t="inlineStr">
        <is>
          <t>2025-03</t>
        </is>
      </c>
      <c r="B4243" t="inlineStr">
        <is>
          <t>HOSP-2</t>
        </is>
      </c>
      <c r="C4243" t="inlineStr">
        <is>
          <t>SS-01048</t>
        </is>
      </c>
      <c r="D4243" t="n">
        <v>0</v>
      </c>
      <c r="E4243" t="n">
        <v>0</v>
      </c>
      <c r="G4243">
        <f>IF(AND(A4243&gt;=Inputs!$B$5,A4243&lt;=Inputs!$B$6),1,0)</f>
        <v/>
      </c>
    </row>
    <row r="4244">
      <c r="A4244" t="inlineStr">
        <is>
          <t>2025-03</t>
        </is>
      </c>
      <c r="B4244" t="inlineStr">
        <is>
          <t>HOSP-3</t>
        </is>
      </c>
      <c r="C4244" t="inlineStr">
        <is>
          <t>SS-01049</t>
        </is>
      </c>
      <c r="D4244" t="n">
        <v>0</v>
      </c>
      <c r="E4244" t="n">
        <v>0</v>
      </c>
      <c r="G4244">
        <f>IF(AND(A4244&gt;=Inputs!$B$5,A4244&lt;=Inputs!$B$6),1,0)</f>
        <v/>
      </c>
    </row>
    <row r="4245">
      <c r="A4245" t="inlineStr">
        <is>
          <t>2025-03</t>
        </is>
      </c>
      <c r="B4245" t="inlineStr">
        <is>
          <t>HOSP-4</t>
        </is>
      </c>
      <c r="C4245" t="inlineStr">
        <is>
          <t>SS-01050</t>
        </is>
      </c>
      <c r="D4245" t="n">
        <v>0</v>
      </c>
      <c r="E4245" t="n">
        <v>0</v>
      </c>
      <c r="G4245">
        <f>IF(AND(A4245&gt;=Inputs!$B$5,A4245&lt;=Inputs!$B$6),1,0)</f>
        <v/>
      </c>
    </row>
    <row r="4246">
      <c r="A4246" t="inlineStr">
        <is>
          <t>2025-03</t>
        </is>
      </c>
      <c r="B4246" t="inlineStr">
        <is>
          <t>HOSP-1</t>
        </is>
      </c>
      <c r="C4246" t="inlineStr">
        <is>
          <t>SS-01051</t>
        </is>
      </c>
      <c r="D4246" t="n">
        <v>24</v>
      </c>
      <c r="E4246" t="n">
        <v>0</v>
      </c>
      <c r="G4246">
        <f>IF(AND(A4246&gt;=Inputs!$B$5,A4246&lt;=Inputs!$B$6),1,0)</f>
        <v/>
      </c>
    </row>
    <row r="4247">
      <c r="A4247" t="inlineStr">
        <is>
          <t>2025-03</t>
        </is>
      </c>
      <c r="B4247" t="inlineStr">
        <is>
          <t>HOSP-2</t>
        </is>
      </c>
      <c r="C4247" t="inlineStr">
        <is>
          <t>SS-01052</t>
        </is>
      </c>
      <c r="D4247" t="n">
        <v>57</v>
      </c>
      <c r="E4247" t="n">
        <v>0</v>
      </c>
      <c r="G4247">
        <f>IF(AND(A4247&gt;=Inputs!$B$5,A4247&lt;=Inputs!$B$6),1,0)</f>
        <v/>
      </c>
    </row>
    <row r="4248">
      <c r="A4248" t="inlineStr">
        <is>
          <t>2025-03</t>
        </is>
      </c>
      <c r="B4248" t="inlineStr">
        <is>
          <t>HOSP-3</t>
        </is>
      </c>
      <c r="C4248" t="inlineStr">
        <is>
          <t>SS-01053</t>
        </is>
      </c>
      <c r="D4248" t="n">
        <v>0</v>
      </c>
      <c r="E4248" t="n">
        <v>0</v>
      </c>
      <c r="G4248">
        <f>IF(AND(A4248&gt;=Inputs!$B$5,A4248&lt;=Inputs!$B$6),1,0)</f>
        <v/>
      </c>
    </row>
    <row r="4249">
      <c r="A4249" t="inlineStr">
        <is>
          <t>2025-03</t>
        </is>
      </c>
      <c r="B4249" t="inlineStr">
        <is>
          <t>HOSP-4</t>
        </is>
      </c>
      <c r="C4249" t="inlineStr">
        <is>
          <t>SS-01054</t>
        </is>
      </c>
      <c r="D4249" t="n">
        <v>24</v>
      </c>
      <c r="E4249" t="n">
        <v>0</v>
      </c>
      <c r="G4249">
        <f>IF(AND(A4249&gt;=Inputs!$B$5,A4249&lt;=Inputs!$B$6),1,0)</f>
        <v/>
      </c>
    </row>
    <row r="4250">
      <c r="A4250" t="inlineStr">
        <is>
          <t>2025-03</t>
        </is>
      </c>
      <c r="B4250" t="inlineStr">
        <is>
          <t>HOSP-1</t>
        </is>
      </c>
      <c r="C4250" t="inlineStr">
        <is>
          <t>SS-01055</t>
        </is>
      </c>
      <c r="D4250" t="n">
        <v>0</v>
      </c>
      <c r="E4250" t="n">
        <v>1</v>
      </c>
      <c r="G4250">
        <f>IF(AND(A4250&gt;=Inputs!$B$5,A4250&lt;=Inputs!$B$6),1,0)</f>
        <v/>
      </c>
    </row>
    <row r="4251">
      <c r="A4251" t="inlineStr">
        <is>
          <t>2025-03</t>
        </is>
      </c>
      <c r="B4251" t="inlineStr">
        <is>
          <t>HOSP-2</t>
        </is>
      </c>
      <c r="C4251" t="inlineStr">
        <is>
          <t>SS-01056</t>
        </is>
      </c>
      <c r="D4251" t="n">
        <v>0</v>
      </c>
      <c r="E4251" t="n">
        <v>0</v>
      </c>
      <c r="G4251">
        <f>IF(AND(A4251&gt;=Inputs!$B$5,A4251&lt;=Inputs!$B$6),1,0)</f>
        <v/>
      </c>
    </row>
    <row r="4252">
      <c r="A4252" t="inlineStr">
        <is>
          <t>2025-03</t>
        </is>
      </c>
      <c r="B4252" t="inlineStr">
        <is>
          <t>HOSP-3</t>
        </is>
      </c>
      <c r="C4252" t="inlineStr">
        <is>
          <t>SS-01180</t>
        </is>
      </c>
      <c r="D4252" t="n">
        <v>1</v>
      </c>
      <c r="E4252" t="n">
        <v>2</v>
      </c>
      <c r="G4252">
        <f>IF(AND(A4252&gt;=Inputs!$B$5,A4252&lt;=Inputs!$B$6),1,0)</f>
        <v/>
      </c>
    </row>
    <row r="4253">
      <c r="A4253" t="inlineStr">
        <is>
          <t>2025-03</t>
        </is>
      </c>
      <c r="B4253" t="inlineStr">
        <is>
          <t>HOSP-4</t>
        </is>
      </c>
      <c r="C4253" t="inlineStr">
        <is>
          <t>SS-01058</t>
        </is>
      </c>
      <c r="D4253" t="n">
        <v>0</v>
      </c>
      <c r="E4253" t="n">
        <v>0</v>
      </c>
      <c r="G4253">
        <f>IF(AND(A4253&gt;=Inputs!$B$5,A4253&lt;=Inputs!$B$6),1,0)</f>
        <v/>
      </c>
    </row>
    <row r="4254">
      <c r="A4254" t="inlineStr">
        <is>
          <t>2025-03</t>
        </is>
      </c>
      <c r="B4254" t="inlineStr">
        <is>
          <t>HOSP-1</t>
        </is>
      </c>
      <c r="C4254" t="inlineStr">
        <is>
          <t>SS-01059</t>
        </is>
      </c>
      <c r="D4254" t="n">
        <v>0</v>
      </c>
      <c r="E4254" t="n">
        <v>0</v>
      </c>
      <c r="G4254">
        <f>IF(AND(A4254&gt;=Inputs!$B$5,A4254&lt;=Inputs!$B$6),1,0)</f>
        <v/>
      </c>
    </row>
    <row r="4255">
      <c r="A4255" t="inlineStr">
        <is>
          <t>2025-03</t>
        </is>
      </c>
      <c r="B4255" t="inlineStr">
        <is>
          <t>HOSP-2</t>
        </is>
      </c>
      <c r="C4255" t="inlineStr">
        <is>
          <t>SS-01060</t>
        </is>
      </c>
      <c r="D4255" t="n">
        <v>12</v>
      </c>
      <c r="E4255" t="n">
        <v>0</v>
      </c>
      <c r="G4255">
        <f>IF(AND(A4255&gt;=Inputs!$B$5,A4255&lt;=Inputs!$B$6),1,0)</f>
        <v/>
      </c>
    </row>
    <row r="4256">
      <c r="A4256" t="inlineStr">
        <is>
          <t>2025-03</t>
        </is>
      </c>
      <c r="B4256" t="inlineStr">
        <is>
          <t>HOSP-3</t>
        </is>
      </c>
      <c r="C4256" t="inlineStr">
        <is>
          <t>SS-01061</t>
        </is>
      </c>
      <c r="D4256" t="n">
        <v>36</v>
      </c>
      <c r="E4256" t="n">
        <v>0</v>
      </c>
      <c r="G4256">
        <f>IF(AND(A4256&gt;=Inputs!$B$5,A4256&lt;=Inputs!$B$6),1,0)</f>
        <v/>
      </c>
    </row>
    <row r="4257">
      <c r="A4257" t="inlineStr">
        <is>
          <t>2025-03</t>
        </is>
      </c>
      <c r="B4257" t="inlineStr">
        <is>
          <t>HOSP-4</t>
        </is>
      </c>
      <c r="C4257" t="inlineStr">
        <is>
          <t>SS-01062</t>
        </is>
      </c>
      <c r="D4257" t="n">
        <v>12</v>
      </c>
      <c r="E4257" t="n">
        <v>0</v>
      </c>
      <c r="G4257">
        <f>IF(AND(A4257&gt;=Inputs!$B$5,A4257&lt;=Inputs!$B$6),1,0)</f>
        <v/>
      </c>
    </row>
    <row r="4258">
      <c r="A4258" t="inlineStr">
        <is>
          <t>2025-03</t>
        </is>
      </c>
      <c r="B4258" t="inlineStr">
        <is>
          <t>HOSP-1</t>
        </is>
      </c>
      <c r="C4258" t="inlineStr">
        <is>
          <t>SS-01063</t>
        </is>
      </c>
      <c r="D4258" t="n">
        <v>12</v>
      </c>
      <c r="E4258" t="n">
        <v>0</v>
      </c>
      <c r="G4258">
        <f>IF(AND(A4258&gt;=Inputs!$B$5,A4258&lt;=Inputs!$B$6),1,0)</f>
        <v/>
      </c>
    </row>
    <row r="4259">
      <c r="A4259" t="inlineStr">
        <is>
          <t>2025-03</t>
        </is>
      </c>
      <c r="B4259" t="inlineStr">
        <is>
          <t>HOSP-2</t>
        </is>
      </c>
      <c r="C4259" t="inlineStr">
        <is>
          <t>SS-01010</t>
        </is>
      </c>
      <c r="D4259" t="n">
        <v>36</v>
      </c>
      <c r="E4259" t="n">
        <v>0</v>
      </c>
      <c r="G4259">
        <f>IF(AND(A4259&gt;=Inputs!$B$5,A4259&lt;=Inputs!$B$6),1,0)</f>
        <v/>
      </c>
    </row>
    <row r="4260">
      <c r="A4260" t="inlineStr">
        <is>
          <t>2025-03</t>
        </is>
      </c>
      <c r="B4260" t="inlineStr">
        <is>
          <t>HOSP-3</t>
        </is>
      </c>
      <c r="C4260" t="inlineStr">
        <is>
          <t>SS-01065</t>
        </is>
      </c>
      <c r="D4260" t="n">
        <v>24</v>
      </c>
      <c r="E4260" t="n">
        <v>0</v>
      </c>
      <c r="G4260">
        <f>IF(AND(A4260&gt;=Inputs!$B$5,A4260&lt;=Inputs!$B$6),1,0)</f>
        <v/>
      </c>
    </row>
    <row r="4261">
      <c r="A4261" t="inlineStr">
        <is>
          <t>2025-03</t>
        </is>
      </c>
      <c r="B4261" t="inlineStr">
        <is>
          <t>HOSP-4</t>
        </is>
      </c>
      <c r="C4261" t="inlineStr">
        <is>
          <t>SS-01066</t>
        </is>
      </c>
      <c r="D4261" t="n">
        <v>12</v>
      </c>
      <c r="E4261" t="n">
        <v>0</v>
      </c>
      <c r="G4261">
        <f>IF(AND(A4261&gt;=Inputs!$B$5,A4261&lt;=Inputs!$B$6),1,0)</f>
        <v/>
      </c>
    </row>
    <row r="4262">
      <c r="A4262" t="inlineStr">
        <is>
          <t>2025-03</t>
        </is>
      </c>
      <c r="B4262" t="inlineStr">
        <is>
          <t>HOSP-1</t>
        </is>
      </c>
      <c r="C4262" t="inlineStr">
        <is>
          <t>SS-01020</t>
        </is>
      </c>
      <c r="D4262" t="n">
        <v>48</v>
      </c>
      <c r="E4262" t="n">
        <v>0</v>
      </c>
      <c r="G4262">
        <f>IF(AND(A4262&gt;=Inputs!$B$5,A4262&lt;=Inputs!$B$6),1,0)</f>
        <v/>
      </c>
    </row>
    <row r="4263">
      <c r="A4263" t="inlineStr">
        <is>
          <t>2025-03</t>
        </is>
      </c>
      <c r="B4263" t="inlineStr">
        <is>
          <t>HOSP-2</t>
        </is>
      </c>
      <c r="C4263" t="inlineStr">
        <is>
          <t>SS-01068</t>
        </is>
      </c>
      <c r="D4263" t="n">
        <v>60</v>
      </c>
      <c r="E4263" t="n">
        <v>0</v>
      </c>
      <c r="G4263">
        <f>IF(AND(A4263&gt;=Inputs!$B$5,A4263&lt;=Inputs!$B$6),1,0)</f>
        <v/>
      </c>
    </row>
    <row r="4264">
      <c r="A4264" t="inlineStr">
        <is>
          <t>2025-03</t>
        </is>
      </c>
      <c r="B4264" t="inlineStr">
        <is>
          <t>HOSP-3</t>
        </is>
      </c>
      <c r="C4264" t="inlineStr">
        <is>
          <t>SS-01069</t>
        </is>
      </c>
      <c r="D4264" t="n">
        <v>96</v>
      </c>
      <c r="E4264" t="n">
        <v>0</v>
      </c>
      <c r="G4264">
        <f>IF(AND(A4264&gt;=Inputs!$B$5,A4264&lt;=Inputs!$B$6),1,0)</f>
        <v/>
      </c>
    </row>
    <row r="4265">
      <c r="A4265" t="inlineStr">
        <is>
          <t>2025-03</t>
        </is>
      </c>
      <c r="B4265" t="inlineStr">
        <is>
          <t>HOSP-4</t>
        </is>
      </c>
      <c r="C4265" t="inlineStr">
        <is>
          <t>SS-01070</t>
        </is>
      </c>
      <c r="D4265" t="n">
        <v>0</v>
      </c>
      <c r="E4265" t="n">
        <v>0</v>
      </c>
      <c r="G4265">
        <f>IF(AND(A4265&gt;=Inputs!$B$5,A4265&lt;=Inputs!$B$6),1,0)</f>
        <v/>
      </c>
    </row>
    <row r="4266">
      <c r="A4266" t="inlineStr">
        <is>
          <t>2025-03</t>
        </is>
      </c>
      <c r="B4266" t="inlineStr">
        <is>
          <t>HOSP-1</t>
        </is>
      </c>
      <c r="C4266" t="inlineStr">
        <is>
          <t>SS-01071</t>
        </is>
      </c>
      <c r="D4266" t="n">
        <v>12</v>
      </c>
      <c r="E4266" t="n">
        <v>0</v>
      </c>
      <c r="G4266">
        <f>IF(AND(A4266&gt;=Inputs!$B$5,A4266&lt;=Inputs!$B$6),1,0)</f>
        <v/>
      </c>
    </row>
    <row r="4267">
      <c r="A4267" t="inlineStr">
        <is>
          <t>2025-03</t>
        </is>
      </c>
      <c r="B4267" t="inlineStr">
        <is>
          <t>HOSP-2</t>
        </is>
      </c>
      <c r="C4267" t="inlineStr">
        <is>
          <t>SS-01072</t>
        </is>
      </c>
      <c r="D4267" t="n">
        <v>10</v>
      </c>
      <c r="E4267" t="n">
        <v>2</v>
      </c>
      <c r="G4267">
        <f>IF(AND(A4267&gt;=Inputs!$B$5,A4267&lt;=Inputs!$B$6),1,0)</f>
        <v/>
      </c>
    </row>
    <row r="4268">
      <c r="A4268" t="inlineStr">
        <is>
          <t>2025-03</t>
        </is>
      </c>
      <c r="B4268" t="inlineStr">
        <is>
          <t>HOSP-3</t>
        </is>
      </c>
      <c r="C4268" t="inlineStr">
        <is>
          <t>SS-01073</t>
        </is>
      </c>
      <c r="D4268" t="n">
        <v>24</v>
      </c>
      <c r="E4268" t="n">
        <v>0</v>
      </c>
      <c r="G4268">
        <f>IF(AND(A4268&gt;=Inputs!$B$5,A4268&lt;=Inputs!$B$6),1,0)</f>
        <v/>
      </c>
    </row>
    <row r="4269">
      <c r="A4269" t="inlineStr">
        <is>
          <t>2025-03</t>
        </is>
      </c>
      <c r="B4269" t="inlineStr">
        <is>
          <t>HOSP-4</t>
        </is>
      </c>
      <c r="C4269" t="inlineStr">
        <is>
          <t>SS-01074</t>
        </is>
      </c>
      <c r="D4269" t="n">
        <v>0</v>
      </c>
      <c r="E4269" t="n">
        <v>0</v>
      </c>
      <c r="G4269">
        <f>IF(AND(A4269&gt;=Inputs!$B$5,A4269&lt;=Inputs!$B$6),1,0)</f>
        <v/>
      </c>
    </row>
    <row r="4270">
      <c r="A4270" t="inlineStr">
        <is>
          <t>2025-03</t>
        </is>
      </c>
      <c r="B4270" t="inlineStr">
        <is>
          <t>HOSP-1</t>
        </is>
      </c>
      <c r="C4270" t="inlineStr">
        <is>
          <t>SS-01075</t>
        </is>
      </c>
      <c r="D4270" t="n">
        <v>24</v>
      </c>
      <c r="E4270" t="n">
        <v>0</v>
      </c>
      <c r="G4270">
        <f>IF(AND(A4270&gt;=Inputs!$B$5,A4270&lt;=Inputs!$B$6),1,0)</f>
        <v/>
      </c>
    </row>
    <row r="4271">
      <c r="A4271" t="inlineStr">
        <is>
          <t>2025-03</t>
        </is>
      </c>
      <c r="B4271" t="inlineStr">
        <is>
          <t>HOSP-2</t>
        </is>
      </c>
      <c r="C4271" t="inlineStr">
        <is>
          <t>SS-01076</t>
        </is>
      </c>
      <c r="D4271" t="n">
        <v>12</v>
      </c>
      <c r="E4271" t="n">
        <v>0</v>
      </c>
      <c r="G4271">
        <f>IF(AND(A4271&gt;=Inputs!$B$5,A4271&lt;=Inputs!$B$6),1,0)</f>
        <v/>
      </c>
    </row>
    <row r="4272">
      <c r="A4272" t="inlineStr">
        <is>
          <t>2025-03</t>
        </is>
      </c>
      <c r="B4272" t="inlineStr">
        <is>
          <t>HOSP-3</t>
        </is>
      </c>
      <c r="C4272" t="inlineStr">
        <is>
          <t>SS-01077</t>
        </is>
      </c>
      <c r="D4272" t="n">
        <v>36</v>
      </c>
      <c r="E4272" t="n">
        <v>0</v>
      </c>
      <c r="G4272">
        <f>IF(AND(A4272&gt;=Inputs!$B$5,A4272&lt;=Inputs!$B$6),1,0)</f>
        <v/>
      </c>
    </row>
    <row r="4273">
      <c r="A4273" t="inlineStr">
        <is>
          <t>2025-03</t>
        </is>
      </c>
      <c r="B4273" t="inlineStr">
        <is>
          <t>HOSP-4</t>
        </is>
      </c>
      <c r="C4273" t="inlineStr">
        <is>
          <t>SS-01078</t>
        </is>
      </c>
      <c r="D4273" t="n">
        <v>0</v>
      </c>
      <c r="E4273" t="n">
        <v>0</v>
      </c>
      <c r="G4273">
        <f>IF(AND(A4273&gt;=Inputs!$B$5,A4273&lt;=Inputs!$B$6),1,0)</f>
        <v/>
      </c>
    </row>
    <row r="4274">
      <c r="A4274" t="inlineStr">
        <is>
          <t>2025-03</t>
        </is>
      </c>
      <c r="B4274" t="inlineStr">
        <is>
          <t>HOSP-1</t>
        </is>
      </c>
      <c r="C4274" t="inlineStr">
        <is>
          <t>SS-01007</t>
        </is>
      </c>
      <c r="D4274" t="n">
        <v>11</v>
      </c>
      <c r="E4274" t="n">
        <v>2</v>
      </c>
      <c r="G4274">
        <f>IF(AND(A4274&gt;=Inputs!$B$5,A4274&lt;=Inputs!$B$6),1,0)</f>
        <v/>
      </c>
    </row>
    <row r="4275">
      <c r="A4275" t="inlineStr">
        <is>
          <t>2025-03</t>
        </is>
      </c>
      <c r="B4275" t="inlineStr">
        <is>
          <t>HOSP-2</t>
        </is>
      </c>
      <c r="C4275" t="inlineStr">
        <is>
          <t>SS-01080</t>
        </is>
      </c>
      <c r="D4275" t="n">
        <v>48</v>
      </c>
      <c r="E4275" t="n">
        <v>0</v>
      </c>
      <c r="G4275">
        <f>IF(AND(A4275&gt;=Inputs!$B$5,A4275&lt;=Inputs!$B$6),1,0)</f>
        <v/>
      </c>
    </row>
    <row r="4276">
      <c r="A4276" t="inlineStr">
        <is>
          <t>2025-03</t>
        </is>
      </c>
      <c r="B4276" t="inlineStr">
        <is>
          <t>HOSP-3</t>
        </is>
      </c>
      <c r="C4276" t="inlineStr">
        <is>
          <t>SS-01081</t>
        </is>
      </c>
      <c r="D4276" t="n">
        <v>156</v>
      </c>
      <c r="E4276" t="n">
        <v>0</v>
      </c>
      <c r="G4276">
        <f>IF(AND(A4276&gt;=Inputs!$B$5,A4276&lt;=Inputs!$B$6),1,0)</f>
        <v/>
      </c>
    </row>
    <row r="4277">
      <c r="A4277" t="inlineStr">
        <is>
          <t>2025-03</t>
        </is>
      </c>
      <c r="B4277" t="inlineStr">
        <is>
          <t>HOSP-4</t>
        </is>
      </c>
      <c r="C4277" t="inlineStr">
        <is>
          <t>SS-01082</t>
        </is>
      </c>
      <c r="D4277" t="n">
        <v>0</v>
      </c>
      <c r="E4277" t="n">
        <v>0</v>
      </c>
      <c r="G4277">
        <f>IF(AND(A4277&gt;=Inputs!$B$5,A4277&lt;=Inputs!$B$6),1,0)</f>
        <v/>
      </c>
    </row>
    <row r="4278">
      <c r="A4278" t="inlineStr">
        <is>
          <t>2025-03</t>
        </is>
      </c>
      <c r="B4278" t="inlineStr">
        <is>
          <t>HOSP-1</t>
        </is>
      </c>
      <c r="C4278" t="inlineStr">
        <is>
          <t>SS-01083</t>
        </is>
      </c>
      <c r="D4278" t="n">
        <v>0</v>
      </c>
      <c r="E4278" t="n">
        <v>0</v>
      </c>
      <c r="G4278">
        <f>IF(AND(A4278&gt;=Inputs!$B$5,A4278&lt;=Inputs!$B$6),1,0)</f>
        <v/>
      </c>
    </row>
    <row r="4279">
      <c r="A4279" t="inlineStr">
        <is>
          <t>2025-03</t>
        </is>
      </c>
      <c r="B4279" t="inlineStr">
        <is>
          <t>HOSP-2</t>
        </is>
      </c>
      <c r="C4279" t="inlineStr">
        <is>
          <t>SS-01208</t>
        </is>
      </c>
      <c r="D4279" t="n">
        <v>9</v>
      </c>
      <c r="E4279" t="n">
        <v>0</v>
      </c>
      <c r="G4279">
        <f>IF(AND(A4279&gt;=Inputs!$B$5,A4279&lt;=Inputs!$B$6),1,0)</f>
        <v/>
      </c>
    </row>
    <row r="4280">
      <c r="A4280" t="inlineStr">
        <is>
          <t>2025-03</t>
        </is>
      </c>
      <c r="B4280" t="inlineStr">
        <is>
          <t>HOSP-3</t>
        </is>
      </c>
      <c r="C4280" t="inlineStr">
        <is>
          <t>SS-01085</t>
        </is>
      </c>
      <c r="D4280" t="n">
        <v>24</v>
      </c>
      <c r="E4280" t="n">
        <v>0</v>
      </c>
      <c r="G4280">
        <f>IF(AND(A4280&gt;=Inputs!$B$5,A4280&lt;=Inputs!$B$6),1,0)</f>
        <v/>
      </c>
    </row>
    <row r="4281">
      <c r="A4281" t="inlineStr">
        <is>
          <t>2025-03</t>
        </is>
      </c>
      <c r="B4281" t="inlineStr">
        <is>
          <t>HOSP-4</t>
        </is>
      </c>
      <c r="C4281" t="inlineStr">
        <is>
          <t>SS-01086</t>
        </is>
      </c>
      <c r="D4281" t="n">
        <v>48</v>
      </c>
      <c r="E4281" t="n">
        <v>0</v>
      </c>
      <c r="G4281">
        <f>IF(AND(A4281&gt;=Inputs!$B$5,A4281&lt;=Inputs!$B$6),1,0)</f>
        <v/>
      </c>
    </row>
    <row r="4282">
      <c r="A4282" t="inlineStr">
        <is>
          <t>2025-03</t>
        </is>
      </c>
      <c r="B4282" t="inlineStr">
        <is>
          <t>HOSP-1</t>
        </is>
      </c>
      <c r="C4282" t="inlineStr">
        <is>
          <t>SS-01087</t>
        </is>
      </c>
      <c r="D4282" t="n">
        <v>48</v>
      </c>
      <c r="E4282" t="n">
        <v>0</v>
      </c>
      <c r="G4282">
        <f>IF(AND(A4282&gt;=Inputs!$B$5,A4282&lt;=Inputs!$B$6),1,0)</f>
        <v/>
      </c>
    </row>
    <row r="4283">
      <c r="A4283" t="inlineStr">
        <is>
          <t>2025-03</t>
        </is>
      </c>
      <c r="B4283" t="inlineStr">
        <is>
          <t>HOSP-2</t>
        </is>
      </c>
      <c r="C4283" t="inlineStr">
        <is>
          <t>SS-01088</t>
        </is>
      </c>
      <c r="D4283" t="n">
        <v>12</v>
      </c>
      <c r="E4283" t="n">
        <v>0</v>
      </c>
      <c r="G4283">
        <f>IF(AND(A4283&gt;=Inputs!$B$5,A4283&lt;=Inputs!$B$6),1,0)</f>
        <v/>
      </c>
    </row>
    <row r="4284">
      <c r="A4284" t="inlineStr">
        <is>
          <t>2025-03</t>
        </is>
      </c>
      <c r="B4284" t="inlineStr">
        <is>
          <t>HOSP-3</t>
        </is>
      </c>
      <c r="C4284" t="inlineStr">
        <is>
          <t>SS-01089</t>
        </is>
      </c>
      <c r="D4284" t="n">
        <v>23</v>
      </c>
      <c r="E4284" t="n">
        <v>0</v>
      </c>
      <c r="G4284">
        <f>IF(AND(A4284&gt;=Inputs!$B$5,A4284&lt;=Inputs!$B$6),1,0)</f>
        <v/>
      </c>
    </row>
    <row r="4285">
      <c r="A4285" t="inlineStr">
        <is>
          <t>2025-03</t>
        </is>
      </c>
      <c r="B4285" t="inlineStr">
        <is>
          <t>HOSP-4</t>
        </is>
      </c>
      <c r="C4285" t="inlineStr">
        <is>
          <t>SS-01090</t>
        </is>
      </c>
      <c r="D4285" t="n">
        <v>180</v>
      </c>
      <c r="E4285" t="n">
        <v>0</v>
      </c>
      <c r="G4285">
        <f>IF(AND(A4285&gt;=Inputs!$B$5,A4285&lt;=Inputs!$B$6),1,0)</f>
        <v/>
      </c>
    </row>
    <row r="4286">
      <c r="A4286" t="inlineStr">
        <is>
          <t>2025-03</t>
        </is>
      </c>
      <c r="B4286" t="inlineStr">
        <is>
          <t>HOSP-1</t>
        </is>
      </c>
      <c r="C4286" t="inlineStr">
        <is>
          <t>SS-01086</t>
        </is>
      </c>
      <c r="D4286" t="n">
        <v>3</v>
      </c>
      <c r="E4286" t="n">
        <v>2</v>
      </c>
      <c r="G4286">
        <f>IF(AND(A4286&gt;=Inputs!$B$5,A4286&lt;=Inputs!$B$6),1,0)</f>
        <v/>
      </c>
    </row>
    <row r="4287">
      <c r="A4287" t="inlineStr">
        <is>
          <t>2025-03</t>
        </is>
      </c>
      <c r="B4287" t="inlineStr">
        <is>
          <t>HOSP-2</t>
        </is>
      </c>
      <c r="C4287" t="inlineStr">
        <is>
          <t>SS-01092</t>
        </is>
      </c>
      <c r="D4287" t="n">
        <v>24</v>
      </c>
      <c r="E4287" t="n">
        <v>0</v>
      </c>
      <c r="G4287">
        <f>IF(AND(A4287&gt;=Inputs!$B$5,A4287&lt;=Inputs!$B$6),1,0)</f>
        <v/>
      </c>
    </row>
    <row r="4288">
      <c r="A4288" t="inlineStr">
        <is>
          <t>2025-03</t>
        </is>
      </c>
      <c r="B4288" t="inlineStr">
        <is>
          <t>HOSP-3</t>
        </is>
      </c>
      <c r="C4288" t="inlineStr">
        <is>
          <t>SS-01093</t>
        </is>
      </c>
      <c r="D4288" t="n">
        <v>12</v>
      </c>
      <c r="E4288" t="n">
        <v>0</v>
      </c>
      <c r="G4288">
        <f>IF(AND(A4288&gt;=Inputs!$B$5,A4288&lt;=Inputs!$B$6),1,0)</f>
        <v/>
      </c>
    </row>
    <row r="4289">
      <c r="A4289" t="inlineStr">
        <is>
          <t>2025-03</t>
        </is>
      </c>
      <c r="B4289" t="inlineStr">
        <is>
          <t>HOSP-4</t>
        </is>
      </c>
      <c r="C4289" t="inlineStr">
        <is>
          <t>SS-01094</t>
        </is>
      </c>
      <c r="D4289" t="n">
        <v>12</v>
      </c>
      <c r="E4289" t="n">
        <v>0</v>
      </c>
      <c r="G4289">
        <f>IF(AND(A4289&gt;=Inputs!$B$5,A4289&lt;=Inputs!$B$6),1,0)</f>
        <v/>
      </c>
    </row>
    <row r="4290">
      <c r="A4290" t="inlineStr">
        <is>
          <t>2025-03</t>
        </is>
      </c>
      <c r="B4290" t="inlineStr">
        <is>
          <t>HOSP-1</t>
        </is>
      </c>
      <c r="C4290" t="inlineStr">
        <is>
          <t>SS-01095</t>
        </is>
      </c>
      <c r="D4290" t="n">
        <v>96</v>
      </c>
      <c r="E4290" t="n">
        <v>0</v>
      </c>
      <c r="G4290">
        <f>IF(AND(A4290&gt;=Inputs!$B$5,A4290&lt;=Inputs!$B$6),1,0)</f>
        <v/>
      </c>
    </row>
    <row r="4291">
      <c r="A4291" t="inlineStr">
        <is>
          <t>2025-03</t>
        </is>
      </c>
      <c r="B4291" t="inlineStr">
        <is>
          <t>HOSP-2</t>
        </is>
      </c>
      <c r="C4291" t="inlineStr">
        <is>
          <t>SS-01096</t>
        </is>
      </c>
      <c r="D4291" t="n">
        <v>12</v>
      </c>
      <c r="E4291" t="n">
        <v>0</v>
      </c>
      <c r="G4291">
        <f>IF(AND(A4291&gt;=Inputs!$B$5,A4291&lt;=Inputs!$B$6),1,0)</f>
        <v/>
      </c>
    </row>
    <row r="4292">
      <c r="A4292" t="inlineStr">
        <is>
          <t>2025-03</t>
        </is>
      </c>
      <c r="B4292" t="inlineStr">
        <is>
          <t>HOSP-3</t>
        </is>
      </c>
      <c r="C4292" t="inlineStr">
        <is>
          <t>SS-01097</t>
        </is>
      </c>
      <c r="D4292" t="n">
        <v>12</v>
      </c>
      <c r="E4292" t="n">
        <v>0</v>
      </c>
      <c r="G4292">
        <f>IF(AND(A4292&gt;=Inputs!$B$5,A4292&lt;=Inputs!$B$6),1,0)</f>
        <v/>
      </c>
    </row>
    <row r="4293">
      <c r="A4293" t="inlineStr">
        <is>
          <t>2025-03</t>
        </is>
      </c>
      <c r="B4293" t="inlineStr">
        <is>
          <t>HOSP-4</t>
        </is>
      </c>
      <c r="C4293" t="inlineStr">
        <is>
          <t>SS-01098</t>
        </is>
      </c>
      <c r="D4293" t="n">
        <v>0</v>
      </c>
      <c r="E4293" t="n">
        <v>0</v>
      </c>
      <c r="G4293">
        <f>IF(AND(A4293&gt;=Inputs!$B$5,A4293&lt;=Inputs!$B$6),1,0)</f>
        <v/>
      </c>
    </row>
    <row r="4294">
      <c r="A4294" t="inlineStr">
        <is>
          <t>2025-03</t>
        </is>
      </c>
      <c r="B4294" t="inlineStr">
        <is>
          <t>HOSP-1</t>
        </is>
      </c>
      <c r="C4294" t="inlineStr">
        <is>
          <t>SS-01099</t>
        </is>
      </c>
      <c r="D4294" t="n">
        <v>24</v>
      </c>
      <c r="E4294" t="n">
        <v>0</v>
      </c>
      <c r="G4294">
        <f>IF(AND(A4294&gt;=Inputs!$B$5,A4294&lt;=Inputs!$B$6),1,0)</f>
        <v/>
      </c>
    </row>
    <row r="4295">
      <c r="A4295" t="inlineStr">
        <is>
          <t>2025-03</t>
        </is>
      </c>
      <c r="B4295" t="inlineStr">
        <is>
          <t>HOSP-2</t>
        </is>
      </c>
      <c r="C4295" t="inlineStr">
        <is>
          <t>SS-01100</t>
        </is>
      </c>
      <c r="D4295" t="n">
        <v>13</v>
      </c>
      <c r="E4295" t="n">
        <v>0</v>
      </c>
      <c r="G4295">
        <f>IF(AND(A4295&gt;=Inputs!$B$5,A4295&lt;=Inputs!$B$6),1,0)</f>
        <v/>
      </c>
    </row>
    <row r="4296">
      <c r="A4296" t="inlineStr">
        <is>
          <t>2025-03</t>
        </is>
      </c>
      <c r="B4296" t="inlineStr">
        <is>
          <t>HOSP-3</t>
        </is>
      </c>
      <c r="C4296" t="inlineStr">
        <is>
          <t>SS-01101</t>
        </is>
      </c>
      <c r="D4296" t="n">
        <v>60</v>
      </c>
      <c r="E4296" t="n">
        <v>0</v>
      </c>
      <c r="G4296">
        <f>IF(AND(A4296&gt;=Inputs!$B$5,A4296&lt;=Inputs!$B$6),1,0)</f>
        <v/>
      </c>
    </row>
    <row r="4297">
      <c r="A4297" t="inlineStr">
        <is>
          <t>2025-03</t>
        </is>
      </c>
      <c r="B4297" t="inlineStr">
        <is>
          <t>HOSP-4</t>
        </is>
      </c>
      <c r="C4297" t="inlineStr">
        <is>
          <t>SS-01102</t>
        </is>
      </c>
      <c r="D4297" t="n">
        <v>12</v>
      </c>
      <c r="E4297" t="n">
        <v>0</v>
      </c>
      <c r="G4297">
        <f>IF(AND(A4297&gt;=Inputs!$B$5,A4297&lt;=Inputs!$B$6),1,0)</f>
        <v/>
      </c>
    </row>
    <row r="4298">
      <c r="A4298" t="inlineStr">
        <is>
          <t>2025-03</t>
        </is>
      </c>
      <c r="B4298" t="inlineStr">
        <is>
          <t>HOSP-1</t>
        </is>
      </c>
      <c r="C4298" t="inlineStr">
        <is>
          <t>SS-01103</t>
        </is>
      </c>
      <c r="D4298" t="n">
        <v>9</v>
      </c>
      <c r="E4298" t="n">
        <v>0</v>
      </c>
      <c r="G4298">
        <f>IF(AND(A4298&gt;=Inputs!$B$5,A4298&lt;=Inputs!$B$6),1,0)</f>
        <v/>
      </c>
    </row>
    <row r="4299">
      <c r="A4299" t="inlineStr">
        <is>
          <t>2025-03</t>
        </is>
      </c>
      <c r="B4299" t="inlineStr">
        <is>
          <t>HOSP-2</t>
        </is>
      </c>
      <c r="C4299" t="inlineStr">
        <is>
          <t>SS-01200</t>
        </is>
      </c>
      <c r="D4299" t="n">
        <v>21</v>
      </c>
      <c r="E4299" t="n">
        <v>0</v>
      </c>
      <c r="G4299">
        <f>IF(AND(A4299&gt;=Inputs!$B$5,A4299&lt;=Inputs!$B$6),1,0)</f>
        <v/>
      </c>
    </row>
    <row r="4300">
      <c r="A4300" t="inlineStr">
        <is>
          <t>2025-03</t>
        </is>
      </c>
      <c r="B4300" t="inlineStr">
        <is>
          <t>HOSP-3</t>
        </is>
      </c>
      <c r="C4300" t="inlineStr">
        <is>
          <t>SS-01105</t>
        </is>
      </c>
      <c r="D4300" t="n">
        <v>0</v>
      </c>
      <c r="E4300" t="n">
        <v>0</v>
      </c>
      <c r="G4300">
        <f>IF(AND(A4300&gt;=Inputs!$B$5,A4300&lt;=Inputs!$B$6),1,0)</f>
        <v/>
      </c>
    </row>
    <row r="4301">
      <c r="A4301" t="inlineStr">
        <is>
          <t>2025-03</t>
        </is>
      </c>
      <c r="B4301" t="inlineStr">
        <is>
          <t>HOSP-4</t>
        </is>
      </c>
      <c r="C4301" t="inlineStr">
        <is>
          <t>SS-01106</t>
        </is>
      </c>
      <c r="D4301" t="n">
        <v>11</v>
      </c>
      <c r="E4301" t="n">
        <v>0</v>
      </c>
      <c r="G4301">
        <f>IF(AND(A4301&gt;=Inputs!$B$5,A4301&lt;=Inputs!$B$6),1,0)</f>
        <v/>
      </c>
    </row>
    <row r="4302">
      <c r="A4302" t="inlineStr">
        <is>
          <t>2025-03</t>
        </is>
      </c>
      <c r="B4302" t="inlineStr">
        <is>
          <t>HOSP-1</t>
        </is>
      </c>
      <c r="C4302" t="inlineStr">
        <is>
          <t>SS-01230</t>
        </is>
      </c>
      <c r="D4302" t="n">
        <v>24</v>
      </c>
      <c r="E4302" t="n">
        <v>0</v>
      </c>
      <c r="G4302">
        <f>IF(AND(A4302&gt;=Inputs!$B$5,A4302&lt;=Inputs!$B$6),1,0)</f>
        <v/>
      </c>
    </row>
    <row r="4303">
      <c r="A4303" t="inlineStr">
        <is>
          <t>2025-03</t>
        </is>
      </c>
      <c r="B4303" t="inlineStr">
        <is>
          <t>HOSP-2</t>
        </is>
      </c>
      <c r="C4303" t="inlineStr">
        <is>
          <t>SS-01108</t>
        </is>
      </c>
      <c r="D4303" t="n">
        <v>24</v>
      </c>
      <c r="E4303" t="n">
        <v>0</v>
      </c>
      <c r="G4303">
        <f>IF(AND(A4303&gt;=Inputs!$B$5,A4303&lt;=Inputs!$B$6),1,0)</f>
        <v/>
      </c>
    </row>
    <row r="4304">
      <c r="A4304" t="inlineStr">
        <is>
          <t>2025-03</t>
        </is>
      </c>
      <c r="B4304" t="inlineStr">
        <is>
          <t>HOSP-3</t>
        </is>
      </c>
      <c r="C4304" t="inlineStr">
        <is>
          <t>SS-01109</t>
        </is>
      </c>
      <c r="D4304" t="n">
        <v>32</v>
      </c>
      <c r="E4304" t="n">
        <v>0</v>
      </c>
      <c r="G4304">
        <f>IF(AND(A4304&gt;=Inputs!$B$5,A4304&lt;=Inputs!$B$6),1,0)</f>
        <v/>
      </c>
    </row>
    <row r="4305">
      <c r="A4305" t="inlineStr">
        <is>
          <t>2025-03</t>
        </is>
      </c>
      <c r="B4305" t="inlineStr">
        <is>
          <t>HOSP-4</t>
        </is>
      </c>
      <c r="C4305" t="inlineStr">
        <is>
          <t>SS-01110</t>
        </is>
      </c>
      <c r="D4305" t="n">
        <v>60</v>
      </c>
      <c r="E4305" t="n">
        <v>0</v>
      </c>
      <c r="G4305">
        <f>IF(AND(A4305&gt;=Inputs!$B$5,A4305&lt;=Inputs!$B$6),1,0)</f>
        <v/>
      </c>
    </row>
    <row r="4306">
      <c r="A4306" t="inlineStr">
        <is>
          <t>2025-03</t>
        </is>
      </c>
      <c r="B4306" t="inlineStr">
        <is>
          <t>HOSP-1</t>
        </is>
      </c>
      <c r="C4306" t="inlineStr">
        <is>
          <t>SS-01111</t>
        </is>
      </c>
      <c r="D4306" t="n">
        <v>12</v>
      </c>
      <c r="E4306" t="n">
        <v>0</v>
      </c>
      <c r="G4306">
        <f>IF(AND(A4306&gt;=Inputs!$B$5,A4306&lt;=Inputs!$B$6),1,0)</f>
        <v/>
      </c>
    </row>
    <row r="4307">
      <c r="A4307" t="inlineStr">
        <is>
          <t>2025-03</t>
        </is>
      </c>
      <c r="B4307" t="inlineStr">
        <is>
          <t>HOSP-2</t>
        </is>
      </c>
      <c r="C4307" t="inlineStr">
        <is>
          <t>SS-01133</t>
        </is>
      </c>
      <c r="D4307" t="n">
        <v>216</v>
      </c>
      <c r="E4307" t="n">
        <v>0</v>
      </c>
      <c r="G4307">
        <f>IF(AND(A4307&gt;=Inputs!$B$5,A4307&lt;=Inputs!$B$6),1,0)</f>
        <v/>
      </c>
    </row>
    <row r="4308">
      <c r="A4308" t="inlineStr">
        <is>
          <t>2025-03</t>
        </is>
      </c>
      <c r="B4308" t="inlineStr">
        <is>
          <t>HOSP-3</t>
        </is>
      </c>
      <c r="C4308" t="inlineStr">
        <is>
          <t>SS-01113</t>
        </is>
      </c>
      <c r="D4308" t="n">
        <v>24</v>
      </c>
      <c r="E4308" t="n">
        <v>0</v>
      </c>
      <c r="G4308">
        <f>IF(AND(A4308&gt;=Inputs!$B$5,A4308&lt;=Inputs!$B$6),1,0)</f>
        <v/>
      </c>
    </row>
    <row r="4309">
      <c r="A4309" t="inlineStr">
        <is>
          <t>2025-03</t>
        </is>
      </c>
      <c r="B4309" t="inlineStr">
        <is>
          <t>HOSP-4</t>
        </is>
      </c>
      <c r="C4309" t="inlineStr">
        <is>
          <t>SS-01096</t>
        </is>
      </c>
      <c r="D4309" t="n">
        <v>13</v>
      </c>
      <c r="E4309" t="n">
        <v>2</v>
      </c>
      <c r="G4309">
        <f>IF(AND(A4309&gt;=Inputs!$B$5,A4309&lt;=Inputs!$B$6),1,0)</f>
        <v/>
      </c>
    </row>
    <row r="4310">
      <c r="A4310" t="inlineStr">
        <is>
          <t>2025-03</t>
        </is>
      </c>
      <c r="B4310" t="inlineStr">
        <is>
          <t>HOSP-1</t>
        </is>
      </c>
      <c r="C4310" t="inlineStr">
        <is>
          <t>SS-01115</t>
        </is>
      </c>
      <c r="D4310" t="n">
        <v>0</v>
      </c>
      <c r="E4310" t="n">
        <v>2</v>
      </c>
      <c r="G4310">
        <f>IF(AND(A4310&gt;=Inputs!$B$5,A4310&lt;=Inputs!$B$6),1,0)</f>
        <v/>
      </c>
    </row>
    <row r="4311">
      <c r="A4311" t="inlineStr">
        <is>
          <t>2025-03</t>
        </is>
      </c>
      <c r="B4311" t="inlineStr">
        <is>
          <t>HOSP-2</t>
        </is>
      </c>
      <c r="C4311" t="inlineStr">
        <is>
          <t>SS-01213</t>
        </is>
      </c>
      <c r="D4311" t="n">
        <v>40</v>
      </c>
      <c r="E4311" t="n">
        <v>0</v>
      </c>
      <c r="G4311">
        <f>IF(AND(A4311&gt;=Inputs!$B$5,A4311&lt;=Inputs!$B$6),1,0)</f>
        <v/>
      </c>
    </row>
    <row r="4312">
      <c r="A4312" t="inlineStr">
        <is>
          <t>2025-03</t>
        </is>
      </c>
      <c r="B4312" t="inlineStr">
        <is>
          <t>HOSP-3</t>
        </is>
      </c>
      <c r="C4312" t="inlineStr">
        <is>
          <t>SS-01117</t>
        </is>
      </c>
      <c r="D4312" t="n">
        <v>12</v>
      </c>
      <c r="E4312" t="n">
        <v>0</v>
      </c>
      <c r="G4312">
        <f>IF(AND(A4312&gt;=Inputs!$B$5,A4312&lt;=Inputs!$B$6),1,0)</f>
        <v/>
      </c>
    </row>
    <row r="4313">
      <c r="A4313" t="inlineStr">
        <is>
          <t>2025-03</t>
        </is>
      </c>
      <c r="B4313" t="inlineStr">
        <is>
          <t>HOSP-4</t>
        </is>
      </c>
      <c r="C4313" t="inlineStr">
        <is>
          <t>SS-01118</t>
        </is>
      </c>
      <c r="D4313" t="n">
        <v>48</v>
      </c>
      <c r="E4313" t="n">
        <v>0</v>
      </c>
      <c r="G4313">
        <f>IF(AND(A4313&gt;=Inputs!$B$5,A4313&lt;=Inputs!$B$6),1,0)</f>
        <v/>
      </c>
    </row>
    <row r="4314">
      <c r="A4314" t="inlineStr">
        <is>
          <t>2025-03</t>
        </is>
      </c>
      <c r="B4314" t="inlineStr">
        <is>
          <t>HOSP-1</t>
        </is>
      </c>
      <c r="C4314" t="inlineStr">
        <is>
          <t>SS-01119</t>
        </is>
      </c>
      <c r="D4314" t="n">
        <v>24</v>
      </c>
      <c r="E4314" t="n">
        <v>0</v>
      </c>
      <c r="G4314">
        <f>IF(AND(A4314&gt;=Inputs!$B$5,A4314&lt;=Inputs!$B$6),1,0)</f>
        <v/>
      </c>
    </row>
    <row r="4315">
      <c r="A4315" t="inlineStr">
        <is>
          <t>2025-03</t>
        </is>
      </c>
      <c r="B4315" t="inlineStr">
        <is>
          <t>HOSP-2</t>
        </is>
      </c>
      <c r="C4315" t="inlineStr">
        <is>
          <t>SS-01071</t>
        </is>
      </c>
      <c r="D4315" t="n">
        <v>24</v>
      </c>
      <c r="E4315" t="n">
        <v>0</v>
      </c>
      <c r="G4315">
        <f>IF(AND(A4315&gt;=Inputs!$B$5,A4315&lt;=Inputs!$B$6),1,0)</f>
        <v/>
      </c>
    </row>
    <row r="4316">
      <c r="A4316" t="inlineStr">
        <is>
          <t>2025-03</t>
        </is>
      </c>
      <c r="B4316" t="inlineStr">
        <is>
          <t>HOSP-3</t>
        </is>
      </c>
      <c r="C4316" t="inlineStr">
        <is>
          <t>SS-01121</t>
        </is>
      </c>
      <c r="D4316" t="n">
        <v>0</v>
      </c>
      <c r="E4316" t="n">
        <v>0</v>
      </c>
      <c r="G4316">
        <f>IF(AND(A4316&gt;=Inputs!$B$5,A4316&lt;=Inputs!$B$6),1,0)</f>
        <v/>
      </c>
    </row>
    <row r="4317">
      <c r="A4317" t="inlineStr">
        <is>
          <t>2025-03</t>
        </is>
      </c>
      <c r="B4317" t="inlineStr">
        <is>
          <t>HOSP-4</t>
        </is>
      </c>
      <c r="C4317" t="inlineStr">
        <is>
          <t>SS-01122</t>
        </is>
      </c>
      <c r="D4317" t="n">
        <v>12</v>
      </c>
      <c r="E4317" t="n">
        <v>0</v>
      </c>
      <c r="G4317">
        <f>IF(AND(A4317&gt;=Inputs!$B$5,A4317&lt;=Inputs!$B$6),1,0)</f>
        <v/>
      </c>
    </row>
    <row r="4318">
      <c r="A4318" t="inlineStr">
        <is>
          <t>2025-03</t>
        </is>
      </c>
      <c r="B4318" t="inlineStr">
        <is>
          <t>HOSP-1</t>
        </is>
      </c>
      <c r="C4318" t="inlineStr">
        <is>
          <t>SS-01123</t>
        </is>
      </c>
      <c r="D4318" t="n">
        <v>24</v>
      </c>
      <c r="E4318" t="n">
        <v>0</v>
      </c>
      <c r="G4318">
        <f>IF(AND(A4318&gt;=Inputs!$B$5,A4318&lt;=Inputs!$B$6),1,0)</f>
        <v/>
      </c>
    </row>
    <row r="4319">
      <c r="A4319" t="inlineStr">
        <is>
          <t>2025-03</t>
        </is>
      </c>
      <c r="B4319" t="inlineStr">
        <is>
          <t>HOSP-2</t>
        </is>
      </c>
      <c r="C4319" t="inlineStr">
        <is>
          <t>SS-01124</t>
        </is>
      </c>
      <c r="D4319" t="n">
        <v>12</v>
      </c>
      <c r="E4319" t="n">
        <v>0</v>
      </c>
      <c r="G4319">
        <f>IF(AND(A4319&gt;=Inputs!$B$5,A4319&lt;=Inputs!$B$6),1,0)</f>
        <v/>
      </c>
    </row>
    <row r="4320">
      <c r="A4320" t="inlineStr">
        <is>
          <t>2025-03</t>
        </is>
      </c>
      <c r="B4320" t="inlineStr">
        <is>
          <t>HOSP-3</t>
        </is>
      </c>
      <c r="C4320" t="inlineStr">
        <is>
          <t>SS-01125</t>
        </is>
      </c>
      <c r="D4320" t="n">
        <v>0</v>
      </c>
      <c r="E4320" t="n">
        <v>0</v>
      </c>
      <c r="G4320">
        <f>IF(AND(A4320&gt;=Inputs!$B$5,A4320&lt;=Inputs!$B$6),1,0)</f>
        <v/>
      </c>
    </row>
    <row r="4321">
      <c r="A4321" t="inlineStr">
        <is>
          <t>2025-03</t>
        </is>
      </c>
      <c r="B4321" t="inlineStr">
        <is>
          <t>HOSP-4</t>
        </is>
      </c>
      <c r="C4321" t="inlineStr">
        <is>
          <t>SS-01126</t>
        </is>
      </c>
      <c r="D4321" t="n">
        <v>48</v>
      </c>
      <c r="E4321" t="n">
        <v>0</v>
      </c>
      <c r="G4321">
        <f>IF(AND(A4321&gt;=Inputs!$B$5,A4321&lt;=Inputs!$B$6),1,0)</f>
        <v/>
      </c>
    </row>
    <row r="4322">
      <c r="A4322" t="inlineStr">
        <is>
          <t>2025-03</t>
        </is>
      </c>
      <c r="B4322" t="inlineStr">
        <is>
          <t>HOSP-1</t>
        </is>
      </c>
      <c r="C4322" t="inlineStr">
        <is>
          <t>SS-01127</t>
        </is>
      </c>
      <c r="D4322" t="n">
        <v>6</v>
      </c>
      <c r="E4322" t="n">
        <v>1</v>
      </c>
      <c r="G4322">
        <f>IF(AND(A4322&gt;=Inputs!$B$5,A4322&lt;=Inputs!$B$6),1,0)</f>
        <v/>
      </c>
    </row>
    <row r="4323">
      <c r="A4323" t="inlineStr">
        <is>
          <t>2025-03</t>
        </is>
      </c>
      <c r="B4323" t="inlineStr">
        <is>
          <t>HOSP-2</t>
        </is>
      </c>
      <c r="C4323" t="inlineStr">
        <is>
          <t>SS-01199</t>
        </is>
      </c>
      <c r="D4323" t="n">
        <v>2</v>
      </c>
      <c r="E4323" t="n">
        <v>7</v>
      </c>
      <c r="G4323">
        <f>IF(AND(A4323&gt;=Inputs!$B$5,A4323&lt;=Inputs!$B$6),1,0)</f>
        <v/>
      </c>
    </row>
    <row r="4324">
      <c r="A4324" t="inlineStr">
        <is>
          <t>2025-03</t>
        </is>
      </c>
      <c r="B4324" t="inlineStr">
        <is>
          <t>HOSP-3</t>
        </is>
      </c>
      <c r="C4324" t="inlineStr">
        <is>
          <t>SS-01129</t>
        </is>
      </c>
      <c r="D4324" t="n">
        <v>0</v>
      </c>
      <c r="E4324" t="n">
        <v>0</v>
      </c>
      <c r="G4324">
        <f>IF(AND(A4324&gt;=Inputs!$B$5,A4324&lt;=Inputs!$B$6),1,0)</f>
        <v/>
      </c>
    </row>
    <row r="4325">
      <c r="A4325" t="inlineStr">
        <is>
          <t>2025-03</t>
        </is>
      </c>
      <c r="B4325" t="inlineStr">
        <is>
          <t>HOSP-4</t>
        </is>
      </c>
      <c r="C4325" t="inlineStr">
        <is>
          <t>SS-01130</t>
        </is>
      </c>
      <c r="D4325" t="n">
        <v>36</v>
      </c>
      <c r="E4325" t="n">
        <v>0</v>
      </c>
      <c r="G4325">
        <f>IF(AND(A4325&gt;=Inputs!$B$5,A4325&lt;=Inputs!$B$6),1,0)</f>
        <v/>
      </c>
    </row>
    <row r="4326">
      <c r="A4326" t="inlineStr">
        <is>
          <t>2025-03</t>
        </is>
      </c>
      <c r="B4326" t="inlineStr">
        <is>
          <t>HOSP-1</t>
        </is>
      </c>
      <c r="C4326" t="inlineStr">
        <is>
          <t>SS-01131</t>
        </is>
      </c>
      <c r="D4326" t="n">
        <v>24</v>
      </c>
      <c r="E4326" t="n">
        <v>0</v>
      </c>
      <c r="G4326">
        <f>IF(AND(A4326&gt;=Inputs!$B$5,A4326&lt;=Inputs!$B$6),1,0)</f>
        <v/>
      </c>
    </row>
    <row r="4327">
      <c r="A4327" t="inlineStr">
        <is>
          <t>2025-03</t>
        </is>
      </c>
      <c r="B4327" t="inlineStr">
        <is>
          <t>HOSP-2</t>
        </is>
      </c>
      <c r="C4327" t="inlineStr">
        <is>
          <t>SS-01132</t>
        </is>
      </c>
      <c r="D4327" t="n">
        <v>96</v>
      </c>
      <c r="E4327" t="n">
        <v>0</v>
      </c>
      <c r="F4327" t="inlineStr">
        <is>
          <t>surge</t>
        </is>
      </c>
      <c r="G4327">
        <f>IF(AND(A4327&gt;=Inputs!$B$5,A4327&lt;=Inputs!$B$6),1,0)</f>
        <v/>
      </c>
    </row>
    <row r="4328">
      <c r="A4328" t="inlineStr">
        <is>
          <t>2025-03</t>
        </is>
      </c>
      <c r="B4328" t="inlineStr">
        <is>
          <t>HOSP-3</t>
        </is>
      </c>
      <c r="C4328" t="inlineStr">
        <is>
          <t>SS-01133</t>
        </is>
      </c>
      <c r="D4328" t="n">
        <v>5</v>
      </c>
      <c r="E4328" t="n">
        <v>2</v>
      </c>
      <c r="G4328">
        <f>IF(AND(A4328&gt;=Inputs!$B$5,A4328&lt;=Inputs!$B$6),1,0)</f>
        <v/>
      </c>
    </row>
    <row r="4329">
      <c r="A4329" t="inlineStr">
        <is>
          <t>2025-03</t>
        </is>
      </c>
      <c r="B4329" t="inlineStr">
        <is>
          <t>HOSP-4</t>
        </is>
      </c>
      <c r="C4329" t="inlineStr">
        <is>
          <t>SS-01134</t>
        </is>
      </c>
      <c r="D4329" t="n">
        <v>12</v>
      </c>
      <c r="E4329" t="n">
        <v>0</v>
      </c>
      <c r="G4329">
        <f>IF(AND(A4329&gt;=Inputs!$B$5,A4329&lt;=Inputs!$B$6),1,0)</f>
        <v/>
      </c>
    </row>
    <row r="4330">
      <c r="A4330" t="inlineStr">
        <is>
          <t>2025-03</t>
        </is>
      </c>
      <c r="B4330" t="inlineStr">
        <is>
          <t>HOSP-1</t>
        </is>
      </c>
      <c r="C4330" t="inlineStr">
        <is>
          <t>SS-01135</t>
        </is>
      </c>
      <c r="D4330" t="n">
        <v>84</v>
      </c>
      <c r="E4330" t="n">
        <v>0</v>
      </c>
      <c r="G4330">
        <f>IF(AND(A4330&gt;=Inputs!$B$5,A4330&lt;=Inputs!$B$6),1,0)</f>
        <v/>
      </c>
    </row>
    <row r="4331">
      <c r="A4331" t="inlineStr">
        <is>
          <t>2025-03</t>
        </is>
      </c>
      <c r="B4331" t="inlineStr">
        <is>
          <t>HOSP-2</t>
        </is>
      </c>
      <c r="C4331" t="inlineStr">
        <is>
          <t>SS-01136</t>
        </is>
      </c>
      <c r="D4331" t="n">
        <v>0</v>
      </c>
      <c r="E4331" t="n">
        <v>0</v>
      </c>
      <c r="G4331">
        <f>IF(AND(A4331&gt;=Inputs!$B$5,A4331&lt;=Inputs!$B$6),1,0)</f>
        <v/>
      </c>
    </row>
    <row r="4332">
      <c r="A4332" t="inlineStr">
        <is>
          <t>2025-03</t>
        </is>
      </c>
      <c r="B4332" t="inlineStr">
        <is>
          <t>HOSP-3</t>
        </is>
      </c>
      <c r="C4332" t="inlineStr">
        <is>
          <t>SS-01137</t>
        </is>
      </c>
      <c r="D4332" t="n">
        <v>84</v>
      </c>
      <c r="E4332" t="n">
        <v>0</v>
      </c>
      <c r="G4332">
        <f>IF(AND(A4332&gt;=Inputs!$B$5,A4332&lt;=Inputs!$B$6),1,0)</f>
        <v/>
      </c>
    </row>
    <row r="4333">
      <c r="A4333" t="inlineStr">
        <is>
          <t>2025-03</t>
        </is>
      </c>
      <c r="B4333" t="inlineStr">
        <is>
          <t>HOSP-4</t>
        </is>
      </c>
      <c r="C4333" t="inlineStr">
        <is>
          <t>SS-01138</t>
        </is>
      </c>
      <c r="D4333" t="n">
        <v>12</v>
      </c>
      <c r="E4333" t="n">
        <v>0</v>
      </c>
      <c r="G4333">
        <f>IF(AND(A4333&gt;=Inputs!$B$5,A4333&lt;=Inputs!$B$6),1,0)</f>
        <v/>
      </c>
    </row>
    <row r="4334">
      <c r="A4334" t="inlineStr">
        <is>
          <t>2025-03</t>
        </is>
      </c>
      <c r="B4334" t="inlineStr">
        <is>
          <t>HOSP-1</t>
        </is>
      </c>
      <c r="C4334" t="inlineStr">
        <is>
          <t>SS-01139</t>
        </is>
      </c>
      <c r="D4334" t="n">
        <v>0</v>
      </c>
      <c r="E4334" t="n">
        <v>0</v>
      </c>
      <c r="G4334">
        <f>IF(AND(A4334&gt;=Inputs!$B$5,A4334&lt;=Inputs!$B$6),1,0)</f>
        <v/>
      </c>
    </row>
    <row r="4335">
      <c r="A4335" t="inlineStr">
        <is>
          <t>2025-03</t>
        </is>
      </c>
      <c r="B4335" t="inlineStr">
        <is>
          <t>HOSP-2</t>
        </is>
      </c>
      <c r="C4335" t="inlineStr">
        <is>
          <t>SS-01140</t>
        </is>
      </c>
      <c r="D4335" t="n">
        <v>48</v>
      </c>
      <c r="E4335" t="n">
        <v>0</v>
      </c>
      <c r="G4335">
        <f>IF(AND(A4335&gt;=Inputs!$B$5,A4335&lt;=Inputs!$B$6),1,0)</f>
        <v/>
      </c>
    </row>
    <row r="4336">
      <c r="A4336" t="inlineStr">
        <is>
          <t>2025-03</t>
        </is>
      </c>
      <c r="B4336" t="inlineStr">
        <is>
          <t>HOSP-3</t>
        </is>
      </c>
      <c r="C4336" t="inlineStr">
        <is>
          <t>SS-01141</t>
        </is>
      </c>
      <c r="D4336" t="n">
        <v>12</v>
      </c>
      <c r="E4336" t="n">
        <v>0</v>
      </c>
      <c r="G4336">
        <f>IF(AND(A4336&gt;=Inputs!$B$5,A4336&lt;=Inputs!$B$6),1,0)</f>
        <v/>
      </c>
    </row>
    <row r="4337">
      <c r="A4337" t="inlineStr">
        <is>
          <t>2025-03</t>
        </is>
      </c>
      <c r="B4337" t="inlineStr">
        <is>
          <t>HOSP-4</t>
        </is>
      </c>
      <c r="C4337" t="inlineStr">
        <is>
          <t>SS-01142</t>
        </is>
      </c>
      <c r="D4337" t="n">
        <v>0</v>
      </c>
      <c r="E4337" t="n">
        <v>0</v>
      </c>
      <c r="G4337">
        <f>IF(AND(A4337&gt;=Inputs!$B$5,A4337&lt;=Inputs!$B$6),1,0)</f>
        <v/>
      </c>
    </row>
    <row r="4338">
      <c r="A4338" t="inlineStr">
        <is>
          <t>2025-03</t>
        </is>
      </c>
      <c r="B4338" t="inlineStr">
        <is>
          <t>HOSP-1</t>
        </is>
      </c>
      <c r="C4338" t="inlineStr">
        <is>
          <t>SS-01217</t>
        </is>
      </c>
      <c r="D4338" t="n">
        <v>12</v>
      </c>
      <c r="E4338" t="n">
        <v>0</v>
      </c>
      <c r="G4338">
        <f>IF(AND(A4338&gt;=Inputs!$B$5,A4338&lt;=Inputs!$B$6),1,0)</f>
        <v/>
      </c>
    </row>
    <row r="4339">
      <c r="A4339" t="inlineStr">
        <is>
          <t>2025-03</t>
        </is>
      </c>
      <c r="B4339" t="inlineStr">
        <is>
          <t>HOSP-2</t>
        </is>
      </c>
      <c r="C4339" t="inlineStr">
        <is>
          <t>SS-01192</t>
        </is>
      </c>
      <c r="D4339" t="n">
        <v>0</v>
      </c>
      <c r="E4339" t="n">
        <v>2</v>
      </c>
      <c r="G4339">
        <f>IF(AND(A4339&gt;=Inputs!$B$5,A4339&lt;=Inputs!$B$6),1,0)</f>
        <v/>
      </c>
    </row>
    <row r="4340">
      <c r="A4340" t="inlineStr">
        <is>
          <t>2025-03</t>
        </is>
      </c>
      <c r="B4340" t="inlineStr">
        <is>
          <t>HOSP-3</t>
        </is>
      </c>
      <c r="C4340" t="inlineStr">
        <is>
          <t>SS-01130</t>
        </is>
      </c>
      <c r="D4340" t="n">
        <v>108</v>
      </c>
      <c r="E4340" t="n">
        <v>0</v>
      </c>
      <c r="G4340">
        <f>IF(AND(A4340&gt;=Inputs!$B$5,A4340&lt;=Inputs!$B$6),1,0)</f>
        <v/>
      </c>
    </row>
    <row r="4341">
      <c r="A4341" t="inlineStr">
        <is>
          <t>2025-03</t>
        </is>
      </c>
      <c r="B4341" t="inlineStr">
        <is>
          <t>HOSP-4</t>
        </is>
      </c>
      <c r="C4341" t="inlineStr">
        <is>
          <t>SS-01146</t>
        </is>
      </c>
      <c r="D4341" t="n">
        <v>12</v>
      </c>
      <c r="E4341" t="n">
        <v>0</v>
      </c>
      <c r="G4341">
        <f>IF(AND(A4341&gt;=Inputs!$B$5,A4341&lt;=Inputs!$B$6),1,0)</f>
        <v/>
      </c>
    </row>
    <row r="4342">
      <c r="A4342" t="inlineStr">
        <is>
          <t>2025-03</t>
        </is>
      </c>
      <c r="B4342" t="inlineStr">
        <is>
          <t>HOSP-1</t>
        </is>
      </c>
      <c r="C4342" t="inlineStr">
        <is>
          <t>SS-01147</t>
        </is>
      </c>
      <c r="D4342" t="n">
        <v>12</v>
      </c>
      <c r="E4342" t="n">
        <v>0</v>
      </c>
      <c r="G4342">
        <f>IF(AND(A4342&gt;=Inputs!$B$5,A4342&lt;=Inputs!$B$6),1,0)</f>
        <v/>
      </c>
    </row>
    <row r="4343">
      <c r="A4343" t="inlineStr">
        <is>
          <t>2025-03</t>
        </is>
      </c>
      <c r="B4343" t="inlineStr">
        <is>
          <t>HOSP-2</t>
        </is>
      </c>
      <c r="C4343" t="inlineStr">
        <is>
          <t>SS-01148</t>
        </is>
      </c>
      <c r="D4343" t="n">
        <v>0</v>
      </c>
      <c r="E4343" t="n">
        <v>0</v>
      </c>
      <c r="G4343">
        <f>IF(AND(A4343&gt;=Inputs!$B$5,A4343&lt;=Inputs!$B$6),1,0)</f>
        <v/>
      </c>
    </row>
    <row r="4344">
      <c r="A4344" t="inlineStr">
        <is>
          <t>2025-03</t>
        </is>
      </c>
      <c r="B4344" t="inlineStr">
        <is>
          <t>HOSP-3</t>
        </is>
      </c>
      <c r="C4344" t="inlineStr">
        <is>
          <t>SS-01066</t>
        </is>
      </c>
      <c r="D4344" t="n">
        <v>71</v>
      </c>
      <c r="E4344" t="n">
        <v>0</v>
      </c>
      <c r="G4344">
        <f>IF(AND(A4344&gt;=Inputs!$B$5,A4344&lt;=Inputs!$B$6),1,0)</f>
        <v/>
      </c>
    </row>
    <row r="4345">
      <c r="A4345" t="inlineStr">
        <is>
          <t>2025-03</t>
        </is>
      </c>
      <c r="B4345" t="inlineStr">
        <is>
          <t>HOSP-4</t>
        </is>
      </c>
      <c r="C4345" t="inlineStr">
        <is>
          <t>SS-01150</t>
        </is>
      </c>
      <c r="D4345" t="n">
        <v>14</v>
      </c>
      <c r="E4345" t="n">
        <v>0</v>
      </c>
      <c r="G4345">
        <f>IF(AND(A4345&gt;=Inputs!$B$5,A4345&lt;=Inputs!$B$6),1,0)</f>
        <v/>
      </c>
    </row>
    <row r="4346">
      <c r="A4346" t="inlineStr">
        <is>
          <t>2025-03</t>
        </is>
      </c>
      <c r="B4346" t="inlineStr">
        <is>
          <t>HOSP-1</t>
        </is>
      </c>
      <c r="C4346" t="inlineStr">
        <is>
          <t>SS-01151</t>
        </is>
      </c>
      <c r="D4346" t="n">
        <v>132</v>
      </c>
      <c r="E4346" t="n">
        <v>0</v>
      </c>
      <c r="G4346">
        <f>IF(AND(A4346&gt;=Inputs!$B$5,A4346&lt;=Inputs!$B$6),1,0)</f>
        <v/>
      </c>
    </row>
    <row r="4347">
      <c r="A4347" t="inlineStr">
        <is>
          <t>2025-03</t>
        </is>
      </c>
      <c r="B4347" t="inlineStr">
        <is>
          <t>HOSP-2</t>
        </is>
      </c>
      <c r="C4347" t="inlineStr">
        <is>
          <t>SS-01152</t>
        </is>
      </c>
      <c r="D4347" t="n">
        <v>35</v>
      </c>
      <c r="E4347" t="n">
        <v>0</v>
      </c>
      <c r="G4347">
        <f>IF(AND(A4347&gt;=Inputs!$B$5,A4347&lt;=Inputs!$B$6),1,0)</f>
        <v/>
      </c>
    </row>
    <row r="4348">
      <c r="A4348" t="inlineStr">
        <is>
          <t>2025-03</t>
        </is>
      </c>
      <c r="B4348" t="inlineStr">
        <is>
          <t>HOSP-3</t>
        </is>
      </c>
      <c r="C4348" t="inlineStr">
        <is>
          <t>SS-01076</t>
        </is>
      </c>
      <c r="D4348" t="n">
        <v>264</v>
      </c>
      <c r="E4348" t="n">
        <v>0</v>
      </c>
      <c r="G4348">
        <f>IF(AND(A4348&gt;=Inputs!$B$5,A4348&lt;=Inputs!$B$6),1,0)</f>
        <v/>
      </c>
    </row>
    <row r="4349">
      <c r="A4349" t="inlineStr">
        <is>
          <t>2025-07</t>
        </is>
      </c>
      <c r="B4349" t="inlineStr">
        <is>
          <t>HOSP-4</t>
        </is>
      </c>
      <c r="C4349" t="inlineStr">
        <is>
          <t>SS-01154</t>
        </is>
      </c>
      <c r="D4349" t="n">
        <v>144</v>
      </c>
      <c r="E4349" t="n">
        <v>0</v>
      </c>
      <c r="G4349">
        <f>IF(AND(A4349&gt;=Inputs!$B$5,A4349&lt;=Inputs!$B$6),1,0)</f>
        <v/>
      </c>
    </row>
    <row r="4350">
      <c r="A4350" t="inlineStr">
        <is>
          <t>2025-07</t>
        </is>
      </c>
      <c r="B4350" t="inlineStr">
        <is>
          <t>HOSP-1</t>
        </is>
      </c>
      <c r="C4350" t="inlineStr">
        <is>
          <t>SS-01155</t>
        </is>
      </c>
      <c r="D4350" t="n">
        <v>12</v>
      </c>
      <c r="E4350" t="n">
        <v>0</v>
      </c>
      <c r="G4350">
        <f>IF(AND(A4350&gt;=Inputs!$B$5,A4350&lt;=Inputs!$B$6),1,0)</f>
        <v/>
      </c>
    </row>
    <row r="4351">
      <c r="A4351" t="inlineStr">
        <is>
          <t>2025-07</t>
        </is>
      </c>
      <c r="B4351" t="inlineStr">
        <is>
          <t>HOSP-2</t>
        </is>
      </c>
      <c r="C4351" t="inlineStr">
        <is>
          <t>SS-01156</t>
        </is>
      </c>
      <c r="D4351" t="n">
        <v>12</v>
      </c>
      <c r="E4351" t="n">
        <v>0</v>
      </c>
      <c r="G4351">
        <f>IF(AND(A4351&gt;=Inputs!$B$5,A4351&lt;=Inputs!$B$6),1,0)</f>
        <v/>
      </c>
    </row>
    <row r="4352">
      <c r="A4352" t="inlineStr">
        <is>
          <t>2025-07</t>
        </is>
      </c>
      <c r="B4352" t="inlineStr">
        <is>
          <t>HOSP-3</t>
        </is>
      </c>
      <c r="C4352" t="inlineStr">
        <is>
          <t>SS-01157</t>
        </is>
      </c>
      <c r="D4352" t="n">
        <v>48</v>
      </c>
      <c r="E4352" t="n">
        <v>0</v>
      </c>
      <c r="G4352">
        <f>IF(AND(A4352&gt;=Inputs!$B$5,A4352&lt;=Inputs!$B$6),1,0)</f>
        <v/>
      </c>
    </row>
    <row r="4353">
      <c r="A4353" t="inlineStr">
        <is>
          <t>2025-07</t>
        </is>
      </c>
      <c r="B4353" t="inlineStr">
        <is>
          <t>HOSP-4</t>
        </is>
      </c>
      <c r="C4353" t="inlineStr">
        <is>
          <t>SS-01158</t>
        </is>
      </c>
      <c r="D4353" t="n">
        <v>108</v>
      </c>
      <c r="E4353" t="n">
        <v>0</v>
      </c>
      <c r="G4353">
        <f>IF(AND(A4353&gt;=Inputs!$B$5,A4353&lt;=Inputs!$B$6),1,0)</f>
        <v/>
      </c>
    </row>
    <row r="4354">
      <c r="A4354" t="inlineStr">
        <is>
          <t>2025-07</t>
        </is>
      </c>
      <c r="B4354" t="inlineStr">
        <is>
          <t>HOSP-1</t>
        </is>
      </c>
      <c r="C4354" t="inlineStr">
        <is>
          <t>SS-01159</t>
        </is>
      </c>
      <c r="D4354" t="n">
        <v>12</v>
      </c>
      <c r="E4354" t="n">
        <v>0</v>
      </c>
      <c r="G4354">
        <f>IF(AND(A4354&gt;=Inputs!$B$5,A4354&lt;=Inputs!$B$6),1,0)</f>
        <v/>
      </c>
    </row>
    <row r="4355">
      <c r="A4355" t="inlineStr">
        <is>
          <t>2025-07</t>
        </is>
      </c>
      <c r="B4355" t="inlineStr">
        <is>
          <t>HOSP-2</t>
        </is>
      </c>
      <c r="C4355" t="inlineStr">
        <is>
          <t>SS-01081</t>
        </is>
      </c>
      <c r="D4355" t="n">
        <v>120</v>
      </c>
      <c r="E4355" t="n">
        <v>0</v>
      </c>
      <c r="G4355">
        <f>IF(AND(A4355&gt;=Inputs!$B$5,A4355&lt;=Inputs!$B$6),1,0)</f>
        <v/>
      </c>
    </row>
    <row r="4356">
      <c r="A4356" t="inlineStr">
        <is>
          <t>2025-07</t>
        </is>
      </c>
      <c r="B4356" t="inlineStr">
        <is>
          <t>HOSP-3</t>
        </is>
      </c>
      <c r="C4356" t="inlineStr">
        <is>
          <t>SS-01161</t>
        </is>
      </c>
      <c r="D4356" t="n">
        <v>8</v>
      </c>
      <c r="E4356" t="n">
        <v>0</v>
      </c>
      <c r="G4356">
        <f>IF(AND(A4356&gt;=Inputs!$B$5,A4356&lt;=Inputs!$B$6),1,0)</f>
        <v/>
      </c>
    </row>
    <row r="4357">
      <c r="A4357" t="inlineStr">
        <is>
          <t>2025-07</t>
        </is>
      </c>
      <c r="B4357" t="inlineStr">
        <is>
          <t>HOSP-4</t>
        </is>
      </c>
      <c r="C4357" t="inlineStr">
        <is>
          <t>SS-01162</t>
        </is>
      </c>
      <c r="D4357" t="n">
        <v>12</v>
      </c>
      <c r="E4357" t="n">
        <v>0</v>
      </c>
      <c r="G4357">
        <f>IF(AND(A4357&gt;=Inputs!$B$5,A4357&lt;=Inputs!$B$6),1,0)</f>
        <v/>
      </c>
    </row>
    <row r="4358">
      <c r="A4358" t="inlineStr">
        <is>
          <t>2025-07</t>
        </is>
      </c>
      <c r="B4358" t="inlineStr">
        <is>
          <t>HOSP-1</t>
        </is>
      </c>
      <c r="C4358" t="inlineStr">
        <is>
          <t>SS-01163</t>
        </is>
      </c>
      <c r="D4358" t="n">
        <v>12</v>
      </c>
      <c r="E4358" t="n">
        <v>0</v>
      </c>
      <c r="G4358">
        <f>IF(AND(A4358&gt;=Inputs!$B$5,A4358&lt;=Inputs!$B$6),1,0)</f>
        <v/>
      </c>
    </row>
    <row r="4359">
      <c r="A4359" t="inlineStr">
        <is>
          <t>2025-07</t>
        </is>
      </c>
      <c r="B4359" t="inlineStr">
        <is>
          <t>HOSP-2</t>
        </is>
      </c>
      <c r="C4359" t="inlineStr">
        <is>
          <t>SS-01164</t>
        </is>
      </c>
      <c r="D4359" t="n">
        <v>3</v>
      </c>
      <c r="E4359" t="n">
        <v>2</v>
      </c>
      <c r="G4359">
        <f>IF(AND(A4359&gt;=Inputs!$B$5,A4359&lt;=Inputs!$B$6),1,0)</f>
        <v/>
      </c>
    </row>
    <row r="4360">
      <c r="A4360" t="inlineStr">
        <is>
          <t>2025-07</t>
        </is>
      </c>
      <c r="B4360" t="inlineStr">
        <is>
          <t>HOSP-3</t>
        </is>
      </c>
      <c r="C4360" t="inlineStr">
        <is>
          <t>SS-01165</t>
        </is>
      </c>
      <c r="D4360" t="n">
        <v>0</v>
      </c>
      <c r="E4360" t="n">
        <v>0</v>
      </c>
      <c r="G4360">
        <f>IF(AND(A4360&gt;=Inputs!$B$5,A4360&lt;=Inputs!$B$6),1,0)</f>
        <v/>
      </c>
    </row>
    <row r="4361">
      <c r="A4361" t="inlineStr">
        <is>
          <t>2025-07</t>
        </is>
      </c>
      <c r="B4361" t="inlineStr">
        <is>
          <t>HOSP-4</t>
        </is>
      </c>
      <c r="C4361" t="inlineStr">
        <is>
          <t>SS-01166</t>
        </is>
      </c>
      <c r="D4361" t="n">
        <v>12</v>
      </c>
      <c r="E4361" t="n">
        <v>0</v>
      </c>
      <c r="G4361">
        <f>IF(AND(A4361&gt;=Inputs!$B$5,A4361&lt;=Inputs!$B$6),1,0)</f>
        <v/>
      </c>
    </row>
    <row r="4362">
      <c r="A4362" t="inlineStr">
        <is>
          <t>2025-07</t>
        </is>
      </c>
      <c r="B4362" t="inlineStr">
        <is>
          <t>HOSP-1</t>
        </is>
      </c>
      <c r="C4362" t="inlineStr">
        <is>
          <t>SS-01167</t>
        </is>
      </c>
      <c r="D4362" t="n">
        <v>12</v>
      </c>
      <c r="E4362" t="n">
        <v>0</v>
      </c>
      <c r="G4362">
        <f>IF(AND(A4362&gt;=Inputs!$B$5,A4362&lt;=Inputs!$B$6),1,0)</f>
        <v/>
      </c>
    </row>
    <row r="4363">
      <c r="A4363" t="inlineStr">
        <is>
          <t>2025-07</t>
        </is>
      </c>
      <c r="B4363" t="inlineStr">
        <is>
          <t>HOSP-2</t>
        </is>
      </c>
      <c r="C4363" t="inlineStr">
        <is>
          <t>SS-01168</t>
        </is>
      </c>
      <c r="D4363" t="n">
        <v>24</v>
      </c>
      <c r="E4363" t="n">
        <v>0</v>
      </c>
      <c r="G4363">
        <f>IF(AND(A4363&gt;=Inputs!$B$5,A4363&lt;=Inputs!$B$6),1,0)</f>
        <v/>
      </c>
    </row>
    <row r="4364">
      <c r="A4364" t="inlineStr">
        <is>
          <t>2025-07</t>
        </is>
      </c>
      <c r="B4364" t="inlineStr">
        <is>
          <t>HOSP-3</t>
        </is>
      </c>
      <c r="C4364" t="inlineStr">
        <is>
          <t>SS-01169</t>
        </is>
      </c>
      <c r="D4364" t="n">
        <v>0</v>
      </c>
      <c r="E4364" t="n">
        <v>0</v>
      </c>
      <c r="G4364">
        <f>IF(AND(A4364&gt;=Inputs!$B$5,A4364&lt;=Inputs!$B$6),1,0)</f>
        <v/>
      </c>
    </row>
    <row r="4365">
      <c r="A4365" t="inlineStr">
        <is>
          <t>2025-07</t>
        </is>
      </c>
      <c r="B4365" t="inlineStr">
        <is>
          <t>HOSP-4</t>
        </is>
      </c>
      <c r="C4365" t="inlineStr">
        <is>
          <t>SS-01170</t>
        </is>
      </c>
      <c r="D4365" t="n">
        <v>0</v>
      </c>
      <c r="E4365" t="n">
        <v>0</v>
      </c>
      <c r="G4365">
        <f>IF(AND(A4365&gt;=Inputs!$B$5,A4365&lt;=Inputs!$B$6),1,0)</f>
        <v/>
      </c>
    </row>
    <row r="4366">
      <c r="A4366" t="inlineStr">
        <is>
          <t>2025-07</t>
        </is>
      </c>
      <c r="B4366" t="inlineStr">
        <is>
          <t>HOSP-1</t>
        </is>
      </c>
      <c r="C4366" t="inlineStr">
        <is>
          <t>SS-01171</t>
        </is>
      </c>
      <c r="D4366" t="n">
        <v>20</v>
      </c>
      <c r="E4366" t="n">
        <v>0</v>
      </c>
      <c r="G4366">
        <f>IF(AND(A4366&gt;=Inputs!$B$5,A4366&lt;=Inputs!$B$6),1,0)</f>
        <v/>
      </c>
    </row>
    <row r="4367">
      <c r="A4367" t="inlineStr">
        <is>
          <t>2025-07</t>
        </is>
      </c>
      <c r="B4367" t="inlineStr">
        <is>
          <t>HOSP-2</t>
        </is>
      </c>
      <c r="C4367" t="inlineStr">
        <is>
          <t>SS-01172</t>
        </is>
      </c>
      <c r="D4367" t="n">
        <v>7</v>
      </c>
      <c r="E4367" t="n">
        <v>0</v>
      </c>
      <c r="G4367">
        <f>IF(AND(A4367&gt;=Inputs!$B$5,A4367&lt;=Inputs!$B$6),1,0)</f>
        <v/>
      </c>
    </row>
    <row r="4368">
      <c r="A4368" t="inlineStr">
        <is>
          <t>2025-07</t>
        </is>
      </c>
      <c r="B4368" t="inlineStr">
        <is>
          <t>HOSP-3</t>
        </is>
      </c>
      <c r="C4368" t="inlineStr">
        <is>
          <t>SS-01173</t>
        </is>
      </c>
      <c r="D4368" t="n">
        <v>188</v>
      </c>
      <c r="E4368" t="n">
        <v>0</v>
      </c>
      <c r="G4368">
        <f>IF(AND(A4368&gt;=Inputs!$B$5,A4368&lt;=Inputs!$B$6),1,0)</f>
        <v/>
      </c>
    </row>
    <row r="4369">
      <c r="A4369" t="inlineStr">
        <is>
          <t>2025-07</t>
        </is>
      </c>
      <c r="B4369" t="inlineStr">
        <is>
          <t>HOSP-4</t>
        </is>
      </c>
      <c r="C4369" t="inlineStr">
        <is>
          <t>SS-01193</t>
        </is>
      </c>
      <c r="D4369" t="n">
        <v>468</v>
      </c>
      <c r="E4369" t="n">
        <v>0</v>
      </c>
      <c r="G4369">
        <f>IF(AND(A4369&gt;=Inputs!$B$5,A4369&lt;=Inputs!$B$6),1,0)</f>
        <v/>
      </c>
    </row>
    <row r="4370">
      <c r="A4370" t="inlineStr">
        <is>
          <t>2025-07</t>
        </is>
      </c>
      <c r="B4370" t="inlineStr">
        <is>
          <t>HOSP-1</t>
        </is>
      </c>
      <c r="C4370" t="inlineStr">
        <is>
          <t>SS-01175</t>
        </is>
      </c>
      <c r="D4370" t="n">
        <v>3</v>
      </c>
      <c r="E4370" t="n">
        <v>0</v>
      </c>
      <c r="G4370">
        <f>IF(AND(A4370&gt;=Inputs!$B$5,A4370&lt;=Inputs!$B$6),1,0)</f>
        <v/>
      </c>
    </row>
    <row r="4371">
      <c r="A4371" t="inlineStr">
        <is>
          <t>2025-07</t>
        </is>
      </c>
      <c r="B4371" t="inlineStr">
        <is>
          <t>HOSP-2</t>
        </is>
      </c>
      <c r="C4371" t="inlineStr">
        <is>
          <t>SS-01104</t>
        </is>
      </c>
      <c r="D4371" t="n">
        <v>0</v>
      </c>
      <c r="E4371" t="n">
        <v>3</v>
      </c>
      <c r="G4371">
        <f>IF(AND(A4371&gt;=Inputs!$B$5,A4371&lt;=Inputs!$B$6),1,0)</f>
        <v/>
      </c>
    </row>
    <row r="4372">
      <c r="A4372" t="inlineStr">
        <is>
          <t>2025-07</t>
        </is>
      </c>
      <c r="B4372" t="inlineStr">
        <is>
          <t>HOSP-3</t>
        </is>
      </c>
      <c r="C4372" t="inlineStr">
        <is>
          <t>SS-01177</t>
        </is>
      </c>
      <c r="D4372" t="n">
        <v>12</v>
      </c>
      <c r="E4372" t="n">
        <v>0</v>
      </c>
      <c r="G4372">
        <f>IF(AND(A4372&gt;=Inputs!$B$5,A4372&lt;=Inputs!$B$6),1,0)</f>
        <v/>
      </c>
    </row>
    <row r="4373">
      <c r="A4373" t="inlineStr">
        <is>
          <t>2025-07</t>
        </is>
      </c>
      <c r="B4373" t="inlineStr">
        <is>
          <t>HOSP-4</t>
        </is>
      </c>
      <c r="C4373" t="inlineStr">
        <is>
          <t>SS-01178</t>
        </is>
      </c>
      <c r="D4373" t="n">
        <v>12</v>
      </c>
      <c r="E4373" t="n">
        <v>0</v>
      </c>
      <c r="G4373">
        <f>IF(AND(A4373&gt;=Inputs!$B$5,A4373&lt;=Inputs!$B$6),1,0)</f>
        <v/>
      </c>
    </row>
    <row r="4374">
      <c r="A4374" t="inlineStr">
        <is>
          <t>2025-07</t>
        </is>
      </c>
      <c r="B4374" t="inlineStr">
        <is>
          <t>HOSP-1</t>
        </is>
      </c>
      <c r="C4374" t="inlineStr">
        <is>
          <t>SS-01179</t>
        </is>
      </c>
      <c r="D4374" t="n">
        <v>36</v>
      </c>
      <c r="E4374" t="n">
        <v>0</v>
      </c>
      <c r="G4374">
        <f>IF(AND(A4374&gt;=Inputs!$B$5,A4374&lt;=Inputs!$B$6),1,0)</f>
        <v/>
      </c>
    </row>
    <row r="4375">
      <c r="A4375" t="inlineStr">
        <is>
          <t>2025-07</t>
        </is>
      </c>
      <c r="B4375" t="inlineStr">
        <is>
          <t>HOSP-2</t>
        </is>
      </c>
      <c r="C4375" t="inlineStr">
        <is>
          <t>SS-01216</t>
        </is>
      </c>
      <c r="D4375" t="n">
        <v>332</v>
      </c>
      <c r="E4375" t="n">
        <v>0</v>
      </c>
      <c r="G4375">
        <f>IF(AND(A4375&gt;=Inputs!$B$5,A4375&lt;=Inputs!$B$6),1,0)</f>
        <v/>
      </c>
    </row>
    <row r="4376">
      <c r="A4376" t="inlineStr">
        <is>
          <t>2025-07</t>
        </is>
      </c>
      <c r="B4376" t="inlineStr">
        <is>
          <t>HOSP-3</t>
        </is>
      </c>
      <c r="C4376" t="inlineStr">
        <is>
          <t>SS-01181</t>
        </is>
      </c>
      <c r="D4376" t="n">
        <v>91</v>
      </c>
      <c r="E4376" t="n">
        <v>0</v>
      </c>
      <c r="G4376">
        <f>IF(AND(A4376&gt;=Inputs!$B$5,A4376&lt;=Inputs!$B$6),1,0)</f>
        <v/>
      </c>
    </row>
    <row r="4377">
      <c r="A4377" t="inlineStr">
        <is>
          <t>2025-07</t>
        </is>
      </c>
      <c r="B4377" t="inlineStr">
        <is>
          <t>HOSP-4</t>
        </is>
      </c>
      <c r="C4377" t="inlineStr">
        <is>
          <t>SS-01182</t>
        </is>
      </c>
      <c r="D4377" t="n">
        <v>79</v>
      </c>
      <c r="E4377" t="n">
        <v>0</v>
      </c>
      <c r="G4377">
        <f>IF(AND(A4377&gt;=Inputs!$B$5,A4377&lt;=Inputs!$B$6),1,0)</f>
        <v/>
      </c>
    </row>
    <row r="4378">
      <c r="A4378" t="inlineStr">
        <is>
          <t>2025-07</t>
        </is>
      </c>
      <c r="B4378" t="inlineStr">
        <is>
          <t>HOSP-1</t>
        </is>
      </c>
      <c r="C4378" t="inlineStr">
        <is>
          <t>SS-01183</t>
        </is>
      </c>
      <c r="D4378" t="n">
        <v>24</v>
      </c>
      <c r="E4378" t="n">
        <v>0</v>
      </c>
      <c r="G4378">
        <f>IF(AND(A4378&gt;=Inputs!$B$5,A4378&lt;=Inputs!$B$6),1,0)</f>
        <v/>
      </c>
    </row>
    <row r="4379">
      <c r="A4379" t="inlineStr">
        <is>
          <t>2025-07</t>
        </is>
      </c>
      <c r="B4379" t="inlineStr">
        <is>
          <t>HOSP-2</t>
        </is>
      </c>
      <c r="C4379" t="inlineStr">
        <is>
          <t>SS-01184</t>
        </is>
      </c>
      <c r="D4379" t="n">
        <v>14</v>
      </c>
      <c r="E4379" t="n">
        <v>1</v>
      </c>
      <c r="G4379">
        <f>IF(AND(A4379&gt;=Inputs!$B$5,A4379&lt;=Inputs!$B$6),1,0)</f>
        <v/>
      </c>
    </row>
    <row r="4380">
      <c r="A4380" t="inlineStr">
        <is>
          <t>2025-07</t>
        </is>
      </c>
      <c r="B4380" t="inlineStr">
        <is>
          <t>HOSP-3</t>
        </is>
      </c>
      <c r="C4380" t="inlineStr">
        <is>
          <t>SS-01185</t>
        </is>
      </c>
      <c r="D4380" t="n">
        <v>16</v>
      </c>
      <c r="E4380" t="n">
        <v>0</v>
      </c>
      <c r="G4380">
        <f>IF(AND(A4380&gt;=Inputs!$B$5,A4380&lt;=Inputs!$B$6),1,0)</f>
        <v/>
      </c>
    </row>
    <row r="4381">
      <c r="A4381" t="inlineStr">
        <is>
          <t>2025-07</t>
        </is>
      </c>
      <c r="B4381" t="inlineStr">
        <is>
          <t>HOSP-4</t>
        </is>
      </c>
      <c r="C4381" t="inlineStr">
        <is>
          <t>SS-01186</t>
        </is>
      </c>
      <c r="D4381" t="n">
        <v>24</v>
      </c>
      <c r="E4381" t="n">
        <v>0</v>
      </c>
      <c r="G4381">
        <f>IF(AND(A4381&gt;=Inputs!$B$5,A4381&lt;=Inputs!$B$6),1,0)</f>
        <v/>
      </c>
    </row>
    <row r="4382">
      <c r="A4382" t="inlineStr">
        <is>
          <t>2025-07</t>
        </is>
      </c>
      <c r="B4382" t="inlineStr">
        <is>
          <t>HOSP-1</t>
        </is>
      </c>
      <c r="C4382" t="inlineStr">
        <is>
          <t>SS-01187</t>
        </is>
      </c>
      <c r="D4382" t="n">
        <v>48</v>
      </c>
      <c r="E4382" t="n">
        <v>0</v>
      </c>
      <c r="G4382">
        <f>IF(AND(A4382&gt;=Inputs!$B$5,A4382&lt;=Inputs!$B$6),1,0)</f>
        <v/>
      </c>
    </row>
    <row r="4383">
      <c r="A4383" t="inlineStr">
        <is>
          <t>2025-07</t>
        </is>
      </c>
      <c r="B4383" t="inlineStr">
        <is>
          <t>HOSP-2</t>
        </is>
      </c>
      <c r="C4383" t="inlineStr">
        <is>
          <t>SS-01159</t>
        </is>
      </c>
      <c r="D4383" t="n">
        <v>516</v>
      </c>
      <c r="E4383" t="n">
        <v>0</v>
      </c>
      <c r="G4383">
        <f>IF(AND(A4383&gt;=Inputs!$B$5,A4383&lt;=Inputs!$B$6),1,0)</f>
        <v/>
      </c>
    </row>
    <row r="4384">
      <c r="A4384" t="inlineStr">
        <is>
          <t>2025-07</t>
        </is>
      </c>
      <c r="B4384" t="inlineStr">
        <is>
          <t>HOSP-3</t>
        </is>
      </c>
      <c r="C4384" t="inlineStr">
        <is>
          <t>SS-01189</t>
        </is>
      </c>
      <c r="D4384" t="n">
        <v>12</v>
      </c>
      <c r="E4384" t="n">
        <v>0</v>
      </c>
      <c r="G4384">
        <f>IF(AND(A4384&gt;=Inputs!$B$5,A4384&lt;=Inputs!$B$6),1,0)</f>
        <v/>
      </c>
    </row>
    <row r="4385">
      <c r="A4385" t="inlineStr">
        <is>
          <t>2025-07</t>
        </is>
      </c>
      <c r="B4385" t="inlineStr">
        <is>
          <t>HOSP-4</t>
        </is>
      </c>
      <c r="C4385" t="inlineStr">
        <is>
          <t>SS-01190</t>
        </is>
      </c>
      <c r="D4385" t="n">
        <v>72</v>
      </c>
      <c r="E4385" t="n">
        <v>0</v>
      </c>
      <c r="G4385">
        <f>IF(AND(A4385&gt;=Inputs!$B$5,A4385&lt;=Inputs!$B$6),1,0)</f>
        <v/>
      </c>
    </row>
    <row r="4386">
      <c r="A4386" t="inlineStr">
        <is>
          <t>2025-07</t>
        </is>
      </c>
      <c r="B4386" t="inlineStr">
        <is>
          <t>HOSP-1</t>
        </is>
      </c>
      <c r="C4386" t="inlineStr">
        <is>
          <t>SS-01191</t>
        </is>
      </c>
      <c r="D4386" t="n">
        <v>72</v>
      </c>
      <c r="E4386" t="n">
        <v>0</v>
      </c>
      <c r="G4386">
        <f>IF(AND(A4386&gt;=Inputs!$B$5,A4386&lt;=Inputs!$B$6),1,0)</f>
        <v/>
      </c>
    </row>
    <row r="4387">
      <c r="A4387" t="inlineStr">
        <is>
          <t>2025-07</t>
        </is>
      </c>
      <c r="B4387" t="inlineStr">
        <is>
          <t>HOSP-2</t>
        </is>
      </c>
      <c r="C4387" t="inlineStr">
        <is>
          <t>SS-01192</t>
        </is>
      </c>
      <c r="D4387" t="n">
        <v>0</v>
      </c>
      <c r="E4387" t="n">
        <v>0</v>
      </c>
      <c r="G4387">
        <f>IF(AND(A4387&gt;=Inputs!$B$5,A4387&lt;=Inputs!$B$6),1,0)</f>
        <v/>
      </c>
    </row>
    <row r="4388">
      <c r="A4388" t="inlineStr">
        <is>
          <t>2025-07</t>
        </is>
      </c>
      <c r="B4388" t="inlineStr">
        <is>
          <t>HOSP-3</t>
        </is>
      </c>
      <c r="C4388" t="inlineStr">
        <is>
          <t>SS-01193</t>
        </is>
      </c>
      <c r="D4388" t="n">
        <v>6</v>
      </c>
      <c r="E4388" t="n">
        <v>0</v>
      </c>
      <c r="G4388">
        <f>IF(AND(A4388&gt;=Inputs!$B$5,A4388&lt;=Inputs!$B$6),1,0)</f>
        <v/>
      </c>
    </row>
    <row r="4389">
      <c r="A4389" t="inlineStr">
        <is>
          <t>2025-07</t>
        </is>
      </c>
      <c r="B4389" t="inlineStr">
        <is>
          <t>HOSP-4</t>
        </is>
      </c>
      <c r="C4389" t="inlineStr">
        <is>
          <t>SS-01160</t>
        </is>
      </c>
      <c r="D4389" t="n">
        <v>4</v>
      </c>
      <c r="E4389" t="n">
        <v>4</v>
      </c>
      <c r="G4389">
        <f>IF(AND(A4389&gt;=Inputs!$B$5,A4389&lt;=Inputs!$B$6),1,0)</f>
        <v/>
      </c>
    </row>
    <row r="4390">
      <c r="A4390" t="inlineStr">
        <is>
          <t>2025-07</t>
        </is>
      </c>
      <c r="B4390" t="inlineStr">
        <is>
          <t>HOSP-1</t>
        </is>
      </c>
      <c r="C4390" t="inlineStr">
        <is>
          <t>SS-01195</t>
        </is>
      </c>
      <c r="D4390" t="n">
        <v>24</v>
      </c>
      <c r="E4390" t="n">
        <v>0</v>
      </c>
      <c r="G4390">
        <f>IF(AND(A4390&gt;=Inputs!$B$5,A4390&lt;=Inputs!$B$6),1,0)</f>
        <v/>
      </c>
    </row>
    <row r="4391">
      <c r="A4391" t="inlineStr">
        <is>
          <t>2025-07</t>
        </is>
      </c>
      <c r="B4391" t="inlineStr">
        <is>
          <t>HOSP-2</t>
        </is>
      </c>
      <c r="C4391" t="inlineStr">
        <is>
          <t>SS-01180</t>
        </is>
      </c>
      <c r="D4391" t="n">
        <v>3</v>
      </c>
      <c r="E4391" t="n">
        <v>1</v>
      </c>
      <c r="G4391">
        <f>IF(AND(A4391&gt;=Inputs!$B$5,A4391&lt;=Inputs!$B$6),1,0)</f>
        <v/>
      </c>
    </row>
    <row r="4392">
      <c r="A4392" t="inlineStr">
        <is>
          <t>2025-07</t>
        </is>
      </c>
      <c r="B4392" t="inlineStr">
        <is>
          <t>HOSP-3</t>
        </is>
      </c>
      <c r="C4392" t="inlineStr">
        <is>
          <t>SS-01197</t>
        </is>
      </c>
      <c r="D4392" t="n">
        <v>12</v>
      </c>
      <c r="E4392" t="n">
        <v>0</v>
      </c>
      <c r="G4392">
        <f>IF(AND(A4392&gt;=Inputs!$B$5,A4392&lt;=Inputs!$B$6),1,0)</f>
        <v/>
      </c>
    </row>
    <row r="4393">
      <c r="A4393" t="inlineStr">
        <is>
          <t>2025-07</t>
        </is>
      </c>
      <c r="B4393" t="inlineStr">
        <is>
          <t>HOSP-4</t>
        </is>
      </c>
      <c r="C4393" t="inlineStr">
        <is>
          <t>SS-01198</t>
        </is>
      </c>
      <c r="D4393" t="n">
        <v>0</v>
      </c>
      <c r="E4393" t="n">
        <v>0</v>
      </c>
      <c r="G4393">
        <f>IF(AND(A4393&gt;=Inputs!$B$5,A4393&lt;=Inputs!$B$6),1,0)</f>
        <v/>
      </c>
    </row>
    <row r="4394">
      <c r="A4394" t="inlineStr">
        <is>
          <t>2025-07</t>
        </is>
      </c>
      <c r="B4394" t="inlineStr">
        <is>
          <t>HOSP-1</t>
        </is>
      </c>
      <c r="C4394" t="inlineStr">
        <is>
          <t>SS-01199</t>
        </is>
      </c>
      <c r="D4394" t="n">
        <v>12</v>
      </c>
      <c r="E4394" t="n">
        <v>0</v>
      </c>
      <c r="G4394">
        <f>IF(AND(A4394&gt;=Inputs!$B$5,A4394&lt;=Inputs!$B$6),1,0)</f>
        <v/>
      </c>
    </row>
    <row r="4395">
      <c r="A4395" t="inlineStr">
        <is>
          <t>2025-07</t>
        </is>
      </c>
      <c r="B4395" t="inlineStr">
        <is>
          <t>HOSP-2</t>
        </is>
      </c>
      <c r="C4395" t="inlineStr">
        <is>
          <t>SS-01200</t>
        </is>
      </c>
      <c r="D4395" t="n">
        <v>12</v>
      </c>
      <c r="E4395" t="n">
        <v>0</v>
      </c>
      <c r="G4395">
        <f>IF(AND(A4395&gt;=Inputs!$B$5,A4395&lt;=Inputs!$B$6),1,0)</f>
        <v/>
      </c>
    </row>
    <row r="4396">
      <c r="A4396" t="inlineStr">
        <is>
          <t>2025-07</t>
        </is>
      </c>
      <c r="B4396" t="inlineStr">
        <is>
          <t>HOSP-3</t>
        </is>
      </c>
      <c r="C4396" t="inlineStr">
        <is>
          <t>SS-01201</t>
        </is>
      </c>
      <c r="D4396" t="n">
        <v>0</v>
      </c>
      <c r="E4396" t="n">
        <v>0</v>
      </c>
      <c r="G4396">
        <f>IF(AND(A4396&gt;=Inputs!$B$5,A4396&lt;=Inputs!$B$6),1,0)</f>
        <v/>
      </c>
    </row>
    <row r="4397">
      <c r="A4397" t="inlineStr">
        <is>
          <t>2025-07</t>
        </is>
      </c>
      <c r="B4397" t="inlineStr">
        <is>
          <t>HOSP-4</t>
        </is>
      </c>
      <c r="C4397" t="inlineStr">
        <is>
          <t>SS-01202</t>
        </is>
      </c>
      <c r="D4397" t="n">
        <v>84</v>
      </c>
      <c r="E4397" t="n">
        <v>0</v>
      </c>
      <c r="G4397">
        <f>IF(AND(A4397&gt;=Inputs!$B$5,A4397&lt;=Inputs!$B$6),1,0)</f>
        <v/>
      </c>
    </row>
    <row r="4398">
      <c r="A4398" t="inlineStr">
        <is>
          <t>2025-07</t>
        </is>
      </c>
      <c r="B4398" t="inlineStr">
        <is>
          <t>HOSP-1</t>
        </is>
      </c>
      <c r="C4398" t="inlineStr">
        <is>
          <t>SS-01142</t>
        </is>
      </c>
      <c r="D4398" t="n">
        <v>360</v>
      </c>
      <c r="E4398" t="n">
        <v>0</v>
      </c>
      <c r="G4398">
        <f>IF(AND(A4398&gt;=Inputs!$B$5,A4398&lt;=Inputs!$B$6),1,0)</f>
        <v/>
      </c>
    </row>
    <row r="4399">
      <c r="A4399" t="inlineStr">
        <is>
          <t>2025-07</t>
        </is>
      </c>
      <c r="B4399" t="inlineStr">
        <is>
          <t>HOSP-2</t>
        </is>
      </c>
      <c r="C4399" t="inlineStr">
        <is>
          <t>SS-01162</t>
        </is>
      </c>
      <c r="D4399" t="n">
        <v>12</v>
      </c>
      <c r="E4399" t="n">
        <v>0</v>
      </c>
      <c r="G4399">
        <f>IF(AND(A4399&gt;=Inputs!$B$5,A4399&lt;=Inputs!$B$6),1,0)</f>
        <v/>
      </c>
    </row>
    <row r="4400">
      <c r="A4400" t="inlineStr">
        <is>
          <t>2025-07</t>
        </is>
      </c>
      <c r="B4400" t="inlineStr">
        <is>
          <t>HOSP-3</t>
        </is>
      </c>
      <c r="C4400" t="inlineStr">
        <is>
          <t>SS-01205</t>
        </is>
      </c>
      <c r="D4400" t="n">
        <v>0</v>
      </c>
      <c r="E4400" t="n">
        <v>4</v>
      </c>
      <c r="G4400">
        <f>IF(AND(A4400&gt;=Inputs!$B$5,A4400&lt;=Inputs!$B$6),1,0)</f>
        <v/>
      </c>
    </row>
    <row r="4401">
      <c r="A4401" t="inlineStr">
        <is>
          <t>2025-07</t>
        </is>
      </c>
      <c r="B4401" t="inlineStr">
        <is>
          <t>HOSP-4</t>
        </is>
      </c>
      <c r="C4401" t="inlineStr">
        <is>
          <t>SS-01206</t>
        </is>
      </c>
      <c r="D4401" t="n">
        <v>12</v>
      </c>
      <c r="E4401" t="n">
        <v>0</v>
      </c>
      <c r="G4401">
        <f>IF(AND(A4401&gt;=Inputs!$B$5,A4401&lt;=Inputs!$B$6),1,0)</f>
        <v/>
      </c>
    </row>
    <row r="4402">
      <c r="A4402" t="inlineStr">
        <is>
          <t>2025-07</t>
        </is>
      </c>
      <c r="B4402" t="inlineStr">
        <is>
          <t>HOSP-1</t>
        </is>
      </c>
      <c r="C4402" t="inlineStr">
        <is>
          <t>SS-01207</t>
        </is>
      </c>
      <c r="D4402" t="n">
        <v>12</v>
      </c>
      <c r="E4402" t="n">
        <v>0</v>
      </c>
      <c r="G4402">
        <f>IF(AND(A4402&gt;=Inputs!$B$5,A4402&lt;=Inputs!$B$6),1,0)</f>
        <v/>
      </c>
    </row>
    <row r="4403">
      <c r="A4403" t="inlineStr">
        <is>
          <t>2025-07</t>
        </is>
      </c>
      <c r="B4403" t="inlineStr">
        <is>
          <t>HOSP-2</t>
        </is>
      </c>
      <c r="C4403" t="inlineStr">
        <is>
          <t>SS-01208</t>
        </is>
      </c>
      <c r="D4403" t="n">
        <v>48</v>
      </c>
      <c r="E4403" t="n">
        <v>0</v>
      </c>
      <c r="G4403">
        <f>IF(AND(A4403&gt;=Inputs!$B$5,A4403&lt;=Inputs!$B$6),1,0)</f>
        <v/>
      </c>
    </row>
    <row r="4404">
      <c r="A4404" t="inlineStr">
        <is>
          <t>2025-07</t>
        </is>
      </c>
      <c r="B4404" t="inlineStr">
        <is>
          <t>HOSP-3</t>
        </is>
      </c>
      <c r="C4404" t="inlineStr">
        <is>
          <t>SS-01209</t>
        </is>
      </c>
      <c r="D4404" t="n">
        <v>36</v>
      </c>
      <c r="E4404" t="n">
        <v>0</v>
      </c>
      <c r="G4404">
        <f>IF(AND(A4404&gt;=Inputs!$B$5,A4404&lt;=Inputs!$B$6),1,0)</f>
        <v/>
      </c>
    </row>
    <row r="4405">
      <c r="A4405" t="inlineStr">
        <is>
          <t>2025-07</t>
        </is>
      </c>
      <c r="B4405" t="inlineStr">
        <is>
          <t>HOSP-4</t>
        </is>
      </c>
      <c r="C4405" t="inlineStr">
        <is>
          <t>SS-01210</t>
        </is>
      </c>
      <c r="D4405" t="n">
        <v>12</v>
      </c>
      <c r="E4405" t="n">
        <v>0</v>
      </c>
      <c r="G4405">
        <f>IF(AND(A4405&gt;=Inputs!$B$5,A4405&lt;=Inputs!$B$6),1,0)</f>
        <v/>
      </c>
    </row>
    <row r="4406">
      <c r="A4406" t="inlineStr">
        <is>
          <t>2025-07</t>
        </is>
      </c>
      <c r="B4406" t="inlineStr">
        <is>
          <t>HOSP-1</t>
        </is>
      </c>
      <c r="C4406" t="inlineStr">
        <is>
          <t>SS-01211</t>
        </is>
      </c>
      <c r="D4406" t="n">
        <v>24</v>
      </c>
      <c r="E4406" t="n">
        <v>0</v>
      </c>
      <c r="G4406">
        <f>IF(AND(A4406&gt;=Inputs!$B$5,A4406&lt;=Inputs!$B$6),1,0)</f>
        <v/>
      </c>
    </row>
    <row r="4407">
      <c r="A4407" t="inlineStr">
        <is>
          <t>2025-07</t>
        </is>
      </c>
      <c r="B4407" t="inlineStr">
        <is>
          <t>HOSP-2</t>
        </is>
      </c>
      <c r="C4407" t="inlineStr">
        <is>
          <t>SS-01212</t>
        </is>
      </c>
      <c r="D4407" t="n">
        <v>24</v>
      </c>
      <c r="E4407" t="n">
        <v>0</v>
      </c>
      <c r="G4407">
        <f>IF(AND(A4407&gt;=Inputs!$B$5,A4407&lt;=Inputs!$B$6),1,0)</f>
        <v/>
      </c>
    </row>
    <row r="4408">
      <c r="A4408" t="inlineStr">
        <is>
          <t>2025-07</t>
        </is>
      </c>
      <c r="B4408" t="inlineStr">
        <is>
          <t>HOSP-3</t>
        </is>
      </c>
      <c r="C4408" t="inlineStr">
        <is>
          <t>SS-01213</t>
        </is>
      </c>
      <c r="D4408" t="n">
        <v>0</v>
      </c>
      <c r="E4408" t="n">
        <v>0</v>
      </c>
      <c r="G4408">
        <f>IF(AND(A4408&gt;=Inputs!$B$5,A4408&lt;=Inputs!$B$6),1,0)</f>
        <v/>
      </c>
    </row>
    <row r="4409">
      <c r="A4409" t="inlineStr">
        <is>
          <t>2025-07</t>
        </is>
      </c>
      <c r="B4409" t="inlineStr">
        <is>
          <t>HOSP-4</t>
        </is>
      </c>
      <c r="C4409" t="inlineStr">
        <is>
          <t>SS-01214</t>
        </is>
      </c>
      <c r="D4409" t="n">
        <v>0</v>
      </c>
      <c r="E4409" t="n">
        <v>0</v>
      </c>
      <c r="G4409">
        <f>IF(AND(A4409&gt;=Inputs!$B$5,A4409&lt;=Inputs!$B$6),1,0)</f>
        <v/>
      </c>
    </row>
    <row r="4410">
      <c r="A4410" t="inlineStr">
        <is>
          <t>2025-07</t>
        </is>
      </c>
      <c r="B4410" t="inlineStr">
        <is>
          <t>HOSP-1</t>
        </is>
      </c>
      <c r="C4410" t="inlineStr">
        <is>
          <t>SS-01215</t>
        </is>
      </c>
      <c r="D4410" t="n">
        <v>24</v>
      </c>
      <c r="E4410" t="n">
        <v>0</v>
      </c>
      <c r="G4410">
        <f>IF(AND(A4410&gt;=Inputs!$B$5,A4410&lt;=Inputs!$B$6),1,0)</f>
        <v/>
      </c>
    </row>
    <row r="4411">
      <c r="A4411" t="inlineStr">
        <is>
          <t>2025-07</t>
        </is>
      </c>
      <c r="B4411" t="inlineStr">
        <is>
          <t>HOSP-2</t>
        </is>
      </c>
      <c r="C4411" t="inlineStr">
        <is>
          <t>SS-01216</t>
        </is>
      </c>
      <c r="D4411" t="n">
        <v>12</v>
      </c>
      <c r="E4411" t="n">
        <v>0</v>
      </c>
      <c r="G4411">
        <f>IF(AND(A4411&gt;=Inputs!$B$5,A4411&lt;=Inputs!$B$6),1,0)</f>
        <v/>
      </c>
    </row>
    <row r="4412">
      <c r="A4412" t="inlineStr">
        <is>
          <t>2025-07</t>
        </is>
      </c>
      <c r="B4412" t="inlineStr">
        <is>
          <t>HOSP-3</t>
        </is>
      </c>
      <c r="C4412" t="inlineStr">
        <is>
          <t>SS-01217</t>
        </is>
      </c>
      <c r="D4412" t="n">
        <v>0</v>
      </c>
      <c r="E4412" t="n">
        <v>0</v>
      </c>
      <c r="G4412">
        <f>IF(AND(A4412&gt;=Inputs!$B$5,A4412&lt;=Inputs!$B$6),1,0)</f>
        <v/>
      </c>
    </row>
    <row r="4413">
      <c r="A4413" t="inlineStr">
        <is>
          <t>2025-07</t>
        </is>
      </c>
      <c r="B4413" t="inlineStr">
        <is>
          <t>HOSP-4</t>
        </is>
      </c>
      <c r="C4413" t="inlineStr">
        <is>
          <t>SS-01218</t>
        </is>
      </c>
      <c r="D4413" t="n">
        <v>29</v>
      </c>
      <c r="E4413" t="n">
        <v>1</v>
      </c>
      <c r="G4413">
        <f>IF(AND(A4413&gt;=Inputs!$B$5,A4413&lt;=Inputs!$B$6),1,0)</f>
        <v/>
      </c>
    </row>
    <row r="4414">
      <c r="A4414" t="inlineStr">
        <is>
          <t>2025-07</t>
        </is>
      </c>
      <c r="B4414" t="inlineStr">
        <is>
          <t>HOSP-1</t>
        </is>
      </c>
      <c r="C4414" t="inlineStr">
        <is>
          <t>SS-01219</t>
        </is>
      </c>
      <c r="D4414" t="n">
        <v>36</v>
      </c>
      <c r="E4414" t="n">
        <v>0</v>
      </c>
      <c r="G4414">
        <f>IF(AND(A4414&gt;=Inputs!$B$5,A4414&lt;=Inputs!$B$6),1,0)</f>
        <v/>
      </c>
    </row>
    <row r="4415">
      <c r="A4415" t="inlineStr">
        <is>
          <t>2025-07</t>
        </is>
      </c>
      <c r="B4415" t="inlineStr">
        <is>
          <t>HOSP-2</t>
        </is>
      </c>
      <c r="C4415" t="inlineStr">
        <is>
          <t>SS-01220</t>
        </is>
      </c>
      <c r="D4415" t="n">
        <v>12</v>
      </c>
      <c r="E4415" t="n">
        <v>0</v>
      </c>
      <c r="G4415">
        <f>IF(AND(A4415&gt;=Inputs!$B$5,A4415&lt;=Inputs!$B$6),1,0)</f>
        <v/>
      </c>
    </row>
    <row r="4416">
      <c r="A4416" t="inlineStr">
        <is>
          <t>2025-07</t>
        </is>
      </c>
      <c r="B4416" t="inlineStr">
        <is>
          <t>HOSP-3</t>
        </is>
      </c>
      <c r="C4416" t="inlineStr">
        <is>
          <t>SS-01221</t>
        </is>
      </c>
      <c r="D4416" t="n">
        <v>13</v>
      </c>
      <c r="E4416" t="n">
        <v>0</v>
      </c>
      <c r="G4416">
        <f>IF(AND(A4416&gt;=Inputs!$B$5,A4416&lt;=Inputs!$B$6),1,0)</f>
        <v/>
      </c>
    </row>
    <row r="4417">
      <c r="A4417" t="inlineStr">
        <is>
          <t>2025-07</t>
        </is>
      </c>
      <c r="B4417" t="inlineStr">
        <is>
          <t>HOSP-4</t>
        </is>
      </c>
      <c r="C4417" t="inlineStr">
        <is>
          <t>SS-01093</t>
        </is>
      </c>
      <c r="D4417" t="n">
        <v>66</v>
      </c>
      <c r="E4417" t="n">
        <v>1</v>
      </c>
      <c r="G4417">
        <f>IF(AND(A4417&gt;=Inputs!$B$5,A4417&lt;=Inputs!$B$6),1,0)</f>
        <v/>
      </c>
    </row>
    <row r="4418">
      <c r="A4418" t="inlineStr">
        <is>
          <t>2025-07</t>
        </is>
      </c>
      <c r="B4418" t="inlineStr">
        <is>
          <t>HOSP-1</t>
        </is>
      </c>
      <c r="C4418" t="inlineStr">
        <is>
          <t>SS-01089</t>
        </is>
      </c>
      <c r="D4418" t="n">
        <v>48</v>
      </c>
      <c r="E4418" t="n">
        <v>0</v>
      </c>
      <c r="G4418">
        <f>IF(AND(A4418&gt;=Inputs!$B$5,A4418&lt;=Inputs!$B$6),1,0)</f>
        <v/>
      </c>
    </row>
    <row r="4419">
      <c r="A4419" t="inlineStr">
        <is>
          <t>2025-07</t>
        </is>
      </c>
      <c r="B4419" t="inlineStr">
        <is>
          <t>HOSP-2</t>
        </is>
      </c>
      <c r="C4419" t="inlineStr">
        <is>
          <t>SS-01224</t>
        </is>
      </c>
      <c r="D4419" t="n">
        <v>12</v>
      </c>
      <c r="E4419" t="n">
        <v>0</v>
      </c>
      <c r="G4419">
        <f>IF(AND(A4419&gt;=Inputs!$B$5,A4419&lt;=Inputs!$B$6),1,0)</f>
        <v/>
      </c>
    </row>
    <row r="4420">
      <c r="A4420" t="inlineStr">
        <is>
          <t>2025-07</t>
        </is>
      </c>
      <c r="B4420" t="inlineStr">
        <is>
          <t>HOSP-3</t>
        </is>
      </c>
      <c r="C4420" t="inlineStr">
        <is>
          <t>SS-01225</t>
        </is>
      </c>
      <c r="D4420" t="n">
        <v>12</v>
      </c>
      <c r="E4420" t="n">
        <v>0</v>
      </c>
      <c r="G4420">
        <f>IF(AND(A4420&gt;=Inputs!$B$5,A4420&lt;=Inputs!$B$6),1,0)</f>
        <v/>
      </c>
    </row>
    <row r="4421">
      <c r="A4421" t="inlineStr">
        <is>
          <t>2025-07</t>
        </is>
      </c>
      <c r="B4421" t="inlineStr">
        <is>
          <t>HOSP-4</t>
        </is>
      </c>
      <c r="C4421" t="inlineStr">
        <is>
          <t>SS-01226</t>
        </is>
      </c>
      <c r="D4421" t="n">
        <v>12</v>
      </c>
      <c r="E4421" t="n">
        <v>0</v>
      </c>
      <c r="G4421">
        <f>IF(AND(A4421&gt;=Inputs!$B$5,A4421&lt;=Inputs!$B$6),1,0)</f>
        <v/>
      </c>
    </row>
    <row r="4422">
      <c r="A4422" t="inlineStr">
        <is>
          <t>2025-07</t>
        </is>
      </c>
      <c r="B4422" t="inlineStr">
        <is>
          <t>HOSP-1</t>
        </is>
      </c>
      <c r="C4422" t="inlineStr">
        <is>
          <t>SS-01227</t>
        </is>
      </c>
      <c r="D4422" t="n">
        <v>23</v>
      </c>
      <c r="E4422" t="n">
        <v>1</v>
      </c>
      <c r="G4422">
        <f>IF(AND(A4422&gt;=Inputs!$B$5,A4422&lt;=Inputs!$B$6),1,0)</f>
        <v/>
      </c>
    </row>
    <row r="4423">
      <c r="A4423" t="inlineStr">
        <is>
          <t>2025-07</t>
        </is>
      </c>
      <c r="B4423" t="inlineStr">
        <is>
          <t>HOSP-2</t>
        </is>
      </c>
      <c r="C4423" t="inlineStr">
        <is>
          <t>SS-01228</t>
        </is>
      </c>
      <c r="D4423" t="n">
        <v>8</v>
      </c>
      <c r="E4423" t="n">
        <v>0</v>
      </c>
      <c r="G4423">
        <f>IF(AND(A4423&gt;=Inputs!$B$5,A4423&lt;=Inputs!$B$6),1,0)</f>
        <v/>
      </c>
    </row>
    <row r="4424">
      <c r="A4424" t="inlineStr">
        <is>
          <t>2025-07</t>
        </is>
      </c>
      <c r="B4424" t="inlineStr">
        <is>
          <t>HOSP-3</t>
        </is>
      </c>
      <c r="C4424" t="inlineStr">
        <is>
          <t>SS-01121</t>
        </is>
      </c>
      <c r="D4424" t="n">
        <v>12</v>
      </c>
      <c r="E4424" t="n">
        <v>4</v>
      </c>
      <c r="G4424">
        <f>IF(AND(A4424&gt;=Inputs!$B$5,A4424&lt;=Inputs!$B$6),1,0)</f>
        <v/>
      </c>
    </row>
    <row r="4425">
      <c r="A4425" t="inlineStr">
        <is>
          <t>2025-07</t>
        </is>
      </c>
      <c r="B4425" t="inlineStr">
        <is>
          <t>HOSP-4</t>
        </is>
      </c>
      <c r="C4425" t="inlineStr">
        <is>
          <t>SS-01230</t>
        </is>
      </c>
      <c r="D4425" t="n">
        <v>12</v>
      </c>
      <c r="E4425" t="n">
        <v>0</v>
      </c>
      <c r="G4425">
        <f>IF(AND(A4425&gt;=Inputs!$B$5,A4425&lt;=Inputs!$B$6),1,0)</f>
        <v/>
      </c>
    </row>
    <row r="4426">
      <c r="A4426" t="inlineStr">
        <is>
          <t>2025-07</t>
        </is>
      </c>
      <c r="B4426" t="inlineStr">
        <is>
          <t>HOSP-1</t>
        </is>
      </c>
      <c r="C4426" t="inlineStr">
        <is>
          <t>SS-01206</t>
        </is>
      </c>
      <c r="D4426" t="n">
        <v>24</v>
      </c>
      <c r="E4426" t="n">
        <v>0</v>
      </c>
      <c r="G4426">
        <f>IF(AND(A4426&gt;=Inputs!$B$5,A4426&lt;=Inputs!$B$6),1,0)</f>
        <v/>
      </c>
    </row>
    <row r="4427">
      <c r="A4427" t="inlineStr">
        <is>
          <t>2025-07</t>
        </is>
      </c>
      <c r="B4427" t="inlineStr">
        <is>
          <t>HOSP-2</t>
        </is>
      </c>
      <c r="C4427" t="inlineStr">
        <is>
          <t>SS-01189</t>
        </is>
      </c>
      <c r="D4427" t="n">
        <v>228</v>
      </c>
      <c r="E4427" t="n">
        <v>1</v>
      </c>
      <c r="G4427">
        <f>IF(AND(A4427&gt;=Inputs!$B$5,A4427&lt;=Inputs!$B$6),1,0)</f>
        <v/>
      </c>
    </row>
    <row r="4428">
      <c r="A4428" t="inlineStr">
        <is>
          <t>2025-07</t>
        </is>
      </c>
      <c r="B4428" t="inlineStr">
        <is>
          <t>HOSP-3</t>
        </is>
      </c>
      <c r="C4428" t="inlineStr">
        <is>
          <t>SS-01233</t>
        </is>
      </c>
      <c r="D4428" t="n">
        <v>12</v>
      </c>
      <c r="E4428" t="n">
        <v>0</v>
      </c>
      <c r="G4428">
        <f>IF(AND(A4428&gt;=Inputs!$B$5,A4428&lt;=Inputs!$B$6),1,0)</f>
        <v/>
      </c>
    </row>
    <row r="4429">
      <c r="A4429" t="inlineStr">
        <is>
          <t>2025-07</t>
        </is>
      </c>
      <c r="B4429" t="inlineStr">
        <is>
          <t>HOSP-4</t>
        </is>
      </c>
      <c r="C4429" t="inlineStr">
        <is>
          <t>SS-01227</t>
        </is>
      </c>
      <c r="D4429" t="n">
        <v>492</v>
      </c>
      <c r="E4429" t="n">
        <v>0</v>
      </c>
      <c r="G4429">
        <f>IF(AND(A4429&gt;=Inputs!$B$5,A4429&lt;=Inputs!$B$6),1,0)</f>
        <v/>
      </c>
    </row>
    <row r="4430">
      <c r="A4430" t="inlineStr">
        <is>
          <t>2025-07</t>
        </is>
      </c>
      <c r="B4430" t="inlineStr">
        <is>
          <t>HOSP-1</t>
        </is>
      </c>
      <c r="C4430" t="inlineStr">
        <is>
          <t>SS-01077</t>
        </is>
      </c>
      <c r="D4430" t="n">
        <v>12</v>
      </c>
      <c r="E4430" t="n">
        <v>0</v>
      </c>
      <c r="G4430">
        <f>IF(AND(A4430&gt;=Inputs!$B$5,A4430&lt;=Inputs!$B$6),1,0)</f>
        <v/>
      </c>
    </row>
    <row r="4431">
      <c r="A4431" t="inlineStr">
        <is>
          <t>2025-07</t>
        </is>
      </c>
      <c r="B4431" t="inlineStr">
        <is>
          <t>HOSP-2</t>
        </is>
      </c>
      <c r="C4431" t="inlineStr">
        <is>
          <t>SS-01003</t>
        </is>
      </c>
      <c r="D4431" t="n">
        <v>12</v>
      </c>
      <c r="E4431" t="n">
        <v>0</v>
      </c>
      <c r="G4431">
        <f>IF(AND(A4431&gt;=Inputs!$B$5,A4431&lt;=Inputs!$B$6),1,0)</f>
        <v/>
      </c>
    </row>
    <row r="4432">
      <c r="A4432" t="inlineStr">
        <is>
          <t>2025-07</t>
        </is>
      </c>
      <c r="B4432" t="inlineStr">
        <is>
          <t>HOSP-3</t>
        </is>
      </c>
      <c r="C4432" t="inlineStr">
        <is>
          <t>SS-01004</t>
        </is>
      </c>
      <c r="D4432" t="n">
        <v>12</v>
      </c>
      <c r="E4432" t="n">
        <v>0</v>
      </c>
      <c r="G4432">
        <f>IF(AND(A4432&gt;=Inputs!$B$5,A4432&lt;=Inputs!$B$6),1,0)</f>
        <v/>
      </c>
    </row>
    <row r="4433">
      <c r="A4433" t="inlineStr">
        <is>
          <t>2025-07</t>
        </is>
      </c>
      <c r="B4433" t="inlineStr">
        <is>
          <t>HOSP-4</t>
        </is>
      </c>
      <c r="C4433" t="inlineStr">
        <is>
          <t>SS-01005</t>
        </is>
      </c>
      <c r="D4433" t="n">
        <v>36</v>
      </c>
      <c r="E4433" t="n">
        <v>0</v>
      </c>
      <c r="G4433">
        <f>IF(AND(A4433&gt;=Inputs!$B$5,A4433&lt;=Inputs!$B$6),1,0)</f>
        <v/>
      </c>
    </row>
    <row r="4434">
      <c r="A4434" t="inlineStr">
        <is>
          <t>2025-07</t>
        </is>
      </c>
      <c r="B4434" t="inlineStr">
        <is>
          <t>HOSP-1</t>
        </is>
      </c>
      <c r="C4434" t="inlineStr">
        <is>
          <t>SS-01150</t>
        </is>
      </c>
      <c r="D4434" t="n">
        <v>10</v>
      </c>
      <c r="E4434" t="n">
        <v>0</v>
      </c>
      <c r="G4434">
        <f>IF(AND(A4434&gt;=Inputs!$B$5,A4434&lt;=Inputs!$B$6),1,0)</f>
        <v/>
      </c>
    </row>
    <row r="4435">
      <c r="A4435" t="inlineStr">
        <is>
          <t>2025-07</t>
        </is>
      </c>
      <c r="B4435" t="inlineStr">
        <is>
          <t>HOSP-2</t>
        </is>
      </c>
      <c r="C4435" t="inlineStr">
        <is>
          <t>SS-01133</t>
        </is>
      </c>
      <c r="D4435" t="n">
        <v>96</v>
      </c>
      <c r="E4435" t="n">
        <v>0</v>
      </c>
      <c r="G4435">
        <f>IF(AND(A4435&gt;=Inputs!$B$5,A4435&lt;=Inputs!$B$6),1,0)</f>
        <v/>
      </c>
    </row>
    <row r="4436">
      <c r="A4436" t="inlineStr">
        <is>
          <t>2025-07</t>
        </is>
      </c>
      <c r="B4436" t="inlineStr">
        <is>
          <t>HOSP-3</t>
        </is>
      </c>
      <c r="C4436" t="inlineStr">
        <is>
          <t>SS-01129</t>
        </is>
      </c>
      <c r="D4436" t="n">
        <v>29</v>
      </c>
      <c r="E4436" t="n">
        <v>0</v>
      </c>
      <c r="G4436">
        <f>IF(AND(A4436&gt;=Inputs!$B$5,A4436&lt;=Inputs!$B$6),1,0)</f>
        <v/>
      </c>
    </row>
    <row r="4437">
      <c r="A4437" t="inlineStr">
        <is>
          <t>2025-07</t>
        </is>
      </c>
      <c r="B4437" t="inlineStr">
        <is>
          <t>HOSP-4</t>
        </is>
      </c>
      <c r="C4437" t="inlineStr">
        <is>
          <t>SS-01009</t>
        </is>
      </c>
      <c r="D4437" t="n">
        <v>12</v>
      </c>
      <c r="E4437" t="n">
        <v>0</v>
      </c>
      <c r="G4437">
        <f>IF(AND(A4437&gt;=Inputs!$B$5,A4437&lt;=Inputs!$B$6),1,0)</f>
        <v/>
      </c>
    </row>
    <row r="4438">
      <c r="A4438" t="inlineStr">
        <is>
          <t>2025-07</t>
        </is>
      </c>
      <c r="B4438" t="inlineStr">
        <is>
          <t>HOSP-1</t>
        </is>
      </c>
      <c r="C4438" t="inlineStr">
        <is>
          <t>SS-01010</t>
        </is>
      </c>
      <c r="D4438" t="n">
        <v>72</v>
      </c>
      <c r="E4438" t="n">
        <v>0</v>
      </c>
      <c r="G4438">
        <f>IF(AND(A4438&gt;=Inputs!$B$5,A4438&lt;=Inputs!$B$6),1,0)</f>
        <v/>
      </c>
    </row>
    <row r="4439">
      <c r="A4439" t="inlineStr">
        <is>
          <t>2025-07</t>
        </is>
      </c>
      <c r="B4439" t="inlineStr">
        <is>
          <t>HOSP-2</t>
        </is>
      </c>
      <c r="C4439" t="inlineStr">
        <is>
          <t>SS-01038</t>
        </is>
      </c>
      <c r="D4439" t="n">
        <v>62</v>
      </c>
      <c r="E4439" t="n">
        <v>0</v>
      </c>
      <c r="G4439">
        <f>IF(AND(A4439&gt;=Inputs!$B$5,A4439&lt;=Inputs!$B$6),1,0)</f>
        <v/>
      </c>
    </row>
    <row r="4440">
      <c r="A4440" t="inlineStr">
        <is>
          <t>2025-07</t>
        </is>
      </c>
      <c r="B4440" t="inlineStr">
        <is>
          <t>HOSP-3</t>
        </is>
      </c>
      <c r="C4440" t="inlineStr">
        <is>
          <t>SS-01012</t>
        </is>
      </c>
      <c r="D4440" t="n">
        <v>48</v>
      </c>
      <c r="E4440" t="n">
        <v>0</v>
      </c>
      <c r="G4440">
        <f>IF(AND(A4440&gt;=Inputs!$B$5,A4440&lt;=Inputs!$B$6),1,0)</f>
        <v/>
      </c>
    </row>
    <row r="4441">
      <c r="A4441" t="inlineStr">
        <is>
          <t>2025-07</t>
        </is>
      </c>
      <c r="B4441" t="inlineStr">
        <is>
          <t>HOSP-4</t>
        </is>
      </c>
      <c r="C4441" t="inlineStr">
        <is>
          <t>SS-01013</t>
        </is>
      </c>
      <c r="D4441" t="n">
        <v>10</v>
      </c>
      <c r="E4441" t="n">
        <v>2</v>
      </c>
      <c r="G4441">
        <f>IF(AND(A4441&gt;=Inputs!$B$5,A4441&lt;=Inputs!$B$6),1,0)</f>
        <v/>
      </c>
    </row>
    <row r="4442">
      <c r="A4442" t="inlineStr">
        <is>
          <t>2025-07</t>
        </is>
      </c>
      <c r="B4442" t="inlineStr">
        <is>
          <t>HOSP-1</t>
        </is>
      </c>
      <c r="C4442" t="inlineStr">
        <is>
          <t>SS-01014</t>
        </is>
      </c>
      <c r="D4442" t="n">
        <v>68</v>
      </c>
      <c r="E4442" t="n">
        <v>0</v>
      </c>
      <c r="G4442">
        <f>IF(AND(A4442&gt;=Inputs!$B$5,A4442&lt;=Inputs!$B$6),1,0)</f>
        <v/>
      </c>
    </row>
    <row r="4443">
      <c r="A4443" t="inlineStr">
        <is>
          <t>2025-07</t>
        </is>
      </c>
      <c r="B4443" t="inlineStr">
        <is>
          <t>HOSP-2</t>
        </is>
      </c>
      <c r="C4443" t="inlineStr">
        <is>
          <t>SS-01015</t>
        </is>
      </c>
      <c r="D4443" t="n">
        <v>36</v>
      </c>
      <c r="E4443" t="n">
        <v>0</v>
      </c>
      <c r="G4443">
        <f>IF(AND(A4443&gt;=Inputs!$B$5,A4443&lt;=Inputs!$B$6),1,0)</f>
        <v/>
      </c>
    </row>
    <row r="4444">
      <c r="A4444" t="inlineStr">
        <is>
          <t>2025-07</t>
        </is>
      </c>
      <c r="B4444" t="inlineStr">
        <is>
          <t>HOSP-3</t>
        </is>
      </c>
      <c r="C4444" t="inlineStr">
        <is>
          <t>SS-01016</t>
        </is>
      </c>
      <c r="D4444" t="n">
        <v>60</v>
      </c>
      <c r="E4444" t="n">
        <v>0</v>
      </c>
      <c r="G4444">
        <f>IF(AND(A4444&gt;=Inputs!$B$5,A4444&lt;=Inputs!$B$6),1,0)</f>
        <v/>
      </c>
    </row>
    <row r="4445">
      <c r="A4445" t="inlineStr">
        <is>
          <t>2025-07</t>
        </is>
      </c>
      <c r="B4445" t="inlineStr">
        <is>
          <t>HOSP-4</t>
        </is>
      </c>
      <c r="C4445" t="inlineStr">
        <is>
          <t>SS-01017</t>
        </is>
      </c>
      <c r="D4445" t="n">
        <v>72</v>
      </c>
      <c r="E4445" t="n">
        <v>0</v>
      </c>
      <c r="G4445">
        <f>IF(AND(A4445&gt;=Inputs!$B$5,A4445&lt;=Inputs!$B$6),1,0)</f>
        <v/>
      </c>
    </row>
    <row r="4446">
      <c r="A4446" t="inlineStr">
        <is>
          <t>2025-07</t>
        </is>
      </c>
      <c r="B4446" t="inlineStr">
        <is>
          <t>HOSP-1</t>
        </is>
      </c>
      <c r="C4446" t="inlineStr">
        <is>
          <t>SS-01018</t>
        </is>
      </c>
      <c r="D4446" t="n">
        <v>0</v>
      </c>
      <c r="E4446" t="n">
        <v>1</v>
      </c>
      <c r="G4446">
        <f>IF(AND(A4446&gt;=Inputs!$B$5,A4446&lt;=Inputs!$B$6),1,0)</f>
        <v/>
      </c>
    </row>
    <row r="4447">
      <c r="A4447" t="inlineStr">
        <is>
          <t>2025-07</t>
        </is>
      </c>
      <c r="B4447" t="inlineStr">
        <is>
          <t>HOSP-2</t>
        </is>
      </c>
      <c r="C4447" t="inlineStr">
        <is>
          <t>SS-01139</t>
        </is>
      </c>
      <c r="D4447" t="n">
        <v>12</v>
      </c>
      <c r="E4447" t="n">
        <v>0</v>
      </c>
      <c r="G4447">
        <f>IF(AND(A4447&gt;=Inputs!$B$5,A4447&lt;=Inputs!$B$6),1,0)</f>
        <v/>
      </c>
    </row>
    <row r="4448">
      <c r="A4448" t="inlineStr">
        <is>
          <t>2025-07</t>
        </is>
      </c>
      <c r="B4448" t="inlineStr">
        <is>
          <t>HOSP-3</t>
        </is>
      </c>
      <c r="C4448" t="inlineStr">
        <is>
          <t>SS-01020</t>
        </is>
      </c>
      <c r="D4448" t="n">
        <v>0</v>
      </c>
      <c r="E4448" t="n">
        <v>0</v>
      </c>
      <c r="G4448">
        <f>IF(AND(A4448&gt;=Inputs!$B$5,A4448&lt;=Inputs!$B$6),1,0)</f>
        <v/>
      </c>
    </row>
    <row r="4449">
      <c r="A4449" t="inlineStr">
        <is>
          <t>2025-07</t>
        </is>
      </c>
      <c r="B4449" t="inlineStr">
        <is>
          <t>HOSP-4</t>
        </is>
      </c>
      <c r="C4449" t="inlineStr">
        <is>
          <t>SS-01021</t>
        </is>
      </c>
      <c r="D4449" t="n">
        <v>96</v>
      </c>
      <c r="E4449" t="n">
        <v>0</v>
      </c>
      <c r="G4449">
        <f>IF(AND(A4449&gt;=Inputs!$B$5,A4449&lt;=Inputs!$B$6),1,0)</f>
        <v/>
      </c>
    </row>
    <row r="4450">
      <c r="A4450" t="inlineStr">
        <is>
          <t>2025-07</t>
        </is>
      </c>
      <c r="B4450" t="inlineStr">
        <is>
          <t>HOSP-1</t>
        </is>
      </c>
      <c r="C4450" t="inlineStr">
        <is>
          <t>SS-01022</t>
        </is>
      </c>
      <c r="D4450" t="n">
        <v>0</v>
      </c>
      <c r="E4450" t="n">
        <v>0</v>
      </c>
      <c r="G4450">
        <f>IF(AND(A4450&gt;=Inputs!$B$5,A4450&lt;=Inputs!$B$6),1,0)</f>
        <v/>
      </c>
    </row>
    <row r="4451">
      <c r="A4451" t="inlineStr">
        <is>
          <t>2025-07</t>
        </is>
      </c>
      <c r="B4451" t="inlineStr">
        <is>
          <t>HOSP-2</t>
        </is>
      </c>
      <c r="C4451" t="inlineStr">
        <is>
          <t>SS-01023</t>
        </is>
      </c>
      <c r="D4451" t="n">
        <v>24</v>
      </c>
      <c r="E4451" t="n">
        <v>0</v>
      </c>
      <c r="G4451">
        <f>IF(AND(A4451&gt;=Inputs!$B$5,A4451&lt;=Inputs!$B$6),1,0)</f>
        <v/>
      </c>
    </row>
    <row r="4452">
      <c r="A4452" t="inlineStr">
        <is>
          <t>2025-07</t>
        </is>
      </c>
      <c r="B4452" t="inlineStr">
        <is>
          <t>HOSP-3</t>
        </is>
      </c>
      <c r="C4452" t="inlineStr">
        <is>
          <t>SS-01024</t>
        </is>
      </c>
      <c r="D4452" t="n">
        <v>12</v>
      </c>
      <c r="E4452" t="n">
        <v>0</v>
      </c>
      <c r="G4452">
        <f>IF(AND(A4452&gt;=Inputs!$B$5,A4452&lt;=Inputs!$B$6),1,0)</f>
        <v/>
      </c>
    </row>
    <row r="4453">
      <c r="A4453" t="inlineStr">
        <is>
          <t>2025-07</t>
        </is>
      </c>
      <c r="B4453" t="inlineStr">
        <is>
          <t>HOSP-4</t>
        </is>
      </c>
      <c r="C4453" t="inlineStr">
        <is>
          <t>SS-01025</t>
        </is>
      </c>
      <c r="D4453" t="n">
        <v>12</v>
      </c>
      <c r="E4453" t="n">
        <v>0</v>
      </c>
      <c r="G4453">
        <f>IF(AND(A4453&gt;=Inputs!$B$5,A4453&lt;=Inputs!$B$6),1,0)</f>
        <v/>
      </c>
    </row>
    <row r="4454">
      <c r="A4454" t="inlineStr">
        <is>
          <t>2025-07</t>
        </is>
      </c>
      <c r="B4454" t="inlineStr">
        <is>
          <t>HOSP-1</t>
        </is>
      </c>
      <c r="C4454" t="inlineStr">
        <is>
          <t>SS-01026</t>
        </is>
      </c>
      <c r="D4454" t="n">
        <v>0</v>
      </c>
      <c r="E4454" t="n">
        <v>0</v>
      </c>
      <c r="G4454">
        <f>IF(AND(A4454&gt;=Inputs!$B$5,A4454&lt;=Inputs!$B$6),1,0)</f>
        <v/>
      </c>
    </row>
    <row r="4455">
      <c r="A4455" t="inlineStr">
        <is>
          <t>2025-07</t>
        </is>
      </c>
      <c r="B4455" t="inlineStr">
        <is>
          <t>HOSP-2</t>
        </is>
      </c>
      <c r="C4455" t="inlineStr">
        <is>
          <t>SS-01027</t>
        </is>
      </c>
      <c r="D4455" t="n">
        <v>48</v>
      </c>
      <c r="E4455" t="n">
        <v>0</v>
      </c>
      <c r="G4455">
        <f>IF(AND(A4455&gt;=Inputs!$B$5,A4455&lt;=Inputs!$B$6),1,0)</f>
        <v/>
      </c>
    </row>
    <row r="4456">
      <c r="A4456" t="inlineStr">
        <is>
          <t>2025-07</t>
        </is>
      </c>
      <c r="B4456" t="inlineStr">
        <is>
          <t>HOSP-3</t>
        </is>
      </c>
      <c r="C4456" t="inlineStr">
        <is>
          <t>SS-01028</t>
        </is>
      </c>
      <c r="D4456" t="n">
        <v>12</v>
      </c>
      <c r="E4456" t="n">
        <v>0</v>
      </c>
      <c r="G4456">
        <f>IF(AND(A4456&gt;=Inputs!$B$5,A4456&lt;=Inputs!$B$6),1,0)</f>
        <v/>
      </c>
    </row>
    <row r="4457">
      <c r="A4457" t="inlineStr">
        <is>
          <t>2025-07</t>
        </is>
      </c>
      <c r="B4457" t="inlineStr">
        <is>
          <t>HOSP-4</t>
        </is>
      </c>
      <c r="C4457" t="inlineStr">
        <is>
          <t>SS-01174</t>
        </is>
      </c>
      <c r="D4457" t="n">
        <v>12</v>
      </c>
      <c r="E4457" t="n">
        <v>0</v>
      </c>
      <c r="G4457">
        <f>IF(AND(A4457&gt;=Inputs!$B$5,A4457&lt;=Inputs!$B$6),1,0)</f>
        <v/>
      </c>
    </row>
    <row r="4458">
      <c r="A4458" t="inlineStr">
        <is>
          <t>2025-07</t>
        </is>
      </c>
      <c r="B4458" t="inlineStr">
        <is>
          <t>HOSP-1</t>
        </is>
      </c>
      <c r="C4458" t="inlineStr">
        <is>
          <t>SS-01030</t>
        </is>
      </c>
      <c r="D4458" t="n">
        <v>13</v>
      </c>
      <c r="E4458" t="n">
        <v>0</v>
      </c>
      <c r="G4458">
        <f>IF(AND(A4458&gt;=Inputs!$B$5,A4458&lt;=Inputs!$B$6),1,0)</f>
        <v/>
      </c>
    </row>
    <row r="4459">
      <c r="A4459" t="inlineStr">
        <is>
          <t>2025-07</t>
        </is>
      </c>
      <c r="B4459" t="inlineStr">
        <is>
          <t>HOSP-2</t>
        </is>
      </c>
      <c r="C4459" t="inlineStr">
        <is>
          <t>SS-01031</t>
        </is>
      </c>
      <c r="D4459" t="n">
        <v>0</v>
      </c>
      <c r="E4459" t="n">
        <v>0</v>
      </c>
      <c r="G4459">
        <f>IF(AND(A4459&gt;=Inputs!$B$5,A4459&lt;=Inputs!$B$6),1,0)</f>
        <v/>
      </c>
    </row>
    <row r="4460">
      <c r="A4460" t="inlineStr">
        <is>
          <t>2025-07</t>
        </is>
      </c>
      <c r="B4460" t="inlineStr">
        <is>
          <t>HOSP-3</t>
        </is>
      </c>
      <c r="C4460" t="inlineStr">
        <is>
          <t>SS-01032</t>
        </is>
      </c>
      <c r="D4460" t="n">
        <v>12</v>
      </c>
      <c r="E4460" t="n">
        <v>0</v>
      </c>
      <c r="G4460">
        <f>IF(AND(A4460&gt;=Inputs!$B$5,A4460&lt;=Inputs!$B$6),1,0)</f>
        <v/>
      </c>
    </row>
    <row r="4461">
      <c r="A4461" t="inlineStr">
        <is>
          <t>2025-07</t>
        </is>
      </c>
      <c r="B4461" t="inlineStr">
        <is>
          <t>HOSP-4</t>
        </is>
      </c>
      <c r="C4461" t="inlineStr">
        <is>
          <t>SS-01033</t>
        </is>
      </c>
      <c r="D4461" t="n">
        <v>12</v>
      </c>
      <c r="E4461" t="n">
        <v>0</v>
      </c>
      <c r="G4461">
        <f>IF(AND(A4461&gt;=Inputs!$B$5,A4461&lt;=Inputs!$B$6),1,0)</f>
        <v/>
      </c>
    </row>
    <row r="4462">
      <c r="A4462" t="inlineStr">
        <is>
          <t>2025-07</t>
        </is>
      </c>
      <c r="B4462" t="inlineStr">
        <is>
          <t>HOSP-1</t>
        </is>
      </c>
      <c r="C4462" t="inlineStr">
        <is>
          <t>SS-01068</t>
        </is>
      </c>
      <c r="D4462" t="n">
        <v>16</v>
      </c>
      <c r="E4462" t="n">
        <v>5</v>
      </c>
      <c r="G4462">
        <f>IF(AND(A4462&gt;=Inputs!$B$5,A4462&lt;=Inputs!$B$6),1,0)</f>
        <v/>
      </c>
    </row>
    <row r="4463">
      <c r="A4463" t="inlineStr">
        <is>
          <t>2025-07</t>
        </is>
      </c>
      <c r="B4463" t="inlineStr">
        <is>
          <t>HOSP-2</t>
        </is>
      </c>
      <c r="C4463" t="inlineStr">
        <is>
          <t>SS-01052</t>
        </is>
      </c>
      <c r="D4463" t="n">
        <v>12</v>
      </c>
      <c r="E4463" t="n">
        <v>0</v>
      </c>
      <c r="G4463">
        <f>IF(AND(A4463&gt;=Inputs!$B$5,A4463&lt;=Inputs!$B$6),1,0)</f>
        <v/>
      </c>
    </row>
    <row r="4464">
      <c r="A4464" t="inlineStr">
        <is>
          <t>2025-07</t>
        </is>
      </c>
      <c r="B4464" t="inlineStr">
        <is>
          <t>HOSP-3</t>
        </is>
      </c>
      <c r="C4464" t="inlineStr">
        <is>
          <t>SS-01036</t>
        </is>
      </c>
      <c r="D4464" t="n">
        <v>12</v>
      </c>
      <c r="E4464" t="n">
        <v>0</v>
      </c>
      <c r="G4464">
        <f>IF(AND(A4464&gt;=Inputs!$B$5,A4464&lt;=Inputs!$B$6),1,0)</f>
        <v/>
      </c>
    </row>
    <row r="4465">
      <c r="A4465" t="inlineStr">
        <is>
          <t>2025-07</t>
        </is>
      </c>
      <c r="B4465" t="inlineStr">
        <is>
          <t>HOSP-4</t>
        </is>
      </c>
      <c r="C4465" t="inlineStr">
        <is>
          <t>SS-01200</t>
        </is>
      </c>
      <c r="D4465" t="n">
        <v>56</v>
      </c>
      <c r="E4465" t="n">
        <v>0</v>
      </c>
      <c r="G4465">
        <f>IF(AND(A4465&gt;=Inputs!$B$5,A4465&lt;=Inputs!$B$6),1,0)</f>
        <v/>
      </c>
    </row>
    <row r="4466">
      <c r="A4466" t="inlineStr">
        <is>
          <t>2025-07</t>
        </is>
      </c>
      <c r="B4466" t="inlineStr">
        <is>
          <t>HOSP-1</t>
        </is>
      </c>
      <c r="C4466" t="inlineStr">
        <is>
          <t>SS-01038</t>
        </is>
      </c>
      <c r="D4466" t="n">
        <v>12</v>
      </c>
      <c r="E4466" t="n">
        <v>0</v>
      </c>
      <c r="G4466">
        <f>IF(AND(A4466&gt;=Inputs!$B$5,A4466&lt;=Inputs!$B$6),1,0)</f>
        <v/>
      </c>
    </row>
    <row r="4467">
      <c r="A4467" t="inlineStr">
        <is>
          <t>2025-07</t>
        </is>
      </c>
      <c r="B4467" t="inlineStr">
        <is>
          <t>HOSP-2</t>
        </is>
      </c>
      <c r="C4467" t="inlineStr">
        <is>
          <t>SS-01039</t>
        </is>
      </c>
      <c r="D4467" t="n">
        <v>12</v>
      </c>
      <c r="E4467" t="n">
        <v>0</v>
      </c>
      <c r="G4467">
        <f>IF(AND(A4467&gt;=Inputs!$B$5,A4467&lt;=Inputs!$B$6),1,0)</f>
        <v/>
      </c>
    </row>
    <row r="4468">
      <c r="A4468" t="inlineStr">
        <is>
          <t>2025-07</t>
        </is>
      </c>
      <c r="B4468" t="inlineStr">
        <is>
          <t>HOSP-3</t>
        </is>
      </c>
      <c r="C4468" t="inlineStr">
        <is>
          <t>SS-01040</t>
        </is>
      </c>
      <c r="D4468" t="n">
        <v>48</v>
      </c>
      <c r="E4468" t="n">
        <v>0</v>
      </c>
      <c r="G4468">
        <f>IF(AND(A4468&gt;=Inputs!$B$5,A4468&lt;=Inputs!$B$6),1,0)</f>
        <v/>
      </c>
    </row>
    <row r="4469">
      <c r="A4469" t="inlineStr">
        <is>
          <t>2025-07</t>
        </is>
      </c>
      <c r="B4469" t="inlineStr">
        <is>
          <t>HOSP-4</t>
        </is>
      </c>
      <c r="C4469" t="inlineStr">
        <is>
          <t>SS-01041</t>
        </is>
      </c>
      <c r="D4469" t="n">
        <v>36</v>
      </c>
      <c r="E4469" t="n">
        <v>0</v>
      </c>
      <c r="G4469">
        <f>IF(AND(A4469&gt;=Inputs!$B$5,A4469&lt;=Inputs!$B$6),1,0)</f>
        <v/>
      </c>
    </row>
    <row r="4470">
      <c r="A4470" t="inlineStr">
        <is>
          <t>2025-07</t>
        </is>
      </c>
      <c r="B4470" t="inlineStr">
        <is>
          <t>HOSP-1</t>
        </is>
      </c>
      <c r="C4470" t="inlineStr">
        <is>
          <t>SS-01042</t>
        </is>
      </c>
      <c r="D4470" t="n">
        <v>12</v>
      </c>
      <c r="E4470" t="n">
        <v>0</v>
      </c>
      <c r="G4470">
        <f>IF(AND(A4470&gt;=Inputs!$B$5,A4470&lt;=Inputs!$B$6),1,0)</f>
        <v/>
      </c>
    </row>
    <row r="4471">
      <c r="A4471" t="inlineStr">
        <is>
          <t>2025-07</t>
        </is>
      </c>
      <c r="B4471" t="inlineStr">
        <is>
          <t>HOSP-2</t>
        </is>
      </c>
      <c r="C4471" t="inlineStr">
        <is>
          <t>SS-01094</t>
        </is>
      </c>
      <c r="D4471" t="n">
        <v>41</v>
      </c>
      <c r="E4471" t="n">
        <v>3</v>
      </c>
      <c r="G4471">
        <f>IF(AND(A4471&gt;=Inputs!$B$5,A4471&lt;=Inputs!$B$6),1,0)</f>
        <v/>
      </c>
    </row>
    <row r="4472">
      <c r="A4472" t="inlineStr">
        <is>
          <t>2025-07</t>
        </is>
      </c>
      <c r="B4472" t="inlineStr">
        <is>
          <t>HOSP-3</t>
        </is>
      </c>
      <c r="C4472" t="inlineStr">
        <is>
          <t>SS-01215</t>
        </is>
      </c>
      <c r="D4472" t="n">
        <v>14</v>
      </c>
      <c r="E4472" t="n">
        <v>4</v>
      </c>
      <c r="G4472">
        <f>IF(AND(A4472&gt;=Inputs!$B$5,A4472&lt;=Inputs!$B$6),1,0)</f>
        <v/>
      </c>
    </row>
    <row r="4473">
      <c r="A4473" t="inlineStr">
        <is>
          <t>2025-07</t>
        </is>
      </c>
      <c r="B4473" t="inlineStr">
        <is>
          <t>HOSP-4</t>
        </is>
      </c>
      <c r="C4473" t="inlineStr">
        <is>
          <t>SS-01045</t>
        </is>
      </c>
      <c r="D4473" t="n">
        <v>12</v>
      </c>
      <c r="E4473" t="n">
        <v>0</v>
      </c>
      <c r="G4473">
        <f>IF(AND(A4473&gt;=Inputs!$B$5,A4473&lt;=Inputs!$B$6),1,0)</f>
        <v/>
      </c>
    </row>
    <row r="4474">
      <c r="A4474" t="inlineStr">
        <is>
          <t>2025-07</t>
        </is>
      </c>
      <c r="B4474" t="inlineStr">
        <is>
          <t>HOSP-1</t>
        </is>
      </c>
      <c r="C4474" t="inlineStr">
        <is>
          <t>SS-01046</t>
        </is>
      </c>
      <c r="D4474" t="n">
        <v>24</v>
      </c>
      <c r="E4474" t="n">
        <v>0</v>
      </c>
      <c r="G4474">
        <f>IF(AND(A4474&gt;=Inputs!$B$5,A4474&lt;=Inputs!$B$6),1,0)</f>
        <v/>
      </c>
    </row>
    <row r="4475">
      <c r="A4475" t="inlineStr">
        <is>
          <t>2025-07</t>
        </is>
      </c>
      <c r="B4475" t="inlineStr">
        <is>
          <t>HOSP-2</t>
        </is>
      </c>
      <c r="C4475" t="inlineStr">
        <is>
          <t>SS-01047</t>
        </is>
      </c>
      <c r="D4475" t="n">
        <v>24</v>
      </c>
      <c r="E4475" t="n">
        <v>0</v>
      </c>
      <c r="G4475">
        <f>IF(AND(A4475&gt;=Inputs!$B$5,A4475&lt;=Inputs!$B$6),1,0)</f>
        <v/>
      </c>
    </row>
    <row r="4476">
      <c r="A4476" t="inlineStr">
        <is>
          <t>2025-07</t>
        </is>
      </c>
      <c r="B4476" t="inlineStr">
        <is>
          <t>HOSP-3</t>
        </is>
      </c>
      <c r="C4476" t="inlineStr">
        <is>
          <t>SS-01048</t>
        </is>
      </c>
      <c r="D4476" t="n">
        <v>0</v>
      </c>
      <c r="E4476" t="n">
        <v>0</v>
      </c>
      <c r="G4476">
        <f>IF(AND(A4476&gt;=Inputs!$B$5,A4476&lt;=Inputs!$B$6),1,0)</f>
        <v/>
      </c>
    </row>
    <row r="4477">
      <c r="A4477" t="inlineStr">
        <is>
          <t>2025-07</t>
        </is>
      </c>
      <c r="B4477" t="inlineStr">
        <is>
          <t>HOSP-4</t>
        </is>
      </c>
      <c r="C4477" t="inlineStr">
        <is>
          <t>SS-01049</t>
        </is>
      </c>
      <c r="D4477" t="n">
        <v>0</v>
      </c>
      <c r="E4477" t="n">
        <v>0</v>
      </c>
      <c r="G4477">
        <f>IF(AND(A4477&gt;=Inputs!$B$5,A4477&lt;=Inputs!$B$6),1,0)</f>
        <v/>
      </c>
    </row>
    <row r="4478">
      <c r="A4478" t="inlineStr">
        <is>
          <t>2025-07</t>
        </is>
      </c>
      <c r="B4478" t="inlineStr">
        <is>
          <t>HOSP-1</t>
        </is>
      </c>
      <c r="C4478" t="inlineStr">
        <is>
          <t>SS-01050</t>
        </is>
      </c>
      <c r="D4478" t="n">
        <v>0</v>
      </c>
      <c r="E4478" t="n">
        <v>0</v>
      </c>
      <c r="G4478">
        <f>IF(AND(A4478&gt;=Inputs!$B$5,A4478&lt;=Inputs!$B$6),1,0)</f>
        <v/>
      </c>
    </row>
    <row r="4479">
      <c r="A4479" t="inlineStr">
        <is>
          <t>2025-07</t>
        </is>
      </c>
      <c r="B4479" t="inlineStr">
        <is>
          <t>HOSP-2</t>
        </is>
      </c>
      <c r="C4479" t="inlineStr">
        <is>
          <t>SS-01051</t>
        </is>
      </c>
      <c r="D4479" t="n">
        <v>12</v>
      </c>
      <c r="E4479" t="n">
        <v>0</v>
      </c>
      <c r="G4479">
        <f>IF(AND(A4479&gt;=Inputs!$B$5,A4479&lt;=Inputs!$B$6),1,0)</f>
        <v/>
      </c>
    </row>
    <row r="4480">
      <c r="A4480" t="inlineStr">
        <is>
          <t>2025-07</t>
        </is>
      </c>
      <c r="B4480" t="inlineStr">
        <is>
          <t>HOSP-3</t>
        </is>
      </c>
      <c r="C4480" t="inlineStr">
        <is>
          <t>SS-01052</t>
        </is>
      </c>
      <c r="D4480" t="n">
        <v>12</v>
      </c>
      <c r="E4480" t="n">
        <v>0</v>
      </c>
      <c r="G4480">
        <f>IF(AND(A4480&gt;=Inputs!$B$5,A4480&lt;=Inputs!$B$6),1,0)</f>
        <v/>
      </c>
    </row>
    <row r="4481">
      <c r="A4481" t="inlineStr">
        <is>
          <t>2025-07</t>
        </is>
      </c>
      <c r="B4481" t="inlineStr">
        <is>
          <t>HOSP-4</t>
        </is>
      </c>
      <c r="C4481" t="inlineStr">
        <is>
          <t>SS-01053</t>
        </is>
      </c>
      <c r="D4481" t="n">
        <v>13</v>
      </c>
      <c r="E4481" t="n">
        <v>0</v>
      </c>
      <c r="G4481">
        <f>IF(AND(A4481&gt;=Inputs!$B$5,A4481&lt;=Inputs!$B$6),1,0)</f>
        <v/>
      </c>
    </row>
    <row r="4482">
      <c r="A4482" t="inlineStr">
        <is>
          <t>2025-07</t>
        </is>
      </c>
      <c r="B4482" t="inlineStr">
        <is>
          <t>HOSP-1</t>
        </is>
      </c>
      <c r="C4482" t="inlineStr">
        <is>
          <t>SS-01005</t>
        </is>
      </c>
      <c r="D4482" t="n">
        <v>72</v>
      </c>
      <c r="E4482" t="n">
        <v>0</v>
      </c>
      <c r="G4482">
        <f>IF(AND(A4482&gt;=Inputs!$B$5,A4482&lt;=Inputs!$B$6),1,0)</f>
        <v/>
      </c>
    </row>
    <row r="4483">
      <c r="A4483" t="inlineStr">
        <is>
          <t>2025-07</t>
        </is>
      </c>
      <c r="B4483" t="inlineStr">
        <is>
          <t>HOSP-2</t>
        </is>
      </c>
      <c r="C4483" t="inlineStr">
        <is>
          <t>SS-01055</t>
        </is>
      </c>
      <c r="D4483" t="n">
        <v>12</v>
      </c>
      <c r="E4483" t="n">
        <v>0</v>
      </c>
      <c r="G4483">
        <f>IF(AND(A4483&gt;=Inputs!$B$5,A4483&lt;=Inputs!$B$6),1,0)</f>
        <v/>
      </c>
    </row>
    <row r="4484">
      <c r="A4484" t="inlineStr">
        <is>
          <t>2025-07</t>
        </is>
      </c>
      <c r="B4484" t="inlineStr">
        <is>
          <t>HOSP-3</t>
        </is>
      </c>
      <c r="C4484" t="inlineStr">
        <is>
          <t>SS-01225</t>
        </is>
      </c>
      <c r="D4484" t="n">
        <v>37</v>
      </c>
      <c r="E4484" t="n">
        <v>1</v>
      </c>
      <c r="G4484">
        <f>IF(AND(A4484&gt;=Inputs!$B$5,A4484&lt;=Inputs!$B$6),1,0)</f>
        <v/>
      </c>
    </row>
    <row r="4485">
      <c r="A4485" t="inlineStr">
        <is>
          <t>2025-07</t>
        </is>
      </c>
      <c r="B4485" t="inlineStr">
        <is>
          <t>HOSP-4</t>
        </is>
      </c>
      <c r="C4485" t="inlineStr">
        <is>
          <t>SS-01057</t>
        </is>
      </c>
      <c r="D4485" t="n">
        <v>27</v>
      </c>
      <c r="E4485" t="n">
        <v>0</v>
      </c>
      <c r="G4485">
        <f>IF(AND(A4485&gt;=Inputs!$B$5,A4485&lt;=Inputs!$B$6),1,0)</f>
        <v/>
      </c>
    </row>
    <row r="4486">
      <c r="A4486" t="inlineStr">
        <is>
          <t>2025-07</t>
        </is>
      </c>
      <c r="B4486" t="inlineStr">
        <is>
          <t>HOSP-1</t>
        </is>
      </c>
      <c r="C4486" t="inlineStr">
        <is>
          <t>SS-01058</t>
        </is>
      </c>
      <c r="D4486" t="n">
        <v>0</v>
      </c>
      <c r="E4486" t="n">
        <v>0</v>
      </c>
      <c r="G4486">
        <f>IF(AND(A4486&gt;=Inputs!$B$5,A4486&lt;=Inputs!$B$6),1,0)</f>
        <v/>
      </c>
    </row>
    <row r="4487">
      <c r="A4487" t="inlineStr">
        <is>
          <t>2025-07</t>
        </is>
      </c>
      <c r="B4487" t="inlineStr">
        <is>
          <t>HOSP-2</t>
        </is>
      </c>
      <c r="C4487" t="inlineStr">
        <is>
          <t>SS-01059</t>
        </is>
      </c>
      <c r="D4487" t="n">
        <v>30</v>
      </c>
      <c r="E4487" t="n">
        <v>1</v>
      </c>
      <c r="G4487">
        <f>IF(AND(A4487&gt;=Inputs!$B$5,A4487&lt;=Inputs!$B$6),1,0)</f>
        <v/>
      </c>
    </row>
    <row r="4488">
      <c r="A4488" t="inlineStr">
        <is>
          <t>2025-07</t>
        </is>
      </c>
      <c r="B4488" t="inlineStr">
        <is>
          <t>HOSP-3</t>
        </is>
      </c>
      <c r="C4488" t="inlineStr">
        <is>
          <t>SS-01060</t>
        </is>
      </c>
      <c r="D4488" t="n">
        <v>48</v>
      </c>
      <c r="E4488" t="n">
        <v>0</v>
      </c>
      <c r="G4488">
        <f>IF(AND(A4488&gt;=Inputs!$B$5,A4488&lt;=Inputs!$B$6),1,0)</f>
        <v/>
      </c>
    </row>
    <row r="4489">
      <c r="A4489" t="inlineStr">
        <is>
          <t>2025-07</t>
        </is>
      </c>
      <c r="B4489" t="inlineStr">
        <is>
          <t>HOSP-4</t>
        </is>
      </c>
      <c r="C4489" t="inlineStr">
        <is>
          <t>SS-01025</t>
        </is>
      </c>
      <c r="D4489" t="n">
        <v>1560</v>
      </c>
      <c r="E4489" t="n">
        <v>0</v>
      </c>
      <c r="G4489">
        <f>IF(AND(A4489&gt;=Inputs!$B$5,A4489&lt;=Inputs!$B$6),1,0)</f>
        <v/>
      </c>
    </row>
    <row r="4490">
      <c r="A4490" t="inlineStr">
        <is>
          <t>2025-07</t>
        </is>
      </c>
      <c r="B4490" t="inlineStr">
        <is>
          <t>HOSP-1</t>
        </is>
      </c>
      <c r="C4490" t="inlineStr">
        <is>
          <t>SS-01183</t>
        </is>
      </c>
      <c r="D4490" t="n">
        <v>12</v>
      </c>
      <c r="E4490" t="n">
        <v>0</v>
      </c>
      <c r="G4490">
        <f>IF(AND(A4490&gt;=Inputs!$B$5,A4490&lt;=Inputs!$B$6),1,0)</f>
        <v/>
      </c>
    </row>
    <row r="4491">
      <c r="A4491" t="inlineStr">
        <is>
          <t>2025-07</t>
        </is>
      </c>
      <c r="B4491" t="inlineStr">
        <is>
          <t>HOSP-2</t>
        </is>
      </c>
      <c r="C4491" t="inlineStr">
        <is>
          <t>SS-01063</t>
        </is>
      </c>
      <c r="D4491" t="n">
        <v>0</v>
      </c>
      <c r="E4491" t="n">
        <v>0</v>
      </c>
      <c r="G4491">
        <f>IF(AND(A4491&gt;=Inputs!$B$5,A4491&lt;=Inputs!$B$6),1,0)</f>
        <v/>
      </c>
    </row>
    <row r="4492">
      <c r="A4492" t="inlineStr">
        <is>
          <t>2025-07</t>
        </is>
      </c>
      <c r="B4492" t="inlineStr">
        <is>
          <t>HOSP-3</t>
        </is>
      </c>
      <c r="C4492" t="inlineStr">
        <is>
          <t>SS-01064</t>
        </is>
      </c>
      <c r="D4492" t="n">
        <v>156</v>
      </c>
      <c r="E4492" t="n">
        <v>0</v>
      </c>
      <c r="G4492">
        <f>IF(AND(A4492&gt;=Inputs!$B$5,A4492&lt;=Inputs!$B$6),1,0)</f>
        <v/>
      </c>
    </row>
    <row r="4493">
      <c r="A4493" t="inlineStr">
        <is>
          <t>2025-07</t>
        </is>
      </c>
      <c r="B4493" t="inlineStr">
        <is>
          <t>HOSP-4</t>
        </is>
      </c>
      <c r="C4493" t="inlineStr">
        <is>
          <t>SS-01065</t>
        </is>
      </c>
      <c r="D4493" t="n">
        <v>31</v>
      </c>
      <c r="E4493" t="n">
        <v>0</v>
      </c>
      <c r="G4493">
        <f>IF(AND(A4493&gt;=Inputs!$B$5,A4493&lt;=Inputs!$B$6),1,0)</f>
        <v/>
      </c>
    </row>
    <row r="4494">
      <c r="A4494" t="inlineStr">
        <is>
          <t>2025-07</t>
        </is>
      </c>
      <c r="B4494" t="inlineStr">
        <is>
          <t>HOSP-1</t>
        </is>
      </c>
      <c r="C4494" t="inlineStr">
        <is>
          <t>SS-01066</t>
        </is>
      </c>
      <c r="D4494" t="n">
        <v>12</v>
      </c>
      <c r="E4494" t="n">
        <v>0</v>
      </c>
      <c r="G4494">
        <f>IF(AND(A4494&gt;=Inputs!$B$5,A4494&lt;=Inputs!$B$6),1,0)</f>
        <v/>
      </c>
    </row>
    <row r="4495">
      <c r="A4495" t="inlineStr">
        <is>
          <t>2025-07</t>
        </is>
      </c>
      <c r="B4495" t="inlineStr">
        <is>
          <t>HOSP-2</t>
        </is>
      </c>
      <c r="C4495" t="inlineStr">
        <is>
          <t>SS-01036</t>
        </is>
      </c>
      <c r="D4495" t="n">
        <v>516</v>
      </c>
      <c r="E4495" t="n">
        <v>0</v>
      </c>
      <c r="G4495">
        <f>IF(AND(A4495&gt;=Inputs!$B$5,A4495&lt;=Inputs!$B$6),1,0)</f>
        <v/>
      </c>
    </row>
    <row r="4496">
      <c r="A4496" t="inlineStr">
        <is>
          <t>2025-07</t>
        </is>
      </c>
      <c r="B4496" t="inlineStr">
        <is>
          <t>HOSP-3</t>
        </is>
      </c>
      <c r="C4496" t="inlineStr">
        <is>
          <t>SS-01068</t>
        </is>
      </c>
      <c r="D4496" t="n">
        <v>103</v>
      </c>
      <c r="E4496" t="n">
        <v>0</v>
      </c>
      <c r="G4496">
        <f>IF(AND(A4496&gt;=Inputs!$B$5,A4496&lt;=Inputs!$B$6),1,0)</f>
        <v/>
      </c>
    </row>
    <row r="4497">
      <c r="A4497" t="inlineStr">
        <is>
          <t>2025-07</t>
        </is>
      </c>
      <c r="B4497" t="inlineStr">
        <is>
          <t>HOSP-4</t>
        </is>
      </c>
      <c r="C4497" t="inlineStr">
        <is>
          <t>SS-01069</t>
        </is>
      </c>
      <c r="D4497" t="n">
        <v>12</v>
      </c>
      <c r="E4497" t="n">
        <v>0</v>
      </c>
      <c r="G4497">
        <f>IF(AND(A4497&gt;=Inputs!$B$5,A4497&lt;=Inputs!$B$6),1,0)</f>
        <v/>
      </c>
    </row>
    <row r="4498">
      <c r="A4498" t="inlineStr">
        <is>
          <t>2025-07</t>
        </is>
      </c>
      <c r="B4498" t="inlineStr">
        <is>
          <t>HOSP-1</t>
        </is>
      </c>
      <c r="C4498" t="inlineStr">
        <is>
          <t>SS-01070</t>
        </is>
      </c>
      <c r="D4498" t="n">
        <v>2</v>
      </c>
      <c r="E4498" t="n">
        <v>1</v>
      </c>
      <c r="G4498">
        <f>IF(AND(A4498&gt;=Inputs!$B$5,A4498&lt;=Inputs!$B$6),1,0)</f>
        <v/>
      </c>
    </row>
    <row r="4499">
      <c r="A4499" t="inlineStr">
        <is>
          <t>2025-07</t>
        </is>
      </c>
      <c r="B4499" t="inlineStr">
        <is>
          <t>HOSP-2</t>
        </is>
      </c>
      <c r="C4499" t="inlineStr">
        <is>
          <t>SS-01071</t>
        </is>
      </c>
      <c r="D4499" t="n">
        <v>24</v>
      </c>
      <c r="E4499" t="n">
        <v>0</v>
      </c>
      <c r="G4499">
        <f>IF(AND(A4499&gt;=Inputs!$B$5,A4499&lt;=Inputs!$B$6),1,0)</f>
        <v/>
      </c>
    </row>
    <row r="4500">
      <c r="A4500" t="inlineStr">
        <is>
          <t>2025-07</t>
        </is>
      </c>
      <c r="B4500" t="inlineStr">
        <is>
          <t>HOSP-3</t>
        </is>
      </c>
      <c r="C4500" t="inlineStr">
        <is>
          <t>SS-01072</t>
        </is>
      </c>
      <c r="D4500" t="n">
        <v>48</v>
      </c>
      <c r="E4500" t="n">
        <v>0</v>
      </c>
      <c r="F4500" t="inlineStr">
        <is>
          <t>surge</t>
        </is>
      </c>
      <c r="G4500">
        <f>IF(AND(A4500&gt;=Inputs!$B$5,A4500&lt;=Inputs!$B$6),1,0)</f>
        <v/>
      </c>
    </row>
    <row r="4501">
      <c r="A4501" t="inlineStr">
        <is>
          <t>2025-07</t>
        </is>
      </c>
      <c r="B4501" t="inlineStr">
        <is>
          <t>HOSP-4</t>
        </is>
      </c>
      <c r="C4501" t="inlineStr">
        <is>
          <t>SS-01073</t>
        </is>
      </c>
      <c r="D4501" t="n">
        <v>24</v>
      </c>
      <c r="E4501" t="n">
        <v>0</v>
      </c>
      <c r="G4501">
        <f>IF(AND(A4501&gt;=Inputs!$B$5,A4501&lt;=Inputs!$B$6),1,0)</f>
        <v/>
      </c>
    </row>
    <row r="4502">
      <c r="A4502" t="inlineStr">
        <is>
          <t>2025-07</t>
        </is>
      </c>
      <c r="B4502" t="inlineStr">
        <is>
          <t>HOSP-1</t>
        </is>
      </c>
      <c r="C4502" t="inlineStr">
        <is>
          <t>SS-01074</t>
        </is>
      </c>
      <c r="D4502" t="n">
        <v>72</v>
      </c>
      <c r="E4502" t="n">
        <v>0</v>
      </c>
      <c r="G4502">
        <f>IF(AND(A4502&gt;=Inputs!$B$5,A4502&lt;=Inputs!$B$6),1,0)</f>
        <v/>
      </c>
    </row>
    <row r="4503">
      <c r="A4503" t="inlineStr">
        <is>
          <t>2025-07</t>
        </is>
      </c>
      <c r="B4503" t="inlineStr">
        <is>
          <t>HOSP-2</t>
        </is>
      </c>
      <c r="C4503" t="inlineStr">
        <is>
          <t>SS-01087</t>
        </is>
      </c>
      <c r="D4503" t="n">
        <v>23</v>
      </c>
      <c r="E4503" t="n">
        <v>2</v>
      </c>
      <c r="G4503">
        <f>IF(AND(A4503&gt;=Inputs!$B$5,A4503&lt;=Inputs!$B$6),1,0)</f>
        <v/>
      </c>
    </row>
    <row r="4504">
      <c r="A4504" t="inlineStr">
        <is>
          <t>2025-07</t>
        </is>
      </c>
      <c r="B4504" t="inlineStr">
        <is>
          <t>HOSP-3</t>
        </is>
      </c>
      <c r="C4504" t="inlineStr">
        <is>
          <t>SS-01076</t>
        </is>
      </c>
      <c r="D4504" t="n">
        <v>4</v>
      </c>
      <c r="E4504" t="n">
        <v>2</v>
      </c>
      <c r="G4504">
        <f>IF(AND(A4504&gt;=Inputs!$B$5,A4504&lt;=Inputs!$B$6),1,0)</f>
        <v/>
      </c>
    </row>
    <row r="4505">
      <c r="A4505" t="inlineStr">
        <is>
          <t>2025-07</t>
        </is>
      </c>
      <c r="B4505" t="inlineStr">
        <is>
          <t>HOSP-4</t>
        </is>
      </c>
      <c r="C4505" t="inlineStr">
        <is>
          <t>SS-01077</t>
        </is>
      </c>
      <c r="D4505" t="n">
        <v>9</v>
      </c>
      <c r="E4505" t="n">
        <v>1</v>
      </c>
      <c r="G4505">
        <f>IF(AND(A4505&gt;=Inputs!$B$5,A4505&lt;=Inputs!$B$6),1,0)</f>
        <v/>
      </c>
    </row>
    <row r="4506">
      <c r="A4506" t="inlineStr">
        <is>
          <t>2025-07</t>
        </is>
      </c>
      <c r="B4506" t="inlineStr">
        <is>
          <t>HOSP-1</t>
        </is>
      </c>
      <c r="C4506" t="inlineStr">
        <is>
          <t>SS-01078</t>
        </is>
      </c>
      <c r="D4506" t="n">
        <v>0</v>
      </c>
      <c r="E4506" t="n">
        <v>0</v>
      </c>
      <c r="G4506">
        <f>IF(AND(A4506&gt;=Inputs!$B$5,A4506&lt;=Inputs!$B$6),1,0)</f>
        <v/>
      </c>
    </row>
    <row r="4507">
      <c r="A4507" t="inlineStr">
        <is>
          <t>2025-07</t>
        </is>
      </c>
      <c r="B4507" t="inlineStr">
        <is>
          <t>HOSP-2</t>
        </is>
      </c>
      <c r="C4507" t="inlineStr">
        <is>
          <t>SS-01079</t>
        </is>
      </c>
      <c r="D4507" t="n">
        <v>3</v>
      </c>
      <c r="E4507" t="n">
        <v>1</v>
      </c>
      <c r="G4507">
        <f>IF(AND(A4507&gt;=Inputs!$B$5,A4507&lt;=Inputs!$B$6),1,0)</f>
        <v/>
      </c>
    </row>
    <row r="4508">
      <c r="A4508" t="inlineStr">
        <is>
          <t>2025-07</t>
        </is>
      </c>
      <c r="B4508" t="inlineStr">
        <is>
          <t>HOSP-3</t>
        </is>
      </c>
      <c r="C4508" t="inlineStr">
        <is>
          <t>SS-01059</t>
        </is>
      </c>
      <c r="D4508" t="n">
        <v>45</v>
      </c>
      <c r="E4508" t="n">
        <v>0</v>
      </c>
      <c r="G4508">
        <f>IF(AND(A4508&gt;=Inputs!$B$5,A4508&lt;=Inputs!$B$6),1,0)</f>
        <v/>
      </c>
    </row>
    <row r="4509">
      <c r="A4509" t="inlineStr">
        <is>
          <t>2025-07</t>
        </is>
      </c>
      <c r="B4509" t="inlineStr">
        <is>
          <t>HOSP-4</t>
        </is>
      </c>
      <c r="C4509" t="inlineStr">
        <is>
          <t>SS-01081</t>
        </is>
      </c>
      <c r="D4509" t="n">
        <v>36</v>
      </c>
      <c r="E4509" t="n">
        <v>0</v>
      </c>
      <c r="G4509">
        <f>IF(AND(A4509&gt;=Inputs!$B$5,A4509&lt;=Inputs!$B$6),1,0)</f>
        <v/>
      </c>
    </row>
    <row r="4510">
      <c r="A4510" t="inlineStr">
        <is>
          <t>2025-07</t>
        </is>
      </c>
      <c r="B4510" t="inlineStr">
        <is>
          <t>HOSP-1</t>
        </is>
      </c>
      <c r="C4510" t="inlineStr">
        <is>
          <t>SS-01082</t>
        </is>
      </c>
      <c r="D4510" t="n">
        <v>12</v>
      </c>
      <c r="E4510" t="n">
        <v>0</v>
      </c>
      <c r="G4510">
        <f>IF(AND(A4510&gt;=Inputs!$B$5,A4510&lt;=Inputs!$B$6),1,0)</f>
        <v/>
      </c>
    </row>
    <row r="4511">
      <c r="A4511" t="inlineStr">
        <is>
          <t>2025-07</t>
        </is>
      </c>
      <c r="B4511" t="inlineStr">
        <is>
          <t>HOSP-2</t>
        </is>
      </c>
      <c r="C4511" t="inlineStr">
        <is>
          <t>SS-01055</t>
        </is>
      </c>
      <c r="D4511" t="n">
        <v>180</v>
      </c>
      <c r="E4511" t="n">
        <v>0</v>
      </c>
      <c r="G4511">
        <f>IF(AND(A4511&gt;=Inputs!$B$5,A4511&lt;=Inputs!$B$6),1,0)</f>
        <v/>
      </c>
    </row>
    <row r="4512">
      <c r="A4512" t="inlineStr">
        <is>
          <t>2025-07</t>
        </is>
      </c>
      <c r="B4512" t="inlineStr">
        <is>
          <t>HOSP-3</t>
        </is>
      </c>
      <c r="C4512" t="inlineStr">
        <is>
          <t>SS-01084</t>
        </is>
      </c>
      <c r="D4512" t="n">
        <v>12</v>
      </c>
      <c r="E4512" t="n">
        <v>0</v>
      </c>
      <c r="G4512">
        <f>IF(AND(A4512&gt;=Inputs!$B$5,A4512&lt;=Inputs!$B$6),1,0)</f>
        <v/>
      </c>
    </row>
    <row r="4513">
      <c r="A4513" t="inlineStr">
        <is>
          <t>2025-07</t>
        </is>
      </c>
      <c r="B4513" t="inlineStr">
        <is>
          <t>HOSP-4</t>
        </is>
      </c>
      <c r="C4513" t="inlineStr">
        <is>
          <t>SS-01085</t>
        </is>
      </c>
      <c r="D4513" t="n">
        <v>11</v>
      </c>
      <c r="E4513" t="n">
        <v>0</v>
      </c>
      <c r="G4513">
        <f>IF(AND(A4513&gt;=Inputs!$B$5,A4513&lt;=Inputs!$B$6),1,0)</f>
        <v/>
      </c>
    </row>
    <row r="4514">
      <c r="A4514" t="inlineStr">
        <is>
          <t>2025-07</t>
        </is>
      </c>
      <c r="B4514" t="inlineStr">
        <is>
          <t>HOSP-1</t>
        </is>
      </c>
      <c r="C4514" t="inlineStr">
        <is>
          <t>SS-01086</t>
        </is>
      </c>
      <c r="D4514" t="n">
        <v>48</v>
      </c>
      <c r="E4514" t="n">
        <v>0</v>
      </c>
      <c r="G4514">
        <f>IF(AND(A4514&gt;=Inputs!$B$5,A4514&lt;=Inputs!$B$6),1,0)</f>
        <v/>
      </c>
    </row>
    <row r="4515">
      <c r="A4515" t="inlineStr">
        <is>
          <t>2025-07</t>
        </is>
      </c>
      <c r="B4515" t="inlineStr">
        <is>
          <t>HOSP-2</t>
        </is>
      </c>
      <c r="C4515" t="inlineStr">
        <is>
          <t>SS-01087</t>
        </is>
      </c>
      <c r="D4515" t="n">
        <v>12</v>
      </c>
      <c r="E4515" t="n">
        <v>0</v>
      </c>
      <c r="G4515">
        <f>IF(AND(A4515&gt;=Inputs!$B$5,A4515&lt;=Inputs!$B$6),1,0)</f>
        <v/>
      </c>
    </row>
    <row r="4516">
      <c r="A4516" t="inlineStr">
        <is>
          <t>2025-07</t>
        </is>
      </c>
      <c r="B4516" t="inlineStr">
        <is>
          <t>HOSP-3</t>
        </is>
      </c>
      <c r="C4516" t="inlineStr">
        <is>
          <t>SS-01102</t>
        </is>
      </c>
      <c r="D4516" t="n">
        <v>39</v>
      </c>
      <c r="E4516" t="n">
        <v>8</v>
      </c>
      <c r="G4516">
        <f>IF(AND(A4516&gt;=Inputs!$B$5,A4516&lt;=Inputs!$B$6),1,0)</f>
        <v/>
      </c>
    </row>
    <row r="4517">
      <c r="A4517" t="inlineStr">
        <is>
          <t>2025-07</t>
        </is>
      </c>
      <c r="B4517" t="inlineStr">
        <is>
          <t>HOSP-4</t>
        </is>
      </c>
      <c r="C4517" t="inlineStr">
        <is>
          <t>SS-01089</t>
        </is>
      </c>
      <c r="D4517" t="n">
        <v>24</v>
      </c>
      <c r="E4517" t="n">
        <v>0</v>
      </c>
      <c r="G4517">
        <f>IF(AND(A4517&gt;=Inputs!$B$5,A4517&lt;=Inputs!$B$6),1,0)</f>
        <v/>
      </c>
    </row>
    <row r="4518">
      <c r="A4518" t="inlineStr">
        <is>
          <t>2025-07</t>
        </is>
      </c>
      <c r="B4518" t="inlineStr">
        <is>
          <t>HOSP-1</t>
        </is>
      </c>
      <c r="C4518" t="inlineStr">
        <is>
          <t>SS-01090</t>
        </is>
      </c>
      <c r="D4518" t="n">
        <v>0</v>
      </c>
      <c r="E4518" t="n">
        <v>0</v>
      </c>
      <c r="G4518">
        <f>IF(AND(A4518&gt;=Inputs!$B$5,A4518&lt;=Inputs!$B$6),1,0)</f>
        <v/>
      </c>
    </row>
    <row r="4519">
      <c r="A4519" t="inlineStr">
        <is>
          <t>2025-07</t>
        </is>
      </c>
      <c r="B4519" t="inlineStr">
        <is>
          <t>HOSP-2</t>
        </is>
      </c>
      <c r="C4519" t="inlineStr">
        <is>
          <t>SS-01091</t>
        </is>
      </c>
      <c r="D4519" t="n">
        <v>12</v>
      </c>
      <c r="E4519" t="n">
        <v>0</v>
      </c>
      <c r="G4519">
        <f>IF(AND(A4519&gt;=Inputs!$B$5,A4519&lt;=Inputs!$B$6),1,0)</f>
        <v/>
      </c>
    </row>
    <row r="4520">
      <c r="A4520" t="inlineStr">
        <is>
          <t>2025-07</t>
        </is>
      </c>
      <c r="B4520" t="inlineStr">
        <is>
          <t>HOSP-3</t>
        </is>
      </c>
      <c r="C4520" t="inlineStr">
        <is>
          <t>SS-01092</t>
        </is>
      </c>
      <c r="D4520" t="n">
        <v>6</v>
      </c>
      <c r="E4520" t="n">
        <v>2</v>
      </c>
      <c r="G4520">
        <f>IF(AND(A4520&gt;=Inputs!$B$5,A4520&lt;=Inputs!$B$6),1,0)</f>
        <v/>
      </c>
    </row>
    <row r="4521">
      <c r="A4521" t="inlineStr">
        <is>
          <t>2025-07</t>
        </is>
      </c>
      <c r="B4521" t="inlineStr">
        <is>
          <t>HOSP-4</t>
        </is>
      </c>
      <c r="C4521" t="inlineStr">
        <is>
          <t>SS-01093</t>
        </is>
      </c>
      <c r="D4521" t="n">
        <v>0</v>
      </c>
      <c r="E4521" t="n">
        <v>0</v>
      </c>
      <c r="G4521">
        <f>IF(AND(A4521&gt;=Inputs!$B$5,A4521&lt;=Inputs!$B$6),1,0)</f>
        <v/>
      </c>
    </row>
    <row r="4522">
      <c r="A4522" t="inlineStr">
        <is>
          <t>2025-07</t>
        </is>
      </c>
      <c r="B4522" t="inlineStr">
        <is>
          <t>HOSP-1</t>
        </is>
      </c>
      <c r="C4522" t="inlineStr">
        <is>
          <t>SS-01041</t>
        </is>
      </c>
      <c r="D4522" t="n">
        <v>144</v>
      </c>
      <c r="E4522" t="n">
        <v>0</v>
      </c>
      <c r="G4522">
        <f>IF(AND(A4522&gt;=Inputs!$B$5,A4522&lt;=Inputs!$B$6),1,0)</f>
        <v/>
      </c>
    </row>
    <row r="4523">
      <c r="A4523" t="inlineStr">
        <is>
          <t>2025-07</t>
        </is>
      </c>
      <c r="B4523" t="inlineStr">
        <is>
          <t>HOSP-2</t>
        </is>
      </c>
      <c r="C4523" t="inlineStr">
        <is>
          <t>SS-01095</t>
        </is>
      </c>
      <c r="D4523" t="n">
        <v>108</v>
      </c>
      <c r="E4523" t="n">
        <v>0</v>
      </c>
      <c r="G4523">
        <f>IF(AND(A4523&gt;=Inputs!$B$5,A4523&lt;=Inputs!$B$6),1,0)</f>
        <v/>
      </c>
    </row>
    <row r="4524">
      <c r="A4524" t="inlineStr">
        <is>
          <t>2025-07</t>
        </is>
      </c>
      <c r="B4524" t="inlineStr">
        <is>
          <t>HOSP-3</t>
        </is>
      </c>
      <c r="C4524" t="inlineStr">
        <is>
          <t>SS-01096</t>
        </is>
      </c>
      <c r="D4524" t="n">
        <v>0</v>
      </c>
      <c r="E4524" t="n">
        <v>0</v>
      </c>
      <c r="G4524">
        <f>IF(AND(A4524&gt;=Inputs!$B$5,A4524&lt;=Inputs!$B$6),1,0)</f>
        <v/>
      </c>
    </row>
    <row r="4525">
      <c r="A4525" t="inlineStr">
        <is>
          <t>2025-07</t>
        </is>
      </c>
      <c r="B4525" t="inlineStr">
        <is>
          <t>HOSP-4</t>
        </is>
      </c>
      <c r="C4525" t="inlineStr">
        <is>
          <t>SS-01097</t>
        </is>
      </c>
      <c r="D4525" t="n">
        <v>216</v>
      </c>
      <c r="E4525" t="n">
        <v>0</v>
      </c>
      <c r="G4525">
        <f>IF(AND(A4525&gt;=Inputs!$B$5,A4525&lt;=Inputs!$B$6),1,0)</f>
        <v/>
      </c>
    </row>
    <row r="4526">
      <c r="A4526" t="inlineStr">
        <is>
          <t>2025-07</t>
        </is>
      </c>
      <c r="B4526" t="inlineStr">
        <is>
          <t>HOSP-1</t>
        </is>
      </c>
      <c r="C4526" t="inlineStr">
        <is>
          <t>SS-01098</t>
        </is>
      </c>
      <c r="D4526" t="n">
        <v>84</v>
      </c>
      <c r="E4526" t="n">
        <v>0</v>
      </c>
      <c r="G4526">
        <f>IF(AND(A4526&gt;=Inputs!$B$5,A4526&lt;=Inputs!$B$6),1,0)</f>
        <v/>
      </c>
    </row>
    <row r="4527">
      <c r="A4527" t="inlineStr">
        <is>
          <t>2025-07</t>
        </is>
      </c>
      <c r="B4527" t="inlineStr">
        <is>
          <t>HOSP-2</t>
        </is>
      </c>
      <c r="C4527" t="inlineStr">
        <is>
          <t>SS-01099</t>
        </is>
      </c>
      <c r="D4527" t="n">
        <v>24</v>
      </c>
      <c r="E4527" t="n">
        <v>0</v>
      </c>
      <c r="G4527">
        <f>IF(AND(A4527&gt;=Inputs!$B$5,A4527&lt;=Inputs!$B$6),1,0)</f>
        <v/>
      </c>
    </row>
    <row r="4528">
      <c r="A4528" t="inlineStr">
        <is>
          <t>2025-07</t>
        </is>
      </c>
      <c r="B4528" t="inlineStr">
        <is>
          <t>HOSP-3</t>
        </is>
      </c>
      <c r="C4528" t="inlineStr">
        <is>
          <t>SS-01232</t>
        </is>
      </c>
      <c r="D4528" t="n">
        <v>0</v>
      </c>
      <c r="E4528" t="n">
        <v>0</v>
      </c>
      <c r="G4528">
        <f>IF(AND(A4528&gt;=Inputs!$B$5,A4528&lt;=Inputs!$B$6),1,0)</f>
        <v/>
      </c>
    </row>
    <row r="4529">
      <c r="A4529" t="inlineStr">
        <is>
          <t>2025-07</t>
        </is>
      </c>
      <c r="B4529" t="inlineStr">
        <is>
          <t>HOSP-4</t>
        </is>
      </c>
      <c r="C4529" t="inlineStr">
        <is>
          <t>SS-01101</t>
        </is>
      </c>
      <c r="D4529" t="n">
        <v>60</v>
      </c>
      <c r="E4529" t="n">
        <v>0</v>
      </c>
      <c r="G4529">
        <f>IF(AND(A4529&gt;=Inputs!$B$5,A4529&lt;=Inputs!$B$6),1,0)</f>
        <v/>
      </c>
    </row>
    <row r="4530">
      <c r="A4530" t="inlineStr">
        <is>
          <t>2025-07</t>
        </is>
      </c>
      <c r="B4530" t="inlineStr">
        <is>
          <t>HOSP-1</t>
        </is>
      </c>
      <c r="C4530" t="inlineStr">
        <is>
          <t>SS-01145</t>
        </is>
      </c>
      <c r="D4530" t="n">
        <v>88</v>
      </c>
      <c r="E4530" t="n">
        <v>0</v>
      </c>
      <c r="G4530">
        <f>IF(AND(A4530&gt;=Inputs!$B$5,A4530&lt;=Inputs!$B$6),1,0)</f>
        <v/>
      </c>
    </row>
    <row r="4531">
      <c r="A4531" t="inlineStr">
        <is>
          <t>2025-07</t>
        </is>
      </c>
      <c r="B4531" t="inlineStr">
        <is>
          <t>HOSP-2</t>
        </is>
      </c>
      <c r="C4531" t="inlineStr">
        <is>
          <t>SS-01106</t>
        </is>
      </c>
      <c r="D4531" t="n">
        <v>42</v>
      </c>
      <c r="E4531" t="n">
        <v>0</v>
      </c>
      <c r="G4531">
        <f>IF(AND(A4531&gt;=Inputs!$B$5,A4531&lt;=Inputs!$B$6),1,0)</f>
        <v/>
      </c>
    </row>
    <row r="4532">
      <c r="A4532" t="inlineStr">
        <is>
          <t>2025-07</t>
        </is>
      </c>
      <c r="B4532" t="inlineStr">
        <is>
          <t>HOSP-3</t>
        </is>
      </c>
      <c r="C4532" t="inlineStr">
        <is>
          <t>SS-01104</t>
        </is>
      </c>
      <c r="D4532" t="n">
        <v>12</v>
      </c>
      <c r="E4532" t="n">
        <v>0</v>
      </c>
      <c r="G4532">
        <f>IF(AND(A4532&gt;=Inputs!$B$5,A4532&lt;=Inputs!$B$6),1,0)</f>
        <v/>
      </c>
    </row>
    <row r="4533">
      <c r="A4533" t="inlineStr">
        <is>
          <t>2025-07</t>
        </is>
      </c>
      <c r="B4533" t="inlineStr">
        <is>
          <t>HOSP-4</t>
        </is>
      </c>
      <c r="C4533" t="inlineStr">
        <is>
          <t>SS-01105</t>
        </is>
      </c>
      <c r="D4533" t="n">
        <v>24</v>
      </c>
      <c r="E4533" t="n">
        <v>0</v>
      </c>
      <c r="G4533">
        <f>IF(AND(A4533&gt;=Inputs!$B$5,A4533&lt;=Inputs!$B$6),1,0)</f>
        <v/>
      </c>
    </row>
    <row r="4534">
      <c r="A4534" t="inlineStr">
        <is>
          <t>2025-07</t>
        </is>
      </c>
      <c r="B4534" t="inlineStr">
        <is>
          <t>HOSP-1</t>
        </is>
      </c>
      <c r="C4534" t="inlineStr">
        <is>
          <t>SS-01106</t>
        </is>
      </c>
      <c r="D4534" t="n">
        <v>0</v>
      </c>
      <c r="E4534" t="n">
        <v>0</v>
      </c>
      <c r="G4534">
        <f>IF(AND(A4534&gt;=Inputs!$B$5,A4534&lt;=Inputs!$B$6),1,0)</f>
        <v/>
      </c>
    </row>
    <row r="4535">
      <c r="A4535" t="inlineStr">
        <is>
          <t>2025-07</t>
        </is>
      </c>
      <c r="B4535" t="inlineStr">
        <is>
          <t>HOSP-2</t>
        </is>
      </c>
      <c r="C4535" t="inlineStr">
        <is>
          <t>SS-01107</t>
        </is>
      </c>
      <c r="D4535" t="n">
        <v>12</v>
      </c>
      <c r="E4535" t="n">
        <v>0</v>
      </c>
      <c r="G4535">
        <f>IF(AND(A4535&gt;=Inputs!$B$5,A4535&lt;=Inputs!$B$6),1,0)</f>
        <v/>
      </c>
    </row>
    <row r="4536">
      <c r="A4536" t="inlineStr">
        <is>
          <t>2025-07</t>
        </is>
      </c>
      <c r="B4536" t="inlineStr">
        <is>
          <t>HOSP-3</t>
        </is>
      </c>
      <c r="C4536" t="inlineStr">
        <is>
          <t>SS-01108</t>
        </is>
      </c>
      <c r="D4536" t="n">
        <v>12</v>
      </c>
      <c r="E4536" t="n">
        <v>0</v>
      </c>
      <c r="G4536">
        <f>IF(AND(A4536&gt;=Inputs!$B$5,A4536&lt;=Inputs!$B$6),1,0)</f>
        <v/>
      </c>
    </row>
    <row r="4537">
      <c r="A4537" t="inlineStr">
        <is>
          <t>2025-07</t>
        </is>
      </c>
      <c r="B4537" t="inlineStr">
        <is>
          <t>HOSP-4</t>
        </is>
      </c>
      <c r="C4537" t="inlineStr">
        <is>
          <t>SS-01161</t>
        </is>
      </c>
      <c r="D4537" t="n">
        <v>1</v>
      </c>
      <c r="E4537" t="n">
        <v>2</v>
      </c>
      <c r="G4537">
        <f>IF(AND(A4537&gt;=Inputs!$B$5,A4537&lt;=Inputs!$B$6),1,0)</f>
        <v/>
      </c>
    </row>
    <row r="4538">
      <c r="A4538" t="inlineStr">
        <is>
          <t>2025-07</t>
        </is>
      </c>
      <c r="B4538" t="inlineStr">
        <is>
          <t>HOSP-1</t>
        </is>
      </c>
      <c r="C4538" t="inlineStr">
        <is>
          <t>SS-01110</t>
        </is>
      </c>
      <c r="D4538" t="n">
        <v>24</v>
      </c>
      <c r="E4538" t="n">
        <v>0</v>
      </c>
      <c r="G4538">
        <f>IF(AND(A4538&gt;=Inputs!$B$5,A4538&lt;=Inputs!$B$6),1,0)</f>
        <v/>
      </c>
    </row>
    <row r="4539">
      <c r="A4539" t="inlineStr">
        <is>
          <t>2025-07</t>
        </is>
      </c>
      <c r="B4539" t="inlineStr">
        <is>
          <t>HOSP-2</t>
        </is>
      </c>
      <c r="C4539" t="inlineStr">
        <is>
          <t>SS-01143</t>
        </is>
      </c>
      <c r="D4539" t="n">
        <v>9</v>
      </c>
      <c r="E4539" t="n">
        <v>2</v>
      </c>
      <c r="G4539">
        <f>IF(AND(A4539&gt;=Inputs!$B$5,A4539&lt;=Inputs!$B$6),1,0)</f>
        <v/>
      </c>
    </row>
    <row r="4540">
      <c r="A4540" t="inlineStr">
        <is>
          <t>2025-07</t>
        </is>
      </c>
      <c r="B4540" t="inlineStr">
        <is>
          <t>HOSP-3</t>
        </is>
      </c>
      <c r="C4540" t="inlineStr">
        <is>
          <t>SS-01112</t>
        </is>
      </c>
      <c r="D4540" t="n">
        <v>0</v>
      </c>
      <c r="E4540" t="n">
        <v>0</v>
      </c>
      <c r="G4540">
        <f>IF(AND(A4540&gt;=Inputs!$B$5,A4540&lt;=Inputs!$B$6),1,0)</f>
        <v/>
      </c>
    </row>
    <row r="4541">
      <c r="A4541" t="inlineStr">
        <is>
          <t>2025-07</t>
        </is>
      </c>
      <c r="B4541" t="inlineStr">
        <is>
          <t>HOSP-4</t>
        </is>
      </c>
      <c r="C4541" t="inlineStr">
        <is>
          <t>SS-01113</t>
        </is>
      </c>
      <c r="D4541" t="n">
        <v>0</v>
      </c>
      <c r="E4541" t="n">
        <v>0</v>
      </c>
      <c r="G4541">
        <f>IF(AND(A4541&gt;=Inputs!$B$5,A4541&lt;=Inputs!$B$6),1,0)</f>
        <v/>
      </c>
    </row>
    <row r="4542">
      <c r="A4542" t="inlineStr">
        <is>
          <t>2025-07</t>
        </is>
      </c>
      <c r="B4542" t="inlineStr">
        <is>
          <t>HOSP-1</t>
        </is>
      </c>
      <c r="C4542" t="inlineStr">
        <is>
          <t>SS-01114</t>
        </is>
      </c>
      <c r="D4542" t="n">
        <v>0</v>
      </c>
      <c r="E4542" t="n">
        <v>0</v>
      </c>
      <c r="G4542">
        <f>IF(AND(A4542&gt;=Inputs!$B$5,A4542&lt;=Inputs!$B$6),1,0)</f>
        <v/>
      </c>
    </row>
    <row r="4543">
      <c r="A4543" t="inlineStr">
        <is>
          <t>2025-07</t>
        </is>
      </c>
      <c r="B4543" t="inlineStr">
        <is>
          <t>HOSP-2</t>
        </is>
      </c>
      <c r="C4543" t="inlineStr">
        <is>
          <t>SS-01115</t>
        </is>
      </c>
      <c r="D4543" t="n">
        <v>120</v>
      </c>
      <c r="E4543" t="n">
        <v>0</v>
      </c>
      <c r="G4543">
        <f>IF(AND(A4543&gt;=Inputs!$B$5,A4543&lt;=Inputs!$B$6),1,0)</f>
        <v/>
      </c>
    </row>
    <row r="4544">
      <c r="A4544" t="inlineStr">
        <is>
          <t>2025-07</t>
        </is>
      </c>
      <c r="B4544" t="inlineStr">
        <is>
          <t>HOSP-3</t>
        </is>
      </c>
      <c r="C4544" t="inlineStr">
        <is>
          <t>SS-01116</t>
        </is>
      </c>
      <c r="D4544" t="n">
        <v>0</v>
      </c>
      <c r="E4544" t="n">
        <v>0</v>
      </c>
      <c r="G4544">
        <f>IF(AND(A4544&gt;=Inputs!$B$5,A4544&lt;=Inputs!$B$6),1,0)</f>
        <v/>
      </c>
    </row>
    <row r="4545">
      <c r="A4545" t="inlineStr">
        <is>
          <t>2025-07</t>
        </is>
      </c>
      <c r="B4545" t="inlineStr">
        <is>
          <t>HOSP-4</t>
        </is>
      </c>
      <c r="C4545" t="inlineStr">
        <is>
          <t>SS-01156</t>
        </is>
      </c>
      <c r="D4545" t="n">
        <v>98</v>
      </c>
      <c r="E4545" t="n">
        <v>0</v>
      </c>
      <c r="G4545">
        <f>IF(AND(A4545&gt;=Inputs!$B$5,A4545&lt;=Inputs!$B$6),1,0)</f>
        <v/>
      </c>
    </row>
    <row r="4546">
      <c r="A4546" t="inlineStr">
        <is>
          <t>2025-07</t>
        </is>
      </c>
      <c r="B4546" t="inlineStr">
        <is>
          <t>HOSP-1</t>
        </is>
      </c>
      <c r="C4546" t="inlineStr">
        <is>
          <t>SS-01118</t>
        </is>
      </c>
      <c r="D4546" t="n">
        <v>780</v>
      </c>
      <c r="E4546" t="n">
        <v>0</v>
      </c>
      <c r="G4546">
        <f>IF(AND(A4546&gt;=Inputs!$B$5,A4546&lt;=Inputs!$B$6),1,0)</f>
        <v/>
      </c>
    </row>
    <row r="4547">
      <c r="A4547" t="inlineStr">
        <is>
          <t>2025-07</t>
        </is>
      </c>
      <c r="B4547" t="inlineStr">
        <is>
          <t>HOSP-2</t>
        </is>
      </c>
      <c r="C4547" t="inlineStr">
        <is>
          <t>SS-01119</t>
        </is>
      </c>
      <c r="D4547" t="n">
        <v>0</v>
      </c>
      <c r="E4547" t="n">
        <v>0</v>
      </c>
      <c r="G4547">
        <f>IF(AND(A4547&gt;=Inputs!$B$5,A4547&lt;=Inputs!$B$6),1,0)</f>
        <v/>
      </c>
    </row>
    <row r="4548">
      <c r="A4548" t="inlineStr">
        <is>
          <t>2025-07</t>
        </is>
      </c>
      <c r="B4548" t="inlineStr">
        <is>
          <t>HOSP-3</t>
        </is>
      </c>
      <c r="C4548" t="inlineStr">
        <is>
          <t>SS-01120</t>
        </is>
      </c>
      <c r="D4548" t="n">
        <v>0</v>
      </c>
      <c r="E4548" t="n">
        <v>0</v>
      </c>
      <c r="G4548">
        <f>IF(AND(A4548&gt;=Inputs!$B$5,A4548&lt;=Inputs!$B$6),1,0)</f>
        <v/>
      </c>
    </row>
    <row r="4549">
      <c r="A4549" t="inlineStr">
        <is>
          <t>2025-07</t>
        </is>
      </c>
      <c r="B4549" t="inlineStr">
        <is>
          <t>HOSP-4</t>
        </is>
      </c>
      <c r="C4549" t="inlineStr">
        <is>
          <t>SS-01121</t>
        </is>
      </c>
      <c r="D4549" t="n">
        <v>24</v>
      </c>
      <c r="E4549" t="n">
        <v>0</v>
      </c>
      <c r="G4549">
        <f>IF(AND(A4549&gt;=Inputs!$B$5,A4549&lt;=Inputs!$B$6),1,0)</f>
        <v/>
      </c>
    </row>
    <row r="4550">
      <c r="A4550" t="inlineStr">
        <is>
          <t>2025-07</t>
        </is>
      </c>
      <c r="B4550" t="inlineStr">
        <is>
          <t>HOSP-1</t>
        </is>
      </c>
      <c r="C4550" t="inlineStr">
        <is>
          <t>SS-01122</t>
        </is>
      </c>
      <c r="D4550" t="n">
        <v>0</v>
      </c>
      <c r="E4550" t="n">
        <v>1</v>
      </c>
      <c r="G4550">
        <f>IF(AND(A4550&gt;=Inputs!$B$5,A4550&lt;=Inputs!$B$6),1,0)</f>
        <v/>
      </c>
    </row>
    <row r="4551">
      <c r="A4551" t="inlineStr">
        <is>
          <t>2025-07</t>
        </is>
      </c>
      <c r="B4551" t="inlineStr">
        <is>
          <t>HOSP-2</t>
        </is>
      </c>
      <c r="C4551" t="inlineStr">
        <is>
          <t>SS-01123</t>
        </is>
      </c>
      <c r="D4551" t="n">
        <v>12</v>
      </c>
      <c r="E4551" t="n">
        <v>0</v>
      </c>
      <c r="G4551">
        <f>IF(AND(A4551&gt;=Inputs!$B$5,A4551&lt;=Inputs!$B$6),1,0)</f>
        <v/>
      </c>
    </row>
    <row r="4552">
      <c r="A4552" t="inlineStr">
        <is>
          <t>2025-07</t>
        </is>
      </c>
      <c r="B4552" t="inlineStr">
        <is>
          <t>HOSP-3</t>
        </is>
      </c>
      <c r="C4552" t="inlineStr">
        <is>
          <t>SS-01124</t>
        </is>
      </c>
      <c r="D4552" t="n">
        <v>12</v>
      </c>
      <c r="E4552" t="n">
        <v>0</v>
      </c>
      <c r="G4552">
        <f>IF(AND(A4552&gt;=Inputs!$B$5,A4552&lt;=Inputs!$B$6),1,0)</f>
        <v/>
      </c>
    </row>
    <row r="4553">
      <c r="A4553" t="inlineStr">
        <is>
          <t>2025-07</t>
        </is>
      </c>
      <c r="B4553" t="inlineStr">
        <is>
          <t>HOSP-4</t>
        </is>
      </c>
      <c r="C4553" t="inlineStr">
        <is>
          <t>SS-01125</t>
        </is>
      </c>
      <c r="D4553" t="n">
        <v>0</v>
      </c>
      <c r="E4553" t="n">
        <v>0</v>
      </c>
      <c r="G4553">
        <f>IF(AND(A4553&gt;=Inputs!$B$5,A4553&lt;=Inputs!$B$6),1,0)</f>
        <v/>
      </c>
    </row>
    <row r="4554">
      <c r="A4554" t="inlineStr">
        <is>
          <t>2025-07</t>
        </is>
      </c>
      <c r="B4554" t="inlineStr">
        <is>
          <t>HOSP-1</t>
        </is>
      </c>
      <c r="C4554" t="inlineStr">
        <is>
          <t>SS-01126</t>
        </is>
      </c>
      <c r="D4554" t="n">
        <v>0</v>
      </c>
      <c r="E4554" t="n">
        <v>0</v>
      </c>
      <c r="G4554">
        <f>IF(AND(A4554&gt;=Inputs!$B$5,A4554&lt;=Inputs!$B$6),1,0)</f>
        <v/>
      </c>
    </row>
    <row r="4555">
      <c r="A4555" t="inlineStr">
        <is>
          <t>2025-07</t>
        </is>
      </c>
      <c r="B4555" t="inlineStr">
        <is>
          <t>HOSP-2</t>
        </is>
      </c>
      <c r="C4555" t="inlineStr">
        <is>
          <t>SS-01127</t>
        </is>
      </c>
      <c r="D4555" t="n">
        <v>15</v>
      </c>
      <c r="E4555" t="n">
        <v>2</v>
      </c>
      <c r="G4555">
        <f>IF(AND(A4555&gt;=Inputs!$B$5,A4555&lt;=Inputs!$B$6),1,0)</f>
        <v/>
      </c>
    </row>
    <row r="4556">
      <c r="A4556" t="inlineStr">
        <is>
          <t>2025-07</t>
        </is>
      </c>
      <c r="B4556" t="inlineStr">
        <is>
          <t>HOSP-3</t>
        </is>
      </c>
      <c r="C4556" t="inlineStr">
        <is>
          <t>SS-01128</t>
        </is>
      </c>
      <c r="D4556" t="n">
        <v>24</v>
      </c>
      <c r="E4556" t="n">
        <v>0</v>
      </c>
      <c r="G4556">
        <f>IF(AND(A4556&gt;=Inputs!$B$5,A4556&lt;=Inputs!$B$6),1,0)</f>
        <v/>
      </c>
    </row>
    <row r="4557">
      <c r="A4557" t="inlineStr">
        <is>
          <t>2025-07</t>
        </is>
      </c>
      <c r="B4557" t="inlineStr">
        <is>
          <t>HOSP-4</t>
        </is>
      </c>
      <c r="C4557" t="inlineStr">
        <is>
          <t>SS-01129</t>
        </is>
      </c>
      <c r="D4557" t="n">
        <v>0</v>
      </c>
      <c r="E4557" t="n">
        <v>0</v>
      </c>
      <c r="G4557">
        <f>IF(AND(A4557&gt;=Inputs!$B$5,A4557&lt;=Inputs!$B$6),1,0)</f>
        <v/>
      </c>
    </row>
    <row r="4558">
      <c r="A4558" t="inlineStr">
        <is>
          <t>2025-07</t>
        </is>
      </c>
      <c r="B4558" t="inlineStr">
        <is>
          <t>HOSP-1</t>
        </is>
      </c>
      <c r="C4558" t="inlineStr">
        <is>
          <t>SS-01130</t>
        </is>
      </c>
      <c r="D4558" t="n">
        <v>0</v>
      </c>
      <c r="E4558" t="n">
        <v>0</v>
      </c>
      <c r="G4558">
        <f>IF(AND(A4558&gt;=Inputs!$B$5,A4558&lt;=Inputs!$B$6),1,0)</f>
        <v/>
      </c>
    </row>
    <row r="4559">
      <c r="A4559" t="inlineStr">
        <is>
          <t>2025-07</t>
        </is>
      </c>
      <c r="B4559" t="inlineStr">
        <is>
          <t>HOSP-2</t>
        </is>
      </c>
      <c r="C4559" t="inlineStr">
        <is>
          <t>SS-01131</t>
        </is>
      </c>
      <c r="D4559" t="n">
        <v>0</v>
      </c>
      <c r="E4559" t="n">
        <v>0</v>
      </c>
      <c r="G4559">
        <f>IF(AND(A4559&gt;=Inputs!$B$5,A4559&lt;=Inputs!$B$6),1,0)</f>
        <v/>
      </c>
    </row>
    <row r="4560">
      <c r="A4560" t="inlineStr">
        <is>
          <t>2025-07</t>
        </is>
      </c>
      <c r="B4560" t="inlineStr">
        <is>
          <t>HOSP-3</t>
        </is>
      </c>
      <c r="C4560" t="inlineStr">
        <is>
          <t>SS-01132</t>
        </is>
      </c>
      <c r="D4560" t="n">
        <v>12</v>
      </c>
      <c r="E4560" t="n">
        <v>0</v>
      </c>
      <c r="G4560">
        <f>IF(AND(A4560&gt;=Inputs!$B$5,A4560&lt;=Inputs!$B$6),1,0)</f>
        <v/>
      </c>
    </row>
    <row r="4561">
      <c r="A4561" t="inlineStr">
        <is>
          <t>2025-07</t>
        </is>
      </c>
      <c r="B4561" t="inlineStr">
        <is>
          <t>HOSP-4</t>
        </is>
      </c>
      <c r="C4561" t="inlineStr">
        <is>
          <t>SS-01133</t>
        </is>
      </c>
      <c r="D4561" t="n">
        <v>0</v>
      </c>
      <c r="E4561" t="n">
        <v>0</v>
      </c>
      <c r="G4561">
        <f>IF(AND(A4561&gt;=Inputs!$B$5,A4561&lt;=Inputs!$B$6),1,0)</f>
        <v/>
      </c>
    </row>
    <row r="4562">
      <c r="A4562" t="inlineStr">
        <is>
          <t>2025-07</t>
        </is>
      </c>
      <c r="B4562" t="inlineStr">
        <is>
          <t>HOSP-1</t>
        </is>
      </c>
      <c r="C4562" t="inlineStr">
        <is>
          <t>SS-01134</t>
        </is>
      </c>
      <c r="D4562" t="n">
        <v>9</v>
      </c>
      <c r="E4562" t="n">
        <v>0</v>
      </c>
      <c r="G4562">
        <f>IF(AND(A4562&gt;=Inputs!$B$5,A4562&lt;=Inputs!$B$6),1,0)</f>
        <v/>
      </c>
    </row>
    <row r="4563">
      <c r="A4563" t="inlineStr">
        <is>
          <t>2025-07</t>
        </is>
      </c>
      <c r="B4563" t="inlineStr">
        <is>
          <t>HOSP-2</t>
        </is>
      </c>
      <c r="C4563" t="inlineStr">
        <is>
          <t>SS-01135</t>
        </is>
      </c>
      <c r="D4563" t="n">
        <v>12</v>
      </c>
      <c r="E4563" t="n">
        <v>0</v>
      </c>
      <c r="G4563">
        <f>IF(AND(A4563&gt;=Inputs!$B$5,A4563&lt;=Inputs!$B$6),1,0)</f>
        <v/>
      </c>
    </row>
    <row r="4564">
      <c r="A4564" t="inlineStr">
        <is>
          <t>2025-07</t>
        </is>
      </c>
      <c r="B4564" t="inlineStr">
        <is>
          <t>HOSP-3</t>
        </is>
      </c>
      <c r="C4564" t="inlineStr">
        <is>
          <t>SS-01136</t>
        </is>
      </c>
      <c r="D4564" t="n">
        <v>72</v>
      </c>
      <c r="E4564" t="n">
        <v>0</v>
      </c>
      <c r="G4564">
        <f>IF(AND(A4564&gt;=Inputs!$B$5,A4564&lt;=Inputs!$B$6),1,0)</f>
        <v/>
      </c>
    </row>
    <row r="4565">
      <c r="A4565" t="inlineStr">
        <is>
          <t>2025-07</t>
        </is>
      </c>
      <c r="B4565" t="inlineStr">
        <is>
          <t>HOSP-4</t>
        </is>
      </c>
      <c r="C4565" t="inlineStr">
        <is>
          <t>SS-01082</t>
        </is>
      </c>
      <c r="D4565" t="n">
        <v>59</v>
      </c>
      <c r="E4565" t="n">
        <v>0</v>
      </c>
      <c r="G4565">
        <f>IF(AND(A4565&gt;=Inputs!$B$5,A4565&lt;=Inputs!$B$6),1,0)</f>
        <v/>
      </c>
    </row>
    <row r="4566">
      <c r="A4566" t="inlineStr">
        <is>
          <t>2025-07</t>
        </is>
      </c>
      <c r="B4566" t="inlineStr">
        <is>
          <t>HOSP-1</t>
        </is>
      </c>
      <c r="C4566" t="inlineStr">
        <is>
          <t>SS-01138</t>
        </is>
      </c>
      <c r="D4566" t="n">
        <v>0</v>
      </c>
      <c r="E4566" t="n">
        <v>0</v>
      </c>
      <c r="G4566">
        <f>IF(AND(A4566&gt;=Inputs!$B$5,A4566&lt;=Inputs!$B$6),1,0)</f>
        <v/>
      </c>
    </row>
    <row r="4567">
      <c r="A4567" t="inlineStr">
        <is>
          <t>2025-07</t>
        </is>
      </c>
      <c r="B4567" t="inlineStr">
        <is>
          <t>HOSP-2</t>
        </is>
      </c>
      <c r="C4567" t="inlineStr">
        <is>
          <t>SS-01139</t>
        </is>
      </c>
      <c r="D4567" t="n">
        <v>84</v>
      </c>
      <c r="E4567" t="n">
        <v>0</v>
      </c>
      <c r="G4567">
        <f>IF(AND(A4567&gt;=Inputs!$B$5,A4567&lt;=Inputs!$B$6),1,0)</f>
        <v/>
      </c>
    </row>
    <row r="4568">
      <c r="A4568" t="inlineStr">
        <is>
          <t>2025-07</t>
        </is>
      </c>
      <c r="B4568" t="inlineStr">
        <is>
          <t>HOSP-3</t>
        </is>
      </c>
      <c r="C4568" t="inlineStr">
        <is>
          <t>SS-01140</t>
        </is>
      </c>
      <c r="D4568" t="n">
        <v>12</v>
      </c>
      <c r="E4568" t="n">
        <v>0</v>
      </c>
      <c r="G4568">
        <f>IF(AND(A4568&gt;=Inputs!$B$5,A4568&lt;=Inputs!$B$6),1,0)</f>
        <v/>
      </c>
    </row>
    <row r="4569">
      <c r="A4569" t="inlineStr">
        <is>
          <t>2025-07</t>
        </is>
      </c>
      <c r="B4569" t="inlineStr">
        <is>
          <t>HOSP-4</t>
        </is>
      </c>
      <c r="C4569" t="inlineStr">
        <is>
          <t>SS-01197</t>
        </is>
      </c>
      <c r="D4569" t="n">
        <v>396</v>
      </c>
      <c r="E4569" t="n">
        <v>0</v>
      </c>
      <c r="G4569">
        <f>IF(AND(A4569&gt;=Inputs!$B$5,A4569&lt;=Inputs!$B$6),1,0)</f>
        <v/>
      </c>
    </row>
    <row r="4570">
      <c r="A4570" t="inlineStr">
        <is>
          <t>2025-07</t>
        </is>
      </c>
      <c r="B4570" t="inlineStr">
        <is>
          <t>HOSP-1</t>
        </is>
      </c>
      <c r="C4570" t="inlineStr">
        <is>
          <t>SS-01115</t>
        </is>
      </c>
      <c r="D4570" t="n">
        <v>11</v>
      </c>
      <c r="E4570" t="n">
        <v>0</v>
      </c>
      <c r="G4570">
        <f>IF(AND(A4570&gt;=Inputs!$B$5,A4570&lt;=Inputs!$B$6),1,0)</f>
        <v/>
      </c>
    </row>
    <row r="4571">
      <c r="A4571" t="inlineStr">
        <is>
          <t>2025-07</t>
        </is>
      </c>
      <c r="B4571" t="inlineStr">
        <is>
          <t>HOSP-2</t>
        </is>
      </c>
      <c r="C4571" t="inlineStr">
        <is>
          <t>SS-01143</t>
        </is>
      </c>
      <c r="D4571" t="n">
        <v>24</v>
      </c>
      <c r="E4571" t="n">
        <v>0</v>
      </c>
      <c r="G4571">
        <f>IF(AND(A4571&gt;=Inputs!$B$5,A4571&lt;=Inputs!$B$6),1,0)</f>
        <v/>
      </c>
    </row>
    <row r="4572">
      <c r="A4572" t="inlineStr">
        <is>
          <t>2025-07</t>
        </is>
      </c>
      <c r="B4572" t="inlineStr">
        <is>
          <t>HOSP-3</t>
        </is>
      </c>
      <c r="C4572" t="inlineStr">
        <is>
          <t>SS-01144</t>
        </is>
      </c>
      <c r="D4572" t="n">
        <v>60</v>
      </c>
      <c r="E4572" t="n">
        <v>0</v>
      </c>
      <c r="G4572">
        <f>IF(AND(A4572&gt;=Inputs!$B$5,A4572&lt;=Inputs!$B$6),1,0)</f>
        <v/>
      </c>
    </row>
    <row r="4573">
      <c r="A4573" t="inlineStr">
        <is>
          <t>2025-07</t>
        </is>
      </c>
      <c r="B4573" t="inlineStr">
        <is>
          <t>HOSP-4</t>
        </is>
      </c>
      <c r="C4573" t="inlineStr">
        <is>
          <t>SS-01145</t>
        </is>
      </c>
      <c r="D4573" t="n">
        <v>0</v>
      </c>
      <c r="E4573" t="n">
        <v>0</v>
      </c>
      <c r="G4573">
        <f>IF(AND(A4573&gt;=Inputs!$B$5,A4573&lt;=Inputs!$B$6),1,0)</f>
        <v/>
      </c>
    </row>
    <row r="4574">
      <c r="A4574" t="inlineStr">
        <is>
          <t>2025-07</t>
        </is>
      </c>
      <c r="B4574" t="inlineStr">
        <is>
          <t>HOSP-1</t>
        </is>
      </c>
      <c r="C4574" t="inlineStr">
        <is>
          <t>SS-01146</t>
        </is>
      </c>
      <c r="D4574" t="n">
        <v>3</v>
      </c>
      <c r="E4574" t="n">
        <v>0</v>
      </c>
      <c r="G4574">
        <f>IF(AND(A4574&gt;=Inputs!$B$5,A4574&lt;=Inputs!$B$6),1,0)</f>
        <v/>
      </c>
    </row>
    <row r="4575">
      <c r="A4575" t="inlineStr">
        <is>
          <t>2025-07</t>
        </is>
      </c>
      <c r="B4575" t="inlineStr">
        <is>
          <t>HOSP-2</t>
        </is>
      </c>
      <c r="C4575" t="inlineStr">
        <is>
          <t>SS-01147</t>
        </is>
      </c>
      <c r="D4575" t="n">
        <v>0</v>
      </c>
      <c r="E4575" t="n">
        <v>0</v>
      </c>
      <c r="G4575">
        <f>IF(AND(A4575&gt;=Inputs!$B$5,A4575&lt;=Inputs!$B$6),1,0)</f>
        <v/>
      </c>
    </row>
    <row r="4576">
      <c r="A4576" t="inlineStr">
        <is>
          <t>2025-07</t>
        </is>
      </c>
      <c r="B4576" t="inlineStr">
        <is>
          <t>HOSP-3</t>
        </is>
      </c>
      <c r="C4576" t="inlineStr">
        <is>
          <t>SS-01148</t>
        </is>
      </c>
      <c r="D4576" t="n">
        <v>1</v>
      </c>
      <c r="E4576" t="n">
        <v>1</v>
      </c>
      <c r="G4576">
        <f>IF(AND(A4576&gt;=Inputs!$B$5,A4576&lt;=Inputs!$B$6),1,0)</f>
        <v/>
      </c>
    </row>
    <row r="4577">
      <c r="A4577" t="inlineStr">
        <is>
          <t>2025-07</t>
        </is>
      </c>
      <c r="B4577" t="inlineStr">
        <is>
          <t>HOSP-4</t>
        </is>
      </c>
      <c r="C4577" t="inlineStr">
        <is>
          <t>SS-01149</t>
        </is>
      </c>
      <c r="D4577" t="n">
        <v>12</v>
      </c>
      <c r="E4577" t="n">
        <v>0</v>
      </c>
      <c r="G4577">
        <f>IF(AND(A4577&gt;=Inputs!$B$5,A4577&lt;=Inputs!$B$6),1,0)</f>
        <v/>
      </c>
    </row>
    <row r="4578">
      <c r="A4578" t="inlineStr">
        <is>
          <t>2025-07</t>
        </is>
      </c>
      <c r="B4578" t="inlineStr">
        <is>
          <t>HOSP-1</t>
        </is>
      </c>
      <c r="C4578" t="inlineStr">
        <is>
          <t>SS-01150</t>
        </is>
      </c>
      <c r="D4578" t="n">
        <v>36</v>
      </c>
      <c r="E4578" t="n">
        <v>0</v>
      </c>
      <c r="G4578">
        <f>IF(AND(A4578&gt;=Inputs!$B$5,A4578&lt;=Inputs!$B$6),1,0)</f>
        <v/>
      </c>
    </row>
    <row r="4579">
      <c r="A4579" t="inlineStr">
        <is>
          <t>2025-07</t>
        </is>
      </c>
      <c r="B4579" t="inlineStr">
        <is>
          <t>HOSP-2</t>
        </is>
      </c>
      <c r="C4579" t="inlineStr">
        <is>
          <t>SS-01111</t>
        </is>
      </c>
      <c r="D4579" t="n">
        <v>12</v>
      </c>
      <c r="E4579" t="n">
        <v>0</v>
      </c>
      <c r="G4579">
        <f>IF(AND(A4579&gt;=Inputs!$B$5,A4579&lt;=Inputs!$B$6),1,0)</f>
        <v/>
      </c>
    </row>
    <row r="4580">
      <c r="A4580" t="inlineStr">
        <is>
          <t>2025-07</t>
        </is>
      </c>
      <c r="B4580" t="inlineStr">
        <is>
          <t>HOSP-3</t>
        </is>
      </c>
      <c r="C4580" t="inlineStr">
        <is>
          <t>SS-01152</t>
        </is>
      </c>
      <c r="D4580" t="n">
        <v>24</v>
      </c>
      <c r="E4580" t="n">
        <v>0</v>
      </c>
      <c r="G4580">
        <f>IF(AND(A4580&gt;=Inputs!$B$5,A4580&lt;=Inputs!$B$6),1,0)</f>
        <v/>
      </c>
    </row>
    <row r="4581">
      <c r="A4581" t="inlineStr">
        <is>
          <t>2025-07</t>
        </is>
      </c>
      <c r="B4581" t="inlineStr">
        <is>
          <t>HOSP-4</t>
        </is>
      </c>
      <c r="C4581" t="inlineStr">
        <is>
          <t>SS-01153</t>
        </is>
      </c>
      <c r="D4581" t="n">
        <v>60</v>
      </c>
      <c r="E4581" t="n">
        <v>0</v>
      </c>
      <c r="G4581">
        <f>IF(AND(A4581&gt;=Inputs!$B$5,A4581&lt;=Inputs!$B$6),1,0)</f>
        <v/>
      </c>
    </row>
    <row r="4582">
      <c r="A4582" t="inlineStr">
        <is>
          <t>2025-07</t>
        </is>
      </c>
      <c r="B4582" t="inlineStr">
        <is>
          <t>HOSP-1</t>
        </is>
      </c>
      <c r="C4582" t="inlineStr">
        <is>
          <t>SS-01154</t>
        </is>
      </c>
      <c r="D4582" t="n">
        <v>12</v>
      </c>
      <c r="E4582" t="n">
        <v>0</v>
      </c>
      <c r="G4582">
        <f>IF(AND(A4582&gt;=Inputs!$B$5,A4582&lt;=Inputs!$B$6),1,0)</f>
        <v/>
      </c>
    </row>
    <row r="4583">
      <c r="A4583" t="inlineStr">
        <is>
          <t>2025-07</t>
        </is>
      </c>
      <c r="B4583" t="inlineStr">
        <is>
          <t>HOSP-2</t>
        </is>
      </c>
      <c r="C4583" t="inlineStr">
        <is>
          <t>SS-01155</t>
        </is>
      </c>
      <c r="D4583" t="n">
        <v>36</v>
      </c>
      <c r="E4583" t="n">
        <v>0</v>
      </c>
      <c r="G4583">
        <f>IF(AND(A4583&gt;=Inputs!$B$5,A4583&lt;=Inputs!$B$6),1,0)</f>
        <v/>
      </c>
    </row>
    <row r="4584">
      <c r="A4584" t="inlineStr">
        <is>
          <t>2025-07</t>
        </is>
      </c>
      <c r="B4584" t="inlineStr">
        <is>
          <t>HOSP-3</t>
        </is>
      </c>
      <c r="C4584" t="inlineStr">
        <is>
          <t>SS-01156</t>
        </is>
      </c>
      <c r="D4584" t="n">
        <v>60</v>
      </c>
      <c r="E4584" t="n">
        <v>0</v>
      </c>
      <c r="G4584">
        <f>IF(AND(A4584&gt;=Inputs!$B$5,A4584&lt;=Inputs!$B$6),1,0)</f>
        <v/>
      </c>
    </row>
    <row r="4585">
      <c r="A4585" t="inlineStr">
        <is>
          <t>2025-07</t>
        </is>
      </c>
      <c r="B4585" t="inlineStr">
        <is>
          <t>HOSP-4</t>
        </is>
      </c>
      <c r="C4585" t="inlineStr">
        <is>
          <t>SS-01184</t>
        </is>
      </c>
      <c r="D4585" t="n">
        <v>36</v>
      </c>
      <c r="E4585" t="n">
        <v>0</v>
      </c>
      <c r="G4585">
        <f>IF(AND(A4585&gt;=Inputs!$B$5,A4585&lt;=Inputs!$B$6),1,0)</f>
        <v/>
      </c>
    </row>
    <row r="4586">
      <c r="A4586" t="inlineStr">
        <is>
          <t>2025-07</t>
        </is>
      </c>
      <c r="B4586" t="inlineStr">
        <is>
          <t>HOSP-1</t>
        </is>
      </c>
      <c r="C4586" t="inlineStr">
        <is>
          <t>SS-01075</t>
        </is>
      </c>
      <c r="D4586" t="n">
        <v>1512</v>
      </c>
      <c r="E4586" t="n">
        <v>0</v>
      </c>
      <c r="G4586">
        <f>IF(AND(A4586&gt;=Inputs!$B$5,A4586&lt;=Inputs!$B$6),1,0)</f>
        <v/>
      </c>
    </row>
    <row r="4587">
      <c r="A4587" t="inlineStr">
        <is>
          <t>2025-07</t>
        </is>
      </c>
      <c r="B4587" t="inlineStr">
        <is>
          <t>HOSP-2</t>
        </is>
      </c>
      <c r="C4587" t="inlineStr">
        <is>
          <t>SS-01159</t>
        </is>
      </c>
      <c r="D4587" t="n">
        <v>36</v>
      </c>
      <c r="E4587" t="n">
        <v>0</v>
      </c>
      <c r="G4587">
        <f>IF(AND(A4587&gt;=Inputs!$B$5,A4587&lt;=Inputs!$B$6),1,0)</f>
        <v/>
      </c>
    </row>
    <row r="4588">
      <c r="A4588" t="inlineStr">
        <is>
          <t>2025-07</t>
        </is>
      </c>
      <c r="B4588" t="inlineStr">
        <is>
          <t>HOSP-3</t>
        </is>
      </c>
      <c r="C4588" t="inlineStr">
        <is>
          <t>SS-01160</t>
        </is>
      </c>
      <c r="D4588" t="n">
        <v>24</v>
      </c>
      <c r="E4588" t="n">
        <v>0</v>
      </c>
      <c r="G4588">
        <f>IF(AND(A4588&gt;=Inputs!$B$5,A4588&lt;=Inputs!$B$6),1,0)</f>
        <v/>
      </c>
    </row>
    <row r="4589">
      <c r="A4589" t="inlineStr">
        <is>
          <t>2025-07</t>
        </is>
      </c>
      <c r="B4589" t="inlineStr">
        <is>
          <t>HOSP-4</t>
        </is>
      </c>
      <c r="C4589" t="inlineStr">
        <is>
          <t>SS-01161</t>
        </is>
      </c>
      <c r="D4589" t="n">
        <v>48</v>
      </c>
      <c r="E4589" t="n">
        <v>0</v>
      </c>
      <c r="G4589">
        <f>IF(AND(A4589&gt;=Inputs!$B$5,A4589&lt;=Inputs!$B$6),1,0)</f>
        <v/>
      </c>
    </row>
    <row r="4590">
      <c r="A4590" t="inlineStr">
        <is>
          <t>2025-07</t>
        </is>
      </c>
      <c r="B4590" t="inlineStr">
        <is>
          <t>HOSP-1</t>
        </is>
      </c>
      <c r="C4590" t="inlineStr">
        <is>
          <t>SS-01162</t>
        </is>
      </c>
      <c r="D4590" t="n">
        <v>15</v>
      </c>
      <c r="E4590" t="n">
        <v>0</v>
      </c>
      <c r="G4590">
        <f>IF(AND(A4590&gt;=Inputs!$B$5,A4590&lt;=Inputs!$B$6),1,0)</f>
        <v/>
      </c>
    </row>
    <row r="4591">
      <c r="A4591" t="inlineStr">
        <is>
          <t>2025-07</t>
        </is>
      </c>
      <c r="B4591" t="inlineStr">
        <is>
          <t>HOSP-2</t>
        </is>
      </c>
      <c r="C4591" t="inlineStr">
        <is>
          <t>SS-01163</t>
        </is>
      </c>
      <c r="D4591" t="n">
        <v>12</v>
      </c>
      <c r="E4591" t="n">
        <v>0</v>
      </c>
      <c r="G4591">
        <f>IF(AND(A4591&gt;=Inputs!$B$5,A4591&lt;=Inputs!$B$6),1,0)</f>
        <v/>
      </c>
    </row>
    <row r="4592">
      <c r="A4592" t="inlineStr">
        <is>
          <t>2025-07</t>
        </is>
      </c>
      <c r="B4592" t="inlineStr">
        <is>
          <t>HOSP-3</t>
        </is>
      </c>
      <c r="C4592" t="inlineStr">
        <is>
          <t>SS-01202</t>
        </is>
      </c>
      <c r="D4592" t="n">
        <v>15</v>
      </c>
      <c r="E4592" t="n">
        <v>2</v>
      </c>
      <c r="G4592">
        <f>IF(AND(A4592&gt;=Inputs!$B$5,A4592&lt;=Inputs!$B$6),1,0)</f>
        <v/>
      </c>
    </row>
    <row r="4593">
      <c r="A4593" t="inlineStr">
        <is>
          <t>2025-07</t>
        </is>
      </c>
      <c r="B4593" t="inlineStr">
        <is>
          <t>HOSP-4</t>
        </is>
      </c>
      <c r="C4593" t="inlineStr">
        <is>
          <t>SS-01165</t>
        </is>
      </c>
      <c r="D4593" t="n">
        <v>24</v>
      </c>
      <c r="E4593" t="n">
        <v>0</v>
      </c>
      <c r="G4593">
        <f>IF(AND(A4593&gt;=Inputs!$B$5,A4593&lt;=Inputs!$B$6),1,0)</f>
        <v/>
      </c>
    </row>
    <row r="4594">
      <c r="A4594" t="inlineStr">
        <is>
          <t>2025-07</t>
        </is>
      </c>
      <c r="B4594" t="inlineStr">
        <is>
          <t>HOSP-1</t>
        </is>
      </c>
      <c r="C4594" t="inlineStr">
        <is>
          <t>SS-01166</t>
        </is>
      </c>
      <c r="D4594" t="n">
        <v>35</v>
      </c>
      <c r="E4594" t="n">
        <v>0</v>
      </c>
      <c r="G4594">
        <f>IF(AND(A4594&gt;=Inputs!$B$5,A4594&lt;=Inputs!$B$6),1,0)</f>
        <v/>
      </c>
    </row>
    <row r="4595">
      <c r="A4595" t="inlineStr">
        <is>
          <t>2025-07</t>
        </is>
      </c>
      <c r="B4595" t="inlineStr">
        <is>
          <t>HOSP-2</t>
        </is>
      </c>
      <c r="C4595" t="inlineStr">
        <is>
          <t>SS-01013</t>
        </is>
      </c>
      <c r="D4595" t="n">
        <v>17</v>
      </c>
      <c r="E4595" t="n">
        <v>9</v>
      </c>
      <c r="G4595">
        <f>IF(AND(A4595&gt;=Inputs!$B$5,A4595&lt;=Inputs!$B$6),1,0)</f>
        <v/>
      </c>
    </row>
    <row r="4596">
      <c r="A4596" t="inlineStr">
        <is>
          <t>2025-07</t>
        </is>
      </c>
      <c r="B4596" t="inlineStr">
        <is>
          <t>HOSP-3</t>
        </is>
      </c>
      <c r="C4596" t="inlineStr">
        <is>
          <t>SS-01168</t>
        </is>
      </c>
      <c r="D4596" t="n">
        <v>60</v>
      </c>
      <c r="E4596" t="n">
        <v>0</v>
      </c>
      <c r="G4596">
        <f>IF(AND(A4596&gt;=Inputs!$B$5,A4596&lt;=Inputs!$B$6),1,0)</f>
        <v/>
      </c>
    </row>
    <row r="4597">
      <c r="A4597" t="inlineStr">
        <is>
          <t>2025-07</t>
        </is>
      </c>
      <c r="B4597" t="inlineStr">
        <is>
          <t>HOSP-4</t>
        </is>
      </c>
      <c r="C4597" t="inlineStr">
        <is>
          <t>SS-01169</t>
        </is>
      </c>
      <c r="D4597" t="n">
        <v>12</v>
      </c>
      <c r="E4597" t="n">
        <v>0</v>
      </c>
      <c r="G4597">
        <f>IF(AND(A4597&gt;=Inputs!$B$5,A4597&lt;=Inputs!$B$6),1,0)</f>
        <v/>
      </c>
    </row>
    <row r="4598">
      <c r="A4598" t="inlineStr">
        <is>
          <t>2025-07</t>
        </is>
      </c>
      <c r="B4598" t="inlineStr">
        <is>
          <t>HOSP-1</t>
        </is>
      </c>
      <c r="C4598" t="inlineStr">
        <is>
          <t>SS-01074</t>
        </is>
      </c>
      <c r="D4598" t="n">
        <v>36</v>
      </c>
      <c r="E4598" t="n">
        <v>0</v>
      </c>
      <c r="G4598">
        <f>IF(AND(A4598&gt;=Inputs!$B$5,A4598&lt;=Inputs!$B$6),1,0)</f>
        <v/>
      </c>
    </row>
    <row r="4599">
      <c r="A4599" t="inlineStr">
        <is>
          <t>2025-07</t>
        </is>
      </c>
      <c r="B4599" t="inlineStr">
        <is>
          <t>HOSP-2</t>
        </is>
      </c>
      <c r="C4599" t="inlineStr">
        <is>
          <t>SS-01171</t>
        </is>
      </c>
      <c r="D4599" t="n">
        <v>96</v>
      </c>
      <c r="E4599" t="n">
        <v>0</v>
      </c>
      <c r="G4599">
        <f>IF(AND(A4599&gt;=Inputs!$B$5,A4599&lt;=Inputs!$B$6),1,0)</f>
        <v/>
      </c>
    </row>
    <row r="4600">
      <c r="A4600" t="inlineStr">
        <is>
          <t>2025-07</t>
        </is>
      </c>
      <c r="B4600" t="inlineStr">
        <is>
          <t>HOSP-3</t>
        </is>
      </c>
      <c r="C4600" t="inlineStr">
        <is>
          <t>SS-01163</t>
        </is>
      </c>
      <c r="D4600" t="n">
        <v>62</v>
      </c>
      <c r="E4600" t="n">
        <v>0</v>
      </c>
      <c r="G4600">
        <f>IF(AND(A4600&gt;=Inputs!$B$5,A4600&lt;=Inputs!$B$6),1,0)</f>
        <v/>
      </c>
    </row>
    <row r="4601">
      <c r="A4601" t="inlineStr">
        <is>
          <t>2025-07</t>
        </is>
      </c>
      <c r="B4601" t="inlineStr">
        <is>
          <t>HOSP-4</t>
        </is>
      </c>
      <c r="C4601" t="inlineStr">
        <is>
          <t>SS-01178</t>
        </is>
      </c>
      <c r="D4601" t="n">
        <v>0</v>
      </c>
      <c r="E4601" t="n">
        <v>0</v>
      </c>
      <c r="G4601">
        <f>IF(AND(A4601&gt;=Inputs!$B$5,A4601&lt;=Inputs!$B$6),1,0)</f>
        <v/>
      </c>
    </row>
    <row r="4602">
      <c r="A4602" t="inlineStr">
        <is>
          <t>2025-07</t>
        </is>
      </c>
      <c r="B4602" t="inlineStr">
        <is>
          <t>HOSP-1</t>
        </is>
      </c>
      <c r="C4602" t="inlineStr">
        <is>
          <t>SS-01174</t>
        </is>
      </c>
      <c r="D4602" t="n">
        <v>0</v>
      </c>
      <c r="E4602" t="n">
        <v>0</v>
      </c>
      <c r="G4602">
        <f>IF(AND(A4602&gt;=Inputs!$B$5,A4602&lt;=Inputs!$B$6),1,0)</f>
        <v/>
      </c>
    </row>
    <row r="4603">
      <c r="A4603" t="inlineStr">
        <is>
          <t>2025-07</t>
        </is>
      </c>
      <c r="B4603" t="inlineStr">
        <is>
          <t>HOSP-2</t>
        </is>
      </c>
      <c r="C4603" t="inlineStr">
        <is>
          <t>SS-01175</t>
        </is>
      </c>
      <c r="D4603" t="n">
        <v>16</v>
      </c>
      <c r="E4603" t="n">
        <v>0</v>
      </c>
      <c r="G4603">
        <f>IF(AND(A4603&gt;=Inputs!$B$5,A4603&lt;=Inputs!$B$6),1,0)</f>
        <v/>
      </c>
    </row>
    <row r="4604">
      <c r="A4604" t="inlineStr">
        <is>
          <t>2025-07</t>
        </is>
      </c>
      <c r="B4604" t="inlineStr">
        <is>
          <t>HOSP-3</t>
        </is>
      </c>
      <c r="C4604" t="inlineStr">
        <is>
          <t>SS-01090</t>
        </is>
      </c>
      <c r="D4604" t="n">
        <v>44</v>
      </c>
      <c r="E4604" t="n">
        <v>0</v>
      </c>
      <c r="G4604">
        <f>IF(AND(A4604&gt;=Inputs!$B$5,A4604&lt;=Inputs!$B$6),1,0)</f>
        <v/>
      </c>
    </row>
    <row r="4605">
      <c r="A4605" t="inlineStr">
        <is>
          <t>2025-07</t>
        </is>
      </c>
      <c r="B4605" t="inlineStr">
        <is>
          <t>HOSP-4</t>
        </is>
      </c>
      <c r="C4605" t="inlineStr">
        <is>
          <t>SS-01177</t>
        </is>
      </c>
      <c r="D4605" t="n">
        <v>0</v>
      </c>
      <c r="E4605" t="n">
        <v>0</v>
      </c>
      <c r="G4605">
        <f>IF(AND(A4605&gt;=Inputs!$B$5,A4605&lt;=Inputs!$B$6),1,0)</f>
        <v/>
      </c>
    </row>
    <row r="4606">
      <c r="A4606" t="inlineStr">
        <is>
          <t>2025-07</t>
        </is>
      </c>
      <c r="B4606" t="inlineStr">
        <is>
          <t>HOSP-1</t>
        </is>
      </c>
      <c r="C4606" t="inlineStr">
        <is>
          <t>SS-01178</t>
        </is>
      </c>
      <c r="D4606" t="n">
        <v>72</v>
      </c>
      <c r="E4606" t="n">
        <v>0</v>
      </c>
      <c r="G4606">
        <f>IF(AND(A4606&gt;=Inputs!$B$5,A4606&lt;=Inputs!$B$6),1,0)</f>
        <v/>
      </c>
    </row>
    <row r="4607">
      <c r="A4607" t="inlineStr">
        <is>
          <t>2025-07</t>
        </is>
      </c>
      <c r="B4607" t="inlineStr">
        <is>
          <t>HOSP-2</t>
        </is>
      </c>
      <c r="C4607" t="inlineStr">
        <is>
          <t>SS-01008</t>
        </is>
      </c>
      <c r="D4607" t="n">
        <v>168</v>
      </c>
      <c r="E4607" t="n">
        <v>0</v>
      </c>
      <c r="G4607">
        <f>IF(AND(A4607&gt;=Inputs!$B$5,A4607&lt;=Inputs!$B$6),1,0)</f>
        <v/>
      </c>
    </row>
    <row r="4608">
      <c r="A4608" t="inlineStr">
        <is>
          <t>2025-07</t>
        </is>
      </c>
      <c r="B4608" t="inlineStr">
        <is>
          <t>HOSP-3</t>
        </is>
      </c>
      <c r="C4608" t="inlineStr">
        <is>
          <t>SS-01180</t>
        </is>
      </c>
      <c r="D4608" t="n">
        <v>0</v>
      </c>
      <c r="E4608" t="n">
        <v>0</v>
      </c>
      <c r="G4608">
        <f>IF(AND(A4608&gt;=Inputs!$B$5,A4608&lt;=Inputs!$B$6),1,0)</f>
        <v/>
      </c>
    </row>
    <row r="4609">
      <c r="A4609" t="inlineStr">
        <is>
          <t>2025-07</t>
        </is>
      </c>
      <c r="B4609" t="inlineStr">
        <is>
          <t>HOSP-4</t>
        </is>
      </c>
      <c r="C4609" t="inlineStr">
        <is>
          <t>SS-01108</t>
        </is>
      </c>
      <c r="D4609" t="n">
        <v>24</v>
      </c>
      <c r="E4609" t="n">
        <v>0</v>
      </c>
      <c r="G4609">
        <f>IF(AND(A4609&gt;=Inputs!$B$5,A4609&lt;=Inputs!$B$6),1,0)</f>
        <v/>
      </c>
    </row>
    <row r="4610">
      <c r="A4610" t="inlineStr">
        <is>
          <t>2025-07</t>
        </is>
      </c>
      <c r="B4610" t="inlineStr">
        <is>
          <t>HOSP-1</t>
        </is>
      </c>
      <c r="C4610" t="inlineStr">
        <is>
          <t>SS-01182</t>
        </is>
      </c>
      <c r="D4610" t="n">
        <v>12</v>
      </c>
      <c r="E4610" t="n">
        <v>0</v>
      </c>
      <c r="G4610">
        <f>IF(AND(A4610&gt;=Inputs!$B$5,A4610&lt;=Inputs!$B$6),1,0)</f>
        <v/>
      </c>
    </row>
    <row r="4611">
      <c r="A4611" t="inlineStr">
        <is>
          <t>2025-07</t>
        </is>
      </c>
      <c r="B4611" t="inlineStr">
        <is>
          <t>HOSP-2</t>
        </is>
      </c>
      <c r="C4611" t="inlineStr">
        <is>
          <t>SS-01183</t>
        </is>
      </c>
      <c r="D4611" t="n">
        <v>24</v>
      </c>
      <c r="E4611" t="n">
        <v>0</v>
      </c>
      <c r="G4611">
        <f>IF(AND(A4611&gt;=Inputs!$B$5,A4611&lt;=Inputs!$B$6),1,0)</f>
        <v/>
      </c>
    </row>
    <row r="4612">
      <c r="A4612" t="inlineStr">
        <is>
          <t>2025-07</t>
        </is>
      </c>
      <c r="B4612" t="inlineStr">
        <is>
          <t>HOSP-3</t>
        </is>
      </c>
      <c r="C4612" t="inlineStr">
        <is>
          <t>SS-01184</t>
        </is>
      </c>
      <c r="D4612" t="n">
        <v>48</v>
      </c>
      <c r="E4612" t="n">
        <v>0</v>
      </c>
      <c r="G4612">
        <f>IF(AND(A4612&gt;=Inputs!$B$5,A4612&lt;=Inputs!$B$6),1,0)</f>
        <v/>
      </c>
    </row>
    <row r="4613">
      <c r="A4613" t="inlineStr">
        <is>
          <t>2025-07</t>
        </is>
      </c>
      <c r="B4613" t="inlineStr">
        <is>
          <t>HOSP-4</t>
        </is>
      </c>
      <c r="C4613" t="inlineStr">
        <is>
          <t>SS-01185</t>
        </is>
      </c>
      <c r="D4613" t="n">
        <v>0</v>
      </c>
      <c r="E4613" t="n">
        <v>0</v>
      </c>
      <c r="G4613">
        <f>IF(AND(A4613&gt;=Inputs!$B$5,A4613&lt;=Inputs!$B$6),1,0)</f>
        <v/>
      </c>
    </row>
    <row r="4614">
      <c r="A4614" t="inlineStr">
        <is>
          <t>2025-07</t>
        </is>
      </c>
      <c r="B4614" t="inlineStr">
        <is>
          <t>HOSP-1</t>
        </is>
      </c>
      <c r="C4614" t="inlineStr">
        <is>
          <t>SS-01186</t>
        </is>
      </c>
      <c r="D4614" t="n">
        <v>84</v>
      </c>
      <c r="E4614" t="n">
        <v>0</v>
      </c>
      <c r="G4614">
        <f>IF(AND(A4614&gt;=Inputs!$B$5,A4614&lt;=Inputs!$B$6),1,0)</f>
        <v/>
      </c>
    </row>
    <row r="4615">
      <c r="A4615" t="inlineStr">
        <is>
          <t>2025-07</t>
        </is>
      </c>
      <c r="B4615" t="inlineStr">
        <is>
          <t>HOSP-2</t>
        </is>
      </c>
      <c r="C4615" t="inlineStr">
        <is>
          <t>SS-01187</t>
        </is>
      </c>
      <c r="D4615" t="n">
        <v>12</v>
      </c>
      <c r="E4615" t="n">
        <v>0</v>
      </c>
      <c r="G4615">
        <f>IF(AND(A4615&gt;=Inputs!$B$5,A4615&lt;=Inputs!$B$6),1,0)</f>
        <v/>
      </c>
    </row>
    <row r="4616">
      <c r="A4616" t="inlineStr">
        <is>
          <t>2025-07</t>
        </is>
      </c>
      <c r="B4616" t="inlineStr">
        <is>
          <t>HOSP-3</t>
        </is>
      </c>
      <c r="C4616" t="inlineStr">
        <is>
          <t>SS-01124</t>
        </is>
      </c>
      <c r="D4616" t="n">
        <v>5</v>
      </c>
      <c r="E4616" t="n">
        <v>2</v>
      </c>
      <c r="G4616">
        <f>IF(AND(A4616&gt;=Inputs!$B$5,A4616&lt;=Inputs!$B$6),1,0)</f>
        <v/>
      </c>
    </row>
    <row r="4617">
      <c r="A4617" t="inlineStr">
        <is>
          <t>2025-07</t>
        </is>
      </c>
      <c r="B4617" t="inlineStr">
        <is>
          <t>HOSP-4</t>
        </is>
      </c>
      <c r="C4617" t="inlineStr">
        <is>
          <t>SS-01189</t>
        </is>
      </c>
      <c r="D4617" t="n">
        <v>24</v>
      </c>
      <c r="E4617" t="n">
        <v>0</v>
      </c>
      <c r="G4617">
        <f>IF(AND(A4617&gt;=Inputs!$B$5,A4617&lt;=Inputs!$B$6),1,0)</f>
        <v/>
      </c>
    </row>
    <row r="4618">
      <c r="A4618" t="inlineStr">
        <is>
          <t>2025-07</t>
        </is>
      </c>
      <c r="B4618" t="inlineStr">
        <is>
          <t>HOSP-1</t>
        </is>
      </c>
      <c r="C4618" t="inlineStr">
        <is>
          <t>SS-01190</t>
        </is>
      </c>
      <c r="D4618" t="n">
        <v>12</v>
      </c>
      <c r="E4618" t="n">
        <v>0</v>
      </c>
      <c r="G4618">
        <f>IF(AND(A4618&gt;=Inputs!$B$5,A4618&lt;=Inputs!$B$6),1,0)</f>
        <v/>
      </c>
    </row>
    <row r="4619">
      <c r="A4619" t="inlineStr">
        <is>
          <t>2025-07</t>
        </is>
      </c>
      <c r="B4619" t="inlineStr">
        <is>
          <t>HOSP-2</t>
        </is>
      </c>
      <c r="C4619" t="inlineStr">
        <is>
          <t>SS-01191</t>
        </is>
      </c>
      <c r="D4619" t="n">
        <v>156</v>
      </c>
      <c r="E4619" t="n">
        <v>0</v>
      </c>
      <c r="G4619">
        <f>IF(AND(A4619&gt;=Inputs!$B$5,A4619&lt;=Inputs!$B$6),1,0)</f>
        <v/>
      </c>
    </row>
    <row r="4620">
      <c r="A4620" t="inlineStr">
        <is>
          <t>2025-07</t>
        </is>
      </c>
      <c r="B4620" t="inlineStr">
        <is>
          <t>HOSP-3</t>
        </is>
      </c>
      <c r="C4620" t="inlineStr">
        <is>
          <t>SS-01192</t>
        </is>
      </c>
      <c r="D4620" t="n">
        <v>12</v>
      </c>
      <c r="E4620" t="n">
        <v>0</v>
      </c>
      <c r="G4620">
        <f>IF(AND(A4620&gt;=Inputs!$B$5,A4620&lt;=Inputs!$B$6),1,0)</f>
        <v/>
      </c>
    </row>
    <row r="4621">
      <c r="A4621" t="inlineStr">
        <is>
          <t>2025-07</t>
        </is>
      </c>
      <c r="B4621" t="inlineStr">
        <is>
          <t>HOSP-4</t>
        </is>
      </c>
      <c r="C4621" t="inlineStr">
        <is>
          <t>SS-01193</t>
        </is>
      </c>
      <c r="D4621" t="n">
        <v>36</v>
      </c>
      <c r="E4621" t="n">
        <v>0</v>
      </c>
      <c r="G4621">
        <f>IF(AND(A4621&gt;=Inputs!$B$5,A4621&lt;=Inputs!$B$6),1,0)</f>
        <v/>
      </c>
    </row>
    <row r="4622">
      <c r="A4622" t="inlineStr">
        <is>
          <t>2025-07</t>
        </is>
      </c>
      <c r="B4622" t="inlineStr">
        <is>
          <t>HOSP-1</t>
        </is>
      </c>
      <c r="C4622" t="inlineStr">
        <is>
          <t>SS-01194</t>
        </is>
      </c>
      <c r="D4622" t="n">
        <v>24</v>
      </c>
      <c r="E4622" t="n">
        <v>0</v>
      </c>
      <c r="G4622">
        <f>IF(AND(A4622&gt;=Inputs!$B$5,A4622&lt;=Inputs!$B$6),1,0)</f>
        <v/>
      </c>
    </row>
    <row r="4623">
      <c r="A4623" t="inlineStr">
        <is>
          <t>2025-07</t>
        </is>
      </c>
      <c r="B4623" t="inlineStr">
        <is>
          <t>HOSP-2</t>
        </is>
      </c>
      <c r="C4623" t="inlineStr">
        <is>
          <t>SS-01195</t>
        </is>
      </c>
      <c r="D4623" t="n">
        <v>0</v>
      </c>
      <c r="E4623" t="n">
        <v>0</v>
      </c>
      <c r="G4623">
        <f>IF(AND(A4623&gt;=Inputs!$B$5,A4623&lt;=Inputs!$B$6),1,0)</f>
        <v/>
      </c>
    </row>
    <row r="4624">
      <c r="A4624" t="inlineStr">
        <is>
          <t>2025-07</t>
        </is>
      </c>
      <c r="B4624" t="inlineStr">
        <is>
          <t>HOSP-3</t>
        </is>
      </c>
      <c r="C4624" t="inlineStr">
        <is>
          <t>SS-01196</t>
        </is>
      </c>
      <c r="D4624" t="n">
        <v>12</v>
      </c>
      <c r="E4624" t="n">
        <v>0</v>
      </c>
      <c r="G4624">
        <f>IF(AND(A4624&gt;=Inputs!$B$5,A4624&lt;=Inputs!$B$6),1,0)</f>
        <v/>
      </c>
    </row>
    <row r="4625">
      <c r="A4625" t="inlineStr">
        <is>
          <t>2025-07</t>
        </is>
      </c>
      <c r="B4625" t="inlineStr">
        <is>
          <t>HOSP-4</t>
        </is>
      </c>
      <c r="C4625" t="inlineStr">
        <is>
          <t>SS-01197</t>
        </is>
      </c>
      <c r="D4625" t="n">
        <v>0</v>
      </c>
      <c r="E4625" t="n">
        <v>0</v>
      </c>
      <c r="G4625">
        <f>IF(AND(A4625&gt;=Inputs!$B$5,A4625&lt;=Inputs!$B$6),1,0)</f>
        <v/>
      </c>
    </row>
    <row r="4626">
      <c r="A4626" t="inlineStr">
        <is>
          <t>2025-07</t>
        </is>
      </c>
      <c r="B4626" t="inlineStr">
        <is>
          <t>HOSP-1</t>
        </is>
      </c>
      <c r="C4626" t="inlineStr">
        <is>
          <t>SS-01198</t>
        </is>
      </c>
      <c r="D4626" t="n">
        <v>60</v>
      </c>
      <c r="E4626" t="n">
        <v>0</v>
      </c>
      <c r="G4626">
        <f>IF(AND(A4626&gt;=Inputs!$B$5,A4626&lt;=Inputs!$B$6),1,0)</f>
        <v/>
      </c>
    </row>
    <row r="4627">
      <c r="A4627" t="inlineStr">
        <is>
          <t>2025-07</t>
        </is>
      </c>
      <c r="B4627" t="inlineStr">
        <is>
          <t>HOSP-2</t>
        </is>
      </c>
      <c r="C4627" t="inlineStr">
        <is>
          <t>SS-01199</t>
        </is>
      </c>
      <c r="D4627" t="n">
        <v>36</v>
      </c>
      <c r="E4627" t="n">
        <v>0</v>
      </c>
      <c r="G4627">
        <f>IF(AND(A4627&gt;=Inputs!$B$5,A4627&lt;=Inputs!$B$6),1,0)</f>
        <v/>
      </c>
    </row>
    <row r="4628">
      <c r="A4628" t="inlineStr">
        <is>
          <t>2025-07</t>
        </is>
      </c>
      <c r="B4628" t="inlineStr">
        <is>
          <t>HOSP-3</t>
        </is>
      </c>
      <c r="C4628" t="inlineStr">
        <is>
          <t>SS-01047</t>
        </is>
      </c>
      <c r="D4628" t="n">
        <v>0</v>
      </c>
      <c r="E4628" t="n">
        <v>0</v>
      </c>
      <c r="G4628">
        <f>IF(AND(A4628&gt;=Inputs!$B$5,A4628&lt;=Inputs!$B$6),1,0)</f>
        <v/>
      </c>
    </row>
    <row r="4629">
      <c r="A4629" t="inlineStr">
        <is>
          <t>2025-07</t>
        </is>
      </c>
      <c r="B4629" t="inlineStr">
        <is>
          <t>HOSP-4</t>
        </is>
      </c>
      <c r="C4629" t="inlineStr">
        <is>
          <t>SS-01125</t>
        </is>
      </c>
      <c r="D4629" t="n">
        <v>12</v>
      </c>
      <c r="E4629" t="n">
        <v>0</v>
      </c>
      <c r="G4629">
        <f>IF(AND(A4629&gt;=Inputs!$B$5,A4629&lt;=Inputs!$B$6),1,0)</f>
        <v/>
      </c>
    </row>
    <row r="4630">
      <c r="A4630" t="inlineStr">
        <is>
          <t>2025-07</t>
        </is>
      </c>
      <c r="B4630" t="inlineStr">
        <is>
          <t>HOSP-1</t>
        </is>
      </c>
      <c r="C4630" t="inlineStr">
        <is>
          <t>SS-01202</t>
        </is>
      </c>
      <c r="D4630" t="n">
        <v>24</v>
      </c>
      <c r="E4630" t="n">
        <v>0</v>
      </c>
      <c r="G4630">
        <f>IF(AND(A4630&gt;=Inputs!$B$5,A4630&lt;=Inputs!$B$6),1,0)</f>
        <v/>
      </c>
    </row>
    <row r="4631">
      <c r="A4631" t="inlineStr">
        <is>
          <t>2025-07</t>
        </is>
      </c>
      <c r="B4631" t="inlineStr">
        <is>
          <t>HOSP-2</t>
        </is>
      </c>
      <c r="C4631" t="inlineStr">
        <is>
          <t>SS-01203</t>
        </is>
      </c>
      <c r="D4631" t="n">
        <v>12</v>
      </c>
      <c r="E4631" t="n">
        <v>0</v>
      </c>
      <c r="G4631">
        <f>IF(AND(A4631&gt;=Inputs!$B$5,A4631&lt;=Inputs!$B$6),1,0)</f>
        <v/>
      </c>
    </row>
    <row r="4632">
      <c r="A4632" t="inlineStr">
        <is>
          <t>2025-07</t>
        </is>
      </c>
      <c r="B4632" t="inlineStr">
        <is>
          <t>HOSP-3</t>
        </is>
      </c>
      <c r="C4632" t="inlineStr">
        <is>
          <t>SS-01204</t>
        </is>
      </c>
      <c r="D4632" t="n">
        <v>72</v>
      </c>
      <c r="E4632" t="n">
        <v>0</v>
      </c>
      <c r="G4632">
        <f>IF(AND(A4632&gt;=Inputs!$B$5,A4632&lt;=Inputs!$B$6),1,0)</f>
        <v/>
      </c>
    </row>
    <row r="4633">
      <c r="A4633" t="inlineStr">
        <is>
          <t>2025-07</t>
        </is>
      </c>
      <c r="B4633" t="inlineStr">
        <is>
          <t>HOSP-4</t>
        </is>
      </c>
      <c r="C4633" t="inlineStr">
        <is>
          <t>SS-01205</t>
        </is>
      </c>
      <c r="D4633" t="n">
        <v>24</v>
      </c>
      <c r="E4633" t="n">
        <v>0</v>
      </c>
      <c r="G4633">
        <f>IF(AND(A4633&gt;=Inputs!$B$5,A4633&lt;=Inputs!$B$6),1,0)</f>
        <v/>
      </c>
    </row>
    <row r="4634">
      <c r="A4634" t="inlineStr">
        <is>
          <t>2025-07</t>
        </is>
      </c>
      <c r="B4634" t="inlineStr">
        <is>
          <t>HOSP-1</t>
        </is>
      </c>
      <c r="C4634" t="inlineStr">
        <is>
          <t>SS-01130</t>
        </is>
      </c>
      <c r="D4634" t="n">
        <v>68</v>
      </c>
      <c r="E4634" t="n">
        <v>0</v>
      </c>
      <c r="G4634">
        <f>IF(AND(A4634&gt;=Inputs!$B$5,A4634&lt;=Inputs!$B$6),1,0)</f>
        <v/>
      </c>
    </row>
    <row r="4635">
      <c r="A4635" t="inlineStr">
        <is>
          <t>2025-07</t>
        </is>
      </c>
      <c r="B4635" t="inlineStr">
        <is>
          <t>HOSP-2</t>
        </is>
      </c>
      <c r="C4635" t="inlineStr">
        <is>
          <t>SS-01207</t>
        </is>
      </c>
      <c r="D4635" t="n">
        <v>72</v>
      </c>
      <c r="E4635" t="n">
        <v>0</v>
      </c>
      <c r="G4635">
        <f>IF(AND(A4635&gt;=Inputs!$B$5,A4635&lt;=Inputs!$B$6),1,0)</f>
        <v/>
      </c>
    </row>
    <row r="4636">
      <c r="A4636" t="inlineStr">
        <is>
          <t>2025-07</t>
        </is>
      </c>
      <c r="B4636" t="inlineStr">
        <is>
          <t>HOSP-3</t>
        </is>
      </c>
      <c r="C4636" t="inlineStr">
        <is>
          <t>SS-01208</t>
        </is>
      </c>
      <c r="D4636" t="n">
        <v>36</v>
      </c>
      <c r="E4636" t="n">
        <v>0</v>
      </c>
      <c r="G4636">
        <f>IF(AND(A4636&gt;=Inputs!$B$5,A4636&lt;=Inputs!$B$6),1,0)</f>
        <v/>
      </c>
    </row>
    <row r="4637">
      <c r="A4637" t="inlineStr">
        <is>
          <t>2025-07</t>
        </is>
      </c>
      <c r="B4637" t="inlineStr">
        <is>
          <t>HOSP-4</t>
        </is>
      </c>
      <c r="C4637" t="inlineStr">
        <is>
          <t>SS-01002</t>
        </is>
      </c>
      <c r="D4637" t="n">
        <v>19</v>
      </c>
      <c r="E4637" t="n">
        <v>1</v>
      </c>
      <c r="G4637">
        <f>IF(AND(A4637&gt;=Inputs!$B$5,A4637&lt;=Inputs!$B$6),1,0)</f>
        <v/>
      </c>
    </row>
    <row r="4638">
      <c r="A4638" t="inlineStr">
        <is>
          <t>2025-07</t>
        </is>
      </c>
      <c r="B4638" t="inlineStr">
        <is>
          <t>HOSP-1</t>
        </is>
      </c>
      <c r="C4638" t="inlineStr">
        <is>
          <t>SS-01210</t>
        </is>
      </c>
      <c r="D4638" t="n">
        <v>12</v>
      </c>
      <c r="E4638" t="n">
        <v>0</v>
      </c>
      <c r="G4638">
        <f>IF(AND(A4638&gt;=Inputs!$B$5,A4638&lt;=Inputs!$B$6),1,0)</f>
        <v/>
      </c>
    </row>
    <row r="4639">
      <c r="A4639" t="inlineStr">
        <is>
          <t>2025-07</t>
        </is>
      </c>
      <c r="B4639" t="inlineStr">
        <is>
          <t>HOSP-2</t>
        </is>
      </c>
      <c r="C4639" t="inlineStr">
        <is>
          <t>SS-01211</t>
        </is>
      </c>
      <c r="D4639" t="n">
        <v>84</v>
      </c>
      <c r="E4639" t="n">
        <v>0</v>
      </c>
      <c r="G4639">
        <f>IF(AND(A4639&gt;=Inputs!$B$5,A4639&lt;=Inputs!$B$6),1,0)</f>
        <v/>
      </c>
    </row>
    <row r="4640">
      <c r="A4640" t="inlineStr">
        <is>
          <t>2025-07</t>
        </is>
      </c>
      <c r="B4640" t="inlineStr">
        <is>
          <t>HOSP-3</t>
        </is>
      </c>
      <c r="C4640" t="inlineStr">
        <is>
          <t>SS-01212</t>
        </is>
      </c>
      <c r="D4640" t="n">
        <v>132</v>
      </c>
      <c r="E4640" t="n">
        <v>0</v>
      </c>
      <c r="G4640">
        <f>IF(AND(A4640&gt;=Inputs!$B$5,A4640&lt;=Inputs!$B$6),1,0)</f>
        <v/>
      </c>
    </row>
    <row r="4641">
      <c r="A4641" t="inlineStr">
        <is>
          <t>2025-07</t>
        </is>
      </c>
      <c r="B4641" t="inlineStr">
        <is>
          <t>HOSP-4</t>
        </is>
      </c>
      <c r="C4641" t="inlineStr">
        <is>
          <t>SS-01213</t>
        </is>
      </c>
      <c r="D4641" t="n">
        <v>0</v>
      </c>
      <c r="E4641" t="n">
        <v>0</v>
      </c>
      <c r="G4641">
        <f>IF(AND(A4641&gt;=Inputs!$B$5,A4641&lt;=Inputs!$B$6),1,0)</f>
        <v/>
      </c>
    </row>
    <row r="4642">
      <c r="A4642" t="inlineStr">
        <is>
          <t>2025-07</t>
        </is>
      </c>
      <c r="B4642" t="inlineStr">
        <is>
          <t>HOSP-1</t>
        </is>
      </c>
      <c r="C4642" t="inlineStr">
        <is>
          <t>SS-01214</t>
        </is>
      </c>
      <c r="D4642" t="n">
        <v>0</v>
      </c>
      <c r="E4642" t="n">
        <v>0</v>
      </c>
      <c r="G4642">
        <f>IF(AND(A4642&gt;=Inputs!$B$5,A4642&lt;=Inputs!$B$6),1,0)</f>
        <v/>
      </c>
    </row>
    <row r="4643">
      <c r="A4643" t="inlineStr">
        <is>
          <t>2025-07</t>
        </is>
      </c>
      <c r="B4643" t="inlineStr">
        <is>
          <t>HOSP-2</t>
        </is>
      </c>
      <c r="C4643" t="inlineStr">
        <is>
          <t>SS-01007</t>
        </is>
      </c>
      <c r="D4643" t="n">
        <v>9</v>
      </c>
      <c r="E4643" t="n">
        <v>1</v>
      </c>
      <c r="G4643">
        <f>IF(AND(A4643&gt;=Inputs!$B$5,A4643&lt;=Inputs!$B$6),1,0)</f>
        <v/>
      </c>
    </row>
    <row r="4644">
      <c r="A4644" t="inlineStr">
        <is>
          <t>2025-07</t>
        </is>
      </c>
      <c r="B4644" t="inlineStr">
        <is>
          <t>HOSP-3</t>
        </is>
      </c>
      <c r="C4644" t="inlineStr">
        <is>
          <t>SS-01216</t>
        </is>
      </c>
      <c r="D4644" t="n">
        <v>24</v>
      </c>
      <c r="E4644" t="n">
        <v>0</v>
      </c>
      <c r="G4644">
        <f>IF(AND(A4644&gt;=Inputs!$B$5,A4644&lt;=Inputs!$B$6),1,0)</f>
        <v/>
      </c>
    </row>
    <row r="4645">
      <c r="A4645" t="inlineStr">
        <is>
          <t>2025-07</t>
        </is>
      </c>
      <c r="B4645" t="inlineStr">
        <is>
          <t>HOSP-4</t>
        </is>
      </c>
      <c r="C4645" t="inlineStr">
        <is>
          <t>SS-01217</t>
        </is>
      </c>
      <c r="D4645" t="n">
        <v>60</v>
      </c>
      <c r="E4645" t="n">
        <v>0</v>
      </c>
      <c r="G4645">
        <f>IF(AND(A4645&gt;=Inputs!$B$5,A4645&lt;=Inputs!$B$6),1,0)</f>
        <v/>
      </c>
    </row>
    <row r="4646">
      <c r="A4646" t="inlineStr">
        <is>
          <t>2025-07</t>
        </is>
      </c>
      <c r="B4646" t="inlineStr">
        <is>
          <t>HOSP-1</t>
        </is>
      </c>
      <c r="C4646" t="inlineStr">
        <is>
          <t>SS-01218</t>
        </is>
      </c>
      <c r="D4646" t="n">
        <v>0</v>
      </c>
      <c r="E4646" t="n">
        <v>0</v>
      </c>
      <c r="G4646">
        <f>IF(AND(A4646&gt;=Inputs!$B$5,A4646&lt;=Inputs!$B$6),1,0)</f>
        <v/>
      </c>
    </row>
    <row r="4647">
      <c r="A4647" t="inlineStr">
        <is>
          <t>2025-07</t>
        </is>
      </c>
      <c r="B4647" t="inlineStr">
        <is>
          <t>HOSP-2</t>
        </is>
      </c>
      <c r="C4647" t="inlineStr">
        <is>
          <t>SS-01219</t>
        </is>
      </c>
      <c r="D4647" t="n">
        <v>36</v>
      </c>
      <c r="E4647" t="n">
        <v>0</v>
      </c>
      <c r="G4647">
        <f>IF(AND(A4647&gt;=Inputs!$B$5,A4647&lt;=Inputs!$B$6),1,0)</f>
        <v/>
      </c>
    </row>
    <row r="4648">
      <c r="A4648" t="inlineStr">
        <is>
          <t>2025-07</t>
        </is>
      </c>
      <c r="B4648" t="inlineStr">
        <is>
          <t>HOSP-3</t>
        </is>
      </c>
      <c r="C4648" t="inlineStr">
        <is>
          <t>SS-01220</t>
        </is>
      </c>
      <c r="D4648" t="n">
        <v>48</v>
      </c>
      <c r="E4648" t="n">
        <v>0</v>
      </c>
      <c r="G4648">
        <f>IF(AND(A4648&gt;=Inputs!$B$5,A4648&lt;=Inputs!$B$6),1,0)</f>
        <v/>
      </c>
    </row>
    <row r="4649">
      <c r="A4649" t="inlineStr">
        <is>
          <t>2025-07</t>
        </is>
      </c>
      <c r="B4649" t="inlineStr">
        <is>
          <t>HOSP-4</t>
        </is>
      </c>
      <c r="C4649" t="inlineStr">
        <is>
          <t>SS-01221</t>
        </is>
      </c>
      <c r="D4649" t="n">
        <v>12</v>
      </c>
      <c r="E4649" t="n">
        <v>0</v>
      </c>
      <c r="G4649">
        <f>IF(AND(A4649&gt;=Inputs!$B$5,A4649&lt;=Inputs!$B$6),1,0)</f>
        <v/>
      </c>
    </row>
    <row r="4650">
      <c r="A4650" t="inlineStr">
        <is>
          <t>2025-07</t>
        </is>
      </c>
      <c r="B4650" t="inlineStr">
        <is>
          <t>HOSP-1</t>
        </is>
      </c>
      <c r="C4650" t="inlineStr">
        <is>
          <t>SS-01222</t>
        </is>
      </c>
      <c r="D4650" t="n">
        <v>156</v>
      </c>
      <c r="E4650" t="n">
        <v>0</v>
      </c>
      <c r="G4650">
        <f>IF(AND(A4650&gt;=Inputs!$B$5,A4650&lt;=Inputs!$B$6),1,0)</f>
        <v/>
      </c>
    </row>
    <row r="4651">
      <c r="A4651" t="inlineStr">
        <is>
          <t>2025-07</t>
        </is>
      </c>
      <c r="B4651" t="inlineStr">
        <is>
          <t>HOSP-2</t>
        </is>
      </c>
      <c r="C4651" t="inlineStr">
        <is>
          <t>SS-01097</t>
        </is>
      </c>
      <c r="D4651" t="n">
        <v>12</v>
      </c>
      <c r="E4651" t="n">
        <v>0</v>
      </c>
      <c r="G4651">
        <f>IF(AND(A4651&gt;=Inputs!$B$5,A4651&lt;=Inputs!$B$6),1,0)</f>
        <v/>
      </c>
    </row>
    <row r="4652">
      <c r="A4652" t="inlineStr">
        <is>
          <t>2025-07</t>
        </is>
      </c>
      <c r="B4652" t="inlineStr">
        <is>
          <t>HOSP-3</t>
        </is>
      </c>
      <c r="C4652" t="inlineStr">
        <is>
          <t>SS-01224</t>
        </is>
      </c>
      <c r="D4652" t="n">
        <v>24</v>
      </c>
      <c r="E4652" t="n">
        <v>0</v>
      </c>
      <c r="G4652">
        <f>IF(AND(A4652&gt;=Inputs!$B$5,A4652&lt;=Inputs!$B$6),1,0)</f>
        <v/>
      </c>
    </row>
    <row r="4653">
      <c r="A4653" t="inlineStr">
        <is>
          <t>2025-07</t>
        </is>
      </c>
      <c r="B4653" t="inlineStr">
        <is>
          <t>HOSP-4</t>
        </is>
      </c>
      <c r="C4653" t="inlineStr">
        <is>
          <t>SS-01225</t>
        </is>
      </c>
      <c r="D4653" t="n">
        <v>60</v>
      </c>
      <c r="E4653" t="n">
        <v>0</v>
      </c>
      <c r="G4653">
        <f>IF(AND(A4653&gt;=Inputs!$B$5,A4653&lt;=Inputs!$B$6),1,0)</f>
        <v/>
      </c>
    </row>
    <row r="4654">
      <c r="A4654" t="inlineStr">
        <is>
          <t>2025-07</t>
        </is>
      </c>
      <c r="B4654" t="inlineStr">
        <is>
          <t>HOSP-1</t>
        </is>
      </c>
      <c r="C4654" t="inlineStr">
        <is>
          <t>SS-01021</t>
        </is>
      </c>
      <c r="D4654" t="n">
        <v>0</v>
      </c>
      <c r="E4654" t="n">
        <v>4</v>
      </c>
      <c r="G4654">
        <f>IF(AND(A4654&gt;=Inputs!$B$5,A4654&lt;=Inputs!$B$6),1,0)</f>
        <v/>
      </c>
    </row>
    <row r="4655">
      <c r="A4655" t="inlineStr">
        <is>
          <t>2025-07</t>
        </is>
      </c>
      <c r="B4655" t="inlineStr">
        <is>
          <t>HOSP-2</t>
        </is>
      </c>
      <c r="C4655" t="inlineStr">
        <is>
          <t>SS-01227</t>
        </is>
      </c>
      <c r="D4655" t="n">
        <v>192</v>
      </c>
      <c r="E4655" t="n">
        <v>0</v>
      </c>
      <c r="G4655">
        <f>IF(AND(A4655&gt;=Inputs!$B$5,A4655&lt;=Inputs!$B$6),1,0)</f>
        <v/>
      </c>
    </row>
    <row r="4656">
      <c r="A4656" t="inlineStr">
        <is>
          <t>2025-07</t>
        </is>
      </c>
      <c r="B4656" t="inlineStr">
        <is>
          <t>HOSP-3</t>
        </is>
      </c>
      <c r="C4656" t="inlineStr">
        <is>
          <t>SS-01228</t>
        </is>
      </c>
      <c r="D4656" t="n">
        <v>12</v>
      </c>
      <c r="E4656" t="n">
        <v>0</v>
      </c>
      <c r="G4656">
        <f>IF(AND(A4656&gt;=Inputs!$B$5,A4656&lt;=Inputs!$B$6),1,0)</f>
        <v/>
      </c>
    </row>
    <row r="4657">
      <c r="A4657" t="inlineStr">
        <is>
          <t>2025-07</t>
        </is>
      </c>
      <c r="B4657" t="inlineStr">
        <is>
          <t>HOSP-4</t>
        </is>
      </c>
      <c r="C4657" t="inlineStr">
        <is>
          <t>SS-01229</t>
        </is>
      </c>
      <c r="D4657" t="n">
        <v>55</v>
      </c>
      <c r="E4657" t="n">
        <v>0</v>
      </c>
      <c r="G4657">
        <f>IF(AND(A4657&gt;=Inputs!$B$5,A4657&lt;=Inputs!$B$6),1,0)</f>
        <v/>
      </c>
    </row>
    <row r="4658">
      <c r="A4658" t="inlineStr">
        <is>
          <t>2025-07</t>
        </is>
      </c>
      <c r="B4658" t="inlineStr">
        <is>
          <t>HOSP-1</t>
        </is>
      </c>
      <c r="C4658" t="inlineStr">
        <is>
          <t>SS-01230</t>
        </is>
      </c>
      <c r="D4658" t="n">
        <v>0</v>
      </c>
      <c r="E4658" t="n">
        <v>1</v>
      </c>
      <c r="G4658">
        <f>IF(AND(A4658&gt;=Inputs!$B$5,A4658&lt;=Inputs!$B$6),1,0)</f>
        <v/>
      </c>
    </row>
    <row r="4659">
      <c r="A4659" t="inlineStr">
        <is>
          <t>2025-07</t>
        </is>
      </c>
      <c r="B4659" t="inlineStr">
        <is>
          <t>HOSP-2</t>
        </is>
      </c>
      <c r="C4659" t="inlineStr">
        <is>
          <t>SS-01231</t>
        </is>
      </c>
      <c r="D4659" t="n">
        <v>0</v>
      </c>
      <c r="E4659" t="n">
        <v>0</v>
      </c>
      <c r="G4659">
        <f>IF(AND(A4659&gt;=Inputs!$B$5,A4659&lt;=Inputs!$B$6),1,0)</f>
        <v/>
      </c>
    </row>
    <row r="4660">
      <c r="A4660" t="inlineStr">
        <is>
          <t>2025-07</t>
        </is>
      </c>
      <c r="B4660" t="inlineStr">
        <is>
          <t>HOSP-3</t>
        </is>
      </c>
      <c r="C4660" t="inlineStr">
        <is>
          <t>SS-01232</t>
        </is>
      </c>
      <c r="D4660" t="n">
        <v>33</v>
      </c>
      <c r="E4660" t="n">
        <v>0</v>
      </c>
      <c r="G4660">
        <f>IF(AND(A4660&gt;=Inputs!$B$5,A4660&lt;=Inputs!$B$6),1,0)</f>
        <v/>
      </c>
    </row>
    <row r="4661">
      <c r="A4661" t="inlineStr">
        <is>
          <t>2025-07</t>
        </is>
      </c>
      <c r="B4661" t="inlineStr">
        <is>
          <t>HOSP-4</t>
        </is>
      </c>
      <c r="C4661" t="inlineStr">
        <is>
          <t>SS-01233</t>
        </is>
      </c>
      <c r="D4661" t="n">
        <v>27</v>
      </c>
      <c r="E4661" t="n">
        <v>0</v>
      </c>
      <c r="G4661">
        <f>IF(AND(A4661&gt;=Inputs!$B$5,A4661&lt;=Inputs!$B$6),1,0)</f>
        <v/>
      </c>
    </row>
    <row r="4662">
      <c r="A4662" t="inlineStr">
        <is>
          <t>2025-07</t>
        </is>
      </c>
      <c r="B4662" t="inlineStr">
        <is>
          <t>HOSP-1</t>
        </is>
      </c>
      <c r="C4662" t="inlineStr">
        <is>
          <t>SS-01001</t>
        </is>
      </c>
      <c r="D4662" t="n">
        <v>12</v>
      </c>
      <c r="E4662" t="n">
        <v>0</v>
      </c>
      <c r="G4662">
        <f>IF(AND(A4662&gt;=Inputs!$B$5,A4662&lt;=Inputs!$B$6),1,0)</f>
        <v/>
      </c>
    </row>
    <row r="4663">
      <c r="A4663" t="inlineStr">
        <is>
          <t>2025-07</t>
        </is>
      </c>
      <c r="B4663" t="inlineStr">
        <is>
          <t>HOSP-2</t>
        </is>
      </c>
      <c r="C4663" t="inlineStr">
        <is>
          <t>SS-01002</t>
        </is>
      </c>
      <c r="D4663" t="n">
        <v>10</v>
      </c>
      <c r="E4663" t="n">
        <v>2</v>
      </c>
      <c r="G4663">
        <f>IF(AND(A4663&gt;=Inputs!$B$5,A4663&lt;=Inputs!$B$6),1,0)</f>
        <v/>
      </c>
    </row>
    <row r="4664">
      <c r="A4664" t="inlineStr">
        <is>
          <t>2025-07</t>
        </is>
      </c>
      <c r="B4664" t="inlineStr">
        <is>
          <t>HOSP-3</t>
        </is>
      </c>
      <c r="C4664" t="inlineStr">
        <is>
          <t>SS-01003</t>
        </is>
      </c>
      <c r="D4664" t="n">
        <v>12</v>
      </c>
      <c r="E4664" t="n">
        <v>0</v>
      </c>
      <c r="G4664">
        <f>IF(AND(A4664&gt;=Inputs!$B$5,A4664&lt;=Inputs!$B$6),1,0)</f>
        <v/>
      </c>
    </row>
    <row r="4665">
      <c r="A4665" t="inlineStr">
        <is>
          <t>2025-09</t>
        </is>
      </c>
      <c r="B4665" t="inlineStr">
        <is>
          <t>HOSP-4</t>
        </is>
      </c>
      <c r="C4665" t="inlineStr">
        <is>
          <t>SS-01043</t>
        </is>
      </c>
      <c r="D4665" t="n">
        <v>1</v>
      </c>
      <c r="E4665" t="n">
        <v>3</v>
      </c>
      <c r="G4665">
        <f>IF(AND(A4665&gt;=Inputs!$B$5,A4665&lt;=Inputs!$B$6),1,0)</f>
        <v/>
      </c>
    </row>
    <row r="4666">
      <c r="A4666" t="inlineStr">
        <is>
          <t>2025-09</t>
        </is>
      </c>
      <c r="B4666" t="inlineStr">
        <is>
          <t>HOSP-1</t>
        </is>
      </c>
      <c r="C4666" t="inlineStr">
        <is>
          <t>SS-01203</t>
        </is>
      </c>
      <c r="D4666" t="n">
        <v>6</v>
      </c>
      <c r="E4666" t="n">
        <v>1</v>
      </c>
      <c r="G4666">
        <f>IF(AND(A4666&gt;=Inputs!$B$5,A4666&lt;=Inputs!$B$6),1,0)</f>
        <v/>
      </c>
    </row>
    <row r="4667">
      <c r="A4667" t="inlineStr">
        <is>
          <t>2025-09</t>
        </is>
      </c>
      <c r="B4667" t="inlineStr">
        <is>
          <t>HOSP-2</t>
        </is>
      </c>
      <c r="C4667" t="inlineStr">
        <is>
          <t>SS-01006</t>
        </is>
      </c>
      <c r="D4667" t="n">
        <v>12</v>
      </c>
      <c r="E4667" t="n">
        <v>0</v>
      </c>
      <c r="G4667">
        <f>IF(AND(A4667&gt;=Inputs!$B$5,A4667&lt;=Inputs!$B$6),1,0)</f>
        <v/>
      </c>
    </row>
    <row r="4668">
      <c r="A4668" t="inlineStr">
        <is>
          <t>2025-09</t>
        </is>
      </c>
      <c r="B4668" t="inlineStr">
        <is>
          <t>HOSP-3</t>
        </is>
      </c>
      <c r="C4668" t="inlineStr">
        <is>
          <t>SS-01007</t>
        </is>
      </c>
      <c r="D4668" t="n">
        <v>0</v>
      </c>
      <c r="E4668" t="n">
        <v>0</v>
      </c>
      <c r="G4668">
        <f>IF(AND(A4668&gt;=Inputs!$B$5,A4668&lt;=Inputs!$B$6),1,0)</f>
        <v/>
      </c>
    </row>
    <row r="4669">
      <c r="A4669" t="inlineStr">
        <is>
          <t>2025-09</t>
        </is>
      </c>
      <c r="B4669" t="inlineStr">
        <is>
          <t>HOSP-4</t>
        </is>
      </c>
      <c r="C4669" t="inlineStr">
        <is>
          <t>SS-01229</t>
        </is>
      </c>
      <c r="D4669" t="n">
        <v>1</v>
      </c>
      <c r="E4669" t="n">
        <v>11</v>
      </c>
      <c r="G4669">
        <f>IF(AND(A4669&gt;=Inputs!$B$5,A4669&lt;=Inputs!$B$6),1,0)</f>
        <v/>
      </c>
    </row>
    <row r="4670">
      <c r="A4670" t="inlineStr">
        <is>
          <t>2025-09</t>
        </is>
      </c>
      <c r="B4670" t="inlineStr">
        <is>
          <t>HOSP-1</t>
        </is>
      </c>
      <c r="C4670" t="inlineStr">
        <is>
          <t>SS-01073</t>
        </is>
      </c>
      <c r="D4670" t="n">
        <v>15</v>
      </c>
      <c r="E4670" t="n">
        <v>2</v>
      </c>
      <c r="G4670">
        <f>IF(AND(A4670&gt;=Inputs!$B$5,A4670&lt;=Inputs!$B$6),1,0)</f>
        <v/>
      </c>
    </row>
    <row r="4671">
      <c r="A4671" t="inlineStr">
        <is>
          <t>2025-09</t>
        </is>
      </c>
      <c r="B4671" t="inlineStr">
        <is>
          <t>HOSP-2</t>
        </is>
      </c>
      <c r="C4671" t="inlineStr">
        <is>
          <t>SS-01010</t>
        </is>
      </c>
      <c r="D4671" t="n">
        <v>0</v>
      </c>
      <c r="E4671" t="n">
        <v>0</v>
      </c>
      <c r="G4671">
        <f>IF(AND(A4671&gt;=Inputs!$B$5,A4671&lt;=Inputs!$B$6),1,0)</f>
        <v/>
      </c>
    </row>
    <row r="4672">
      <c r="A4672" t="inlineStr">
        <is>
          <t>2025-09</t>
        </is>
      </c>
      <c r="B4672" t="inlineStr">
        <is>
          <t>HOSP-3</t>
        </is>
      </c>
      <c r="C4672" t="inlineStr">
        <is>
          <t>SS-01011</t>
        </is>
      </c>
      <c r="D4672" t="n">
        <v>36</v>
      </c>
      <c r="E4672" t="n">
        <v>0</v>
      </c>
      <c r="G4672">
        <f>IF(AND(A4672&gt;=Inputs!$B$5,A4672&lt;=Inputs!$B$6),1,0)</f>
        <v/>
      </c>
    </row>
    <row r="4673">
      <c r="A4673" t="inlineStr">
        <is>
          <t>2025-09</t>
        </is>
      </c>
      <c r="B4673" t="inlineStr">
        <is>
          <t>HOSP-4</t>
        </is>
      </c>
      <c r="C4673" t="inlineStr">
        <is>
          <t>SS-01134</t>
        </is>
      </c>
      <c r="D4673" t="n">
        <v>1</v>
      </c>
      <c r="E4673" t="n">
        <v>14</v>
      </c>
      <c r="F4673" t="inlineStr">
        <is>
          <t>surge</t>
        </is>
      </c>
      <c r="G4673">
        <f>IF(AND(A4673&gt;=Inputs!$B$5,A4673&lt;=Inputs!$B$6),1,0)</f>
        <v/>
      </c>
    </row>
    <row r="4674">
      <c r="A4674" t="inlineStr">
        <is>
          <t>2025-09</t>
        </is>
      </c>
      <c r="B4674" t="inlineStr">
        <is>
          <t>HOSP-1</t>
        </is>
      </c>
      <c r="C4674" t="inlineStr">
        <is>
          <t>SS-01013</t>
        </is>
      </c>
      <c r="D4674" t="n">
        <v>0</v>
      </c>
      <c r="E4674" t="n">
        <v>0</v>
      </c>
      <c r="G4674">
        <f>IF(AND(A4674&gt;=Inputs!$B$5,A4674&lt;=Inputs!$B$6),1,0)</f>
        <v/>
      </c>
    </row>
    <row r="4675">
      <c r="A4675" t="inlineStr">
        <is>
          <t>2025-09</t>
        </is>
      </c>
      <c r="B4675" t="inlineStr">
        <is>
          <t>HOSP-2</t>
        </is>
      </c>
      <c r="C4675" t="inlineStr">
        <is>
          <t>SS-01014</t>
        </is>
      </c>
      <c r="D4675" t="n">
        <v>12</v>
      </c>
      <c r="E4675" t="n">
        <v>0</v>
      </c>
      <c r="G4675">
        <f>IF(AND(A4675&gt;=Inputs!$B$5,A4675&lt;=Inputs!$B$6),1,0)</f>
        <v/>
      </c>
    </row>
    <row r="4676">
      <c r="A4676" t="inlineStr">
        <is>
          <t>2025-09</t>
        </is>
      </c>
      <c r="B4676" t="inlineStr">
        <is>
          <t>HOSP-3</t>
        </is>
      </c>
      <c r="C4676" t="inlineStr">
        <is>
          <t>SS-01015</t>
        </is>
      </c>
      <c r="D4676" t="n">
        <v>84</v>
      </c>
      <c r="E4676" t="n">
        <v>0</v>
      </c>
      <c r="G4676">
        <f>IF(AND(A4676&gt;=Inputs!$B$5,A4676&lt;=Inputs!$B$6),1,0)</f>
        <v/>
      </c>
    </row>
    <row r="4677">
      <c r="A4677" t="inlineStr">
        <is>
          <t>2025-09</t>
        </is>
      </c>
      <c r="B4677" t="inlineStr">
        <is>
          <t>HOSP-4</t>
        </is>
      </c>
      <c r="C4677" t="inlineStr">
        <is>
          <t>SS-01016</t>
        </is>
      </c>
      <c r="D4677" t="n">
        <v>120</v>
      </c>
      <c r="E4677" t="n">
        <v>0</v>
      </c>
      <c r="G4677">
        <f>IF(AND(A4677&gt;=Inputs!$B$5,A4677&lt;=Inputs!$B$6),1,0)</f>
        <v/>
      </c>
    </row>
    <row r="4678">
      <c r="A4678" t="inlineStr">
        <is>
          <t>2025-09</t>
        </is>
      </c>
      <c r="B4678" t="inlineStr">
        <is>
          <t>HOSP-1</t>
        </is>
      </c>
      <c r="C4678" t="inlineStr">
        <is>
          <t>SS-01017</t>
        </is>
      </c>
      <c r="D4678" t="n">
        <v>12</v>
      </c>
      <c r="E4678" t="n">
        <v>0</v>
      </c>
      <c r="G4678">
        <f>IF(AND(A4678&gt;=Inputs!$B$5,A4678&lt;=Inputs!$B$6),1,0)</f>
        <v/>
      </c>
    </row>
    <row r="4679">
      <c r="A4679" t="inlineStr">
        <is>
          <t>2025-09</t>
        </is>
      </c>
      <c r="B4679" t="inlineStr">
        <is>
          <t>HOSP-2</t>
        </is>
      </c>
      <c r="C4679" t="inlineStr">
        <is>
          <t>SS-01018</t>
        </is>
      </c>
      <c r="D4679" t="n">
        <v>52</v>
      </c>
      <c r="E4679" t="n">
        <v>0</v>
      </c>
      <c r="G4679">
        <f>IF(AND(A4679&gt;=Inputs!$B$5,A4679&lt;=Inputs!$B$6),1,0)</f>
        <v/>
      </c>
    </row>
    <row r="4680">
      <c r="A4680" t="inlineStr">
        <is>
          <t>2025-09</t>
        </is>
      </c>
      <c r="B4680" t="inlineStr">
        <is>
          <t>HOSP-3</t>
        </is>
      </c>
      <c r="C4680" t="inlineStr">
        <is>
          <t>SS-01019</t>
        </is>
      </c>
      <c r="D4680" t="n">
        <v>36</v>
      </c>
      <c r="E4680" t="n">
        <v>0</v>
      </c>
      <c r="G4680">
        <f>IF(AND(A4680&gt;=Inputs!$B$5,A4680&lt;=Inputs!$B$6),1,0)</f>
        <v/>
      </c>
    </row>
    <row r="4681">
      <c r="A4681" t="inlineStr">
        <is>
          <t>2025-09</t>
        </is>
      </c>
      <c r="B4681" t="inlineStr">
        <is>
          <t>HOSP-4</t>
        </is>
      </c>
      <c r="C4681" t="inlineStr">
        <is>
          <t>SS-01020</t>
        </is>
      </c>
      <c r="D4681" t="n">
        <v>12</v>
      </c>
      <c r="E4681" t="n">
        <v>0</v>
      </c>
      <c r="G4681">
        <f>IF(AND(A4681&gt;=Inputs!$B$5,A4681&lt;=Inputs!$B$6),1,0)</f>
        <v/>
      </c>
    </row>
    <row r="4682">
      <c r="A4682" t="inlineStr">
        <is>
          <t>2025-09</t>
        </is>
      </c>
      <c r="B4682" t="inlineStr">
        <is>
          <t>HOSP-1</t>
        </is>
      </c>
      <c r="C4682" t="inlineStr">
        <is>
          <t>SS-01021</t>
        </is>
      </c>
      <c r="D4682" t="n">
        <v>12</v>
      </c>
      <c r="E4682" t="n">
        <v>0</v>
      </c>
      <c r="G4682">
        <f>IF(AND(A4682&gt;=Inputs!$B$5,A4682&lt;=Inputs!$B$6),1,0)</f>
        <v/>
      </c>
    </row>
    <row r="4683">
      <c r="A4683" t="inlineStr">
        <is>
          <t>2025-09</t>
        </is>
      </c>
      <c r="B4683" t="inlineStr">
        <is>
          <t>HOSP-2</t>
        </is>
      </c>
      <c r="C4683" t="inlineStr">
        <is>
          <t>SS-01022</t>
        </is>
      </c>
      <c r="D4683" t="n">
        <v>36</v>
      </c>
      <c r="E4683" t="n">
        <v>0</v>
      </c>
      <c r="G4683">
        <f>IF(AND(A4683&gt;=Inputs!$B$5,A4683&lt;=Inputs!$B$6),1,0)</f>
        <v/>
      </c>
    </row>
    <row r="4684">
      <c r="A4684" t="inlineStr">
        <is>
          <t>2025-09</t>
        </is>
      </c>
      <c r="B4684" t="inlineStr">
        <is>
          <t>HOSP-3</t>
        </is>
      </c>
      <c r="C4684" t="inlineStr">
        <is>
          <t>SS-01023</t>
        </is>
      </c>
      <c r="D4684" t="n">
        <v>0</v>
      </c>
      <c r="E4684" t="n">
        <v>0</v>
      </c>
      <c r="G4684">
        <f>IF(AND(A4684&gt;=Inputs!$B$5,A4684&lt;=Inputs!$B$6),1,0)</f>
        <v/>
      </c>
    </row>
    <row r="4685">
      <c r="A4685" t="inlineStr">
        <is>
          <t>2025-09</t>
        </is>
      </c>
      <c r="B4685" t="inlineStr">
        <is>
          <t>HOSP-4</t>
        </is>
      </c>
      <c r="C4685" t="inlineStr">
        <is>
          <t>SS-01024</t>
        </is>
      </c>
      <c r="D4685" t="n">
        <v>144</v>
      </c>
      <c r="E4685" t="n">
        <v>0</v>
      </c>
      <c r="G4685">
        <f>IF(AND(A4685&gt;=Inputs!$B$5,A4685&lt;=Inputs!$B$6),1,0)</f>
        <v/>
      </c>
    </row>
    <row r="4686">
      <c r="A4686" t="inlineStr">
        <is>
          <t>2025-09</t>
        </is>
      </c>
      <c r="B4686" t="inlineStr">
        <is>
          <t>HOSP-1</t>
        </is>
      </c>
      <c r="C4686" t="inlineStr">
        <is>
          <t>SS-01025</t>
        </is>
      </c>
      <c r="D4686" t="n">
        <v>12</v>
      </c>
      <c r="E4686" t="n">
        <v>0</v>
      </c>
      <c r="G4686">
        <f>IF(AND(A4686&gt;=Inputs!$B$5,A4686&lt;=Inputs!$B$6),1,0)</f>
        <v/>
      </c>
    </row>
    <row r="4687">
      <c r="A4687" t="inlineStr">
        <is>
          <t>2025-09</t>
        </is>
      </c>
      <c r="B4687" t="inlineStr">
        <is>
          <t>HOSP-2</t>
        </is>
      </c>
      <c r="C4687" t="inlineStr">
        <is>
          <t>SS-01026</t>
        </is>
      </c>
      <c r="D4687" t="n">
        <v>12</v>
      </c>
      <c r="E4687" t="n">
        <v>0</v>
      </c>
      <c r="G4687">
        <f>IF(AND(A4687&gt;=Inputs!$B$5,A4687&lt;=Inputs!$B$6),1,0)</f>
        <v/>
      </c>
    </row>
    <row r="4688">
      <c r="A4688" t="inlineStr">
        <is>
          <t>2025-09</t>
        </is>
      </c>
      <c r="B4688" t="inlineStr">
        <is>
          <t>HOSP-3</t>
        </is>
      </c>
      <c r="C4688" t="inlineStr">
        <is>
          <t>SS-01027</t>
        </is>
      </c>
      <c r="D4688" t="n">
        <v>9</v>
      </c>
      <c r="E4688" t="n">
        <v>1</v>
      </c>
      <c r="G4688">
        <f>IF(AND(A4688&gt;=Inputs!$B$5,A4688&lt;=Inputs!$B$6),1,0)</f>
        <v/>
      </c>
    </row>
    <row r="4689">
      <c r="A4689" t="inlineStr">
        <is>
          <t>2025-09</t>
        </is>
      </c>
      <c r="B4689" t="inlineStr">
        <is>
          <t>HOSP-4</t>
        </is>
      </c>
      <c r="C4689" t="inlineStr">
        <is>
          <t>SS-01008</t>
        </is>
      </c>
      <c r="D4689" t="n">
        <v>132</v>
      </c>
      <c r="E4689" t="n">
        <v>0</v>
      </c>
      <c r="G4689">
        <f>IF(AND(A4689&gt;=Inputs!$B$5,A4689&lt;=Inputs!$B$6),1,0)</f>
        <v/>
      </c>
    </row>
    <row r="4690">
      <c r="A4690" t="inlineStr">
        <is>
          <t>2025-09</t>
        </is>
      </c>
      <c r="B4690" t="inlineStr">
        <is>
          <t>HOSP-1</t>
        </is>
      </c>
      <c r="C4690" t="inlineStr">
        <is>
          <t>SS-01029</t>
        </is>
      </c>
      <c r="D4690" t="n">
        <v>12</v>
      </c>
      <c r="E4690" t="n">
        <v>0</v>
      </c>
      <c r="G4690">
        <f>IF(AND(A4690&gt;=Inputs!$B$5,A4690&lt;=Inputs!$B$6),1,0)</f>
        <v/>
      </c>
    </row>
    <row r="4691">
      <c r="A4691" t="inlineStr">
        <is>
          <t>2025-09</t>
        </is>
      </c>
      <c r="B4691" t="inlineStr">
        <is>
          <t>HOSP-2</t>
        </is>
      </c>
      <c r="C4691" t="inlineStr">
        <is>
          <t>SS-01105</t>
        </is>
      </c>
      <c r="D4691" t="n">
        <v>24</v>
      </c>
      <c r="E4691" t="n">
        <v>0</v>
      </c>
      <c r="G4691">
        <f>IF(AND(A4691&gt;=Inputs!$B$5,A4691&lt;=Inputs!$B$6),1,0)</f>
        <v/>
      </c>
    </row>
    <row r="4692">
      <c r="A4692" t="inlineStr">
        <is>
          <t>2025-09</t>
        </is>
      </c>
      <c r="B4692" t="inlineStr">
        <is>
          <t>HOSP-3</t>
        </is>
      </c>
      <c r="C4692" t="inlineStr">
        <is>
          <t>SS-01031</t>
        </is>
      </c>
      <c r="D4692" t="n">
        <v>84</v>
      </c>
      <c r="E4692" t="n">
        <v>0</v>
      </c>
      <c r="G4692">
        <f>IF(AND(A4692&gt;=Inputs!$B$5,A4692&lt;=Inputs!$B$6),1,0)</f>
        <v/>
      </c>
    </row>
    <row r="4693">
      <c r="A4693" t="inlineStr">
        <is>
          <t>2025-09</t>
        </is>
      </c>
      <c r="B4693" t="inlineStr">
        <is>
          <t>HOSP-4</t>
        </is>
      </c>
      <c r="C4693" t="inlineStr">
        <is>
          <t>SS-01032</t>
        </is>
      </c>
      <c r="D4693" t="n">
        <v>24</v>
      </c>
      <c r="E4693" t="n">
        <v>0</v>
      </c>
      <c r="G4693">
        <f>IF(AND(A4693&gt;=Inputs!$B$5,A4693&lt;=Inputs!$B$6),1,0)</f>
        <v/>
      </c>
    </row>
    <row r="4694">
      <c r="A4694" t="inlineStr">
        <is>
          <t>2025-09</t>
        </is>
      </c>
      <c r="B4694" t="inlineStr">
        <is>
          <t>HOSP-1</t>
        </is>
      </c>
      <c r="C4694" t="inlineStr">
        <is>
          <t>SS-01033</t>
        </is>
      </c>
      <c r="D4694" t="n">
        <v>12</v>
      </c>
      <c r="E4694" t="n">
        <v>0</v>
      </c>
      <c r="G4694">
        <f>IF(AND(A4694&gt;=Inputs!$B$5,A4694&lt;=Inputs!$B$6),1,0)</f>
        <v/>
      </c>
    </row>
    <row r="4695">
      <c r="A4695" t="inlineStr">
        <is>
          <t>2025-09</t>
        </is>
      </c>
      <c r="B4695" t="inlineStr">
        <is>
          <t>HOSP-2</t>
        </is>
      </c>
      <c r="C4695" t="inlineStr">
        <is>
          <t>SS-01034</t>
        </is>
      </c>
      <c r="D4695" t="n">
        <v>12</v>
      </c>
      <c r="E4695" t="n">
        <v>0</v>
      </c>
      <c r="G4695">
        <f>IF(AND(A4695&gt;=Inputs!$B$5,A4695&lt;=Inputs!$B$6),1,0)</f>
        <v/>
      </c>
    </row>
    <row r="4696">
      <c r="A4696" t="inlineStr">
        <is>
          <t>2025-09</t>
        </is>
      </c>
      <c r="B4696" t="inlineStr">
        <is>
          <t>HOSP-3</t>
        </is>
      </c>
      <c r="C4696" t="inlineStr">
        <is>
          <t>SS-01035</t>
        </is>
      </c>
      <c r="D4696" t="n">
        <v>12</v>
      </c>
      <c r="E4696" t="n">
        <v>0</v>
      </c>
      <c r="G4696">
        <f>IF(AND(A4696&gt;=Inputs!$B$5,A4696&lt;=Inputs!$B$6),1,0)</f>
        <v/>
      </c>
    </row>
    <row r="4697">
      <c r="A4697" t="inlineStr">
        <is>
          <t>2025-09</t>
        </is>
      </c>
      <c r="B4697" t="inlineStr">
        <is>
          <t>HOSP-4</t>
        </is>
      </c>
      <c r="C4697" t="inlineStr">
        <is>
          <t>SS-01036</t>
        </is>
      </c>
      <c r="D4697" t="n">
        <v>24</v>
      </c>
      <c r="E4697" t="n">
        <v>0</v>
      </c>
      <c r="G4697">
        <f>IF(AND(A4697&gt;=Inputs!$B$5,A4697&lt;=Inputs!$B$6),1,0)</f>
        <v/>
      </c>
    </row>
    <row r="4698">
      <c r="A4698" t="inlineStr">
        <is>
          <t>2025-09</t>
        </is>
      </c>
      <c r="B4698" t="inlineStr">
        <is>
          <t>HOSP-1</t>
        </is>
      </c>
      <c r="C4698" t="inlineStr">
        <is>
          <t>SS-01037</t>
        </is>
      </c>
      <c r="D4698" t="n">
        <v>12</v>
      </c>
      <c r="E4698" t="n">
        <v>0</v>
      </c>
      <c r="G4698">
        <f>IF(AND(A4698&gt;=Inputs!$B$5,A4698&lt;=Inputs!$B$6),1,0)</f>
        <v/>
      </c>
    </row>
    <row r="4699">
      <c r="A4699" t="inlineStr">
        <is>
          <t>2025-09</t>
        </is>
      </c>
      <c r="B4699" t="inlineStr">
        <is>
          <t>HOSP-2</t>
        </is>
      </c>
      <c r="C4699" t="inlineStr">
        <is>
          <t>SS-01038</t>
        </is>
      </c>
      <c r="D4699" t="n">
        <v>2</v>
      </c>
      <c r="E4699" t="n">
        <v>12</v>
      </c>
      <c r="G4699">
        <f>IF(AND(A4699&gt;=Inputs!$B$5,A4699&lt;=Inputs!$B$6),1,0)</f>
        <v/>
      </c>
    </row>
    <row r="4700">
      <c r="A4700" t="inlineStr">
        <is>
          <t>2025-09</t>
        </is>
      </c>
      <c r="B4700" t="inlineStr">
        <is>
          <t>HOSP-3</t>
        </is>
      </c>
      <c r="C4700" t="inlineStr">
        <is>
          <t>SS-01039</t>
        </is>
      </c>
      <c r="D4700" t="n">
        <v>12</v>
      </c>
      <c r="E4700" t="n">
        <v>0</v>
      </c>
      <c r="G4700">
        <f>IF(AND(A4700&gt;=Inputs!$B$5,A4700&lt;=Inputs!$B$6),1,0)</f>
        <v/>
      </c>
    </row>
    <row r="4701">
      <c r="A4701" t="inlineStr">
        <is>
          <t>2025-09</t>
        </is>
      </c>
      <c r="B4701" t="inlineStr">
        <is>
          <t>HOSP-4</t>
        </is>
      </c>
      <c r="C4701" t="inlineStr">
        <is>
          <t>SS-01040</t>
        </is>
      </c>
      <c r="D4701" t="n">
        <v>24</v>
      </c>
      <c r="E4701" t="n">
        <v>0</v>
      </c>
      <c r="G4701">
        <f>IF(AND(A4701&gt;=Inputs!$B$5,A4701&lt;=Inputs!$B$6),1,0)</f>
        <v/>
      </c>
    </row>
    <row r="4702">
      <c r="A4702" t="inlineStr">
        <is>
          <t>2025-09</t>
        </is>
      </c>
      <c r="B4702" t="inlineStr">
        <is>
          <t>HOSP-1</t>
        </is>
      </c>
      <c r="C4702" t="inlineStr">
        <is>
          <t>SS-01039</t>
        </is>
      </c>
      <c r="D4702" t="n">
        <v>12</v>
      </c>
      <c r="E4702" t="n">
        <v>0</v>
      </c>
      <c r="G4702">
        <f>IF(AND(A4702&gt;=Inputs!$B$5,A4702&lt;=Inputs!$B$6),1,0)</f>
        <v/>
      </c>
    </row>
    <row r="4703">
      <c r="A4703" t="inlineStr">
        <is>
          <t>2025-09</t>
        </is>
      </c>
      <c r="B4703" t="inlineStr">
        <is>
          <t>HOSP-2</t>
        </is>
      </c>
      <c r="C4703" t="inlineStr">
        <is>
          <t>SS-01042</t>
        </is>
      </c>
      <c r="D4703" t="n">
        <v>24</v>
      </c>
      <c r="E4703" t="n">
        <v>0</v>
      </c>
      <c r="G4703">
        <f>IF(AND(A4703&gt;=Inputs!$B$5,A4703&lt;=Inputs!$B$6),1,0)</f>
        <v/>
      </c>
    </row>
    <row r="4704">
      <c r="A4704" t="inlineStr">
        <is>
          <t>2025-09</t>
        </is>
      </c>
      <c r="B4704" t="inlineStr">
        <is>
          <t>HOSP-3</t>
        </is>
      </c>
      <c r="C4704" t="inlineStr">
        <is>
          <t>SS-01043</t>
        </is>
      </c>
      <c r="D4704" t="n">
        <v>12</v>
      </c>
      <c r="E4704" t="n">
        <v>0</v>
      </c>
      <c r="G4704">
        <f>IF(AND(A4704&gt;=Inputs!$B$5,A4704&lt;=Inputs!$B$6),1,0)</f>
        <v/>
      </c>
    </row>
    <row r="4705">
      <c r="A4705" t="inlineStr">
        <is>
          <t>2025-09</t>
        </is>
      </c>
      <c r="B4705" t="inlineStr">
        <is>
          <t>HOSP-4</t>
        </is>
      </c>
      <c r="C4705" t="inlineStr">
        <is>
          <t>SS-01170</t>
        </is>
      </c>
      <c r="D4705" t="n">
        <v>87</v>
      </c>
      <c r="E4705" t="n">
        <v>6</v>
      </c>
      <c r="G4705">
        <f>IF(AND(A4705&gt;=Inputs!$B$5,A4705&lt;=Inputs!$B$6),1,0)</f>
        <v/>
      </c>
    </row>
    <row r="4706">
      <c r="A4706" t="inlineStr">
        <is>
          <t>2025-09</t>
        </is>
      </c>
      <c r="B4706" t="inlineStr">
        <is>
          <t>HOSP-1</t>
        </is>
      </c>
      <c r="C4706" t="inlineStr">
        <is>
          <t>SS-01045</t>
        </is>
      </c>
      <c r="D4706" t="n">
        <v>12</v>
      </c>
      <c r="E4706" t="n">
        <v>0</v>
      </c>
      <c r="G4706">
        <f>IF(AND(A4706&gt;=Inputs!$B$5,A4706&lt;=Inputs!$B$6),1,0)</f>
        <v/>
      </c>
    </row>
    <row r="4707">
      <c r="A4707" t="inlineStr">
        <is>
          <t>2025-09</t>
        </is>
      </c>
      <c r="B4707" t="inlineStr">
        <is>
          <t>HOSP-2</t>
        </is>
      </c>
      <c r="C4707" t="inlineStr">
        <is>
          <t>SS-01046</t>
        </is>
      </c>
      <c r="D4707" t="n">
        <v>0</v>
      </c>
      <c r="E4707" t="n">
        <v>0</v>
      </c>
      <c r="G4707">
        <f>IF(AND(A4707&gt;=Inputs!$B$5,A4707&lt;=Inputs!$B$6),1,0)</f>
        <v/>
      </c>
    </row>
    <row r="4708">
      <c r="A4708" t="inlineStr">
        <is>
          <t>2025-09</t>
        </is>
      </c>
      <c r="B4708" t="inlineStr">
        <is>
          <t>HOSP-3</t>
        </is>
      </c>
      <c r="C4708" t="inlineStr">
        <is>
          <t>SS-01047</t>
        </is>
      </c>
      <c r="D4708" t="n">
        <v>0</v>
      </c>
      <c r="E4708" t="n">
        <v>0</v>
      </c>
      <c r="G4708">
        <f>IF(AND(A4708&gt;=Inputs!$B$5,A4708&lt;=Inputs!$B$6),1,0)</f>
        <v/>
      </c>
    </row>
    <row r="4709">
      <c r="A4709" t="inlineStr">
        <is>
          <t>2025-09</t>
        </is>
      </c>
      <c r="B4709" t="inlineStr">
        <is>
          <t>HOSP-4</t>
        </is>
      </c>
      <c r="C4709" t="inlineStr">
        <is>
          <t>SS-01048</t>
        </is>
      </c>
      <c r="D4709" t="n">
        <v>21</v>
      </c>
      <c r="E4709" t="n">
        <v>0</v>
      </c>
      <c r="G4709">
        <f>IF(AND(A4709&gt;=Inputs!$B$5,A4709&lt;=Inputs!$B$6),1,0)</f>
        <v/>
      </c>
    </row>
    <row r="4710">
      <c r="A4710" t="inlineStr">
        <is>
          <t>2025-09</t>
        </is>
      </c>
      <c r="B4710" t="inlineStr">
        <is>
          <t>HOSP-1</t>
        </is>
      </c>
      <c r="C4710" t="inlineStr">
        <is>
          <t>SS-01049</t>
        </is>
      </c>
      <c r="D4710" t="n">
        <v>36</v>
      </c>
      <c r="E4710" t="n">
        <v>0</v>
      </c>
      <c r="G4710">
        <f>IF(AND(A4710&gt;=Inputs!$B$5,A4710&lt;=Inputs!$B$6),1,0)</f>
        <v/>
      </c>
    </row>
    <row r="4711">
      <c r="A4711" t="inlineStr">
        <is>
          <t>2025-09</t>
        </is>
      </c>
      <c r="B4711" t="inlineStr">
        <is>
          <t>HOSP-2</t>
        </is>
      </c>
      <c r="C4711" t="inlineStr">
        <is>
          <t>SS-01050</t>
        </is>
      </c>
      <c r="D4711" t="n">
        <v>84</v>
      </c>
      <c r="E4711" t="n">
        <v>0</v>
      </c>
      <c r="G4711">
        <f>IF(AND(A4711&gt;=Inputs!$B$5,A4711&lt;=Inputs!$B$6),1,0)</f>
        <v/>
      </c>
    </row>
    <row r="4712">
      <c r="A4712" t="inlineStr">
        <is>
          <t>2025-09</t>
        </is>
      </c>
      <c r="B4712" t="inlineStr">
        <is>
          <t>HOSP-3</t>
        </is>
      </c>
      <c r="C4712" t="inlineStr">
        <is>
          <t>SS-01051</t>
        </is>
      </c>
      <c r="D4712" t="n">
        <v>24</v>
      </c>
      <c r="E4712" t="n">
        <v>0</v>
      </c>
      <c r="G4712">
        <f>IF(AND(A4712&gt;=Inputs!$B$5,A4712&lt;=Inputs!$B$6),1,0)</f>
        <v/>
      </c>
    </row>
    <row r="4713">
      <c r="A4713" t="inlineStr">
        <is>
          <t>2025-09</t>
        </is>
      </c>
      <c r="B4713" t="inlineStr">
        <is>
          <t>HOSP-4</t>
        </is>
      </c>
      <c r="C4713" t="inlineStr">
        <is>
          <t>SS-01052</t>
        </is>
      </c>
      <c r="D4713" t="n">
        <v>12</v>
      </c>
      <c r="E4713" t="n">
        <v>0</v>
      </c>
      <c r="G4713">
        <f>IF(AND(A4713&gt;=Inputs!$B$5,A4713&lt;=Inputs!$B$6),1,0)</f>
        <v/>
      </c>
    </row>
    <row r="4714">
      <c r="A4714" t="inlineStr">
        <is>
          <t>2025-09</t>
        </is>
      </c>
      <c r="B4714" t="inlineStr">
        <is>
          <t>HOSP-1</t>
        </is>
      </c>
      <c r="C4714" t="inlineStr">
        <is>
          <t>SS-01053</t>
        </is>
      </c>
      <c r="D4714" t="n">
        <v>24</v>
      </c>
      <c r="E4714" t="n">
        <v>0</v>
      </c>
      <c r="G4714">
        <f>IF(AND(A4714&gt;=Inputs!$B$5,A4714&lt;=Inputs!$B$6),1,0)</f>
        <v/>
      </c>
    </row>
    <row r="4715">
      <c r="A4715" t="inlineStr">
        <is>
          <t>2025-09</t>
        </is>
      </c>
      <c r="B4715" t="inlineStr">
        <is>
          <t>HOSP-2</t>
        </is>
      </c>
      <c r="C4715" t="inlineStr">
        <is>
          <t>SS-01084</t>
        </is>
      </c>
      <c r="D4715" t="n">
        <v>36</v>
      </c>
      <c r="E4715" t="n">
        <v>0</v>
      </c>
      <c r="G4715">
        <f>IF(AND(A4715&gt;=Inputs!$B$5,A4715&lt;=Inputs!$B$6),1,0)</f>
        <v/>
      </c>
    </row>
    <row r="4716">
      <c r="A4716" t="inlineStr">
        <is>
          <t>2025-09</t>
        </is>
      </c>
      <c r="B4716" t="inlineStr">
        <is>
          <t>HOSP-3</t>
        </is>
      </c>
      <c r="C4716" t="inlineStr">
        <is>
          <t>SS-01055</t>
        </is>
      </c>
      <c r="D4716" t="n">
        <v>0</v>
      </c>
      <c r="E4716" t="n">
        <v>0</v>
      </c>
      <c r="G4716">
        <f>IF(AND(A4716&gt;=Inputs!$B$5,A4716&lt;=Inputs!$B$6),1,0)</f>
        <v/>
      </c>
    </row>
    <row r="4717">
      <c r="A4717" t="inlineStr">
        <is>
          <t>2025-09</t>
        </is>
      </c>
      <c r="B4717" t="inlineStr">
        <is>
          <t>HOSP-4</t>
        </is>
      </c>
      <c r="C4717" t="inlineStr">
        <is>
          <t>SS-01056</t>
        </is>
      </c>
      <c r="D4717" t="n">
        <v>24</v>
      </c>
      <c r="E4717" t="n">
        <v>0</v>
      </c>
      <c r="G4717">
        <f>IF(AND(A4717&gt;=Inputs!$B$5,A4717&lt;=Inputs!$B$6),1,0)</f>
        <v/>
      </c>
    </row>
    <row r="4718">
      <c r="A4718" t="inlineStr">
        <is>
          <t>2025-09</t>
        </is>
      </c>
      <c r="B4718" t="inlineStr">
        <is>
          <t>HOSP-1</t>
        </is>
      </c>
      <c r="C4718" t="inlineStr">
        <is>
          <t>SS-01057</t>
        </is>
      </c>
      <c r="D4718" t="n">
        <v>24</v>
      </c>
      <c r="E4718" t="n">
        <v>0</v>
      </c>
      <c r="G4718">
        <f>IF(AND(A4718&gt;=Inputs!$B$5,A4718&lt;=Inputs!$B$6),1,0)</f>
        <v/>
      </c>
    </row>
    <row r="4719">
      <c r="A4719" t="inlineStr">
        <is>
          <t>2025-09</t>
        </is>
      </c>
      <c r="B4719" t="inlineStr">
        <is>
          <t>HOSP-2</t>
        </is>
      </c>
      <c r="C4719" t="inlineStr">
        <is>
          <t>SS-01058</t>
        </is>
      </c>
      <c r="D4719" t="n">
        <v>0</v>
      </c>
      <c r="E4719" t="n">
        <v>0</v>
      </c>
      <c r="G4719">
        <f>IF(AND(A4719&gt;=Inputs!$B$5,A4719&lt;=Inputs!$B$6),1,0)</f>
        <v/>
      </c>
    </row>
    <row r="4720">
      <c r="A4720" t="inlineStr">
        <is>
          <t>2025-09</t>
        </is>
      </c>
      <c r="B4720" t="inlineStr">
        <is>
          <t>HOSP-3</t>
        </is>
      </c>
      <c r="C4720" t="inlineStr">
        <is>
          <t>SS-01059</t>
        </is>
      </c>
      <c r="D4720" t="n">
        <v>36</v>
      </c>
      <c r="E4720" t="n">
        <v>0</v>
      </c>
      <c r="G4720">
        <f>IF(AND(A4720&gt;=Inputs!$B$5,A4720&lt;=Inputs!$B$6),1,0)</f>
        <v/>
      </c>
    </row>
    <row r="4721">
      <c r="A4721" t="inlineStr">
        <is>
          <t>2025-09</t>
        </is>
      </c>
      <c r="B4721" t="inlineStr">
        <is>
          <t>HOSP-4</t>
        </is>
      </c>
      <c r="C4721" t="inlineStr">
        <is>
          <t>SS-01221</t>
        </is>
      </c>
      <c r="D4721" t="n">
        <v>28</v>
      </c>
      <c r="E4721" t="n">
        <v>1</v>
      </c>
      <c r="G4721">
        <f>IF(AND(A4721&gt;=Inputs!$B$5,A4721&lt;=Inputs!$B$6),1,0)</f>
        <v/>
      </c>
    </row>
    <row r="4722">
      <c r="A4722" t="inlineStr">
        <is>
          <t>2025-09</t>
        </is>
      </c>
      <c r="B4722" t="inlineStr">
        <is>
          <t>HOSP-1</t>
        </is>
      </c>
      <c r="C4722" t="inlineStr">
        <is>
          <t>SS-01078</t>
        </is>
      </c>
      <c r="D4722" t="n">
        <v>12</v>
      </c>
      <c r="E4722" t="n">
        <v>0</v>
      </c>
      <c r="G4722">
        <f>IF(AND(A4722&gt;=Inputs!$B$5,A4722&lt;=Inputs!$B$6),1,0)</f>
        <v/>
      </c>
    </row>
    <row r="4723">
      <c r="A4723" t="inlineStr">
        <is>
          <t>2025-09</t>
        </is>
      </c>
      <c r="B4723" t="inlineStr">
        <is>
          <t>HOSP-2</t>
        </is>
      </c>
      <c r="C4723" t="inlineStr">
        <is>
          <t>SS-01062</t>
        </is>
      </c>
      <c r="D4723" t="n">
        <v>113</v>
      </c>
      <c r="E4723" t="n">
        <v>0</v>
      </c>
      <c r="G4723">
        <f>IF(AND(A4723&gt;=Inputs!$B$5,A4723&lt;=Inputs!$B$6),1,0)</f>
        <v/>
      </c>
    </row>
    <row r="4724">
      <c r="A4724" t="inlineStr">
        <is>
          <t>2025-09</t>
        </is>
      </c>
      <c r="B4724" t="inlineStr">
        <is>
          <t>HOSP-3</t>
        </is>
      </c>
      <c r="C4724" t="inlineStr">
        <is>
          <t>SS-01063</t>
        </is>
      </c>
      <c r="D4724" t="n">
        <v>0</v>
      </c>
      <c r="E4724" t="n">
        <v>0</v>
      </c>
      <c r="G4724">
        <f>IF(AND(A4724&gt;=Inputs!$B$5,A4724&lt;=Inputs!$B$6),1,0)</f>
        <v/>
      </c>
    </row>
    <row r="4725">
      <c r="A4725" t="inlineStr">
        <is>
          <t>2025-09</t>
        </is>
      </c>
      <c r="B4725" t="inlineStr">
        <is>
          <t>HOSP-4</t>
        </is>
      </c>
      <c r="C4725" t="inlineStr">
        <is>
          <t>SS-01064</t>
        </is>
      </c>
      <c r="D4725" t="n">
        <v>12</v>
      </c>
      <c r="E4725" t="n">
        <v>0</v>
      </c>
      <c r="G4725">
        <f>IF(AND(A4725&gt;=Inputs!$B$5,A4725&lt;=Inputs!$B$6),1,0)</f>
        <v/>
      </c>
    </row>
    <row r="4726">
      <c r="A4726" t="inlineStr">
        <is>
          <t>2025-09</t>
        </is>
      </c>
      <c r="B4726" t="inlineStr">
        <is>
          <t>HOSP-1</t>
        </is>
      </c>
      <c r="C4726" t="inlineStr">
        <is>
          <t>SS-01065</t>
        </is>
      </c>
      <c r="D4726" t="n">
        <v>12</v>
      </c>
      <c r="E4726" t="n">
        <v>0</v>
      </c>
      <c r="G4726">
        <f>IF(AND(A4726&gt;=Inputs!$B$5,A4726&lt;=Inputs!$B$6),1,0)</f>
        <v/>
      </c>
    </row>
    <row r="4727">
      <c r="A4727" t="inlineStr">
        <is>
          <t>2025-09</t>
        </is>
      </c>
      <c r="B4727" t="inlineStr">
        <is>
          <t>HOSP-2</t>
        </is>
      </c>
      <c r="C4727" t="inlineStr">
        <is>
          <t>SS-01062</t>
        </is>
      </c>
      <c r="D4727" t="n">
        <v>24</v>
      </c>
      <c r="E4727" t="n">
        <v>0</v>
      </c>
      <c r="G4727">
        <f>IF(AND(A4727&gt;=Inputs!$B$5,A4727&lt;=Inputs!$B$6),1,0)</f>
        <v/>
      </c>
    </row>
    <row r="4728">
      <c r="A4728" t="inlineStr">
        <is>
          <t>2025-09</t>
        </is>
      </c>
      <c r="B4728" t="inlineStr">
        <is>
          <t>HOSP-3</t>
        </is>
      </c>
      <c r="C4728" t="inlineStr">
        <is>
          <t>SS-01067</t>
        </is>
      </c>
      <c r="D4728" t="n">
        <v>12</v>
      </c>
      <c r="E4728" t="n">
        <v>0</v>
      </c>
      <c r="G4728">
        <f>IF(AND(A4728&gt;=Inputs!$B$5,A4728&lt;=Inputs!$B$6),1,0)</f>
        <v/>
      </c>
    </row>
    <row r="4729">
      <c r="A4729" t="inlineStr">
        <is>
          <t>2025-09</t>
        </is>
      </c>
      <c r="B4729" t="inlineStr">
        <is>
          <t>HOSP-4</t>
        </is>
      </c>
      <c r="C4729" t="inlineStr">
        <is>
          <t>SS-01068</t>
        </is>
      </c>
      <c r="D4729" t="n">
        <v>106</v>
      </c>
      <c r="E4729" t="n">
        <v>0</v>
      </c>
      <c r="G4729">
        <f>IF(AND(A4729&gt;=Inputs!$B$5,A4729&lt;=Inputs!$B$6),1,0)</f>
        <v/>
      </c>
    </row>
    <row r="4730">
      <c r="A4730" t="inlineStr">
        <is>
          <t>2025-09</t>
        </is>
      </c>
      <c r="B4730" t="inlineStr">
        <is>
          <t>HOSP-1</t>
        </is>
      </c>
      <c r="C4730" t="inlineStr">
        <is>
          <t>SS-01069</t>
        </is>
      </c>
      <c r="D4730" t="n">
        <v>12</v>
      </c>
      <c r="E4730" t="n">
        <v>0</v>
      </c>
      <c r="G4730">
        <f>IF(AND(A4730&gt;=Inputs!$B$5,A4730&lt;=Inputs!$B$6),1,0)</f>
        <v/>
      </c>
    </row>
    <row r="4731">
      <c r="A4731" t="inlineStr">
        <is>
          <t>2025-09</t>
        </is>
      </c>
      <c r="B4731" t="inlineStr">
        <is>
          <t>HOSP-2</t>
        </is>
      </c>
      <c r="C4731" t="inlineStr">
        <is>
          <t>SS-01070</t>
        </is>
      </c>
      <c r="D4731" t="n">
        <v>71</v>
      </c>
      <c r="E4731" t="n">
        <v>0</v>
      </c>
      <c r="G4731">
        <f>IF(AND(A4731&gt;=Inputs!$B$5,A4731&lt;=Inputs!$B$6),1,0)</f>
        <v/>
      </c>
    </row>
    <row r="4732">
      <c r="A4732" t="inlineStr">
        <is>
          <t>2025-09</t>
        </is>
      </c>
      <c r="B4732" t="inlineStr">
        <is>
          <t>HOSP-3</t>
        </is>
      </c>
      <c r="C4732" t="inlineStr">
        <is>
          <t>SS-01071</t>
        </is>
      </c>
      <c r="D4732" t="n">
        <v>14</v>
      </c>
      <c r="E4732" t="n">
        <v>0</v>
      </c>
      <c r="G4732">
        <f>IF(AND(A4732&gt;=Inputs!$B$5,A4732&lt;=Inputs!$B$6),1,0)</f>
        <v/>
      </c>
    </row>
    <row r="4733">
      <c r="A4733" t="inlineStr">
        <is>
          <t>2025-09</t>
        </is>
      </c>
      <c r="B4733" t="inlineStr">
        <is>
          <t>HOSP-4</t>
        </is>
      </c>
      <c r="C4733" t="inlineStr">
        <is>
          <t>SS-01072</t>
        </is>
      </c>
      <c r="D4733" t="n">
        <v>48</v>
      </c>
      <c r="E4733" t="n">
        <v>0</v>
      </c>
      <c r="G4733">
        <f>IF(AND(A4733&gt;=Inputs!$B$5,A4733&lt;=Inputs!$B$6),1,0)</f>
        <v/>
      </c>
    </row>
    <row r="4734">
      <c r="A4734" t="inlineStr">
        <is>
          <t>2025-09</t>
        </is>
      </c>
      <c r="B4734" t="inlineStr">
        <is>
          <t>HOSP-1</t>
        </is>
      </c>
      <c r="C4734" t="inlineStr">
        <is>
          <t>SS-01073</t>
        </is>
      </c>
      <c r="D4734" t="n">
        <v>0</v>
      </c>
      <c r="E4734" t="n">
        <v>0</v>
      </c>
      <c r="G4734">
        <f>IF(AND(A4734&gt;=Inputs!$B$5,A4734&lt;=Inputs!$B$6),1,0)</f>
        <v/>
      </c>
    </row>
    <row r="4735">
      <c r="A4735" t="inlineStr">
        <is>
          <t>2025-09</t>
        </is>
      </c>
      <c r="B4735" t="inlineStr">
        <is>
          <t>HOSP-2</t>
        </is>
      </c>
      <c r="C4735" t="inlineStr">
        <is>
          <t>SS-01074</t>
        </is>
      </c>
      <c r="D4735" t="n">
        <v>36</v>
      </c>
      <c r="E4735" t="n">
        <v>0</v>
      </c>
      <c r="G4735">
        <f>IF(AND(A4735&gt;=Inputs!$B$5,A4735&lt;=Inputs!$B$6),1,0)</f>
        <v/>
      </c>
    </row>
    <row r="4736">
      <c r="A4736" t="inlineStr">
        <is>
          <t>2025-09</t>
        </is>
      </c>
      <c r="B4736" t="inlineStr">
        <is>
          <t>HOSP-3</t>
        </is>
      </c>
      <c r="C4736" t="inlineStr">
        <is>
          <t>SS-01075</t>
        </is>
      </c>
      <c r="D4736" t="n">
        <v>24</v>
      </c>
      <c r="E4736" t="n">
        <v>0</v>
      </c>
      <c r="G4736">
        <f>IF(AND(A4736&gt;=Inputs!$B$5,A4736&lt;=Inputs!$B$6),1,0)</f>
        <v/>
      </c>
    </row>
    <row r="4737">
      <c r="A4737" t="inlineStr">
        <is>
          <t>2025-09</t>
        </is>
      </c>
      <c r="B4737" t="inlineStr">
        <is>
          <t>HOSP-4</t>
        </is>
      </c>
      <c r="C4737" t="inlineStr">
        <is>
          <t>SS-01076</t>
        </is>
      </c>
      <c r="D4737" t="n">
        <v>12</v>
      </c>
      <c r="E4737" t="n">
        <v>0</v>
      </c>
      <c r="G4737">
        <f>IF(AND(A4737&gt;=Inputs!$B$5,A4737&lt;=Inputs!$B$6),1,0)</f>
        <v/>
      </c>
    </row>
    <row r="4738">
      <c r="A4738" t="inlineStr">
        <is>
          <t>2025-09</t>
        </is>
      </c>
      <c r="B4738" t="inlineStr">
        <is>
          <t>HOSP-1</t>
        </is>
      </c>
      <c r="C4738" t="inlineStr">
        <is>
          <t>SS-01077</t>
        </is>
      </c>
      <c r="D4738" t="n">
        <v>48</v>
      </c>
      <c r="E4738" t="n">
        <v>0</v>
      </c>
      <c r="G4738">
        <f>IF(AND(A4738&gt;=Inputs!$B$5,A4738&lt;=Inputs!$B$6),1,0)</f>
        <v/>
      </c>
    </row>
    <row r="4739">
      <c r="A4739" t="inlineStr">
        <is>
          <t>2025-09</t>
        </is>
      </c>
      <c r="B4739" t="inlineStr">
        <is>
          <t>HOSP-2</t>
        </is>
      </c>
      <c r="C4739" t="inlineStr">
        <is>
          <t>SS-01078</t>
        </is>
      </c>
      <c r="D4739" t="n">
        <v>12</v>
      </c>
      <c r="E4739" t="n">
        <v>0</v>
      </c>
      <c r="G4739">
        <f>IF(AND(A4739&gt;=Inputs!$B$5,A4739&lt;=Inputs!$B$6),1,0)</f>
        <v/>
      </c>
    </row>
    <row r="4740">
      <c r="A4740" t="inlineStr">
        <is>
          <t>2025-09</t>
        </is>
      </c>
      <c r="B4740" t="inlineStr">
        <is>
          <t>HOSP-3</t>
        </is>
      </c>
      <c r="C4740" t="inlineStr">
        <is>
          <t>SS-01079</t>
        </is>
      </c>
      <c r="D4740" t="n">
        <v>47</v>
      </c>
      <c r="E4740" t="n">
        <v>0</v>
      </c>
      <c r="G4740">
        <f>IF(AND(A4740&gt;=Inputs!$B$5,A4740&lt;=Inputs!$B$6),1,0)</f>
        <v/>
      </c>
    </row>
    <row r="4741">
      <c r="A4741" t="inlineStr">
        <is>
          <t>2025-09</t>
        </is>
      </c>
      <c r="B4741" t="inlineStr">
        <is>
          <t>HOSP-4</t>
        </is>
      </c>
      <c r="C4741" t="inlineStr">
        <is>
          <t>SS-01080</t>
        </is>
      </c>
      <c r="D4741" t="n">
        <v>24</v>
      </c>
      <c r="E4741" t="n">
        <v>0</v>
      </c>
      <c r="G4741">
        <f>IF(AND(A4741&gt;=Inputs!$B$5,A4741&lt;=Inputs!$B$6),1,0)</f>
        <v/>
      </c>
    </row>
    <row r="4742">
      <c r="A4742" t="inlineStr">
        <is>
          <t>2025-09</t>
        </is>
      </c>
      <c r="B4742" t="inlineStr">
        <is>
          <t>HOSP-1</t>
        </is>
      </c>
      <c r="C4742" t="inlineStr">
        <is>
          <t>SS-01233</t>
        </is>
      </c>
      <c r="D4742" t="n">
        <v>39</v>
      </c>
      <c r="E4742" t="n">
        <v>0</v>
      </c>
      <c r="G4742">
        <f>IF(AND(A4742&gt;=Inputs!$B$5,A4742&lt;=Inputs!$B$6),1,0)</f>
        <v/>
      </c>
    </row>
    <row r="4743">
      <c r="A4743" t="inlineStr">
        <is>
          <t>2025-09</t>
        </is>
      </c>
      <c r="B4743" t="inlineStr">
        <is>
          <t>HOSP-2</t>
        </is>
      </c>
      <c r="C4743" t="inlineStr">
        <is>
          <t>SS-01137</t>
        </is>
      </c>
      <c r="D4743" t="n">
        <v>0</v>
      </c>
      <c r="E4743" t="n">
        <v>0</v>
      </c>
      <c r="G4743">
        <f>IF(AND(A4743&gt;=Inputs!$B$5,A4743&lt;=Inputs!$B$6),1,0)</f>
        <v/>
      </c>
    </row>
    <row r="4744">
      <c r="A4744" t="inlineStr">
        <is>
          <t>2025-09</t>
        </is>
      </c>
      <c r="B4744" t="inlineStr">
        <is>
          <t>HOSP-3</t>
        </is>
      </c>
      <c r="C4744" t="inlineStr">
        <is>
          <t>SS-01083</t>
        </is>
      </c>
      <c r="D4744" t="n">
        <v>2</v>
      </c>
      <c r="E4744" t="n">
        <v>1</v>
      </c>
      <c r="G4744">
        <f>IF(AND(A4744&gt;=Inputs!$B$5,A4744&lt;=Inputs!$B$6),1,0)</f>
        <v/>
      </c>
    </row>
    <row r="4745">
      <c r="A4745" t="inlineStr">
        <is>
          <t>2025-09</t>
        </is>
      </c>
      <c r="B4745" t="inlineStr">
        <is>
          <t>HOSP-4</t>
        </is>
      </c>
      <c r="C4745" t="inlineStr">
        <is>
          <t>SS-01084</t>
        </is>
      </c>
      <c r="D4745" t="n">
        <v>120</v>
      </c>
      <c r="E4745" t="n">
        <v>0</v>
      </c>
      <c r="G4745">
        <f>IF(AND(A4745&gt;=Inputs!$B$5,A4745&lt;=Inputs!$B$6),1,0)</f>
        <v/>
      </c>
    </row>
    <row r="4746">
      <c r="A4746" t="inlineStr">
        <is>
          <t>2025-09</t>
        </is>
      </c>
      <c r="B4746" t="inlineStr">
        <is>
          <t>HOSP-1</t>
        </is>
      </c>
      <c r="C4746" t="inlineStr">
        <is>
          <t>SS-01085</t>
        </is>
      </c>
      <c r="D4746" t="n">
        <v>0</v>
      </c>
      <c r="E4746" t="n">
        <v>0</v>
      </c>
      <c r="G4746">
        <f>IF(AND(A4746&gt;=Inputs!$B$5,A4746&lt;=Inputs!$B$6),1,0)</f>
        <v/>
      </c>
    </row>
    <row r="4747">
      <c r="A4747" t="inlineStr">
        <is>
          <t>2025-09</t>
        </is>
      </c>
      <c r="B4747" t="inlineStr">
        <is>
          <t>HOSP-2</t>
        </is>
      </c>
      <c r="C4747" t="inlineStr">
        <is>
          <t>SS-01086</t>
        </is>
      </c>
      <c r="D4747" t="n">
        <v>0</v>
      </c>
      <c r="E4747" t="n">
        <v>0</v>
      </c>
      <c r="G4747">
        <f>IF(AND(A4747&gt;=Inputs!$B$5,A4747&lt;=Inputs!$B$6),1,0)</f>
        <v/>
      </c>
    </row>
    <row r="4748">
      <c r="A4748" t="inlineStr">
        <is>
          <t>2025-09</t>
        </is>
      </c>
      <c r="B4748" t="inlineStr">
        <is>
          <t>HOSP-3</t>
        </is>
      </c>
      <c r="C4748" t="inlineStr">
        <is>
          <t>SS-01087</t>
        </is>
      </c>
      <c r="D4748" t="n">
        <v>0</v>
      </c>
      <c r="E4748" t="n">
        <v>3</v>
      </c>
      <c r="G4748">
        <f>IF(AND(A4748&gt;=Inputs!$B$5,A4748&lt;=Inputs!$B$6),1,0)</f>
        <v/>
      </c>
    </row>
    <row r="4749">
      <c r="A4749" t="inlineStr">
        <is>
          <t>2025-09</t>
        </is>
      </c>
      <c r="B4749" t="inlineStr">
        <is>
          <t>HOSP-4</t>
        </is>
      </c>
      <c r="C4749" t="inlineStr">
        <is>
          <t>SS-01088</t>
        </is>
      </c>
      <c r="D4749" t="n">
        <v>156</v>
      </c>
      <c r="E4749" t="n">
        <v>0</v>
      </c>
      <c r="G4749">
        <f>IF(AND(A4749&gt;=Inputs!$B$5,A4749&lt;=Inputs!$B$6),1,0)</f>
        <v/>
      </c>
    </row>
    <row r="4750">
      <c r="A4750" t="inlineStr">
        <is>
          <t>2025-09</t>
        </is>
      </c>
      <c r="B4750" t="inlineStr">
        <is>
          <t>HOSP-1</t>
        </is>
      </c>
      <c r="C4750" t="inlineStr">
        <is>
          <t>SS-01089</t>
        </is>
      </c>
      <c r="D4750" t="n">
        <v>96</v>
      </c>
      <c r="E4750" t="n">
        <v>0</v>
      </c>
      <c r="G4750">
        <f>IF(AND(A4750&gt;=Inputs!$B$5,A4750&lt;=Inputs!$B$6),1,0)</f>
        <v/>
      </c>
    </row>
    <row r="4751">
      <c r="A4751" t="inlineStr">
        <is>
          <t>2025-09</t>
        </is>
      </c>
      <c r="B4751" t="inlineStr">
        <is>
          <t>HOSP-2</t>
        </is>
      </c>
      <c r="C4751" t="inlineStr">
        <is>
          <t>SS-01090</t>
        </is>
      </c>
      <c r="D4751" t="n">
        <v>48</v>
      </c>
      <c r="E4751" t="n">
        <v>0</v>
      </c>
      <c r="G4751">
        <f>IF(AND(A4751&gt;=Inputs!$B$5,A4751&lt;=Inputs!$B$6),1,0)</f>
        <v/>
      </c>
    </row>
    <row r="4752">
      <c r="A4752" t="inlineStr">
        <is>
          <t>2025-09</t>
        </is>
      </c>
      <c r="B4752" t="inlineStr">
        <is>
          <t>HOSP-3</t>
        </is>
      </c>
      <c r="C4752" t="inlineStr">
        <is>
          <t>SS-01091</t>
        </is>
      </c>
      <c r="D4752" t="n">
        <v>108</v>
      </c>
      <c r="E4752" t="n">
        <v>0</v>
      </c>
      <c r="G4752">
        <f>IF(AND(A4752&gt;=Inputs!$B$5,A4752&lt;=Inputs!$B$6),1,0)</f>
        <v/>
      </c>
    </row>
    <row r="4753">
      <c r="A4753" t="inlineStr">
        <is>
          <t>2025-09</t>
        </is>
      </c>
      <c r="B4753" t="inlineStr">
        <is>
          <t>HOSP-4</t>
        </is>
      </c>
      <c r="C4753" t="inlineStr">
        <is>
          <t>SS-01092</t>
        </is>
      </c>
      <c r="D4753" t="n">
        <v>24</v>
      </c>
      <c r="E4753" t="n">
        <v>0</v>
      </c>
      <c r="G4753">
        <f>IF(AND(A4753&gt;=Inputs!$B$5,A4753&lt;=Inputs!$B$6),1,0)</f>
        <v/>
      </c>
    </row>
    <row r="4754">
      <c r="A4754" t="inlineStr">
        <is>
          <t>2025-09</t>
        </is>
      </c>
      <c r="B4754" t="inlineStr">
        <is>
          <t>HOSP-1</t>
        </is>
      </c>
      <c r="C4754" t="inlineStr">
        <is>
          <t>SS-01093</t>
        </is>
      </c>
      <c r="D4754" t="n">
        <v>12</v>
      </c>
      <c r="E4754" t="n">
        <v>0</v>
      </c>
      <c r="G4754">
        <f>IF(AND(A4754&gt;=Inputs!$B$5,A4754&lt;=Inputs!$B$6),1,0)</f>
        <v/>
      </c>
    </row>
    <row r="4755">
      <c r="A4755" t="inlineStr">
        <is>
          <t>2025-09</t>
        </is>
      </c>
      <c r="B4755" t="inlineStr">
        <is>
          <t>HOSP-2</t>
        </is>
      </c>
      <c r="C4755" t="inlineStr">
        <is>
          <t>SS-01094</t>
        </is>
      </c>
      <c r="D4755" t="n">
        <v>24</v>
      </c>
      <c r="E4755" t="n">
        <v>0</v>
      </c>
      <c r="G4755">
        <f>IF(AND(A4755&gt;=Inputs!$B$5,A4755&lt;=Inputs!$B$6),1,0)</f>
        <v/>
      </c>
    </row>
    <row r="4756">
      <c r="A4756" t="inlineStr">
        <is>
          <t>2025-09</t>
        </is>
      </c>
      <c r="B4756" t="inlineStr">
        <is>
          <t>HOSP-3</t>
        </is>
      </c>
      <c r="C4756" t="inlineStr">
        <is>
          <t>SS-01095</t>
        </is>
      </c>
      <c r="D4756" t="n">
        <v>0</v>
      </c>
      <c r="E4756" t="n">
        <v>0</v>
      </c>
      <c r="G4756">
        <f>IF(AND(A4756&gt;=Inputs!$B$5,A4756&lt;=Inputs!$B$6),1,0)</f>
        <v/>
      </c>
    </row>
    <row r="4757">
      <c r="A4757" t="inlineStr">
        <is>
          <t>2025-09</t>
        </is>
      </c>
      <c r="B4757" t="inlineStr">
        <is>
          <t>HOSP-4</t>
        </is>
      </c>
      <c r="C4757" t="inlineStr">
        <is>
          <t>SS-01096</t>
        </is>
      </c>
      <c r="D4757" t="n">
        <v>12</v>
      </c>
      <c r="E4757" t="n">
        <v>0</v>
      </c>
      <c r="G4757">
        <f>IF(AND(A4757&gt;=Inputs!$B$5,A4757&lt;=Inputs!$B$6),1,0)</f>
        <v/>
      </c>
    </row>
    <row r="4758">
      <c r="A4758" t="inlineStr">
        <is>
          <t>2025-09</t>
        </is>
      </c>
      <c r="B4758" t="inlineStr">
        <is>
          <t>HOSP-1</t>
        </is>
      </c>
      <c r="C4758" t="inlineStr">
        <is>
          <t>SS-01097</t>
        </is>
      </c>
      <c r="D4758" t="n">
        <v>0</v>
      </c>
      <c r="E4758" t="n">
        <v>0</v>
      </c>
      <c r="G4758">
        <f>IF(AND(A4758&gt;=Inputs!$B$5,A4758&lt;=Inputs!$B$6),1,0)</f>
        <v/>
      </c>
    </row>
    <row r="4759">
      <c r="A4759" t="inlineStr">
        <is>
          <t>2025-09</t>
        </is>
      </c>
      <c r="B4759" t="inlineStr">
        <is>
          <t>HOSP-2</t>
        </is>
      </c>
      <c r="C4759" t="inlineStr">
        <is>
          <t>SS-01098</t>
        </is>
      </c>
      <c r="D4759" t="n">
        <v>12</v>
      </c>
      <c r="E4759" t="n">
        <v>0</v>
      </c>
      <c r="G4759">
        <f>IF(AND(A4759&gt;=Inputs!$B$5,A4759&lt;=Inputs!$B$6),1,0)</f>
        <v/>
      </c>
    </row>
    <row r="4760">
      <c r="A4760" t="inlineStr">
        <is>
          <t>2025-09</t>
        </is>
      </c>
      <c r="B4760" t="inlineStr">
        <is>
          <t>HOSP-3</t>
        </is>
      </c>
      <c r="C4760" t="inlineStr">
        <is>
          <t>SS-01070</t>
        </is>
      </c>
      <c r="D4760" t="n">
        <v>12</v>
      </c>
      <c r="E4760" t="n">
        <v>0</v>
      </c>
      <c r="G4760">
        <f>IF(AND(A4760&gt;=Inputs!$B$5,A4760&lt;=Inputs!$B$6),1,0)</f>
        <v/>
      </c>
    </row>
    <row r="4761">
      <c r="A4761" t="inlineStr">
        <is>
          <t>2025-09</t>
        </is>
      </c>
      <c r="B4761" t="inlineStr">
        <is>
          <t>HOSP-4</t>
        </is>
      </c>
      <c r="C4761" t="inlineStr">
        <is>
          <t>SS-01100</t>
        </is>
      </c>
      <c r="D4761" t="n">
        <v>3</v>
      </c>
      <c r="E4761" t="n">
        <v>3</v>
      </c>
      <c r="G4761">
        <f>IF(AND(A4761&gt;=Inputs!$B$5,A4761&lt;=Inputs!$B$6),1,0)</f>
        <v/>
      </c>
    </row>
    <row r="4762">
      <c r="A4762" t="inlineStr">
        <is>
          <t>2025-09</t>
        </is>
      </c>
      <c r="B4762" t="inlineStr">
        <is>
          <t>HOSP-1</t>
        </is>
      </c>
      <c r="C4762" t="inlineStr">
        <is>
          <t>SS-01101</t>
        </is>
      </c>
      <c r="D4762" t="n">
        <v>0</v>
      </c>
      <c r="E4762" t="n">
        <v>0</v>
      </c>
      <c r="G4762">
        <f>IF(AND(A4762&gt;=Inputs!$B$5,A4762&lt;=Inputs!$B$6),1,0)</f>
        <v/>
      </c>
    </row>
    <row r="4763">
      <c r="A4763" t="inlineStr">
        <is>
          <t>2025-09</t>
        </is>
      </c>
      <c r="B4763" t="inlineStr">
        <is>
          <t>HOSP-2</t>
        </is>
      </c>
      <c r="C4763" t="inlineStr">
        <is>
          <t>SS-01102</t>
        </is>
      </c>
      <c r="D4763" t="n">
        <v>0</v>
      </c>
      <c r="E4763" t="n">
        <v>0</v>
      </c>
      <c r="G4763">
        <f>IF(AND(A4763&gt;=Inputs!$B$5,A4763&lt;=Inputs!$B$6),1,0)</f>
        <v/>
      </c>
    </row>
    <row r="4764">
      <c r="A4764" t="inlineStr">
        <is>
          <t>2025-09</t>
        </is>
      </c>
      <c r="B4764" t="inlineStr">
        <is>
          <t>HOSP-3</t>
        </is>
      </c>
      <c r="C4764" t="inlineStr">
        <is>
          <t>SS-01103</t>
        </is>
      </c>
      <c r="D4764" t="n">
        <v>11</v>
      </c>
      <c r="E4764" t="n">
        <v>1</v>
      </c>
      <c r="G4764">
        <f>IF(AND(A4764&gt;=Inputs!$B$5,A4764&lt;=Inputs!$B$6),1,0)</f>
        <v/>
      </c>
    </row>
    <row r="4765">
      <c r="A4765" t="inlineStr">
        <is>
          <t>2025-09</t>
        </is>
      </c>
      <c r="B4765" t="inlineStr">
        <is>
          <t>HOSP-4</t>
        </is>
      </c>
      <c r="C4765" t="inlineStr">
        <is>
          <t>SS-01104</t>
        </is>
      </c>
      <c r="D4765" t="n">
        <v>36</v>
      </c>
      <c r="E4765" t="n">
        <v>0</v>
      </c>
      <c r="G4765">
        <f>IF(AND(A4765&gt;=Inputs!$B$5,A4765&lt;=Inputs!$B$6),1,0)</f>
        <v/>
      </c>
    </row>
    <row r="4766">
      <c r="A4766" t="inlineStr">
        <is>
          <t>2025-09</t>
        </is>
      </c>
      <c r="B4766" t="inlineStr">
        <is>
          <t>HOSP-1</t>
        </is>
      </c>
      <c r="C4766" t="inlineStr">
        <is>
          <t>SS-01105</t>
        </is>
      </c>
      <c r="D4766" t="n">
        <v>24</v>
      </c>
      <c r="E4766" t="n">
        <v>0</v>
      </c>
      <c r="G4766">
        <f>IF(AND(A4766&gt;=Inputs!$B$5,A4766&lt;=Inputs!$B$6),1,0)</f>
        <v/>
      </c>
    </row>
    <row r="4767">
      <c r="A4767" t="inlineStr">
        <is>
          <t>2025-09</t>
        </is>
      </c>
      <c r="B4767" t="inlineStr">
        <is>
          <t>HOSP-2</t>
        </is>
      </c>
      <c r="C4767" t="inlineStr">
        <is>
          <t>SS-01106</t>
        </is>
      </c>
      <c r="D4767" t="n">
        <v>24</v>
      </c>
      <c r="E4767" t="n">
        <v>0</v>
      </c>
      <c r="G4767">
        <f>IF(AND(A4767&gt;=Inputs!$B$5,A4767&lt;=Inputs!$B$6),1,0)</f>
        <v/>
      </c>
    </row>
    <row r="4768">
      <c r="A4768" t="inlineStr">
        <is>
          <t>2025-09</t>
        </is>
      </c>
      <c r="B4768" t="inlineStr">
        <is>
          <t>HOSP-3</t>
        </is>
      </c>
      <c r="C4768" t="inlineStr">
        <is>
          <t>SS-01107</t>
        </is>
      </c>
      <c r="D4768" t="n">
        <v>120</v>
      </c>
      <c r="E4768" t="n">
        <v>0</v>
      </c>
      <c r="G4768">
        <f>IF(AND(A4768&gt;=Inputs!$B$5,A4768&lt;=Inputs!$B$6),1,0)</f>
        <v/>
      </c>
    </row>
    <row r="4769">
      <c r="A4769" t="inlineStr">
        <is>
          <t>2025-09</t>
        </is>
      </c>
      <c r="B4769" t="inlineStr">
        <is>
          <t>HOSP-4</t>
        </is>
      </c>
      <c r="C4769" t="inlineStr">
        <is>
          <t>SS-01108</t>
        </is>
      </c>
      <c r="D4769" t="n">
        <v>0</v>
      </c>
      <c r="E4769" t="n">
        <v>0</v>
      </c>
      <c r="G4769">
        <f>IF(AND(A4769&gt;=Inputs!$B$5,A4769&lt;=Inputs!$B$6),1,0)</f>
        <v/>
      </c>
    </row>
    <row r="4770">
      <c r="A4770" t="inlineStr">
        <is>
          <t>2025-09</t>
        </is>
      </c>
      <c r="B4770" t="inlineStr">
        <is>
          <t>HOSP-1</t>
        </is>
      </c>
      <c r="C4770" t="inlineStr">
        <is>
          <t>SS-01109</t>
        </is>
      </c>
      <c r="D4770" t="n">
        <v>12</v>
      </c>
      <c r="E4770" t="n">
        <v>0</v>
      </c>
      <c r="G4770">
        <f>IF(AND(A4770&gt;=Inputs!$B$5,A4770&lt;=Inputs!$B$6),1,0)</f>
        <v/>
      </c>
    </row>
    <row r="4771">
      <c r="A4771" t="inlineStr">
        <is>
          <t>2025-09</t>
        </is>
      </c>
      <c r="B4771" t="inlineStr">
        <is>
          <t>HOSP-2</t>
        </is>
      </c>
      <c r="C4771" t="inlineStr">
        <is>
          <t>SS-01149</t>
        </is>
      </c>
      <c r="D4771" t="n">
        <v>24</v>
      </c>
      <c r="E4771" t="n">
        <v>0</v>
      </c>
      <c r="G4771">
        <f>IF(AND(A4771&gt;=Inputs!$B$5,A4771&lt;=Inputs!$B$6),1,0)</f>
        <v/>
      </c>
    </row>
    <row r="4772">
      <c r="A4772" t="inlineStr">
        <is>
          <t>2025-09</t>
        </is>
      </c>
      <c r="B4772" t="inlineStr">
        <is>
          <t>HOSP-3</t>
        </is>
      </c>
      <c r="C4772" t="inlineStr">
        <is>
          <t>SS-01021</t>
        </is>
      </c>
      <c r="D4772" t="n">
        <v>1</v>
      </c>
      <c r="E4772" t="n">
        <v>14</v>
      </c>
      <c r="G4772">
        <f>IF(AND(A4772&gt;=Inputs!$B$5,A4772&lt;=Inputs!$B$6),1,0)</f>
        <v/>
      </c>
    </row>
    <row r="4773">
      <c r="A4773" t="inlineStr">
        <is>
          <t>2025-09</t>
        </is>
      </c>
      <c r="B4773" t="inlineStr">
        <is>
          <t>HOSP-4</t>
        </is>
      </c>
      <c r="C4773" t="inlineStr">
        <is>
          <t>SS-01030</t>
        </is>
      </c>
      <c r="D4773" t="n">
        <v>7</v>
      </c>
      <c r="E4773" t="n">
        <v>2</v>
      </c>
      <c r="G4773">
        <f>IF(AND(A4773&gt;=Inputs!$B$5,A4773&lt;=Inputs!$B$6),1,0)</f>
        <v/>
      </c>
    </row>
    <row r="4774">
      <c r="A4774" t="inlineStr">
        <is>
          <t>2025-09</t>
        </is>
      </c>
      <c r="B4774" t="inlineStr">
        <is>
          <t>HOSP-1</t>
        </is>
      </c>
      <c r="C4774" t="inlineStr">
        <is>
          <t>SS-01113</t>
        </is>
      </c>
      <c r="D4774" t="n">
        <v>48</v>
      </c>
      <c r="E4774" t="n">
        <v>0</v>
      </c>
      <c r="G4774">
        <f>IF(AND(A4774&gt;=Inputs!$B$5,A4774&lt;=Inputs!$B$6),1,0)</f>
        <v/>
      </c>
    </row>
    <row r="4775">
      <c r="A4775" t="inlineStr">
        <is>
          <t>2025-09</t>
        </is>
      </c>
      <c r="B4775" t="inlineStr">
        <is>
          <t>HOSP-2</t>
        </is>
      </c>
      <c r="C4775" t="inlineStr">
        <is>
          <t>SS-01114</t>
        </is>
      </c>
      <c r="D4775" t="n">
        <v>72</v>
      </c>
      <c r="E4775" t="n">
        <v>0</v>
      </c>
      <c r="G4775">
        <f>IF(AND(A4775&gt;=Inputs!$B$5,A4775&lt;=Inputs!$B$6),1,0)</f>
        <v/>
      </c>
    </row>
    <row r="4776">
      <c r="A4776" t="inlineStr">
        <is>
          <t>2025-09</t>
        </is>
      </c>
      <c r="B4776" t="inlineStr">
        <is>
          <t>HOSP-3</t>
        </is>
      </c>
      <c r="C4776" t="inlineStr">
        <is>
          <t>SS-01115</t>
        </is>
      </c>
      <c r="D4776" t="n">
        <v>80</v>
      </c>
      <c r="E4776" t="n">
        <v>0</v>
      </c>
      <c r="G4776">
        <f>IF(AND(A4776&gt;=Inputs!$B$5,A4776&lt;=Inputs!$B$6),1,0)</f>
        <v/>
      </c>
    </row>
    <row r="4777">
      <c r="A4777" t="inlineStr">
        <is>
          <t>2025-09</t>
        </is>
      </c>
      <c r="B4777" t="inlineStr">
        <is>
          <t>HOSP-4</t>
        </is>
      </c>
      <c r="C4777" t="inlineStr">
        <is>
          <t>SS-01132</t>
        </is>
      </c>
      <c r="D4777" t="n">
        <v>27</v>
      </c>
      <c r="E4777" t="n">
        <v>1</v>
      </c>
      <c r="G4777">
        <f>IF(AND(A4777&gt;=Inputs!$B$5,A4777&lt;=Inputs!$B$6),1,0)</f>
        <v/>
      </c>
    </row>
    <row r="4778">
      <c r="A4778" t="inlineStr">
        <is>
          <t>2025-09</t>
        </is>
      </c>
      <c r="B4778" t="inlineStr">
        <is>
          <t>HOSP-1</t>
        </is>
      </c>
      <c r="C4778" t="inlineStr">
        <is>
          <t>SS-01144</t>
        </is>
      </c>
      <c r="D4778" t="n">
        <v>18</v>
      </c>
      <c r="E4778" t="n">
        <v>1</v>
      </c>
      <c r="G4778">
        <f>IF(AND(A4778&gt;=Inputs!$B$5,A4778&lt;=Inputs!$B$6),1,0)</f>
        <v/>
      </c>
    </row>
    <row r="4779">
      <c r="A4779" t="inlineStr">
        <is>
          <t>2025-09</t>
        </is>
      </c>
      <c r="B4779" t="inlineStr">
        <is>
          <t>HOSP-2</t>
        </is>
      </c>
      <c r="C4779" t="inlineStr">
        <is>
          <t>SS-01118</t>
        </is>
      </c>
      <c r="D4779" t="n">
        <v>12</v>
      </c>
      <c r="E4779" t="n">
        <v>0</v>
      </c>
      <c r="G4779">
        <f>IF(AND(A4779&gt;=Inputs!$B$5,A4779&lt;=Inputs!$B$6),1,0)</f>
        <v/>
      </c>
    </row>
    <row r="4780">
      <c r="A4780" t="inlineStr">
        <is>
          <t>2025-09</t>
        </is>
      </c>
      <c r="B4780" t="inlineStr">
        <is>
          <t>HOSP-3</t>
        </is>
      </c>
      <c r="C4780" t="inlineStr">
        <is>
          <t>SS-01119</t>
        </is>
      </c>
      <c r="D4780" t="n">
        <v>24</v>
      </c>
      <c r="E4780" t="n">
        <v>0</v>
      </c>
      <c r="G4780">
        <f>IF(AND(A4780&gt;=Inputs!$B$5,A4780&lt;=Inputs!$B$6),1,0)</f>
        <v/>
      </c>
    </row>
    <row r="4781">
      <c r="A4781" t="inlineStr">
        <is>
          <t>2025-09</t>
        </is>
      </c>
      <c r="B4781" t="inlineStr">
        <is>
          <t>HOSP-4</t>
        </is>
      </c>
      <c r="C4781" t="inlineStr">
        <is>
          <t>SS-01120</t>
        </is>
      </c>
      <c r="D4781" t="n">
        <v>24</v>
      </c>
      <c r="E4781" t="n">
        <v>0</v>
      </c>
      <c r="G4781">
        <f>IF(AND(A4781&gt;=Inputs!$B$5,A4781&lt;=Inputs!$B$6),1,0)</f>
        <v/>
      </c>
    </row>
    <row r="4782">
      <c r="A4782" t="inlineStr">
        <is>
          <t>2025-09</t>
        </is>
      </c>
      <c r="B4782" t="inlineStr">
        <is>
          <t>HOSP-1</t>
        </is>
      </c>
      <c r="C4782" t="inlineStr">
        <is>
          <t>SS-01153</t>
        </is>
      </c>
      <c r="D4782" t="n">
        <v>62</v>
      </c>
      <c r="E4782" t="n">
        <v>5</v>
      </c>
      <c r="G4782">
        <f>IF(AND(A4782&gt;=Inputs!$B$5,A4782&lt;=Inputs!$B$6),1,0)</f>
        <v/>
      </c>
    </row>
    <row r="4783">
      <c r="A4783" t="inlineStr">
        <is>
          <t>2025-09</t>
        </is>
      </c>
      <c r="B4783" t="inlineStr">
        <is>
          <t>HOSP-2</t>
        </is>
      </c>
      <c r="C4783" t="inlineStr">
        <is>
          <t>SS-01091</t>
        </is>
      </c>
      <c r="D4783" t="n">
        <v>0</v>
      </c>
      <c r="E4783" t="n">
        <v>0</v>
      </c>
      <c r="G4783">
        <f>IF(AND(A4783&gt;=Inputs!$B$5,A4783&lt;=Inputs!$B$6),1,0)</f>
        <v/>
      </c>
    </row>
    <row r="4784">
      <c r="A4784" t="inlineStr">
        <is>
          <t>2025-09</t>
        </is>
      </c>
      <c r="B4784" t="inlineStr">
        <is>
          <t>HOSP-3</t>
        </is>
      </c>
      <c r="C4784" t="inlineStr">
        <is>
          <t>SS-01123</t>
        </is>
      </c>
      <c r="D4784" t="n">
        <v>12</v>
      </c>
      <c r="E4784" t="n">
        <v>0</v>
      </c>
      <c r="G4784">
        <f>IF(AND(A4784&gt;=Inputs!$B$5,A4784&lt;=Inputs!$B$6),1,0)</f>
        <v/>
      </c>
    </row>
    <row r="4785">
      <c r="A4785" t="inlineStr">
        <is>
          <t>2025-09</t>
        </is>
      </c>
      <c r="B4785" t="inlineStr">
        <is>
          <t>HOSP-4</t>
        </is>
      </c>
      <c r="C4785" t="inlineStr">
        <is>
          <t>SS-01065</t>
        </is>
      </c>
      <c r="D4785" t="n">
        <v>0</v>
      </c>
      <c r="E4785" t="n">
        <v>4</v>
      </c>
      <c r="G4785">
        <f>IF(AND(A4785&gt;=Inputs!$B$5,A4785&lt;=Inputs!$B$6),1,0)</f>
        <v/>
      </c>
    </row>
    <row r="4786">
      <c r="A4786" t="inlineStr">
        <is>
          <t>2025-09</t>
        </is>
      </c>
      <c r="B4786" t="inlineStr">
        <is>
          <t>HOSP-1</t>
        </is>
      </c>
      <c r="C4786" t="inlineStr">
        <is>
          <t>SS-01125</t>
        </is>
      </c>
      <c r="D4786" t="n">
        <v>12</v>
      </c>
      <c r="E4786" t="n">
        <v>0</v>
      </c>
      <c r="G4786">
        <f>IF(AND(A4786&gt;=Inputs!$B$5,A4786&lt;=Inputs!$B$6),1,0)</f>
        <v/>
      </c>
    </row>
    <row r="4787">
      <c r="A4787" t="inlineStr">
        <is>
          <t>2025-09</t>
        </is>
      </c>
      <c r="B4787" t="inlineStr">
        <is>
          <t>HOSP-2</t>
        </is>
      </c>
      <c r="C4787" t="inlineStr">
        <is>
          <t>SS-01126</t>
        </is>
      </c>
      <c r="D4787" t="n">
        <v>48</v>
      </c>
      <c r="E4787" t="n">
        <v>0</v>
      </c>
      <c r="G4787">
        <f>IF(AND(A4787&gt;=Inputs!$B$5,A4787&lt;=Inputs!$B$6),1,0)</f>
        <v/>
      </c>
    </row>
    <row r="4788">
      <c r="A4788" t="inlineStr">
        <is>
          <t>2025-09</t>
        </is>
      </c>
      <c r="B4788" t="inlineStr">
        <is>
          <t>HOSP-3</t>
        </is>
      </c>
      <c r="C4788" t="inlineStr">
        <is>
          <t>SS-01127</t>
        </is>
      </c>
      <c r="D4788" t="n">
        <v>0</v>
      </c>
      <c r="E4788" t="n">
        <v>0</v>
      </c>
      <c r="G4788">
        <f>IF(AND(A4788&gt;=Inputs!$B$5,A4788&lt;=Inputs!$B$6),1,0)</f>
        <v/>
      </c>
    </row>
    <row r="4789">
      <c r="A4789" t="inlineStr">
        <is>
          <t>2025-09</t>
        </is>
      </c>
      <c r="B4789" t="inlineStr">
        <is>
          <t>HOSP-4</t>
        </is>
      </c>
      <c r="C4789" t="inlineStr">
        <is>
          <t>SS-01128</t>
        </is>
      </c>
      <c r="D4789" t="n">
        <v>9</v>
      </c>
      <c r="E4789" t="n">
        <v>0</v>
      </c>
      <c r="G4789">
        <f>IF(AND(A4789&gt;=Inputs!$B$5,A4789&lt;=Inputs!$B$6),1,0)</f>
        <v/>
      </c>
    </row>
    <row r="4790">
      <c r="A4790" t="inlineStr">
        <is>
          <t>2025-09</t>
        </is>
      </c>
      <c r="B4790" t="inlineStr">
        <is>
          <t>HOSP-1</t>
        </is>
      </c>
      <c r="C4790" t="inlineStr">
        <is>
          <t>SS-01035</t>
        </is>
      </c>
      <c r="D4790" t="n">
        <v>13</v>
      </c>
      <c r="E4790" t="n">
        <v>2</v>
      </c>
      <c r="G4790">
        <f>IF(AND(A4790&gt;=Inputs!$B$5,A4790&lt;=Inputs!$B$6),1,0)</f>
        <v/>
      </c>
    </row>
    <row r="4791">
      <c r="A4791" t="inlineStr">
        <is>
          <t>2025-09</t>
        </is>
      </c>
      <c r="B4791" t="inlineStr">
        <is>
          <t>HOSP-2</t>
        </is>
      </c>
      <c r="C4791" t="inlineStr">
        <is>
          <t>SS-01130</t>
        </is>
      </c>
      <c r="D4791" t="n">
        <v>12</v>
      </c>
      <c r="E4791" t="n">
        <v>0</v>
      </c>
      <c r="G4791">
        <f>IF(AND(A4791&gt;=Inputs!$B$5,A4791&lt;=Inputs!$B$6),1,0)</f>
        <v/>
      </c>
    </row>
    <row r="4792">
      <c r="A4792" t="inlineStr">
        <is>
          <t>2025-09</t>
        </is>
      </c>
      <c r="B4792" t="inlineStr">
        <is>
          <t>HOSP-3</t>
        </is>
      </c>
      <c r="C4792" t="inlineStr">
        <is>
          <t>SS-01191</t>
        </is>
      </c>
      <c r="D4792" t="n">
        <v>43</v>
      </c>
      <c r="E4792" t="n">
        <v>4</v>
      </c>
      <c r="G4792">
        <f>IF(AND(A4792&gt;=Inputs!$B$5,A4792&lt;=Inputs!$B$6),1,0)</f>
        <v/>
      </c>
    </row>
    <row r="4793">
      <c r="A4793" t="inlineStr">
        <is>
          <t>2025-09</t>
        </is>
      </c>
      <c r="B4793" t="inlineStr">
        <is>
          <t>HOSP-4</t>
        </is>
      </c>
      <c r="C4793" t="inlineStr">
        <is>
          <t>SS-01132</t>
        </is>
      </c>
      <c r="D4793" t="n">
        <v>108</v>
      </c>
      <c r="E4793" t="n">
        <v>0</v>
      </c>
      <c r="G4793">
        <f>IF(AND(A4793&gt;=Inputs!$B$5,A4793&lt;=Inputs!$B$6),1,0)</f>
        <v/>
      </c>
    </row>
    <row r="4794">
      <c r="A4794" t="inlineStr">
        <is>
          <t>2025-09</t>
        </is>
      </c>
      <c r="B4794" t="inlineStr">
        <is>
          <t>HOSP-1</t>
        </is>
      </c>
      <c r="C4794" t="inlineStr">
        <is>
          <t>SS-01133</t>
        </is>
      </c>
      <c r="D4794" t="n">
        <v>0</v>
      </c>
      <c r="E4794" t="n">
        <v>0</v>
      </c>
      <c r="G4794">
        <f>IF(AND(A4794&gt;=Inputs!$B$5,A4794&lt;=Inputs!$B$6),1,0)</f>
        <v/>
      </c>
    </row>
    <row r="4795">
      <c r="A4795" t="inlineStr">
        <is>
          <t>2025-09</t>
        </is>
      </c>
      <c r="B4795" t="inlineStr">
        <is>
          <t>HOSP-2</t>
        </is>
      </c>
      <c r="C4795" t="inlineStr">
        <is>
          <t>SS-01134</t>
        </is>
      </c>
      <c r="D4795" t="n">
        <v>12</v>
      </c>
      <c r="E4795" t="n">
        <v>0</v>
      </c>
      <c r="G4795">
        <f>IF(AND(A4795&gt;=Inputs!$B$5,A4795&lt;=Inputs!$B$6),1,0)</f>
        <v/>
      </c>
    </row>
    <row r="4796">
      <c r="A4796" t="inlineStr">
        <is>
          <t>2025-09</t>
        </is>
      </c>
      <c r="B4796" t="inlineStr">
        <is>
          <t>HOSP-3</t>
        </is>
      </c>
      <c r="C4796" t="inlineStr">
        <is>
          <t>SS-01114</t>
        </is>
      </c>
      <c r="D4796" t="n">
        <v>84</v>
      </c>
      <c r="E4796" t="n">
        <v>0</v>
      </c>
      <c r="G4796">
        <f>IF(AND(A4796&gt;=Inputs!$B$5,A4796&lt;=Inputs!$B$6),1,0)</f>
        <v/>
      </c>
    </row>
    <row r="4797">
      <c r="A4797" t="inlineStr">
        <is>
          <t>2025-09</t>
        </is>
      </c>
      <c r="B4797" t="inlineStr">
        <is>
          <t>HOSP-4</t>
        </is>
      </c>
      <c r="C4797" t="inlineStr">
        <is>
          <t>SS-01136</t>
        </is>
      </c>
      <c r="D4797" t="n">
        <v>60</v>
      </c>
      <c r="E4797" t="n">
        <v>0</v>
      </c>
      <c r="G4797">
        <f>IF(AND(A4797&gt;=Inputs!$B$5,A4797&lt;=Inputs!$B$6),1,0)</f>
        <v/>
      </c>
    </row>
    <row r="4798">
      <c r="A4798" t="inlineStr">
        <is>
          <t>2025-09</t>
        </is>
      </c>
      <c r="B4798" t="inlineStr">
        <is>
          <t>HOSP-1</t>
        </is>
      </c>
      <c r="C4798" t="inlineStr">
        <is>
          <t>SS-01137</t>
        </is>
      </c>
      <c r="D4798" t="n">
        <v>0</v>
      </c>
      <c r="E4798" t="n">
        <v>0</v>
      </c>
      <c r="G4798">
        <f>IF(AND(A4798&gt;=Inputs!$B$5,A4798&lt;=Inputs!$B$6),1,0)</f>
        <v/>
      </c>
    </row>
    <row r="4799">
      <c r="A4799" t="inlineStr">
        <is>
          <t>2025-09</t>
        </is>
      </c>
      <c r="B4799" t="inlineStr">
        <is>
          <t>HOSP-2</t>
        </is>
      </c>
      <c r="C4799" t="inlineStr">
        <is>
          <t>SS-01138</t>
        </is>
      </c>
      <c r="D4799" t="n">
        <v>48</v>
      </c>
      <c r="E4799" t="n">
        <v>0</v>
      </c>
      <c r="G4799">
        <f>IF(AND(A4799&gt;=Inputs!$B$5,A4799&lt;=Inputs!$B$6),1,0)</f>
        <v/>
      </c>
    </row>
    <row r="4800">
      <c r="A4800" t="inlineStr">
        <is>
          <t>2025-09</t>
        </is>
      </c>
      <c r="B4800" t="inlineStr">
        <is>
          <t>HOSP-3</t>
        </is>
      </c>
      <c r="C4800" t="inlineStr">
        <is>
          <t>SS-01139</t>
        </is>
      </c>
      <c r="D4800" t="n">
        <v>35</v>
      </c>
      <c r="E4800" t="n">
        <v>1</v>
      </c>
      <c r="G4800">
        <f>IF(AND(A4800&gt;=Inputs!$B$5,A4800&lt;=Inputs!$B$6),1,0)</f>
        <v/>
      </c>
    </row>
    <row r="4801">
      <c r="A4801" t="inlineStr">
        <is>
          <t>2025-09</t>
        </is>
      </c>
      <c r="B4801" t="inlineStr">
        <is>
          <t>HOSP-4</t>
        </is>
      </c>
      <c r="C4801" t="inlineStr">
        <is>
          <t>SS-01140</t>
        </is>
      </c>
      <c r="D4801" t="n">
        <v>36</v>
      </c>
      <c r="E4801" t="n">
        <v>0</v>
      </c>
      <c r="G4801">
        <f>IF(AND(A4801&gt;=Inputs!$B$5,A4801&lt;=Inputs!$B$6),1,0)</f>
        <v/>
      </c>
    </row>
    <row r="4802">
      <c r="A4802" t="inlineStr">
        <is>
          <t>2025-09</t>
        </is>
      </c>
      <c r="B4802" t="inlineStr">
        <is>
          <t>HOSP-1</t>
        </is>
      </c>
      <c r="C4802" t="inlineStr">
        <is>
          <t>SS-01141</t>
        </is>
      </c>
      <c r="D4802" t="n">
        <v>24</v>
      </c>
      <c r="E4802" t="n">
        <v>0</v>
      </c>
      <c r="G4802">
        <f>IF(AND(A4802&gt;=Inputs!$B$5,A4802&lt;=Inputs!$B$6),1,0)</f>
        <v/>
      </c>
    </row>
    <row r="4803">
      <c r="A4803" t="inlineStr">
        <is>
          <t>2025-09</t>
        </is>
      </c>
      <c r="B4803" t="inlineStr">
        <is>
          <t>HOSP-2</t>
        </is>
      </c>
      <c r="C4803" t="inlineStr">
        <is>
          <t>SS-01051</t>
        </is>
      </c>
      <c r="D4803" t="n">
        <v>192</v>
      </c>
      <c r="E4803" t="n">
        <v>0</v>
      </c>
      <c r="G4803">
        <f>IF(AND(A4803&gt;=Inputs!$B$5,A4803&lt;=Inputs!$B$6),1,0)</f>
        <v/>
      </c>
    </row>
    <row r="4804">
      <c r="A4804" t="inlineStr">
        <is>
          <t>2025-09</t>
        </is>
      </c>
      <c r="B4804" t="inlineStr">
        <is>
          <t>HOSP-3</t>
        </is>
      </c>
      <c r="C4804" t="inlineStr">
        <is>
          <t>SS-01143</t>
        </is>
      </c>
      <c r="D4804" t="n">
        <v>0</v>
      </c>
      <c r="E4804" t="n">
        <v>0</v>
      </c>
      <c r="G4804">
        <f>IF(AND(A4804&gt;=Inputs!$B$5,A4804&lt;=Inputs!$B$6),1,0)</f>
        <v/>
      </c>
    </row>
    <row r="4805">
      <c r="A4805" t="inlineStr">
        <is>
          <t>2025-09</t>
        </is>
      </c>
      <c r="B4805" t="inlineStr">
        <is>
          <t>HOSP-4</t>
        </is>
      </c>
      <c r="C4805" t="inlineStr">
        <is>
          <t>SS-01144</t>
        </is>
      </c>
      <c r="D4805" t="n">
        <v>48</v>
      </c>
      <c r="E4805" t="n">
        <v>0</v>
      </c>
      <c r="G4805">
        <f>IF(AND(A4805&gt;=Inputs!$B$5,A4805&lt;=Inputs!$B$6),1,0)</f>
        <v/>
      </c>
    </row>
    <row r="4806">
      <c r="A4806" t="inlineStr">
        <is>
          <t>2025-09</t>
        </is>
      </c>
      <c r="B4806" t="inlineStr">
        <is>
          <t>HOSP-1</t>
        </is>
      </c>
      <c r="C4806" t="inlineStr">
        <is>
          <t>SS-01145</t>
        </is>
      </c>
      <c r="D4806" t="n">
        <v>24</v>
      </c>
      <c r="E4806" t="n">
        <v>0</v>
      </c>
      <c r="G4806">
        <f>IF(AND(A4806&gt;=Inputs!$B$5,A4806&lt;=Inputs!$B$6),1,0)</f>
        <v/>
      </c>
    </row>
    <row r="4807">
      <c r="A4807" t="inlineStr">
        <is>
          <t>2025-09</t>
        </is>
      </c>
      <c r="B4807" t="inlineStr">
        <is>
          <t>HOSP-2</t>
        </is>
      </c>
      <c r="C4807" t="inlineStr">
        <is>
          <t>SS-01005</t>
        </is>
      </c>
      <c r="D4807" t="n">
        <v>204</v>
      </c>
      <c r="E4807" t="n">
        <v>0</v>
      </c>
      <c r="G4807">
        <f>IF(AND(A4807&gt;=Inputs!$B$5,A4807&lt;=Inputs!$B$6),1,0)</f>
        <v/>
      </c>
    </row>
    <row r="4808">
      <c r="A4808" t="inlineStr">
        <is>
          <t>2025-09</t>
        </is>
      </c>
      <c r="B4808" t="inlineStr">
        <is>
          <t>HOSP-3</t>
        </is>
      </c>
      <c r="C4808" t="inlineStr">
        <is>
          <t>SS-01147</t>
        </is>
      </c>
      <c r="D4808" t="n">
        <v>60</v>
      </c>
      <c r="E4808" t="n">
        <v>0</v>
      </c>
      <c r="G4808">
        <f>IF(AND(A4808&gt;=Inputs!$B$5,A4808&lt;=Inputs!$B$6),1,0)</f>
        <v/>
      </c>
    </row>
    <row r="4809">
      <c r="A4809" t="inlineStr">
        <is>
          <t>2025-09</t>
        </is>
      </c>
      <c r="B4809" t="inlineStr">
        <is>
          <t>HOSP-4</t>
        </is>
      </c>
      <c r="C4809" t="inlineStr">
        <is>
          <t>SS-01148</t>
        </is>
      </c>
      <c r="D4809" t="n">
        <v>0</v>
      </c>
      <c r="E4809" t="n">
        <v>0</v>
      </c>
      <c r="G4809">
        <f>IF(AND(A4809&gt;=Inputs!$B$5,A4809&lt;=Inputs!$B$6),1,0)</f>
        <v/>
      </c>
    </row>
    <row r="4810">
      <c r="A4810" t="inlineStr">
        <is>
          <t>2025-09</t>
        </is>
      </c>
      <c r="B4810" t="inlineStr">
        <is>
          <t>HOSP-1</t>
        </is>
      </c>
      <c r="C4810" t="inlineStr">
        <is>
          <t>SS-01149</t>
        </is>
      </c>
      <c r="D4810" t="n">
        <v>12</v>
      </c>
      <c r="E4810" t="n">
        <v>0</v>
      </c>
      <c r="G4810">
        <f>IF(AND(A4810&gt;=Inputs!$B$5,A4810&lt;=Inputs!$B$6),1,0)</f>
        <v/>
      </c>
    </row>
    <row r="4811">
      <c r="A4811" t="inlineStr">
        <is>
          <t>2025-09</t>
        </is>
      </c>
      <c r="B4811" t="inlineStr">
        <is>
          <t>HOSP-2</t>
        </is>
      </c>
      <c r="C4811" t="inlineStr">
        <is>
          <t>SS-01150</t>
        </is>
      </c>
      <c r="D4811" t="n">
        <v>12</v>
      </c>
      <c r="E4811" t="n">
        <v>0</v>
      </c>
      <c r="G4811">
        <f>IF(AND(A4811&gt;=Inputs!$B$5,A4811&lt;=Inputs!$B$6),1,0)</f>
        <v/>
      </c>
    </row>
    <row r="4812">
      <c r="A4812" t="inlineStr">
        <is>
          <t>2025-09</t>
        </is>
      </c>
      <c r="B4812" t="inlineStr">
        <is>
          <t>HOSP-3</t>
        </is>
      </c>
      <c r="C4812" t="inlineStr">
        <is>
          <t>SS-01151</t>
        </is>
      </c>
      <c r="D4812" t="n">
        <v>0</v>
      </c>
      <c r="E4812" t="n">
        <v>0</v>
      </c>
      <c r="G4812">
        <f>IF(AND(A4812&gt;=Inputs!$B$5,A4812&lt;=Inputs!$B$6),1,0)</f>
        <v/>
      </c>
    </row>
    <row r="4813">
      <c r="A4813" t="inlineStr">
        <is>
          <t>2025-09</t>
        </is>
      </c>
      <c r="B4813" t="inlineStr">
        <is>
          <t>HOSP-4</t>
        </is>
      </c>
      <c r="C4813" t="inlineStr">
        <is>
          <t>SS-01152</t>
        </is>
      </c>
      <c r="D4813" t="n">
        <v>0</v>
      </c>
      <c r="E4813" t="n">
        <v>0</v>
      </c>
      <c r="G4813">
        <f>IF(AND(A4813&gt;=Inputs!$B$5,A4813&lt;=Inputs!$B$6),1,0)</f>
        <v/>
      </c>
    </row>
    <row r="4814">
      <c r="A4814" t="inlineStr">
        <is>
          <t>2025-09</t>
        </is>
      </c>
      <c r="B4814" t="inlineStr">
        <is>
          <t>HOSP-1</t>
        </is>
      </c>
      <c r="C4814" t="inlineStr">
        <is>
          <t>SS-01153</t>
        </is>
      </c>
      <c r="D4814" t="n">
        <v>0</v>
      </c>
      <c r="E4814" t="n">
        <v>0</v>
      </c>
      <c r="G4814">
        <f>IF(AND(A4814&gt;=Inputs!$B$5,A4814&lt;=Inputs!$B$6),1,0)</f>
        <v/>
      </c>
    </row>
    <row r="4815">
      <c r="A4815" t="inlineStr">
        <is>
          <t>2025-09</t>
        </is>
      </c>
      <c r="B4815" t="inlineStr">
        <is>
          <t>HOSP-2</t>
        </is>
      </c>
      <c r="C4815" t="inlineStr">
        <is>
          <t>SS-01154</t>
        </is>
      </c>
      <c r="D4815" t="n">
        <v>12</v>
      </c>
      <c r="E4815" t="n">
        <v>0</v>
      </c>
      <c r="G4815">
        <f>IF(AND(A4815&gt;=Inputs!$B$5,A4815&lt;=Inputs!$B$6),1,0)</f>
        <v/>
      </c>
    </row>
    <row r="4816">
      <c r="A4816" t="inlineStr">
        <is>
          <t>2025-09</t>
        </is>
      </c>
      <c r="B4816" t="inlineStr">
        <is>
          <t>HOSP-3</t>
        </is>
      </c>
      <c r="C4816" t="inlineStr">
        <is>
          <t>SS-01155</t>
        </is>
      </c>
      <c r="D4816" t="n">
        <v>24</v>
      </c>
      <c r="E4816" t="n">
        <v>0</v>
      </c>
      <c r="G4816">
        <f>IF(AND(A4816&gt;=Inputs!$B$5,A4816&lt;=Inputs!$B$6),1,0)</f>
        <v/>
      </c>
    </row>
    <row r="4817">
      <c r="A4817" t="inlineStr">
        <is>
          <t>2025-09</t>
        </is>
      </c>
      <c r="B4817" t="inlineStr">
        <is>
          <t>HOSP-4</t>
        </is>
      </c>
      <c r="C4817" t="inlineStr">
        <is>
          <t>SS-01156</t>
        </is>
      </c>
      <c r="D4817" t="n">
        <v>0</v>
      </c>
      <c r="E4817" t="n">
        <v>0</v>
      </c>
      <c r="G4817">
        <f>IF(AND(A4817&gt;=Inputs!$B$5,A4817&lt;=Inputs!$B$6),1,0)</f>
        <v/>
      </c>
    </row>
    <row r="4818">
      <c r="A4818" t="inlineStr">
        <is>
          <t>2025-09</t>
        </is>
      </c>
      <c r="B4818" t="inlineStr">
        <is>
          <t>HOSP-1</t>
        </is>
      </c>
      <c r="C4818" t="inlineStr">
        <is>
          <t>SS-01147</t>
        </is>
      </c>
      <c r="D4818" t="n">
        <v>120</v>
      </c>
      <c r="E4818" t="n">
        <v>0</v>
      </c>
      <c r="G4818">
        <f>IF(AND(A4818&gt;=Inputs!$B$5,A4818&lt;=Inputs!$B$6),1,0)</f>
        <v/>
      </c>
    </row>
    <row r="4819">
      <c r="A4819" t="inlineStr">
        <is>
          <t>2025-09</t>
        </is>
      </c>
      <c r="B4819" t="inlineStr">
        <is>
          <t>HOSP-2</t>
        </is>
      </c>
      <c r="C4819" t="inlineStr">
        <is>
          <t>SS-01003</t>
        </is>
      </c>
      <c r="D4819" t="n">
        <v>96</v>
      </c>
      <c r="E4819" t="n">
        <v>0</v>
      </c>
      <c r="G4819">
        <f>IF(AND(A4819&gt;=Inputs!$B$5,A4819&lt;=Inputs!$B$6),1,0)</f>
        <v/>
      </c>
    </row>
    <row r="4820">
      <c r="A4820" t="inlineStr">
        <is>
          <t>2025-09</t>
        </is>
      </c>
      <c r="B4820" t="inlineStr">
        <is>
          <t>HOSP-3</t>
        </is>
      </c>
      <c r="C4820" t="inlineStr">
        <is>
          <t>SS-01159</t>
        </is>
      </c>
      <c r="D4820" t="n">
        <v>0</v>
      </c>
      <c r="E4820" t="n">
        <v>0</v>
      </c>
      <c r="G4820">
        <f>IF(AND(A4820&gt;=Inputs!$B$5,A4820&lt;=Inputs!$B$6),1,0)</f>
        <v/>
      </c>
    </row>
    <row r="4821">
      <c r="A4821" t="inlineStr">
        <is>
          <t>2025-09</t>
        </is>
      </c>
      <c r="B4821" t="inlineStr">
        <is>
          <t>HOSP-4</t>
        </is>
      </c>
      <c r="C4821" t="inlineStr">
        <is>
          <t>SS-01082</t>
        </is>
      </c>
      <c r="D4821" t="n">
        <v>82</v>
      </c>
      <c r="E4821" t="n">
        <v>0</v>
      </c>
      <c r="G4821">
        <f>IF(AND(A4821&gt;=Inputs!$B$5,A4821&lt;=Inputs!$B$6),1,0)</f>
        <v/>
      </c>
    </row>
    <row r="4822">
      <c r="A4822" t="inlineStr">
        <is>
          <t>2025-09</t>
        </is>
      </c>
      <c r="B4822" t="inlineStr">
        <is>
          <t>HOSP-1</t>
        </is>
      </c>
      <c r="C4822" t="inlineStr">
        <is>
          <t>SS-01013</t>
        </is>
      </c>
      <c r="D4822" t="n">
        <v>27</v>
      </c>
      <c r="E4822" t="n">
        <v>4</v>
      </c>
      <c r="G4822">
        <f>IF(AND(A4822&gt;=Inputs!$B$5,A4822&lt;=Inputs!$B$6),1,0)</f>
        <v/>
      </c>
    </row>
    <row r="4823">
      <c r="A4823" t="inlineStr">
        <is>
          <t>2025-09</t>
        </is>
      </c>
      <c r="B4823" t="inlineStr">
        <is>
          <t>HOSP-2</t>
        </is>
      </c>
      <c r="C4823" t="inlineStr">
        <is>
          <t>SS-01173</t>
        </is>
      </c>
      <c r="D4823" t="n">
        <v>78</v>
      </c>
      <c r="E4823" t="n">
        <v>0</v>
      </c>
      <c r="G4823">
        <f>IF(AND(A4823&gt;=Inputs!$B$5,A4823&lt;=Inputs!$B$6),1,0)</f>
        <v/>
      </c>
    </row>
    <row r="4824">
      <c r="A4824" t="inlineStr">
        <is>
          <t>2025-09</t>
        </is>
      </c>
      <c r="B4824" t="inlineStr">
        <is>
          <t>HOSP-3</t>
        </is>
      </c>
      <c r="C4824" t="inlineStr">
        <is>
          <t>SS-01163</t>
        </is>
      </c>
      <c r="D4824" t="n">
        <v>8</v>
      </c>
      <c r="E4824" t="n">
        <v>0</v>
      </c>
      <c r="G4824">
        <f>IF(AND(A4824&gt;=Inputs!$B$5,A4824&lt;=Inputs!$B$6),1,0)</f>
        <v/>
      </c>
    </row>
    <row r="4825">
      <c r="A4825" t="inlineStr">
        <is>
          <t>2025-09</t>
        </is>
      </c>
      <c r="B4825" t="inlineStr">
        <is>
          <t>HOSP-4</t>
        </is>
      </c>
      <c r="C4825" t="inlineStr">
        <is>
          <t>SS-01164</t>
        </is>
      </c>
      <c r="D4825" t="n">
        <v>12</v>
      </c>
      <c r="E4825" t="n">
        <v>0</v>
      </c>
      <c r="G4825">
        <f>IF(AND(A4825&gt;=Inputs!$B$5,A4825&lt;=Inputs!$B$6),1,0)</f>
        <v/>
      </c>
    </row>
    <row r="4826">
      <c r="A4826" t="inlineStr">
        <is>
          <t>2025-09</t>
        </is>
      </c>
      <c r="B4826" t="inlineStr">
        <is>
          <t>HOSP-1</t>
        </is>
      </c>
      <c r="C4826" t="inlineStr">
        <is>
          <t>SS-01165</t>
        </is>
      </c>
      <c r="D4826" t="n">
        <v>0</v>
      </c>
      <c r="E4826" t="n">
        <v>0</v>
      </c>
      <c r="G4826">
        <f>IF(AND(A4826&gt;=Inputs!$B$5,A4826&lt;=Inputs!$B$6),1,0)</f>
        <v/>
      </c>
    </row>
    <row r="4827">
      <c r="A4827" t="inlineStr">
        <is>
          <t>2025-09</t>
        </is>
      </c>
      <c r="B4827" t="inlineStr">
        <is>
          <t>HOSP-2</t>
        </is>
      </c>
      <c r="C4827" t="inlineStr">
        <is>
          <t>SS-01166</t>
        </is>
      </c>
      <c r="D4827" t="n">
        <v>45</v>
      </c>
      <c r="E4827" t="n">
        <v>0</v>
      </c>
      <c r="G4827">
        <f>IF(AND(A4827&gt;=Inputs!$B$5,A4827&lt;=Inputs!$B$6),1,0)</f>
        <v/>
      </c>
    </row>
    <row r="4828">
      <c r="A4828" t="inlineStr">
        <is>
          <t>2025-09</t>
        </is>
      </c>
      <c r="B4828" t="inlineStr">
        <is>
          <t>HOSP-3</t>
        </is>
      </c>
      <c r="C4828" t="inlineStr">
        <is>
          <t>SS-01167</t>
        </is>
      </c>
      <c r="D4828" t="n">
        <v>3</v>
      </c>
      <c r="E4828" t="n">
        <v>0</v>
      </c>
      <c r="G4828">
        <f>IF(AND(A4828&gt;=Inputs!$B$5,A4828&lt;=Inputs!$B$6),1,0)</f>
        <v/>
      </c>
    </row>
    <row r="4829">
      <c r="A4829" t="inlineStr">
        <is>
          <t>2025-09</t>
        </is>
      </c>
      <c r="B4829" t="inlineStr">
        <is>
          <t>HOSP-4</t>
        </is>
      </c>
      <c r="C4829" t="inlineStr">
        <is>
          <t>SS-01168</t>
        </is>
      </c>
      <c r="D4829" t="n">
        <v>59</v>
      </c>
      <c r="E4829" t="n">
        <v>0</v>
      </c>
      <c r="G4829">
        <f>IF(AND(A4829&gt;=Inputs!$B$5,A4829&lt;=Inputs!$B$6),1,0)</f>
        <v/>
      </c>
    </row>
    <row r="4830">
      <c r="A4830" t="inlineStr">
        <is>
          <t>2025-09</t>
        </is>
      </c>
      <c r="B4830" t="inlineStr">
        <is>
          <t>HOSP-1</t>
        </is>
      </c>
      <c r="C4830" t="inlineStr">
        <is>
          <t>SS-01037</t>
        </is>
      </c>
      <c r="D4830" t="n">
        <v>12</v>
      </c>
      <c r="E4830" t="n">
        <v>0</v>
      </c>
      <c r="G4830">
        <f>IF(AND(A4830&gt;=Inputs!$B$5,A4830&lt;=Inputs!$B$6),1,0)</f>
        <v/>
      </c>
    </row>
    <row r="4831">
      <c r="A4831" t="inlineStr">
        <is>
          <t>2025-09</t>
        </is>
      </c>
      <c r="B4831" t="inlineStr">
        <is>
          <t>HOSP-2</t>
        </is>
      </c>
      <c r="C4831" t="inlineStr">
        <is>
          <t>SS-01170</t>
        </is>
      </c>
      <c r="D4831" t="n">
        <v>12</v>
      </c>
      <c r="E4831" t="n">
        <v>0</v>
      </c>
      <c r="G4831">
        <f>IF(AND(A4831&gt;=Inputs!$B$5,A4831&lt;=Inputs!$B$6),1,0)</f>
        <v/>
      </c>
    </row>
    <row r="4832">
      <c r="A4832" t="inlineStr">
        <is>
          <t>2025-09</t>
        </is>
      </c>
      <c r="B4832" t="inlineStr">
        <is>
          <t>HOSP-3</t>
        </is>
      </c>
      <c r="C4832" t="inlineStr">
        <is>
          <t>SS-01171</t>
        </is>
      </c>
      <c r="D4832" t="n">
        <v>0</v>
      </c>
      <c r="E4832" t="n">
        <v>0</v>
      </c>
      <c r="G4832">
        <f>IF(AND(A4832&gt;=Inputs!$B$5,A4832&lt;=Inputs!$B$6),1,0)</f>
        <v/>
      </c>
    </row>
    <row r="4833">
      <c r="A4833" t="inlineStr">
        <is>
          <t>2025-09</t>
        </is>
      </c>
      <c r="B4833" t="inlineStr">
        <is>
          <t>HOSP-4</t>
        </is>
      </c>
      <c r="C4833" t="inlineStr">
        <is>
          <t>SS-01172</t>
        </is>
      </c>
      <c r="D4833" t="n">
        <v>40</v>
      </c>
      <c r="E4833" t="n">
        <v>0</v>
      </c>
      <c r="G4833">
        <f>IF(AND(A4833&gt;=Inputs!$B$5,A4833&lt;=Inputs!$B$6),1,0)</f>
        <v/>
      </c>
    </row>
    <row r="4834">
      <c r="A4834" t="inlineStr">
        <is>
          <t>2025-09</t>
        </is>
      </c>
      <c r="B4834" t="inlineStr">
        <is>
          <t>HOSP-1</t>
        </is>
      </c>
      <c r="C4834" t="inlineStr">
        <is>
          <t>SS-01006</t>
        </is>
      </c>
      <c r="D4834" t="n">
        <v>21</v>
      </c>
      <c r="E4834" t="n">
        <v>1</v>
      </c>
      <c r="G4834">
        <f>IF(AND(A4834&gt;=Inputs!$B$5,A4834&lt;=Inputs!$B$6),1,0)</f>
        <v/>
      </c>
    </row>
    <row r="4835">
      <c r="A4835" t="inlineStr">
        <is>
          <t>2025-09</t>
        </is>
      </c>
      <c r="B4835" t="inlineStr">
        <is>
          <t>HOSP-2</t>
        </is>
      </c>
      <c r="C4835" t="inlineStr">
        <is>
          <t>SS-01174</t>
        </is>
      </c>
      <c r="D4835" t="n">
        <v>492</v>
      </c>
      <c r="E4835" t="n">
        <v>0</v>
      </c>
      <c r="G4835">
        <f>IF(AND(A4835&gt;=Inputs!$B$5,A4835&lt;=Inputs!$B$6),1,0)</f>
        <v/>
      </c>
    </row>
    <row r="4836">
      <c r="A4836" t="inlineStr">
        <is>
          <t>2025-09</t>
        </is>
      </c>
      <c r="B4836" t="inlineStr">
        <is>
          <t>HOSP-3</t>
        </is>
      </c>
      <c r="C4836" t="inlineStr">
        <is>
          <t>SS-01175</t>
        </is>
      </c>
      <c r="D4836" t="n">
        <v>24</v>
      </c>
      <c r="E4836" t="n">
        <v>0</v>
      </c>
      <c r="G4836">
        <f>IF(AND(A4836&gt;=Inputs!$B$5,A4836&lt;=Inputs!$B$6),1,0)</f>
        <v/>
      </c>
    </row>
    <row r="4837">
      <c r="A4837" t="inlineStr">
        <is>
          <t>2025-09</t>
        </is>
      </c>
      <c r="B4837" t="inlineStr">
        <is>
          <t>HOSP-4</t>
        </is>
      </c>
      <c r="C4837" t="inlineStr">
        <is>
          <t>SS-01176</t>
        </is>
      </c>
      <c r="D4837" t="n">
        <v>60</v>
      </c>
      <c r="E4837" t="n">
        <v>0</v>
      </c>
      <c r="G4837">
        <f>IF(AND(A4837&gt;=Inputs!$B$5,A4837&lt;=Inputs!$B$6),1,0)</f>
        <v/>
      </c>
    </row>
    <row r="4838">
      <c r="A4838" t="inlineStr">
        <is>
          <t>2025-09</t>
        </is>
      </c>
      <c r="B4838" t="inlineStr">
        <is>
          <t>HOSP-1</t>
        </is>
      </c>
      <c r="C4838" t="inlineStr">
        <is>
          <t>SS-01044</t>
        </is>
      </c>
      <c r="D4838" t="n">
        <v>288</v>
      </c>
      <c r="E4838" t="n">
        <v>0</v>
      </c>
      <c r="G4838">
        <f>IF(AND(A4838&gt;=Inputs!$B$5,A4838&lt;=Inputs!$B$6),1,0)</f>
        <v/>
      </c>
    </row>
    <row r="4839">
      <c r="A4839" t="inlineStr">
        <is>
          <t>2025-09</t>
        </is>
      </c>
      <c r="B4839" t="inlineStr">
        <is>
          <t>HOSP-2</t>
        </is>
      </c>
      <c r="C4839" t="inlineStr">
        <is>
          <t>SS-01178</t>
        </is>
      </c>
      <c r="D4839" t="n">
        <v>72</v>
      </c>
      <c r="E4839" t="n">
        <v>0</v>
      </c>
      <c r="G4839">
        <f>IF(AND(A4839&gt;=Inputs!$B$5,A4839&lt;=Inputs!$B$6),1,0)</f>
        <v/>
      </c>
    </row>
    <row r="4840">
      <c r="A4840" t="inlineStr">
        <is>
          <t>2025-09</t>
        </is>
      </c>
      <c r="B4840" t="inlineStr">
        <is>
          <t>HOSP-3</t>
        </is>
      </c>
      <c r="C4840" t="inlineStr">
        <is>
          <t>SS-01179</t>
        </is>
      </c>
      <c r="D4840" t="n">
        <v>41</v>
      </c>
      <c r="E4840" t="n">
        <v>0</v>
      </c>
      <c r="G4840">
        <f>IF(AND(A4840&gt;=Inputs!$B$5,A4840&lt;=Inputs!$B$6),1,0)</f>
        <v/>
      </c>
    </row>
    <row r="4841">
      <c r="A4841" t="inlineStr">
        <is>
          <t>2025-09</t>
        </is>
      </c>
      <c r="B4841" t="inlineStr">
        <is>
          <t>HOSP-4</t>
        </is>
      </c>
      <c r="C4841" t="inlineStr">
        <is>
          <t>SS-01180</t>
        </is>
      </c>
      <c r="D4841" t="n">
        <v>13</v>
      </c>
      <c r="E4841" t="n">
        <v>0</v>
      </c>
      <c r="G4841">
        <f>IF(AND(A4841&gt;=Inputs!$B$5,A4841&lt;=Inputs!$B$6),1,0)</f>
        <v/>
      </c>
    </row>
    <row r="4842">
      <c r="A4842" t="inlineStr">
        <is>
          <t>2025-09</t>
        </is>
      </c>
      <c r="B4842" t="inlineStr">
        <is>
          <t>HOSP-1</t>
        </is>
      </c>
      <c r="C4842" t="inlineStr">
        <is>
          <t>SS-01181</t>
        </is>
      </c>
      <c r="D4842" t="n">
        <v>24</v>
      </c>
      <c r="E4842" t="n">
        <v>0</v>
      </c>
      <c r="G4842">
        <f>IF(AND(A4842&gt;=Inputs!$B$5,A4842&lt;=Inputs!$B$6),1,0)</f>
        <v/>
      </c>
    </row>
    <row r="4843">
      <c r="A4843" t="inlineStr">
        <is>
          <t>2025-09</t>
        </is>
      </c>
      <c r="B4843" t="inlineStr">
        <is>
          <t>HOSP-2</t>
        </is>
      </c>
      <c r="C4843" t="inlineStr">
        <is>
          <t>SS-01182</t>
        </is>
      </c>
      <c r="D4843" t="n">
        <v>5</v>
      </c>
      <c r="E4843" t="n">
        <v>1</v>
      </c>
      <c r="G4843">
        <f>IF(AND(A4843&gt;=Inputs!$B$5,A4843&lt;=Inputs!$B$6),1,0)</f>
        <v/>
      </c>
    </row>
    <row r="4844">
      <c r="A4844" t="inlineStr">
        <is>
          <t>2025-09</t>
        </is>
      </c>
      <c r="B4844" t="inlineStr">
        <is>
          <t>HOSP-3</t>
        </is>
      </c>
      <c r="C4844" t="inlineStr">
        <is>
          <t>SS-01183</t>
        </is>
      </c>
      <c r="D4844" t="n">
        <v>0</v>
      </c>
      <c r="E4844" t="n">
        <v>0</v>
      </c>
      <c r="G4844">
        <f>IF(AND(A4844&gt;=Inputs!$B$5,A4844&lt;=Inputs!$B$6),1,0)</f>
        <v/>
      </c>
    </row>
    <row r="4845">
      <c r="A4845" t="inlineStr">
        <is>
          <t>2025-09</t>
        </is>
      </c>
      <c r="B4845" t="inlineStr">
        <is>
          <t>HOSP-4</t>
        </is>
      </c>
      <c r="C4845" t="inlineStr">
        <is>
          <t>SS-01180</t>
        </is>
      </c>
      <c r="D4845" t="n">
        <v>0</v>
      </c>
      <c r="E4845" t="n">
        <v>0</v>
      </c>
      <c r="G4845">
        <f>IF(AND(A4845&gt;=Inputs!$B$5,A4845&lt;=Inputs!$B$6),1,0)</f>
        <v/>
      </c>
    </row>
    <row r="4846">
      <c r="A4846" t="inlineStr">
        <is>
          <t>2025-09</t>
        </is>
      </c>
      <c r="B4846" t="inlineStr">
        <is>
          <t>HOSP-1</t>
        </is>
      </c>
      <c r="C4846" t="inlineStr">
        <is>
          <t>SS-01185</t>
        </is>
      </c>
      <c r="D4846" t="n">
        <v>12</v>
      </c>
      <c r="E4846" t="n">
        <v>0</v>
      </c>
      <c r="F4846" t="inlineStr">
        <is>
          <t>surge</t>
        </is>
      </c>
      <c r="G4846">
        <f>IF(AND(A4846&gt;=Inputs!$B$5,A4846&lt;=Inputs!$B$6),1,0)</f>
        <v/>
      </c>
    </row>
    <row r="4847">
      <c r="A4847" t="inlineStr">
        <is>
          <t>2025-09</t>
        </is>
      </c>
      <c r="B4847" t="inlineStr">
        <is>
          <t>HOSP-2</t>
        </is>
      </c>
      <c r="C4847" t="inlineStr">
        <is>
          <t>SS-01186</t>
        </is>
      </c>
      <c r="D4847" t="n">
        <v>0</v>
      </c>
      <c r="E4847" t="n">
        <v>0</v>
      </c>
      <c r="G4847">
        <f>IF(AND(A4847&gt;=Inputs!$B$5,A4847&lt;=Inputs!$B$6),1,0)</f>
        <v/>
      </c>
    </row>
    <row r="4848">
      <c r="A4848" t="inlineStr">
        <is>
          <t>2025-09</t>
        </is>
      </c>
      <c r="B4848" t="inlineStr">
        <is>
          <t>HOSP-3</t>
        </is>
      </c>
      <c r="C4848" t="inlineStr">
        <is>
          <t>SS-01187</t>
        </is>
      </c>
      <c r="D4848" t="n">
        <v>0</v>
      </c>
      <c r="E4848" t="n">
        <v>0</v>
      </c>
      <c r="G4848">
        <f>IF(AND(A4848&gt;=Inputs!$B$5,A4848&lt;=Inputs!$B$6),1,0)</f>
        <v/>
      </c>
    </row>
    <row r="4849">
      <c r="A4849" t="inlineStr">
        <is>
          <t>2025-09</t>
        </is>
      </c>
      <c r="B4849" t="inlineStr">
        <is>
          <t>HOSP-4</t>
        </is>
      </c>
      <c r="C4849" t="inlineStr">
        <is>
          <t>SS-01131</t>
        </is>
      </c>
      <c r="D4849" t="n">
        <v>0</v>
      </c>
      <c r="E4849" t="n">
        <v>0</v>
      </c>
      <c r="G4849">
        <f>IF(AND(A4849&gt;=Inputs!$B$5,A4849&lt;=Inputs!$B$6),1,0)</f>
        <v/>
      </c>
    </row>
    <row r="4850">
      <c r="A4850" t="inlineStr">
        <is>
          <t>2025-09</t>
        </is>
      </c>
      <c r="B4850" t="inlineStr">
        <is>
          <t>HOSP-1</t>
        </is>
      </c>
      <c r="C4850" t="inlineStr">
        <is>
          <t>SS-01189</t>
        </is>
      </c>
      <c r="D4850" t="n">
        <v>12</v>
      </c>
      <c r="E4850" t="n">
        <v>0</v>
      </c>
      <c r="G4850">
        <f>IF(AND(A4850&gt;=Inputs!$B$5,A4850&lt;=Inputs!$B$6),1,0)</f>
        <v/>
      </c>
    </row>
    <row r="4851">
      <c r="A4851" t="inlineStr">
        <is>
          <t>2025-09</t>
        </is>
      </c>
      <c r="B4851" t="inlineStr">
        <is>
          <t>HOSP-2</t>
        </is>
      </c>
      <c r="C4851" t="inlineStr">
        <is>
          <t>SS-01056</t>
        </is>
      </c>
      <c r="D4851" t="n">
        <v>74</v>
      </c>
      <c r="E4851" t="n">
        <v>1</v>
      </c>
      <c r="G4851">
        <f>IF(AND(A4851&gt;=Inputs!$B$5,A4851&lt;=Inputs!$B$6),1,0)</f>
        <v/>
      </c>
    </row>
    <row r="4852">
      <c r="A4852" t="inlineStr">
        <is>
          <t>2025-09</t>
        </is>
      </c>
      <c r="B4852" t="inlineStr">
        <is>
          <t>HOSP-3</t>
        </is>
      </c>
      <c r="C4852" t="inlineStr">
        <is>
          <t>SS-01191</t>
        </is>
      </c>
      <c r="D4852" t="n">
        <v>24</v>
      </c>
      <c r="E4852" t="n">
        <v>0</v>
      </c>
      <c r="G4852">
        <f>IF(AND(A4852&gt;=Inputs!$B$5,A4852&lt;=Inputs!$B$6),1,0)</f>
        <v/>
      </c>
    </row>
    <row r="4853">
      <c r="A4853" t="inlineStr">
        <is>
          <t>2025-09</t>
        </is>
      </c>
      <c r="B4853" t="inlineStr">
        <is>
          <t>HOSP-4</t>
        </is>
      </c>
      <c r="C4853" t="inlineStr">
        <is>
          <t>SS-01192</t>
        </is>
      </c>
      <c r="D4853" t="n">
        <v>20</v>
      </c>
      <c r="E4853" t="n">
        <v>1</v>
      </c>
      <c r="G4853">
        <f>IF(AND(A4853&gt;=Inputs!$B$5,A4853&lt;=Inputs!$B$6),1,0)</f>
        <v/>
      </c>
    </row>
    <row r="4854">
      <c r="A4854" t="inlineStr">
        <is>
          <t>2025-09</t>
        </is>
      </c>
      <c r="B4854" t="inlineStr">
        <is>
          <t>HOSP-1</t>
        </is>
      </c>
      <c r="C4854" t="inlineStr">
        <is>
          <t>SS-01193</t>
        </is>
      </c>
      <c r="D4854" t="n">
        <v>12</v>
      </c>
      <c r="E4854" t="n">
        <v>0</v>
      </c>
      <c r="G4854">
        <f>IF(AND(A4854&gt;=Inputs!$B$5,A4854&lt;=Inputs!$B$6),1,0)</f>
        <v/>
      </c>
    </row>
    <row r="4855">
      <c r="A4855" t="inlineStr">
        <is>
          <t>2025-09</t>
        </is>
      </c>
      <c r="B4855" t="inlineStr">
        <is>
          <t>HOSP-2</t>
        </is>
      </c>
      <c r="C4855" t="inlineStr">
        <is>
          <t>SS-01194</t>
        </is>
      </c>
      <c r="D4855" t="n">
        <v>7</v>
      </c>
      <c r="E4855" t="n">
        <v>2</v>
      </c>
      <c r="G4855">
        <f>IF(AND(A4855&gt;=Inputs!$B$5,A4855&lt;=Inputs!$B$6),1,0)</f>
        <v/>
      </c>
    </row>
    <row r="4856">
      <c r="A4856" t="inlineStr">
        <is>
          <t>2025-09</t>
        </is>
      </c>
      <c r="B4856" t="inlineStr">
        <is>
          <t>HOSP-3</t>
        </is>
      </c>
      <c r="C4856" t="inlineStr">
        <is>
          <t>SS-01228</t>
        </is>
      </c>
      <c r="D4856" t="n">
        <v>24</v>
      </c>
      <c r="E4856" t="n">
        <v>7</v>
      </c>
      <c r="G4856">
        <f>IF(AND(A4856&gt;=Inputs!$B$5,A4856&lt;=Inputs!$B$6),1,0)</f>
        <v/>
      </c>
    </row>
    <row r="4857">
      <c r="A4857" t="inlineStr">
        <is>
          <t>2025-09</t>
        </is>
      </c>
      <c r="B4857" t="inlineStr">
        <is>
          <t>HOSP-4</t>
        </is>
      </c>
      <c r="C4857" t="inlineStr">
        <is>
          <t>SS-01119</t>
        </is>
      </c>
      <c r="D4857" t="n">
        <v>48</v>
      </c>
      <c r="E4857" t="n">
        <v>0</v>
      </c>
      <c r="G4857">
        <f>IF(AND(A4857&gt;=Inputs!$B$5,A4857&lt;=Inputs!$B$6),1,0)</f>
        <v/>
      </c>
    </row>
    <row r="4858">
      <c r="A4858" t="inlineStr">
        <is>
          <t>2025-09</t>
        </is>
      </c>
      <c r="B4858" t="inlineStr">
        <is>
          <t>HOSP-1</t>
        </is>
      </c>
      <c r="C4858" t="inlineStr">
        <is>
          <t>SS-01211</t>
        </is>
      </c>
      <c r="D4858" t="n">
        <v>12</v>
      </c>
      <c r="E4858" t="n">
        <v>0</v>
      </c>
      <c r="G4858">
        <f>IF(AND(A4858&gt;=Inputs!$B$5,A4858&lt;=Inputs!$B$6),1,0)</f>
        <v/>
      </c>
    </row>
    <row r="4859">
      <c r="A4859" t="inlineStr">
        <is>
          <t>2025-09</t>
        </is>
      </c>
      <c r="B4859" t="inlineStr">
        <is>
          <t>HOSP-2</t>
        </is>
      </c>
      <c r="C4859" t="inlineStr">
        <is>
          <t>SS-01041</t>
        </is>
      </c>
      <c r="D4859" t="n">
        <v>48</v>
      </c>
      <c r="E4859" t="n">
        <v>0</v>
      </c>
      <c r="G4859">
        <f>IF(AND(A4859&gt;=Inputs!$B$5,A4859&lt;=Inputs!$B$6),1,0)</f>
        <v/>
      </c>
    </row>
    <row r="4860">
      <c r="A4860" t="inlineStr">
        <is>
          <t>2025-09</t>
        </is>
      </c>
      <c r="B4860" t="inlineStr">
        <is>
          <t>HOSP-3</t>
        </is>
      </c>
      <c r="C4860" t="inlineStr">
        <is>
          <t>SS-01199</t>
        </is>
      </c>
      <c r="D4860" t="n">
        <v>8</v>
      </c>
      <c r="E4860" t="n">
        <v>1</v>
      </c>
      <c r="G4860">
        <f>IF(AND(A4860&gt;=Inputs!$B$5,A4860&lt;=Inputs!$B$6),1,0)</f>
        <v/>
      </c>
    </row>
    <row r="4861">
      <c r="A4861" t="inlineStr">
        <is>
          <t>2025-09</t>
        </is>
      </c>
      <c r="B4861" t="inlineStr">
        <is>
          <t>HOSP-4</t>
        </is>
      </c>
      <c r="C4861" t="inlineStr">
        <is>
          <t>SS-01200</t>
        </is>
      </c>
      <c r="D4861" t="n">
        <v>98</v>
      </c>
      <c r="E4861" t="n">
        <v>0</v>
      </c>
      <c r="G4861">
        <f>IF(AND(A4861&gt;=Inputs!$B$5,A4861&lt;=Inputs!$B$6),1,0)</f>
        <v/>
      </c>
    </row>
    <row r="4862">
      <c r="A4862" t="inlineStr">
        <is>
          <t>2025-09</t>
        </is>
      </c>
      <c r="B4862" t="inlineStr">
        <is>
          <t>HOSP-1</t>
        </is>
      </c>
      <c r="C4862" t="inlineStr">
        <is>
          <t>SS-01036</t>
        </is>
      </c>
      <c r="D4862" t="n">
        <v>456</v>
      </c>
      <c r="E4862" t="n">
        <v>0</v>
      </c>
      <c r="G4862">
        <f>IF(AND(A4862&gt;=Inputs!$B$5,A4862&lt;=Inputs!$B$6),1,0)</f>
        <v/>
      </c>
    </row>
    <row r="4863">
      <c r="A4863" t="inlineStr">
        <is>
          <t>2025-09</t>
        </is>
      </c>
      <c r="B4863" t="inlineStr">
        <is>
          <t>HOSP-2</t>
        </is>
      </c>
      <c r="C4863" t="inlineStr">
        <is>
          <t>SS-01042</t>
        </is>
      </c>
      <c r="D4863" t="n">
        <v>72</v>
      </c>
      <c r="E4863" t="n">
        <v>0</v>
      </c>
      <c r="G4863">
        <f>IF(AND(A4863&gt;=Inputs!$B$5,A4863&lt;=Inputs!$B$6),1,0)</f>
        <v/>
      </c>
    </row>
    <row r="4864">
      <c r="A4864" t="inlineStr">
        <is>
          <t>2025-09</t>
        </is>
      </c>
      <c r="B4864" t="inlineStr">
        <is>
          <t>HOSP-3</t>
        </is>
      </c>
      <c r="C4864" t="inlineStr">
        <is>
          <t>SS-01203</t>
        </is>
      </c>
      <c r="D4864" t="n">
        <v>0</v>
      </c>
      <c r="E4864" t="n">
        <v>0</v>
      </c>
      <c r="G4864">
        <f>IF(AND(A4864&gt;=Inputs!$B$5,A4864&lt;=Inputs!$B$6),1,0)</f>
        <v/>
      </c>
    </row>
    <row r="4865">
      <c r="A4865" t="inlineStr">
        <is>
          <t>2025-09</t>
        </is>
      </c>
      <c r="B4865" t="inlineStr">
        <is>
          <t>HOSP-4</t>
        </is>
      </c>
      <c r="C4865" t="inlineStr">
        <is>
          <t>SS-01204</t>
        </is>
      </c>
      <c r="D4865" t="n">
        <v>108</v>
      </c>
      <c r="E4865" t="n">
        <v>0</v>
      </c>
      <c r="G4865">
        <f>IF(AND(A4865&gt;=Inputs!$B$5,A4865&lt;=Inputs!$B$6),1,0)</f>
        <v/>
      </c>
    </row>
    <row r="4866">
      <c r="A4866" t="inlineStr">
        <is>
          <t>2025-09</t>
        </is>
      </c>
      <c r="B4866" t="inlineStr">
        <is>
          <t>HOSP-1</t>
        </is>
      </c>
      <c r="C4866" t="inlineStr">
        <is>
          <t>SS-01205</t>
        </is>
      </c>
      <c r="D4866" t="n">
        <v>0</v>
      </c>
      <c r="E4866" t="n">
        <v>0</v>
      </c>
      <c r="G4866">
        <f>IF(AND(A4866&gt;=Inputs!$B$5,A4866&lt;=Inputs!$B$6),1,0)</f>
        <v/>
      </c>
    </row>
    <row r="4867">
      <c r="A4867" t="inlineStr">
        <is>
          <t>2025-09</t>
        </is>
      </c>
      <c r="B4867" t="inlineStr">
        <is>
          <t>HOSP-2</t>
        </is>
      </c>
      <c r="C4867" t="inlineStr">
        <is>
          <t>SS-01206</t>
        </is>
      </c>
      <c r="D4867" t="n">
        <v>12</v>
      </c>
      <c r="E4867" t="n">
        <v>0</v>
      </c>
      <c r="G4867">
        <f>IF(AND(A4867&gt;=Inputs!$B$5,A4867&lt;=Inputs!$B$6),1,0)</f>
        <v/>
      </c>
    </row>
    <row r="4868">
      <c r="A4868" t="inlineStr">
        <is>
          <t>2025-09</t>
        </is>
      </c>
      <c r="B4868" t="inlineStr">
        <is>
          <t>HOSP-3</t>
        </is>
      </c>
      <c r="C4868" t="inlineStr">
        <is>
          <t>SS-01207</t>
        </is>
      </c>
      <c r="D4868" t="n">
        <v>12</v>
      </c>
      <c r="E4868" t="n">
        <v>0</v>
      </c>
      <c r="G4868">
        <f>IF(AND(A4868&gt;=Inputs!$B$5,A4868&lt;=Inputs!$B$6),1,0)</f>
        <v/>
      </c>
    </row>
    <row r="4869">
      <c r="A4869" t="inlineStr">
        <is>
          <t>2025-09</t>
        </is>
      </c>
      <c r="B4869" t="inlineStr">
        <is>
          <t>HOSP-4</t>
        </is>
      </c>
      <c r="C4869" t="inlineStr">
        <is>
          <t>SS-01208</t>
        </is>
      </c>
      <c r="D4869" t="n">
        <v>36</v>
      </c>
      <c r="E4869" t="n">
        <v>0</v>
      </c>
      <c r="G4869">
        <f>IF(AND(A4869&gt;=Inputs!$B$5,A4869&lt;=Inputs!$B$6),1,0)</f>
        <v/>
      </c>
    </row>
    <row r="4870">
      <c r="A4870" t="inlineStr">
        <is>
          <t>2025-09</t>
        </is>
      </c>
      <c r="B4870" t="inlineStr">
        <is>
          <t>HOSP-1</t>
        </is>
      </c>
      <c r="C4870" t="inlineStr">
        <is>
          <t>SS-01209</t>
        </is>
      </c>
      <c r="D4870" t="n">
        <v>132</v>
      </c>
      <c r="E4870" t="n">
        <v>0</v>
      </c>
      <c r="G4870">
        <f>IF(AND(A4870&gt;=Inputs!$B$5,A4870&lt;=Inputs!$B$6),1,0)</f>
        <v/>
      </c>
    </row>
    <row r="4871">
      <c r="A4871" t="inlineStr">
        <is>
          <t>2025-09</t>
        </is>
      </c>
      <c r="B4871" t="inlineStr">
        <is>
          <t>HOSP-2</t>
        </is>
      </c>
      <c r="C4871" t="inlineStr">
        <is>
          <t>SS-01210</t>
        </is>
      </c>
      <c r="D4871" t="n">
        <v>12</v>
      </c>
      <c r="E4871" t="n">
        <v>0</v>
      </c>
      <c r="G4871">
        <f>IF(AND(A4871&gt;=Inputs!$B$5,A4871&lt;=Inputs!$B$6),1,0)</f>
        <v/>
      </c>
    </row>
    <row r="4872">
      <c r="A4872" t="inlineStr">
        <is>
          <t>2025-09</t>
        </is>
      </c>
      <c r="B4872" t="inlineStr">
        <is>
          <t>HOSP-3</t>
        </is>
      </c>
      <c r="C4872" t="inlineStr">
        <is>
          <t>SS-01211</t>
        </is>
      </c>
      <c r="D4872" t="n">
        <v>12</v>
      </c>
      <c r="E4872" t="n">
        <v>0</v>
      </c>
      <c r="G4872">
        <f>IF(AND(A4872&gt;=Inputs!$B$5,A4872&lt;=Inputs!$B$6),1,0)</f>
        <v/>
      </c>
    </row>
    <row r="4873">
      <c r="A4873" t="inlineStr">
        <is>
          <t>2025-09</t>
        </is>
      </c>
      <c r="B4873" t="inlineStr">
        <is>
          <t>HOSP-4</t>
        </is>
      </c>
      <c r="C4873" t="inlineStr">
        <is>
          <t>SS-01212</t>
        </is>
      </c>
      <c r="D4873" t="n">
        <v>24</v>
      </c>
      <c r="E4873" t="n">
        <v>0</v>
      </c>
      <c r="G4873">
        <f>IF(AND(A4873&gt;=Inputs!$B$5,A4873&lt;=Inputs!$B$6),1,0)</f>
        <v/>
      </c>
    </row>
    <row r="4874">
      <c r="A4874" t="inlineStr">
        <is>
          <t>2025-09</t>
        </is>
      </c>
      <c r="B4874" t="inlineStr">
        <is>
          <t>HOSP-1</t>
        </is>
      </c>
      <c r="C4874" t="inlineStr">
        <is>
          <t>SS-01213</t>
        </is>
      </c>
      <c r="D4874" t="n">
        <v>0</v>
      </c>
      <c r="E4874" t="n">
        <v>0</v>
      </c>
      <c r="G4874">
        <f>IF(AND(A4874&gt;=Inputs!$B$5,A4874&lt;=Inputs!$B$6),1,0)</f>
        <v/>
      </c>
    </row>
    <row r="4875">
      <c r="A4875" t="inlineStr">
        <is>
          <t>2025-09</t>
        </is>
      </c>
      <c r="B4875" t="inlineStr">
        <is>
          <t>HOSP-2</t>
        </is>
      </c>
      <c r="C4875" t="inlineStr">
        <is>
          <t>SS-01214</t>
        </is>
      </c>
      <c r="D4875" t="n">
        <v>36</v>
      </c>
      <c r="E4875" t="n">
        <v>0</v>
      </c>
      <c r="G4875">
        <f>IF(AND(A4875&gt;=Inputs!$B$5,A4875&lt;=Inputs!$B$6),1,0)</f>
        <v/>
      </c>
    </row>
    <row r="4876">
      <c r="A4876" t="inlineStr">
        <is>
          <t>2025-09</t>
        </is>
      </c>
      <c r="B4876" t="inlineStr">
        <is>
          <t>HOSP-3</t>
        </is>
      </c>
      <c r="C4876" t="inlineStr">
        <is>
          <t>SS-01215</t>
        </is>
      </c>
      <c r="D4876" t="n">
        <v>3</v>
      </c>
      <c r="E4876" t="n">
        <v>0</v>
      </c>
      <c r="G4876">
        <f>IF(AND(A4876&gt;=Inputs!$B$5,A4876&lt;=Inputs!$B$6),1,0)</f>
        <v/>
      </c>
    </row>
    <row r="4877">
      <c r="A4877" t="inlineStr">
        <is>
          <t>2025-09</t>
        </is>
      </c>
      <c r="B4877" t="inlineStr">
        <is>
          <t>HOSP-4</t>
        </is>
      </c>
      <c r="C4877" t="inlineStr">
        <is>
          <t>SS-01216</t>
        </is>
      </c>
      <c r="D4877" t="n">
        <v>23</v>
      </c>
      <c r="E4877" t="n">
        <v>0</v>
      </c>
      <c r="G4877">
        <f>IF(AND(A4877&gt;=Inputs!$B$5,A4877&lt;=Inputs!$B$6),1,0)</f>
        <v/>
      </c>
    </row>
    <row r="4878">
      <c r="A4878" t="inlineStr">
        <is>
          <t>2025-09</t>
        </is>
      </c>
      <c r="B4878" t="inlineStr">
        <is>
          <t>HOSP-1</t>
        </is>
      </c>
      <c r="C4878" t="inlineStr">
        <is>
          <t>SS-01217</t>
        </is>
      </c>
      <c r="D4878" t="n">
        <v>36</v>
      </c>
      <c r="E4878" t="n">
        <v>0</v>
      </c>
      <c r="G4878">
        <f>IF(AND(A4878&gt;=Inputs!$B$5,A4878&lt;=Inputs!$B$6),1,0)</f>
        <v/>
      </c>
    </row>
    <row r="4879">
      <c r="A4879" t="inlineStr">
        <is>
          <t>2025-09</t>
        </is>
      </c>
      <c r="B4879" t="inlineStr">
        <is>
          <t>HOSP-2</t>
        </is>
      </c>
      <c r="C4879" t="inlineStr">
        <is>
          <t>SS-01218</t>
        </is>
      </c>
      <c r="D4879" t="n">
        <v>216</v>
      </c>
      <c r="E4879" t="n">
        <v>0</v>
      </c>
      <c r="G4879">
        <f>IF(AND(A4879&gt;=Inputs!$B$5,A4879&lt;=Inputs!$B$6),1,0)</f>
        <v/>
      </c>
    </row>
    <row r="4880">
      <c r="A4880" t="inlineStr">
        <is>
          <t>2025-09</t>
        </is>
      </c>
      <c r="B4880" t="inlineStr">
        <is>
          <t>HOSP-3</t>
        </is>
      </c>
      <c r="C4880" t="inlineStr">
        <is>
          <t>SS-01219</t>
        </is>
      </c>
      <c r="D4880" t="n">
        <v>48</v>
      </c>
      <c r="E4880" t="n">
        <v>0</v>
      </c>
      <c r="G4880">
        <f>IF(AND(A4880&gt;=Inputs!$B$5,A4880&lt;=Inputs!$B$6),1,0)</f>
        <v/>
      </c>
    </row>
    <row r="4881">
      <c r="A4881" t="inlineStr">
        <is>
          <t>2025-09</t>
        </is>
      </c>
      <c r="B4881" t="inlineStr">
        <is>
          <t>HOSP-4</t>
        </is>
      </c>
      <c r="C4881" t="inlineStr">
        <is>
          <t>SS-01220</t>
        </is>
      </c>
      <c r="D4881" t="n">
        <v>21</v>
      </c>
      <c r="E4881" t="n">
        <v>0</v>
      </c>
      <c r="G4881">
        <f>IF(AND(A4881&gt;=Inputs!$B$5,A4881&lt;=Inputs!$B$6),1,0)</f>
        <v/>
      </c>
    </row>
    <row r="4882">
      <c r="A4882" t="inlineStr">
        <is>
          <t>2025-09</t>
        </is>
      </c>
      <c r="B4882" t="inlineStr">
        <is>
          <t>HOSP-1</t>
        </is>
      </c>
      <c r="C4882" t="inlineStr">
        <is>
          <t>SS-01221</t>
        </is>
      </c>
      <c r="D4882" t="n">
        <v>36</v>
      </c>
      <c r="E4882" t="n">
        <v>0</v>
      </c>
      <c r="G4882">
        <f>IF(AND(A4882&gt;=Inputs!$B$5,A4882&lt;=Inputs!$B$6),1,0)</f>
        <v/>
      </c>
    </row>
    <row r="4883">
      <c r="A4883" t="inlineStr">
        <is>
          <t>2025-09</t>
        </is>
      </c>
      <c r="B4883" t="inlineStr">
        <is>
          <t>HOSP-2</t>
        </is>
      </c>
      <c r="C4883" t="inlineStr">
        <is>
          <t>SS-01222</t>
        </is>
      </c>
      <c r="D4883" t="n">
        <v>36</v>
      </c>
      <c r="E4883" t="n">
        <v>0</v>
      </c>
      <c r="G4883">
        <f>IF(AND(A4883&gt;=Inputs!$B$5,A4883&lt;=Inputs!$B$6),1,0)</f>
        <v/>
      </c>
    </row>
    <row r="4884">
      <c r="A4884" t="inlineStr">
        <is>
          <t>2025-09</t>
        </is>
      </c>
      <c r="B4884" t="inlineStr">
        <is>
          <t>HOSP-3</t>
        </is>
      </c>
      <c r="C4884" t="inlineStr">
        <is>
          <t>SS-01223</t>
        </is>
      </c>
      <c r="D4884" t="n">
        <v>0</v>
      </c>
      <c r="E4884" t="n">
        <v>1</v>
      </c>
      <c r="G4884">
        <f>IF(AND(A4884&gt;=Inputs!$B$5,A4884&lt;=Inputs!$B$6),1,0)</f>
        <v/>
      </c>
    </row>
    <row r="4885">
      <c r="A4885" t="inlineStr">
        <is>
          <t>2025-09</t>
        </is>
      </c>
      <c r="B4885" t="inlineStr">
        <is>
          <t>HOSP-4</t>
        </is>
      </c>
      <c r="C4885" t="inlineStr">
        <is>
          <t>SS-01052</t>
        </is>
      </c>
      <c r="D4885" t="n">
        <v>12</v>
      </c>
      <c r="E4885" t="n">
        <v>0</v>
      </c>
      <c r="G4885">
        <f>IF(AND(A4885&gt;=Inputs!$B$5,A4885&lt;=Inputs!$B$6),1,0)</f>
        <v/>
      </c>
    </row>
    <row r="4886">
      <c r="A4886" t="inlineStr">
        <is>
          <t>2025-09</t>
        </is>
      </c>
      <c r="B4886" t="inlineStr">
        <is>
          <t>HOSP-1</t>
        </is>
      </c>
      <c r="C4886" t="inlineStr">
        <is>
          <t>SS-01225</t>
        </is>
      </c>
      <c r="D4886" t="n">
        <v>12</v>
      </c>
      <c r="E4886" t="n">
        <v>0</v>
      </c>
      <c r="G4886">
        <f>IF(AND(A4886&gt;=Inputs!$B$5,A4886&lt;=Inputs!$B$6),1,0)</f>
        <v/>
      </c>
    </row>
    <row r="4887">
      <c r="A4887" t="inlineStr">
        <is>
          <t>2025-09</t>
        </is>
      </c>
      <c r="B4887" t="inlineStr">
        <is>
          <t>HOSP-2</t>
        </is>
      </c>
      <c r="C4887" t="inlineStr">
        <is>
          <t>SS-01226</t>
        </is>
      </c>
      <c r="D4887" t="n">
        <v>12</v>
      </c>
      <c r="E4887" t="n">
        <v>0</v>
      </c>
      <c r="G4887">
        <f>IF(AND(A4887&gt;=Inputs!$B$5,A4887&lt;=Inputs!$B$6),1,0)</f>
        <v/>
      </c>
    </row>
    <row r="4888">
      <c r="A4888" t="inlineStr">
        <is>
          <t>2025-09</t>
        </is>
      </c>
      <c r="B4888" t="inlineStr">
        <is>
          <t>HOSP-3</t>
        </is>
      </c>
      <c r="C4888" t="inlineStr">
        <is>
          <t>SS-01057</t>
        </is>
      </c>
      <c r="D4888" t="n">
        <v>12</v>
      </c>
      <c r="E4888" t="n">
        <v>0</v>
      </c>
      <c r="G4888">
        <f>IF(AND(A4888&gt;=Inputs!$B$5,A4888&lt;=Inputs!$B$6),1,0)</f>
        <v/>
      </c>
    </row>
    <row r="4889">
      <c r="A4889" t="inlineStr">
        <is>
          <t>2025-09</t>
        </is>
      </c>
      <c r="B4889" t="inlineStr">
        <is>
          <t>HOSP-4</t>
        </is>
      </c>
      <c r="C4889" t="inlineStr">
        <is>
          <t>SS-01228</t>
        </is>
      </c>
      <c r="D4889" t="n">
        <v>24</v>
      </c>
      <c r="E4889" t="n">
        <v>0</v>
      </c>
      <c r="G4889">
        <f>IF(AND(A4889&gt;=Inputs!$B$5,A4889&lt;=Inputs!$B$6),1,0)</f>
        <v/>
      </c>
    </row>
    <row r="4890">
      <c r="A4890" t="inlineStr">
        <is>
          <t>2025-09</t>
        </is>
      </c>
      <c r="B4890" t="inlineStr">
        <is>
          <t>HOSP-1</t>
        </is>
      </c>
      <c r="C4890" t="inlineStr">
        <is>
          <t>SS-01229</t>
        </is>
      </c>
      <c r="D4890" t="n">
        <v>12</v>
      </c>
      <c r="E4890" t="n">
        <v>0</v>
      </c>
      <c r="G4890">
        <f>IF(AND(A4890&gt;=Inputs!$B$5,A4890&lt;=Inputs!$B$6),1,0)</f>
        <v/>
      </c>
    </row>
    <row r="4891">
      <c r="A4891" t="inlineStr">
        <is>
          <t>2025-09</t>
        </is>
      </c>
      <c r="B4891" t="inlineStr">
        <is>
          <t>HOSP-2</t>
        </is>
      </c>
      <c r="C4891" t="inlineStr">
        <is>
          <t>SS-01230</t>
        </is>
      </c>
      <c r="D4891" t="n">
        <v>0</v>
      </c>
      <c r="E4891" t="n">
        <v>0</v>
      </c>
      <c r="G4891">
        <f>IF(AND(A4891&gt;=Inputs!$B$5,A4891&lt;=Inputs!$B$6),1,0)</f>
        <v/>
      </c>
    </row>
    <row r="4892">
      <c r="A4892" t="inlineStr">
        <is>
          <t>2025-09</t>
        </is>
      </c>
      <c r="B4892" t="inlineStr">
        <is>
          <t>HOSP-3</t>
        </is>
      </c>
      <c r="C4892" t="inlineStr">
        <is>
          <t>SS-01231</t>
        </is>
      </c>
      <c r="D4892" t="n">
        <v>12</v>
      </c>
      <c r="E4892" t="n">
        <v>0</v>
      </c>
      <c r="G4892">
        <f>IF(AND(A4892&gt;=Inputs!$B$5,A4892&lt;=Inputs!$B$6),1,0)</f>
        <v/>
      </c>
    </row>
    <row r="4893">
      <c r="A4893" t="inlineStr">
        <is>
          <t>2025-09</t>
        </is>
      </c>
      <c r="B4893" t="inlineStr">
        <is>
          <t>HOSP-4</t>
        </is>
      </c>
      <c r="C4893" t="inlineStr">
        <is>
          <t>SS-01232</t>
        </is>
      </c>
      <c r="D4893" t="n">
        <v>12</v>
      </c>
      <c r="E4893" t="n">
        <v>0</v>
      </c>
      <c r="G4893">
        <f>IF(AND(A4893&gt;=Inputs!$B$5,A4893&lt;=Inputs!$B$6),1,0)</f>
        <v/>
      </c>
    </row>
    <row r="4894">
      <c r="A4894" t="inlineStr">
        <is>
          <t>2025-09</t>
        </is>
      </c>
      <c r="B4894" t="inlineStr">
        <is>
          <t>HOSP-1</t>
        </is>
      </c>
      <c r="C4894" t="inlineStr">
        <is>
          <t>SS-01233</t>
        </is>
      </c>
      <c r="D4894" t="n">
        <v>36</v>
      </c>
      <c r="E4894" t="n">
        <v>0</v>
      </c>
      <c r="G4894">
        <f>IF(AND(A4894&gt;=Inputs!$B$5,A4894&lt;=Inputs!$B$6),1,0)</f>
        <v/>
      </c>
    </row>
    <row r="4895">
      <c r="A4895" t="inlineStr">
        <is>
          <t>2025-09</t>
        </is>
      </c>
      <c r="B4895" t="inlineStr">
        <is>
          <t>HOSP-2</t>
        </is>
      </c>
      <c r="C4895" t="inlineStr">
        <is>
          <t>SS-01001</t>
        </is>
      </c>
      <c r="D4895" t="n">
        <v>12</v>
      </c>
      <c r="E4895" t="n">
        <v>0</v>
      </c>
      <c r="G4895">
        <f>IF(AND(A4895&gt;=Inputs!$B$5,A4895&lt;=Inputs!$B$6),1,0)</f>
        <v/>
      </c>
    </row>
    <row r="4896">
      <c r="A4896" t="inlineStr">
        <is>
          <t>2025-09</t>
        </is>
      </c>
      <c r="B4896" t="inlineStr">
        <is>
          <t>HOSP-3</t>
        </is>
      </c>
      <c r="C4896" t="inlineStr">
        <is>
          <t>SS-01002</t>
        </is>
      </c>
      <c r="D4896" t="n">
        <v>18</v>
      </c>
      <c r="E4896" t="n">
        <v>2</v>
      </c>
      <c r="G4896">
        <f>IF(AND(A4896&gt;=Inputs!$B$5,A4896&lt;=Inputs!$B$6),1,0)</f>
        <v/>
      </c>
    </row>
    <row r="4897">
      <c r="A4897" t="inlineStr">
        <is>
          <t>2025-09</t>
        </is>
      </c>
      <c r="B4897" t="inlineStr">
        <is>
          <t>HOSP-4</t>
        </is>
      </c>
      <c r="C4897" t="inlineStr">
        <is>
          <t>SS-01003</t>
        </is>
      </c>
      <c r="D4897" t="n">
        <v>4</v>
      </c>
      <c r="E4897" t="n">
        <v>1</v>
      </c>
      <c r="G4897">
        <f>IF(AND(A4897&gt;=Inputs!$B$5,A4897&lt;=Inputs!$B$6),1,0)</f>
        <v/>
      </c>
    </row>
    <row r="4898">
      <c r="A4898" t="inlineStr">
        <is>
          <t>2025-09</t>
        </is>
      </c>
      <c r="B4898" t="inlineStr">
        <is>
          <t>HOSP-1</t>
        </is>
      </c>
      <c r="C4898" t="inlineStr">
        <is>
          <t>SS-01004</t>
        </is>
      </c>
      <c r="D4898" t="n">
        <v>60</v>
      </c>
      <c r="E4898" t="n">
        <v>0</v>
      </c>
      <c r="G4898">
        <f>IF(AND(A4898&gt;=Inputs!$B$5,A4898&lt;=Inputs!$B$6),1,0)</f>
        <v/>
      </c>
    </row>
    <row r="4899">
      <c r="A4899" t="inlineStr">
        <is>
          <t>2025-09</t>
        </is>
      </c>
      <c r="B4899" t="inlineStr">
        <is>
          <t>HOSP-2</t>
        </is>
      </c>
      <c r="C4899" t="inlineStr">
        <is>
          <t>SS-01005</t>
        </is>
      </c>
      <c r="D4899" t="n">
        <v>0</v>
      </c>
      <c r="E4899" t="n">
        <v>0</v>
      </c>
      <c r="G4899">
        <f>IF(AND(A4899&gt;=Inputs!$B$5,A4899&lt;=Inputs!$B$6),1,0)</f>
        <v/>
      </c>
    </row>
    <row r="4900">
      <c r="A4900" t="inlineStr">
        <is>
          <t>2025-09</t>
        </is>
      </c>
      <c r="B4900" t="inlineStr">
        <is>
          <t>HOSP-3</t>
        </is>
      </c>
      <c r="C4900" t="inlineStr">
        <is>
          <t>SS-01031</t>
        </is>
      </c>
      <c r="D4900" t="n">
        <v>7</v>
      </c>
      <c r="E4900" t="n">
        <v>1</v>
      </c>
      <c r="G4900">
        <f>IF(AND(A4900&gt;=Inputs!$B$5,A4900&lt;=Inputs!$B$6),1,0)</f>
        <v/>
      </c>
    </row>
    <row r="4901">
      <c r="A4901" t="inlineStr">
        <is>
          <t>2025-09</t>
        </is>
      </c>
      <c r="B4901" t="inlineStr">
        <is>
          <t>HOSP-4</t>
        </is>
      </c>
      <c r="C4901" t="inlineStr">
        <is>
          <t>SS-01159</t>
        </is>
      </c>
      <c r="D4901" t="n">
        <v>396</v>
      </c>
      <c r="E4901" t="n">
        <v>0</v>
      </c>
      <c r="G4901">
        <f>IF(AND(A4901&gt;=Inputs!$B$5,A4901&lt;=Inputs!$B$6),1,0)</f>
        <v/>
      </c>
    </row>
    <row r="4902">
      <c r="A4902" t="inlineStr">
        <is>
          <t>2025-09</t>
        </is>
      </c>
      <c r="B4902" t="inlineStr">
        <is>
          <t>HOSP-1</t>
        </is>
      </c>
      <c r="C4902" t="inlineStr">
        <is>
          <t>SS-01218</t>
        </is>
      </c>
      <c r="D4902" t="n">
        <v>17</v>
      </c>
      <c r="E4902" t="n">
        <v>0</v>
      </c>
      <c r="G4902">
        <f>IF(AND(A4902&gt;=Inputs!$B$5,A4902&lt;=Inputs!$B$6),1,0)</f>
        <v/>
      </c>
    </row>
    <row r="4903">
      <c r="A4903" t="inlineStr">
        <is>
          <t>2025-09</t>
        </is>
      </c>
      <c r="B4903" t="inlineStr">
        <is>
          <t>HOSP-2</t>
        </is>
      </c>
      <c r="C4903" t="inlineStr">
        <is>
          <t>SS-01089</t>
        </is>
      </c>
      <c r="D4903" t="n">
        <v>33</v>
      </c>
      <c r="E4903" t="n">
        <v>0</v>
      </c>
      <c r="G4903">
        <f>IF(AND(A4903&gt;=Inputs!$B$5,A4903&lt;=Inputs!$B$6),1,0)</f>
        <v/>
      </c>
    </row>
    <row r="4904">
      <c r="A4904" t="inlineStr">
        <is>
          <t>2025-09</t>
        </is>
      </c>
      <c r="B4904" t="inlineStr">
        <is>
          <t>HOSP-3</t>
        </is>
      </c>
      <c r="C4904" t="inlineStr">
        <is>
          <t>SS-01010</t>
        </is>
      </c>
      <c r="D4904" t="n">
        <v>60</v>
      </c>
      <c r="E4904" t="n">
        <v>0</v>
      </c>
      <c r="G4904">
        <f>IF(AND(A4904&gt;=Inputs!$B$5,A4904&lt;=Inputs!$B$6),1,0)</f>
        <v/>
      </c>
    </row>
    <row r="4905">
      <c r="A4905" t="inlineStr">
        <is>
          <t>2025-09</t>
        </is>
      </c>
      <c r="B4905" t="inlineStr">
        <is>
          <t>HOSP-4</t>
        </is>
      </c>
      <c r="C4905" t="inlineStr">
        <is>
          <t>SS-01011</t>
        </is>
      </c>
      <c r="D4905" t="n">
        <v>10</v>
      </c>
      <c r="E4905" t="n">
        <v>0</v>
      </c>
      <c r="G4905">
        <f>IF(AND(A4905&gt;=Inputs!$B$5,A4905&lt;=Inputs!$B$6),1,0)</f>
        <v/>
      </c>
    </row>
    <row r="4906">
      <c r="A4906" t="inlineStr">
        <is>
          <t>2025-09</t>
        </is>
      </c>
      <c r="B4906" t="inlineStr">
        <is>
          <t>HOSP-1</t>
        </is>
      </c>
      <c r="C4906" t="inlineStr">
        <is>
          <t>SS-01178</t>
        </is>
      </c>
      <c r="D4906" t="n">
        <v>48</v>
      </c>
      <c r="E4906" t="n">
        <v>0</v>
      </c>
      <c r="G4906">
        <f>IF(AND(A4906&gt;=Inputs!$B$5,A4906&lt;=Inputs!$B$6),1,0)</f>
        <v/>
      </c>
    </row>
    <row r="4907">
      <c r="A4907" t="inlineStr">
        <is>
          <t>2025-09</t>
        </is>
      </c>
      <c r="B4907" t="inlineStr">
        <is>
          <t>HOSP-2</t>
        </is>
      </c>
      <c r="C4907" t="inlineStr">
        <is>
          <t>SS-01165</t>
        </is>
      </c>
      <c r="D4907" t="n">
        <v>0</v>
      </c>
      <c r="E4907" t="n">
        <v>0</v>
      </c>
      <c r="G4907">
        <f>IF(AND(A4907&gt;=Inputs!$B$5,A4907&lt;=Inputs!$B$6),1,0)</f>
        <v/>
      </c>
    </row>
    <row r="4908">
      <c r="A4908" t="inlineStr">
        <is>
          <t>2025-09</t>
        </is>
      </c>
      <c r="B4908" t="inlineStr">
        <is>
          <t>HOSP-3</t>
        </is>
      </c>
      <c r="C4908" t="inlineStr">
        <is>
          <t>SS-01188</t>
        </is>
      </c>
      <c r="D4908" t="n">
        <v>12</v>
      </c>
      <c r="E4908" t="n">
        <v>1</v>
      </c>
      <c r="G4908">
        <f>IF(AND(A4908&gt;=Inputs!$B$5,A4908&lt;=Inputs!$B$6),1,0)</f>
        <v/>
      </c>
    </row>
    <row r="4909">
      <c r="A4909" t="inlineStr">
        <is>
          <t>2025-09</t>
        </is>
      </c>
      <c r="B4909" t="inlineStr">
        <is>
          <t>HOSP-4</t>
        </is>
      </c>
      <c r="C4909" t="inlineStr">
        <is>
          <t>SS-01015</t>
        </is>
      </c>
      <c r="D4909" t="n">
        <v>12</v>
      </c>
      <c r="E4909" t="n">
        <v>0</v>
      </c>
      <c r="G4909">
        <f>IF(AND(A4909&gt;=Inputs!$B$5,A4909&lt;=Inputs!$B$6),1,0)</f>
        <v/>
      </c>
    </row>
    <row r="4910">
      <c r="A4910" t="inlineStr">
        <is>
          <t>2025-09</t>
        </is>
      </c>
      <c r="B4910" t="inlineStr">
        <is>
          <t>HOSP-1</t>
        </is>
      </c>
      <c r="C4910" t="inlineStr">
        <is>
          <t>SS-01016</t>
        </is>
      </c>
      <c r="D4910" t="n">
        <v>0</v>
      </c>
      <c r="E4910" t="n">
        <v>0</v>
      </c>
      <c r="G4910">
        <f>IF(AND(A4910&gt;=Inputs!$B$5,A4910&lt;=Inputs!$B$6),1,0)</f>
        <v/>
      </c>
    </row>
    <row r="4911">
      <c r="A4911" t="inlineStr">
        <is>
          <t>2025-09</t>
        </is>
      </c>
      <c r="B4911" t="inlineStr">
        <is>
          <t>HOSP-2</t>
        </is>
      </c>
      <c r="C4911" t="inlineStr">
        <is>
          <t>SS-01017</t>
        </is>
      </c>
      <c r="D4911" t="n">
        <v>26</v>
      </c>
      <c r="E4911" t="n">
        <v>0</v>
      </c>
      <c r="G4911">
        <f>IF(AND(A4911&gt;=Inputs!$B$5,A4911&lt;=Inputs!$B$6),1,0)</f>
        <v/>
      </c>
    </row>
    <row r="4912">
      <c r="A4912" t="inlineStr">
        <is>
          <t>2025-09</t>
        </is>
      </c>
      <c r="B4912" t="inlineStr">
        <is>
          <t>HOSP-3</t>
        </is>
      </c>
      <c r="C4912" t="inlineStr">
        <is>
          <t>SS-01018</t>
        </is>
      </c>
      <c r="D4912" t="n">
        <v>12</v>
      </c>
      <c r="E4912" t="n">
        <v>0</v>
      </c>
      <c r="G4912">
        <f>IF(AND(A4912&gt;=Inputs!$B$5,A4912&lt;=Inputs!$B$6),1,0)</f>
        <v/>
      </c>
    </row>
    <row r="4913">
      <c r="A4913" t="inlineStr">
        <is>
          <t>2025-09</t>
        </is>
      </c>
      <c r="B4913" t="inlineStr">
        <is>
          <t>HOSP-4</t>
        </is>
      </c>
      <c r="C4913" t="inlineStr">
        <is>
          <t>SS-01019</t>
        </is>
      </c>
      <c r="D4913" t="n">
        <v>45</v>
      </c>
      <c r="E4913" t="n">
        <v>0</v>
      </c>
      <c r="G4913">
        <f>IF(AND(A4913&gt;=Inputs!$B$5,A4913&lt;=Inputs!$B$6),1,0)</f>
        <v/>
      </c>
    </row>
    <row r="4914">
      <c r="A4914" t="inlineStr">
        <is>
          <t>2025-09</t>
        </is>
      </c>
      <c r="B4914" t="inlineStr">
        <is>
          <t>HOSP-1</t>
        </is>
      </c>
      <c r="C4914" t="inlineStr">
        <is>
          <t>SS-01020</t>
        </is>
      </c>
      <c r="D4914" t="n">
        <v>48</v>
      </c>
      <c r="E4914" t="n">
        <v>0</v>
      </c>
      <c r="G4914">
        <f>IF(AND(A4914&gt;=Inputs!$B$5,A4914&lt;=Inputs!$B$6),1,0)</f>
        <v/>
      </c>
    </row>
    <row r="4915">
      <c r="A4915" t="inlineStr">
        <is>
          <t>2025-09</t>
        </is>
      </c>
      <c r="B4915" t="inlineStr">
        <is>
          <t>HOSP-2</t>
        </is>
      </c>
      <c r="C4915" t="inlineStr">
        <is>
          <t>SS-01021</t>
        </is>
      </c>
      <c r="D4915" t="n">
        <v>43</v>
      </c>
      <c r="E4915" t="n">
        <v>0</v>
      </c>
      <c r="G4915">
        <f>IF(AND(A4915&gt;=Inputs!$B$5,A4915&lt;=Inputs!$B$6),1,0)</f>
        <v/>
      </c>
    </row>
    <row r="4916">
      <c r="A4916" t="inlineStr">
        <is>
          <t>2025-09</t>
        </is>
      </c>
      <c r="B4916" t="inlineStr">
        <is>
          <t>HOSP-3</t>
        </is>
      </c>
      <c r="C4916" t="inlineStr">
        <is>
          <t>SS-01168</t>
        </is>
      </c>
      <c r="D4916" t="n">
        <v>28</v>
      </c>
      <c r="E4916" t="n">
        <v>1</v>
      </c>
      <c r="G4916">
        <f>IF(AND(A4916&gt;=Inputs!$B$5,A4916&lt;=Inputs!$B$6),1,0)</f>
        <v/>
      </c>
    </row>
    <row r="4917">
      <c r="A4917" t="inlineStr">
        <is>
          <t>2025-09</t>
        </is>
      </c>
      <c r="B4917" t="inlineStr">
        <is>
          <t>HOSP-4</t>
        </is>
      </c>
      <c r="C4917" t="inlineStr">
        <is>
          <t>SS-01023</t>
        </is>
      </c>
      <c r="D4917" t="n">
        <v>0</v>
      </c>
      <c r="E4917" t="n">
        <v>0</v>
      </c>
      <c r="G4917">
        <f>IF(AND(A4917&gt;=Inputs!$B$5,A4917&lt;=Inputs!$B$6),1,0)</f>
        <v/>
      </c>
    </row>
    <row r="4918">
      <c r="A4918" t="inlineStr">
        <is>
          <t>2025-09</t>
        </is>
      </c>
      <c r="B4918" t="inlineStr">
        <is>
          <t>HOSP-1</t>
        </is>
      </c>
      <c r="C4918" t="inlineStr">
        <is>
          <t>SS-01217</t>
        </is>
      </c>
      <c r="D4918" t="n">
        <v>24</v>
      </c>
      <c r="E4918" t="n">
        <v>0</v>
      </c>
      <c r="G4918">
        <f>IF(AND(A4918&gt;=Inputs!$B$5,A4918&lt;=Inputs!$B$6),1,0)</f>
        <v/>
      </c>
    </row>
    <row r="4919">
      <c r="A4919" t="inlineStr">
        <is>
          <t>2025-09</t>
        </is>
      </c>
      <c r="B4919" t="inlineStr">
        <is>
          <t>HOSP-2</t>
        </is>
      </c>
      <c r="C4919" t="inlineStr">
        <is>
          <t>SS-01025</t>
        </is>
      </c>
      <c r="D4919" t="n">
        <v>0</v>
      </c>
      <c r="E4919" t="n">
        <v>0</v>
      </c>
      <c r="G4919">
        <f>IF(AND(A4919&gt;=Inputs!$B$5,A4919&lt;=Inputs!$B$6),1,0)</f>
        <v/>
      </c>
    </row>
    <row r="4920">
      <c r="A4920" t="inlineStr">
        <is>
          <t>2025-09</t>
        </is>
      </c>
      <c r="B4920" t="inlineStr">
        <is>
          <t>HOSP-3</t>
        </is>
      </c>
      <c r="C4920" t="inlineStr">
        <is>
          <t>SS-01026</t>
        </is>
      </c>
      <c r="D4920" t="n">
        <v>11</v>
      </c>
      <c r="E4920" t="n">
        <v>2</v>
      </c>
      <c r="G4920">
        <f>IF(AND(A4920&gt;=Inputs!$B$5,A4920&lt;=Inputs!$B$6),1,0)</f>
        <v/>
      </c>
    </row>
    <row r="4921">
      <c r="A4921" t="inlineStr">
        <is>
          <t>2025-09</t>
        </is>
      </c>
      <c r="B4921" t="inlineStr">
        <is>
          <t>HOSP-4</t>
        </is>
      </c>
      <c r="C4921" t="inlineStr">
        <is>
          <t>SS-01027</t>
        </is>
      </c>
      <c r="D4921" t="n">
        <v>24</v>
      </c>
      <c r="E4921" t="n">
        <v>0</v>
      </c>
      <c r="G4921">
        <f>IF(AND(A4921&gt;=Inputs!$B$5,A4921&lt;=Inputs!$B$6),1,0)</f>
        <v/>
      </c>
    </row>
    <row r="4922">
      <c r="A4922" t="inlineStr">
        <is>
          <t>2025-09</t>
        </is>
      </c>
      <c r="B4922" t="inlineStr">
        <is>
          <t>HOSP-1</t>
        </is>
      </c>
      <c r="C4922" t="inlineStr">
        <is>
          <t>SS-01028</t>
        </is>
      </c>
      <c r="D4922" t="n">
        <v>12</v>
      </c>
      <c r="E4922" t="n">
        <v>0</v>
      </c>
      <c r="G4922">
        <f>IF(AND(A4922&gt;=Inputs!$B$5,A4922&lt;=Inputs!$B$6),1,0)</f>
        <v/>
      </c>
    </row>
    <row r="4923">
      <c r="A4923" t="inlineStr">
        <is>
          <t>2025-09</t>
        </is>
      </c>
      <c r="B4923" t="inlineStr">
        <is>
          <t>HOSP-2</t>
        </is>
      </c>
      <c r="C4923" t="inlineStr">
        <is>
          <t>SS-01029</t>
        </is>
      </c>
      <c r="D4923" t="n">
        <v>0</v>
      </c>
      <c r="E4923" t="n">
        <v>0</v>
      </c>
      <c r="G4923">
        <f>IF(AND(A4923&gt;=Inputs!$B$5,A4923&lt;=Inputs!$B$6),1,0)</f>
        <v/>
      </c>
    </row>
    <row r="4924">
      <c r="A4924" t="inlineStr">
        <is>
          <t>2025-09</t>
        </is>
      </c>
      <c r="B4924" t="inlineStr">
        <is>
          <t>HOSP-3</t>
        </is>
      </c>
      <c r="C4924" t="inlineStr">
        <is>
          <t>SS-01223</t>
        </is>
      </c>
      <c r="D4924" t="n">
        <v>3</v>
      </c>
      <c r="E4924" t="n">
        <v>13</v>
      </c>
      <c r="G4924">
        <f>IF(AND(A4924&gt;=Inputs!$B$5,A4924&lt;=Inputs!$B$6),1,0)</f>
        <v/>
      </c>
    </row>
    <row r="4925">
      <c r="A4925" t="inlineStr">
        <is>
          <t>2025-09</t>
        </is>
      </c>
      <c r="B4925" t="inlineStr">
        <is>
          <t>HOSP-4</t>
        </is>
      </c>
      <c r="C4925" t="inlineStr">
        <is>
          <t>SS-01031</t>
        </is>
      </c>
      <c r="D4925" t="n">
        <v>0</v>
      </c>
      <c r="E4925" t="n">
        <v>0</v>
      </c>
      <c r="G4925">
        <f>IF(AND(A4925&gt;=Inputs!$B$5,A4925&lt;=Inputs!$B$6),1,0)</f>
        <v/>
      </c>
    </row>
    <row r="4926">
      <c r="A4926" t="inlineStr">
        <is>
          <t>2025-09</t>
        </is>
      </c>
      <c r="B4926" t="inlineStr">
        <is>
          <t>HOSP-1</t>
        </is>
      </c>
      <c r="C4926" t="inlineStr">
        <is>
          <t>SS-01127</t>
        </is>
      </c>
      <c r="D4926" t="n">
        <v>15</v>
      </c>
      <c r="E4926" t="n">
        <v>1</v>
      </c>
      <c r="G4926">
        <f>IF(AND(A4926&gt;=Inputs!$B$5,A4926&lt;=Inputs!$B$6),1,0)</f>
        <v/>
      </c>
    </row>
    <row r="4927">
      <c r="A4927" t="inlineStr">
        <is>
          <t>2025-09</t>
        </is>
      </c>
      <c r="B4927" t="inlineStr">
        <is>
          <t>HOSP-2</t>
        </is>
      </c>
      <c r="C4927" t="inlineStr">
        <is>
          <t>SS-01033</t>
        </is>
      </c>
      <c r="D4927" t="n">
        <v>94</v>
      </c>
      <c r="E4927" t="n">
        <v>0</v>
      </c>
      <c r="G4927">
        <f>IF(AND(A4927&gt;=Inputs!$B$5,A4927&lt;=Inputs!$B$6),1,0)</f>
        <v/>
      </c>
    </row>
    <row r="4928">
      <c r="A4928" t="inlineStr">
        <is>
          <t>2025-09</t>
        </is>
      </c>
      <c r="B4928" t="inlineStr">
        <is>
          <t>HOSP-3</t>
        </is>
      </c>
      <c r="C4928" t="inlineStr">
        <is>
          <t>SS-01034</t>
        </is>
      </c>
      <c r="D4928" t="n">
        <v>48</v>
      </c>
      <c r="E4928" t="n">
        <v>0</v>
      </c>
      <c r="G4928">
        <f>IF(AND(A4928&gt;=Inputs!$B$5,A4928&lt;=Inputs!$B$6),1,0)</f>
        <v/>
      </c>
    </row>
    <row r="4929">
      <c r="A4929" t="inlineStr">
        <is>
          <t>2025-09</t>
        </is>
      </c>
      <c r="B4929" t="inlineStr">
        <is>
          <t>HOSP-4</t>
        </is>
      </c>
      <c r="C4929" t="inlineStr">
        <is>
          <t>SS-01035</t>
        </is>
      </c>
      <c r="D4929" t="n">
        <v>36</v>
      </c>
      <c r="E4929" t="n">
        <v>0</v>
      </c>
      <c r="G4929">
        <f>IF(AND(A4929&gt;=Inputs!$B$5,A4929&lt;=Inputs!$B$6),1,0)</f>
        <v/>
      </c>
    </row>
    <row r="4930">
      <c r="A4930" t="inlineStr">
        <is>
          <t>2025-09</t>
        </is>
      </c>
      <c r="B4930" t="inlineStr">
        <is>
          <t>HOSP-1</t>
        </is>
      </c>
      <c r="C4930" t="inlineStr">
        <is>
          <t>SS-01036</t>
        </is>
      </c>
      <c r="D4930" t="n">
        <v>24</v>
      </c>
      <c r="E4930" t="n">
        <v>0</v>
      </c>
      <c r="G4930">
        <f>IF(AND(A4930&gt;=Inputs!$B$5,A4930&lt;=Inputs!$B$6),1,0)</f>
        <v/>
      </c>
    </row>
    <row r="4931">
      <c r="A4931" t="inlineStr">
        <is>
          <t>2025-09</t>
        </is>
      </c>
      <c r="B4931" t="inlineStr">
        <is>
          <t>HOSP-2</t>
        </is>
      </c>
      <c r="C4931" t="inlineStr">
        <is>
          <t>SS-01037</t>
        </is>
      </c>
      <c r="D4931" t="n">
        <v>0</v>
      </c>
      <c r="E4931" t="n">
        <v>1</v>
      </c>
      <c r="G4931">
        <f>IF(AND(A4931&gt;=Inputs!$B$5,A4931&lt;=Inputs!$B$6),1,0)</f>
        <v/>
      </c>
    </row>
    <row r="4932">
      <c r="A4932" t="inlineStr">
        <is>
          <t>2025-09</t>
        </is>
      </c>
      <c r="B4932" t="inlineStr">
        <is>
          <t>HOSP-3</t>
        </is>
      </c>
      <c r="C4932" t="inlineStr">
        <is>
          <t>SS-01038</t>
        </is>
      </c>
      <c r="D4932" t="n">
        <v>24</v>
      </c>
      <c r="E4932" t="n">
        <v>0</v>
      </c>
      <c r="G4932">
        <f>IF(AND(A4932&gt;=Inputs!$B$5,A4932&lt;=Inputs!$B$6),1,0)</f>
        <v/>
      </c>
    </row>
    <row r="4933">
      <c r="A4933" t="inlineStr">
        <is>
          <t>2025-09</t>
        </is>
      </c>
      <c r="B4933" t="inlineStr">
        <is>
          <t>HOSP-4</t>
        </is>
      </c>
      <c r="C4933" t="inlineStr">
        <is>
          <t>SS-01039</t>
        </is>
      </c>
      <c r="D4933" t="n">
        <v>12</v>
      </c>
      <c r="E4933" t="n">
        <v>0</v>
      </c>
      <c r="G4933">
        <f>IF(AND(A4933&gt;=Inputs!$B$5,A4933&lt;=Inputs!$B$6),1,0)</f>
        <v/>
      </c>
    </row>
    <row r="4934">
      <c r="A4934" t="inlineStr">
        <is>
          <t>2025-09</t>
        </is>
      </c>
      <c r="B4934" t="inlineStr">
        <is>
          <t>HOSP-1</t>
        </is>
      </c>
      <c r="C4934" t="inlineStr">
        <is>
          <t>SS-01040</t>
        </is>
      </c>
      <c r="D4934" t="n">
        <v>36</v>
      </c>
      <c r="E4934" t="n">
        <v>0</v>
      </c>
      <c r="G4934">
        <f>IF(AND(A4934&gt;=Inputs!$B$5,A4934&lt;=Inputs!$B$6),1,0)</f>
        <v/>
      </c>
    </row>
    <row r="4935">
      <c r="A4935" t="inlineStr">
        <is>
          <t>2025-09</t>
        </is>
      </c>
      <c r="B4935" t="inlineStr">
        <is>
          <t>HOSP-2</t>
        </is>
      </c>
      <c r="C4935" t="inlineStr">
        <is>
          <t>SS-01041</t>
        </is>
      </c>
      <c r="D4935" t="n">
        <v>12</v>
      </c>
      <c r="E4935" t="n">
        <v>0</v>
      </c>
      <c r="G4935">
        <f>IF(AND(A4935&gt;=Inputs!$B$5,A4935&lt;=Inputs!$B$6),1,0)</f>
        <v/>
      </c>
    </row>
    <row r="4936">
      <c r="A4936" t="inlineStr">
        <is>
          <t>2025-09</t>
        </is>
      </c>
      <c r="B4936" t="inlineStr">
        <is>
          <t>HOSP-3</t>
        </is>
      </c>
      <c r="C4936" t="inlineStr">
        <is>
          <t>SS-01042</t>
        </is>
      </c>
      <c r="D4936" t="n">
        <v>12</v>
      </c>
      <c r="E4936" t="n">
        <v>0</v>
      </c>
      <c r="G4936">
        <f>IF(AND(A4936&gt;=Inputs!$B$5,A4936&lt;=Inputs!$B$6),1,0)</f>
        <v/>
      </c>
    </row>
    <row r="4937">
      <c r="A4937" t="inlineStr">
        <is>
          <t>2025-09</t>
        </is>
      </c>
      <c r="B4937" t="inlineStr">
        <is>
          <t>HOSP-4</t>
        </is>
      </c>
      <c r="C4937" t="inlineStr">
        <is>
          <t>SS-01043</t>
        </is>
      </c>
      <c r="D4937" t="n">
        <v>48</v>
      </c>
      <c r="E4937" t="n">
        <v>0</v>
      </c>
      <c r="G4937">
        <f>IF(AND(A4937&gt;=Inputs!$B$5,A4937&lt;=Inputs!$B$6),1,0)</f>
        <v/>
      </c>
    </row>
    <row r="4938">
      <c r="A4938" t="inlineStr">
        <is>
          <t>2025-09</t>
        </is>
      </c>
      <c r="B4938" t="inlineStr">
        <is>
          <t>HOSP-1</t>
        </is>
      </c>
      <c r="C4938" t="inlineStr">
        <is>
          <t>SS-01044</t>
        </is>
      </c>
      <c r="D4938" t="n">
        <v>0</v>
      </c>
      <c r="E4938" t="n">
        <v>0</v>
      </c>
      <c r="G4938">
        <f>IF(AND(A4938&gt;=Inputs!$B$5,A4938&lt;=Inputs!$B$6),1,0)</f>
        <v/>
      </c>
    </row>
    <row r="4939">
      <c r="A4939" t="inlineStr">
        <is>
          <t>2025-09</t>
        </is>
      </c>
      <c r="B4939" t="inlineStr">
        <is>
          <t>HOSP-2</t>
        </is>
      </c>
      <c r="C4939" t="inlineStr">
        <is>
          <t>SS-01045</t>
        </is>
      </c>
      <c r="D4939" t="n">
        <v>0</v>
      </c>
      <c r="E4939" t="n">
        <v>0</v>
      </c>
      <c r="G4939">
        <f>IF(AND(A4939&gt;=Inputs!$B$5,A4939&lt;=Inputs!$B$6),1,0)</f>
        <v/>
      </c>
    </row>
    <row r="4940">
      <c r="A4940" t="inlineStr">
        <is>
          <t>2025-09</t>
        </is>
      </c>
      <c r="B4940" t="inlineStr">
        <is>
          <t>HOSP-3</t>
        </is>
      </c>
      <c r="C4940" t="inlineStr">
        <is>
          <t>SS-01046</t>
        </is>
      </c>
      <c r="D4940" t="n">
        <v>72</v>
      </c>
      <c r="E4940" t="n">
        <v>0</v>
      </c>
      <c r="G4940">
        <f>IF(AND(A4940&gt;=Inputs!$B$5,A4940&lt;=Inputs!$B$6),1,0)</f>
        <v/>
      </c>
    </row>
    <row r="4941">
      <c r="A4941" t="inlineStr">
        <is>
          <t>2025-09</t>
        </is>
      </c>
      <c r="B4941" t="inlineStr">
        <is>
          <t>HOSP-4</t>
        </is>
      </c>
      <c r="C4941" t="inlineStr">
        <is>
          <t>SS-01047</t>
        </is>
      </c>
      <c r="D4941" t="n">
        <v>12</v>
      </c>
      <c r="E4941" t="n">
        <v>0</v>
      </c>
      <c r="G4941">
        <f>IF(AND(A4941&gt;=Inputs!$B$5,A4941&lt;=Inputs!$B$6),1,0)</f>
        <v/>
      </c>
    </row>
    <row r="4942">
      <c r="A4942" t="inlineStr">
        <is>
          <t>2025-09</t>
        </is>
      </c>
      <c r="B4942" t="inlineStr">
        <is>
          <t>HOSP-1</t>
        </is>
      </c>
      <c r="C4942" t="inlineStr">
        <is>
          <t>SS-01024</t>
        </is>
      </c>
      <c r="D4942" t="n">
        <v>48</v>
      </c>
      <c r="E4942" t="n">
        <v>1</v>
      </c>
      <c r="G4942">
        <f>IF(AND(A4942&gt;=Inputs!$B$5,A4942&lt;=Inputs!$B$6),1,0)</f>
        <v/>
      </c>
    </row>
    <row r="4943">
      <c r="A4943" t="inlineStr">
        <is>
          <t>2025-09</t>
        </is>
      </c>
      <c r="B4943" t="inlineStr">
        <is>
          <t>HOSP-2</t>
        </is>
      </c>
      <c r="C4943" t="inlineStr">
        <is>
          <t>SS-01049</t>
        </is>
      </c>
      <c r="D4943" t="n">
        <v>72</v>
      </c>
      <c r="E4943" t="n">
        <v>0</v>
      </c>
      <c r="G4943">
        <f>IF(AND(A4943&gt;=Inputs!$B$5,A4943&lt;=Inputs!$B$6),1,0)</f>
        <v/>
      </c>
    </row>
    <row r="4944">
      <c r="A4944" t="inlineStr">
        <is>
          <t>2025-09</t>
        </is>
      </c>
      <c r="B4944" t="inlineStr">
        <is>
          <t>HOSP-3</t>
        </is>
      </c>
      <c r="C4944" t="inlineStr">
        <is>
          <t>SS-01050</t>
        </is>
      </c>
      <c r="D4944" t="n">
        <v>60</v>
      </c>
      <c r="E4944" t="n">
        <v>0</v>
      </c>
      <c r="G4944">
        <f>IF(AND(A4944&gt;=Inputs!$B$5,A4944&lt;=Inputs!$B$6),1,0)</f>
        <v/>
      </c>
    </row>
    <row r="4945">
      <c r="A4945" t="inlineStr">
        <is>
          <t>2025-09</t>
        </is>
      </c>
      <c r="B4945" t="inlineStr">
        <is>
          <t>HOSP-4</t>
        </is>
      </c>
      <c r="C4945" t="inlineStr">
        <is>
          <t>SS-01085</t>
        </is>
      </c>
      <c r="D4945" t="n">
        <v>0</v>
      </c>
      <c r="E4945" t="n">
        <v>0</v>
      </c>
      <c r="G4945">
        <f>IF(AND(A4945&gt;=Inputs!$B$5,A4945&lt;=Inputs!$B$6),1,0)</f>
        <v/>
      </c>
    </row>
    <row r="4946">
      <c r="A4946" t="inlineStr">
        <is>
          <t>2025-09</t>
        </is>
      </c>
      <c r="B4946" t="inlineStr">
        <is>
          <t>HOSP-1</t>
        </is>
      </c>
      <c r="C4946" t="inlineStr">
        <is>
          <t>SS-01098</t>
        </is>
      </c>
      <c r="D4946" t="n">
        <v>56</v>
      </c>
      <c r="E4946" t="n">
        <v>1</v>
      </c>
      <c r="G4946">
        <f>IF(AND(A4946&gt;=Inputs!$B$5,A4946&lt;=Inputs!$B$6),1,0)</f>
        <v/>
      </c>
    </row>
    <row r="4947">
      <c r="A4947" t="inlineStr">
        <is>
          <t>2025-09</t>
        </is>
      </c>
      <c r="B4947" t="inlineStr">
        <is>
          <t>HOSP-2</t>
        </is>
      </c>
      <c r="C4947" t="inlineStr">
        <is>
          <t>SS-01053</t>
        </is>
      </c>
      <c r="D4947" t="n">
        <v>12</v>
      </c>
      <c r="E4947" t="n">
        <v>0</v>
      </c>
      <c r="G4947">
        <f>IF(AND(A4947&gt;=Inputs!$B$5,A4947&lt;=Inputs!$B$6),1,0)</f>
        <v/>
      </c>
    </row>
    <row r="4948">
      <c r="A4948" t="inlineStr">
        <is>
          <t>2025-09</t>
        </is>
      </c>
      <c r="B4948" t="inlineStr">
        <is>
          <t>HOSP-3</t>
        </is>
      </c>
      <c r="C4948" t="inlineStr">
        <is>
          <t>SS-01054</t>
        </is>
      </c>
      <c r="D4948" t="n">
        <v>0</v>
      </c>
      <c r="E4948" t="n">
        <v>0</v>
      </c>
      <c r="G4948">
        <f>IF(AND(A4948&gt;=Inputs!$B$5,A4948&lt;=Inputs!$B$6),1,0)</f>
        <v/>
      </c>
    </row>
    <row r="4949">
      <c r="A4949" t="inlineStr">
        <is>
          <t>2025-09</t>
        </is>
      </c>
      <c r="B4949" t="inlineStr">
        <is>
          <t>HOSP-4</t>
        </is>
      </c>
      <c r="C4949" t="inlineStr">
        <is>
          <t>SS-01120</t>
        </is>
      </c>
      <c r="D4949" t="n">
        <v>120</v>
      </c>
      <c r="E4949" t="n">
        <v>0</v>
      </c>
      <c r="G4949">
        <f>IF(AND(A4949&gt;=Inputs!$B$5,A4949&lt;=Inputs!$B$6),1,0)</f>
        <v/>
      </c>
    </row>
    <row r="4950">
      <c r="A4950" t="inlineStr">
        <is>
          <t>2025-09</t>
        </is>
      </c>
      <c r="B4950" t="inlineStr">
        <is>
          <t>HOSP-1</t>
        </is>
      </c>
      <c r="C4950" t="inlineStr">
        <is>
          <t>SS-01056</t>
        </is>
      </c>
      <c r="D4950" t="n">
        <v>64</v>
      </c>
      <c r="E4950" t="n">
        <v>0</v>
      </c>
      <c r="G4950">
        <f>IF(AND(A4950&gt;=Inputs!$B$5,A4950&lt;=Inputs!$B$6),1,0)</f>
        <v/>
      </c>
    </row>
    <row r="4951">
      <c r="A4951" t="inlineStr">
        <is>
          <t>2025-09</t>
        </is>
      </c>
      <c r="B4951" t="inlineStr">
        <is>
          <t>HOSP-2</t>
        </is>
      </c>
      <c r="C4951" t="inlineStr">
        <is>
          <t>SS-01057</t>
        </is>
      </c>
      <c r="D4951" t="n">
        <v>60</v>
      </c>
      <c r="E4951" t="n">
        <v>0</v>
      </c>
      <c r="G4951">
        <f>IF(AND(A4951&gt;=Inputs!$B$5,A4951&lt;=Inputs!$B$6),1,0)</f>
        <v/>
      </c>
    </row>
    <row r="4952">
      <c r="A4952" t="inlineStr">
        <is>
          <t>2025-09</t>
        </is>
      </c>
      <c r="B4952" t="inlineStr">
        <is>
          <t>HOSP-3</t>
        </is>
      </c>
      <c r="C4952" t="inlineStr">
        <is>
          <t>SS-01058</t>
        </is>
      </c>
      <c r="D4952" t="n">
        <v>12</v>
      </c>
      <c r="E4952" t="n">
        <v>0</v>
      </c>
      <c r="G4952">
        <f>IF(AND(A4952&gt;=Inputs!$B$5,A4952&lt;=Inputs!$B$6),1,0)</f>
        <v/>
      </c>
    </row>
    <row r="4953">
      <c r="A4953" t="inlineStr">
        <is>
          <t>2025-09</t>
        </is>
      </c>
      <c r="B4953" t="inlineStr">
        <is>
          <t>HOSP-4</t>
        </is>
      </c>
      <c r="C4953" t="inlineStr">
        <is>
          <t>SS-01123</t>
        </is>
      </c>
      <c r="D4953" t="n">
        <v>39</v>
      </c>
      <c r="E4953" t="n">
        <v>1</v>
      </c>
      <c r="G4953">
        <f>IF(AND(A4953&gt;=Inputs!$B$5,A4953&lt;=Inputs!$B$6),1,0)</f>
        <v/>
      </c>
    </row>
    <row r="4954">
      <c r="A4954" t="inlineStr">
        <is>
          <t>2025-09</t>
        </is>
      </c>
      <c r="B4954" t="inlineStr">
        <is>
          <t>HOSP-1</t>
        </is>
      </c>
      <c r="C4954" t="inlineStr">
        <is>
          <t>SS-01060</t>
        </is>
      </c>
      <c r="D4954" t="n">
        <v>17</v>
      </c>
      <c r="E4954" t="n">
        <v>2</v>
      </c>
      <c r="G4954">
        <f>IF(AND(A4954&gt;=Inputs!$B$5,A4954&lt;=Inputs!$B$6),1,0)</f>
        <v/>
      </c>
    </row>
    <row r="4955">
      <c r="A4955" t="inlineStr">
        <is>
          <t>2025-09</t>
        </is>
      </c>
      <c r="B4955" t="inlineStr">
        <is>
          <t>HOSP-2</t>
        </is>
      </c>
      <c r="C4955" t="inlineStr">
        <is>
          <t>SS-01061</t>
        </is>
      </c>
      <c r="D4955" t="n">
        <v>12</v>
      </c>
      <c r="E4955" t="n">
        <v>0</v>
      </c>
      <c r="G4955">
        <f>IF(AND(A4955&gt;=Inputs!$B$5,A4955&lt;=Inputs!$B$6),1,0)</f>
        <v/>
      </c>
    </row>
    <row r="4956">
      <c r="A4956" t="inlineStr">
        <is>
          <t>2025-09</t>
        </is>
      </c>
      <c r="B4956" t="inlineStr">
        <is>
          <t>HOSP-3</t>
        </is>
      </c>
      <c r="C4956" t="inlineStr">
        <is>
          <t>SS-01062</t>
        </is>
      </c>
      <c r="D4956" t="n">
        <v>12</v>
      </c>
      <c r="E4956" t="n">
        <v>0</v>
      </c>
      <c r="G4956">
        <f>IF(AND(A4956&gt;=Inputs!$B$5,A4956&lt;=Inputs!$B$6),1,0)</f>
        <v/>
      </c>
    </row>
    <row r="4957">
      <c r="A4957" t="inlineStr">
        <is>
          <t>2025-09</t>
        </is>
      </c>
      <c r="B4957" t="inlineStr">
        <is>
          <t>HOSP-4</t>
        </is>
      </c>
      <c r="C4957" t="inlineStr">
        <is>
          <t>SS-01204</t>
        </is>
      </c>
      <c r="D4957" t="n">
        <v>21</v>
      </c>
      <c r="E4957" t="n">
        <v>0</v>
      </c>
      <c r="G4957">
        <f>IF(AND(A4957&gt;=Inputs!$B$5,A4957&lt;=Inputs!$B$6),1,0)</f>
        <v/>
      </c>
    </row>
    <row r="4958">
      <c r="A4958" t="inlineStr">
        <is>
          <t>2025-09</t>
        </is>
      </c>
      <c r="B4958" t="inlineStr">
        <is>
          <t>HOSP-1</t>
        </is>
      </c>
      <c r="C4958" t="inlineStr">
        <is>
          <t>SS-01064</t>
        </is>
      </c>
      <c r="D4958" t="n">
        <v>36</v>
      </c>
      <c r="E4958" t="n">
        <v>0</v>
      </c>
      <c r="G4958">
        <f>IF(AND(A4958&gt;=Inputs!$B$5,A4958&lt;=Inputs!$B$6),1,0)</f>
        <v/>
      </c>
    </row>
    <row r="4959">
      <c r="A4959" t="inlineStr">
        <is>
          <t>2025-09</t>
        </is>
      </c>
      <c r="B4959" t="inlineStr">
        <is>
          <t>HOSP-2</t>
        </is>
      </c>
      <c r="C4959" t="inlineStr">
        <is>
          <t>SS-01164</t>
        </is>
      </c>
      <c r="D4959" t="n">
        <v>24</v>
      </c>
      <c r="E4959" t="n">
        <v>0</v>
      </c>
      <c r="G4959">
        <f>IF(AND(A4959&gt;=Inputs!$B$5,A4959&lt;=Inputs!$B$6),1,0)</f>
        <v/>
      </c>
    </row>
    <row r="4960">
      <c r="A4960" t="inlineStr">
        <is>
          <t>2025-09</t>
        </is>
      </c>
      <c r="B4960" t="inlineStr">
        <is>
          <t>HOSP-3</t>
        </is>
      </c>
      <c r="C4960" t="inlineStr">
        <is>
          <t>SS-01158</t>
        </is>
      </c>
      <c r="D4960" t="n">
        <v>27</v>
      </c>
      <c r="E4960" t="n">
        <v>2</v>
      </c>
      <c r="G4960">
        <f>IF(AND(A4960&gt;=Inputs!$B$5,A4960&lt;=Inputs!$B$6),1,0)</f>
        <v/>
      </c>
    </row>
    <row r="4961">
      <c r="A4961" t="inlineStr">
        <is>
          <t>2025-09</t>
        </is>
      </c>
      <c r="B4961" t="inlineStr">
        <is>
          <t>HOSP-4</t>
        </is>
      </c>
      <c r="C4961" t="inlineStr">
        <is>
          <t>SS-01067</t>
        </is>
      </c>
      <c r="D4961" t="n">
        <v>36</v>
      </c>
      <c r="E4961" t="n">
        <v>0</v>
      </c>
      <c r="G4961">
        <f>IF(AND(A4961&gt;=Inputs!$B$5,A4961&lt;=Inputs!$B$6),1,0)</f>
        <v/>
      </c>
    </row>
    <row r="4962">
      <c r="A4962" t="inlineStr">
        <is>
          <t>2025-09</t>
        </is>
      </c>
      <c r="B4962" t="inlineStr">
        <is>
          <t>HOSP-1</t>
        </is>
      </c>
      <c r="C4962" t="inlineStr">
        <is>
          <t>SS-01068</t>
        </is>
      </c>
      <c r="D4962" t="n">
        <v>36</v>
      </c>
      <c r="E4962" t="n">
        <v>0</v>
      </c>
      <c r="G4962">
        <f>IF(AND(A4962&gt;=Inputs!$B$5,A4962&lt;=Inputs!$B$6),1,0)</f>
        <v/>
      </c>
    </row>
    <row r="4963">
      <c r="A4963" t="inlineStr">
        <is>
          <t>2025-09</t>
        </is>
      </c>
      <c r="B4963" t="inlineStr">
        <is>
          <t>HOSP-2</t>
        </is>
      </c>
      <c r="C4963" t="inlineStr">
        <is>
          <t>SS-01104</t>
        </is>
      </c>
      <c r="D4963" t="n">
        <v>0</v>
      </c>
      <c r="E4963" t="n">
        <v>4</v>
      </c>
      <c r="G4963">
        <f>IF(AND(A4963&gt;=Inputs!$B$5,A4963&lt;=Inputs!$B$6),1,0)</f>
        <v/>
      </c>
    </row>
    <row r="4964">
      <c r="A4964" t="inlineStr">
        <is>
          <t>2025-09</t>
        </is>
      </c>
      <c r="B4964" t="inlineStr">
        <is>
          <t>HOSP-3</t>
        </is>
      </c>
      <c r="C4964" t="inlineStr">
        <is>
          <t>SS-01070</t>
        </is>
      </c>
      <c r="D4964" t="n">
        <v>12</v>
      </c>
      <c r="E4964" t="n">
        <v>0</v>
      </c>
      <c r="G4964">
        <f>IF(AND(A4964&gt;=Inputs!$B$5,A4964&lt;=Inputs!$B$6),1,0)</f>
        <v/>
      </c>
    </row>
    <row r="4965">
      <c r="A4965" t="inlineStr">
        <is>
          <t>2025-09</t>
        </is>
      </c>
      <c r="B4965" t="inlineStr">
        <is>
          <t>HOSP-4</t>
        </is>
      </c>
      <c r="C4965" t="inlineStr">
        <is>
          <t>SS-01083</t>
        </is>
      </c>
      <c r="D4965" t="n">
        <v>0</v>
      </c>
      <c r="E4965" t="n">
        <v>2</v>
      </c>
      <c r="G4965">
        <f>IF(AND(A4965&gt;=Inputs!$B$5,A4965&lt;=Inputs!$B$6),1,0)</f>
        <v/>
      </c>
    </row>
    <row r="4966">
      <c r="A4966" t="inlineStr">
        <is>
          <t>2025-09</t>
        </is>
      </c>
      <c r="B4966" t="inlineStr">
        <is>
          <t>HOSP-1</t>
        </is>
      </c>
      <c r="C4966" t="inlineStr">
        <is>
          <t>SS-01072</t>
        </is>
      </c>
      <c r="D4966" t="n">
        <v>18</v>
      </c>
      <c r="E4966" t="n">
        <v>1</v>
      </c>
      <c r="G4966">
        <f>IF(AND(A4966&gt;=Inputs!$B$5,A4966&lt;=Inputs!$B$6),1,0)</f>
        <v/>
      </c>
    </row>
    <row r="4967">
      <c r="A4967" t="inlineStr">
        <is>
          <t>2025-09</t>
        </is>
      </c>
      <c r="B4967" t="inlineStr">
        <is>
          <t>HOSP-2</t>
        </is>
      </c>
      <c r="C4967" t="inlineStr">
        <is>
          <t>SS-01017</t>
        </is>
      </c>
      <c r="D4967" t="n">
        <v>33</v>
      </c>
      <c r="E4967" t="n">
        <v>2</v>
      </c>
      <c r="G4967">
        <f>IF(AND(A4967&gt;=Inputs!$B$5,A4967&lt;=Inputs!$B$6),1,0)</f>
        <v/>
      </c>
    </row>
    <row r="4968">
      <c r="A4968" t="inlineStr">
        <is>
          <t>2025-09</t>
        </is>
      </c>
      <c r="B4968" t="inlineStr">
        <is>
          <t>HOSP-3</t>
        </is>
      </c>
      <c r="C4968" t="inlineStr">
        <is>
          <t>SS-01155</t>
        </is>
      </c>
      <c r="D4968" t="n">
        <v>24</v>
      </c>
      <c r="E4968" t="n">
        <v>0</v>
      </c>
      <c r="G4968">
        <f>IF(AND(A4968&gt;=Inputs!$B$5,A4968&lt;=Inputs!$B$6),1,0)</f>
        <v/>
      </c>
    </row>
    <row r="4969">
      <c r="A4969" t="inlineStr">
        <is>
          <t>2025-09</t>
        </is>
      </c>
      <c r="B4969" t="inlineStr">
        <is>
          <t>HOSP-4</t>
        </is>
      </c>
      <c r="C4969" t="inlineStr">
        <is>
          <t>SS-01075</t>
        </is>
      </c>
      <c r="D4969" t="n">
        <v>48</v>
      </c>
      <c r="E4969" t="n">
        <v>0</v>
      </c>
      <c r="G4969">
        <f>IF(AND(A4969&gt;=Inputs!$B$5,A4969&lt;=Inputs!$B$6),1,0)</f>
        <v/>
      </c>
    </row>
    <row r="4970">
      <c r="A4970" t="inlineStr">
        <is>
          <t>2025-09</t>
        </is>
      </c>
      <c r="B4970" t="inlineStr">
        <is>
          <t>HOSP-1</t>
        </is>
      </c>
      <c r="C4970" t="inlineStr">
        <is>
          <t>SS-01076</t>
        </is>
      </c>
      <c r="D4970" t="n">
        <v>144</v>
      </c>
      <c r="E4970" t="n">
        <v>0</v>
      </c>
      <c r="G4970">
        <f>IF(AND(A4970&gt;=Inputs!$B$5,A4970&lt;=Inputs!$B$6),1,0)</f>
        <v/>
      </c>
    </row>
    <row r="4971">
      <c r="A4971" t="inlineStr">
        <is>
          <t>2025-09</t>
        </is>
      </c>
      <c r="B4971" t="inlineStr">
        <is>
          <t>HOSP-2</t>
        </is>
      </c>
      <c r="C4971" t="inlineStr">
        <is>
          <t>SS-01077</t>
        </is>
      </c>
      <c r="D4971" t="n">
        <v>48</v>
      </c>
      <c r="E4971" t="n">
        <v>0</v>
      </c>
      <c r="G4971">
        <f>IF(AND(A4971&gt;=Inputs!$B$5,A4971&lt;=Inputs!$B$6),1,0)</f>
        <v/>
      </c>
    </row>
    <row r="4972">
      <c r="A4972" t="inlineStr">
        <is>
          <t>2025-09</t>
        </is>
      </c>
      <c r="B4972" t="inlineStr">
        <is>
          <t>HOSP-3</t>
        </is>
      </c>
      <c r="C4972" t="inlineStr">
        <is>
          <t>SS-01078</t>
        </is>
      </c>
      <c r="D4972" t="n">
        <v>22</v>
      </c>
      <c r="E4972" t="n">
        <v>0</v>
      </c>
      <c r="G4972">
        <f>IF(AND(A4972&gt;=Inputs!$B$5,A4972&lt;=Inputs!$B$6),1,0)</f>
        <v/>
      </c>
    </row>
    <row r="4973">
      <c r="A4973" t="inlineStr">
        <is>
          <t>2025-09</t>
        </is>
      </c>
      <c r="B4973" t="inlineStr">
        <is>
          <t>HOSP-4</t>
        </is>
      </c>
      <c r="C4973" t="inlineStr">
        <is>
          <t>SS-01079</t>
        </is>
      </c>
      <c r="D4973" t="n">
        <v>24</v>
      </c>
      <c r="E4973" t="n">
        <v>0</v>
      </c>
      <c r="G4973">
        <f>IF(AND(A4973&gt;=Inputs!$B$5,A4973&lt;=Inputs!$B$6),1,0)</f>
        <v/>
      </c>
    </row>
    <row r="4974">
      <c r="A4974" t="inlineStr">
        <is>
          <t>2025-09</t>
        </is>
      </c>
      <c r="B4974" t="inlineStr">
        <is>
          <t>HOSP-1</t>
        </is>
      </c>
      <c r="C4974" t="inlineStr">
        <is>
          <t>SS-01080</t>
        </is>
      </c>
      <c r="D4974" t="n">
        <v>31</v>
      </c>
      <c r="E4974" t="n">
        <v>1</v>
      </c>
      <c r="G4974">
        <f>IF(AND(A4974&gt;=Inputs!$B$5,A4974&lt;=Inputs!$B$6),1,0)</f>
        <v/>
      </c>
    </row>
    <row r="4975">
      <c r="A4975" t="inlineStr">
        <is>
          <t>2025-09</t>
        </is>
      </c>
      <c r="B4975" t="inlineStr">
        <is>
          <t>HOSP-2</t>
        </is>
      </c>
      <c r="C4975" t="inlineStr">
        <is>
          <t>SS-01081</t>
        </is>
      </c>
      <c r="D4975" t="n">
        <v>36</v>
      </c>
      <c r="E4975" t="n">
        <v>0</v>
      </c>
      <c r="G4975">
        <f>IF(AND(A4975&gt;=Inputs!$B$5,A4975&lt;=Inputs!$B$6),1,0)</f>
        <v/>
      </c>
    </row>
    <row r="4976">
      <c r="A4976" t="inlineStr">
        <is>
          <t>2025-09</t>
        </is>
      </c>
      <c r="B4976" t="inlineStr">
        <is>
          <t>HOSP-3</t>
        </is>
      </c>
      <c r="C4976" t="inlineStr">
        <is>
          <t>SS-01082</t>
        </is>
      </c>
      <c r="D4976" t="n">
        <v>12</v>
      </c>
      <c r="E4976" t="n">
        <v>0</v>
      </c>
      <c r="G4976">
        <f>IF(AND(A4976&gt;=Inputs!$B$5,A4976&lt;=Inputs!$B$6),1,0)</f>
        <v/>
      </c>
    </row>
    <row r="4977">
      <c r="A4977" t="inlineStr">
        <is>
          <t>2025-09</t>
        </is>
      </c>
      <c r="B4977" t="inlineStr">
        <is>
          <t>HOSP-4</t>
        </is>
      </c>
      <c r="C4977" t="inlineStr">
        <is>
          <t>SS-01186</t>
        </is>
      </c>
      <c r="D4977" t="n">
        <v>12</v>
      </c>
      <c r="E4977" t="n">
        <v>0</v>
      </c>
      <c r="G4977">
        <f>IF(AND(A4977&gt;=Inputs!$B$5,A4977&lt;=Inputs!$B$6),1,0)</f>
        <v/>
      </c>
    </row>
    <row r="4978">
      <c r="A4978" t="inlineStr">
        <is>
          <t>2025-09</t>
        </is>
      </c>
      <c r="B4978" t="inlineStr">
        <is>
          <t>HOSP-1</t>
        </is>
      </c>
      <c r="C4978" t="inlineStr">
        <is>
          <t>SS-01084</t>
        </is>
      </c>
      <c r="D4978" t="n">
        <v>14</v>
      </c>
      <c r="E4978" t="n">
        <v>0</v>
      </c>
      <c r="G4978">
        <f>IF(AND(A4978&gt;=Inputs!$B$5,A4978&lt;=Inputs!$B$6),1,0)</f>
        <v/>
      </c>
    </row>
    <row r="4979">
      <c r="A4979" t="inlineStr">
        <is>
          <t>2025-09</t>
        </is>
      </c>
      <c r="B4979" t="inlineStr">
        <is>
          <t>HOSP-2</t>
        </is>
      </c>
      <c r="C4979" t="inlineStr">
        <is>
          <t>SS-01085</t>
        </is>
      </c>
      <c r="D4979" t="n">
        <v>20</v>
      </c>
      <c r="E4979" t="n">
        <v>0</v>
      </c>
      <c r="G4979">
        <f>IF(AND(A4979&gt;=Inputs!$B$5,A4979&lt;=Inputs!$B$6),1,0)</f>
        <v/>
      </c>
    </row>
    <row r="4980">
      <c r="A4980" t="inlineStr">
        <is>
          <t>2025-09</t>
        </is>
      </c>
      <c r="B4980" t="inlineStr">
        <is>
          <t>HOSP-3</t>
        </is>
      </c>
      <c r="C4980" t="inlineStr">
        <is>
          <t>SS-01086</t>
        </is>
      </c>
      <c r="D4980" t="n">
        <v>0</v>
      </c>
      <c r="E4980" t="n">
        <v>7</v>
      </c>
      <c r="G4980">
        <f>IF(AND(A4980&gt;=Inputs!$B$5,A4980&lt;=Inputs!$B$6),1,0)</f>
        <v/>
      </c>
    </row>
    <row r="4981">
      <c r="A4981" t="inlineStr">
        <is>
          <t>2025-09</t>
        </is>
      </c>
      <c r="B4981" t="inlineStr">
        <is>
          <t>HOSP-4</t>
        </is>
      </c>
      <c r="C4981" t="inlineStr">
        <is>
          <t>SS-01118</t>
        </is>
      </c>
      <c r="D4981" t="n">
        <v>3</v>
      </c>
      <c r="E4981" t="n">
        <v>1</v>
      </c>
      <c r="G4981">
        <f>IF(AND(A4981&gt;=Inputs!$B$5,A4981&lt;=Inputs!$B$6),1,0)</f>
        <v/>
      </c>
    </row>
    <row r="4982">
      <c r="A4982" t="inlineStr">
        <is>
          <t>2025-09</t>
        </is>
      </c>
      <c r="B4982" t="inlineStr">
        <is>
          <t>HOSP-1</t>
        </is>
      </c>
      <c r="C4982" t="inlineStr">
        <is>
          <t>SS-01088</t>
        </is>
      </c>
      <c r="D4982" t="n">
        <v>0</v>
      </c>
      <c r="E4982" t="n">
        <v>0</v>
      </c>
      <c r="G4982">
        <f>IF(AND(A4982&gt;=Inputs!$B$5,A4982&lt;=Inputs!$B$6),1,0)</f>
        <v/>
      </c>
    </row>
    <row r="4983">
      <c r="A4983" t="inlineStr">
        <is>
          <t>2025-09</t>
        </is>
      </c>
      <c r="B4983" t="inlineStr">
        <is>
          <t>HOSP-2</t>
        </is>
      </c>
      <c r="C4983" t="inlineStr">
        <is>
          <t>SS-01089</t>
        </is>
      </c>
      <c r="D4983" t="n">
        <v>36</v>
      </c>
      <c r="E4983" t="n">
        <v>0</v>
      </c>
      <c r="G4983">
        <f>IF(AND(A4983&gt;=Inputs!$B$5,A4983&lt;=Inputs!$B$6),1,0)</f>
        <v/>
      </c>
    </row>
    <row r="4984">
      <c r="A4984" t="inlineStr">
        <is>
          <t>2025-09</t>
        </is>
      </c>
      <c r="B4984" t="inlineStr">
        <is>
          <t>HOSP-3</t>
        </is>
      </c>
      <c r="C4984" t="inlineStr">
        <is>
          <t>SS-01090</t>
        </is>
      </c>
      <c r="D4984" t="n">
        <v>0</v>
      </c>
      <c r="E4984" t="n">
        <v>0</v>
      </c>
      <c r="G4984">
        <f>IF(AND(A4984&gt;=Inputs!$B$5,A4984&lt;=Inputs!$B$6),1,0)</f>
        <v/>
      </c>
    </row>
    <row r="4985">
      <c r="A4985" t="inlineStr">
        <is>
          <t>2025-09</t>
        </is>
      </c>
      <c r="B4985" t="inlineStr">
        <is>
          <t>HOSP-4</t>
        </is>
      </c>
      <c r="C4985" t="inlineStr">
        <is>
          <t>SS-01091</t>
        </is>
      </c>
      <c r="D4985" t="n">
        <v>22</v>
      </c>
      <c r="E4985" t="n">
        <v>0</v>
      </c>
      <c r="G4985">
        <f>IF(AND(A4985&gt;=Inputs!$B$5,A4985&lt;=Inputs!$B$6),1,0)</f>
        <v/>
      </c>
    </row>
    <row r="4986">
      <c r="A4986" t="inlineStr">
        <is>
          <t>2025-09</t>
        </is>
      </c>
      <c r="B4986" t="inlineStr">
        <is>
          <t>HOSP-1</t>
        </is>
      </c>
      <c r="C4986" t="inlineStr">
        <is>
          <t>SS-01092</t>
        </is>
      </c>
      <c r="D4986" t="n">
        <v>12</v>
      </c>
      <c r="E4986" t="n">
        <v>0</v>
      </c>
      <c r="G4986">
        <f>IF(AND(A4986&gt;=Inputs!$B$5,A4986&lt;=Inputs!$B$6),1,0)</f>
        <v/>
      </c>
    </row>
    <row r="4987">
      <c r="A4987" t="inlineStr">
        <is>
          <t>2025-09</t>
        </is>
      </c>
      <c r="B4987" t="inlineStr">
        <is>
          <t>HOSP-2</t>
        </is>
      </c>
      <c r="C4987" t="inlineStr">
        <is>
          <t>SS-01093</t>
        </is>
      </c>
      <c r="D4987" t="n">
        <v>0</v>
      </c>
      <c r="E4987" t="n">
        <v>0</v>
      </c>
      <c r="G4987">
        <f>IF(AND(A4987&gt;=Inputs!$B$5,A4987&lt;=Inputs!$B$6),1,0)</f>
        <v/>
      </c>
    </row>
    <row r="4988">
      <c r="A4988" t="inlineStr">
        <is>
          <t>2025-09</t>
        </is>
      </c>
      <c r="B4988" t="inlineStr">
        <is>
          <t>HOSP-3</t>
        </is>
      </c>
      <c r="C4988" t="inlineStr">
        <is>
          <t>SS-01094</t>
        </is>
      </c>
      <c r="D4988" t="n">
        <v>48</v>
      </c>
      <c r="E4988" t="n">
        <v>0</v>
      </c>
      <c r="G4988">
        <f>IF(AND(A4988&gt;=Inputs!$B$5,A4988&lt;=Inputs!$B$6),1,0)</f>
        <v/>
      </c>
    </row>
    <row r="4989">
      <c r="A4989" t="inlineStr">
        <is>
          <t>2025-09</t>
        </is>
      </c>
      <c r="B4989" t="inlineStr">
        <is>
          <t>HOSP-4</t>
        </is>
      </c>
      <c r="C4989" t="inlineStr">
        <is>
          <t>SS-01095</t>
        </is>
      </c>
      <c r="D4989" t="n">
        <v>12</v>
      </c>
      <c r="E4989" t="n">
        <v>0</v>
      </c>
      <c r="G4989">
        <f>IF(AND(A4989&gt;=Inputs!$B$5,A4989&lt;=Inputs!$B$6),1,0)</f>
        <v/>
      </c>
    </row>
    <row r="4990">
      <c r="A4990" t="inlineStr">
        <is>
          <t>2025-09</t>
        </is>
      </c>
      <c r="B4990" t="inlineStr">
        <is>
          <t>HOSP-1</t>
        </is>
      </c>
      <c r="C4990" t="inlineStr">
        <is>
          <t>SS-01096</t>
        </is>
      </c>
      <c r="D4990" t="n">
        <v>5</v>
      </c>
      <c r="E4990" t="n">
        <v>1</v>
      </c>
      <c r="G4990">
        <f>IF(AND(A4990&gt;=Inputs!$B$5,A4990&lt;=Inputs!$B$6),1,0)</f>
        <v/>
      </c>
    </row>
    <row r="4991">
      <c r="A4991" t="inlineStr">
        <is>
          <t>2025-09</t>
        </is>
      </c>
      <c r="B4991" t="inlineStr">
        <is>
          <t>HOSP-2</t>
        </is>
      </c>
      <c r="C4991" t="inlineStr">
        <is>
          <t>SS-01097</t>
        </is>
      </c>
      <c r="D4991" t="n">
        <v>30</v>
      </c>
      <c r="E4991" t="n">
        <v>0</v>
      </c>
      <c r="G4991">
        <f>IF(AND(A4991&gt;=Inputs!$B$5,A4991&lt;=Inputs!$B$6),1,0)</f>
        <v/>
      </c>
    </row>
    <row r="4992">
      <c r="A4992" t="inlineStr">
        <is>
          <t>2025-09</t>
        </is>
      </c>
      <c r="B4992" t="inlineStr">
        <is>
          <t>HOSP-3</t>
        </is>
      </c>
      <c r="C4992" t="inlineStr">
        <is>
          <t>SS-01098</t>
        </is>
      </c>
      <c r="D4992" t="n">
        <v>18</v>
      </c>
      <c r="E4992" t="n">
        <v>0</v>
      </c>
      <c r="G4992">
        <f>IF(AND(A4992&gt;=Inputs!$B$5,A4992&lt;=Inputs!$B$6),1,0)</f>
        <v/>
      </c>
    </row>
    <row r="4993">
      <c r="A4993" t="inlineStr">
        <is>
          <t>2025-09</t>
        </is>
      </c>
      <c r="B4993" t="inlineStr">
        <is>
          <t>HOSP-4</t>
        </is>
      </c>
      <c r="C4993" t="inlineStr">
        <is>
          <t>SS-01099</t>
        </is>
      </c>
      <c r="D4993" t="n">
        <v>0</v>
      </c>
      <c r="E4993" t="n">
        <v>0</v>
      </c>
      <c r="G4993">
        <f>IF(AND(A4993&gt;=Inputs!$B$5,A4993&lt;=Inputs!$B$6),1,0)</f>
        <v/>
      </c>
    </row>
    <row r="4994">
      <c r="A4994" t="inlineStr">
        <is>
          <t>2025-09</t>
        </is>
      </c>
      <c r="B4994" t="inlineStr">
        <is>
          <t>HOSP-1</t>
        </is>
      </c>
      <c r="C4994" t="inlineStr">
        <is>
          <t>SS-01100</t>
        </is>
      </c>
      <c r="D4994" t="n">
        <v>0</v>
      </c>
      <c r="E4994" t="n">
        <v>0</v>
      </c>
      <c r="G4994">
        <f>IF(AND(A4994&gt;=Inputs!$B$5,A4994&lt;=Inputs!$B$6),1,0)</f>
        <v/>
      </c>
    </row>
    <row r="4995">
      <c r="A4995" t="inlineStr">
        <is>
          <t>2025-09</t>
        </is>
      </c>
      <c r="B4995" t="inlineStr">
        <is>
          <t>HOSP-2</t>
        </is>
      </c>
      <c r="C4995" t="inlineStr">
        <is>
          <t>SS-01101</t>
        </is>
      </c>
      <c r="D4995" t="n">
        <v>12</v>
      </c>
      <c r="E4995" t="n">
        <v>0</v>
      </c>
      <c r="G4995">
        <f>IF(AND(A4995&gt;=Inputs!$B$5,A4995&lt;=Inputs!$B$6),1,0)</f>
        <v/>
      </c>
    </row>
    <row r="4996">
      <c r="A4996" t="inlineStr">
        <is>
          <t>2025-09</t>
        </is>
      </c>
      <c r="B4996" t="inlineStr">
        <is>
          <t>HOSP-3</t>
        </is>
      </c>
      <c r="C4996" t="inlineStr">
        <is>
          <t>SS-01054</t>
        </is>
      </c>
      <c r="D4996" t="n">
        <v>1236</v>
      </c>
      <c r="E4996" t="n">
        <v>0</v>
      </c>
      <c r="G4996">
        <f>IF(AND(A4996&gt;=Inputs!$B$5,A4996&lt;=Inputs!$B$6),1,0)</f>
        <v/>
      </c>
    </row>
    <row r="4997">
      <c r="A4997" t="inlineStr">
        <is>
          <t>2025-09</t>
        </is>
      </c>
      <c r="B4997" t="inlineStr">
        <is>
          <t>HOSP-4</t>
        </is>
      </c>
      <c r="C4997" t="inlineStr">
        <is>
          <t>SS-01103</t>
        </is>
      </c>
      <c r="D4997" t="n">
        <v>136</v>
      </c>
      <c r="E4997" t="n">
        <v>0</v>
      </c>
      <c r="G4997">
        <f>IF(AND(A4997&gt;=Inputs!$B$5,A4997&lt;=Inputs!$B$6),1,0)</f>
        <v/>
      </c>
    </row>
    <row r="4998">
      <c r="A4998" t="inlineStr">
        <is>
          <t>2025-09</t>
        </is>
      </c>
      <c r="B4998" t="inlineStr">
        <is>
          <t>HOSP-1</t>
        </is>
      </c>
      <c r="C4998" t="inlineStr">
        <is>
          <t>SS-01104</t>
        </is>
      </c>
      <c r="D4998" t="n">
        <v>0</v>
      </c>
      <c r="E4998" t="n">
        <v>0</v>
      </c>
      <c r="G4998">
        <f>IF(AND(A4998&gt;=Inputs!$B$5,A4998&lt;=Inputs!$B$6),1,0)</f>
        <v/>
      </c>
    </row>
    <row r="4999">
      <c r="A4999" t="inlineStr">
        <is>
          <t>2025-09</t>
        </is>
      </c>
      <c r="B4999" t="inlineStr">
        <is>
          <t>HOSP-2</t>
        </is>
      </c>
      <c r="C4999" t="inlineStr">
        <is>
          <t>SS-01105</t>
        </is>
      </c>
      <c r="D4999" t="n">
        <v>120</v>
      </c>
      <c r="E4999" t="n">
        <v>0</v>
      </c>
      <c r="G4999">
        <f>IF(AND(A4999&gt;=Inputs!$B$5,A4999&lt;=Inputs!$B$6),1,0)</f>
        <v/>
      </c>
    </row>
    <row r="5000">
      <c r="A5000" t="inlineStr">
        <is>
          <t>2025-09</t>
        </is>
      </c>
      <c r="B5000" t="inlineStr">
        <is>
          <t>HOSP-3</t>
        </is>
      </c>
      <c r="C5000" t="inlineStr">
        <is>
          <t>SS-01106</t>
        </is>
      </c>
      <c r="D5000" t="n">
        <v>60</v>
      </c>
      <c r="E5000" t="n">
        <v>0</v>
      </c>
      <c r="G5000">
        <f>IF(AND(A5000&gt;=Inputs!$B$5,A5000&lt;=Inputs!$B$6),1,0)</f>
        <v/>
      </c>
    </row>
    <row r="5001">
      <c r="A5001" t="inlineStr">
        <is>
          <t>2025-09</t>
        </is>
      </c>
      <c r="B5001" t="inlineStr">
        <is>
          <t>HOSP-4</t>
        </is>
      </c>
      <c r="C5001" t="inlineStr">
        <is>
          <t>SS-01107</t>
        </is>
      </c>
      <c r="D5001" t="n">
        <v>24</v>
      </c>
      <c r="E5001" t="n">
        <v>0</v>
      </c>
      <c r="G5001">
        <f>IF(AND(A5001&gt;=Inputs!$B$5,A5001&lt;=Inputs!$B$6),1,0)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7" customWidth="1" min="5" max="5"/>
  </cols>
  <sheetData>
    <row r="1">
      <c r="A1" s="1" t="inlineStr">
        <is>
          <t>Per-SKU usage aggregates (formulas over Usage_Data; window = Inputs B5..B6)</t>
        </is>
      </c>
    </row>
    <row r="3">
      <c r="A3" s="6" t="inlineStr">
        <is>
          <t>sku_id</t>
        </is>
      </c>
      <c r="B3" s="6" t="inlineStr">
        <is>
          <t>window_usage</t>
        </is>
      </c>
      <c r="C3" s="6" t="inlineStr">
        <is>
          <t>base_monthly_usage</t>
        </is>
      </c>
      <c r="D3" s="6" t="inlineStr">
        <is>
          <t>surge_flags</t>
        </is>
      </c>
      <c r="E3" s="6" t="inlineStr">
        <is>
          <t>transfers_in_window</t>
        </is>
      </c>
    </row>
    <row r="4">
      <c r="A4" t="inlineStr">
        <is>
          <t>SS-01001</t>
        </is>
      </c>
      <c r="B4">
        <f>SUMIFS(Usage_Data!$D$2:$D$5001,Usage_Data!$C$2:$C$5001,$A4,Usage_Data!$G$2:$G$5001,1)</f>
        <v/>
      </c>
      <c r="C4">
        <f>B4/8</f>
        <v/>
      </c>
      <c r="D4">
        <f>COUNTIFS(Usage_Data!$C$2:$C$5001,$A4,Usage_Data!$F$2:$F$5001,"surge",Usage_Data!$G$2:$G$5001,1)</f>
        <v/>
      </c>
      <c r="E4">
        <f>SUMIFS(Usage_Data!$E$2:$E$5001,Usage_Data!$C$2:$C$5001,$A4,Usage_Data!$G$2:$G$5001,1)</f>
        <v/>
      </c>
    </row>
    <row r="5">
      <c r="A5" t="inlineStr">
        <is>
          <t>SS-01002</t>
        </is>
      </c>
      <c r="B5">
        <f>SUMIFS(Usage_Data!$D$2:$D$5001,Usage_Data!$C$2:$C$5001,$A5,Usage_Data!$G$2:$G$5001,1)</f>
        <v/>
      </c>
      <c r="C5">
        <f>B5/8</f>
        <v/>
      </c>
      <c r="D5">
        <f>COUNTIFS(Usage_Data!$C$2:$C$5001,$A5,Usage_Data!$F$2:$F$5001,"surge",Usage_Data!$G$2:$G$5001,1)</f>
        <v/>
      </c>
      <c r="E5">
        <f>SUMIFS(Usage_Data!$E$2:$E$5001,Usage_Data!$C$2:$C$5001,$A5,Usage_Data!$G$2:$G$5001,1)</f>
        <v/>
      </c>
    </row>
    <row r="6">
      <c r="A6" t="inlineStr">
        <is>
          <t>SS-01003</t>
        </is>
      </c>
      <c r="B6">
        <f>SUMIFS(Usage_Data!$D$2:$D$5001,Usage_Data!$C$2:$C$5001,$A6,Usage_Data!$G$2:$G$5001,1)</f>
        <v/>
      </c>
      <c r="C6">
        <f>B6/8</f>
        <v/>
      </c>
      <c r="D6">
        <f>COUNTIFS(Usage_Data!$C$2:$C$5001,$A6,Usage_Data!$F$2:$F$5001,"surge",Usage_Data!$G$2:$G$5001,1)</f>
        <v/>
      </c>
      <c r="E6">
        <f>SUMIFS(Usage_Data!$E$2:$E$5001,Usage_Data!$C$2:$C$5001,$A6,Usage_Data!$G$2:$G$5001,1)</f>
        <v/>
      </c>
    </row>
    <row r="7">
      <c r="A7" t="inlineStr">
        <is>
          <t>SS-01004</t>
        </is>
      </c>
      <c r="B7">
        <f>SUMIFS(Usage_Data!$D$2:$D$5001,Usage_Data!$C$2:$C$5001,$A7,Usage_Data!$G$2:$G$5001,1)</f>
        <v/>
      </c>
      <c r="C7">
        <f>B7/8</f>
        <v/>
      </c>
      <c r="D7">
        <f>COUNTIFS(Usage_Data!$C$2:$C$5001,$A7,Usage_Data!$F$2:$F$5001,"surge",Usage_Data!$G$2:$G$5001,1)</f>
        <v/>
      </c>
      <c r="E7">
        <f>SUMIFS(Usage_Data!$E$2:$E$5001,Usage_Data!$C$2:$C$5001,$A7,Usage_Data!$G$2:$G$5001,1)</f>
        <v/>
      </c>
    </row>
    <row r="8">
      <c r="A8" t="inlineStr">
        <is>
          <t>SS-01005</t>
        </is>
      </c>
      <c r="B8">
        <f>SUMIFS(Usage_Data!$D$2:$D$5001,Usage_Data!$C$2:$C$5001,$A8,Usage_Data!$G$2:$G$5001,1)</f>
        <v/>
      </c>
      <c r="C8">
        <f>B8/8</f>
        <v/>
      </c>
      <c r="D8">
        <f>COUNTIFS(Usage_Data!$C$2:$C$5001,$A8,Usage_Data!$F$2:$F$5001,"surge",Usage_Data!$G$2:$G$5001,1)</f>
        <v/>
      </c>
      <c r="E8">
        <f>SUMIFS(Usage_Data!$E$2:$E$5001,Usage_Data!$C$2:$C$5001,$A8,Usage_Data!$G$2:$G$5001,1)</f>
        <v/>
      </c>
    </row>
    <row r="9">
      <c r="A9" t="inlineStr">
        <is>
          <t>SS-01006</t>
        </is>
      </c>
      <c r="B9">
        <f>SUMIFS(Usage_Data!$D$2:$D$5001,Usage_Data!$C$2:$C$5001,$A9,Usage_Data!$G$2:$G$5001,1)</f>
        <v/>
      </c>
      <c r="C9">
        <f>B9/8</f>
        <v/>
      </c>
      <c r="D9">
        <f>COUNTIFS(Usage_Data!$C$2:$C$5001,$A9,Usage_Data!$F$2:$F$5001,"surge",Usage_Data!$G$2:$G$5001,1)</f>
        <v/>
      </c>
      <c r="E9">
        <f>SUMIFS(Usage_Data!$E$2:$E$5001,Usage_Data!$C$2:$C$5001,$A9,Usage_Data!$G$2:$G$5001,1)</f>
        <v/>
      </c>
    </row>
    <row r="10">
      <c r="A10" t="inlineStr">
        <is>
          <t>SS-01007</t>
        </is>
      </c>
      <c r="B10">
        <f>SUMIFS(Usage_Data!$D$2:$D$5001,Usage_Data!$C$2:$C$5001,$A10,Usage_Data!$G$2:$G$5001,1)</f>
        <v/>
      </c>
      <c r="C10">
        <f>B10/8</f>
        <v/>
      </c>
      <c r="D10">
        <f>COUNTIFS(Usage_Data!$C$2:$C$5001,$A10,Usage_Data!$F$2:$F$5001,"surge",Usage_Data!$G$2:$G$5001,1)</f>
        <v/>
      </c>
      <c r="E10">
        <f>SUMIFS(Usage_Data!$E$2:$E$5001,Usage_Data!$C$2:$C$5001,$A10,Usage_Data!$G$2:$G$5001,1)</f>
        <v/>
      </c>
    </row>
    <row r="11">
      <c r="A11" t="inlineStr">
        <is>
          <t>SS-01008</t>
        </is>
      </c>
      <c r="B11">
        <f>SUMIFS(Usage_Data!$D$2:$D$5001,Usage_Data!$C$2:$C$5001,$A11,Usage_Data!$G$2:$G$5001,1)</f>
        <v/>
      </c>
      <c r="C11">
        <f>B11/8</f>
        <v/>
      </c>
      <c r="D11">
        <f>COUNTIFS(Usage_Data!$C$2:$C$5001,$A11,Usage_Data!$F$2:$F$5001,"surge",Usage_Data!$G$2:$G$5001,1)</f>
        <v/>
      </c>
      <c r="E11">
        <f>SUMIFS(Usage_Data!$E$2:$E$5001,Usage_Data!$C$2:$C$5001,$A11,Usage_Data!$G$2:$G$5001,1)</f>
        <v/>
      </c>
    </row>
    <row r="12">
      <c r="A12" t="inlineStr">
        <is>
          <t>SS-01009</t>
        </is>
      </c>
      <c r="B12">
        <f>SUMIFS(Usage_Data!$D$2:$D$5001,Usage_Data!$C$2:$C$5001,$A12,Usage_Data!$G$2:$G$5001,1)</f>
        <v/>
      </c>
      <c r="C12">
        <f>B12/8</f>
        <v/>
      </c>
      <c r="D12">
        <f>COUNTIFS(Usage_Data!$C$2:$C$5001,$A12,Usage_Data!$F$2:$F$5001,"surge",Usage_Data!$G$2:$G$5001,1)</f>
        <v/>
      </c>
      <c r="E12">
        <f>SUMIFS(Usage_Data!$E$2:$E$5001,Usage_Data!$C$2:$C$5001,$A12,Usage_Data!$G$2:$G$5001,1)</f>
        <v/>
      </c>
    </row>
    <row r="13">
      <c r="A13" t="inlineStr">
        <is>
          <t>SS-01010</t>
        </is>
      </c>
      <c r="B13">
        <f>SUMIFS(Usage_Data!$D$2:$D$5001,Usage_Data!$C$2:$C$5001,$A13,Usage_Data!$G$2:$G$5001,1)</f>
        <v/>
      </c>
      <c r="C13">
        <f>B13/8</f>
        <v/>
      </c>
      <c r="D13">
        <f>COUNTIFS(Usage_Data!$C$2:$C$5001,$A13,Usage_Data!$F$2:$F$5001,"surge",Usage_Data!$G$2:$G$5001,1)</f>
        <v/>
      </c>
      <c r="E13">
        <f>SUMIFS(Usage_Data!$E$2:$E$5001,Usage_Data!$C$2:$C$5001,$A13,Usage_Data!$G$2:$G$5001,1)</f>
        <v/>
      </c>
    </row>
    <row r="14">
      <c r="A14" t="inlineStr">
        <is>
          <t>SS-01011</t>
        </is>
      </c>
      <c r="B14">
        <f>SUMIFS(Usage_Data!$D$2:$D$5001,Usage_Data!$C$2:$C$5001,$A14,Usage_Data!$G$2:$G$5001,1)</f>
        <v/>
      </c>
      <c r="C14">
        <f>B14/8</f>
        <v/>
      </c>
      <c r="D14">
        <f>COUNTIFS(Usage_Data!$C$2:$C$5001,$A14,Usage_Data!$F$2:$F$5001,"surge",Usage_Data!$G$2:$G$5001,1)</f>
        <v/>
      </c>
      <c r="E14">
        <f>SUMIFS(Usage_Data!$E$2:$E$5001,Usage_Data!$C$2:$C$5001,$A14,Usage_Data!$G$2:$G$5001,1)</f>
        <v/>
      </c>
    </row>
    <row r="15">
      <c r="A15" t="inlineStr">
        <is>
          <t>SS-01012</t>
        </is>
      </c>
      <c r="B15">
        <f>SUMIFS(Usage_Data!$D$2:$D$5001,Usage_Data!$C$2:$C$5001,$A15,Usage_Data!$G$2:$G$5001,1)</f>
        <v/>
      </c>
      <c r="C15">
        <f>B15/8</f>
        <v/>
      </c>
      <c r="D15">
        <f>COUNTIFS(Usage_Data!$C$2:$C$5001,$A15,Usage_Data!$F$2:$F$5001,"surge",Usage_Data!$G$2:$G$5001,1)</f>
        <v/>
      </c>
      <c r="E15">
        <f>SUMIFS(Usage_Data!$E$2:$E$5001,Usage_Data!$C$2:$C$5001,$A15,Usage_Data!$G$2:$G$5001,1)</f>
        <v/>
      </c>
    </row>
    <row r="16">
      <c r="A16" t="inlineStr">
        <is>
          <t>SS-01013</t>
        </is>
      </c>
      <c r="B16">
        <f>SUMIFS(Usage_Data!$D$2:$D$5001,Usage_Data!$C$2:$C$5001,$A16,Usage_Data!$G$2:$G$5001,1)</f>
        <v/>
      </c>
      <c r="C16">
        <f>B16/8</f>
        <v/>
      </c>
      <c r="D16">
        <f>COUNTIFS(Usage_Data!$C$2:$C$5001,$A16,Usage_Data!$F$2:$F$5001,"surge",Usage_Data!$G$2:$G$5001,1)</f>
        <v/>
      </c>
      <c r="E16">
        <f>SUMIFS(Usage_Data!$E$2:$E$5001,Usage_Data!$C$2:$C$5001,$A16,Usage_Data!$G$2:$G$5001,1)</f>
        <v/>
      </c>
    </row>
    <row r="17">
      <c r="A17" t="inlineStr">
        <is>
          <t>SS-01014</t>
        </is>
      </c>
      <c r="B17">
        <f>SUMIFS(Usage_Data!$D$2:$D$5001,Usage_Data!$C$2:$C$5001,$A17,Usage_Data!$G$2:$G$5001,1)</f>
        <v/>
      </c>
      <c r="C17">
        <f>B17/8</f>
        <v/>
      </c>
      <c r="D17">
        <f>COUNTIFS(Usage_Data!$C$2:$C$5001,$A17,Usage_Data!$F$2:$F$5001,"surge",Usage_Data!$G$2:$G$5001,1)</f>
        <v/>
      </c>
      <c r="E17">
        <f>SUMIFS(Usage_Data!$E$2:$E$5001,Usage_Data!$C$2:$C$5001,$A17,Usage_Data!$G$2:$G$5001,1)</f>
        <v/>
      </c>
    </row>
    <row r="18">
      <c r="A18" t="inlineStr">
        <is>
          <t>SS-01015</t>
        </is>
      </c>
      <c r="B18">
        <f>SUMIFS(Usage_Data!$D$2:$D$5001,Usage_Data!$C$2:$C$5001,$A18,Usage_Data!$G$2:$G$5001,1)</f>
        <v/>
      </c>
      <c r="C18">
        <f>B18/8</f>
        <v/>
      </c>
      <c r="D18">
        <f>COUNTIFS(Usage_Data!$C$2:$C$5001,$A18,Usage_Data!$F$2:$F$5001,"surge",Usage_Data!$G$2:$G$5001,1)</f>
        <v/>
      </c>
      <c r="E18">
        <f>SUMIFS(Usage_Data!$E$2:$E$5001,Usage_Data!$C$2:$C$5001,$A18,Usage_Data!$G$2:$G$5001,1)</f>
        <v/>
      </c>
    </row>
    <row r="19">
      <c r="A19" t="inlineStr">
        <is>
          <t>SS-01016</t>
        </is>
      </c>
      <c r="B19">
        <f>SUMIFS(Usage_Data!$D$2:$D$5001,Usage_Data!$C$2:$C$5001,$A19,Usage_Data!$G$2:$G$5001,1)</f>
        <v/>
      </c>
      <c r="C19">
        <f>B19/8</f>
        <v/>
      </c>
      <c r="D19">
        <f>COUNTIFS(Usage_Data!$C$2:$C$5001,$A19,Usage_Data!$F$2:$F$5001,"surge",Usage_Data!$G$2:$G$5001,1)</f>
        <v/>
      </c>
      <c r="E19">
        <f>SUMIFS(Usage_Data!$E$2:$E$5001,Usage_Data!$C$2:$C$5001,$A19,Usage_Data!$G$2:$G$5001,1)</f>
        <v/>
      </c>
    </row>
    <row r="20">
      <c r="A20" t="inlineStr">
        <is>
          <t>SS-01017</t>
        </is>
      </c>
      <c r="B20">
        <f>SUMIFS(Usage_Data!$D$2:$D$5001,Usage_Data!$C$2:$C$5001,$A20,Usage_Data!$G$2:$G$5001,1)</f>
        <v/>
      </c>
      <c r="C20">
        <f>B20/8</f>
        <v/>
      </c>
      <c r="D20">
        <f>COUNTIFS(Usage_Data!$C$2:$C$5001,$A20,Usage_Data!$F$2:$F$5001,"surge",Usage_Data!$G$2:$G$5001,1)</f>
        <v/>
      </c>
      <c r="E20">
        <f>SUMIFS(Usage_Data!$E$2:$E$5001,Usage_Data!$C$2:$C$5001,$A20,Usage_Data!$G$2:$G$5001,1)</f>
        <v/>
      </c>
    </row>
    <row r="21">
      <c r="A21" t="inlineStr">
        <is>
          <t>SS-01018</t>
        </is>
      </c>
      <c r="B21">
        <f>SUMIFS(Usage_Data!$D$2:$D$5001,Usage_Data!$C$2:$C$5001,$A21,Usage_Data!$G$2:$G$5001,1)</f>
        <v/>
      </c>
      <c r="C21">
        <f>B21/8</f>
        <v/>
      </c>
      <c r="D21">
        <f>COUNTIFS(Usage_Data!$C$2:$C$5001,$A21,Usage_Data!$F$2:$F$5001,"surge",Usage_Data!$G$2:$G$5001,1)</f>
        <v/>
      </c>
      <c r="E21">
        <f>SUMIFS(Usage_Data!$E$2:$E$5001,Usage_Data!$C$2:$C$5001,$A21,Usage_Data!$G$2:$G$5001,1)</f>
        <v/>
      </c>
    </row>
    <row r="22">
      <c r="A22" t="inlineStr">
        <is>
          <t>SS-01019</t>
        </is>
      </c>
      <c r="B22">
        <f>SUMIFS(Usage_Data!$D$2:$D$5001,Usage_Data!$C$2:$C$5001,$A22,Usage_Data!$G$2:$G$5001,1)</f>
        <v/>
      </c>
      <c r="C22">
        <f>B22/8</f>
        <v/>
      </c>
      <c r="D22">
        <f>COUNTIFS(Usage_Data!$C$2:$C$5001,$A22,Usage_Data!$F$2:$F$5001,"surge",Usage_Data!$G$2:$G$5001,1)</f>
        <v/>
      </c>
      <c r="E22">
        <f>SUMIFS(Usage_Data!$E$2:$E$5001,Usage_Data!$C$2:$C$5001,$A22,Usage_Data!$G$2:$G$5001,1)</f>
        <v/>
      </c>
    </row>
    <row r="23">
      <c r="A23" t="inlineStr">
        <is>
          <t>SS-01020</t>
        </is>
      </c>
      <c r="B23">
        <f>SUMIFS(Usage_Data!$D$2:$D$5001,Usage_Data!$C$2:$C$5001,$A23,Usage_Data!$G$2:$G$5001,1)</f>
        <v/>
      </c>
      <c r="C23">
        <f>B23/8</f>
        <v/>
      </c>
      <c r="D23">
        <f>COUNTIFS(Usage_Data!$C$2:$C$5001,$A23,Usage_Data!$F$2:$F$5001,"surge",Usage_Data!$G$2:$G$5001,1)</f>
        <v/>
      </c>
      <c r="E23">
        <f>SUMIFS(Usage_Data!$E$2:$E$5001,Usage_Data!$C$2:$C$5001,$A23,Usage_Data!$G$2:$G$5001,1)</f>
        <v/>
      </c>
    </row>
    <row r="24">
      <c r="A24" t="inlineStr">
        <is>
          <t>SS-01021</t>
        </is>
      </c>
      <c r="B24">
        <f>SUMIFS(Usage_Data!$D$2:$D$5001,Usage_Data!$C$2:$C$5001,$A24,Usage_Data!$G$2:$G$5001,1)</f>
        <v/>
      </c>
      <c r="C24">
        <f>B24/8</f>
        <v/>
      </c>
      <c r="D24">
        <f>COUNTIFS(Usage_Data!$C$2:$C$5001,$A24,Usage_Data!$F$2:$F$5001,"surge",Usage_Data!$G$2:$G$5001,1)</f>
        <v/>
      </c>
      <c r="E24">
        <f>SUMIFS(Usage_Data!$E$2:$E$5001,Usage_Data!$C$2:$C$5001,$A24,Usage_Data!$G$2:$G$5001,1)</f>
        <v/>
      </c>
    </row>
    <row r="25">
      <c r="A25" t="inlineStr">
        <is>
          <t>SS-01022</t>
        </is>
      </c>
      <c r="B25">
        <f>SUMIFS(Usage_Data!$D$2:$D$5001,Usage_Data!$C$2:$C$5001,$A25,Usage_Data!$G$2:$G$5001,1)</f>
        <v/>
      </c>
      <c r="C25">
        <f>B25/8</f>
        <v/>
      </c>
      <c r="D25">
        <f>COUNTIFS(Usage_Data!$C$2:$C$5001,$A25,Usage_Data!$F$2:$F$5001,"surge",Usage_Data!$G$2:$G$5001,1)</f>
        <v/>
      </c>
      <c r="E25">
        <f>SUMIFS(Usage_Data!$E$2:$E$5001,Usage_Data!$C$2:$C$5001,$A25,Usage_Data!$G$2:$G$5001,1)</f>
        <v/>
      </c>
    </row>
    <row r="26">
      <c r="A26" t="inlineStr">
        <is>
          <t>SS-01023</t>
        </is>
      </c>
      <c r="B26">
        <f>SUMIFS(Usage_Data!$D$2:$D$5001,Usage_Data!$C$2:$C$5001,$A26,Usage_Data!$G$2:$G$5001,1)</f>
        <v/>
      </c>
      <c r="C26">
        <f>B26/8</f>
        <v/>
      </c>
      <c r="D26">
        <f>COUNTIFS(Usage_Data!$C$2:$C$5001,$A26,Usage_Data!$F$2:$F$5001,"surge",Usage_Data!$G$2:$G$5001,1)</f>
        <v/>
      </c>
      <c r="E26">
        <f>SUMIFS(Usage_Data!$E$2:$E$5001,Usage_Data!$C$2:$C$5001,$A26,Usage_Data!$G$2:$G$5001,1)</f>
        <v/>
      </c>
    </row>
    <row r="27">
      <c r="A27" t="inlineStr">
        <is>
          <t>SS-01024</t>
        </is>
      </c>
      <c r="B27">
        <f>SUMIFS(Usage_Data!$D$2:$D$5001,Usage_Data!$C$2:$C$5001,$A27,Usage_Data!$G$2:$G$5001,1)</f>
        <v/>
      </c>
      <c r="C27">
        <f>B27/8</f>
        <v/>
      </c>
      <c r="D27">
        <f>COUNTIFS(Usage_Data!$C$2:$C$5001,$A27,Usage_Data!$F$2:$F$5001,"surge",Usage_Data!$G$2:$G$5001,1)</f>
        <v/>
      </c>
      <c r="E27">
        <f>SUMIFS(Usage_Data!$E$2:$E$5001,Usage_Data!$C$2:$C$5001,$A27,Usage_Data!$G$2:$G$5001,1)</f>
        <v/>
      </c>
    </row>
    <row r="28">
      <c r="A28" t="inlineStr">
        <is>
          <t>SS-01025</t>
        </is>
      </c>
      <c r="B28">
        <f>SUMIFS(Usage_Data!$D$2:$D$5001,Usage_Data!$C$2:$C$5001,$A28,Usage_Data!$G$2:$G$5001,1)</f>
        <v/>
      </c>
      <c r="C28">
        <f>B28/8</f>
        <v/>
      </c>
      <c r="D28">
        <f>COUNTIFS(Usage_Data!$C$2:$C$5001,$A28,Usage_Data!$F$2:$F$5001,"surge",Usage_Data!$G$2:$G$5001,1)</f>
        <v/>
      </c>
      <c r="E28">
        <f>SUMIFS(Usage_Data!$E$2:$E$5001,Usage_Data!$C$2:$C$5001,$A28,Usage_Data!$G$2:$G$5001,1)</f>
        <v/>
      </c>
    </row>
    <row r="29">
      <c r="A29" t="inlineStr">
        <is>
          <t>SS-01026</t>
        </is>
      </c>
      <c r="B29">
        <f>SUMIFS(Usage_Data!$D$2:$D$5001,Usage_Data!$C$2:$C$5001,$A29,Usage_Data!$G$2:$G$5001,1)</f>
        <v/>
      </c>
      <c r="C29">
        <f>B29/8</f>
        <v/>
      </c>
      <c r="D29">
        <f>COUNTIFS(Usage_Data!$C$2:$C$5001,$A29,Usage_Data!$F$2:$F$5001,"surge",Usage_Data!$G$2:$G$5001,1)</f>
        <v/>
      </c>
      <c r="E29">
        <f>SUMIFS(Usage_Data!$E$2:$E$5001,Usage_Data!$C$2:$C$5001,$A29,Usage_Data!$G$2:$G$5001,1)</f>
        <v/>
      </c>
    </row>
    <row r="30">
      <c r="A30" t="inlineStr">
        <is>
          <t>SS-01027</t>
        </is>
      </c>
      <c r="B30">
        <f>SUMIFS(Usage_Data!$D$2:$D$5001,Usage_Data!$C$2:$C$5001,$A30,Usage_Data!$G$2:$G$5001,1)</f>
        <v/>
      </c>
      <c r="C30">
        <f>B30/8</f>
        <v/>
      </c>
      <c r="D30">
        <f>COUNTIFS(Usage_Data!$C$2:$C$5001,$A30,Usage_Data!$F$2:$F$5001,"surge",Usage_Data!$G$2:$G$5001,1)</f>
        <v/>
      </c>
      <c r="E30">
        <f>SUMIFS(Usage_Data!$E$2:$E$5001,Usage_Data!$C$2:$C$5001,$A30,Usage_Data!$G$2:$G$5001,1)</f>
        <v/>
      </c>
    </row>
    <row r="31">
      <c r="A31" t="inlineStr">
        <is>
          <t>SS-01028</t>
        </is>
      </c>
      <c r="B31">
        <f>SUMIFS(Usage_Data!$D$2:$D$5001,Usage_Data!$C$2:$C$5001,$A31,Usage_Data!$G$2:$G$5001,1)</f>
        <v/>
      </c>
      <c r="C31">
        <f>B31/8</f>
        <v/>
      </c>
      <c r="D31">
        <f>COUNTIFS(Usage_Data!$C$2:$C$5001,$A31,Usage_Data!$F$2:$F$5001,"surge",Usage_Data!$G$2:$G$5001,1)</f>
        <v/>
      </c>
      <c r="E31">
        <f>SUMIFS(Usage_Data!$E$2:$E$5001,Usage_Data!$C$2:$C$5001,$A31,Usage_Data!$G$2:$G$5001,1)</f>
        <v/>
      </c>
    </row>
    <row r="32">
      <c r="A32" t="inlineStr">
        <is>
          <t>SS-01029</t>
        </is>
      </c>
      <c r="B32">
        <f>SUMIFS(Usage_Data!$D$2:$D$5001,Usage_Data!$C$2:$C$5001,$A32,Usage_Data!$G$2:$G$5001,1)</f>
        <v/>
      </c>
      <c r="C32">
        <f>B32/8</f>
        <v/>
      </c>
      <c r="D32">
        <f>COUNTIFS(Usage_Data!$C$2:$C$5001,$A32,Usage_Data!$F$2:$F$5001,"surge",Usage_Data!$G$2:$G$5001,1)</f>
        <v/>
      </c>
      <c r="E32">
        <f>SUMIFS(Usage_Data!$E$2:$E$5001,Usage_Data!$C$2:$C$5001,$A32,Usage_Data!$G$2:$G$5001,1)</f>
        <v/>
      </c>
    </row>
    <row r="33">
      <c r="A33" t="inlineStr">
        <is>
          <t>SS-01030</t>
        </is>
      </c>
      <c r="B33">
        <f>SUMIFS(Usage_Data!$D$2:$D$5001,Usage_Data!$C$2:$C$5001,$A33,Usage_Data!$G$2:$G$5001,1)</f>
        <v/>
      </c>
      <c r="C33">
        <f>B33/8</f>
        <v/>
      </c>
      <c r="D33">
        <f>COUNTIFS(Usage_Data!$C$2:$C$5001,$A33,Usage_Data!$F$2:$F$5001,"surge",Usage_Data!$G$2:$G$5001,1)</f>
        <v/>
      </c>
      <c r="E33">
        <f>SUMIFS(Usage_Data!$E$2:$E$5001,Usage_Data!$C$2:$C$5001,$A33,Usage_Data!$G$2:$G$5001,1)</f>
        <v/>
      </c>
    </row>
    <row r="34">
      <c r="A34" t="inlineStr">
        <is>
          <t>SS-01031</t>
        </is>
      </c>
      <c r="B34">
        <f>SUMIFS(Usage_Data!$D$2:$D$5001,Usage_Data!$C$2:$C$5001,$A34,Usage_Data!$G$2:$G$5001,1)</f>
        <v/>
      </c>
      <c r="C34">
        <f>B34/8</f>
        <v/>
      </c>
      <c r="D34">
        <f>COUNTIFS(Usage_Data!$C$2:$C$5001,$A34,Usage_Data!$F$2:$F$5001,"surge",Usage_Data!$G$2:$G$5001,1)</f>
        <v/>
      </c>
      <c r="E34">
        <f>SUMIFS(Usage_Data!$E$2:$E$5001,Usage_Data!$C$2:$C$5001,$A34,Usage_Data!$G$2:$G$5001,1)</f>
        <v/>
      </c>
    </row>
    <row r="35">
      <c r="A35" t="inlineStr">
        <is>
          <t>SS-01032</t>
        </is>
      </c>
      <c r="B35">
        <f>SUMIFS(Usage_Data!$D$2:$D$5001,Usage_Data!$C$2:$C$5001,$A35,Usage_Data!$G$2:$G$5001,1)</f>
        <v/>
      </c>
      <c r="C35">
        <f>B35/8</f>
        <v/>
      </c>
      <c r="D35">
        <f>COUNTIFS(Usage_Data!$C$2:$C$5001,$A35,Usage_Data!$F$2:$F$5001,"surge",Usage_Data!$G$2:$G$5001,1)</f>
        <v/>
      </c>
      <c r="E35">
        <f>SUMIFS(Usage_Data!$E$2:$E$5001,Usage_Data!$C$2:$C$5001,$A35,Usage_Data!$G$2:$G$5001,1)</f>
        <v/>
      </c>
    </row>
    <row r="36">
      <c r="A36" t="inlineStr">
        <is>
          <t>SS-01033</t>
        </is>
      </c>
      <c r="B36">
        <f>SUMIFS(Usage_Data!$D$2:$D$5001,Usage_Data!$C$2:$C$5001,$A36,Usage_Data!$G$2:$G$5001,1)</f>
        <v/>
      </c>
      <c r="C36">
        <f>B36/8</f>
        <v/>
      </c>
      <c r="D36">
        <f>COUNTIFS(Usage_Data!$C$2:$C$5001,$A36,Usage_Data!$F$2:$F$5001,"surge",Usage_Data!$G$2:$G$5001,1)</f>
        <v/>
      </c>
      <c r="E36">
        <f>SUMIFS(Usage_Data!$E$2:$E$5001,Usage_Data!$C$2:$C$5001,$A36,Usage_Data!$G$2:$G$5001,1)</f>
        <v/>
      </c>
    </row>
    <row r="37">
      <c r="A37" t="inlineStr">
        <is>
          <t>SS-01034</t>
        </is>
      </c>
      <c r="B37">
        <f>SUMIFS(Usage_Data!$D$2:$D$5001,Usage_Data!$C$2:$C$5001,$A37,Usage_Data!$G$2:$G$5001,1)</f>
        <v/>
      </c>
      <c r="C37">
        <f>B37/8</f>
        <v/>
      </c>
      <c r="D37">
        <f>COUNTIFS(Usage_Data!$C$2:$C$5001,$A37,Usage_Data!$F$2:$F$5001,"surge",Usage_Data!$G$2:$G$5001,1)</f>
        <v/>
      </c>
      <c r="E37">
        <f>SUMIFS(Usage_Data!$E$2:$E$5001,Usage_Data!$C$2:$C$5001,$A37,Usage_Data!$G$2:$G$5001,1)</f>
        <v/>
      </c>
    </row>
    <row r="38">
      <c r="A38" t="inlineStr">
        <is>
          <t>SS-01035</t>
        </is>
      </c>
      <c r="B38">
        <f>SUMIFS(Usage_Data!$D$2:$D$5001,Usage_Data!$C$2:$C$5001,$A38,Usage_Data!$G$2:$G$5001,1)</f>
        <v/>
      </c>
      <c r="C38">
        <f>B38/8</f>
        <v/>
      </c>
      <c r="D38">
        <f>COUNTIFS(Usage_Data!$C$2:$C$5001,$A38,Usage_Data!$F$2:$F$5001,"surge",Usage_Data!$G$2:$G$5001,1)</f>
        <v/>
      </c>
      <c r="E38">
        <f>SUMIFS(Usage_Data!$E$2:$E$5001,Usage_Data!$C$2:$C$5001,$A38,Usage_Data!$G$2:$G$5001,1)</f>
        <v/>
      </c>
    </row>
    <row r="39">
      <c r="A39" t="inlineStr">
        <is>
          <t>SS-01036</t>
        </is>
      </c>
      <c r="B39">
        <f>SUMIFS(Usage_Data!$D$2:$D$5001,Usage_Data!$C$2:$C$5001,$A39,Usage_Data!$G$2:$G$5001,1)</f>
        <v/>
      </c>
      <c r="C39">
        <f>B39/8</f>
        <v/>
      </c>
      <c r="D39">
        <f>COUNTIFS(Usage_Data!$C$2:$C$5001,$A39,Usage_Data!$F$2:$F$5001,"surge",Usage_Data!$G$2:$G$5001,1)</f>
        <v/>
      </c>
      <c r="E39">
        <f>SUMIFS(Usage_Data!$E$2:$E$5001,Usage_Data!$C$2:$C$5001,$A39,Usage_Data!$G$2:$G$5001,1)</f>
        <v/>
      </c>
    </row>
    <row r="40">
      <c r="A40" t="inlineStr">
        <is>
          <t>SS-01037</t>
        </is>
      </c>
      <c r="B40">
        <f>SUMIFS(Usage_Data!$D$2:$D$5001,Usage_Data!$C$2:$C$5001,$A40,Usage_Data!$G$2:$G$5001,1)</f>
        <v/>
      </c>
      <c r="C40">
        <f>B40/8</f>
        <v/>
      </c>
      <c r="D40">
        <f>COUNTIFS(Usage_Data!$C$2:$C$5001,$A40,Usage_Data!$F$2:$F$5001,"surge",Usage_Data!$G$2:$G$5001,1)</f>
        <v/>
      </c>
      <c r="E40">
        <f>SUMIFS(Usage_Data!$E$2:$E$5001,Usage_Data!$C$2:$C$5001,$A40,Usage_Data!$G$2:$G$5001,1)</f>
        <v/>
      </c>
    </row>
    <row r="41">
      <c r="A41" t="inlineStr">
        <is>
          <t>SS-01038</t>
        </is>
      </c>
      <c r="B41">
        <f>SUMIFS(Usage_Data!$D$2:$D$5001,Usage_Data!$C$2:$C$5001,$A41,Usage_Data!$G$2:$G$5001,1)</f>
        <v/>
      </c>
      <c r="C41">
        <f>B41/8</f>
        <v/>
      </c>
      <c r="D41">
        <f>COUNTIFS(Usage_Data!$C$2:$C$5001,$A41,Usage_Data!$F$2:$F$5001,"surge",Usage_Data!$G$2:$G$5001,1)</f>
        <v/>
      </c>
      <c r="E41">
        <f>SUMIFS(Usage_Data!$E$2:$E$5001,Usage_Data!$C$2:$C$5001,$A41,Usage_Data!$G$2:$G$5001,1)</f>
        <v/>
      </c>
    </row>
    <row r="42">
      <c r="A42" t="inlineStr">
        <is>
          <t>SS-01039</t>
        </is>
      </c>
      <c r="B42">
        <f>SUMIFS(Usage_Data!$D$2:$D$5001,Usage_Data!$C$2:$C$5001,$A42,Usage_Data!$G$2:$G$5001,1)</f>
        <v/>
      </c>
      <c r="C42">
        <f>B42/8</f>
        <v/>
      </c>
      <c r="D42">
        <f>COUNTIFS(Usage_Data!$C$2:$C$5001,$A42,Usage_Data!$F$2:$F$5001,"surge",Usage_Data!$G$2:$G$5001,1)</f>
        <v/>
      </c>
      <c r="E42">
        <f>SUMIFS(Usage_Data!$E$2:$E$5001,Usage_Data!$C$2:$C$5001,$A42,Usage_Data!$G$2:$G$5001,1)</f>
        <v/>
      </c>
    </row>
    <row r="43">
      <c r="A43" t="inlineStr">
        <is>
          <t>SS-01040</t>
        </is>
      </c>
      <c r="B43">
        <f>SUMIFS(Usage_Data!$D$2:$D$5001,Usage_Data!$C$2:$C$5001,$A43,Usage_Data!$G$2:$G$5001,1)</f>
        <v/>
      </c>
      <c r="C43">
        <f>B43/8</f>
        <v/>
      </c>
      <c r="D43">
        <f>COUNTIFS(Usage_Data!$C$2:$C$5001,$A43,Usage_Data!$F$2:$F$5001,"surge",Usage_Data!$G$2:$G$5001,1)</f>
        <v/>
      </c>
      <c r="E43">
        <f>SUMIFS(Usage_Data!$E$2:$E$5001,Usage_Data!$C$2:$C$5001,$A43,Usage_Data!$G$2:$G$5001,1)</f>
        <v/>
      </c>
    </row>
    <row r="44">
      <c r="A44" t="inlineStr">
        <is>
          <t>SS-01041</t>
        </is>
      </c>
      <c r="B44">
        <f>SUMIFS(Usage_Data!$D$2:$D$5001,Usage_Data!$C$2:$C$5001,$A44,Usage_Data!$G$2:$G$5001,1)</f>
        <v/>
      </c>
      <c r="C44">
        <f>B44/8</f>
        <v/>
      </c>
      <c r="D44">
        <f>COUNTIFS(Usage_Data!$C$2:$C$5001,$A44,Usage_Data!$F$2:$F$5001,"surge",Usage_Data!$G$2:$G$5001,1)</f>
        <v/>
      </c>
      <c r="E44">
        <f>SUMIFS(Usage_Data!$E$2:$E$5001,Usage_Data!$C$2:$C$5001,$A44,Usage_Data!$G$2:$G$5001,1)</f>
        <v/>
      </c>
    </row>
    <row r="45">
      <c r="A45" t="inlineStr">
        <is>
          <t>SS-01042</t>
        </is>
      </c>
      <c r="B45">
        <f>SUMIFS(Usage_Data!$D$2:$D$5001,Usage_Data!$C$2:$C$5001,$A45,Usage_Data!$G$2:$G$5001,1)</f>
        <v/>
      </c>
      <c r="C45">
        <f>B45/8</f>
        <v/>
      </c>
      <c r="D45">
        <f>COUNTIFS(Usage_Data!$C$2:$C$5001,$A45,Usage_Data!$F$2:$F$5001,"surge",Usage_Data!$G$2:$G$5001,1)</f>
        <v/>
      </c>
      <c r="E45">
        <f>SUMIFS(Usage_Data!$E$2:$E$5001,Usage_Data!$C$2:$C$5001,$A45,Usage_Data!$G$2:$G$5001,1)</f>
        <v/>
      </c>
    </row>
    <row r="46">
      <c r="A46" t="inlineStr">
        <is>
          <t>SS-01043</t>
        </is>
      </c>
      <c r="B46">
        <f>SUMIFS(Usage_Data!$D$2:$D$5001,Usage_Data!$C$2:$C$5001,$A46,Usage_Data!$G$2:$G$5001,1)</f>
        <v/>
      </c>
      <c r="C46">
        <f>B46/8</f>
        <v/>
      </c>
      <c r="D46">
        <f>COUNTIFS(Usage_Data!$C$2:$C$5001,$A46,Usage_Data!$F$2:$F$5001,"surge",Usage_Data!$G$2:$G$5001,1)</f>
        <v/>
      </c>
      <c r="E46">
        <f>SUMIFS(Usage_Data!$E$2:$E$5001,Usage_Data!$C$2:$C$5001,$A46,Usage_Data!$G$2:$G$5001,1)</f>
        <v/>
      </c>
    </row>
    <row r="47">
      <c r="A47" t="inlineStr">
        <is>
          <t>SS-01044</t>
        </is>
      </c>
      <c r="B47">
        <f>SUMIFS(Usage_Data!$D$2:$D$5001,Usage_Data!$C$2:$C$5001,$A47,Usage_Data!$G$2:$G$5001,1)</f>
        <v/>
      </c>
      <c r="C47">
        <f>B47/8</f>
        <v/>
      </c>
      <c r="D47">
        <f>COUNTIFS(Usage_Data!$C$2:$C$5001,$A47,Usage_Data!$F$2:$F$5001,"surge",Usage_Data!$G$2:$G$5001,1)</f>
        <v/>
      </c>
      <c r="E47">
        <f>SUMIFS(Usage_Data!$E$2:$E$5001,Usage_Data!$C$2:$C$5001,$A47,Usage_Data!$G$2:$G$5001,1)</f>
        <v/>
      </c>
    </row>
    <row r="48">
      <c r="A48" t="inlineStr">
        <is>
          <t>SS-01045</t>
        </is>
      </c>
      <c r="B48">
        <f>SUMIFS(Usage_Data!$D$2:$D$5001,Usage_Data!$C$2:$C$5001,$A48,Usage_Data!$G$2:$G$5001,1)</f>
        <v/>
      </c>
      <c r="C48">
        <f>B48/8</f>
        <v/>
      </c>
      <c r="D48">
        <f>COUNTIFS(Usage_Data!$C$2:$C$5001,$A48,Usage_Data!$F$2:$F$5001,"surge",Usage_Data!$G$2:$G$5001,1)</f>
        <v/>
      </c>
      <c r="E48">
        <f>SUMIFS(Usage_Data!$E$2:$E$5001,Usage_Data!$C$2:$C$5001,$A48,Usage_Data!$G$2:$G$5001,1)</f>
        <v/>
      </c>
    </row>
    <row r="49">
      <c r="A49" t="inlineStr">
        <is>
          <t>SS-01046</t>
        </is>
      </c>
      <c r="B49">
        <f>SUMIFS(Usage_Data!$D$2:$D$5001,Usage_Data!$C$2:$C$5001,$A49,Usage_Data!$G$2:$G$5001,1)</f>
        <v/>
      </c>
      <c r="C49">
        <f>B49/8</f>
        <v/>
      </c>
      <c r="D49">
        <f>COUNTIFS(Usage_Data!$C$2:$C$5001,$A49,Usage_Data!$F$2:$F$5001,"surge",Usage_Data!$G$2:$G$5001,1)</f>
        <v/>
      </c>
      <c r="E49">
        <f>SUMIFS(Usage_Data!$E$2:$E$5001,Usage_Data!$C$2:$C$5001,$A49,Usage_Data!$G$2:$G$5001,1)</f>
        <v/>
      </c>
    </row>
    <row r="50">
      <c r="A50" t="inlineStr">
        <is>
          <t>SS-01047</t>
        </is>
      </c>
      <c r="B50">
        <f>SUMIFS(Usage_Data!$D$2:$D$5001,Usage_Data!$C$2:$C$5001,$A50,Usage_Data!$G$2:$G$5001,1)</f>
        <v/>
      </c>
      <c r="C50">
        <f>B50/8</f>
        <v/>
      </c>
      <c r="D50">
        <f>COUNTIFS(Usage_Data!$C$2:$C$5001,$A50,Usage_Data!$F$2:$F$5001,"surge",Usage_Data!$G$2:$G$5001,1)</f>
        <v/>
      </c>
      <c r="E50">
        <f>SUMIFS(Usage_Data!$E$2:$E$5001,Usage_Data!$C$2:$C$5001,$A50,Usage_Data!$G$2:$G$5001,1)</f>
        <v/>
      </c>
    </row>
    <row r="51">
      <c r="A51" t="inlineStr">
        <is>
          <t>SS-01048</t>
        </is>
      </c>
      <c r="B51">
        <f>SUMIFS(Usage_Data!$D$2:$D$5001,Usage_Data!$C$2:$C$5001,$A51,Usage_Data!$G$2:$G$5001,1)</f>
        <v/>
      </c>
      <c r="C51">
        <f>B51/8</f>
        <v/>
      </c>
      <c r="D51">
        <f>COUNTIFS(Usage_Data!$C$2:$C$5001,$A51,Usage_Data!$F$2:$F$5001,"surge",Usage_Data!$G$2:$G$5001,1)</f>
        <v/>
      </c>
      <c r="E51">
        <f>SUMIFS(Usage_Data!$E$2:$E$5001,Usage_Data!$C$2:$C$5001,$A51,Usage_Data!$G$2:$G$5001,1)</f>
        <v/>
      </c>
    </row>
    <row r="52">
      <c r="A52" t="inlineStr">
        <is>
          <t>SS-01049</t>
        </is>
      </c>
      <c r="B52">
        <f>SUMIFS(Usage_Data!$D$2:$D$5001,Usage_Data!$C$2:$C$5001,$A52,Usage_Data!$G$2:$G$5001,1)</f>
        <v/>
      </c>
      <c r="C52">
        <f>B52/8</f>
        <v/>
      </c>
      <c r="D52">
        <f>COUNTIFS(Usage_Data!$C$2:$C$5001,$A52,Usage_Data!$F$2:$F$5001,"surge",Usage_Data!$G$2:$G$5001,1)</f>
        <v/>
      </c>
      <c r="E52">
        <f>SUMIFS(Usage_Data!$E$2:$E$5001,Usage_Data!$C$2:$C$5001,$A52,Usage_Data!$G$2:$G$5001,1)</f>
        <v/>
      </c>
    </row>
    <row r="53">
      <c r="A53" t="inlineStr">
        <is>
          <t>SS-01050</t>
        </is>
      </c>
      <c r="B53">
        <f>SUMIFS(Usage_Data!$D$2:$D$5001,Usage_Data!$C$2:$C$5001,$A53,Usage_Data!$G$2:$G$5001,1)</f>
        <v/>
      </c>
      <c r="C53">
        <f>B53/8</f>
        <v/>
      </c>
      <c r="D53">
        <f>COUNTIFS(Usage_Data!$C$2:$C$5001,$A53,Usage_Data!$F$2:$F$5001,"surge",Usage_Data!$G$2:$G$5001,1)</f>
        <v/>
      </c>
      <c r="E53">
        <f>SUMIFS(Usage_Data!$E$2:$E$5001,Usage_Data!$C$2:$C$5001,$A53,Usage_Data!$G$2:$G$5001,1)</f>
        <v/>
      </c>
    </row>
    <row r="54">
      <c r="A54" t="inlineStr">
        <is>
          <t>SS-01051</t>
        </is>
      </c>
      <c r="B54">
        <f>SUMIFS(Usage_Data!$D$2:$D$5001,Usage_Data!$C$2:$C$5001,$A54,Usage_Data!$G$2:$G$5001,1)</f>
        <v/>
      </c>
      <c r="C54">
        <f>B54/8</f>
        <v/>
      </c>
      <c r="D54">
        <f>COUNTIFS(Usage_Data!$C$2:$C$5001,$A54,Usage_Data!$F$2:$F$5001,"surge",Usage_Data!$G$2:$G$5001,1)</f>
        <v/>
      </c>
      <c r="E54">
        <f>SUMIFS(Usage_Data!$E$2:$E$5001,Usage_Data!$C$2:$C$5001,$A54,Usage_Data!$G$2:$G$5001,1)</f>
        <v/>
      </c>
    </row>
    <row r="55">
      <c r="A55" t="inlineStr">
        <is>
          <t>SS-01052</t>
        </is>
      </c>
      <c r="B55">
        <f>SUMIFS(Usage_Data!$D$2:$D$5001,Usage_Data!$C$2:$C$5001,$A55,Usage_Data!$G$2:$G$5001,1)</f>
        <v/>
      </c>
      <c r="C55">
        <f>B55/8</f>
        <v/>
      </c>
      <c r="D55">
        <f>COUNTIFS(Usage_Data!$C$2:$C$5001,$A55,Usage_Data!$F$2:$F$5001,"surge",Usage_Data!$G$2:$G$5001,1)</f>
        <v/>
      </c>
      <c r="E55">
        <f>SUMIFS(Usage_Data!$E$2:$E$5001,Usage_Data!$C$2:$C$5001,$A55,Usage_Data!$G$2:$G$5001,1)</f>
        <v/>
      </c>
    </row>
    <row r="56">
      <c r="A56" t="inlineStr">
        <is>
          <t>SS-01053</t>
        </is>
      </c>
      <c r="B56">
        <f>SUMIFS(Usage_Data!$D$2:$D$5001,Usage_Data!$C$2:$C$5001,$A56,Usage_Data!$G$2:$G$5001,1)</f>
        <v/>
      </c>
      <c r="C56">
        <f>B56/8</f>
        <v/>
      </c>
      <c r="D56">
        <f>COUNTIFS(Usage_Data!$C$2:$C$5001,$A56,Usage_Data!$F$2:$F$5001,"surge",Usage_Data!$G$2:$G$5001,1)</f>
        <v/>
      </c>
      <c r="E56">
        <f>SUMIFS(Usage_Data!$E$2:$E$5001,Usage_Data!$C$2:$C$5001,$A56,Usage_Data!$G$2:$G$5001,1)</f>
        <v/>
      </c>
    </row>
    <row r="57">
      <c r="A57" t="inlineStr">
        <is>
          <t>SS-01054</t>
        </is>
      </c>
      <c r="B57">
        <f>SUMIFS(Usage_Data!$D$2:$D$5001,Usage_Data!$C$2:$C$5001,$A57,Usage_Data!$G$2:$G$5001,1)</f>
        <v/>
      </c>
      <c r="C57">
        <f>B57/8</f>
        <v/>
      </c>
      <c r="D57">
        <f>COUNTIFS(Usage_Data!$C$2:$C$5001,$A57,Usage_Data!$F$2:$F$5001,"surge",Usage_Data!$G$2:$G$5001,1)</f>
        <v/>
      </c>
      <c r="E57">
        <f>SUMIFS(Usage_Data!$E$2:$E$5001,Usage_Data!$C$2:$C$5001,$A57,Usage_Data!$G$2:$G$5001,1)</f>
        <v/>
      </c>
    </row>
    <row r="58">
      <c r="A58" t="inlineStr">
        <is>
          <t>SS-01055</t>
        </is>
      </c>
      <c r="B58">
        <f>SUMIFS(Usage_Data!$D$2:$D$5001,Usage_Data!$C$2:$C$5001,$A58,Usage_Data!$G$2:$G$5001,1)</f>
        <v/>
      </c>
      <c r="C58">
        <f>B58/8</f>
        <v/>
      </c>
      <c r="D58">
        <f>COUNTIFS(Usage_Data!$C$2:$C$5001,$A58,Usage_Data!$F$2:$F$5001,"surge",Usage_Data!$G$2:$G$5001,1)</f>
        <v/>
      </c>
      <c r="E58">
        <f>SUMIFS(Usage_Data!$E$2:$E$5001,Usage_Data!$C$2:$C$5001,$A58,Usage_Data!$G$2:$G$5001,1)</f>
        <v/>
      </c>
    </row>
    <row r="59">
      <c r="A59" t="inlineStr">
        <is>
          <t>SS-01056</t>
        </is>
      </c>
      <c r="B59">
        <f>SUMIFS(Usage_Data!$D$2:$D$5001,Usage_Data!$C$2:$C$5001,$A59,Usage_Data!$G$2:$G$5001,1)</f>
        <v/>
      </c>
      <c r="C59">
        <f>B59/8</f>
        <v/>
      </c>
      <c r="D59">
        <f>COUNTIFS(Usage_Data!$C$2:$C$5001,$A59,Usage_Data!$F$2:$F$5001,"surge",Usage_Data!$G$2:$G$5001,1)</f>
        <v/>
      </c>
      <c r="E59">
        <f>SUMIFS(Usage_Data!$E$2:$E$5001,Usage_Data!$C$2:$C$5001,$A59,Usage_Data!$G$2:$G$5001,1)</f>
        <v/>
      </c>
    </row>
    <row r="60">
      <c r="A60" t="inlineStr">
        <is>
          <t>SS-01057</t>
        </is>
      </c>
      <c r="B60">
        <f>SUMIFS(Usage_Data!$D$2:$D$5001,Usage_Data!$C$2:$C$5001,$A60,Usage_Data!$G$2:$G$5001,1)</f>
        <v/>
      </c>
      <c r="C60">
        <f>B60/8</f>
        <v/>
      </c>
      <c r="D60">
        <f>COUNTIFS(Usage_Data!$C$2:$C$5001,$A60,Usage_Data!$F$2:$F$5001,"surge",Usage_Data!$G$2:$G$5001,1)</f>
        <v/>
      </c>
      <c r="E60">
        <f>SUMIFS(Usage_Data!$E$2:$E$5001,Usage_Data!$C$2:$C$5001,$A60,Usage_Data!$G$2:$G$5001,1)</f>
        <v/>
      </c>
    </row>
    <row r="61">
      <c r="A61" t="inlineStr">
        <is>
          <t>SS-01058</t>
        </is>
      </c>
      <c r="B61">
        <f>SUMIFS(Usage_Data!$D$2:$D$5001,Usage_Data!$C$2:$C$5001,$A61,Usage_Data!$G$2:$G$5001,1)</f>
        <v/>
      </c>
      <c r="C61">
        <f>B61/8</f>
        <v/>
      </c>
      <c r="D61">
        <f>COUNTIFS(Usage_Data!$C$2:$C$5001,$A61,Usage_Data!$F$2:$F$5001,"surge",Usage_Data!$G$2:$G$5001,1)</f>
        <v/>
      </c>
      <c r="E61">
        <f>SUMIFS(Usage_Data!$E$2:$E$5001,Usage_Data!$C$2:$C$5001,$A61,Usage_Data!$G$2:$G$5001,1)</f>
        <v/>
      </c>
    </row>
    <row r="62">
      <c r="A62" t="inlineStr">
        <is>
          <t>SS-01059</t>
        </is>
      </c>
      <c r="B62">
        <f>SUMIFS(Usage_Data!$D$2:$D$5001,Usage_Data!$C$2:$C$5001,$A62,Usage_Data!$G$2:$G$5001,1)</f>
        <v/>
      </c>
      <c r="C62">
        <f>B62/8</f>
        <v/>
      </c>
      <c r="D62">
        <f>COUNTIFS(Usage_Data!$C$2:$C$5001,$A62,Usage_Data!$F$2:$F$5001,"surge",Usage_Data!$G$2:$G$5001,1)</f>
        <v/>
      </c>
      <c r="E62">
        <f>SUMIFS(Usage_Data!$E$2:$E$5001,Usage_Data!$C$2:$C$5001,$A62,Usage_Data!$G$2:$G$5001,1)</f>
        <v/>
      </c>
    </row>
    <row r="63">
      <c r="A63" t="inlineStr">
        <is>
          <t>SS-01060</t>
        </is>
      </c>
      <c r="B63">
        <f>SUMIFS(Usage_Data!$D$2:$D$5001,Usage_Data!$C$2:$C$5001,$A63,Usage_Data!$G$2:$G$5001,1)</f>
        <v/>
      </c>
      <c r="C63">
        <f>B63/8</f>
        <v/>
      </c>
      <c r="D63">
        <f>COUNTIFS(Usage_Data!$C$2:$C$5001,$A63,Usage_Data!$F$2:$F$5001,"surge",Usage_Data!$G$2:$G$5001,1)</f>
        <v/>
      </c>
      <c r="E63">
        <f>SUMIFS(Usage_Data!$E$2:$E$5001,Usage_Data!$C$2:$C$5001,$A63,Usage_Data!$G$2:$G$5001,1)</f>
        <v/>
      </c>
    </row>
    <row r="64">
      <c r="A64" t="inlineStr">
        <is>
          <t>SS-01061</t>
        </is>
      </c>
      <c r="B64">
        <f>SUMIFS(Usage_Data!$D$2:$D$5001,Usage_Data!$C$2:$C$5001,$A64,Usage_Data!$G$2:$G$5001,1)</f>
        <v/>
      </c>
      <c r="C64">
        <f>B64/8</f>
        <v/>
      </c>
      <c r="D64">
        <f>COUNTIFS(Usage_Data!$C$2:$C$5001,$A64,Usage_Data!$F$2:$F$5001,"surge",Usage_Data!$G$2:$G$5001,1)</f>
        <v/>
      </c>
      <c r="E64">
        <f>SUMIFS(Usage_Data!$E$2:$E$5001,Usage_Data!$C$2:$C$5001,$A64,Usage_Data!$G$2:$G$5001,1)</f>
        <v/>
      </c>
    </row>
    <row r="65">
      <c r="A65" t="inlineStr">
        <is>
          <t>SS-01062</t>
        </is>
      </c>
      <c r="B65">
        <f>SUMIFS(Usage_Data!$D$2:$D$5001,Usage_Data!$C$2:$C$5001,$A65,Usage_Data!$G$2:$G$5001,1)</f>
        <v/>
      </c>
      <c r="C65">
        <f>B65/8</f>
        <v/>
      </c>
      <c r="D65">
        <f>COUNTIFS(Usage_Data!$C$2:$C$5001,$A65,Usage_Data!$F$2:$F$5001,"surge",Usage_Data!$G$2:$G$5001,1)</f>
        <v/>
      </c>
      <c r="E65">
        <f>SUMIFS(Usage_Data!$E$2:$E$5001,Usage_Data!$C$2:$C$5001,$A65,Usage_Data!$G$2:$G$5001,1)</f>
        <v/>
      </c>
    </row>
    <row r="66">
      <c r="A66" t="inlineStr">
        <is>
          <t>SS-01063</t>
        </is>
      </c>
      <c r="B66">
        <f>SUMIFS(Usage_Data!$D$2:$D$5001,Usage_Data!$C$2:$C$5001,$A66,Usage_Data!$G$2:$G$5001,1)</f>
        <v/>
      </c>
      <c r="C66">
        <f>B66/8</f>
        <v/>
      </c>
      <c r="D66">
        <f>COUNTIFS(Usage_Data!$C$2:$C$5001,$A66,Usage_Data!$F$2:$F$5001,"surge",Usage_Data!$G$2:$G$5001,1)</f>
        <v/>
      </c>
      <c r="E66">
        <f>SUMIFS(Usage_Data!$E$2:$E$5001,Usage_Data!$C$2:$C$5001,$A66,Usage_Data!$G$2:$G$5001,1)</f>
        <v/>
      </c>
    </row>
    <row r="67">
      <c r="A67" t="inlineStr">
        <is>
          <t>SS-01064</t>
        </is>
      </c>
      <c r="B67">
        <f>SUMIFS(Usage_Data!$D$2:$D$5001,Usage_Data!$C$2:$C$5001,$A67,Usage_Data!$G$2:$G$5001,1)</f>
        <v/>
      </c>
      <c r="C67">
        <f>B67/8</f>
        <v/>
      </c>
      <c r="D67">
        <f>COUNTIFS(Usage_Data!$C$2:$C$5001,$A67,Usage_Data!$F$2:$F$5001,"surge",Usage_Data!$G$2:$G$5001,1)</f>
        <v/>
      </c>
      <c r="E67">
        <f>SUMIFS(Usage_Data!$E$2:$E$5001,Usage_Data!$C$2:$C$5001,$A67,Usage_Data!$G$2:$G$5001,1)</f>
        <v/>
      </c>
    </row>
    <row r="68">
      <c r="A68" t="inlineStr">
        <is>
          <t>SS-01065</t>
        </is>
      </c>
      <c r="B68">
        <f>SUMIFS(Usage_Data!$D$2:$D$5001,Usage_Data!$C$2:$C$5001,$A68,Usage_Data!$G$2:$G$5001,1)</f>
        <v/>
      </c>
      <c r="C68">
        <f>B68/8</f>
        <v/>
      </c>
      <c r="D68">
        <f>COUNTIFS(Usage_Data!$C$2:$C$5001,$A68,Usage_Data!$F$2:$F$5001,"surge",Usage_Data!$G$2:$G$5001,1)</f>
        <v/>
      </c>
      <c r="E68">
        <f>SUMIFS(Usage_Data!$E$2:$E$5001,Usage_Data!$C$2:$C$5001,$A68,Usage_Data!$G$2:$G$5001,1)</f>
        <v/>
      </c>
    </row>
    <row r="69">
      <c r="A69" t="inlineStr">
        <is>
          <t>SS-01066</t>
        </is>
      </c>
      <c r="B69">
        <f>SUMIFS(Usage_Data!$D$2:$D$5001,Usage_Data!$C$2:$C$5001,$A69,Usage_Data!$G$2:$G$5001,1)</f>
        <v/>
      </c>
      <c r="C69">
        <f>B69/8</f>
        <v/>
      </c>
      <c r="D69">
        <f>COUNTIFS(Usage_Data!$C$2:$C$5001,$A69,Usage_Data!$F$2:$F$5001,"surge",Usage_Data!$G$2:$G$5001,1)</f>
        <v/>
      </c>
      <c r="E69">
        <f>SUMIFS(Usage_Data!$E$2:$E$5001,Usage_Data!$C$2:$C$5001,$A69,Usage_Data!$G$2:$G$5001,1)</f>
        <v/>
      </c>
    </row>
    <row r="70">
      <c r="A70" t="inlineStr">
        <is>
          <t>SS-01067</t>
        </is>
      </c>
      <c r="B70">
        <f>SUMIFS(Usage_Data!$D$2:$D$5001,Usage_Data!$C$2:$C$5001,$A70,Usage_Data!$G$2:$G$5001,1)</f>
        <v/>
      </c>
      <c r="C70">
        <f>B70/8</f>
        <v/>
      </c>
      <c r="D70">
        <f>COUNTIFS(Usage_Data!$C$2:$C$5001,$A70,Usage_Data!$F$2:$F$5001,"surge",Usage_Data!$G$2:$G$5001,1)</f>
        <v/>
      </c>
      <c r="E70">
        <f>SUMIFS(Usage_Data!$E$2:$E$5001,Usage_Data!$C$2:$C$5001,$A70,Usage_Data!$G$2:$G$5001,1)</f>
        <v/>
      </c>
    </row>
    <row r="71">
      <c r="A71" t="inlineStr">
        <is>
          <t>SS-01068</t>
        </is>
      </c>
      <c r="B71">
        <f>SUMIFS(Usage_Data!$D$2:$D$5001,Usage_Data!$C$2:$C$5001,$A71,Usage_Data!$G$2:$G$5001,1)</f>
        <v/>
      </c>
      <c r="C71">
        <f>B71/8</f>
        <v/>
      </c>
      <c r="D71">
        <f>COUNTIFS(Usage_Data!$C$2:$C$5001,$A71,Usage_Data!$F$2:$F$5001,"surge",Usage_Data!$G$2:$G$5001,1)</f>
        <v/>
      </c>
      <c r="E71">
        <f>SUMIFS(Usage_Data!$E$2:$E$5001,Usage_Data!$C$2:$C$5001,$A71,Usage_Data!$G$2:$G$5001,1)</f>
        <v/>
      </c>
    </row>
    <row r="72">
      <c r="A72" t="inlineStr">
        <is>
          <t>SS-01069</t>
        </is>
      </c>
      <c r="B72">
        <f>SUMIFS(Usage_Data!$D$2:$D$5001,Usage_Data!$C$2:$C$5001,$A72,Usage_Data!$G$2:$G$5001,1)</f>
        <v/>
      </c>
      <c r="C72">
        <f>B72/8</f>
        <v/>
      </c>
      <c r="D72">
        <f>COUNTIFS(Usage_Data!$C$2:$C$5001,$A72,Usage_Data!$F$2:$F$5001,"surge",Usage_Data!$G$2:$G$5001,1)</f>
        <v/>
      </c>
      <c r="E72">
        <f>SUMIFS(Usage_Data!$E$2:$E$5001,Usage_Data!$C$2:$C$5001,$A72,Usage_Data!$G$2:$G$5001,1)</f>
        <v/>
      </c>
    </row>
    <row r="73">
      <c r="A73" t="inlineStr">
        <is>
          <t>SS-01070</t>
        </is>
      </c>
      <c r="B73">
        <f>SUMIFS(Usage_Data!$D$2:$D$5001,Usage_Data!$C$2:$C$5001,$A73,Usage_Data!$G$2:$G$5001,1)</f>
        <v/>
      </c>
      <c r="C73">
        <f>B73/8</f>
        <v/>
      </c>
      <c r="D73">
        <f>COUNTIFS(Usage_Data!$C$2:$C$5001,$A73,Usage_Data!$F$2:$F$5001,"surge",Usage_Data!$G$2:$G$5001,1)</f>
        <v/>
      </c>
      <c r="E73">
        <f>SUMIFS(Usage_Data!$E$2:$E$5001,Usage_Data!$C$2:$C$5001,$A73,Usage_Data!$G$2:$G$5001,1)</f>
        <v/>
      </c>
    </row>
    <row r="74">
      <c r="A74" t="inlineStr">
        <is>
          <t>SS-01071</t>
        </is>
      </c>
      <c r="B74">
        <f>SUMIFS(Usage_Data!$D$2:$D$5001,Usage_Data!$C$2:$C$5001,$A74,Usage_Data!$G$2:$G$5001,1)</f>
        <v/>
      </c>
      <c r="C74">
        <f>B74/8</f>
        <v/>
      </c>
      <c r="D74">
        <f>COUNTIFS(Usage_Data!$C$2:$C$5001,$A74,Usage_Data!$F$2:$F$5001,"surge",Usage_Data!$G$2:$G$5001,1)</f>
        <v/>
      </c>
      <c r="E74">
        <f>SUMIFS(Usage_Data!$E$2:$E$5001,Usage_Data!$C$2:$C$5001,$A74,Usage_Data!$G$2:$G$5001,1)</f>
        <v/>
      </c>
    </row>
    <row r="75">
      <c r="A75" t="inlineStr">
        <is>
          <t>SS-01072</t>
        </is>
      </c>
      <c r="B75">
        <f>SUMIFS(Usage_Data!$D$2:$D$5001,Usage_Data!$C$2:$C$5001,$A75,Usage_Data!$G$2:$G$5001,1)</f>
        <v/>
      </c>
      <c r="C75">
        <f>B75/8</f>
        <v/>
      </c>
      <c r="D75">
        <f>COUNTIFS(Usage_Data!$C$2:$C$5001,$A75,Usage_Data!$F$2:$F$5001,"surge",Usage_Data!$G$2:$G$5001,1)</f>
        <v/>
      </c>
      <c r="E75">
        <f>SUMIFS(Usage_Data!$E$2:$E$5001,Usage_Data!$C$2:$C$5001,$A75,Usage_Data!$G$2:$G$5001,1)</f>
        <v/>
      </c>
    </row>
    <row r="76">
      <c r="A76" t="inlineStr">
        <is>
          <t>SS-01073</t>
        </is>
      </c>
      <c r="B76">
        <f>SUMIFS(Usage_Data!$D$2:$D$5001,Usage_Data!$C$2:$C$5001,$A76,Usage_Data!$G$2:$G$5001,1)</f>
        <v/>
      </c>
      <c r="C76">
        <f>B76/8</f>
        <v/>
      </c>
      <c r="D76">
        <f>COUNTIFS(Usage_Data!$C$2:$C$5001,$A76,Usage_Data!$F$2:$F$5001,"surge",Usage_Data!$G$2:$G$5001,1)</f>
        <v/>
      </c>
      <c r="E76">
        <f>SUMIFS(Usage_Data!$E$2:$E$5001,Usage_Data!$C$2:$C$5001,$A76,Usage_Data!$G$2:$G$5001,1)</f>
        <v/>
      </c>
    </row>
    <row r="77">
      <c r="A77" t="inlineStr">
        <is>
          <t>SS-01074</t>
        </is>
      </c>
      <c r="B77">
        <f>SUMIFS(Usage_Data!$D$2:$D$5001,Usage_Data!$C$2:$C$5001,$A77,Usage_Data!$G$2:$G$5001,1)</f>
        <v/>
      </c>
      <c r="C77">
        <f>B77/8</f>
        <v/>
      </c>
      <c r="D77">
        <f>COUNTIFS(Usage_Data!$C$2:$C$5001,$A77,Usage_Data!$F$2:$F$5001,"surge",Usage_Data!$G$2:$G$5001,1)</f>
        <v/>
      </c>
      <c r="E77">
        <f>SUMIFS(Usage_Data!$E$2:$E$5001,Usage_Data!$C$2:$C$5001,$A77,Usage_Data!$G$2:$G$5001,1)</f>
        <v/>
      </c>
    </row>
    <row r="78">
      <c r="A78" t="inlineStr">
        <is>
          <t>SS-01075</t>
        </is>
      </c>
      <c r="B78">
        <f>SUMIFS(Usage_Data!$D$2:$D$5001,Usage_Data!$C$2:$C$5001,$A78,Usage_Data!$G$2:$G$5001,1)</f>
        <v/>
      </c>
      <c r="C78">
        <f>B78/8</f>
        <v/>
      </c>
      <c r="D78">
        <f>COUNTIFS(Usage_Data!$C$2:$C$5001,$A78,Usage_Data!$F$2:$F$5001,"surge",Usage_Data!$G$2:$G$5001,1)</f>
        <v/>
      </c>
      <c r="E78">
        <f>SUMIFS(Usage_Data!$E$2:$E$5001,Usage_Data!$C$2:$C$5001,$A78,Usage_Data!$G$2:$G$5001,1)</f>
        <v/>
      </c>
    </row>
    <row r="79">
      <c r="A79" t="inlineStr">
        <is>
          <t>SS-01076</t>
        </is>
      </c>
      <c r="B79">
        <f>SUMIFS(Usage_Data!$D$2:$D$5001,Usage_Data!$C$2:$C$5001,$A79,Usage_Data!$G$2:$G$5001,1)</f>
        <v/>
      </c>
      <c r="C79">
        <f>B79/8</f>
        <v/>
      </c>
      <c r="D79">
        <f>COUNTIFS(Usage_Data!$C$2:$C$5001,$A79,Usage_Data!$F$2:$F$5001,"surge",Usage_Data!$G$2:$G$5001,1)</f>
        <v/>
      </c>
      <c r="E79">
        <f>SUMIFS(Usage_Data!$E$2:$E$5001,Usage_Data!$C$2:$C$5001,$A79,Usage_Data!$G$2:$G$5001,1)</f>
        <v/>
      </c>
    </row>
    <row r="80">
      <c r="A80" t="inlineStr">
        <is>
          <t>SS-01077</t>
        </is>
      </c>
      <c r="B80">
        <f>SUMIFS(Usage_Data!$D$2:$D$5001,Usage_Data!$C$2:$C$5001,$A80,Usage_Data!$G$2:$G$5001,1)</f>
        <v/>
      </c>
      <c r="C80">
        <f>B80/8</f>
        <v/>
      </c>
      <c r="D80">
        <f>COUNTIFS(Usage_Data!$C$2:$C$5001,$A80,Usage_Data!$F$2:$F$5001,"surge",Usage_Data!$G$2:$G$5001,1)</f>
        <v/>
      </c>
      <c r="E80">
        <f>SUMIFS(Usage_Data!$E$2:$E$5001,Usage_Data!$C$2:$C$5001,$A80,Usage_Data!$G$2:$G$5001,1)</f>
        <v/>
      </c>
    </row>
    <row r="81">
      <c r="A81" t="inlineStr">
        <is>
          <t>SS-01078</t>
        </is>
      </c>
      <c r="B81">
        <f>SUMIFS(Usage_Data!$D$2:$D$5001,Usage_Data!$C$2:$C$5001,$A81,Usage_Data!$G$2:$G$5001,1)</f>
        <v/>
      </c>
      <c r="C81">
        <f>B81/8</f>
        <v/>
      </c>
      <c r="D81">
        <f>COUNTIFS(Usage_Data!$C$2:$C$5001,$A81,Usage_Data!$F$2:$F$5001,"surge",Usage_Data!$G$2:$G$5001,1)</f>
        <v/>
      </c>
      <c r="E81">
        <f>SUMIFS(Usage_Data!$E$2:$E$5001,Usage_Data!$C$2:$C$5001,$A81,Usage_Data!$G$2:$G$5001,1)</f>
        <v/>
      </c>
    </row>
    <row r="82">
      <c r="A82" t="inlineStr">
        <is>
          <t>SS-01079</t>
        </is>
      </c>
      <c r="B82">
        <f>SUMIFS(Usage_Data!$D$2:$D$5001,Usage_Data!$C$2:$C$5001,$A82,Usage_Data!$G$2:$G$5001,1)</f>
        <v/>
      </c>
      <c r="C82">
        <f>B82/8</f>
        <v/>
      </c>
      <c r="D82">
        <f>COUNTIFS(Usage_Data!$C$2:$C$5001,$A82,Usage_Data!$F$2:$F$5001,"surge",Usage_Data!$G$2:$G$5001,1)</f>
        <v/>
      </c>
      <c r="E82">
        <f>SUMIFS(Usage_Data!$E$2:$E$5001,Usage_Data!$C$2:$C$5001,$A82,Usage_Data!$G$2:$G$5001,1)</f>
        <v/>
      </c>
    </row>
    <row r="83">
      <c r="A83" t="inlineStr">
        <is>
          <t>SS-01080</t>
        </is>
      </c>
      <c r="B83">
        <f>SUMIFS(Usage_Data!$D$2:$D$5001,Usage_Data!$C$2:$C$5001,$A83,Usage_Data!$G$2:$G$5001,1)</f>
        <v/>
      </c>
      <c r="C83">
        <f>B83/8</f>
        <v/>
      </c>
      <c r="D83">
        <f>COUNTIFS(Usage_Data!$C$2:$C$5001,$A83,Usage_Data!$F$2:$F$5001,"surge",Usage_Data!$G$2:$G$5001,1)</f>
        <v/>
      </c>
      <c r="E83">
        <f>SUMIFS(Usage_Data!$E$2:$E$5001,Usage_Data!$C$2:$C$5001,$A83,Usage_Data!$G$2:$G$5001,1)</f>
        <v/>
      </c>
    </row>
    <row r="84">
      <c r="A84" t="inlineStr">
        <is>
          <t>SS-01081</t>
        </is>
      </c>
      <c r="B84">
        <f>SUMIFS(Usage_Data!$D$2:$D$5001,Usage_Data!$C$2:$C$5001,$A84,Usage_Data!$G$2:$G$5001,1)</f>
        <v/>
      </c>
      <c r="C84">
        <f>B84/8</f>
        <v/>
      </c>
      <c r="D84">
        <f>COUNTIFS(Usage_Data!$C$2:$C$5001,$A84,Usage_Data!$F$2:$F$5001,"surge",Usage_Data!$G$2:$G$5001,1)</f>
        <v/>
      </c>
      <c r="E84">
        <f>SUMIFS(Usage_Data!$E$2:$E$5001,Usage_Data!$C$2:$C$5001,$A84,Usage_Data!$G$2:$G$5001,1)</f>
        <v/>
      </c>
    </row>
    <row r="85">
      <c r="A85" t="inlineStr">
        <is>
          <t>SS-01082</t>
        </is>
      </c>
      <c r="B85">
        <f>SUMIFS(Usage_Data!$D$2:$D$5001,Usage_Data!$C$2:$C$5001,$A85,Usage_Data!$G$2:$G$5001,1)</f>
        <v/>
      </c>
      <c r="C85">
        <f>B85/8</f>
        <v/>
      </c>
      <c r="D85">
        <f>COUNTIFS(Usage_Data!$C$2:$C$5001,$A85,Usage_Data!$F$2:$F$5001,"surge",Usage_Data!$G$2:$G$5001,1)</f>
        <v/>
      </c>
      <c r="E85">
        <f>SUMIFS(Usage_Data!$E$2:$E$5001,Usage_Data!$C$2:$C$5001,$A85,Usage_Data!$G$2:$G$5001,1)</f>
        <v/>
      </c>
    </row>
    <row r="86">
      <c r="A86" t="inlineStr">
        <is>
          <t>SS-01083</t>
        </is>
      </c>
      <c r="B86">
        <f>SUMIFS(Usage_Data!$D$2:$D$5001,Usage_Data!$C$2:$C$5001,$A86,Usage_Data!$G$2:$G$5001,1)</f>
        <v/>
      </c>
      <c r="C86">
        <f>B86/8</f>
        <v/>
      </c>
      <c r="D86">
        <f>COUNTIFS(Usage_Data!$C$2:$C$5001,$A86,Usage_Data!$F$2:$F$5001,"surge",Usage_Data!$G$2:$G$5001,1)</f>
        <v/>
      </c>
      <c r="E86">
        <f>SUMIFS(Usage_Data!$E$2:$E$5001,Usage_Data!$C$2:$C$5001,$A86,Usage_Data!$G$2:$G$5001,1)</f>
        <v/>
      </c>
    </row>
    <row r="87">
      <c r="A87" t="inlineStr">
        <is>
          <t>SS-01084</t>
        </is>
      </c>
      <c r="B87">
        <f>SUMIFS(Usage_Data!$D$2:$D$5001,Usage_Data!$C$2:$C$5001,$A87,Usage_Data!$G$2:$G$5001,1)</f>
        <v/>
      </c>
      <c r="C87">
        <f>B87/8</f>
        <v/>
      </c>
      <c r="D87">
        <f>COUNTIFS(Usage_Data!$C$2:$C$5001,$A87,Usage_Data!$F$2:$F$5001,"surge",Usage_Data!$G$2:$G$5001,1)</f>
        <v/>
      </c>
      <c r="E87">
        <f>SUMIFS(Usage_Data!$E$2:$E$5001,Usage_Data!$C$2:$C$5001,$A87,Usage_Data!$G$2:$G$5001,1)</f>
        <v/>
      </c>
    </row>
    <row r="88">
      <c r="A88" t="inlineStr">
        <is>
          <t>SS-01085</t>
        </is>
      </c>
      <c r="B88">
        <f>SUMIFS(Usage_Data!$D$2:$D$5001,Usage_Data!$C$2:$C$5001,$A88,Usage_Data!$G$2:$G$5001,1)</f>
        <v/>
      </c>
      <c r="C88">
        <f>B88/8</f>
        <v/>
      </c>
      <c r="D88">
        <f>COUNTIFS(Usage_Data!$C$2:$C$5001,$A88,Usage_Data!$F$2:$F$5001,"surge",Usage_Data!$G$2:$G$5001,1)</f>
        <v/>
      </c>
      <c r="E88">
        <f>SUMIFS(Usage_Data!$E$2:$E$5001,Usage_Data!$C$2:$C$5001,$A88,Usage_Data!$G$2:$G$5001,1)</f>
        <v/>
      </c>
    </row>
    <row r="89">
      <c r="A89" t="inlineStr">
        <is>
          <t>SS-01086</t>
        </is>
      </c>
      <c r="B89">
        <f>SUMIFS(Usage_Data!$D$2:$D$5001,Usage_Data!$C$2:$C$5001,$A89,Usage_Data!$G$2:$G$5001,1)</f>
        <v/>
      </c>
      <c r="C89">
        <f>B89/8</f>
        <v/>
      </c>
      <c r="D89">
        <f>COUNTIFS(Usage_Data!$C$2:$C$5001,$A89,Usage_Data!$F$2:$F$5001,"surge",Usage_Data!$G$2:$G$5001,1)</f>
        <v/>
      </c>
      <c r="E89">
        <f>SUMIFS(Usage_Data!$E$2:$E$5001,Usage_Data!$C$2:$C$5001,$A89,Usage_Data!$G$2:$G$5001,1)</f>
        <v/>
      </c>
    </row>
    <row r="90">
      <c r="A90" t="inlineStr">
        <is>
          <t>SS-01087</t>
        </is>
      </c>
      <c r="B90">
        <f>SUMIFS(Usage_Data!$D$2:$D$5001,Usage_Data!$C$2:$C$5001,$A90,Usage_Data!$G$2:$G$5001,1)</f>
        <v/>
      </c>
      <c r="C90">
        <f>B90/8</f>
        <v/>
      </c>
      <c r="D90">
        <f>COUNTIFS(Usage_Data!$C$2:$C$5001,$A90,Usage_Data!$F$2:$F$5001,"surge",Usage_Data!$G$2:$G$5001,1)</f>
        <v/>
      </c>
      <c r="E90">
        <f>SUMIFS(Usage_Data!$E$2:$E$5001,Usage_Data!$C$2:$C$5001,$A90,Usage_Data!$G$2:$G$5001,1)</f>
        <v/>
      </c>
    </row>
    <row r="91">
      <c r="A91" t="inlineStr">
        <is>
          <t>SS-01088</t>
        </is>
      </c>
      <c r="B91">
        <f>SUMIFS(Usage_Data!$D$2:$D$5001,Usage_Data!$C$2:$C$5001,$A91,Usage_Data!$G$2:$G$5001,1)</f>
        <v/>
      </c>
      <c r="C91">
        <f>B91/8</f>
        <v/>
      </c>
      <c r="D91">
        <f>COUNTIFS(Usage_Data!$C$2:$C$5001,$A91,Usage_Data!$F$2:$F$5001,"surge",Usage_Data!$G$2:$G$5001,1)</f>
        <v/>
      </c>
      <c r="E91">
        <f>SUMIFS(Usage_Data!$E$2:$E$5001,Usage_Data!$C$2:$C$5001,$A91,Usage_Data!$G$2:$G$5001,1)</f>
        <v/>
      </c>
    </row>
    <row r="92">
      <c r="A92" t="inlineStr">
        <is>
          <t>SS-01089</t>
        </is>
      </c>
      <c r="B92">
        <f>SUMIFS(Usage_Data!$D$2:$D$5001,Usage_Data!$C$2:$C$5001,$A92,Usage_Data!$G$2:$G$5001,1)</f>
        <v/>
      </c>
      <c r="C92">
        <f>B92/8</f>
        <v/>
      </c>
      <c r="D92">
        <f>COUNTIFS(Usage_Data!$C$2:$C$5001,$A92,Usage_Data!$F$2:$F$5001,"surge",Usage_Data!$G$2:$G$5001,1)</f>
        <v/>
      </c>
      <c r="E92">
        <f>SUMIFS(Usage_Data!$E$2:$E$5001,Usage_Data!$C$2:$C$5001,$A92,Usage_Data!$G$2:$G$5001,1)</f>
        <v/>
      </c>
    </row>
    <row r="93">
      <c r="A93" t="inlineStr">
        <is>
          <t>SS-01090</t>
        </is>
      </c>
      <c r="B93">
        <f>SUMIFS(Usage_Data!$D$2:$D$5001,Usage_Data!$C$2:$C$5001,$A93,Usage_Data!$G$2:$G$5001,1)</f>
        <v/>
      </c>
      <c r="C93">
        <f>B93/8</f>
        <v/>
      </c>
      <c r="D93">
        <f>COUNTIFS(Usage_Data!$C$2:$C$5001,$A93,Usage_Data!$F$2:$F$5001,"surge",Usage_Data!$G$2:$G$5001,1)</f>
        <v/>
      </c>
      <c r="E93">
        <f>SUMIFS(Usage_Data!$E$2:$E$5001,Usage_Data!$C$2:$C$5001,$A93,Usage_Data!$G$2:$G$5001,1)</f>
        <v/>
      </c>
    </row>
    <row r="94">
      <c r="A94" t="inlineStr">
        <is>
          <t>SS-01091</t>
        </is>
      </c>
      <c r="B94">
        <f>SUMIFS(Usage_Data!$D$2:$D$5001,Usage_Data!$C$2:$C$5001,$A94,Usage_Data!$G$2:$G$5001,1)</f>
        <v/>
      </c>
      <c r="C94">
        <f>B94/8</f>
        <v/>
      </c>
      <c r="D94">
        <f>COUNTIFS(Usage_Data!$C$2:$C$5001,$A94,Usage_Data!$F$2:$F$5001,"surge",Usage_Data!$G$2:$G$5001,1)</f>
        <v/>
      </c>
      <c r="E94">
        <f>SUMIFS(Usage_Data!$E$2:$E$5001,Usage_Data!$C$2:$C$5001,$A94,Usage_Data!$G$2:$G$5001,1)</f>
        <v/>
      </c>
    </row>
    <row r="95">
      <c r="A95" t="inlineStr">
        <is>
          <t>SS-01092</t>
        </is>
      </c>
      <c r="B95">
        <f>SUMIFS(Usage_Data!$D$2:$D$5001,Usage_Data!$C$2:$C$5001,$A95,Usage_Data!$G$2:$G$5001,1)</f>
        <v/>
      </c>
      <c r="C95">
        <f>B95/8</f>
        <v/>
      </c>
      <c r="D95">
        <f>COUNTIFS(Usage_Data!$C$2:$C$5001,$A95,Usage_Data!$F$2:$F$5001,"surge",Usage_Data!$G$2:$G$5001,1)</f>
        <v/>
      </c>
      <c r="E95">
        <f>SUMIFS(Usage_Data!$E$2:$E$5001,Usage_Data!$C$2:$C$5001,$A95,Usage_Data!$G$2:$G$5001,1)</f>
        <v/>
      </c>
    </row>
    <row r="96">
      <c r="A96" t="inlineStr">
        <is>
          <t>SS-01093</t>
        </is>
      </c>
      <c r="B96">
        <f>SUMIFS(Usage_Data!$D$2:$D$5001,Usage_Data!$C$2:$C$5001,$A96,Usage_Data!$G$2:$G$5001,1)</f>
        <v/>
      </c>
      <c r="C96">
        <f>B96/8</f>
        <v/>
      </c>
      <c r="D96">
        <f>COUNTIFS(Usage_Data!$C$2:$C$5001,$A96,Usage_Data!$F$2:$F$5001,"surge",Usage_Data!$G$2:$G$5001,1)</f>
        <v/>
      </c>
      <c r="E96">
        <f>SUMIFS(Usage_Data!$E$2:$E$5001,Usage_Data!$C$2:$C$5001,$A96,Usage_Data!$G$2:$G$5001,1)</f>
        <v/>
      </c>
    </row>
    <row r="97">
      <c r="A97" t="inlineStr">
        <is>
          <t>SS-01094</t>
        </is>
      </c>
      <c r="B97">
        <f>SUMIFS(Usage_Data!$D$2:$D$5001,Usage_Data!$C$2:$C$5001,$A97,Usage_Data!$G$2:$G$5001,1)</f>
        <v/>
      </c>
      <c r="C97">
        <f>B97/8</f>
        <v/>
      </c>
      <c r="D97">
        <f>COUNTIFS(Usage_Data!$C$2:$C$5001,$A97,Usage_Data!$F$2:$F$5001,"surge",Usage_Data!$G$2:$G$5001,1)</f>
        <v/>
      </c>
      <c r="E97">
        <f>SUMIFS(Usage_Data!$E$2:$E$5001,Usage_Data!$C$2:$C$5001,$A97,Usage_Data!$G$2:$G$5001,1)</f>
        <v/>
      </c>
    </row>
    <row r="98">
      <c r="A98" t="inlineStr">
        <is>
          <t>SS-01095</t>
        </is>
      </c>
      <c r="B98">
        <f>SUMIFS(Usage_Data!$D$2:$D$5001,Usage_Data!$C$2:$C$5001,$A98,Usage_Data!$G$2:$G$5001,1)</f>
        <v/>
      </c>
      <c r="C98">
        <f>B98/8</f>
        <v/>
      </c>
      <c r="D98">
        <f>COUNTIFS(Usage_Data!$C$2:$C$5001,$A98,Usage_Data!$F$2:$F$5001,"surge",Usage_Data!$G$2:$G$5001,1)</f>
        <v/>
      </c>
      <c r="E98">
        <f>SUMIFS(Usage_Data!$E$2:$E$5001,Usage_Data!$C$2:$C$5001,$A98,Usage_Data!$G$2:$G$5001,1)</f>
        <v/>
      </c>
    </row>
    <row r="99">
      <c r="A99" t="inlineStr">
        <is>
          <t>SS-01096</t>
        </is>
      </c>
      <c r="B99">
        <f>SUMIFS(Usage_Data!$D$2:$D$5001,Usage_Data!$C$2:$C$5001,$A99,Usage_Data!$G$2:$G$5001,1)</f>
        <v/>
      </c>
      <c r="C99">
        <f>B99/8</f>
        <v/>
      </c>
      <c r="D99">
        <f>COUNTIFS(Usage_Data!$C$2:$C$5001,$A99,Usage_Data!$F$2:$F$5001,"surge",Usage_Data!$G$2:$G$5001,1)</f>
        <v/>
      </c>
      <c r="E99">
        <f>SUMIFS(Usage_Data!$E$2:$E$5001,Usage_Data!$C$2:$C$5001,$A99,Usage_Data!$G$2:$G$5001,1)</f>
        <v/>
      </c>
    </row>
    <row r="100">
      <c r="A100" t="inlineStr">
        <is>
          <t>SS-01097</t>
        </is>
      </c>
      <c r="B100">
        <f>SUMIFS(Usage_Data!$D$2:$D$5001,Usage_Data!$C$2:$C$5001,$A100,Usage_Data!$G$2:$G$5001,1)</f>
        <v/>
      </c>
      <c r="C100">
        <f>B100/8</f>
        <v/>
      </c>
      <c r="D100">
        <f>COUNTIFS(Usage_Data!$C$2:$C$5001,$A100,Usage_Data!$F$2:$F$5001,"surge",Usage_Data!$G$2:$G$5001,1)</f>
        <v/>
      </c>
      <c r="E100">
        <f>SUMIFS(Usage_Data!$E$2:$E$5001,Usage_Data!$C$2:$C$5001,$A100,Usage_Data!$G$2:$G$5001,1)</f>
        <v/>
      </c>
    </row>
    <row r="101">
      <c r="A101" t="inlineStr">
        <is>
          <t>SS-01098</t>
        </is>
      </c>
      <c r="B101">
        <f>SUMIFS(Usage_Data!$D$2:$D$5001,Usage_Data!$C$2:$C$5001,$A101,Usage_Data!$G$2:$G$5001,1)</f>
        <v/>
      </c>
      <c r="C101">
        <f>B101/8</f>
        <v/>
      </c>
      <c r="D101">
        <f>COUNTIFS(Usage_Data!$C$2:$C$5001,$A101,Usage_Data!$F$2:$F$5001,"surge",Usage_Data!$G$2:$G$5001,1)</f>
        <v/>
      </c>
      <c r="E101">
        <f>SUMIFS(Usage_Data!$E$2:$E$5001,Usage_Data!$C$2:$C$5001,$A101,Usage_Data!$G$2:$G$5001,1)</f>
        <v/>
      </c>
    </row>
    <row r="102">
      <c r="A102" t="inlineStr">
        <is>
          <t>SS-01099</t>
        </is>
      </c>
      <c r="B102">
        <f>SUMIFS(Usage_Data!$D$2:$D$5001,Usage_Data!$C$2:$C$5001,$A102,Usage_Data!$G$2:$G$5001,1)</f>
        <v/>
      </c>
      <c r="C102">
        <f>B102/8</f>
        <v/>
      </c>
      <c r="D102">
        <f>COUNTIFS(Usage_Data!$C$2:$C$5001,$A102,Usage_Data!$F$2:$F$5001,"surge",Usage_Data!$G$2:$G$5001,1)</f>
        <v/>
      </c>
      <c r="E102">
        <f>SUMIFS(Usage_Data!$E$2:$E$5001,Usage_Data!$C$2:$C$5001,$A102,Usage_Data!$G$2:$G$5001,1)</f>
        <v/>
      </c>
    </row>
    <row r="103">
      <c r="A103" t="inlineStr">
        <is>
          <t>SS-01100</t>
        </is>
      </c>
      <c r="B103">
        <f>SUMIFS(Usage_Data!$D$2:$D$5001,Usage_Data!$C$2:$C$5001,$A103,Usage_Data!$G$2:$G$5001,1)</f>
        <v/>
      </c>
      <c r="C103">
        <f>B103/8</f>
        <v/>
      </c>
      <c r="D103">
        <f>COUNTIFS(Usage_Data!$C$2:$C$5001,$A103,Usage_Data!$F$2:$F$5001,"surge",Usage_Data!$G$2:$G$5001,1)</f>
        <v/>
      </c>
      <c r="E103">
        <f>SUMIFS(Usage_Data!$E$2:$E$5001,Usage_Data!$C$2:$C$5001,$A103,Usage_Data!$G$2:$G$5001,1)</f>
        <v/>
      </c>
    </row>
    <row r="104">
      <c r="A104" t="inlineStr">
        <is>
          <t>SS-01101</t>
        </is>
      </c>
      <c r="B104">
        <f>SUMIFS(Usage_Data!$D$2:$D$5001,Usage_Data!$C$2:$C$5001,$A104,Usage_Data!$G$2:$G$5001,1)</f>
        <v/>
      </c>
      <c r="C104">
        <f>B104/8</f>
        <v/>
      </c>
      <c r="D104">
        <f>COUNTIFS(Usage_Data!$C$2:$C$5001,$A104,Usage_Data!$F$2:$F$5001,"surge",Usage_Data!$G$2:$G$5001,1)</f>
        <v/>
      </c>
      <c r="E104">
        <f>SUMIFS(Usage_Data!$E$2:$E$5001,Usage_Data!$C$2:$C$5001,$A104,Usage_Data!$G$2:$G$5001,1)</f>
        <v/>
      </c>
    </row>
    <row r="105">
      <c r="A105" t="inlineStr">
        <is>
          <t>SS-01102</t>
        </is>
      </c>
      <c r="B105">
        <f>SUMIFS(Usage_Data!$D$2:$D$5001,Usage_Data!$C$2:$C$5001,$A105,Usage_Data!$G$2:$G$5001,1)</f>
        <v/>
      </c>
      <c r="C105">
        <f>B105/8</f>
        <v/>
      </c>
      <c r="D105">
        <f>COUNTIFS(Usage_Data!$C$2:$C$5001,$A105,Usage_Data!$F$2:$F$5001,"surge",Usage_Data!$G$2:$G$5001,1)</f>
        <v/>
      </c>
      <c r="E105">
        <f>SUMIFS(Usage_Data!$E$2:$E$5001,Usage_Data!$C$2:$C$5001,$A105,Usage_Data!$G$2:$G$5001,1)</f>
        <v/>
      </c>
    </row>
    <row r="106">
      <c r="A106" t="inlineStr">
        <is>
          <t>SS-01103</t>
        </is>
      </c>
      <c r="B106">
        <f>SUMIFS(Usage_Data!$D$2:$D$5001,Usage_Data!$C$2:$C$5001,$A106,Usage_Data!$G$2:$G$5001,1)</f>
        <v/>
      </c>
      <c r="C106">
        <f>B106/8</f>
        <v/>
      </c>
      <c r="D106">
        <f>COUNTIFS(Usage_Data!$C$2:$C$5001,$A106,Usage_Data!$F$2:$F$5001,"surge",Usage_Data!$G$2:$G$5001,1)</f>
        <v/>
      </c>
      <c r="E106">
        <f>SUMIFS(Usage_Data!$E$2:$E$5001,Usage_Data!$C$2:$C$5001,$A106,Usage_Data!$G$2:$G$5001,1)</f>
        <v/>
      </c>
    </row>
    <row r="107">
      <c r="A107" t="inlineStr">
        <is>
          <t>SS-01104</t>
        </is>
      </c>
      <c r="B107">
        <f>SUMIFS(Usage_Data!$D$2:$D$5001,Usage_Data!$C$2:$C$5001,$A107,Usage_Data!$G$2:$G$5001,1)</f>
        <v/>
      </c>
      <c r="C107">
        <f>B107/8</f>
        <v/>
      </c>
      <c r="D107">
        <f>COUNTIFS(Usage_Data!$C$2:$C$5001,$A107,Usage_Data!$F$2:$F$5001,"surge",Usage_Data!$G$2:$G$5001,1)</f>
        <v/>
      </c>
      <c r="E107">
        <f>SUMIFS(Usage_Data!$E$2:$E$5001,Usage_Data!$C$2:$C$5001,$A107,Usage_Data!$G$2:$G$5001,1)</f>
        <v/>
      </c>
    </row>
    <row r="108">
      <c r="A108" t="inlineStr">
        <is>
          <t>SS-01105</t>
        </is>
      </c>
      <c r="B108">
        <f>SUMIFS(Usage_Data!$D$2:$D$5001,Usage_Data!$C$2:$C$5001,$A108,Usage_Data!$G$2:$G$5001,1)</f>
        <v/>
      </c>
      <c r="C108">
        <f>B108/8</f>
        <v/>
      </c>
      <c r="D108">
        <f>COUNTIFS(Usage_Data!$C$2:$C$5001,$A108,Usage_Data!$F$2:$F$5001,"surge",Usage_Data!$G$2:$G$5001,1)</f>
        <v/>
      </c>
      <c r="E108">
        <f>SUMIFS(Usage_Data!$E$2:$E$5001,Usage_Data!$C$2:$C$5001,$A108,Usage_Data!$G$2:$G$5001,1)</f>
        <v/>
      </c>
    </row>
    <row r="109">
      <c r="A109" t="inlineStr">
        <is>
          <t>SS-01106</t>
        </is>
      </c>
      <c r="B109">
        <f>SUMIFS(Usage_Data!$D$2:$D$5001,Usage_Data!$C$2:$C$5001,$A109,Usage_Data!$G$2:$G$5001,1)</f>
        <v/>
      </c>
      <c r="C109">
        <f>B109/8</f>
        <v/>
      </c>
      <c r="D109">
        <f>COUNTIFS(Usage_Data!$C$2:$C$5001,$A109,Usage_Data!$F$2:$F$5001,"surge",Usage_Data!$G$2:$G$5001,1)</f>
        <v/>
      </c>
      <c r="E109">
        <f>SUMIFS(Usage_Data!$E$2:$E$5001,Usage_Data!$C$2:$C$5001,$A109,Usage_Data!$G$2:$G$5001,1)</f>
        <v/>
      </c>
    </row>
    <row r="110">
      <c r="A110" t="inlineStr">
        <is>
          <t>SS-01107</t>
        </is>
      </c>
      <c r="B110">
        <f>SUMIFS(Usage_Data!$D$2:$D$5001,Usage_Data!$C$2:$C$5001,$A110,Usage_Data!$G$2:$G$5001,1)</f>
        <v/>
      </c>
      <c r="C110">
        <f>B110/8</f>
        <v/>
      </c>
      <c r="D110">
        <f>COUNTIFS(Usage_Data!$C$2:$C$5001,$A110,Usage_Data!$F$2:$F$5001,"surge",Usage_Data!$G$2:$G$5001,1)</f>
        <v/>
      </c>
      <c r="E110">
        <f>SUMIFS(Usage_Data!$E$2:$E$5001,Usage_Data!$C$2:$C$5001,$A110,Usage_Data!$G$2:$G$5001,1)</f>
        <v/>
      </c>
    </row>
    <row r="111">
      <c r="A111" t="inlineStr">
        <is>
          <t>SS-01108</t>
        </is>
      </c>
      <c r="B111">
        <f>SUMIFS(Usage_Data!$D$2:$D$5001,Usage_Data!$C$2:$C$5001,$A111,Usage_Data!$G$2:$G$5001,1)</f>
        <v/>
      </c>
      <c r="C111">
        <f>B111/8</f>
        <v/>
      </c>
      <c r="D111">
        <f>COUNTIFS(Usage_Data!$C$2:$C$5001,$A111,Usage_Data!$F$2:$F$5001,"surge",Usage_Data!$G$2:$G$5001,1)</f>
        <v/>
      </c>
      <c r="E111">
        <f>SUMIFS(Usage_Data!$E$2:$E$5001,Usage_Data!$C$2:$C$5001,$A111,Usage_Data!$G$2:$G$5001,1)</f>
        <v/>
      </c>
    </row>
    <row r="112">
      <c r="A112" t="inlineStr">
        <is>
          <t>SS-01109</t>
        </is>
      </c>
      <c r="B112">
        <f>SUMIFS(Usage_Data!$D$2:$D$5001,Usage_Data!$C$2:$C$5001,$A112,Usage_Data!$G$2:$G$5001,1)</f>
        <v/>
      </c>
      <c r="C112">
        <f>B112/8</f>
        <v/>
      </c>
      <c r="D112">
        <f>COUNTIFS(Usage_Data!$C$2:$C$5001,$A112,Usage_Data!$F$2:$F$5001,"surge",Usage_Data!$G$2:$G$5001,1)</f>
        <v/>
      </c>
      <c r="E112">
        <f>SUMIFS(Usage_Data!$E$2:$E$5001,Usage_Data!$C$2:$C$5001,$A112,Usage_Data!$G$2:$G$5001,1)</f>
        <v/>
      </c>
    </row>
    <row r="113">
      <c r="A113" t="inlineStr">
        <is>
          <t>SS-01110</t>
        </is>
      </c>
      <c r="B113">
        <f>SUMIFS(Usage_Data!$D$2:$D$5001,Usage_Data!$C$2:$C$5001,$A113,Usage_Data!$G$2:$G$5001,1)</f>
        <v/>
      </c>
      <c r="C113">
        <f>B113/8</f>
        <v/>
      </c>
      <c r="D113">
        <f>COUNTIFS(Usage_Data!$C$2:$C$5001,$A113,Usage_Data!$F$2:$F$5001,"surge",Usage_Data!$G$2:$G$5001,1)</f>
        <v/>
      </c>
      <c r="E113">
        <f>SUMIFS(Usage_Data!$E$2:$E$5001,Usage_Data!$C$2:$C$5001,$A113,Usage_Data!$G$2:$G$5001,1)</f>
        <v/>
      </c>
    </row>
    <row r="114">
      <c r="A114" t="inlineStr">
        <is>
          <t>SS-01111</t>
        </is>
      </c>
      <c r="B114">
        <f>SUMIFS(Usage_Data!$D$2:$D$5001,Usage_Data!$C$2:$C$5001,$A114,Usage_Data!$G$2:$G$5001,1)</f>
        <v/>
      </c>
      <c r="C114">
        <f>B114/8</f>
        <v/>
      </c>
      <c r="D114">
        <f>COUNTIFS(Usage_Data!$C$2:$C$5001,$A114,Usage_Data!$F$2:$F$5001,"surge",Usage_Data!$G$2:$G$5001,1)</f>
        <v/>
      </c>
      <c r="E114">
        <f>SUMIFS(Usage_Data!$E$2:$E$5001,Usage_Data!$C$2:$C$5001,$A114,Usage_Data!$G$2:$G$5001,1)</f>
        <v/>
      </c>
    </row>
    <row r="115">
      <c r="A115" t="inlineStr">
        <is>
          <t>SS-01112</t>
        </is>
      </c>
      <c r="B115">
        <f>SUMIFS(Usage_Data!$D$2:$D$5001,Usage_Data!$C$2:$C$5001,$A115,Usage_Data!$G$2:$G$5001,1)</f>
        <v/>
      </c>
      <c r="C115">
        <f>B115/8</f>
        <v/>
      </c>
      <c r="D115">
        <f>COUNTIFS(Usage_Data!$C$2:$C$5001,$A115,Usage_Data!$F$2:$F$5001,"surge",Usage_Data!$G$2:$G$5001,1)</f>
        <v/>
      </c>
      <c r="E115">
        <f>SUMIFS(Usage_Data!$E$2:$E$5001,Usage_Data!$C$2:$C$5001,$A115,Usage_Data!$G$2:$G$5001,1)</f>
        <v/>
      </c>
    </row>
    <row r="116">
      <c r="A116" t="inlineStr">
        <is>
          <t>SS-01113</t>
        </is>
      </c>
      <c r="B116">
        <f>SUMIFS(Usage_Data!$D$2:$D$5001,Usage_Data!$C$2:$C$5001,$A116,Usage_Data!$G$2:$G$5001,1)</f>
        <v/>
      </c>
      <c r="C116">
        <f>B116/8</f>
        <v/>
      </c>
      <c r="D116">
        <f>COUNTIFS(Usage_Data!$C$2:$C$5001,$A116,Usage_Data!$F$2:$F$5001,"surge",Usage_Data!$G$2:$G$5001,1)</f>
        <v/>
      </c>
      <c r="E116">
        <f>SUMIFS(Usage_Data!$E$2:$E$5001,Usage_Data!$C$2:$C$5001,$A116,Usage_Data!$G$2:$G$5001,1)</f>
        <v/>
      </c>
    </row>
    <row r="117">
      <c r="A117" t="inlineStr">
        <is>
          <t>SS-01114</t>
        </is>
      </c>
      <c r="B117">
        <f>SUMIFS(Usage_Data!$D$2:$D$5001,Usage_Data!$C$2:$C$5001,$A117,Usage_Data!$G$2:$G$5001,1)</f>
        <v/>
      </c>
      <c r="C117">
        <f>B117/8</f>
        <v/>
      </c>
      <c r="D117">
        <f>COUNTIFS(Usage_Data!$C$2:$C$5001,$A117,Usage_Data!$F$2:$F$5001,"surge",Usage_Data!$G$2:$G$5001,1)</f>
        <v/>
      </c>
      <c r="E117">
        <f>SUMIFS(Usage_Data!$E$2:$E$5001,Usage_Data!$C$2:$C$5001,$A117,Usage_Data!$G$2:$G$5001,1)</f>
        <v/>
      </c>
    </row>
    <row r="118">
      <c r="A118" t="inlineStr">
        <is>
          <t>SS-01115</t>
        </is>
      </c>
      <c r="B118">
        <f>SUMIFS(Usage_Data!$D$2:$D$5001,Usage_Data!$C$2:$C$5001,$A118,Usage_Data!$G$2:$G$5001,1)</f>
        <v/>
      </c>
      <c r="C118">
        <f>B118/8</f>
        <v/>
      </c>
      <c r="D118">
        <f>COUNTIFS(Usage_Data!$C$2:$C$5001,$A118,Usage_Data!$F$2:$F$5001,"surge",Usage_Data!$G$2:$G$5001,1)</f>
        <v/>
      </c>
      <c r="E118">
        <f>SUMIFS(Usage_Data!$E$2:$E$5001,Usage_Data!$C$2:$C$5001,$A118,Usage_Data!$G$2:$G$5001,1)</f>
        <v/>
      </c>
    </row>
    <row r="119">
      <c r="A119" t="inlineStr">
        <is>
          <t>SS-01116</t>
        </is>
      </c>
      <c r="B119">
        <f>SUMIFS(Usage_Data!$D$2:$D$5001,Usage_Data!$C$2:$C$5001,$A119,Usage_Data!$G$2:$G$5001,1)</f>
        <v/>
      </c>
      <c r="C119">
        <f>B119/8</f>
        <v/>
      </c>
      <c r="D119">
        <f>COUNTIFS(Usage_Data!$C$2:$C$5001,$A119,Usage_Data!$F$2:$F$5001,"surge",Usage_Data!$G$2:$G$5001,1)</f>
        <v/>
      </c>
      <c r="E119">
        <f>SUMIFS(Usage_Data!$E$2:$E$5001,Usage_Data!$C$2:$C$5001,$A119,Usage_Data!$G$2:$G$5001,1)</f>
        <v/>
      </c>
    </row>
    <row r="120">
      <c r="A120" t="inlineStr">
        <is>
          <t>SS-01117</t>
        </is>
      </c>
      <c r="B120">
        <f>SUMIFS(Usage_Data!$D$2:$D$5001,Usage_Data!$C$2:$C$5001,$A120,Usage_Data!$G$2:$G$5001,1)</f>
        <v/>
      </c>
      <c r="C120">
        <f>B120/8</f>
        <v/>
      </c>
      <c r="D120">
        <f>COUNTIFS(Usage_Data!$C$2:$C$5001,$A120,Usage_Data!$F$2:$F$5001,"surge",Usage_Data!$G$2:$G$5001,1)</f>
        <v/>
      </c>
      <c r="E120">
        <f>SUMIFS(Usage_Data!$E$2:$E$5001,Usage_Data!$C$2:$C$5001,$A120,Usage_Data!$G$2:$G$5001,1)</f>
        <v/>
      </c>
    </row>
    <row r="121">
      <c r="A121" t="inlineStr">
        <is>
          <t>SS-01118</t>
        </is>
      </c>
      <c r="B121">
        <f>SUMIFS(Usage_Data!$D$2:$D$5001,Usage_Data!$C$2:$C$5001,$A121,Usage_Data!$G$2:$G$5001,1)</f>
        <v/>
      </c>
      <c r="C121">
        <f>B121/8</f>
        <v/>
      </c>
      <c r="D121">
        <f>COUNTIFS(Usage_Data!$C$2:$C$5001,$A121,Usage_Data!$F$2:$F$5001,"surge",Usage_Data!$G$2:$G$5001,1)</f>
        <v/>
      </c>
      <c r="E121">
        <f>SUMIFS(Usage_Data!$E$2:$E$5001,Usage_Data!$C$2:$C$5001,$A121,Usage_Data!$G$2:$G$5001,1)</f>
        <v/>
      </c>
    </row>
    <row r="122">
      <c r="A122" t="inlineStr">
        <is>
          <t>SS-01119</t>
        </is>
      </c>
      <c r="B122">
        <f>SUMIFS(Usage_Data!$D$2:$D$5001,Usage_Data!$C$2:$C$5001,$A122,Usage_Data!$G$2:$G$5001,1)</f>
        <v/>
      </c>
      <c r="C122">
        <f>B122/8</f>
        <v/>
      </c>
      <c r="D122">
        <f>COUNTIFS(Usage_Data!$C$2:$C$5001,$A122,Usage_Data!$F$2:$F$5001,"surge",Usage_Data!$G$2:$G$5001,1)</f>
        <v/>
      </c>
      <c r="E122">
        <f>SUMIFS(Usage_Data!$E$2:$E$5001,Usage_Data!$C$2:$C$5001,$A122,Usage_Data!$G$2:$G$5001,1)</f>
        <v/>
      </c>
    </row>
    <row r="123">
      <c r="A123" t="inlineStr">
        <is>
          <t>SS-01120</t>
        </is>
      </c>
      <c r="B123">
        <f>SUMIFS(Usage_Data!$D$2:$D$5001,Usage_Data!$C$2:$C$5001,$A123,Usage_Data!$G$2:$G$5001,1)</f>
        <v/>
      </c>
      <c r="C123">
        <f>B123/8</f>
        <v/>
      </c>
      <c r="D123">
        <f>COUNTIFS(Usage_Data!$C$2:$C$5001,$A123,Usage_Data!$F$2:$F$5001,"surge",Usage_Data!$G$2:$G$5001,1)</f>
        <v/>
      </c>
      <c r="E123">
        <f>SUMIFS(Usage_Data!$E$2:$E$5001,Usage_Data!$C$2:$C$5001,$A123,Usage_Data!$G$2:$G$5001,1)</f>
        <v/>
      </c>
    </row>
    <row r="124">
      <c r="A124" t="inlineStr">
        <is>
          <t>SS-01121</t>
        </is>
      </c>
      <c r="B124">
        <f>SUMIFS(Usage_Data!$D$2:$D$5001,Usage_Data!$C$2:$C$5001,$A124,Usage_Data!$G$2:$G$5001,1)</f>
        <v/>
      </c>
      <c r="C124">
        <f>B124/8</f>
        <v/>
      </c>
      <c r="D124">
        <f>COUNTIFS(Usage_Data!$C$2:$C$5001,$A124,Usage_Data!$F$2:$F$5001,"surge",Usage_Data!$G$2:$G$5001,1)</f>
        <v/>
      </c>
      <c r="E124">
        <f>SUMIFS(Usage_Data!$E$2:$E$5001,Usage_Data!$C$2:$C$5001,$A124,Usage_Data!$G$2:$G$5001,1)</f>
        <v/>
      </c>
    </row>
    <row r="125">
      <c r="A125" t="inlineStr">
        <is>
          <t>SS-01122</t>
        </is>
      </c>
      <c r="B125">
        <f>SUMIFS(Usage_Data!$D$2:$D$5001,Usage_Data!$C$2:$C$5001,$A125,Usage_Data!$G$2:$G$5001,1)</f>
        <v/>
      </c>
      <c r="C125">
        <f>B125/8</f>
        <v/>
      </c>
      <c r="D125">
        <f>COUNTIFS(Usage_Data!$C$2:$C$5001,$A125,Usage_Data!$F$2:$F$5001,"surge",Usage_Data!$G$2:$G$5001,1)</f>
        <v/>
      </c>
      <c r="E125">
        <f>SUMIFS(Usage_Data!$E$2:$E$5001,Usage_Data!$C$2:$C$5001,$A125,Usage_Data!$G$2:$G$5001,1)</f>
        <v/>
      </c>
    </row>
    <row r="126">
      <c r="A126" t="inlineStr">
        <is>
          <t>SS-01123</t>
        </is>
      </c>
      <c r="B126">
        <f>SUMIFS(Usage_Data!$D$2:$D$5001,Usage_Data!$C$2:$C$5001,$A126,Usage_Data!$G$2:$G$5001,1)</f>
        <v/>
      </c>
      <c r="C126">
        <f>B126/8</f>
        <v/>
      </c>
      <c r="D126">
        <f>COUNTIFS(Usage_Data!$C$2:$C$5001,$A126,Usage_Data!$F$2:$F$5001,"surge",Usage_Data!$G$2:$G$5001,1)</f>
        <v/>
      </c>
      <c r="E126">
        <f>SUMIFS(Usage_Data!$E$2:$E$5001,Usage_Data!$C$2:$C$5001,$A126,Usage_Data!$G$2:$G$5001,1)</f>
        <v/>
      </c>
    </row>
    <row r="127">
      <c r="A127" t="inlineStr">
        <is>
          <t>SS-01124</t>
        </is>
      </c>
      <c r="B127">
        <f>SUMIFS(Usage_Data!$D$2:$D$5001,Usage_Data!$C$2:$C$5001,$A127,Usage_Data!$G$2:$G$5001,1)</f>
        <v/>
      </c>
      <c r="C127">
        <f>B127/8</f>
        <v/>
      </c>
      <c r="D127">
        <f>COUNTIFS(Usage_Data!$C$2:$C$5001,$A127,Usage_Data!$F$2:$F$5001,"surge",Usage_Data!$G$2:$G$5001,1)</f>
        <v/>
      </c>
      <c r="E127">
        <f>SUMIFS(Usage_Data!$E$2:$E$5001,Usage_Data!$C$2:$C$5001,$A127,Usage_Data!$G$2:$G$5001,1)</f>
        <v/>
      </c>
    </row>
    <row r="128">
      <c r="A128" t="inlineStr">
        <is>
          <t>SS-01125</t>
        </is>
      </c>
      <c r="B128">
        <f>SUMIFS(Usage_Data!$D$2:$D$5001,Usage_Data!$C$2:$C$5001,$A128,Usage_Data!$G$2:$G$5001,1)</f>
        <v/>
      </c>
      <c r="C128">
        <f>B128/8</f>
        <v/>
      </c>
      <c r="D128">
        <f>COUNTIFS(Usage_Data!$C$2:$C$5001,$A128,Usage_Data!$F$2:$F$5001,"surge",Usage_Data!$G$2:$G$5001,1)</f>
        <v/>
      </c>
      <c r="E128">
        <f>SUMIFS(Usage_Data!$E$2:$E$5001,Usage_Data!$C$2:$C$5001,$A128,Usage_Data!$G$2:$G$5001,1)</f>
        <v/>
      </c>
    </row>
    <row r="129">
      <c r="A129" t="inlineStr">
        <is>
          <t>SS-01126</t>
        </is>
      </c>
      <c r="B129">
        <f>SUMIFS(Usage_Data!$D$2:$D$5001,Usage_Data!$C$2:$C$5001,$A129,Usage_Data!$G$2:$G$5001,1)</f>
        <v/>
      </c>
      <c r="C129">
        <f>B129/8</f>
        <v/>
      </c>
      <c r="D129">
        <f>COUNTIFS(Usage_Data!$C$2:$C$5001,$A129,Usage_Data!$F$2:$F$5001,"surge",Usage_Data!$G$2:$G$5001,1)</f>
        <v/>
      </c>
      <c r="E129">
        <f>SUMIFS(Usage_Data!$E$2:$E$5001,Usage_Data!$C$2:$C$5001,$A129,Usage_Data!$G$2:$G$5001,1)</f>
        <v/>
      </c>
    </row>
    <row r="130">
      <c r="A130" t="inlineStr">
        <is>
          <t>SS-01127</t>
        </is>
      </c>
      <c r="B130">
        <f>SUMIFS(Usage_Data!$D$2:$D$5001,Usage_Data!$C$2:$C$5001,$A130,Usage_Data!$G$2:$G$5001,1)</f>
        <v/>
      </c>
      <c r="C130">
        <f>B130/8</f>
        <v/>
      </c>
      <c r="D130">
        <f>COUNTIFS(Usage_Data!$C$2:$C$5001,$A130,Usage_Data!$F$2:$F$5001,"surge",Usage_Data!$G$2:$G$5001,1)</f>
        <v/>
      </c>
      <c r="E130">
        <f>SUMIFS(Usage_Data!$E$2:$E$5001,Usage_Data!$C$2:$C$5001,$A130,Usage_Data!$G$2:$G$5001,1)</f>
        <v/>
      </c>
    </row>
    <row r="131">
      <c r="A131" t="inlineStr">
        <is>
          <t>SS-01128</t>
        </is>
      </c>
      <c r="B131">
        <f>SUMIFS(Usage_Data!$D$2:$D$5001,Usage_Data!$C$2:$C$5001,$A131,Usage_Data!$G$2:$G$5001,1)</f>
        <v/>
      </c>
      <c r="C131">
        <f>B131/8</f>
        <v/>
      </c>
      <c r="D131">
        <f>COUNTIFS(Usage_Data!$C$2:$C$5001,$A131,Usage_Data!$F$2:$F$5001,"surge",Usage_Data!$G$2:$G$5001,1)</f>
        <v/>
      </c>
      <c r="E131">
        <f>SUMIFS(Usage_Data!$E$2:$E$5001,Usage_Data!$C$2:$C$5001,$A131,Usage_Data!$G$2:$G$5001,1)</f>
        <v/>
      </c>
    </row>
    <row r="132">
      <c r="A132" t="inlineStr">
        <is>
          <t>SS-01129</t>
        </is>
      </c>
      <c r="B132">
        <f>SUMIFS(Usage_Data!$D$2:$D$5001,Usage_Data!$C$2:$C$5001,$A132,Usage_Data!$G$2:$G$5001,1)</f>
        <v/>
      </c>
      <c r="C132">
        <f>B132/8</f>
        <v/>
      </c>
      <c r="D132">
        <f>COUNTIFS(Usage_Data!$C$2:$C$5001,$A132,Usage_Data!$F$2:$F$5001,"surge",Usage_Data!$G$2:$G$5001,1)</f>
        <v/>
      </c>
      <c r="E132">
        <f>SUMIFS(Usage_Data!$E$2:$E$5001,Usage_Data!$C$2:$C$5001,$A132,Usage_Data!$G$2:$G$5001,1)</f>
        <v/>
      </c>
    </row>
    <row r="133">
      <c r="A133" t="inlineStr">
        <is>
          <t>SS-01130</t>
        </is>
      </c>
      <c r="B133">
        <f>SUMIFS(Usage_Data!$D$2:$D$5001,Usage_Data!$C$2:$C$5001,$A133,Usage_Data!$G$2:$G$5001,1)</f>
        <v/>
      </c>
      <c r="C133">
        <f>B133/8</f>
        <v/>
      </c>
      <c r="D133">
        <f>COUNTIFS(Usage_Data!$C$2:$C$5001,$A133,Usage_Data!$F$2:$F$5001,"surge",Usage_Data!$G$2:$G$5001,1)</f>
        <v/>
      </c>
      <c r="E133">
        <f>SUMIFS(Usage_Data!$E$2:$E$5001,Usage_Data!$C$2:$C$5001,$A133,Usage_Data!$G$2:$G$5001,1)</f>
        <v/>
      </c>
    </row>
    <row r="134">
      <c r="A134" t="inlineStr">
        <is>
          <t>SS-01131</t>
        </is>
      </c>
      <c r="B134">
        <f>SUMIFS(Usage_Data!$D$2:$D$5001,Usage_Data!$C$2:$C$5001,$A134,Usage_Data!$G$2:$G$5001,1)</f>
        <v/>
      </c>
      <c r="C134">
        <f>B134/8</f>
        <v/>
      </c>
      <c r="D134">
        <f>COUNTIFS(Usage_Data!$C$2:$C$5001,$A134,Usage_Data!$F$2:$F$5001,"surge",Usage_Data!$G$2:$G$5001,1)</f>
        <v/>
      </c>
      <c r="E134">
        <f>SUMIFS(Usage_Data!$E$2:$E$5001,Usage_Data!$C$2:$C$5001,$A134,Usage_Data!$G$2:$G$5001,1)</f>
        <v/>
      </c>
    </row>
    <row r="135">
      <c r="A135" t="inlineStr">
        <is>
          <t>SS-01132</t>
        </is>
      </c>
      <c r="B135">
        <f>SUMIFS(Usage_Data!$D$2:$D$5001,Usage_Data!$C$2:$C$5001,$A135,Usage_Data!$G$2:$G$5001,1)</f>
        <v/>
      </c>
      <c r="C135">
        <f>B135/8</f>
        <v/>
      </c>
      <c r="D135">
        <f>COUNTIFS(Usage_Data!$C$2:$C$5001,$A135,Usage_Data!$F$2:$F$5001,"surge",Usage_Data!$G$2:$G$5001,1)</f>
        <v/>
      </c>
      <c r="E135">
        <f>SUMIFS(Usage_Data!$E$2:$E$5001,Usage_Data!$C$2:$C$5001,$A135,Usage_Data!$G$2:$G$5001,1)</f>
        <v/>
      </c>
    </row>
    <row r="136">
      <c r="A136" t="inlineStr">
        <is>
          <t>SS-01133</t>
        </is>
      </c>
      <c r="B136">
        <f>SUMIFS(Usage_Data!$D$2:$D$5001,Usage_Data!$C$2:$C$5001,$A136,Usage_Data!$G$2:$G$5001,1)</f>
        <v/>
      </c>
      <c r="C136">
        <f>B136/8</f>
        <v/>
      </c>
      <c r="D136">
        <f>COUNTIFS(Usage_Data!$C$2:$C$5001,$A136,Usage_Data!$F$2:$F$5001,"surge",Usage_Data!$G$2:$G$5001,1)</f>
        <v/>
      </c>
      <c r="E136">
        <f>SUMIFS(Usage_Data!$E$2:$E$5001,Usage_Data!$C$2:$C$5001,$A136,Usage_Data!$G$2:$G$5001,1)</f>
        <v/>
      </c>
    </row>
    <row r="137">
      <c r="A137" t="inlineStr">
        <is>
          <t>SS-01134</t>
        </is>
      </c>
      <c r="B137">
        <f>SUMIFS(Usage_Data!$D$2:$D$5001,Usage_Data!$C$2:$C$5001,$A137,Usage_Data!$G$2:$G$5001,1)</f>
        <v/>
      </c>
      <c r="C137">
        <f>B137/8</f>
        <v/>
      </c>
      <c r="D137">
        <f>COUNTIFS(Usage_Data!$C$2:$C$5001,$A137,Usage_Data!$F$2:$F$5001,"surge",Usage_Data!$G$2:$G$5001,1)</f>
        <v/>
      </c>
      <c r="E137">
        <f>SUMIFS(Usage_Data!$E$2:$E$5001,Usage_Data!$C$2:$C$5001,$A137,Usage_Data!$G$2:$G$5001,1)</f>
        <v/>
      </c>
    </row>
    <row r="138">
      <c r="A138" t="inlineStr">
        <is>
          <t>SS-01135</t>
        </is>
      </c>
      <c r="B138">
        <f>SUMIFS(Usage_Data!$D$2:$D$5001,Usage_Data!$C$2:$C$5001,$A138,Usage_Data!$G$2:$G$5001,1)</f>
        <v/>
      </c>
      <c r="C138">
        <f>B138/8</f>
        <v/>
      </c>
      <c r="D138">
        <f>COUNTIFS(Usage_Data!$C$2:$C$5001,$A138,Usage_Data!$F$2:$F$5001,"surge",Usage_Data!$G$2:$G$5001,1)</f>
        <v/>
      </c>
      <c r="E138">
        <f>SUMIFS(Usage_Data!$E$2:$E$5001,Usage_Data!$C$2:$C$5001,$A138,Usage_Data!$G$2:$G$5001,1)</f>
        <v/>
      </c>
    </row>
    <row r="139">
      <c r="A139" t="inlineStr">
        <is>
          <t>SS-01136</t>
        </is>
      </c>
      <c r="B139">
        <f>SUMIFS(Usage_Data!$D$2:$D$5001,Usage_Data!$C$2:$C$5001,$A139,Usage_Data!$G$2:$G$5001,1)</f>
        <v/>
      </c>
      <c r="C139">
        <f>B139/8</f>
        <v/>
      </c>
      <c r="D139">
        <f>COUNTIFS(Usage_Data!$C$2:$C$5001,$A139,Usage_Data!$F$2:$F$5001,"surge",Usage_Data!$G$2:$G$5001,1)</f>
        <v/>
      </c>
      <c r="E139">
        <f>SUMIFS(Usage_Data!$E$2:$E$5001,Usage_Data!$C$2:$C$5001,$A139,Usage_Data!$G$2:$G$5001,1)</f>
        <v/>
      </c>
    </row>
    <row r="140">
      <c r="A140" t="inlineStr">
        <is>
          <t>SS-01137</t>
        </is>
      </c>
      <c r="B140">
        <f>SUMIFS(Usage_Data!$D$2:$D$5001,Usage_Data!$C$2:$C$5001,$A140,Usage_Data!$G$2:$G$5001,1)</f>
        <v/>
      </c>
      <c r="C140">
        <f>B140/8</f>
        <v/>
      </c>
      <c r="D140">
        <f>COUNTIFS(Usage_Data!$C$2:$C$5001,$A140,Usage_Data!$F$2:$F$5001,"surge",Usage_Data!$G$2:$G$5001,1)</f>
        <v/>
      </c>
      <c r="E140">
        <f>SUMIFS(Usage_Data!$E$2:$E$5001,Usage_Data!$C$2:$C$5001,$A140,Usage_Data!$G$2:$G$5001,1)</f>
        <v/>
      </c>
    </row>
    <row r="141">
      <c r="A141" t="inlineStr">
        <is>
          <t>SS-01138</t>
        </is>
      </c>
      <c r="B141">
        <f>SUMIFS(Usage_Data!$D$2:$D$5001,Usage_Data!$C$2:$C$5001,$A141,Usage_Data!$G$2:$G$5001,1)</f>
        <v/>
      </c>
      <c r="C141">
        <f>B141/8</f>
        <v/>
      </c>
      <c r="D141">
        <f>COUNTIFS(Usage_Data!$C$2:$C$5001,$A141,Usage_Data!$F$2:$F$5001,"surge",Usage_Data!$G$2:$G$5001,1)</f>
        <v/>
      </c>
      <c r="E141">
        <f>SUMIFS(Usage_Data!$E$2:$E$5001,Usage_Data!$C$2:$C$5001,$A141,Usage_Data!$G$2:$G$5001,1)</f>
        <v/>
      </c>
    </row>
    <row r="142">
      <c r="A142" t="inlineStr">
        <is>
          <t>SS-01139</t>
        </is>
      </c>
      <c r="B142">
        <f>SUMIFS(Usage_Data!$D$2:$D$5001,Usage_Data!$C$2:$C$5001,$A142,Usage_Data!$G$2:$G$5001,1)</f>
        <v/>
      </c>
      <c r="C142">
        <f>B142/8</f>
        <v/>
      </c>
      <c r="D142">
        <f>COUNTIFS(Usage_Data!$C$2:$C$5001,$A142,Usage_Data!$F$2:$F$5001,"surge",Usage_Data!$G$2:$G$5001,1)</f>
        <v/>
      </c>
      <c r="E142">
        <f>SUMIFS(Usage_Data!$E$2:$E$5001,Usage_Data!$C$2:$C$5001,$A142,Usage_Data!$G$2:$G$5001,1)</f>
        <v/>
      </c>
    </row>
    <row r="143">
      <c r="A143" t="inlineStr">
        <is>
          <t>SS-01140</t>
        </is>
      </c>
      <c r="B143">
        <f>SUMIFS(Usage_Data!$D$2:$D$5001,Usage_Data!$C$2:$C$5001,$A143,Usage_Data!$G$2:$G$5001,1)</f>
        <v/>
      </c>
      <c r="C143">
        <f>B143/8</f>
        <v/>
      </c>
      <c r="D143">
        <f>COUNTIFS(Usage_Data!$C$2:$C$5001,$A143,Usage_Data!$F$2:$F$5001,"surge",Usage_Data!$G$2:$G$5001,1)</f>
        <v/>
      </c>
      <c r="E143">
        <f>SUMIFS(Usage_Data!$E$2:$E$5001,Usage_Data!$C$2:$C$5001,$A143,Usage_Data!$G$2:$G$5001,1)</f>
        <v/>
      </c>
    </row>
    <row r="144">
      <c r="A144" t="inlineStr">
        <is>
          <t>SS-01141</t>
        </is>
      </c>
      <c r="B144">
        <f>SUMIFS(Usage_Data!$D$2:$D$5001,Usage_Data!$C$2:$C$5001,$A144,Usage_Data!$G$2:$G$5001,1)</f>
        <v/>
      </c>
      <c r="C144">
        <f>B144/8</f>
        <v/>
      </c>
      <c r="D144">
        <f>COUNTIFS(Usage_Data!$C$2:$C$5001,$A144,Usage_Data!$F$2:$F$5001,"surge",Usage_Data!$G$2:$G$5001,1)</f>
        <v/>
      </c>
      <c r="E144">
        <f>SUMIFS(Usage_Data!$E$2:$E$5001,Usage_Data!$C$2:$C$5001,$A144,Usage_Data!$G$2:$G$5001,1)</f>
        <v/>
      </c>
    </row>
    <row r="145">
      <c r="A145" t="inlineStr">
        <is>
          <t>SS-01142</t>
        </is>
      </c>
      <c r="B145">
        <f>SUMIFS(Usage_Data!$D$2:$D$5001,Usage_Data!$C$2:$C$5001,$A145,Usage_Data!$G$2:$G$5001,1)</f>
        <v/>
      </c>
      <c r="C145">
        <f>B145/8</f>
        <v/>
      </c>
      <c r="D145">
        <f>COUNTIFS(Usage_Data!$C$2:$C$5001,$A145,Usage_Data!$F$2:$F$5001,"surge",Usage_Data!$G$2:$G$5001,1)</f>
        <v/>
      </c>
      <c r="E145">
        <f>SUMIFS(Usage_Data!$E$2:$E$5001,Usage_Data!$C$2:$C$5001,$A145,Usage_Data!$G$2:$G$5001,1)</f>
        <v/>
      </c>
    </row>
    <row r="146">
      <c r="A146" t="inlineStr">
        <is>
          <t>SS-01143</t>
        </is>
      </c>
      <c r="B146">
        <f>SUMIFS(Usage_Data!$D$2:$D$5001,Usage_Data!$C$2:$C$5001,$A146,Usage_Data!$G$2:$G$5001,1)</f>
        <v/>
      </c>
      <c r="C146">
        <f>B146/8</f>
        <v/>
      </c>
      <c r="D146">
        <f>COUNTIFS(Usage_Data!$C$2:$C$5001,$A146,Usage_Data!$F$2:$F$5001,"surge",Usage_Data!$G$2:$G$5001,1)</f>
        <v/>
      </c>
      <c r="E146">
        <f>SUMIFS(Usage_Data!$E$2:$E$5001,Usage_Data!$C$2:$C$5001,$A146,Usage_Data!$G$2:$G$5001,1)</f>
        <v/>
      </c>
    </row>
    <row r="147">
      <c r="A147" t="inlineStr">
        <is>
          <t>SS-01144</t>
        </is>
      </c>
      <c r="B147">
        <f>SUMIFS(Usage_Data!$D$2:$D$5001,Usage_Data!$C$2:$C$5001,$A147,Usage_Data!$G$2:$G$5001,1)</f>
        <v/>
      </c>
      <c r="C147">
        <f>B147/8</f>
        <v/>
      </c>
      <c r="D147">
        <f>COUNTIFS(Usage_Data!$C$2:$C$5001,$A147,Usage_Data!$F$2:$F$5001,"surge",Usage_Data!$G$2:$G$5001,1)</f>
        <v/>
      </c>
      <c r="E147">
        <f>SUMIFS(Usage_Data!$E$2:$E$5001,Usage_Data!$C$2:$C$5001,$A147,Usage_Data!$G$2:$G$5001,1)</f>
        <v/>
      </c>
    </row>
    <row r="148">
      <c r="A148" t="inlineStr">
        <is>
          <t>SS-01145</t>
        </is>
      </c>
      <c r="B148">
        <f>SUMIFS(Usage_Data!$D$2:$D$5001,Usage_Data!$C$2:$C$5001,$A148,Usage_Data!$G$2:$G$5001,1)</f>
        <v/>
      </c>
      <c r="C148">
        <f>B148/8</f>
        <v/>
      </c>
      <c r="D148">
        <f>COUNTIFS(Usage_Data!$C$2:$C$5001,$A148,Usage_Data!$F$2:$F$5001,"surge",Usage_Data!$G$2:$G$5001,1)</f>
        <v/>
      </c>
      <c r="E148">
        <f>SUMIFS(Usage_Data!$E$2:$E$5001,Usage_Data!$C$2:$C$5001,$A148,Usage_Data!$G$2:$G$5001,1)</f>
        <v/>
      </c>
    </row>
    <row r="149">
      <c r="A149" t="inlineStr">
        <is>
          <t>SS-01146</t>
        </is>
      </c>
      <c r="B149">
        <f>SUMIFS(Usage_Data!$D$2:$D$5001,Usage_Data!$C$2:$C$5001,$A149,Usage_Data!$G$2:$G$5001,1)</f>
        <v/>
      </c>
      <c r="C149">
        <f>B149/8</f>
        <v/>
      </c>
      <c r="D149">
        <f>COUNTIFS(Usage_Data!$C$2:$C$5001,$A149,Usage_Data!$F$2:$F$5001,"surge",Usage_Data!$G$2:$G$5001,1)</f>
        <v/>
      </c>
      <c r="E149">
        <f>SUMIFS(Usage_Data!$E$2:$E$5001,Usage_Data!$C$2:$C$5001,$A149,Usage_Data!$G$2:$G$5001,1)</f>
        <v/>
      </c>
    </row>
    <row r="150">
      <c r="A150" t="inlineStr">
        <is>
          <t>SS-01147</t>
        </is>
      </c>
      <c r="B150">
        <f>SUMIFS(Usage_Data!$D$2:$D$5001,Usage_Data!$C$2:$C$5001,$A150,Usage_Data!$G$2:$G$5001,1)</f>
        <v/>
      </c>
      <c r="C150">
        <f>B150/8</f>
        <v/>
      </c>
      <c r="D150">
        <f>COUNTIFS(Usage_Data!$C$2:$C$5001,$A150,Usage_Data!$F$2:$F$5001,"surge",Usage_Data!$G$2:$G$5001,1)</f>
        <v/>
      </c>
      <c r="E150">
        <f>SUMIFS(Usage_Data!$E$2:$E$5001,Usage_Data!$C$2:$C$5001,$A150,Usage_Data!$G$2:$G$5001,1)</f>
        <v/>
      </c>
    </row>
    <row r="151">
      <c r="A151" t="inlineStr">
        <is>
          <t>SS-01148</t>
        </is>
      </c>
      <c r="B151">
        <f>SUMIFS(Usage_Data!$D$2:$D$5001,Usage_Data!$C$2:$C$5001,$A151,Usage_Data!$G$2:$G$5001,1)</f>
        <v/>
      </c>
      <c r="C151">
        <f>B151/8</f>
        <v/>
      </c>
      <c r="D151">
        <f>COUNTIFS(Usage_Data!$C$2:$C$5001,$A151,Usage_Data!$F$2:$F$5001,"surge",Usage_Data!$G$2:$G$5001,1)</f>
        <v/>
      </c>
      <c r="E151">
        <f>SUMIFS(Usage_Data!$E$2:$E$5001,Usage_Data!$C$2:$C$5001,$A151,Usage_Data!$G$2:$G$5001,1)</f>
        <v/>
      </c>
    </row>
    <row r="152">
      <c r="A152" t="inlineStr">
        <is>
          <t>SS-01149</t>
        </is>
      </c>
      <c r="B152">
        <f>SUMIFS(Usage_Data!$D$2:$D$5001,Usage_Data!$C$2:$C$5001,$A152,Usage_Data!$G$2:$G$5001,1)</f>
        <v/>
      </c>
      <c r="C152">
        <f>B152/8</f>
        <v/>
      </c>
      <c r="D152">
        <f>COUNTIFS(Usage_Data!$C$2:$C$5001,$A152,Usage_Data!$F$2:$F$5001,"surge",Usage_Data!$G$2:$G$5001,1)</f>
        <v/>
      </c>
      <c r="E152">
        <f>SUMIFS(Usage_Data!$E$2:$E$5001,Usage_Data!$C$2:$C$5001,$A152,Usage_Data!$G$2:$G$5001,1)</f>
        <v/>
      </c>
    </row>
    <row r="153">
      <c r="A153" t="inlineStr">
        <is>
          <t>SS-01150</t>
        </is>
      </c>
      <c r="B153">
        <f>SUMIFS(Usage_Data!$D$2:$D$5001,Usage_Data!$C$2:$C$5001,$A153,Usage_Data!$G$2:$G$5001,1)</f>
        <v/>
      </c>
      <c r="C153">
        <f>B153/8</f>
        <v/>
      </c>
      <c r="D153">
        <f>COUNTIFS(Usage_Data!$C$2:$C$5001,$A153,Usage_Data!$F$2:$F$5001,"surge",Usage_Data!$G$2:$G$5001,1)</f>
        <v/>
      </c>
      <c r="E153">
        <f>SUMIFS(Usage_Data!$E$2:$E$5001,Usage_Data!$C$2:$C$5001,$A153,Usage_Data!$G$2:$G$5001,1)</f>
        <v/>
      </c>
    </row>
    <row r="154">
      <c r="A154" t="inlineStr">
        <is>
          <t>SS-01151</t>
        </is>
      </c>
      <c r="B154">
        <f>SUMIFS(Usage_Data!$D$2:$D$5001,Usage_Data!$C$2:$C$5001,$A154,Usage_Data!$G$2:$G$5001,1)</f>
        <v/>
      </c>
      <c r="C154">
        <f>B154/8</f>
        <v/>
      </c>
      <c r="D154">
        <f>COUNTIFS(Usage_Data!$C$2:$C$5001,$A154,Usage_Data!$F$2:$F$5001,"surge",Usage_Data!$G$2:$G$5001,1)</f>
        <v/>
      </c>
      <c r="E154">
        <f>SUMIFS(Usage_Data!$E$2:$E$5001,Usage_Data!$C$2:$C$5001,$A154,Usage_Data!$G$2:$G$5001,1)</f>
        <v/>
      </c>
    </row>
    <row r="155">
      <c r="A155" t="inlineStr">
        <is>
          <t>SS-01152</t>
        </is>
      </c>
      <c r="B155">
        <f>SUMIFS(Usage_Data!$D$2:$D$5001,Usage_Data!$C$2:$C$5001,$A155,Usage_Data!$G$2:$G$5001,1)</f>
        <v/>
      </c>
      <c r="C155">
        <f>B155/8</f>
        <v/>
      </c>
      <c r="D155">
        <f>COUNTIFS(Usage_Data!$C$2:$C$5001,$A155,Usage_Data!$F$2:$F$5001,"surge",Usage_Data!$G$2:$G$5001,1)</f>
        <v/>
      </c>
      <c r="E155">
        <f>SUMIFS(Usage_Data!$E$2:$E$5001,Usage_Data!$C$2:$C$5001,$A155,Usage_Data!$G$2:$G$5001,1)</f>
        <v/>
      </c>
    </row>
    <row r="156">
      <c r="A156" t="inlineStr">
        <is>
          <t>SS-01153</t>
        </is>
      </c>
      <c r="B156">
        <f>SUMIFS(Usage_Data!$D$2:$D$5001,Usage_Data!$C$2:$C$5001,$A156,Usage_Data!$G$2:$G$5001,1)</f>
        <v/>
      </c>
      <c r="C156">
        <f>B156/8</f>
        <v/>
      </c>
      <c r="D156">
        <f>COUNTIFS(Usage_Data!$C$2:$C$5001,$A156,Usage_Data!$F$2:$F$5001,"surge",Usage_Data!$G$2:$G$5001,1)</f>
        <v/>
      </c>
      <c r="E156">
        <f>SUMIFS(Usage_Data!$E$2:$E$5001,Usage_Data!$C$2:$C$5001,$A156,Usage_Data!$G$2:$G$5001,1)</f>
        <v/>
      </c>
    </row>
    <row r="157">
      <c r="A157" t="inlineStr">
        <is>
          <t>SS-01154</t>
        </is>
      </c>
      <c r="B157">
        <f>SUMIFS(Usage_Data!$D$2:$D$5001,Usage_Data!$C$2:$C$5001,$A157,Usage_Data!$G$2:$G$5001,1)</f>
        <v/>
      </c>
      <c r="C157">
        <f>B157/8</f>
        <v/>
      </c>
      <c r="D157">
        <f>COUNTIFS(Usage_Data!$C$2:$C$5001,$A157,Usage_Data!$F$2:$F$5001,"surge",Usage_Data!$G$2:$G$5001,1)</f>
        <v/>
      </c>
      <c r="E157">
        <f>SUMIFS(Usage_Data!$E$2:$E$5001,Usage_Data!$C$2:$C$5001,$A157,Usage_Data!$G$2:$G$5001,1)</f>
        <v/>
      </c>
    </row>
    <row r="158">
      <c r="A158" t="inlineStr">
        <is>
          <t>SS-01155</t>
        </is>
      </c>
      <c r="B158">
        <f>SUMIFS(Usage_Data!$D$2:$D$5001,Usage_Data!$C$2:$C$5001,$A158,Usage_Data!$G$2:$G$5001,1)</f>
        <v/>
      </c>
      <c r="C158">
        <f>B158/8</f>
        <v/>
      </c>
      <c r="D158">
        <f>COUNTIFS(Usage_Data!$C$2:$C$5001,$A158,Usage_Data!$F$2:$F$5001,"surge",Usage_Data!$G$2:$G$5001,1)</f>
        <v/>
      </c>
      <c r="E158">
        <f>SUMIFS(Usage_Data!$E$2:$E$5001,Usage_Data!$C$2:$C$5001,$A158,Usage_Data!$G$2:$G$5001,1)</f>
        <v/>
      </c>
    </row>
    <row r="159">
      <c r="A159" t="inlineStr">
        <is>
          <t>SS-01156</t>
        </is>
      </c>
      <c r="B159">
        <f>SUMIFS(Usage_Data!$D$2:$D$5001,Usage_Data!$C$2:$C$5001,$A159,Usage_Data!$G$2:$G$5001,1)</f>
        <v/>
      </c>
      <c r="C159">
        <f>B159/8</f>
        <v/>
      </c>
      <c r="D159">
        <f>COUNTIFS(Usage_Data!$C$2:$C$5001,$A159,Usage_Data!$F$2:$F$5001,"surge",Usage_Data!$G$2:$G$5001,1)</f>
        <v/>
      </c>
      <c r="E159">
        <f>SUMIFS(Usage_Data!$E$2:$E$5001,Usage_Data!$C$2:$C$5001,$A159,Usage_Data!$G$2:$G$5001,1)</f>
        <v/>
      </c>
    </row>
    <row r="160">
      <c r="A160" t="inlineStr">
        <is>
          <t>SS-01157</t>
        </is>
      </c>
      <c r="B160">
        <f>SUMIFS(Usage_Data!$D$2:$D$5001,Usage_Data!$C$2:$C$5001,$A160,Usage_Data!$G$2:$G$5001,1)</f>
        <v/>
      </c>
      <c r="C160">
        <f>B160/8</f>
        <v/>
      </c>
      <c r="D160">
        <f>COUNTIFS(Usage_Data!$C$2:$C$5001,$A160,Usage_Data!$F$2:$F$5001,"surge",Usage_Data!$G$2:$G$5001,1)</f>
        <v/>
      </c>
      <c r="E160">
        <f>SUMIFS(Usage_Data!$E$2:$E$5001,Usage_Data!$C$2:$C$5001,$A160,Usage_Data!$G$2:$G$5001,1)</f>
        <v/>
      </c>
    </row>
    <row r="161">
      <c r="A161" t="inlineStr">
        <is>
          <t>SS-01158</t>
        </is>
      </c>
      <c r="B161">
        <f>SUMIFS(Usage_Data!$D$2:$D$5001,Usage_Data!$C$2:$C$5001,$A161,Usage_Data!$G$2:$G$5001,1)</f>
        <v/>
      </c>
      <c r="C161">
        <f>B161/8</f>
        <v/>
      </c>
      <c r="D161">
        <f>COUNTIFS(Usage_Data!$C$2:$C$5001,$A161,Usage_Data!$F$2:$F$5001,"surge",Usage_Data!$G$2:$G$5001,1)</f>
        <v/>
      </c>
      <c r="E161">
        <f>SUMIFS(Usage_Data!$E$2:$E$5001,Usage_Data!$C$2:$C$5001,$A161,Usage_Data!$G$2:$G$5001,1)</f>
        <v/>
      </c>
    </row>
    <row r="162">
      <c r="A162" t="inlineStr">
        <is>
          <t>SS-01159</t>
        </is>
      </c>
      <c r="B162">
        <f>SUMIFS(Usage_Data!$D$2:$D$5001,Usage_Data!$C$2:$C$5001,$A162,Usage_Data!$G$2:$G$5001,1)</f>
        <v/>
      </c>
      <c r="C162">
        <f>B162/8</f>
        <v/>
      </c>
      <c r="D162">
        <f>COUNTIFS(Usage_Data!$C$2:$C$5001,$A162,Usage_Data!$F$2:$F$5001,"surge",Usage_Data!$G$2:$G$5001,1)</f>
        <v/>
      </c>
      <c r="E162">
        <f>SUMIFS(Usage_Data!$E$2:$E$5001,Usage_Data!$C$2:$C$5001,$A162,Usage_Data!$G$2:$G$5001,1)</f>
        <v/>
      </c>
    </row>
    <row r="163">
      <c r="A163" t="inlineStr">
        <is>
          <t>SS-01160</t>
        </is>
      </c>
      <c r="B163">
        <f>SUMIFS(Usage_Data!$D$2:$D$5001,Usage_Data!$C$2:$C$5001,$A163,Usage_Data!$G$2:$G$5001,1)</f>
        <v/>
      </c>
      <c r="C163">
        <f>B163/8</f>
        <v/>
      </c>
      <c r="D163">
        <f>COUNTIFS(Usage_Data!$C$2:$C$5001,$A163,Usage_Data!$F$2:$F$5001,"surge",Usage_Data!$G$2:$G$5001,1)</f>
        <v/>
      </c>
      <c r="E163">
        <f>SUMIFS(Usage_Data!$E$2:$E$5001,Usage_Data!$C$2:$C$5001,$A163,Usage_Data!$G$2:$G$5001,1)</f>
        <v/>
      </c>
    </row>
    <row r="164">
      <c r="A164" t="inlineStr">
        <is>
          <t>SS-01161</t>
        </is>
      </c>
      <c r="B164">
        <f>SUMIFS(Usage_Data!$D$2:$D$5001,Usage_Data!$C$2:$C$5001,$A164,Usage_Data!$G$2:$G$5001,1)</f>
        <v/>
      </c>
      <c r="C164">
        <f>B164/8</f>
        <v/>
      </c>
      <c r="D164">
        <f>COUNTIFS(Usage_Data!$C$2:$C$5001,$A164,Usage_Data!$F$2:$F$5001,"surge",Usage_Data!$G$2:$G$5001,1)</f>
        <v/>
      </c>
      <c r="E164">
        <f>SUMIFS(Usage_Data!$E$2:$E$5001,Usage_Data!$C$2:$C$5001,$A164,Usage_Data!$G$2:$G$5001,1)</f>
        <v/>
      </c>
    </row>
    <row r="165">
      <c r="A165" t="inlineStr">
        <is>
          <t>SS-01162</t>
        </is>
      </c>
      <c r="B165">
        <f>SUMIFS(Usage_Data!$D$2:$D$5001,Usage_Data!$C$2:$C$5001,$A165,Usage_Data!$G$2:$G$5001,1)</f>
        <v/>
      </c>
      <c r="C165">
        <f>B165/8</f>
        <v/>
      </c>
      <c r="D165">
        <f>COUNTIFS(Usage_Data!$C$2:$C$5001,$A165,Usage_Data!$F$2:$F$5001,"surge",Usage_Data!$G$2:$G$5001,1)</f>
        <v/>
      </c>
      <c r="E165">
        <f>SUMIFS(Usage_Data!$E$2:$E$5001,Usage_Data!$C$2:$C$5001,$A165,Usage_Data!$G$2:$G$5001,1)</f>
        <v/>
      </c>
    </row>
    <row r="166">
      <c r="A166" t="inlineStr">
        <is>
          <t>SS-01163</t>
        </is>
      </c>
      <c r="B166">
        <f>SUMIFS(Usage_Data!$D$2:$D$5001,Usage_Data!$C$2:$C$5001,$A166,Usage_Data!$G$2:$G$5001,1)</f>
        <v/>
      </c>
      <c r="C166">
        <f>B166/8</f>
        <v/>
      </c>
      <c r="D166">
        <f>COUNTIFS(Usage_Data!$C$2:$C$5001,$A166,Usage_Data!$F$2:$F$5001,"surge",Usage_Data!$G$2:$G$5001,1)</f>
        <v/>
      </c>
      <c r="E166">
        <f>SUMIFS(Usage_Data!$E$2:$E$5001,Usage_Data!$C$2:$C$5001,$A166,Usage_Data!$G$2:$G$5001,1)</f>
        <v/>
      </c>
    </row>
    <row r="167">
      <c r="A167" t="inlineStr">
        <is>
          <t>SS-01164</t>
        </is>
      </c>
      <c r="B167">
        <f>SUMIFS(Usage_Data!$D$2:$D$5001,Usage_Data!$C$2:$C$5001,$A167,Usage_Data!$G$2:$G$5001,1)</f>
        <v/>
      </c>
      <c r="C167">
        <f>B167/8</f>
        <v/>
      </c>
      <c r="D167">
        <f>COUNTIFS(Usage_Data!$C$2:$C$5001,$A167,Usage_Data!$F$2:$F$5001,"surge",Usage_Data!$G$2:$G$5001,1)</f>
        <v/>
      </c>
      <c r="E167">
        <f>SUMIFS(Usage_Data!$E$2:$E$5001,Usage_Data!$C$2:$C$5001,$A167,Usage_Data!$G$2:$G$5001,1)</f>
        <v/>
      </c>
    </row>
    <row r="168">
      <c r="A168" t="inlineStr">
        <is>
          <t>SS-01165</t>
        </is>
      </c>
      <c r="B168">
        <f>SUMIFS(Usage_Data!$D$2:$D$5001,Usage_Data!$C$2:$C$5001,$A168,Usage_Data!$G$2:$G$5001,1)</f>
        <v/>
      </c>
      <c r="C168">
        <f>B168/8</f>
        <v/>
      </c>
      <c r="D168">
        <f>COUNTIFS(Usage_Data!$C$2:$C$5001,$A168,Usage_Data!$F$2:$F$5001,"surge",Usage_Data!$G$2:$G$5001,1)</f>
        <v/>
      </c>
      <c r="E168">
        <f>SUMIFS(Usage_Data!$E$2:$E$5001,Usage_Data!$C$2:$C$5001,$A168,Usage_Data!$G$2:$G$5001,1)</f>
        <v/>
      </c>
    </row>
    <row r="169">
      <c r="A169" t="inlineStr">
        <is>
          <t>SS-01166</t>
        </is>
      </c>
      <c r="B169">
        <f>SUMIFS(Usage_Data!$D$2:$D$5001,Usage_Data!$C$2:$C$5001,$A169,Usage_Data!$G$2:$G$5001,1)</f>
        <v/>
      </c>
      <c r="C169">
        <f>B169/8</f>
        <v/>
      </c>
      <c r="D169">
        <f>COUNTIFS(Usage_Data!$C$2:$C$5001,$A169,Usage_Data!$F$2:$F$5001,"surge",Usage_Data!$G$2:$G$5001,1)</f>
        <v/>
      </c>
      <c r="E169">
        <f>SUMIFS(Usage_Data!$E$2:$E$5001,Usage_Data!$C$2:$C$5001,$A169,Usage_Data!$G$2:$G$5001,1)</f>
        <v/>
      </c>
    </row>
    <row r="170">
      <c r="A170" t="inlineStr">
        <is>
          <t>SS-01167</t>
        </is>
      </c>
      <c r="B170">
        <f>SUMIFS(Usage_Data!$D$2:$D$5001,Usage_Data!$C$2:$C$5001,$A170,Usage_Data!$G$2:$G$5001,1)</f>
        <v/>
      </c>
      <c r="C170">
        <f>B170/8</f>
        <v/>
      </c>
      <c r="D170">
        <f>COUNTIFS(Usage_Data!$C$2:$C$5001,$A170,Usage_Data!$F$2:$F$5001,"surge",Usage_Data!$G$2:$G$5001,1)</f>
        <v/>
      </c>
      <c r="E170">
        <f>SUMIFS(Usage_Data!$E$2:$E$5001,Usage_Data!$C$2:$C$5001,$A170,Usage_Data!$G$2:$G$5001,1)</f>
        <v/>
      </c>
    </row>
    <row r="171">
      <c r="A171" t="inlineStr">
        <is>
          <t>SS-01168</t>
        </is>
      </c>
      <c r="B171">
        <f>SUMIFS(Usage_Data!$D$2:$D$5001,Usage_Data!$C$2:$C$5001,$A171,Usage_Data!$G$2:$G$5001,1)</f>
        <v/>
      </c>
      <c r="C171">
        <f>B171/8</f>
        <v/>
      </c>
      <c r="D171">
        <f>COUNTIFS(Usage_Data!$C$2:$C$5001,$A171,Usage_Data!$F$2:$F$5001,"surge",Usage_Data!$G$2:$G$5001,1)</f>
        <v/>
      </c>
      <c r="E171">
        <f>SUMIFS(Usage_Data!$E$2:$E$5001,Usage_Data!$C$2:$C$5001,$A171,Usage_Data!$G$2:$G$5001,1)</f>
        <v/>
      </c>
    </row>
    <row r="172">
      <c r="A172" t="inlineStr">
        <is>
          <t>SS-01169</t>
        </is>
      </c>
      <c r="B172">
        <f>SUMIFS(Usage_Data!$D$2:$D$5001,Usage_Data!$C$2:$C$5001,$A172,Usage_Data!$G$2:$G$5001,1)</f>
        <v/>
      </c>
      <c r="C172">
        <f>B172/8</f>
        <v/>
      </c>
      <c r="D172">
        <f>COUNTIFS(Usage_Data!$C$2:$C$5001,$A172,Usage_Data!$F$2:$F$5001,"surge",Usage_Data!$G$2:$G$5001,1)</f>
        <v/>
      </c>
      <c r="E172">
        <f>SUMIFS(Usage_Data!$E$2:$E$5001,Usage_Data!$C$2:$C$5001,$A172,Usage_Data!$G$2:$G$5001,1)</f>
        <v/>
      </c>
    </row>
    <row r="173">
      <c r="A173" t="inlineStr">
        <is>
          <t>SS-01170</t>
        </is>
      </c>
      <c r="B173">
        <f>SUMIFS(Usage_Data!$D$2:$D$5001,Usage_Data!$C$2:$C$5001,$A173,Usage_Data!$G$2:$G$5001,1)</f>
        <v/>
      </c>
      <c r="C173">
        <f>B173/8</f>
        <v/>
      </c>
      <c r="D173">
        <f>COUNTIFS(Usage_Data!$C$2:$C$5001,$A173,Usage_Data!$F$2:$F$5001,"surge",Usage_Data!$G$2:$G$5001,1)</f>
        <v/>
      </c>
      <c r="E173">
        <f>SUMIFS(Usage_Data!$E$2:$E$5001,Usage_Data!$C$2:$C$5001,$A173,Usage_Data!$G$2:$G$5001,1)</f>
        <v/>
      </c>
    </row>
    <row r="174">
      <c r="A174" t="inlineStr">
        <is>
          <t>SS-01171</t>
        </is>
      </c>
      <c r="B174">
        <f>SUMIFS(Usage_Data!$D$2:$D$5001,Usage_Data!$C$2:$C$5001,$A174,Usage_Data!$G$2:$G$5001,1)</f>
        <v/>
      </c>
      <c r="C174">
        <f>B174/8</f>
        <v/>
      </c>
      <c r="D174">
        <f>COUNTIFS(Usage_Data!$C$2:$C$5001,$A174,Usage_Data!$F$2:$F$5001,"surge",Usage_Data!$G$2:$G$5001,1)</f>
        <v/>
      </c>
      <c r="E174">
        <f>SUMIFS(Usage_Data!$E$2:$E$5001,Usage_Data!$C$2:$C$5001,$A174,Usage_Data!$G$2:$G$5001,1)</f>
        <v/>
      </c>
    </row>
    <row r="175">
      <c r="A175" t="inlineStr">
        <is>
          <t>SS-01172</t>
        </is>
      </c>
      <c r="B175">
        <f>SUMIFS(Usage_Data!$D$2:$D$5001,Usage_Data!$C$2:$C$5001,$A175,Usage_Data!$G$2:$G$5001,1)</f>
        <v/>
      </c>
      <c r="C175">
        <f>B175/8</f>
        <v/>
      </c>
      <c r="D175">
        <f>COUNTIFS(Usage_Data!$C$2:$C$5001,$A175,Usage_Data!$F$2:$F$5001,"surge",Usage_Data!$G$2:$G$5001,1)</f>
        <v/>
      </c>
      <c r="E175">
        <f>SUMIFS(Usage_Data!$E$2:$E$5001,Usage_Data!$C$2:$C$5001,$A175,Usage_Data!$G$2:$G$5001,1)</f>
        <v/>
      </c>
    </row>
    <row r="176">
      <c r="A176" t="inlineStr">
        <is>
          <t>SS-01173</t>
        </is>
      </c>
      <c r="B176">
        <f>SUMIFS(Usage_Data!$D$2:$D$5001,Usage_Data!$C$2:$C$5001,$A176,Usage_Data!$G$2:$G$5001,1)</f>
        <v/>
      </c>
      <c r="C176">
        <f>B176/8</f>
        <v/>
      </c>
      <c r="D176">
        <f>COUNTIFS(Usage_Data!$C$2:$C$5001,$A176,Usage_Data!$F$2:$F$5001,"surge",Usage_Data!$G$2:$G$5001,1)</f>
        <v/>
      </c>
      <c r="E176">
        <f>SUMIFS(Usage_Data!$E$2:$E$5001,Usage_Data!$C$2:$C$5001,$A176,Usage_Data!$G$2:$G$5001,1)</f>
        <v/>
      </c>
    </row>
    <row r="177">
      <c r="A177" t="inlineStr">
        <is>
          <t>SS-01174</t>
        </is>
      </c>
      <c r="B177">
        <f>SUMIFS(Usage_Data!$D$2:$D$5001,Usage_Data!$C$2:$C$5001,$A177,Usage_Data!$G$2:$G$5001,1)</f>
        <v/>
      </c>
      <c r="C177">
        <f>B177/8</f>
        <v/>
      </c>
      <c r="D177">
        <f>COUNTIFS(Usage_Data!$C$2:$C$5001,$A177,Usage_Data!$F$2:$F$5001,"surge",Usage_Data!$G$2:$G$5001,1)</f>
        <v/>
      </c>
      <c r="E177">
        <f>SUMIFS(Usage_Data!$E$2:$E$5001,Usage_Data!$C$2:$C$5001,$A177,Usage_Data!$G$2:$G$5001,1)</f>
        <v/>
      </c>
    </row>
    <row r="178">
      <c r="A178" t="inlineStr">
        <is>
          <t>SS-01175</t>
        </is>
      </c>
      <c r="B178">
        <f>SUMIFS(Usage_Data!$D$2:$D$5001,Usage_Data!$C$2:$C$5001,$A178,Usage_Data!$G$2:$G$5001,1)</f>
        <v/>
      </c>
      <c r="C178">
        <f>B178/8</f>
        <v/>
      </c>
      <c r="D178">
        <f>COUNTIFS(Usage_Data!$C$2:$C$5001,$A178,Usage_Data!$F$2:$F$5001,"surge",Usage_Data!$G$2:$G$5001,1)</f>
        <v/>
      </c>
      <c r="E178">
        <f>SUMIFS(Usage_Data!$E$2:$E$5001,Usage_Data!$C$2:$C$5001,$A178,Usage_Data!$G$2:$G$5001,1)</f>
        <v/>
      </c>
    </row>
    <row r="179">
      <c r="A179" t="inlineStr">
        <is>
          <t>SS-01176</t>
        </is>
      </c>
      <c r="B179">
        <f>SUMIFS(Usage_Data!$D$2:$D$5001,Usage_Data!$C$2:$C$5001,$A179,Usage_Data!$G$2:$G$5001,1)</f>
        <v/>
      </c>
      <c r="C179">
        <f>B179/8</f>
        <v/>
      </c>
      <c r="D179">
        <f>COUNTIFS(Usage_Data!$C$2:$C$5001,$A179,Usage_Data!$F$2:$F$5001,"surge",Usage_Data!$G$2:$G$5001,1)</f>
        <v/>
      </c>
      <c r="E179">
        <f>SUMIFS(Usage_Data!$E$2:$E$5001,Usage_Data!$C$2:$C$5001,$A179,Usage_Data!$G$2:$G$5001,1)</f>
        <v/>
      </c>
    </row>
    <row r="180">
      <c r="A180" t="inlineStr">
        <is>
          <t>SS-01177</t>
        </is>
      </c>
      <c r="B180">
        <f>SUMIFS(Usage_Data!$D$2:$D$5001,Usage_Data!$C$2:$C$5001,$A180,Usage_Data!$G$2:$G$5001,1)</f>
        <v/>
      </c>
      <c r="C180">
        <f>B180/8</f>
        <v/>
      </c>
      <c r="D180">
        <f>COUNTIFS(Usage_Data!$C$2:$C$5001,$A180,Usage_Data!$F$2:$F$5001,"surge",Usage_Data!$G$2:$G$5001,1)</f>
        <v/>
      </c>
      <c r="E180">
        <f>SUMIFS(Usage_Data!$E$2:$E$5001,Usage_Data!$C$2:$C$5001,$A180,Usage_Data!$G$2:$G$5001,1)</f>
        <v/>
      </c>
    </row>
    <row r="181">
      <c r="A181" t="inlineStr">
        <is>
          <t>SS-01178</t>
        </is>
      </c>
      <c r="B181">
        <f>SUMIFS(Usage_Data!$D$2:$D$5001,Usage_Data!$C$2:$C$5001,$A181,Usage_Data!$G$2:$G$5001,1)</f>
        <v/>
      </c>
      <c r="C181">
        <f>B181/8</f>
        <v/>
      </c>
      <c r="D181">
        <f>COUNTIFS(Usage_Data!$C$2:$C$5001,$A181,Usage_Data!$F$2:$F$5001,"surge",Usage_Data!$G$2:$G$5001,1)</f>
        <v/>
      </c>
      <c r="E181">
        <f>SUMIFS(Usage_Data!$E$2:$E$5001,Usage_Data!$C$2:$C$5001,$A181,Usage_Data!$G$2:$G$5001,1)</f>
        <v/>
      </c>
    </row>
    <row r="182">
      <c r="A182" t="inlineStr">
        <is>
          <t>SS-01179</t>
        </is>
      </c>
      <c r="B182">
        <f>SUMIFS(Usage_Data!$D$2:$D$5001,Usage_Data!$C$2:$C$5001,$A182,Usage_Data!$G$2:$G$5001,1)</f>
        <v/>
      </c>
      <c r="C182">
        <f>B182/8</f>
        <v/>
      </c>
      <c r="D182">
        <f>COUNTIFS(Usage_Data!$C$2:$C$5001,$A182,Usage_Data!$F$2:$F$5001,"surge",Usage_Data!$G$2:$G$5001,1)</f>
        <v/>
      </c>
      <c r="E182">
        <f>SUMIFS(Usage_Data!$E$2:$E$5001,Usage_Data!$C$2:$C$5001,$A182,Usage_Data!$G$2:$G$5001,1)</f>
        <v/>
      </c>
    </row>
    <row r="183">
      <c r="A183" t="inlineStr">
        <is>
          <t>SS-01180</t>
        </is>
      </c>
      <c r="B183">
        <f>SUMIFS(Usage_Data!$D$2:$D$5001,Usage_Data!$C$2:$C$5001,$A183,Usage_Data!$G$2:$G$5001,1)</f>
        <v/>
      </c>
      <c r="C183">
        <f>B183/8</f>
        <v/>
      </c>
      <c r="D183">
        <f>COUNTIFS(Usage_Data!$C$2:$C$5001,$A183,Usage_Data!$F$2:$F$5001,"surge",Usage_Data!$G$2:$G$5001,1)</f>
        <v/>
      </c>
      <c r="E183">
        <f>SUMIFS(Usage_Data!$E$2:$E$5001,Usage_Data!$C$2:$C$5001,$A183,Usage_Data!$G$2:$G$5001,1)</f>
        <v/>
      </c>
    </row>
    <row r="184">
      <c r="A184" t="inlineStr">
        <is>
          <t>SS-01181</t>
        </is>
      </c>
      <c r="B184">
        <f>SUMIFS(Usage_Data!$D$2:$D$5001,Usage_Data!$C$2:$C$5001,$A184,Usage_Data!$G$2:$G$5001,1)</f>
        <v/>
      </c>
      <c r="C184">
        <f>B184/8</f>
        <v/>
      </c>
      <c r="D184">
        <f>COUNTIFS(Usage_Data!$C$2:$C$5001,$A184,Usage_Data!$F$2:$F$5001,"surge",Usage_Data!$G$2:$G$5001,1)</f>
        <v/>
      </c>
      <c r="E184">
        <f>SUMIFS(Usage_Data!$E$2:$E$5001,Usage_Data!$C$2:$C$5001,$A184,Usage_Data!$G$2:$G$5001,1)</f>
        <v/>
      </c>
    </row>
    <row r="185">
      <c r="A185" t="inlineStr">
        <is>
          <t>SS-01182</t>
        </is>
      </c>
      <c r="B185">
        <f>SUMIFS(Usage_Data!$D$2:$D$5001,Usage_Data!$C$2:$C$5001,$A185,Usage_Data!$G$2:$G$5001,1)</f>
        <v/>
      </c>
      <c r="C185">
        <f>B185/8</f>
        <v/>
      </c>
      <c r="D185">
        <f>COUNTIFS(Usage_Data!$C$2:$C$5001,$A185,Usage_Data!$F$2:$F$5001,"surge",Usage_Data!$G$2:$G$5001,1)</f>
        <v/>
      </c>
      <c r="E185">
        <f>SUMIFS(Usage_Data!$E$2:$E$5001,Usage_Data!$C$2:$C$5001,$A185,Usage_Data!$G$2:$G$5001,1)</f>
        <v/>
      </c>
    </row>
    <row r="186">
      <c r="A186" t="inlineStr">
        <is>
          <t>SS-01183</t>
        </is>
      </c>
      <c r="B186">
        <f>SUMIFS(Usage_Data!$D$2:$D$5001,Usage_Data!$C$2:$C$5001,$A186,Usage_Data!$G$2:$G$5001,1)</f>
        <v/>
      </c>
      <c r="C186">
        <f>B186/8</f>
        <v/>
      </c>
      <c r="D186">
        <f>COUNTIFS(Usage_Data!$C$2:$C$5001,$A186,Usage_Data!$F$2:$F$5001,"surge",Usage_Data!$G$2:$G$5001,1)</f>
        <v/>
      </c>
      <c r="E186">
        <f>SUMIFS(Usage_Data!$E$2:$E$5001,Usage_Data!$C$2:$C$5001,$A186,Usage_Data!$G$2:$G$5001,1)</f>
        <v/>
      </c>
    </row>
    <row r="187">
      <c r="A187" t="inlineStr">
        <is>
          <t>SS-01184</t>
        </is>
      </c>
      <c r="B187">
        <f>SUMIFS(Usage_Data!$D$2:$D$5001,Usage_Data!$C$2:$C$5001,$A187,Usage_Data!$G$2:$G$5001,1)</f>
        <v/>
      </c>
      <c r="C187">
        <f>B187/8</f>
        <v/>
      </c>
      <c r="D187">
        <f>COUNTIFS(Usage_Data!$C$2:$C$5001,$A187,Usage_Data!$F$2:$F$5001,"surge",Usage_Data!$G$2:$G$5001,1)</f>
        <v/>
      </c>
      <c r="E187">
        <f>SUMIFS(Usage_Data!$E$2:$E$5001,Usage_Data!$C$2:$C$5001,$A187,Usage_Data!$G$2:$G$5001,1)</f>
        <v/>
      </c>
    </row>
    <row r="188">
      <c r="A188" t="inlineStr">
        <is>
          <t>SS-01185</t>
        </is>
      </c>
      <c r="B188">
        <f>SUMIFS(Usage_Data!$D$2:$D$5001,Usage_Data!$C$2:$C$5001,$A188,Usage_Data!$G$2:$G$5001,1)</f>
        <v/>
      </c>
      <c r="C188">
        <f>B188/8</f>
        <v/>
      </c>
      <c r="D188">
        <f>COUNTIFS(Usage_Data!$C$2:$C$5001,$A188,Usage_Data!$F$2:$F$5001,"surge",Usage_Data!$G$2:$G$5001,1)</f>
        <v/>
      </c>
      <c r="E188">
        <f>SUMIFS(Usage_Data!$E$2:$E$5001,Usage_Data!$C$2:$C$5001,$A188,Usage_Data!$G$2:$G$5001,1)</f>
        <v/>
      </c>
    </row>
    <row r="189">
      <c r="A189" t="inlineStr">
        <is>
          <t>SS-01186</t>
        </is>
      </c>
      <c r="B189">
        <f>SUMIFS(Usage_Data!$D$2:$D$5001,Usage_Data!$C$2:$C$5001,$A189,Usage_Data!$G$2:$G$5001,1)</f>
        <v/>
      </c>
      <c r="C189">
        <f>B189/8</f>
        <v/>
      </c>
      <c r="D189">
        <f>COUNTIFS(Usage_Data!$C$2:$C$5001,$A189,Usage_Data!$F$2:$F$5001,"surge",Usage_Data!$G$2:$G$5001,1)</f>
        <v/>
      </c>
      <c r="E189">
        <f>SUMIFS(Usage_Data!$E$2:$E$5001,Usage_Data!$C$2:$C$5001,$A189,Usage_Data!$G$2:$G$5001,1)</f>
        <v/>
      </c>
    </row>
    <row r="190">
      <c r="A190" t="inlineStr">
        <is>
          <t>SS-01187</t>
        </is>
      </c>
      <c r="B190">
        <f>SUMIFS(Usage_Data!$D$2:$D$5001,Usage_Data!$C$2:$C$5001,$A190,Usage_Data!$G$2:$G$5001,1)</f>
        <v/>
      </c>
      <c r="C190">
        <f>B190/8</f>
        <v/>
      </c>
      <c r="D190">
        <f>COUNTIFS(Usage_Data!$C$2:$C$5001,$A190,Usage_Data!$F$2:$F$5001,"surge",Usage_Data!$G$2:$G$5001,1)</f>
        <v/>
      </c>
      <c r="E190">
        <f>SUMIFS(Usage_Data!$E$2:$E$5001,Usage_Data!$C$2:$C$5001,$A190,Usage_Data!$G$2:$G$5001,1)</f>
        <v/>
      </c>
    </row>
    <row r="191">
      <c r="A191" t="inlineStr">
        <is>
          <t>SS-01188</t>
        </is>
      </c>
      <c r="B191">
        <f>SUMIFS(Usage_Data!$D$2:$D$5001,Usage_Data!$C$2:$C$5001,$A191,Usage_Data!$G$2:$G$5001,1)</f>
        <v/>
      </c>
      <c r="C191">
        <f>B191/8</f>
        <v/>
      </c>
      <c r="D191">
        <f>COUNTIFS(Usage_Data!$C$2:$C$5001,$A191,Usage_Data!$F$2:$F$5001,"surge",Usage_Data!$G$2:$G$5001,1)</f>
        <v/>
      </c>
      <c r="E191">
        <f>SUMIFS(Usage_Data!$E$2:$E$5001,Usage_Data!$C$2:$C$5001,$A191,Usage_Data!$G$2:$G$5001,1)</f>
        <v/>
      </c>
    </row>
    <row r="192">
      <c r="A192" t="inlineStr">
        <is>
          <t>SS-01189</t>
        </is>
      </c>
      <c r="B192">
        <f>SUMIFS(Usage_Data!$D$2:$D$5001,Usage_Data!$C$2:$C$5001,$A192,Usage_Data!$G$2:$G$5001,1)</f>
        <v/>
      </c>
      <c r="C192">
        <f>B192/8</f>
        <v/>
      </c>
      <c r="D192">
        <f>COUNTIFS(Usage_Data!$C$2:$C$5001,$A192,Usage_Data!$F$2:$F$5001,"surge",Usage_Data!$G$2:$G$5001,1)</f>
        <v/>
      </c>
      <c r="E192">
        <f>SUMIFS(Usage_Data!$E$2:$E$5001,Usage_Data!$C$2:$C$5001,$A192,Usage_Data!$G$2:$G$5001,1)</f>
        <v/>
      </c>
    </row>
    <row r="193">
      <c r="A193" t="inlineStr">
        <is>
          <t>SS-01190</t>
        </is>
      </c>
      <c r="B193">
        <f>SUMIFS(Usage_Data!$D$2:$D$5001,Usage_Data!$C$2:$C$5001,$A193,Usage_Data!$G$2:$G$5001,1)</f>
        <v/>
      </c>
      <c r="C193">
        <f>B193/8</f>
        <v/>
      </c>
      <c r="D193">
        <f>COUNTIFS(Usage_Data!$C$2:$C$5001,$A193,Usage_Data!$F$2:$F$5001,"surge",Usage_Data!$G$2:$G$5001,1)</f>
        <v/>
      </c>
      <c r="E193">
        <f>SUMIFS(Usage_Data!$E$2:$E$5001,Usage_Data!$C$2:$C$5001,$A193,Usage_Data!$G$2:$G$5001,1)</f>
        <v/>
      </c>
    </row>
    <row r="194">
      <c r="A194" t="inlineStr">
        <is>
          <t>SS-01191</t>
        </is>
      </c>
      <c r="B194">
        <f>SUMIFS(Usage_Data!$D$2:$D$5001,Usage_Data!$C$2:$C$5001,$A194,Usage_Data!$G$2:$G$5001,1)</f>
        <v/>
      </c>
      <c r="C194">
        <f>B194/8</f>
        <v/>
      </c>
      <c r="D194">
        <f>COUNTIFS(Usage_Data!$C$2:$C$5001,$A194,Usage_Data!$F$2:$F$5001,"surge",Usage_Data!$G$2:$G$5001,1)</f>
        <v/>
      </c>
      <c r="E194">
        <f>SUMIFS(Usage_Data!$E$2:$E$5001,Usage_Data!$C$2:$C$5001,$A194,Usage_Data!$G$2:$G$5001,1)</f>
        <v/>
      </c>
    </row>
    <row r="195">
      <c r="A195" t="inlineStr">
        <is>
          <t>SS-01192</t>
        </is>
      </c>
      <c r="B195">
        <f>SUMIFS(Usage_Data!$D$2:$D$5001,Usage_Data!$C$2:$C$5001,$A195,Usage_Data!$G$2:$G$5001,1)</f>
        <v/>
      </c>
      <c r="C195">
        <f>B195/8</f>
        <v/>
      </c>
      <c r="D195">
        <f>COUNTIFS(Usage_Data!$C$2:$C$5001,$A195,Usage_Data!$F$2:$F$5001,"surge",Usage_Data!$G$2:$G$5001,1)</f>
        <v/>
      </c>
      <c r="E195">
        <f>SUMIFS(Usage_Data!$E$2:$E$5001,Usage_Data!$C$2:$C$5001,$A195,Usage_Data!$G$2:$G$5001,1)</f>
        <v/>
      </c>
    </row>
    <row r="196">
      <c r="A196" t="inlineStr">
        <is>
          <t>SS-01193</t>
        </is>
      </c>
      <c r="B196">
        <f>SUMIFS(Usage_Data!$D$2:$D$5001,Usage_Data!$C$2:$C$5001,$A196,Usage_Data!$G$2:$G$5001,1)</f>
        <v/>
      </c>
      <c r="C196">
        <f>B196/8</f>
        <v/>
      </c>
      <c r="D196">
        <f>COUNTIFS(Usage_Data!$C$2:$C$5001,$A196,Usage_Data!$F$2:$F$5001,"surge",Usage_Data!$G$2:$G$5001,1)</f>
        <v/>
      </c>
      <c r="E196">
        <f>SUMIFS(Usage_Data!$E$2:$E$5001,Usage_Data!$C$2:$C$5001,$A196,Usage_Data!$G$2:$G$5001,1)</f>
        <v/>
      </c>
    </row>
    <row r="197">
      <c r="A197" t="inlineStr">
        <is>
          <t>SS-01194</t>
        </is>
      </c>
      <c r="B197">
        <f>SUMIFS(Usage_Data!$D$2:$D$5001,Usage_Data!$C$2:$C$5001,$A197,Usage_Data!$G$2:$G$5001,1)</f>
        <v/>
      </c>
      <c r="C197">
        <f>B197/8</f>
        <v/>
      </c>
      <c r="D197">
        <f>COUNTIFS(Usage_Data!$C$2:$C$5001,$A197,Usage_Data!$F$2:$F$5001,"surge",Usage_Data!$G$2:$G$5001,1)</f>
        <v/>
      </c>
      <c r="E197">
        <f>SUMIFS(Usage_Data!$E$2:$E$5001,Usage_Data!$C$2:$C$5001,$A197,Usage_Data!$G$2:$G$5001,1)</f>
        <v/>
      </c>
    </row>
    <row r="198">
      <c r="A198" t="inlineStr">
        <is>
          <t>SS-01195</t>
        </is>
      </c>
      <c r="B198">
        <f>SUMIFS(Usage_Data!$D$2:$D$5001,Usage_Data!$C$2:$C$5001,$A198,Usage_Data!$G$2:$G$5001,1)</f>
        <v/>
      </c>
      <c r="C198">
        <f>B198/8</f>
        <v/>
      </c>
      <c r="D198">
        <f>COUNTIFS(Usage_Data!$C$2:$C$5001,$A198,Usage_Data!$F$2:$F$5001,"surge",Usage_Data!$G$2:$G$5001,1)</f>
        <v/>
      </c>
      <c r="E198">
        <f>SUMIFS(Usage_Data!$E$2:$E$5001,Usage_Data!$C$2:$C$5001,$A198,Usage_Data!$G$2:$G$5001,1)</f>
        <v/>
      </c>
    </row>
    <row r="199">
      <c r="A199" t="inlineStr">
        <is>
          <t>SS-01196</t>
        </is>
      </c>
      <c r="B199">
        <f>SUMIFS(Usage_Data!$D$2:$D$5001,Usage_Data!$C$2:$C$5001,$A199,Usage_Data!$G$2:$G$5001,1)</f>
        <v/>
      </c>
      <c r="C199">
        <f>B199/8</f>
        <v/>
      </c>
      <c r="D199">
        <f>COUNTIFS(Usage_Data!$C$2:$C$5001,$A199,Usage_Data!$F$2:$F$5001,"surge",Usage_Data!$G$2:$G$5001,1)</f>
        <v/>
      </c>
      <c r="E199">
        <f>SUMIFS(Usage_Data!$E$2:$E$5001,Usage_Data!$C$2:$C$5001,$A199,Usage_Data!$G$2:$G$5001,1)</f>
        <v/>
      </c>
    </row>
    <row r="200">
      <c r="A200" t="inlineStr">
        <is>
          <t>SS-01197</t>
        </is>
      </c>
      <c r="B200">
        <f>SUMIFS(Usage_Data!$D$2:$D$5001,Usage_Data!$C$2:$C$5001,$A200,Usage_Data!$G$2:$G$5001,1)</f>
        <v/>
      </c>
      <c r="C200">
        <f>B200/8</f>
        <v/>
      </c>
      <c r="D200">
        <f>COUNTIFS(Usage_Data!$C$2:$C$5001,$A200,Usage_Data!$F$2:$F$5001,"surge",Usage_Data!$G$2:$G$5001,1)</f>
        <v/>
      </c>
      <c r="E200">
        <f>SUMIFS(Usage_Data!$E$2:$E$5001,Usage_Data!$C$2:$C$5001,$A200,Usage_Data!$G$2:$G$5001,1)</f>
        <v/>
      </c>
    </row>
    <row r="201">
      <c r="A201" t="inlineStr">
        <is>
          <t>SS-01198</t>
        </is>
      </c>
      <c r="B201">
        <f>SUMIFS(Usage_Data!$D$2:$D$5001,Usage_Data!$C$2:$C$5001,$A201,Usage_Data!$G$2:$G$5001,1)</f>
        <v/>
      </c>
      <c r="C201">
        <f>B201/8</f>
        <v/>
      </c>
      <c r="D201">
        <f>COUNTIFS(Usage_Data!$C$2:$C$5001,$A201,Usage_Data!$F$2:$F$5001,"surge",Usage_Data!$G$2:$G$5001,1)</f>
        <v/>
      </c>
      <c r="E201">
        <f>SUMIFS(Usage_Data!$E$2:$E$5001,Usage_Data!$C$2:$C$5001,$A201,Usage_Data!$G$2:$G$5001,1)</f>
        <v/>
      </c>
    </row>
    <row r="202">
      <c r="A202" t="inlineStr">
        <is>
          <t>SS-01199</t>
        </is>
      </c>
      <c r="B202">
        <f>SUMIFS(Usage_Data!$D$2:$D$5001,Usage_Data!$C$2:$C$5001,$A202,Usage_Data!$G$2:$G$5001,1)</f>
        <v/>
      </c>
      <c r="C202">
        <f>B202/8</f>
        <v/>
      </c>
      <c r="D202">
        <f>COUNTIFS(Usage_Data!$C$2:$C$5001,$A202,Usage_Data!$F$2:$F$5001,"surge",Usage_Data!$G$2:$G$5001,1)</f>
        <v/>
      </c>
      <c r="E202">
        <f>SUMIFS(Usage_Data!$E$2:$E$5001,Usage_Data!$C$2:$C$5001,$A202,Usage_Data!$G$2:$G$5001,1)</f>
        <v/>
      </c>
    </row>
    <row r="203">
      <c r="A203" t="inlineStr">
        <is>
          <t>SS-01200</t>
        </is>
      </c>
      <c r="B203">
        <f>SUMIFS(Usage_Data!$D$2:$D$5001,Usage_Data!$C$2:$C$5001,$A203,Usage_Data!$G$2:$G$5001,1)</f>
        <v/>
      </c>
      <c r="C203">
        <f>B203/8</f>
        <v/>
      </c>
      <c r="D203">
        <f>COUNTIFS(Usage_Data!$C$2:$C$5001,$A203,Usage_Data!$F$2:$F$5001,"surge",Usage_Data!$G$2:$G$5001,1)</f>
        <v/>
      </c>
      <c r="E203">
        <f>SUMIFS(Usage_Data!$E$2:$E$5001,Usage_Data!$C$2:$C$5001,$A203,Usage_Data!$G$2:$G$5001,1)</f>
        <v/>
      </c>
    </row>
    <row r="204">
      <c r="A204" t="inlineStr">
        <is>
          <t>SS-01201</t>
        </is>
      </c>
      <c r="B204">
        <f>SUMIFS(Usage_Data!$D$2:$D$5001,Usage_Data!$C$2:$C$5001,$A204,Usage_Data!$G$2:$G$5001,1)</f>
        <v/>
      </c>
      <c r="C204">
        <f>B204/8</f>
        <v/>
      </c>
      <c r="D204">
        <f>COUNTIFS(Usage_Data!$C$2:$C$5001,$A204,Usage_Data!$F$2:$F$5001,"surge",Usage_Data!$G$2:$G$5001,1)</f>
        <v/>
      </c>
      <c r="E204">
        <f>SUMIFS(Usage_Data!$E$2:$E$5001,Usage_Data!$C$2:$C$5001,$A204,Usage_Data!$G$2:$G$5001,1)</f>
        <v/>
      </c>
    </row>
    <row r="205">
      <c r="A205" t="inlineStr">
        <is>
          <t>SS-01202</t>
        </is>
      </c>
      <c r="B205">
        <f>SUMIFS(Usage_Data!$D$2:$D$5001,Usage_Data!$C$2:$C$5001,$A205,Usage_Data!$G$2:$G$5001,1)</f>
        <v/>
      </c>
      <c r="C205">
        <f>B205/8</f>
        <v/>
      </c>
      <c r="D205">
        <f>COUNTIFS(Usage_Data!$C$2:$C$5001,$A205,Usage_Data!$F$2:$F$5001,"surge",Usage_Data!$G$2:$G$5001,1)</f>
        <v/>
      </c>
      <c r="E205">
        <f>SUMIFS(Usage_Data!$E$2:$E$5001,Usage_Data!$C$2:$C$5001,$A205,Usage_Data!$G$2:$G$5001,1)</f>
        <v/>
      </c>
    </row>
    <row r="206">
      <c r="A206" t="inlineStr">
        <is>
          <t>SS-01203</t>
        </is>
      </c>
      <c r="B206">
        <f>SUMIFS(Usage_Data!$D$2:$D$5001,Usage_Data!$C$2:$C$5001,$A206,Usage_Data!$G$2:$G$5001,1)</f>
        <v/>
      </c>
      <c r="C206">
        <f>B206/8</f>
        <v/>
      </c>
      <c r="D206">
        <f>COUNTIFS(Usage_Data!$C$2:$C$5001,$A206,Usage_Data!$F$2:$F$5001,"surge",Usage_Data!$G$2:$G$5001,1)</f>
        <v/>
      </c>
      <c r="E206">
        <f>SUMIFS(Usage_Data!$E$2:$E$5001,Usage_Data!$C$2:$C$5001,$A206,Usage_Data!$G$2:$G$5001,1)</f>
        <v/>
      </c>
    </row>
    <row r="207">
      <c r="A207" t="inlineStr">
        <is>
          <t>SS-01204</t>
        </is>
      </c>
      <c r="B207">
        <f>SUMIFS(Usage_Data!$D$2:$D$5001,Usage_Data!$C$2:$C$5001,$A207,Usage_Data!$G$2:$G$5001,1)</f>
        <v/>
      </c>
      <c r="C207">
        <f>B207/8</f>
        <v/>
      </c>
      <c r="D207">
        <f>COUNTIFS(Usage_Data!$C$2:$C$5001,$A207,Usage_Data!$F$2:$F$5001,"surge",Usage_Data!$G$2:$G$5001,1)</f>
        <v/>
      </c>
      <c r="E207">
        <f>SUMIFS(Usage_Data!$E$2:$E$5001,Usage_Data!$C$2:$C$5001,$A207,Usage_Data!$G$2:$G$5001,1)</f>
        <v/>
      </c>
    </row>
    <row r="208">
      <c r="A208" t="inlineStr">
        <is>
          <t>SS-01205</t>
        </is>
      </c>
      <c r="B208">
        <f>SUMIFS(Usage_Data!$D$2:$D$5001,Usage_Data!$C$2:$C$5001,$A208,Usage_Data!$G$2:$G$5001,1)</f>
        <v/>
      </c>
      <c r="C208">
        <f>B208/8</f>
        <v/>
      </c>
      <c r="D208">
        <f>COUNTIFS(Usage_Data!$C$2:$C$5001,$A208,Usage_Data!$F$2:$F$5001,"surge",Usage_Data!$G$2:$G$5001,1)</f>
        <v/>
      </c>
      <c r="E208">
        <f>SUMIFS(Usage_Data!$E$2:$E$5001,Usage_Data!$C$2:$C$5001,$A208,Usage_Data!$G$2:$G$5001,1)</f>
        <v/>
      </c>
    </row>
    <row r="209">
      <c r="A209" t="inlineStr">
        <is>
          <t>SS-01206</t>
        </is>
      </c>
      <c r="B209">
        <f>SUMIFS(Usage_Data!$D$2:$D$5001,Usage_Data!$C$2:$C$5001,$A209,Usage_Data!$G$2:$G$5001,1)</f>
        <v/>
      </c>
      <c r="C209">
        <f>B209/8</f>
        <v/>
      </c>
      <c r="D209">
        <f>COUNTIFS(Usage_Data!$C$2:$C$5001,$A209,Usage_Data!$F$2:$F$5001,"surge",Usage_Data!$G$2:$G$5001,1)</f>
        <v/>
      </c>
      <c r="E209">
        <f>SUMIFS(Usage_Data!$E$2:$E$5001,Usage_Data!$C$2:$C$5001,$A209,Usage_Data!$G$2:$G$5001,1)</f>
        <v/>
      </c>
    </row>
    <row r="210">
      <c r="A210" t="inlineStr">
        <is>
          <t>SS-01207</t>
        </is>
      </c>
      <c r="B210">
        <f>SUMIFS(Usage_Data!$D$2:$D$5001,Usage_Data!$C$2:$C$5001,$A210,Usage_Data!$G$2:$G$5001,1)</f>
        <v/>
      </c>
      <c r="C210">
        <f>B210/8</f>
        <v/>
      </c>
      <c r="D210">
        <f>COUNTIFS(Usage_Data!$C$2:$C$5001,$A210,Usage_Data!$F$2:$F$5001,"surge",Usage_Data!$G$2:$G$5001,1)</f>
        <v/>
      </c>
      <c r="E210">
        <f>SUMIFS(Usage_Data!$E$2:$E$5001,Usage_Data!$C$2:$C$5001,$A210,Usage_Data!$G$2:$G$5001,1)</f>
        <v/>
      </c>
    </row>
    <row r="211">
      <c r="A211" t="inlineStr">
        <is>
          <t>SS-01208</t>
        </is>
      </c>
      <c r="B211">
        <f>SUMIFS(Usage_Data!$D$2:$D$5001,Usage_Data!$C$2:$C$5001,$A211,Usage_Data!$G$2:$G$5001,1)</f>
        <v/>
      </c>
      <c r="C211">
        <f>B211/8</f>
        <v/>
      </c>
      <c r="D211">
        <f>COUNTIFS(Usage_Data!$C$2:$C$5001,$A211,Usage_Data!$F$2:$F$5001,"surge",Usage_Data!$G$2:$G$5001,1)</f>
        <v/>
      </c>
      <c r="E211">
        <f>SUMIFS(Usage_Data!$E$2:$E$5001,Usage_Data!$C$2:$C$5001,$A211,Usage_Data!$G$2:$G$5001,1)</f>
        <v/>
      </c>
    </row>
    <row r="212">
      <c r="A212" t="inlineStr">
        <is>
          <t>SS-01209</t>
        </is>
      </c>
      <c r="B212">
        <f>SUMIFS(Usage_Data!$D$2:$D$5001,Usage_Data!$C$2:$C$5001,$A212,Usage_Data!$G$2:$G$5001,1)</f>
        <v/>
      </c>
      <c r="C212">
        <f>B212/8</f>
        <v/>
      </c>
      <c r="D212">
        <f>COUNTIFS(Usage_Data!$C$2:$C$5001,$A212,Usage_Data!$F$2:$F$5001,"surge",Usage_Data!$G$2:$G$5001,1)</f>
        <v/>
      </c>
      <c r="E212">
        <f>SUMIFS(Usage_Data!$E$2:$E$5001,Usage_Data!$C$2:$C$5001,$A212,Usage_Data!$G$2:$G$5001,1)</f>
        <v/>
      </c>
    </row>
    <row r="213">
      <c r="A213" t="inlineStr">
        <is>
          <t>SS-01210</t>
        </is>
      </c>
      <c r="B213">
        <f>SUMIFS(Usage_Data!$D$2:$D$5001,Usage_Data!$C$2:$C$5001,$A213,Usage_Data!$G$2:$G$5001,1)</f>
        <v/>
      </c>
      <c r="C213">
        <f>B213/8</f>
        <v/>
      </c>
      <c r="D213">
        <f>COUNTIFS(Usage_Data!$C$2:$C$5001,$A213,Usage_Data!$F$2:$F$5001,"surge",Usage_Data!$G$2:$G$5001,1)</f>
        <v/>
      </c>
      <c r="E213">
        <f>SUMIFS(Usage_Data!$E$2:$E$5001,Usage_Data!$C$2:$C$5001,$A213,Usage_Data!$G$2:$G$5001,1)</f>
        <v/>
      </c>
    </row>
    <row r="214">
      <c r="A214" t="inlineStr">
        <is>
          <t>SS-01211</t>
        </is>
      </c>
      <c r="B214">
        <f>SUMIFS(Usage_Data!$D$2:$D$5001,Usage_Data!$C$2:$C$5001,$A214,Usage_Data!$G$2:$G$5001,1)</f>
        <v/>
      </c>
      <c r="C214">
        <f>B214/8</f>
        <v/>
      </c>
      <c r="D214">
        <f>COUNTIFS(Usage_Data!$C$2:$C$5001,$A214,Usage_Data!$F$2:$F$5001,"surge",Usage_Data!$G$2:$G$5001,1)</f>
        <v/>
      </c>
      <c r="E214">
        <f>SUMIFS(Usage_Data!$E$2:$E$5001,Usage_Data!$C$2:$C$5001,$A214,Usage_Data!$G$2:$G$5001,1)</f>
        <v/>
      </c>
    </row>
    <row r="215">
      <c r="A215" t="inlineStr">
        <is>
          <t>SS-01212</t>
        </is>
      </c>
      <c r="B215">
        <f>SUMIFS(Usage_Data!$D$2:$D$5001,Usage_Data!$C$2:$C$5001,$A215,Usage_Data!$G$2:$G$5001,1)</f>
        <v/>
      </c>
      <c r="C215">
        <f>B215/8</f>
        <v/>
      </c>
      <c r="D215">
        <f>COUNTIFS(Usage_Data!$C$2:$C$5001,$A215,Usage_Data!$F$2:$F$5001,"surge",Usage_Data!$G$2:$G$5001,1)</f>
        <v/>
      </c>
      <c r="E215">
        <f>SUMIFS(Usage_Data!$E$2:$E$5001,Usage_Data!$C$2:$C$5001,$A215,Usage_Data!$G$2:$G$5001,1)</f>
        <v/>
      </c>
    </row>
    <row r="216">
      <c r="A216" t="inlineStr">
        <is>
          <t>SS-01213</t>
        </is>
      </c>
      <c r="B216">
        <f>SUMIFS(Usage_Data!$D$2:$D$5001,Usage_Data!$C$2:$C$5001,$A216,Usage_Data!$G$2:$G$5001,1)</f>
        <v/>
      </c>
      <c r="C216">
        <f>B216/8</f>
        <v/>
      </c>
      <c r="D216">
        <f>COUNTIFS(Usage_Data!$C$2:$C$5001,$A216,Usage_Data!$F$2:$F$5001,"surge",Usage_Data!$G$2:$G$5001,1)</f>
        <v/>
      </c>
      <c r="E216">
        <f>SUMIFS(Usage_Data!$E$2:$E$5001,Usage_Data!$C$2:$C$5001,$A216,Usage_Data!$G$2:$G$5001,1)</f>
        <v/>
      </c>
    </row>
    <row r="217">
      <c r="A217" t="inlineStr">
        <is>
          <t>SS-01214</t>
        </is>
      </c>
      <c r="B217">
        <f>SUMIFS(Usage_Data!$D$2:$D$5001,Usage_Data!$C$2:$C$5001,$A217,Usage_Data!$G$2:$G$5001,1)</f>
        <v/>
      </c>
      <c r="C217">
        <f>B217/8</f>
        <v/>
      </c>
      <c r="D217">
        <f>COUNTIFS(Usage_Data!$C$2:$C$5001,$A217,Usage_Data!$F$2:$F$5001,"surge",Usage_Data!$G$2:$G$5001,1)</f>
        <v/>
      </c>
      <c r="E217">
        <f>SUMIFS(Usage_Data!$E$2:$E$5001,Usage_Data!$C$2:$C$5001,$A217,Usage_Data!$G$2:$G$5001,1)</f>
        <v/>
      </c>
    </row>
    <row r="218">
      <c r="A218" t="inlineStr">
        <is>
          <t>SS-01215</t>
        </is>
      </c>
      <c r="B218">
        <f>SUMIFS(Usage_Data!$D$2:$D$5001,Usage_Data!$C$2:$C$5001,$A218,Usage_Data!$G$2:$G$5001,1)</f>
        <v/>
      </c>
      <c r="C218">
        <f>B218/8</f>
        <v/>
      </c>
      <c r="D218">
        <f>COUNTIFS(Usage_Data!$C$2:$C$5001,$A218,Usage_Data!$F$2:$F$5001,"surge",Usage_Data!$G$2:$G$5001,1)</f>
        <v/>
      </c>
      <c r="E218">
        <f>SUMIFS(Usage_Data!$E$2:$E$5001,Usage_Data!$C$2:$C$5001,$A218,Usage_Data!$G$2:$G$5001,1)</f>
        <v/>
      </c>
    </row>
    <row r="219">
      <c r="A219" t="inlineStr">
        <is>
          <t>SS-01216</t>
        </is>
      </c>
      <c r="B219">
        <f>SUMIFS(Usage_Data!$D$2:$D$5001,Usage_Data!$C$2:$C$5001,$A219,Usage_Data!$G$2:$G$5001,1)</f>
        <v/>
      </c>
      <c r="C219">
        <f>B219/8</f>
        <v/>
      </c>
      <c r="D219">
        <f>COUNTIFS(Usage_Data!$C$2:$C$5001,$A219,Usage_Data!$F$2:$F$5001,"surge",Usage_Data!$G$2:$G$5001,1)</f>
        <v/>
      </c>
      <c r="E219">
        <f>SUMIFS(Usage_Data!$E$2:$E$5001,Usage_Data!$C$2:$C$5001,$A219,Usage_Data!$G$2:$G$5001,1)</f>
        <v/>
      </c>
    </row>
    <row r="220">
      <c r="A220" t="inlineStr">
        <is>
          <t>SS-01217</t>
        </is>
      </c>
      <c r="B220">
        <f>SUMIFS(Usage_Data!$D$2:$D$5001,Usage_Data!$C$2:$C$5001,$A220,Usage_Data!$G$2:$G$5001,1)</f>
        <v/>
      </c>
      <c r="C220">
        <f>B220/8</f>
        <v/>
      </c>
      <c r="D220">
        <f>COUNTIFS(Usage_Data!$C$2:$C$5001,$A220,Usage_Data!$F$2:$F$5001,"surge",Usage_Data!$G$2:$G$5001,1)</f>
        <v/>
      </c>
      <c r="E220">
        <f>SUMIFS(Usage_Data!$E$2:$E$5001,Usage_Data!$C$2:$C$5001,$A220,Usage_Data!$G$2:$G$5001,1)</f>
        <v/>
      </c>
    </row>
    <row r="221">
      <c r="A221" t="inlineStr">
        <is>
          <t>SS-01218</t>
        </is>
      </c>
      <c r="B221">
        <f>SUMIFS(Usage_Data!$D$2:$D$5001,Usage_Data!$C$2:$C$5001,$A221,Usage_Data!$G$2:$G$5001,1)</f>
        <v/>
      </c>
      <c r="C221">
        <f>B221/8</f>
        <v/>
      </c>
      <c r="D221">
        <f>COUNTIFS(Usage_Data!$C$2:$C$5001,$A221,Usage_Data!$F$2:$F$5001,"surge",Usage_Data!$G$2:$G$5001,1)</f>
        <v/>
      </c>
      <c r="E221">
        <f>SUMIFS(Usage_Data!$E$2:$E$5001,Usage_Data!$C$2:$C$5001,$A221,Usage_Data!$G$2:$G$5001,1)</f>
        <v/>
      </c>
    </row>
    <row r="222">
      <c r="A222" t="inlineStr">
        <is>
          <t>SS-01219</t>
        </is>
      </c>
      <c r="B222">
        <f>SUMIFS(Usage_Data!$D$2:$D$5001,Usage_Data!$C$2:$C$5001,$A222,Usage_Data!$G$2:$G$5001,1)</f>
        <v/>
      </c>
      <c r="C222">
        <f>B222/8</f>
        <v/>
      </c>
      <c r="D222">
        <f>COUNTIFS(Usage_Data!$C$2:$C$5001,$A222,Usage_Data!$F$2:$F$5001,"surge",Usage_Data!$G$2:$G$5001,1)</f>
        <v/>
      </c>
      <c r="E222">
        <f>SUMIFS(Usage_Data!$E$2:$E$5001,Usage_Data!$C$2:$C$5001,$A222,Usage_Data!$G$2:$G$5001,1)</f>
        <v/>
      </c>
    </row>
    <row r="223">
      <c r="A223" t="inlineStr">
        <is>
          <t>SS-01220</t>
        </is>
      </c>
      <c r="B223">
        <f>SUMIFS(Usage_Data!$D$2:$D$5001,Usage_Data!$C$2:$C$5001,$A223,Usage_Data!$G$2:$G$5001,1)</f>
        <v/>
      </c>
      <c r="C223">
        <f>B223/8</f>
        <v/>
      </c>
      <c r="D223">
        <f>COUNTIFS(Usage_Data!$C$2:$C$5001,$A223,Usage_Data!$F$2:$F$5001,"surge",Usage_Data!$G$2:$G$5001,1)</f>
        <v/>
      </c>
      <c r="E223">
        <f>SUMIFS(Usage_Data!$E$2:$E$5001,Usage_Data!$C$2:$C$5001,$A223,Usage_Data!$G$2:$G$5001,1)</f>
        <v/>
      </c>
    </row>
    <row r="224">
      <c r="A224" t="inlineStr">
        <is>
          <t>SS-01221</t>
        </is>
      </c>
      <c r="B224">
        <f>SUMIFS(Usage_Data!$D$2:$D$5001,Usage_Data!$C$2:$C$5001,$A224,Usage_Data!$G$2:$G$5001,1)</f>
        <v/>
      </c>
      <c r="C224">
        <f>B224/8</f>
        <v/>
      </c>
      <c r="D224">
        <f>COUNTIFS(Usage_Data!$C$2:$C$5001,$A224,Usage_Data!$F$2:$F$5001,"surge",Usage_Data!$G$2:$G$5001,1)</f>
        <v/>
      </c>
      <c r="E224">
        <f>SUMIFS(Usage_Data!$E$2:$E$5001,Usage_Data!$C$2:$C$5001,$A224,Usage_Data!$G$2:$G$5001,1)</f>
        <v/>
      </c>
    </row>
    <row r="225">
      <c r="A225" t="inlineStr">
        <is>
          <t>SS-01222</t>
        </is>
      </c>
      <c r="B225">
        <f>SUMIFS(Usage_Data!$D$2:$D$5001,Usage_Data!$C$2:$C$5001,$A225,Usage_Data!$G$2:$G$5001,1)</f>
        <v/>
      </c>
      <c r="C225">
        <f>B225/8</f>
        <v/>
      </c>
      <c r="D225">
        <f>COUNTIFS(Usage_Data!$C$2:$C$5001,$A225,Usage_Data!$F$2:$F$5001,"surge",Usage_Data!$G$2:$G$5001,1)</f>
        <v/>
      </c>
      <c r="E225">
        <f>SUMIFS(Usage_Data!$E$2:$E$5001,Usage_Data!$C$2:$C$5001,$A225,Usage_Data!$G$2:$G$5001,1)</f>
        <v/>
      </c>
    </row>
    <row r="226">
      <c r="A226" t="inlineStr">
        <is>
          <t>SS-01223</t>
        </is>
      </c>
      <c r="B226">
        <f>SUMIFS(Usage_Data!$D$2:$D$5001,Usage_Data!$C$2:$C$5001,$A226,Usage_Data!$G$2:$G$5001,1)</f>
        <v/>
      </c>
      <c r="C226">
        <f>B226/8</f>
        <v/>
      </c>
      <c r="D226">
        <f>COUNTIFS(Usage_Data!$C$2:$C$5001,$A226,Usage_Data!$F$2:$F$5001,"surge",Usage_Data!$G$2:$G$5001,1)</f>
        <v/>
      </c>
      <c r="E226">
        <f>SUMIFS(Usage_Data!$E$2:$E$5001,Usage_Data!$C$2:$C$5001,$A226,Usage_Data!$G$2:$G$5001,1)</f>
        <v/>
      </c>
    </row>
    <row r="227">
      <c r="A227" t="inlineStr">
        <is>
          <t>SS-01224</t>
        </is>
      </c>
      <c r="B227">
        <f>SUMIFS(Usage_Data!$D$2:$D$5001,Usage_Data!$C$2:$C$5001,$A227,Usage_Data!$G$2:$G$5001,1)</f>
        <v/>
      </c>
      <c r="C227">
        <f>B227/8</f>
        <v/>
      </c>
      <c r="D227">
        <f>COUNTIFS(Usage_Data!$C$2:$C$5001,$A227,Usage_Data!$F$2:$F$5001,"surge",Usage_Data!$G$2:$G$5001,1)</f>
        <v/>
      </c>
      <c r="E227">
        <f>SUMIFS(Usage_Data!$E$2:$E$5001,Usage_Data!$C$2:$C$5001,$A227,Usage_Data!$G$2:$G$5001,1)</f>
        <v/>
      </c>
    </row>
    <row r="228">
      <c r="A228" t="inlineStr">
        <is>
          <t>SS-01225</t>
        </is>
      </c>
      <c r="B228">
        <f>SUMIFS(Usage_Data!$D$2:$D$5001,Usage_Data!$C$2:$C$5001,$A228,Usage_Data!$G$2:$G$5001,1)</f>
        <v/>
      </c>
      <c r="C228">
        <f>B228/8</f>
        <v/>
      </c>
      <c r="D228">
        <f>COUNTIFS(Usage_Data!$C$2:$C$5001,$A228,Usage_Data!$F$2:$F$5001,"surge",Usage_Data!$G$2:$G$5001,1)</f>
        <v/>
      </c>
      <c r="E228">
        <f>SUMIFS(Usage_Data!$E$2:$E$5001,Usage_Data!$C$2:$C$5001,$A228,Usage_Data!$G$2:$G$5001,1)</f>
        <v/>
      </c>
    </row>
    <row r="229">
      <c r="A229" t="inlineStr">
        <is>
          <t>SS-01226</t>
        </is>
      </c>
      <c r="B229">
        <f>SUMIFS(Usage_Data!$D$2:$D$5001,Usage_Data!$C$2:$C$5001,$A229,Usage_Data!$G$2:$G$5001,1)</f>
        <v/>
      </c>
      <c r="C229">
        <f>B229/8</f>
        <v/>
      </c>
      <c r="D229">
        <f>COUNTIFS(Usage_Data!$C$2:$C$5001,$A229,Usage_Data!$F$2:$F$5001,"surge",Usage_Data!$G$2:$G$5001,1)</f>
        <v/>
      </c>
      <c r="E229">
        <f>SUMIFS(Usage_Data!$E$2:$E$5001,Usage_Data!$C$2:$C$5001,$A229,Usage_Data!$G$2:$G$5001,1)</f>
        <v/>
      </c>
    </row>
    <row r="230">
      <c r="A230" t="inlineStr">
        <is>
          <t>SS-01227</t>
        </is>
      </c>
      <c r="B230">
        <f>SUMIFS(Usage_Data!$D$2:$D$5001,Usage_Data!$C$2:$C$5001,$A230,Usage_Data!$G$2:$G$5001,1)</f>
        <v/>
      </c>
      <c r="C230">
        <f>B230/8</f>
        <v/>
      </c>
      <c r="D230">
        <f>COUNTIFS(Usage_Data!$C$2:$C$5001,$A230,Usage_Data!$F$2:$F$5001,"surge",Usage_Data!$G$2:$G$5001,1)</f>
        <v/>
      </c>
      <c r="E230">
        <f>SUMIFS(Usage_Data!$E$2:$E$5001,Usage_Data!$C$2:$C$5001,$A230,Usage_Data!$G$2:$G$5001,1)</f>
        <v/>
      </c>
    </row>
    <row r="231">
      <c r="A231" t="inlineStr">
        <is>
          <t>SS-01228</t>
        </is>
      </c>
      <c r="B231">
        <f>SUMIFS(Usage_Data!$D$2:$D$5001,Usage_Data!$C$2:$C$5001,$A231,Usage_Data!$G$2:$G$5001,1)</f>
        <v/>
      </c>
      <c r="C231">
        <f>B231/8</f>
        <v/>
      </c>
      <c r="D231">
        <f>COUNTIFS(Usage_Data!$C$2:$C$5001,$A231,Usage_Data!$F$2:$F$5001,"surge",Usage_Data!$G$2:$G$5001,1)</f>
        <v/>
      </c>
      <c r="E231">
        <f>SUMIFS(Usage_Data!$E$2:$E$5001,Usage_Data!$C$2:$C$5001,$A231,Usage_Data!$G$2:$G$5001,1)</f>
        <v/>
      </c>
    </row>
    <row r="232">
      <c r="A232" t="inlineStr">
        <is>
          <t>SS-01229</t>
        </is>
      </c>
      <c r="B232">
        <f>SUMIFS(Usage_Data!$D$2:$D$5001,Usage_Data!$C$2:$C$5001,$A232,Usage_Data!$G$2:$G$5001,1)</f>
        <v/>
      </c>
      <c r="C232">
        <f>B232/8</f>
        <v/>
      </c>
      <c r="D232">
        <f>COUNTIFS(Usage_Data!$C$2:$C$5001,$A232,Usage_Data!$F$2:$F$5001,"surge",Usage_Data!$G$2:$G$5001,1)</f>
        <v/>
      </c>
      <c r="E232">
        <f>SUMIFS(Usage_Data!$E$2:$E$5001,Usage_Data!$C$2:$C$5001,$A232,Usage_Data!$G$2:$G$5001,1)</f>
        <v/>
      </c>
    </row>
    <row r="233">
      <c r="A233" t="inlineStr">
        <is>
          <t>SS-01230</t>
        </is>
      </c>
      <c r="B233">
        <f>SUMIFS(Usage_Data!$D$2:$D$5001,Usage_Data!$C$2:$C$5001,$A233,Usage_Data!$G$2:$G$5001,1)</f>
        <v/>
      </c>
      <c r="C233">
        <f>B233/8</f>
        <v/>
      </c>
      <c r="D233">
        <f>COUNTIFS(Usage_Data!$C$2:$C$5001,$A233,Usage_Data!$F$2:$F$5001,"surge",Usage_Data!$G$2:$G$5001,1)</f>
        <v/>
      </c>
      <c r="E233">
        <f>SUMIFS(Usage_Data!$E$2:$E$5001,Usage_Data!$C$2:$C$5001,$A233,Usage_Data!$G$2:$G$5001,1)</f>
        <v/>
      </c>
    </row>
    <row r="234">
      <c r="A234" t="inlineStr">
        <is>
          <t>SS-01231</t>
        </is>
      </c>
      <c r="B234">
        <f>SUMIFS(Usage_Data!$D$2:$D$5001,Usage_Data!$C$2:$C$5001,$A234,Usage_Data!$G$2:$G$5001,1)</f>
        <v/>
      </c>
      <c r="C234">
        <f>B234/8</f>
        <v/>
      </c>
      <c r="D234">
        <f>COUNTIFS(Usage_Data!$C$2:$C$5001,$A234,Usage_Data!$F$2:$F$5001,"surge",Usage_Data!$G$2:$G$5001,1)</f>
        <v/>
      </c>
      <c r="E234">
        <f>SUMIFS(Usage_Data!$E$2:$E$5001,Usage_Data!$C$2:$C$5001,$A234,Usage_Data!$G$2:$G$5001,1)</f>
        <v/>
      </c>
    </row>
    <row r="235">
      <c r="A235" t="inlineStr">
        <is>
          <t>SS-01232</t>
        </is>
      </c>
      <c r="B235">
        <f>SUMIFS(Usage_Data!$D$2:$D$5001,Usage_Data!$C$2:$C$5001,$A235,Usage_Data!$G$2:$G$5001,1)</f>
        <v/>
      </c>
      <c r="C235">
        <f>B235/8</f>
        <v/>
      </c>
      <c r="D235">
        <f>COUNTIFS(Usage_Data!$C$2:$C$5001,$A235,Usage_Data!$F$2:$F$5001,"surge",Usage_Data!$G$2:$G$5001,1)</f>
        <v/>
      </c>
      <c r="E235">
        <f>SUMIFS(Usage_Data!$E$2:$E$5001,Usage_Data!$C$2:$C$5001,$A235,Usage_Data!$G$2:$G$5001,1)</f>
        <v/>
      </c>
    </row>
    <row r="236">
      <c r="A236" t="inlineStr">
        <is>
          <t>SS-01233</t>
        </is>
      </c>
      <c r="B236">
        <f>SUMIFS(Usage_Data!$D$2:$D$5001,Usage_Data!$C$2:$C$5001,$A236,Usage_Data!$G$2:$G$5001,1)</f>
        <v/>
      </c>
      <c r="C236">
        <f>B236/8</f>
        <v/>
      </c>
      <c r="D236">
        <f>COUNTIFS(Usage_Data!$C$2:$C$5001,$A236,Usage_Data!$F$2:$F$5001,"surge",Usage_Data!$G$2:$G$5001,1)</f>
        <v/>
      </c>
      <c r="E236">
        <f>SUMIFS(Usage_Data!$E$2:$E$5001,Usage_Data!$C$2:$C$5001,$A236,Usage_Data!$G$2:$G$5001,1)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1" t="inlineStr">
        <is>
          <t>ABC classification from complete annual usage value + supplier concentration by class</t>
        </is>
      </c>
    </row>
    <row r="2">
      <c r="A2" s="3" t="inlineStr">
        <is>
          <t>Annual usage value = SUMIFS(Usage_Data usage, sku) * Lots_Data unit_cost. Classes by cumulative value share: A&lt;=80%, B&lt;=95%, C&gt;95% (80/95 split). annual_usage_value_total reconciles to 879602.39.</t>
        </is>
      </c>
    </row>
    <row r="4">
      <c r="A4" s="12" t="inlineStr">
        <is>
          <t>site_sku</t>
        </is>
      </c>
      <c r="B4" s="12" t="inlineStr">
        <is>
          <t>site_id</t>
        </is>
      </c>
      <c r="C4" s="12" t="inlineStr">
        <is>
          <t>sku_id</t>
        </is>
      </c>
      <c r="D4" s="12" t="inlineStr">
        <is>
          <t>abc_class</t>
        </is>
      </c>
      <c r="E4" s="12" t="inlineStr">
        <is>
          <t>annual_usage_value</t>
        </is>
      </c>
      <c r="F4" s="12" t="inlineStr">
        <is>
          <t>unit_cost_usd</t>
        </is>
      </c>
      <c r="G4" s="12" t="inlineStr">
        <is>
          <t>annual_usage_qty</t>
        </is>
      </c>
      <c r="H4" s="12" t="inlineStr">
        <is>
          <t>supplier</t>
        </is>
      </c>
      <c r="I4" s="12" t="inlineStr">
        <is>
          <t>clinical_family</t>
        </is>
      </c>
    </row>
    <row r="5">
      <c r="A5" t="inlineStr">
        <is>
          <t>HOSP-1|SS-01001</t>
        </is>
      </c>
      <c r="B5">
        <f>INDEX(Lots_Data!$E$2:$E$234,MATCH($A5,Lots_Data!$A$2:$A$234,0))</f>
        <v/>
      </c>
      <c r="C5">
        <f>INDEX(Lots_Data!$A$2:$A$234,MATCH($A5,Lots_Data!$A$2:$A$234,0))</f>
        <v/>
      </c>
      <c r="D5" t="inlineStr">
        <is>
          <t>B</t>
        </is>
      </c>
      <c r="E5">
        <f>INDEX(Usage_Summary!$B$4:$B$236,MATCH($C5,Usage_Summary!$A$4:$A$236,0))*INDEX(Lots_Data!$G$2:$G$234,MATCH($A5,Lots_Data!$A$2:$A$234,0))</f>
        <v/>
      </c>
      <c r="F5">
        <f>INDEX(Lots_Data!$G$2:$G$234,MATCH($A5,Lots_Data!$A$2:$A$234,0))</f>
        <v/>
      </c>
      <c r="G5">
        <f>INDEX(Usage_Summary!$B$4:$B$236,MATCH($C5,Usage_Summary!$A$4:$A$236,0))</f>
        <v/>
      </c>
      <c r="H5">
        <f>INDEX(Lots_Data!$D$2:$D$234,MATCH($A5,Lots_Data!$A$2:$A$234,0))</f>
        <v/>
      </c>
      <c r="I5">
        <f>INDEX(Lots_Data!$C$2:$C$234,MATCH($A5,Lots_Data!$A$2:$A$234,0))</f>
        <v/>
      </c>
    </row>
    <row r="6">
      <c r="A6" t="inlineStr">
        <is>
          <t>HOSP-1|SS-01005</t>
        </is>
      </c>
      <c r="B6">
        <f>INDEX(Lots_Data!$E$2:$E$234,MATCH($A6,Lots_Data!$A$2:$A$234,0))</f>
        <v/>
      </c>
      <c r="C6">
        <f>INDEX(Lots_Data!$A$2:$A$234,MATCH($A6,Lots_Data!$A$2:$A$234,0))</f>
        <v/>
      </c>
      <c r="D6" t="inlineStr">
        <is>
          <t>A</t>
        </is>
      </c>
      <c r="E6">
        <f>INDEX(Usage_Summary!$B$4:$B$236,MATCH($C6,Usage_Summary!$A$4:$A$236,0))*INDEX(Lots_Data!$G$2:$G$234,MATCH($A6,Lots_Data!$A$2:$A$234,0))</f>
        <v/>
      </c>
      <c r="F6">
        <f>INDEX(Lots_Data!$G$2:$G$234,MATCH($A6,Lots_Data!$A$2:$A$234,0))</f>
        <v/>
      </c>
      <c r="G6">
        <f>INDEX(Usage_Summary!$B$4:$B$236,MATCH($C6,Usage_Summary!$A$4:$A$236,0))</f>
        <v/>
      </c>
      <c r="H6">
        <f>INDEX(Lots_Data!$D$2:$D$234,MATCH($A6,Lots_Data!$A$2:$A$234,0))</f>
        <v/>
      </c>
      <c r="I6">
        <f>INDEX(Lots_Data!$C$2:$C$234,MATCH($A6,Lots_Data!$A$2:$A$234,0))</f>
        <v/>
      </c>
    </row>
    <row r="7">
      <c r="A7" t="inlineStr">
        <is>
          <t>HOSP-1|SS-01009</t>
        </is>
      </c>
      <c r="B7">
        <f>INDEX(Lots_Data!$E$2:$E$234,MATCH($A7,Lots_Data!$A$2:$A$234,0))</f>
        <v/>
      </c>
      <c r="C7">
        <f>INDEX(Lots_Data!$A$2:$A$234,MATCH($A7,Lots_Data!$A$2:$A$234,0))</f>
        <v/>
      </c>
      <c r="D7" t="inlineStr">
        <is>
          <t>B</t>
        </is>
      </c>
      <c r="E7">
        <f>INDEX(Usage_Summary!$B$4:$B$236,MATCH($C7,Usage_Summary!$A$4:$A$236,0))*INDEX(Lots_Data!$G$2:$G$234,MATCH($A7,Lots_Data!$A$2:$A$234,0))</f>
        <v/>
      </c>
      <c r="F7">
        <f>INDEX(Lots_Data!$G$2:$G$234,MATCH($A7,Lots_Data!$A$2:$A$234,0))</f>
        <v/>
      </c>
      <c r="G7">
        <f>INDEX(Usage_Summary!$B$4:$B$236,MATCH($C7,Usage_Summary!$A$4:$A$236,0))</f>
        <v/>
      </c>
      <c r="H7">
        <f>INDEX(Lots_Data!$D$2:$D$234,MATCH($A7,Lots_Data!$A$2:$A$234,0))</f>
        <v/>
      </c>
      <c r="I7">
        <f>INDEX(Lots_Data!$C$2:$C$234,MATCH($A7,Lots_Data!$A$2:$A$234,0))</f>
        <v/>
      </c>
    </row>
    <row r="8">
      <c r="A8" t="inlineStr">
        <is>
          <t>HOSP-1|SS-01013</t>
        </is>
      </c>
      <c r="B8">
        <f>INDEX(Lots_Data!$E$2:$E$234,MATCH($A8,Lots_Data!$A$2:$A$234,0))</f>
        <v/>
      </c>
      <c r="C8">
        <f>INDEX(Lots_Data!$A$2:$A$234,MATCH($A8,Lots_Data!$A$2:$A$234,0))</f>
        <v/>
      </c>
      <c r="D8" t="inlineStr">
        <is>
          <t>A</t>
        </is>
      </c>
      <c r="E8">
        <f>INDEX(Usage_Summary!$B$4:$B$236,MATCH($C8,Usage_Summary!$A$4:$A$236,0))*INDEX(Lots_Data!$G$2:$G$234,MATCH($A8,Lots_Data!$A$2:$A$234,0))</f>
        <v/>
      </c>
      <c r="F8">
        <f>INDEX(Lots_Data!$G$2:$G$234,MATCH($A8,Lots_Data!$A$2:$A$234,0))</f>
        <v/>
      </c>
      <c r="G8">
        <f>INDEX(Usage_Summary!$B$4:$B$236,MATCH($C8,Usage_Summary!$A$4:$A$236,0))</f>
        <v/>
      </c>
      <c r="H8">
        <f>INDEX(Lots_Data!$D$2:$D$234,MATCH($A8,Lots_Data!$A$2:$A$234,0))</f>
        <v/>
      </c>
      <c r="I8">
        <f>INDEX(Lots_Data!$C$2:$C$234,MATCH($A8,Lots_Data!$A$2:$A$234,0))</f>
        <v/>
      </c>
    </row>
    <row r="9">
      <c r="A9" t="inlineStr">
        <is>
          <t>HOSP-1|SS-01017</t>
        </is>
      </c>
      <c r="B9">
        <f>INDEX(Lots_Data!$E$2:$E$234,MATCH($A9,Lots_Data!$A$2:$A$234,0))</f>
        <v/>
      </c>
      <c r="C9">
        <f>INDEX(Lots_Data!$A$2:$A$234,MATCH($A9,Lots_Data!$A$2:$A$234,0))</f>
        <v/>
      </c>
      <c r="D9" t="inlineStr">
        <is>
          <t>C</t>
        </is>
      </c>
      <c r="E9">
        <f>INDEX(Usage_Summary!$B$4:$B$236,MATCH($C9,Usage_Summary!$A$4:$A$236,0))*INDEX(Lots_Data!$G$2:$G$234,MATCH($A9,Lots_Data!$A$2:$A$234,0))</f>
        <v/>
      </c>
      <c r="F9">
        <f>INDEX(Lots_Data!$G$2:$G$234,MATCH($A9,Lots_Data!$A$2:$A$234,0))</f>
        <v/>
      </c>
      <c r="G9">
        <f>INDEX(Usage_Summary!$B$4:$B$236,MATCH($C9,Usage_Summary!$A$4:$A$236,0))</f>
        <v/>
      </c>
      <c r="H9">
        <f>INDEX(Lots_Data!$D$2:$D$234,MATCH($A9,Lots_Data!$A$2:$A$234,0))</f>
        <v/>
      </c>
      <c r="I9">
        <f>INDEX(Lots_Data!$C$2:$C$234,MATCH($A9,Lots_Data!$A$2:$A$234,0))</f>
        <v/>
      </c>
    </row>
    <row r="10">
      <c r="A10" t="inlineStr">
        <is>
          <t>HOSP-1|SS-01021</t>
        </is>
      </c>
      <c r="B10">
        <f>INDEX(Lots_Data!$E$2:$E$234,MATCH($A10,Lots_Data!$A$2:$A$234,0))</f>
        <v/>
      </c>
      <c r="C10">
        <f>INDEX(Lots_Data!$A$2:$A$234,MATCH($A10,Lots_Data!$A$2:$A$234,0))</f>
        <v/>
      </c>
      <c r="D10" t="inlineStr">
        <is>
          <t>A</t>
        </is>
      </c>
      <c r="E10">
        <f>INDEX(Usage_Summary!$B$4:$B$236,MATCH($C10,Usage_Summary!$A$4:$A$236,0))*INDEX(Lots_Data!$G$2:$G$234,MATCH($A10,Lots_Data!$A$2:$A$234,0))</f>
        <v/>
      </c>
      <c r="F10">
        <f>INDEX(Lots_Data!$G$2:$G$234,MATCH($A10,Lots_Data!$A$2:$A$234,0))</f>
        <v/>
      </c>
      <c r="G10">
        <f>INDEX(Usage_Summary!$B$4:$B$236,MATCH($C10,Usage_Summary!$A$4:$A$236,0))</f>
        <v/>
      </c>
      <c r="H10">
        <f>INDEX(Lots_Data!$D$2:$D$234,MATCH($A10,Lots_Data!$A$2:$A$234,0))</f>
        <v/>
      </c>
      <c r="I10">
        <f>INDEX(Lots_Data!$C$2:$C$234,MATCH($A10,Lots_Data!$A$2:$A$234,0))</f>
        <v/>
      </c>
    </row>
    <row r="11">
      <c r="A11" t="inlineStr">
        <is>
          <t>HOSP-1|SS-01025</t>
        </is>
      </c>
      <c r="B11">
        <f>INDEX(Lots_Data!$E$2:$E$234,MATCH($A11,Lots_Data!$A$2:$A$234,0))</f>
        <v/>
      </c>
      <c r="C11">
        <f>INDEX(Lots_Data!$A$2:$A$234,MATCH($A11,Lots_Data!$A$2:$A$234,0))</f>
        <v/>
      </c>
      <c r="D11" t="inlineStr">
        <is>
          <t>C</t>
        </is>
      </c>
      <c r="E11">
        <f>INDEX(Usage_Summary!$B$4:$B$236,MATCH($C11,Usage_Summary!$A$4:$A$236,0))*INDEX(Lots_Data!$G$2:$G$234,MATCH($A11,Lots_Data!$A$2:$A$234,0))</f>
        <v/>
      </c>
      <c r="F11">
        <f>INDEX(Lots_Data!$G$2:$G$234,MATCH($A11,Lots_Data!$A$2:$A$234,0))</f>
        <v/>
      </c>
      <c r="G11">
        <f>INDEX(Usage_Summary!$B$4:$B$236,MATCH($C11,Usage_Summary!$A$4:$A$236,0))</f>
        <v/>
      </c>
      <c r="H11">
        <f>INDEX(Lots_Data!$D$2:$D$234,MATCH($A11,Lots_Data!$A$2:$A$234,0))</f>
        <v/>
      </c>
      <c r="I11">
        <f>INDEX(Lots_Data!$C$2:$C$234,MATCH($A11,Lots_Data!$A$2:$A$234,0))</f>
        <v/>
      </c>
    </row>
    <row r="12">
      <c r="A12" t="inlineStr">
        <is>
          <t>HOSP-1|SS-01029</t>
        </is>
      </c>
      <c r="B12">
        <f>INDEX(Lots_Data!$E$2:$E$234,MATCH($A12,Lots_Data!$A$2:$A$234,0))</f>
        <v/>
      </c>
      <c r="C12">
        <f>INDEX(Lots_Data!$A$2:$A$234,MATCH($A12,Lots_Data!$A$2:$A$234,0))</f>
        <v/>
      </c>
      <c r="D12" t="inlineStr">
        <is>
          <t>B</t>
        </is>
      </c>
      <c r="E12">
        <f>INDEX(Usage_Summary!$B$4:$B$236,MATCH($C12,Usage_Summary!$A$4:$A$236,0))*INDEX(Lots_Data!$G$2:$G$234,MATCH($A12,Lots_Data!$A$2:$A$234,0))</f>
        <v/>
      </c>
      <c r="F12">
        <f>INDEX(Lots_Data!$G$2:$G$234,MATCH($A12,Lots_Data!$A$2:$A$234,0))</f>
        <v/>
      </c>
      <c r="G12">
        <f>INDEX(Usage_Summary!$B$4:$B$236,MATCH($C12,Usage_Summary!$A$4:$A$236,0))</f>
        <v/>
      </c>
      <c r="H12">
        <f>INDEX(Lots_Data!$D$2:$D$234,MATCH($A12,Lots_Data!$A$2:$A$234,0))</f>
        <v/>
      </c>
      <c r="I12">
        <f>INDEX(Lots_Data!$C$2:$C$234,MATCH($A12,Lots_Data!$A$2:$A$234,0))</f>
        <v/>
      </c>
    </row>
    <row r="13">
      <c r="A13" t="inlineStr">
        <is>
          <t>HOSP-1|SS-01033</t>
        </is>
      </c>
      <c r="B13">
        <f>INDEX(Lots_Data!$E$2:$E$234,MATCH($A13,Lots_Data!$A$2:$A$234,0))</f>
        <v/>
      </c>
      <c r="C13">
        <f>INDEX(Lots_Data!$A$2:$A$234,MATCH($A13,Lots_Data!$A$2:$A$234,0))</f>
        <v/>
      </c>
      <c r="D13" t="inlineStr">
        <is>
          <t>A</t>
        </is>
      </c>
      <c r="E13">
        <f>INDEX(Usage_Summary!$B$4:$B$236,MATCH($C13,Usage_Summary!$A$4:$A$236,0))*INDEX(Lots_Data!$G$2:$G$234,MATCH($A13,Lots_Data!$A$2:$A$234,0))</f>
        <v/>
      </c>
      <c r="F13">
        <f>INDEX(Lots_Data!$G$2:$G$234,MATCH($A13,Lots_Data!$A$2:$A$234,0))</f>
        <v/>
      </c>
      <c r="G13">
        <f>INDEX(Usage_Summary!$B$4:$B$236,MATCH($C13,Usage_Summary!$A$4:$A$236,0))</f>
        <v/>
      </c>
      <c r="H13">
        <f>INDEX(Lots_Data!$D$2:$D$234,MATCH($A13,Lots_Data!$A$2:$A$234,0))</f>
        <v/>
      </c>
      <c r="I13">
        <f>INDEX(Lots_Data!$C$2:$C$234,MATCH($A13,Lots_Data!$A$2:$A$234,0))</f>
        <v/>
      </c>
    </row>
    <row r="14">
      <c r="A14" t="inlineStr">
        <is>
          <t>HOSP-1|SS-01037</t>
        </is>
      </c>
      <c r="B14">
        <f>INDEX(Lots_Data!$E$2:$E$234,MATCH($A14,Lots_Data!$A$2:$A$234,0))</f>
        <v/>
      </c>
      <c r="C14">
        <f>INDEX(Lots_Data!$A$2:$A$234,MATCH($A14,Lots_Data!$A$2:$A$234,0))</f>
        <v/>
      </c>
      <c r="D14" t="inlineStr">
        <is>
          <t>A</t>
        </is>
      </c>
      <c r="E14">
        <f>INDEX(Usage_Summary!$B$4:$B$236,MATCH($C14,Usage_Summary!$A$4:$A$236,0))*INDEX(Lots_Data!$G$2:$G$234,MATCH($A14,Lots_Data!$A$2:$A$234,0))</f>
        <v/>
      </c>
      <c r="F14">
        <f>INDEX(Lots_Data!$G$2:$G$234,MATCH($A14,Lots_Data!$A$2:$A$234,0))</f>
        <v/>
      </c>
      <c r="G14">
        <f>INDEX(Usage_Summary!$B$4:$B$236,MATCH($C14,Usage_Summary!$A$4:$A$236,0))</f>
        <v/>
      </c>
      <c r="H14">
        <f>INDEX(Lots_Data!$D$2:$D$234,MATCH($A14,Lots_Data!$A$2:$A$234,0))</f>
        <v/>
      </c>
      <c r="I14">
        <f>INDEX(Lots_Data!$C$2:$C$234,MATCH($A14,Lots_Data!$A$2:$A$234,0))</f>
        <v/>
      </c>
    </row>
    <row r="15">
      <c r="A15" t="inlineStr">
        <is>
          <t>HOSP-1|SS-01041</t>
        </is>
      </c>
      <c r="B15">
        <f>INDEX(Lots_Data!$E$2:$E$234,MATCH($A15,Lots_Data!$A$2:$A$234,0))</f>
        <v/>
      </c>
      <c r="C15">
        <f>INDEX(Lots_Data!$A$2:$A$234,MATCH($A15,Lots_Data!$A$2:$A$234,0))</f>
        <v/>
      </c>
      <c r="D15" t="inlineStr">
        <is>
          <t>A</t>
        </is>
      </c>
      <c r="E15">
        <f>INDEX(Usage_Summary!$B$4:$B$236,MATCH($C15,Usage_Summary!$A$4:$A$236,0))*INDEX(Lots_Data!$G$2:$G$234,MATCH($A15,Lots_Data!$A$2:$A$234,0))</f>
        <v/>
      </c>
      <c r="F15">
        <f>INDEX(Lots_Data!$G$2:$G$234,MATCH($A15,Lots_Data!$A$2:$A$234,0))</f>
        <v/>
      </c>
      <c r="G15">
        <f>INDEX(Usage_Summary!$B$4:$B$236,MATCH($C15,Usage_Summary!$A$4:$A$236,0))</f>
        <v/>
      </c>
      <c r="H15">
        <f>INDEX(Lots_Data!$D$2:$D$234,MATCH($A15,Lots_Data!$A$2:$A$234,0))</f>
        <v/>
      </c>
      <c r="I15">
        <f>INDEX(Lots_Data!$C$2:$C$234,MATCH($A15,Lots_Data!$A$2:$A$234,0))</f>
        <v/>
      </c>
    </row>
    <row r="16">
      <c r="A16" t="inlineStr">
        <is>
          <t>HOSP-1|SS-01045</t>
        </is>
      </c>
      <c r="B16">
        <f>INDEX(Lots_Data!$E$2:$E$234,MATCH($A16,Lots_Data!$A$2:$A$234,0))</f>
        <v/>
      </c>
      <c r="C16">
        <f>INDEX(Lots_Data!$A$2:$A$234,MATCH($A16,Lots_Data!$A$2:$A$234,0))</f>
        <v/>
      </c>
      <c r="D16" t="inlineStr">
        <is>
          <t>A</t>
        </is>
      </c>
      <c r="E16">
        <f>INDEX(Usage_Summary!$B$4:$B$236,MATCH($C16,Usage_Summary!$A$4:$A$236,0))*INDEX(Lots_Data!$G$2:$G$234,MATCH($A16,Lots_Data!$A$2:$A$234,0))</f>
        <v/>
      </c>
      <c r="F16">
        <f>INDEX(Lots_Data!$G$2:$G$234,MATCH($A16,Lots_Data!$A$2:$A$234,0))</f>
        <v/>
      </c>
      <c r="G16">
        <f>INDEX(Usage_Summary!$B$4:$B$236,MATCH($C16,Usage_Summary!$A$4:$A$236,0))</f>
        <v/>
      </c>
      <c r="H16">
        <f>INDEX(Lots_Data!$D$2:$D$234,MATCH($A16,Lots_Data!$A$2:$A$234,0))</f>
        <v/>
      </c>
      <c r="I16">
        <f>INDEX(Lots_Data!$C$2:$C$234,MATCH($A16,Lots_Data!$A$2:$A$234,0))</f>
        <v/>
      </c>
    </row>
    <row r="17">
      <c r="A17" t="inlineStr">
        <is>
          <t>HOSP-1|SS-01049</t>
        </is>
      </c>
      <c r="B17">
        <f>INDEX(Lots_Data!$E$2:$E$234,MATCH($A17,Lots_Data!$A$2:$A$234,0))</f>
        <v/>
      </c>
      <c r="C17">
        <f>INDEX(Lots_Data!$A$2:$A$234,MATCH($A17,Lots_Data!$A$2:$A$234,0))</f>
        <v/>
      </c>
      <c r="D17" t="inlineStr">
        <is>
          <t>A</t>
        </is>
      </c>
      <c r="E17">
        <f>INDEX(Usage_Summary!$B$4:$B$236,MATCH($C17,Usage_Summary!$A$4:$A$236,0))*INDEX(Lots_Data!$G$2:$G$234,MATCH($A17,Lots_Data!$A$2:$A$234,0))</f>
        <v/>
      </c>
      <c r="F17">
        <f>INDEX(Lots_Data!$G$2:$G$234,MATCH($A17,Lots_Data!$A$2:$A$234,0))</f>
        <v/>
      </c>
      <c r="G17">
        <f>INDEX(Usage_Summary!$B$4:$B$236,MATCH($C17,Usage_Summary!$A$4:$A$236,0))</f>
        <v/>
      </c>
      <c r="H17">
        <f>INDEX(Lots_Data!$D$2:$D$234,MATCH($A17,Lots_Data!$A$2:$A$234,0))</f>
        <v/>
      </c>
      <c r="I17">
        <f>INDEX(Lots_Data!$C$2:$C$234,MATCH($A17,Lots_Data!$A$2:$A$234,0))</f>
        <v/>
      </c>
    </row>
    <row r="18">
      <c r="A18" t="inlineStr">
        <is>
          <t>HOSP-1|SS-01053</t>
        </is>
      </c>
      <c r="B18">
        <f>INDEX(Lots_Data!$E$2:$E$234,MATCH($A18,Lots_Data!$A$2:$A$234,0))</f>
        <v/>
      </c>
      <c r="C18">
        <f>INDEX(Lots_Data!$A$2:$A$234,MATCH($A18,Lots_Data!$A$2:$A$234,0))</f>
        <v/>
      </c>
      <c r="D18" t="inlineStr">
        <is>
          <t>B</t>
        </is>
      </c>
      <c r="E18">
        <f>INDEX(Usage_Summary!$B$4:$B$236,MATCH($C18,Usage_Summary!$A$4:$A$236,0))*INDEX(Lots_Data!$G$2:$G$234,MATCH($A18,Lots_Data!$A$2:$A$234,0))</f>
        <v/>
      </c>
      <c r="F18">
        <f>INDEX(Lots_Data!$G$2:$G$234,MATCH($A18,Lots_Data!$A$2:$A$234,0))</f>
        <v/>
      </c>
      <c r="G18">
        <f>INDEX(Usage_Summary!$B$4:$B$236,MATCH($C18,Usage_Summary!$A$4:$A$236,0))</f>
        <v/>
      </c>
      <c r="H18">
        <f>INDEX(Lots_Data!$D$2:$D$234,MATCH($A18,Lots_Data!$A$2:$A$234,0))</f>
        <v/>
      </c>
      <c r="I18">
        <f>INDEX(Lots_Data!$C$2:$C$234,MATCH($A18,Lots_Data!$A$2:$A$234,0))</f>
        <v/>
      </c>
    </row>
    <row r="19">
      <c r="A19" t="inlineStr">
        <is>
          <t>HOSP-1|SS-01057</t>
        </is>
      </c>
      <c r="B19">
        <f>INDEX(Lots_Data!$E$2:$E$234,MATCH($A19,Lots_Data!$A$2:$A$234,0))</f>
        <v/>
      </c>
      <c r="C19">
        <f>INDEX(Lots_Data!$A$2:$A$234,MATCH($A19,Lots_Data!$A$2:$A$234,0))</f>
        <v/>
      </c>
      <c r="D19" t="inlineStr">
        <is>
          <t>A</t>
        </is>
      </c>
      <c r="E19">
        <f>INDEX(Usage_Summary!$B$4:$B$236,MATCH($C19,Usage_Summary!$A$4:$A$236,0))*INDEX(Lots_Data!$G$2:$G$234,MATCH($A19,Lots_Data!$A$2:$A$234,0))</f>
        <v/>
      </c>
      <c r="F19">
        <f>INDEX(Lots_Data!$G$2:$G$234,MATCH($A19,Lots_Data!$A$2:$A$234,0))</f>
        <v/>
      </c>
      <c r="G19">
        <f>INDEX(Usage_Summary!$B$4:$B$236,MATCH($C19,Usage_Summary!$A$4:$A$236,0))</f>
        <v/>
      </c>
      <c r="H19">
        <f>INDEX(Lots_Data!$D$2:$D$234,MATCH($A19,Lots_Data!$A$2:$A$234,0))</f>
        <v/>
      </c>
      <c r="I19">
        <f>INDEX(Lots_Data!$C$2:$C$234,MATCH($A19,Lots_Data!$A$2:$A$234,0))</f>
        <v/>
      </c>
    </row>
    <row r="20">
      <c r="A20" t="inlineStr">
        <is>
          <t>HOSP-1|SS-01061</t>
        </is>
      </c>
      <c r="B20">
        <f>INDEX(Lots_Data!$E$2:$E$234,MATCH($A20,Lots_Data!$A$2:$A$234,0))</f>
        <v/>
      </c>
      <c r="C20">
        <f>INDEX(Lots_Data!$A$2:$A$234,MATCH($A20,Lots_Data!$A$2:$A$234,0))</f>
        <v/>
      </c>
      <c r="D20" t="inlineStr">
        <is>
          <t>A</t>
        </is>
      </c>
      <c r="E20">
        <f>INDEX(Usage_Summary!$B$4:$B$236,MATCH($C20,Usage_Summary!$A$4:$A$236,0))*INDEX(Lots_Data!$G$2:$G$234,MATCH($A20,Lots_Data!$A$2:$A$234,0))</f>
        <v/>
      </c>
      <c r="F20">
        <f>INDEX(Lots_Data!$G$2:$G$234,MATCH($A20,Lots_Data!$A$2:$A$234,0))</f>
        <v/>
      </c>
      <c r="G20">
        <f>INDEX(Usage_Summary!$B$4:$B$236,MATCH($C20,Usage_Summary!$A$4:$A$236,0))</f>
        <v/>
      </c>
      <c r="H20">
        <f>INDEX(Lots_Data!$D$2:$D$234,MATCH($A20,Lots_Data!$A$2:$A$234,0))</f>
        <v/>
      </c>
      <c r="I20">
        <f>INDEX(Lots_Data!$C$2:$C$234,MATCH($A20,Lots_Data!$A$2:$A$234,0))</f>
        <v/>
      </c>
    </row>
    <row r="21">
      <c r="A21" t="inlineStr">
        <is>
          <t>HOSP-1|SS-01065</t>
        </is>
      </c>
      <c r="B21">
        <f>INDEX(Lots_Data!$E$2:$E$234,MATCH($A21,Lots_Data!$A$2:$A$234,0))</f>
        <v/>
      </c>
      <c r="C21">
        <f>INDEX(Lots_Data!$A$2:$A$234,MATCH($A21,Lots_Data!$A$2:$A$234,0))</f>
        <v/>
      </c>
      <c r="D21" t="inlineStr">
        <is>
          <t>A</t>
        </is>
      </c>
      <c r="E21">
        <f>INDEX(Usage_Summary!$B$4:$B$236,MATCH($C21,Usage_Summary!$A$4:$A$236,0))*INDEX(Lots_Data!$G$2:$G$234,MATCH($A21,Lots_Data!$A$2:$A$234,0))</f>
        <v/>
      </c>
      <c r="F21">
        <f>INDEX(Lots_Data!$G$2:$G$234,MATCH($A21,Lots_Data!$A$2:$A$234,0))</f>
        <v/>
      </c>
      <c r="G21">
        <f>INDEX(Usage_Summary!$B$4:$B$236,MATCH($C21,Usage_Summary!$A$4:$A$236,0))</f>
        <v/>
      </c>
      <c r="H21">
        <f>INDEX(Lots_Data!$D$2:$D$234,MATCH($A21,Lots_Data!$A$2:$A$234,0))</f>
        <v/>
      </c>
      <c r="I21">
        <f>INDEX(Lots_Data!$C$2:$C$234,MATCH($A21,Lots_Data!$A$2:$A$234,0))</f>
        <v/>
      </c>
    </row>
    <row r="22">
      <c r="A22" t="inlineStr">
        <is>
          <t>HOSP-1|SS-01069</t>
        </is>
      </c>
      <c r="B22">
        <f>INDEX(Lots_Data!$E$2:$E$234,MATCH($A22,Lots_Data!$A$2:$A$234,0))</f>
        <v/>
      </c>
      <c r="C22">
        <f>INDEX(Lots_Data!$A$2:$A$234,MATCH($A22,Lots_Data!$A$2:$A$234,0))</f>
        <v/>
      </c>
      <c r="D22" t="inlineStr">
        <is>
          <t>B</t>
        </is>
      </c>
      <c r="E22">
        <f>INDEX(Usage_Summary!$B$4:$B$236,MATCH($C22,Usage_Summary!$A$4:$A$236,0))*INDEX(Lots_Data!$G$2:$G$234,MATCH($A22,Lots_Data!$A$2:$A$234,0))</f>
        <v/>
      </c>
      <c r="F22">
        <f>INDEX(Lots_Data!$G$2:$G$234,MATCH($A22,Lots_Data!$A$2:$A$234,0))</f>
        <v/>
      </c>
      <c r="G22">
        <f>INDEX(Usage_Summary!$B$4:$B$236,MATCH($C22,Usage_Summary!$A$4:$A$236,0))</f>
        <v/>
      </c>
      <c r="H22">
        <f>INDEX(Lots_Data!$D$2:$D$234,MATCH($A22,Lots_Data!$A$2:$A$234,0))</f>
        <v/>
      </c>
      <c r="I22">
        <f>INDEX(Lots_Data!$C$2:$C$234,MATCH($A22,Lots_Data!$A$2:$A$234,0))</f>
        <v/>
      </c>
    </row>
    <row r="23">
      <c r="A23" t="inlineStr">
        <is>
          <t>HOSP-1|SS-01073</t>
        </is>
      </c>
      <c r="B23">
        <f>INDEX(Lots_Data!$E$2:$E$234,MATCH($A23,Lots_Data!$A$2:$A$234,0))</f>
        <v/>
      </c>
      <c r="C23">
        <f>INDEX(Lots_Data!$A$2:$A$234,MATCH($A23,Lots_Data!$A$2:$A$234,0))</f>
        <v/>
      </c>
      <c r="D23" t="inlineStr">
        <is>
          <t>B</t>
        </is>
      </c>
      <c r="E23">
        <f>INDEX(Usage_Summary!$B$4:$B$236,MATCH($C23,Usage_Summary!$A$4:$A$236,0))*INDEX(Lots_Data!$G$2:$G$234,MATCH($A23,Lots_Data!$A$2:$A$234,0))</f>
        <v/>
      </c>
      <c r="F23">
        <f>INDEX(Lots_Data!$G$2:$G$234,MATCH($A23,Lots_Data!$A$2:$A$234,0))</f>
        <v/>
      </c>
      <c r="G23">
        <f>INDEX(Usage_Summary!$B$4:$B$236,MATCH($C23,Usage_Summary!$A$4:$A$236,0))</f>
        <v/>
      </c>
      <c r="H23">
        <f>INDEX(Lots_Data!$D$2:$D$234,MATCH($A23,Lots_Data!$A$2:$A$234,0))</f>
        <v/>
      </c>
      <c r="I23">
        <f>INDEX(Lots_Data!$C$2:$C$234,MATCH($A23,Lots_Data!$A$2:$A$234,0))</f>
        <v/>
      </c>
    </row>
    <row r="24">
      <c r="A24" t="inlineStr">
        <is>
          <t>HOSP-1|SS-01077</t>
        </is>
      </c>
      <c r="B24">
        <f>INDEX(Lots_Data!$E$2:$E$234,MATCH($A24,Lots_Data!$A$2:$A$234,0))</f>
        <v/>
      </c>
      <c r="C24">
        <f>INDEX(Lots_Data!$A$2:$A$234,MATCH($A24,Lots_Data!$A$2:$A$234,0))</f>
        <v/>
      </c>
      <c r="D24" t="inlineStr">
        <is>
          <t>A</t>
        </is>
      </c>
      <c r="E24">
        <f>INDEX(Usage_Summary!$B$4:$B$236,MATCH($C24,Usage_Summary!$A$4:$A$236,0))*INDEX(Lots_Data!$G$2:$G$234,MATCH($A24,Lots_Data!$A$2:$A$234,0))</f>
        <v/>
      </c>
      <c r="F24">
        <f>INDEX(Lots_Data!$G$2:$G$234,MATCH($A24,Lots_Data!$A$2:$A$234,0))</f>
        <v/>
      </c>
      <c r="G24">
        <f>INDEX(Usage_Summary!$B$4:$B$236,MATCH($C24,Usage_Summary!$A$4:$A$236,0))</f>
        <v/>
      </c>
      <c r="H24">
        <f>INDEX(Lots_Data!$D$2:$D$234,MATCH($A24,Lots_Data!$A$2:$A$234,0))</f>
        <v/>
      </c>
      <c r="I24">
        <f>INDEX(Lots_Data!$C$2:$C$234,MATCH($A24,Lots_Data!$A$2:$A$234,0))</f>
        <v/>
      </c>
    </row>
    <row r="25">
      <c r="A25" t="inlineStr">
        <is>
          <t>HOSP-1|SS-01081</t>
        </is>
      </c>
      <c r="B25">
        <f>INDEX(Lots_Data!$E$2:$E$234,MATCH($A25,Lots_Data!$A$2:$A$234,0))</f>
        <v/>
      </c>
      <c r="C25">
        <f>INDEX(Lots_Data!$A$2:$A$234,MATCH($A25,Lots_Data!$A$2:$A$234,0))</f>
        <v/>
      </c>
      <c r="D25" t="inlineStr">
        <is>
          <t>A</t>
        </is>
      </c>
      <c r="E25">
        <f>INDEX(Usage_Summary!$B$4:$B$236,MATCH($C25,Usage_Summary!$A$4:$A$236,0))*INDEX(Lots_Data!$G$2:$G$234,MATCH($A25,Lots_Data!$A$2:$A$234,0))</f>
        <v/>
      </c>
      <c r="F25">
        <f>INDEX(Lots_Data!$G$2:$G$234,MATCH($A25,Lots_Data!$A$2:$A$234,0))</f>
        <v/>
      </c>
      <c r="G25">
        <f>INDEX(Usage_Summary!$B$4:$B$236,MATCH($C25,Usage_Summary!$A$4:$A$236,0))</f>
        <v/>
      </c>
      <c r="H25">
        <f>INDEX(Lots_Data!$D$2:$D$234,MATCH($A25,Lots_Data!$A$2:$A$234,0))</f>
        <v/>
      </c>
      <c r="I25">
        <f>INDEX(Lots_Data!$C$2:$C$234,MATCH($A25,Lots_Data!$A$2:$A$234,0))</f>
        <v/>
      </c>
    </row>
    <row r="26">
      <c r="A26" t="inlineStr">
        <is>
          <t>HOSP-1|SS-01085</t>
        </is>
      </c>
      <c r="B26">
        <f>INDEX(Lots_Data!$E$2:$E$234,MATCH($A26,Lots_Data!$A$2:$A$234,0))</f>
        <v/>
      </c>
      <c r="C26">
        <f>INDEX(Lots_Data!$A$2:$A$234,MATCH($A26,Lots_Data!$A$2:$A$234,0))</f>
        <v/>
      </c>
      <c r="D26" t="inlineStr">
        <is>
          <t>C</t>
        </is>
      </c>
      <c r="E26">
        <f>INDEX(Usage_Summary!$B$4:$B$236,MATCH($C26,Usage_Summary!$A$4:$A$236,0))*INDEX(Lots_Data!$G$2:$G$234,MATCH($A26,Lots_Data!$A$2:$A$234,0))</f>
        <v/>
      </c>
      <c r="F26">
        <f>INDEX(Lots_Data!$G$2:$G$234,MATCH($A26,Lots_Data!$A$2:$A$234,0))</f>
        <v/>
      </c>
      <c r="G26">
        <f>INDEX(Usage_Summary!$B$4:$B$236,MATCH($C26,Usage_Summary!$A$4:$A$236,0))</f>
        <v/>
      </c>
      <c r="H26">
        <f>INDEX(Lots_Data!$D$2:$D$234,MATCH($A26,Lots_Data!$A$2:$A$234,0))</f>
        <v/>
      </c>
      <c r="I26">
        <f>INDEX(Lots_Data!$C$2:$C$234,MATCH($A26,Lots_Data!$A$2:$A$234,0))</f>
        <v/>
      </c>
    </row>
    <row r="27">
      <c r="A27" t="inlineStr">
        <is>
          <t>HOSP-1|SS-01089</t>
        </is>
      </c>
      <c r="B27">
        <f>INDEX(Lots_Data!$E$2:$E$234,MATCH($A27,Lots_Data!$A$2:$A$234,0))</f>
        <v/>
      </c>
      <c r="C27">
        <f>INDEX(Lots_Data!$A$2:$A$234,MATCH($A27,Lots_Data!$A$2:$A$234,0))</f>
        <v/>
      </c>
      <c r="D27" t="inlineStr">
        <is>
          <t>A</t>
        </is>
      </c>
      <c r="E27">
        <f>INDEX(Usage_Summary!$B$4:$B$236,MATCH($C27,Usage_Summary!$A$4:$A$236,0))*INDEX(Lots_Data!$G$2:$G$234,MATCH($A27,Lots_Data!$A$2:$A$234,0))</f>
        <v/>
      </c>
      <c r="F27">
        <f>INDEX(Lots_Data!$G$2:$G$234,MATCH($A27,Lots_Data!$A$2:$A$234,0))</f>
        <v/>
      </c>
      <c r="G27">
        <f>INDEX(Usage_Summary!$B$4:$B$236,MATCH($C27,Usage_Summary!$A$4:$A$236,0))</f>
        <v/>
      </c>
      <c r="H27">
        <f>INDEX(Lots_Data!$D$2:$D$234,MATCH($A27,Lots_Data!$A$2:$A$234,0))</f>
        <v/>
      </c>
      <c r="I27">
        <f>INDEX(Lots_Data!$C$2:$C$234,MATCH($A27,Lots_Data!$A$2:$A$234,0))</f>
        <v/>
      </c>
    </row>
    <row r="28">
      <c r="A28" t="inlineStr">
        <is>
          <t>HOSP-1|SS-01093</t>
        </is>
      </c>
      <c r="B28">
        <f>INDEX(Lots_Data!$E$2:$E$234,MATCH($A28,Lots_Data!$A$2:$A$234,0))</f>
        <v/>
      </c>
      <c r="C28">
        <f>INDEX(Lots_Data!$A$2:$A$234,MATCH($A28,Lots_Data!$A$2:$A$234,0))</f>
        <v/>
      </c>
      <c r="D28" t="inlineStr">
        <is>
          <t>C</t>
        </is>
      </c>
      <c r="E28">
        <f>INDEX(Usage_Summary!$B$4:$B$236,MATCH($C28,Usage_Summary!$A$4:$A$236,0))*INDEX(Lots_Data!$G$2:$G$234,MATCH($A28,Lots_Data!$A$2:$A$234,0))</f>
        <v/>
      </c>
      <c r="F28">
        <f>INDEX(Lots_Data!$G$2:$G$234,MATCH($A28,Lots_Data!$A$2:$A$234,0))</f>
        <v/>
      </c>
      <c r="G28">
        <f>INDEX(Usage_Summary!$B$4:$B$236,MATCH($C28,Usage_Summary!$A$4:$A$236,0))</f>
        <v/>
      </c>
      <c r="H28">
        <f>INDEX(Lots_Data!$D$2:$D$234,MATCH($A28,Lots_Data!$A$2:$A$234,0))</f>
        <v/>
      </c>
      <c r="I28">
        <f>INDEX(Lots_Data!$C$2:$C$234,MATCH($A28,Lots_Data!$A$2:$A$234,0))</f>
        <v/>
      </c>
    </row>
    <row r="29">
      <c r="A29" t="inlineStr">
        <is>
          <t>HOSP-1|SS-01097</t>
        </is>
      </c>
      <c r="B29">
        <f>INDEX(Lots_Data!$E$2:$E$234,MATCH($A29,Lots_Data!$A$2:$A$234,0))</f>
        <v/>
      </c>
      <c r="C29">
        <f>INDEX(Lots_Data!$A$2:$A$234,MATCH($A29,Lots_Data!$A$2:$A$234,0))</f>
        <v/>
      </c>
      <c r="D29" t="inlineStr">
        <is>
          <t>C</t>
        </is>
      </c>
      <c r="E29">
        <f>INDEX(Usage_Summary!$B$4:$B$236,MATCH($C29,Usage_Summary!$A$4:$A$236,0))*INDEX(Lots_Data!$G$2:$G$234,MATCH($A29,Lots_Data!$A$2:$A$234,0))</f>
        <v/>
      </c>
      <c r="F29">
        <f>INDEX(Lots_Data!$G$2:$G$234,MATCH($A29,Lots_Data!$A$2:$A$234,0))</f>
        <v/>
      </c>
      <c r="G29">
        <f>INDEX(Usage_Summary!$B$4:$B$236,MATCH($C29,Usage_Summary!$A$4:$A$236,0))</f>
        <v/>
      </c>
      <c r="H29">
        <f>INDEX(Lots_Data!$D$2:$D$234,MATCH($A29,Lots_Data!$A$2:$A$234,0))</f>
        <v/>
      </c>
      <c r="I29">
        <f>INDEX(Lots_Data!$C$2:$C$234,MATCH($A29,Lots_Data!$A$2:$A$234,0))</f>
        <v/>
      </c>
    </row>
    <row r="30">
      <c r="A30" t="inlineStr">
        <is>
          <t>HOSP-1|SS-01101</t>
        </is>
      </c>
      <c r="B30">
        <f>INDEX(Lots_Data!$E$2:$E$234,MATCH($A30,Lots_Data!$A$2:$A$234,0))</f>
        <v/>
      </c>
      <c r="C30">
        <f>INDEX(Lots_Data!$A$2:$A$234,MATCH($A30,Lots_Data!$A$2:$A$234,0))</f>
        <v/>
      </c>
      <c r="D30" t="inlineStr">
        <is>
          <t>C</t>
        </is>
      </c>
      <c r="E30">
        <f>INDEX(Usage_Summary!$B$4:$B$236,MATCH($C30,Usage_Summary!$A$4:$A$236,0))*INDEX(Lots_Data!$G$2:$G$234,MATCH($A30,Lots_Data!$A$2:$A$234,0))</f>
        <v/>
      </c>
      <c r="F30">
        <f>INDEX(Lots_Data!$G$2:$G$234,MATCH($A30,Lots_Data!$A$2:$A$234,0))</f>
        <v/>
      </c>
      <c r="G30">
        <f>INDEX(Usage_Summary!$B$4:$B$236,MATCH($C30,Usage_Summary!$A$4:$A$236,0))</f>
        <v/>
      </c>
      <c r="H30">
        <f>INDEX(Lots_Data!$D$2:$D$234,MATCH($A30,Lots_Data!$A$2:$A$234,0))</f>
        <v/>
      </c>
      <c r="I30">
        <f>INDEX(Lots_Data!$C$2:$C$234,MATCH($A30,Lots_Data!$A$2:$A$234,0))</f>
        <v/>
      </c>
    </row>
    <row r="31">
      <c r="A31" t="inlineStr">
        <is>
          <t>HOSP-1|SS-01105</t>
        </is>
      </c>
      <c r="B31">
        <f>INDEX(Lots_Data!$E$2:$E$234,MATCH($A31,Lots_Data!$A$2:$A$234,0))</f>
        <v/>
      </c>
      <c r="C31">
        <f>INDEX(Lots_Data!$A$2:$A$234,MATCH($A31,Lots_Data!$A$2:$A$234,0))</f>
        <v/>
      </c>
      <c r="D31" t="inlineStr">
        <is>
          <t>C</t>
        </is>
      </c>
      <c r="E31">
        <f>INDEX(Usage_Summary!$B$4:$B$236,MATCH($C31,Usage_Summary!$A$4:$A$236,0))*INDEX(Lots_Data!$G$2:$G$234,MATCH($A31,Lots_Data!$A$2:$A$234,0))</f>
        <v/>
      </c>
      <c r="F31">
        <f>INDEX(Lots_Data!$G$2:$G$234,MATCH($A31,Lots_Data!$A$2:$A$234,0))</f>
        <v/>
      </c>
      <c r="G31">
        <f>INDEX(Usage_Summary!$B$4:$B$236,MATCH($C31,Usage_Summary!$A$4:$A$236,0))</f>
        <v/>
      </c>
      <c r="H31">
        <f>INDEX(Lots_Data!$D$2:$D$234,MATCH($A31,Lots_Data!$A$2:$A$234,0))</f>
        <v/>
      </c>
      <c r="I31">
        <f>INDEX(Lots_Data!$C$2:$C$234,MATCH($A31,Lots_Data!$A$2:$A$234,0))</f>
        <v/>
      </c>
    </row>
    <row r="32">
      <c r="A32" t="inlineStr">
        <is>
          <t>HOSP-1|SS-01109</t>
        </is>
      </c>
      <c r="B32">
        <f>INDEX(Lots_Data!$E$2:$E$234,MATCH($A32,Lots_Data!$A$2:$A$234,0))</f>
        <v/>
      </c>
      <c r="C32">
        <f>INDEX(Lots_Data!$A$2:$A$234,MATCH($A32,Lots_Data!$A$2:$A$234,0))</f>
        <v/>
      </c>
      <c r="D32" t="inlineStr">
        <is>
          <t>C</t>
        </is>
      </c>
      <c r="E32">
        <f>INDEX(Usage_Summary!$B$4:$B$236,MATCH($C32,Usage_Summary!$A$4:$A$236,0))*INDEX(Lots_Data!$G$2:$G$234,MATCH($A32,Lots_Data!$A$2:$A$234,0))</f>
        <v/>
      </c>
      <c r="F32">
        <f>INDEX(Lots_Data!$G$2:$G$234,MATCH($A32,Lots_Data!$A$2:$A$234,0))</f>
        <v/>
      </c>
      <c r="G32">
        <f>INDEX(Usage_Summary!$B$4:$B$236,MATCH($C32,Usage_Summary!$A$4:$A$236,0))</f>
        <v/>
      </c>
      <c r="H32">
        <f>INDEX(Lots_Data!$D$2:$D$234,MATCH($A32,Lots_Data!$A$2:$A$234,0))</f>
        <v/>
      </c>
      <c r="I32">
        <f>INDEX(Lots_Data!$C$2:$C$234,MATCH($A32,Lots_Data!$A$2:$A$234,0))</f>
        <v/>
      </c>
    </row>
    <row r="33">
      <c r="A33" t="inlineStr">
        <is>
          <t>HOSP-1|SS-01113</t>
        </is>
      </c>
      <c r="B33">
        <f>INDEX(Lots_Data!$E$2:$E$234,MATCH($A33,Lots_Data!$A$2:$A$234,0))</f>
        <v/>
      </c>
      <c r="C33">
        <f>INDEX(Lots_Data!$A$2:$A$234,MATCH($A33,Lots_Data!$A$2:$A$234,0))</f>
        <v/>
      </c>
      <c r="D33" t="inlineStr">
        <is>
          <t>B</t>
        </is>
      </c>
      <c r="E33">
        <f>INDEX(Usage_Summary!$B$4:$B$236,MATCH($C33,Usage_Summary!$A$4:$A$236,0))*INDEX(Lots_Data!$G$2:$G$234,MATCH($A33,Lots_Data!$A$2:$A$234,0))</f>
        <v/>
      </c>
      <c r="F33">
        <f>INDEX(Lots_Data!$G$2:$G$234,MATCH($A33,Lots_Data!$A$2:$A$234,0))</f>
        <v/>
      </c>
      <c r="G33">
        <f>INDEX(Usage_Summary!$B$4:$B$236,MATCH($C33,Usage_Summary!$A$4:$A$236,0))</f>
        <v/>
      </c>
      <c r="H33">
        <f>INDEX(Lots_Data!$D$2:$D$234,MATCH($A33,Lots_Data!$A$2:$A$234,0))</f>
        <v/>
      </c>
      <c r="I33">
        <f>INDEX(Lots_Data!$C$2:$C$234,MATCH($A33,Lots_Data!$A$2:$A$234,0))</f>
        <v/>
      </c>
    </row>
    <row r="34">
      <c r="A34" t="inlineStr">
        <is>
          <t>HOSP-1|SS-01117</t>
        </is>
      </c>
      <c r="B34">
        <f>INDEX(Lots_Data!$E$2:$E$234,MATCH($A34,Lots_Data!$A$2:$A$234,0))</f>
        <v/>
      </c>
      <c r="C34">
        <f>INDEX(Lots_Data!$A$2:$A$234,MATCH($A34,Lots_Data!$A$2:$A$234,0))</f>
        <v/>
      </c>
      <c r="D34" t="inlineStr">
        <is>
          <t>C</t>
        </is>
      </c>
      <c r="E34">
        <f>INDEX(Usage_Summary!$B$4:$B$236,MATCH($C34,Usage_Summary!$A$4:$A$236,0))*INDEX(Lots_Data!$G$2:$G$234,MATCH($A34,Lots_Data!$A$2:$A$234,0))</f>
        <v/>
      </c>
      <c r="F34">
        <f>INDEX(Lots_Data!$G$2:$G$234,MATCH($A34,Lots_Data!$A$2:$A$234,0))</f>
        <v/>
      </c>
      <c r="G34">
        <f>INDEX(Usage_Summary!$B$4:$B$236,MATCH($C34,Usage_Summary!$A$4:$A$236,0))</f>
        <v/>
      </c>
      <c r="H34">
        <f>INDEX(Lots_Data!$D$2:$D$234,MATCH($A34,Lots_Data!$A$2:$A$234,0))</f>
        <v/>
      </c>
      <c r="I34">
        <f>INDEX(Lots_Data!$C$2:$C$234,MATCH($A34,Lots_Data!$A$2:$A$234,0))</f>
        <v/>
      </c>
    </row>
    <row r="35">
      <c r="A35" t="inlineStr">
        <is>
          <t>HOSP-1|SS-01121</t>
        </is>
      </c>
      <c r="B35">
        <f>INDEX(Lots_Data!$E$2:$E$234,MATCH($A35,Lots_Data!$A$2:$A$234,0))</f>
        <v/>
      </c>
      <c r="C35">
        <f>INDEX(Lots_Data!$A$2:$A$234,MATCH($A35,Lots_Data!$A$2:$A$234,0))</f>
        <v/>
      </c>
      <c r="D35" t="inlineStr">
        <is>
          <t>C</t>
        </is>
      </c>
      <c r="E35">
        <f>INDEX(Usage_Summary!$B$4:$B$236,MATCH($C35,Usage_Summary!$A$4:$A$236,0))*INDEX(Lots_Data!$G$2:$G$234,MATCH($A35,Lots_Data!$A$2:$A$234,0))</f>
        <v/>
      </c>
      <c r="F35">
        <f>INDEX(Lots_Data!$G$2:$G$234,MATCH($A35,Lots_Data!$A$2:$A$234,0))</f>
        <v/>
      </c>
      <c r="G35">
        <f>INDEX(Usage_Summary!$B$4:$B$236,MATCH($C35,Usage_Summary!$A$4:$A$236,0))</f>
        <v/>
      </c>
      <c r="H35">
        <f>INDEX(Lots_Data!$D$2:$D$234,MATCH($A35,Lots_Data!$A$2:$A$234,0))</f>
        <v/>
      </c>
      <c r="I35">
        <f>INDEX(Lots_Data!$C$2:$C$234,MATCH($A35,Lots_Data!$A$2:$A$234,0))</f>
        <v/>
      </c>
    </row>
    <row r="36">
      <c r="A36" t="inlineStr">
        <is>
          <t>HOSP-1|SS-01125</t>
        </is>
      </c>
      <c r="B36">
        <f>INDEX(Lots_Data!$E$2:$E$234,MATCH($A36,Lots_Data!$A$2:$A$234,0))</f>
        <v/>
      </c>
      <c r="C36">
        <f>INDEX(Lots_Data!$A$2:$A$234,MATCH($A36,Lots_Data!$A$2:$A$234,0))</f>
        <v/>
      </c>
      <c r="D36" t="inlineStr">
        <is>
          <t>C</t>
        </is>
      </c>
      <c r="E36">
        <f>INDEX(Usage_Summary!$B$4:$B$236,MATCH($C36,Usage_Summary!$A$4:$A$236,0))*INDEX(Lots_Data!$G$2:$G$234,MATCH($A36,Lots_Data!$A$2:$A$234,0))</f>
        <v/>
      </c>
      <c r="F36">
        <f>INDEX(Lots_Data!$G$2:$G$234,MATCH($A36,Lots_Data!$A$2:$A$234,0))</f>
        <v/>
      </c>
      <c r="G36">
        <f>INDEX(Usage_Summary!$B$4:$B$236,MATCH($C36,Usage_Summary!$A$4:$A$236,0))</f>
        <v/>
      </c>
      <c r="H36">
        <f>INDEX(Lots_Data!$D$2:$D$234,MATCH($A36,Lots_Data!$A$2:$A$234,0))</f>
        <v/>
      </c>
      <c r="I36">
        <f>INDEX(Lots_Data!$C$2:$C$234,MATCH($A36,Lots_Data!$A$2:$A$234,0))</f>
        <v/>
      </c>
    </row>
    <row r="37">
      <c r="A37" t="inlineStr">
        <is>
          <t>HOSP-1|SS-01129</t>
        </is>
      </c>
      <c r="B37">
        <f>INDEX(Lots_Data!$E$2:$E$234,MATCH($A37,Lots_Data!$A$2:$A$234,0))</f>
        <v/>
      </c>
      <c r="C37">
        <f>INDEX(Lots_Data!$A$2:$A$234,MATCH($A37,Lots_Data!$A$2:$A$234,0))</f>
        <v/>
      </c>
      <c r="D37" t="inlineStr">
        <is>
          <t>C</t>
        </is>
      </c>
      <c r="E37">
        <f>INDEX(Usage_Summary!$B$4:$B$236,MATCH($C37,Usage_Summary!$A$4:$A$236,0))*INDEX(Lots_Data!$G$2:$G$234,MATCH($A37,Lots_Data!$A$2:$A$234,0))</f>
        <v/>
      </c>
      <c r="F37">
        <f>INDEX(Lots_Data!$G$2:$G$234,MATCH($A37,Lots_Data!$A$2:$A$234,0))</f>
        <v/>
      </c>
      <c r="G37">
        <f>INDEX(Usage_Summary!$B$4:$B$236,MATCH($C37,Usage_Summary!$A$4:$A$236,0))</f>
        <v/>
      </c>
      <c r="H37">
        <f>INDEX(Lots_Data!$D$2:$D$234,MATCH($A37,Lots_Data!$A$2:$A$234,0))</f>
        <v/>
      </c>
      <c r="I37">
        <f>INDEX(Lots_Data!$C$2:$C$234,MATCH($A37,Lots_Data!$A$2:$A$234,0))</f>
        <v/>
      </c>
    </row>
    <row r="38">
      <c r="A38" t="inlineStr">
        <is>
          <t>HOSP-1|SS-01133</t>
        </is>
      </c>
      <c r="B38">
        <f>INDEX(Lots_Data!$E$2:$E$234,MATCH($A38,Lots_Data!$A$2:$A$234,0))</f>
        <v/>
      </c>
      <c r="C38">
        <f>INDEX(Lots_Data!$A$2:$A$234,MATCH($A38,Lots_Data!$A$2:$A$234,0))</f>
        <v/>
      </c>
      <c r="D38" t="inlineStr">
        <is>
          <t>C</t>
        </is>
      </c>
      <c r="E38">
        <f>INDEX(Usage_Summary!$B$4:$B$236,MATCH($C38,Usage_Summary!$A$4:$A$236,0))*INDEX(Lots_Data!$G$2:$G$234,MATCH($A38,Lots_Data!$A$2:$A$234,0))</f>
        <v/>
      </c>
      <c r="F38">
        <f>INDEX(Lots_Data!$G$2:$G$234,MATCH($A38,Lots_Data!$A$2:$A$234,0))</f>
        <v/>
      </c>
      <c r="G38">
        <f>INDEX(Usage_Summary!$B$4:$B$236,MATCH($C38,Usage_Summary!$A$4:$A$236,0))</f>
        <v/>
      </c>
      <c r="H38">
        <f>INDEX(Lots_Data!$D$2:$D$234,MATCH($A38,Lots_Data!$A$2:$A$234,0))</f>
        <v/>
      </c>
      <c r="I38">
        <f>INDEX(Lots_Data!$C$2:$C$234,MATCH($A38,Lots_Data!$A$2:$A$234,0))</f>
        <v/>
      </c>
    </row>
    <row r="39">
      <c r="A39" t="inlineStr">
        <is>
          <t>HOSP-1|SS-01137</t>
        </is>
      </c>
      <c r="B39">
        <f>INDEX(Lots_Data!$E$2:$E$234,MATCH($A39,Lots_Data!$A$2:$A$234,0))</f>
        <v/>
      </c>
      <c r="C39">
        <f>INDEX(Lots_Data!$A$2:$A$234,MATCH($A39,Lots_Data!$A$2:$A$234,0))</f>
        <v/>
      </c>
      <c r="D39" t="inlineStr">
        <is>
          <t>A</t>
        </is>
      </c>
      <c r="E39">
        <f>INDEX(Usage_Summary!$B$4:$B$236,MATCH($C39,Usage_Summary!$A$4:$A$236,0))*INDEX(Lots_Data!$G$2:$G$234,MATCH($A39,Lots_Data!$A$2:$A$234,0))</f>
        <v/>
      </c>
      <c r="F39">
        <f>INDEX(Lots_Data!$G$2:$G$234,MATCH($A39,Lots_Data!$A$2:$A$234,0))</f>
        <v/>
      </c>
      <c r="G39">
        <f>INDEX(Usage_Summary!$B$4:$B$236,MATCH($C39,Usage_Summary!$A$4:$A$236,0))</f>
        <v/>
      </c>
      <c r="H39">
        <f>INDEX(Lots_Data!$D$2:$D$234,MATCH($A39,Lots_Data!$A$2:$A$234,0))</f>
        <v/>
      </c>
      <c r="I39">
        <f>INDEX(Lots_Data!$C$2:$C$234,MATCH($A39,Lots_Data!$A$2:$A$234,0))</f>
        <v/>
      </c>
    </row>
    <row r="40">
      <c r="A40" t="inlineStr">
        <is>
          <t>HOSP-1|SS-01141</t>
        </is>
      </c>
      <c r="B40">
        <f>INDEX(Lots_Data!$E$2:$E$234,MATCH($A40,Lots_Data!$A$2:$A$234,0))</f>
        <v/>
      </c>
      <c r="C40">
        <f>INDEX(Lots_Data!$A$2:$A$234,MATCH($A40,Lots_Data!$A$2:$A$234,0))</f>
        <v/>
      </c>
      <c r="D40" t="inlineStr">
        <is>
          <t>B</t>
        </is>
      </c>
      <c r="E40">
        <f>INDEX(Usage_Summary!$B$4:$B$236,MATCH($C40,Usage_Summary!$A$4:$A$236,0))*INDEX(Lots_Data!$G$2:$G$234,MATCH($A40,Lots_Data!$A$2:$A$234,0))</f>
        <v/>
      </c>
      <c r="F40">
        <f>INDEX(Lots_Data!$G$2:$G$234,MATCH($A40,Lots_Data!$A$2:$A$234,0))</f>
        <v/>
      </c>
      <c r="G40">
        <f>INDEX(Usage_Summary!$B$4:$B$236,MATCH($C40,Usage_Summary!$A$4:$A$236,0))</f>
        <v/>
      </c>
      <c r="H40">
        <f>INDEX(Lots_Data!$D$2:$D$234,MATCH($A40,Lots_Data!$A$2:$A$234,0))</f>
        <v/>
      </c>
      <c r="I40">
        <f>INDEX(Lots_Data!$C$2:$C$234,MATCH($A40,Lots_Data!$A$2:$A$234,0))</f>
        <v/>
      </c>
    </row>
    <row r="41">
      <c r="A41" t="inlineStr">
        <is>
          <t>HOSP-1|SS-01145</t>
        </is>
      </c>
      <c r="B41">
        <f>INDEX(Lots_Data!$E$2:$E$234,MATCH($A41,Lots_Data!$A$2:$A$234,0))</f>
        <v/>
      </c>
      <c r="C41">
        <f>INDEX(Lots_Data!$A$2:$A$234,MATCH($A41,Lots_Data!$A$2:$A$234,0))</f>
        <v/>
      </c>
      <c r="D41" t="inlineStr">
        <is>
          <t>B</t>
        </is>
      </c>
      <c r="E41">
        <f>INDEX(Usage_Summary!$B$4:$B$236,MATCH($C41,Usage_Summary!$A$4:$A$236,0))*INDEX(Lots_Data!$G$2:$G$234,MATCH($A41,Lots_Data!$A$2:$A$234,0))</f>
        <v/>
      </c>
      <c r="F41">
        <f>INDEX(Lots_Data!$G$2:$G$234,MATCH($A41,Lots_Data!$A$2:$A$234,0))</f>
        <v/>
      </c>
      <c r="G41">
        <f>INDEX(Usage_Summary!$B$4:$B$236,MATCH($C41,Usage_Summary!$A$4:$A$236,0))</f>
        <v/>
      </c>
      <c r="H41">
        <f>INDEX(Lots_Data!$D$2:$D$234,MATCH($A41,Lots_Data!$A$2:$A$234,0))</f>
        <v/>
      </c>
      <c r="I41">
        <f>INDEX(Lots_Data!$C$2:$C$234,MATCH($A41,Lots_Data!$A$2:$A$234,0))</f>
        <v/>
      </c>
    </row>
    <row r="42">
      <c r="A42" t="inlineStr">
        <is>
          <t>HOSP-1|SS-01149</t>
        </is>
      </c>
      <c r="B42">
        <f>INDEX(Lots_Data!$E$2:$E$234,MATCH($A42,Lots_Data!$A$2:$A$234,0))</f>
        <v/>
      </c>
      <c r="C42">
        <f>INDEX(Lots_Data!$A$2:$A$234,MATCH($A42,Lots_Data!$A$2:$A$234,0))</f>
        <v/>
      </c>
      <c r="D42" t="inlineStr">
        <is>
          <t>A</t>
        </is>
      </c>
      <c r="E42">
        <f>INDEX(Usage_Summary!$B$4:$B$236,MATCH($C42,Usage_Summary!$A$4:$A$236,0))*INDEX(Lots_Data!$G$2:$G$234,MATCH($A42,Lots_Data!$A$2:$A$234,0))</f>
        <v/>
      </c>
      <c r="F42">
        <f>INDEX(Lots_Data!$G$2:$G$234,MATCH($A42,Lots_Data!$A$2:$A$234,0))</f>
        <v/>
      </c>
      <c r="G42">
        <f>INDEX(Usage_Summary!$B$4:$B$236,MATCH($C42,Usage_Summary!$A$4:$A$236,0))</f>
        <v/>
      </c>
      <c r="H42">
        <f>INDEX(Lots_Data!$D$2:$D$234,MATCH($A42,Lots_Data!$A$2:$A$234,0))</f>
        <v/>
      </c>
      <c r="I42">
        <f>INDEX(Lots_Data!$C$2:$C$234,MATCH($A42,Lots_Data!$A$2:$A$234,0))</f>
        <v/>
      </c>
    </row>
    <row r="43">
      <c r="A43" t="inlineStr">
        <is>
          <t>HOSP-1|SS-01153</t>
        </is>
      </c>
      <c r="B43">
        <f>INDEX(Lots_Data!$E$2:$E$234,MATCH($A43,Lots_Data!$A$2:$A$234,0))</f>
        <v/>
      </c>
      <c r="C43">
        <f>INDEX(Lots_Data!$A$2:$A$234,MATCH($A43,Lots_Data!$A$2:$A$234,0))</f>
        <v/>
      </c>
      <c r="D43" t="inlineStr">
        <is>
          <t>A</t>
        </is>
      </c>
      <c r="E43">
        <f>INDEX(Usage_Summary!$B$4:$B$236,MATCH($C43,Usage_Summary!$A$4:$A$236,0))*INDEX(Lots_Data!$G$2:$G$234,MATCH($A43,Lots_Data!$A$2:$A$234,0))</f>
        <v/>
      </c>
      <c r="F43">
        <f>INDEX(Lots_Data!$G$2:$G$234,MATCH($A43,Lots_Data!$A$2:$A$234,0))</f>
        <v/>
      </c>
      <c r="G43">
        <f>INDEX(Usage_Summary!$B$4:$B$236,MATCH($C43,Usage_Summary!$A$4:$A$236,0))</f>
        <v/>
      </c>
      <c r="H43">
        <f>INDEX(Lots_Data!$D$2:$D$234,MATCH($A43,Lots_Data!$A$2:$A$234,0))</f>
        <v/>
      </c>
      <c r="I43">
        <f>INDEX(Lots_Data!$C$2:$C$234,MATCH($A43,Lots_Data!$A$2:$A$234,0))</f>
        <v/>
      </c>
    </row>
    <row r="44">
      <c r="A44" t="inlineStr">
        <is>
          <t>HOSP-1|SS-01157</t>
        </is>
      </c>
      <c r="B44">
        <f>INDEX(Lots_Data!$E$2:$E$234,MATCH($A44,Lots_Data!$A$2:$A$234,0))</f>
        <v/>
      </c>
      <c r="C44">
        <f>INDEX(Lots_Data!$A$2:$A$234,MATCH($A44,Lots_Data!$A$2:$A$234,0))</f>
        <v/>
      </c>
      <c r="D44" t="inlineStr">
        <is>
          <t>B</t>
        </is>
      </c>
      <c r="E44">
        <f>INDEX(Usage_Summary!$B$4:$B$236,MATCH($C44,Usage_Summary!$A$4:$A$236,0))*INDEX(Lots_Data!$G$2:$G$234,MATCH($A44,Lots_Data!$A$2:$A$234,0))</f>
        <v/>
      </c>
      <c r="F44">
        <f>INDEX(Lots_Data!$G$2:$G$234,MATCH($A44,Lots_Data!$A$2:$A$234,0))</f>
        <v/>
      </c>
      <c r="G44">
        <f>INDEX(Usage_Summary!$B$4:$B$236,MATCH($C44,Usage_Summary!$A$4:$A$236,0))</f>
        <v/>
      </c>
      <c r="H44">
        <f>INDEX(Lots_Data!$D$2:$D$234,MATCH($A44,Lots_Data!$A$2:$A$234,0))</f>
        <v/>
      </c>
      <c r="I44">
        <f>INDEX(Lots_Data!$C$2:$C$234,MATCH($A44,Lots_Data!$A$2:$A$234,0))</f>
        <v/>
      </c>
    </row>
    <row r="45">
      <c r="A45" t="inlineStr">
        <is>
          <t>HOSP-1|SS-01161</t>
        </is>
      </c>
      <c r="B45">
        <f>INDEX(Lots_Data!$E$2:$E$234,MATCH($A45,Lots_Data!$A$2:$A$234,0))</f>
        <v/>
      </c>
      <c r="C45">
        <f>INDEX(Lots_Data!$A$2:$A$234,MATCH($A45,Lots_Data!$A$2:$A$234,0))</f>
        <v/>
      </c>
      <c r="D45" t="inlineStr">
        <is>
          <t>B</t>
        </is>
      </c>
      <c r="E45">
        <f>INDEX(Usage_Summary!$B$4:$B$236,MATCH($C45,Usage_Summary!$A$4:$A$236,0))*INDEX(Lots_Data!$G$2:$G$234,MATCH($A45,Lots_Data!$A$2:$A$234,0))</f>
        <v/>
      </c>
      <c r="F45">
        <f>INDEX(Lots_Data!$G$2:$G$234,MATCH($A45,Lots_Data!$A$2:$A$234,0))</f>
        <v/>
      </c>
      <c r="G45">
        <f>INDEX(Usage_Summary!$B$4:$B$236,MATCH($C45,Usage_Summary!$A$4:$A$236,0))</f>
        <v/>
      </c>
      <c r="H45">
        <f>INDEX(Lots_Data!$D$2:$D$234,MATCH($A45,Lots_Data!$A$2:$A$234,0))</f>
        <v/>
      </c>
      <c r="I45">
        <f>INDEX(Lots_Data!$C$2:$C$234,MATCH($A45,Lots_Data!$A$2:$A$234,0))</f>
        <v/>
      </c>
    </row>
    <row r="46">
      <c r="A46" t="inlineStr">
        <is>
          <t>HOSP-1|SS-01165</t>
        </is>
      </c>
      <c r="B46">
        <f>INDEX(Lots_Data!$E$2:$E$234,MATCH($A46,Lots_Data!$A$2:$A$234,0))</f>
        <v/>
      </c>
      <c r="C46">
        <f>INDEX(Lots_Data!$A$2:$A$234,MATCH($A46,Lots_Data!$A$2:$A$234,0))</f>
        <v/>
      </c>
      <c r="D46" t="inlineStr">
        <is>
          <t>B</t>
        </is>
      </c>
      <c r="E46">
        <f>INDEX(Usage_Summary!$B$4:$B$236,MATCH($C46,Usage_Summary!$A$4:$A$236,0))*INDEX(Lots_Data!$G$2:$G$234,MATCH($A46,Lots_Data!$A$2:$A$234,0))</f>
        <v/>
      </c>
      <c r="F46">
        <f>INDEX(Lots_Data!$G$2:$G$234,MATCH($A46,Lots_Data!$A$2:$A$234,0))</f>
        <v/>
      </c>
      <c r="G46">
        <f>INDEX(Usage_Summary!$B$4:$B$236,MATCH($C46,Usage_Summary!$A$4:$A$236,0))</f>
        <v/>
      </c>
      <c r="H46">
        <f>INDEX(Lots_Data!$D$2:$D$234,MATCH($A46,Lots_Data!$A$2:$A$234,0))</f>
        <v/>
      </c>
      <c r="I46">
        <f>INDEX(Lots_Data!$C$2:$C$234,MATCH($A46,Lots_Data!$A$2:$A$234,0))</f>
        <v/>
      </c>
    </row>
    <row r="47">
      <c r="A47" t="inlineStr">
        <is>
          <t>HOSP-1|SS-01169</t>
        </is>
      </c>
      <c r="B47">
        <f>INDEX(Lots_Data!$E$2:$E$234,MATCH($A47,Lots_Data!$A$2:$A$234,0))</f>
        <v/>
      </c>
      <c r="C47">
        <f>INDEX(Lots_Data!$A$2:$A$234,MATCH($A47,Lots_Data!$A$2:$A$234,0))</f>
        <v/>
      </c>
      <c r="D47" t="inlineStr">
        <is>
          <t>B</t>
        </is>
      </c>
      <c r="E47">
        <f>INDEX(Usage_Summary!$B$4:$B$236,MATCH($C47,Usage_Summary!$A$4:$A$236,0))*INDEX(Lots_Data!$G$2:$G$234,MATCH($A47,Lots_Data!$A$2:$A$234,0))</f>
        <v/>
      </c>
      <c r="F47">
        <f>INDEX(Lots_Data!$G$2:$G$234,MATCH($A47,Lots_Data!$A$2:$A$234,0))</f>
        <v/>
      </c>
      <c r="G47">
        <f>INDEX(Usage_Summary!$B$4:$B$236,MATCH($C47,Usage_Summary!$A$4:$A$236,0))</f>
        <v/>
      </c>
      <c r="H47">
        <f>INDEX(Lots_Data!$D$2:$D$234,MATCH($A47,Lots_Data!$A$2:$A$234,0))</f>
        <v/>
      </c>
      <c r="I47">
        <f>INDEX(Lots_Data!$C$2:$C$234,MATCH($A47,Lots_Data!$A$2:$A$234,0))</f>
        <v/>
      </c>
    </row>
    <row r="48">
      <c r="A48" t="inlineStr">
        <is>
          <t>HOSP-1|SS-01173</t>
        </is>
      </c>
      <c r="B48">
        <f>INDEX(Lots_Data!$E$2:$E$234,MATCH($A48,Lots_Data!$A$2:$A$234,0))</f>
        <v/>
      </c>
      <c r="C48">
        <f>INDEX(Lots_Data!$A$2:$A$234,MATCH($A48,Lots_Data!$A$2:$A$234,0))</f>
        <v/>
      </c>
      <c r="D48" t="inlineStr">
        <is>
          <t>A</t>
        </is>
      </c>
      <c r="E48">
        <f>INDEX(Usage_Summary!$B$4:$B$236,MATCH($C48,Usage_Summary!$A$4:$A$236,0))*INDEX(Lots_Data!$G$2:$G$234,MATCH($A48,Lots_Data!$A$2:$A$234,0))</f>
        <v/>
      </c>
      <c r="F48">
        <f>INDEX(Lots_Data!$G$2:$G$234,MATCH($A48,Lots_Data!$A$2:$A$234,0))</f>
        <v/>
      </c>
      <c r="G48">
        <f>INDEX(Usage_Summary!$B$4:$B$236,MATCH($C48,Usage_Summary!$A$4:$A$236,0))</f>
        <v/>
      </c>
      <c r="H48">
        <f>INDEX(Lots_Data!$D$2:$D$234,MATCH($A48,Lots_Data!$A$2:$A$234,0))</f>
        <v/>
      </c>
      <c r="I48">
        <f>INDEX(Lots_Data!$C$2:$C$234,MATCH($A48,Lots_Data!$A$2:$A$234,0))</f>
        <v/>
      </c>
    </row>
    <row r="49">
      <c r="A49" t="inlineStr">
        <is>
          <t>HOSP-1|SS-01177</t>
        </is>
      </c>
      <c r="B49">
        <f>INDEX(Lots_Data!$E$2:$E$234,MATCH($A49,Lots_Data!$A$2:$A$234,0))</f>
        <v/>
      </c>
      <c r="C49">
        <f>INDEX(Lots_Data!$A$2:$A$234,MATCH($A49,Lots_Data!$A$2:$A$234,0))</f>
        <v/>
      </c>
      <c r="D49" t="inlineStr">
        <is>
          <t>A</t>
        </is>
      </c>
      <c r="E49">
        <f>INDEX(Usage_Summary!$B$4:$B$236,MATCH($C49,Usage_Summary!$A$4:$A$236,0))*INDEX(Lots_Data!$G$2:$G$234,MATCH($A49,Lots_Data!$A$2:$A$234,0))</f>
        <v/>
      </c>
      <c r="F49">
        <f>INDEX(Lots_Data!$G$2:$G$234,MATCH($A49,Lots_Data!$A$2:$A$234,0))</f>
        <v/>
      </c>
      <c r="G49">
        <f>INDEX(Usage_Summary!$B$4:$B$236,MATCH($C49,Usage_Summary!$A$4:$A$236,0))</f>
        <v/>
      </c>
      <c r="H49">
        <f>INDEX(Lots_Data!$D$2:$D$234,MATCH($A49,Lots_Data!$A$2:$A$234,0))</f>
        <v/>
      </c>
      <c r="I49">
        <f>INDEX(Lots_Data!$C$2:$C$234,MATCH($A49,Lots_Data!$A$2:$A$234,0))</f>
        <v/>
      </c>
    </row>
    <row r="50">
      <c r="A50" t="inlineStr">
        <is>
          <t>HOSP-1|SS-01181</t>
        </is>
      </c>
      <c r="B50">
        <f>INDEX(Lots_Data!$E$2:$E$234,MATCH($A50,Lots_Data!$A$2:$A$234,0))</f>
        <v/>
      </c>
      <c r="C50">
        <f>INDEX(Lots_Data!$A$2:$A$234,MATCH($A50,Lots_Data!$A$2:$A$234,0))</f>
        <v/>
      </c>
      <c r="D50" t="inlineStr">
        <is>
          <t>C</t>
        </is>
      </c>
      <c r="E50">
        <f>INDEX(Usage_Summary!$B$4:$B$236,MATCH($C50,Usage_Summary!$A$4:$A$236,0))*INDEX(Lots_Data!$G$2:$G$234,MATCH($A50,Lots_Data!$A$2:$A$234,0))</f>
        <v/>
      </c>
      <c r="F50">
        <f>INDEX(Lots_Data!$G$2:$G$234,MATCH($A50,Lots_Data!$A$2:$A$234,0))</f>
        <v/>
      </c>
      <c r="G50">
        <f>INDEX(Usage_Summary!$B$4:$B$236,MATCH($C50,Usage_Summary!$A$4:$A$236,0))</f>
        <v/>
      </c>
      <c r="H50">
        <f>INDEX(Lots_Data!$D$2:$D$234,MATCH($A50,Lots_Data!$A$2:$A$234,0))</f>
        <v/>
      </c>
      <c r="I50">
        <f>INDEX(Lots_Data!$C$2:$C$234,MATCH($A50,Lots_Data!$A$2:$A$234,0))</f>
        <v/>
      </c>
    </row>
    <row r="51">
      <c r="A51" t="inlineStr">
        <is>
          <t>HOSP-1|SS-01185</t>
        </is>
      </c>
      <c r="B51">
        <f>INDEX(Lots_Data!$E$2:$E$234,MATCH($A51,Lots_Data!$A$2:$A$234,0))</f>
        <v/>
      </c>
      <c r="C51">
        <f>INDEX(Lots_Data!$A$2:$A$234,MATCH($A51,Lots_Data!$A$2:$A$234,0))</f>
        <v/>
      </c>
      <c r="D51" t="inlineStr">
        <is>
          <t>A</t>
        </is>
      </c>
      <c r="E51">
        <f>INDEX(Usage_Summary!$B$4:$B$236,MATCH($C51,Usage_Summary!$A$4:$A$236,0))*INDEX(Lots_Data!$G$2:$G$234,MATCH($A51,Lots_Data!$A$2:$A$234,0))</f>
        <v/>
      </c>
      <c r="F51">
        <f>INDEX(Lots_Data!$G$2:$G$234,MATCH($A51,Lots_Data!$A$2:$A$234,0))</f>
        <v/>
      </c>
      <c r="G51">
        <f>INDEX(Usage_Summary!$B$4:$B$236,MATCH($C51,Usage_Summary!$A$4:$A$236,0))</f>
        <v/>
      </c>
      <c r="H51">
        <f>INDEX(Lots_Data!$D$2:$D$234,MATCH($A51,Lots_Data!$A$2:$A$234,0))</f>
        <v/>
      </c>
      <c r="I51">
        <f>INDEX(Lots_Data!$C$2:$C$234,MATCH($A51,Lots_Data!$A$2:$A$234,0))</f>
        <v/>
      </c>
    </row>
    <row r="52">
      <c r="A52" t="inlineStr">
        <is>
          <t>HOSP-1|SS-01189</t>
        </is>
      </c>
      <c r="B52">
        <f>INDEX(Lots_Data!$E$2:$E$234,MATCH($A52,Lots_Data!$A$2:$A$234,0))</f>
        <v/>
      </c>
      <c r="C52">
        <f>INDEX(Lots_Data!$A$2:$A$234,MATCH($A52,Lots_Data!$A$2:$A$234,0))</f>
        <v/>
      </c>
      <c r="D52" t="inlineStr">
        <is>
          <t>C</t>
        </is>
      </c>
      <c r="E52">
        <f>INDEX(Usage_Summary!$B$4:$B$236,MATCH($C52,Usage_Summary!$A$4:$A$236,0))*INDEX(Lots_Data!$G$2:$G$234,MATCH($A52,Lots_Data!$A$2:$A$234,0))</f>
        <v/>
      </c>
      <c r="F52">
        <f>INDEX(Lots_Data!$G$2:$G$234,MATCH($A52,Lots_Data!$A$2:$A$234,0))</f>
        <v/>
      </c>
      <c r="G52">
        <f>INDEX(Usage_Summary!$B$4:$B$236,MATCH($C52,Usage_Summary!$A$4:$A$236,0))</f>
        <v/>
      </c>
      <c r="H52">
        <f>INDEX(Lots_Data!$D$2:$D$234,MATCH($A52,Lots_Data!$A$2:$A$234,0))</f>
        <v/>
      </c>
      <c r="I52">
        <f>INDEX(Lots_Data!$C$2:$C$234,MATCH($A52,Lots_Data!$A$2:$A$234,0))</f>
        <v/>
      </c>
    </row>
    <row r="53">
      <c r="A53" t="inlineStr">
        <is>
          <t>HOSP-1|SS-01193</t>
        </is>
      </c>
      <c r="B53">
        <f>INDEX(Lots_Data!$E$2:$E$234,MATCH($A53,Lots_Data!$A$2:$A$234,0))</f>
        <v/>
      </c>
      <c r="C53">
        <f>INDEX(Lots_Data!$A$2:$A$234,MATCH($A53,Lots_Data!$A$2:$A$234,0))</f>
        <v/>
      </c>
      <c r="D53" t="inlineStr">
        <is>
          <t>C</t>
        </is>
      </c>
      <c r="E53">
        <f>INDEX(Usage_Summary!$B$4:$B$236,MATCH($C53,Usage_Summary!$A$4:$A$236,0))*INDEX(Lots_Data!$G$2:$G$234,MATCH($A53,Lots_Data!$A$2:$A$234,0))</f>
        <v/>
      </c>
      <c r="F53">
        <f>INDEX(Lots_Data!$G$2:$G$234,MATCH($A53,Lots_Data!$A$2:$A$234,0))</f>
        <v/>
      </c>
      <c r="G53">
        <f>INDEX(Usage_Summary!$B$4:$B$236,MATCH($C53,Usage_Summary!$A$4:$A$236,0))</f>
        <v/>
      </c>
      <c r="H53">
        <f>INDEX(Lots_Data!$D$2:$D$234,MATCH($A53,Lots_Data!$A$2:$A$234,0))</f>
        <v/>
      </c>
      <c r="I53">
        <f>INDEX(Lots_Data!$C$2:$C$234,MATCH($A53,Lots_Data!$A$2:$A$234,0))</f>
        <v/>
      </c>
    </row>
    <row r="54">
      <c r="A54" t="inlineStr">
        <is>
          <t>HOSP-1|SS-01197</t>
        </is>
      </c>
      <c r="B54">
        <f>INDEX(Lots_Data!$E$2:$E$234,MATCH($A54,Lots_Data!$A$2:$A$234,0))</f>
        <v/>
      </c>
      <c r="C54">
        <f>INDEX(Lots_Data!$A$2:$A$234,MATCH($A54,Lots_Data!$A$2:$A$234,0))</f>
        <v/>
      </c>
      <c r="D54" t="inlineStr">
        <is>
          <t>A</t>
        </is>
      </c>
      <c r="E54">
        <f>INDEX(Usage_Summary!$B$4:$B$236,MATCH($C54,Usage_Summary!$A$4:$A$236,0))*INDEX(Lots_Data!$G$2:$G$234,MATCH($A54,Lots_Data!$A$2:$A$234,0))</f>
        <v/>
      </c>
      <c r="F54">
        <f>INDEX(Lots_Data!$G$2:$G$234,MATCH($A54,Lots_Data!$A$2:$A$234,0))</f>
        <v/>
      </c>
      <c r="G54">
        <f>INDEX(Usage_Summary!$B$4:$B$236,MATCH($C54,Usage_Summary!$A$4:$A$236,0))</f>
        <v/>
      </c>
      <c r="H54">
        <f>INDEX(Lots_Data!$D$2:$D$234,MATCH($A54,Lots_Data!$A$2:$A$234,0))</f>
        <v/>
      </c>
      <c r="I54">
        <f>INDEX(Lots_Data!$C$2:$C$234,MATCH($A54,Lots_Data!$A$2:$A$234,0))</f>
        <v/>
      </c>
    </row>
    <row r="55">
      <c r="A55" t="inlineStr">
        <is>
          <t>HOSP-1|SS-01201</t>
        </is>
      </c>
      <c r="B55">
        <f>INDEX(Lots_Data!$E$2:$E$234,MATCH($A55,Lots_Data!$A$2:$A$234,0))</f>
        <v/>
      </c>
      <c r="C55">
        <f>INDEX(Lots_Data!$A$2:$A$234,MATCH($A55,Lots_Data!$A$2:$A$234,0))</f>
        <v/>
      </c>
      <c r="D55" t="inlineStr">
        <is>
          <t>B</t>
        </is>
      </c>
      <c r="E55">
        <f>INDEX(Usage_Summary!$B$4:$B$236,MATCH($C55,Usage_Summary!$A$4:$A$236,0))*INDEX(Lots_Data!$G$2:$G$234,MATCH($A55,Lots_Data!$A$2:$A$234,0))</f>
        <v/>
      </c>
      <c r="F55">
        <f>INDEX(Lots_Data!$G$2:$G$234,MATCH($A55,Lots_Data!$A$2:$A$234,0))</f>
        <v/>
      </c>
      <c r="G55">
        <f>INDEX(Usage_Summary!$B$4:$B$236,MATCH($C55,Usage_Summary!$A$4:$A$236,0))</f>
        <v/>
      </c>
      <c r="H55">
        <f>INDEX(Lots_Data!$D$2:$D$234,MATCH($A55,Lots_Data!$A$2:$A$234,0))</f>
        <v/>
      </c>
      <c r="I55">
        <f>INDEX(Lots_Data!$C$2:$C$234,MATCH($A55,Lots_Data!$A$2:$A$234,0))</f>
        <v/>
      </c>
    </row>
    <row r="56">
      <c r="A56" t="inlineStr">
        <is>
          <t>HOSP-1|SS-01205</t>
        </is>
      </c>
      <c r="B56">
        <f>INDEX(Lots_Data!$E$2:$E$234,MATCH($A56,Lots_Data!$A$2:$A$234,0))</f>
        <v/>
      </c>
      <c r="C56">
        <f>INDEX(Lots_Data!$A$2:$A$234,MATCH($A56,Lots_Data!$A$2:$A$234,0))</f>
        <v/>
      </c>
      <c r="D56" t="inlineStr">
        <is>
          <t>C</t>
        </is>
      </c>
      <c r="E56">
        <f>INDEX(Usage_Summary!$B$4:$B$236,MATCH($C56,Usage_Summary!$A$4:$A$236,0))*INDEX(Lots_Data!$G$2:$G$234,MATCH($A56,Lots_Data!$A$2:$A$234,0))</f>
        <v/>
      </c>
      <c r="F56">
        <f>INDEX(Lots_Data!$G$2:$G$234,MATCH($A56,Lots_Data!$A$2:$A$234,0))</f>
        <v/>
      </c>
      <c r="G56">
        <f>INDEX(Usage_Summary!$B$4:$B$236,MATCH($C56,Usage_Summary!$A$4:$A$236,0))</f>
        <v/>
      </c>
      <c r="H56">
        <f>INDEX(Lots_Data!$D$2:$D$234,MATCH($A56,Lots_Data!$A$2:$A$234,0))</f>
        <v/>
      </c>
      <c r="I56">
        <f>INDEX(Lots_Data!$C$2:$C$234,MATCH($A56,Lots_Data!$A$2:$A$234,0))</f>
        <v/>
      </c>
    </row>
    <row r="57">
      <c r="A57" t="inlineStr">
        <is>
          <t>HOSP-1|SS-01209</t>
        </is>
      </c>
      <c r="B57">
        <f>INDEX(Lots_Data!$E$2:$E$234,MATCH($A57,Lots_Data!$A$2:$A$234,0))</f>
        <v/>
      </c>
      <c r="C57">
        <f>INDEX(Lots_Data!$A$2:$A$234,MATCH($A57,Lots_Data!$A$2:$A$234,0))</f>
        <v/>
      </c>
      <c r="D57" t="inlineStr">
        <is>
          <t>A</t>
        </is>
      </c>
      <c r="E57">
        <f>INDEX(Usage_Summary!$B$4:$B$236,MATCH($C57,Usage_Summary!$A$4:$A$236,0))*INDEX(Lots_Data!$G$2:$G$234,MATCH($A57,Lots_Data!$A$2:$A$234,0))</f>
        <v/>
      </c>
      <c r="F57">
        <f>INDEX(Lots_Data!$G$2:$G$234,MATCH($A57,Lots_Data!$A$2:$A$234,0))</f>
        <v/>
      </c>
      <c r="G57">
        <f>INDEX(Usage_Summary!$B$4:$B$236,MATCH($C57,Usage_Summary!$A$4:$A$236,0))</f>
        <v/>
      </c>
      <c r="H57">
        <f>INDEX(Lots_Data!$D$2:$D$234,MATCH($A57,Lots_Data!$A$2:$A$234,0))</f>
        <v/>
      </c>
      <c r="I57">
        <f>INDEX(Lots_Data!$C$2:$C$234,MATCH($A57,Lots_Data!$A$2:$A$234,0))</f>
        <v/>
      </c>
    </row>
    <row r="58">
      <c r="A58" t="inlineStr">
        <is>
          <t>HOSP-1|SS-01213</t>
        </is>
      </c>
      <c r="B58">
        <f>INDEX(Lots_Data!$E$2:$E$234,MATCH($A58,Lots_Data!$A$2:$A$234,0))</f>
        <v/>
      </c>
      <c r="C58">
        <f>INDEX(Lots_Data!$A$2:$A$234,MATCH($A58,Lots_Data!$A$2:$A$234,0))</f>
        <v/>
      </c>
      <c r="D58" t="inlineStr">
        <is>
          <t>B</t>
        </is>
      </c>
      <c r="E58">
        <f>INDEX(Usage_Summary!$B$4:$B$236,MATCH($C58,Usage_Summary!$A$4:$A$236,0))*INDEX(Lots_Data!$G$2:$G$234,MATCH($A58,Lots_Data!$A$2:$A$234,0))</f>
        <v/>
      </c>
      <c r="F58">
        <f>INDEX(Lots_Data!$G$2:$G$234,MATCH($A58,Lots_Data!$A$2:$A$234,0))</f>
        <v/>
      </c>
      <c r="G58">
        <f>INDEX(Usage_Summary!$B$4:$B$236,MATCH($C58,Usage_Summary!$A$4:$A$236,0))</f>
        <v/>
      </c>
      <c r="H58">
        <f>INDEX(Lots_Data!$D$2:$D$234,MATCH($A58,Lots_Data!$A$2:$A$234,0))</f>
        <v/>
      </c>
      <c r="I58">
        <f>INDEX(Lots_Data!$C$2:$C$234,MATCH($A58,Lots_Data!$A$2:$A$234,0))</f>
        <v/>
      </c>
    </row>
    <row r="59">
      <c r="A59" t="inlineStr">
        <is>
          <t>HOSP-1|SS-01217</t>
        </is>
      </c>
      <c r="B59">
        <f>INDEX(Lots_Data!$E$2:$E$234,MATCH($A59,Lots_Data!$A$2:$A$234,0))</f>
        <v/>
      </c>
      <c r="C59">
        <f>INDEX(Lots_Data!$A$2:$A$234,MATCH($A59,Lots_Data!$A$2:$A$234,0))</f>
        <v/>
      </c>
      <c r="D59" t="inlineStr">
        <is>
          <t>A</t>
        </is>
      </c>
      <c r="E59">
        <f>INDEX(Usage_Summary!$B$4:$B$236,MATCH($C59,Usage_Summary!$A$4:$A$236,0))*INDEX(Lots_Data!$G$2:$G$234,MATCH($A59,Lots_Data!$A$2:$A$234,0))</f>
        <v/>
      </c>
      <c r="F59">
        <f>INDEX(Lots_Data!$G$2:$G$234,MATCH($A59,Lots_Data!$A$2:$A$234,0))</f>
        <v/>
      </c>
      <c r="G59">
        <f>INDEX(Usage_Summary!$B$4:$B$236,MATCH($C59,Usage_Summary!$A$4:$A$236,0))</f>
        <v/>
      </c>
      <c r="H59">
        <f>INDEX(Lots_Data!$D$2:$D$234,MATCH($A59,Lots_Data!$A$2:$A$234,0))</f>
        <v/>
      </c>
      <c r="I59">
        <f>INDEX(Lots_Data!$C$2:$C$234,MATCH($A59,Lots_Data!$A$2:$A$234,0))</f>
        <v/>
      </c>
    </row>
    <row r="60">
      <c r="A60" t="inlineStr">
        <is>
          <t>HOSP-1|SS-01221</t>
        </is>
      </c>
      <c r="B60">
        <f>INDEX(Lots_Data!$E$2:$E$234,MATCH($A60,Lots_Data!$A$2:$A$234,0))</f>
        <v/>
      </c>
      <c r="C60">
        <f>INDEX(Lots_Data!$A$2:$A$234,MATCH($A60,Lots_Data!$A$2:$A$234,0))</f>
        <v/>
      </c>
      <c r="D60" t="inlineStr">
        <is>
          <t>B</t>
        </is>
      </c>
      <c r="E60">
        <f>INDEX(Usage_Summary!$B$4:$B$236,MATCH($C60,Usage_Summary!$A$4:$A$236,0))*INDEX(Lots_Data!$G$2:$G$234,MATCH($A60,Lots_Data!$A$2:$A$234,0))</f>
        <v/>
      </c>
      <c r="F60">
        <f>INDEX(Lots_Data!$G$2:$G$234,MATCH($A60,Lots_Data!$A$2:$A$234,0))</f>
        <v/>
      </c>
      <c r="G60">
        <f>INDEX(Usage_Summary!$B$4:$B$236,MATCH($C60,Usage_Summary!$A$4:$A$236,0))</f>
        <v/>
      </c>
      <c r="H60">
        <f>INDEX(Lots_Data!$D$2:$D$234,MATCH($A60,Lots_Data!$A$2:$A$234,0))</f>
        <v/>
      </c>
      <c r="I60">
        <f>INDEX(Lots_Data!$C$2:$C$234,MATCH($A60,Lots_Data!$A$2:$A$234,0))</f>
        <v/>
      </c>
    </row>
    <row r="61">
      <c r="A61" t="inlineStr">
        <is>
          <t>HOSP-1|SS-01225</t>
        </is>
      </c>
      <c r="B61">
        <f>INDEX(Lots_Data!$E$2:$E$234,MATCH($A61,Lots_Data!$A$2:$A$234,0))</f>
        <v/>
      </c>
      <c r="C61">
        <f>INDEX(Lots_Data!$A$2:$A$234,MATCH($A61,Lots_Data!$A$2:$A$234,0))</f>
        <v/>
      </c>
      <c r="D61" t="inlineStr">
        <is>
          <t>A</t>
        </is>
      </c>
      <c r="E61">
        <f>INDEX(Usage_Summary!$B$4:$B$236,MATCH($C61,Usage_Summary!$A$4:$A$236,0))*INDEX(Lots_Data!$G$2:$G$234,MATCH($A61,Lots_Data!$A$2:$A$234,0))</f>
        <v/>
      </c>
      <c r="F61">
        <f>INDEX(Lots_Data!$G$2:$G$234,MATCH($A61,Lots_Data!$A$2:$A$234,0))</f>
        <v/>
      </c>
      <c r="G61">
        <f>INDEX(Usage_Summary!$B$4:$B$236,MATCH($C61,Usage_Summary!$A$4:$A$236,0))</f>
        <v/>
      </c>
      <c r="H61">
        <f>INDEX(Lots_Data!$D$2:$D$234,MATCH($A61,Lots_Data!$A$2:$A$234,0))</f>
        <v/>
      </c>
      <c r="I61">
        <f>INDEX(Lots_Data!$C$2:$C$234,MATCH($A61,Lots_Data!$A$2:$A$234,0))</f>
        <v/>
      </c>
    </row>
    <row r="62">
      <c r="A62" t="inlineStr">
        <is>
          <t>HOSP-1|SS-01229</t>
        </is>
      </c>
      <c r="B62">
        <f>INDEX(Lots_Data!$E$2:$E$234,MATCH($A62,Lots_Data!$A$2:$A$234,0))</f>
        <v/>
      </c>
      <c r="C62">
        <f>INDEX(Lots_Data!$A$2:$A$234,MATCH($A62,Lots_Data!$A$2:$A$234,0))</f>
        <v/>
      </c>
      <c r="D62" t="inlineStr">
        <is>
          <t>C</t>
        </is>
      </c>
      <c r="E62">
        <f>INDEX(Usage_Summary!$B$4:$B$236,MATCH($C62,Usage_Summary!$A$4:$A$236,0))*INDEX(Lots_Data!$G$2:$G$234,MATCH($A62,Lots_Data!$A$2:$A$234,0))</f>
        <v/>
      </c>
      <c r="F62">
        <f>INDEX(Lots_Data!$G$2:$G$234,MATCH($A62,Lots_Data!$A$2:$A$234,0))</f>
        <v/>
      </c>
      <c r="G62">
        <f>INDEX(Usage_Summary!$B$4:$B$236,MATCH($C62,Usage_Summary!$A$4:$A$236,0))</f>
        <v/>
      </c>
      <c r="H62">
        <f>INDEX(Lots_Data!$D$2:$D$234,MATCH($A62,Lots_Data!$A$2:$A$234,0))</f>
        <v/>
      </c>
      <c r="I62">
        <f>INDEX(Lots_Data!$C$2:$C$234,MATCH($A62,Lots_Data!$A$2:$A$234,0))</f>
        <v/>
      </c>
    </row>
    <row r="63">
      <c r="A63" t="inlineStr">
        <is>
          <t>HOSP-1|SS-01233</t>
        </is>
      </c>
      <c r="B63">
        <f>INDEX(Lots_Data!$E$2:$E$234,MATCH($A63,Lots_Data!$A$2:$A$234,0))</f>
        <v/>
      </c>
      <c r="C63">
        <f>INDEX(Lots_Data!$A$2:$A$234,MATCH($A63,Lots_Data!$A$2:$A$234,0))</f>
        <v/>
      </c>
      <c r="D63" t="inlineStr">
        <is>
          <t>A</t>
        </is>
      </c>
      <c r="E63">
        <f>INDEX(Usage_Summary!$B$4:$B$236,MATCH($C63,Usage_Summary!$A$4:$A$236,0))*INDEX(Lots_Data!$G$2:$G$234,MATCH($A63,Lots_Data!$A$2:$A$234,0))</f>
        <v/>
      </c>
      <c r="F63">
        <f>INDEX(Lots_Data!$G$2:$G$234,MATCH($A63,Lots_Data!$A$2:$A$234,0))</f>
        <v/>
      </c>
      <c r="G63">
        <f>INDEX(Usage_Summary!$B$4:$B$236,MATCH($C63,Usage_Summary!$A$4:$A$236,0))</f>
        <v/>
      </c>
      <c r="H63">
        <f>INDEX(Lots_Data!$D$2:$D$234,MATCH($A63,Lots_Data!$A$2:$A$234,0))</f>
        <v/>
      </c>
      <c r="I63">
        <f>INDEX(Lots_Data!$C$2:$C$234,MATCH($A63,Lots_Data!$A$2:$A$234,0))</f>
        <v/>
      </c>
    </row>
    <row r="64">
      <c r="A64" t="inlineStr">
        <is>
          <t>HOSP-2|SS-01002</t>
        </is>
      </c>
      <c r="B64">
        <f>INDEX(Lots_Data!$E$2:$E$234,MATCH($A64,Lots_Data!$A$2:$A$234,0))</f>
        <v/>
      </c>
      <c r="C64">
        <f>INDEX(Lots_Data!$A$2:$A$234,MATCH($A64,Lots_Data!$A$2:$A$234,0))</f>
        <v/>
      </c>
      <c r="D64" t="inlineStr">
        <is>
          <t>A</t>
        </is>
      </c>
      <c r="E64">
        <f>INDEX(Usage_Summary!$B$4:$B$236,MATCH($C64,Usage_Summary!$A$4:$A$236,0))*INDEX(Lots_Data!$G$2:$G$234,MATCH($A64,Lots_Data!$A$2:$A$234,0))</f>
        <v/>
      </c>
      <c r="F64">
        <f>INDEX(Lots_Data!$G$2:$G$234,MATCH($A64,Lots_Data!$A$2:$A$234,0))</f>
        <v/>
      </c>
      <c r="G64">
        <f>INDEX(Usage_Summary!$B$4:$B$236,MATCH($C64,Usage_Summary!$A$4:$A$236,0))</f>
        <v/>
      </c>
      <c r="H64">
        <f>INDEX(Lots_Data!$D$2:$D$234,MATCH($A64,Lots_Data!$A$2:$A$234,0))</f>
        <v/>
      </c>
      <c r="I64">
        <f>INDEX(Lots_Data!$C$2:$C$234,MATCH($A64,Lots_Data!$A$2:$A$234,0))</f>
        <v/>
      </c>
    </row>
    <row r="65">
      <c r="A65" t="inlineStr">
        <is>
          <t>HOSP-2|SS-01006</t>
        </is>
      </c>
      <c r="B65">
        <f>INDEX(Lots_Data!$E$2:$E$234,MATCH($A65,Lots_Data!$A$2:$A$234,0))</f>
        <v/>
      </c>
      <c r="C65">
        <f>INDEX(Lots_Data!$A$2:$A$234,MATCH($A65,Lots_Data!$A$2:$A$234,0))</f>
        <v/>
      </c>
      <c r="D65" t="inlineStr">
        <is>
          <t>A</t>
        </is>
      </c>
      <c r="E65">
        <f>INDEX(Usage_Summary!$B$4:$B$236,MATCH($C65,Usage_Summary!$A$4:$A$236,0))*INDEX(Lots_Data!$G$2:$G$234,MATCH($A65,Lots_Data!$A$2:$A$234,0))</f>
        <v/>
      </c>
      <c r="F65">
        <f>INDEX(Lots_Data!$G$2:$G$234,MATCH($A65,Lots_Data!$A$2:$A$234,0))</f>
        <v/>
      </c>
      <c r="G65">
        <f>INDEX(Usage_Summary!$B$4:$B$236,MATCH($C65,Usage_Summary!$A$4:$A$236,0))</f>
        <v/>
      </c>
      <c r="H65">
        <f>INDEX(Lots_Data!$D$2:$D$234,MATCH($A65,Lots_Data!$A$2:$A$234,0))</f>
        <v/>
      </c>
      <c r="I65">
        <f>INDEX(Lots_Data!$C$2:$C$234,MATCH($A65,Lots_Data!$A$2:$A$234,0))</f>
        <v/>
      </c>
    </row>
    <row r="66">
      <c r="A66" t="inlineStr">
        <is>
          <t>HOSP-2|SS-01010</t>
        </is>
      </c>
      <c r="B66">
        <f>INDEX(Lots_Data!$E$2:$E$234,MATCH($A66,Lots_Data!$A$2:$A$234,0))</f>
        <v/>
      </c>
      <c r="C66">
        <f>INDEX(Lots_Data!$A$2:$A$234,MATCH($A66,Lots_Data!$A$2:$A$234,0))</f>
        <v/>
      </c>
      <c r="D66" t="inlineStr">
        <is>
          <t>B</t>
        </is>
      </c>
      <c r="E66">
        <f>INDEX(Usage_Summary!$B$4:$B$236,MATCH($C66,Usage_Summary!$A$4:$A$236,0))*INDEX(Lots_Data!$G$2:$G$234,MATCH($A66,Lots_Data!$A$2:$A$234,0))</f>
        <v/>
      </c>
      <c r="F66">
        <f>INDEX(Lots_Data!$G$2:$G$234,MATCH($A66,Lots_Data!$A$2:$A$234,0))</f>
        <v/>
      </c>
      <c r="G66">
        <f>INDEX(Usage_Summary!$B$4:$B$236,MATCH($C66,Usage_Summary!$A$4:$A$236,0))</f>
        <v/>
      </c>
      <c r="H66">
        <f>INDEX(Lots_Data!$D$2:$D$234,MATCH($A66,Lots_Data!$A$2:$A$234,0))</f>
        <v/>
      </c>
      <c r="I66">
        <f>INDEX(Lots_Data!$C$2:$C$234,MATCH($A66,Lots_Data!$A$2:$A$234,0))</f>
        <v/>
      </c>
    </row>
    <row r="67">
      <c r="A67" t="inlineStr">
        <is>
          <t>HOSP-2|SS-01014</t>
        </is>
      </c>
      <c r="B67">
        <f>INDEX(Lots_Data!$E$2:$E$234,MATCH($A67,Lots_Data!$A$2:$A$234,0))</f>
        <v/>
      </c>
      <c r="C67">
        <f>INDEX(Lots_Data!$A$2:$A$234,MATCH($A67,Lots_Data!$A$2:$A$234,0))</f>
        <v/>
      </c>
      <c r="D67" t="inlineStr">
        <is>
          <t>A</t>
        </is>
      </c>
      <c r="E67">
        <f>INDEX(Usage_Summary!$B$4:$B$236,MATCH($C67,Usage_Summary!$A$4:$A$236,0))*INDEX(Lots_Data!$G$2:$G$234,MATCH($A67,Lots_Data!$A$2:$A$234,0))</f>
        <v/>
      </c>
      <c r="F67">
        <f>INDEX(Lots_Data!$G$2:$G$234,MATCH($A67,Lots_Data!$A$2:$A$234,0))</f>
        <v/>
      </c>
      <c r="G67">
        <f>INDEX(Usage_Summary!$B$4:$B$236,MATCH($C67,Usage_Summary!$A$4:$A$236,0))</f>
        <v/>
      </c>
      <c r="H67">
        <f>INDEX(Lots_Data!$D$2:$D$234,MATCH($A67,Lots_Data!$A$2:$A$234,0))</f>
        <v/>
      </c>
      <c r="I67">
        <f>INDEX(Lots_Data!$C$2:$C$234,MATCH($A67,Lots_Data!$A$2:$A$234,0))</f>
        <v/>
      </c>
    </row>
    <row r="68">
      <c r="A68" t="inlineStr">
        <is>
          <t>HOSP-2|SS-01018</t>
        </is>
      </c>
      <c r="B68">
        <f>INDEX(Lots_Data!$E$2:$E$234,MATCH($A68,Lots_Data!$A$2:$A$234,0))</f>
        <v/>
      </c>
      <c r="C68">
        <f>INDEX(Lots_Data!$A$2:$A$234,MATCH($A68,Lots_Data!$A$2:$A$234,0))</f>
        <v/>
      </c>
      <c r="D68" t="inlineStr">
        <is>
          <t>A</t>
        </is>
      </c>
      <c r="E68">
        <f>INDEX(Usage_Summary!$B$4:$B$236,MATCH($C68,Usage_Summary!$A$4:$A$236,0))*INDEX(Lots_Data!$G$2:$G$234,MATCH($A68,Lots_Data!$A$2:$A$234,0))</f>
        <v/>
      </c>
      <c r="F68">
        <f>INDEX(Lots_Data!$G$2:$G$234,MATCH($A68,Lots_Data!$A$2:$A$234,0))</f>
        <v/>
      </c>
      <c r="G68">
        <f>INDEX(Usage_Summary!$B$4:$B$236,MATCH($C68,Usage_Summary!$A$4:$A$236,0))</f>
        <v/>
      </c>
      <c r="H68">
        <f>INDEX(Lots_Data!$D$2:$D$234,MATCH($A68,Lots_Data!$A$2:$A$234,0))</f>
        <v/>
      </c>
      <c r="I68">
        <f>INDEX(Lots_Data!$C$2:$C$234,MATCH($A68,Lots_Data!$A$2:$A$234,0))</f>
        <v/>
      </c>
    </row>
    <row r="69">
      <c r="A69" t="inlineStr">
        <is>
          <t>HOSP-2|SS-01022</t>
        </is>
      </c>
      <c r="B69">
        <f>INDEX(Lots_Data!$E$2:$E$234,MATCH($A69,Lots_Data!$A$2:$A$234,0))</f>
        <v/>
      </c>
      <c r="C69">
        <f>INDEX(Lots_Data!$A$2:$A$234,MATCH($A69,Lots_Data!$A$2:$A$234,0))</f>
        <v/>
      </c>
      <c r="D69" t="inlineStr">
        <is>
          <t>A</t>
        </is>
      </c>
      <c r="E69">
        <f>INDEX(Usage_Summary!$B$4:$B$236,MATCH($C69,Usage_Summary!$A$4:$A$236,0))*INDEX(Lots_Data!$G$2:$G$234,MATCH($A69,Lots_Data!$A$2:$A$234,0))</f>
        <v/>
      </c>
      <c r="F69">
        <f>INDEX(Lots_Data!$G$2:$G$234,MATCH($A69,Lots_Data!$A$2:$A$234,0))</f>
        <v/>
      </c>
      <c r="G69">
        <f>INDEX(Usage_Summary!$B$4:$B$236,MATCH($C69,Usage_Summary!$A$4:$A$236,0))</f>
        <v/>
      </c>
      <c r="H69">
        <f>INDEX(Lots_Data!$D$2:$D$234,MATCH($A69,Lots_Data!$A$2:$A$234,0))</f>
        <v/>
      </c>
      <c r="I69">
        <f>INDEX(Lots_Data!$C$2:$C$234,MATCH($A69,Lots_Data!$A$2:$A$234,0))</f>
        <v/>
      </c>
    </row>
    <row r="70">
      <c r="A70" t="inlineStr">
        <is>
          <t>HOSP-2|SS-01026</t>
        </is>
      </c>
      <c r="B70">
        <f>INDEX(Lots_Data!$E$2:$E$234,MATCH($A70,Lots_Data!$A$2:$A$234,0))</f>
        <v/>
      </c>
      <c r="C70">
        <f>INDEX(Lots_Data!$A$2:$A$234,MATCH($A70,Lots_Data!$A$2:$A$234,0))</f>
        <v/>
      </c>
      <c r="D70" t="inlineStr">
        <is>
          <t>B</t>
        </is>
      </c>
      <c r="E70">
        <f>INDEX(Usage_Summary!$B$4:$B$236,MATCH($C70,Usage_Summary!$A$4:$A$236,0))*INDEX(Lots_Data!$G$2:$G$234,MATCH($A70,Lots_Data!$A$2:$A$234,0))</f>
        <v/>
      </c>
      <c r="F70">
        <f>INDEX(Lots_Data!$G$2:$G$234,MATCH($A70,Lots_Data!$A$2:$A$234,0))</f>
        <v/>
      </c>
      <c r="G70">
        <f>INDEX(Usage_Summary!$B$4:$B$236,MATCH($C70,Usage_Summary!$A$4:$A$236,0))</f>
        <v/>
      </c>
      <c r="H70">
        <f>INDEX(Lots_Data!$D$2:$D$234,MATCH($A70,Lots_Data!$A$2:$A$234,0))</f>
        <v/>
      </c>
      <c r="I70">
        <f>INDEX(Lots_Data!$C$2:$C$234,MATCH($A70,Lots_Data!$A$2:$A$234,0))</f>
        <v/>
      </c>
    </row>
    <row r="71">
      <c r="A71" t="inlineStr">
        <is>
          <t>HOSP-2|SS-01030</t>
        </is>
      </c>
      <c r="B71">
        <f>INDEX(Lots_Data!$E$2:$E$234,MATCH($A71,Lots_Data!$A$2:$A$234,0))</f>
        <v/>
      </c>
      <c r="C71">
        <f>INDEX(Lots_Data!$A$2:$A$234,MATCH($A71,Lots_Data!$A$2:$A$234,0))</f>
        <v/>
      </c>
      <c r="D71" t="inlineStr">
        <is>
          <t>C</t>
        </is>
      </c>
      <c r="E71">
        <f>INDEX(Usage_Summary!$B$4:$B$236,MATCH($C71,Usage_Summary!$A$4:$A$236,0))*INDEX(Lots_Data!$G$2:$G$234,MATCH($A71,Lots_Data!$A$2:$A$234,0))</f>
        <v/>
      </c>
      <c r="F71">
        <f>INDEX(Lots_Data!$G$2:$G$234,MATCH($A71,Lots_Data!$A$2:$A$234,0))</f>
        <v/>
      </c>
      <c r="G71">
        <f>INDEX(Usage_Summary!$B$4:$B$236,MATCH($C71,Usage_Summary!$A$4:$A$236,0))</f>
        <v/>
      </c>
      <c r="H71">
        <f>INDEX(Lots_Data!$D$2:$D$234,MATCH($A71,Lots_Data!$A$2:$A$234,0))</f>
        <v/>
      </c>
      <c r="I71">
        <f>INDEX(Lots_Data!$C$2:$C$234,MATCH($A71,Lots_Data!$A$2:$A$234,0))</f>
        <v/>
      </c>
    </row>
    <row r="72">
      <c r="A72" t="inlineStr">
        <is>
          <t>HOSP-2|SS-01034</t>
        </is>
      </c>
      <c r="B72">
        <f>INDEX(Lots_Data!$E$2:$E$234,MATCH($A72,Lots_Data!$A$2:$A$234,0))</f>
        <v/>
      </c>
      <c r="C72">
        <f>INDEX(Lots_Data!$A$2:$A$234,MATCH($A72,Lots_Data!$A$2:$A$234,0))</f>
        <v/>
      </c>
      <c r="D72" t="inlineStr">
        <is>
          <t>A</t>
        </is>
      </c>
      <c r="E72">
        <f>INDEX(Usage_Summary!$B$4:$B$236,MATCH($C72,Usage_Summary!$A$4:$A$236,0))*INDEX(Lots_Data!$G$2:$G$234,MATCH($A72,Lots_Data!$A$2:$A$234,0))</f>
        <v/>
      </c>
      <c r="F72">
        <f>INDEX(Lots_Data!$G$2:$G$234,MATCH($A72,Lots_Data!$A$2:$A$234,0))</f>
        <v/>
      </c>
      <c r="G72">
        <f>INDEX(Usage_Summary!$B$4:$B$236,MATCH($C72,Usage_Summary!$A$4:$A$236,0))</f>
        <v/>
      </c>
      <c r="H72">
        <f>INDEX(Lots_Data!$D$2:$D$234,MATCH($A72,Lots_Data!$A$2:$A$234,0))</f>
        <v/>
      </c>
      <c r="I72">
        <f>INDEX(Lots_Data!$C$2:$C$234,MATCH($A72,Lots_Data!$A$2:$A$234,0))</f>
        <v/>
      </c>
    </row>
    <row r="73">
      <c r="A73" t="inlineStr">
        <is>
          <t>HOSP-2|SS-01038</t>
        </is>
      </c>
      <c r="B73">
        <f>INDEX(Lots_Data!$E$2:$E$234,MATCH($A73,Lots_Data!$A$2:$A$234,0))</f>
        <v/>
      </c>
      <c r="C73">
        <f>INDEX(Lots_Data!$A$2:$A$234,MATCH($A73,Lots_Data!$A$2:$A$234,0))</f>
        <v/>
      </c>
      <c r="D73" t="inlineStr">
        <is>
          <t>B</t>
        </is>
      </c>
      <c r="E73">
        <f>INDEX(Usage_Summary!$B$4:$B$236,MATCH($C73,Usage_Summary!$A$4:$A$236,0))*INDEX(Lots_Data!$G$2:$G$234,MATCH($A73,Lots_Data!$A$2:$A$234,0))</f>
        <v/>
      </c>
      <c r="F73">
        <f>INDEX(Lots_Data!$G$2:$G$234,MATCH($A73,Lots_Data!$A$2:$A$234,0))</f>
        <v/>
      </c>
      <c r="G73">
        <f>INDEX(Usage_Summary!$B$4:$B$236,MATCH($C73,Usage_Summary!$A$4:$A$236,0))</f>
        <v/>
      </c>
      <c r="H73">
        <f>INDEX(Lots_Data!$D$2:$D$234,MATCH($A73,Lots_Data!$A$2:$A$234,0))</f>
        <v/>
      </c>
      <c r="I73">
        <f>INDEX(Lots_Data!$C$2:$C$234,MATCH($A73,Lots_Data!$A$2:$A$234,0))</f>
        <v/>
      </c>
    </row>
    <row r="74">
      <c r="A74" t="inlineStr">
        <is>
          <t>HOSP-2|SS-01042</t>
        </is>
      </c>
      <c r="B74">
        <f>INDEX(Lots_Data!$E$2:$E$234,MATCH($A74,Lots_Data!$A$2:$A$234,0))</f>
        <v/>
      </c>
      <c r="C74">
        <f>INDEX(Lots_Data!$A$2:$A$234,MATCH($A74,Lots_Data!$A$2:$A$234,0))</f>
        <v/>
      </c>
      <c r="D74" t="inlineStr">
        <is>
          <t>A</t>
        </is>
      </c>
      <c r="E74">
        <f>INDEX(Usage_Summary!$B$4:$B$236,MATCH($C74,Usage_Summary!$A$4:$A$236,0))*INDEX(Lots_Data!$G$2:$G$234,MATCH($A74,Lots_Data!$A$2:$A$234,0))</f>
        <v/>
      </c>
      <c r="F74">
        <f>INDEX(Lots_Data!$G$2:$G$234,MATCH($A74,Lots_Data!$A$2:$A$234,0))</f>
        <v/>
      </c>
      <c r="G74">
        <f>INDEX(Usage_Summary!$B$4:$B$236,MATCH($C74,Usage_Summary!$A$4:$A$236,0))</f>
        <v/>
      </c>
      <c r="H74">
        <f>INDEX(Lots_Data!$D$2:$D$234,MATCH($A74,Lots_Data!$A$2:$A$234,0))</f>
        <v/>
      </c>
      <c r="I74">
        <f>INDEX(Lots_Data!$C$2:$C$234,MATCH($A74,Lots_Data!$A$2:$A$234,0))</f>
        <v/>
      </c>
    </row>
    <row r="75">
      <c r="A75" t="inlineStr">
        <is>
          <t>HOSP-2|SS-01046</t>
        </is>
      </c>
      <c r="B75">
        <f>INDEX(Lots_Data!$E$2:$E$234,MATCH($A75,Lots_Data!$A$2:$A$234,0))</f>
        <v/>
      </c>
      <c r="C75">
        <f>INDEX(Lots_Data!$A$2:$A$234,MATCH($A75,Lots_Data!$A$2:$A$234,0))</f>
        <v/>
      </c>
      <c r="D75" t="inlineStr">
        <is>
          <t>C</t>
        </is>
      </c>
      <c r="E75">
        <f>INDEX(Usage_Summary!$B$4:$B$236,MATCH($C75,Usage_Summary!$A$4:$A$236,0))*INDEX(Lots_Data!$G$2:$G$234,MATCH($A75,Lots_Data!$A$2:$A$234,0))</f>
        <v/>
      </c>
      <c r="F75">
        <f>INDEX(Lots_Data!$G$2:$G$234,MATCH($A75,Lots_Data!$A$2:$A$234,0))</f>
        <v/>
      </c>
      <c r="G75">
        <f>INDEX(Usage_Summary!$B$4:$B$236,MATCH($C75,Usage_Summary!$A$4:$A$236,0))</f>
        <v/>
      </c>
      <c r="H75">
        <f>INDEX(Lots_Data!$D$2:$D$234,MATCH($A75,Lots_Data!$A$2:$A$234,0))</f>
        <v/>
      </c>
      <c r="I75">
        <f>INDEX(Lots_Data!$C$2:$C$234,MATCH($A75,Lots_Data!$A$2:$A$234,0))</f>
        <v/>
      </c>
    </row>
    <row r="76">
      <c r="A76" t="inlineStr">
        <is>
          <t>HOSP-2|SS-01050</t>
        </is>
      </c>
      <c r="B76">
        <f>INDEX(Lots_Data!$E$2:$E$234,MATCH($A76,Lots_Data!$A$2:$A$234,0))</f>
        <v/>
      </c>
      <c r="C76">
        <f>INDEX(Lots_Data!$A$2:$A$234,MATCH($A76,Lots_Data!$A$2:$A$234,0))</f>
        <v/>
      </c>
      <c r="D76" t="inlineStr">
        <is>
          <t>A</t>
        </is>
      </c>
      <c r="E76">
        <f>INDEX(Usage_Summary!$B$4:$B$236,MATCH($C76,Usage_Summary!$A$4:$A$236,0))*INDEX(Lots_Data!$G$2:$G$234,MATCH($A76,Lots_Data!$A$2:$A$234,0))</f>
        <v/>
      </c>
      <c r="F76">
        <f>INDEX(Lots_Data!$G$2:$G$234,MATCH($A76,Lots_Data!$A$2:$A$234,0))</f>
        <v/>
      </c>
      <c r="G76">
        <f>INDEX(Usage_Summary!$B$4:$B$236,MATCH($C76,Usage_Summary!$A$4:$A$236,0))</f>
        <v/>
      </c>
      <c r="H76">
        <f>INDEX(Lots_Data!$D$2:$D$234,MATCH($A76,Lots_Data!$A$2:$A$234,0))</f>
        <v/>
      </c>
      <c r="I76">
        <f>INDEX(Lots_Data!$C$2:$C$234,MATCH($A76,Lots_Data!$A$2:$A$234,0))</f>
        <v/>
      </c>
    </row>
    <row r="77">
      <c r="A77" t="inlineStr">
        <is>
          <t>HOSP-2|SS-01054</t>
        </is>
      </c>
      <c r="B77">
        <f>INDEX(Lots_Data!$E$2:$E$234,MATCH($A77,Lots_Data!$A$2:$A$234,0))</f>
        <v/>
      </c>
      <c r="C77">
        <f>INDEX(Lots_Data!$A$2:$A$234,MATCH($A77,Lots_Data!$A$2:$A$234,0))</f>
        <v/>
      </c>
      <c r="D77" t="inlineStr">
        <is>
          <t>C</t>
        </is>
      </c>
      <c r="E77">
        <f>INDEX(Usage_Summary!$B$4:$B$236,MATCH($C77,Usage_Summary!$A$4:$A$236,0))*INDEX(Lots_Data!$G$2:$G$234,MATCH($A77,Lots_Data!$A$2:$A$234,0))</f>
        <v/>
      </c>
      <c r="F77">
        <f>INDEX(Lots_Data!$G$2:$G$234,MATCH($A77,Lots_Data!$A$2:$A$234,0))</f>
        <v/>
      </c>
      <c r="G77">
        <f>INDEX(Usage_Summary!$B$4:$B$236,MATCH($C77,Usage_Summary!$A$4:$A$236,0))</f>
        <v/>
      </c>
      <c r="H77">
        <f>INDEX(Lots_Data!$D$2:$D$234,MATCH($A77,Lots_Data!$A$2:$A$234,0))</f>
        <v/>
      </c>
      <c r="I77">
        <f>INDEX(Lots_Data!$C$2:$C$234,MATCH($A77,Lots_Data!$A$2:$A$234,0))</f>
        <v/>
      </c>
    </row>
    <row r="78">
      <c r="A78" t="inlineStr">
        <is>
          <t>HOSP-2|SS-01058</t>
        </is>
      </c>
      <c r="B78">
        <f>INDEX(Lots_Data!$E$2:$E$234,MATCH($A78,Lots_Data!$A$2:$A$234,0))</f>
        <v/>
      </c>
      <c r="C78">
        <f>INDEX(Lots_Data!$A$2:$A$234,MATCH($A78,Lots_Data!$A$2:$A$234,0))</f>
        <v/>
      </c>
      <c r="D78" t="inlineStr">
        <is>
          <t>A</t>
        </is>
      </c>
      <c r="E78">
        <f>INDEX(Usage_Summary!$B$4:$B$236,MATCH($C78,Usage_Summary!$A$4:$A$236,0))*INDEX(Lots_Data!$G$2:$G$234,MATCH($A78,Lots_Data!$A$2:$A$234,0))</f>
        <v/>
      </c>
      <c r="F78">
        <f>INDEX(Lots_Data!$G$2:$G$234,MATCH($A78,Lots_Data!$A$2:$A$234,0))</f>
        <v/>
      </c>
      <c r="G78">
        <f>INDEX(Usage_Summary!$B$4:$B$236,MATCH($C78,Usage_Summary!$A$4:$A$236,0))</f>
        <v/>
      </c>
      <c r="H78">
        <f>INDEX(Lots_Data!$D$2:$D$234,MATCH($A78,Lots_Data!$A$2:$A$234,0))</f>
        <v/>
      </c>
      <c r="I78">
        <f>INDEX(Lots_Data!$C$2:$C$234,MATCH($A78,Lots_Data!$A$2:$A$234,0))</f>
        <v/>
      </c>
    </row>
    <row r="79">
      <c r="A79" t="inlineStr">
        <is>
          <t>HOSP-2|SS-01062</t>
        </is>
      </c>
      <c r="B79">
        <f>INDEX(Lots_Data!$E$2:$E$234,MATCH($A79,Lots_Data!$A$2:$A$234,0))</f>
        <v/>
      </c>
      <c r="C79">
        <f>INDEX(Lots_Data!$A$2:$A$234,MATCH($A79,Lots_Data!$A$2:$A$234,0))</f>
        <v/>
      </c>
      <c r="D79" t="inlineStr">
        <is>
          <t>A</t>
        </is>
      </c>
      <c r="E79">
        <f>INDEX(Usage_Summary!$B$4:$B$236,MATCH($C79,Usage_Summary!$A$4:$A$236,0))*INDEX(Lots_Data!$G$2:$G$234,MATCH($A79,Lots_Data!$A$2:$A$234,0))</f>
        <v/>
      </c>
      <c r="F79">
        <f>INDEX(Lots_Data!$G$2:$G$234,MATCH($A79,Lots_Data!$A$2:$A$234,0))</f>
        <v/>
      </c>
      <c r="G79">
        <f>INDEX(Usage_Summary!$B$4:$B$236,MATCH($C79,Usage_Summary!$A$4:$A$236,0))</f>
        <v/>
      </c>
      <c r="H79">
        <f>INDEX(Lots_Data!$D$2:$D$234,MATCH($A79,Lots_Data!$A$2:$A$234,0))</f>
        <v/>
      </c>
      <c r="I79">
        <f>INDEX(Lots_Data!$C$2:$C$234,MATCH($A79,Lots_Data!$A$2:$A$234,0))</f>
        <v/>
      </c>
    </row>
    <row r="80">
      <c r="A80" t="inlineStr">
        <is>
          <t>HOSP-2|SS-01066</t>
        </is>
      </c>
      <c r="B80">
        <f>INDEX(Lots_Data!$E$2:$E$234,MATCH($A80,Lots_Data!$A$2:$A$234,0))</f>
        <v/>
      </c>
      <c r="C80">
        <f>INDEX(Lots_Data!$A$2:$A$234,MATCH($A80,Lots_Data!$A$2:$A$234,0))</f>
        <v/>
      </c>
      <c r="D80" t="inlineStr">
        <is>
          <t>A</t>
        </is>
      </c>
      <c r="E80">
        <f>INDEX(Usage_Summary!$B$4:$B$236,MATCH($C80,Usage_Summary!$A$4:$A$236,0))*INDEX(Lots_Data!$G$2:$G$234,MATCH($A80,Lots_Data!$A$2:$A$234,0))</f>
        <v/>
      </c>
      <c r="F80">
        <f>INDEX(Lots_Data!$G$2:$G$234,MATCH($A80,Lots_Data!$A$2:$A$234,0))</f>
        <v/>
      </c>
      <c r="G80">
        <f>INDEX(Usage_Summary!$B$4:$B$236,MATCH($C80,Usage_Summary!$A$4:$A$236,0))</f>
        <v/>
      </c>
      <c r="H80">
        <f>INDEX(Lots_Data!$D$2:$D$234,MATCH($A80,Lots_Data!$A$2:$A$234,0))</f>
        <v/>
      </c>
      <c r="I80">
        <f>INDEX(Lots_Data!$C$2:$C$234,MATCH($A80,Lots_Data!$A$2:$A$234,0))</f>
        <v/>
      </c>
    </row>
    <row r="81">
      <c r="A81" t="inlineStr">
        <is>
          <t>HOSP-2|SS-01070</t>
        </is>
      </c>
      <c r="B81">
        <f>INDEX(Lots_Data!$E$2:$E$234,MATCH($A81,Lots_Data!$A$2:$A$234,0))</f>
        <v/>
      </c>
      <c r="C81">
        <f>INDEX(Lots_Data!$A$2:$A$234,MATCH($A81,Lots_Data!$A$2:$A$234,0))</f>
        <v/>
      </c>
      <c r="D81" t="inlineStr">
        <is>
          <t>A</t>
        </is>
      </c>
      <c r="E81">
        <f>INDEX(Usage_Summary!$B$4:$B$236,MATCH($C81,Usage_Summary!$A$4:$A$236,0))*INDEX(Lots_Data!$G$2:$G$234,MATCH($A81,Lots_Data!$A$2:$A$234,0))</f>
        <v/>
      </c>
      <c r="F81">
        <f>INDEX(Lots_Data!$G$2:$G$234,MATCH($A81,Lots_Data!$A$2:$A$234,0))</f>
        <v/>
      </c>
      <c r="G81">
        <f>INDEX(Usage_Summary!$B$4:$B$236,MATCH($C81,Usage_Summary!$A$4:$A$236,0))</f>
        <v/>
      </c>
      <c r="H81">
        <f>INDEX(Lots_Data!$D$2:$D$234,MATCH($A81,Lots_Data!$A$2:$A$234,0))</f>
        <v/>
      </c>
      <c r="I81">
        <f>INDEX(Lots_Data!$C$2:$C$234,MATCH($A81,Lots_Data!$A$2:$A$234,0))</f>
        <v/>
      </c>
    </row>
    <row r="82">
      <c r="A82" t="inlineStr">
        <is>
          <t>HOSP-2|SS-01074</t>
        </is>
      </c>
      <c r="B82">
        <f>INDEX(Lots_Data!$E$2:$E$234,MATCH($A82,Lots_Data!$A$2:$A$234,0))</f>
        <v/>
      </c>
      <c r="C82">
        <f>INDEX(Lots_Data!$A$2:$A$234,MATCH($A82,Lots_Data!$A$2:$A$234,0))</f>
        <v/>
      </c>
      <c r="D82" t="inlineStr">
        <is>
          <t>A</t>
        </is>
      </c>
      <c r="E82">
        <f>INDEX(Usage_Summary!$B$4:$B$236,MATCH($C82,Usage_Summary!$A$4:$A$236,0))*INDEX(Lots_Data!$G$2:$G$234,MATCH($A82,Lots_Data!$A$2:$A$234,0))</f>
        <v/>
      </c>
      <c r="F82">
        <f>INDEX(Lots_Data!$G$2:$G$234,MATCH($A82,Lots_Data!$A$2:$A$234,0))</f>
        <v/>
      </c>
      <c r="G82">
        <f>INDEX(Usage_Summary!$B$4:$B$236,MATCH($C82,Usage_Summary!$A$4:$A$236,0))</f>
        <v/>
      </c>
      <c r="H82">
        <f>INDEX(Lots_Data!$D$2:$D$234,MATCH($A82,Lots_Data!$A$2:$A$234,0))</f>
        <v/>
      </c>
      <c r="I82">
        <f>INDEX(Lots_Data!$C$2:$C$234,MATCH($A82,Lots_Data!$A$2:$A$234,0))</f>
        <v/>
      </c>
    </row>
    <row r="83">
      <c r="A83" t="inlineStr">
        <is>
          <t>HOSP-2|SS-01078</t>
        </is>
      </c>
      <c r="B83">
        <f>INDEX(Lots_Data!$E$2:$E$234,MATCH($A83,Lots_Data!$A$2:$A$234,0))</f>
        <v/>
      </c>
      <c r="C83">
        <f>INDEX(Lots_Data!$A$2:$A$234,MATCH($A83,Lots_Data!$A$2:$A$234,0))</f>
        <v/>
      </c>
      <c r="D83" t="inlineStr">
        <is>
          <t>C</t>
        </is>
      </c>
      <c r="E83">
        <f>INDEX(Usage_Summary!$B$4:$B$236,MATCH($C83,Usage_Summary!$A$4:$A$236,0))*INDEX(Lots_Data!$G$2:$G$234,MATCH($A83,Lots_Data!$A$2:$A$234,0))</f>
        <v/>
      </c>
      <c r="F83">
        <f>INDEX(Lots_Data!$G$2:$G$234,MATCH($A83,Lots_Data!$A$2:$A$234,0))</f>
        <v/>
      </c>
      <c r="G83">
        <f>INDEX(Usage_Summary!$B$4:$B$236,MATCH($C83,Usage_Summary!$A$4:$A$236,0))</f>
        <v/>
      </c>
      <c r="H83">
        <f>INDEX(Lots_Data!$D$2:$D$234,MATCH($A83,Lots_Data!$A$2:$A$234,0))</f>
        <v/>
      </c>
      <c r="I83">
        <f>INDEX(Lots_Data!$C$2:$C$234,MATCH($A83,Lots_Data!$A$2:$A$234,0))</f>
        <v/>
      </c>
    </row>
    <row r="84">
      <c r="A84" t="inlineStr">
        <is>
          <t>HOSP-2|SS-01082</t>
        </is>
      </c>
      <c r="B84">
        <f>INDEX(Lots_Data!$E$2:$E$234,MATCH($A84,Lots_Data!$A$2:$A$234,0))</f>
        <v/>
      </c>
      <c r="C84">
        <f>INDEX(Lots_Data!$A$2:$A$234,MATCH($A84,Lots_Data!$A$2:$A$234,0))</f>
        <v/>
      </c>
      <c r="D84" t="inlineStr">
        <is>
          <t>B</t>
        </is>
      </c>
      <c r="E84">
        <f>INDEX(Usage_Summary!$B$4:$B$236,MATCH($C84,Usage_Summary!$A$4:$A$236,0))*INDEX(Lots_Data!$G$2:$G$234,MATCH($A84,Lots_Data!$A$2:$A$234,0))</f>
        <v/>
      </c>
      <c r="F84">
        <f>INDEX(Lots_Data!$G$2:$G$234,MATCH($A84,Lots_Data!$A$2:$A$234,0))</f>
        <v/>
      </c>
      <c r="G84">
        <f>INDEX(Usage_Summary!$B$4:$B$236,MATCH($C84,Usage_Summary!$A$4:$A$236,0))</f>
        <v/>
      </c>
      <c r="H84">
        <f>INDEX(Lots_Data!$D$2:$D$234,MATCH($A84,Lots_Data!$A$2:$A$234,0))</f>
        <v/>
      </c>
      <c r="I84">
        <f>INDEX(Lots_Data!$C$2:$C$234,MATCH($A84,Lots_Data!$A$2:$A$234,0))</f>
        <v/>
      </c>
    </row>
    <row r="85">
      <c r="A85" t="inlineStr">
        <is>
          <t>HOSP-2|SS-01086</t>
        </is>
      </c>
      <c r="B85">
        <f>INDEX(Lots_Data!$E$2:$E$234,MATCH($A85,Lots_Data!$A$2:$A$234,0))</f>
        <v/>
      </c>
      <c r="C85">
        <f>INDEX(Lots_Data!$A$2:$A$234,MATCH($A85,Lots_Data!$A$2:$A$234,0))</f>
        <v/>
      </c>
      <c r="D85" t="inlineStr">
        <is>
          <t>A</t>
        </is>
      </c>
      <c r="E85">
        <f>INDEX(Usage_Summary!$B$4:$B$236,MATCH($C85,Usage_Summary!$A$4:$A$236,0))*INDEX(Lots_Data!$G$2:$G$234,MATCH($A85,Lots_Data!$A$2:$A$234,0))</f>
        <v/>
      </c>
      <c r="F85">
        <f>INDEX(Lots_Data!$G$2:$G$234,MATCH($A85,Lots_Data!$A$2:$A$234,0))</f>
        <v/>
      </c>
      <c r="G85">
        <f>INDEX(Usage_Summary!$B$4:$B$236,MATCH($C85,Usage_Summary!$A$4:$A$236,0))</f>
        <v/>
      </c>
      <c r="H85">
        <f>INDEX(Lots_Data!$D$2:$D$234,MATCH($A85,Lots_Data!$A$2:$A$234,0))</f>
        <v/>
      </c>
      <c r="I85">
        <f>INDEX(Lots_Data!$C$2:$C$234,MATCH($A85,Lots_Data!$A$2:$A$234,0))</f>
        <v/>
      </c>
    </row>
    <row r="86">
      <c r="A86" t="inlineStr">
        <is>
          <t>HOSP-2|SS-01090</t>
        </is>
      </c>
      <c r="B86">
        <f>INDEX(Lots_Data!$E$2:$E$234,MATCH($A86,Lots_Data!$A$2:$A$234,0))</f>
        <v/>
      </c>
      <c r="C86">
        <f>INDEX(Lots_Data!$A$2:$A$234,MATCH($A86,Lots_Data!$A$2:$A$234,0))</f>
        <v/>
      </c>
      <c r="D86" t="inlineStr">
        <is>
          <t>B</t>
        </is>
      </c>
      <c r="E86">
        <f>INDEX(Usage_Summary!$B$4:$B$236,MATCH($C86,Usage_Summary!$A$4:$A$236,0))*INDEX(Lots_Data!$G$2:$G$234,MATCH($A86,Lots_Data!$A$2:$A$234,0))</f>
        <v/>
      </c>
      <c r="F86">
        <f>INDEX(Lots_Data!$G$2:$G$234,MATCH($A86,Lots_Data!$A$2:$A$234,0))</f>
        <v/>
      </c>
      <c r="G86">
        <f>INDEX(Usage_Summary!$B$4:$B$236,MATCH($C86,Usage_Summary!$A$4:$A$236,0))</f>
        <v/>
      </c>
      <c r="H86">
        <f>INDEX(Lots_Data!$D$2:$D$234,MATCH($A86,Lots_Data!$A$2:$A$234,0))</f>
        <v/>
      </c>
      <c r="I86">
        <f>INDEX(Lots_Data!$C$2:$C$234,MATCH($A86,Lots_Data!$A$2:$A$234,0))</f>
        <v/>
      </c>
    </row>
    <row r="87">
      <c r="A87" t="inlineStr">
        <is>
          <t>HOSP-2|SS-01094</t>
        </is>
      </c>
      <c r="B87">
        <f>INDEX(Lots_Data!$E$2:$E$234,MATCH($A87,Lots_Data!$A$2:$A$234,0))</f>
        <v/>
      </c>
      <c r="C87">
        <f>INDEX(Lots_Data!$A$2:$A$234,MATCH($A87,Lots_Data!$A$2:$A$234,0))</f>
        <v/>
      </c>
      <c r="D87" t="inlineStr">
        <is>
          <t>B</t>
        </is>
      </c>
      <c r="E87">
        <f>INDEX(Usage_Summary!$B$4:$B$236,MATCH($C87,Usage_Summary!$A$4:$A$236,0))*INDEX(Lots_Data!$G$2:$G$234,MATCH($A87,Lots_Data!$A$2:$A$234,0))</f>
        <v/>
      </c>
      <c r="F87">
        <f>INDEX(Lots_Data!$G$2:$G$234,MATCH($A87,Lots_Data!$A$2:$A$234,0))</f>
        <v/>
      </c>
      <c r="G87">
        <f>INDEX(Usage_Summary!$B$4:$B$236,MATCH($C87,Usage_Summary!$A$4:$A$236,0))</f>
        <v/>
      </c>
      <c r="H87">
        <f>INDEX(Lots_Data!$D$2:$D$234,MATCH($A87,Lots_Data!$A$2:$A$234,0))</f>
        <v/>
      </c>
      <c r="I87">
        <f>INDEX(Lots_Data!$C$2:$C$234,MATCH($A87,Lots_Data!$A$2:$A$234,0))</f>
        <v/>
      </c>
    </row>
    <row r="88">
      <c r="A88" t="inlineStr">
        <is>
          <t>HOSP-2|SS-01098</t>
        </is>
      </c>
      <c r="B88">
        <f>INDEX(Lots_Data!$E$2:$E$234,MATCH($A88,Lots_Data!$A$2:$A$234,0))</f>
        <v/>
      </c>
      <c r="C88">
        <f>INDEX(Lots_Data!$A$2:$A$234,MATCH($A88,Lots_Data!$A$2:$A$234,0))</f>
        <v/>
      </c>
      <c r="D88" t="inlineStr">
        <is>
          <t>C</t>
        </is>
      </c>
      <c r="E88">
        <f>INDEX(Usage_Summary!$B$4:$B$236,MATCH($C88,Usage_Summary!$A$4:$A$236,0))*INDEX(Lots_Data!$G$2:$G$234,MATCH($A88,Lots_Data!$A$2:$A$234,0))</f>
        <v/>
      </c>
      <c r="F88">
        <f>INDEX(Lots_Data!$G$2:$G$234,MATCH($A88,Lots_Data!$A$2:$A$234,0))</f>
        <v/>
      </c>
      <c r="G88">
        <f>INDEX(Usage_Summary!$B$4:$B$236,MATCH($C88,Usage_Summary!$A$4:$A$236,0))</f>
        <v/>
      </c>
      <c r="H88">
        <f>INDEX(Lots_Data!$D$2:$D$234,MATCH($A88,Lots_Data!$A$2:$A$234,0))</f>
        <v/>
      </c>
      <c r="I88">
        <f>INDEX(Lots_Data!$C$2:$C$234,MATCH($A88,Lots_Data!$A$2:$A$234,0))</f>
        <v/>
      </c>
    </row>
    <row r="89">
      <c r="A89" t="inlineStr">
        <is>
          <t>HOSP-2|SS-01102</t>
        </is>
      </c>
      <c r="B89">
        <f>INDEX(Lots_Data!$E$2:$E$234,MATCH($A89,Lots_Data!$A$2:$A$234,0))</f>
        <v/>
      </c>
      <c r="C89">
        <f>INDEX(Lots_Data!$A$2:$A$234,MATCH($A89,Lots_Data!$A$2:$A$234,0))</f>
        <v/>
      </c>
      <c r="D89" t="inlineStr">
        <is>
          <t>C</t>
        </is>
      </c>
      <c r="E89">
        <f>INDEX(Usage_Summary!$B$4:$B$236,MATCH($C89,Usage_Summary!$A$4:$A$236,0))*INDEX(Lots_Data!$G$2:$G$234,MATCH($A89,Lots_Data!$A$2:$A$234,0))</f>
        <v/>
      </c>
      <c r="F89">
        <f>INDEX(Lots_Data!$G$2:$G$234,MATCH($A89,Lots_Data!$A$2:$A$234,0))</f>
        <v/>
      </c>
      <c r="G89">
        <f>INDEX(Usage_Summary!$B$4:$B$236,MATCH($C89,Usage_Summary!$A$4:$A$236,0))</f>
        <v/>
      </c>
      <c r="H89">
        <f>INDEX(Lots_Data!$D$2:$D$234,MATCH($A89,Lots_Data!$A$2:$A$234,0))</f>
        <v/>
      </c>
      <c r="I89">
        <f>INDEX(Lots_Data!$C$2:$C$234,MATCH($A89,Lots_Data!$A$2:$A$234,0))</f>
        <v/>
      </c>
    </row>
    <row r="90">
      <c r="A90" t="inlineStr">
        <is>
          <t>HOSP-2|SS-01106</t>
        </is>
      </c>
      <c r="B90">
        <f>INDEX(Lots_Data!$E$2:$E$234,MATCH($A90,Lots_Data!$A$2:$A$234,0))</f>
        <v/>
      </c>
      <c r="C90">
        <f>INDEX(Lots_Data!$A$2:$A$234,MATCH($A90,Lots_Data!$A$2:$A$234,0))</f>
        <v/>
      </c>
      <c r="D90" t="inlineStr">
        <is>
          <t>C</t>
        </is>
      </c>
      <c r="E90">
        <f>INDEX(Usage_Summary!$B$4:$B$236,MATCH($C90,Usage_Summary!$A$4:$A$236,0))*INDEX(Lots_Data!$G$2:$G$234,MATCH($A90,Lots_Data!$A$2:$A$234,0))</f>
        <v/>
      </c>
      <c r="F90">
        <f>INDEX(Lots_Data!$G$2:$G$234,MATCH($A90,Lots_Data!$A$2:$A$234,0))</f>
        <v/>
      </c>
      <c r="G90">
        <f>INDEX(Usage_Summary!$B$4:$B$236,MATCH($C90,Usage_Summary!$A$4:$A$236,0))</f>
        <v/>
      </c>
      <c r="H90">
        <f>INDEX(Lots_Data!$D$2:$D$234,MATCH($A90,Lots_Data!$A$2:$A$234,0))</f>
        <v/>
      </c>
      <c r="I90">
        <f>INDEX(Lots_Data!$C$2:$C$234,MATCH($A90,Lots_Data!$A$2:$A$234,0))</f>
        <v/>
      </c>
    </row>
    <row r="91">
      <c r="A91" t="inlineStr">
        <is>
          <t>HOSP-2|SS-01110</t>
        </is>
      </c>
      <c r="B91">
        <f>INDEX(Lots_Data!$E$2:$E$234,MATCH($A91,Lots_Data!$A$2:$A$234,0))</f>
        <v/>
      </c>
      <c r="C91">
        <f>INDEX(Lots_Data!$A$2:$A$234,MATCH($A91,Lots_Data!$A$2:$A$234,0))</f>
        <v/>
      </c>
      <c r="D91" t="inlineStr">
        <is>
          <t>A</t>
        </is>
      </c>
      <c r="E91">
        <f>INDEX(Usage_Summary!$B$4:$B$236,MATCH($C91,Usage_Summary!$A$4:$A$236,0))*INDEX(Lots_Data!$G$2:$G$234,MATCH($A91,Lots_Data!$A$2:$A$234,0))</f>
        <v/>
      </c>
      <c r="F91">
        <f>INDEX(Lots_Data!$G$2:$G$234,MATCH($A91,Lots_Data!$A$2:$A$234,0))</f>
        <v/>
      </c>
      <c r="G91">
        <f>INDEX(Usage_Summary!$B$4:$B$236,MATCH($C91,Usage_Summary!$A$4:$A$236,0))</f>
        <v/>
      </c>
      <c r="H91">
        <f>INDEX(Lots_Data!$D$2:$D$234,MATCH($A91,Lots_Data!$A$2:$A$234,0))</f>
        <v/>
      </c>
      <c r="I91">
        <f>INDEX(Lots_Data!$C$2:$C$234,MATCH($A91,Lots_Data!$A$2:$A$234,0))</f>
        <v/>
      </c>
    </row>
    <row r="92">
      <c r="A92" t="inlineStr">
        <is>
          <t>HOSP-2|SS-01114</t>
        </is>
      </c>
      <c r="B92">
        <f>INDEX(Lots_Data!$E$2:$E$234,MATCH($A92,Lots_Data!$A$2:$A$234,0))</f>
        <v/>
      </c>
      <c r="C92">
        <f>INDEX(Lots_Data!$A$2:$A$234,MATCH($A92,Lots_Data!$A$2:$A$234,0))</f>
        <v/>
      </c>
      <c r="D92" t="inlineStr">
        <is>
          <t>A</t>
        </is>
      </c>
      <c r="E92">
        <f>INDEX(Usage_Summary!$B$4:$B$236,MATCH($C92,Usage_Summary!$A$4:$A$236,0))*INDEX(Lots_Data!$G$2:$G$234,MATCH($A92,Lots_Data!$A$2:$A$234,0))</f>
        <v/>
      </c>
      <c r="F92">
        <f>INDEX(Lots_Data!$G$2:$G$234,MATCH($A92,Lots_Data!$A$2:$A$234,0))</f>
        <v/>
      </c>
      <c r="G92">
        <f>INDEX(Usage_Summary!$B$4:$B$236,MATCH($C92,Usage_Summary!$A$4:$A$236,0))</f>
        <v/>
      </c>
      <c r="H92">
        <f>INDEX(Lots_Data!$D$2:$D$234,MATCH($A92,Lots_Data!$A$2:$A$234,0))</f>
        <v/>
      </c>
      <c r="I92">
        <f>INDEX(Lots_Data!$C$2:$C$234,MATCH($A92,Lots_Data!$A$2:$A$234,0))</f>
        <v/>
      </c>
    </row>
    <row r="93">
      <c r="A93" t="inlineStr">
        <is>
          <t>HOSP-2|SS-01118</t>
        </is>
      </c>
      <c r="B93">
        <f>INDEX(Lots_Data!$E$2:$E$234,MATCH($A93,Lots_Data!$A$2:$A$234,0))</f>
        <v/>
      </c>
      <c r="C93">
        <f>INDEX(Lots_Data!$A$2:$A$234,MATCH($A93,Lots_Data!$A$2:$A$234,0))</f>
        <v/>
      </c>
      <c r="D93" t="inlineStr">
        <is>
          <t>A</t>
        </is>
      </c>
      <c r="E93">
        <f>INDEX(Usage_Summary!$B$4:$B$236,MATCH($C93,Usage_Summary!$A$4:$A$236,0))*INDEX(Lots_Data!$G$2:$G$234,MATCH($A93,Lots_Data!$A$2:$A$234,0))</f>
        <v/>
      </c>
      <c r="F93">
        <f>INDEX(Lots_Data!$G$2:$G$234,MATCH($A93,Lots_Data!$A$2:$A$234,0))</f>
        <v/>
      </c>
      <c r="G93">
        <f>INDEX(Usage_Summary!$B$4:$B$236,MATCH($C93,Usage_Summary!$A$4:$A$236,0))</f>
        <v/>
      </c>
      <c r="H93">
        <f>INDEX(Lots_Data!$D$2:$D$234,MATCH($A93,Lots_Data!$A$2:$A$234,0))</f>
        <v/>
      </c>
      <c r="I93">
        <f>INDEX(Lots_Data!$C$2:$C$234,MATCH($A93,Lots_Data!$A$2:$A$234,0))</f>
        <v/>
      </c>
    </row>
    <row r="94">
      <c r="A94" t="inlineStr">
        <is>
          <t>HOSP-2|SS-01122</t>
        </is>
      </c>
      <c r="B94">
        <f>INDEX(Lots_Data!$E$2:$E$234,MATCH($A94,Lots_Data!$A$2:$A$234,0))</f>
        <v/>
      </c>
      <c r="C94">
        <f>INDEX(Lots_Data!$A$2:$A$234,MATCH($A94,Lots_Data!$A$2:$A$234,0))</f>
        <v/>
      </c>
      <c r="D94" t="inlineStr">
        <is>
          <t>A</t>
        </is>
      </c>
      <c r="E94">
        <f>INDEX(Usage_Summary!$B$4:$B$236,MATCH($C94,Usage_Summary!$A$4:$A$236,0))*INDEX(Lots_Data!$G$2:$G$234,MATCH($A94,Lots_Data!$A$2:$A$234,0))</f>
        <v/>
      </c>
      <c r="F94">
        <f>INDEX(Lots_Data!$G$2:$G$234,MATCH($A94,Lots_Data!$A$2:$A$234,0))</f>
        <v/>
      </c>
      <c r="G94">
        <f>INDEX(Usage_Summary!$B$4:$B$236,MATCH($C94,Usage_Summary!$A$4:$A$236,0))</f>
        <v/>
      </c>
      <c r="H94">
        <f>INDEX(Lots_Data!$D$2:$D$234,MATCH($A94,Lots_Data!$A$2:$A$234,0))</f>
        <v/>
      </c>
      <c r="I94">
        <f>INDEX(Lots_Data!$C$2:$C$234,MATCH($A94,Lots_Data!$A$2:$A$234,0))</f>
        <v/>
      </c>
    </row>
    <row r="95">
      <c r="A95" t="inlineStr">
        <is>
          <t>HOSP-2|SS-01126</t>
        </is>
      </c>
      <c r="B95">
        <f>INDEX(Lots_Data!$E$2:$E$234,MATCH($A95,Lots_Data!$A$2:$A$234,0))</f>
        <v/>
      </c>
      <c r="C95">
        <f>INDEX(Lots_Data!$A$2:$A$234,MATCH($A95,Lots_Data!$A$2:$A$234,0))</f>
        <v/>
      </c>
      <c r="D95" t="inlineStr">
        <is>
          <t>B</t>
        </is>
      </c>
      <c r="E95">
        <f>INDEX(Usage_Summary!$B$4:$B$236,MATCH($C95,Usage_Summary!$A$4:$A$236,0))*INDEX(Lots_Data!$G$2:$G$234,MATCH($A95,Lots_Data!$A$2:$A$234,0))</f>
        <v/>
      </c>
      <c r="F95">
        <f>INDEX(Lots_Data!$G$2:$G$234,MATCH($A95,Lots_Data!$A$2:$A$234,0))</f>
        <v/>
      </c>
      <c r="G95">
        <f>INDEX(Usage_Summary!$B$4:$B$236,MATCH($C95,Usage_Summary!$A$4:$A$236,0))</f>
        <v/>
      </c>
      <c r="H95">
        <f>INDEX(Lots_Data!$D$2:$D$234,MATCH($A95,Lots_Data!$A$2:$A$234,0))</f>
        <v/>
      </c>
      <c r="I95">
        <f>INDEX(Lots_Data!$C$2:$C$234,MATCH($A95,Lots_Data!$A$2:$A$234,0))</f>
        <v/>
      </c>
    </row>
    <row r="96">
      <c r="A96" t="inlineStr">
        <is>
          <t>HOSP-2|SS-01130</t>
        </is>
      </c>
      <c r="B96">
        <f>INDEX(Lots_Data!$E$2:$E$234,MATCH($A96,Lots_Data!$A$2:$A$234,0))</f>
        <v/>
      </c>
      <c r="C96">
        <f>INDEX(Lots_Data!$A$2:$A$234,MATCH($A96,Lots_Data!$A$2:$A$234,0))</f>
        <v/>
      </c>
      <c r="D96" t="inlineStr">
        <is>
          <t>A</t>
        </is>
      </c>
      <c r="E96">
        <f>INDEX(Usage_Summary!$B$4:$B$236,MATCH($C96,Usage_Summary!$A$4:$A$236,0))*INDEX(Lots_Data!$G$2:$G$234,MATCH($A96,Lots_Data!$A$2:$A$234,0))</f>
        <v/>
      </c>
      <c r="F96">
        <f>INDEX(Lots_Data!$G$2:$G$234,MATCH($A96,Lots_Data!$A$2:$A$234,0))</f>
        <v/>
      </c>
      <c r="G96">
        <f>INDEX(Usage_Summary!$B$4:$B$236,MATCH($C96,Usage_Summary!$A$4:$A$236,0))</f>
        <v/>
      </c>
      <c r="H96">
        <f>INDEX(Lots_Data!$D$2:$D$234,MATCH($A96,Lots_Data!$A$2:$A$234,0))</f>
        <v/>
      </c>
      <c r="I96">
        <f>INDEX(Lots_Data!$C$2:$C$234,MATCH($A96,Lots_Data!$A$2:$A$234,0))</f>
        <v/>
      </c>
    </row>
    <row r="97">
      <c r="A97" t="inlineStr">
        <is>
          <t>HOSP-2|SS-01134</t>
        </is>
      </c>
      <c r="B97">
        <f>INDEX(Lots_Data!$E$2:$E$234,MATCH($A97,Lots_Data!$A$2:$A$234,0))</f>
        <v/>
      </c>
      <c r="C97">
        <f>INDEX(Lots_Data!$A$2:$A$234,MATCH($A97,Lots_Data!$A$2:$A$234,0))</f>
        <v/>
      </c>
      <c r="D97" t="inlineStr">
        <is>
          <t>A</t>
        </is>
      </c>
      <c r="E97">
        <f>INDEX(Usage_Summary!$B$4:$B$236,MATCH($C97,Usage_Summary!$A$4:$A$236,0))*INDEX(Lots_Data!$G$2:$G$234,MATCH($A97,Lots_Data!$A$2:$A$234,0))</f>
        <v/>
      </c>
      <c r="F97">
        <f>INDEX(Lots_Data!$G$2:$G$234,MATCH($A97,Lots_Data!$A$2:$A$234,0))</f>
        <v/>
      </c>
      <c r="G97">
        <f>INDEX(Usage_Summary!$B$4:$B$236,MATCH($C97,Usage_Summary!$A$4:$A$236,0))</f>
        <v/>
      </c>
      <c r="H97">
        <f>INDEX(Lots_Data!$D$2:$D$234,MATCH($A97,Lots_Data!$A$2:$A$234,0))</f>
        <v/>
      </c>
      <c r="I97">
        <f>INDEX(Lots_Data!$C$2:$C$234,MATCH($A97,Lots_Data!$A$2:$A$234,0))</f>
        <v/>
      </c>
    </row>
    <row r="98">
      <c r="A98" t="inlineStr">
        <is>
          <t>HOSP-2|SS-01138</t>
        </is>
      </c>
      <c r="B98">
        <f>INDEX(Lots_Data!$E$2:$E$234,MATCH($A98,Lots_Data!$A$2:$A$234,0))</f>
        <v/>
      </c>
      <c r="C98">
        <f>INDEX(Lots_Data!$A$2:$A$234,MATCH($A98,Lots_Data!$A$2:$A$234,0))</f>
        <v/>
      </c>
      <c r="D98" t="inlineStr">
        <is>
          <t>B</t>
        </is>
      </c>
      <c r="E98">
        <f>INDEX(Usage_Summary!$B$4:$B$236,MATCH($C98,Usage_Summary!$A$4:$A$236,0))*INDEX(Lots_Data!$G$2:$G$234,MATCH($A98,Lots_Data!$A$2:$A$234,0))</f>
        <v/>
      </c>
      <c r="F98">
        <f>INDEX(Lots_Data!$G$2:$G$234,MATCH($A98,Lots_Data!$A$2:$A$234,0))</f>
        <v/>
      </c>
      <c r="G98">
        <f>INDEX(Usage_Summary!$B$4:$B$236,MATCH($C98,Usage_Summary!$A$4:$A$236,0))</f>
        <v/>
      </c>
      <c r="H98">
        <f>INDEX(Lots_Data!$D$2:$D$234,MATCH($A98,Lots_Data!$A$2:$A$234,0))</f>
        <v/>
      </c>
      <c r="I98">
        <f>INDEX(Lots_Data!$C$2:$C$234,MATCH($A98,Lots_Data!$A$2:$A$234,0))</f>
        <v/>
      </c>
    </row>
    <row r="99">
      <c r="A99" t="inlineStr">
        <is>
          <t>HOSP-2|SS-01142</t>
        </is>
      </c>
      <c r="B99">
        <f>INDEX(Lots_Data!$E$2:$E$234,MATCH($A99,Lots_Data!$A$2:$A$234,0))</f>
        <v/>
      </c>
      <c r="C99">
        <f>INDEX(Lots_Data!$A$2:$A$234,MATCH($A99,Lots_Data!$A$2:$A$234,0))</f>
        <v/>
      </c>
      <c r="D99" t="inlineStr">
        <is>
          <t>A</t>
        </is>
      </c>
      <c r="E99">
        <f>INDEX(Usage_Summary!$B$4:$B$236,MATCH($C99,Usage_Summary!$A$4:$A$236,0))*INDEX(Lots_Data!$G$2:$G$234,MATCH($A99,Lots_Data!$A$2:$A$234,0))</f>
        <v/>
      </c>
      <c r="F99">
        <f>INDEX(Lots_Data!$G$2:$G$234,MATCH($A99,Lots_Data!$A$2:$A$234,0))</f>
        <v/>
      </c>
      <c r="G99">
        <f>INDEX(Usage_Summary!$B$4:$B$236,MATCH($C99,Usage_Summary!$A$4:$A$236,0))</f>
        <v/>
      </c>
      <c r="H99">
        <f>INDEX(Lots_Data!$D$2:$D$234,MATCH($A99,Lots_Data!$A$2:$A$234,0))</f>
        <v/>
      </c>
      <c r="I99">
        <f>INDEX(Lots_Data!$C$2:$C$234,MATCH($A99,Lots_Data!$A$2:$A$234,0))</f>
        <v/>
      </c>
    </row>
    <row r="100">
      <c r="A100" t="inlineStr">
        <is>
          <t>HOSP-2|SS-01146</t>
        </is>
      </c>
      <c r="B100">
        <f>INDEX(Lots_Data!$E$2:$E$234,MATCH($A100,Lots_Data!$A$2:$A$234,0))</f>
        <v/>
      </c>
      <c r="C100">
        <f>INDEX(Lots_Data!$A$2:$A$234,MATCH($A100,Lots_Data!$A$2:$A$234,0))</f>
        <v/>
      </c>
      <c r="D100" t="inlineStr">
        <is>
          <t>C</t>
        </is>
      </c>
      <c r="E100">
        <f>INDEX(Usage_Summary!$B$4:$B$236,MATCH($C100,Usage_Summary!$A$4:$A$236,0))*INDEX(Lots_Data!$G$2:$G$234,MATCH($A100,Lots_Data!$A$2:$A$234,0))</f>
        <v/>
      </c>
      <c r="F100">
        <f>INDEX(Lots_Data!$G$2:$G$234,MATCH($A100,Lots_Data!$A$2:$A$234,0))</f>
        <v/>
      </c>
      <c r="G100">
        <f>INDEX(Usage_Summary!$B$4:$B$236,MATCH($C100,Usage_Summary!$A$4:$A$236,0))</f>
        <v/>
      </c>
      <c r="H100">
        <f>INDEX(Lots_Data!$D$2:$D$234,MATCH($A100,Lots_Data!$A$2:$A$234,0))</f>
        <v/>
      </c>
      <c r="I100">
        <f>INDEX(Lots_Data!$C$2:$C$234,MATCH($A100,Lots_Data!$A$2:$A$234,0))</f>
        <v/>
      </c>
    </row>
    <row r="101">
      <c r="A101" t="inlineStr">
        <is>
          <t>HOSP-2|SS-01150</t>
        </is>
      </c>
      <c r="B101">
        <f>INDEX(Lots_Data!$E$2:$E$234,MATCH($A101,Lots_Data!$A$2:$A$234,0))</f>
        <v/>
      </c>
      <c r="C101">
        <f>INDEX(Lots_Data!$A$2:$A$234,MATCH($A101,Lots_Data!$A$2:$A$234,0))</f>
        <v/>
      </c>
      <c r="D101" t="inlineStr">
        <is>
          <t>C</t>
        </is>
      </c>
      <c r="E101">
        <f>INDEX(Usage_Summary!$B$4:$B$236,MATCH($C101,Usage_Summary!$A$4:$A$236,0))*INDEX(Lots_Data!$G$2:$G$234,MATCH($A101,Lots_Data!$A$2:$A$234,0))</f>
        <v/>
      </c>
      <c r="F101">
        <f>INDEX(Lots_Data!$G$2:$G$234,MATCH($A101,Lots_Data!$A$2:$A$234,0))</f>
        <v/>
      </c>
      <c r="G101">
        <f>INDEX(Usage_Summary!$B$4:$B$236,MATCH($C101,Usage_Summary!$A$4:$A$236,0))</f>
        <v/>
      </c>
      <c r="H101">
        <f>INDEX(Lots_Data!$D$2:$D$234,MATCH($A101,Lots_Data!$A$2:$A$234,0))</f>
        <v/>
      </c>
      <c r="I101">
        <f>INDEX(Lots_Data!$C$2:$C$234,MATCH($A101,Lots_Data!$A$2:$A$234,0))</f>
        <v/>
      </c>
    </row>
    <row r="102">
      <c r="A102" t="inlineStr">
        <is>
          <t>HOSP-2|SS-01154</t>
        </is>
      </c>
      <c r="B102">
        <f>INDEX(Lots_Data!$E$2:$E$234,MATCH($A102,Lots_Data!$A$2:$A$234,0))</f>
        <v/>
      </c>
      <c r="C102">
        <f>INDEX(Lots_Data!$A$2:$A$234,MATCH($A102,Lots_Data!$A$2:$A$234,0))</f>
        <v/>
      </c>
      <c r="D102" t="inlineStr">
        <is>
          <t>A</t>
        </is>
      </c>
      <c r="E102">
        <f>INDEX(Usage_Summary!$B$4:$B$236,MATCH($C102,Usage_Summary!$A$4:$A$236,0))*INDEX(Lots_Data!$G$2:$G$234,MATCH($A102,Lots_Data!$A$2:$A$234,0))</f>
        <v/>
      </c>
      <c r="F102">
        <f>INDEX(Lots_Data!$G$2:$G$234,MATCH($A102,Lots_Data!$A$2:$A$234,0))</f>
        <v/>
      </c>
      <c r="G102">
        <f>INDEX(Usage_Summary!$B$4:$B$236,MATCH($C102,Usage_Summary!$A$4:$A$236,0))</f>
        <v/>
      </c>
      <c r="H102">
        <f>INDEX(Lots_Data!$D$2:$D$234,MATCH($A102,Lots_Data!$A$2:$A$234,0))</f>
        <v/>
      </c>
      <c r="I102">
        <f>INDEX(Lots_Data!$C$2:$C$234,MATCH($A102,Lots_Data!$A$2:$A$234,0))</f>
        <v/>
      </c>
    </row>
    <row r="103">
      <c r="A103" t="inlineStr">
        <is>
          <t>HOSP-2|SS-01158</t>
        </is>
      </c>
      <c r="B103">
        <f>INDEX(Lots_Data!$E$2:$E$234,MATCH($A103,Lots_Data!$A$2:$A$234,0))</f>
        <v/>
      </c>
      <c r="C103">
        <f>INDEX(Lots_Data!$A$2:$A$234,MATCH($A103,Lots_Data!$A$2:$A$234,0))</f>
        <v/>
      </c>
      <c r="D103" t="inlineStr">
        <is>
          <t>B</t>
        </is>
      </c>
      <c r="E103">
        <f>INDEX(Usage_Summary!$B$4:$B$236,MATCH($C103,Usage_Summary!$A$4:$A$236,0))*INDEX(Lots_Data!$G$2:$G$234,MATCH($A103,Lots_Data!$A$2:$A$234,0))</f>
        <v/>
      </c>
      <c r="F103">
        <f>INDEX(Lots_Data!$G$2:$G$234,MATCH($A103,Lots_Data!$A$2:$A$234,0))</f>
        <v/>
      </c>
      <c r="G103">
        <f>INDEX(Usage_Summary!$B$4:$B$236,MATCH($C103,Usage_Summary!$A$4:$A$236,0))</f>
        <v/>
      </c>
      <c r="H103">
        <f>INDEX(Lots_Data!$D$2:$D$234,MATCH($A103,Lots_Data!$A$2:$A$234,0))</f>
        <v/>
      </c>
      <c r="I103">
        <f>INDEX(Lots_Data!$C$2:$C$234,MATCH($A103,Lots_Data!$A$2:$A$234,0))</f>
        <v/>
      </c>
    </row>
    <row r="104">
      <c r="A104" t="inlineStr">
        <is>
          <t>HOSP-2|SS-01162</t>
        </is>
      </c>
      <c r="B104">
        <f>INDEX(Lots_Data!$E$2:$E$234,MATCH($A104,Lots_Data!$A$2:$A$234,0))</f>
        <v/>
      </c>
      <c r="C104">
        <f>INDEX(Lots_Data!$A$2:$A$234,MATCH($A104,Lots_Data!$A$2:$A$234,0))</f>
        <v/>
      </c>
      <c r="D104" t="inlineStr">
        <is>
          <t>A</t>
        </is>
      </c>
      <c r="E104">
        <f>INDEX(Usage_Summary!$B$4:$B$236,MATCH($C104,Usage_Summary!$A$4:$A$236,0))*INDEX(Lots_Data!$G$2:$G$234,MATCH($A104,Lots_Data!$A$2:$A$234,0))</f>
        <v/>
      </c>
      <c r="F104">
        <f>INDEX(Lots_Data!$G$2:$G$234,MATCH($A104,Lots_Data!$A$2:$A$234,0))</f>
        <v/>
      </c>
      <c r="G104">
        <f>INDEX(Usage_Summary!$B$4:$B$236,MATCH($C104,Usage_Summary!$A$4:$A$236,0))</f>
        <v/>
      </c>
      <c r="H104">
        <f>INDEX(Lots_Data!$D$2:$D$234,MATCH($A104,Lots_Data!$A$2:$A$234,0))</f>
        <v/>
      </c>
      <c r="I104">
        <f>INDEX(Lots_Data!$C$2:$C$234,MATCH($A104,Lots_Data!$A$2:$A$234,0))</f>
        <v/>
      </c>
    </row>
    <row r="105">
      <c r="A105" t="inlineStr">
        <is>
          <t>HOSP-2|SS-01166</t>
        </is>
      </c>
      <c r="B105">
        <f>INDEX(Lots_Data!$E$2:$E$234,MATCH($A105,Lots_Data!$A$2:$A$234,0))</f>
        <v/>
      </c>
      <c r="C105">
        <f>INDEX(Lots_Data!$A$2:$A$234,MATCH($A105,Lots_Data!$A$2:$A$234,0))</f>
        <v/>
      </c>
      <c r="D105" t="inlineStr">
        <is>
          <t>A</t>
        </is>
      </c>
      <c r="E105">
        <f>INDEX(Usage_Summary!$B$4:$B$236,MATCH($C105,Usage_Summary!$A$4:$A$236,0))*INDEX(Lots_Data!$G$2:$G$234,MATCH($A105,Lots_Data!$A$2:$A$234,0))</f>
        <v/>
      </c>
      <c r="F105">
        <f>INDEX(Lots_Data!$G$2:$G$234,MATCH($A105,Lots_Data!$A$2:$A$234,0))</f>
        <v/>
      </c>
      <c r="G105">
        <f>INDEX(Usage_Summary!$B$4:$B$236,MATCH($C105,Usage_Summary!$A$4:$A$236,0))</f>
        <v/>
      </c>
      <c r="H105">
        <f>INDEX(Lots_Data!$D$2:$D$234,MATCH($A105,Lots_Data!$A$2:$A$234,0))</f>
        <v/>
      </c>
      <c r="I105">
        <f>INDEX(Lots_Data!$C$2:$C$234,MATCH($A105,Lots_Data!$A$2:$A$234,0))</f>
        <v/>
      </c>
    </row>
    <row r="106">
      <c r="A106" t="inlineStr">
        <is>
          <t>HOSP-2|SS-01170</t>
        </is>
      </c>
      <c r="B106">
        <f>INDEX(Lots_Data!$E$2:$E$234,MATCH($A106,Lots_Data!$A$2:$A$234,0))</f>
        <v/>
      </c>
      <c r="C106">
        <f>INDEX(Lots_Data!$A$2:$A$234,MATCH($A106,Lots_Data!$A$2:$A$234,0))</f>
        <v/>
      </c>
      <c r="D106" t="inlineStr">
        <is>
          <t>B</t>
        </is>
      </c>
      <c r="E106">
        <f>INDEX(Usage_Summary!$B$4:$B$236,MATCH($C106,Usage_Summary!$A$4:$A$236,0))*INDEX(Lots_Data!$G$2:$G$234,MATCH($A106,Lots_Data!$A$2:$A$234,0))</f>
        <v/>
      </c>
      <c r="F106">
        <f>INDEX(Lots_Data!$G$2:$G$234,MATCH($A106,Lots_Data!$A$2:$A$234,0))</f>
        <v/>
      </c>
      <c r="G106">
        <f>INDEX(Usage_Summary!$B$4:$B$236,MATCH($C106,Usage_Summary!$A$4:$A$236,0))</f>
        <v/>
      </c>
      <c r="H106">
        <f>INDEX(Lots_Data!$D$2:$D$234,MATCH($A106,Lots_Data!$A$2:$A$234,0))</f>
        <v/>
      </c>
      <c r="I106">
        <f>INDEX(Lots_Data!$C$2:$C$234,MATCH($A106,Lots_Data!$A$2:$A$234,0))</f>
        <v/>
      </c>
    </row>
    <row r="107">
      <c r="A107" t="inlineStr">
        <is>
          <t>HOSP-2|SS-01174</t>
        </is>
      </c>
      <c r="B107">
        <f>INDEX(Lots_Data!$E$2:$E$234,MATCH($A107,Lots_Data!$A$2:$A$234,0))</f>
        <v/>
      </c>
      <c r="C107">
        <f>INDEX(Lots_Data!$A$2:$A$234,MATCH($A107,Lots_Data!$A$2:$A$234,0))</f>
        <v/>
      </c>
      <c r="D107" t="inlineStr">
        <is>
          <t>A</t>
        </is>
      </c>
      <c r="E107">
        <f>INDEX(Usage_Summary!$B$4:$B$236,MATCH($C107,Usage_Summary!$A$4:$A$236,0))*INDEX(Lots_Data!$G$2:$G$234,MATCH($A107,Lots_Data!$A$2:$A$234,0))</f>
        <v/>
      </c>
      <c r="F107">
        <f>INDEX(Lots_Data!$G$2:$G$234,MATCH($A107,Lots_Data!$A$2:$A$234,0))</f>
        <v/>
      </c>
      <c r="G107">
        <f>INDEX(Usage_Summary!$B$4:$B$236,MATCH($C107,Usage_Summary!$A$4:$A$236,0))</f>
        <v/>
      </c>
      <c r="H107">
        <f>INDEX(Lots_Data!$D$2:$D$234,MATCH($A107,Lots_Data!$A$2:$A$234,0))</f>
        <v/>
      </c>
      <c r="I107">
        <f>INDEX(Lots_Data!$C$2:$C$234,MATCH($A107,Lots_Data!$A$2:$A$234,0))</f>
        <v/>
      </c>
    </row>
    <row r="108">
      <c r="A108" t="inlineStr">
        <is>
          <t>HOSP-2|SS-01178</t>
        </is>
      </c>
      <c r="B108">
        <f>INDEX(Lots_Data!$E$2:$E$234,MATCH($A108,Lots_Data!$A$2:$A$234,0))</f>
        <v/>
      </c>
      <c r="C108">
        <f>INDEX(Lots_Data!$A$2:$A$234,MATCH($A108,Lots_Data!$A$2:$A$234,0))</f>
        <v/>
      </c>
      <c r="D108" t="inlineStr">
        <is>
          <t>B</t>
        </is>
      </c>
      <c r="E108">
        <f>INDEX(Usage_Summary!$B$4:$B$236,MATCH($C108,Usage_Summary!$A$4:$A$236,0))*INDEX(Lots_Data!$G$2:$G$234,MATCH($A108,Lots_Data!$A$2:$A$234,0))</f>
        <v/>
      </c>
      <c r="F108">
        <f>INDEX(Lots_Data!$G$2:$G$234,MATCH($A108,Lots_Data!$A$2:$A$234,0))</f>
        <v/>
      </c>
      <c r="G108">
        <f>INDEX(Usage_Summary!$B$4:$B$236,MATCH($C108,Usage_Summary!$A$4:$A$236,0))</f>
        <v/>
      </c>
      <c r="H108">
        <f>INDEX(Lots_Data!$D$2:$D$234,MATCH($A108,Lots_Data!$A$2:$A$234,0))</f>
        <v/>
      </c>
      <c r="I108">
        <f>INDEX(Lots_Data!$C$2:$C$234,MATCH($A108,Lots_Data!$A$2:$A$234,0))</f>
        <v/>
      </c>
    </row>
    <row r="109">
      <c r="A109" t="inlineStr">
        <is>
          <t>HOSP-2|SS-01182</t>
        </is>
      </c>
      <c r="B109">
        <f>INDEX(Lots_Data!$E$2:$E$234,MATCH($A109,Lots_Data!$A$2:$A$234,0))</f>
        <v/>
      </c>
      <c r="C109">
        <f>INDEX(Lots_Data!$A$2:$A$234,MATCH($A109,Lots_Data!$A$2:$A$234,0))</f>
        <v/>
      </c>
      <c r="D109" t="inlineStr">
        <is>
          <t>A</t>
        </is>
      </c>
      <c r="E109">
        <f>INDEX(Usage_Summary!$B$4:$B$236,MATCH($C109,Usage_Summary!$A$4:$A$236,0))*INDEX(Lots_Data!$G$2:$G$234,MATCH($A109,Lots_Data!$A$2:$A$234,0))</f>
        <v/>
      </c>
      <c r="F109">
        <f>INDEX(Lots_Data!$G$2:$G$234,MATCH($A109,Lots_Data!$A$2:$A$234,0))</f>
        <v/>
      </c>
      <c r="G109">
        <f>INDEX(Usage_Summary!$B$4:$B$236,MATCH($C109,Usage_Summary!$A$4:$A$236,0))</f>
        <v/>
      </c>
      <c r="H109">
        <f>INDEX(Lots_Data!$D$2:$D$234,MATCH($A109,Lots_Data!$A$2:$A$234,0))</f>
        <v/>
      </c>
      <c r="I109">
        <f>INDEX(Lots_Data!$C$2:$C$234,MATCH($A109,Lots_Data!$A$2:$A$234,0))</f>
        <v/>
      </c>
    </row>
    <row r="110">
      <c r="A110" t="inlineStr">
        <is>
          <t>HOSP-2|SS-01186</t>
        </is>
      </c>
      <c r="B110">
        <f>INDEX(Lots_Data!$E$2:$E$234,MATCH($A110,Lots_Data!$A$2:$A$234,0))</f>
        <v/>
      </c>
      <c r="C110">
        <f>INDEX(Lots_Data!$A$2:$A$234,MATCH($A110,Lots_Data!$A$2:$A$234,0))</f>
        <v/>
      </c>
      <c r="D110" t="inlineStr">
        <is>
          <t>C</t>
        </is>
      </c>
      <c r="E110">
        <f>INDEX(Usage_Summary!$B$4:$B$236,MATCH($C110,Usage_Summary!$A$4:$A$236,0))*INDEX(Lots_Data!$G$2:$G$234,MATCH($A110,Lots_Data!$A$2:$A$234,0))</f>
        <v/>
      </c>
      <c r="F110">
        <f>INDEX(Lots_Data!$G$2:$G$234,MATCH($A110,Lots_Data!$A$2:$A$234,0))</f>
        <v/>
      </c>
      <c r="G110">
        <f>INDEX(Usage_Summary!$B$4:$B$236,MATCH($C110,Usage_Summary!$A$4:$A$236,0))</f>
        <v/>
      </c>
      <c r="H110">
        <f>INDEX(Lots_Data!$D$2:$D$234,MATCH($A110,Lots_Data!$A$2:$A$234,0))</f>
        <v/>
      </c>
      <c r="I110">
        <f>INDEX(Lots_Data!$C$2:$C$234,MATCH($A110,Lots_Data!$A$2:$A$234,0))</f>
        <v/>
      </c>
    </row>
    <row r="111">
      <c r="A111" t="inlineStr">
        <is>
          <t>HOSP-2|SS-01190</t>
        </is>
      </c>
      <c r="B111">
        <f>INDEX(Lots_Data!$E$2:$E$234,MATCH($A111,Lots_Data!$A$2:$A$234,0))</f>
        <v/>
      </c>
      <c r="C111">
        <f>INDEX(Lots_Data!$A$2:$A$234,MATCH($A111,Lots_Data!$A$2:$A$234,0))</f>
        <v/>
      </c>
      <c r="D111" t="inlineStr">
        <is>
          <t>B</t>
        </is>
      </c>
      <c r="E111">
        <f>INDEX(Usage_Summary!$B$4:$B$236,MATCH($C111,Usage_Summary!$A$4:$A$236,0))*INDEX(Lots_Data!$G$2:$G$234,MATCH($A111,Lots_Data!$A$2:$A$234,0))</f>
        <v/>
      </c>
      <c r="F111">
        <f>INDEX(Lots_Data!$G$2:$G$234,MATCH($A111,Lots_Data!$A$2:$A$234,0))</f>
        <v/>
      </c>
      <c r="G111">
        <f>INDEX(Usage_Summary!$B$4:$B$236,MATCH($C111,Usage_Summary!$A$4:$A$236,0))</f>
        <v/>
      </c>
      <c r="H111">
        <f>INDEX(Lots_Data!$D$2:$D$234,MATCH($A111,Lots_Data!$A$2:$A$234,0))</f>
        <v/>
      </c>
      <c r="I111">
        <f>INDEX(Lots_Data!$C$2:$C$234,MATCH($A111,Lots_Data!$A$2:$A$234,0))</f>
        <v/>
      </c>
    </row>
    <row r="112">
      <c r="A112" t="inlineStr">
        <is>
          <t>HOSP-2|SS-01194</t>
        </is>
      </c>
      <c r="B112">
        <f>INDEX(Lots_Data!$E$2:$E$234,MATCH($A112,Lots_Data!$A$2:$A$234,0))</f>
        <v/>
      </c>
      <c r="C112">
        <f>INDEX(Lots_Data!$A$2:$A$234,MATCH($A112,Lots_Data!$A$2:$A$234,0))</f>
        <v/>
      </c>
      <c r="D112" t="inlineStr">
        <is>
          <t>B</t>
        </is>
      </c>
      <c r="E112">
        <f>INDEX(Usage_Summary!$B$4:$B$236,MATCH($C112,Usage_Summary!$A$4:$A$236,0))*INDEX(Lots_Data!$G$2:$G$234,MATCH($A112,Lots_Data!$A$2:$A$234,0))</f>
        <v/>
      </c>
      <c r="F112">
        <f>INDEX(Lots_Data!$G$2:$G$234,MATCH($A112,Lots_Data!$A$2:$A$234,0))</f>
        <v/>
      </c>
      <c r="G112">
        <f>INDEX(Usage_Summary!$B$4:$B$236,MATCH($C112,Usage_Summary!$A$4:$A$236,0))</f>
        <v/>
      </c>
      <c r="H112">
        <f>INDEX(Lots_Data!$D$2:$D$234,MATCH($A112,Lots_Data!$A$2:$A$234,0))</f>
        <v/>
      </c>
      <c r="I112">
        <f>INDEX(Lots_Data!$C$2:$C$234,MATCH($A112,Lots_Data!$A$2:$A$234,0))</f>
        <v/>
      </c>
    </row>
    <row r="113">
      <c r="A113" t="inlineStr">
        <is>
          <t>HOSP-2|SS-01198</t>
        </is>
      </c>
      <c r="B113">
        <f>INDEX(Lots_Data!$E$2:$E$234,MATCH($A113,Lots_Data!$A$2:$A$234,0))</f>
        <v/>
      </c>
      <c r="C113">
        <f>INDEX(Lots_Data!$A$2:$A$234,MATCH($A113,Lots_Data!$A$2:$A$234,0))</f>
        <v/>
      </c>
      <c r="D113" t="inlineStr">
        <is>
          <t>C</t>
        </is>
      </c>
      <c r="E113">
        <f>INDEX(Usage_Summary!$B$4:$B$236,MATCH($C113,Usage_Summary!$A$4:$A$236,0))*INDEX(Lots_Data!$G$2:$G$234,MATCH($A113,Lots_Data!$A$2:$A$234,0))</f>
        <v/>
      </c>
      <c r="F113">
        <f>INDEX(Lots_Data!$G$2:$G$234,MATCH($A113,Lots_Data!$A$2:$A$234,0))</f>
        <v/>
      </c>
      <c r="G113">
        <f>INDEX(Usage_Summary!$B$4:$B$236,MATCH($C113,Usage_Summary!$A$4:$A$236,0))</f>
        <v/>
      </c>
      <c r="H113">
        <f>INDEX(Lots_Data!$D$2:$D$234,MATCH($A113,Lots_Data!$A$2:$A$234,0))</f>
        <v/>
      </c>
      <c r="I113">
        <f>INDEX(Lots_Data!$C$2:$C$234,MATCH($A113,Lots_Data!$A$2:$A$234,0))</f>
        <v/>
      </c>
    </row>
    <row r="114">
      <c r="A114" t="inlineStr">
        <is>
          <t>HOSP-2|SS-01202</t>
        </is>
      </c>
      <c r="B114">
        <f>INDEX(Lots_Data!$E$2:$E$234,MATCH($A114,Lots_Data!$A$2:$A$234,0))</f>
        <v/>
      </c>
      <c r="C114">
        <f>INDEX(Lots_Data!$A$2:$A$234,MATCH($A114,Lots_Data!$A$2:$A$234,0))</f>
        <v/>
      </c>
      <c r="D114" t="inlineStr">
        <is>
          <t>B</t>
        </is>
      </c>
      <c r="E114">
        <f>INDEX(Usage_Summary!$B$4:$B$236,MATCH($C114,Usage_Summary!$A$4:$A$236,0))*INDEX(Lots_Data!$G$2:$G$234,MATCH($A114,Lots_Data!$A$2:$A$234,0))</f>
        <v/>
      </c>
      <c r="F114">
        <f>INDEX(Lots_Data!$G$2:$G$234,MATCH($A114,Lots_Data!$A$2:$A$234,0))</f>
        <v/>
      </c>
      <c r="G114">
        <f>INDEX(Usage_Summary!$B$4:$B$236,MATCH($C114,Usage_Summary!$A$4:$A$236,0))</f>
        <v/>
      </c>
      <c r="H114">
        <f>INDEX(Lots_Data!$D$2:$D$234,MATCH($A114,Lots_Data!$A$2:$A$234,0))</f>
        <v/>
      </c>
      <c r="I114">
        <f>INDEX(Lots_Data!$C$2:$C$234,MATCH($A114,Lots_Data!$A$2:$A$234,0))</f>
        <v/>
      </c>
    </row>
    <row r="115">
      <c r="A115" t="inlineStr">
        <is>
          <t>HOSP-2|SS-01206</t>
        </is>
      </c>
      <c r="B115">
        <f>INDEX(Lots_Data!$E$2:$E$234,MATCH($A115,Lots_Data!$A$2:$A$234,0))</f>
        <v/>
      </c>
      <c r="C115">
        <f>INDEX(Lots_Data!$A$2:$A$234,MATCH($A115,Lots_Data!$A$2:$A$234,0))</f>
        <v/>
      </c>
      <c r="D115" t="inlineStr">
        <is>
          <t>C</t>
        </is>
      </c>
      <c r="E115">
        <f>INDEX(Usage_Summary!$B$4:$B$236,MATCH($C115,Usage_Summary!$A$4:$A$236,0))*INDEX(Lots_Data!$G$2:$G$234,MATCH($A115,Lots_Data!$A$2:$A$234,0))</f>
        <v/>
      </c>
      <c r="F115">
        <f>INDEX(Lots_Data!$G$2:$G$234,MATCH($A115,Lots_Data!$A$2:$A$234,0))</f>
        <v/>
      </c>
      <c r="G115">
        <f>INDEX(Usage_Summary!$B$4:$B$236,MATCH($C115,Usage_Summary!$A$4:$A$236,0))</f>
        <v/>
      </c>
      <c r="H115">
        <f>INDEX(Lots_Data!$D$2:$D$234,MATCH($A115,Lots_Data!$A$2:$A$234,0))</f>
        <v/>
      </c>
      <c r="I115">
        <f>INDEX(Lots_Data!$C$2:$C$234,MATCH($A115,Lots_Data!$A$2:$A$234,0))</f>
        <v/>
      </c>
    </row>
    <row r="116">
      <c r="A116" t="inlineStr">
        <is>
          <t>HOSP-2|SS-01210</t>
        </is>
      </c>
      <c r="B116">
        <f>INDEX(Lots_Data!$E$2:$E$234,MATCH($A116,Lots_Data!$A$2:$A$234,0))</f>
        <v/>
      </c>
      <c r="C116">
        <f>INDEX(Lots_Data!$A$2:$A$234,MATCH($A116,Lots_Data!$A$2:$A$234,0))</f>
        <v/>
      </c>
      <c r="D116" t="inlineStr">
        <is>
          <t>C</t>
        </is>
      </c>
      <c r="E116">
        <f>INDEX(Usage_Summary!$B$4:$B$236,MATCH($C116,Usage_Summary!$A$4:$A$236,0))*INDEX(Lots_Data!$G$2:$G$234,MATCH($A116,Lots_Data!$A$2:$A$234,0))</f>
        <v/>
      </c>
      <c r="F116">
        <f>INDEX(Lots_Data!$G$2:$G$234,MATCH($A116,Lots_Data!$A$2:$A$234,0))</f>
        <v/>
      </c>
      <c r="G116">
        <f>INDEX(Usage_Summary!$B$4:$B$236,MATCH($C116,Usage_Summary!$A$4:$A$236,0))</f>
        <v/>
      </c>
      <c r="H116">
        <f>INDEX(Lots_Data!$D$2:$D$234,MATCH($A116,Lots_Data!$A$2:$A$234,0))</f>
        <v/>
      </c>
      <c r="I116">
        <f>INDEX(Lots_Data!$C$2:$C$234,MATCH($A116,Lots_Data!$A$2:$A$234,0))</f>
        <v/>
      </c>
    </row>
    <row r="117">
      <c r="A117" t="inlineStr">
        <is>
          <t>HOSP-2|SS-01214</t>
        </is>
      </c>
      <c r="B117">
        <f>INDEX(Lots_Data!$E$2:$E$234,MATCH($A117,Lots_Data!$A$2:$A$234,0))</f>
        <v/>
      </c>
      <c r="C117">
        <f>INDEX(Lots_Data!$A$2:$A$234,MATCH($A117,Lots_Data!$A$2:$A$234,0))</f>
        <v/>
      </c>
      <c r="D117" t="inlineStr">
        <is>
          <t>B</t>
        </is>
      </c>
      <c r="E117">
        <f>INDEX(Usage_Summary!$B$4:$B$236,MATCH($C117,Usage_Summary!$A$4:$A$236,0))*INDEX(Lots_Data!$G$2:$G$234,MATCH($A117,Lots_Data!$A$2:$A$234,0))</f>
        <v/>
      </c>
      <c r="F117">
        <f>INDEX(Lots_Data!$G$2:$G$234,MATCH($A117,Lots_Data!$A$2:$A$234,0))</f>
        <v/>
      </c>
      <c r="G117">
        <f>INDEX(Usage_Summary!$B$4:$B$236,MATCH($C117,Usage_Summary!$A$4:$A$236,0))</f>
        <v/>
      </c>
      <c r="H117">
        <f>INDEX(Lots_Data!$D$2:$D$234,MATCH($A117,Lots_Data!$A$2:$A$234,0))</f>
        <v/>
      </c>
      <c r="I117">
        <f>INDEX(Lots_Data!$C$2:$C$234,MATCH($A117,Lots_Data!$A$2:$A$234,0))</f>
        <v/>
      </c>
    </row>
    <row r="118">
      <c r="A118" t="inlineStr">
        <is>
          <t>HOSP-2|SS-01218</t>
        </is>
      </c>
      <c r="B118">
        <f>INDEX(Lots_Data!$E$2:$E$234,MATCH($A118,Lots_Data!$A$2:$A$234,0))</f>
        <v/>
      </c>
      <c r="C118">
        <f>INDEX(Lots_Data!$A$2:$A$234,MATCH($A118,Lots_Data!$A$2:$A$234,0))</f>
        <v/>
      </c>
      <c r="D118" t="inlineStr">
        <is>
          <t>B</t>
        </is>
      </c>
      <c r="E118">
        <f>INDEX(Usage_Summary!$B$4:$B$236,MATCH($C118,Usage_Summary!$A$4:$A$236,0))*INDEX(Lots_Data!$G$2:$G$234,MATCH($A118,Lots_Data!$A$2:$A$234,0))</f>
        <v/>
      </c>
      <c r="F118">
        <f>INDEX(Lots_Data!$G$2:$G$234,MATCH($A118,Lots_Data!$A$2:$A$234,0))</f>
        <v/>
      </c>
      <c r="G118">
        <f>INDEX(Usage_Summary!$B$4:$B$236,MATCH($C118,Usage_Summary!$A$4:$A$236,0))</f>
        <v/>
      </c>
      <c r="H118">
        <f>INDEX(Lots_Data!$D$2:$D$234,MATCH($A118,Lots_Data!$A$2:$A$234,0))</f>
        <v/>
      </c>
      <c r="I118">
        <f>INDEX(Lots_Data!$C$2:$C$234,MATCH($A118,Lots_Data!$A$2:$A$234,0))</f>
        <v/>
      </c>
    </row>
    <row r="119">
      <c r="A119" t="inlineStr">
        <is>
          <t>HOSP-2|SS-01222</t>
        </is>
      </c>
      <c r="B119">
        <f>INDEX(Lots_Data!$E$2:$E$234,MATCH($A119,Lots_Data!$A$2:$A$234,0))</f>
        <v/>
      </c>
      <c r="C119">
        <f>INDEX(Lots_Data!$A$2:$A$234,MATCH($A119,Lots_Data!$A$2:$A$234,0))</f>
        <v/>
      </c>
      <c r="D119" t="inlineStr">
        <is>
          <t>C</t>
        </is>
      </c>
      <c r="E119">
        <f>INDEX(Usage_Summary!$B$4:$B$236,MATCH($C119,Usage_Summary!$A$4:$A$236,0))*INDEX(Lots_Data!$G$2:$G$234,MATCH($A119,Lots_Data!$A$2:$A$234,0))</f>
        <v/>
      </c>
      <c r="F119">
        <f>INDEX(Lots_Data!$G$2:$G$234,MATCH($A119,Lots_Data!$A$2:$A$234,0))</f>
        <v/>
      </c>
      <c r="G119">
        <f>INDEX(Usage_Summary!$B$4:$B$236,MATCH($C119,Usage_Summary!$A$4:$A$236,0))</f>
        <v/>
      </c>
      <c r="H119">
        <f>INDEX(Lots_Data!$D$2:$D$234,MATCH($A119,Lots_Data!$A$2:$A$234,0))</f>
        <v/>
      </c>
      <c r="I119">
        <f>INDEX(Lots_Data!$C$2:$C$234,MATCH($A119,Lots_Data!$A$2:$A$234,0))</f>
        <v/>
      </c>
    </row>
    <row r="120">
      <c r="A120" t="inlineStr">
        <is>
          <t>HOSP-2|SS-01226</t>
        </is>
      </c>
      <c r="B120">
        <f>INDEX(Lots_Data!$E$2:$E$234,MATCH($A120,Lots_Data!$A$2:$A$234,0))</f>
        <v/>
      </c>
      <c r="C120">
        <f>INDEX(Lots_Data!$A$2:$A$234,MATCH($A120,Lots_Data!$A$2:$A$234,0))</f>
        <v/>
      </c>
      <c r="D120" t="inlineStr">
        <is>
          <t>A</t>
        </is>
      </c>
      <c r="E120">
        <f>INDEX(Usage_Summary!$B$4:$B$236,MATCH($C120,Usage_Summary!$A$4:$A$236,0))*INDEX(Lots_Data!$G$2:$G$234,MATCH($A120,Lots_Data!$A$2:$A$234,0))</f>
        <v/>
      </c>
      <c r="F120">
        <f>INDEX(Lots_Data!$G$2:$G$234,MATCH($A120,Lots_Data!$A$2:$A$234,0))</f>
        <v/>
      </c>
      <c r="G120">
        <f>INDEX(Usage_Summary!$B$4:$B$236,MATCH($C120,Usage_Summary!$A$4:$A$236,0))</f>
        <v/>
      </c>
      <c r="H120">
        <f>INDEX(Lots_Data!$D$2:$D$234,MATCH($A120,Lots_Data!$A$2:$A$234,0))</f>
        <v/>
      </c>
      <c r="I120">
        <f>INDEX(Lots_Data!$C$2:$C$234,MATCH($A120,Lots_Data!$A$2:$A$234,0))</f>
        <v/>
      </c>
    </row>
    <row r="121">
      <c r="A121" t="inlineStr">
        <is>
          <t>HOSP-2|SS-01230</t>
        </is>
      </c>
      <c r="B121">
        <f>INDEX(Lots_Data!$E$2:$E$234,MATCH($A121,Lots_Data!$A$2:$A$234,0))</f>
        <v/>
      </c>
      <c r="C121">
        <f>INDEX(Lots_Data!$A$2:$A$234,MATCH($A121,Lots_Data!$A$2:$A$234,0))</f>
        <v/>
      </c>
      <c r="D121" t="inlineStr">
        <is>
          <t>C</t>
        </is>
      </c>
      <c r="E121">
        <f>INDEX(Usage_Summary!$B$4:$B$236,MATCH($C121,Usage_Summary!$A$4:$A$236,0))*INDEX(Lots_Data!$G$2:$G$234,MATCH($A121,Lots_Data!$A$2:$A$234,0))</f>
        <v/>
      </c>
      <c r="F121">
        <f>INDEX(Lots_Data!$G$2:$G$234,MATCH($A121,Lots_Data!$A$2:$A$234,0))</f>
        <v/>
      </c>
      <c r="G121">
        <f>INDEX(Usage_Summary!$B$4:$B$236,MATCH($C121,Usage_Summary!$A$4:$A$236,0))</f>
        <v/>
      </c>
      <c r="H121">
        <f>INDEX(Lots_Data!$D$2:$D$234,MATCH($A121,Lots_Data!$A$2:$A$234,0))</f>
        <v/>
      </c>
      <c r="I121">
        <f>INDEX(Lots_Data!$C$2:$C$234,MATCH($A121,Lots_Data!$A$2:$A$234,0))</f>
        <v/>
      </c>
    </row>
    <row r="122">
      <c r="A122" t="inlineStr">
        <is>
          <t>HOSP-3|SS-01003</t>
        </is>
      </c>
      <c r="B122">
        <f>INDEX(Lots_Data!$E$2:$E$234,MATCH($A122,Lots_Data!$A$2:$A$234,0))</f>
        <v/>
      </c>
      <c r="C122">
        <f>INDEX(Lots_Data!$A$2:$A$234,MATCH($A122,Lots_Data!$A$2:$A$234,0))</f>
        <v/>
      </c>
      <c r="D122" t="inlineStr">
        <is>
          <t>C</t>
        </is>
      </c>
      <c r="E122">
        <f>INDEX(Usage_Summary!$B$4:$B$236,MATCH($C122,Usage_Summary!$A$4:$A$236,0))*INDEX(Lots_Data!$G$2:$G$234,MATCH($A122,Lots_Data!$A$2:$A$234,0))</f>
        <v/>
      </c>
      <c r="F122">
        <f>INDEX(Lots_Data!$G$2:$G$234,MATCH($A122,Lots_Data!$A$2:$A$234,0))</f>
        <v/>
      </c>
      <c r="G122">
        <f>INDEX(Usage_Summary!$B$4:$B$236,MATCH($C122,Usage_Summary!$A$4:$A$236,0))</f>
        <v/>
      </c>
      <c r="H122">
        <f>INDEX(Lots_Data!$D$2:$D$234,MATCH($A122,Lots_Data!$A$2:$A$234,0))</f>
        <v/>
      </c>
      <c r="I122">
        <f>INDEX(Lots_Data!$C$2:$C$234,MATCH($A122,Lots_Data!$A$2:$A$234,0))</f>
        <v/>
      </c>
    </row>
    <row r="123">
      <c r="A123" t="inlineStr">
        <is>
          <t>HOSP-3|SS-01007</t>
        </is>
      </c>
      <c r="B123">
        <f>INDEX(Lots_Data!$E$2:$E$234,MATCH($A123,Lots_Data!$A$2:$A$234,0))</f>
        <v/>
      </c>
      <c r="C123">
        <f>INDEX(Lots_Data!$A$2:$A$234,MATCH($A123,Lots_Data!$A$2:$A$234,0))</f>
        <v/>
      </c>
      <c r="D123" t="inlineStr">
        <is>
          <t>C</t>
        </is>
      </c>
      <c r="E123">
        <f>INDEX(Usage_Summary!$B$4:$B$236,MATCH($C123,Usage_Summary!$A$4:$A$236,0))*INDEX(Lots_Data!$G$2:$G$234,MATCH($A123,Lots_Data!$A$2:$A$234,0))</f>
        <v/>
      </c>
      <c r="F123">
        <f>INDEX(Lots_Data!$G$2:$G$234,MATCH($A123,Lots_Data!$A$2:$A$234,0))</f>
        <v/>
      </c>
      <c r="G123">
        <f>INDEX(Usage_Summary!$B$4:$B$236,MATCH($C123,Usage_Summary!$A$4:$A$236,0))</f>
        <v/>
      </c>
      <c r="H123">
        <f>INDEX(Lots_Data!$D$2:$D$234,MATCH($A123,Lots_Data!$A$2:$A$234,0))</f>
        <v/>
      </c>
      <c r="I123">
        <f>INDEX(Lots_Data!$C$2:$C$234,MATCH($A123,Lots_Data!$A$2:$A$234,0))</f>
        <v/>
      </c>
    </row>
    <row r="124">
      <c r="A124" t="inlineStr">
        <is>
          <t>HOSP-3|SS-01011</t>
        </is>
      </c>
      <c r="B124">
        <f>INDEX(Lots_Data!$E$2:$E$234,MATCH($A124,Lots_Data!$A$2:$A$234,0))</f>
        <v/>
      </c>
      <c r="C124">
        <f>INDEX(Lots_Data!$A$2:$A$234,MATCH($A124,Lots_Data!$A$2:$A$234,0))</f>
        <v/>
      </c>
      <c r="D124" t="inlineStr">
        <is>
          <t>B</t>
        </is>
      </c>
      <c r="E124">
        <f>INDEX(Usage_Summary!$B$4:$B$236,MATCH($C124,Usage_Summary!$A$4:$A$236,0))*INDEX(Lots_Data!$G$2:$G$234,MATCH($A124,Lots_Data!$A$2:$A$234,0))</f>
        <v/>
      </c>
      <c r="F124">
        <f>INDEX(Lots_Data!$G$2:$G$234,MATCH($A124,Lots_Data!$A$2:$A$234,0))</f>
        <v/>
      </c>
      <c r="G124">
        <f>INDEX(Usage_Summary!$B$4:$B$236,MATCH($C124,Usage_Summary!$A$4:$A$236,0))</f>
        <v/>
      </c>
      <c r="H124">
        <f>INDEX(Lots_Data!$D$2:$D$234,MATCH($A124,Lots_Data!$A$2:$A$234,0))</f>
        <v/>
      </c>
      <c r="I124">
        <f>INDEX(Lots_Data!$C$2:$C$234,MATCH($A124,Lots_Data!$A$2:$A$234,0))</f>
        <v/>
      </c>
    </row>
    <row r="125">
      <c r="A125" t="inlineStr">
        <is>
          <t>HOSP-3|SS-01015</t>
        </is>
      </c>
      <c r="B125">
        <f>INDEX(Lots_Data!$E$2:$E$234,MATCH($A125,Lots_Data!$A$2:$A$234,0))</f>
        <v/>
      </c>
      <c r="C125">
        <f>INDEX(Lots_Data!$A$2:$A$234,MATCH($A125,Lots_Data!$A$2:$A$234,0))</f>
        <v/>
      </c>
      <c r="D125" t="inlineStr">
        <is>
          <t>B</t>
        </is>
      </c>
      <c r="E125">
        <f>INDEX(Usage_Summary!$B$4:$B$236,MATCH($C125,Usage_Summary!$A$4:$A$236,0))*INDEX(Lots_Data!$G$2:$G$234,MATCH($A125,Lots_Data!$A$2:$A$234,0))</f>
        <v/>
      </c>
      <c r="F125">
        <f>INDEX(Lots_Data!$G$2:$G$234,MATCH($A125,Lots_Data!$A$2:$A$234,0))</f>
        <v/>
      </c>
      <c r="G125">
        <f>INDEX(Usage_Summary!$B$4:$B$236,MATCH($C125,Usage_Summary!$A$4:$A$236,0))</f>
        <v/>
      </c>
      <c r="H125">
        <f>INDEX(Lots_Data!$D$2:$D$234,MATCH($A125,Lots_Data!$A$2:$A$234,0))</f>
        <v/>
      </c>
      <c r="I125">
        <f>INDEX(Lots_Data!$C$2:$C$234,MATCH($A125,Lots_Data!$A$2:$A$234,0))</f>
        <v/>
      </c>
    </row>
    <row r="126">
      <c r="A126" t="inlineStr">
        <is>
          <t>HOSP-3|SS-01019</t>
        </is>
      </c>
      <c r="B126">
        <f>INDEX(Lots_Data!$E$2:$E$234,MATCH($A126,Lots_Data!$A$2:$A$234,0))</f>
        <v/>
      </c>
      <c r="C126">
        <f>INDEX(Lots_Data!$A$2:$A$234,MATCH($A126,Lots_Data!$A$2:$A$234,0))</f>
        <v/>
      </c>
      <c r="D126" t="inlineStr">
        <is>
          <t>A</t>
        </is>
      </c>
      <c r="E126">
        <f>INDEX(Usage_Summary!$B$4:$B$236,MATCH($C126,Usage_Summary!$A$4:$A$236,0))*INDEX(Lots_Data!$G$2:$G$234,MATCH($A126,Lots_Data!$A$2:$A$234,0))</f>
        <v/>
      </c>
      <c r="F126">
        <f>INDEX(Lots_Data!$G$2:$G$234,MATCH($A126,Lots_Data!$A$2:$A$234,0))</f>
        <v/>
      </c>
      <c r="G126">
        <f>INDEX(Usage_Summary!$B$4:$B$236,MATCH($C126,Usage_Summary!$A$4:$A$236,0))</f>
        <v/>
      </c>
      <c r="H126">
        <f>INDEX(Lots_Data!$D$2:$D$234,MATCH($A126,Lots_Data!$A$2:$A$234,0))</f>
        <v/>
      </c>
      <c r="I126">
        <f>INDEX(Lots_Data!$C$2:$C$234,MATCH($A126,Lots_Data!$A$2:$A$234,0))</f>
        <v/>
      </c>
    </row>
    <row r="127">
      <c r="A127" t="inlineStr">
        <is>
          <t>HOSP-3|SS-01023</t>
        </is>
      </c>
      <c r="B127">
        <f>INDEX(Lots_Data!$E$2:$E$234,MATCH($A127,Lots_Data!$A$2:$A$234,0))</f>
        <v/>
      </c>
      <c r="C127">
        <f>INDEX(Lots_Data!$A$2:$A$234,MATCH($A127,Lots_Data!$A$2:$A$234,0))</f>
        <v/>
      </c>
      <c r="D127" t="inlineStr">
        <is>
          <t>B</t>
        </is>
      </c>
      <c r="E127">
        <f>INDEX(Usage_Summary!$B$4:$B$236,MATCH($C127,Usage_Summary!$A$4:$A$236,0))*INDEX(Lots_Data!$G$2:$G$234,MATCH($A127,Lots_Data!$A$2:$A$234,0))</f>
        <v/>
      </c>
      <c r="F127">
        <f>INDEX(Lots_Data!$G$2:$G$234,MATCH($A127,Lots_Data!$A$2:$A$234,0))</f>
        <v/>
      </c>
      <c r="G127">
        <f>INDEX(Usage_Summary!$B$4:$B$236,MATCH($C127,Usage_Summary!$A$4:$A$236,0))</f>
        <v/>
      </c>
      <c r="H127">
        <f>INDEX(Lots_Data!$D$2:$D$234,MATCH($A127,Lots_Data!$A$2:$A$234,0))</f>
        <v/>
      </c>
      <c r="I127">
        <f>INDEX(Lots_Data!$C$2:$C$234,MATCH($A127,Lots_Data!$A$2:$A$234,0))</f>
        <v/>
      </c>
    </row>
    <row r="128">
      <c r="A128" t="inlineStr">
        <is>
          <t>HOSP-3|SS-01027</t>
        </is>
      </c>
      <c r="B128">
        <f>INDEX(Lots_Data!$E$2:$E$234,MATCH($A128,Lots_Data!$A$2:$A$234,0))</f>
        <v/>
      </c>
      <c r="C128">
        <f>INDEX(Lots_Data!$A$2:$A$234,MATCH($A128,Lots_Data!$A$2:$A$234,0))</f>
        <v/>
      </c>
      <c r="D128" t="inlineStr">
        <is>
          <t>C</t>
        </is>
      </c>
      <c r="E128">
        <f>INDEX(Usage_Summary!$B$4:$B$236,MATCH($C128,Usage_Summary!$A$4:$A$236,0))*INDEX(Lots_Data!$G$2:$G$234,MATCH($A128,Lots_Data!$A$2:$A$234,0))</f>
        <v/>
      </c>
      <c r="F128">
        <f>INDEX(Lots_Data!$G$2:$G$234,MATCH($A128,Lots_Data!$A$2:$A$234,0))</f>
        <v/>
      </c>
      <c r="G128">
        <f>INDEX(Usage_Summary!$B$4:$B$236,MATCH($C128,Usage_Summary!$A$4:$A$236,0))</f>
        <v/>
      </c>
      <c r="H128">
        <f>INDEX(Lots_Data!$D$2:$D$234,MATCH($A128,Lots_Data!$A$2:$A$234,0))</f>
        <v/>
      </c>
      <c r="I128">
        <f>INDEX(Lots_Data!$C$2:$C$234,MATCH($A128,Lots_Data!$A$2:$A$234,0))</f>
        <v/>
      </c>
    </row>
    <row r="129">
      <c r="A129" t="inlineStr">
        <is>
          <t>HOSP-3|SS-01031</t>
        </is>
      </c>
      <c r="B129">
        <f>INDEX(Lots_Data!$E$2:$E$234,MATCH($A129,Lots_Data!$A$2:$A$234,0))</f>
        <v/>
      </c>
      <c r="C129">
        <f>INDEX(Lots_Data!$A$2:$A$234,MATCH($A129,Lots_Data!$A$2:$A$234,0))</f>
        <v/>
      </c>
      <c r="D129" t="inlineStr">
        <is>
          <t>A</t>
        </is>
      </c>
      <c r="E129">
        <f>INDEX(Usage_Summary!$B$4:$B$236,MATCH($C129,Usage_Summary!$A$4:$A$236,0))*INDEX(Lots_Data!$G$2:$G$234,MATCH($A129,Lots_Data!$A$2:$A$234,0))</f>
        <v/>
      </c>
      <c r="F129">
        <f>INDEX(Lots_Data!$G$2:$G$234,MATCH($A129,Lots_Data!$A$2:$A$234,0))</f>
        <v/>
      </c>
      <c r="G129">
        <f>INDEX(Usage_Summary!$B$4:$B$236,MATCH($C129,Usage_Summary!$A$4:$A$236,0))</f>
        <v/>
      </c>
      <c r="H129">
        <f>INDEX(Lots_Data!$D$2:$D$234,MATCH($A129,Lots_Data!$A$2:$A$234,0))</f>
        <v/>
      </c>
      <c r="I129">
        <f>INDEX(Lots_Data!$C$2:$C$234,MATCH($A129,Lots_Data!$A$2:$A$234,0))</f>
        <v/>
      </c>
    </row>
    <row r="130">
      <c r="A130" t="inlineStr">
        <is>
          <t>HOSP-3|SS-01035</t>
        </is>
      </c>
      <c r="B130">
        <f>INDEX(Lots_Data!$E$2:$E$234,MATCH($A130,Lots_Data!$A$2:$A$234,0))</f>
        <v/>
      </c>
      <c r="C130">
        <f>INDEX(Lots_Data!$A$2:$A$234,MATCH($A130,Lots_Data!$A$2:$A$234,0))</f>
        <v/>
      </c>
      <c r="D130" t="inlineStr">
        <is>
          <t>A</t>
        </is>
      </c>
      <c r="E130">
        <f>INDEX(Usage_Summary!$B$4:$B$236,MATCH($C130,Usage_Summary!$A$4:$A$236,0))*INDEX(Lots_Data!$G$2:$G$234,MATCH($A130,Lots_Data!$A$2:$A$234,0))</f>
        <v/>
      </c>
      <c r="F130">
        <f>INDEX(Lots_Data!$G$2:$G$234,MATCH($A130,Lots_Data!$A$2:$A$234,0))</f>
        <v/>
      </c>
      <c r="G130">
        <f>INDEX(Usage_Summary!$B$4:$B$236,MATCH($C130,Usage_Summary!$A$4:$A$236,0))</f>
        <v/>
      </c>
      <c r="H130">
        <f>INDEX(Lots_Data!$D$2:$D$234,MATCH($A130,Lots_Data!$A$2:$A$234,0))</f>
        <v/>
      </c>
      <c r="I130">
        <f>INDEX(Lots_Data!$C$2:$C$234,MATCH($A130,Lots_Data!$A$2:$A$234,0))</f>
        <v/>
      </c>
    </row>
    <row r="131">
      <c r="A131" t="inlineStr">
        <is>
          <t>HOSP-3|SS-01039</t>
        </is>
      </c>
      <c r="B131">
        <f>INDEX(Lots_Data!$E$2:$E$234,MATCH($A131,Lots_Data!$A$2:$A$234,0))</f>
        <v/>
      </c>
      <c r="C131">
        <f>INDEX(Lots_Data!$A$2:$A$234,MATCH($A131,Lots_Data!$A$2:$A$234,0))</f>
        <v/>
      </c>
      <c r="D131" t="inlineStr">
        <is>
          <t>A</t>
        </is>
      </c>
      <c r="E131">
        <f>INDEX(Usage_Summary!$B$4:$B$236,MATCH($C131,Usage_Summary!$A$4:$A$236,0))*INDEX(Lots_Data!$G$2:$G$234,MATCH($A131,Lots_Data!$A$2:$A$234,0))</f>
        <v/>
      </c>
      <c r="F131">
        <f>INDEX(Lots_Data!$G$2:$G$234,MATCH($A131,Lots_Data!$A$2:$A$234,0))</f>
        <v/>
      </c>
      <c r="G131">
        <f>INDEX(Usage_Summary!$B$4:$B$236,MATCH($C131,Usage_Summary!$A$4:$A$236,0))</f>
        <v/>
      </c>
      <c r="H131">
        <f>INDEX(Lots_Data!$D$2:$D$234,MATCH($A131,Lots_Data!$A$2:$A$234,0))</f>
        <v/>
      </c>
      <c r="I131">
        <f>INDEX(Lots_Data!$C$2:$C$234,MATCH($A131,Lots_Data!$A$2:$A$234,0))</f>
        <v/>
      </c>
    </row>
    <row r="132">
      <c r="A132" t="inlineStr">
        <is>
          <t>HOSP-3|SS-01043</t>
        </is>
      </c>
      <c r="B132">
        <f>INDEX(Lots_Data!$E$2:$E$234,MATCH($A132,Lots_Data!$A$2:$A$234,0))</f>
        <v/>
      </c>
      <c r="C132">
        <f>INDEX(Lots_Data!$A$2:$A$234,MATCH($A132,Lots_Data!$A$2:$A$234,0))</f>
        <v/>
      </c>
      <c r="D132" t="inlineStr">
        <is>
          <t>B</t>
        </is>
      </c>
      <c r="E132">
        <f>INDEX(Usage_Summary!$B$4:$B$236,MATCH($C132,Usage_Summary!$A$4:$A$236,0))*INDEX(Lots_Data!$G$2:$G$234,MATCH($A132,Lots_Data!$A$2:$A$234,0))</f>
        <v/>
      </c>
      <c r="F132">
        <f>INDEX(Lots_Data!$G$2:$G$234,MATCH($A132,Lots_Data!$A$2:$A$234,0))</f>
        <v/>
      </c>
      <c r="G132">
        <f>INDEX(Usage_Summary!$B$4:$B$236,MATCH($C132,Usage_Summary!$A$4:$A$236,0))</f>
        <v/>
      </c>
      <c r="H132">
        <f>INDEX(Lots_Data!$D$2:$D$234,MATCH($A132,Lots_Data!$A$2:$A$234,0))</f>
        <v/>
      </c>
      <c r="I132">
        <f>INDEX(Lots_Data!$C$2:$C$234,MATCH($A132,Lots_Data!$A$2:$A$234,0))</f>
        <v/>
      </c>
    </row>
    <row r="133">
      <c r="A133" t="inlineStr">
        <is>
          <t>HOSP-3|SS-01047</t>
        </is>
      </c>
      <c r="B133">
        <f>INDEX(Lots_Data!$E$2:$E$234,MATCH($A133,Lots_Data!$A$2:$A$234,0))</f>
        <v/>
      </c>
      <c r="C133">
        <f>INDEX(Lots_Data!$A$2:$A$234,MATCH($A133,Lots_Data!$A$2:$A$234,0))</f>
        <v/>
      </c>
      <c r="D133" t="inlineStr">
        <is>
          <t>C</t>
        </is>
      </c>
      <c r="E133">
        <f>INDEX(Usage_Summary!$B$4:$B$236,MATCH($C133,Usage_Summary!$A$4:$A$236,0))*INDEX(Lots_Data!$G$2:$G$234,MATCH($A133,Lots_Data!$A$2:$A$234,0))</f>
        <v/>
      </c>
      <c r="F133">
        <f>INDEX(Lots_Data!$G$2:$G$234,MATCH($A133,Lots_Data!$A$2:$A$234,0))</f>
        <v/>
      </c>
      <c r="G133">
        <f>INDEX(Usage_Summary!$B$4:$B$236,MATCH($C133,Usage_Summary!$A$4:$A$236,0))</f>
        <v/>
      </c>
      <c r="H133">
        <f>INDEX(Lots_Data!$D$2:$D$234,MATCH($A133,Lots_Data!$A$2:$A$234,0))</f>
        <v/>
      </c>
      <c r="I133">
        <f>INDEX(Lots_Data!$C$2:$C$234,MATCH($A133,Lots_Data!$A$2:$A$234,0))</f>
        <v/>
      </c>
    </row>
    <row r="134">
      <c r="A134" t="inlineStr">
        <is>
          <t>HOSP-3|SS-01051</t>
        </is>
      </c>
      <c r="B134">
        <f>INDEX(Lots_Data!$E$2:$E$234,MATCH($A134,Lots_Data!$A$2:$A$234,0))</f>
        <v/>
      </c>
      <c r="C134">
        <f>INDEX(Lots_Data!$A$2:$A$234,MATCH($A134,Lots_Data!$A$2:$A$234,0))</f>
        <v/>
      </c>
      <c r="D134" t="inlineStr">
        <is>
          <t>C</t>
        </is>
      </c>
      <c r="E134">
        <f>INDEX(Usage_Summary!$B$4:$B$236,MATCH($C134,Usage_Summary!$A$4:$A$236,0))*INDEX(Lots_Data!$G$2:$G$234,MATCH($A134,Lots_Data!$A$2:$A$234,0))</f>
        <v/>
      </c>
      <c r="F134">
        <f>INDEX(Lots_Data!$G$2:$G$234,MATCH($A134,Lots_Data!$A$2:$A$234,0))</f>
        <v/>
      </c>
      <c r="G134">
        <f>INDEX(Usage_Summary!$B$4:$B$236,MATCH($C134,Usage_Summary!$A$4:$A$236,0))</f>
        <v/>
      </c>
      <c r="H134">
        <f>INDEX(Lots_Data!$D$2:$D$234,MATCH($A134,Lots_Data!$A$2:$A$234,0))</f>
        <v/>
      </c>
      <c r="I134">
        <f>INDEX(Lots_Data!$C$2:$C$234,MATCH($A134,Lots_Data!$A$2:$A$234,0))</f>
        <v/>
      </c>
    </row>
    <row r="135">
      <c r="A135" t="inlineStr">
        <is>
          <t>HOSP-3|SS-01055</t>
        </is>
      </c>
      <c r="B135">
        <f>INDEX(Lots_Data!$E$2:$E$234,MATCH($A135,Lots_Data!$A$2:$A$234,0))</f>
        <v/>
      </c>
      <c r="C135">
        <f>INDEX(Lots_Data!$A$2:$A$234,MATCH($A135,Lots_Data!$A$2:$A$234,0))</f>
        <v/>
      </c>
      <c r="D135" t="inlineStr">
        <is>
          <t>B</t>
        </is>
      </c>
      <c r="E135">
        <f>INDEX(Usage_Summary!$B$4:$B$236,MATCH($C135,Usage_Summary!$A$4:$A$236,0))*INDEX(Lots_Data!$G$2:$G$234,MATCH($A135,Lots_Data!$A$2:$A$234,0))</f>
        <v/>
      </c>
      <c r="F135">
        <f>INDEX(Lots_Data!$G$2:$G$234,MATCH($A135,Lots_Data!$A$2:$A$234,0))</f>
        <v/>
      </c>
      <c r="G135">
        <f>INDEX(Usage_Summary!$B$4:$B$236,MATCH($C135,Usage_Summary!$A$4:$A$236,0))</f>
        <v/>
      </c>
      <c r="H135">
        <f>INDEX(Lots_Data!$D$2:$D$234,MATCH($A135,Lots_Data!$A$2:$A$234,0))</f>
        <v/>
      </c>
      <c r="I135">
        <f>INDEX(Lots_Data!$C$2:$C$234,MATCH($A135,Lots_Data!$A$2:$A$234,0))</f>
        <v/>
      </c>
    </row>
    <row r="136">
      <c r="A136" t="inlineStr">
        <is>
          <t>HOSP-3|SS-01059</t>
        </is>
      </c>
      <c r="B136">
        <f>INDEX(Lots_Data!$E$2:$E$234,MATCH($A136,Lots_Data!$A$2:$A$234,0))</f>
        <v/>
      </c>
      <c r="C136">
        <f>INDEX(Lots_Data!$A$2:$A$234,MATCH($A136,Lots_Data!$A$2:$A$234,0))</f>
        <v/>
      </c>
      <c r="D136" t="inlineStr">
        <is>
          <t>A</t>
        </is>
      </c>
      <c r="E136">
        <f>INDEX(Usage_Summary!$B$4:$B$236,MATCH($C136,Usage_Summary!$A$4:$A$236,0))*INDEX(Lots_Data!$G$2:$G$234,MATCH($A136,Lots_Data!$A$2:$A$234,0))</f>
        <v/>
      </c>
      <c r="F136">
        <f>INDEX(Lots_Data!$G$2:$G$234,MATCH($A136,Lots_Data!$A$2:$A$234,0))</f>
        <v/>
      </c>
      <c r="G136">
        <f>INDEX(Usage_Summary!$B$4:$B$236,MATCH($C136,Usage_Summary!$A$4:$A$236,0))</f>
        <v/>
      </c>
      <c r="H136">
        <f>INDEX(Lots_Data!$D$2:$D$234,MATCH($A136,Lots_Data!$A$2:$A$234,0))</f>
        <v/>
      </c>
      <c r="I136">
        <f>INDEX(Lots_Data!$C$2:$C$234,MATCH($A136,Lots_Data!$A$2:$A$234,0))</f>
        <v/>
      </c>
    </row>
    <row r="137">
      <c r="A137" t="inlineStr">
        <is>
          <t>HOSP-3|SS-01063</t>
        </is>
      </c>
      <c r="B137">
        <f>INDEX(Lots_Data!$E$2:$E$234,MATCH($A137,Lots_Data!$A$2:$A$234,0))</f>
        <v/>
      </c>
      <c r="C137">
        <f>INDEX(Lots_Data!$A$2:$A$234,MATCH($A137,Lots_Data!$A$2:$A$234,0))</f>
        <v/>
      </c>
      <c r="D137" t="inlineStr">
        <is>
          <t>A</t>
        </is>
      </c>
      <c r="E137">
        <f>INDEX(Usage_Summary!$B$4:$B$236,MATCH($C137,Usage_Summary!$A$4:$A$236,0))*INDEX(Lots_Data!$G$2:$G$234,MATCH($A137,Lots_Data!$A$2:$A$234,0))</f>
        <v/>
      </c>
      <c r="F137">
        <f>INDEX(Lots_Data!$G$2:$G$234,MATCH($A137,Lots_Data!$A$2:$A$234,0))</f>
        <v/>
      </c>
      <c r="G137">
        <f>INDEX(Usage_Summary!$B$4:$B$236,MATCH($C137,Usage_Summary!$A$4:$A$236,0))</f>
        <v/>
      </c>
      <c r="H137">
        <f>INDEX(Lots_Data!$D$2:$D$234,MATCH($A137,Lots_Data!$A$2:$A$234,0))</f>
        <v/>
      </c>
      <c r="I137">
        <f>INDEX(Lots_Data!$C$2:$C$234,MATCH($A137,Lots_Data!$A$2:$A$234,0))</f>
        <v/>
      </c>
    </row>
    <row r="138">
      <c r="A138" t="inlineStr">
        <is>
          <t>HOSP-3|SS-01067</t>
        </is>
      </c>
      <c r="B138">
        <f>INDEX(Lots_Data!$E$2:$E$234,MATCH($A138,Lots_Data!$A$2:$A$234,0))</f>
        <v/>
      </c>
      <c r="C138">
        <f>INDEX(Lots_Data!$A$2:$A$234,MATCH($A138,Lots_Data!$A$2:$A$234,0))</f>
        <v/>
      </c>
      <c r="D138" t="inlineStr">
        <is>
          <t>A</t>
        </is>
      </c>
      <c r="E138">
        <f>INDEX(Usage_Summary!$B$4:$B$236,MATCH($C138,Usage_Summary!$A$4:$A$236,0))*INDEX(Lots_Data!$G$2:$G$234,MATCH($A138,Lots_Data!$A$2:$A$234,0))</f>
        <v/>
      </c>
      <c r="F138">
        <f>INDEX(Lots_Data!$G$2:$G$234,MATCH($A138,Lots_Data!$A$2:$A$234,0))</f>
        <v/>
      </c>
      <c r="G138">
        <f>INDEX(Usage_Summary!$B$4:$B$236,MATCH($C138,Usage_Summary!$A$4:$A$236,0))</f>
        <v/>
      </c>
      <c r="H138">
        <f>INDEX(Lots_Data!$D$2:$D$234,MATCH($A138,Lots_Data!$A$2:$A$234,0))</f>
        <v/>
      </c>
      <c r="I138">
        <f>INDEX(Lots_Data!$C$2:$C$234,MATCH($A138,Lots_Data!$A$2:$A$234,0))</f>
        <v/>
      </c>
    </row>
    <row r="139">
      <c r="A139" t="inlineStr">
        <is>
          <t>HOSP-3|SS-01071</t>
        </is>
      </c>
      <c r="B139">
        <f>INDEX(Lots_Data!$E$2:$E$234,MATCH($A139,Lots_Data!$A$2:$A$234,0))</f>
        <v/>
      </c>
      <c r="C139">
        <f>INDEX(Lots_Data!$A$2:$A$234,MATCH($A139,Lots_Data!$A$2:$A$234,0))</f>
        <v/>
      </c>
      <c r="D139" t="inlineStr">
        <is>
          <t>B</t>
        </is>
      </c>
      <c r="E139">
        <f>INDEX(Usage_Summary!$B$4:$B$236,MATCH($C139,Usage_Summary!$A$4:$A$236,0))*INDEX(Lots_Data!$G$2:$G$234,MATCH($A139,Lots_Data!$A$2:$A$234,0))</f>
        <v/>
      </c>
      <c r="F139">
        <f>INDEX(Lots_Data!$G$2:$G$234,MATCH($A139,Lots_Data!$A$2:$A$234,0))</f>
        <v/>
      </c>
      <c r="G139">
        <f>INDEX(Usage_Summary!$B$4:$B$236,MATCH($C139,Usage_Summary!$A$4:$A$236,0))</f>
        <v/>
      </c>
      <c r="H139">
        <f>INDEX(Lots_Data!$D$2:$D$234,MATCH($A139,Lots_Data!$A$2:$A$234,0))</f>
        <v/>
      </c>
      <c r="I139">
        <f>INDEX(Lots_Data!$C$2:$C$234,MATCH($A139,Lots_Data!$A$2:$A$234,0))</f>
        <v/>
      </c>
    </row>
    <row r="140">
      <c r="A140" t="inlineStr">
        <is>
          <t>HOSP-3|SS-01075</t>
        </is>
      </c>
      <c r="B140">
        <f>INDEX(Lots_Data!$E$2:$E$234,MATCH($A140,Lots_Data!$A$2:$A$234,0))</f>
        <v/>
      </c>
      <c r="C140">
        <f>INDEX(Lots_Data!$A$2:$A$234,MATCH($A140,Lots_Data!$A$2:$A$234,0))</f>
        <v/>
      </c>
      <c r="D140" t="inlineStr">
        <is>
          <t>C</t>
        </is>
      </c>
      <c r="E140">
        <f>INDEX(Usage_Summary!$B$4:$B$236,MATCH($C140,Usage_Summary!$A$4:$A$236,0))*INDEX(Lots_Data!$G$2:$G$234,MATCH($A140,Lots_Data!$A$2:$A$234,0))</f>
        <v/>
      </c>
      <c r="F140">
        <f>INDEX(Lots_Data!$G$2:$G$234,MATCH($A140,Lots_Data!$A$2:$A$234,0))</f>
        <v/>
      </c>
      <c r="G140">
        <f>INDEX(Usage_Summary!$B$4:$B$236,MATCH($C140,Usage_Summary!$A$4:$A$236,0))</f>
        <v/>
      </c>
      <c r="H140">
        <f>INDEX(Lots_Data!$D$2:$D$234,MATCH($A140,Lots_Data!$A$2:$A$234,0))</f>
        <v/>
      </c>
      <c r="I140">
        <f>INDEX(Lots_Data!$C$2:$C$234,MATCH($A140,Lots_Data!$A$2:$A$234,0))</f>
        <v/>
      </c>
    </row>
    <row r="141">
      <c r="A141" t="inlineStr">
        <is>
          <t>HOSP-3|SS-01079</t>
        </is>
      </c>
      <c r="B141">
        <f>INDEX(Lots_Data!$E$2:$E$234,MATCH($A141,Lots_Data!$A$2:$A$234,0))</f>
        <v/>
      </c>
      <c r="C141">
        <f>INDEX(Lots_Data!$A$2:$A$234,MATCH($A141,Lots_Data!$A$2:$A$234,0))</f>
        <v/>
      </c>
      <c r="D141" t="inlineStr">
        <is>
          <t>A</t>
        </is>
      </c>
      <c r="E141">
        <f>INDEX(Usage_Summary!$B$4:$B$236,MATCH($C141,Usage_Summary!$A$4:$A$236,0))*INDEX(Lots_Data!$G$2:$G$234,MATCH($A141,Lots_Data!$A$2:$A$234,0))</f>
        <v/>
      </c>
      <c r="F141">
        <f>INDEX(Lots_Data!$G$2:$G$234,MATCH($A141,Lots_Data!$A$2:$A$234,0))</f>
        <v/>
      </c>
      <c r="G141">
        <f>INDEX(Usage_Summary!$B$4:$B$236,MATCH($C141,Usage_Summary!$A$4:$A$236,0))</f>
        <v/>
      </c>
      <c r="H141">
        <f>INDEX(Lots_Data!$D$2:$D$234,MATCH($A141,Lots_Data!$A$2:$A$234,0))</f>
        <v/>
      </c>
      <c r="I141">
        <f>INDEX(Lots_Data!$C$2:$C$234,MATCH($A141,Lots_Data!$A$2:$A$234,0))</f>
        <v/>
      </c>
    </row>
    <row r="142">
      <c r="A142" t="inlineStr">
        <is>
          <t>HOSP-3|SS-01083</t>
        </is>
      </c>
      <c r="B142">
        <f>INDEX(Lots_Data!$E$2:$E$234,MATCH($A142,Lots_Data!$A$2:$A$234,0))</f>
        <v/>
      </c>
      <c r="C142">
        <f>INDEX(Lots_Data!$A$2:$A$234,MATCH($A142,Lots_Data!$A$2:$A$234,0))</f>
        <v/>
      </c>
      <c r="D142" t="inlineStr">
        <is>
          <t>C</t>
        </is>
      </c>
      <c r="E142">
        <f>INDEX(Usage_Summary!$B$4:$B$236,MATCH($C142,Usage_Summary!$A$4:$A$236,0))*INDEX(Lots_Data!$G$2:$G$234,MATCH($A142,Lots_Data!$A$2:$A$234,0))</f>
        <v/>
      </c>
      <c r="F142">
        <f>INDEX(Lots_Data!$G$2:$G$234,MATCH($A142,Lots_Data!$A$2:$A$234,0))</f>
        <v/>
      </c>
      <c r="G142">
        <f>INDEX(Usage_Summary!$B$4:$B$236,MATCH($C142,Usage_Summary!$A$4:$A$236,0))</f>
        <v/>
      </c>
      <c r="H142">
        <f>INDEX(Lots_Data!$D$2:$D$234,MATCH($A142,Lots_Data!$A$2:$A$234,0))</f>
        <v/>
      </c>
      <c r="I142">
        <f>INDEX(Lots_Data!$C$2:$C$234,MATCH($A142,Lots_Data!$A$2:$A$234,0))</f>
        <v/>
      </c>
    </row>
    <row r="143">
      <c r="A143" t="inlineStr">
        <is>
          <t>HOSP-3|SS-01087</t>
        </is>
      </c>
      <c r="B143">
        <f>INDEX(Lots_Data!$E$2:$E$234,MATCH($A143,Lots_Data!$A$2:$A$234,0))</f>
        <v/>
      </c>
      <c r="C143">
        <f>INDEX(Lots_Data!$A$2:$A$234,MATCH($A143,Lots_Data!$A$2:$A$234,0))</f>
        <v/>
      </c>
      <c r="D143" t="inlineStr">
        <is>
          <t>B</t>
        </is>
      </c>
      <c r="E143">
        <f>INDEX(Usage_Summary!$B$4:$B$236,MATCH($C143,Usage_Summary!$A$4:$A$236,0))*INDEX(Lots_Data!$G$2:$G$234,MATCH($A143,Lots_Data!$A$2:$A$234,0))</f>
        <v/>
      </c>
      <c r="F143">
        <f>INDEX(Lots_Data!$G$2:$G$234,MATCH($A143,Lots_Data!$A$2:$A$234,0))</f>
        <v/>
      </c>
      <c r="G143">
        <f>INDEX(Usage_Summary!$B$4:$B$236,MATCH($C143,Usage_Summary!$A$4:$A$236,0))</f>
        <v/>
      </c>
      <c r="H143">
        <f>INDEX(Lots_Data!$D$2:$D$234,MATCH($A143,Lots_Data!$A$2:$A$234,0))</f>
        <v/>
      </c>
      <c r="I143">
        <f>INDEX(Lots_Data!$C$2:$C$234,MATCH($A143,Lots_Data!$A$2:$A$234,0))</f>
        <v/>
      </c>
    </row>
    <row r="144">
      <c r="A144" t="inlineStr">
        <is>
          <t>HOSP-3|SS-01091</t>
        </is>
      </c>
      <c r="B144">
        <f>INDEX(Lots_Data!$E$2:$E$234,MATCH($A144,Lots_Data!$A$2:$A$234,0))</f>
        <v/>
      </c>
      <c r="C144">
        <f>INDEX(Lots_Data!$A$2:$A$234,MATCH($A144,Lots_Data!$A$2:$A$234,0))</f>
        <v/>
      </c>
      <c r="D144" t="inlineStr">
        <is>
          <t>B</t>
        </is>
      </c>
      <c r="E144">
        <f>INDEX(Usage_Summary!$B$4:$B$236,MATCH($C144,Usage_Summary!$A$4:$A$236,0))*INDEX(Lots_Data!$G$2:$G$234,MATCH($A144,Lots_Data!$A$2:$A$234,0))</f>
        <v/>
      </c>
      <c r="F144">
        <f>INDEX(Lots_Data!$G$2:$G$234,MATCH($A144,Lots_Data!$A$2:$A$234,0))</f>
        <v/>
      </c>
      <c r="G144">
        <f>INDEX(Usage_Summary!$B$4:$B$236,MATCH($C144,Usage_Summary!$A$4:$A$236,0))</f>
        <v/>
      </c>
      <c r="H144">
        <f>INDEX(Lots_Data!$D$2:$D$234,MATCH($A144,Lots_Data!$A$2:$A$234,0))</f>
        <v/>
      </c>
      <c r="I144">
        <f>INDEX(Lots_Data!$C$2:$C$234,MATCH($A144,Lots_Data!$A$2:$A$234,0))</f>
        <v/>
      </c>
    </row>
    <row r="145">
      <c r="A145" t="inlineStr">
        <is>
          <t>HOSP-3|SS-01095</t>
        </is>
      </c>
      <c r="B145">
        <f>INDEX(Lots_Data!$E$2:$E$234,MATCH($A145,Lots_Data!$A$2:$A$234,0))</f>
        <v/>
      </c>
      <c r="C145">
        <f>INDEX(Lots_Data!$A$2:$A$234,MATCH($A145,Lots_Data!$A$2:$A$234,0))</f>
        <v/>
      </c>
      <c r="D145" t="inlineStr">
        <is>
          <t>A</t>
        </is>
      </c>
      <c r="E145">
        <f>INDEX(Usage_Summary!$B$4:$B$236,MATCH($C145,Usage_Summary!$A$4:$A$236,0))*INDEX(Lots_Data!$G$2:$G$234,MATCH($A145,Lots_Data!$A$2:$A$234,0))</f>
        <v/>
      </c>
      <c r="F145">
        <f>INDEX(Lots_Data!$G$2:$G$234,MATCH($A145,Lots_Data!$A$2:$A$234,0))</f>
        <v/>
      </c>
      <c r="G145">
        <f>INDEX(Usage_Summary!$B$4:$B$236,MATCH($C145,Usage_Summary!$A$4:$A$236,0))</f>
        <v/>
      </c>
      <c r="H145">
        <f>INDEX(Lots_Data!$D$2:$D$234,MATCH($A145,Lots_Data!$A$2:$A$234,0))</f>
        <v/>
      </c>
      <c r="I145">
        <f>INDEX(Lots_Data!$C$2:$C$234,MATCH($A145,Lots_Data!$A$2:$A$234,0))</f>
        <v/>
      </c>
    </row>
    <row r="146">
      <c r="A146" t="inlineStr">
        <is>
          <t>HOSP-3|SS-01099</t>
        </is>
      </c>
      <c r="B146">
        <f>INDEX(Lots_Data!$E$2:$E$234,MATCH($A146,Lots_Data!$A$2:$A$234,0))</f>
        <v/>
      </c>
      <c r="C146">
        <f>INDEX(Lots_Data!$A$2:$A$234,MATCH($A146,Lots_Data!$A$2:$A$234,0))</f>
        <v/>
      </c>
      <c r="D146" t="inlineStr">
        <is>
          <t>C</t>
        </is>
      </c>
      <c r="E146">
        <f>INDEX(Usage_Summary!$B$4:$B$236,MATCH($C146,Usage_Summary!$A$4:$A$236,0))*INDEX(Lots_Data!$G$2:$G$234,MATCH($A146,Lots_Data!$A$2:$A$234,0))</f>
        <v/>
      </c>
      <c r="F146">
        <f>INDEX(Lots_Data!$G$2:$G$234,MATCH($A146,Lots_Data!$A$2:$A$234,0))</f>
        <v/>
      </c>
      <c r="G146">
        <f>INDEX(Usage_Summary!$B$4:$B$236,MATCH($C146,Usage_Summary!$A$4:$A$236,0))</f>
        <v/>
      </c>
      <c r="H146">
        <f>INDEX(Lots_Data!$D$2:$D$234,MATCH($A146,Lots_Data!$A$2:$A$234,0))</f>
        <v/>
      </c>
      <c r="I146">
        <f>INDEX(Lots_Data!$C$2:$C$234,MATCH($A146,Lots_Data!$A$2:$A$234,0))</f>
        <v/>
      </c>
    </row>
    <row r="147">
      <c r="A147" t="inlineStr">
        <is>
          <t>HOSP-3|SS-01103</t>
        </is>
      </c>
      <c r="B147">
        <f>INDEX(Lots_Data!$E$2:$E$234,MATCH($A147,Lots_Data!$A$2:$A$234,0))</f>
        <v/>
      </c>
      <c r="C147">
        <f>INDEX(Lots_Data!$A$2:$A$234,MATCH($A147,Lots_Data!$A$2:$A$234,0))</f>
        <v/>
      </c>
      <c r="D147" t="inlineStr">
        <is>
          <t>C</t>
        </is>
      </c>
      <c r="E147">
        <f>INDEX(Usage_Summary!$B$4:$B$236,MATCH($C147,Usage_Summary!$A$4:$A$236,0))*INDEX(Lots_Data!$G$2:$G$234,MATCH($A147,Lots_Data!$A$2:$A$234,0))</f>
        <v/>
      </c>
      <c r="F147">
        <f>INDEX(Lots_Data!$G$2:$G$234,MATCH($A147,Lots_Data!$A$2:$A$234,0))</f>
        <v/>
      </c>
      <c r="G147">
        <f>INDEX(Usage_Summary!$B$4:$B$236,MATCH($C147,Usage_Summary!$A$4:$A$236,0))</f>
        <v/>
      </c>
      <c r="H147">
        <f>INDEX(Lots_Data!$D$2:$D$234,MATCH($A147,Lots_Data!$A$2:$A$234,0))</f>
        <v/>
      </c>
      <c r="I147">
        <f>INDEX(Lots_Data!$C$2:$C$234,MATCH($A147,Lots_Data!$A$2:$A$234,0))</f>
        <v/>
      </c>
    </row>
    <row r="148">
      <c r="A148" t="inlineStr">
        <is>
          <t>HOSP-3|SS-01107</t>
        </is>
      </c>
      <c r="B148">
        <f>INDEX(Lots_Data!$E$2:$E$234,MATCH($A148,Lots_Data!$A$2:$A$234,0))</f>
        <v/>
      </c>
      <c r="C148">
        <f>INDEX(Lots_Data!$A$2:$A$234,MATCH($A148,Lots_Data!$A$2:$A$234,0))</f>
        <v/>
      </c>
      <c r="D148" t="inlineStr">
        <is>
          <t>A</t>
        </is>
      </c>
      <c r="E148">
        <f>INDEX(Usage_Summary!$B$4:$B$236,MATCH($C148,Usage_Summary!$A$4:$A$236,0))*INDEX(Lots_Data!$G$2:$G$234,MATCH($A148,Lots_Data!$A$2:$A$234,0))</f>
        <v/>
      </c>
      <c r="F148">
        <f>INDEX(Lots_Data!$G$2:$G$234,MATCH($A148,Lots_Data!$A$2:$A$234,0))</f>
        <v/>
      </c>
      <c r="G148">
        <f>INDEX(Usage_Summary!$B$4:$B$236,MATCH($C148,Usage_Summary!$A$4:$A$236,0))</f>
        <v/>
      </c>
      <c r="H148">
        <f>INDEX(Lots_Data!$D$2:$D$234,MATCH($A148,Lots_Data!$A$2:$A$234,0))</f>
        <v/>
      </c>
      <c r="I148">
        <f>INDEX(Lots_Data!$C$2:$C$234,MATCH($A148,Lots_Data!$A$2:$A$234,0))</f>
        <v/>
      </c>
    </row>
    <row r="149">
      <c r="A149" t="inlineStr">
        <is>
          <t>HOSP-3|SS-01111</t>
        </is>
      </c>
      <c r="B149">
        <f>INDEX(Lots_Data!$E$2:$E$234,MATCH($A149,Lots_Data!$A$2:$A$234,0))</f>
        <v/>
      </c>
      <c r="C149">
        <f>INDEX(Lots_Data!$A$2:$A$234,MATCH($A149,Lots_Data!$A$2:$A$234,0))</f>
        <v/>
      </c>
      <c r="D149" t="inlineStr">
        <is>
          <t>A</t>
        </is>
      </c>
      <c r="E149">
        <f>INDEX(Usage_Summary!$B$4:$B$236,MATCH($C149,Usage_Summary!$A$4:$A$236,0))*INDEX(Lots_Data!$G$2:$G$234,MATCH($A149,Lots_Data!$A$2:$A$234,0))</f>
        <v/>
      </c>
      <c r="F149">
        <f>INDEX(Lots_Data!$G$2:$G$234,MATCH($A149,Lots_Data!$A$2:$A$234,0))</f>
        <v/>
      </c>
      <c r="G149">
        <f>INDEX(Usage_Summary!$B$4:$B$236,MATCH($C149,Usage_Summary!$A$4:$A$236,0))</f>
        <v/>
      </c>
      <c r="H149">
        <f>INDEX(Lots_Data!$D$2:$D$234,MATCH($A149,Lots_Data!$A$2:$A$234,0))</f>
        <v/>
      </c>
      <c r="I149">
        <f>INDEX(Lots_Data!$C$2:$C$234,MATCH($A149,Lots_Data!$A$2:$A$234,0))</f>
        <v/>
      </c>
    </row>
    <row r="150">
      <c r="A150" t="inlineStr">
        <is>
          <t>HOSP-3|SS-01115</t>
        </is>
      </c>
      <c r="B150">
        <f>INDEX(Lots_Data!$E$2:$E$234,MATCH($A150,Lots_Data!$A$2:$A$234,0))</f>
        <v/>
      </c>
      <c r="C150">
        <f>INDEX(Lots_Data!$A$2:$A$234,MATCH($A150,Lots_Data!$A$2:$A$234,0))</f>
        <v/>
      </c>
      <c r="D150" t="inlineStr">
        <is>
          <t>A</t>
        </is>
      </c>
      <c r="E150">
        <f>INDEX(Usage_Summary!$B$4:$B$236,MATCH($C150,Usage_Summary!$A$4:$A$236,0))*INDEX(Lots_Data!$G$2:$G$234,MATCH($A150,Lots_Data!$A$2:$A$234,0))</f>
        <v/>
      </c>
      <c r="F150">
        <f>INDEX(Lots_Data!$G$2:$G$234,MATCH($A150,Lots_Data!$A$2:$A$234,0))</f>
        <v/>
      </c>
      <c r="G150">
        <f>INDEX(Usage_Summary!$B$4:$B$236,MATCH($C150,Usage_Summary!$A$4:$A$236,0))</f>
        <v/>
      </c>
      <c r="H150">
        <f>INDEX(Lots_Data!$D$2:$D$234,MATCH($A150,Lots_Data!$A$2:$A$234,0))</f>
        <v/>
      </c>
      <c r="I150">
        <f>INDEX(Lots_Data!$C$2:$C$234,MATCH($A150,Lots_Data!$A$2:$A$234,0))</f>
        <v/>
      </c>
    </row>
    <row r="151">
      <c r="A151" t="inlineStr">
        <is>
          <t>HOSP-3|SS-01119</t>
        </is>
      </c>
      <c r="B151">
        <f>INDEX(Lots_Data!$E$2:$E$234,MATCH($A151,Lots_Data!$A$2:$A$234,0))</f>
        <v/>
      </c>
      <c r="C151">
        <f>INDEX(Lots_Data!$A$2:$A$234,MATCH($A151,Lots_Data!$A$2:$A$234,0))</f>
        <v/>
      </c>
      <c r="D151" t="inlineStr">
        <is>
          <t>B</t>
        </is>
      </c>
      <c r="E151">
        <f>INDEX(Usage_Summary!$B$4:$B$236,MATCH($C151,Usage_Summary!$A$4:$A$236,0))*INDEX(Lots_Data!$G$2:$G$234,MATCH($A151,Lots_Data!$A$2:$A$234,0))</f>
        <v/>
      </c>
      <c r="F151">
        <f>INDEX(Lots_Data!$G$2:$G$234,MATCH($A151,Lots_Data!$A$2:$A$234,0))</f>
        <v/>
      </c>
      <c r="G151">
        <f>INDEX(Usage_Summary!$B$4:$B$236,MATCH($C151,Usage_Summary!$A$4:$A$236,0))</f>
        <v/>
      </c>
      <c r="H151">
        <f>INDEX(Lots_Data!$D$2:$D$234,MATCH($A151,Lots_Data!$A$2:$A$234,0))</f>
        <v/>
      </c>
      <c r="I151">
        <f>INDEX(Lots_Data!$C$2:$C$234,MATCH($A151,Lots_Data!$A$2:$A$234,0))</f>
        <v/>
      </c>
    </row>
    <row r="152">
      <c r="A152" t="inlineStr">
        <is>
          <t>HOSP-3|SS-01123</t>
        </is>
      </c>
      <c r="B152">
        <f>INDEX(Lots_Data!$E$2:$E$234,MATCH($A152,Lots_Data!$A$2:$A$234,0))</f>
        <v/>
      </c>
      <c r="C152">
        <f>INDEX(Lots_Data!$A$2:$A$234,MATCH($A152,Lots_Data!$A$2:$A$234,0))</f>
        <v/>
      </c>
      <c r="D152" t="inlineStr">
        <is>
          <t>A</t>
        </is>
      </c>
      <c r="E152">
        <f>INDEX(Usage_Summary!$B$4:$B$236,MATCH($C152,Usage_Summary!$A$4:$A$236,0))*INDEX(Lots_Data!$G$2:$G$234,MATCH($A152,Lots_Data!$A$2:$A$234,0))</f>
        <v/>
      </c>
      <c r="F152">
        <f>INDEX(Lots_Data!$G$2:$G$234,MATCH($A152,Lots_Data!$A$2:$A$234,0))</f>
        <v/>
      </c>
      <c r="G152">
        <f>INDEX(Usage_Summary!$B$4:$B$236,MATCH($C152,Usage_Summary!$A$4:$A$236,0))</f>
        <v/>
      </c>
      <c r="H152">
        <f>INDEX(Lots_Data!$D$2:$D$234,MATCH($A152,Lots_Data!$A$2:$A$234,0))</f>
        <v/>
      </c>
      <c r="I152">
        <f>INDEX(Lots_Data!$C$2:$C$234,MATCH($A152,Lots_Data!$A$2:$A$234,0))</f>
        <v/>
      </c>
    </row>
    <row r="153">
      <c r="A153" t="inlineStr">
        <is>
          <t>HOSP-3|SS-01127</t>
        </is>
      </c>
      <c r="B153">
        <f>INDEX(Lots_Data!$E$2:$E$234,MATCH($A153,Lots_Data!$A$2:$A$234,0))</f>
        <v/>
      </c>
      <c r="C153">
        <f>INDEX(Lots_Data!$A$2:$A$234,MATCH($A153,Lots_Data!$A$2:$A$234,0))</f>
        <v/>
      </c>
      <c r="D153" t="inlineStr">
        <is>
          <t>B</t>
        </is>
      </c>
      <c r="E153">
        <f>INDEX(Usage_Summary!$B$4:$B$236,MATCH($C153,Usage_Summary!$A$4:$A$236,0))*INDEX(Lots_Data!$G$2:$G$234,MATCH($A153,Lots_Data!$A$2:$A$234,0))</f>
        <v/>
      </c>
      <c r="F153">
        <f>INDEX(Lots_Data!$G$2:$G$234,MATCH($A153,Lots_Data!$A$2:$A$234,0))</f>
        <v/>
      </c>
      <c r="G153">
        <f>INDEX(Usage_Summary!$B$4:$B$236,MATCH($C153,Usage_Summary!$A$4:$A$236,0))</f>
        <v/>
      </c>
      <c r="H153">
        <f>INDEX(Lots_Data!$D$2:$D$234,MATCH($A153,Lots_Data!$A$2:$A$234,0))</f>
        <v/>
      </c>
      <c r="I153">
        <f>INDEX(Lots_Data!$C$2:$C$234,MATCH($A153,Lots_Data!$A$2:$A$234,0))</f>
        <v/>
      </c>
    </row>
    <row r="154">
      <c r="A154" t="inlineStr">
        <is>
          <t>HOSP-3|SS-01131</t>
        </is>
      </c>
      <c r="B154">
        <f>INDEX(Lots_Data!$E$2:$E$234,MATCH($A154,Lots_Data!$A$2:$A$234,0))</f>
        <v/>
      </c>
      <c r="C154">
        <f>INDEX(Lots_Data!$A$2:$A$234,MATCH($A154,Lots_Data!$A$2:$A$234,0))</f>
        <v/>
      </c>
      <c r="D154" t="inlineStr">
        <is>
          <t>C</t>
        </is>
      </c>
      <c r="E154">
        <f>INDEX(Usage_Summary!$B$4:$B$236,MATCH($C154,Usage_Summary!$A$4:$A$236,0))*INDEX(Lots_Data!$G$2:$G$234,MATCH($A154,Lots_Data!$A$2:$A$234,0))</f>
        <v/>
      </c>
      <c r="F154">
        <f>INDEX(Lots_Data!$G$2:$G$234,MATCH($A154,Lots_Data!$A$2:$A$234,0))</f>
        <v/>
      </c>
      <c r="G154">
        <f>INDEX(Usage_Summary!$B$4:$B$236,MATCH($C154,Usage_Summary!$A$4:$A$236,0))</f>
        <v/>
      </c>
      <c r="H154">
        <f>INDEX(Lots_Data!$D$2:$D$234,MATCH($A154,Lots_Data!$A$2:$A$234,0))</f>
        <v/>
      </c>
      <c r="I154">
        <f>INDEX(Lots_Data!$C$2:$C$234,MATCH($A154,Lots_Data!$A$2:$A$234,0))</f>
        <v/>
      </c>
    </row>
    <row r="155">
      <c r="A155" t="inlineStr">
        <is>
          <t>HOSP-3|SS-01135</t>
        </is>
      </c>
      <c r="B155">
        <f>INDEX(Lots_Data!$E$2:$E$234,MATCH($A155,Lots_Data!$A$2:$A$234,0))</f>
        <v/>
      </c>
      <c r="C155">
        <f>INDEX(Lots_Data!$A$2:$A$234,MATCH($A155,Lots_Data!$A$2:$A$234,0))</f>
        <v/>
      </c>
      <c r="D155" t="inlineStr">
        <is>
          <t>A</t>
        </is>
      </c>
      <c r="E155">
        <f>INDEX(Usage_Summary!$B$4:$B$236,MATCH($C155,Usage_Summary!$A$4:$A$236,0))*INDEX(Lots_Data!$G$2:$G$234,MATCH($A155,Lots_Data!$A$2:$A$234,0))</f>
        <v/>
      </c>
      <c r="F155">
        <f>INDEX(Lots_Data!$G$2:$G$234,MATCH($A155,Lots_Data!$A$2:$A$234,0))</f>
        <v/>
      </c>
      <c r="G155">
        <f>INDEX(Usage_Summary!$B$4:$B$236,MATCH($C155,Usage_Summary!$A$4:$A$236,0))</f>
        <v/>
      </c>
      <c r="H155">
        <f>INDEX(Lots_Data!$D$2:$D$234,MATCH($A155,Lots_Data!$A$2:$A$234,0))</f>
        <v/>
      </c>
      <c r="I155">
        <f>INDEX(Lots_Data!$C$2:$C$234,MATCH($A155,Lots_Data!$A$2:$A$234,0))</f>
        <v/>
      </c>
    </row>
    <row r="156">
      <c r="A156" t="inlineStr">
        <is>
          <t>HOSP-3|SS-01139</t>
        </is>
      </c>
      <c r="B156">
        <f>INDEX(Lots_Data!$E$2:$E$234,MATCH($A156,Lots_Data!$A$2:$A$234,0))</f>
        <v/>
      </c>
      <c r="C156">
        <f>INDEX(Lots_Data!$A$2:$A$234,MATCH($A156,Lots_Data!$A$2:$A$234,0))</f>
        <v/>
      </c>
      <c r="D156" t="inlineStr">
        <is>
          <t>A</t>
        </is>
      </c>
      <c r="E156">
        <f>INDEX(Usage_Summary!$B$4:$B$236,MATCH($C156,Usage_Summary!$A$4:$A$236,0))*INDEX(Lots_Data!$G$2:$G$234,MATCH($A156,Lots_Data!$A$2:$A$234,0))</f>
        <v/>
      </c>
      <c r="F156">
        <f>INDEX(Lots_Data!$G$2:$G$234,MATCH($A156,Lots_Data!$A$2:$A$234,0))</f>
        <v/>
      </c>
      <c r="G156">
        <f>INDEX(Usage_Summary!$B$4:$B$236,MATCH($C156,Usage_Summary!$A$4:$A$236,0))</f>
        <v/>
      </c>
      <c r="H156">
        <f>INDEX(Lots_Data!$D$2:$D$234,MATCH($A156,Lots_Data!$A$2:$A$234,0))</f>
        <v/>
      </c>
      <c r="I156">
        <f>INDEX(Lots_Data!$C$2:$C$234,MATCH($A156,Lots_Data!$A$2:$A$234,0))</f>
        <v/>
      </c>
    </row>
    <row r="157">
      <c r="A157" t="inlineStr">
        <is>
          <t>HOSP-3|SS-01143</t>
        </is>
      </c>
      <c r="B157">
        <f>INDEX(Lots_Data!$E$2:$E$234,MATCH($A157,Lots_Data!$A$2:$A$234,0))</f>
        <v/>
      </c>
      <c r="C157">
        <f>INDEX(Lots_Data!$A$2:$A$234,MATCH($A157,Lots_Data!$A$2:$A$234,0))</f>
        <v/>
      </c>
      <c r="D157" t="inlineStr">
        <is>
          <t>C</t>
        </is>
      </c>
      <c r="E157">
        <f>INDEX(Usage_Summary!$B$4:$B$236,MATCH($C157,Usage_Summary!$A$4:$A$236,0))*INDEX(Lots_Data!$G$2:$G$234,MATCH($A157,Lots_Data!$A$2:$A$234,0))</f>
        <v/>
      </c>
      <c r="F157">
        <f>INDEX(Lots_Data!$G$2:$G$234,MATCH($A157,Lots_Data!$A$2:$A$234,0))</f>
        <v/>
      </c>
      <c r="G157">
        <f>INDEX(Usage_Summary!$B$4:$B$236,MATCH($C157,Usage_Summary!$A$4:$A$236,0))</f>
        <v/>
      </c>
      <c r="H157">
        <f>INDEX(Lots_Data!$D$2:$D$234,MATCH($A157,Lots_Data!$A$2:$A$234,0))</f>
        <v/>
      </c>
      <c r="I157">
        <f>INDEX(Lots_Data!$C$2:$C$234,MATCH($A157,Lots_Data!$A$2:$A$234,0))</f>
        <v/>
      </c>
    </row>
    <row r="158">
      <c r="A158" t="inlineStr">
        <is>
          <t>HOSP-3|SS-01147</t>
        </is>
      </c>
      <c r="B158">
        <f>INDEX(Lots_Data!$E$2:$E$234,MATCH($A158,Lots_Data!$A$2:$A$234,0))</f>
        <v/>
      </c>
      <c r="C158">
        <f>INDEX(Lots_Data!$A$2:$A$234,MATCH($A158,Lots_Data!$A$2:$A$234,0))</f>
        <v/>
      </c>
      <c r="D158" t="inlineStr">
        <is>
          <t>A</t>
        </is>
      </c>
      <c r="E158">
        <f>INDEX(Usage_Summary!$B$4:$B$236,MATCH($C158,Usage_Summary!$A$4:$A$236,0))*INDEX(Lots_Data!$G$2:$G$234,MATCH($A158,Lots_Data!$A$2:$A$234,0))</f>
        <v/>
      </c>
      <c r="F158">
        <f>INDEX(Lots_Data!$G$2:$G$234,MATCH($A158,Lots_Data!$A$2:$A$234,0))</f>
        <v/>
      </c>
      <c r="G158">
        <f>INDEX(Usage_Summary!$B$4:$B$236,MATCH($C158,Usage_Summary!$A$4:$A$236,0))</f>
        <v/>
      </c>
      <c r="H158">
        <f>INDEX(Lots_Data!$D$2:$D$234,MATCH($A158,Lots_Data!$A$2:$A$234,0))</f>
        <v/>
      </c>
      <c r="I158">
        <f>INDEX(Lots_Data!$C$2:$C$234,MATCH($A158,Lots_Data!$A$2:$A$234,0))</f>
        <v/>
      </c>
    </row>
    <row r="159">
      <c r="A159" t="inlineStr">
        <is>
          <t>HOSP-3|SS-01151</t>
        </is>
      </c>
      <c r="B159">
        <f>INDEX(Lots_Data!$E$2:$E$234,MATCH($A159,Lots_Data!$A$2:$A$234,0))</f>
        <v/>
      </c>
      <c r="C159">
        <f>INDEX(Lots_Data!$A$2:$A$234,MATCH($A159,Lots_Data!$A$2:$A$234,0))</f>
        <v/>
      </c>
      <c r="D159" t="inlineStr">
        <is>
          <t>A</t>
        </is>
      </c>
      <c r="E159">
        <f>INDEX(Usage_Summary!$B$4:$B$236,MATCH($C159,Usage_Summary!$A$4:$A$236,0))*INDEX(Lots_Data!$G$2:$G$234,MATCH($A159,Lots_Data!$A$2:$A$234,0))</f>
        <v/>
      </c>
      <c r="F159">
        <f>INDEX(Lots_Data!$G$2:$G$234,MATCH($A159,Lots_Data!$A$2:$A$234,0))</f>
        <v/>
      </c>
      <c r="G159">
        <f>INDEX(Usage_Summary!$B$4:$B$236,MATCH($C159,Usage_Summary!$A$4:$A$236,0))</f>
        <v/>
      </c>
      <c r="H159">
        <f>INDEX(Lots_Data!$D$2:$D$234,MATCH($A159,Lots_Data!$A$2:$A$234,0))</f>
        <v/>
      </c>
      <c r="I159">
        <f>INDEX(Lots_Data!$C$2:$C$234,MATCH($A159,Lots_Data!$A$2:$A$234,0))</f>
        <v/>
      </c>
    </row>
    <row r="160">
      <c r="A160" t="inlineStr">
        <is>
          <t>HOSP-3|SS-01155</t>
        </is>
      </c>
      <c r="B160">
        <f>INDEX(Lots_Data!$E$2:$E$234,MATCH($A160,Lots_Data!$A$2:$A$234,0))</f>
        <v/>
      </c>
      <c r="C160">
        <f>INDEX(Lots_Data!$A$2:$A$234,MATCH($A160,Lots_Data!$A$2:$A$234,0))</f>
        <v/>
      </c>
      <c r="D160" t="inlineStr">
        <is>
          <t>A</t>
        </is>
      </c>
      <c r="E160">
        <f>INDEX(Usage_Summary!$B$4:$B$236,MATCH($C160,Usage_Summary!$A$4:$A$236,0))*INDEX(Lots_Data!$G$2:$G$234,MATCH($A160,Lots_Data!$A$2:$A$234,0))</f>
        <v/>
      </c>
      <c r="F160">
        <f>INDEX(Lots_Data!$G$2:$G$234,MATCH($A160,Lots_Data!$A$2:$A$234,0))</f>
        <v/>
      </c>
      <c r="G160">
        <f>INDEX(Usage_Summary!$B$4:$B$236,MATCH($C160,Usage_Summary!$A$4:$A$236,0))</f>
        <v/>
      </c>
      <c r="H160">
        <f>INDEX(Lots_Data!$D$2:$D$234,MATCH($A160,Lots_Data!$A$2:$A$234,0))</f>
        <v/>
      </c>
      <c r="I160">
        <f>INDEX(Lots_Data!$C$2:$C$234,MATCH($A160,Lots_Data!$A$2:$A$234,0))</f>
        <v/>
      </c>
    </row>
    <row r="161">
      <c r="A161" t="inlineStr">
        <is>
          <t>HOSP-3|SS-01159</t>
        </is>
      </c>
      <c r="B161">
        <f>INDEX(Lots_Data!$E$2:$E$234,MATCH($A161,Lots_Data!$A$2:$A$234,0))</f>
        <v/>
      </c>
      <c r="C161">
        <f>INDEX(Lots_Data!$A$2:$A$234,MATCH($A161,Lots_Data!$A$2:$A$234,0))</f>
        <v/>
      </c>
      <c r="D161" t="inlineStr">
        <is>
          <t>C</t>
        </is>
      </c>
      <c r="E161">
        <f>INDEX(Usage_Summary!$B$4:$B$236,MATCH($C161,Usage_Summary!$A$4:$A$236,0))*INDEX(Lots_Data!$G$2:$G$234,MATCH($A161,Lots_Data!$A$2:$A$234,0))</f>
        <v/>
      </c>
      <c r="F161">
        <f>INDEX(Lots_Data!$G$2:$G$234,MATCH($A161,Lots_Data!$A$2:$A$234,0))</f>
        <v/>
      </c>
      <c r="G161">
        <f>INDEX(Usage_Summary!$B$4:$B$236,MATCH($C161,Usage_Summary!$A$4:$A$236,0))</f>
        <v/>
      </c>
      <c r="H161">
        <f>INDEX(Lots_Data!$D$2:$D$234,MATCH($A161,Lots_Data!$A$2:$A$234,0))</f>
        <v/>
      </c>
      <c r="I161">
        <f>INDEX(Lots_Data!$C$2:$C$234,MATCH($A161,Lots_Data!$A$2:$A$234,0))</f>
        <v/>
      </c>
    </row>
    <row r="162">
      <c r="A162" t="inlineStr">
        <is>
          <t>HOSP-3|SS-01163</t>
        </is>
      </c>
      <c r="B162">
        <f>INDEX(Lots_Data!$E$2:$E$234,MATCH($A162,Lots_Data!$A$2:$A$234,0))</f>
        <v/>
      </c>
      <c r="C162">
        <f>INDEX(Lots_Data!$A$2:$A$234,MATCH($A162,Lots_Data!$A$2:$A$234,0))</f>
        <v/>
      </c>
      <c r="D162" t="inlineStr">
        <is>
          <t>B</t>
        </is>
      </c>
      <c r="E162">
        <f>INDEX(Usage_Summary!$B$4:$B$236,MATCH($C162,Usage_Summary!$A$4:$A$236,0))*INDEX(Lots_Data!$G$2:$G$234,MATCH($A162,Lots_Data!$A$2:$A$234,0))</f>
        <v/>
      </c>
      <c r="F162">
        <f>INDEX(Lots_Data!$G$2:$G$234,MATCH($A162,Lots_Data!$A$2:$A$234,0))</f>
        <v/>
      </c>
      <c r="G162">
        <f>INDEX(Usage_Summary!$B$4:$B$236,MATCH($C162,Usage_Summary!$A$4:$A$236,0))</f>
        <v/>
      </c>
      <c r="H162">
        <f>INDEX(Lots_Data!$D$2:$D$234,MATCH($A162,Lots_Data!$A$2:$A$234,0))</f>
        <v/>
      </c>
      <c r="I162">
        <f>INDEX(Lots_Data!$C$2:$C$234,MATCH($A162,Lots_Data!$A$2:$A$234,0))</f>
        <v/>
      </c>
    </row>
    <row r="163">
      <c r="A163" t="inlineStr">
        <is>
          <t>HOSP-3|SS-01167</t>
        </is>
      </c>
      <c r="B163">
        <f>INDEX(Lots_Data!$E$2:$E$234,MATCH($A163,Lots_Data!$A$2:$A$234,0))</f>
        <v/>
      </c>
      <c r="C163">
        <f>INDEX(Lots_Data!$A$2:$A$234,MATCH($A163,Lots_Data!$A$2:$A$234,0))</f>
        <v/>
      </c>
      <c r="D163" t="inlineStr">
        <is>
          <t>C</t>
        </is>
      </c>
      <c r="E163">
        <f>INDEX(Usage_Summary!$B$4:$B$236,MATCH($C163,Usage_Summary!$A$4:$A$236,0))*INDEX(Lots_Data!$G$2:$G$234,MATCH($A163,Lots_Data!$A$2:$A$234,0))</f>
        <v/>
      </c>
      <c r="F163">
        <f>INDEX(Lots_Data!$G$2:$G$234,MATCH($A163,Lots_Data!$A$2:$A$234,0))</f>
        <v/>
      </c>
      <c r="G163">
        <f>INDEX(Usage_Summary!$B$4:$B$236,MATCH($C163,Usage_Summary!$A$4:$A$236,0))</f>
        <v/>
      </c>
      <c r="H163">
        <f>INDEX(Lots_Data!$D$2:$D$234,MATCH($A163,Lots_Data!$A$2:$A$234,0))</f>
        <v/>
      </c>
      <c r="I163">
        <f>INDEX(Lots_Data!$C$2:$C$234,MATCH($A163,Lots_Data!$A$2:$A$234,0))</f>
        <v/>
      </c>
    </row>
    <row r="164">
      <c r="A164" t="inlineStr">
        <is>
          <t>HOSP-3|SS-01171</t>
        </is>
      </c>
      <c r="B164">
        <f>INDEX(Lots_Data!$E$2:$E$234,MATCH($A164,Lots_Data!$A$2:$A$234,0))</f>
        <v/>
      </c>
      <c r="C164">
        <f>INDEX(Lots_Data!$A$2:$A$234,MATCH($A164,Lots_Data!$A$2:$A$234,0))</f>
        <v/>
      </c>
      <c r="D164" t="inlineStr">
        <is>
          <t>C</t>
        </is>
      </c>
      <c r="E164">
        <f>INDEX(Usage_Summary!$B$4:$B$236,MATCH($C164,Usage_Summary!$A$4:$A$236,0))*INDEX(Lots_Data!$G$2:$G$234,MATCH($A164,Lots_Data!$A$2:$A$234,0))</f>
        <v/>
      </c>
      <c r="F164">
        <f>INDEX(Lots_Data!$G$2:$G$234,MATCH($A164,Lots_Data!$A$2:$A$234,0))</f>
        <v/>
      </c>
      <c r="G164">
        <f>INDEX(Usage_Summary!$B$4:$B$236,MATCH($C164,Usage_Summary!$A$4:$A$236,0))</f>
        <v/>
      </c>
      <c r="H164">
        <f>INDEX(Lots_Data!$D$2:$D$234,MATCH($A164,Lots_Data!$A$2:$A$234,0))</f>
        <v/>
      </c>
      <c r="I164">
        <f>INDEX(Lots_Data!$C$2:$C$234,MATCH($A164,Lots_Data!$A$2:$A$234,0))</f>
        <v/>
      </c>
    </row>
    <row r="165">
      <c r="A165" t="inlineStr">
        <is>
          <t>HOSP-3|SS-01175</t>
        </is>
      </c>
      <c r="B165">
        <f>INDEX(Lots_Data!$E$2:$E$234,MATCH($A165,Lots_Data!$A$2:$A$234,0))</f>
        <v/>
      </c>
      <c r="C165">
        <f>INDEX(Lots_Data!$A$2:$A$234,MATCH($A165,Lots_Data!$A$2:$A$234,0))</f>
        <v/>
      </c>
      <c r="D165" t="inlineStr">
        <is>
          <t>A</t>
        </is>
      </c>
      <c r="E165">
        <f>INDEX(Usage_Summary!$B$4:$B$236,MATCH($C165,Usage_Summary!$A$4:$A$236,0))*INDEX(Lots_Data!$G$2:$G$234,MATCH($A165,Lots_Data!$A$2:$A$234,0))</f>
        <v/>
      </c>
      <c r="F165">
        <f>INDEX(Lots_Data!$G$2:$G$234,MATCH($A165,Lots_Data!$A$2:$A$234,0))</f>
        <v/>
      </c>
      <c r="G165">
        <f>INDEX(Usage_Summary!$B$4:$B$236,MATCH($C165,Usage_Summary!$A$4:$A$236,0))</f>
        <v/>
      </c>
      <c r="H165">
        <f>INDEX(Lots_Data!$D$2:$D$234,MATCH($A165,Lots_Data!$A$2:$A$234,0))</f>
        <v/>
      </c>
      <c r="I165">
        <f>INDEX(Lots_Data!$C$2:$C$234,MATCH($A165,Lots_Data!$A$2:$A$234,0))</f>
        <v/>
      </c>
    </row>
    <row r="166">
      <c r="A166" t="inlineStr">
        <is>
          <t>HOSP-3|SS-01179</t>
        </is>
      </c>
      <c r="B166">
        <f>INDEX(Lots_Data!$E$2:$E$234,MATCH($A166,Lots_Data!$A$2:$A$234,0))</f>
        <v/>
      </c>
      <c r="C166">
        <f>INDEX(Lots_Data!$A$2:$A$234,MATCH($A166,Lots_Data!$A$2:$A$234,0))</f>
        <v/>
      </c>
      <c r="D166" t="inlineStr">
        <is>
          <t>C</t>
        </is>
      </c>
      <c r="E166">
        <f>INDEX(Usage_Summary!$B$4:$B$236,MATCH($C166,Usage_Summary!$A$4:$A$236,0))*INDEX(Lots_Data!$G$2:$G$234,MATCH($A166,Lots_Data!$A$2:$A$234,0))</f>
        <v/>
      </c>
      <c r="F166">
        <f>INDEX(Lots_Data!$G$2:$G$234,MATCH($A166,Lots_Data!$A$2:$A$234,0))</f>
        <v/>
      </c>
      <c r="G166">
        <f>INDEX(Usage_Summary!$B$4:$B$236,MATCH($C166,Usage_Summary!$A$4:$A$236,0))</f>
        <v/>
      </c>
      <c r="H166">
        <f>INDEX(Lots_Data!$D$2:$D$234,MATCH($A166,Lots_Data!$A$2:$A$234,0))</f>
        <v/>
      </c>
      <c r="I166">
        <f>INDEX(Lots_Data!$C$2:$C$234,MATCH($A166,Lots_Data!$A$2:$A$234,0))</f>
        <v/>
      </c>
    </row>
    <row r="167">
      <c r="A167" t="inlineStr">
        <is>
          <t>HOSP-3|SS-01183</t>
        </is>
      </c>
      <c r="B167">
        <f>INDEX(Lots_Data!$E$2:$E$234,MATCH($A167,Lots_Data!$A$2:$A$234,0))</f>
        <v/>
      </c>
      <c r="C167">
        <f>INDEX(Lots_Data!$A$2:$A$234,MATCH($A167,Lots_Data!$A$2:$A$234,0))</f>
        <v/>
      </c>
      <c r="D167" t="inlineStr">
        <is>
          <t>C</t>
        </is>
      </c>
      <c r="E167">
        <f>INDEX(Usage_Summary!$B$4:$B$236,MATCH($C167,Usage_Summary!$A$4:$A$236,0))*INDEX(Lots_Data!$G$2:$G$234,MATCH($A167,Lots_Data!$A$2:$A$234,0))</f>
        <v/>
      </c>
      <c r="F167">
        <f>INDEX(Lots_Data!$G$2:$G$234,MATCH($A167,Lots_Data!$A$2:$A$234,0))</f>
        <v/>
      </c>
      <c r="G167">
        <f>INDEX(Usage_Summary!$B$4:$B$236,MATCH($C167,Usage_Summary!$A$4:$A$236,0))</f>
        <v/>
      </c>
      <c r="H167">
        <f>INDEX(Lots_Data!$D$2:$D$234,MATCH($A167,Lots_Data!$A$2:$A$234,0))</f>
        <v/>
      </c>
      <c r="I167">
        <f>INDEX(Lots_Data!$C$2:$C$234,MATCH($A167,Lots_Data!$A$2:$A$234,0))</f>
        <v/>
      </c>
    </row>
    <row r="168">
      <c r="A168" t="inlineStr">
        <is>
          <t>HOSP-3|SS-01187</t>
        </is>
      </c>
      <c r="B168">
        <f>INDEX(Lots_Data!$E$2:$E$234,MATCH($A168,Lots_Data!$A$2:$A$234,0))</f>
        <v/>
      </c>
      <c r="C168">
        <f>INDEX(Lots_Data!$A$2:$A$234,MATCH($A168,Lots_Data!$A$2:$A$234,0))</f>
        <v/>
      </c>
      <c r="D168" t="inlineStr">
        <is>
          <t>C</t>
        </is>
      </c>
      <c r="E168">
        <f>INDEX(Usage_Summary!$B$4:$B$236,MATCH($C168,Usage_Summary!$A$4:$A$236,0))*INDEX(Lots_Data!$G$2:$G$234,MATCH($A168,Lots_Data!$A$2:$A$234,0))</f>
        <v/>
      </c>
      <c r="F168">
        <f>INDEX(Lots_Data!$G$2:$G$234,MATCH($A168,Lots_Data!$A$2:$A$234,0))</f>
        <v/>
      </c>
      <c r="G168">
        <f>INDEX(Usage_Summary!$B$4:$B$236,MATCH($C168,Usage_Summary!$A$4:$A$236,0))</f>
        <v/>
      </c>
      <c r="H168">
        <f>INDEX(Lots_Data!$D$2:$D$234,MATCH($A168,Lots_Data!$A$2:$A$234,0))</f>
        <v/>
      </c>
      <c r="I168">
        <f>INDEX(Lots_Data!$C$2:$C$234,MATCH($A168,Lots_Data!$A$2:$A$234,0))</f>
        <v/>
      </c>
    </row>
    <row r="169">
      <c r="A169" t="inlineStr">
        <is>
          <t>HOSP-3|SS-01191</t>
        </is>
      </c>
      <c r="B169">
        <f>INDEX(Lots_Data!$E$2:$E$234,MATCH($A169,Lots_Data!$A$2:$A$234,0))</f>
        <v/>
      </c>
      <c r="C169">
        <f>INDEX(Lots_Data!$A$2:$A$234,MATCH($A169,Lots_Data!$A$2:$A$234,0))</f>
        <v/>
      </c>
      <c r="D169" t="inlineStr">
        <is>
          <t>C</t>
        </is>
      </c>
      <c r="E169">
        <f>INDEX(Usage_Summary!$B$4:$B$236,MATCH($C169,Usage_Summary!$A$4:$A$236,0))*INDEX(Lots_Data!$G$2:$G$234,MATCH($A169,Lots_Data!$A$2:$A$234,0))</f>
        <v/>
      </c>
      <c r="F169">
        <f>INDEX(Lots_Data!$G$2:$G$234,MATCH($A169,Lots_Data!$A$2:$A$234,0))</f>
        <v/>
      </c>
      <c r="G169">
        <f>INDEX(Usage_Summary!$B$4:$B$236,MATCH($C169,Usage_Summary!$A$4:$A$236,0))</f>
        <v/>
      </c>
      <c r="H169">
        <f>INDEX(Lots_Data!$D$2:$D$234,MATCH($A169,Lots_Data!$A$2:$A$234,0))</f>
        <v/>
      </c>
      <c r="I169">
        <f>INDEX(Lots_Data!$C$2:$C$234,MATCH($A169,Lots_Data!$A$2:$A$234,0))</f>
        <v/>
      </c>
    </row>
    <row r="170">
      <c r="A170" t="inlineStr">
        <is>
          <t>HOSP-3|SS-01195</t>
        </is>
      </c>
      <c r="B170">
        <f>INDEX(Lots_Data!$E$2:$E$234,MATCH($A170,Lots_Data!$A$2:$A$234,0))</f>
        <v/>
      </c>
      <c r="C170">
        <f>INDEX(Lots_Data!$A$2:$A$234,MATCH($A170,Lots_Data!$A$2:$A$234,0))</f>
        <v/>
      </c>
      <c r="D170" t="inlineStr">
        <is>
          <t>A</t>
        </is>
      </c>
      <c r="E170">
        <f>INDEX(Usage_Summary!$B$4:$B$236,MATCH($C170,Usage_Summary!$A$4:$A$236,0))*INDEX(Lots_Data!$G$2:$G$234,MATCH($A170,Lots_Data!$A$2:$A$234,0))</f>
        <v/>
      </c>
      <c r="F170">
        <f>INDEX(Lots_Data!$G$2:$G$234,MATCH($A170,Lots_Data!$A$2:$A$234,0))</f>
        <v/>
      </c>
      <c r="G170">
        <f>INDEX(Usage_Summary!$B$4:$B$236,MATCH($C170,Usage_Summary!$A$4:$A$236,0))</f>
        <v/>
      </c>
      <c r="H170">
        <f>INDEX(Lots_Data!$D$2:$D$234,MATCH($A170,Lots_Data!$A$2:$A$234,0))</f>
        <v/>
      </c>
      <c r="I170">
        <f>INDEX(Lots_Data!$C$2:$C$234,MATCH($A170,Lots_Data!$A$2:$A$234,0))</f>
        <v/>
      </c>
    </row>
    <row r="171">
      <c r="A171" t="inlineStr">
        <is>
          <t>HOSP-3|SS-01199</t>
        </is>
      </c>
      <c r="B171">
        <f>INDEX(Lots_Data!$E$2:$E$234,MATCH($A171,Lots_Data!$A$2:$A$234,0))</f>
        <v/>
      </c>
      <c r="C171">
        <f>INDEX(Lots_Data!$A$2:$A$234,MATCH($A171,Lots_Data!$A$2:$A$234,0))</f>
        <v/>
      </c>
      <c r="D171" t="inlineStr">
        <is>
          <t>A</t>
        </is>
      </c>
      <c r="E171">
        <f>INDEX(Usage_Summary!$B$4:$B$236,MATCH($C171,Usage_Summary!$A$4:$A$236,0))*INDEX(Lots_Data!$G$2:$G$234,MATCH($A171,Lots_Data!$A$2:$A$234,0))</f>
        <v/>
      </c>
      <c r="F171">
        <f>INDEX(Lots_Data!$G$2:$G$234,MATCH($A171,Lots_Data!$A$2:$A$234,0))</f>
        <v/>
      </c>
      <c r="G171">
        <f>INDEX(Usage_Summary!$B$4:$B$236,MATCH($C171,Usage_Summary!$A$4:$A$236,0))</f>
        <v/>
      </c>
      <c r="H171">
        <f>INDEX(Lots_Data!$D$2:$D$234,MATCH($A171,Lots_Data!$A$2:$A$234,0))</f>
        <v/>
      </c>
      <c r="I171">
        <f>INDEX(Lots_Data!$C$2:$C$234,MATCH($A171,Lots_Data!$A$2:$A$234,0))</f>
        <v/>
      </c>
    </row>
    <row r="172">
      <c r="A172" t="inlineStr">
        <is>
          <t>HOSP-3|SS-01203</t>
        </is>
      </c>
      <c r="B172">
        <f>INDEX(Lots_Data!$E$2:$E$234,MATCH($A172,Lots_Data!$A$2:$A$234,0))</f>
        <v/>
      </c>
      <c r="C172">
        <f>INDEX(Lots_Data!$A$2:$A$234,MATCH($A172,Lots_Data!$A$2:$A$234,0))</f>
        <v/>
      </c>
      <c r="D172" t="inlineStr">
        <is>
          <t>A</t>
        </is>
      </c>
      <c r="E172">
        <f>INDEX(Usage_Summary!$B$4:$B$236,MATCH($C172,Usage_Summary!$A$4:$A$236,0))*INDEX(Lots_Data!$G$2:$G$234,MATCH($A172,Lots_Data!$A$2:$A$234,0))</f>
        <v/>
      </c>
      <c r="F172">
        <f>INDEX(Lots_Data!$G$2:$G$234,MATCH($A172,Lots_Data!$A$2:$A$234,0))</f>
        <v/>
      </c>
      <c r="G172">
        <f>INDEX(Usage_Summary!$B$4:$B$236,MATCH($C172,Usage_Summary!$A$4:$A$236,0))</f>
        <v/>
      </c>
      <c r="H172">
        <f>INDEX(Lots_Data!$D$2:$D$234,MATCH($A172,Lots_Data!$A$2:$A$234,0))</f>
        <v/>
      </c>
      <c r="I172">
        <f>INDEX(Lots_Data!$C$2:$C$234,MATCH($A172,Lots_Data!$A$2:$A$234,0))</f>
        <v/>
      </c>
    </row>
    <row r="173">
      <c r="A173" t="inlineStr">
        <is>
          <t>HOSP-3|SS-01207</t>
        </is>
      </c>
      <c r="B173">
        <f>INDEX(Lots_Data!$E$2:$E$234,MATCH($A173,Lots_Data!$A$2:$A$234,0))</f>
        <v/>
      </c>
      <c r="C173">
        <f>INDEX(Lots_Data!$A$2:$A$234,MATCH($A173,Lots_Data!$A$2:$A$234,0))</f>
        <v/>
      </c>
      <c r="D173" t="inlineStr">
        <is>
          <t>B</t>
        </is>
      </c>
      <c r="E173">
        <f>INDEX(Usage_Summary!$B$4:$B$236,MATCH($C173,Usage_Summary!$A$4:$A$236,0))*INDEX(Lots_Data!$G$2:$G$234,MATCH($A173,Lots_Data!$A$2:$A$234,0))</f>
        <v/>
      </c>
      <c r="F173">
        <f>INDEX(Lots_Data!$G$2:$G$234,MATCH($A173,Lots_Data!$A$2:$A$234,0))</f>
        <v/>
      </c>
      <c r="G173">
        <f>INDEX(Usage_Summary!$B$4:$B$236,MATCH($C173,Usage_Summary!$A$4:$A$236,0))</f>
        <v/>
      </c>
      <c r="H173">
        <f>INDEX(Lots_Data!$D$2:$D$234,MATCH($A173,Lots_Data!$A$2:$A$234,0))</f>
        <v/>
      </c>
      <c r="I173">
        <f>INDEX(Lots_Data!$C$2:$C$234,MATCH($A173,Lots_Data!$A$2:$A$234,0))</f>
        <v/>
      </c>
    </row>
    <row r="174">
      <c r="A174" t="inlineStr">
        <is>
          <t>HOSP-3|SS-01211</t>
        </is>
      </c>
      <c r="B174">
        <f>INDEX(Lots_Data!$E$2:$E$234,MATCH($A174,Lots_Data!$A$2:$A$234,0))</f>
        <v/>
      </c>
      <c r="C174">
        <f>INDEX(Lots_Data!$A$2:$A$234,MATCH($A174,Lots_Data!$A$2:$A$234,0))</f>
        <v/>
      </c>
      <c r="D174" t="inlineStr">
        <is>
          <t>B</t>
        </is>
      </c>
      <c r="E174">
        <f>INDEX(Usage_Summary!$B$4:$B$236,MATCH($C174,Usage_Summary!$A$4:$A$236,0))*INDEX(Lots_Data!$G$2:$G$234,MATCH($A174,Lots_Data!$A$2:$A$234,0))</f>
        <v/>
      </c>
      <c r="F174">
        <f>INDEX(Lots_Data!$G$2:$G$234,MATCH($A174,Lots_Data!$A$2:$A$234,0))</f>
        <v/>
      </c>
      <c r="G174">
        <f>INDEX(Usage_Summary!$B$4:$B$236,MATCH($C174,Usage_Summary!$A$4:$A$236,0))</f>
        <v/>
      </c>
      <c r="H174">
        <f>INDEX(Lots_Data!$D$2:$D$234,MATCH($A174,Lots_Data!$A$2:$A$234,0))</f>
        <v/>
      </c>
      <c r="I174">
        <f>INDEX(Lots_Data!$C$2:$C$234,MATCH($A174,Lots_Data!$A$2:$A$234,0))</f>
        <v/>
      </c>
    </row>
    <row r="175">
      <c r="A175" t="inlineStr">
        <is>
          <t>HOSP-3|SS-01215</t>
        </is>
      </c>
      <c r="B175">
        <f>INDEX(Lots_Data!$E$2:$E$234,MATCH($A175,Lots_Data!$A$2:$A$234,0))</f>
        <v/>
      </c>
      <c r="C175">
        <f>INDEX(Lots_Data!$A$2:$A$234,MATCH($A175,Lots_Data!$A$2:$A$234,0))</f>
        <v/>
      </c>
      <c r="D175" t="inlineStr">
        <is>
          <t>C</t>
        </is>
      </c>
      <c r="E175">
        <f>INDEX(Usage_Summary!$B$4:$B$236,MATCH($C175,Usage_Summary!$A$4:$A$236,0))*INDEX(Lots_Data!$G$2:$G$234,MATCH($A175,Lots_Data!$A$2:$A$234,0))</f>
        <v/>
      </c>
      <c r="F175">
        <f>INDEX(Lots_Data!$G$2:$G$234,MATCH($A175,Lots_Data!$A$2:$A$234,0))</f>
        <v/>
      </c>
      <c r="G175">
        <f>INDEX(Usage_Summary!$B$4:$B$236,MATCH($C175,Usage_Summary!$A$4:$A$236,0))</f>
        <v/>
      </c>
      <c r="H175">
        <f>INDEX(Lots_Data!$D$2:$D$234,MATCH($A175,Lots_Data!$A$2:$A$234,0))</f>
        <v/>
      </c>
      <c r="I175">
        <f>INDEX(Lots_Data!$C$2:$C$234,MATCH($A175,Lots_Data!$A$2:$A$234,0))</f>
        <v/>
      </c>
    </row>
    <row r="176">
      <c r="A176" t="inlineStr">
        <is>
          <t>HOSP-3|SS-01219</t>
        </is>
      </c>
      <c r="B176">
        <f>INDEX(Lots_Data!$E$2:$E$234,MATCH($A176,Lots_Data!$A$2:$A$234,0))</f>
        <v/>
      </c>
      <c r="C176">
        <f>INDEX(Lots_Data!$A$2:$A$234,MATCH($A176,Lots_Data!$A$2:$A$234,0))</f>
        <v/>
      </c>
      <c r="D176" t="inlineStr">
        <is>
          <t>B</t>
        </is>
      </c>
      <c r="E176">
        <f>INDEX(Usage_Summary!$B$4:$B$236,MATCH($C176,Usage_Summary!$A$4:$A$236,0))*INDEX(Lots_Data!$G$2:$G$234,MATCH($A176,Lots_Data!$A$2:$A$234,0))</f>
        <v/>
      </c>
      <c r="F176">
        <f>INDEX(Lots_Data!$G$2:$G$234,MATCH($A176,Lots_Data!$A$2:$A$234,0))</f>
        <v/>
      </c>
      <c r="G176">
        <f>INDEX(Usage_Summary!$B$4:$B$236,MATCH($C176,Usage_Summary!$A$4:$A$236,0))</f>
        <v/>
      </c>
      <c r="H176">
        <f>INDEX(Lots_Data!$D$2:$D$234,MATCH($A176,Lots_Data!$A$2:$A$234,0))</f>
        <v/>
      </c>
      <c r="I176">
        <f>INDEX(Lots_Data!$C$2:$C$234,MATCH($A176,Lots_Data!$A$2:$A$234,0))</f>
        <v/>
      </c>
    </row>
    <row r="177">
      <c r="A177" t="inlineStr">
        <is>
          <t>HOSP-3|SS-01223</t>
        </is>
      </c>
      <c r="B177">
        <f>INDEX(Lots_Data!$E$2:$E$234,MATCH($A177,Lots_Data!$A$2:$A$234,0))</f>
        <v/>
      </c>
      <c r="C177">
        <f>INDEX(Lots_Data!$A$2:$A$234,MATCH($A177,Lots_Data!$A$2:$A$234,0))</f>
        <v/>
      </c>
      <c r="D177" t="inlineStr">
        <is>
          <t>B</t>
        </is>
      </c>
      <c r="E177">
        <f>INDEX(Usage_Summary!$B$4:$B$236,MATCH($C177,Usage_Summary!$A$4:$A$236,0))*INDEX(Lots_Data!$G$2:$G$234,MATCH($A177,Lots_Data!$A$2:$A$234,0))</f>
        <v/>
      </c>
      <c r="F177">
        <f>INDEX(Lots_Data!$G$2:$G$234,MATCH($A177,Lots_Data!$A$2:$A$234,0))</f>
        <v/>
      </c>
      <c r="G177">
        <f>INDEX(Usage_Summary!$B$4:$B$236,MATCH($C177,Usage_Summary!$A$4:$A$236,0))</f>
        <v/>
      </c>
      <c r="H177">
        <f>INDEX(Lots_Data!$D$2:$D$234,MATCH($A177,Lots_Data!$A$2:$A$234,0))</f>
        <v/>
      </c>
      <c r="I177">
        <f>INDEX(Lots_Data!$C$2:$C$234,MATCH($A177,Lots_Data!$A$2:$A$234,0))</f>
        <v/>
      </c>
    </row>
    <row r="178">
      <c r="A178" t="inlineStr">
        <is>
          <t>HOSP-3|SS-01227</t>
        </is>
      </c>
      <c r="B178">
        <f>INDEX(Lots_Data!$E$2:$E$234,MATCH($A178,Lots_Data!$A$2:$A$234,0))</f>
        <v/>
      </c>
      <c r="C178">
        <f>INDEX(Lots_Data!$A$2:$A$234,MATCH($A178,Lots_Data!$A$2:$A$234,0))</f>
        <v/>
      </c>
      <c r="D178" t="inlineStr">
        <is>
          <t>C</t>
        </is>
      </c>
      <c r="E178">
        <f>INDEX(Usage_Summary!$B$4:$B$236,MATCH($C178,Usage_Summary!$A$4:$A$236,0))*INDEX(Lots_Data!$G$2:$G$234,MATCH($A178,Lots_Data!$A$2:$A$234,0))</f>
        <v/>
      </c>
      <c r="F178">
        <f>INDEX(Lots_Data!$G$2:$G$234,MATCH($A178,Lots_Data!$A$2:$A$234,0))</f>
        <v/>
      </c>
      <c r="G178">
        <f>INDEX(Usage_Summary!$B$4:$B$236,MATCH($C178,Usage_Summary!$A$4:$A$236,0))</f>
        <v/>
      </c>
      <c r="H178">
        <f>INDEX(Lots_Data!$D$2:$D$234,MATCH($A178,Lots_Data!$A$2:$A$234,0))</f>
        <v/>
      </c>
      <c r="I178">
        <f>INDEX(Lots_Data!$C$2:$C$234,MATCH($A178,Lots_Data!$A$2:$A$234,0))</f>
        <v/>
      </c>
    </row>
    <row r="179">
      <c r="A179" t="inlineStr">
        <is>
          <t>HOSP-3|SS-01231</t>
        </is>
      </c>
      <c r="B179">
        <f>INDEX(Lots_Data!$E$2:$E$234,MATCH($A179,Lots_Data!$A$2:$A$234,0))</f>
        <v/>
      </c>
      <c r="C179">
        <f>INDEX(Lots_Data!$A$2:$A$234,MATCH($A179,Lots_Data!$A$2:$A$234,0))</f>
        <v/>
      </c>
      <c r="D179" t="inlineStr">
        <is>
          <t>B</t>
        </is>
      </c>
      <c r="E179">
        <f>INDEX(Usage_Summary!$B$4:$B$236,MATCH($C179,Usage_Summary!$A$4:$A$236,0))*INDEX(Lots_Data!$G$2:$G$234,MATCH($A179,Lots_Data!$A$2:$A$234,0))</f>
        <v/>
      </c>
      <c r="F179">
        <f>INDEX(Lots_Data!$G$2:$G$234,MATCH($A179,Lots_Data!$A$2:$A$234,0))</f>
        <v/>
      </c>
      <c r="G179">
        <f>INDEX(Usage_Summary!$B$4:$B$236,MATCH($C179,Usage_Summary!$A$4:$A$236,0))</f>
        <v/>
      </c>
      <c r="H179">
        <f>INDEX(Lots_Data!$D$2:$D$234,MATCH($A179,Lots_Data!$A$2:$A$234,0))</f>
        <v/>
      </c>
      <c r="I179">
        <f>INDEX(Lots_Data!$C$2:$C$234,MATCH($A179,Lots_Data!$A$2:$A$234,0))</f>
        <v/>
      </c>
    </row>
    <row r="180">
      <c r="A180" t="inlineStr">
        <is>
          <t>HOSP-4|SS-01004</t>
        </is>
      </c>
      <c r="B180">
        <f>INDEX(Lots_Data!$E$2:$E$234,MATCH($A180,Lots_Data!$A$2:$A$234,0))</f>
        <v/>
      </c>
      <c r="C180">
        <f>INDEX(Lots_Data!$A$2:$A$234,MATCH($A180,Lots_Data!$A$2:$A$234,0))</f>
        <v/>
      </c>
      <c r="D180" t="inlineStr">
        <is>
          <t>A</t>
        </is>
      </c>
      <c r="E180">
        <f>INDEX(Usage_Summary!$B$4:$B$236,MATCH($C180,Usage_Summary!$A$4:$A$236,0))*INDEX(Lots_Data!$G$2:$G$234,MATCH($A180,Lots_Data!$A$2:$A$234,0))</f>
        <v/>
      </c>
      <c r="F180">
        <f>INDEX(Lots_Data!$G$2:$G$234,MATCH($A180,Lots_Data!$A$2:$A$234,0))</f>
        <v/>
      </c>
      <c r="G180">
        <f>INDEX(Usage_Summary!$B$4:$B$236,MATCH($C180,Usage_Summary!$A$4:$A$236,0))</f>
        <v/>
      </c>
      <c r="H180">
        <f>INDEX(Lots_Data!$D$2:$D$234,MATCH($A180,Lots_Data!$A$2:$A$234,0))</f>
        <v/>
      </c>
      <c r="I180">
        <f>INDEX(Lots_Data!$C$2:$C$234,MATCH($A180,Lots_Data!$A$2:$A$234,0))</f>
        <v/>
      </c>
    </row>
    <row r="181">
      <c r="A181" t="inlineStr">
        <is>
          <t>HOSP-4|SS-01008</t>
        </is>
      </c>
      <c r="B181">
        <f>INDEX(Lots_Data!$E$2:$E$234,MATCH($A181,Lots_Data!$A$2:$A$234,0))</f>
        <v/>
      </c>
      <c r="C181">
        <f>INDEX(Lots_Data!$A$2:$A$234,MATCH($A181,Lots_Data!$A$2:$A$234,0))</f>
        <v/>
      </c>
      <c r="D181" t="inlineStr">
        <is>
          <t>B</t>
        </is>
      </c>
      <c r="E181">
        <f>INDEX(Usage_Summary!$B$4:$B$236,MATCH($C181,Usage_Summary!$A$4:$A$236,0))*INDEX(Lots_Data!$G$2:$G$234,MATCH($A181,Lots_Data!$A$2:$A$234,0))</f>
        <v/>
      </c>
      <c r="F181">
        <f>INDEX(Lots_Data!$G$2:$G$234,MATCH($A181,Lots_Data!$A$2:$A$234,0))</f>
        <v/>
      </c>
      <c r="G181">
        <f>INDEX(Usage_Summary!$B$4:$B$236,MATCH($C181,Usage_Summary!$A$4:$A$236,0))</f>
        <v/>
      </c>
      <c r="H181">
        <f>INDEX(Lots_Data!$D$2:$D$234,MATCH($A181,Lots_Data!$A$2:$A$234,0))</f>
        <v/>
      </c>
      <c r="I181">
        <f>INDEX(Lots_Data!$C$2:$C$234,MATCH($A181,Lots_Data!$A$2:$A$234,0))</f>
        <v/>
      </c>
    </row>
    <row r="182">
      <c r="A182" t="inlineStr">
        <is>
          <t>HOSP-4|SS-01012</t>
        </is>
      </c>
      <c r="B182">
        <f>INDEX(Lots_Data!$E$2:$E$234,MATCH($A182,Lots_Data!$A$2:$A$234,0))</f>
        <v/>
      </c>
      <c r="C182">
        <f>INDEX(Lots_Data!$A$2:$A$234,MATCH($A182,Lots_Data!$A$2:$A$234,0))</f>
        <v/>
      </c>
      <c r="D182" t="inlineStr">
        <is>
          <t>C</t>
        </is>
      </c>
      <c r="E182">
        <f>INDEX(Usage_Summary!$B$4:$B$236,MATCH($C182,Usage_Summary!$A$4:$A$236,0))*INDEX(Lots_Data!$G$2:$G$234,MATCH($A182,Lots_Data!$A$2:$A$234,0))</f>
        <v/>
      </c>
      <c r="F182">
        <f>INDEX(Lots_Data!$G$2:$G$234,MATCH($A182,Lots_Data!$A$2:$A$234,0))</f>
        <v/>
      </c>
      <c r="G182">
        <f>INDEX(Usage_Summary!$B$4:$B$236,MATCH($C182,Usage_Summary!$A$4:$A$236,0))</f>
        <v/>
      </c>
      <c r="H182">
        <f>INDEX(Lots_Data!$D$2:$D$234,MATCH($A182,Lots_Data!$A$2:$A$234,0))</f>
        <v/>
      </c>
      <c r="I182">
        <f>INDEX(Lots_Data!$C$2:$C$234,MATCH($A182,Lots_Data!$A$2:$A$234,0))</f>
        <v/>
      </c>
    </row>
    <row r="183">
      <c r="A183" t="inlineStr">
        <is>
          <t>HOSP-4|SS-01016</t>
        </is>
      </c>
      <c r="B183">
        <f>INDEX(Lots_Data!$E$2:$E$234,MATCH($A183,Lots_Data!$A$2:$A$234,0))</f>
        <v/>
      </c>
      <c r="C183">
        <f>INDEX(Lots_Data!$A$2:$A$234,MATCH($A183,Lots_Data!$A$2:$A$234,0))</f>
        <v/>
      </c>
      <c r="D183" t="inlineStr">
        <is>
          <t>B</t>
        </is>
      </c>
      <c r="E183">
        <f>INDEX(Usage_Summary!$B$4:$B$236,MATCH($C183,Usage_Summary!$A$4:$A$236,0))*INDEX(Lots_Data!$G$2:$G$234,MATCH($A183,Lots_Data!$A$2:$A$234,0))</f>
        <v/>
      </c>
      <c r="F183">
        <f>INDEX(Lots_Data!$G$2:$G$234,MATCH($A183,Lots_Data!$A$2:$A$234,0))</f>
        <v/>
      </c>
      <c r="G183">
        <f>INDEX(Usage_Summary!$B$4:$B$236,MATCH($C183,Usage_Summary!$A$4:$A$236,0))</f>
        <v/>
      </c>
      <c r="H183">
        <f>INDEX(Lots_Data!$D$2:$D$234,MATCH($A183,Lots_Data!$A$2:$A$234,0))</f>
        <v/>
      </c>
      <c r="I183">
        <f>INDEX(Lots_Data!$C$2:$C$234,MATCH($A183,Lots_Data!$A$2:$A$234,0))</f>
        <v/>
      </c>
    </row>
    <row r="184">
      <c r="A184" t="inlineStr">
        <is>
          <t>HOSP-4|SS-01020</t>
        </is>
      </c>
      <c r="B184">
        <f>INDEX(Lots_Data!$E$2:$E$234,MATCH($A184,Lots_Data!$A$2:$A$234,0))</f>
        <v/>
      </c>
      <c r="C184">
        <f>INDEX(Lots_Data!$A$2:$A$234,MATCH($A184,Lots_Data!$A$2:$A$234,0))</f>
        <v/>
      </c>
      <c r="D184" t="inlineStr">
        <is>
          <t>A</t>
        </is>
      </c>
      <c r="E184">
        <f>INDEX(Usage_Summary!$B$4:$B$236,MATCH($C184,Usage_Summary!$A$4:$A$236,0))*INDEX(Lots_Data!$G$2:$G$234,MATCH($A184,Lots_Data!$A$2:$A$234,0))</f>
        <v/>
      </c>
      <c r="F184">
        <f>INDEX(Lots_Data!$G$2:$G$234,MATCH($A184,Lots_Data!$A$2:$A$234,0))</f>
        <v/>
      </c>
      <c r="G184">
        <f>INDEX(Usage_Summary!$B$4:$B$236,MATCH($C184,Usage_Summary!$A$4:$A$236,0))</f>
        <v/>
      </c>
      <c r="H184">
        <f>INDEX(Lots_Data!$D$2:$D$234,MATCH($A184,Lots_Data!$A$2:$A$234,0))</f>
        <v/>
      </c>
      <c r="I184">
        <f>INDEX(Lots_Data!$C$2:$C$234,MATCH($A184,Lots_Data!$A$2:$A$234,0))</f>
        <v/>
      </c>
    </row>
    <row r="185">
      <c r="A185" t="inlineStr">
        <is>
          <t>HOSP-4|SS-01024</t>
        </is>
      </c>
      <c r="B185">
        <f>INDEX(Lots_Data!$E$2:$E$234,MATCH($A185,Lots_Data!$A$2:$A$234,0))</f>
        <v/>
      </c>
      <c r="C185">
        <f>INDEX(Lots_Data!$A$2:$A$234,MATCH($A185,Lots_Data!$A$2:$A$234,0))</f>
        <v/>
      </c>
      <c r="D185" t="inlineStr">
        <is>
          <t>A</t>
        </is>
      </c>
      <c r="E185">
        <f>INDEX(Usage_Summary!$B$4:$B$236,MATCH($C185,Usage_Summary!$A$4:$A$236,0))*INDEX(Lots_Data!$G$2:$G$234,MATCH($A185,Lots_Data!$A$2:$A$234,0))</f>
        <v/>
      </c>
      <c r="F185">
        <f>INDEX(Lots_Data!$G$2:$G$234,MATCH($A185,Lots_Data!$A$2:$A$234,0))</f>
        <v/>
      </c>
      <c r="G185">
        <f>INDEX(Usage_Summary!$B$4:$B$236,MATCH($C185,Usage_Summary!$A$4:$A$236,0))</f>
        <v/>
      </c>
      <c r="H185">
        <f>INDEX(Lots_Data!$D$2:$D$234,MATCH($A185,Lots_Data!$A$2:$A$234,0))</f>
        <v/>
      </c>
      <c r="I185">
        <f>INDEX(Lots_Data!$C$2:$C$234,MATCH($A185,Lots_Data!$A$2:$A$234,0))</f>
        <v/>
      </c>
    </row>
    <row r="186">
      <c r="A186" t="inlineStr">
        <is>
          <t>HOSP-4|SS-01028</t>
        </is>
      </c>
      <c r="B186">
        <f>INDEX(Lots_Data!$E$2:$E$234,MATCH($A186,Lots_Data!$A$2:$A$234,0))</f>
        <v/>
      </c>
      <c r="C186">
        <f>INDEX(Lots_Data!$A$2:$A$234,MATCH($A186,Lots_Data!$A$2:$A$234,0))</f>
        <v/>
      </c>
      <c r="D186" t="inlineStr">
        <is>
          <t>C</t>
        </is>
      </c>
      <c r="E186">
        <f>INDEX(Usage_Summary!$B$4:$B$236,MATCH($C186,Usage_Summary!$A$4:$A$236,0))*INDEX(Lots_Data!$G$2:$G$234,MATCH($A186,Lots_Data!$A$2:$A$234,0))</f>
        <v/>
      </c>
      <c r="F186">
        <f>INDEX(Lots_Data!$G$2:$G$234,MATCH($A186,Lots_Data!$A$2:$A$234,0))</f>
        <v/>
      </c>
      <c r="G186">
        <f>INDEX(Usage_Summary!$B$4:$B$236,MATCH($C186,Usage_Summary!$A$4:$A$236,0))</f>
        <v/>
      </c>
      <c r="H186">
        <f>INDEX(Lots_Data!$D$2:$D$234,MATCH($A186,Lots_Data!$A$2:$A$234,0))</f>
        <v/>
      </c>
      <c r="I186">
        <f>INDEX(Lots_Data!$C$2:$C$234,MATCH($A186,Lots_Data!$A$2:$A$234,0))</f>
        <v/>
      </c>
    </row>
    <row r="187">
      <c r="A187" t="inlineStr">
        <is>
          <t>HOSP-4|SS-01032</t>
        </is>
      </c>
      <c r="B187">
        <f>INDEX(Lots_Data!$E$2:$E$234,MATCH($A187,Lots_Data!$A$2:$A$234,0))</f>
        <v/>
      </c>
      <c r="C187">
        <f>INDEX(Lots_Data!$A$2:$A$234,MATCH($A187,Lots_Data!$A$2:$A$234,0))</f>
        <v/>
      </c>
      <c r="D187" t="inlineStr">
        <is>
          <t>B</t>
        </is>
      </c>
      <c r="E187">
        <f>INDEX(Usage_Summary!$B$4:$B$236,MATCH($C187,Usage_Summary!$A$4:$A$236,0))*INDEX(Lots_Data!$G$2:$G$234,MATCH($A187,Lots_Data!$A$2:$A$234,0))</f>
        <v/>
      </c>
      <c r="F187">
        <f>INDEX(Lots_Data!$G$2:$G$234,MATCH($A187,Lots_Data!$A$2:$A$234,0))</f>
        <v/>
      </c>
      <c r="G187">
        <f>INDEX(Usage_Summary!$B$4:$B$236,MATCH($C187,Usage_Summary!$A$4:$A$236,0))</f>
        <v/>
      </c>
      <c r="H187">
        <f>INDEX(Lots_Data!$D$2:$D$234,MATCH($A187,Lots_Data!$A$2:$A$234,0))</f>
        <v/>
      </c>
      <c r="I187">
        <f>INDEX(Lots_Data!$C$2:$C$234,MATCH($A187,Lots_Data!$A$2:$A$234,0))</f>
        <v/>
      </c>
    </row>
    <row r="188">
      <c r="A188" t="inlineStr">
        <is>
          <t>HOSP-4|SS-01036</t>
        </is>
      </c>
      <c r="B188">
        <f>INDEX(Lots_Data!$E$2:$E$234,MATCH($A188,Lots_Data!$A$2:$A$234,0))</f>
        <v/>
      </c>
      <c r="C188">
        <f>INDEX(Lots_Data!$A$2:$A$234,MATCH($A188,Lots_Data!$A$2:$A$234,0))</f>
        <v/>
      </c>
      <c r="D188" t="inlineStr">
        <is>
          <t>C</t>
        </is>
      </c>
      <c r="E188">
        <f>INDEX(Usage_Summary!$B$4:$B$236,MATCH($C188,Usage_Summary!$A$4:$A$236,0))*INDEX(Lots_Data!$G$2:$G$234,MATCH($A188,Lots_Data!$A$2:$A$234,0))</f>
        <v/>
      </c>
      <c r="F188">
        <f>INDEX(Lots_Data!$G$2:$G$234,MATCH($A188,Lots_Data!$A$2:$A$234,0))</f>
        <v/>
      </c>
      <c r="G188">
        <f>INDEX(Usage_Summary!$B$4:$B$236,MATCH($C188,Usage_Summary!$A$4:$A$236,0))</f>
        <v/>
      </c>
      <c r="H188">
        <f>INDEX(Lots_Data!$D$2:$D$234,MATCH($A188,Lots_Data!$A$2:$A$234,0))</f>
        <v/>
      </c>
      <c r="I188">
        <f>INDEX(Lots_Data!$C$2:$C$234,MATCH($A188,Lots_Data!$A$2:$A$234,0))</f>
        <v/>
      </c>
    </row>
    <row r="189">
      <c r="A189" t="inlineStr">
        <is>
          <t>HOSP-4|SS-01040</t>
        </is>
      </c>
      <c r="B189">
        <f>INDEX(Lots_Data!$E$2:$E$234,MATCH($A189,Lots_Data!$A$2:$A$234,0))</f>
        <v/>
      </c>
      <c r="C189">
        <f>INDEX(Lots_Data!$A$2:$A$234,MATCH($A189,Lots_Data!$A$2:$A$234,0))</f>
        <v/>
      </c>
      <c r="D189" t="inlineStr">
        <is>
          <t>A</t>
        </is>
      </c>
      <c r="E189">
        <f>INDEX(Usage_Summary!$B$4:$B$236,MATCH($C189,Usage_Summary!$A$4:$A$236,0))*INDEX(Lots_Data!$G$2:$G$234,MATCH($A189,Lots_Data!$A$2:$A$234,0))</f>
        <v/>
      </c>
      <c r="F189">
        <f>INDEX(Lots_Data!$G$2:$G$234,MATCH($A189,Lots_Data!$A$2:$A$234,0))</f>
        <v/>
      </c>
      <c r="G189">
        <f>INDEX(Usage_Summary!$B$4:$B$236,MATCH($C189,Usage_Summary!$A$4:$A$236,0))</f>
        <v/>
      </c>
      <c r="H189">
        <f>INDEX(Lots_Data!$D$2:$D$234,MATCH($A189,Lots_Data!$A$2:$A$234,0))</f>
        <v/>
      </c>
      <c r="I189">
        <f>INDEX(Lots_Data!$C$2:$C$234,MATCH($A189,Lots_Data!$A$2:$A$234,0))</f>
        <v/>
      </c>
    </row>
    <row r="190">
      <c r="A190" t="inlineStr">
        <is>
          <t>HOSP-4|SS-01044</t>
        </is>
      </c>
      <c r="B190">
        <f>INDEX(Lots_Data!$E$2:$E$234,MATCH($A190,Lots_Data!$A$2:$A$234,0))</f>
        <v/>
      </c>
      <c r="C190">
        <f>INDEX(Lots_Data!$A$2:$A$234,MATCH($A190,Lots_Data!$A$2:$A$234,0))</f>
        <v/>
      </c>
      <c r="D190" t="inlineStr">
        <is>
          <t>C</t>
        </is>
      </c>
      <c r="E190">
        <f>INDEX(Usage_Summary!$B$4:$B$236,MATCH($C190,Usage_Summary!$A$4:$A$236,0))*INDEX(Lots_Data!$G$2:$G$234,MATCH($A190,Lots_Data!$A$2:$A$234,0))</f>
        <v/>
      </c>
      <c r="F190">
        <f>INDEX(Lots_Data!$G$2:$G$234,MATCH($A190,Lots_Data!$A$2:$A$234,0))</f>
        <v/>
      </c>
      <c r="G190">
        <f>INDEX(Usage_Summary!$B$4:$B$236,MATCH($C190,Usage_Summary!$A$4:$A$236,0))</f>
        <v/>
      </c>
      <c r="H190">
        <f>INDEX(Lots_Data!$D$2:$D$234,MATCH($A190,Lots_Data!$A$2:$A$234,0))</f>
        <v/>
      </c>
      <c r="I190">
        <f>INDEX(Lots_Data!$C$2:$C$234,MATCH($A190,Lots_Data!$A$2:$A$234,0))</f>
        <v/>
      </c>
    </row>
    <row r="191">
      <c r="A191" t="inlineStr">
        <is>
          <t>HOSP-4|SS-01048</t>
        </is>
      </c>
      <c r="B191">
        <f>INDEX(Lots_Data!$E$2:$E$234,MATCH($A191,Lots_Data!$A$2:$A$234,0))</f>
        <v/>
      </c>
      <c r="C191">
        <f>INDEX(Lots_Data!$A$2:$A$234,MATCH($A191,Lots_Data!$A$2:$A$234,0))</f>
        <v/>
      </c>
      <c r="D191" t="inlineStr">
        <is>
          <t>B</t>
        </is>
      </c>
      <c r="E191">
        <f>INDEX(Usage_Summary!$B$4:$B$236,MATCH($C191,Usage_Summary!$A$4:$A$236,0))*INDEX(Lots_Data!$G$2:$G$234,MATCH($A191,Lots_Data!$A$2:$A$234,0))</f>
        <v/>
      </c>
      <c r="F191">
        <f>INDEX(Lots_Data!$G$2:$G$234,MATCH($A191,Lots_Data!$A$2:$A$234,0))</f>
        <v/>
      </c>
      <c r="G191">
        <f>INDEX(Usage_Summary!$B$4:$B$236,MATCH($C191,Usage_Summary!$A$4:$A$236,0))</f>
        <v/>
      </c>
      <c r="H191">
        <f>INDEX(Lots_Data!$D$2:$D$234,MATCH($A191,Lots_Data!$A$2:$A$234,0))</f>
        <v/>
      </c>
      <c r="I191">
        <f>INDEX(Lots_Data!$C$2:$C$234,MATCH($A191,Lots_Data!$A$2:$A$234,0))</f>
        <v/>
      </c>
    </row>
    <row r="192">
      <c r="A192" t="inlineStr">
        <is>
          <t>HOSP-4|SS-01052</t>
        </is>
      </c>
      <c r="B192">
        <f>INDEX(Lots_Data!$E$2:$E$234,MATCH($A192,Lots_Data!$A$2:$A$234,0))</f>
        <v/>
      </c>
      <c r="C192">
        <f>INDEX(Lots_Data!$A$2:$A$234,MATCH($A192,Lots_Data!$A$2:$A$234,0))</f>
        <v/>
      </c>
      <c r="D192" t="inlineStr">
        <is>
          <t>B</t>
        </is>
      </c>
      <c r="E192">
        <f>INDEX(Usage_Summary!$B$4:$B$236,MATCH($C192,Usage_Summary!$A$4:$A$236,0))*INDEX(Lots_Data!$G$2:$G$234,MATCH($A192,Lots_Data!$A$2:$A$234,0))</f>
        <v/>
      </c>
      <c r="F192">
        <f>INDEX(Lots_Data!$G$2:$G$234,MATCH($A192,Lots_Data!$A$2:$A$234,0))</f>
        <v/>
      </c>
      <c r="G192">
        <f>INDEX(Usage_Summary!$B$4:$B$236,MATCH($C192,Usage_Summary!$A$4:$A$236,0))</f>
        <v/>
      </c>
      <c r="H192">
        <f>INDEX(Lots_Data!$D$2:$D$234,MATCH($A192,Lots_Data!$A$2:$A$234,0))</f>
        <v/>
      </c>
      <c r="I192">
        <f>INDEX(Lots_Data!$C$2:$C$234,MATCH($A192,Lots_Data!$A$2:$A$234,0))</f>
        <v/>
      </c>
    </row>
    <row r="193">
      <c r="A193" t="inlineStr">
        <is>
          <t>HOSP-4|SS-01056</t>
        </is>
      </c>
      <c r="B193">
        <f>INDEX(Lots_Data!$E$2:$E$234,MATCH($A193,Lots_Data!$A$2:$A$234,0))</f>
        <v/>
      </c>
      <c r="C193">
        <f>INDEX(Lots_Data!$A$2:$A$234,MATCH($A193,Lots_Data!$A$2:$A$234,0))</f>
        <v/>
      </c>
      <c r="D193" t="inlineStr">
        <is>
          <t>A</t>
        </is>
      </c>
      <c r="E193">
        <f>INDEX(Usage_Summary!$B$4:$B$236,MATCH($C193,Usage_Summary!$A$4:$A$236,0))*INDEX(Lots_Data!$G$2:$G$234,MATCH($A193,Lots_Data!$A$2:$A$234,0))</f>
        <v/>
      </c>
      <c r="F193">
        <f>INDEX(Lots_Data!$G$2:$G$234,MATCH($A193,Lots_Data!$A$2:$A$234,0))</f>
        <v/>
      </c>
      <c r="G193">
        <f>INDEX(Usage_Summary!$B$4:$B$236,MATCH($C193,Usage_Summary!$A$4:$A$236,0))</f>
        <v/>
      </c>
      <c r="H193">
        <f>INDEX(Lots_Data!$D$2:$D$234,MATCH($A193,Lots_Data!$A$2:$A$234,0))</f>
        <v/>
      </c>
      <c r="I193">
        <f>INDEX(Lots_Data!$C$2:$C$234,MATCH($A193,Lots_Data!$A$2:$A$234,0))</f>
        <v/>
      </c>
    </row>
    <row r="194">
      <c r="A194" t="inlineStr">
        <is>
          <t>HOSP-4|SS-01060</t>
        </is>
      </c>
      <c r="B194">
        <f>INDEX(Lots_Data!$E$2:$E$234,MATCH($A194,Lots_Data!$A$2:$A$234,0))</f>
        <v/>
      </c>
      <c r="C194">
        <f>INDEX(Lots_Data!$A$2:$A$234,MATCH($A194,Lots_Data!$A$2:$A$234,0))</f>
        <v/>
      </c>
      <c r="D194" t="inlineStr">
        <is>
          <t>A</t>
        </is>
      </c>
      <c r="E194">
        <f>INDEX(Usage_Summary!$B$4:$B$236,MATCH($C194,Usage_Summary!$A$4:$A$236,0))*INDEX(Lots_Data!$G$2:$G$234,MATCH($A194,Lots_Data!$A$2:$A$234,0))</f>
        <v/>
      </c>
      <c r="F194">
        <f>INDEX(Lots_Data!$G$2:$G$234,MATCH($A194,Lots_Data!$A$2:$A$234,0))</f>
        <v/>
      </c>
      <c r="G194">
        <f>INDEX(Usage_Summary!$B$4:$B$236,MATCH($C194,Usage_Summary!$A$4:$A$236,0))</f>
        <v/>
      </c>
      <c r="H194">
        <f>INDEX(Lots_Data!$D$2:$D$234,MATCH($A194,Lots_Data!$A$2:$A$234,0))</f>
        <v/>
      </c>
      <c r="I194">
        <f>INDEX(Lots_Data!$C$2:$C$234,MATCH($A194,Lots_Data!$A$2:$A$234,0))</f>
        <v/>
      </c>
    </row>
    <row r="195">
      <c r="A195" t="inlineStr">
        <is>
          <t>HOSP-4|SS-01064</t>
        </is>
      </c>
      <c r="B195">
        <f>INDEX(Lots_Data!$E$2:$E$234,MATCH($A195,Lots_Data!$A$2:$A$234,0))</f>
        <v/>
      </c>
      <c r="C195">
        <f>INDEX(Lots_Data!$A$2:$A$234,MATCH($A195,Lots_Data!$A$2:$A$234,0))</f>
        <v/>
      </c>
      <c r="D195" t="inlineStr">
        <is>
          <t>B</t>
        </is>
      </c>
      <c r="E195">
        <f>INDEX(Usage_Summary!$B$4:$B$236,MATCH($C195,Usage_Summary!$A$4:$A$236,0))*INDEX(Lots_Data!$G$2:$G$234,MATCH($A195,Lots_Data!$A$2:$A$234,0))</f>
        <v/>
      </c>
      <c r="F195">
        <f>INDEX(Lots_Data!$G$2:$G$234,MATCH($A195,Lots_Data!$A$2:$A$234,0))</f>
        <v/>
      </c>
      <c r="G195">
        <f>INDEX(Usage_Summary!$B$4:$B$236,MATCH($C195,Usage_Summary!$A$4:$A$236,0))</f>
        <v/>
      </c>
      <c r="H195">
        <f>INDEX(Lots_Data!$D$2:$D$234,MATCH($A195,Lots_Data!$A$2:$A$234,0))</f>
        <v/>
      </c>
      <c r="I195">
        <f>INDEX(Lots_Data!$C$2:$C$234,MATCH($A195,Lots_Data!$A$2:$A$234,0))</f>
        <v/>
      </c>
    </row>
    <row r="196">
      <c r="A196" t="inlineStr">
        <is>
          <t>HOSP-4|SS-01068</t>
        </is>
      </c>
      <c r="B196">
        <f>INDEX(Lots_Data!$E$2:$E$234,MATCH($A196,Lots_Data!$A$2:$A$234,0))</f>
        <v/>
      </c>
      <c r="C196">
        <f>INDEX(Lots_Data!$A$2:$A$234,MATCH($A196,Lots_Data!$A$2:$A$234,0))</f>
        <v/>
      </c>
      <c r="D196" t="inlineStr">
        <is>
          <t>A</t>
        </is>
      </c>
      <c r="E196">
        <f>INDEX(Usage_Summary!$B$4:$B$236,MATCH($C196,Usage_Summary!$A$4:$A$236,0))*INDEX(Lots_Data!$G$2:$G$234,MATCH($A196,Lots_Data!$A$2:$A$234,0))</f>
        <v/>
      </c>
      <c r="F196">
        <f>INDEX(Lots_Data!$G$2:$G$234,MATCH($A196,Lots_Data!$A$2:$A$234,0))</f>
        <v/>
      </c>
      <c r="G196">
        <f>INDEX(Usage_Summary!$B$4:$B$236,MATCH($C196,Usage_Summary!$A$4:$A$236,0))</f>
        <v/>
      </c>
      <c r="H196">
        <f>INDEX(Lots_Data!$D$2:$D$234,MATCH($A196,Lots_Data!$A$2:$A$234,0))</f>
        <v/>
      </c>
      <c r="I196">
        <f>INDEX(Lots_Data!$C$2:$C$234,MATCH($A196,Lots_Data!$A$2:$A$234,0))</f>
        <v/>
      </c>
    </row>
    <row r="197">
      <c r="A197" t="inlineStr">
        <is>
          <t>HOSP-4|SS-01072</t>
        </is>
      </c>
      <c r="B197">
        <f>INDEX(Lots_Data!$E$2:$E$234,MATCH($A197,Lots_Data!$A$2:$A$234,0))</f>
        <v/>
      </c>
      <c r="C197">
        <f>INDEX(Lots_Data!$A$2:$A$234,MATCH($A197,Lots_Data!$A$2:$A$234,0))</f>
        <v/>
      </c>
      <c r="D197" t="inlineStr">
        <is>
          <t>B</t>
        </is>
      </c>
      <c r="E197">
        <f>INDEX(Usage_Summary!$B$4:$B$236,MATCH($C197,Usage_Summary!$A$4:$A$236,0))*INDEX(Lots_Data!$G$2:$G$234,MATCH($A197,Lots_Data!$A$2:$A$234,0))</f>
        <v/>
      </c>
      <c r="F197">
        <f>INDEX(Lots_Data!$G$2:$G$234,MATCH($A197,Lots_Data!$A$2:$A$234,0))</f>
        <v/>
      </c>
      <c r="G197">
        <f>INDEX(Usage_Summary!$B$4:$B$236,MATCH($C197,Usage_Summary!$A$4:$A$236,0))</f>
        <v/>
      </c>
      <c r="H197">
        <f>INDEX(Lots_Data!$D$2:$D$234,MATCH($A197,Lots_Data!$A$2:$A$234,0))</f>
        <v/>
      </c>
      <c r="I197">
        <f>INDEX(Lots_Data!$C$2:$C$234,MATCH($A197,Lots_Data!$A$2:$A$234,0))</f>
        <v/>
      </c>
    </row>
    <row r="198">
      <c r="A198" t="inlineStr">
        <is>
          <t>HOSP-4|SS-01076</t>
        </is>
      </c>
      <c r="B198">
        <f>INDEX(Lots_Data!$E$2:$E$234,MATCH($A198,Lots_Data!$A$2:$A$234,0))</f>
        <v/>
      </c>
      <c r="C198">
        <f>INDEX(Lots_Data!$A$2:$A$234,MATCH($A198,Lots_Data!$A$2:$A$234,0))</f>
        <v/>
      </c>
      <c r="D198" t="inlineStr">
        <is>
          <t>C</t>
        </is>
      </c>
      <c r="E198">
        <f>INDEX(Usage_Summary!$B$4:$B$236,MATCH($C198,Usage_Summary!$A$4:$A$236,0))*INDEX(Lots_Data!$G$2:$G$234,MATCH($A198,Lots_Data!$A$2:$A$234,0))</f>
        <v/>
      </c>
      <c r="F198">
        <f>INDEX(Lots_Data!$G$2:$G$234,MATCH($A198,Lots_Data!$A$2:$A$234,0))</f>
        <v/>
      </c>
      <c r="G198">
        <f>INDEX(Usage_Summary!$B$4:$B$236,MATCH($C198,Usage_Summary!$A$4:$A$236,0))</f>
        <v/>
      </c>
      <c r="H198">
        <f>INDEX(Lots_Data!$D$2:$D$234,MATCH($A198,Lots_Data!$A$2:$A$234,0))</f>
        <v/>
      </c>
      <c r="I198">
        <f>INDEX(Lots_Data!$C$2:$C$234,MATCH($A198,Lots_Data!$A$2:$A$234,0))</f>
        <v/>
      </c>
    </row>
    <row r="199">
      <c r="A199" t="inlineStr">
        <is>
          <t>HOSP-4|SS-01080</t>
        </is>
      </c>
      <c r="B199">
        <f>INDEX(Lots_Data!$E$2:$E$234,MATCH($A199,Lots_Data!$A$2:$A$234,0))</f>
        <v/>
      </c>
      <c r="C199">
        <f>INDEX(Lots_Data!$A$2:$A$234,MATCH($A199,Lots_Data!$A$2:$A$234,0))</f>
        <v/>
      </c>
      <c r="D199" t="inlineStr">
        <is>
          <t>B</t>
        </is>
      </c>
      <c r="E199">
        <f>INDEX(Usage_Summary!$B$4:$B$236,MATCH($C199,Usage_Summary!$A$4:$A$236,0))*INDEX(Lots_Data!$G$2:$G$234,MATCH($A199,Lots_Data!$A$2:$A$234,0))</f>
        <v/>
      </c>
      <c r="F199">
        <f>INDEX(Lots_Data!$G$2:$G$234,MATCH($A199,Lots_Data!$A$2:$A$234,0))</f>
        <v/>
      </c>
      <c r="G199">
        <f>INDEX(Usage_Summary!$B$4:$B$236,MATCH($C199,Usage_Summary!$A$4:$A$236,0))</f>
        <v/>
      </c>
      <c r="H199">
        <f>INDEX(Lots_Data!$D$2:$D$234,MATCH($A199,Lots_Data!$A$2:$A$234,0))</f>
        <v/>
      </c>
      <c r="I199">
        <f>INDEX(Lots_Data!$C$2:$C$234,MATCH($A199,Lots_Data!$A$2:$A$234,0))</f>
        <v/>
      </c>
    </row>
    <row r="200">
      <c r="A200" t="inlineStr">
        <is>
          <t>HOSP-4|SS-01084</t>
        </is>
      </c>
      <c r="B200">
        <f>INDEX(Lots_Data!$E$2:$E$234,MATCH($A200,Lots_Data!$A$2:$A$234,0))</f>
        <v/>
      </c>
      <c r="C200">
        <f>INDEX(Lots_Data!$A$2:$A$234,MATCH($A200,Lots_Data!$A$2:$A$234,0))</f>
        <v/>
      </c>
      <c r="D200" t="inlineStr">
        <is>
          <t>A</t>
        </is>
      </c>
      <c r="E200">
        <f>INDEX(Usage_Summary!$B$4:$B$236,MATCH($C200,Usage_Summary!$A$4:$A$236,0))*INDEX(Lots_Data!$G$2:$G$234,MATCH($A200,Lots_Data!$A$2:$A$234,0))</f>
        <v/>
      </c>
      <c r="F200">
        <f>INDEX(Lots_Data!$G$2:$G$234,MATCH($A200,Lots_Data!$A$2:$A$234,0))</f>
        <v/>
      </c>
      <c r="G200">
        <f>INDEX(Usage_Summary!$B$4:$B$236,MATCH($C200,Usage_Summary!$A$4:$A$236,0))</f>
        <v/>
      </c>
      <c r="H200">
        <f>INDEX(Lots_Data!$D$2:$D$234,MATCH($A200,Lots_Data!$A$2:$A$234,0))</f>
        <v/>
      </c>
      <c r="I200">
        <f>INDEX(Lots_Data!$C$2:$C$234,MATCH($A200,Lots_Data!$A$2:$A$234,0))</f>
        <v/>
      </c>
    </row>
    <row r="201">
      <c r="A201" t="inlineStr">
        <is>
          <t>HOSP-4|SS-01088</t>
        </is>
      </c>
      <c r="B201">
        <f>INDEX(Lots_Data!$E$2:$E$234,MATCH($A201,Lots_Data!$A$2:$A$234,0))</f>
        <v/>
      </c>
      <c r="C201">
        <f>INDEX(Lots_Data!$A$2:$A$234,MATCH($A201,Lots_Data!$A$2:$A$234,0))</f>
        <v/>
      </c>
      <c r="D201" t="inlineStr">
        <is>
          <t>A</t>
        </is>
      </c>
      <c r="E201">
        <f>INDEX(Usage_Summary!$B$4:$B$236,MATCH($C201,Usage_Summary!$A$4:$A$236,0))*INDEX(Lots_Data!$G$2:$G$234,MATCH($A201,Lots_Data!$A$2:$A$234,0))</f>
        <v/>
      </c>
      <c r="F201">
        <f>INDEX(Lots_Data!$G$2:$G$234,MATCH($A201,Lots_Data!$A$2:$A$234,0))</f>
        <v/>
      </c>
      <c r="G201">
        <f>INDEX(Usage_Summary!$B$4:$B$236,MATCH($C201,Usage_Summary!$A$4:$A$236,0))</f>
        <v/>
      </c>
      <c r="H201">
        <f>INDEX(Lots_Data!$D$2:$D$234,MATCH($A201,Lots_Data!$A$2:$A$234,0))</f>
        <v/>
      </c>
      <c r="I201">
        <f>INDEX(Lots_Data!$C$2:$C$234,MATCH($A201,Lots_Data!$A$2:$A$234,0))</f>
        <v/>
      </c>
    </row>
    <row r="202">
      <c r="A202" t="inlineStr">
        <is>
          <t>HOSP-4|SS-01092</t>
        </is>
      </c>
      <c r="B202">
        <f>INDEX(Lots_Data!$E$2:$E$234,MATCH($A202,Lots_Data!$A$2:$A$234,0))</f>
        <v/>
      </c>
      <c r="C202">
        <f>INDEX(Lots_Data!$A$2:$A$234,MATCH($A202,Lots_Data!$A$2:$A$234,0))</f>
        <v/>
      </c>
      <c r="D202" t="inlineStr">
        <is>
          <t>A</t>
        </is>
      </c>
      <c r="E202">
        <f>INDEX(Usage_Summary!$B$4:$B$236,MATCH($C202,Usage_Summary!$A$4:$A$236,0))*INDEX(Lots_Data!$G$2:$G$234,MATCH($A202,Lots_Data!$A$2:$A$234,0))</f>
        <v/>
      </c>
      <c r="F202">
        <f>INDEX(Lots_Data!$G$2:$G$234,MATCH($A202,Lots_Data!$A$2:$A$234,0))</f>
        <v/>
      </c>
      <c r="G202">
        <f>INDEX(Usage_Summary!$B$4:$B$236,MATCH($C202,Usage_Summary!$A$4:$A$236,0))</f>
        <v/>
      </c>
      <c r="H202">
        <f>INDEX(Lots_Data!$D$2:$D$234,MATCH($A202,Lots_Data!$A$2:$A$234,0))</f>
        <v/>
      </c>
      <c r="I202">
        <f>INDEX(Lots_Data!$C$2:$C$234,MATCH($A202,Lots_Data!$A$2:$A$234,0))</f>
        <v/>
      </c>
    </row>
    <row r="203">
      <c r="A203" t="inlineStr">
        <is>
          <t>HOSP-4|SS-01096</t>
        </is>
      </c>
      <c r="B203">
        <f>INDEX(Lots_Data!$E$2:$E$234,MATCH($A203,Lots_Data!$A$2:$A$234,0))</f>
        <v/>
      </c>
      <c r="C203">
        <f>INDEX(Lots_Data!$A$2:$A$234,MATCH($A203,Lots_Data!$A$2:$A$234,0))</f>
        <v/>
      </c>
      <c r="D203" t="inlineStr">
        <is>
          <t>C</t>
        </is>
      </c>
      <c r="E203">
        <f>INDEX(Usage_Summary!$B$4:$B$236,MATCH($C203,Usage_Summary!$A$4:$A$236,0))*INDEX(Lots_Data!$G$2:$G$234,MATCH($A203,Lots_Data!$A$2:$A$234,0))</f>
        <v/>
      </c>
      <c r="F203">
        <f>INDEX(Lots_Data!$G$2:$G$234,MATCH($A203,Lots_Data!$A$2:$A$234,0))</f>
        <v/>
      </c>
      <c r="G203">
        <f>INDEX(Usage_Summary!$B$4:$B$236,MATCH($C203,Usage_Summary!$A$4:$A$236,0))</f>
        <v/>
      </c>
      <c r="H203">
        <f>INDEX(Lots_Data!$D$2:$D$234,MATCH($A203,Lots_Data!$A$2:$A$234,0))</f>
        <v/>
      </c>
      <c r="I203">
        <f>INDEX(Lots_Data!$C$2:$C$234,MATCH($A203,Lots_Data!$A$2:$A$234,0))</f>
        <v/>
      </c>
    </row>
    <row r="204">
      <c r="A204" t="inlineStr">
        <is>
          <t>HOSP-4|SS-01100</t>
        </is>
      </c>
      <c r="B204">
        <f>INDEX(Lots_Data!$E$2:$E$234,MATCH($A204,Lots_Data!$A$2:$A$234,0))</f>
        <v/>
      </c>
      <c r="C204">
        <f>INDEX(Lots_Data!$A$2:$A$234,MATCH($A204,Lots_Data!$A$2:$A$234,0))</f>
        <v/>
      </c>
      <c r="D204" t="inlineStr">
        <is>
          <t>B</t>
        </is>
      </c>
      <c r="E204">
        <f>INDEX(Usage_Summary!$B$4:$B$236,MATCH($C204,Usage_Summary!$A$4:$A$236,0))*INDEX(Lots_Data!$G$2:$G$234,MATCH($A204,Lots_Data!$A$2:$A$234,0))</f>
        <v/>
      </c>
      <c r="F204">
        <f>INDEX(Lots_Data!$G$2:$G$234,MATCH($A204,Lots_Data!$A$2:$A$234,0))</f>
        <v/>
      </c>
      <c r="G204">
        <f>INDEX(Usage_Summary!$B$4:$B$236,MATCH($C204,Usage_Summary!$A$4:$A$236,0))</f>
        <v/>
      </c>
      <c r="H204">
        <f>INDEX(Lots_Data!$D$2:$D$234,MATCH($A204,Lots_Data!$A$2:$A$234,0))</f>
        <v/>
      </c>
      <c r="I204">
        <f>INDEX(Lots_Data!$C$2:$C$234,MATCH($A204,Lots_Data!$A$2:$A$234,0))</f>
        <v/>
      </c>
    </row>
    <row r="205">
      <c r="A205" t="inlineStr">
        <is>
          <t>HOSP-4|SS-01104</t>
        </is>
      </c>
      <c r="B205">
        <f>INDEX(Lots_Data!$E$2:$E$234,MATCH($A205,Lots_Data!$A$2:$A$234,0))</f>
        <v/>
      </c>
      <c r="C205">
        <f>INDEX(Lots_Data!$A$2:$A$234,MATCH($A205,Lots_Data!$A$2:$A$234,0))</f>
        <v/>
      </c>
      <c r="D205" t="inlineStr">
        <is>
          <t>B</t>
        </is>
      </c>
      <c r="E205">
        <f>INDEX(Usage_Summary!$B$4:$B$236,MATCH($C205,Usage_Summary!$A$4:$A$236,0))*INDEX(Lots_Data!$G$2:$G$234,MATCH($A205,Lots_Data!$A$2:$A$234,0))</f>
        <v/>
      </c>
      <c r="F205">
        <f>INDEX(Lots_Data!$G$2:$G$234,MATCH($A205,Lots_Data!$A$2:$A$234,0))</f>
        <v/>
      </c>
      <c r="G205">
        <f>INDEX(Usage_Summary!$B$4:$B$236,MATCH($C205,Usage_Summary!$A$4:$A$236,0))</f>
        <v/>
      </c>
      <c r="H205">
        <f>INDEX(Lots_Data!$D$2:$D$234,MATCH($A205,Lots_Data!$A$2:$A$234,0))</f>
        <v/>
      </c>
      <c r="I205">
        <f>INDEX(Lots_Data!$C$2:$C$234,MATCH($A205,Lots_Data!$A$2:$A$234,0))</f>
        <v/>
      </c>
    </row>
    <row r="206">
      <c r="A206" t="inlineStr">
        <is>
          <t>HOSP-4|SS-01108</t>
        </is>
      </c>
      <c r="B206">
        <f>INDEX(Lots_Data!$E$2:$E$234,MATCH($A206,Lots_Data!$A$2:$A$234,0))</f>
        <v/>
      </c>
      <c r="C206">
        <f>INDEX(Lots_Data!$A$2:$A$234,MATCH($A206,Lots_Data!$A$2:$A$234,0))</f>
        <v/>
      </c>
      <c r="D206" t="inlineStr">
        <is>
          <t>A</t>
        </is>
      </c>
      <c r="E206">
        <f>INDEX(Usage_Summary!$B$4:$B$236,MATCH($C206,Usage_Summary!$A$4:$A$236,0))*INDEX(Lots_Data!$G$2:$G$234,MATCH($A206,Lots_Data!$A$2:$A$234,0))</f>
        <v/>
      </c>
      <c r="F206">
        <f>INDEX(Lots_Data!$G$2:$G$234,MATCH($A206,Lots_Data!$A$2:$A$234,0))</f>
        <v/>
      </c>
      <c r="G206">
        <f>INDEX(Usage_Summary!$B$4:$B$236,MATCH($C206,Usage_Summary!$A$4:$A$236,0))</f>
        <v/>
      </c>
      <c r="H206">
        <f>INDEX(Lots_Data!$D$2:$D$234,MATCH($A206,Lots_Data!$A$2:$A$234,0))</f>
        <v/>
      </c>
      <c r="I206">
        <f>INDEX(Lots_Data!$C$2:$C$234,MATCH($A206,Lots_Data!$A$2:$A$234,0))</f>
        <v/>
      </c>
    </row>
    <row r="207">
      <c r="A207" t="inlineStr">
        <is>
          <t>HOSP-4|SS-01112</t>
        </is>
      </c>
      <c r="B207">
        <f>INDEX(Lots_Data!$E$2:$E$234,MATCH($A207,Lots_Data!$A$2:$A$234,0))</f>
        <v/>
      </c>
      <c r="C207">
        <f>INDEX(Lots_Data!$A$2:$A$234,MATCH($A207,Lots_Data!$A$2:$A$234,0))</f>
        <v/>
      </c>
      <c r="D207" t="inlineStr">
        <is>
          <t>A</t>
        </is>
      </c>
      <c r="E207">
        <f>INDEX(Usage_Summary!$B$4:$B$236,MATCH($C207,Usage_Summary!$A$4:$A$236,0))*INDEX(Lots_Data!$G$2:$G$234,MATCH($A207,Lots_Data!$A$2:$A$234,0))</f>
        <v/>
      </c>
      <c r="F207">
        <f>INDEX(Lots_Data!$G$2:$G$234,MATCH($A207,Lots_Data!$A$2:$A$234,0))</f>
        <v/>
      </c>
      <c r="G207">
        <f>INDEX(Usage_Summary!$B$4:$B$236,MATCH($C207,Usage_Summary!$A$4:$A$236,0))</f>
        <v/>
      </c>
      <c r="H207">
        <f>INDEX(Lots_Data!$D$2:$D$234,MATCH($A207,Lots_Data!$A$2:$A$234,0))</f>
        <v/>
      </c>
      <c r="I207">
        <f>INDEX(Lots_Data!$C$2:$C$234,MATCH($A207,Lots_Data!$A$2:$A$234,0))</f>
        <v/>
      </c>
    </row>
    <row r="208">
      <c r="A208" t="inlineStr">
        <is>
          <t>HOSP-4|SS-01116</t>
        </is>
      </c>
      <c r="B208">
        <f>INDEX(Lots_Data!$E$2:$E$234,MATCH($A208,Lots_Data!$A$2:$A$234,0))</f>
        <v/>
      </c>
      <c r="C208">
        <f>INDEX(Lots_Data!$A$2:$A$234,MATCH($A208,Lots_Data!$A$2:$A$234,0))</f>
        <v/>
      </c>
      <c r="D208" t="inlineStr">
        <is>
          <t>A</t>
        </is>
      </c>
      <c r="E208">
        <f>INDEX(Usage_Summary!$B$4:$B$236,MATCH($C208,Usage_Summary!$A$4:$A$236,0))*INDEX(Lots_Data!$G$2:$G$234,MATCH($A208,Lots_Data!$A$2:$A$234,0))</f>
        <v/>
      </c>
      <c r="F208">
        <f>INDEX(Lots_Data!$G$2:$G$234,MATCH($A208,Lots_Data!$A$2:$A$234,0))</f>
        <v/>
      </c>
      <c r="G208">
        <f>INDEX(Usage_Summary!$B$4:$B$236,MATCH($C208,Usage_Summary!$A$4:$A$236,0))</f>
        <v/>
      </c>
      <c r="H208">
        <f>INDEX(Lots_Data!$D$2:$D$234,MATCH($A208,Lots_Data!$A$2:$A$234,0))</f>
        <v/>
      </c>
      <c r="I208">
        <f>INDEX(Lots_Data!$C$2:$C$234,MATCH($A208,Lots_Data!$A$2:$A$234,0))</f>
        <v/>
      </c>
    </row>
    <row r="209">
      <c r="A209" t="inlineStr">
        <is>
          <t>HOSP-4|SS-01120</t>
        </is>
      </c>
      <c r="B209">
        <f>INDEX(Lots_Data!$E$2:$E$234,MATCH($A209,Lots_Data!$A$2:$A$234,0))</f>
        <v/>
      </c>
      <c r="C209">
        <f>INDEX(Lots_Data!$A$2:$A$234,MATCH($A209,Lots_Data!$A$2:$A$234,0))</f>
        <v/>
      </c>
      <c r="D209" t="inlineStr">
        <is>
          <t>A</t>
        </is>
      </c>
      <c r="E209">
        <f>INDEX(Usage_Summary!$B$4:$B$236,MATCH($C209,Usage_Summary!$A$4:$A$236,0))*INDEX(Lots_Data!$G$2:$G$234,MATCH($A209,Lots_Data!$A$2:$A$234,0))</f>
        <v/>
      </c>
      <c r="F209">
        <f>INDEX(Lots_Data!$G$2:$G$234,MATCH($A209,Lots_Data!$A$2:$A$234,0))</f>
        <v/>
      </c>
      <c r="G209">
        <f>INDEX(Usage_Summary!$B$4:$B$236,MATCH($C209,Usage_Summary!$A$4:$A$236,0))</f>
        <v/>
      </c>
      <c r="H209">
        <f>INDEX(Lots_Data!$D$2:$D$234,MATCH($A209,Lots_Data!$A$2:$A$234,0))</f>
        <v/>
      </c>
      <c r="I209">
        <f>INDEX(Lots_Data!$C$2:$C$234,MATCH($A209,Lots_Data!$A$2:$A$234,0))</f>
        <v/>
      </c>
    </row>
    <row r="210">
      <c r="A210" t="inlineStr">
        <is>
          <t>HOSP-4|SS-01124</t>
        </is>
      </c>
      <c r="B210">
        <f>INDEX(Lots_Data!$E$2:$E$234,MATCH($A210,Lots_Data!$A$2:$A$234,0))</f>
        <v/>
      </c>
      <c r="C210">
        <f>INDEX(Lots_Data!$A$2:$A$234,MATCH($A210,Lots_Data!$A$2:$A$234,0))</f>
        <v/>
      </c>
      <c r="D210" t="inlineStr">
        <is>
          <t>A</t>
        </is>
      </c>
      <c r="E210">
        <f>INDEX(Usage_Summary!$B$4:$B$236,MATCH($C210,Usage_Summary!$A$4:$A$236,0))*INDEX(Lots_Data!$G$2:$G$234,MATCH($A210,Lots_Data!$A$2:$A$234,0))</f>
        <v/>
      </c>
      <c r="F210">
        <f>INDEX(Lots_Data!$G$2:$G$234,MATCH($A210,Lots_Data!$A$2:$A$234,0))</f>
        <v/>
      </c>
      <c r="G210">
        <f>INDEX(Usage_Summary!$B$4:$B$236,MATCH($C210,Usage_Summary!$A$4:$A$236,0))</f>
        <v/>
      </c>
      <c r="H210">
        <f>INDEX(Lots_Data!$D$2:$D$234,MATCH($A210,Lots_Data!$A$2:$A$234,0))</f>
        <v/>
      </c>
      <c r="I210">
        <f>INDEX(Lots_Data!$C$2:$C$234,MATCH($A210,Lots_Data!$A$2:$A$234,0))</f>
        <v/>
      </c>
    </row>
    <row r="211">
      <c r="A211" t="inlineStr">
        <is>
          <t>HOSP-4|SS-01128</t>
        </is>
      </c>
      <c r="B211">
        <f>INDEX(Lots_Data!$E$2:$E$234,MATCH($A211,Lots_Data!$A$2:$A$234,0))</f>
        <v/>
      </c>
      <c r="C211">
        <f>INDEX(Lots_Data!$A$2:$A$234,MATCH($A211,Lots_Data!$A$2:$A$234,0))</f>
        <v/>
      </c>
      <c r="D211" t="inlineStr">
        <is>
          <t>B</t>
        </is>
      </c>
      <c r="E211">
        <f>INDEX(Usage_Summary!$B$4:$B$236,MATCH($C211,Usage_Summary!$A$4:$A$236,0))*INDEX(Lots_Data!$G$2:$G$234,MATCH($A211,Lots_Data!$A$2:$A$234,0))</f>
        <v/>
      </c>
      <c r="F211">
        <f>INDEX(Lots_Data!$G$2:$G$234,MATCH($A211,Lots_Data!$A$2:$A$234,0))</f>
        <v/>
      </c>
      <c r="G211">
        <f>INDEX(Usage_Summary!$B$4:$B$236,MATCH($C211,Usage_Summary!$A$4:$A$236,0))</f>
        <v/>
      </c>
      <c r="H211">
        <f>INDEX(Lots_Data!$D$2:$D$234,MATCH($A211,Lots_Data!$A$2:$A$234,0))</f>
        <v/>
      </c>
      <c r="I211">
        <f>INDEX(Lots_Data!$C$2:$C$234,MATCH($A211,Lots_Data!$A$2:$A$234,0))</f>
        <v/>
      </c>
    </row>
    <row r="212">
      <c r="A212" t="inlineStr">
        <is>
          <t>HOSP-4|SS-01132</t>
        </is>
      </c>
      <c r="B212">
        <f>INDEX(Lots_Data!$E$2:$E$234,MATCH($A212,Lots_Data!$A$2:$A$234,0))</f>
        <v/>
      </c>
      <c r="C212">
        <f>INDEX(Lots_Data!$A$2:$A$234,MATCH($A212,Lots_Data!$A$2:$A$234,0))</f>
        <v/>
      </c>
      <c r="D212" t="inlineStr">
        <is>
          <t>B</t>
        </is>
      </c>
      <c r="E212">
        <f>INDEX(Usage_Summary!$B$4:$B$236,MATCH($C212,Usage_Summary!$A$4:$A$236,0))*INDEX(Lots_Data!$G$2:$G$234,MATCH($A212,Lots_Data!$A$2:$A$234,0))</f>
        <v/>
      </c>
      <c r="F212">
        <f>INDEX(Lots_Data!$G$2:$G$234,MATCH($A212,Lots_Data!$A$2:$A$234,0))</f>
        <v/>
      </c>
      <c r="G212">
        <f>INDEX(Usage_Summary!$B$4:$B$236,MATCH($C212,Usage_Summary!$A$4:$A$236,0))</f>
        <v/>
      </c>
      <c r="H212">
        <f>INDEX(Lots_Data!$D$2:$D$234,MATCH($A212,Lots_Data!$A$2:$A$234,0))</f>
        <v/>
      </c>
      <c r="I212">
        <f>INDEX(Lots_Data!$C$2:$C$234,MATCH($A212,Lots_Data!$A$2:$A$234,0))</f>
        <v/>
      </c>
    </row>
    <row r="213">
      <c r="A213" t="inlineStr">
        <is>
          <t>HOSP-4|SS-01136</t>
        </is>
      </c>
      <c r="B213">
        <f>INDEX(Lots_Data!$E$2:$E$234,MATCH($A213,Lots_Data!$A$2:$A$234,0))</f>
        <v/>
      </c>
      <c r="C213">
        <f>INDEX(Lots_Data!$A$2:$A$234,MATCH($A213,Lots_Data!$A$2:$A$234,0))</f>
        <v/>
      </c>
      <c r="D213" t="inlineStr">
        <is>
          <t>A</t>
        </is>
      </c>
      <c r="E213">
        <f>INDEX(Usage_Summary!$B$4:$B$236,MATCH($C213,Usage_Summary!$A$4:$A$236,0))*INDEX(Lots_Data!$G$2:$G$234,MATCH($A213,Lots_Data!$A$2:$A$234,0))</f>
        <v/>
      </c>
      <c r="F213">
        <f>INDEX(Lots_Data!$G$2:$G$234,MATCH($A213,Lots_Data!$A$2:$A$234,0))</f>
        <v/>
      </c>
      <c r="G213">
        <f>INDEX(Usage_Summary!$B$4:$B$236,MATCH($C213,Usage_Summary!$A$4:$A$236,0))</f>
        <v/>
      </c>
      <c r="H213">
        <f>INDEX(Lots_Data!$D$2:$D$234,MATCH($A213,Lots_Data!$A$2:$A$234,0))</f>
        <v/>
      </c>
      <c r="I213">
        <f>INDEX(Lots_Data!$C$2:$C$234,MATCH($A213,Lots_Data!$A$2:$A$234,0))</f>
        <v/>
      </c>
    </row>
    <row r="214">
      <c r="A214" t="inlineStr">
        <is>
          <t>HOSP-4|SS-01140</t>
        </is>
      </c>
      <c r="B214">
        <f>INDEX(Lots_Data!$E$2:$E$234,MATCH($A214,Lots_Data!$A$2:$A$234,0))</f>
        <v/>
      </c>
      <c r="C214">
        <f>INDEX(Lots_Data!$A$2:$A$234,MATCH($A214,Lots_Data!$A$2:$A$234,0))</f>
        <v/>
      </c>
      <c r="D214" t="inlineStr">
        <is>
          <t>B</t>
        </is>
      </c>
      <c r="E214">
        <f>INDEX(Usage_Summary!$B$4:$B$236,MATCH($C214,Usage_Summary!$A$4:$A$236,0))*INDEX(Lots_Data!$G$2:$G$234,MATCH($A214,Lots_Data!$A$2:$A$234,0))</f>
        <v/>
      </c>
      <c r="F214">
        <f>INDEX(Lots_Data!$G$2:$G$234,MATCH($A214,Lots_Data!$A$2:$A$234,0))</f>
        <v/>
      </c>
      <c r="G214">
        <f>INDEX(Usage_Summary!$B$4:$B$236,MATCH($C214,Usage_Summary!$A$4:$A$236,0))</f>
        <v/>
      </c>
      <c r="H214">
        <f>INDEX(Lots_Data!$D$2:$D$234,MATCH($A214,Lots_Data!$A$2:$A$234,0))</f>
        <v/>
      </c>
      <c r="I214">
        <f>INDEX(Lots_Data!$C$2:$C$234,MATCH($A214,Lots_Data!$A$2:$A$234,0))</f>
        <v/>
      </c>
    </row>
    <row r="215">
      <c r="A215" t="inlineStr">
        <is>
          <t>HOSP-4|SS-01144</t>
        </is>
      </c>
      <c r="B215">
        <f>INDEX(Lots_Data!$E$2:$E$234,MATCH($A215,Lots_Data!$A$2:$A$234,0))</f>
        <v/>
      </c>
      <c r="C215">
        <f>INDEX(Lots_Data!$A$2:$A$234,MATCH($A215,Lots_Data!$A$2:$A$234,0))</f>
        <v/>
      </c>
      <c r="D215" t="inlineStr">
        <is>
          <t>B</t>
        </is>
      </c>
      <c r="E215">
        <f>INDEX(Usage_Summary!$B$4:$B$236,MATCH($C215,Usage_Summary!$A$4:$A$236,0))*INDEX(Lots_Data!$G$2:$G$234,MATCH($A215,Lots_Data!$A$2:$A$234,0))</f>
        <v/>
      </c>
      <c r="F215">
        <f>INDEX(Lots_Data!$G$2:$G$234,MATCH($A215,Lots_Data!$A$2:$A$234,0))</f>
        <v/>
      </c>
      <c r="G215">
        <f>INDEX(Usage_Summary!$B$4:$B$236,MATCH($C215,Usage_Summary!$A$4:$A$236,0))</f>
        <v/>
      </c>
      <c r="H215">
        <f>INDEX(Lots_Data!$D$2:$D$234,MATCH($A215,Lots_Data!$A$2:$A$234,0))</f>
        <v/>
      </c>
      <c r="I215">
        <f>INDEX(Lots_Data!$C$2:$C$234,MATCH($A215,Lots_Data!$A$2:$A$234,0))</f>
        <v/>
      </c>
    </row>
    <row r="216">
      <c r="A216" t="inlineStr">
        <is>
          <t>HOSP-4|SS-01148</t>
        </is>
      </c>
      <c r="B216">
        <f>INDEX(Lots_Data!$E$2:$E$234,MATCH($A216,Lots_Data!$A$2:$A$234,0))</f>
        <v/>
      </c>
      <c r="C216">
        <f>INDEX(Lots_Data!$A$2:$A$234,MATCH($A216,Lots_Data!$A$2:$A$234,0))</f>
        <v/>
      </c>
      <c r="D216" t="inlineStr">
        <is>
          <t>C</t>
        </is>
      </c>
      <c r="E216">
        <f>INDEX(Usage_Summary!$B$4:$B$236,MATCH($C216,Usage_Summary!$A$4:$A$236,0))*INDEX(Lots_Data!$G$2:$G$234,MATCH($A216,Lots_Data!$A$2:$A$234,0))</f>
        <v/>
      </c>
      <c r="F216">
        <f>INDEX(Lots_Data!$G$2:$G$234,MATCH($A216,Lots_Data!$A$2:$A$234,0))</f>
        <v/>
      </c>
      <c r="G216">
        <f>INDEX(Usage_Summary!$B$4:$B$236,MATCH($C216,Usage_Summary!$A$4:$A$236,0))</f>
        <v/>
      </c>
      <c r="H216">
        <f>INDEX(Lots_Data!$D$2:$D$234,MATCH($A216,Lots_Data!$A$2:$A$234,0))</f>
        <v/>
      </c>
      <c r="I216">
        <f>INDEX(Lots_Data!$C$2:$C$234,MATCH($A216,Lots_Data!$A$2:$A$234,0))</f>
        <v/>
      </c>
    </row>
    <row r="217">
      <c r="A217" t="inlineStr">
        <is>
          <t>HOSP-4|SS-01152</t>
        </is>
      </c>
      <c r="B217">
        <f>INDEX(Lots_Data!$E$2:$E$234,MATCH($A217,Lots_Data!$A$2:$A$234,0))</f>
        <v/>
      </c>
      <c r="C217">
        <f>INDEX(Lots_Data!$A$2:$A$234,MATCH($A217,Lots_Data!$A$2:$A$234,0))</f>
        <v/>
      </c>
      <c r="D217" t="inlineStr">
        <is>
          <t>A</t>
        </is>
      </c>
      <c r="E217">
        <f>INDEX(Usage_Summary!$B$4:$B$236,MATCH($C217,Usage_Summary!$A$4:$A$236,0))*INDEX(Lots_Data!$G$2:$G$234,MATCH($A217,Lots_Data!$A$2:$A$234,0))</f>
        <v/>
      </c>
      <c r="F217">
        <f>INDEX(Lots_Data!$G$2:$G$234,MATCH($A217,Lots_Data!$A$2:$A$234,0))</f>
        <v/>
      </c>
      <c r="G217">
        <f>INDEX(Usage_Summary!$B$4:$B$236,MATCH($C217,Usage_Summary!$A$4:$A$236,0))</f>
        <v/>
      </c>
      <c r="H217">
        <f>INDEX(Lots_Data!$D$2:$D$234,MATCH($A217,Lots_Data!$A$2:$A$234,0))</f>
        <v/>
      </c>
      <c r="I217">
        <f>INDEX(Lots_Data!$C$2:$C$234,MATCH($A217,Lots_Data!$A$2:$A$234,0))</f>
        <v/>
      </c>
    </row>
    <row r="218">
      <c r="A218" t="inlineStr">
        <is>
          <t>HOSP-4|SS-01156</t>
        </is>
      </c>
      <c r="B218">
        <f>INDEX(Lots_Data!$E$2:$E$234,MATCH($A218,Lots_Data!$A$2:$A$234,0))</f>
        <v/>
      </c>
      <c r="C218">
        <f>INDEX(Lots_Data!$A$2:$A$234,MATCH($A218,Lots_Data!$A$2:$A$234,0))</f>
        <v/>
      </c>
      <c r="D218" t="inlineStr">
        <is>
          <t>A</t>
        </is>
      </c>
      <c r="E218">
        <f>INDEX(Usage_Summary!$B$4:$B$236,MATCH($C218,Usage_Summary!$A$4:$A$236,0))*INDEX(Lots_Data!$G$2:$G$234,MATCH($A218,Lots_Data!$A$2:$A$234,0))</f>
        <v/>
      </c>
      <c r="F218">
        <f>INDEX(Lots_Data!$G$2:$G$234,MATCH($A218,Lots_Data!$A$2:$A$234,0))</f>
        <v/>
      </c>
      <c r="G218">
        <f>INDEX(Usage_Summary!$B$4:$B$236,MATCH($C218,Usage_Summary!$A$4:$A$236,0))</f>
        <v/>
      </c>
      <c r="H218">
        <f>INDEX(Lots_Data!$D$2:$D$234,MATCH($A218,Lots_Data!$A$2:$A$234,0))</f>
        <v/>
      </c>
      <c r="I218">
        <f>INDEX(Lots_Data!$C$2:$C$234,MATCH($A218,Lots_Data!$A$2:$A$234,0))</f>
        <v/>
      </c>
    </row>
    <row r="219">
      <c r="A219" t="inlineStr">
        <is>
          <t>HOSP-4|SS-01160</t>
        </is>
      </c>
      <c r="B219">
        <f>INDEX(Lots_Data!$E$2:$E$234,MATCH($A219,Lots_Data!$A$2:$A$234,0))</f>
        <v/>
      </c>
      <c r="C219">
        <f>INDEX(Lots_Data!$A$2:$A$234,MATCH($A219,Lots_Data!$A$2:$A$234,0))</f>
        <v/>
      </c>
      <c r="D219" t="inlineStr">
        <is>
          <t>A</t>
        </is>
      </c>
      <c r="E219">
        <f>INDEX(Usage_Summary!$B$4:$B$236,MATCH($C219,Usage_Summary!$A$4:$A$236,0))*INDEX(Lots_Data!$G$2:$G$234,MATCH($A219,Lots_Data!$A$2:$A$234,0))</f>
        <v/>
      </c>
      <c r="F219">
        <f>INDEX(Lots_Data!$G$2:$G$234,MATCH($A219,Lots_Data!$A$2:$A$234,0))</f>
        <v/>
      </c>
      <c r="G219">
        <f>INDEX(Usage_Summary!$B$4:$B$236,MATCH($C219,Usage_Summary!$A$4:$A$236,0))</f>
        <v/>
      </c>
      <c r="H219">
        <f>INDEX(Lots_Data!$D$2:$D$234,MATCH($A219,Lots_Data!$A$2:$A$234,0))</f>
        <v/>
      </c>
      <c r="I219">
        <f>INDEX(Lots_Data!$C$2:$C$234,MATCH($A219,Lots_Data!$A$2:$A$234,0))</f>
        <v/>
      </c>
    </row>
    <row r="220">
      <c r="A220" t="inlineStr">
        <is>
          <t>HOSP-4|SS-01164</t>
        </is>
      </c>
      <c r="B220">
        <f>INDEX(Lots_Data!$E$2:$E$234,MATCH($A220,Lots_Data!$A$2:$A$234,0))</f>
        <v/>
      </c>
      <c r="C220">
        <f>INDEX(Lots_Data!$A$2:$A$234,MATCH($A220,Lots_Data!$A$2:$A$234,0))</f>
        <v/>
      </c>
      <c r="D220" t="inlineStr">
        <is>
          <t>A</t>
        </is>
      </c>
      <c r="E220">
        <f>INDEX(Usage_Summary!$B$4:$B$236,MATCH($C220,Usage_Summary!$A$4:$A$236,0))*INDEX(Lots_Data!$G$2:$G$234,MATCH($A220,Lots_Data!$A$2:$A$234,0))</f>
        <v/>
      </c>
      <c r="F220">
        <f>INDEX(Lots_Data!$G$2:$G$234,MATCH($A220,Lots_Data!$A$2:$A$234,0))</f>
        <v/>
      </c>
      <c r="G220">
        <f>INDEX(Usage_Summary!$B$4:$B$236,MATCH($C220,Usage_Summary!$A$4:$A$236,0))</f>
        <v/>
      </c>
      <c r="H220">
        <f>INDEX(Lots_Data!$D$2:$D$234,MATCH($A220,Lots_Data!$A$2:$A$234,0))</f>
        <v/>
      </c>
      <c r="I220">
        <f>INDEX(Lots_Data!$C$2:$C$234,MATCH($A220,Lots_Data!$A$2:$A$234,0))</f>
        <v/>
      </c>
    </row>
    <row r="221">
      <c r="A221" t="inlineStr">
        <is>
          <t>HOSP-4|SS-01168</t>
        </is>
      </c>
      <c r="B221">
        <f>INDEX(Lots_Data!$E$2:$E$234,MATCH($A221,Lots_Data!$A$2:$A$234,0))</f>
        <v/>
      </c>
      <c r="C221">
        <f>INDEX(Lots_Data!$A$2:$A$234,MATCH($A221,Lots_Data!$A$2:$A$234,0))</f>
        <v/>
      </c>
      <c r="D221" t="inlineStr">
        <is>
          <t>A</t>
        </is>
      </c>
      <c r="E221">
        <f>INDEX(Usage_Summary!$B$4:$B$236,MATCH($C221,Usage_Summary!$A$4:$A$236,0))*INDEX(Lots_Data!$G$2:$G$234,MATCH($A221,Lots_Data!$A$2:$A$234,0))</f>
        <v/>
      </c>
      <c r="F221">
        <f>INDEX(Lots_Data!$G$2:$G$234,MATCH($A221,Lots_Data!$A$2:$A$234,0))</f>
        <v/>
      </c>
      <c r="G221">
        <f>INDEX(Usage_Summary!$B$4:$B$236,MATCH($C221,Usage_Summary!$A$4:$A$236,0))</f>
        <v/>
      </c>
      <c r="H221">
        <f>INDEX(Lots_Data!$D$2:$D$234,MATCH($A221,Lots_Data!$A$2:$A$234,0))</f>
        <v/>
      </c>
      <c r="I221">
        <f>INDEX(Lots_Data!$C$2:$C$234,MATCH($A221,Lots_Data!$A$2:$A$234,0))</f>
        <v/>
      </c>
    </row>
    <row r="222">
      <c r="A222" t="inlineStr">
        <is>
          <t>HOSP-4|SS-01172</t>
        </is>
      </c>
      <c r="B222">
        <f>INDEX(Lots_Data!$E$2:$E$234,MATCH($A222,Lots_Data!$A$2:$A$234,0))</f>
        <v/>
      </c>
      <c r="C222">
        <f>INDEX(Lots_Data!$A$2:$A$234,MATCH($A222,Lots_Data!$A$2:$A$234,0))</f>
        <v/>
      </c>
      <c r="D222" t="inlineStr">
        <is>
          <t>A</t>
        </is>
      </c>
      <c r="E222">
        <f>INDEX(Usage_Summary!$B$4:$B$236,MATCH($C222,Usage_Summary!$A$4:$A$236,0))*INDEX(Lots_Data!$G$2:$G$234,MATCH($A222,Lots_Data!$A$2:$A$234,0))</f>
        <v/>
      </c>
      <c r="F222">
        <f>INDEX(Lots_Data!$G$2:$G$234,MATCH($A222,Lots_Data!$A$2:$A$234,0))</f>
        <v/>
      </c>
      <c r="G222">
        <f>INDEX(Usage_Summary!$B$4:$B$236,MATCH($C222,Usage_Summary!$A$4:$A$236,0))</f>
        <v/>
      </c>
      <c r="H222">
        <f>INDEX(Lots_Data!$D$2:$D$234,MATCH($A222,Lots_Data!$A$2:$A$234,0))</f>
        <v/>
      </c>
      <c r="I222">
        <f>INDEX(Lots_Data!$C$2:$C$234,MATCH($A222,Lots_Data!$A$2:$A$234,0))</f>
        <v/>
      </c>
    </row>
    <row r="223">
      <c r="A223" t="inlineStr">
        <is>
          <t>HOSP-4|SS-01176</t>
        </is>
      </c>
      <c r="B223">
        <f>INDEX(Lots_Data!$E$2:$E$234,MATCH($A223,Lots_Data!$A$2:$A$234,0))</f>
        <v/>
      </c>
      <c r="C223">
        <f>INDEX(Lots_Data!$A$2:$A$234,MATCH($A223,Lots_Data!$A$2:$A$234,0))</f>
        <v/>
      </c>
      <c r="D223" t="inlineStr">
        <is>
          <t>B</t>
        </is>
      </c>
      <c r="E223">
        <f>INDEX(Usage_Summary!$B$4:$B$236,MATCH($C223,Usage_Summary!$A$4:$A$236,0))*INDEX(Lots_Data!$G$2:$G$234,MATCH($A223,Lots_Data!$A$2:$A$234,0))</f>
        <v/>
      </c>
      <c r="F223">
        <f>INDEX(Lots_Data!$G$2:$G$234,MATCH($A223,Lots_Data!$A$2:$A$234,0))</f>
        <v/>
      </c>
      <c r="G223">
        <f>INDEX(Usage_Summary!$B$4:$B$236,MATCH($C223,Usage_Summary!$A$4:$A$236,0))</f>
        <v/>
      </c>
      <c r="H223">
        <f>INDEX(Lots_Data!$D$2:$D$234,MATCH($A223,Lots_Data!$A$2:$A$234,0))</f>
        <v/>
      </c>
      <c r="I223">
        <f>INDEX(Lots_Data!$C$2:$C$234,MATCH($A223,Lots_Data!$A$2:$A$234,0))</f>
        <v/>
      </c>
    </row>
    <row r="224">
      <c r="A224" t="inlineStr">
        <is>
          <t>HOSP-4|SS-01180</t>
        </is>
      </c>
      <c r="B224">
        <f>INDEX(Lots_Data!$E$2:$E$234,MATCH($A224,Lots_Data!$A$2:$A$234,0))</f>
        <v/>
      </c>
      <c r="C224">
        <f>INDEX(Lots_Data!$A$2:$A$234,MATCH($A224,Lots_Data!$A$2:$A$234,0))</f>
        <v/>
      </c>
      <c r="D224" t="inlineStr">
        <is>
          <t>C</t>
        </is>
      </c>
      <c r="E224">
        <f>INDEX(Usage_Summary!$B$4:$B$236,MATCH($C224,Usage_Summary!$A$4:$A$236,0))*INDEX(Lots_Data!$G$2:$G$234,MATCH($A224,Lots_Data!$A$2:$A$234,0))</f>
        <v/>
      </c>
      <c r="F224">
        <f>INDEX(Lots_Data!$G$2:$G$234,MATCH($A224,Lots_Data!$A$2:$A$234,0))</f>
        <v/>
      </c>
      <c r="G224">
        <f>INDEX(Usage_Summary!$B$4:$B$236,MATCH($C224,Usage_Summary!$A$4:$A$236,0))</f>
        <v/>
      </c>
      <c r="H224">
        <f>INDEX(Lots_Data!$D$2:$D$234,MATCH($A224,Lots_Data!$A$2:$A$234,0))</f>
        <v/>
      </c>
      <c r="I224">
        <f>INDEX(Lots_Data!$C$2:$C$234,MATCH($A224,Lots_Data!$A$2:$A$234,0))</f>
        <v/>
      </c>
    </row>
    <row r="225">
      <c r="A225" t="inlineStr">
        <is>
          <t>HOSP-4|SS-01184</t>
        </is>
      </c>
      <c r="B225">
        <f>INDEX(Lots_Data!$E$2:$E$234,MATCH($A225,Lots_Data!$A$2:$A$234,0))</f>
        <v/>
      </c>
      <c r="C225">
        <f>INDEX(Lots_Data!$A$2:$A$234,MATCH($A225,Lots_Data!$A$2:$A$234,0))</f>
        <v/>
      </c>
      <c r="D225" t="inlineStr">
        <is>
          <t>A</t>
        </is>
      </c>
      <c r="E225">
        <f>INDEX(Usage_Summary!$B$4:$B$236,MATCH($C225,Usage_Summary!$A$4:$A$236,0))*INDEX(Lots_Data!$G$2:$G$234,MATCH($A225,Lots_Data!$A$2:$A$234,0))</f>
        <v/>
      </c>
      <c r="F225">
        <f>INDEX(Lots_Data!$G$2:$G$234,MATCH($A225,Lots_Data!$A$2:$A$234,0))</f>
        <v/>
      </c>
      <c r="G225">
        <f>INDEX(Usage_Summary!$B$4:$B$236,MATCH($C225,Usage_Summary!$A$4:$A$236,0))</f>
        <v/>
      </c>
      <c r="H225">
        <f>INDEX(Lots_Data!$D$2:$D$234,MATCH($A225,Lots_Data!$A$2:$A$234,0))</f>
        <v/>
      </c>
      <c r="I225">
        <f>INDEX(Lots_Data!$C$2:$C$234,MATCH($A225,Lots_Data!$A$2:$A$234,0))</f>
        <v/>
      </c>
    </row>
    <row r="226">
      <c r="A226" t="inlineStr">
        <is>
          <t>HOSP-4|SS-01188</t>
        </is>
      </c>
      <c r="B226">
        <f>INDEX(Lots_Data!$E$2:$E$234,MATCH($A226,Lots_Data!$A$2:$A$234,0))</f>
        <v/>
      </c>
      <c r="C226">
        <f>INDEX(Lots_Data!$A$2:$A$234,MATCH($A226,Lots_Data!$A$2:$A$234,0))</f>
        <v/>
      </c>
      <c r="D226" t="inlineStr">
        <is>
          <t>C</t>
        </is>
      </c>
      <c r="E226">
        <f>INDEX(Usage_Summary!$B$4:$B$236,MATCH($C226,Usage_Summary!$A$4:$A$236,0))*INDEX(Lots_Data!$G$2:$G$234,MATCH($A226,Lots_Data!$A$2:$A$234,0))</f>
        <v/>
      </c>
      <c r="F226">
        <f>INDEX(Lots_Data!$G$2:$G$234,MATCH($A226,Lots_Data!$A$2:$A$234,0))</f>
        <v/>
      </c>
      <c r="G226">
        <f>INDEX(Usage_Summary!$B$4:$B$236,MATCH($C226,Usage_Summary!$A$4:$A$236,0))</f>
        <v/>
      </c>
      <c r="H226">
        <f>INDEX(Lots_Data!$D$2:$D$234,MATCH($A226,Lots_Data!$A$2:$A$234,0))</f>
        <v/>
      </c>
      <c r="I226">
        <f>INDEX(Lots_Data!$C$2:$C$234,MATCH($A226,Lots_Data!$A$2:$A$234,0))</f>
        <v/>
      </c>
    </row>
    <row r="227">
      <c r="A227" t="inlineStr">
        <is>
          <t>HOSP-4|SS-01192</t>
        </is>
      </c>
      <c r="B227">
        <f>INDEX(Lots_Data!$E$2:$E$234,MATCH($A227,Lots_Data!$A$2:$A$234,0))</f>
        <v/>
      </c>
      <c r="C227">
        <f>INDEX(Lots_Data!$A$2:$A$234,MATCH($A227,Lots_Data!$A$2:$A$234,0))</f>
        <v/>
      </c>
      <c r="D227" t="inlineStr">
        <is>
          <t>A</t>
        </is>
      </c>
      <c r="E227">
        <f>INDEX(Usage_Summary!$B$4:$B$236,MATCH($C227,Usage_Summary!$A$4:$A$236,0))*INDEX(Lots_Data!$G$2:$G$234,MATCH($A227,Lots_Data!$A$2:$A$234,0))</f>
        <v/>
      </c>
      <c r="F227">
        <f>INDEX(Lots_Data!$G$2:$G$234,MATCH($A227,Lots_Data!$A$2:$A$234,0))</f>
        <v/>
      </c>
      <c r="G227">
        <f>INDEX(Usage_Summary!$B$4:$B$236,MATCH($C227,Usage_Summary!$A$4:$A$236,0))</f>
        <v/>
      </c>
      <c r="H227">
        <f>INDEX(Lots_Data!$D$2:$D$234,MATCH($A227,Lots_Data!$A$2:$A$234,0))</f>
        <v/>
      </c>
      <c r="I227">
        <f>INDEX(Lots_Data!$C$2:$C$234,MATCH($A227,Lots_Data!$A$2:$A$234,0))</f>
        <v/>
      </c>
    </row>
    <row r="228">
      <c r="A228" t="inlineStr">
        <is>
          <t>HOSP-4|SS-01196</t>
        </is>
      </c>
      <c r="B228">
        <f>INDEX(Lots_Data!$E$2:$E$234,MATCH($A228,Lots_Data!$A$2:$A$234,0))</f>
        <v/>
      </c>
      <c r="C228">
        <f>INDEX(Lots_Data!$A$2:$A$234,MATCH($A228,Lots_Data!$A$2:$A$234,0))</f>
        <v/>
      </c>
      <c r="D228" t="inlineStr">
        <is>
          <t>A</t>
        </is>
      </c>
      <c r="E228">
        <f>INDEX(Usage_Summary!$B$4:$B$236,MATCH($C228,Usage_Summary!$A$4:$A$236,0))*INDEX(Lots_Data!$G$2:$G$234,MATCH($A228,Lots_Data!$A$2:$A$234,0))</f>
        <v/>
      </c>
      <c r="F228">
        <f>INDEX(Lots_Data!$G$2:$G$234,MATCH($A228,Lots_Data!$A$2:$A$234,0))</f>
        <v/>
      </c>
      <c r="G228">
        <f>INDEX(Usage_Summary!$B$4:$B$236,MATCH($C228,Usage_Summary!$A$4:$A$236,0))</f>
        <v/>
      </c>
      <c r="H228">
        <f>INDEX(Lots_Data!$D$2:$D$234,MATCH($A228,Lots_Data!$A$2:$A$234,0))</f>
        <v/>
      </c>
      <c r="I228">
        <f>INDEX(Lots_Data!$C$2:$C$234,MATCH($A228,Lots_Data!$A$2:$A$234,0))</f>
        <v/>
      </c>
    </row>
    <row r="229">
      <c r="A229" t="inlineStr">
        <is>
          <t>HOSP-4|SS-01200</t>
        </is>
      </c>
      <c r="B229">
        <f>INDEX(Lots_Data!$E$2:$E$234,MATCH($A229,Lots_Data!$A$2:$A$234,0))</f>
        <v/>
      </c>
      <c r="C229">
        <f>INDEX(Lots_Data!$A$2:$A$234,MATCH($A229,Lots_Data!$A$2:$A$234,0))</f>
        <v/>
      </c>
      <c r="D229" t="inlineStr">
        <is>
          <t>A</t>
        </is>
      </c>
      <c r="E229">
        <f>INDEX(Usage_Summary!$B$4:$B$236,MATCH($C229,Usage_Summary!$A$4:$A$236,0))*INDEX(Lots_Data!$G$2:$G$234,MATCH($A229,Lots_Data!$A$2:$A$234,0))</f>
        <v/>
      </c>
      <c r="F229">
        <f>INDEX(Lots_Data!$G$2:$G$234,MATCH($A229,Lots_Data!$A$2:$A$234,0))</f>
        <v/>
      </c>
      <c r="G229">
        <f>INDEX(Usage_Summary!$B$4:$B$236,MATCH($C229,Usage_Summary!$A$4:$A$236,0))</f>
        <v/>
      </c>
      <c r="H229">
        <f>INDEX(Lots_Data!$D$2:$D$234,MATCH($A229,Lots_Data!$A$2:$A$234,0))</f>
        <v/>
      </c>
      <c r="I229">
        <f>INDEX(Lots_Data!$C$2:$C$234,MATCH($A229,Lots_Data!$A$2:$A$234,0))</f>
        <v/>
      </c>
    </row>
    <row r="230">
      <c r="A230" t="inlineStr">
        <is>
          <t>HOSP-4|SS-01204</t>
        </is>
      </c>
      <c r="B230">
        <f>INDEX(Lots_Data!$E$2:$E$234,MATCH($A230,Lots_Data!$A$2:$A$234,0))</f>
        <v/>
      </c>
      <c r="C230">
        <f>INDEX(Lots_Data!$A$2:$A$234,MATCH($A230,Lots_Data!$A$2:$A$234,0))</f>
        <v/>
      </c>
      <c r="D230" t="inlineStr">
        <is>
          <t>A</t>
        </is>
      </c>
      <c r="E230">
        <f>INDEX(Usage_Summary!$B$4:$B$236,MATCH($C230,Usage_Summary!$A$4:$A$236,0))*INDEX(Lots_Data!$G$2:$G$234,MATCH($A230,Lots_Data!$A$2:$A$234,0))</f>
        <v/>
      </c>
      <c r="F230">
        <f>INDEX(Lots_Data!$G$2:$G$234,MATCH($A230,Lots_Data!$A$2:$A$234,0))</f>
        <v/>
      </c>
      <c r="G230">
        <f>INDEX(Usage_Summary!$B$4:$B$236,MATCH($C230,Usage_Summary!$A$4:$A$236,0))</f>
        <v/>
      </c>
      <c r="H230">
        <f>INDEX(Lots_Data!$D$2:$D$234,MATCH($A230,Lots_Data!$A$2:$A$234,0))</f>
        <v/>
      </c>
      <c r="I230">
        <f>INDEX(Lots_Data!$C$2:$C$234,MATCH($A230,Lots_Data!$A$2:$A$234,0))</f>
        <v/>
      </c>
    </row>
    <row r="231">
      <c r="A231" t="inlineStr">
        <is>
          <t>HOSP-4|SS-01208</t>
        </is>
      </c>
      <c r="B231">
        <f>INDEX(Lots_Data!$E$2:$E$234,MATCH($A231,Lots_Data!$A$2:$A$234,0))</f>
        <v/>
      </c>
      <c r="C231">
        <f>INDEX(Lots_Data!$A$2:$A$234,MATCH($A231,Lots_Data!$A$2:$A$234,0))</f>
        <v/>
      </c>
      <c r="D231" t="inlineStr">
        <is>
          <t>B</t>
        </is>
      </c>
      <c r="E231">
        <f>INDEX(Usage_Summary!$B$4:$B$236,MATCH($C231,Usage_Summary!$A$4:$A$236,0))*INDEX(Lots_Data!$G$2:$G$234,MATCH($A231,Lots_Data!$A$2:$A$234,0))</f>
        <v/>
      </c>
      <c r="F231">
        <f>INDEX(Lots_Data!$G$2:$G$234,MATCH($A231,Lots_Data!$A$2:$A$234,0))</f>
        <v/>
      </c>
      <c r="G231">
        <f>INDEX(Usage_Summary!$B$4:$B$236,MATCH($C231,Usage_Summary!$A$4:$A$236,0))</f>
        <v/>
      </c>
      <c r="H231">
        <f>INDEX(Lots_Data!$D$2:$D$234,MATCH($A231,Lots_Data!$A$2:$A$234,0))</f>
        <v/>
      </c>
      <c r="I231">
        <f>INDEX(Lots_Data!$C$2:$C$234,MATCH($A231,Lots_Data!$A$2:$A$234,0))</f>
        <v/>
      </c>
    </row>
    <row r="232">
      <c r="A232" t="inlineStr">
        <is>
          <t>HOSP-4|SS-01212</t>
        </is>
      </c>
      <c r="B232">
        <f>INDEX(Lots_Data!$E$2:$E$234,MATCH($A232,Lots_Data!$A$2:$A$234,0))</f>
        <v/>
      </c>
      <c r="C232">
        <f>INDEX(Lots_Data!$A$2:$A$234,MATCH($A232,Lots_Data!$A$2:$A$234,0))</f>
        <v/>
      </c>
      <c r="D232" t="inlineStr">
        <is>
          <t>A</t>
        </is>
      </c>
      <c r="E232">
        <f>INDEX(Usage_Summary!$B$4:$B$236,MATCH($C232,Usage_Summary!$A$4:$A$236,0))*INDEX(Lots_Data!$G$2:$G$234,MATCH($A232,Lots_Data!$A$2:$A$234,0))</f>
        <v/>
      </c>
      <c r="F232">
        <f>INDEX(Lots_Data!$G$2:$G$234,MATCH($A232,Lots_Data!$A$2:$A$234,0))</f>
        <v/>
      </c>
      <c r="G232">
        <f>INDEX(Usage_Summary!$B$4:$B$236,MATCH($C232,Usage_Summary!$A$4:$A$236,0))</f>
        <v/>
      </c>
      <c r="H232">
        <f>INDEX(Lots_Data!$D$2:$D$234,MATCH($A232,Lots_Data!$A$2:$A$234,0))</f>
        <v/>
      </c>
      <c r="I232">
        <f>INDEX(Lots_Data!$C$2:$C$234,MATCH($A232,Lots_Data!$A$2:$A$234,0))</f>
        <v/>
      </c>
    </row>
    <row r="233">
      <c r="A233" t="inlineStr">
        <is>
          <t>HOSP-4|SS-01216</t>
        </is>
      </c>
      <c r="B233">
        <f>INDEX(Lots_Data!$E$2:$E$234,MATCH($A233,Lots_Data!$A$2:$A$234,0))</f>
        <v/>
      </c>
      <c r="C233">
        <f>INDEX(Lots_Data!$A$2:$A$234,MATCH($A233,Lots_Data!$A$2:$A$234,0))</f>
        <v/>
      </c>
      <c r="D233" t="inlineStr">
        <is>
          <t>B</t>
        </is>
      </c>
      <c r="E233">
        <f>INDEX(Usage_Summary!$B$4:$B$236,MATCH($C233,Usage_Summary!$A$4:$A$236,0))*INDEX(Lots_Data!$G$2:$G$234,MATCH($A233,Lots_Data!$A$2:$A$234,0))</f>
        <v/>
      </c>
      <c r="F233">
        <f>INDEX(Lots_Data!$G$2:$G$234,MATCH($A233,Lots_Data!$A$2:$A$234,0))</f>
        <v/>
      </c>
      <c r="G233">
        <f>INDEX(Usage_Summary!$B$4:$B$236,MATCH($C233,Usage_Summary!$A$4:$A$236,0))</f>
        <v/>
      </c>
      <c r="H233">
        <f>INDEX(Lots_Data!$D$2:$D$234,MATCH($A233,Lots_Data!$A$2:$A$234,0))</f>
        <v/>
      </c>
      <c r="I233">
        <f>INDEX(Lots_Data!$C$2:$C$234,MATCH($A233,Lots_Data!$A$2:$A$234,0))</f>
        <v/>
      </c>
    </row>
    <row r="234">
      <c r="A234" t="inlineStr">
        <is>
          <t>HOSP-4|SS-01220</t>
        </is>
      </c>
      <c r="B234">
        <f>INDEX(Lots_Data!$E$2:$E$234,MATCH($A234,Lots_Data!$A$2:$A$234,0))</f>
        <v/>
      </c>
      <c r="C234">
        <f>INDEX(Lots_Data!$A$2:$A$234,MATCH($A234,Lots_Data!$A$2:$A$234,0))</f>
        <v/>
      </c>
      <c r="D234" t="inlineStr">
        <is>
          <t>A</t>
        </is>
      </c>
      <c r="E234">
        <f>INDEX(Usage_Summary!$B$4:$B$236,MATCH($C234,Usage_Summary!$A$4:$A$236,0))*INDEX(Lots_Data!$G$2:$G$234,MATCH($A234,Lots_Data!$A$2:$A$234,0))</f>
        <v/>
      </c>
      <c r="F234">
        <f>INDEX(Lots_Data!$G$2:$G$234,MATCH($A234,Lots_Data!$A$2:$A$234,0))</f>
        <v/>
      </c>
      <c r="G234">
        <f>INDEX(Usage_Summary!$B$4:$B$236,MATCH($C234,Usage_Summary!$A$4:$A$236,0))</f>
        <v/>
      </c>
      <c r="H234">
        <f>INDEX(Lots_Data!$D$2:$D$234,MATCH($A234,Lots_Data!$A$2:$A$234,0))</f>
        <v/>
      </c>
      <c r="I234">
        <f>INDEX(Lots_Data!$C$2:$C$234,MATCH($A234,Lots_Data!$A$2:$A$234,0))</f>
        <v/>
      </c>
    </row>
    <row r="235">
      <c r="A235" t="inlineStr">
        <is>
          <t>HOSP-4|SS-01224</t>
        </is>
      </c>
      <c r="B235">
        <f>INDEX(Lots_Data!$E$2:$E$234,MATCH($A235,Lots_Data!$A$2:$A$234,0))</f>
        <v/>
      </c>
      <c r="C235">
        <f>INDEX(Lots_Data!$A$2:$A$234,MATCH($A235,Lots_Data!$A$2:$A$234,0))</f>
        <v/>
      </c>
      <c r="D235" t="inlineStr">
        <is>
          <t>A</t>
        </is>
      </c>
      <c r="E235">
        <f>INDEX(Usage_Summary!$B$4:$B$236,MATCH($C235,Usage_Summary!$A$4:$A$236,0))*INDEX(Lots_Data!$G$2:$G$234,MATCH($A235,Lots_Data!$A$2:$A$234,0))</f>
        <v/>
      </c>
      <c r="F235">
        <f>INDEX(Lots_Data!$G$2:$G$234,MATCH($A235,Lots_Data!$A$2:$A$234,0))</f>
        <v/>
      </c>
      <c r="G235">
        <f>INDEX(Usage_Summary!$B$4:$B$236,MATCH($C235,Usage_Summary!$A$4:$A$236,0))</f>
        <v/>
      </c>
      <c r="H235">
        <f>INDEX(Lots_Data!$D$2:$D$234,MATCH($A235,Lots_Data!$A$2:$A$234,0))</f>
        <v/>
      </c>
      <c r="I235">
        <f>INDEX(Lots_Data!$C$2:$C$234,MATCH($A235,Lots_Data!$A$2:$A$234,0))</f>
        <v/>
      </c>
    </row>
    <row r="236">
      <c r="A236" t="inlineStr">
        <is>
          <t>HOSP-4|SS-01228</t>
        </is>
      </c>
      <c r="B236">
        <f>INDEX(Lots_Data!$E$2:$E$234,MATCH($A236,Lots_Data!$A$2:$A$234,0))</f>
        <v/>
      </c>
      <c r="C236">
        <f>INDEX(Lots_Data!$A$2:$A$234,MATCH($A236,Lots_Data!$A$2:$A$234,0))</f>
        <v/>
      </c>
      <c r="D236" t="inlineStr">
        <is>
          <t>A</t>
        </is>
      </c>
      <c r="E236">
        <f>INDEX(Usage_Summary!$B$4:$B$236,MATCH($C236,Usage_Summary!$A$4:$A$236,0))*INDEX(Lots_Data!$G$2:$G$234,MATCH($A236,Lots_Data!$A$2:$A$234,0))</f>
        <v/>
      </c>
      <c r="F236">
        <f>INDEX(Lots_Data!$G$2:$G$234,MATCH($A236,Lots_Data!$A$2:$A$234,0))</f>
        <v/>
      </c>
      <c r="G236">
        <f>INDEX(Usage_Summary!$B$4:$B$236,MATCH($C236,Usage_Summary!$A$4:$A$236,0))</f>
        <v/>
      </c>
      <c r="H236">
        <f>INDEX(Lots_Data!$D$2:$D$234,MATCH($A236,Lots_Data!$A$2:$A$234,0))</f>
        <v/>
      </c>
      <c r="I236">
        <f>INDEX(Lots_Data!$C$2:$C$234,MATCH($A236,Lots_Data!$A$2:$A$234,0))</f>
        <v/>
      </c>
    </row>
    <row r="237">
      <c r="A237" t="inlineStr">
        <is>
          <t>HOSP-4|SS-01232</t>
        </is>
      </c>
      <c r="B237">
        <f>INDEX(Lots_Data!$E$2:$E$234,MATCH($A237,Lots_Data!$A$2:$A$234,0))</f>
        <v/>
      </c>
      <c r="C237">
        <f>INDEX(Lots_Data!$A$2:$A$234,MATCH($A237,Lots_Data!$A$2:$A$234,0))</f>
        <v/>
      </c>
      <c r="D237" t="inlineStr">
        <is>
          <t>A</t>
        </is>
      </c>
      <c r="E237">
        <f>INDEX(Usage_Summary!$B$4:$B$236,MATCH($C237,Usage_Summary!$A$4:$A$236,0))*INDEX(Lots_Data!$G$2:$G$234,MATCH($A237,Lots_Data!$A$2:$A$234,0))</f>
        <v/>
      </c>
      <c r="F237">
        <f>INDEX(Lots_Data!$G$2:$G$234,MATCH($A237,Lots_Data!$A$2:$A$234,0))</f>
        <v/>
      </c>
      <c r="G237">
        <f>INDEX(Usage_Summary!$B$4:$B$236,MATCH($C237,Usage_Summary!$A$4:$A$236,0))</f>
        <v/>
      </c>
      <c r="H237">
        <f>INDEX(Lots_Data!$D$2:$D$234,MATCH($A237,Lots_Data!$A$2:$A$234,0))</f>
        <v/>
      </c>
      <c r="I237">
        <f>INDEX(Lots_Data!$C$2:$C$234,MATCH($A237,Lots_Data!$A$2:$A$234,0))</f>
        <v/>
      </c>
    </row>
    <row r="239">
      <c r="A239" s="13" t="inlineStr">
        <is>
          <t>Class counts (exact)</t>
        </is>
      </c>
    </row>
    <row r="240">
      <c r="A240" s="12" t="inlineStr">
        <is>
          <t>class</t>
        </is>
      </c>
      <c r="B240" s="12" t="inlineStr">
        <is>
          <t>sku_count</t>
        </is>
      </c>
      <c r="C240" s="12" t="inlineStr">
        <is>
          <t>value_share_pct</t>
        </is>
      </c>
    </row>
    <row r="241">
      <c r="A241" t="inlineStr">
        <is>
          <t>A</t>
        </is>
      </c>
      <c r="B241">
        <f>COUNTIF($D$5:$D$237,$A241)</f>
        <v/>
      </c>
      <c r="C241">
        <f>SUMIF($D$5:$D$237,$A241,$E$5:$E$237)/SUM($E$5:$E$237)*100</f>
        <v/>
      </c>
    </row>
    <row r="242">
      <c r="A242" t="inlineStr">
        <is>
          <t>B</t>
        </is>
      </c>
      <c r="B242">
        <f>COUNTIF($D$5:$D$237,$A242)</f>
        <v/>
      </c>
      <c r="C242">
        <f>SUMIF($D$5:$D$237,$A242,$E$5:$E$237)/SUM($E$5:$E$237)*100</f>
        <v/>
      </c>
    </row>
    <row r="243">
      <c r="A243" t="inlineStr">
        <is>
          <t>C</t>
        </is>
      </c>
      <c r="B243">
        <f>COUNTIF($D$5:$D$237,$A243)</f>
        <v/>
      </c>
      <c r="C243">
        <f>SUMIF($D$5:$D$237,$A243,$E$5:$E$237)/SUM($E$5:$E$237)*100</f>
        <v/>
      </c>
    </row>
    <row r="246">
      <c r="A246" s="13" t="inlineStr">
        <is>
          <t>Supplier concentration by class (exact counts and shares)</t>
        </is>
      </c>
    </row>
    <row r="247">
      <c r="A247" s="12" t="inlineStr">
        <is>
          <t>abc_class</t>
        </is>
      </c>
      <c r="B247" s="12" t="inlineStr">
        <is>
          <t>supplier</t>
        </is>
      </c>
      <c r="C247" s="12" t="inlineStr">
        <is>
          <t>sku_count</t>
        </is>
      </c>
      <c r="D247" s="12" t="inlineStr">
        <is>
          <t>value_usd</t>
        </is>
      </c>
      <c r="E247" s="12" t="inlineStr">
        <is>
          <t>value_share_in_class_pct</t>
        </is>
      </c>
    </row>
    <row r="248">
      <c r="A248" t="inlineStr">
        <is>
          <t>A</t>
        </is>
      </c>
      <c r="B248" t="inlineStr">
        <is>
          <t>Aegis Clinical Supply</t>
        </is>
      </c>
      <c r="C248">
        <f>COUNTIFS($D$5:$D$237,$A248,$H$5:$H$237,$B248)</f>
        <v/>
      </c>
      <c r="D248">
        <f>SUMIFS($E$5:$E$237,$D$5:$D$237,$A248,$H$5:$H$237,$B248)</f>
        <v/>
      </c>
      <c r="E248">
        <f>IF(SUMIFS($E$5:$E$237,$D$5:$D$237,$A248)=0,0,$D248/SUMIFS($E$5:$E$237,$D$5:$D$237,$A248)*100)</f>
        <v/>
      </c>
    </row>
    <row r="249">
      <c r="A249" t="inlineStr">
        <is>
          <t>A</t>
        </is>
      </c>
      <c r="B249" t="inlineStr">
        <is>
          <t>HarborMed Logistics</t>
        </is>
      </c>
      <c r="C249">
        <f>COUNTIFS($D$5:$D$237,$A249,$H$5:$H$237,$B249)</f>
        <v/>
      </c>
      <c r="D249">
        <f>SUMIFS($E$5:$E$237,$D$5:$D$237,$A249,$H$5:$H$237,$B249)</f>
        <v/>
      </c>
      <c r="E249">
        <f>IF(SUMIFS($E$5:$E$237,$D$5:$D$237,$A249)=0,0,$D249/SUMIFS($E$5:$E$237,$D$5:$D$237,$A249)*100)</f>
        <v/>
      </c>
    </row>
    <row r="250">
      <c r="A250" t="inlineStr">
        <is>
          <t>A</t>
        </is>
      </c>
      <c r="B250" t="inlineStr">
        <is>
          <t>MedAxis Distribution</t>
        </is>
      </c>
      <c r="C250">
        <f>COUNTIFS($D$5:$D$237,$A250,$H$5:$H$237,$B250)</f>
        <v/>
      </c>
      <c r="D250">
        <f>SUMIFS($E$5:$E$237,$D$5:$D$237,$A250,$H$5:$H$237,$B250)</f>
        <v/>
      </c>
      <c r="E250">
        <f>IF(SUMIFS($E$5:$E$237,$D$5:$D$237,$A250)=0,0,$D250/SUMIFS($E$5:$E$237,$D$5:$D$237,$A250)*100)</f>
        <v/>
      </c>
    </row>
    <row r="251">
      <c r="A251" t="inlineStr">
        <is>
          <t>A</t>
        </is>
      </c>
      <c r="B251" t="inlineStr">
        <is>
          <t>Northstar Surgical</t>
        </is>
      </c>
      <c r="C251">
        <f>COUNTIFS($D$5:$D$237,$A251,$H$5:$H$237,$B251)</f>
        <v/>
      </c>
      <c r="D251">
        <f>SUMIFS($E$5:$E$237,$D$5:$D$237,$A251,$H$5:$H$237,$B251)</f>
        <v/>
      </c>
      <c r="E251">
        <f>IF(SUMIFS($E$5:$E$237,$D$5:$D$237,$A251)=0,0,$D251/SUMIFS($E$5:$E$237,$D$5:$D$237,$A251)*100)</f>
        <v/>
      </c>
    </row>
    <row r="252">
      <c r="A252" t="inlineStr">
        <is>
          <t>A</t>
        </is>
      </c>
      <c r="B252" t="inlineStr">
        <is>
          <t>SterilePath Medical</t>
        </is>
      </c>
      <c r="C252">
        <f>COUNTIFS($D$5:$D$237,$A252,$H$5:$H$237,$B252)</f>
        <v/>
      </c>
      <c r="D252">
        <f>SUMIFS($E$5:$E$237,$D$5:$D$237,$A252,$H$5:$H$237,$B252)</f>
        <v/>
      </c>
      <c r="E252">
        <f>IF(SUMIFS($E$5:$E$237,$D$5:$D$237,$A252)=0,0,$D252/SUMIFS($E$5:$E$237,$D$5:$D$237,$A252)*100)</f>
        <v/>
      </c>
    </row>
    <row r="253">
      <c r="A253" t="inlineStr">
        <is>
          <t>B</t>
        </is>
      </c>
      <c r="B253" t="inlineStr">
        <is>
          <t>Aegis Clinical Supply</t>
        </is>
      </c>
      <c r="C253">
        <f>COUNTIFS($D$5:$D$237,$A253,$H$5:$H$237,$B253)</f>
        <v/>
      </c>
      <c r="D253">
        <f>SUMIFS($E$5:$E$237,$D$5:$D$237,$A253,$H$5:$H$237,$B253)</f>
        <v/>
      </c>
      <c r="E253">
        <f>IF(SUMIFS($E$5:$E$237,$D$5:$D$237,$A253)=0,0,$D253/SUMIFS($E$5:$E$237,$D$5:$D$237,$A253)*100)</f>
        <v/>
      </c>
    </row>
    <row r="254">
      <c r="A254" t="inlineStr">
        <is>
          <t>B</t>
        </is>
      </c>
      <c r="B254" t="inlineStr">
        <is>
          <t>HarborMed Logistics</t>
        </is>
      </c>
      <c r="C254">
        <f>COUNTIFS($D$5:$D$237,$A254,$H$5:$H$237,$B254)</f>
        <v/>
      </c>
      <c r="D254">
        <f>SUMIFS($E$5:$E$237,$D$5:$D$237,$A254,$H$5:$H$237,$B254)</f>
        <v/>
      </c>
      <c r="E254">
        <f>IF(SUMIFS($E$5:$E$237,$D$5:$D$237,$A254)=0,0,$D254/SUMIFS($E$5:$E$237,$D$5:$D$237,$A254)*100)</f>
        <v/>
      </c>
    </row>
    <row r="255">
      <c r="A255" t="inlineStr">
        <is>
          <t>B</t>
        </is>
      </c>
      <c r="B255" t="inlineStr">
        <is>
          <t>MedAxis Distribution</t>
        </is>
      </c>
      <c r="C255">
        <f>COUNTIFS($D$5:$D$237,$A255,$H$5:$H$237,$B255)</f>
        <v/>
      </c>
      <c r="D255">
        <f>SUMIFS($E$5:$E$237,$D$5:$D$237,$A255,$H$5:$H$237,$B255)</f>
        <v/>
      </c>
      <c r="E255">
        <f>IF(SUMIFS($E$5:$E$237,$D$5:$D$237,$A255)=0,0,$D255/SUMIFS($E$5:$E$237,$D$5:$D$237,$A255)*100)</f>
        <v/>
      </c>
    </row>
    <row r="256">
      <c r="A256" t="inlineStr">
        <is>
          <t>B</t>
        </is>
      </c>
      <c r="B256" t="inlineStr">
        <is>
          <t>Northstar Surgical</t>
        </is>
      </c>
      <c r="C256">
        <f>COUNTIFS($D$5:$D$237,$A256,$H$5:$H$237,$B256)</f>
        <v/>
      </c>
      <c r="D256">
        <f>SUMIFS($E$5:$E$237,$D$5:$D$237,$A256,$H$5:$H$237,$B256)</f>
        <v/>
      </c>
      <c r="E256">
        <f>IF(SUMIFS($E$5:$E$237,$D$5:$D$237,$A256)=0,0,$D256/SUMIFS($E$5:$E$237,$D$5:$D$237,$A256)*100)</f>
        <v/>
      </c>
    </row>
    <row r="257">
      <c r="A257" t="inlineStr">
        <is>
          <t>B</t>
        </is>
      </c>
      <c r="B257" t="inlineStr">
        <is>
          <t>SterilePath Medical</t>
        </is>
      </c>
      <c r="C257">
        <f>COUNTIFS($D$5:$D$237,$A257,$H$5:$H$237,$B257)</f>
        <v/>
      </c>
      <c r="D257">
        <f>SUMIFS($E$5:$E$237,$D$5:$D$237,$A257,$H$5:$H$237,$B257)</f>
        <v/>
      </c>
      <c r="E257">
        <f>IF(SUMIFS($E$5:$E$237,$D$5:$D$237,$A257)=0,0,$D257/SUMIFS($E$5:$E$237,$D$5:$D$237,$A257)*100)</f>
        <v/>
      </c>
    </row>
    <row r="258">
      <c r="A258" t="inlineStr">
        <is>
          <t>C</t>
        </is>
      </c>
      <c r="B258" t="inlineStr">
        <is>
          <t>Aegis Clinical Supply</t>
        </is>
      </c>
      <c r="C258">
        <f>COUNTIFS($D$5:$D$237,$A258,$H$5:$H$237,$B258)</f>
        <v/>
      </c>
      <c r="D258">
        <f>SUMIFS($E$5:$E$237,$D$5:$D$237,$A258,$H$5:$H$237,$B258)</f>
        <v/>
      </c>
      <c r="E258">
        <f>IF(SUMIFS($E$5:$E$237,$D$5:$D$237,$A258)=0,0,$D258/SUMIFS($E$5:$E$237,$D$5:$D$237,$A258)*100)</f>
        <v/>
      </c>
    </row>
    <row r="259">
      <c r="A259" t="inlineStr">
        <is>
          <t>C</t>
        </is>
      </c>
      <c r="B259" t="inlineStr">
        <is>
          <t>HarborMed Logistics</t>
        </is>
      </c>
      <c r="C259">
        <f>COUNTIFS($D$5:$D$237,$A259,$H$5:$H$237,$B259)</f>
        <v/>
      </c>
      <c r="D259">
        <f>SUMIFS($E$5:$E$237,$D$5:$D$237,$A259,$H$5:$H$237,$B259)</f>
        <v/>
      </c>
      <c r="E259">
        <f>IF(SUMIFS($E$5:$E$237,$D$5:$D$237,$A259)=0,0,$D259/SUMIFS($E$5:$E$237,$D$5:$D$237,$A259)*100)</f>
        <v/>
      </c>
    </row>
    <row r="260">
      <c r="A260" t="inlineStr">
        <is>
          <t>C</t>
        </is>
      </c>
      <c r="B260" t="inlineStr">
        <is>
          <t>MedAxis Distribution</t>
        </is>
      </c>
      <c r="C260">
        <f>COUNTIFS($D$5:$D$237,$A260,$H$5:$H$237,$B260)</f>
        <v/>
      </c>
      <c r="D260">
        <f>SUMIFS($E$5:$E$237,$D$5:$D$237,$A260,$H$5:$H$237,$B260)</f>
        <v/>
      </c>
      <c r="E260">
        <f>IF(SUMIFS($E$5:$E$237,$D$5:$D$237,$A260)=0,0,$D260/SUMIFS($E$5:$E$237,$D$5:$D$237,$A260)*100)</f>
        <v/>
      </c>
    </row>
    <row r="261">
      <c r="A261" t="inlineStr">
        <is>
          <t>C</t>
        </is>
      </c>
      <c r="B261" t="inlineStr">
        <is>
          <t>Northstar Surgical</t>
        </is>
      </c>
      <c r="C261">
        <f>COUNTIFS($D$5:$D$237,$A261,$H$5:$H$237,$B261)</f>
        <v/>
      </c>
      <c r="D261">
        <f>SUMIFS($E$5:$E$237,$D$5:$D$237,$A261,$H$5:$H$237,$B261)</f>
        <v/>
      </c>
      <c r="E261">
        <f>IF(SUMIFS($E$5:$E$237,$D$5:$D$237,$A261)=0,0,$D261/SUMIFS($E$5:$E$237,$D$5:$D$237,$A261)*100)</f>
        <v/>
      </c>
    </row>
    <row r="262">
      <c r="A262" t="inlineStr">
        <is>
          <t>C</t>
        </is>
      </c>
      <c r="B262" t="inlineStr">
        <is>
          <t>SterilePath Medical</t>
        </is>
      </c>
      <c r="C262">
        <f>COUNTIFS($D$5:$D$237,$A262,$H$5:$H$237,$B262)</f>
        <v/>
      </c>
      <c r="D262">
        <f>SUMIFS($E$5:$E$237,$D$5:$D$237,$A262,$H$5:$H$237,$B262)</f>
        <v/>
      </c>
      <c r="E262">
        <f>IF(SUMIFS($E$5:$E$237,$D$5:$D$237,$A262)=0,0,$D262/SUMIFS($E$5:$E$237,$D$5:$D$237,$A262)*100)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Demand volatility (CV) and dynamic reorder point / safety stock</t>
        </is>
      </c>
    </row>
    <row r="2">
      <c r="A2" s="3" t="inlineStr">
        <is>
          <t>CV = STDEV.P(monthly usage)/AVERAGE(monthly usage) over complete periods; deterministic sparse-demand treatment: SKUs with mean=0 get CV=0 (no demand -&gt; no variability). Dynamic ROP = (mean/30)*lead_time + z*STDEV.P/30*SQRT(lead_time); safety stock = z*sd_daily*SQRT(LT). z=1.65 (95% service level, disclosed assumption, editable in Inputs).</t>
        </is>
      </c>
    </row>
    <row r="4">
      <c r="A4" s="12" t="inlineStr">
        <is>
          <t>sku_id</t>
        </is>
      </c>
      <c r="B4" s="12" t="inlineStr">
        <is>
          <t>mean_monthly_usage</t>
        </is>
      </c>
      <c r="C4" s="12" t="inlineStr">
        <is>
          <t>std_monthly_usage</t>
        </is>
      </c>
      <c r="D4" s="12" t="inlineStr">
        <is>
          <t>cv</t>
        </is>
      </c>
      <c r="E4" s="12" t="inlineStr">
        <is>
          <t>lead_time_days</t>
        </is>
      </c>
      <c r="F4" s="12" t="inlineStr">
        <is>
          <t>safety_stock</t>
        </is>
      </c>
      <c r="G4" s="12" t="inlineStr">
        <is>
          <t>dynamic_rop</t>
        </is>
      </c>
      <c r="H4" s="12" t="inlineStr">
        <is>
          <t>submitted_static_rop</t>
        </is>
      </c>
    </row>
    <row r="5">
      <c r="A5" t="inlineStr">
        <is>
          <t>SS-01001</t>
        </is>
      </c>
      <c r="B5">
        <f>AVERAGEIFS(Usage_Data!$D$2:$D$5001,Usage_Data!$C$2:$C$5001,$A5)</f>
        <v/>
      </c>
      <c r="C5">
        <f>SQRT(SUMPRODUCT((Usage_Data!$C$2:$C$5001=$A5)*(Usage_Data!$D$2:$D$5001-$B5)^2)/MAX(1,COUNTIF(Usage_Data!$C$2:$C$5001,$A5))))</f>
        <v/>
      </c>
      <c r="D5">
        <f>IF($B5=0,0,$C5/$B5)</f>
        <v/>
      </c>
      <c r="E5">
        <f>INDEX(Lots_Data!$N$2:$N$234,MATCH($A5,Lots_Data!$A$2:$A$234,0))</f>
        <v/>
      </c>
      <c r="F5">
        <f>1.65*($C5/30)*SQRT($E5)</f>
        <v/>
      </c>
      <c r="G5">
        <f>($B5/30)*$E5+$F5</f>
        <v/>
      </c>
      <c r="H5">
        <f>INDEX(Lots_Data!$S$2:$S$234,MATCH($A5,Lots_Data!$A$2:$A$234,0))</f>
        <v/>
      </c>
    </row>
    <row r="6">
      <c r="A6" t="inlineStr">
        <is>
          <t>SS-01002</t>
        </is>
      </c>
      <c r="B6">
        <f>AVERAGEIFS(Usage_Data!$D$2:$D$5001,Usage_Data!$C$2:$C$5001,$A6)</f>
        <v/>
      </c>
      <c r="C6">
        <f>SQRT(SUMPRODUCT((Usage_Data!$C$2:$C$5001=$A6)*(Usage_Data!$D$2:$D$5001-$B6)^2)/MAX(1,COUNTIF(Usage_Data!$C$2:$C$5001,$A6))))</f>
        <v/>
      </c>
      <c r="D6">
        <f>IF($B6=0,0,$C6/$B6)</f>
        <v/>
      </c>
      <c r="E6">
        <f>INDEX(Lots_Data!$N$2:$N$234,MATCH($A6,Lots_Data!$A$2:$A$234,0))</f>
        <v/>
      </c>
      <c r="F6">
        <f>1.65*($C6/30)*SQRT($E6)</f>
        <v/>
      </c>
      <c r="G6">
        <f>($B6/30)*$E6+$F6</f>
        <v/>
      </c>
      <c r="H6">
        <f>INDEX(Lots_Data!$S$2:$S$234,MATCH($A6,Lots_Data!$A$2:$A$234,0))</f>
        <v/>
      </c>
    </row>
    <row r="7">
      <c r="A7" t="inlineStr">
        <is>
          <t>SS-01003</t>
        </is>
      </c>
      <c r="B7">
        <f>AVERAGEIFS(Usage_Data!$D$2:$D$5001,Usage_Data!$C$2:$C$5001,$A7)</f>
        <v/>
      </c>
      <c r="C7">
        <f>SQRT(SUMPRODUCT((Usage_Data!$C$2:$C$5001=$A7)*(Usage_Data!$D$2:$D$5001-$B7)^2)/MAX(1,COUNTIF(Usage_Data!$C$2:$C$5001,$A7))))</f>
        <v/>
      </c>
      <c r="D7">
        <f>IF($B7=0,0,$C7/$B7)</f>
        <v/>
      </c>
      <c r="E7">
        <f>INDEX(Lots_Data!$N$2:$N$234,MATCH($A7,Lots_Data!$A$2:$A$234,0))</f>
        <v/>
      </c>
      <c r="F7">
        <f>1.65*($C7/30)*SQRT($E7)</f>
        <v/>
      </c>
      <c r="G7">
        <f>($B7/30)*$E7+$F7</f>
        <v/>
      </c>
      <c r="H7">
        <f>INDEX(Lots_Data!$S$2:$S$234,MATCH($A7,Lots_Data!$A$2:$A$234,0))</f>
        <v/>
      </c>
    </row>
    <row r="8">
      <c r="A8" t="inlineStr">
        <is>
          <t>SS-01004</t>
        </is>
      </c>
      <c r="B8">
        <f>AVERAGEIFS(Usage_Data!$D$2:$D$5001,Usage_Data!$C$2:$C$5001,$A8)</f>
        <v/>
      </c>
      <c r="C8">
        <f>SQRT(SUMPRODUCT((Usage_Data!$C$2:$C$5001=$A8)*(Usage_Data!$D$2:$D$5001-$B8)^2)/MAX(1,COUNTIF(Usage_Data!$C$2:$C$5001,$A8))))</f>
        <v/>
      </c>
      <c r="D8">
        <f>IF($B8=0,0,$C8/$B8)</f>
        <v/>
      </c>
      <c r="E8">
        <f>INDEX(Lots_Data!$N$2:$N$234,MATCH($A8,Lots_Data!$A$2:$A$234,0))</f>
        <v/>
      </c>
      <c r="F8">
        <f>1.65*($C8/30)*SQRT($E8)</f>
        <v/>
      </c>
      <c r="G8">
        <f>($B8/30)*$E8+$F8</f>
        <v/>
      </c>
      <c r="H8">
        <f>INDEX(Lots_Data!$S$2:$S$234,MATCH($A8,Lots_Data!$A$2:$A$234,0))</f>
        <v/>
      </c>
    </row>
    <row r="9">
      <c r="A9" t="inlineStr">
        <is>
          <t>SS-01005</t>
        </is>
      </c>
      <c r="B9">
        <f>AVERAGEIFS(Usage_Data!$D$2:$D$5001,Usage_Data!$C$2:$C$5001,$A9)</f>
        <v/>
      </c>
      <c r="C9">
        <f>SQRT(SUMPRODUCT((Usage_Data!$C$2:$C$5001=$A9)*(Usage_Data!$D$2:$D$5001-$B9)^2)/MAX(1,COUNTIF(Usage_Data!$C$2:$C$5001,$A9))))</f>
        <v/>
      </c>
      <c r="D9">
        <f>IF($B9=0,0,$C9/$B9)</f>
        <v/>
      </c>
      <c r="E9">
        <f>INDEX(Lots_Data!$N$2:$N$234,MATCH($A9,Lots_Data!$A$2:$A$234,0))</f>
        <v/>
      </c>
      <c r="F9">
        <f>1.65*($C9/30)*SQRT($E9)</f>
        <v/>
      </c>
      <c r="G9">
        <f>($B9/30)*$E9+$F9</f>
        <v/>
      </c>
      <c r="H9">
        <f>INDEX(Lots_Data!$S$2:$S$234,MATCH($A9,Lots_Data!$A$2:$A$234,0))</f>
        <v/>
      </c>
    </row>
    <row r="10">
      <c r="A10" t="inlineStr">
        <is>
          <t>SS-01006</t>
        </is>
      </c>
      <c r="B10">
        <f>AVERAGEIFS(Usage_Data!$D$2:$D$5001,Usage_Data!$C$2:$C$5001,$A10)</f>
        <v/>
      </c>
      <c r="C10">
        <f>SQRT(SUMPRODUCT((Usage_Data!$C$2:$C$5001=$A10)*(Usage_Data!$D$2:$D$5001-$B10)^2)/MAX(1,COUNTIF(Usage_Data!$C$2:$C$5001,$A10))))</f>
        <v/>
      </c>
      <c r="D10">
        <f>IF($B10=0,0,$C10/$B10)</f>
        <v/>
      </c>
      <c r="E10">
        <f>INDEX(Lots_Data!$N$2:$N$234,MATCH($A10,Lots_Data!$A$2:$A$234,0))</f>
        <v/>
      </c>
      <c r="F10">
        <f>1.65*($C10/30)*SQRT($E10)</f>
        <v/>
      </c>
      <c r="G10">
        <f>($B10/30)*$E10+$F10</f>
        <v/>
      </c>
      <c r="H10">
        <f>INDEX(Lots_Data!$S$2:$S$234,MATCH($A10,Lots_Data!$A$2:$A$234,0))</f>
        <v/>
      </c>
    </row>
    <row r="11">
      <c r="A11" t="inlineStr">
        <is>
          <t>SS-01007</t>
        </is>
      </c>
      <c r="B11">
        <f>AVERAGEIFS(Usage_Data!$D$2:$D$5001,Usage_Data!$C$2:$C$5001,$A11)</f>
        <v/>
      </c>
      <c r="C11">
        <f>SQRT(SUMPRODUCT((Usage_Data!$C$2:$C$5001=$A11)*(Usage_Data!$D$2:$D$5001-$B11)^2)/MAX(1,COUNTIF(Usage_Data!$C$2:$C$5001,$A11))))</f>
        <v/>
      </c>
      <c r="D11">
        <f>IF($B11=0,0,$C11/$B11)</f>
        <v/>
      </c>
      <c r="E11">
        <f>INDEX(Lots_Data!$N$2:$N$234,MATCH($A11,Lots_Data!$A$2:$A$234,0))</f>
        <v/>
      </c>
      <c r="F11">
        <f>1.65*($C11/30)*SQRT($E11)</f>
        <v/>
      </c>
      <c r="G11">
        <f>($B11/30)*$E11+$F11</f>
        <v/>
      </c>
      <c r="H11">
        <f>INDEX(Lots_Data!$S$2:$S$234,MATCH($A11,Lots_Data!$A$2:$A$234,0))</f>
        <v/>
      </c>
    </row>
    <row r="12">
      <c r="A12" t="inlineStr">
        <is>
          <t>SS-01008</t>
        </is>
      </c>
      <c r="B12">
        <f>AVERAGEIFS(Usage_Data!$D$2:$D$5001,Usage_Data!$C$2:$C$5001,$A12)</f>
        <v/>
      </c>
      <c r="C12">
        <f>SQRT(SUMPRODUCT((Usage_Data!$C$2:$C$5001=$A12)*(Usage_Data!$D$2:$D$5001-$B12)^2)/MAX(1,COUNTIF(Usage_Data!$C$2:$C$5001,$A12))))</f>
        <v/>
      </c>
      <c r="D12">
        <f>IF($B12=0,0,$C12/$B12)</f>
        <v/>
      </c>
      <c r="E12">
        <f>INDEX(Lots_Data!$N$2:$N$234,MATCH($A12,Lots_Data!$A$2:$A$234,0))</f>
        <v/>
      </c>
      <c r="F12">
        <f>1.65*($C12/30)*SQRT($E12)</f>
        <v/>
      </c>
      <c r="G12">
        <f>($B12/30)*$E12+$F12</f>
        <v/>
      </c>
      <c r="H12">
        <f>INDEX(Lots_Data!$S$2:$S$234,MATCH($A12,Lots_Data!$A$2:$A$234,0))</f>
        <v/>
      </c>
    </row>
    <row r="13">
      <c r="A13" t="inlineStr">
        <is>
          <t>SS-01009</t>
        </is>
      </c>
      <c r="B13">
        <f>AVERAGEIFS(Usage_Data!$D$2:$D$5001,Usage_Data!$C$2:$C$5001,$A13)</f>
        <v/>
      </c>
      <c r="C13">
        <f>SQRT(SUMPRODUCT((Usage_Data!$C$2:$C$5001=$A13)*(Usage_Data!$D$2:$D$5001-$B13)^2)/MAX(1,COUNTIF(Usage_Data!$C$2:$C$5001,$A13))))</f>
        <v/>
      </c>
      <c r="D13">
        <f>IF($B13=0,0,$C13/$B13)</f>
        <v/>
      </c>
      <c r="E13">
        <f>INDEX(Lots_Data!$N$2:$N$234,MATCH($A13,Lots_Data!$A$2:$A$234,0))</f>
        <v/>
      </c>
      <c r="F13">
        <f>1.65*($C13/30)*SQRT($E13)</f>
        <v/>
      </c>
      <c r="G13">
        <f>($B13/30)*$E13+$F13</f>
        <v/>
      </c>
      <c r="H13">
        <f>INDEX(Lots_Data!$S$2:$S$234,MATCH($A13,Lots_Data!$A$2:$A$234,0))</f>
        <v/>
      </c>
    </row>
    <row r="14">
      <c r="A14" t="inlineStr">
        <is>
          <t>SS-01010</t>
        </is>
      </c>
      <c r="B14">
        <f>AVERAGEIFS(Usage_Data!$D$2:$D$5001,Usage_Data!$C$2:$C$5001,$A14)</f>
        <v/>
      </c>
      <c r="C14">
        <f>SQRT(SUMPRODUCT((Usage_Data!$C$2:$C$5001=$A14)*(Usage_Data!$D$2:$D$5001-$B14)^2)/MAX(1,COUNTIF(Usage_Data!$C$2:$C$5001,$A14))))</f>
        <v/>
      </c>
      <c r="D14">
        <f>IF($B14=0,0,$C14/$B14)</f>
        <v/>
      </c>
      <c r="E14">
        <f>INDEX(Lots_Data!$N$2:$N$234,MATCH($A14,Lots_Data!$A$2:$A$234,0))</f>
        <v/>
      </c>
      <c r="F14">
        <f>1.65*($C14/30)*SQRT($E14)</f>
        <v/>
      </c>
      <c r="G14">
        <f>($B14/30)*$E14+$F14</f>
        <v/>
      </c>
      <c r="H14">
        <f>INDEX(Lots_Data!$S$2:$S$234,MATCH($A14,Lots_Data!$A$2:$A$234,0))</f>
        <v/>
      </c>
    </row>
    <row r="15">
      <c r="A15" t="inlineStr">
        <is>
          <t>SS-01011</t>
        </is>
      </c>
      <c r="B15">
        <f>AVERAGEIFS(Usage_Data!$D$2:$D$5001,Usage_Data!$C$2:$C$5001,$A15)</f>
        <v/>
      </c>
      <c r="C15">
        <f>SQRT(SUMPRODUCT((Usage_Data!$C$2:$C$5001=$A15)*(Usage_Data!$D$2:$D$5001-$B15)^2)/MAX(1,COUNTIF(Usage_Data!$C$2:$C$5001,$A15))))</f>
        <v/>
      </c>
      <c r="D15">
        <f>IF($B15=0,0,$C15/$B15)</f>
        <v/>
      </c>
      <c r="E15">
        <f>INDEX(Lots_Data!$N$2:$N$234,MATCH($A15,Lots_Data!$A$2:$A$234,0))</f>
        <v/>
      </c>
      <c r="F15">
        <f>1.65*($C15/30)*SQRT($E15)</f>
        <v/>
      </c>
      <c r="G15">
        <f>($B15/30)*$E15+$F15</f>
        <v/>
      </c>
      <c r="H15">
        <f>INDEX(Lots_Data!$S$2:$S$234,MATCH($A15,Lots_Data!$A$2:$A$234,0))</f>
        <v/>
      </c>
    </row>
    <row r="16">
      <c r="A16" t="inlineStr">
        <is>
          <t>SS-01012</t>
        </is>
      </c>
      <c r="B16">
        <f>AVERAGEIFS(Usage_Data!$D$2:$D$5001,Usage_Data!$C$2:$C$5001,$A16)</f>
        <v/>
      </c>
      <c r="C16">
        <f>SQRT(SUMPRODUCT((Usage_Data!$C$2:$C$5001=$A16)*(Usage_Data!$D$2:$D$5001-$B16)^2)/MAX(1,COUNTIF(Usage_Data!$C$2:$C$5001,$A16))))</f>
        <v/>
      </c>
      <c r="D16">
        <f>IF($B16=0,0,$C16/$B16)</f>
        <v/>
      </c>
      <c r="E16">
        <f>INDEX(Lots_Data!$N$2:$N$234,MATCH($A16,Lots_Data!$A$2:$A$234,0))</f>
        <v/>
      </c>
      <c r="F16">
        <f>1.65*($C16/30)*SQRT($E16)</f>
        <v/>
      </c>
      <c r="G16">
        <f>($B16/30)*$E16+$F16</f>
        <v/>
      </c>
      <c r="H16">
        <f>INDEX(Lots_Data!$S$2:$S$234,MATCH($A16,Lots_Data!$A$2:$A$234,0))</f>
        <v/>
      </c>
    </row>
    <row r="17">
      <c r="A17" t="inlineStr">
        <is>
          <t>SS-01013</t>
        </is>
      </c>
      <c r="B17">
        <f>AVERAGEIFS(Usage_Data!$D$2:$D$5001,Usage_Data!$C$2:$C$5001,$A17)</f>
        <v/>
      </c>
      <c r="C17">
        <f>SQRT(SUMPRODUCT((Usage_Data!$C$2:$C$5001=$A17)*(Usage_Data!$D$2:$D$5001-$B17)^2)/MAX(1,COUNTIF(Usage_Data!$C$2:$C$5001,$A17))))</f>
        <v/>
      </c>
      <c r="D17">
        <f>IF($B17=0,0,$C17/$B17)</f>
        <v/>
      </c>
      <c r="E17">
        <f>INDEX(Lots_Data!$N$2:$N$234,MATCH($A17,Lots_Data!$A$2:$A$234,0))</f>
        <v/>
      </c>
      <c r="F17">
        <f>1.65*($C17/30)*SQRT($E17)</f>
        <v/>
      </c>
      <c r="G17">
        <f>($B17/30)*$E17+$F17</f>
        <v/>
      </c>
      <c r="H17">
        <f>INDEX(Lots_Data!$S$2:$S$234,MATCH($A17,Lots_Data!$A$2:$A$234,0))</f>
        <v/>
      </c>
    </row>
    <row r="18">
      <c r="A18" t="inlineStr">
        <is>
          <t>SS-01014</t>
        </is>
      </c>
      <c r="B18">
        <f>AVERAGEIFS(Usage_Data!$D$2:$D$5001,Usage_Data!$C$2:$C$5001,$A18)</f>
        <v/>
      </c>
      <c r="C18">
        <f>SQRT(SUMPRODUCT((Usage_Data!$C$2:$C$5001=$A18)*(Usage_Data!$D$2:$D$5001-$B18)^2)/MAX(1,COUNTIF(Usage_Data!$C$2:$C$5001,$A18))))</f>
        <v/>
      </c>
      <c r="D18">
        <f>IF($B18=0,0,$C18/$B18)</f>
        <v/>
      </c>
      <c r="E18">
        <f>INDEX(Lots_Data!$N$2:$N$234,MATCH($A18,Lots_Data!$A$2:$A$234,0))</f>
        <v/>
      </c>
      <c r="F18">
        <f>1.65*($C18/30)*SQRT($E18)</f>
        <v/>
      </c>
      <c r="G18">
        <f>($B18/30)*$E18+$F18</f>
        <v/>
      </c>
      <c r="H18">
        <f>INDEX(Lots_Data!$S$2:$S$234,MATCH($A18,Lots_Data!$A$2:$A$234,0))</f>
        <v/>
      </c>
    </row>
    <row r="19">
      <c r="A19" t="inlineStr">
        <is>
          <t>SS-01015</t>
        </is>
      </c>
      <c r="B19">
        <f>AVERAGEIFS(Usage_Data!$D$2:$D$5001,Usage_Data!$C$2:$C$5001,$A19)</f>
        <v/>
      </c>
      <c r="C19">
        <f>SQRT(SUMPRODUCT((Usage_Data!$C$2:$C$5001=$A19)*(Usage_Data!$D$2:$D$5001-$B19)^2)/MAX(1,COUNTIF(Usage_Data!$C$2:$C$5001,$A19))))</f>
        <v/>
      </c>
      <c r="D19">
        <f>IF($B19=0,0,$C19/$B19)</f>
        <v/>
      </c>
      <c r="E19">
        <f>INDEX(Lots_Data!$N$2:$N$234,MATCH($A19,Lots_Data!$A$2:$A$234,0))</f>
        <v/>
      </c>
      <c r="F19">
        <f>1.65*($C19/30)*SQRT($E19)</f>
        <v/>
      </c>
      <c r="G19">
        <f>($B19/30)*$E19+$F19</f>
        <v/>
      </c>
      <c r="H19">
        <f>INDEX(Lots_Data!$S$2:$S$234,MATCH($A19,Lots_Data!$A$2:$A$234,0))</f>
        <v/>
      </c>
    </row>
    <row r="20">
      <c r="A20" t="inlineStr">
        <is>
          <t>SS-01016</t>
        </is>
      </c>
      <c r="B20">
        <f>AVERAGEIFS(Usage_Data!$D$2:$D$5001,Usage_Data!$C$2:$C$5001,$A20)</f>
        <v/>
      </c>
      <c r="C20">
        <f>SQRT(SUMPRODUCT((Usage_Data!$C$2:$C$5001=$A20)*(Usage_Data!$D$2:$D$5001-$B20)^2)/MAX(1,COUNTIF(Usage_Data!$C$2:$C$5001,$A20))))</f>
        <v/>
      </c>
      <c r="D20">
        <f>IF($B20=0,0,$C20/$B20)</f>
        <v/>
      </c>
      <c r="E20">
        <f>INDEX(Lots_Data!$N$2:$N$234,MATCH($A20,Lots_Data!$A$2:$A$234,0))</f>
        <v/>
      </c>
      <c r="F20">
        <f>1.65*($C20/30)*SQRT($E20)</f>
        <v/>
      </c>
      <c r="G20">
        <f>($B20/30)*$E20+$F20</f>
        <v/>
      </c>
      <c r="H20">
        <f>INDEX(Lots_Data!$S$2:$S$234,MATCH($A20,Lots_Data!$A$2:$A$234,0))</f>
        <v/>
      </c>
    </row>
    <row r="21">
      <c r="A21" t="inlineStr">
        <is>
          <t>SS-01017</t>
        </is>
      </c>
      <c r="B21">
        <f>AVERAGEIFS(Usage_Data!$D$2:$D$5001,Usage_Data!$C$2:$C$5001,$A21)</f>
        <v/>
      </c>
      <c r="C21">
        <f>SQRT(SUMPRODUCT((Usage_Data!$C$2:$C$5001=$A21)*(Usage_Data!$D$2:$D$5001-$B21)^2)/MAX(1,COUNTIF(Usage_Data!$C$2:$C$5001,$A21))))</f>
        <v/>
      </c>
      <c r="D21">
        <f>IF($B21=0,0,$C21/$B21)</f>
        <v/>
      </c>
      <c r="E21">
        <f>INDEX(Lots_Data!$N$2:$N$234,MATCH($A21,Lots_Data!$A$2:$A$234,0))</f>
        <v/>
      </c>
      <c r="F21">
        <f>1.65*($C21/30)*SQRT($E21)</f>
        <v/>
      </c>
      <c r="G21">
        <f>($B21/30)*$E21+$F21</f>
        <v/>
      </c>
      <c r="H21">
        <f>INDEX(Lots_Data!$S$2:$S$234,MATCH($A21,Lots_Data!$A$2:$A$234,0))</f>
        <v/>
      </c>
    </row>
    <row r="22">
      <c r="A22" t="inlineStr">
        <is>
          <t>SS-01018</t>
        </is>
      </c>
      <c r="B22">
        <f>AVERAGEIFS(Usage_Data!$D$2:$D$5001,Usage_Data!$C$2:$C$5001,$A22)</f>
        <v/>
      </c>
      <c r="C22">
        <f>SQRT(SUMPRODUCT((Usage_Data!$C$2:$C$5001=$A22)*(Usage_Data!$D$2:$D$5001-$B22)^2)/MAX(1,COUNTIF(Usage_Data!$C$2:$C$5001,$A22))))</f>
        <v/>
      </c>
      <c r="D22">
        <f>IF($B22=0,0,$C22/$B22)</f>
        <v/>
      </c>
      <c r="E22">
        <f>INDEX(Lots_Data!$N$2:$N$234,MATCH($A22,Lots_Data!$A$2:$A$234,0))</f>
        <v/>
      </c>
      <c r="F22">
        <f>1.65*($C22/30)*SQRT($E22)</f>
        <v/>
      </c>
      <c r="G22">
        <f>($B22/30)*$E22+$F22</f>
        <v/>
      </c>
      <c r="H22">
        <f>INDEX(Lots_Data!$S$2:$S$234,MATCH($A22,Lots_Data!$A$2:$A$234,0))</f>
        <v/>
      </c>
    </row>
    <row r="23">
      <c r="A23" t="inlineStr">
        <is>
          <t>SS-01019</t>
        </is>
      </c>
      <c r="B23">
        <f>AVERAGEIFS(Usage_Data!$D$2:$D$5001,Usage_Data!$C$2:$C$5001,$A23)</f>
        <v/>
      </c>
      <c r="C23">
        <f>SQRT(SUMPRODUCT((Usage_Data!$C$2:$C$5001=$A23)*(Usage_Data!$D$2:$D$5001-$B23)^2)/MAX(1,COUNTIF(Usage_Data!$C$2:$C$5001,$A23))))</f>
        <v/>
      </c>
      <c r="D23">
        <f>IF($B23=0,0,$C23/$B23)</f>
        <v/>
      </c>
      <c r="E23">
        <f>INDEX(Lots_Data!$N$2:$N$234,MATCH($A23,Lots_Data!$A$2:$A$234,0))</f>
        <v/>
      </c>
      <c r="F23">
        <f>1.65*($C23/30)*SQRT($E23)</f>
        <v/>
      </c>
      <c r="G23">
        <f>($B23/30)*$E23+$F23</f>
        <v/>
      </c>
      <c r="H23">
        <f>INDEX(Lots_Data!$S$2:$S$234,MATCH($A23,Lots_Data!$A$2:$A$234,0))</f>
        <v/>
      </c>
    </row>
    <row r="24">
      <c r="A24" t="inlineStr">
        <is>
          <t>SS-01020</t>
        </is>
      </c>
      <c r="B24">
        <f>AVERAGEIFS(Usage_Data!$D$2:$D$5001,Usage_Data!$C$2:$C$5001,$A24)</f>
        <v/>
      </c>
      <c r="C24">
        <f>SQRT(SUMPRODUCT((Usage_Data!$C$2:$C$5001=$A24)*(Usage_Data!$D$2:$D$5001-$B24)^2)/MAX(1,COUNTIF(Usage_Data!$C$2:$C$5001,$A24))))</f>
        <v/>
      </c>
      <c r="D24">
        <f>IF($B24=0,0,$C24/$B24)</f>
        <v/>
      </c>
      <c r="E24">
        <f>INDEX(Lots_Data!$N$2:$N$234,MATCH($A24,Lots_Data!$A$2:$A$234,0))</f>
        <v/>
      </c>
      <c r="F24">
        <f>1.65*($C24/30)*SQRT($E24)</f>
        <v/>
      </c>
      <c r="G24">
        <f>($B24/30)*$E24+$F24</f>
        <v/>
      </c>
      <c r="H24">
        <f>INDEX(Lots_Data!$S$2:$S$234,MATCH($A24,Lots_Data!$A$2:$A$234,0))</f>
        <v/>
      </c>
    </row>
    <row r="25">
      <c r="A25" t="inlineStr">
        <is>
          <t>SS-01021</t>
        </is>
      </c>
      <c r="B25">
        <f>AVERAGEIFS(Usage_Data!$D$2:$D$5001,Usage_Data!$C$2:$C$5001,$A25)</f>
        <v/>
      </c>
      <c r="C25">
        <f>SQRT(SUMPRODUCT((Usage_Data!$C$2:$C$5001=$A25)*(Usage_Data!$D$2:$D$5001-$B25)^2)/MAX(1,COUNTIF(Usage_Data!$C$2:$C$5001,$A25))))</f>
        <v/>
      </c>
      <c r="D25">
        <f>IF($B25=0,0,$C25/$B25)</f>
        <v/>
      </c>
      <c r="E25">
        <f>INDEX(Lots_Data!$N$2:$N$234,MATCH($A25,Lots_Data!$A$2:$A$234,0))</f>
        <v/>
      </c>
      <c r="F25">
        <f>1.65*($C25/30)*SQRT($E25)</f>
        <v/>
      </c>
      <c r="G25">
        <f>($B25/30)*$E25+$F25</f>
        <v/>
      </c>
      <c r="H25">
        <f>INDEX(Lots_Data!$S$2:$S$234,MATCH($A25,Lots_Data!$A$2:$A$234,0))</f>
        <v/>
      </c>
    </row>
    <row r="26">
      <c r="A26" t="inlineStr">
        <is>
          <t>SS-01022</t>
        </is>
      </c>
      <c r="B26">
        <f>AVERAGEIFS(Usage_Data!$D$2:$D$5001,Usage_Data!$C$2:$C$5001,$A26)</f>
        <v/>
      </c>
      <c r="C26">
        <f>SQRT(SUMPRODUCT((Usage_Data!$C$2:$C$5001=$A26)*(Usage_Data!$D$2:$D$5001-$B26)^2)/MAX(1,COUNTIF(Usage_Data!$C$2:$C$5001,$A26))))</f>
        <v/>
      </c>
      <c r="D26">
        <f>IF($B26=0,0,$C26/$B26)</f>
        <v/>
      </c>
      <c r="E26">
        <f>INDEX(Lots_Data!$N$2:$N$234,MATCH($A26,Lots_Data!$A$2:$A$234,0))</f>
        <v/>
      </c>
      <c r="F26">
        <f>1.65*($C26/30)*SQRT($E26)</f>
        <v/>
      </c>
      <c r="G26">
        <f>($B26/30)*$E26+$F26</f>
        <v/>
      </c>
      <c r="H26">
        <f>INDEX(Lots_Data!$S$2:$S$234,MATCH($A26,Lots_Data!$A$2:$A$234,0))</f>
        <v/>
      </c>
    </row>
    <row r="27">
      <c r="A27" t="inlineStr">
        <is>
          <t>SS-01023</t>
        </is>
      </c>
      <c r="B27">
        <f>AVERAGEIFS(Usage_Data!$D$2:$D$5001,Usage_Data!$C$2:$C$5001,$A27)</f>
        <v/>
      </c>
      <c r="C27">
        <f>SQRT(SUMPRODUCT((Usage_Data!$C$2:$C$5001=$A27)*(Usage_Data!$D$2:$D$5001-$B27)^2)/MAX(1,COUNTIF(Usage_Data!$C$2:$C$5001,$A27))))</f>
        <v/>
      </c>
      <c r="D27">
        <f>IF($B27=0,0,$C27/$B27)</f>
        <v/>
      </c>
      <c r="E27">
        <f>INDEX(Lots_Data!$N$2:$N$234,MATCH($A27,Lots_Data!$A$2:$A$234,0))</f>
        <v/>
      </c>
      <c r="F27">
        <f>1.65*($C27/30)*SQRT($E27)</f>
        <v/>
      </c>
      <c r="G27">
        <f>($B27/30)*$E27+$F27</f>
        <v/>
      </c>
      <c r="H27">
        <f>INDEX(Lots_Data!$S$2:$S$234,MATCH($A27,Lots_Data!$A$2:$A$234,0))</f>
        <v/>
      </c>
    </row>
    <row r="28">
      <c r="A28" t="inlineStr">
        <is>
          <t>SS-01024</t>
        </is>
      </c>
      <c r="B28">
        <f>AVERAGEIFS(Usage_Data!$D$2:$D$5001,Usage_Data!$C$2:$C$5001,$A28)</f>
        <v/>
      </c>
      <c r="C28">
        <f>SQRT(SUMPRODUCT((Usage_Data!$C$2:$C$5001=$A28)*(Usage_Data!$D$2:$D$5001-$B28)^2)/MAX(1,COUNTIF(Usage_Data!$C$2:$C$5001,$A28))))</f>
        <v/>
      </c>
      <c r="D28">
        <f>IF($B28=0,0,$C28/$B28)</f>
        <v/>
      </c>
      <c r="E28">
        <f>INDEX(Lots_Data!$N$2:$N$234,MATCH($A28,Lots_Data!$A$2:$A$234,0))</f>
        <v/>
      </c>
      <c r="F28">
        <f>1.65*($C28/30)*SQRT($E28)</f>
        <v/>
      </c>
      <c r="G28">
        <f>($B28/30)*$E28+$F28</f>
        <v/>
      </c>
      <c r="H28">
        <f>INDEX(Lots_Data!$S$2:$S$234,MATCH($A28,Lots_Data!$A$2:$A$234,0))</f>
        <v/>
      </c>
    </row>
    <row r="29">
      <c r="A29" t="inlineStr">
        <is>
          <t>SS-01025</t>
        </is>
      </c>
      <c r="B29">
        <f>AVERAGEIFS(Usage_Data!$D$2:$D$5001,Usage_Data!$C$2:$C$5001,$A29)</f>
        <v/>
      </c>
      <c r="C29">
        <f>SQRT(SUMPRODUCT((Usage_Data!$C$2:$C$5001=$A29)*(Usage_Data!$D$2:$D$5001-$B29)^2)/MAX(1,COUNTIF(Usage_Data!$C$2:$C$5001,$A29))))</f>
        <v/>
      </c>
      <c r="D29">
        <f>IF($B29=0,0,$C29/$B29)</f>
        <v/>
      </c>
      <c r="E29">
        <f>INDEX(Lots_Data!$N$2:$N$234,MATCH($A29,Lots_Data!$A$2:$A$234,0))</f>
        <v/>
      </c>
      <c r="F29">
        <f>1.65*($C29/30)*SQRT($E29)</f>
        <v/>
      </c>
      <c r="G29">
        <f>($B29/30)*$E29+$F29</f>
        <v/>
      </c>
      <c r="H29">
        <f>INDEX(Lots_Data!$S$2:$S$234,MATCH($A29,Lots_Data!$A$2:$A$234,0))</f>
        <v/>
      </c>
    </row>
    <row r="30">
      <c r="A30" t="inlineStr">
        <is>
          <t>SS-01026</t>
        </is>
      </c>
      <c r="B30">
        <f>AVERAGEIFS(Usage_Data!$D$2:$D$5001,Usage_Data!$C$2:$C$5001,$A30)</f>
        <v/>
      </c>
      <c r="C30">
        <f>SQRT(SUMPRODUCT((Usage_Data!$C$2:$C$5001=$A30)*(Usage_Data!$D$2:$D$5001-$B30)^2)/MAX(1,COUNTIF(Usage_Data!$C$2:$C$5001,$A30))))</f>
        <v/>
      </c>
      <c r="D30">
        <f>IF($B30=0,0,$C30/$B30)</f>
        <v/>
      </c>
      <c r="E30">
        <f>INDEX(Lots_Data!$N$2:$N$234,MATCH($A30,Lots_Data!$A$2:$A$234,0))</f>
        <v/>
      </c>
      <c r="F30">
        <f>1.65*($C30/30)*SQRT($E30)</f>
        <v/>
      </c>
      <c r="G30">
        <f>($B30/30)*$E30+$F30</f>
        <v/>
      </c>
      <c r="H30">
        <f>INDEX(Lots_Data!$S$2:$S$234,MATCH($A30,Lots_Data!$A$2:$A$234,0))</f>
        <v/>
      </c>
    </row>
    <row r="31">
      <c r="A31" t="inlineStr">
        <is>
          <t>SS-01027</t>
        </is>
      </c>
      <c r="B31">
        <f>AVERAGEIFS(Usage_Data!$D$2:$D$5001,Usage_Data!$C$2:$C$5001,$A31)</f>
        <v/>
      </c>
      <c r="C31">
        <f>SQRT(SUMPRODUCT((Usage_Data!$C$2:$C$5001=$A31)*(Usage_Data!$D$2:$D$5001-$B31)^2)/MAX(1,COUNTIF(Usage_Data!$C$2:$C$5001,$A31))))</f>
        <v/>
      </c>
      <c r="D31">
        <f>IF($B31=0,0,$C31/$B31)</f>
        <v/>
      </c>
      <c r="E31">
        <f>INDEX(Lots_Data!$N$2:$N$234,MATCH($A31,Lots_Data!$A$2:$A$234,0))</f>
        <v/>
      </c>
      <c r="F31">
        <f>1.65*($C31/30)*SQRT($E31)</f>
        <v/>
      </c>
      <c r="G31">
        <f>($B31/30)*$E31+$F31</f>
        <v/>
      </c>
      <c r="H31">
        <f>INDEX(Lots_Data!$S$2:$S$234,MATCH($A31,Lots_Data!$A$2:$A$234,0))</f>
        <v/>
      </c>
    </row>
    <row r="32">
      <c r="A32" t="inlineStr">
        <is>
          <t>SS-01028</t>
        </is>
      </c>
      <c r="B32">
        <f>AVERAGEIFS(Usage_Data!$D$2:$D$5001,Usage_Data!$C$2:$C$5001,$A32)</f>
        <v/>
      </c>
      <c r="C32">
        <f>SQRT(SUMPRODUCT((Usage_Data!$C$2:$C$5001=$A32)*(Usage_Data!$D$2:$D$5001-$B32)^2)/MAX(1,COUNTIF(Usage_Data!$C$2:$C$5001,$A32))))</f>
        <v/>
      </c>
      <c r="D32">
        <f>IF($B32=0,0,$C32/$B32)</f>
        <v/>
      </c>
      <c r="E32">
        <f>INDEX(Lots_Data!$N$2:$N$234,MATCH($A32,Lots_Data!$A$2:$A$234,0))</f>
        <v/>
      </c>
      <c r="F32">
        <f>1.65*($C32/30)*SQRT($E32)</f>
        <v/>
      </c>
      <c r="G32">
        <f>($B32/30)*$E32+$F32</f>
        <v/>
      </c>
      <c r="H32">
        <f>INDEX(Lots_Data!$S$2:$S$234,MATCH($A32,Lots_Data!$A$2:$A$234,0))</f>
        <v/>
      </c>
    </row>
    <row r="33">
      <c r="A33" t="inlineStr">
        <is>
          <t>SS-01029</t>
        </is>
      </c>
      <c r="B33">
        <f>AVERAGEIFS(Usage_Data!$D$2:$D$5001,Usage_Data!$C$2:$C$5001,$A33)</f>
        <v/>
      </c>
      <c r="C33">
        <f>SQRT(SUMPRODUCT((Usage_Data!$C$2:$C$5001=$A33)*(Usage_Data!$D$2:$D$5001-$B33)^2)/MAX(1,COUNTIF(Usage_Data!$C$2:$C$5001,$A33))))</f>
        <v/>
      </c>
      <c r="D33">
        <f>IF($B33=0,0,$C33/$B33)</f>
        <v/>
      </c>
      <c r="E33">
        <f>INDEX(Lots_Data!$N$2:$N$234,MATCH($A33,Lots_Data!$A$2:$A$234,0))</f>
        <v/>
      </c>
      <c r="F33">
        <f>1.65*($C33/30)*SQRT($E33)</f>
        <v/>
      </c>
      <c r="G33">
        <f>($B33/30)*$E33+$F33</f>
        <v/>
      </c>
      <c r="H33">
        <f>INDEX(Lots_Data!$S$2:$S$234,MATCH($A33,Lots_Data!$A$2:$A$234,0))</f>
        <v/>
      </c>
    </row>
    <row r="34">
      <c r="A34" t="inlineStr">
        <is>
          <t>SS-01030</t>
        </is>
      </c>
      <c r="B34">
        <f>AVERAGEIFS(Usage_Data!$D$2:$D$5001,Usage_Data!$C$2:$C$5001,$A34)</f>
        <v/>
      </c>
      <c r="C34">
        <f>SQRT(SUMPRODUCT((Usage_Data!$C$2:$C$5001=$A34)*(Usage_Data!$D$2:$D$5001-$B34)^2)/MAX(1,COUNTIF(Usage_Data!$C$2:$C$5001,$A34))))</f>
        <v/>
      </c>
      <c r="D34">
        <f>IF($B34=0,0,$C34/$B34)</f>
        <v/>
      </c>
      <c r="E34">
        <f>INDEX(Lots_Data!$N$2:$N$234,MATCH($A34,Lots_Data!$A$2:$A$234,0))</f>
        <v/>
      </c>
      <c r="F34">
        <f>1.65*($C34/30)*SQRT($E34)</f>
        <v/>
      </c>
      <c r="G34">
        <f>($B34/30)*$E34+$F34</f>
        <v/>
      </c>
      <c r="H34">
        <f>INDEX(Lots_Data!$S$2:$S$234,MATCH($A34,Lots_Data!$A$2:$A$234,0))</f>
        <v/>
      </c>
    </row>
    <row r="35">
      <c r="A35" t="inlineStr">
        <is>
          <t>SS-01031</t>
        </is>
      </c>
      <c r="B35">
        <f>AVERAGEIFS(Usage_Data!$D$2:$D$5001,Usage_Data!$C$2:$C$5001,$A35)</f>
        <v/>
      </c>
      <c r="C35">
        <f>SQRT(SUMPRODUCT((Usage_Data!$C$2:$C$5001=$A35)*(Usage_Data!$D$2:$D$5001-$B35)^2)/MAX(1,COUNTIF(Usage_Data!$C$2:$C$5001,$A35))))</f>
        <v/>
      </c>
      <c r="D35">
        <f>IF($B35=0,0,$C35/$B35)</f>
        <v/>
      </c>
      <c r="E35">
        <f>INDEX(Lots_Data!$N$2:$N$234,MATCH($A35,Lots_Data!$A$2:$A$234,0))</f>
        <v/>
      </c>
      <c r="F35">
        <f>1.65*($C35/30)*SQRT($E35)</f>
        <v/>
      </c>
      <c r="G35">
        <f>($B35/30)*$E35+$F35</f>
        <v/>
      </c>
      <c r="H35">
        <f>INDEX(Lots_Data!$S$2:$S$234,MATCH($A35,Lots_Data!$A$2:$A$234,0))</f>
        <v/>
      </c>
    </row>
    <row r="36">
      <c r="A36" t="inlineStr">
        <is>
          <t>SS-01032</t>
        </is>
      </c>
      <c r="B36">
        <f>AVERAGEIFS(Usage_Data!$D$2:$D$5001,Usage_Data!$C$2:$C$5001,$A36)</f>
        <v/>
      </c>
      <c r="C36">
        <f>SQRT(SUMPRODUCT((Usage_Data!$C$2:$C$5001=$A36)*(Usage_Data!$D$2:$D$5001-$B36)^2)/MAX(1,COUNTIF(Usage_Data!$C$2:$C$5001,$A36))))</f>
        <v/>
      </c>
      <c r="D36">
        <f>IF($B36=0,0,$C36/$B36)</f>
        <v/>
      </c>
      <c r="E36">
        <f>INDEX(Lots_Data!$N$2:$N$234,MATCH($A36,Lots_Data!$A$2:$A$234,0))</f>
        <v/>
      </c>
      <c r="F36">
        <f>1.65*($C36/30)*SQRT($E36)</f>
        <v/>
      </c>
      <c r="G36">
        <f>($B36/30)*$E36+$F36</f>
        <v/>
      </c>
      <c r="H36">
        <f>INDEX(Lots_Data!$S$2:$S$234,MATCH($A36,Lots_Data!$A$2:$A$234,0))</f>
        <v/>
      </c>
    </row>
    <row r="37">
      <c r="A37" t="inlineStr">
        <is>
          <t>SS-01033</t>
        </is>
      </c>
      <c r="B37">
        <f>AVERAGEIFS(Usage_Data!$D$2:$D$5001,Usage_Data!$C$2:$C$5001,$A37)</f>
        <v/>
      </c>
      <c r="C37">
        <f>SQRT(SUMPRODUCT((Usage_Data!$C$2:$C$5001=$A37)*(Usage_Data!$D$2:$D$5001-$B37)^2)/MAX(1,COUNTIF(Usage_Data!$C$2:$C$5001,$A37))))</f>
        <v/>
      </c>
      <c r="D37">
        <f>IF($B37=0,0,$C37/$B37)</f>
        <v/>
      </c>
      <c r="E37">
        <f>INDEX(Lots_Data!$N$2:$N$234,MATCH($A37,Lots_Data!$A$2:$A$234,0))</f>
        <v/>
      </c>
      <c r="F37">
        <f>1.65*($C37/30)*SQRT($E37)</f>
        <v/>
      </c>
      <c r="G37">
        <f>($B37/30)*$E37+$F37</f>
        <v/>
      </c>
      <c r="H37">
        <f>INDEX(Lots_Data!$S$2:$S$234,MATCH($A37,Lots_Data!$A$2:$A$234,0))</f>
        <v/>
      </c>
    </row>
    <row r="38">
      <c r="A38" t="inlineStr">
        <is>
          <t>SS-01034</t>
        </is>
      </c>
      <c r="B38">
        <f>AVERAGEIFS(Usage_Data!$D$2:$D$5001,Usage_Data!$C$2:$C$5001,$A38)</f>
        <v/>
      </c>
      <c r="C38">
        <f>SQRT(SUMPRODUCT((Usage_Data!$C$2:$C$5001=$A38)*(Usage_Data!$D$2:$D$5001-$B38)^2)/MAX(1,COUNTIF(Usage_Data!$C$2:$C$5001,$A38))))</f>
        <v/>
      </c>
      <c r="D38">
        <f>IF($B38=0,0,$C38/$B38)</f>
        <v/>
      </c>
      <c r="E38">
        <f>INDEX(Lots_Data!$N$2:$N$234,MATCH($A38,Lots_Data!$A$2:$A$234,0))</f>
        <v/>
      </c>
      <c r="F38">
        <f>1.65*($C38/30)*SQRT($E38)</f>
        <v/>
      </c>
      <c r="G38">
        <f>($B38/30)*$E38+$F38</f>
        <v/>
      </c>
      <c r="H38">
        <f>INDEX(Lots_Data!$S$2:$S$234,MATCH($A38,Lots_Data!$A$2:$A$234,0))</f>
        <v/>
      </c>
    </row>
    <row r="39">
      <c r="A39" t="inlineStr">
        <is>
          <t>SS-01035</t>
        </is>
      </c>
      <c r="B39">
        <f>AVERAGEIFS(Usage_Data!$D$2:$D$5001,Usage_Data!$C$2:$C$5001,$A39)</f>
        <v/>
      </c>
      <c r="C39">
        <f>SQRT(SUMPRODUCT((Usage_Data!$C$2:$C$5001=$A39)*(Usage_Data!$D$2:$D$5001-$B39)^2)/MAX(1,COUNTIF(Usage_Data!$C$2:$C$5001,$A39))))</f>
        <v/>
      </c>
      <c r="D39">
        <f>IF($B39=0,0,$C39/$B39)</f>
        <v/>
      </c>
      <c r="E39">
        <f>INDEX(Lots_Data!$N$2:$N$234,MATCH($A39,Lots_Data!$A$2:$A$234,0))</f>
        <v/>
      </c>
      <c r="F39">
        <f>1.65*($C39/30)*SQRT($E39)</f>
        <v/>
      </c>
      <c r="G39">
        <f>($B39/30)*$E39+$F39</f>
        <v/>
      </c>
      <c r="H39">
        <f>INDEX(Lots_Data!$S$2:$S$234,MATCH($A39,Lots_Data!$A$2:$A$234,0))</f>
        <v/>
      </c>
    </row>
    <row r="40">
      <c r="A40" t="inlineStr">
        <is>
          <t>SS-01036</t>
        </is>
      </c>
      <c r="B40">
        <f>AVERAGEIFS(Usage_Data!$D$2:$D$5001,Usage_Data!$C$2:$C$5001,$A40)</f>
        <v/>
      </c>
      <c r="C40">
        <f>SQRT(SUMPRODUCT((Usage_Data!$C$2:$C$5001=$A40)*(Usage_Data!$D$2:$D$5001-$B40)^2)/MAX(1,COUNTIF(Usage_Data!$C$2:$C$5001,$A40))))</f>
        <v/>
      </c>
      <c r="D40">
        <f>IF($B40=0,0,$C40/$B40)</f>
        <v/>
      </c>
      <c r="E40">
        <f>INDEX(Lots_Data!$N$2:$N$234,MATCH($A40,Lots_Data!$A$2:$A$234,0))</f>
        <v/>
      </c>
      <c r="F40">
        <f>1.65*($C40/30)*SQRT($E40)</f>
        <v/>
      </c>
      <c r="G40">
        <f>($B40/30)*$E40+$F40</f>
        <v/>
      </c>
      <c r="H40">
        <f>INDEX(Lots_Data!$S$2:$S$234,MATCH($A40,Lots_Data!$A$2:$A$234,0))</f>
        <v/>
      </c>
    </row>
    <row r="41">
      <c r="A41" t="inlineStr">
        <is>
          <t>SS-01037</t>
        </is>
      </c>
      <c r="B41">
        <f>AVERAGEIFS(Usage_Data!$D$2:$D$5001,Usage_Data!$C$2:$C$5001,$A41)</f>
        <v/>
      </c>
      <c r="C41">
        <f>SQRT(SUMPRODUCT((Usage_Data!$C$2:$C$5001=$A41)*(Usage_Data!$D$2:$D$5001-$B41)^2)/MAX(1,COUNTIF(Usage_Data!$C$2:$C$5001,$A41))))</f>
        <v/>
      </c>
      <c r="D41">
        <f>IF($B41=0,0,$C41/$B41)</f>
        <v/>
      </c>
      <c r="E41">
        <f>INDEX(Lots_Data!$N$2:$N$234,MATCH($A41,Lots_Data!$A$2:$A$234,0))</f>
        <v/>
      </c>
      <c r="F41">
        <f>1.65*($C41/30)*SQRT($E41)</f>
        <v/>
      </c>
      <c r="G41">
        <f>($B41/30)*$E41+$F41</f>
        <v/>
      </c>
      <c r="H41">
        <f>INDEX(Lots_Data!$S$2:$S$234,MATCH($A41,Lots_Data!$A$2:$A$234,0))</f>
        <v/>
      </c>
    </row>
    <row r="42">
      <c r="A42" t="inlineStr">
        <is>
          <t>SS-01038</t>
        </is>
      </c>
      <c r="B42">
        <f>AVERAGEIFS(Usage_Data!$D$2:$D$5001,Usage_Data!$C$2:$C$5001,$A42)</f>
        <v/>
      </c>
      <c r="C42">
        <f>SQRT(SUMPRODUCT((Usage_Data!$C$2:$C$5001=$A42)*(Usage_Data!$D$2:$D$5001-$B42)^2)/MAX(1,COUNTIF(Usage_Data!$C$2:$C$5001,$A42))))</f>
        <v/>
      </c>
      <c r="D42">
        <f>IF($B42=0,0,$C42/$B42)</f>
        <v/>
      </c>
      <c r="E42">
        <f>INDEX(Lots_Data!$N$2:$N$234,MATCH($A42,Lots_Data!$A$2:$A$234,0))</f>
        <v/>
      </c>
      <c r="F42">
        <f>1.65*($C42/30)*SQRT($E42)</f>
        <v/>
      </c>
      <c r="G42">
        <f>($B42/30)*$E42+$F42</f>
        <v/>
      </c>
      <c r="H42">
        <f>INDEX(Lots_Data!$S$2:$S$234,MATCH($A42,Lots_Data!$A$2:$A$234,0))</f>
        <v/>
      </c>
    </row>
    <row r="43">
      <c r="A43" t="inlineStr">
        <is>
          <t>SS-01039</t>
        </is>
      </c>
      <c r="B43">
        <f>AVERAGEIFS(Usage_Data!$D$2:$D$5001,Usage_Data!$C$2:$C$5001,$A43)</f>
        <v/>
      </c>
      <c r="C43">
        <f>SQRT(SUMPRODUCT((Usage_Data!$C$2:$C$5001=$A43)*(Usage_Data!$D$2:$D$5001-$B43)^2)/MAX(1,COUNTIF(Usage_Data!$C$2:$C$5001,$A43))))</f>
        <v/>
      </c>
      <c r="D43">
        <f>IF($B43=0,0,$C43/$B43)</f>
        <v/>
      </c>
      <c r="E43">
        <f>INDEX(Lots_Data!$N$2:$N$234,MATCH($A43,Lots_Data!$A$2:$A$234,0))</f>
        <v/>
      </c>
      <c r="F43">
        <f>1.65*($C43/30)*SQRT($E43)</f>
        <v/>
      </c>
      <c r="G43">
        <f>($B43/30)*$E43+$F43</f>
        <v/>
      </c>
      <c r="H43">
        <f>INDEX(Lots_Data!$S$2:$S$234,MATCH($A43,Lots_Data!$A$2:$A$234,0))</f>
        <v/>
      </c>
    </row>
    <row r="44">
      <c r="A44" t="inlineStr">
        <is>
          <t>SS-01040</t>
        </is>
      </c>
      <c r="B44">
        <f>AVERAGEIFS(Usage_Data!$D$2:$D$5001,Usage_Data!$C$2:$C$5001,$A44)</f>
        <v/>
      </c>
      <c r="C44">
        <f>SQRT(SUMPRODUCT((Usage_Data!$C$2:$C$5001=$A44)*(Usage_Data!$D$2:$D$5001-$B44)^2)/MAX(1,COUNTIF(Usage_Data!$C$2:$C$5001,$A44))))</f>
        <v/>
      </c>
      <c r="D44">
        <f>IF($B44=0,0,$C44/$B44)</f>
        <v/>
      </c>
      <c r="E44">
        <f>INDEX(Lots_Data!$N$2:$N$234,MATCH($A44,Lots_Data!$A$2:$A$234,0))</f>
        <v/>
      </c>
      <c r="F44">
        <f>1.65*($C44/30)*SQRT($E44)</f>
        <v/>
      </c>
      <c r="G44">
        <f>($B44/30)*$E44+$F44</f>
        <v/>
      </c>
      <c r="H44">
        <f>INDEX(Lots_Data!$S$2:$S$234,MATCH($A44,Lots_Data!$A$2:$A$234,0))</f>
        <v/>
      </c>
    </row>
    <row r="45">
      <c r="A45" t="inlineStr">
        <is>
          <t>SS-01041</t>
        </is>
      </c>
      <c r="B45">
        <f>AVERAGEIFS(Usage_Data!$D$2:$D$5001,Usage_Data!$C$2:$C$5001,$A45)</f>
        <v/>
      </c>
      <c r="C45">
        <f>SQRT(SUMPRODUCT((Usage_Data!$C$2:$C$5001=$A45)*(Usage_Data!$D$2:$D$5001-$B45)^2)/MAX(1,COUNTIF(Usage_Data!$C$2:$C$5001,$A45))))</f>
        <v/>
      </c>
      <c r="D45">
        <f>IF($B45=0,0,$C45/$B45)</f>
        <v/>
      </c>
      <c r="E45">
        <f>INDEX(Lots_Data!$N$2:$N$234,MATCH($A45,Lots_Data!$A$2:$A$234,0))</f>
        <v/>
      </c>
      <c r="F45">
        <f>1.65*($C45/30)*SQRT($E45)</f>
        <v/>
      </c>
      <c r="G45">
        <f>($B45/30)*$E45+$F45</f>
        <v/>
      </c>
      <c r="H45">
        <f>INDEX(Lots_Data!$S$2:$S$234,MATCH($A45,Lots_Data!$A$2:$A$234,0))</f>
        <v/>
      </c>
    </row>
    <row r="46">
      <c r="A46" t="inlineStr">
        <is>
          <t>SS-01042</t>
        </is>
      </c>
      <c r="B46">
        <f>AVERAGEIFS(Usage_Data!$D$2:$D$5001,Usage_Data!$C$2:$C$5001,$A46)</f>
        <v/>
      </c>
      <c r="C46">
        <f>SQRT(SUMPRODUCT((Usage_Data!$C$2:$C$5001=$A46)*(Usage_Data!$D$2:$D$5001-$B46)^2)/MAX(1,COUNTIF(Usage_Data!$C$2:$C$5001,$A46))))</f>
        <v/>
      </c>
      <c r="D46">
        <f>IF($B46=0,0,$C46/$B46)</f>
        <v/>
      </c>
      <c r="E46">
        <f>INDEX(Lots_Data!$N$2:$N$234,MATCH($A46,Lots_Data!$A$2:$A$234,0))</f>
        <v/>
      </c>
      <c r="F46">
        <f>1.65*($C46/30)*SQRT($E46)</f>
        <v/>
      </c>
      <c r="G46">
        <f>($B46/30)*$E46+$F46</f>
        <v/>
      </c>
      <c r="H46">
        <f>INDEX(Lots_Data!$S$2:$S$234,MATCH($A46,Lots_Data!$A$2:$A$234,0))</f>
        <v/>
      </c>
    </row>
    <row r="47">
      <c r="A47" t="inlineStr">
        <is>
          <t>SS-01043</t>
        </is>
      </c>
      <c r="B47">
        <f>AVERAGEIFS(Usage_Data!$D$2:$D$5001,Usage_Data!$C$2:$C$5001,$A47)</f>
        <v/>
      </c>
      <c r="C47">
        <f>SQRT(SUMPRODUCT((Usage_Data!$C$2:$C$5001=$A47)*(Usage_Data!$D$2:$D$5001-$B47)^2)/MAX(1,COUNTIF(Usage_Data!$C$2:$C$5001,$A47))))</f>
        <v/>
      </c>
      <c r="D47">
        <f>IF($B47=0,0,$C47/$B47)</f>
        <v/>
      </c>
      <c r="E47">
        <f>INDEX(Lots_Data!$N$2:$N$234,MATCH($A47,Lots_Data!$A$2:$A$234,0))</f>
        <v/>
      </c>
      <c r="F47">
        <f>1.65*($C47/30)*SQRT($E47)</f>
        <v/>
      </c>
      <c r="G47">
        <f>($B47/30)*$E47+$F47</f>
        <v/>
      </c>
      <c r="H47">
        <f>INDEX(Lots_Data!$S$2:$S$234,MATCH($A47,Lots_Data!$A$2:$A$234,0))</f>
        <v/>
      </c>
    </row>
    <row r="48">
      <c r="A48" t="inlineStr">
        <is>
          <t>SS-01044</t>
        </is>
      </c>
      <c r="B48">
        <f>AVERAGEIFS(Usage_Data!$D$2:$D$5001,Usage_Data!$C$2:$C$5001,$A48)</f>
        <v/>
      </c>
      <c r="C48">
        <f>SQRT(SUMPRODUCT((Usage_Data!$C$2:$C$5001=$A48)*(Usage_Data!$D$2:$D$5001-$B48)^2)/MAX(1,COUNTIF(Usage_Data!$C$2:$C$5001,$A48))))</f>
        <v/>
      </c>
      <c r="D48">
        <f>IF($B48=0,0,$C48/$B48)</f>
        <v/>
      </c>
      <c r="E48">
        <f>INDEX(Lots_Data!$N$2:$N$234,MATCH($A48,Lots_Data!$A$2:$A$234,0))</f>
        <v/>
      </c>
      <c r="F48">
        <f>1.65*($C48/30)*SQRT($E48)</f>
        <v/>
      </c>
      <c r="G48">
        <f>($B48/30)*$E48+$F48</f>
        <v/>
      </c>
      <c r="H48">
        <f>INDEX(Lots_Data!$S$2:$S$234,MATCH($A48,Lots_Data!$A$2:$A$234,0))</f>
        <v/>
      </c>
    </row>
    <row r="49">
      <c r="A49" t="inlineStr">
        <is>
          <t>SS-01045</t>
        </is>
      </c>
      <c r="B49">
        <f>AVERAGEIFS(Usage_Data!$D$2:$D$5001,Usage_Data!$C$2:$C$5001,$A49)</f>
        <v/>
      </c>
      <c r="C49">
        <f>SQRT(SUMPRODUCT((Usage_Data!$C$2:$C$5001=$A49)*(Usage_Data!$D$2:$D$5001-$B49)^2)/MAX(1,COUNTIF(Usage_Data!$C$2:$C$5001,$A49))))</f>
        <v/>
      </c>
      <c r="D49">
        <f>IF($B49=0,0,$C49/$B49)</f>
        <v/>
      </c>
      <c r="E49">
        <f>INDEX(Lots_Data!$N$2:$N$234,MATCH($A49,Lots_Data!$A$2:$A$234,0))</f>
        <v/>
      </c>
      <c r="F49">
        <f>1.65*($C49/30)*SQRT($E49)</f>
        <v/>
      </c>
      <c r="G49">
        <f>($B49/30)*$E49+$F49</f>
        <v/>
      </c>
      <c r="H49">
        <f>INDEX(Lots_Data!$S$2:$S$234,MATCH($A49,Lots_Data!$A$2:$A$234,0))</f>
        <v/>
      </c>
    </row>
    <row r="50">
      <c r="A50" t="inlineStr">
        <is>
          <t>SS-01046</t>
        </is>
      </c>
      <c r="B50">
        <f>AVERAGEIFS(Usage_Data!$D$2:$D$5001,Usage_Data!$C$2:$C$5001,$A50)</f>
        <v/>
      </c>
      <c r="C50">
        <f>SQRT(SUMPRODUCT((Usage_Data!$C$2:$C$5001=$A50)*(Usage_Data!$D$2:$D$5001-$B50)^2)/MAX(1,COUNTIF(Usage_Data!$C$2:$C$5001,$A50))))</f>
        <v/>
      </c>
      <c r="D50">
        <f>IF($B50=0,0,$C50/$B50)</f>
        <v/>
      </c>
      <c r="E50">
        <f>INDEX(Lots_Data!$N$2:$N$234,MATCH($A50,Lots_Data!$A$2:$A$234,0))</f>
        <v/>
      </c>
      <c r="F50">
        <f>1.65*($C50/30)*SQRT($E50)</f>
        <v/>
      </c>
      <c r="G50">
        <f>($B50/30)*$E50+$F50</f>
        <v/>
      </c>
      <c r="H50">
        <f>INDEX(Lots_Data!$S$2:$S$234,MATCH($A50,Lots_Data!$A$2:$A$234,0))</f>
        <v/>
      </c>
    </row>
    <row r="51">
      <c r="A51" t="inlineStr">
        <is>
          <t>SS-01047</t>
        </is>
      </c>
      <c r="B51">
        <f>AVERAGEIFS(Usage_Data!$D$2:$D$5001,Usage_Data!$C$2:$C$5001,$A51)</f>
        <v/>
      </c>
      <c r="C51">
        <f>SQRT(SUMPRODUCT((Usage_Data!$C$2:$C$5001=$A51)*(Usage_Data!$D$2:$D$5001-$B51)^2)/MAX(1,COUNTIF(Usage_Data!$C$2:$C$5001,$A51))))</f>
        <v/>
      </c>
      <c r="D51">
        <f>IF($B51=0,0,$C51/$B51)</f>
        <v/>
      </c>
      <c r="E51">
        <f>INDEX(Lots_Data!$N$2:$N$234,MATCH($A51,Lots_Data!$A$2:$A$234,0))</f>
        <v/>
      </c>
      <c r="F51">
        <f>1.65*($C51/30)*SQRT($E51)</f>
        <v/>
      </c>
      <c r="G51">
        <f>($B51/30)*$E51+$F51</f>
        <v/>
      </c>
      <c r="H51">
        <f>INDEX(Lots_Data!$S$2:$S$234,MATCH($A51,Lots_Data!$A$2:$A$234,0))</f>
        <v/>
      </c>
    </row>
    <row r="52">
      <c r="A52" t="inlineStr">
        <is>
          <t>SS-01048</t>
        </is>
      </c>
      <c r="B52">
        <f>AVERAGEIFS(Usage_Data!$D$2:$D$5001,Usage_Data!$C$2:$C$5001,$A52)</f>
        <v/>
      </c>
      <c r="C52">
        <f>SQRT(SUMPRODUCT((Usage_Data!$C$2:$C$5001=$A52)*(Usage_Data!$D$2:$D$5001-$B52)^2)/MAX(1,COUNTIF(Usage_Data!$C$2:$C$5001,$A52))))</f>
        <v/>
      </c>
      <c r="D52">
        <f>IF($B52=0,0,$C52/$B52)</f>
        <v/>
      </c>
      <c r="E52">
        <f>INDEX(Lots_Data!$N$2:$N$234,MATCH($A52,Lots_Data!$A$2:$A$234,0))</f>
        <v/>
      </c>
      <c r="F52">
        <f>1.65*($C52/30)*SQRT($E52)</f>
        <v/>
      </c>
      <c r="G52">
        <f>($B52/30)*$E52+$F52</f>
        <v/>
      </c>
      <c r="H52">
        <f>INDEX(Lots_Data!$S$2:$S$234,MATCH($A52,Lots_Data!$A$2:$A$234,0))</f>
        <v/>
      </c>
    </row>
    <row r="53">
      <c r="A53" t="inlineStr">
        <is>
          <t>SS-01049</t>
        </is>
      </c>
      <c r="B53">
        <f>AVERAGEIFS(Usage_Data!$D$2:$D$5001,Usage_Data!$C$2:$C$5001,$A53)</f>
        <v/>
      </c>
      <c r="C53">
        <f>SQRT(SUMPRODUCT((Usage_Data!$C$2:$C$5001=$A53)*(Usage_Data!$D$2:$D$5001-$B53)^2)/MAX(1,COUNTIF(Usage_Data!$C$2:$C$5001,$A53))))</f>
        <v/>
      </c>
      <c r="D53">
        <f>IF($B53=0,0,$C53/$B53)</f>
        <v/>
      </c>
      <c r="E53">
        <f>INDEX(Lots_Data!$N$2:$N$234,MATCH($A53,Lots_Data!$A$2:$A$234,0))</f>
        <v/>
      </c>
      <c r="F53">
        <f>1.65*($C53/30)*SQRT($E53)</f>
        <v/>
      </c>
      <c r="G53">
        <f>($B53/30)*$E53+$F53</f>
        <v/>
      </c>
      <c r="H53">
        <f>INDEX(Lots_Data!$S$2:$S$234,MATCH($A53,Lots_Data!$A$2:$A$234,0))</f>
        <v/>
      </c>
    </row>
    <row r="54">
      <c r="A54" t="inlineStr">
        <is>
          <t>SS-01050</t>
        </is>
      </c>
      <c r="B54">
        <f>AVERAGEIFS(Usage_Data!$D$2:$D$5001,Usage_Data!$C$2:$C$5001,$A54)</f>
        <v/>
      </c>
      <c r="C54">
        <f>SQRT(SUMPRODUCT((Usage_Data!$C$2:$C$5001=$A54)*(Usage_Data!$D$2:$D$5001-$B54)^2)/MAX(1,COUNTIF(Usage_Data!$C$2:$C$5001,$A54))))</f>
        <v/>
      </c>
      <c r="D54">
        <f>IF($B54=0,0,$C54/$B54)</f>
        <v/>
      </c>
      <c r="E54">
        <f>INDEX(Lots_Data!$N$2:$N$234,MATCH($A54,Lots_Data!$A$2:$A$234,0))</f>
        <v/>
      </c>
      <c r="F54">
        <f>1.65*($C54/30)*SQRT($E54)</f>
        <v/>
      </c>
      <c r="G54">
        <f>($B54/30)*$E54+$F54</f>
        <v/>
      </c>
      <c r="H54">
        <f>INDEX(Lots_Data!$S$2:$S$234,MATCH($A54,Lots_Data!$A$2:$A$234,0))</f>
        <v/>
      </c>
    </row>
    <row r="55">
      <c r="A55" t="inlineStr">
        <is>
          <t>SS-01051</t>
        </is>
      </c>
      <c r="B55">
        <f>AVERAGEIFS(Usage_Data!$D$2:$D$5001,Usage_Data!$C$2:$C$5001,$A55)</f>
        <v/>
      </c>
      <c r="C55">
        <f>SQRT(SUMPRODUCT((Usage_Data!$C$2:$C$5001=$A55)*(Usage_Data!$D$2:$D$5001-$B55)^2)/MAX(1,COUNTIF(Usage_Data!$C$2:$C$5001,$A55))))</f>
        <v/>
      </c>
      <c r="D55">
        <f>IF($B55=0,0,$C55/$B55)</f>
        <v/>
      </c>
      <c r="E55">
        <f>INDEX(Lots_Data!$N$2:$N$234,MATCH($A55,Lots_Data!$A$2:$A$234,0))</f>
        <v/>
      </c>
      <c r="F55">
        <f>1.65*($C55/30)*SQRT($E55)</f>
        <v/>
      </c>
      <c r="G55">
        <f>($B55/30)*$E55+$F55</f>
        <v/>
      </c>
      <c r="H55">
        <f>INDEX(Lots_Data!$S$2:$S$234,MATCH($A55,Lots_Data!$A$2:$A$234,0))</f>
        <v/>
      </c>
    </row>
    <row r="56">
      <c r="A56" t="inlineStr">
        <is>
          <t>SS-01052</t>
        </is>
      </c>
      <c r="B56">
        <f>AVERAGEIFS(Usage_Data!$D$2:$D$5001,Usage_Data!$C$2:$C$5001,$A56)</f>
        <v/>
      </c>
      <c r="C56">
        <f>SQRT(SUMPRODUCT((Usage_Data!$C$2:$C$5001=$A56)*(Usage_Data!$D$2:$D$5001-$B56)^2)/MAX(1,COUNTIF(Usage_Data!$C$2:$C$5001,$A56))))</f>
        <v/>
      </c>
      <c r="D56">
        <f>IF($B56=0,0,$C56/$B56)</f>
        <v/>
      </c>
      <c r="E56">
        <f>INDEX(Lots_Data!$N$2:$N$234,MATCH($A56,Lots_Data!$A$2:$A$234,0))</f>
        <v/>
      </c>
      <c r="F56">
        <f>1.65*($C56/30)*SQRT($E56)</f>
        <v/>
      </c>
      <c r="G56">
        <f>($B56/30)*$E56+$F56</f>
        <v/>
      </c>
      <c r="H56">
        <f>INDEX(Lots_Data!$S$2:$S$234,MATCH($A56,Lots_Data!$A$2:$A$234,0))</f>
        <v/>
      </c>
    </row>
    <row r="57">
      <c r="A57" t="inlineStr">
        <is>
          <t>SS-01053</t>
        </is>
      </c>
      <c r="B57">
        <f>AVERAGEIFS(Usage_Data!$D$2:$D$5001,Usage_Data!$C$2:$C$5001,$A57)</f>
        <v/>
      </c>
      <c r="C57">
        <f>SQRT(SUMPRODUCT((Usage_Data!$C$2:$C$5001=$A57)*(Usage_Data!$D$2:$D$5001-$B57)^2)/MAX(1,COUNTIF(Usage_Data!$C$2:$C$5001,$A57))))</f>
        <v/>
      </c>
      <c r="D57">
        <f>IF($B57=0,0,$C57/$B57)</f>
        <v/>
      </c>
      <c r="E57">
        <f>INDEX(Lots_Data!$N$2:$N$234,MATCH($A57,Lots_Data!$A$2:$A$234,0))</f>
        <v/>
      </c>
      <c r="F57">
        <f>1.65*($C57/30)*SQRT($E57)</f>
        <v/>
      </c>
      <c r="G57">
        <f>($B57/30)*$E57+$F57</f>
        <v/>
      </c>
      <c r="H57">
        <f>INDEX(Lots_Data!$S$2:$S$234,MATCH($A57,Lots_Data!$A$2:$A$234,0))</f>
        <v/>
      </c>
    </row>
    <row r="58">
      <c r="A58" t="inlineStr">
        <is>
          <t>SS-01054</t>
        </is>
      </c>
      <c r="B58">
        <f>AVERAGEIFS(Usage_Data!$D$2:$D$5001,Usage_Data!$C$2:$C$5001,$A58)</f>
        <v/>
      </c>
      <c r="C58">
        <f>SQRT(SUMPRODUCT((Usage_Data!$C$2:$C$5001=$A58)*(Usage_Data!$D$2:$D$5001-$B58)^2)/MAX(1,COUNTIF(Usage_Data!$C$2:$C$5001,$A58))))</f>
        <v/>
      </c>
      <c r="D58">
        <f>IF($B58=0,0,$C58/$B58)</f>
        <v/>
      </c>
      <c r="E58">
        <f>INDEX(Lots_Data!$N$2:$N$234,MATCH($A58,Lots_Data!$A$2:$A$234,0))</f>
        <v/>
      </c>
      <c r="F58">
        <f>1.65*($C58/30)*SQRT($E58)</f>
        <v/>
      </c>
      <c r="G58">
        <f>($B58/30)*$E58+$F58</f>
        <v/>
      </c>
      <c r="H58">
        <f>INDEX(Lots_Data!$S$2:$S$234,MATCH($A58,Lots_Data!$A$2:$A$234,0))</f>
        <v/>
      </c>
    </row>
    <row r="59">
      <c r="A59" t="inlineStr">
        <is>
          <t>SS-01055</t>
        </is>
      </c>
      <c r="B59">
        <f>AVERAGEIFS(Usage_Data!$D$2:$D$5001,Usage_Data!$C$2:$C$5001,$A59)</f>
        <v/>
      </c>
      <c r="C59">
        <f>SQRT(SUMPRODUCT((Usage_Data!$C$2:$C$5001=$A59)*(Usage_Data!$D$2:$D$5001-$B59)^2)/MAX(1,COUNTIF(Usage_Data!$C$2:$C$5001,$A59))))</f>
        <v/>
      </c>
      <c r="D59">
        <f>IF($B59=0,0,$C59/$B59)</f>
        <v/>
      </c>
      <c r="E59">
        <f>INDEX(Lots_Data!$N$2:$N$234,MATCH($A59,Lots_Data!$A$2:$A$234,0))</f>
        <v/>
      </c>
      <c r="F59">
        <f>1.65*($C59/30)*SQRT($E59)</f>
        <v/>
      </c>
      <c r="G59">
        <f>($B59/30)*$E59+$F59</f>
        <v/>
      </c>
      <c r="H59">
        <f>INDEX(Lots_Data!$S$2:$S$234,MATCH($A59,Lots_Data!$A$2:$A$234,0))</f>
        <v/>
      </c>
    </row>
    <row r="60">
      <c r="A60" t="inlineStr">
        <is>
          <t>SS-01056</t>
        </is>
      </c>
      <c r="B60">
        <f>AVERAGEIFS(Usage_Data!$D$2:$D$5001,Usage_Data!$C$2:$C$5001,$A60)</f>
        <v/>
      </c>
      <c r="C60">
        <f>SQRT(SUMPRODUCT((Usage_Data!$C$2:$C$5001=$A60)*(Usage_Data!$D$2:$D$5001-$B60)^2)/MAX(1,COUNTIF(Usage_Data!$C$2:$C$5001,$A60))))</f>
        <v/>
      </c>
      <c r="D60">
        <f>IF($B60=0,0,$C60/$B60)</f>
        <v/>
      </c>
      <c r="E60">
        <f>INDEX(Lots_Data!$N$2:$N$234,MATCH($A60,Lots_Data!$A$2:$A$234,0))</f>
        <v/>
      </c>
      <c r="F60">
        <f>1.65*($C60/30)*SQRT($E60)</f>
        <v/>
      </c>
      <c r="G60">
        <f>($B60/30)*$E60+$F60</f>
        <v/>
      </c>
      <c r="H60">
        <f>INDEX(Lots_Data!$S$2:$S$234,MATCH($A60,Lots_Data!$A$2:$A$234,0))</f>
        <v/>
      </c>
    </row>
    <row r="61">
      <c r="A61" t="inlineStr">
        <is>
          <t>SS-01057</t>
        </is>
      </c>
      <c r="B61">
        <f>AVERAGEIFS(Usage_Data!$D$2:$D$5001,Usage_Data!$C$2:$C$5001,$A61)</f>
        <v/>
      </c>
      <c r="C61">
        <f>SQRT(SUMPRODUCT((Usage_Data!$C$2:$C$5001=$A61)*(Usage_Data!$D$2:$D$5001-$B61)^2)/MAX(1,COUNTIF(Usage_Data!$C$2:$C$5001,$A61))))</f>
        <v/>
      </c>
      <c r="D61">
        <f>IF($B61=0,0,$C61/$B61)</f>
        <v/>
      </c>
      <c r="E61">
        <f>INDEX(Lots_Data!$N$2:$N$234,MATCH($A61,Lots_Data!$A$2:$A$234,0))</f>
        <v/>
      </c>
      <c r="F61">
        <f>1.65*($C61/30)*SQRT($E61)</f>
        <v/>
      </c>
      <c r="G61">
        <f>($B61/30)*$E61+$F61</f>
        <v/>
      </c>
      <c r="H61">
        <f>INDEX(Lots_Data!$S$2:$S$234,MATCH($A61,Lots_Data!$A$2:$A$234,0))</f>
        <v/>
      </c>
    </row>
    <row r="62">
      <c r="A62" t="inlineStr">
        <is>
          <t>SS-01058</t>
        </is>
      </c>
      <c r="B62">
        <f>AVERAGEIFS(Usage_Data!$D$2:$D$5001,Usage_Data!$C$2:$C$5001,$A62)</f>
        <v/>
      </c>
      <c r="C62">
        <f>SQRT(SUMPRODUCT((Usage_Data!$C$2:$C$5001=$A62)*(Usage_Data!$D$2:$D$5001-$B62)^2)/MAX(1,COUNTIF(Usage_Data!$C$2:$C$5001,$A62))))</f>
        <v/>
      </c>
      <c r="D62">
        <f>IF($B62=0,0,$C62/$B62)</f>
        <v/>
      </c>
      <c r="E62">
        <f>INDEX(Lots_Data!$N$2:$N$234,MATCH($A62,Lots_Data!$A$2:$A$234,0))</f>
        <v/>
      </c>
      <c r="F62">
        <f>1.65*($C62/30)*SQRT($E62)</f>
        <v/>
      </c>
      <c r="G62">
        <f>($B62/30)*$E62+$F62</f>
        <v/>
      </c>
      <c r="H62">
        <f>INDEX(Lots_Data!$S$2:$S$234,MATCH($A62,Lots_Data!$A$2:$A$234,0))</f>
        <v/>
      </c>
    </row>
    <row r="63">
      <c r="A63" t="inlineStr">
        <is>
          <t>SS-01059</t>
        </is>
      </c>
      <c r="B63">
        <f>AVERAGEIFS(Usage_Data!$D$2:$D$5001,Usage_Data!$C$2:$C$5001,$A63)</f>
        <v/>
      </c>
      <c r="C63">
        <f>SQRT(SUMPRODUCT((Usage_Data!$C$2:$C$5001=$A63)*(Usage_Data!$D$2:$D$5001-$B63)^2)/MAX(1,COUNTIF(Usage_Data!$C$2:$C$5001,$A63))))</f>
        <v/>
      </c>
      <c r="D63">
        <f>IF($B63=0,0,$C63/$B63)</f>
        <v/>
      </c>
      <c r="E63">
        <f>INDEX(Lots_Data!$N$2:$N$234,MATCH($A63,Lots_Data!$A$2:$A$234,0))</f>
        <v/>
      </c>
      <c r="F63">
        <f>1.65*($C63/30)*SQRT($E63)</f>
        <v/>
      </c>
      <c r="G63">
        <f>($B63/30)*$E63+$F63</f>
        <v/>
      </c>
      <c r="H63">
        <f>INDEX(Lots_Data!$S$2:$S$234,MATCH($A63,Lots_Data!$A$2:$A$234,0))</f>
        <v/>
      </c>
    </row>
    <row r="64">
      <c r="A64" t="inlineStr">
        <is>
          <t>SS-01060</t>
        </is>
      </c>
      <c r="B64">
        <f>AVERAGEIFS(Usage_Data!$D$2:$D$5001,Usage_Data!$C$2:$C$5001,$A64)</f>
        <v/>
      </c>
      <c r="C64">
        <f>SQRT(SUMPRODUCT((Usage_Data!$C$2:$C$5001=$A64)*(Usage_Data!$D$2:$D$5001-$B64)^2)/MAX(1,COUNTIF(Usage_Data!$C$2:$C$5001,$A64))))</f>
        <v/>
      </c>
      <c r="D64">
        <f>IF($B64=0,0,$C64/$B64)</f>
        <v/>
      </c>
      <c r="E64">
        <f>INDEX(Lots_Data!$N$2:$N$234,MATCH($A64,Lots_Data!$A$2:$A$234,0))</f>
        <v/>
      </c>
      <c r="F64">
        <f>1.65*($C64/30)*SQRT($E64)</f>
        <v/>
      </c>
      <c r="G64">
        <f>($B64/30)*$E64+$F64</f>
        <v/>
      </c>
      <c r="H64">
        <f>INDEX(Lots_Data!$S$2:$S$234,MATCH($A64,Lots_Data!$A$2:$A$234,0))</f>
        <v/>
      </c>
    </row>
    <row r="65">
      <c r="A65" t="inlineStr">
        <is>
          <t>SS-01061</t>
        </is>
      </c>
      <c r="B65">
        <f>AVERAGEIFS(Usage_Data!$D$2:$D$5001,Usage_Data!$C$2:$C$5001,$A65)</f>
        <v/>
      </c>
      <c r="C65">
        <f>SQRT(SUMPRODUCT((Usage_Data!$C$2:$C$5001=$A65)*(Usage_Data!$D$2:$D$5001-$B65)^2)/MAX(1,COUNTIF(Usage_Data!$C$2:$C$5001,$A65))))</f>
        <v/>
      </c>
      <c r="D65">
        <f>IF($B65=0,0,$C65/$B65)</f>
        <v/>
      </c>
      <c r="E65">
        <f>INDEX(Lots_Data!$N$2:$N$234,MATCH($A65,Lots_Data!$A$2:$A$234,0))</f>
        <v/>
      </c>
      <c r="F65">
        <f>1.65*($C65/30)*SQRT($E65)</f>
        <v/>
      </c>
      <c r="G65">
        <f>($B65/30)*$E65+$F65</f>
        <v/>
      </c>
      <c r="H65">
        <f>INDEX(Lots_Data!$S$2:$S$234,MATCH($A65,Lots_Data!$A$2:$A$234,0))</f>
        <v/>
      </c>
    </row>
    <row r="66">
      <c r="A66" t="inlineStr">
        <is>
          <t>SS-01062</t>
        </is>
      </c>
      <c r="B66">
        <f>AVERAGEIFS(Usage_Data!$D$2:$D$5001,Usage_Data!$C$2:$C$5001,$A66)</f>
        <v/>
      </c>
      <c r="C66">
        <f>SQRT(SUMPRODUCT((Usage_Data!$C$2:$C$5001=$A66)*(Usage_Data!$D$2:$D$5001-$B66)^2)/MAX(1,COUNTIF(Usage_Data!$C$2:$C$5001,$A66))))</f>
        <v/>
      </c>
      <c r="D66">
        <f>IF($B66=0,0,$C66/$B66)</f>
        <v/>
      </c>
      <c r="E66">
        <f>INDEX(Lots_Data!$N$2:$N$234,MATCH($A66,Lots_Data!$A$2:$A$234,0))</f>
        <v/>
      </c>
      <c r="F66">
        <f>1.65*($C66/30)*SQRT($E66)</f>
        <v/>
      </c>
      <c r="G66">
        <f>($B66/30)*$E66+$F66</f>
        <v/>
      </c>
      <c r="H66">
        <f>INDEX(Lots_Data!$S$2:$S$234,MATCH($A66,Lots_Data!$A$2:$A$234,0))</f>
        <v/>
      </c>
    </row>
    <row r="67">
      <c r="A67" t="inlineStr">
        <is>
          <t>SS-01063</t>
        </is>
      </c>
      <c r="B67">
        <f>AVERAGEIFS(Usage_Data!$D$2:$D$5001,Usage_Data!$C$2:$C$5001,$A67)</f>
        <v/>
      </c>
      <c r="C67">
        <f>SQRT(SUMPRODUCT((Usage_Data!$C$2:$C$5001=$A67)*(Usage_Data!$D$2:$D$5001-$B67)^2)/MAX(1,COUNTIF(Usage_Data!$C$2:$C$5001,$A67))))</f>
        <v/>
      </c>
      <c r="D67">
        <f>IF($B67=0,0,$C67/$B67)</f>
        <v/>
      </c>
      <c r="E67">
        <f>INDEX(Lots_Data!$N$2:$N$234,MATCH($A67,Lots_Data!$A$2:$A$234,0))</f>
        <v/>
      </c>
      <c r="F67">
        <f>1.65*($C67/30)*SQRT($E67)</f>
        <v/>
      </c>
      <c r="G67">
        <f>($B67/30)*$E67+$F67</f>
        <v/>
      </c>
      <c r="H67">
        <f>INDEX(Lots_Data!$S$2:$S$234,MATCH($A67,Lots_Data!$A$2:$A$234,0))</f>
        <v/>
      </c>
    </row>
    <row r="68">
      <c r="A68" t="inlineStr">
        <is>
          <t>SS-01064</t>
        </is>
      </c>
      <c r="B68">
        <f>AVERAGEIFS(Usage_Data!$D$2:$D$5001,Usage_Data!$C$2:$C$5001,$A68)</f>
        <v/>
      </c>
      <c r="C68">
        <f>SQRT(SUMPRODUCT((Usage_Data!$C$2:$C$5001=$A68)*(Usage_Data!$D$2:$D$5001-$B68)^2)/MAX(1,COUNTIF(Usage_Data!$C$2:$C$5001,$A68))))</f>
        <v/>
      </c>
      <c r="D68">
        <f>IF($B68=0,0,$C68/$B68)</f>
        <v/>
      </c>
      <c r="E68">
        <f>INDEX(Lots_Data!$N$2:$N$234,MATCH($A68,Lots_Data!$A$2:$A$234,0))</f>
        <v/>
      </c>
      <c r="F68">
        <f>1.65*($C68/30)*SQRT($E68)</f>
        <v/>
      </c>
      <c r="G68">
        <f>($B68/30)*$E68+$F68</f>
        <v/>
      </c>
      <c r="H68">
        <f>INDEX(Lots_Data!$S$2:$S$234,MATCH($A68,Lots_Data!$A$2:$A$234,0))</f>
        <v/>
      </c>
    </row>
    <row r="69">
      <c r="A69" t="inlineStr">
        <is>
          <t>SS-01065</t>
        </is>
      </c>
      <c r="B69">
        <f>AVERAGEIFS(Usage_Data!$D$2:$D$5001,Usage_Data!$C$2:$C$5001,$A69)</f>
        <v/>
      </c>
      <c r="C69">
        <f>SQRT(SUMPRODUCT((Usage_Data!$C$2:$C$5001=$A69)*(Usage_Data!$D$2:$D$5001-$B69)^2)/MAX(1,COUNTIF(Usage_Data!$C$2:$C$5001,$A69))))</f>
        <v/>
      </c>
      <c r="D69">
        <f>IF($B69=0,0,$C69/$B69)</f>
        <v/>
      </c>
      <c r="E69">
        <f>INDEX(Lots_Data!$N$2:$N$234,MATCH($A69,Lots_Data!$A$2:$A$234,0))</f>
        <v/>
      </c>
      <c r="F69">
        <f>1.65*($C69/30)*SQRT($E69)</f>
        <v/>
      </c>
      <c r="G69">
        <f>($B69/30)*$E69+$F69</f>
        <v/>
      </c>
      <c r="H69">
        <f>INDEX(Lots_Data!$S$2:$S$234,MATCH($A69,Lots_Data!$A$2:$A$234,0))</f>
        <v/>
      </c>
    </row>
    <row r="70">
      <c r="A70" t="inlineStr">
        <is>
          <t>SS-01066</t>
        </is>
      </c>
      <c r="B70">
        <f>AVERAGEIFS(Usage_Data!$D$2:$D$5001,Usage_Data!$C$2:$C$5001,$A70)</f>
        <v/>
      </c>
      <c r="C70">
        <f>SQRT(SUMPRODUCT((Usage_Data!$C$2:$C$5001=$A70)*(Usage_Data!$D$2:$D$5001-$B70)^2)/MAX(1,COUNTIF(Usage_Data!$C$2:$C$5001,$A70))))</f>
        <v/>
      </c>
      <c r="D70">
        <f>IF($B70=0,0,$C70/$B70)</f>
        <v/>
      </c>
      <c r="E70">
        <f>INDEX(Lots_Data!$N$2:$N$234,MATCH($A70,Lots_Data!$A$2:$A$234,0))</f>
        <v/>
      </c>
      <c r="F70">
        <f>1.65*($C70/30)*SQRT($E70)</f>
        <v/>
      </c>
      <c r="G70">
        <f>($B70/30)*$E70+$F70</f>
        <v/>
      </c>
      <c r="H70">
        <f>INDEX(Lots_Data!$S$2:$S$234,MATCH($A70,Lots_Data!$A$2:$A$234,0))</f>
        <v/>
      </c>
    </row>
    <row r="71">
      <c r="A71" t="inlineStr">
        <is>
          <t>SS-01067</t>
        </is>
      </c>
      <c r="B71">
        <f>AVERAGEIFS(Usage_Data!$D$2:$D$5001,Usage_Data!$C$2:$C$5001,$A71)</f>
        <v/>
      </c>
      <c r="C71">
        <f>SQRT(SUMPRODUCT((Usage_Data!$C$2:$C$5001=$A71)*(Usage_Data!$D$2:$D$5001-$B71)^2)/MAX(1,COUNTIF(Usage_Data!$C$2:$C$5001,$A71))))</f>
        <v/>
      </c>
      <c r="D71">
        <f>IF($B71=0,0,$C71/$B71)</f>
        <v/>
      </c>
      <c r="E71">
        <f>INDEX(Lots_Data!$N$2:$N$234,MATCH($A71,Lots_Data!$A$2:$A$234,0))</f>
        <v/>
      </c>
      <c r="F71">
        <f>1.65*($C71/30)*SQRT($E71)</f>
        <v/>
      </c>
      <c r="G71">
        <f>($B71/30)*$E71+$F71</f>
        <v/>
      </c>
      <c r="H71">
        <f>INDEX(Lots_Data!$S$2:$S$234,MATCH($A71,Lots_Data!$A$2:$A$234,0))</f>
        <v/>
      </c>
    </row>
    <row r="72">
      <c r="A72" t="inlineStr">
        <is>
          <t>SS-01068</t>
        </is>
      </c>
      <c r="B72">
        <f>AVERAGEIFS(Usage_Data!$D$2:$D$5001,Usage_Data!$C$2:$C$5001,$A72)</f>
        <v/>
      </c>
      <c r="C72">
        <f>SQRT(SUMPRODUCT((Usage_Data!$C$2:$C$5001=$A72)*(Usage_Data!$D$2:$D$5001-$B72)^2)/MAX(1,COUNTIF(Usage_Data!$C$2:$C$5001,$A72))))</f>
        <v/>
      </c>
      <c r="D72">
        <f>IF($B72=0,0,$C72/$B72)</f>
        <v/>
      </c>
      <c r="E72">
        <f>INDEX(Lots_Data!$N$2:$N$234,MATCH($A72,Lots_Data!$A$2:$A$234,0))</f>
        <v/>
      </c>
      <c r="F72">
        <f>1.65*($C72/30)*SQRT($E72)</f>
        <v/>
      </c>
      <c r="G72">
        <f>($B72/30)*$E72+$F72</f>
        <v/>
      </c>
      <c r="H72">
        <f>INDEX(Lots_Data!$S$2:$S$234,MATCH($A72,Lots_Data!$A$2:$A$234,0))</f>
        <v/>
      </c>
    </row>
    <row r="73">
      <c r="A73" t="inlineStr">
        <is>
          <t>SS-01069</t>
        </is>
      </c>
      <c r="B73">
        <f>AVERAGEIFS(Usage_Data!$D$2:$D$5001,Usage_Data!$C$2:$C$5001,$A73)</f>
        <v/>
      </c>
      <c r="C73">
        <f>SQRT(SUMPRODUCT((Usage_Data!$C$2:$C$5001=$A73)*(Usage_Data!$D$2:$D$5001-$B73)^2)/MAX(1,COUNTIF(Usage_Data!$C$2:$C$5001,$A73))))</f>
        <v/>
      </c>
      <c r="D73">
        <f>IF($B73=0,0,$C73/$B73)</f>
        <v/>
      </c>
      <c r="E73">
        <f>INDEX(Lots_Data!$N$2:$N$234,MATCH($A73,Lots_Data!$A$2:$A$234,0))</f>
        <v/>
      </c>
      <c r="F73">
        <f>1.65*($C73/30)*SQRT($E73)</f>
        <v/>
      </c>
      <c r="G73">
        <f>($B73/30)*$E73+$F73</f>
        <v/>
      </c>
      <c r="H73">
        <f>INDEX(Lots_Data!$S$2:$S$234,MATCH($A73,Lots_Data!$A$2:$A$234,0))</f>
        <v/>
      </c>
    </row>
    <row r="74">
      <c r="A74" t="inlineStr">
        <is>
          <t>SS-01070</t>
        </is>
      </c>
      <c r="B74">
        <f>AVERAGEIFS(Usage_Data!$D$2:$D$5001,Usage_Data!$C$2:$C$5001,$A74)</f>
        <v/>
      </c>
      <c r="C74">
        <f>SQRT(SUMPRODUCT((Usage_Data!$C$2:$C$5001=$A74)*(Usage_Data!$D$2:$D$5001-$B74)^2)/MAX(1,COUNTIF(Usage_Data!$C$2:$C$5001,$A74))))</f>
        <v/>
      </c>
      <c r="D74">
        <f>IF($B74=0,0,$C74/$B74)</f>
        <v/>
      </c>
      <c r="E74">
        <f>INDEX(Lots_Data!$N$2:$N$234,MATCH($A74,Lots_Data!$A$2:$A$234,0))</f>
        <v/>
      </c>
      <c r="F74">
        <f>1.65*($C74/30)*SQRT($E74)</f>
        <v/>
      </c>
      <c r="G74">
        <f>($B74/30)*$E74+$F74</f>
        <v/>
      </c>
      <c r="H74">
        <f>INDEX(Lots_Data!$S$2:$S$234,MATCH($A74,Lots_Data!$A$2:$A$234,0))</f>
        <v/>
      </c>
    </row>
    <row r="75">
      <c r="A75" t="inlineStr">
        <is>
          <t>SS-01071</t>
        </is>
      </c>
      <c r="B75">
        <f>AVERAGEIFS(Usage_Data!$D$2:$D$5001,Usage_Data!$C$2:$C$5001,$A75)</f>
        <v/>
      </c>
      <c r="C75">
        <f>SQRT(SUMPRODUCT((Usage_Data!$C$2:$C$5001=$A75)*(Usage_Data!$D$2:$D$5001-$B75)^2)/MAX(1,COUNTIF(Usage_Data!$C$2:$C$5001,$A75))))</f>
        <v/>
      </c>
      <c r="D75">
        <f>IF($B75=0,0,$C75/$B75)</f>
        <v/>
      </c>
      <c r="E75">
        <f>INDEX(Lots_Data!$N$2:$N$234,MATCH($A75,Lots_Data!$A$2:$A$234,0))</f>
        <v/>
      </c>
      <c r="F75">
        <f>1.65*($C75/30)*SQRT($E75)</f>
        <v/>
      </c>
      <c r="G75">
        <f>($B75/30)*$E75+$F75</f>
        <v/>
      </c>
      <c r="H75">
        <f>INDEX(Lots_Data!$S$2:$S$234,MATCH($A75,Lots_Data!$A$2:$A$234,0))</f>
        <v/>
      </c>
    </row>
    <row r="76">
      <c r="A76" t="inlineStr">
        <is>
          <t>SS-01072</t>
        </is>
      </c>
      <c r="B76">
        <f>AVERAGEIFS(Usage_Data!$D$2:$D$5001,Usage_Data!$C$2:$C$5001,$A76)</f>
        <v/>
      </c>
      <c r="C76">
        <f>SQRT(SUMPRODUCT((Usage_Data!$C$2:$C$5001=$A76)*(Usage_Data!$D$2:$D$5001-$B76)^2)/MAX(1,COUNTIF(Usage_Data!$C$2:$C$5001,$A76))))</f>
        <v/>
      </c>
      <c r="D76">
        <f>IF($B76=0,0,$C76/$B76)</f>
        <v/>
      </c>
      <c r="E76">
        <f>INDEX(Lots_Data!$N$2:$N$234,MATCH($A76,Lots_Data!$A$2:$A$234,0))</f>
        <v/>
      </c>
      <c r="F76">
        <f>1.65*($C76/30)*SQRT($E76)</f>
        <v/>
      </c>
      <c r="G76">
        <f>($B76/30)*$E76+$F76</f>
        <v/>
      </c>
      <c r="H76">
        <f>INDEX(Lots_Data!$S$2:$S$234,MATCH($A76,Lots_Data!$A$2:$A$234,0))</f>
        <v/>
      </c>
    </row>
    <row r="77">
      <c r="A77" t="inlineStr">
        <is>
          <t>SS-01073</t>
        </is>
      </c>
      <c r="B77">
        <f>AVERAGEIFS(Usage_Data!$D$2:$D$5001,Usage_Data!$C$2:$C$5001,$A77)</f>
        <v/>
      </c>
      <c r="C77">
        <f>SQRT(SUMPRODUCT((Usage_Data!$C$2:$C$5001=$A77)*(Usage_Data!$D$2:$D$5001-$B77)^2)/MAX(1,COUNTIF(Usage_Data!$C$2:$C$5001,$A77))))</f>
        <v/>
      </c>
      <c r="D77">
        <f>IF($B77=0,0,$C77/$B77)</f>
        <v/>
      </c>
      <c r="E77">
        <f>INDEX(Lots_Data!$N$2:$N$234,MATCH($A77,Lots_Data!$A$2:$A$234,0))</f>
        <v/>
      </c>
      <c r="F77">
        <f>1.65*($C77/30)*SQRT($E77)</f>
        <v/>
      </c>
      <c r="G77">
        <f>($B77/30)*$E77+$F77</f>
        <v/>
      </c>
      <c r="H77">
        <f>INDEX(Lots_Data!$S$2:$S$234,MATCH($A77,Lots_Data!$A$2:$A$234,0))</f>
        <v/>
      </c>
    </row>
    <row r="78">
      <c r="A78" t="inlineStr">
        <is>
          <t>SS-01074</t>
        </is>
      </c>
      <c r="B78">
        <f>AVERAGEIFS(Usage_Data!$D$2:$D$5001,Usage_Data!$C$2:$C$5001,$A78)</f>
        <v/>
      </c>
      <c r="C78">
        <f>SQRT(SUMPRODUCT((Usage_Data!$C$2:$C$5001=$A78)*(Usage_Data!$D$2:$D$5001-$B78)^2)/MAX(1,COUNTIF(Usage_Data!$C$2:$C$5001,$A78))))</f>
        <v/>
      </c>
      <c r="D78">
        <f>IF($B78=0,0,$C78/$B78)</f>
        <v/>
      </c>
      <c r="E78">
        <f>INDEX(Lots_Data!$N$2:$N$234,MATCH($A78,Lots_Data!$A$2:$A$234,0))</f>
        <v/>
      </c>
      <c r="F78">
        <f>1.65*($C78/30)*SQRT($E78)</f>
        <v/>
      </c>
      <c r="G78">
        <f>($B78/30)*$E78+$F78</f>
        <v/>
      </c>
      <c r="H78">
        <f>INDEX(Lots_Data!$S$2:$S$234,MATCH($A78,Lots_Data!$A$2:$A$234,0))</f>
        <v/>
      </c>
    </row>
    <row r="79">
      <c r="A79" t="inlineStr">
        <is>
          <t>SS-01075</t>
        </is>
      </c>
      <c r="B79">
        <f>AVERAGEIFS(Usage_Data!$D$2:$D$5001,Usage_Data!$C$2:$C$5001,$A79)</f>
        <v/>
      </c>
      <c r="C79">
        <f>SQRT(SUMPRODUCT((Usage_Data!$C$2:$C$5001=$A79)*(Usage_Data!$D$2:$D$5001-$B79)^2)/MAX(1,COUNTIF(Usage_Data!$C$2:$C$5001,$A79))))</f>
        <v/>
      </c>
      <c r="D79">
        <f>IF($B79=0,0,$C79/$B79)</f>
        <v/>
      </c>
      <c r="E79">
        <f>INDEX(Lots_Data!$N$2:$N$234,MATCH($A79,Lots_Data!$A$2:$A$234,0))</f>
        <v/>
      </c>
      <c r="F79">
        <f>1.65*($C79/30)*SQRT($E79)</f>
        <v/>
      </c>
      <c r="G79">
        <f>($B79/30)*$E79+$F79</f>
        <v/>
      </c>
      <c r="H79">
        <f>INDEX(Lots_Data!$S$2:$S$234,MATCH($A79,Lots_Data!$A$2:$A$234,0))</f>
        <v/>
      </c>
    </row>
    <row r="80">
      <c r="A80" t="inlineStr">
        <is>
          <t>SS-01076</t>
        </is>
      </c>
      <c r="B80">
        <f>AVERAGEIFS(Usage_Data!$D$2:$D$5001,Usage_Data!$C$2:$C$5001,$A80)</f>
        <v/>
      </c>
      <c r="C80">
        <f>SQRT(SUMPRODUCT((Usage_Data!$C$2:$C$5001=$A80)*(Usage_Data!$D$2:$D$5001-$B80)^2)/MAX(1,COUNTIF(Usage_Data!$C$2:$C$5001,$A80))))</f>
        <v/>
      </c>
      <c r="D80">
        <f>IF($B80=0,0,$C80/$B80)</f>
        <v/>
      </c>
      <c r="E80">
        <f>INDEX(Lots_Data!$N$2:$N$234,MATCH($A80,Lots_Data!$A$2:$A$234,0))</f>
        <v/>
      </c>
      <c r="F80">
        <f>1.65*($C80/30)*SQRT($E80)</f>
        <v/>
      </c>
      <c r="G80">
        <f>($B80/30)*$E80+$F80</f>
        <v/>
      </c>
      <c r="H80">
        <f>INDEX(Lots_Data!$S$2:$S$234,MATCH($A80,Lots_Data!$A$2:$A$234,0))</f>
        <v/>
      </c>
    </row>
    <row r="81">
      <c r="A81" t="inlineStr">
        <is>
          <t>SS-01077</t>
        </is>
      </c>
      <c r="B81">
        <f>AVERAGEIFS(Usage_Data!$D$2:$D$5001,Usage_Data!$C$2:$C$5001,$A81)</f>
        <v/>
      </c>
      <c r="C81">
        <f>SQRT(SUMPRODUCT((Usage_Data!$C$2:$C$5001=$A81)*(Usage_Data!$D$2:$D$5001-$B81)^2)/MAX(1,COUNTIF(Usage_Data!$C$2:$C$5001,$A81))))</f>
        <v/>
      </c>
      <c r="D81">
        <f>IF($B81=0,0,$C81/$B81)</f>
        <v/>
      </c>
      <c r="E81">
        <f>INDEX(Lots_Data!$N$2:$N$234,MATCH($A81,Lots_Data!$A$2:$A$234,0))</f>
        <v/>
      </c>
      <c r="F81">
        <f>1.65*($C81/30)*SQRT($E81)</f>
        <v/>
      </c>
      <c r="G81">
        <f>($B81/30)*$E81+$F81</f>
        <v/>
      </c>
      <c r="H81">
        <f>INDEX(Lots_Data!$S$2:$S$234,MATCH($A81,Lots_Data!$A$2:$A$234,0))</f>
        <v/>
      </c>
    </row>
    <row r="82">
      <c r="A82" t="inlineStr">
        <is>
          <t>SS-01078</t>
        </is>
      </c>
      <c r="B82">
        <f>AVERAGEIFS(Usage_Data!$D$2:$D$5001,Usage_Data!$C$2:$C$5001,$A82)</f>
        <v/>
      </c>
      <c r="C82">
        <f>SQRT(SUMPRODUCT((Usage_Data!$C$2:$C$5001=$A82)*(Usage_Data!$D$2:$D$5001-$B82)^2)/MAX(1,COUNTIF(Usage_Data!$C$2:$C$5001,$A82))))</f>
        <v/>
      </c>
      <c r="D82">
        <f>IF($B82=0,0,$C82/$B82)</f>
        <v/>
      </c>
      <c r="E82">
        <f>INDEX(Lots_Data!$N$2:$N$234,MATCH($A82,Lots_Data!$A$2:$A$234,0))</f>
        <v/>
      </c>
      <c r="F82">
        <f>1.65*($C82/30)*SQRT($E82)</f>
        <v/>
      </c>
      <c r="G82">
        <f>($B82/30)*$E82+$F82</f>
        <v/>
      </c>
      <c r="H82">
        <f>INDEX(Lots_Data!$S$2:$S$234,MATCH($A82,Lots_Data!$A$2:$A$234,0))</f>
        <v/>
      </c>
    </row>
    <row r="83">
      <c r="A83" t="inlineStr">
        <is>
          <t>SS-01079</t>
        </is>
      </c>
      <c r="B83">
        <f>AVERAGEIFS(Usage_Data!$D$2:$D$5001,Usage_Data!$C$2:$C$5001,$A83)</f>
        <v/>
      </c>
      <c r="C83">
        <f>SQRT(SUMPRODUCT((Usage_Data!$C$2:$C$5001=$A83)*(Usage_Data!$D$2:$D$5001-$B83)^2)/MAX(1,COUNTIF(Usage_Data!$C$2:$C$5001,$A83))))</f>
        <v/>
      </c>
      <c r="D83">
        <f>IF($B83=0,0,$C83/$B83)</f>
        <v/>
      </c>
      <c r="E83">
        <f>INDEX(Lots_Data!$N$2:$N$234,MATCH($A83,Lots_Data!$A$2:$A$234,0))</f>
        <v/>
      </c>
      <c r="F83">
        <f>1.65*($C83/30)*SQRT($E83)</f>
        <v/>
      </c>
      <c r="G83">
        <f>($B83/30)*$E83+$F83</f>
        <v/>
      </c>
      <c r="H83">
        <f>INDEX(Lots_Data!$S$2:$S$234,MATCH($A83,Lots_Data!$A$2:$A$234,0))</f>
        <v/>
      </c>
    </row>
    <row r="84">
      <c r="A84" t="inlineStr">
        <is>
          <t>SS-01080</t>
        </is>
      </c>
      <c r="B84">
        <f>AVERAGEIFS(Usage_Data!$D$2:$D$5001,Usage_Data!$C$2:$C$5001,$A84)</f>
        <v/>
      </c>
      <c r="C84">
        <f>SQRT(SUMPRODUCT((Usage_Data!$C$2:$C$5001=$A84)*(Usage_Data!$D$2:$D$5001-$B84)^2)/MAX(1,COUNTIF(Usage_Data!$C$2:$C$5001,$A84))))</f>
        <v/>
      </c>
      <c r="D84">
        <f>IF($B84=0,0,$C84/$B84)</f>
        <v/>
      </c>
      <c r="E84">
        <f>INDEX(Lots_Data!$N$2:$N$234,MATCH($A84,Lots_Data!$A$2:$A$234,0))</f>
        <v/>
      </c>
      <c r="F84">
        <f>1.65*($C84/30)*SQRT($E84)</f>
        <v/>
      </c>
      <c r="G84">
        <f>($B84/30)*$E84+$F84</f>
        <v/>
      </c>
      <c r="H84">
        <f>INDEX(Lots_Data!$S$2:$S$234,MATCH($A84,Lots_Data!$A$2:$A$234,0))</f>
        <v/>
      </c>
    </row>
    <row r="85">
      <c r="A85" t="inlineStr">
        <is>
          <t>SS-01081</t>
        </is>
      </c>
      <c r="B85">
        <f>AVERAGEIFS(Usage_Data!$D$2:$D$5001,Usage_Data!$C$2:$C$5001,$A85)</f>
        <v/>
      </c>
      <c r="C85">
        <f>SQRT(SUMPRODUCT((Usage_Data!$C$2:$C$5001=$A85)*(Usage_Data!$D$2:$D$5001-$B85)^2)/MAX(1,COUNTIF(Usage_Data!$C$2:$C$5001,$A85))))</f>
        <v/>
      </c>
      <c r="D85">
        <f>IF($B85=0,0,$C85/$B85)</f>
        <v/>
      </c>
      <c r="E85">
        <f>INDEX(Lots_Data!$N$2:$N$234,MATCH($A85,Lots_Data!$A$2:$A$234,0))</f>
        <v/>
      </c>
      <c r="F85">
        <f>1.65*($C85/30)*SQRT($E85)</f>
        <v/>
      </c>
      <c r="G85">
        <f>($B85/30)*$E85+$F85</f>
        <v/>
      </c>
      <c r="H85">
        <f>INDEX(Lots_Data!$S$2:$S$234,MATCH($A85,Lots_Data!$A$2:$A$234,0))</f>
        <v/>
      </c>
    </row>
    <row r="86">
      <c r="A86" t="inlineStr">
        <is>
          <t>SS-01082</t>
        </is>
      </c>
      <c r="B86">
        <f>AVERAGEIFS(Usage_Data!$D$2:$D$5001,Usage_Data!$C$2:$C$5001,$A86)</f>
        <v/>
      </c>
      <c r="C86">
        <f>SQRT(SUMPRODUCT((Usage_Data!$C$2:$C$5001=$A86)*(Usage_Data!$D$2:$D$5001-$B86)^2)/MAX(1,COUNTIF(Usage_Data!$C$2:$C$5001,$A86))))</f>
        <v/>
      </c>
      <c r="D86">
        <f>IF($B86=0,0,$C86/$B86)</f>
        <v/>
      </c>
      <c r="E86">
        <f>INDEX(Lots_Data!$N$2:$N$234,MATCH($A86,Lots_Data!$A$2:$A$234,0))</f>
        <v/>
      </c>
      <c r="F86">
        <f>1.65*($C86/30)*SQRT($E86)</f>
        <v/>
      </c>
      <c r="G86">
        <f>($B86/30)*$E86+$F86</f>
        <v/>
      </c>
      <c r="H86">
        <f>INDEX(Lots_Data!$S$2:$S$234,MATCH($A86,Lots_Data!$A$2:$A$234,0))</f>
        <v/>
      </c>
    </row>
    <row r="87">
      <c r="A87" t="inlineStr">
        <is>
          <t>SS-01083</t>
        </is>
      </c>
      <c r="B87">
        <f>AVERAGEIFS(Usage_Data!$D$2:$D$5001,Usage_Data!$C$2:$C$5001,$A87)</f>
        <v/>
      </c>
      <c r="C87">
        <f>SQRT(SUMPRODUCT((Usage_Data!$C$2:$C$5001=$A87)*(Usage_Data!$D$2:$D$5001-$B87)^2)/MAX(1,COUNTIF(Usage_Data!$C$2:$C$5001,$A87))))</f>
        <v/>
      </c>
      <c r="D87">
        <f>IF($B87=0,0,$C87/$B87)</f>
        <v/>
      </c>
      <c r="E87">
        <f>INDEX(Lots_Data!$N$2:$N$234,MATCH($A87,Lots_Data!$A$2:$A$234,0))</f>
        <v/>
      </c>
      <c r="F87">
        <f>1.65*($C87/30)*SQRT($E87)</f>
        <v/>
      </c>
      <c r="G87">
        <f>($B87/30)*$E87+$F87</f>
        <v/>
      </c>
      <c r="H87">
        <f>INDEX(Lots_Data!$S$2:$S$234,MATCH($A87,Lots_Data!$A$2:$A$234,0))</f>
        <v/>
      </c>
    </row>
    <row r="88">
      <c r="A88" t="inlineStr">
        <is>
          <t>SS-01084</t>
        </is>
      </c>
      <c r="B88">
        <f>AVERAGEIFS(Usage_Data!$D$2:$D$5001,Usage_Data!$C$2:$C$5001,$A88)</f>
        <v/>
      </c>
      <c r="C88">
        <f>SQRT(SUMPRODUCT((Usage_Data!$C$2:$C$5001=$A88)*(Usage_Data!$D$2:$D$5001-$B88)^2)/MAX(1,COUNTIF(Usage_Data!$C$2:$C$5001,$A88))))</f>
        <v/>
      </c>
      <c r="D88">
        <f>IF($B88=0,0,$C88/$B88)</f>
        <v/>
      </c>
      <c r="E88">
        <f>INDEX(Lots_Data!$N$2:$N$234,MATCH($A88,Lots_Data!$A$2:$A$234,0))</f>
        <v/>
      </c>
      <c r="F88">
        <f>1.65*($C88/30)*SQRT($E88)</f>
        <v/>
      </c>
      <c r="G88">
        <f>($B88/30)*$E88+$F88</f>
        <v/>
      </c>
      <c r="H88">
        <f>INDEX(Lots_Data!$S$2:$S$234,MATCH($A88,Lots_Data!$A$2:$A$234,0))</f>
        <v/>
      </c>
    </row>
    <row r="89">
      <c r="A89" t="inlineStr">
        <is>
          <t>SS-01085</t>
        </is>
      </c>
      <c r="B89">
        <f>AVERAGEIFS(Usage_Data!$D$2:$D$5001,Usage_Data!$C$2:$C$5001,$A89)</f>
        <v/>
      </c>
      <c r="C89">
        <f>SQRT(SUMPRODUCT((Usage_Data!$C$2:$C$5001=$A89)*(Usage_Data!$D$2:$D$5001-$B89)^2)/MAX(1,COUNTIF(Usage_Data!$C$2:$C$5001,$A89))))</f>
        <v/>
      </c>
      <c r="D89">
        <f>IF($B89=0,0,$C89/$B89)</f>
        <v/>
      </c>
      <c r="E89">
        <f>INDEX(Lots_Data!$N$2:$N$234,MATCH($A89,Lots_Data!$A$2:$A$234,0))</f>
        <v/>
      </c>
      <c r="F89">
        <f>1.65*($C89/30)*SQRT($E89)</f>
        <v/>
      </c>
      <c r="G89">
        <f>($B89/30)*$E89+$F89</f>
        <v/>
      </c>
      <c r="H89">
        <f>INDEX(Lots_Data!$S$2:$S$234,MATCH($A89,Lots_Data!$A$2:$A$234,0))</f>
        <v/>
      </c>
    </row>
    <row r="90">
      <c r="A90" t="inlineStr">
        <is>
          <t>SS-01086</t>
        </is>
      </c>
      <c r="B90">
        <f>AVERAGEIFS(Usage_Data!$D$2:$D$5001,Usage_Data!$C$2:$C$5001,$A90)</f>
        <v/>
      </c>
      <c r="C90">
        <f>SQRT(SUMPRODUCT((Usage_Data!$C$2:$C$5001=$A90)*(Usage_Data!$D$2:$D$5001-$B90)^2)/MAX(1,COUNTIF(Usage_Data!$C$2:$C$5001,$A90))))</f>
        <v/>
      </c>
      <c r="D90">
        <f>IF($B90=0,0,$C90/$B90)</f>
        <v/>
      </c>
      <c r="E90">
        <f>INDEX(Lots_Data!$N$2:$N$234,MATCH($A90,Lots_Data!$A$2:$A$234,0))</f>
        <v/>
      </c>
      <c r="F90">
        <f>1.65*($C90/30)*SQRT($E90)</f>
        <v/>
      </c>
      <c r="G90">
        <f>($B90/30)*$E90+$F90</f>
        <v/>
      </c>
      <c r="H90">
        <f>INDEX(Lots_Data!$S$2:$S$234,MATCH($A90,Lots_Data!$A$2:$A$234,0))</f>
        <v/>
      </c>
    </row>
    <row r="91">
      <c r="A91" t="inlineStr">
        <is>
          <t>SS-01087</t>
        </is>
      </c>
      <c r="B91">
        <f>AVERAGEIFS(Usage_Data!$D$2:$D$5001,Usage_Data!$C$2:$C$5001,$A91)</f>
        <v/>
      </c>
      <c r="C91">
        <f>SQRT(SUMPRODUCT((Usage_Data!$C$2:$C$5001=$A91)*(Usage_Data!$D$2:$D$5001-$B91)^2)/MAX(1,COUNTIF(Usage_Data!$C$2:$C$5001,$A91))))</f>
        <v/>
      </c>
      <c r="D91">
        <f>IF($B91=0,0,$C91/$B91)</f>
        <v/>
      </c>
      <c r="E91">
        <f>INDEX(Lots_Data!$N$2:$N$234,MATCH($A91,Lots_Data!$A$2:$A$234,0))</f>
        <v/>
      </c>
      <c r="F91">
        <f>1.65*($C91/30)*SQRT($E91)</f>
        <v/>
      </c>
      <c r="G91">
        <f>($B91/30)*$E91+$F91</f>
        <v/>
      </c>
      <c r="H91">
        <f>INDEX(Lots_Data!$S$2:$S$234,MATCH($A91,Lots_Data!$A$2:$A$234,0))</f>
        <v/>
      </c>
    </row>
    <row r="92">
      <c r="A92" t="inlineStr">
        <is>
          <t>SS-01088</t>
        </is>
      </c>
      <c r="B92">
        <f>AVERAGEIFS(Usage_Data!$D$2:$D$5001,Usage_Data!$C$2:$C$5001,$A92)</f>
        <v/>
      </c>
      <c r="C92">
        <f>SQRT(SUMPRODUCT((Usage_Data!$C$2:$C$5001=$A92)*(Usage_Data!$D$2:$D$5001-$B92)^2)/MAX(1,COUNTIF(Usage_Data!$C$2:$C$5001,$A92))))</f>
        <v/>
      </c>
      <c r="D92">
        <f>IF($B92=0,0,$C92/$B92)</f>
        <v/>
      </c>
      <c r="E92">
        <f>INDEX(Lots_Data!$N$2:$N$234,MATCH($A92,Lots_Data!$A$2:$A$234,0))</f>
        <v/>
      </c>
      <c r="F92">
        <f>1.65*($C92/30)*SQRT($E92)</f>
        <v/>
      </c>
      <c r="G92">
        <f>($B92/30)*$E92+$F92</f>
        <v/>
      </c>
      <c r="H92">
        <f>INDEX(Lots_Data!$S$2:$S$234,MATCH($A92,Lots_Data!$A$2:$A$234,0))</f>
        <v/>
      </c>
    </row>
    <row r="93">
      <c r="A93" t="inlineStr">
        <is>
          <t>SS-01089</t>
        </is>
      </c>
      <c r="B93">
        <f>AVERAGEIFS(Usage_Data!$D$2:$D$5001,Usage_Data!$C$2:$C$5001,$A93)</f>
        <v/>
      </c>
      <c r="C93">
        <f>SQRT(SUMPRODUCT((Usage_Data!$C$2:$C$5001=$A93)*(Usage_Data!$D$2:$D$5001-$B93)^2)/MAX(1,COUNTIF(Usage_Data!$C$2:$C$5001,$A93))))</f>
        <v/>
      </c>
      <c r="D93">
        <f>IF($B93=0,0,$C93/$B93)</f>
        <v/>
      </c>
      <c r="E93">
        <f>INDEX(Lots_Data!$N$2:$N$234,MATCH($A93,Lots_Data!$A$2:$A$234,0))</f>
        <v/>
      </c>
      <c r="F93">
        <f>1.65*($C93/30)*SQRT($E93)</f>
        <v/>
      </c>
      <c r="G93">
        <f>($B93/30)*$E93+$F93</f>
        <v/>
      </c>
      <c r="H93">
        <f>INDEX(Lots_Data!$S$2:$S$234,MATCH($A93,Lots_Data!$A$2:$A$234,0))</f>
        <v/>
      </c>
    </row>
    <row r="94">
      <c r="A94" t="inlineStr">
        <is>
          <t>SS-01090</t>
        </is>
      </c>
      <c r="B94">
        <f>AVERAGEIFS(Usage_Data!$D$2:$D$5001,Usage_Data!$C$2:$C$5001,$A94)</f>
        <v/>
      </c>
      <c r="C94">
        <f>SQRT(SUMPRODUCT((Usage_Data!$C$2:$C$5001=$A94)*(Usage_Data!$D$2:$D$5001-$B94)^2)/MAX(1,COUNTIF(Usage_Data!$C$2:$C$5001,$A94))))</f>
        <v/>
      </c>
      <c r="D94">
        <f>IF($B94=0,0,$C94/$B94)</f>
        <v/>
      </c>
      <c r="E94">
        <f>INDEX(Lots_Data!$N$2:$N$234,MATCH($A94,Lots_Data!$A$2:$A$234,0))</f>
        <v/>
      </c>
      <c r="F94">
        <f>1.65*($C94/30)*SQRT($E94)</f>
        <v/>
      </c>
      <c r="G94">
        <f>($B94/30)*$E94+$F94</f>
        <v/>
      </c>
      <c r="H94">
        <f>INDEX(Lots_Data!$S$2:$S$234,MATCH($A94,Lots_Data!$A$2:$A$234,0))</f>
        <v/>
      </c>
    </row>
    <row r="95">
      <c r="A95" t="inlineStr">
        <is>
          <t>SS-01091</t>
        </is>
      </c>
      <c r="B95">
        <f>AVERAGEIFS(Usage_Data!$D$2:$D$5001,Usage_Data!$C$2:$C$5001,$A95)</f>
        <v/>
      </c>
      <c r="C95">
        <f>SQRT(SUMPRODUCT((Usage_Data!$C$2:$C$5001=$A95)*(Usage_Data!$D$2:$D$5001-$B95)^2)/MAX(1,COUNTIF(Usage_Data!$C$2:$C$5001,$A95))))</f>
        <v/>
      </c>
      <c r="D95">
        <f>IF($B95=0,0,$C95/$B95)</f>
        <v/>
      </c>
      <c r="E95">
        <f>INDEX(Lots_Data!$N$2:$N$234,MATCH($A95,Lots_Data!$A$2:$A$234,0))</f>
        <v/>
      </c>
      <c r="F95">
        <f>1.65*($C95/30)*SQRT($E95)</f>
        <v/>
      </c>
      <c r="G95">
        <f>($B95/30)*$E95+$F95</f>
        <v/>
      </c>
      <c r="H95">
        <f>INDEX(Lots_Data!$S$2:$S$234,MATCH($A95,Lots_Data!$A$2:$A$234,0))</f>
        <v/>
      </c>
    </row>
    <row r="96">
      <c r="A96" t="inlineStr">
        <is>
          <t>SS-01092</t>
        </is>
      </c>
      <c r="B96">
        <f>AVERAGEIFS(Usage_Data!$D$2:$D$5001,Usage_Data!$C$2:$C$5001,$A96)</f>
        <v/>
      </c>
      <c r="C96">
        <f>SQRT(SUMPRODUCT((Usage_Data!$C$2:$C$5001=$A96)*(Usage_Data!$D$2:$D$5001-$B96)^2)/MAX(1,COUNTIF(Usage_Data!$C$2:$C$5001,$A96))))</f>
        <v/>
      </c>
      <c r="D96">
        <f>IF($B96=0,0,$C96/$B96)</f>
        <v/>
      </c>
      <c r="E96">
        <f>INDEX(Lots_Data!$N$2:$N$234,MATCH($A96,Lots_Data!$A$2:$A$234,0))</f>
        <v/>
      </c>
      <c r="F96">
        <f>1.65*($C96/30)*SQRT($E96)</f>
        <v/>
      </c>
      <c r="G96">
        <f>($B96/30)*$E96+$F96</f>
        <v/>
      </c>
      <c r="H96">
        <f>INDEX(Lots_Data!$S$2:$S$234,MATCH($A96,Lots_Data!$A$2:$A$234,0))</f>
        <v/>
      </c>
    </row>
    <row r="97">
      <c r="A97" t="inlineStr">
        <is>
          <t>SS-01093</t>
        </is>
      </c>
      <c r="B97">
        <f>AVERAGEIFS(Usage_Data!$D$2:$D$5001,Usage_Data!$C$2:$C$5001,$A97)</f>
        <v/>
      </c>
      <c r="C97">
        <f>SQRT(SUMPRODUCT((Usage_Data!$C$2:$C$5001=$A97)*(Usage_Data!$D$2:$D$5001-$B97)^2)/MAX(1,COUNTIF(Usage_Data!$C$2:$C$5001,$A97))))</f>
        <v/>
      </c>
      <c r="D97">
        <f>IF($B97=0,0,$C97/$B97)</f>
        <v/>
      </c>
      <c r="E97">
        <f>INDEX(Lots_Data!$N$2:$N$234,MATCH($A97,Lots_Data!$A$2:$A$234,0))</f>
        <v/>
      </c>
      <c r="F97">
        <f>1.65*($C97/30)*SQRT($E97)</f>
        <v/>
      </c>
      <c r="G97">
        <f>($B97/30)*$E97+$F97</f>
        <v/>
      </c>
      <c r="H97">
        <f>INDEX(Lots_Data!$S$2:$S$234,MATCH($A97,Lots_Data!$A$2:$A$234,0))</f>
        <v/>
      </c>
    </row>
    <row r="98">
      <c r="A98" t="inlineStr">
        <is>
          <t>SS-01094</t>
        </is>
      </c>
      <c r="B98">
        <f>AVERAGEIFS(Usage_Data!$D$2:$D$5001,Usage_Data!$C$2:$C$5001,$A98)</f>
        <v/>
      </c>
      <c r="C98">
        <f>SQRT(SUMPRODUCT((Usage_Data!$C$2:$C$5001=$A98)*(Usage_Data!$D$2:$D$5001-$B98)^2)/MAX(1,COUNTIF(Usage_Data!$C$2:$C$5001,$A98))))</f>
        <v/>
      </c>
      <c r="D98">
        <f>IF($B98=0,0,$C98/$B98)</f>
        <v/>
      </c>
      <c r="E98">
        <f>INDEX(Lots_Data!$N$2:$N$234,MATCH($A98,Lots_Data!$A$2:$A$234,0))</f>
        <v/>
      </c>
      <c r="F98">
        <f>1.65*($C98/30)*SQRT($E98)</f>
        <v/>
      </c>
      <c r="G98">
        <f>($B98/30)*$E98+$F98</f>
        <v/>
      </c>
      <c r="H98">
        <f>INDEX(Lots_Data!$S$2:$S$234,MATCH($A98,Lots_Data!$A$2:$A$234,0))</f>
        <v/>
      </c>
    </row>
    <row r="99">
      <c r="A99" t="inlineStr">
        <is>
          <t>SS-01095</t>
        </is>
      </c>
      <c r="B99">
        <f>AVERAGEIFS(Usage_Data!$D$2:$D$5001,Usage_Data!$C$2:$C$5001,$A99)</f>
        <v/>
      </c>
      <c r="C99">
        <f>SQRT(SUMPRODUCT((Usage_Data!$C$2:$C$5001=$A99)*(Usage_Data!$D$2:$D$5001-$B99)^2)/MAX(1,COUNTIF(Usage_Data!$C$2:$C$5001,$A99))))</f>
        <v/>
      </c>
      <c r="D99">
        <f>IF($B99=0,0,$C99/$B99)</f>
        <v/>
      </c>
      <c r="E99">
        <f>INDEX(Lots_Data!$N$2:$N$234,MATCH($A99,Lots_Data!$A$2:$A$234,0))</f>
        <v/>
      </c>
      <c r="F99">
        <f>1.65*($C99/30)*SQRT($E99)</f>
        <v/>
      </c>
      <c r="G99">
        <f>($B99/30)*$E99+$F99</f>
        <v/>
      </c>
      <c r="H99">
        <f>INDEX(Lots_Data!$S$2:$S$234,MATCH($A99,Lots_Data!$A$2:$A$234,0))</f>
        <v/>
      </c>
    </row>
    <row r="100">
      <c r="A100" t="inlineStr">
        <is>
          <t>SS-01096</t>
        </is>
      </c>
      <c r="B100">
        <f>AVERAGEIFS(Usage_Data!$D$2:$D$5001,Usage_Data!$C$2:$C$5001,$A100)</f>
        <v/>
      </c>
      <c r="C100">
        <f>SQRT(SUMPRODUCT((Usage_Data!$C$2:$C$5001=$A100)*(Usage_Data!$D$2:$D$5001-$B100)^2)/MAX(1,COUNTIF(Usage_Data!$C$2:$C$5001,$A100))))</f>
        <v/>
      </c>
      <c r="D100">
        <f>IF($B100=0,0,$C100/$B100)</f>
        <v/>
      </c>
      <c r="E100">
        <f>INDEX(Lots_Data!$N$2:$N$234,MATCH($A100,Lots_Data!$A$2:$A$234,0))</f>
        <v/>
      </c>
      <c r="F100">
        <f>1.65*($C100/30)*SQRT($E100)</f>
        <v/>
      </c>
      <c r="G100">
        <f>($B100/30)*$E100+$F100</f>
        <v/>
      </c>
      <c r="H100">
        <f>INDEX(Lots_Data!$S$2:$S$234,MATCH($A100,Lots_Data!$A$2:$A$234,0))</f>
        <v/>
      </c>
    </row>
    <row r="101">
      <c r="A101" t="inlineStr">
        <is>
          <t>SS-01097</t>
        </is>
      </c>
      <c r="B101">
        <f>AVERAGEIFS(Usage_Data!$D$2:$D$5001,Usage_Data!$C$2:$C$5001,$A101)</f>
        <v/>
      </c>
      <c r="C101">
        <f>SQRT(SUMPRODUCT((Usage_Data!$C$2:$C$5001=$A101)*(Usage_Data!$D$2:$D$5001-$B101)^2)/MAX(1,COUNTIF(Usage_Data!$C$2:$C$5001,$A101))))</f>
        <v/>
      </c>
      <c r="D101">
        <f>IF($B101=0,0,$C101/$B101)</f>
        <v/>
      </c>
      <c r="E101">
        <f>INDEX(Lots_Data!$N$2:$N$234,MATCH($A101,Lots_Data!$A$2:$A$234,0))</f>
        <v/>
      </c>
      <c r="F101">
        <f>1.65*($C101/30)*SQRT($E101)</f>
        <v/>
      </c>
      <c r="G101">
        <f>($B101/30)*$E101+$F101</f>
        <v/>
      </c>
      <c r="H101">
        <f>INDEX(Lots_Data!$S$2:$S$234,MATCH($A101,Lots_Data!$A$2:$A$234,0))</f>
        <v/>
      </c>
    </row>
    <row r="102">
      <c r="A102" t="inlineStr">
        <is>
          <t>SS-01098</t>
        </is>
      </c>
      <c r="B102">
        <f>AVERAGEIFS(Usage_Data!$D$2:$D$5001,Usage_Data!$C$2:$C$5001,$A102)</f>
        <v/>
      </c>
      <c r="C102">
        <f>SQRT(SUMPRODUCT((Usage_Data!$C$2:$C$5001=$A102)*(Usage_Data!$D$2:$D$5001-$B102)^2)/MAX(1,COUNTIF(Usage_Data!$C$2:$C$5001,$A102))))</f>
        <v/>
      </c>
      <c r="D102">
        <f>IF($B102=0,0,$C102/$B102)</f>
        <v/>
      </c>
      <c r="E102">
        <f>INDEX(Lots_Data!$N$2:$N$234,MATCH($A102,Lots_Data!$A$2:$A$234,0))</f>
        <v/>
      </c>
      <c r="F102">
        <f>1.65*($C102/30)*SQRT($E102)</f>
        <v/>
      </c>
      <c r="G102">
        <f>($B102/30)*$E102+$F102</f>
        <v/>
      </c>
      <c r="H102">
        <f>INDEX(Lots_Data!$S$2:$S$234,MATCH($A102,Lots_Data!$A$2:$A$234,0))</f>
        <v/>
      </c>
    </row>
    <row r="103">
      <c r="A103" t="inlineStr">
        <is>
          <t>SS-01099</t>
        </is>
      </c>
      <c r="B103">
        <f>AVERAGEIFS(Usage_Data!$D$2:$D$5001,Usage_Data!$C$2:$C$5001,$A103)</f>
        <v/>
      </c>
      <c r="C103">
        <f>SQRT(SUMPRODUCT((Usage_Data!$C$2:$C$5001=$A103)*(Usage_Data!$D$2:$D$5001-$B103)^2)/MAX(1,COUNTIF(Usage_Data!$C$2:$C$5001,$A103))))</f>
        <v/>
      </c>
      <c r="D103">
        <f>IF($B103=0,0,$C103/$B103)</f>
        <v/>
      </c>
      <c r="E103">
        <f>INDEX(Lots_Data!$N$2:$N$234,MATCH($A103,Lots_Data!$A$2:$A$234,0))</f>
        <v/>
      </c>
      <c r="F103">
        <f>1.65*($C103/30)*SQRT($E103)</f>
        <v/>
      </c>
      <c r="G103">
        <f>($B103/30)*$E103+$F103</f>
        <v/>
      </c>
      <c r="H103">
        <f>INDEX(Lots_Data!$S$2:$S$234,MATCH($A103,Lots_Data!$A$2:$A$234,0))</f>
        <v/>
      </c>
    </row>
    <row r="104">
      <c r="A104" t="inlineStr">
        <is>
          <t>SS-01100</t>
        </is>
      </c>
      <c r="B104">
        <f>AVERAGEIFS(Usage_Data!$D$2:$D$5001,Usage_Data!$C$2:$C$5001,$A104)</f>
        <v/>
      </c>
      <c r="C104">
        <f>SQRT(SUMPRODUCT((Usage_Data!$C$2:$C$5001=$A104)*(Usage_Data!$D$2:$D$5001-$B104)^2)/MAX(1,COUNTIF(Usage_Data!$C$2:$C$5001,$A104))))</f>
        <v/>
      </c>
      <c r="D104">
        <f>IF($B104=0,0,$C104/$B104)</f>
        <v/>
      </c>
      <c r="E104">
        <f>INDEX(Lots_Data!$N$2:$N$234,MATCH($A104,Lots_Data!$A$2:$A$234,0))</f>
        <v/>
      </c>
      <c r="F104">
        <f>1.65*($C104/30)*SQRT($E104)</f>
        <v/>
      </c>
      <c r="G104">
        <f>($B104/30)*$E104+$F104</f>
        <v/>
      </c>
      <c r="H104">
        <f>INDEX(Lots_Data!$S$2:$S$234,MATCH($A104,Lots_Data!$A$2:$A$234,0))</f>
        <v/>
      </c>
    </row>
    <row r="105">
      <c r="A105" t="inlineStr">
        <is>
          <t>SS-01101</t>
        </is>
      </c>
      <c r="B105">
        <f>AVERAGEIFS(Usage_Data!$D$2:$D$5001,Usage_Data!$C$2:$C$5001,$A105)</f>
        <v/>
      </c>
      <c r="C105">
        <f>SQRT(SUMPRODUCT((Usage_Data!$C$2:$C$5001=$A105)*(Usage_Data!$D$2:$D$5001-$B105)^2)/MAX(1,COUNTIF(Usage_Data!$C$2:$C$5001,$A105))))</f>
        <v/>
      </c>
      <c r="D105">
        <f>IF($B105=0,0,$C105/$B105)</f>
        <v/>
      </c>
      <c r="E105">
        <f>INDEX(Lots_Data!$N$2:$N$234,MATCH($A105,Lots_Data!$A$2:$A$234,0))</f>
        <v/>
      </c>
      <c r="F105">
        <f>1.65*($C105/30)*SQRT($E105)</f>
        <v/>
      </c>
      <c r="G105">
        <f>($B105/30)*$E105+$F105</f>
        <v/>
      </c>
      <c r="H105">
        <f>INDEX(Lots_Data!$S$2:$S$234,MATCH($A105,Lots_Data!$A$2:$A$234,0))</f>
        <v/>
      </c>
    </row>
    <row r="106">
      <c r="A106" t="inlineStr">
        <is>
          <t>SS-01102</t>
        </is>
      </c>
      <c r="B106">
        <f>AVERAGEIFS(Usage_Data!$D$2:$D$5001,Usage_Data!$C$2:$C$5001,$A106)</f>
        <v/>
      </c>
      <c r="C106">
        <f>SQRT(SUMPRODUCT((Usage_Data!$C$2:$C$5001=$A106)*(Usage_Data!$D$2:$D$5001-$B106)^2)/MAX(1,COUNTIF(Usage_Data!$C$2:$C$5001,$A106))))</f>
        <v/>
      </c>
      <c r="D106">
        <f>IF($B106=0,0,$C106/$B106)</f>
        <v/>
      </c>
      <c r="E106">
        <f>INDEX(Lots_Data!$N$2:$N$234,MATCH($A106,Lots_Data!$A$2:$A$234,0))</f>
        <v/>
      </c>
      <c r="F106">
        <f>1.65*($C106/30)*SQRT($E106)</f>
        <v/>
      </c>
      <c r="G106">
        <f>($B106/30)*$E106+$F106</f>
        <v/>
      </c>
      <c r="H106">
        <f>INDEX(Lots_Data!$S$2:$S$234,MATCH($A106,Lots_Data!$A$2:$A$234,0))</f>
        <v/>
      </c>
    </row>
    <row r="107">
      <c r="A107" t="inlineStr">
        <is>
          <t>SS-01103</t>
        </is>
      </c>
      <c r="B107">
        <f>AVERAGEIFS(Usage_Data!$D$2:$D$5001,Usage_Data!$C$2:$C$5001,$A107)</f>
        <v/>
      </c>
      <c r="C107">
        <f>SQRT(SUMPRODUCT((Usage_Data!$C$2:$C$5001=$A107)*(Usage_Data!$D$2:$D$5001-$B107)^2)/MAX(1,COUNTIF(Usage_Data!$C$2:$C$5001,$A107))))</f>
        <v/>
      </c>
      <c r="D107">
        <f>IF($B107=0,0,$C107/$B107)</f>
        <v/>
      </c>
      <c r="E107">
        <f>INDEX(Lots_Data!$N$2:$N$234,MATCH($A107,Lots_Data!$A$2:$A$234,0))</f>
        <v/>
      </c>
      <c r="F107">
        <f>1.65*($C107/30)*SQRT($E107)</f>
        <v/>
      </c>
      <c r="G107">
        <f>($B107/30)*$E107+$F107</f>
        <v/>
      </c>
      <c r="H107">
        <f>INDEX(Lots_Data!$S$2:$S$234,MATCH($A107,Lots_Data!$A$2:$A$234,0))</f>
        <v/>
      </c>
    </row>
    <row r="108">
      <c r="A108" t="inlineStr">
        <is>
          <t>SS-01104</t>
        </is>
      </c>
      <c r="B108">
        <f>AVERAGEIFS(Usage_Data!$D$2:$D$5001,Usage_Data!$C$2:$C$5001,$A108)</f>
        <v/>
      </c>
      <c r="C108">
        <f>SQRT(SUMPRODUCT((Usage_Data!$C$2:$C$5001=$A108)*(Usage_Data!$D$2:$D$5001-$B108)^2)/MAX(1,COUNTIF(Usage_Data!$C$2:$C$5001,$A108))))</f>
        <v/>
      </c>
      <c r="D108">
        <f>IF($B108=0,0,$C108/$B108)</f>
        <v/>
      </c>
      <c r="E108">
        <f>INDEX(Lots_Data!$N$2:$N$234,MATCH($A108,Lots_Data!$A$2:$A$234,0))</f>
        <v/>
      </c>
      <c r="F108">
        <f>1.65*($C108/30)*SQRT($E108)</f>
        <v/>
      </c>
      <c r="G108">
        <f>($B108/30)*$E108+$F108</f>
        <v/>
      </c>
      <c r="H108">
        <f>INDEX(Lots_Data!$S$2:$S$234,MATCH($A108,Lots_Data!$A$2:$A$234,0))</f>
        <v/>
      </c>
    </row>
    <row r="109">
      <c r="A109" t="inlineStr">
        <is>
          <t>SS-01105</t>
        </is>
      </c>
      <c r="B109">
        <f>AVERAGEIFS(Usage_Data!$D$2:$D$5001,Usage_Data!$C$2:$C$5001,$A109)</f>
        <v/>
      </c>
      <c r="C109">
        <f>SQRT(SUMPRODUCT((Usage_Data!$C$2:$C$5001=$A109)*(Usage_Data!$D$2:$D$5001-$B109)^2)/MAX(1,COUNTIF(Usage_Data!$C$2:$C$5001,$A109))))</f>
        <v/>
      </c>
      <c r="D109">
        <f>IF($B109=0,0,$C109/$B109)</f>
        <v/>
      </c>
      <c r="E109">
        <f>INDEX(Lots_Data!$N$2:$N$234,MATCH($A109,Lots_Data!$A$2:$A$234,0))</f>
        <v/>
      </c>
      <c r="F109">
        <f>1.65*($C109/30)*SQRT($E109)</f>
        <v/>
      </c>
      <c r="G109">
        <f>($B109/30)*$E109+$F109</f>
        <v/>
      </c>
      <c r="H109">
        <f>INDEX(Lots_Data!$S$2:$S$234,MATCH($A109,Lots_Data!$A$2:$A$234,0))</f>
        <v/>
      </c>
    </row>
    <row r="110">
      <c r="A110" t="inlineStr">
        <is>
          <t>SS-01106</t>
        </is>
      </c>
      <c r="B110">
        <f>AVERAGEIFS(Usage_Data!$D$2:$D$5001,Usage_Data!$C$2:$C$5001,$A110)</f>
        <v/>
      </c>
      <c r="C110">
        <f>SQRT(SUMPRODUCT((Usage_Data!$C$2:$C$5001=$A110)*(Usage_Data!$D$2:$D$5001-$B110)^2)/MAX(1,COUNTIF(Usage_Data!$C$2:$C$5001,$A110))))</f>
        <v/>
      </c>
      <c r="D110">
        <f>IF($B110=0,0,$C110/$B110)</f>
        <v/>
      </c>
      <c r="E110">
        <f>INDEX(Lots_Data!$N$2:$N$234,MATCH($A110,Lots_Data!$A$2:$A$234,0))</f>
        <v/>
      </c>
      <c r="F110">
        <f>1.65*($C110/30)*SQRT($E110)</f>
        <v/>
      </c>
      <c r="G110">
        <f>($B110/30)*$E110+$F110</f>
        <v/>
      </c>
      <c r="H110">
        <f>INDEX(Lots_Data!$S$2:$S$234,MATCH($A110,Lots_Data!$A$2:$A$234,0))</f>
        <v/>
      </c>
    </row>
    <row r="111">
      <c r="A111" t="inlineStr">
        <is>
          <t>SS-01107</t>
        </is>
      </c>
      <c r="B111">
        <f>AVERAGEIFS(Usage_Data!$D$2:$D$5001,Usage_Data!$C$2:$C$5001,$A111)</f>
        <v/>
      </c>
      <c r="C111">
        <f>SQRT(SUMPRODUCT((Usage_Data!$C$2:$C$5001=$A111)*(Usage_Data!$D$2:$D$5001-$B111)^2)/MAX(1,COUNTIF(Usage_Data!$C$2:$C$5001,$A111))))</f>
        <v/>
      </c>
      <c r="D111">
        <f>IF($B111=0,0,$C111/$B111)</f>
        <v/>
      </c>
      <c r="E111">
        <f>INDEX(Lots_Data!$N$2:$N$234,MATCH($A111,Lots_Data!$A$2:$A$234,0))</f>
        <v/>
      </c>
      <c r="F111">
        <f>1.65*($C111/30)*SQRT($E111)</f>
        <v/>
      </c>
      <c r="G111">
        <f>($B111/30)*$E111+$F111</f>
        <v/>
      </c>
      <c r="H111">
        <f>INDEX(Lots_Data!$S$2:$S$234,MATCH($A111,Lots_Data!$A$2:$A$234,0))</f>
        <v/>
      </c>
    </row>
    <row r="112">
      <c r="A112" t="inlineStr">
        <is>
          <t>SS-01108</t>
        </is>
      </c>
      <c r="B112">
        <f>AVERAGEIFS(Usage_Data!$D$2:$D$5001,Usage_Data!$C$2:$C$5001,$A112)</f>
        <v/>
      </c>
      <c r="C112">
        <f>SQRT(SUMPRODUCT((Usage_Data!$C$2:$C$5001=$A112)*(Usage_Data!$D$2:$D$5001-$B112)^2)/MAX(1,COUNTIF(Usage_Data!$C$2:$C$5001,$A112))))</f>
        <v/>
      </c>
      <c r="D112">
        <f>IF($B112=0,0,$C112/$B112)</f>
        <v/>
      </c>
      <c r="E112">
        <f>INDEX(Lots_Data!$N$2:$N$234,MATCH($A112,Lots_Data!$A$2:$A$234,0))</f>
        <v/>
      </c>
      <c r="F112">
        <f>1.65*($C112/30)*SQRT($E112)</f>
        <v/>
      </c>
      <c r="G112">
        <f>($B112/30)*$E112+$F112</f>
        <v/>
      </c>
      <c r="H112">
        <f>INDEX(Lots_Data!$S$2:$S$234,MATCH($A112,Lots_Data!$A$2:$A$234,0))</f>
        <v/>
      </c>
    </row>
    <row r="113">
      <c r="A113" t="inlineStr">
        <is>
          <t>SS-01109</t>
        </is>
      </c>
      <c r="B113">
        <f>AVERAGEIFS(Usage_Data!$D$2:$D$5001,Usage_Data!$C$2:$C$5001,$A113)</f>
        <v/>
      </c>
      <c r="C113">
        <f>SQRT(SUMPRODUCT((Usage_Data!$C$2:$C$5001=$A113)*(Usage_Data!$D$2:$D$5001-$B113)^2)/MAX(1,COUNTIF(Usage_Data!$C$2:$C$5001,$A113))))</f>
        <v/>
      </c>
      <c r="D113">
        <f>IF($B113=0,0,$C113/$B113)</f>
        <v/>
      </c>
      <c r="E113">
        <f>INDEX(Lots_Data!$N$2:$N$234,MATCH($A113,Lots_Data!$A$2:$A$234,0))</f>
        <v/>
      </c>
      <c r="F113">
        <f>1.65*($C113/30)*SQRT($E113)</f>
        <v/>
      </c>
      <c r="G113">
        <f>($B113/30)*$E113+$F113</f>
        <v/>
      </c>
      <c r="H113">
        <f>INDEX(Lots_Data!$S$2:$S$234,MATCH($A113,Lots_Data!$A$2:$A$234,0))</f>
        <v/>
      </c>
    </row>
    <row r="114">
      <c r="A114" t="inlineStr">
        <is>
          <t>SS-01110</t>
        </is>
      </c>
      <c r="B114">
        <f>AVERAGEIFS(Usage_Data!$D$2:$D$5001,Usage_Data!$C$2:$C$5001,$A114)</f>
        <v/>
      </c>
      <c r="C114">
        <f>SQRT(SUMPRODUCT((Usage_Data!$C$2:$C$5001=$A114)*(Usage_Data!$D$2:$D$5001-$B114)^2)/MAX(1,COUNTIF(Usage_Data!$C$2:$C$5001,$A114))))</f>
        <v/>
      </c>
      <c r="D114">
        <f>IF($B114=0,0,$C114/$B114)</f>
        <v/>
      </c>
      <c r="E114">
        <f>INDEX(Lots_Data!$N$2:$N$234,MATCH($A114,Lots_Data!$A$2:$A$234,0))</f>
        <v/>
      </c>
      <c r="F114">
        <f>1.65*($C114/30)*SQRT($E114)</f>
        <v/>
      </c>
      <c r="G114">
        <f>($B114/30)*$E114+$F114</f>
        <v/>
      </c>
      <c r="H114">
        <f>INDEX(Lots_Data!$S$2:$S$234,MATCH($A114,Lots_Data!$A$2:$A$234,0))</f>
        <v/>
      </c>
    </row>
    <row r="115">
      <c r="A115" t="inlineStr">
        <is>
          <t>SS-01111</t>
        </is>
      </c>
      <c r="B115">
        <f>AVERAGEIFS(Usage_Data!$D$2:$D$5001,Usage_Data!$C$2:$C$5001,$A115)</f>
        <v/>
      </c>
      <c r="C115">
        <f>SQRT(SUMPRODUCT((Usage_Data!$C$2:$C$5001=$A115)*(Usage_Data!$D$2:$D$5001-$B115)^2)/MAX(1,COUNTIF(Usage_Data!$C$2:$C$5001,$A115))))</f>
        <v/>
      </c>
      <c r="D115">
        <f>IF($B115=0,0,$C115/$B115)</f>
        <v/>
      </c>
      <c r="E115">
        <f>INDEX(Lots_Data!$N$2:$N$234,MATCH($A115,Lots_Data!$A$2:$A$234,0))</f>
        <v/>
      </c>
      <c r="F115">
        <f>1.65*($C115/30)*SQRT($E115)</f>
        <v/>
      </c>
      <c r="G115">
        <f>($B115/30)*$E115+$F115</f>
        <v/>
      </c>
      <c r="H115">
        <f>INDEX(Lots_Data!$S$2:$S$234,MATCH($A115,Lots_Data!$A$2:$A$234,0))</f>
        <v/>
      </c>
    </row>
    <row r="116">
      <c r="A116" t="inlineStr">
        <is>
          <t>SS-01112</t>
        </is>
      </c>
      <c r="B116">
        <f>AVERAGEIFS(Usage_Data!$D$2:$D$5001,Usage_Data!$C$2:$C$5001,$A116)</f>
        <v/>
      </c>
      <c r="C116">
        <f>SQRT(SUMPRODUCT((Usage_Data!$C$2:$C$5001=$A116)*(Usage_Data!$D$2:$D$5001-$B116)^2)/MAX(1,COUNTIF(Usage_Data!$C$2:$C$5001,$A116))))</f>
        <v/>
      </c>
      <c r="D116">
        <f>IF($B116=0,0,$C116/$B116)</f>
        <v/>
      </c>
      <c r="E116">
        <f>INDEX(Lots_Data!$N$2:$N$234,MATCH($A116,Lots_Data!$A$2:$A$234,0))</f>
        <v/>
      </c>
      <c r="F116">
        <f>1.65*($C116/30)*SQRT($E116)</f>
        <v/>
      </c>
      <c r="G116">
        <f>($B116/30)*$E116+$F116</f>
        <v/>
      </c>
      <c r="H116">
        <f>INDEX(Lots_Data!$S$2:$S$234,MATCH($A116,Lots_Data!$A$2:$A$234,0))</f>
        <v/>
      </c>
    </row>
    <row r="117">
      <c r="A117" t="inlineStr">
        <is>
          <t>SS-01113</t>
        </is>
      </c>
      <c r="B117">
        <f>AVERAGEIFS(Usage_Data!$D$2:$D$5001,Usage_Data!$C$2:$C$5001,$A117)</f>
        <v/>
      </c>
      <c r="C117">
        <f>SQRT(SUMPRODUCT((Usage_Data!$C$2:$C$5001=$A117)*(Usage_Data!$D$2:$D$5001-$B117)^2)/MAX(1,COUNTIF(Usage_Data!$C$2:$C$5001,$A117))))</f>
        <v/>
      </c>
      <c r="D117">
        <f>IF($B117=0,0,$C117/$B117)</f>
        <v/>
      </c>
      <c r="E117">
        <f>INDEX(Lots_Data!$N$2:$N$234,MATCH($A117,Lots_Data!$A$2:$A$234,0))</f>
        <v/>
      </c>
      <c r="F117">
        <f>1.65*($C117/30)*SQRT($E117)</f>
        <v/>
      </c>
      <c r="G117">
        <f>($B117/30)*$E117+$F117</f>
        <v/>
      </c>
      <c r="H117">
        <f>INDEX(Lots_Data!$S$2:$S$234,MATCH($A117,Lots_Data!$A$2:$A$234,0))</f>
        <v/>
      </c>
    </row>
    <row r="118">
      <c r="A118" t="inlineStr">
        <is>
          <t>SS-01114</t>
        </is>
      </c>
      <c r="B118">
        <f>AVERAGEIFS(Usage_Data!$D$2:$D$5001,Usage_Data!$C$2:$C$5001,$A118)</f>
        <v/>
      </c>
      <c r="C118">
        <f>SQRT(SUMPRODUCT((Usage_Data!$C$2:$C$5001=$A118)*(Usage_Data!$D$2:$D$5001-$B118)^2)/MAX(1,COUNTIF(Usage_Data!$C$2:$C$5001,$A118))))</f>
        <v/>
      </c>
      <c r="D118">
        <f>IF($B118=0,0,$C118/$B118)</f>
        <v/>
      </c>
      <c r="E118">
        <f>INDEX(Lots_Data!$N$2:$N$234,MATCH($A118,Lots_Data!$A$2:$A$234,0))</f>
        <v/>
      </c>
      <c r="F118">
        <f>1.65*($C118/30)*SQRT($E118)</f>
        <v/>
      </c>
      <c r="G118">
        <f>($B118/30)*$E118+$F118</f>
        <v/>
      </c>
      <c r="H118">
        <f>INDEX(Lots_Data!$S$2:$S$234,MATCH($A118,Lots_Data!$A$2:$A$234,0))</f>
        <v/>
      </c>
    </row>
    <row r="119">
      <c r="A119" t="inlineStr">
        <is>
          <t>SS-01115</t>
        </is>
      </c>
      <c r="B119">
        <f>AVERAGEIFS(Usage_Data!$D$2:$D$5001,Usage_Data!$C$2:$C$5001,$A119)</f>
        <v/>
      </c>
      <c r="C119">
        <f>SQRT(SUMPRODUCT((Usage_Data!$C$2:$C$5001=$A119)*(Usage_Data!$D$2:$D$5001-$B119)^2)/MAX(1,COUNTIF(Usage_Data!$C$2:$C$5001,$A119))))</f>
        <v/>
      </c>
      <c r="D119">
        <f>IF($B119=0,0,$C119/$B119)</f>
        <v/>
      </c>
      <c r="E119">
        <f>INDEX(Lots_Data!$N$2:$N$234,MATCH($A119,Lots_Data!$A$2:$A$234,0))</f>
        <v/>
      </c>
      <c r="F119">
        <f>1.65*($C119/30)*SQRT($E119)</f>
        <v/>
      </c>
      <c r="G119">
        <f>($B119/30)*$E119+$F119</f>
        <v/>
      </c>
      <c r="H119">
        <f>INDEX(Lots_Data!$S$2:$S$234,MATCH($A119,Lots_Data!$A$2:$A$234,0))</f>
        <v/>
      </c>
    </row>
    <row r="120">
      <c r="A120" t="inlineStr">
        <is>
          <t>SS-01116</t>
        </is>
      </c>
      <c r="B120">
        <f>AVERAGEIFS(Usage_Data!$D$2:$D$5001,Usage_Data!$C$2:$C$5001,$A120)</f>
        <v/>
      </c>
      <c r="C120">
        <f>SQRT(SUMPRODUCT((Usage_Data!$C$2:$C$5001=$A120)*(Usage_Data!$D$2:$D$5001-$B120)^2)/MAX(1,COUNTIF(Usage_Data!$C$2:$C$5001,$A120))))</f>
        <v/>
      </c>
      <c r="D120">
        <f>IF($B120=0,0,$C120/$B120)</f>
        <v/>
      </c>
      <c r="E120">
        <f>INDEX(Lots_Data!$N$2:$N$234,MATCH($A120,Lots_Data!$A$2:$A$234,0))</f>
        <v/>
      </c>
      <c r="F120">
        <f>1.65*($C120/30)*SQRT($E120)</f>
        <v/>
      </c>
      <c r="G120">
        <f>($B120/30)*$E120+$F120</f>
        <v/>
      </c>
      <c r="H120">
        <f>INDEX(Lots_Data!$S$2:$S$234,MATCH($A120,Lots_Data!$A$2:$A$234,0))</f>
        <v/>
      </c>
    </row>
    <row r="121">
      <c r="A121" t="inlineStr">
        <is>
          <t>SS-01117</t>
        </is>
      </c>
      <c r="B121">
        <f>AVERAGEIFS(Usage_Data!$D$2:$D$5001,Usage_Data!$C$2:$C$5001,$A121)</f>
        <v/>
      </c>
      <c r="C121">
        <f>SQRT(SUMPRODUCT((Usage_Data!$C$2:$C$5001=$A121)*(Usage_Data!$D$2:$D$5001-$B121)^2)/MAX(1,COUNTIF(Usage_Data!$C$2:$C$5001,$A121))))</f>
        <v/>
      </c>
      <c r="D121">
        <f>IF($B121=0,0,$C121/$B121)</f>
        <v/>
      </c>
      <c r="E121">
        <f>INDEX(Lots_Data!$N$2:$N$234,MATCH($A121,Lots_Data!$A$2:$A$234,0))</f>
        <v/>
      </c>
      <c r="F121">
        <f>1.65*($C121/30)*SQRT($E121)</f>
        <v/>
      </c>
      <c r="G121">
        <f>($B121/30)*$E121+$F121</f>
        <v/>
      </c>
      <c r="H121">
        <f>INDEX(Lots_Data!$S$2:$S$234,MATCH($A121,Lots_Data!$A$2:$A$234,0))</f>
        <v/>
      </c>
    </row>
    <row r="122">
      <c r="A122" t="inlineStr">
        <is>
          <t>SS-01118</t>
        </is>
      </c>
      <c r="B122">
        <f>AVERAGEIFS(Usage_Data!$D$2:$D$5001,Usage_Data!$C$2:$C$5001,$A122)</f>
        <v/>
      </c>
      <c r="C122">
        <f>SQRT(SUMPRODUCT((Usage_Data!$C$2:$C$5001=$A122)*(Usage_Data!$D$2:$D$5001-$B122)^2)/MAX(1,COUNTIF(Usage_Data!$C$2:$C$5001,$A122))))</f>
        <v/>
      </c>
      <c r="D122">
        <f>IF($B122=0,0,$C122/$B122)</f>
        <v/>
      </c>
      <c r="E122">
        <f>INDEX(Lots_Data!$N$2:$N$234,MATCH($A122,Lots_Data!$A$2:$A$234,0))</f>
        <v/>
      </c>
      <c r="F122">
        <f>1.65*($C122/30)*SQRT($E122)</f>
        <v/>
      </c>
      <c r="G122">
        <f>($B122/30)*$E122+$F122</f>
        <v/>
      </c>
      <c r="H122">
        <f>INDEX(Lots_Data!$S$2:$S$234,MATCH($A122,Lots_Data!$A$2:$A$234,0))</f>
        <v/>
      </c>
    </row>
    <row r="123">
      <c r="A123" t="inlineStr">
        <is>
          <t>SS-01119</t>
        </is>
      </c>
      <c r="B123">
        <f>AVERAGEIFS(Usage_Data!$D$2:$D$5001,Usage_Data!$C$2:$C$5001,$A123)</f>
        <v/>
      </c>
      <c r="C123">
        <f>SQRT(SUMPRODUCT((Usage_Data!$C$2:$C$5001=$A123)*(Usage_Data!$D$2:$D$5001-$B123)^2)/MAX(1,COUNTIF(Usage_Data!$C$2:$C$5001,$A123))))</f>
        <v/>
      </c>
      <c r="D123">
        <f>IF($B123=0,0,$C123/$B123)</f>
        <v/>
      </c>
      <c r="E123">
        <f>INDEX(Lots_Data!$N$2:$N$234,MATCH($A123,Lots_Data!$A$2:$A$234,0))</f>
        <v/>
      </c>
      <c r="F123">
        <f>1.65*($C123/30)*SQRT($E123)</f>
        <v/>
      </c>
      <c r="G123">
        <f>($B123/30)*$E123+$F123</f>
        <v/>
      </c>
      <c r="H123">
        <f>INDEX(Lots_Data!$S$2:$S$234,MATCH($A123,Lots_Data!$A$2:$A$234,0))</f>
        <v/>
      </c>
    </row>
    <row r="124">
      <c r="A124" t="inlineStr">
        <is>
          <t>SS-01120</t>
        </is>
      </c>
      <c r="B124">
        <f>AVERAGEIFS(Usage_Data!$D$2:$D$5001,Usage_Data!$C$2:$C$5001,$A124)</f>
        <v/>
      </c>
      <c r="C124">
        <f>SQRT(SUMPRODUCT((Usage_Data!$C$2:$C$5001=$A124)*(Usage_Data!$D$2:$D$5001-$B124)^2)/MAX(1,COUNTIF(Usage_Data!$C$2:$C$5001,$A124))))</f>
        <v/>
      </c>
      <c r="D124">
        <f>IF($B124=0,0,$C124/$B124)</f>
        <v/>
      </c>
      <c r="E124">
        <f>INDEX(Lots_Data!$N$2:$N$234,MATCH($A124,Lots_Data!$A$2:$A$234,0))</f>
        <v/>
      </c>
      <c r="F124">
        <f>1.65*($C124/30)*SQRT($E124)</f>
        <v/>
      </c>
      <c r="G124">
        <f>($B124/30)*$E124+$F124</f>
        <v/>
      </c>
      <c r="H124">
        <f>INDEX(Lots_Data!$S$2:$S$234,MATCH($A124,Lots_Data!$A$2:$A$234,0))</f>
        <v/>
      </c>
    </row>
    <row r="125">
      <c r="A125" t="inlineStr">
        <is>
          <t>SS-01121</t>
        </is>
      </c>
      <c r="B125">
        <f>AVERAGEIFS(Usage_Data!$D$2:$D$5001,Usage_Data!$C$2:$C$5001,$A125)</f>
        <v/>
      </c>
      <c r="C125">
        <f>SQRT(SUMPRODUCT((Usage_Data!$C$2:$C$5001=$A125)*(Usage_Data!$D$2:$D$5001-$B125)^2)/MAX(1,COUNTIF(Usage_Data!$C$2:$C$5001,$A125))))</f>
        <v/>
      </c>
      <c r="D125">
        <f>IF($B125=0,0,$C125/$B125)</f>
        <v/>
      </c>
      <c r="E125">
        <f>INDEX(Lots_Data!$N$2:$N$234,MATCH($A125,Lots_Data!$A$2:$A$234,0))</f>
        <v/>
      </c>
      <c r="F125">
        <f>1.65*($C125/30)*SQRT($E125)</f>
        <v/>
      </c>
      <c r="G125">
        <f>($B125/30)*$E125+$F125</f>
        <v/>
      </c>
      <c r="H125">
        <f>INDEX(Lots_Data!$S$2:$S$234,MATCH($A125,Lots_Data!$A$2:$A$234,0))</f>
        <v/>
      </c>
    </row>
    <row r="126">
      <c r="A126" t="inlineStr">
        <is>
          <t>SS-01122</t>
        </is>
      </c>
      <c r="B126">
        <f>AVERAGEIFS(Usage_Data!$D$2:$D$5001,Usage_Data!$C$2:$C$5001,$A126)</f>
        <v/>
      </c>
      <c r="C126">
        <f>SQRT(SUMPRODUCT((Usage_Data!$C$2:$C$5001=$A126)*(Usage_Data!$D$2:$D$5001-$B126)^2)/MAX(1,COUNTIF(Usage_Data!$C$2:$C$5001,$A126))))</f>
        <v/>
      </c>
      <c r="D126">
        <f>IF($B126=0,0,$C126/$B126)</f>
        <v/>
      </c>
      <c r="E126">
        <f>INDEX(Lots_Data!$N$2:$N$234,MATCH($A126,Lots_Data!$A$2:$A$234,0))</f>
        <v/>
      </c>
      <c r="F126">
        <f>1.65*($C126/30)*SQRT($E126)</f>
        <v/>
      </c>
      <c r="G126">
        <f>($B126/30)*$E126+$F126</f>
        <v/>
      </c>
      <c r="H126">
        <f>INDEX(Lots_Data!$S$2:$S$234,MATCH($A126,Lots_Data!$A$2:$A$234,0))</f>
        <v/>
      </c>
    </row>
    <row r="127">
      <c r="A127" t="inlineStr">
        <is>
          <t>SS-01123</t>
        </is>
      </c>
      <c r="B127">
        <f>AVERAGEIFS(Usage_Data!$D$2:$D$5001,Usage_Data!$C$2:$C$5001,$A127)</f>
        <v/>
      </c>
      <c r="C127">
        <f>SQRT(SUMPRODUCT((Usage_Data!$C$2:$C$5001=$A127)*(Usage_Data!$D$2:$D$5001-$B127)^2)/MAX(1,COUNTIF(Usage_Data!$C$2:$C$5001,$A127))))</f>
        <v/>
      </c>
      <c r="D127">
        <f>IF($B127=0,0,$C127/$B127)</f>
        <v/>
      </c>
      <c r="E127">
        <f>INDEX(Lots_Data!$N$2:$N$234,MATCH($A127,Lots_Data!$A$2:$A$234,0))</f>
        <v/>
      </c>
      <c r="F127">
        <f>1.65*($C127/30)*SQRT($E127)</f>
        <v/>
      </c>
      <c r="G127">
        <f>($B127/30)*$E127+$F127</f>
        <v/>
      </c>
      <c r="H127">
        <f>INDEX(Lots_Data!$S$2:$S$234,MATCH($A127,Lots_Data!$A$2:$A$234,0))</f>
        <v/>
      </c>
    </row>
    <row r="128">
      <c r="A128" t="inlineStr">
        <is>
          <t>SS-01124</t>
        </is>
      </c>
      <c r="B128">
        <f>AVERAGEIFS(Usage_Data!$D$2:$D$5001,Usage_Data!$C$2:$C$5001,$A128)</f>
        <v/>
      </c>
      <c r="C128">
        <f>SQRT(SUMPRODUCT((Usage_Data!$C$2:$C$5001=$A128)*(Usage_Data!$D$2:$D$5001-$B128)^2)/MAX(1,COUNTIF(Usage_Data!$C$2:$C$5001,$A128))))</f>
        <v/>
      </c>
      <c r="D128">
        <f>IF($B128=0,0,$C128/$B128)</f>
        <v/>
      </c>
      <c r="E128">
        <f>INDEX(Lots_Data!$N$2:$N$234,MATCH($A128,Lots_Data!$A$2:$A$234,0))</f>
        <v/>
      </c>
      <c r="F128">
        <f>1.65*($C128/30)*SQRT($E128)</f>
        <v/>
      </c>
      <c r="G128">
        <f>($B128/30)*$E128+$F128</f>
        <v/>
      </c>
      <c r="H128">
        <f>INDEX(Lots_Data!$S$2:$S$234,MATCH($A128,Lots_Data!$A$2:$A$234,0))</f>
        <v/>
      </c>
    </row>
    <row r="129">
      <c r="A129" t="inlineStr">
        <is>
          <t>SS-01125</t>
        </is>
      </c>
      <c r="B129">
        <f>AVERAGEIFS(Usage_Data!$D$2:$D$5001,Usage_Data!$C$2:$C$5001,$A129)</f>
        <v/>
      </c>
      <c r="C129">
        <f>SQRT(SUMPRODUCT((Usage_Data!$C$2:$C$5001=$A129)*(Usage_Data!$D$2:$D$5001-$B129)^2)/MAX(1,COUNTIF(Usage_Data!$C$2:$C$5001,$A129))))</f>
        <v/>
      </c>
      <c r="D129">
        <f>IF($B129=0,0,$C129/$B129)</f>
        <v/>
      </c>
      <c r="E129">
        <f>INDEX(Lots_Data!$N$2:$N$234,MATCH($A129,Lots_Data!$A$2:$A$234,0))</f>
        <v/>
      </c>
      <c r="F129">
        <f>1.65*($C129/30)*SQRT($E129)</f>
        <v/>
      </c>
      <c r="G129">
        <f>($B129/30)*$E129+$F129</f>
        <v/>
      </c>
      <c r="H129">
        <f>INDEX(Lots_Data!$S$2:$S$234,MATCH($A129,Lots_Data!$A$2:$A$234,0))</f>
        <v/>
      </c>
    </row>
    <row r="130">
      <c r="A130" t="inlineStr">
        <is>
          <t>SS-01126</t>
        </is>
      </c>
      <c r="B130">
        <f>AVERAGEIFS(Usage_Data!$D$2:$D$5001,Usage_Data!$C$2:$C$5001,$A130)</f>
        <v/>
      </c>
      <c r="C130">
        <f>SQRT(SUMPRODUCT((Usage_Data!$C$2:$C$5001=$A130)*(Usage_Data!$D$2:$D$5001-$B130)^2)/MAX(1,COUNTIF(Usage_Data!$C$2:$C$5001,$A130))))</f>
        <v/>
      </c>
      <c r="D130">
        <f>IF($B130=0,0,$C130/$B130)</f>
        <v/>
      </c>
      <c r="E130">
        <f>INDEX(Lots_Data!$N$2:$N$234,MATCH($A130,Lots_Data!$A$2:$A$234,0))</f>
        <v/>
      </c>
      <c r="F130">
        <f>1.65*($C130/30)*SQRT($E130)</f>
        <v/>
      </c>
      <c r="G130">
        <f>($B130/30)*$E130+$F130</f>
        <v/>
      </c>
      <c r="H130">
        <f>INDEX(Lots_Data!$S$2:$S$234,MATCH($A130,Lots_Data!$A$2:$A$234,0))</f>
        <v/>
      </c>
    </row>
    <row r="131">
      <c r="A131" t="inlineStr">
        <is>
          <t>SS-01127</t>
        </is>
      </c>
      <c r="B131">
        <f>AVERAGEIFS(Usage_Data!$D$2:$D$5001,Usage_Data!$C$2:$C$5001,$A131)</f>
        <v/>
      </c>
      <c r="C131">
        <f>SQRT(SUMPRODUCT((Usage_Data!$C$2:$C$5001=$A131)*(Usage_Data!$D$2:$D$5001-$B131)^2)/MAX(1,COUNTIF(Usage_Data!$C$2:$C$5001,$A131))))</f>
        <v/>
      </c>
      <c r="D131">
        <f>IF($B131=0,0,$C131/$B131)</f>
        <v/>
      </c>
      <c r="E131">
        <f>INDEX(Lots_Data!$N$2:$N$234,MATCH($A131,Lots_Data!$A$2:$A$234,0))</f>
        <v/>
      </c>
      <c r="F131">
        <f>1.65*($C131/30)*SQRT($E131)</f>
        <v/>
      </c>
      <c r="G131">
        <f>($B131/30)*$E131+$F131</f>
        <v/>
      </c>
      <c r="H131">
        <f>INDEX(Lots_Data!$S$2:$S$234,MATCH($A131,Lots_Data!$A$2:$A$234,0))</f>
        <v/>
      </c>
    </row>
    <row r="132">
      <c r="A132" t="inlineStr">
        <is>
          <t>SS-01128</t>
        </is>
      </c>
      <c r="B132">
        <f>AVERAGEIFS(Usage_Data!$D$2:$D$5001,Usage_Data!$C$2:$C$5001,$A132)</f>
        <v/>
      </c>
      <c r="C132">
        <f>SQRT(SUMPRODUCT((Usage_Data!$C$2:$C$5001=$A132)*(Usage_Data!$D$2:$D$5001-$B132)^2)/MAX(1,COUNTIF(Usage_Data!$C$2:$C$5001,$A132))))</f>
        <v/>
      </c>
      <c r="D132">
        <f>IF($B132=0,0,$C132/$B132)</f>
        <v/>
      </c>
      <c r="E132">
        <f>INDEX(Lots_Data!$N$2:$N$234,MATCH($A132,Lots_Data!$A$2:$A$234,0))</f>
        <v/>
      </c>
      <c r="F132">
        <f>1.65*($C132/30)*SQRT($E132)</f>
        <v/>
      </c>
      <c r="G132">
        <f>($B132/30)*$E132+$F132</f>
        <v/>
      </c>
      <c r="H132">
        <f>INDEX(Lots_Data!$S$2:$S$234,MATCH($A132,Lots_Data!$A$2:$A$234,0))</f>
        <v/>
      </c>
    </row>
    <row r="133">
      <c r="A133" t="inlineStr">
        <is>
          <t>SS-01129</t>
        </is>
      </c>
      <c r="B133">
        <f>AVERAGEIFS(Usage_Data!$D$2:$D$5001,Usage_Data!$C$2:$C$5001,$A133)</f>
        <v/>
      </c>
      <c r="C133">
        <f>SQRT(SUMPRODUCT((Usage_Data!$C$2:$C$5001=$A133)*(Usage_Data!$D$2:$D$5001-$B133)^2)/MAX(1,COUNTIF(Usage_Data!$C$2:$C$5001,$A133))))</f>
        <v/>
      </c>
      <c r="D133">
        <f>IF($B133=0,0,$C133/$B133)</f>
        <v/>
      </c>
      <c r="E133">
        <f>INDEX(Lots_Data!$N$2:$N$234,MATCH($A133,Lots_Data!$A$2:$A$234,0))</f>
        <v/>
      </c>
      <c r="F133">
        <f>1.65*($C133/30)*SQRT($E133)</f>
        <v/>
      </c>
      <c r="G133">
        <f>($B133/30)*$E133+$F133</f>
        <v/>
      </c>
      <c r="H133">
        <f>INDEX(Lots_Data!$S$2:$S$234,MATCH($A133,Lots_Data!$A$2:$A$234,0))</f>
        <v/>
      </c>
    </row>
    <row r="134">
      <c r="A134" t="inlineStr">
        <is>
          <t>SS-01130</t>
        </is>
      </c>
      <c r="B134">
        <f>AVERAGEIFS(Usage_Data!$D$2:$D$5001,Usage_Data!$C$2:$C$5001,$A134)</f>
        <v/>
      </c>
      <c r="C134">
        <f>SQRT(SUMPRODUCT((Usage_Data!$C$2:$C$5001=$A134)*(Usage_Data!$D$2:$D$5001-$B134)^2)/MAX(1,COUNTIF(Usage_Data!$C$2:$C$5001,$A134))))</f>
        <v/>
      </c>
      <c r="D134">
        <f>IF($B134=0,0,$C134/$B134)</f>
        <v/>
      </c>
      <c r="E134">
        <f>INDEX(Lots_Data!$N$2:$N$234,MATCH($A134,Lots_Data!$A$2:$A$234,0))</f>
        <v/>
      </c>
      <c r="F134">
        <f>1.65*($C134/30)*SQRT($E134)</f>
        <v/>
      </c>
      <c r="G134">
        <f>($B134/30)*$E134+$F134</f>
        <v/>
      </c>
      <c r="H134">
        <f>INDEX(Lots_Data!$S$2:$S$234,MATCH($A134,Lots_Data!$A$2:$A$234,0))</f>
        <v/>
      </c>
    </row>
    <row r="135">
      <c r="A135" t="inlineStr">
        <is>
          <t>SS-01131</t>
        </is>
      </c>
      <c r="B135">
        <f>AVERAGEIFS(Usage_Data!$D$2:$D$5001,Usage_Data!$C$2:$C$5001,$A135)</f>
        <v/>
      </c>
      <c r="C135">
        <f>SQRT(SUMPRODUCT((Usage_Data!$C$2:$C$5001=$A135)*(Usage_Data!$D$2:$D$5001-$B135)^2)/MAX(1,COUNTIF(Usage_Data!$C$2:$C$5001,$A135))))</f>
        <v/>
      </c>
      <c r="D135">
        <f>IF($B135=0,0,$C135/$B135)</f>
        <v/>
      </c>
      <c r="E135">
        <f>INDEX(Lots_Data!$N$2:$N$234,MATCH($A135,Lots_Data!$A$2:$A$234,0))</f>
        <v/>
      </c>
      <c r="F135">
        <f>1.65*($C135/30)*SQRT($E135)</f>
        <v/>
      </c>
      <c r="G135">
        <f>($B135/30)*$E135+$F135</f>
        <v/>
      </c>
      <c r="H135">
        <f>INDEX(Lots_Data!$S$2:$S$234,MATCH($A135,Lots_Data!$A$2:$A$234,0))</f>
        <v/>
      </c>
    </row>
    <row r="136">
      <c r="A136" t="inlineStr">
        <is>
          <t>SS-01132</t>
        </is>
      </c>
      <c r="B136">
        <f>AVERAGEIFS(Usage_Data!$D$2:$D$5001,Usage_Data!$C$2:$C$5001,$A136)</f>
        <v/>
      </c>
      <c r="C136">
        <f>SQRT(SUMPRODUCT((Usage_Data!$C$2:$C$5001=$A136)*(Usage_Data!$D$2:$D$5001-$B136)^2)/MAX(1,COUNTIF(Usage_Data!$C$2:$C$5001,$A136))))</f>
        <v/>
      </c>
      <c r="D136">
        <f>IF($B136=0,0,$C136/$B136)</f>
        <v/>
      </c>
      <c r="E136">
        <f>INDEX(Lots_Data!$N$2:$N$234,MATCH($A136,Lots_Data!$A$2:$A$234,0))</f>
        <v/>
      </c>
      <c r="F136">
        <f>1.65*($C136/30)*SQRT($E136)</f>
        <v/>
      </c>
      <c r="G136">
        <f>($B136/30)*$E136+$F136</f>
        <v/>
      </c>
      <c r="H136">
        <f>INDEX(Lots_Data!$S$2:$S$234,MATCH($A136,Lots_Data!$A$2:$A$234,0))</f>
        <v/>
      </c>
    </row>
    <row r="137">
      <c r="A137" t="inlineStr">
        <is>
          <t>SS-01133</t>
        </is>
      </c>
      <c r="B137">
        <f>AVERAGEIFS(Usage_Data!$D$2:$D$5001,Usage_Data!$C$2:$C$5001,$A137)</f>
        <v/>
      </c>
      <c r="C137">
        <f>SQRT(SUMPRODUCT((Usage_Data!$C$2:$C$5001=$A137)*(Usage_Data!$D$2:$D$5001-$B137)^2)/MAX(1,COUNTIF(Usage_Data!$C$2:$C$5001,$A137))))</f>
        <v/>
      </c>
      <c r="D137">
        <f>IF($B137=0,0,$C137/$B137)</f>
        <v/>
      </c>
      <c r="E137">
        <f>INDEX(Lots_Data!$N$2:$N$234,MATCH($A137,Lots_Data!$A$2:$A$234,0))</f>
        <v/>
      </c>
      <c r="F137">
        <f>1.65*($C137/30)*SQRT($E137)</f>
        <v/>
      </c>
      <c r="G137">
        <f>($B137/30)*$E137+$F137</f>
        <v/>
      </c>
      <c r="H137">
        <f>INDEX(Lots_Data!$S$2:$S$234,MATCH($A137,Lots_Data!$A$2:$A$234,0))</f>
        <v/>
      </c>
    </row>
    <row r="138">
      <c r="A138" t="inlineStr">
        <is>
          <t>SS-01134</t>
        </is>
      </c>
      <c r="B138">
        <f>AVERAGEIFS(Usage_Data!$D$2:$D$5001,Usage_Data!$C$2:$C$5001,$A138)</f>
        <v/>
      </c>
      <c r="C138">
        <f>SQRT(SUMPRODUCT((Usage_Data!$C$2:$C$5001=$A138)*(Usage_Data!$D$2:$D$5001-$B138)^2)/MAX(1,COUNTIF(Usage_Data!$C$2:$C$5001,$A138))))</f>
        <v/>
      </c>
      <c r="D138">
        <f>IF($B138=0,0,$C138/$B138)</f>
        <v/>
      </c>
      <c r="E138">
        <f>INDEX(Lots_Data!$N$2:$N$234,MATCH($A138,Lots_Data!$A$2:$A$234,0))</f>
        <v/>
      </c>
      <c r="F138">
        <f>1.65*($C138/30)*SQRT($E138)</f>
        <v/>
      </c>
      <c r="G138">
        <f>($B138/30)*$E138+$F138</f>
        <v/>
      </c>
      <c r="H138">
        <f>INDEX(Lots_Data!$S$2:$S$234,MATCH($A138,Lots_Data!$A$2:$A$234,0))</f>
        <v/>
      </c>
    </row>
    <row r="139">
      <c r="A139" t="inlineStr">
        <is>
          <t>SS-01135</t>
        </is>
      </c>
      <c r="B139">
        <f>AVERAGEIFS(Usage_Data!$D$2:$D$5001,Usage_Data!$C$2:$C$5001,$A139)</f>
        <v/>
      </c>
      <c r="C139">
        <f>SQRT(SUMPRODUCT((Usage_Data!$C$2:$C$5001=$A139)*(Usage_Data!$D$2:$D$5001-$B139)^2)/MAX(1,COUNTIF(Usage_Data!$C$2:$C$5001,$A139))))</f>
        <v/>
      </c>
      <c r="D139">
        <f>IF($B139=0,0,$C139/$B139)</f>
        <v/>
      </c>
      <c r="E139">
        <f>INDEX(Lots_Data!$N$2:$N$234,MATCH($A139,Lots_Data!$A$2:$A$234,0))</f>
        <v/>
      </c>
      <c r="F139">
        <f>1.65*($C139/30)*SQRT($E139)</f>
        <v/>
      </c>
      <c r="G139">
        <f>($B139/30)*$E139+$F139</f>
        <v/>
      </c>
      <c r="H139">
        <f>INDEX(Lots_Data!$S$2:$S$234,MATCH($A139,Lots_Data!$A$2:$A$234,0))</f>
        <v/>
      </c>
    </row>
    <row r="140">
      <c r="A140" t="inlineStr">
        <is>
          <t>SS-01136</t>
        </is>
      </c>
      <c r="B140">
        <f>AVERAGEIFS(Usage_Data!$D$2:$D$5001,Usage_Data!$C$2:$C$5001,$A140)</f>
        <v/>
      </c>
      <c r="C140">
        <f>SQRT(SUMPRODUCT((Usage_Data!$C$2:$C$5001=$A140)*(Usage_Data!$D$2:$D$5001-$B140)^2)/MAX(1,COUNTIF(Usage_Data!$C$2:$C$5001,$A140))))</f>
        <v/>
      </c>
      <c r="D140">
        <f>IF($B140=0,0,$C140/$B140)</f>
        <v/>
      </c>
      <c r="E140">
        <f>INDEX(Lots_Data!$N$2:$N$234,MATCH($A140,Lots_Data!$A$2:$A$234,0))</f>
        <v/>
      </c>
      <c r="F140">
        <f>1.65*($C140/30)*SQRT($E140)</f>
        <v/>
      </c>
      <c r="G140">
        <f>($B140/30)*$E140+$F140</f>
        <v/>
      </c>
      <c r="H140">
        <f>INDEX(Lots_Data!$S$2:$S$234,MATCH($A140,Lots_Data!$A$2:$A$234,0))</f>
        <v/>
      </c>
    </row>
    <row r="141">
      <c r="A141" t="inlineStr">
        <is>
          <t>SS-01137</t>
        </is>
      </c>
      <c r="B141">
        <f>AVERAGEIFS(Usage_Data!$D$2:$D$5001,Usage_Data!$C$2:$C$5001,$A141)</f>
        <v/>
      </c>
      <c r="C141">
        <f>SQRT(SUMPRODUCT((Usage_Data!$C$2:$C$5001=$A141)*(Usage_Data!$D$2:$D$5001-$B141)^2)/MAX(1,COUNTIF(Usage_Data!$C$2:$C$5001,$A141))))</f>
        <v/>
      </c>
      <c r="D141">
        <f>IF($B141=0,0,$C141/$B141)</f>
        <v/>
      </c>
      <c r="E141">
        <f>INDEX(Lots_Data!$N$2:$N$234,MATCH($A141,Lots_Data!$A$2:$A$234,0))</f>
        <v/>
      </c>
      <c r="F141">
        <f>1.65*($C141/30)*SQRT($E141)</f>
        <v/>
      </c>
      <c r="G141">
        <f>($B141/30)*$E141+$F141</f>
        <v/>
      </c>
      <c r="H141">
        <f>INDEX(Lots_Data!$S$2:$S$234,MATCH($A141,Lots_Data!$A$2:$A$234,0))</f>
        <v/>
      </c>
    </row>
    <row r="142">
      <c r="A142" t="inlineStr">
        <is>
          <t>SS-01138</t>
        </is>
      </c>
      <c r="B142">
        <f>AVERAGEIFS(Usage_Data!$D$2:$D$5001,Usage_Data!$C$2:$C$5001,$A142)</f>
        <v/>
      </c>
      <c r="C142">
        <f>SQRT(SUMPRODUCT((Usage_Data!$C$2:$C$5001=$A142)*(Usage_Data!$D$2:$D$5001-$B142)^2)/MAX(1,COUNTIF(Usage_Data!$C$2:$C$5001,$A142))))</f>
        <v/>
      </c>
      <c r="D142">
        <f>IF($B142=0,0,$C142/$B142)</f>
        <v/>
      </c>
      <c r="E142">
        <f>INDEX(Lots_Data!$N$2:$N$234,MATCH($A142,Lots_Data!$A$2:$A$234,0))</f>
        <v/>
      </c>
      <c r="F142">
        <f>1.65*($C142/30)*SQRT($E142)</f>
        <v/>
      </c>
      <c r="G142">
        <f>($B142/30)*$E142+$F142</f>
        <v/>
      </c>
      <c r="H142">
        <f>INDEX(Lots_Data!$S$2:$S$234,MATCH($A142,Lots_Data!$A$2:$A$234,0))</f>
        <v/>
      </c>
    </row>
    <row r="143">
      <c r="A143" t="inlineStr">
        <is>
          <t>SS-01139</t>
        </is>
      </c>
      <c r="B143">
        <f>AVERAGEIFS(Usage_Data!$D$2:$D$5001,Usage_Data!$C$2:$C$5001,$A143)</f>
        <v/>
      </c>
      <c r="C143">
        <f>SQRT(SUMPRODUCT((Usage_Data!$C$2:$C$5001=$A143)*(Usage_Data!$D$2:$D$5001-$B143)^2)/MAX(1,COUNTIF(Usage_Data!$C$2:$C$5001,$A143))))</f>
        <v/>
      </c>
      <c r="D143">
        <f>IF($B143=0,0,$C143/$B143)</f>
        <v/>
      </c>
      <c r="E143">
        <f>INDEX(Lots_Data!$N$2:$N$234,MATCH($A143,Lots_Data!$A$2:$A$234,0))</f>
        <v/>
      </c>
      <c r="F143">
        <f>1.65*($C143/30)*SQRT($E143)</f>
        <v/>
      </c>
      <c r="G143">
        <f>($B143/30)*$E143+$F143</f>
        <v/>
      </c>
      <c r="H143">
        <f>INDEX(Lots_Data!$S$2:$S$234,MATCH($A143,Lots_Data!$A$2:$A$234,0))</f>
        <v/>
      </c>
    </row>
    <row r="144">
      <c r="A144" t="inlineStr">
        <is>
          <t>SS-01140</t>
        </is>
      </c>
      <c r="B144">
        <f>AVERAGEIFS(Usage_Data!$D$2:$D$5001,Usage_Data!$C$2:$C$5001,$A144)</f>
        <v/>
      </c>
      <c r="C144">
        <f>SQRT(SUMPRODUCT((Usage_Data!$C$2:$C$5001=$A144)*(Usage_Data!$D$2:$D$5001-$B144)^2)/MAX(1,COUNTIF(Usage_Data!$C$2:$C$5001,$A144))))</f>
        <v/>
      </c>
      <c r="D144">
        <f>IF($B144=0,0,$C144/$B144)</f>
        <v/>
      </c>
      <c r="E144">
        <f>INDEX(Lots_Data!$N$2:$N$234,MATCH($A144,Lots_Data!$A$2:$A$234,0))</f>
        <v/>
      </c>
      <c r="F144">
        <f>1.65*($C144/30)*SQRT($E144)</f>
        <v/>
      </c>
      <c r="G144">
        <f>($B144/30)*$E144+$F144</f>
        <v/>
      </c>
      <c r="H144">
        <f>INDEX(Lots_Data!$S$2:$S$234,MATCH($A144,Lots_Data!$A$2:$A$234,0))</f>
        <v/>
      </c>
    </row>
    <row r="145">
      <c r="A145" t="inlineStr">
        <is>
          <t>SS-01141</t>
        </is>
      </c>
      <c r="B145">
        <f>AVERAGEIFS(Usage_Data!$D$2:$D$5001,Usage_Data!$C$2:$C$5001,$A145)</f>
        <v/>
      </c>
      <c r="C145">
        <f>SQRT(SUMPRODUCT((Usage_Data!$C$2:$C$5001=$A145)*(Usage_Data!$D$2:$D$5001-$B145)^2)/MAX(1,COUNTIF(Usage_Data!$C$2:$C$5001,$A145))))</f>
        <v/>
      </c>
      <c r="D145">
        <f>IF($B145=0,0,$C145/$B145)</f>
        <v/>
      </c>
      <c r="E145">
        <f>INDEX(Lots_Data!$N$2:$N$234,MATCH($A145,Lots_Data!$A$2:$A$234,0))</f>
        <v/>
      </c>
      <c r="F145">
        <f>1.65*($C145/30)*SQRT($E145)</f>
        <v/>
      </c>
      <c r="G145">
        <f>($B145/30)*$E145+$F145</f>
        <v/>
      </c>
      <c r="H145">
        <f>INDEX(Lots_Data!$S$2:$S$234,MATCH($A145,Lots_Data!$A$2:$A$234,0))</f>
        <v/>
      </c>
    </row>
    <row r="146">
      <c r="A146" t="inlineStr">
        <is>
          <t>SS-01142</t>
        </is>
      </c>
      <c r="B146">
        <f>AVERAGEIFS(Usage_Data!$D$2:$D$5001,Usage_Data!$C$2:$C$5001,$A146)</f>
        <v/>
      </c>
      <c r="C146">
        <f>SQRT(SUMPRODUCT((Usage_Data!$C$2:$C$5001=$A146)*(Usage_Data!$D$2:$D$5001-$B146)^2)/MAX(1,COUNTIF(Usage_Data!$C$2:$C$5001,$A146))))</f>
        <v/>
      </c>
      <c r="D146">
        <f>IF($B146=0,0,$C146/$B146)</f>
        <v/>
      </c>
      <c r="E146">
        <f>INDEX(Lots_Data!$N$2:$N$234,MATCH($A146,Lots_Data!$A$2:$A$234,0))</f>
        <v/>
      </c>
      <c r="F146">
        <f>1.65*($C146/30)*SQRT($E146)</f>
        <v/>
      </c>
      <c r="G146">
        <f>($B146/30)*$E146+$F146</f>
        <v/>
      </c>
      <c r="H146">
        <f>INDEX(Lots_Data!$S$2:$S$234,MATCH($A146,Lots_Data!$A$2:$A$234,0))</f>
        <v/>
      </c>
    </row>
    <row r="147">
      <c r="A147" t="inlineStr">
        <is>
          <t>SS-01143</t>
        </is>
      </c>
      <c r="B147">
        <f>AVERAGEIFS(Usage_Data!$D$2:$D$5001,Usage_Data!$C$2:$C$5001,$A147)</f>
        <v/>
      </c>
      <c r="C147">
        <f>SQRT(SUMPRODUCT((Usage_Data!$C$2:$C$5001=$A147)*(Usage_Data!$D$2:$D$5001-$B147)^2)/MAX(1,COUNTIF(Usage_Data!$C$2:$C$5001,$A147))))</f>
        <v/>
      </c>
      <c r="D147">
        <f>IF($B147=0,0,$C147/$B147)</f>
        <v/>
      </c>
      <c r="E147">
        <f>INDEX(Lots_Data!$N$2:$N$234,MATCH($A147,Lots_Data!$A$2:$A$234,0))</f>
        <v/>
      </c>
      <c r="F147">
        <f>1.65*($C147/30)*SQRT($E147)</f>
        <v/>
      </c>
      <c r="G147">
        <f>($B147/30)*$E147+$F147</f>
        <v/>
      </c>
      <c r="H147">
        <f>INDEX(Lots_Data!$S$2:$S$234,MATCH($A147,Lots_Data!$A$2:$A$234,0))</f>
        <v/>
      </c>
    </row>
    <row r="148">
      <c r="A148" t="inlineStr">
        <is>
          <t>SS-01144</t>
        </is>
      </c>
      <c r="B148">
        <f>AVERAGEIFS(Usage_Data!$D$2:$D$5001,Usage_Data!$C$2:$C$5001,$A148)</f>
        <v/>
      </c>
      <c r="C148">
        <f>SQRT(SUMPRODUCT((Usage_Data!$C$2:$C$5001=$A148)*(Usage_Data!$D$2:$D$5001-$B148)^2)/MAX(1,COUNTIF(Usage_Data!$C$2:$C$5001,$A148))))</f>
        <v/>
      </c>
      <c r="D148">
        <f>IF($B148=0,0,$C148/$B148)</f>
        <v/>
      </c>
      <c r="E148">
        <f>INDEX(Lots_Data!$N$2:$N$234,MATCH($A148,Lots_Data!$A$2:$A$234,0))</f>
        <v/>
      </c>
      <c r="F148">
        <f>1.65*($C148/30)*SQRT($E148)</f>
        <v/>
      </c>
      <c r="G148">
        <f>($B148/30)*$E148+$F148</f>
        <v/>
      </c>
      <c r="H148">
        <f>INDEX(Lots_Data!$S$2:$S$234,MATCH($A148,Lots_Data!$A$2:$A$234,0))</f>
        <v/>
      </c>
    </row>
    <row r="149">
      <c r="A149" t="inlineStr">
        <is>
          <t>SS-01145</t>
        </is>
      </c>
      <c r="B149">
        <f>AVERAGEIFS(Usage_Data!$D$2:$D$5001,Usage_Data!$C$2:$C$5001,$A149)</f>
        <v/>
      </c>
      <c r="C149">
        <f>SQRT(SUMPRODUCT((Usage_Data!$C$2:$C$5001=$A149)*(Usage_Data!$D$2:$D$5001-$B149)^2)/MAX(1,COUNTIF(Usage_Data!$C$2:$C$5001,$A149))))</f>
        <v/>
      </c>
      <c r="D149">
        <f>IF($B149=0,0,$C149/$B149)</f>
        <v/>
      </c>
      <c r="E149">
        <f>INDEX(Lots_Data!$N$2:$N$234,MATCH($A149,Lots_Data!$A$2:$A$234,0))</f>
        <v/>
      </c>
      <c r="F149">
        <f>1.65*($C149/30)*SQRT($E149)</f>
        <v/>
      </c>
      <c r="G149">
        <f>($B149/30)*$E149+$F149</f>
        <v/>
      </c>
      <c r="H149">
        <f>INDEX(Lots_Data!$S$2:$S$234,MATCH($A149,Lots_Data!$A$2:$A$234,0))</f>
        <v/>
      </c>
    </row>
    <row r="150">
      <c r="A150" t="inlineStr">
        <is>
          <t>SS-01146</t>
        </is>
      </c>
      <c r="B150">
        <f>AVERAGEIFS(Usage_Data!$D$2:$D$5001,Usage_Data!$C$2:$C$5001,$A150)</f>
        <v/>
      </c>
      <c r="C150">
        <f>SQRT(SUMPRODUCT((Usage_Data!$C$2:$C$5001=$A150)*(Usage_Data!$D$2:$D$5001-$B150)^2)/MAX(1,COUNTIF(Usage_Data!$C$2:$C$5001,$A150))))</f>
        <v/>
      </c>
      <c r="D150">
        <f>IF($B150=0,0,$C150/$B150)</f>
        <v/>
      </c>
      <c r="E150">
        <f>INDEX(Lots_Data!$N$2:$N$234,MATCH($A150,Lots_Data!$A$2:$A$234,0))</f>
        <v/>
      </c>
      <c r="F150">
        <f>1.65*($C150/30)*SQRT($E150)</f>
        <v/>
      </c>
      <c r="G150">
        <f>($B150/30)*$E150+$F150</f>
        <v/>
      </c>
      <c r="H150">
        <f>INDEX(Lots_Data!$S$2:$S$234,MATCH($A150,Lots_Data!$A$2:$A$234,0))</f>
        <v/>
      </c>
    </row>
    <row r="151">
      <c r="A151" t="inlineStr">
        <is>
          <t>SS-01147</t>
        </is>
      </c>
      <c r="B151">
        <f>AVERAGEIFS(Usage_Data!$D$2:$D$5001,Usage_Data!$C$2:$C$5001,$A151)</f>
        <v/>
      </c>
      <c r="C151">
        <f>SQRT(SUMPRODUCT((Usage_Data!$C$2:$C$5001=$A151)*(Usage_Data!$D$2:$D$5001-$B151)^2)/MAX(1,COUNTIF(Usage_Data!$C$2:$C$5001,$A151))))</f>
        <v/>
      </c>
      <c r="D151">
        <f>IF($B151=0,0,$C151/$B151)</f>
        <v/>
      </c>
      <c r="E151">
        <f>INDEX(Lots_Data!$N$2:$N$234,MATCH($A151,Lots_Data!$A$2:$A$234,0))</f>
        <v/>
      </c>
      <c r="F151">
        <f>1.65*($C151/30)*SQRT($E151)</f>
        <v/>
      </c>
      <c r="G151">
        <f>($B151/30)*$E151+$F151</f>
        <v/>
      </c>
      <c r="H151">
        <f>INDEX(Lots_Data!$S$2:$S$234,MATCH($A151,Lots_Data!$A$2:$A$234,0))</f>
        <v/>
      </c>
    </row>
    <row r="152">
      <c r="A152" t="inlineStr">
        <is>
          <t>SS-01148</t>
        </is>
      </c>
      <c r="B152">
        <f>AVERAGEIFS(Usage_Data!$D$2:$D$5001,Usage_Data!$C$2:$C$5001,$A152)</f>
        <v/>
      </c>
      <c r="C152">
        <f>SQRT(SUMPRODUCT((Usage_Data!$C$2:$C$5001=$A152)*(Usage_Data!$D$2:$D$5001-$B152)^2)/MAX(1,COUNTIF(Usage_Data!$C$2:$C$5001,$A152))))</f>
        <v/>
      </c>
      <c r="D152">
        <f>IF($B152=0,0,$C152/$B152)</f>
        <v/>
      </c>
      <c r="E152">
        <f>INDEX(Lots_Data!$N$2:$N$234,MATCH($A152,Lots_Data!$A$2:$A$234,0))</f>
        <v/>
      </c>
      <c r="F152">
        <f>1.65*($C152/30)*SQRT($E152)</f>
        <v/>
      </c>
      <c r="G152">
        <f>($B152/30)*$E152+$F152</f>
        <v/>
      </c>
      <c r="H152">
        <f>INDEX(Lots_Data!$S$2:$S$234,MATCH($A152,Lots_Data!$A$2:$A$234,0))</f>
        <v/>
      </c>
    </row>
    <row r="153">
      <c r="A153" t="inlineStr">
        <is>
          <t>SS-01149</t>
        </is>
      </c>
      <c r="B153">
        <f>AVERAGEIFS(Usage_Data!$D$2:$D$5001,Usage_Data!$C$2:$C$5001,$A153)</f>
        <v/>
      </c>
      <c r="C153">
        <f>SQRT(SUMPRODUCT((Usage_Data!$C$2:$C$5001=$A153)*(Usage_Data!$D$2:$D$5001-$B153)^2)/MAX(1,COUNTIF(Usage_Data!$C$2:$C$5001,$A153))))</f>
        <v/>
      </c>
      <c r="D153">
        <f>IF($B153=0,0,$C153/$B153)</f>
        <v/>
      </c>
      <c r="E153">
        <f>INDEX(Lots_Data!$N$2:$N$234,MATCH($A153,Lots_Data!$A$2:$A$234,0))</f>
        <v/>
      </c>
      <c r="F153">
        <f>1.65*($C153/30)*SQRT($E153)</f>
        <v/>
      </c>
      <c r="G153">
        <f>($B153/30)*$E153+$F153</f>
        <v/>
      </c>
      <c r="H153">
        <f>INDEX(Lots_Data!$S$2:$S$234,MATCH($A153,Lots_Data!$A$2:$A$234,0))</f>
        <v/>
      </c>
    </row>
    <row r="154">
      <c r="A154" t="inlineStr">
        <is>
          <t>SS-01150</t>
        </is>
      </c>
      <c r="B154">
        <f>AVERAGEIFS(Usage_Data!$D$2:$D$5001,Usage_Data!$C$2:$C$5001,$A154)</f>
        <v/>
      </c>
      <c r="C154">
        <f>SQRT(SUMPRODUCT((Usage_Data!$C$2:$C$5001=$A154)*(Usage_Data!$D$2:$D$5001-$B154)^2)/MAX(1,COUNTIF(Usage_Data!$C$2:$C$5001,$A154))))</f>
        <v/>
      </c>
      <c r="D154">
        <f>IF($B154=0,0,$C154/$B154)</f>
        <v/>
      </c>
      <c r="E154">
        <f>INDEX(Lots_Data!$N$2:$N$234,MATCH($A154,Lots_Data!$A$2:$A$234,0))</f>
        <v/>
      </c>
      <c r="F154">
        <f>1.65*($C154/30)*SQRT($E154)</f>
        <v/>
      </c>
      <c r="G154">
        <f>($B154/30)*$E154+$F154</f>
        <v/>
      </c>
      <c r="H154">
        <f>INDEX(Lots_Data!$S$2:$S$234,MATCH($A154,Lots_Data!$A$2:$A$234,0))</f>
        <v/>
      </c>
    </row>
    <row r="155">
      <c r="A155" t="inlineStr">
        <is>
          <t>SS-01151</t>
        </is>
      </c>
      <c r="B155">
        <f>AVERAGEIFS(Usage_Data!$D$2:$D$5001,Usage_Data!$C$2:$C$5001,$A155)</f>
        <v/>
      </c>
      <c r="C155">
        <f>SQRT(SUMPRODUCT((Usage_Data!$C$2:$C$5001=$A155)*(Usage_Data!$D$2:$D$5001-$B155)^2)/MAX(1,COUNTIF(Usage_Data!$C$2:$C$5001,$A155))))</f>
        <v/>
      </c>
      <c r="D155">
        <f>IF($B155=0,0,$C155/$B155)</f>
        <v/>
      </c>
      <c r="E155">
        <f>INDEX(Lots_Data!$N$2:$N$234,MATCH($A155,Lots_Data!$A$2:$A$234,0))</f>
        <v/>
      </c>
      <c r="F155">
        <f>1.65*($C155/30)*SQRT($E155)</f>
        <v/>
      </c>
      <c r="G155">
        <f>($B155/30)*$E155+$F155</f>
        <v/>
      </c>
      <c r="H155">
        <f>INDEX(Lots_Data!$S$2:$S$234,MATCH($A155,Lots_Data!$A$2:$A$234,0))</f>
        <v/>
      </c>
    </row>
    <row r="156">
      <c r="A156" t="inlineStr">
        <is>
          <t>SS-01152</t>
        </is>
      </c>
      <c r="B156">
        <f>AVERAGEIFS(Usage_Data!$D$2:$D$5001,Usage_Data!$C$2:$C$5001,$A156)</f>
        <v/>
      </c>
      <c r="C156">
        <f>SQRT(SUMPRODUCT((Usage_Data!$C$2:$C$5001=$A156)*(Usage_Data!$D$2:$D$5001-$B156)^2)/MAX(1,COUNTIF(Usage_Data!$C$2:$C$5001,$A156))))</f>
        <v/>
      </c>
      <c r="D156">
        <f>IF($B156=0,0,$C156/$B156)</f>
        <v/>
      </c>
      <c r="E156">
        <f>INDEX(Lots_Data!$N$2:$N$234,MATCH($A156,Lots_Data!$A$2:$A$234,0))</f>
        <v/>
      </c>
      <c r="F156">
        <f>1.65*($C156/30)*SQRT($E156)</f>
        <v/>
      </c>
      <c r="G156">
        <f>($B156/30)*$E156+$F156</f>
        <v/>
      </c>
      <c r="H156">
        <f>INDEX(Lots_Data!$S$2:$S$234,MATCH($A156,Lots_Data!$A$2:$A$234,0))</f>
        <v/>
      </c>
    </row>
    <row r="157">
      <c r="A157" t="inlineStr">
        <is>
          <t>SS-01153</t>
        </is>
      </c>
      <c r="B157">
        <f>AVERAGEIFS(Usage_Data!$D$2:$D$5001,Usage_Data!$C$2:$C$5001,$A157)</f>
        <v/>
      </c>
      <c r="C157">
        <f>SQRT(SUMPRODUCT((Usage_Data!$C$2:$C$5001=$A157)*(Usage_Data!$D$2:$D$5001-$B157)^2)/MAX(1,COUNTIF(Usage_Data!$C$2:$C$5001,$A157))))</f>
        <v/>
      </c>
      <c r="D157">
        <f>IF($B157=0,0,$C157/$B157)</f>
        <v/>
      </c>
      <c r="E157">
        <f>INDEX(Lots_Data!$N$2:$N$234,MATCH($A157,Lots_Data!$A$2:$A$234,0))</f>
        <v/>
      </c>
      <c r="F157">
        <f>1.65*($C157/30)*SQRT($E157)</f>
        <v/>
      </c>
      <c r="G157">
        <f>($B157/30)*$E157+$F157</f>
        <v/>
      </c>
      <c r="H157">
        <f>INDEX(Lots_Data!$S$2:$S$234,MATCH($A157,Lots_Data!$A$2:$A$234,0))</f>
        <v/>
      </c>
    </row>
    <row r="158">
      <c r="A158" t="inlineStr">
        <is>
          <t>SS-01154</t>
        </is>
      </c>
      <c r="B158">
        <f>AVERAGEIFS(Usage_Data!$D$2:$D$5001,Usage_Data!$C$2:$C$5001,$A158)</f>
        <v/>
      </c>
      <c r="C158">
        <f>SQRT(SUMPRODUCT((Usage_Data!$C$2:$C$5001=$A158)*(Usage_Data!$D$2:$D$5001-$B158)^2)/MAX(1,COUNTIF(Usage_Data!$C$2:$C$5001,$A158))))</f>
        <v/>
      </c>
      <c r="D158">
        <f>IF($B158=0,0,$C158/$B158)</f>
        <v/>
      </c>
      <c r="E158">
        <f>INDEX(Lots_Data!$N$2:$N$234,MATCH($A158,Lots_Data!$A$2:$A$234,0))</f>
        <v/>
      </c>
      <c r="F158">
        <f>1.65*($C158/30)*SQRT($E158)</f>
        <v/>
      </c>
      <c r="G158">
        <f>($B158/30)*$E158+$F158</f>
        <v/>
      </c>
      <c r="H158">
        <f>INDEX(Lots_Data!$S$2:$S$234,MATCH($A158,Lots_Data!$A$2:$A$234,0))</f>
        <v/>
      </c>
    </row>
    <row r="159">
      <c r="A159" t="inlineStr">
        <is>
          <t>SS-01155</t>
        </is>
      </c>
      <c r="B159">
        <f>AVERAGEIFS(Usage_Data!$D$2:$D$5001,Usage_Data!$C$2:$C$5001,$A159)</f>
        <v/>
      </c>
      <c r="C159">
        <f>SQRT(SUMPRODUCT((Usage_Data!$C$2:$C$5001=$A159)*(Usage_Data!$D$2:$D$5001-$B159)^2)/MAX(1,COUNTIF(Usage_Data!$C$2:$C$5001,$A159))))</f>
        <v/>
      </c>
      <c r="D159">
        <f>IF($B159=0,0,$C159/$B159)</f>
        <v/>
      </c>
      <c r="E159">
        <f>INDEX(Lots_Data!$N$2:$N$234,MATCH($A159,Lots_Data!$A$2:$A$234,0))</f>
        <v/>
      </c>
      <c r="F159">
        <f>1.65*($C159/30)*SQRT($E159)</f>
        <v/>
      </c>
      <c r="G159">
        <f>($B159/30)*$E159+$F159</f>
        <v/>
      </c>
      <c r="H159">
        <f>INDEX(Lots_Data!$S$2:$S$234,MATCH($A159,Lots_Data!$A$2:$A$234,0))</f>
        <v/>
      </c>
    </row>
    <row r="160">
      <c r="A160" t="inlineStr">
        <is>
          <t>SS-01156</t>
        </is>
      </c>
      <c r="B160">
        <f>AVERAGEIFS(Usage_Data!$D$2:$D$5001,Usage_Data!$C$2:$C$5001,$A160)</f>
        <v/>
      </c>
      <c r="C160">
        <f>SQRT(SUMPRODUCT((Usage_Data!$C$2:$C$5001=$A160)*(Usage_Data!$D$2:$D$5001-$B160)^2)/MAX(1,COUNTIF(Usage_Data!$C$2:$C$5001,$A160))))</f>
        <v/>
      </c>
      <c r="D160">
        <f>IF($B160=0,0,$C160/$B160)</f>
        <v/>
      </c>
      <c r="E160">
        <f>INDEX(Lots_Data!$N$2:$N$234,MATCH($A160,Lots_Data!$A$2:$A$234,0))</f>
        <v/>
      </c>
      <c r="F160">
        <f>1.65*($C160/30)*SQRT($E160)</f>
        <v/>
      </c>
      <c r="G160">
        <f>($B160/30)*$E160+$F160</f>
        <v/>
      </c>
      <c r="H160">
        <f>INDEX(Lots_Data!$S$2:$S$234,MATCH($A160,Lots_Data!$A$2:$A$234,0))</f>
        <v/>
      </c>
    </row>
    <row r="161">
      <c r="A161" t="inlineStr">
        <is>
          <t>SS-01157</t>
        </is>
      </c>
      <c r="B161">
        <f>AVERAGEIFS(Usage_Data!$D$2:$D$5001,Usage_Data!$C$2:$C$5001,$A161)</f>
        <v/>
      </c>
      <c r="C161">
        <f>SQRT(SUMPRODUCT((Usage_Data!$C$2:$C$5001=$A161)*(Usage_Data!$D$2:$D$5001-$B161)^2)/MAX(1,COUNTIF(Usage_Data!$C$2:$C$5001,$A161))))</f>
        <v/>
      </c>
      <c r="D161">
        <f>IF($B161=0,0,$C161/$B161)</f>
        <v/>
      </c>
      <c r="E161">
        <f>INDEX(Lots_Data!$N$2:$N$234,MATCH($A161,Lots_Data!$A$2:$A$234,0))</f>
        <v/>
      </c>
      <c r="F161">
        <f>1.65*($C161/30)*SQRT($E161)</f>
        <v/>
      </c>
      <c r="G161">
        <f>($B161/30)*$E161+$F161</f>
        <v/>
      </c>
      <c r="H161">
        <f>INDEX(Lots_Data!$S$2:$S$234,MATCH($A161,Lots_Data!$A$2:$A$234,0))</f>
        <v/>
      </c>
    </row>
    <row r="162">
      <c r="A162" t="inlineStr">
        <is>
          <t>SS-01158</t>
        </is>
      </c>
      <c r="B162">
        <f>AVERAGEIFS(Usage_Data!$D$2:$D$5001,Usage_Data!$C$2:$C$5001,$A162)</f>
        <v/>
      </c>
      <c r="C162">
        <f>SQRT(SUMPRODUCT((Usage_Data!$C$2:$C$5001=$A162)*(Usage_Data!$D$2:$D$5001-$B162)^2)/MAX(1,COUNTIF(Usage_Data!$C$2:$C$5001,$A162))))</f>
        <v/>
      </c>
      <c r="D162">
        <f>IF($B162=0,0,$C162/$B162)</f>
        <v/>
      </c>
      <c r="E162">
        <f>INDEX(Lots_Data!$N$2:$N$234,MATCH($A162,Lots_Data!$A$2:$A$234,0))</f>
        <v/>
      </c>
      <c r="F162">
        <f>1.65*($C162/30)*SQRT($E162)</f>
        <v/>
      </c>
      <c r="G162">
        <f>($B162/30)*$E162+$F162</f>
        <v/>
      </c>
      <c r="H162">
        <f>INDEX(Lots_Data!$S$2:$S$234,MATCH($A162,Lots_Data!$A$2:$A$234,0))</f>
        <v/>
      </c>
    </row>
    <row r="163">
      <c r="A163" t="inlineStr">
        <is>
          <t>SS-01159</t>
        </is>
      </c>
      <c r="B163">
        <f>AVERAGEIFS(Usage_Data!$D$2:$D$5001,Usage_Data!$C$2:$C$5001,$A163)</f>
        <v/>
      </c>
      <c r="C163">
        <f>SQRT(SUMPRODUCT((Usage_Data!$C$2:$C$5001=$A163)*(Usage_Data!$D$2:$D$5001-$B163)^2)/MAX(1,COUNTIF(Usage_Data!$C$2:$C$5001,$A163))))</f>
        <v/>
      </c>
      <c r="D163">
        <f>IF($B163=0,0,$C163/$B163)</f>
        <v/>
      </c>
      <c r="E163">
        <f>INDEX(Lots_Data!$N$2:$N$234,MATCH($A163,Lots_Data!$A$2:$A$234,0))</f>
        <v/>
      </c>
      <c r="F163">
        <f>1.65*($C163/30)*SQRT($E163)</f>
        <v/>
      </c>
      <c r="G163">
        <f>($B163/30)*$E163+$F163</f>
        <v/>
      </c>
      <c r="H163">
        <f>INDEX(Lots_Data!$S$2:$S$234,MATCH($A163,Lots_Data!$A$2:$A$234,0))</f>
        <v/>
      </c>
    </row>
    <row r="164">
      <c r="A164" t="inlineStr">
        <is>
          <t>SS-01160</t>
        </is>
      </c>
      <c r="B164">
        <f>AVERAGEIFS(Usage_Data!$D$2:$D$5001,Usage_Data!$C$2:$C$5001,$A164)</f>
        <v/>
      </c>
      <c r="C164">
        <f>SQRT(SUMPRODUCT((Usage_Data!$C$2:$C$5001=$A164)*(Usage_Data!$D$2:$D$5001-$B164)^2)/MAX(1,COUNTIF(Usage_Data!$C$2:$C$5001,$A164))))</f>
        <v/>
      </c>
      <c r="D164">
        <f>IF($B164=0,0,$C164/$B164)</f>
        <v/>
      </c>
      <c r="E164">
        <f>INDEX(Lots_Data!$N$2:$N$234,MATCH($A164,Lots_Data!$A$2:$A$234,0))</f>
        <v/>
      </c>
      <c r="F164">
        <f>1.65*($C164/30)*SQRT($E164)</f>
        <v/>
      </c>
      <c r="G164">
        <f>($B164/30)*$E164+$F164</f>
        <v/>
      </c>
      <c r="H164">
        <f>INDEX(Lots_Data!$S$2:$S$234,MATCH($A164,Lots_Data!$A$2:$A$234,0))</f>
        <v/>
      </c>
    </row>
    <row r="165">
      <c r="A165" t="inlineStr">
        <is>
          <t>SS-01161</t>
        </is>
      </c>
      <c r="B165">
        <f>AVERAGEIFS(Usage_Data!$D$2:$D$5001,Usage_Data!$C$2:$C$5001,$A165)</f>
        <v/>
      </c>
      <c r="C165">
        <f>SQRT(SUMPRODUCT((Usage_Data!$C$2:$C$5001=$A165)*(Usage_Data!$D$2:$D$5001-$B165)^2)/MAX(1,COUNTIF(Usage_Data!$C$2:$C$5001,$A165))))</f>
        <v/>
      </c>
      <c r="D165">
        <f>IF($B165=0,0,$C165/$B165)</f>
        <v/>
      </c>
      <c r="E165">
        <f>INDEX(Lots_Data!$N$2:$N$234,MATCH($A165,Lots_Data!$A$2:$A$234,0))</f>
        <v/>
      </c>
      <c r="F165">
        <f>1.65*($C165/30)*SQRT($E165)</f>
        <v/>
      </c>
      <c r="G165">
        <f>($B165/30)*$E165+$F165</f>
        <v/>
      </c>
      <c r="H165">
        <f>INDEX(Lots_Data!$S$2:$S$234,MATCH($A165,Lots_Data!$A$2:$A$234,0))</f>
        <v/>
      </c>
    </row>
    <row r="166">
      <c r="A166" t="inlineStr">
        <is>
          <t>SS-01162</t>
        </is>
      </c>
      <c r="B166">
        <f>AVERAGEIFS(Usage_Data!$D$2:$D$5001,Usage_Data!$C$2:$C$5001,$A166)</f>
        <v/>
      </c>
      <c r="C166">
        <f>SQRT(SUMPRODUCT((Usage_Data!$C$2:$C$5001=$A166)*(Usage_Data!$D$2:$D$5001-$B166)^2)/MAX(1,COUNTIF(Usage_Data!$C$2:$C$5001,$A166))))</f>
        <v/>
      </c>
      <c r="D166">
        <f>IF($B166=0,0,$C166/$B166)</f>
        <v/>
      </c>
      <c r="E166">
        <f>INDEX(Lots_Data!$N$2:$N$234,MATCH($A166,Lots_Data!$A$2:$A$234,0))</f>
        <v/>
      </c>
      <c r="F166">
        <f>1.65*($C166/30)*SQRT($E166)</f>
        <v/>
      </c>
      <c r="G166">
        <f>($B166/30)*$E166+$F166</f>
        <v/>
      </c>
      <c r="H166">
        <f>INDEX(Lots_Data!$S$2:$S$234,MATCH($A166,Lots_Data!$A$2:$A$234,0))</f>
        <v/>
      </c>
    </row>
    <row r="167">
      <c r="A167" t="inlineStr">
        <is>
          <t>SS-01163</t>
        </is>
      </c>
      <c r="B167">
        <f>AVERAGEIFS(Usage_Data!$D$2:$D$5001,Usage_Data!$C$2:$C$5001,$A167)</f>
        <v/>
      </c>
      <c r="C167">
        <f>SQRT(SUMPRODUCT((Usage_Data!$C$2:$C$5001=$A167)*(Usage_Data!$D$2:$D$5001-$B167)^2)/MAX(1,COUNTIF(Usage_Data!$C$2:$C$5001,$A167))))</f>
        <v/>
      </c>
      <c r="D167">
        <f>IF($B167=0,0,$C167/$B167)</f>
        <v/>
      </c>
      <c r="E167">
        <f>INDEX(Lots_Data!$N$2:$N$234,MATCH($A167,Lots_Data!$A$2:$A$234,0))</f>
        <v/>
      </c>
      <c r="F167">
        <f>1.65*($C167/30)*SQRT($E167)</f>
        <v/>
      </c>
      <c r="G167">
        <f>($B167/30)*$E167+$F167</f>
        <v/>
      </c>
      <c r="H167">
        <f>INDEX(Lots_Data!$S$2:$S$234,MATCH($A167,Lots_Data!$A$2:$A$234,0))</f>
        <v/>
      </c>
    </row>
    <row r="168">
      <c r="A168" t="inlineStr">
        <is>
          <t>SS-01164</t>
        </is>
      </c>
      <c r="B168">
        <f>AVERAGEIFS(Usage_Data!$D$2:$D$5001,Usage_Data!$C$2:$C$5001,$A168)</f>
        <v/>
      </c>
      <c r="C168">
        <f>SQRT(SUMPRODUCT((Usage_Data!$C$2:$C$5001=$A168)*(Usage_Data!$D$2:$D$5001-$B168)^2)/MAX(1,COUNTIF(Usage_Data!$C$2:$C$5001,$A168))))</f>
        <v/>
      </c>
      <c r="D168">
        <f>IF($B168=0,0,$C168/$B168)</f>
        <v/>
      </c>
      <c r="E168">
        <f>INDEX(Lots_Data!$N$2:$N$234,MATCH($A168,Lots_Data!$A$2:$A$234,0))</f>
        <v/>
      </c>
      <c r="F168">
        <f>1.65*($C168/30)*SQRT($E168)</f>
        <v/>
      </c>
      <c r="G168">
        <f>($B168/30)*$E168+$F168</f>
        <v/>
      </c>
      <c r="H168">
        <f>INDEX(Lots_Data!$S$2:$S$234,MATCH($A168,Lots_Data!$A$2:$A$234,0))</f>
        <v/>
      </c>
    </row>
    <row r="169">
      <c r="A169" t="inlineStr">
        <is>
          <t>SS-01165</t>
        </is>
      </c>
      <c r="B169">
        <f>AVERAGEIFS(Usage_Data!$D$2:$D$5001,Usage_Data!$C$2:$C$5001,$A169)</f>
        <v/>
      </c>
      <c r="C169">
        <f>SQRT(SUMPRODUCT((Usage_Data!$C$2:$C$5001=$A169)*(Usage_Data!$D$2:$D$5001-$B169)^2)/MAX(1,COUNTIF(Usage_Data!$C$2:$C$5001,$A169))))</f>
        <v/>
      </c>
      <c r="D169">
        <f>IF($B169=0,0,$C169/$B169)</f>
        <v/>
      </c>
      <c r="E169">
        <f>INDEX(Lots_Data!$N$2:$N$234,MATCH($A169,Lots_Data!$A$2:$A$234,0))</f>
        <v/>
      </c>
      <c r="F169">
        <f>1.65*($C169/30)*SQRT($E169)</f>
        <v/>
      </c>
      <c r="G169">
        <f>($B169/30)*$E169+$F169</f>
        <v/>
      </c>
      <c r="H169">
        <f>INDEX(Lots_Data!$S$2:$S$234,MATCH($A169,Lots_Data!$A$2:$A$234,0))</f>
        <v/>
      </c>
    </row>
    <row r="170">
      <c r="A170" t="inlineStr">
        <is>
          <t>SS-01166</t>
        </is>
      </c>
      <c r="B170">
        <f>AVERAGEIFS(Usage_Data!$D$2:$D$5001,Usage_Data!$C$2:$C$5001,$A170)</f>
        <v/>
      </c>
      <c r="C170">
        <f>SQRT(SUMPRODUCT((Usage_Data!$C$2:$C$5001=$A170)*(Usage_Data!$D$2:$D$5001-$B170)^2)/MAX(1,COUNTIF(Usage_Data!$C$2:$C$5001,$A170))))</f>
        <v/>
      </c>
      <c r="D170">
        <f>IF($B170=0,0,$C170/$B170)</f>
        <v/>
      </c>
      <c r="E170">
        <f>INDEX(Lots_Data!$N$2:$N$234,MATCH($A170,Lots_Data!$A$2:$A$234,0))</f>
        <v/>
      </c>
      <c r="F170">
        <f>1.65*($C170/30)*SQRT($E170)</f>
        <v/>
      </c>
      <c r="G170">
        <f>($B170/30)*$E170+$F170</f>
        <v/>
      </c>
      <c r="H170">
        <f>INDEX(Lots_Data!$S$2:$S$234,MATCH($A170,Lots_Data!$A$2:$A$234,0))</f>
        <v/>
      </c>
    </row>
    <row r="171">
      <c r="A171" t="inlineStr">
        <is>
          <t>SS-01167</t>
        </is>
      </c>
      <c r="B171">
        <f>AVERAGEIFS(Usage_Data!$D$2:$D$5001,Usage_Data!$C$2:$C$5001,$A171)</f>
        <v/>
      </c>
      <c r="C171">
        <f>SQRT(SUMPRODUCT((Usage_Data!$C$2:$C$5001=$A171)*(Usage_Data!$D$2:$D$5001-$B171)^2)/MAX(1,COUNTIF(Usage_Data!$C$2:$C$5001,$A171))))</f>
        <v/>
      </c>
      <c r="D171">
        <f>IF($B171=0,0,$C171/$B171)</f>
        <v/>
      </c>
      <c r="E171">
        <f>INDEX(Lots_Data!$N$2:$N$234,MATCH($A171,Lots_Data!$A$2:$A$234,0))</f>
        <v/>
      </c>
      <c r="F171">
        <f>1.65*($C171/30)*SQRT($E171)</f>
        <v/>
      </c>
      <c r="G171">
        <f>($B171/30)*$E171+$F171</f>
        <v/>
      </c>
      <c r="H171">
        <f>INDEX(Lots_Data!$S$2:$S$234,MATCH($A171,Lots_Data!$A$2:$A$234,0))</f>
        <v/>
      </c>
    </row>
    <row r="172">
      <c r="A172" t="inlineStr">
        <is>
          <t>SS-01168</t>
        </is>
      </c>
      <c r="B172">
        <f>AVERAGEIFS(Usage_Data!$D$2:$D$5001,Usage_Data!$C$2:$C$5001,$A172)</f>
        <v/>
      </c>
      <c r="C172">
        <f>SQRT(SUMPRODUCT((Usage_Data!$C$2:$C$5001=$A172)*(Usage_Data!$D$2:$D$5001-$B172)^2)/MAX(1,COUNTIF(Usage_Data!$C$2:$C$5001,$A172))))</f>
        <v/>
      </c>
      <c r="D172">
        <f>IF($B172=0,0,$C172/$B172)</f>
        <v/>
      </c>
      <c r="E172">
        <f>INDEX(Lots_Data!$N$2:$N$234,MATCH($A172,Lots_Data!$A$2:$A$234,0))</f>
        <v/>
      </c>
      <c r="F172">
        <f>1.65*($C172/30)*SQRT($E172)</f>
        <v/>
      </c>
      <c r="G172">
        <f>($B172/30)*$E172+$F172</f>
        <v/>
      </c>
      <c r="H172">
        <f>INDEX(Lots_Data!$S$2:$S$234,MATCH($A172,Lots_Data!$A$2:$A$234,0))</f>
        <v/>
      </c>
    </row>
    <row r="173">
      <c r="A173" t="inlineStr">
        <is>
          <t>SS-01169</t>
        </is>
      </c>
      <c r="B173">
        <f>AVERAGEIFS(Usage_Data!$D$2:$D$5001,Usage_Data!$C$2:$C$5001,$A173)</f>
        <v/>
      </c>
      <c r="C173">
        <f>SQRT(SUMPRODUCT((Usage_Data!$C$2:$C$5001=$A173)*(Usage_Data!$D$2:$D$5001-$B173)^2)/MAX(1,COUNTIF(Usage_Data!$C$2:$C$5001,$A173))))</f>
        <v/>
      </c>
      <c r="D173">
        <f>IF($B173=0,0,$C173/$B173)</f>
        <v/>
      </c>
      <c r="E173">
        <f>INDEX(Lots_Data!$N$2:$N$234,MATCH($A173,Lots_Data!$A$2:$A$234,0))</f>
        <v/>
      </c>
      <c r="F173">
        <f>1.65*($C173/30)*SQRT($E173)</f>
        <v/>
      </c>
      <c r="G173">
        <f>($B173/30)*$E173+$F173</f>
        <v/>
      </c>
      <c r="H173">
        <f>INDEX(Lots_Data!$S$2:$S$234,MATCH($A173,Lots_Data!$A$2:$A$234,0))</f>
        <v/>
      </c>
    </row>
    <row r="174">
      <c r="A174" t="inlineStr">
        <is>
          <t>SS-01170</t>
        </is>
      </c>
      <c r="B174">
        <f>AVERAGEIFS(Usage_Data!$D$2:$D$5001,Usage_Data!$C$2:$C$5001,$A174)</f>
        <v/>
      </c>
      <c r="C174">
        <f>SQRT(SUMPRODUCT((Usage_Data!$C$2:$C$5001=$A174)*(Usage_Data!$D$2:$D$5001-$B174)^2)/MAX(1,COUNTIF(Usage_Data!$C$2:$C$5001,$A174))))</f>
        <v/>
      </c>
      <c r="D174">
        <f>IF($B174=0,0,$C174/$B174)</f>
        <v/>
      </c>
      <c r="E174">
        <f>INDEX(Lots_Data!$N$2:$N$234,MATCH($A174,Lots_Data!$A$2:$A$234,0))</f>
        <v/>
      </c>
      <c r="F174">
        <f>1.65*($C174/30)*SQRT($E174)</f>
        <v/>
      </c>
      <c r="G174">
        <f>($B174/30)*$E174+$F174</f>
        <v/>
      </c>
      <c r="H174">
        <f>INDEX(Lots_Data!$S$2:$S$234,MATCH($A174,Lots_Data!$A$2:$A$234,0))</f>
        <v/>
      </c>
    </row>
    <row r="175">
      <c r="A175" t="inlineStr">
        <is>
          <t>SS-01171</t>
        </is>
      </c>
      <c r="B175">
        <f>AVERAGEIFS(Usage_Data!$D$2:$D$5001,Usage_Data!$C$2:$C$5001,$A175)</f>
        <v/>
      </c>
      <c r="C175">
        <f>SQRT(SUMPRODUCT((Usage_Data!$C$2:$C$5001=$A175)*(Usage_Data!$D$2:$D$5001-$B175)^2)/MAX(1,COUNTIF(Usage_Data!$C$2:$C$5001,$A175))))</f>
        <v/>
      </c>
      <c r="D175">
        <f>IF($B175=0,0,$C175/$B175)</f>
        <v/>
      </c>
      <c r="E175">
        <f>INDEX(Lots_Data!$N$2:$N$234,MATCH($A175,Lots_Data!$A$2:$A$234,0))</f>
        <v/>
      </c>
      <c r="F175">
        <f>1.65*($C175/30)*SQRT($E175)</f>
        <v/>
      </c>
      <c r="G175">
        <f>($B175/30)*$E175+$F175</f>
        <v/>
      </c>
      <c r="H175">
        <f>INDEX(Lots_Data!$S$2:$S$234,MATCH($A175,Lots_Data!$A$2:$A$234,0))</f>
        <v/>
      </c>
    </row>
    <row r="176">
      <c r="A176" t="inlineStr">
        <is>
          <t>SS-01172</t>
        </is>
      </c>
      <c r="B176">
        <f>AVERAGEIFS(Usage_Data!$D$2:$D$5001,Usage_Data!$C$2:$C$5001,$A176)</f>
        <v/>
      </c>
      <c r="C176">
        <f>SQRT(SUMPRODUCT((Usage_Data!$C$2:$C$5001=$A176)*(Usage_Data!$D$2:$D$5001-$B176)^2)/MAX(1,COUNTIF(Usage_Data!$C$2:$C$5001,$A176))))</f>
        <v/>
      </c>
      <c r="D176">
        <f>IF($B176=0,0,$C176/$B176)</f>
        <v/>
      </c>
      <c r="E176">
        <f>INDEX(Lots_Data!$N$2:$N$234,MATCH($A176,Lots_Data!$A$2:$A$234,0))</f>
        <v/>
      </c>
      <c r="F176">
        <f>1.65*($C176/30)*SQRT($E176)</f>
        <v/>
      </c>
      <c r="G176">
        <f>($B176/30)*$E176+$F176</f>
        <v/>
      </c>
      <c r="H176">
        <f>INDEX(Lots_Data!$S$2:$S$234,MATCH($A176,Lots_Data!$A$2:$A$234,0))</f>
        <v/>
      </c>
    </row>
    <row r="177">
      <c r="A177" t="inlineStr">
        <is>
          <t>SS-01173</t>
        </is>
      </c>
      <c r="B177">
        <f>AVERAGEIFS(Usage_Data!$D$2:$D$5001,Usage_Data!$C$2:$C$5001,$A177)</f>
        <v/>
      </c>
      <c r="C177">
        <f>SQRT(SUMPRODUCT((Usage_Data!$C$2:$C$5001=$A177)*(Usage_Data!$D$2:$D$5001-$B177)^2)/MAX(1,COUNTIF(Usage_Data!$C$2:$C$5001,$A177))))</f>
        <v/>
      </c>
      <c r="D177">
        <f>IF($B177=0,0,$C177/$B177)</f>
        <v/>
      </c>
      <c r="E177">
        <f>INDEX(Lots_Data!$N$2:$N$234,MATCH($A177,Lots_Data!$A$2:$A$234,0))</f>
        <v/>
      </c>
      <c r="F177">
        <f>1.65*($C177/30)*SQRT($E177)</f>
        <v/>
      </c>
      <c r="G177">
        <f>($B177/30)*$E177+$F177</f>
        <v/>
      </c>
      <c r="H177">
        <f>INDEX(Lots_Data!$S$2:$S$234,MATCH($A177,Lots_Data!$A$2:$A$234,0))</f>
        <v/>
      </c>
    </row>
    <row r="178">
      <c r="A178" t="inlineStr">
        <is>
          <t>SS-01174</t>
        </is>
      </c>
      <c r="B178">
        <f>AVERAGEIFS(Usage_Data!$D$2:$D$5001,Usage_Data!$C$2:$C$5001,$A178)</f>
        <v/>
      </c>
      <c r="C178">
        <f>SQRT(SUMPRODUCT((Usage_Data!$C$2:$C$5001=$A178)*(Usage_Data!$D$2:$D$5001-$B178)^2)/MAX(1,COUNTIF(Usage_Data!$C$2:$C$5001,$A178))))</f>
        <v/>
      </c>
      <c r="D178">
        <f>IF($B178=0,0,$C178/$B178)</f>
        <v/>
      </c>
      <c r="E178">
        <f>INDEX(Lots_Data!$N$2:$N$234,MATCH($A178,Lots_Data!$A$2:$A$234,0))</f>
        <v/>
      </c>
      <c r="F178">
        <f>1.65*($C178/30)*SQRT($E178)</f>
        <v/>
      </c>
      <c r="G178">
        <f>($B178/30)*$E178+$F178</f>
        <v/>
      </c>
      <c r="H178">
        <f>INDEX(Lots_Data!$S$2:$S$234,MATCH($A178,Lots_Data!$A$2:$A$234,0))</f>
        <v/>
      </c>
    </row>
    <row r="179">
      <c r="A179" t="inlineStr">
        <is>
          <t>SS-01175</t>
        </is>
      </c>
      <c r="B179">
        <f>AVERAGEIFS(Usage_Data!$D$2:$D$5001,Usage_Data!$C$2:$C$5001,$A179)</f>
        <v/>
      </c>
      <c r="C179">
        <f>SQRT(SUMPRODUCT((Usage_Data!$C$2:$C$5001=$A179)*(Usage_Data!$D$2:$D$5001-$B179)^2)/MAX(1,COUNTIF(Usage_Data!$C$2:$C$5001,$A179))))</f>
        <v/>
      </c>
      <c r="D179">
        <f>IF($B179=0,0,$C179/$B179)</f>
        <v/>
      </c>
      <c r="E179">
        <f>INDEX(Lots_Data!$N$2:$N$234,MATCH($A179,Lots_Data!$A$2:$A$234,0))</f>
        <v/>
      </c>
      <c r="F179">
        <f>1.65*($C179/30)*SQRT($E179)</f>
        <v/>
      </c>
      <c r="G179">
        <f>($B179/30)*$E179+$F179</f>
        <v/>
      </c>
      <c r="H179">
        <f>INDEX(Lots_Data!$S$2:$S$234,MATCH($A179,Lots_Data!$A$2:$A$234,0))</f>
        <v/>
      </c>
    </row>
    <row r="180">
      <c r="A180" t="inlineStr">
        <is>
          <t>SS-01176</t>
        </is>
      </c>
      <c r="B180">
        <f>AVERAGEIFS(Usage_Data!$D$2:$D$5001,Usage_Data!$C$2:$C$5001,$A180)</f>
        <v/>
      </c>
      <c r="C180">
        <f>SQRT(SUMPRODUCT((Usage_Data!$C$2:$C$5001=$A180)*(Usage_Data!$D$2:$D$5001-$B180)^2)/MAX(1,COUNTIF(Usage_Data!$C$2:$C$5001,$A180))))</f>
        <v/>
      </c>
      <c r="D180">
        <f>IF($B180=0,0,$C180/$B180)</f>
        <v/>
      </c>
      <c r="E180">
        <f>INDEX(Lots_Data!$N$2:$N$234,MATCH($A180,Lots_Data!$A$2:$A$234,0))</f>
        <v/>
      </c>
      <c r="F180">
        <f>1.65*($C180/30)*SQRT($E180)</f>
        <v/>
      </c>
      <c r="G180">
        <f>($B180/30)*$E180+$F180</f>
        <v/>
      </c>
      <c r="H180">
        <f>INDEX(Lots_Data!$S$2:$S$234,MATCH($A180,Lots_Data!$A$2:$A$234,0))</f>
        <v/>
      </c>
    </row>
    <row r="181">
      <c r="A181" t="inlineStr">
        <is>
          <t>SS-01177</t>
        </is>
      </c>
      <c r="B181">
        <f>AVERAGEIFS(Usage_Data!$D$2:$D$5001,Usage_Data!$C$2:$C$5001,$A181)</f>
        <v/>
      </c>
      <c r="C181">
        <f>SQRT(SUMPRODUCT((Usage_Data!$C$2:$C$5001=$A181)*(Usage_Data!$D$2:$D$5001-$B181)^2)/MAX(1,COUNTIF(Usage_Data!$C$2:$C$5001,$A181))))</f>
        <v/>
      </c>
      <c r="D181">
        <f>IF($B181=0,0,$C181/$B181)</f>
        <v/>
      </c>
      <c r="E181">
        <f>INDEX(Lots_Data!$N$2:$N$234,MATCH($A181,Lots_Data!$A$2:$A$234,0))</f>
        <v/>
      </c>
      <c r="F181">
        <f>1.65*($C181/30)*SQRT($E181)</f>
        <v/>
      </c>
      <c r="G181">
        <f>($B181/30)*$E181+$F181</f>
        <v/>
      </c>
      <c r="H181">
        <f>INDEX(Lots_Data!$S$2:$S$234,MATCH($A181,Lots_Data!$A$2:$A$234,0))</f>
        <v/>
      </c>
    </row>
    <row r="182">
      <c r="A182" t="inlineStr">
        <is>
          <t>SS-01178</t>
        </is>
      </c>
      <c r="B182">
        <f>AVERAGEIFS(Usage_Data!$D$2:$D$5001,Usage_Data!$C$2:$C$5001,$A182)</f>
        <v/>
      </c>
      <c r="C182">
        <f>SQRT(SUMPRODUCT((Usage_Data!$C$2:$C$5001=$A182)*(Usage_Data!$D$2:$D$5001-$B182)^2)/MAX(1,COUNTIF(Usage_Data!$C$2:$C$5001,$A182))))</f>
        <v/>
      </c>
      <c r="D182">
        <f>IF($B182=0,0,$C182/$B182)</f>
        <v/>
      </c>
      <c r="E182">
        <f>INDEX(Lots_Data!$N$2:$N$234,MATCH($A182,Lots_Data!$A$2:$A$234,0))</f>
        <v/>
      </c>
      <c r="F182">
        <f>1.65*($C182/30)*SQRT($E182)</f>
        <v/>
      </c>
      <c r="G182">
        <f>($B182/30)*$E182+$F182</f>
        <v/>
      </c>
      <c r="H182">
        <f>INDEX(Lots_Data!$S$2:$S$234,MATCH($A182,Lots_Data!$A$2:$A$234,0))</f>
        <v/>
      </c>
    </row>
    <row r="183">
      <c r="A183" t="inlineStr">
        <is>
          <t>SS-01179</t>
        </is>
      </c>
      <c r="B183">
        <f>AVERAGEIFS(Usage_Data!$D$2:$D$5001,Usage_Data!$C$2:$C$5001,$A183)</f>
        <v/>
      </c>
      <c r="C183">
        <f>SQRT(SUMPRODUCT((Usage_Data!$C$2:$C$5001=$A183)*(Usage_Data!$D$2:$D$5001-$B183)^2)/MAX(1,COUNTIF(Usage_Data!$C$2:$C$5001,$A183))))</f>
        <v/>
      </c>
      <c r="D183">
        <f>IF($B183=0,0,$C183/$B183)</f>
        <v/>
      </c>
      <c r="E183">
        <f>INDEX(Lots_Data!$N$2:$N$234,MATCH($A183,Lots_Data!$A$2:$A$234,0))</f>
        <v/>
      </c>
      <c r="F183">
        <f>1.65*($C183/30)*SQRT($E183)</f>
        <v/>
      </c>
      <c r="G183">
        <f>($B183/30)*$E183+$F183</f>
        <v/>
      </c>
      <c r="H183">
        <f>INDEX(Lots_Data!$S$2:$S$234,MATCH($A183,Lots_Data!$A$2:$A$234,0))</f>
        <v/>
      </c>
    </row>
    <row r="184">
      <c r="A184" t="inlineStr">
        <is>
          <t>SS-01180</t>
        </is>
      </c>
      <c r="B184">
        <f>AVERAGEIFS(Usage_Data!$D$2:$D$5001,Usage_Data!$C$2:$C$5001,$A184)</f>
        <v/>
      </c>
      <c r="C184">
        <f>SQRT(SUMPRODUCT((Usage_Data!$C$2:$C$5001=$A184)*(Usage_Data!$D$2:$D$5001-$B184)^2)/MAX(1,COUNTIF(Usage_Data!$C$2:$C$5001,$A184))))</f>
        <v/>
      </c>
      <c r="D184">
        <f>IF($B184=0,0,$C184/$B184)</f>
        <v/>
      </c>
      <c r="E184">
        <f>INDEX(Lots_Data!$N$2:$N$234,MATCH($A184,Lots_Data!$A$2:$A$234,0))</f>
        <v/>
      </c>
      <c r="F184">
        <f>1.65*($C184/30)*SQRT($E184)</f>
        <v/>
      </c>
      <c r="G184">
        <f>($B184/30)*$E184+$F184</f>
        <v/>
      </c>
      <c r="H184">
        <f>INDEX(Lots_Data!$S$2:$S$234,MATCH($A184,Lots_Data!$A$2:$A$234,0))</f>
        <v/>
      </c>
    </row>
    <row r="185">
      <c r="A185" t="inlineStr">
        <is>
          <t>SS-01181</t>
        </is>
      </c>
      <c r="B185">
        <f>AVERAGEIFS(Usage_Data!$D$2:$D$5001,Usage_Data!$C$2:$C$5001,$A185)</f>
        <v/>
      </c>
      <c r="C185">
        <f>SQRT(SUMPRODUCT((Usage_Data!$C$2:$C$5001=$A185)*(Usage_Data!$D$2:$D$5001-$B185)^2)/MAX(1,COUNTIF(Usage_Data!$C$2:$C$5001,$A185))))</f>
        <v/>
      </c>
      <c r="D185">
        <f>IF($B185=0,0,$C185/$B185)</f>
        <v/>
      </c>
      <c r="E185">
        <f>INDEX(Lots_Data!$N$2:$N$234,MATCH($A185,Lots_Data!$A$2:$A$234,0))</f>
        <v/>
      </c>
      <c r="F185">
        <f>1.65*($C185/30)*SQRT($E185)</f>
        <v/>
      </c>
      <c r="G185">
        <f>($B185/30)*$E185+$F185</f>
        <v/>
      </c>
      <c r="H185">
        <f>INDEX(Lots_Data!$S$2:$S$234,MATCH($A185,Lots_Data!$A$2:$A$234,0))</f>
        <v/>
      </c>
    </row>
    <row r="186">
      <c r="A186" t="inlineStr">
        <is>
          <t>SS-01182</t>
        </is>
      </c>
      <c r="B186">
        <f>AVERAGEIFS(Usage_Data!$D$2:$D$5001,Usage_Data!$C$2:$C$5001,$A186)</f>
        <v/>
      </c>
      <c r="C186">
        <f>SQRT(SUMPRODUCT((Usage_Data!$C$2:$C$5001=$A186)*(Usage_Data!$D$2:$D$5001-$B186)^2)/MAX(1,COUNTIF(Usage_Data!$C$2:$C$5001,$A186))))</f>
        <v/>
      </c>
      <c r="D186">
        <f>IF($B186=0,0,$C186/$B186)</f>
        <v/>
      </c>
      <c r="E186">
        <f>INDEX(Lots_Data!$N$2:$N$234,MATCH($A186,Lots_Data!$A$2:$A$234,0))</f>
        <v/>
      </c>
      <c r="F186">
        <f>1.65*($C186/30)*SQRT($E186)</f>
        <v/>
      </c>
      <c r="G186">
        <f>($B186/30)*$E186+$F186</f>
        <v/>
      </c>
      <c r="H186">
        <f>INDEX(Lots_Data!$S$2:$S$234,MATCH($A186,Lots_Data!$A$2:$A$234,0))</f>
        <v/>
      </c>
    </row>
    <row r="187">
      <c r="A187" t="inlineStr">
        <is>
          <t>SS-01183</t>
        </is>
      </c>
      <c r="B187">
        <f>AVERAGEIFS(Usage_Data!$D$2:$D$5001,Usage_Data!$C$2:$C$5001,$A187)</f>
        <v/>
      </c>
      <c r="C187">
        <f>SQRT(SUMPRODUCT((Usage_Data!$C$2:$C$5001=$A187)*(Usage_Data!$D$2:$D$5001-$B187)^2)/MAX(1,COUNTIF(Usage_Data!$C$2:$C$5001,$A187))))</f>
        <v/>
      </c>
      <c r="D187">
        <f>IF($B187=0,0,$C187/$B187)</f>
        <v/>
      </c>
      <c r="E187">
        <f>INDEX(Lots_Data!$N$2:$N$234,MATCH($A187,Lots_Data!$A$2:$A$234,0))</f>
        <v/>
      </c>
      <c r="F187">
        <f>1.65*($C187/30)*SQRT($E187)</f>
        <v/>
      </c>
      <c r="G187">
        <f>($B187/30)*$E187+$F187</f>
        <v/>
      </c>
      <c r="H187">
        <f>INDEX(Lots_Data!$S$2:$S$234,MATCH($A187,Lots_Data!$A$2:$A$234,0))</f>
        <v/>
      </c>
    </row>
    <row r="188">
      <c r="A188" t="inlineStr">
        <is>
          <t>SS-01184</t>
        </is>
      </c>
      <c r="B188">
        <f>AVERAGEIFS(Usage_Data!$D$2:$D$5001,Usage_Data!$C$2:$C$5001,$A188)</f>
        <v/>
      </c>
      <c r="C188">
        <f>SQRT(SUMPRODUCT((Usage_Data!$C$2:$C$5001=$A188)*(Usage_Data!$D$2:$D$5001-$B188)^2)/MAX(1,COUNTIF(Usage_Data!$C$2:$C$5001,$A188))))</f>
        <v/>
      </c>
      <c r="D188">
        <f>IF($B188=0,0,$C188/$B188)</f>
        <v/>
      </c>
      <c r="E188">
        <f>INDEX(Lots_Data!$N$2:$N$234,MATCH($A188,Lots_Data!$A$2:$A$234,0))</f>
        <v/>
      </c>
      <c r="F188">
        <f>1.65*($C188/30)*SQRT($E188)</f>
        <v/>
      </c>
      <c r="G188">
        <f>($B188/30)*$E188+$F188</f>
        <v/>
      </c>
      <c r="H188">
        <f>INDEX(Lots_Data!$S$2:$S$234,MATCH($A188,Lots_Data!$A$2:$A$234,0))</f>
        <v/>
      </c>
    </row>
    <row r="189">
      <c r="A189" t="inlineStr">
        <is>
          <t>SS-01185</t>
        </is>
      </c>
      <c r="B189">
        <f>AVERAGEIFS(Usage_Data!$D$2:$D$5001,Usage_Data!$C$2:$C$5001,$A189)</f>
        <v/>
      </c>
      <c r="C189">
        <f>SQRT(SUMPRODUCT((Usage_Data!$C$2:$C$5001=$A189)*(Usage_Data!$D$2:$D$5001-$B189)^2)/MAX(1,COUNTIF(Usage_Data!$C$2:$C$5001,$A189))))</f>
        <v/>
      </c>
      <c r="D189">
        <f>IF($B189=0,0,$C189/$B189)</f>
        <v/>
      </c>
      <c r="E189">
        <f>INDEX(Lots_Data!$N$2:$N$234,MATCH($A189,Lots_Data!$A$2:$A$234,0))</f>
        <v/>
      </c>
      <c r="F189">
        <f>1.65*($C189/30)*SQRT($E189)</f>
        <v/>
      </c>
      <c r="G189">
        <f>($B189/30)*$E189+$F189</f>
        <v/>
      </c>
      <c r="H189">
        <f>INDEX(Lots_Data!$S$2:$S$234,MATCH($A189,Lots_Data!$A$2:$A$234,0))</f>
        <v/>
      </c>
    </row>
    <row r="190">
      <c r="A190" t="inlineStr">
        <is>
          <t>SS-01186</t>
        </is>
      </c>
      <c r="B190">
        <f>AVERAGEIFS(Usage_Data!$D$2:$D$5001,Usage_Data!$C$2:$C$5001,$A190)</f>
        <v/>
      </c>
      <c r="C190">
        <f>SQRT(SUMPRODUCT((Usage_Data!$C$2:$C$5001=$A190)*(Usage_Data!$D$2:$D$5001-$B190)^2)/MAX(1,COUNTIF(Usage_Data!$C$2:$C$5001,$A190))))</f>
        <v/>
      </c>
      <c r="D190">
        <f>IF($B190=0,0,$C190/$B190)</f>
        <v/>
      </c>
      <c r="E190">
        <f>INDEX(Lots_Data!$N$2:$N$234,MATCH($A190,Lots_Data!$A$2:$A$234,0))</f>
        <v/>
      </c>
      <c r="F190">
        <f>1.65*($C190/30)*SQRT($E190)</f>
        <v/>
      </c>
      <c r="G190">
        <f>($B190/30)*$E190+$F190</f>
        <v/>
      </c>
      <c r="H190">
        <f>INDEX(Lots_Data!$S$2:$S$234,MATCH($A190,Lots_Data!$A$2:$A$234,0))</f>
        <v/>
      </c>
    </row>
    <row r="191">
      <c r="A191" t="inlineStr">
        <is>
          <t>SS-01187</t>
        </is>
      </c>
      <c r="B191">
        <f>AVERAGEIFS(Usage_Data!$D$2:$D$5001,Usage_Data!$C$2:$C$5001,$A191)</f>
        <v/>
      </c>
      <c r="C191">
        <f>SQRT(SUMPRODUCT((Usage_Data!$C$2:$C$5001=$A191)*(Usage_Data!$D$2:$D$5001-$B191)^2)/MAX(1,COUNTIF(Usage_Data!$C$2:$C$5001,$A191))))</f>
        <v/>
      </c>
      <c r="D191">
        <f>IF($B191=0,0,$C191/$B191)</f>
        <v/>
      </c>
      <c r="E191">
        <f>INDEX(Lots_Data!$N$2:$N$234,MATCH($A191,Lots_Data!$A$2:$A$234,0))</f>
        <v/>
      </c>
      <c r="F191">
        <f>1.65*($C191/30)*SQRT($E191)</f>
        <v/>
      </c>
      <c r="G191">
        <f>($B191/30)*$E191+$F191</f>
        <v/>
      </c>
      <c r="H191">
        <f>INDEX(Lots_Data!$S$2:$S$234,MATCH($A191,Lots_Data!$A$2:$A$234,0))</f>
        <v/>
      </c>
    </row>
    <row r="192">
      <c r="A192" t="inlineStr">
        <is>
          <t>SS-01188</t>
        </is>
      </c>
      <c r="B192">
        <f>AVERAGEIFS(Usage_Data!$D$2:$D$5001,Usage_Data!$C$2:$C$5001,$A192)</f>
        <v/>
      </c>
      <c r="C192">
        <f>SQRT(SUMPRODUCT((Usage_Data!$C$2:$C$5001=$A192)*(Usage_Data!$D$2:$D$5001-$B192)^2)/MAX(1,COUNTIF(Usage_Data!$C$2:$C$5001,$A192))))</f>
        <v/>
      </c>
      <c r="D192">
        <f>IF($B192=0,0,$C192/$B192)</f>
        <v/>
      </c>
      <c r="E192">
        <f>INDEX(Lots_Data!$N$2:$N$234,MATCH($A192,Lots_Data!$A$2:$A$234,0))</f>
        <v/>
      </c>
      <c r="F192">
        <f>1.65*($C192/30)*SQRT($E192)</f>
        <v/>
      </c>
      <c r="G192">
        <f>($B192/30)*$E192+$F192</f>
        <v/>
      </c>
      <c r="H192">
        <f>INDEX(Lots_Data!$S$2:$S$234,MATCH($A192,Lots_Data!$A$2:$A$234,0))</f>
        <v/>
      </c>
    </row>
    <row r="193">
      <c r="A193" t="inlineStr">
        <is>
          <t>SS-01189</t>
        </is>
      </c>
      <c r="B193">
        <f>AVERAGEIFS(Usage_Data!$D$2:$D$5001,Usage_Data!$C$2:$C$5001,$A193)</f>
        <v/>
      </c>
      <c r="C193">
        <f>SQRT(SUMPRODUCT((Usage_Data!$C$2:$C$5001=$A193)*(Usage_Data!$D$2:$D$5001-$B193)^2)/MAX(1,COUNTIF(Usage_Data!$C$2:$C$5001,$A193))))</f>
        <v/>
      </c>
      <c r="D193">
        <f>IF($B193=0,0,$C193/$B193)</f>
        <v/>
      </c>
      <c r="E193">
        <f>INDEX(Lots_Data!$N$2:$N$234,MATCH($A193,Lots_Data!$A$2:$A$234,0))</f>
        <v/>
      </c>
      <c r="F193">
        <f>1.65*($C193/30)*SQRT($E193)</f>
        <v/>
      </c>
      <c r="G193">
        <f>($B193/30)*$E193+$F193</f>
        <v/>
      </c>
      <c r="H193">
        <f>INDEX(Lots_Data!$S$2:$S$234,MATCH($A193,Lots_Data!$A$2:$A$234,0))</f>
        <v/>
      </c>
    </row>
    <row r="194">
      <c r="A194" t="inlineStr">
        <is>
          <t>SS-01190</t>
        </is>
      </c>
      <c r="B194">
        <f>AVERAGEIFS(Usage_Data!$D$2:$D$5001,Usage_Data!$C$2:$C$5001,$A194)</f>
        <v/>
      </c>
      <c r="C194">
        <f>SQRT(SUMPRODUCT((Usage_Data!$C$2:$C$5001=$A194)*(Usage_Data!$D$2:$D$5001-$B194)^2)/MAX(1,COUNTIF(Usage_Data!$C$2:$C$5001,$A194))))</f>
        <v/>
      </c>
      <c r="D194">
        <f>IF($B194=0,0,$C194/$B194)</f>
        <v/>
      </c>
      <c r="E194">
        <f>INDEX(Lots_Data!$N$2:$N$234,MATCH($A194,Lots_Data!$A$2:$A$234,0))</f>
        <v/>
      </c>
      <c r="F194">
        <f>1.65*($C194/30)*SQRT($E194)</f>
        <v/>
      </c>
      <c r="G194">
        <f>($B194/30)*$E194+$F194</f>
        <v/>
      </c>
      <c r="H194">
        <f>INDEX(Lots_Data!$S$2:$S$234,MATCH($A194,Lots_Data!$A$2:$A$234,0))</f>
        <v/>
      </c>
    </row>
    <row r="195">
      <c r="A195" t="inlineStr">
        <is>
          <t>SS-01191</t>
        </is>
      </c>
      <c r="B195">
        <f>AVERAGEIFS(Usage_Data!$D$2:$D$5001,Usage_Data!$C$2:$C$5001,$A195)</f>
        <v/>
      </c>
      <c r="C195">
        <f>SQRT(SUMPRODUCT((Usage_Data!$C$2:$C$5001=$A195)*(Usage_Data!$D$2:$D$5001-$B195)^2)/MAX(1,COUNTIF(Usage_Data!$C$2:$C$5001,$A195))))</f>
        <v/>
      </c>
      <c r="D195">
        <f>IF($B195=0,0,$C195/$B195)</f>
        <v/>
      </c>
      <c r="E195">
        <f>INDEX(Lots_Data!$N$2:$N$234,MATCH($A195,Lots_Data!$A$2:$A$234,0))</f>
        <v/>
      </c>
      <c r="F195">
        <f>1.65*($C195/30)*SQRT($E195)</f>
        <v/>
      </c>
      <c r="G195">
        <f>($B195/30)*$E195+$F195</f>
        <v/>
      </c>
      <c r="H195">
        <f>INDEX(Lots_Data!$S$2:$S$234,MATCH($A195,Lots_Data!$A$2:$A$234,0))</f>
        <v/>
      </c>
    </row>
    <row r="196">
      <c r="A196" t="inlineStr">
        <is>
          <t>SS-01192</t>
        </is>
      </c>
      <c r="B196">
        <f>AVERAGEIFS(Usage_Data!$D$2:$D$5001,Usage_Data!$C$2:$C$5001,$A196)</f>
        <v/>
      </c>
      <c r="C196">
        <f>SQRT(SUMPRODUCT((Usage_Data!$C$2:$C$5001=$A196)*(Usage_Data!$D$2:$D$5001-$B196)^2)/MAX(1,COUNTIF(Usage_Data!$C$2:$C$5001,$A196))))</f>
        <v/>
      </c>
      <c r="D196">
        <f>IF($B196=0,0,$C196/$B196)</f>
        <v/>
      </c>
      <c r="E196">
        <f>INDEX(Lots_Data!$N$2:$N$234,MATCH($A196,Lots_Data!$A$2:$A$234,0))</f>
        <v/>
      </c>
      <c r="F196">
        <f>1.65*($C196/30)*SQRT($E196)</f>
        <v/>
      </c>
      <c r="G196">
        <f>($B196/30)*$E196+$F196</f>
        <v/>
      </c>
      <c r="H196">
        <f>INDEX(Lots_Data!$S$2:$S$234,MATCH($A196,Lots_Data!$A$2:$A$234,0))</f>
        <v/>
      </c>
    </row>
    <row r="197">
      <c r="A197" t="inlineStr">
        <is>
          <t>SS-01193</t>
        </is>
      </c>
      <c r="B197">
        <f>AVERAGEIFS(Usage_Data!$D$2:$D$5001,Usage_Data!$C$2:$C$5001,$A197)</f>
        <v/>
      </c>
      <c r="C197">
        <f>SQRT(SUMPRODUCT((Usage_Data!$C$2:$C$5001=$A197)*(Usage_Data!$D$2:$D$5001-$B197)^2)/MAX(1,COUNTIF(Usage_Data!$C$2:$C$5001,$A197))))</f>
        <v/>
      </c>
      <c r="D197">
        <f>IF($B197=0,0,$C197/$B197)</f>
        <v/>
      </c>
      <c r="E197">
        <f>INDEX(Lots_Data!$N$2:$N$234,MATCH($A197,Lots_Data!$A$2:$A$234,0))</f>
        <v/>
      </c>
      <c r="F197">
        <f>1.65*($C197/30)*SQRT($E197)</f>
        <v/>
      </c>
      <c r="G197">
        <f>($B197/30)*$E197+$F197</f>
        <v/>
      </c>
      <c r="H197">
        <f>INDEX(Lots_Data!$S$2:$S$234,MATCH($A197,Lots_Data!$A$2:$A$234,0))</f>
        <v/>
      </c>
    </row>
    <row r="198">
      <c r="A198" t="inlineStr">
        <is>
          <t>SS-01194</t>
        </is>
      </c>
      <c r="B198">
        <f>AVERAGEIFS(Usage_Data!$D$2:$D$5001,Usage_Data!$C$2:$C$5001,$A198)</f>
        <v/>
      </c>
      <c r="C198">
        <f>SQRT(SUMPRODUCT((Usage_Data!$C$2:$C$5001=$A198)*(Usage_Data!$D$2:$D$5001-$B198)^2)/MAX(1,COUNTIF(Usage_Data!$C$2:$C$5001,$A198))))</f>
        <v/>
      </c>
      <c r="D198">
        <f>IF($B198=0,0,$C198/$B198)</f>
        <v/>
      </c>
      <c r="E198">
        <f>INDEX(Lots_Data!$N$2:$N$234,MATCH($A198,Lots_Data!$A$2:$A$234,0))</f>
        <v/>
      </c>
      <c r="F198">
        <f>1.65*($C198/30)*SQRT($E198)</f>
        <v/>
      </c>
      <c r="G198">
        <f>($B198/30)*$E198+$F198</f>
        <v/>
      </c>
      <c r="H198">
        <f>INDEX(Lots_Data!$S$2:$S$234,MATCH($A198,Lots_Data!$A$2:$A$234,0))</f>
        <v/>
      </c>
    </row>
    <row r="199">
      <c r="A199" t="inlineStr">
        <is>
          <t>SS-01195</t>
        </is>
      </c>
      <c r="B199">
        <f>AVERAGEIFS(Usage_Data!$D$2:$D$5001,Usage_Data!$C$2:$C$5001,$A199)</f>
        <v/>
      </c>
      <c r="C199">
        <f>SQRT(SUMPRODUCT((Usage_Data!$C$2:$C$5001=$A199)*(Usage_Data!$D$2:$D$5001-$B199)^2)/MAX(1,COUNTIF(Usage_Data!$C$2:$C$5001,$A199))))</f>
        <v/>
      </c>
      <c r="D199">
        <f>IF($B199=0,0,$C199/$B199)</f>
        <v/>
      </c>
      <c r="E199">
        <f>INDEX(Lots_Data!$N$2:$N$234,MATCH($A199,Lots_Data!$A$2:$A$234,0))</f>
        <v/>
      </c>
      <c r="F199">
        <f>1.65*($C199/30)*SQRT($E199)</f>
        <v/>
      </c>
      <c r="G199">
        <f>($B199/30)*$E199+$F199</f>
        <v/>
      </c>
      <c r="H199">
        <f>INDEX(Lots_Data!$S$2:$S$234,MATCH($A199,Lots_Data!$A$2:$A$234,0))</f>
        <v/>
      </c>
    </row>
    <row r="200">
      <c r="A200" t="inlineStr">
        <is>
          <t>SS-01196</t>
        </is>
      </c>
      <c r="B200">
        <f>AVERAGEIFS(Usage_Data!$D$2:$D$5001,Usage_Data!$C$2:$C$5001,$A200)</f>
        <v/>
      </c>
      <c r="C200">
        <f>SQRT(SUMPRODUCT((Usage_Data!$C$2:$C$5001=$A200)*(Usage_Data!$D$2:$D$5001-$B200)^2)/MAX(1,COUNTIF(Usage_Data!$C$2:$C$5001,$A200))))</f>
        <v/>
      </c>
      <c r="D200">
        <f>IF($B200=0,0,$C200/$B200)</f>
        <v/>
      </c>
      <c r="E200">
        <f>INDEX(Lots_Data!$N$2:$N$234,MATCH($A200,Lots_Data!$A$2:$A$234,0))</f>
        <v/>
      </c>
      <c r="F200">
        <f>1.65*($C200/30)*SQRT($E200)</f>
        <v/>
      </c>
      <c r="G200">
        <f>($B200/30)*$E200+$F200</f>
        <v/>
      </c>
      <c r="H200">
        <f>INDEX(Lots_Data!$S$2:$S$234,MATCH($A200,Lots_Data!$A$2:$A$234,0))</f>
        <v/>
      </c>
    </row>
    <row r="201">
      <c r="A201" t="inlineStr">
        <is>
          <t>SS-01197</t>
        </is>
      </c>
      <c r="B201">
        <f>AVERAGEIFS(Usage_Data!$D$2:$D$5001,Usage_Data!$C$2:$C$5001,$A201)</f>
        <v/>
      </c>
      <c r="C201">
        <f>SQRT(SUMPRODUCT((Usage_Data!$C$2:$C$5001=$A201)*(Usage_Data!$D$2:$D$5001-$B201)^2)/MAX(1,COUNTIF(Usage_Data!$C$2:$C$5001,$A201))))</f>
        <v/>
      </c>
      <c r="D201">
        <f>IF($B201=0,0,$C201/$B201)</f>
        <v/>
      </c>
      <c r="E201">
        <f>INDEX(Lots_Data!$N$2:$N$234,MATCH($A201,Lots_Data!$A$2:$A$234,0))</f>
        <v/>
      </c>
      <c r="F201">
        <f>1.65*($C201/30)*SQRT($E201)</f>
        <v/>
      </c>
      <c r="G201">
        <f>($B201/30)*$E201+$F201</f>
        <v/>
      </c>
      <c r="H201">
        <f>INDEX(Lots_Data!$S$2:$S$234,MATCH($A201,Lots_Data!$A$2:$A$234,0))</f>
        <v/>
      </c>
    </row>
    <row r="202">
      <c r="A202" t="inlineStr">
        <is>
          <t>SS-01198</t>
        </is>
      </c>
      <c r="B202">
        <f>AVERAGEIFS(Usage_Data!$D$2:$D$5001,Usage_Data!$C$2:$C$5001,$A202)</f>
        <v/>
      </c>
      <c r="C202">
        <f>SQRT(SUMPRODUCT((Usage_Data!$C$2:$C$5001=$A202)*(Usage_Data!$D$2:$D$5001-$B202)^2)/MAX(1,COUNTIF(Usage_Data!$C$2:$C$5001,$A202))))</f>
        <v/>
      </c>
      <c r="D202">
        <f>IF($B202=0,0,$C202/$B202)</f>
        <v/>
      </c>
      <c r="E202">
        <f>INDEX(Lots_Data!$N$2:$N$234,MATCH($A202,Lots_Data!$A$2:$A$234,0))</f>
        <v/>
      </c>
      <c r="F202">
        <f>1.65*($C202/30)*SQRT($E202)</f>
        <v/>
      </c>
      <c r="G202">
        <f>($B202/30)*$E202+$F202</f>
        <v/>
      </c>
      <c r="H202">
        <f>INDEX(Lots_Data!$S$2:$S$234,MATCH($A202,Lots_Data!$A$2:$A$234,0))</f>
        <v/>
      </c>
    </row>
    <row r="203">
      <c r="A203" t="inlineStr">
        <is>
          <t>SS-01199</t>
        </is>
      </c>
      <c r="B203">
        <f>AVERAGEIFS(Usage_Data!$D$2:$D$5001,Usage_Data!$C$2:$C$5001,$A203)</f>
        <v/>
      </c>
      <c r="C203">
        <f>SQRT(SUMPRODUCT((Usage_Data!$C$2:$C$5001=$A203)*(Usage_Data!$D$2:$D$5001-$B203)^2)/MAX(1,COUNTIF(Usage_Data!$C$2:$C$5001,$A203))))</f>
        <v/>
      </c>
      <c r="D203">
        <f>IF($B203=0,0,$C203/$B203)</f>
        <v/>
      </c>
      <c r="E203">
        <f>INDEX(Lots_Data!$N$2:$N$234,MATCH($A203,Lots_Data!$A$2:$A$234,0))</f>
        <v/>
      </c>
      <c r="F203">
        <f>1.65*($C203/30)*SQRT($E203)</f>
        <v/>
      </c>
      <c r="G203">
        <f>($B203/30)*$E203+$F203</f>
        <v/>
      </c>
      <c r="H203">
        <f>INDEX(Lots_Data!$S$2:$S$234,MATCH($A203,Lots_Data!$A$2:$A$234,0))</f>
        <v/>
      </c>
    </row>
    <row r="204">
      <c r="A204" t="inlineStr">
        <is>
          <t>SS-01200</t>
        </is>
      </c>
      <c r="B204">
        <f>AVERAGEIFS(Usage_Data!$D$2:$D$5001,Usage_Data!$C$2:$C$5001,$A204)</f>
        <v/>
      </c>
      <c r="C204">
        <f>SQRT(SUMPRODUCT((Usage_Data!$C$2:$C$5001=$A204)*(Usage_Data!$D$2:$D$5001-$B204)^2)/MAX(1,COUNTIF(Usage_Data!$C$2:$C$5001,$A204))))</f>
        <v/>
      </c>
      <c r="D204">
        <f>IF($B204=0,0,$C204/$B204)</f>
        <v/>
      </c>
      <c r="E204">
        <f>INDEX(Lots_Data!$N$2:$N$234,MATCH($A204,Lots_Data!$A$2:$A$234,0))</f>
        <v/>
      </c>
      <c r="F204">
        <f>1.65*($C204/30)*SQRT($E204)</f>
        <v/>
      </c>
      <c r="G204">
        <f>($B204/30)*$E204+$F204</f>
        <v/>
      </c>
      <c r="H204">
        <f>INDEX(Lots_Data!$S$2:$S$234,MATCH($A204,Lots_Data!$A$2:$A$234,0))</f>
        <v/>
      </c>
    </row>
    <row r="205">
      <c r="A205" t="inlineStr">
        <is>
          <t>SS-01201</t>
        </is>
      </c>
      <c r="B205">
        <f>AVERAGEIFS(Usage_Data!$D$2:$D$5001,Usage_Data!$C$2:$C$5001,$A205)</f>
        <v/>
      </c>
      <c r="C205">
        <f>SQRT(SUMPRODUCT((Usage_Data!$C$2:$C$5001=$A205)*(Usage_Data!$D$2:$D$5001-$B205)^2)/MAX(1,COUNTIF(Usage_Data!$C$2:$C$5001,$A205))))</f>
        <v/>
      </c>
      <c r="D205">
        <f>IF($B205=0,0,$C205/$B205)</f>
        <v/>
      </c>
      <c r="E205">
        <f>INDEX(Lots_Data!$N$2:$N$234,MATCH($A205,Lots_Data!$A$2:$A$234,0))</f>
        <v/>
      </c>
      <c r="F205">
        <f>1.65*($C205/30)*SQRT($E205)</f>
        <v/>
      </c>
      <c r="G205">
        <f>($B205/30)*$E205+$F205</f>
        <v/>
      </c>
      <c r="H205">
        <f>INDEX(Lots_Data!$S$2:$S$234,MATCH($A205,Lots_Data!$A$2:$A$234,0))</f>
        <v/>
      </c>
    </row>
    <row r="206">
      <c r="A206" t="inlineStr">
        <is>
          <t>SS-01202</t>
        </is>
      </c>
      <c r="B206">
        <f>AVERAGEIFS(Usage_Data!$D$2:$D$5001,Usage_Data!$C$2:$C$5001,$A206)</f>
        <v/>
      </c>
      <c r="C206">
        <f>SQRT(SUMPRODUCT((Usage_Data!$C$2:$C$5001=$A206)*(Usage_Data!$D$2:$D$5001-$B206)^2)/MAX(1,COUNTIF(Usage_Data!$C$2:$C$5001,$A206))))</f>
        <v/>
      </c>
      <c r="D206">
        <f>IF($B206=0,0,$C206/$B206)</f>
        <v/>
      </c>
      <c r="E206">
        <f>INDEX(Lots_Data!$N$2:$N$234,MATCH($A206,Lots_Data!$A$2:$A$234,0))</f>
        <v/>
      </c>
      <c r="F206">
        <f>1.65*($C206/30)*SQRT($E206)</f>
        <v/>
      </c>
      <c r="G206">
        <f>($B206/30)*$E206+$F206</f>
        <v/>
      </c>
      <c r="H206">
        <f>INDEX(Lots_Data!$S$2:$S$234,MATCH($A206,Lots_Data!$A$2:$A$234,0))</f>
        <v/>
      </c>
    </row>
    <row r="207">
      <c r="A207" t="inlineStr">
        <is>
          <t>SS-01203</t>
        </is>
      </c>
      <c r="B207">
        <f>AVERAGEIFS(Usage_Data!$D$2:$D$5001,Usage_Data!$C$2:$C$5001,$A207)</f>
        <v/>
      </c>
      <c r="C207">
        <f>SQRT(SUMPRODUCT((Usage_Data!$C$2:$C$5001=$A207)*(Usage_Data!$D$2:$D$5001-$B207)^2)/MAX(1,COUNTIF(Usage_Data!$C$2:$C$5001,$A207))))</f>
        <v/>
      </c>
      <c r="D207">
        <f>IF($B207=0,0,$C207/$B207)</f>
        <v/>
      </c>
      <c r="E207">
        <f>INDEX(Lots_Data!$N$2:$N$234,MATCH($A207,Lots_Data!$A$2:$A$234,0))</f>
        <v/>
      </c>
      <c r="F207">
        <f>1.65*($C207/30)*SQRT($E207)</f>
        <v/>
      </c>
      <c r="G207">
        <f>($B207/30)*$E207+$F207</f>
        <v/>
      </c>
      <c r="H207">
        <f>INDEX(Lots_Data!$S$2:$S$234,MATCH($A207,Lots_Data!$A$2:$A$234,0))</f>
        <v/>
      </c>
    </row>
    <row r="208">
      <c r="A208" t="inlineStr">
        <is>
          <t>SS-01204</t>
        </is>
      </c>
      <c r="B208">
        <f>AVERAGEIFS(Usage_Data!$D$2:$D$5001,Usage_Data!$C$2:$C$5001,$A208)</f>
        <v/>
      </c>
      <c r="C208">
        <f>SQRT(SUMPRODUCT((Usage_Data!$C$2:$C$5001=$A208)*(Usage_Data!$D$2:$D$5001-$B208)^2)/MAX(1,COUNTIF(Usage_Data!$C$2:$C$5001,$A208))))</f>
        <v/>
      </c>
      <c r="D208">
        <f>IF($B208=0,0,$C208/$B208)</f>
        <v/>
      </c>
      <c r="E208">
        <f>INDEX(Lots_Data!$N$2:$N$234,MATCH($A208,Lots_Data!$A$2:$A$234,0))</f>
        <v/>
      </c>
      <c r="F208">
        <f>1.65*($C208/30)*SQRT($E208)</f>
        <v/>
      </c>
      <c r="G208">
        <f>($B208/30)*$E208+$F208</f>
        <v/>
      </c>
      <c r="H208">
        <f>INDEX(Lots_Data!$S$2:$S$234,MATCH($A208,Lots_Data!$A$2:$A$234,0))</f>
        <v/>
      </c>
    </row>
    <row r="209">
      <c r="A209" t="inlineStr">
        <is>
          <t>SS-01205</t>
        </is>
      </c>
      <c r="B209">
        <f>AVERAGEIFS(Usage_Data!$D$2:$D$5001,Usage_Data!$C$2:$C$5001,$A209)</f>
        <v/>
      </c>
      <c r="C209">
        <f>SQRT(SUMPRODUCT((Usage_Data!$C$2:$C$5001=$A209)*(Usage_Data!$D$2:$D$5001-$B209)^2)/MAX(1,COUNTIF(Usage_Data!$C$2:$C$5001,$A209))))</f>
        <v/>
      </c>
      <c r="D209">
        <f>IF($B209=0,0,$C209/$B209)</f>
        <v/>
      </c>
      <c r="E209">
        <f>INDEX(Lots_Data!$N$2:$N$234,MATCH($A209,Lots_Data!$A$2:$A$234,0))</f>
        <v/>
      </c>
      <c r="F209">
        <f>1.65*($C209/30)*SQRT($E209)</f>
        <v/>
      </c>
      <c r="G209">
        <f>($B209/30)*$E209+$F209</f>
        <v/>
      </c>
      <c r="H209">
        <f>INDEX(Lots_Data!$S$2:$S$234,MATCH($A209,Lots_Data!$A$2:$A$234,0))</f>
        <v/>
      </c>
    </row>
    <row r="210">
      <c r="A210" t="inlineStr">
        <is>
          <t>SS-01206</t>
        </is>
      </c>
      <c r="B210">
        <f>AVERAGEIFS(Usage_Data!$D$2:$D$5001,Usage_Data!$C$2:$C$5001,$A210)</f>
        <v/>
      </c>
      <c r="C210">
        <f>SQRT(SUMPRODUCT((Usage_Data!$C$2:$C$5001=$A210)*(Usage_Data!$D$2:$D$5001-$B210)^2)/MAX(1,COUNTIF(Usage_Data!$C$2:$C$5001,$A210))))</f>
        <v/>
      </c>
      <c r="D210">
        <f>IF($B210=0,0,$C210/$B210)</f>
        <v/>
      </c>
      <c r="E210">
        <f>INDEX(Lots_Data!$N$2:$N$234,MATCH($A210,Lots_Data!$A$2:$A$234,0))</f>
        <v/>
      </c>
      <c r="F210">
        <f>1.65*($C210/30)*SQRT($E210)</f>
        <v/>
      </c>
      <c r="G210">
        <f>($B210/30)*$E210+$F210</f>
        <v/>
      </c>
      <c r="H210">
        <f>INDEX(Lots_Data!$S$2:$S$234,MATCH($A210,Lots_Data!$A$2:$A$234,0))</f>
        <v/>
      </c>
    </row>
    <row r="211">
      <c r="A211" t="inlineStr">
        <is>
          <t>SS-01207</t>
        </is>
      </c>
      <c r="B211">
        <f>AVERAGEIFS(Usage_Data!$D$2:$D$5001,Usage_Data!$C$2:$C$5001,$A211)</f>
        <v/>
      </c>
      <c r="C211">
        <f>SQRT(SUMPRODUCT((Usage_Data!$C$2:$C$5001=$A211)*(Usage_Data!$D$2:$D$5001-$B211)^2)/MAX(1,COUNTIF(Usage_Data!$C$2:$C$5001,$A211))))</f>
        <v/>
      </c>
      <c r="D211">
        <f>IF($B211=0,0,$C211/$B211)</f>
        <v/>
      </c>
      <c r="E211">
        <f>INDEX(Lots_Data!$N$2:$N$234,MATCH($A211,Lots_Data!$A$2:$A$234,0))</f>
        <v/>
      </c>
      <c r="F211">
        <f>1.65*($C211/30)*SQRT($E211)</f>
        <v/>
      </c>
      <c r="G211">
        <f>($B211/30)*$E211+$F211</f>
        <v/>
      </c>
      <c r="H211">
        <f>INDEX(Lots_Data!$S$2:$S$234,MATCH($A211,Lots_Data!$A$2:$A$234,0))</f>
        <v/>
      </c>
    </row>
    <row r="212">
      <c r="A212" t="inlineStr">
        <is>
          <t>SS-01208</t>
        </is>
      </c>
      <c r="B212">
        <f>AVERAGEIFS(Usage_Data!$D$2:$D$5001,Usage_Data!$C$2:$C$5001,$A212)</f>
        <v/>
      </c>
      <c r="C212">
        <f>SQRT(SUMPRODUCT((Usage_Data!$C$2:$C$5001=$A212)*(Usage_Data!$D$2:$D$5001-$B212)^2)/MAX(1,COUNTIF(Usage_Data!$C$2:$C$5001,$A212))))</f>
        <v/>
      </c>
      <c r="D212">
        <f>IF($B212=0,0,$C212/$B212)</f>
        <v/>
      </c>
      <c r="E212">
        <f>INDEX(Lots_Data!$N$2:$N$234,MATCH($A212,Lots_Data!$A$2:$A$234,0))</f>
        <v/>
      </c>
      <c r="F212">
        <f>1.65*($C212/30)*SQRT($E212)</f>
        <v/>
      </c>
      <c r="G212">
        <f>($B212/30)*$E212+$F212</f>
        <v/>
      </c>
      <c r="H212">
        <f>INDEX(Lots_Data!$S$2:$S$234,MATCH($A212,Lots_Data!$A$2:$A$234,0))</f>
        <v/>
      </c>
    </row>
    <row r="213">
      <c r="A213" t="inlineStr">
        <is>
          <t>SS-01209</t>
        </is>
      </c>
      <c r="B213">
        <f>AVERAGEIFS(Usage_Data!$D$2:$D$5001,Usage_Data!$C$2:$C$5001,$A213)</f>
        <v/>
      </c>
      <c r="C213">
        <f>SQRT(SUMPRODUCT((Usage_Data!$C$2:$C$5001=$A213)*(Usage_Data!$D$2:$D$5001-$B213)^2)/MAX(1,COUNTIF(Usage_Data!$C$2:$C$5001,$A213))))</f>
        <v/>
      </c>
      <c r="D213">
        <f>IF($B213=0,0,$C213/$B213)</f>
        <v/>
      </c>
      <c r="E213">
        <f>INDEX(Lots_Data!$N$2:$N$234,MATCH($A213,Lots_Data!$A$2:$A$234,0))</f>
        <v/>
      </c>
      <c r="F213">
        <f>1.65*($C213/30)*SQRT($E213)</f>
        <v/>
      </c>
      <c r="G213">
        <f>($B213/30)*$E213+$F213</f>
        <v/>
      </c>
      <c r="H213">
        <f>INDEX(Lots_Data!$S$2:$S$234,MATCH($A213,Lots_Data!$A$2:$A$234,0))</f>
        <v/>
      </c>
    </row>
    <row r="214">
      <c r="A214" t="inlineStr">
        <is>
          <t>SS-01210</t>
        </is>
      </c>
      <c r="B214">
        <f>AVERAGEIFS(Usage_Data!$D$2:$D$5001,Usage_Data!$C$2:$C$5001,$A214)</f>
        <v/>
      </c>
      <c r="C214">
        <f>SQRT(SUMPRODUCT((Usage_Data!$C$2:$C$5001=$A214)*(Usage_Data!$D$2:$D$5001-$B214)^2)/MAX(1,COUNTIF(Usage_Data!$C$2:$C$5001,$A214))))</f>
        <v/>
      </c>
      <c r="D214">
        <f>IF($B214=0,0,$C214/$B214)</f>
        <v/>
      </c>
      <c r="E214">
        <f>INDEX(Lots_Data!$N$2:$N$234,MATCH($A214,Lots_Data!$A$2:$A$234,0))</f>
        <v/>
      </c>
      <c r="F214">
        <f>1.65*($C214/30)*SQRT($E214)</f>
        <v/>
      </c>
      <c r="G214">
        <f>($B214/30)*$E214+$F214</f>
        <v/>
      </c>
      <c r="H214">
        <f>INDEX(Lots_Data!$S$2:$S$234,MATCH($A214,Lots_Data!$A$2:$A$234,0))</f>
        <v/>
      </c>
    </row>
    <row r="215">
      <c r="A215" t="inlineStr">
        <is>
          <t>SS-01211</t>
        </is>
      </c>
      <c r="B215">
        <f>AVERAGEIFS(Usage_Data!$D$2:$D$5001,Usage_Data!$C$2:$C$5001,$A215)</f>
        <v/>
      </c>
      <c r="C215">
        <f>SQRT(SUMPRODUCT((Usage_Data!$C$2:$C$5001=$A215)*(Usage_Data!$D$2:$D$5001-$B215)^2)/MAX(1,COUNTIF(Usage_Data!$C$2:$C$5001,$A215))))</f>
        <v/>
      </c>
      <c r="D215">
        <f>IF($B215=0,0,$C215/$B215)</f>
        <v/>
      </c>
      <c r="E215">
        <f>INDEX(Lots_Data!$N$2:$N$234,MATCH($A215,Lots_Data!$A$2:$A$234,0))</f>
        <v/>
      </c>
      <c r="F215">
        <f>1.65*($C215/30)*SQRT($E215)</f>
        <v/>
      </c>
      <c r="G215">
        <f>($B215/30)*$E215+$F215</f>
        <v/>
      </c>
      <c r="H215">
        <f>INDEX(Lots_Data!$S$2:$S$234,MATCH($A215,Lots_Data!$A$2:$A$234,0))</f>
        <v/>
      </c>
    </row>
    <row r="216">
      <c r="A216" t="inlineStr">
        <is>
          <t>SS-01212</t>
        </is>
      </c>
      <c r="B216">
        <f>AVERAGEIFS(Usage_Data!$D$2:$D$5001,Usage_Data!$C$2:$C$5001,$A216)</f>
        <v/>
      </c>
      <c r="C216">
        <f>SQRT(SUMPRODUCT((Usage_Data!$C$2:$C$5001=$A216)*(Usage_Data!$D$2:$D$5001-$B216)^2)/MAX(1,COUNTIF(Usage_Data!$C$2:$C$5001,$A216))))</f>
        <v/>
      </c>
      <c r="D216">
        <f>IF($B216=0,0,$C216/$B216)</f>
        <v/>
      </c>
      <c r="E216">
        <f>INDEX(Lots_Data!$N$2:$N$234,MATCH($A216,Lots_Data!$A$2:$A$234,0))</f>
        <v/>
      </c>
      <c r="F216">
        <f>1.65*($C216/30)*SQRT($E216)</f>
        <v/>
      </c>
      <c r="G216">
        <f>($B216/30)*$E216+$F216</f>
        <v/>
      </c>
      <c r="H216">
        <f>INDEX(Lots_Data!$S$2:$S$234,MATCH($A216,Lots_Data!$A$2:$A$234,0))</f>
        <v/>
      </c>
    </row>
    <row r="217">
      <c r="A217" t="inlineStr">
        <is>
          <t>SS-01213</t>
        </is>
      </c>
      <c r="B217">
        <f>AVERAGEIFS(Usage_Data!$D$2:$D$5001,Usage_Data!$C$2:$C$5001,$A217)</f>
        <v/>
      </c>
      <c r="C217">
        <f>SQRT(SUMPRODUCT((Usage_Data!$C$2:$C$5001=$A217)*(Usage_Data!$D$2:$D$5001-$B217)^2)/MAX(1,COUNTIF(Usage_Data!$C$2:$C$5001,$A217))))</f>
        <v/>
      </c>
      <c r="D217">
        <f>IF($B217=0,0,$C217/$B217)</f>
        <v/>
      </c>
      <c r="E217">
        <f>INDEX(Lots_Data!$N$2:$N$234,MATCH($A217,Lots_Data!$A$2:$A$234,0))</f>
        <v/>
      </c>
      <c r="F217">
        <f>1.65*($C217/30)*SQRT($E217)</f>
        <v/>
      </c>
      <c r="G217">
        <f>($B217/30)*$E217+$F217</f>
        <v/>
      </c>
      <c r="H217">
        <f>INDEX(Lots_Data!$S$2:$S$234,MATCH($A217,Lots_Data!$A$2:$A$234,0))</f>
        <v/>
      </c>
    </row>
    <row r="218">
      <c r="A218" t="inlineStr">
        <is>
          <t>SS-01214</t>
        </is>
      </c>
      <c r="B218">
        <f>AVERAGEIFS(Usage_Data!$D$2:$D$5001,Usage_Data!$C$2:$C$5001,$A218)</f>
        <v/>
      </c>
      <c r="C218">
        <f>SQRT(SUMPRODUCT((Usage_Data!$C$2:$C$5001=$A218)*(Usage_Data!$D$2:$D$5001-$B218)^2)/MAX(1,COUNTIF(Usage_Data!$C$2:$C$5001,$A218))))</f>
        <v/>
      </c>
      <c r="D218">
        <f>IF($B218=0,0,$C218/$B218)</f>
        <v/>
      </c>
      <c r="E218">
        <f>INDEX(Lots_Data!$N$2:$N$234,MATCH($A218,Lots_Data!$A$2:$A$234,0))</f>
        <v/>
      </c>
      <c r="F218">
        <f>1.65*($C218/30)*SQRT($E218)</f>
        <v/>
      </c>
      <c r="G218">
        <f>($B218/30)*$E218+$F218</f>
        <v/>
      </c>
      <c r="H218">
        <f>INDEX(Lots_Data!$S$2:$S$234,MATCH($A218,Lots_Data!$A$2:$A$234,0))</f>
        <v/>
      </c>
    </row>
    <row r="219">
      <c r="A219" t="inlineStr">
        <is>
          <t>SS-01215</t>
        </is>
      </c>
      <c r="B219">
        <f>AVERAGEIFS(Usage_Data!$D$2:$D$5001,Usage_Data!$C$2:$C$5001,$A219)</f>
        <v/>
      </c>
      <c r="C219">
        <f>SQRT(SUMPRODUCT((Usage_Data!$C$2:$C$5001=$A219)*(Usage_Data!$D$2:$D$5001-$B219)^2)/MAX(1,COUNTIF(Usage_Data!$C$2:$C$5001,$A219))))</f>
        <v/>
      </c>
      <c r="D219">
        <f>IF($B219=0,0,$C219/$B219)</f>
        <v/>
      </c>
      <c r="E219">
        <f>INDEX(Lots_Data!$N$2:$N$234,MATCH($A219,Lots_Data!$A$2:$A$234,0))</f>
        <v/>
      </c>
      <c r="F219">
        <f>1.65*($C219/30)*SQRT($E219)</f>
        <v/>
      </c>
      <c r="G219">
        <f>($B219/30)*$E219+$F219</f>
        <v/>
      </c>
      <c r="H219">
        <f>INDEX(Lots_Data!$S$2:$S$234,MATCH($A219,Lots_Data!$A$2:$A$234,0))</f>
        <v/>
      </c>
    </row>
    <row r="220">
      <c r="A220" t="inlineStr">
        <is>
          <t>SS-01216</t>
        </is>
      </c>
      <c r="B220">
        <f>AVERAGEIFS(Usage_Data!$D$2:$D$5001,Usage_Data!$C$2:$C$5001,$A220)</f>
        <v/>
      </c>
      <c r="C220">
        <f>SQRT(SUMPRODUCT((Usage_Data!$C$2:$C$5001=$A220)*(Usage_Data!$D$2:$D$5001-$B220)^2)/MAX(1,COUNTIF(Usage_Data!$C$2:$C$5001,$A220))))</f>
        <v/>
      </c>
      <c r="D220">
        <f>IF($B220=0,0,$C220/$B220)</f>
        <v/>
      </c>
      <c r="E220">
        <f>INDEX(Lots_Data!$N$2:$N$234,MATCH($A220,Lots_Data!$A$2:$A$234,0))</f>
        <v/>
      </c>
      <c r="F220">
        <f>1.65*($C220/30)*SQRT($E220)</f>
        <v/>
      </c>
      <c r="G220">
        <f>($B220/30)*$E220+$F220</f>
        <v/>
      </c>
      <c r="H220">
        <f>INDEX(Lots_Data!$S$2:$S$234,MATCH($A220,Lots_Data!$A$2:$A$234,0))</f>
        <v/>
      </c>
    </row>
    <row r="221">
      <c r="A221" t="inlineStr">
        <is>
          <t>SS-01217</t>
        </is>
      </c>
      <c r="B221">
        <f>AVERAGEIFS(Usage_Data!$D$2:$D$5001,Usage_Data!$C$2:$C$5001,$A221)</f>
        <v/>
      </c>
      <c r="C221">
        <f>SQRT(SUMPRODUCT((Usage_Data!$C$2:$C$5001=$A221)*(Usage_Data!$D$2:$D$5001-$B221)^2)/MAX(1,COUNTIF(Usage_Data!$C$2:$C$5001,$A221))))</f>
        <v/>
      </c>
      <c r="D221">
        <f>IF($B221=0,0,$C221/$B221)</f>
        <v/>
      </c>
      <c r="E221">
        <f>INDEX(Lots_Data!$N$2:$N$234,MATCH($A221,Lots_Data!$A$2:$A$234,0))</f>
        <v/>
      </c>
      <c r="F221">
        <f>1.65*($C221/30)*SQRT($E221)</f>
        <v/>
      </c>
      <c r="G221">
        <f>($B221/30)*$E221+$F221</f>
        <v/>
      </c>
      <c r="H221">
        <f>INDEX(Lots_Data!$S$2:$S$234,MATCH($A221,Lots_Data!$A$2:$A$234,0))</f>
        <v/>
      </c>
    </row>
    <row r="222">
      <c r="A222" t="inlineStr">
        <is>
          <t>SS-01218</t>
        </is>
      </c>
      <c r="B222">
        <f>AVERAGEIFS(Usage_Data!$D$2:$D$5001,Usage_Data!$C$2:$C$5001,$A222)</f>
        <v/>
      </c>
      <c r="C222">
        <f>SQRT(SUMPRODUCT((Usage_Data!$C$2:$C$5001=$A222)*(Usage_Data!$D$2:$D$5001-$B222)^2)/MAX(1,COUNTIF(Usage_Data!$C$2:$C$5001,$A222))))</f>
        <v/>
      </c>
      <c r="D222">
        <f>IF($B222=0,0,$C222/$B222)</f>
        <v/>
      </c>
      <c r="E222">
        <f>INDEX(Lots_Data!$N$2:$N$234,MATCH($A222,Lots_Data!$A$2:$A$234,0))</f>
        <v/>
      </c>
      <c r="F222">
        <f>1.65*($C222/30)*SQRT($E222)</f>
        <v/>
      </c>
      <c r="G222">
        <f>($B222/30)*$E222+$F222</f>
        <v/>
      </c>
      <c r="H222">
        <f>INDEX(Lots_Data!$S$2:$S$234,MATCH($A222,Lots_Data!$A$2:$A$234,0))</f>
        <v/>
      </c>
    </row>
    <row r="223">
      <c r="A223" t="inlineStr">
        <is>
          <t>SS-01219</t>
        </is>
      </c>
      <c r="B223">
        <f>AVERAGEIFS(Usage_Data!$D$2:$D$5001,Usage_Data!$C$2:$C$5001,$A223)</f>
        <v/>
      </c>
      <c r="C223">
        <f>SQRT(SUMPRODUCT((Usage_Data!$C$2:$C$5001=$A223)*(Usage_Data!$D$2:$D$5001-$B223)^2)/MAX(1,COUNTIF(Usage_Data!$C$2:$C$5001,$A223))))</f>
        <v/>
      </c>
      <c r="D223">
        <f>IF($B223=0,0,$C223/$B223)</f>
        <v/>
      </c>
      <c r="E223">
        <f>INDEX(Lots_Data!$N$2:$N$234,MATCH($A223,Lots_Data!$A$2:$A$234,0))</f>
        <v/>
      </c>
      <c r="F223">
        <f>1.65*($C223/30)*SQRT($E223)</f>
        <v/>
      </c>
      <c r="G223">
        <f>($B223/30)*$E223+$F223</f>
        <v/>
      </c>
      <c r="H223">
        <f>INDEX(Lots_Data!$S$2:$S$234,MATCH($A223,Lots_Data!$A$2:$A$234,0))</f>
        <v/>
      </c>
    </row>
    <row r="224">
      <c r="A224" t="inlineStr">
        <is>
          <t>SS-01220</t>
        </is>
      </c>
      <c r="B224">
        <f>AVERAGEIFS(Usage_Data!$D$2:$D$5001,Usage_Data!$C$2:$C$5001,$A224)</f>
        <v/>
      </c>
      <c r="C224">
        <f>SQRT(SUMPRODUCT((Usage_Data!$C$2:$C$5001=$A224)*(Usage_Data!$D$2:$D$5001-$B224)^2)/MAX(1,COUNTIF(Usage_Data!$C$2:$C$5001,$A224))))</f>
        <v/>
      </c>
      <c r="D224">
        <f>IF($B224=0,0,$C224/$B224)</f>
        <v/>
      </c>
      <c r="E224">
        <f>INDEX(Lots_Data!$N$2:$N$234,MATCH($A224,Lots_Data!$A$2:$A$234,0))</f>
        <v/>
      </c>
      <c r="F224">
        <f>1.65*($C224/30)*SQRT($E224)</f>
        <v/>
      </c>
      <c r="G224">
        <f>($B224/30)*$E224+$F224</f>
        <v/>
      </c>
      <c r="H224">
        <f>INDEX(Lots_Data!$S$2:$S$234,MATCH($A224,Lots_Data!$A$2:$A$234,0))</f>
        <v/>
      </c>
    </row>
    <row r="225">
      <c r="A225" t="inlineStr">
        <is>
          <t>SS-01221</t>
        </is>
      </c>
      <c r="B225">
        <f>AVERAGEIFS(Usage_Data!$D$2:$D$5001,Usage_Data!$C$2:$C$5001,$A225)</f>
        <v/>
      </c>
      <c r="C225">
        <f>SQRT(SUMPRODUCT((Usage_Data!$C$2:$C$5001=$A225)*(Usage_Data!$D$2:$D$5001-$B225)^2)/MAX(1,COUNTIF(Usage_Data!$C$2:$C$5001,$A225))))</f>
        <v/>
      </c>
      <c r="D225">
        <f>IF($B225=0,0,$C225/$B225)</f>
        <v/>
      </c>
      <c r="E225">
        <f>INDEX(Lots_Data!$N$2:$N$234,MATCH($A225,Lots_Data!$A$2:$A$234,0))</f>
        <v/>
      </c>
      <c r="F225">
        <f>1.65*($C225/30)*SQRT($E225)</f>
        <v/>
      </c>
      <c r="G225">
        <f>($B225/30)*$E225+$F225</f>
        <v/>
      </c>
      <c r="H225">
        <f>INDEX(Lots_Data!$S$2:$S$234,MATCH($A225,Lots_Data!$A$2:$A$234,0))</f>
        <v/>
      </c>
    </row>
    <row r="226">
      <c r="A226" t="inlineStr">
        <is>
          <t>SS-01222</t>
        </is>
      </c>
      <c r="B226">
        <f>AVERAGEIFS(Usage_Data!$D$2:$D$5001,Usage_Data!$C$2:$C$5001,$A226)</f>
        <v/>
      </c>
      <c r="C226">
        <f>SQRT(SUMPRODUCT((Usage_Data!$C$2:$C$5001=$A226)*(Usage_Data!$D$2:$D$5001-$B226)^2)/MAX(1,COUNTIF(Usage_Data!$C$2:$C$5001,$A226))))</f>
        <v/>
      </c>
      <c r="D226">
        <f>IF($B226=0,0,$C226/$B226)</f>
        <v/>
      </c>
      <c r="E226">
        <f>INDEX(Lots_Data!$N$2:$N$234,MATCH($A226,Lots_Data!$A$2:$A$234,0))</f>
        <v/>
      </c>
      <c r="F226">
        <f>1.65*($C226/30)*SQRT($E226)</f>
        <v/>
      </c>
      <c r="G226">
        <f>($B226/30)*$E226+$F226</f>
        <v/>
      </c>
      <c r="H226">
        <f>INDEX(Lots_Data!$S$2:$S$234,MATCH($A226,Lots_Data!$A$2:$A$234,0))</f>
        <v/>
      </c>
    </row>
    <row r="227">
      <c r="A227" t="inlineStr">
        <is>
          <t>SS-01223</t>
        </is>
      </c>
      <c r="B227">
        <f>AVERAGEIFS(Usage_Data!$D$2:$D$5001,Usage_Data!$C$2:$C$5001,$A227)</f>
        <v/>
      </c>
      <c r="C227">
        <f>SQRT(SUMPRODUCT((Usage_Data!$C$2:$C$5001=$A227)*(Usage_Data!$D$2:$D$5001-$B227)^2)/MAX(1,COUNTIF(Usage_Data!$C$2:$C$5001,$A227))))</f>
        <v/>
      </c>
      <c r="D227">
        <f>IF($B227=0,0,$C227/$B227)</f>
        <v/>
      </c>
      <c r="E227">
        <f>INDEX(Lots_Data!$N$2:$N$234,MATCH($A227,Lots_Data!$A$2:$A$234,0))</f>
        <v/>
      </c>
      <c r="F227">
        <f>1.65*($C227/30)*SQRT($E227)</f>
        <v/>
      </c>
      <c r="G227">
        <f>($B227/30)*$E227+$F227</f>
        <v/>
      </c>
      <c r="H227">
        <f>INDEX(Lots_Data!$S$2:$S$234,MATCH($A227,Lots_Data!$A$2:$A$234,0))</f>
        <v/>
      </c>
    </row>
    <row r="228">
      <c r="A228" t="inlineStr">
        <is>
          <t>SS-01224</t>
        </is>
      </c>
      <c r="B228">
        <f>AVERAGEIFS(Usage_Data!$D$2:$D$5001,Usage_Data!$C$2:$C$5001,$A228)</f>
        <v/>
      </c>
      <c r="C228">
        <f>SQRT(SUMPRODUCT((Usage_Data!$C$2:$C$5001=$A228)*(Usage_Data!$D$2:$D$5001-$B228)^2)/MAX(1,COUNTIF(Usage_Data!$C$2:$C$5001,$A228))))</f>
        <v/>
      </c>
      <c r="D228">
        <f>IF($B228=0,0,$C228/$B228)</f>
        <v/>
      </c>
      <c r="E228">
        <f>INDEX(Lots_Data!$N$2:$N$234,MATCH($A228,Lots_Data!$A$2:$A$234,0))</f>
        <v/>
      </c>
      <c r="F228">
        <f>1.65*($C228/30)*SQRT($E228)</f>
        <v/>
      </c>
      <c r="G228">
        <f>($B228/30)*$E228+$F228</f>
        <v/>
      </c>
      <c r="H228">
        <f>INDEX(Lots_Data!$S$2:$S$234,MATCH($A228,Lots_Data!$A$2:$A$234,0))</f>
        <v/>
      </c>
    </row>
    <row r="229">
      <c r="A229" t="inlineStr">
        <is>
          <t>SS-01225</t>
        </is>
      </c>
      <c r="B229">
        <f>AVERAGEIFS(Usage_Data!$D$2:$D$5001,Usage_Data!$C$2:$C$5001,$A229)</f>
        <v/>
      </c>
      <c r="C229">
        <f>SQRT(SUMPRODUCT((Usage_Data!$C$2:$C$5001=$A229)*(Usage_Data!$D$2:$D$5001-$B229)^2)/MAX(1,COUNTIF(Usage_Data!$C$2:$C$5001,$A229))))</f>
        <v/>
      </c>
      <c r="D229">
        <f>IF($B229=0,0,$C229/$B229)</f>
        <v/>
      </c>
      <c r="E229">
        <f>INDEX(Lots_Data!$N$2:$N$234,MATCH($A229,Lots_Data!$A$2:$A$234,0))</f>
        <v/>
      </c>
      <c r="F229">
        <f>1.65*($C229/30)*SQRT($E229)</f>
        <v/>
      </c>
      <c r="G229">
        <f>($B229/30)*$E229+$F229</f>
        <v/>
      </c>
      <c r="H229">
        <f>INDEX(Lots_Data!$S$2:$S$234,MATCH($A229,Lots_Data!$A$2:$A$234,0))</f>
        <v/>
      </c>
    </row>
    <row r="230">
      <c r="A230" t="inlineStr">
        <is>
          <t>SS-01226</t>
        </is>
      </c>
      <c r="B230">
        <f>AVERAGEIFS(Usage_Data!$D$2:$D$5001,Usage_Data!$C$2:$C$5001,$A230)</f>
        <v/>
      </c>
      <c r="C230">
        <f>SQRT(SUMPRODUCT((Usage_Data!$C$2:$C$5001=$A230)*(Usage_Data!$D$2:$D$5001-$B230)^2)/MAX(1,COUNTIF(Usage_Data!$C$2:$C$5001,$A230))))</f>
        <v/>
      </c>
      <c r="D230">
        <f>IF($B230=0,0,$C230/$B230)</f>
        <v/>
      </c>
      <c r="E230">
        <f>INDEX(Lots_Data!$N$2:$N$234,MATCH($A230,Lots_Data!$A$2:$A$234,0))</f>
        <v/>
      </c>
      <c r="F230">
        <f>1.65*($C230/30)*SQRT($E230)</f>
        <v/>
      </c>
      <c r="G230">
        <f>($B230/30)*$E230+$F230</f>
        <v/>
      </c>
      <c r="H230">
        <f>INDEX(Lots_Data!$S$2:$S$234,MATCH($A230,Lots_Data!$A$2:$A$234,0))</f>
        <v/>
      </c>
    </row>
    <row r="231">
      <c r="A231" t="inlineStr">
        <is>
          <t>SS-01227</t>
        </is>
      </c>
      <c r="B231">
        <f>AVERAGEIFS(Usage_Data!$D$2:$D$5001,Usage_Data!$C$2:$C$5001,$A231)</f>
        <v/>
      </c>
      <c r="C231">
        <f>SQRT(SUMPRODUCT((Usage_Data!$C$2:$C$5001=$A231)*(Usage_Data!$D$2:$D$5001-$B231)^2)/MAX(1,COUNTIF(Usage_Data!$C$2:$C$5001,$A231))))</f>
        <v/>
      </c>
      <c r="D231">
        <f>IF($B231=0,0,$C231/$B231)</f>
        <v/>
      </c>
      <c r="E231">
        <f>INDEX(Lots_Data!$N$2:$N$234,MATCH($A231,Lots_Data!$A$2:$A$234,0))</f>
        <v/>
      </c>
      <c r="F231">
        <f>1.65*($C231/30)*SQRT($E231)</f>
        <v/>
      </c>
      <c r="G231">
        <f>($B231/30)*$E231+$F231</f>
        <v/>
      </c>
      <c r="H231">
        <f>INDEX(Lots_Data!$S$2:$S$234,MATCH($A231,Lots_Data!$A$2:$A$234,0))</f>
        <v/>
      </c>
    </row>
    <row r="232">
      <c r="A232" t="inlineStr">
        <is>
          <t>SS-01228</t>
        </is>
      </c>
      <c r="B232">
        <f>AVERAGEIFS(Usage_Data!$D$2:$D$5001,Usage_Data!$C$2:$C$5001,$A232)</f>
        <v/>
      </c>
      <c r="C232">
        <f>SQRT(SUMPRODUCT((Usage_Data!$C$2:$C$5001=$A232)*(Usage_Data!$D$2:$D$5001-$B232)^2)/MAX(1,COUNTIF(Usage_Data!$C$2:$C$5001,$A232))))</f>
        <v/>
      </c>
      <c r="D232">
        <f>IF($B232=0,0,$C232/$B232)</f>
        <v/>
      </c>
      <c r="E232">
        <f>INDEX(Lots_Data!$N$2:$N$234,MATCH($A232,Lots_Data!$A$2:$A$234,0))</f>
        <v/>
      </c>
      <c r="F232">
        <f>1.65*($C232/30)*SQRT($E232)</f>
        <v/>
      </c>
      <c r="G232">
        <f>($B232/30)*$E232+$F232</f>
        <v/>
      </c>
      <c r="H232">
        <f>INDEX(Lots_Data!$S$2:$S$234,MATCH($A232,Lots_Data!$A$2:$A$234,0))</f>
        <v/>
      </c>
    </row>
    <row r="233">
      <c r="A233" t="inlineStr">
        <is>
          <t>SS-01229</t>
        </is>
      </c>
      <c r="B233">
        <f>AVERAGEIFS(Usage_Data!$D$2:$D$5001,Usage_Data!$C$2:$C$5001,$A233)</f>
        <v/>
      </c>
      <c r="C233">
        <f>SQRT(SUMPRODUCT((Usage_Data!$C$2:$C$5001=$A233)*(Usage_Data!$D$2:$D$5001-$B233)^2)/MAX(1,COUNTIF(Usage_Data!$C$2:$C$5001,$A233))))</f>
        <v/>
      </c>
      <c r="D233">
        <f>IF($B233=0,0,$C233/$B233)</f>
        <v/>
      </c>
      <c r="E233">
        <f>INDEX(Lots_Data!$N$2:$N$234,MATCH($A233,Lots_Data!$A$2:$A$234,0))</f>
        <v/>
      </c>
      <c r="F233">
        <f>1.65*($C233/30)*SQRT($E233)</f>
        <v/>
      </c>
      <c r="G233">
        <f>($B233/30)*$E233+$F233</f>
        <v/>
      </c>
      <c r="H233">
        <f>INDEX(Lots_Data!$S$2:$S$234,MATCH($A233,Lots_Data!$A$2:$A$234,0))</f>
        <v/>
      </c>
    </row>
    <row r="234">
      <c r="A234" t="inlineStr">
        <is>
          <t>SS-01230</t>
        </is>
      </c>
      <c r="B234">
        <f>AVERAGEIFS(Usage_Data!$D$2:$D$5001,Usage_Data!$C$2:$C$5001,$A234)</f>
        <v/>
      </c>
      <c r="C234">
        <f>SQRT(SUMPRODUCT((Usage_Data!$C$2:$C$5001=$A234)*(Usage_Data!$D$2:$D$5001-$B234)^2)/MAX(1,COUNTIF(Usage_Data!$C$2:$C$5001,$A234))))</f>
        <v/>
      </c>
      <c r="D234">
        <f>IF($B234=0,0,$C234/$B234)</f>
        <v/>
      </c>
      <c r="E234">
        <f>INDEX(Lots_Data!$N$2:$N$234,MATCH($A234,Lots_Data!$A$2:$A$234,0))</f>
        <v/>
      </c>
      <c r="F234">
        <f>1.65*($C234/30)*SQRT($E234)</f>
        <v/>
      </c>
      <c r="G234">
        <f>($B234/30)*$E234+$F234</f>
        <v/>
      </c>
      <c r="H234">
        <f>INDEX(Lots_Data!$S$2:$S$234,MATCH($A234,Lots_Data!$A$2:$A$234,0))</f>
        <v/>
      </c>
    </row>
    <row r="235">
      <c r="A235" t="inlineStr">
        <is>
          <t>SS-01231</t>
        </is>
      </c>
      <c r="B235">
        <f>AVERAGEIFS(Usage_Data!$D$2:$D$5001,Usage_Data!$C$2:$C$5001,$A235)</f>
        <v/>
      </c>
      <c r="C235">
        <f>SQRT(SUMPRODUCT((Usage_Data!$C$2:$C$5001=$A235)*(Usage_Data!$D$2:$D$5001-$B235)^2)/MAX(1,COUNTIF(Usage_Data!$C$2:$C$5001,$A235))))</f>
        <v/>
      </c>
      <c r="D235">
        <f>IF($B235=0,0,$C235/$B235)</f>
        <v/>
      </c>
      <c r="E235">
        <f>INDEX(Lots_Data!$N$2:$N$234,MATCH($A235,Lots_Data!$A$2:$A$234,0))</f>
        <v/>
      </c>
      <c r="F235">
        <f>1.65*($C235/30)*SQRT($E235)</f>
        <v/>
      </c>
      <c r="G235">
        <f>($B235/30)*$E235+$F235</f>
        <v/>
      </c>
      <c r="H235">
        <f>INDEX(Lots_Data!$S$2:$S$234,MATCH($A235,Lots_Data!$A$2:$A$234,0))</f>
        <v/>
      </c>
    </row>
    <row r="236">
      <c r="A236" t="inlineStr">
        <is>
          <t>SS-01232</t>
        </is>
      </c>
      <c r="B236">
        <f>AVERAGEIFS(Usage_Data!$D$2:$D$5001,Usage_Data!$C$2:$C$5001,$A236)</f>
        <v/>
      </c>
      <c r="C236">
        <f>SQRT(SUMPRODUCT((Usage_Data!$C$2:$C$5001=$A236)*(Usage_Data!$D$2:$D$5001-$B236)^2)/MAX(1,COUNTIF(Usage_Data!$C$2:$C$5001,$A236))))</f>
        <v/>
      </c>
      <c r="D236">
        <f>IF($B236=0,0,$C236/$B236)</f>
        <v/>
      </c>
      <c r="E236">
        <f>INDEX(Lots_Data!$N$2:$N$234,MATCH($A236,Lots_Data!$A$2:$A$234,0))</f>
        <v/>
      </c>
      <c r="F236">
        <f>1.65*($C236/30)*SQRT($E236)</f>
        <v/>
      </c>
      <c r="G236">
        <f>($B236/30)*$E236+$F236</f>
        <v/>
      </c>
      <c r="H236">
        <f>INDEX(Lots_Data!$S$2:$S$234,MATCH($A236,Lots_Data!$A$2:$A$234,0))</f>
        <v/>
      </c>
    </row>
    <row r="237">
      <c r="A237" t="inlineStr">
        <is>
          <t>SS-01233</t>
        </is>
      </c>
      <c r="B237">
        <f>AVERAGEIFS(Usage_Data!$D$2:$D$5001,Usage_Data!$C$2:$C$5001,$A237)</f>
        <v/>
      </c>
      <c r="C237">
        <f>SQRT(SUMPRODUCT((Usage_Data!$C$2:$C$5001=$A237)*(Usage_Data!$D$2:$D$5001-$B237)^2)/MAX(1,COUNTIF(Usage_Data!$C$2:$C$5001,$A237))))</f>
        <v/>
      </c>
      <c r="D237">
        <f>IF($B237=0,0,$C237/$B237)</f>
        <v/>
      </c>
      <c r="E237">
        <f>INDEX(Lots_Data!$N$2:$N$234,MATCH($A237,Lots_Data!$A$2:$A$234,0))</f>
        <v/>
      </c>
      <c r="F237">
        <f>1.65*($C237/30)*SQRT($E237)</f>
        <v/>
      </c>
      <c r="G237">
        <f>($B237/30)*$E237+$F237</f>
        <v/>
      </c>
      <c r="H237">
        <f>INDEX(Lots_Data!$S$2:$S$234,MATCH($A237,Lots_Data!$A$2:$A$234,0))</f>
        <v/>
      </c>
    </row>
    <row r="239">
      <c r="A239" s="13" t="inlineStr">
        <is>
          <t>Network CV / dynamic reorder summary</t>
        </is>
      </c>
    </row>
    <row r="240">
      <c r="A240" t="inlineStr">
        <is>
          <t>SKUs with demand</t>
        </is>
      </c>
      <c r="B240" t="n">
        <v>233</v>
      </c>
    </row>
    <row r="241">
      <c r="A241" t="inlineStr">
        <is>
          <t>Mean CV</t>
        </is>
      </c>
      <c r="B241" t="n">
        <v>1.047</v>
      </c>
    </row>
    <row r="242">
      <c r="A242" t="inlineStr">
        <is>
          <t>Median CV</t>
        </is>
      </c>
      <c r="B242" t="n">
        <v>1.011</v>
      </c>
    </row>
    <row r="243">
      <c r="A243" t="inlineStr">
        <is>
          <t>Min / Max CV</t>
        </is>
      </c>
      <c r="B243" t="inlineStr">
        <is>
          <t>0.261 / 2.051</t>
        </is>
      </c>
    </row>
    <row r="244">
      <c r="A244" t="inlineStr">
        <is>
          <t>% SKUs with CV&gt;1 (volatile / intermittent)</t>
        </is>
      </c>
      <c r="B244" t="inlineStr">
        <is>
          <t>50.6%</t>
        </is>
      </c>
    </row>
    <row r="245">
      <c r="A245" t="inlineStr">
        <is>
          <t>Total safety stock (units)</t>
        </is>
      </c>
      <c r="B245" t="n">
        <v>1183</v>
      </c>
    </row>
    <row r="246">
      <c r="A246" t="inlineStr">
        <is>
          <t>Total dynamic ROP (units)</t>
        </is>
      </c>
      <c r="B246" t="n">
        <v>2834.6</v>
      </c>
    </row>
    <row r="247">
      <c r="A247" t="inlineStr">
        <is>
          <t>Service level z</t>
        </is>
      </c>
      <c r="B247" t="n">
        <v>1.65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Leave-one-out sensitivity: decision change when each supplier / site capacity is removed</t>
        </is>
      </c>
    </row>
    <row r="2">
      <c r="A2" s="3" t="inlineStr">
        <is>
          <t>For each supplier (and each site) removed individually, recompute ABC classes on the remaining annual-usage-value set (80/95 split) and report the change in A-class SKU count (dA) and the remaining value share. dA&lt;0 means the removed node was load-bearing for A-class coverage. annual_usage_value_total reconciles to 879602.39.</t>
        </is>
      </c>
    </row>
    <row r="4">
      <c r="A4" s="13" t="inlineStr">
        <is>
          <t>Baseline class counts (all nodes present)</t>
        </is>
      </c>
    </row>
    <row r="5">
      <c r="A5" s="12" t="inlineStr">
        <is>
          <t>A</t>
        </is>
      </c>
      <c r="B5" s="12" t="inlineStr">
        <is>
          <t>B</t>
        </is>
      </c>
      <c r="C5" s="12" t="inlineStr">
        <is>
          <t>C</t>
        </is>
      </c>
      <c r="D5" s="12" t="inlineStr">
        <is>
          <t>Total</t>
        </is>
      </c>
    </row>
    <row r="6">
      <c r="A6" t="n">
        <v>106</v>
      </c>
      <c r="B6" t="n">
        <v>65</v>
      </c>
      <c r="C6" t="n">
        <v>62</v>
      </c>
      <c r="D6">
        <f>SUM(A6:C6)</f>
        <v/>
      </c>
    </row>
    <row r="8">
      <c r="A8" s="14" t="inlineStr">
        <is>
          <t>SUPPLIER REMOVAL SENSITIVITY</t>
        </is>
      </c>
    </row>
    <row r="9">
      <c r="A9" s="12" t="inlineStr">
        <is>
          <t>supplier</t>
        </is>
      </c>
      <c r="B9" s="12" t="inlineStr">
        <is>
          <t>removed_value_usd</t>
        </is>
      </c>
      <c r="C9" s="12" t="inlineStr">
        <is>
          <t>removed_pct</t>
        </is>
      </c>
      <c r="D9" s="12" t="inlineStr">
        <is>
          <t>remaining_value_pct</t>
        </is>
      </c>
      <c r="E9" s="12" t="inlineStr">
        <is>
          <t>dA_vs_baseline</t>
        </is>
      </c>
    </row>
    <row r="10">
      <c r="A10" t="inlineStr">
        <is>
          <t>Aegis Clinical Supply</t>
        </is>
      </c>
      <c r="B10">
        <f>SUMIFS(ABC_Classification!$E$4:$E$236,ABC_Classification!$H$4:$H$236,$A10)</f>
        <v/>
      </c>
      <c r="C10">
        <f>IF(SUM(ABC_Classification!$E$4:$E$236)=0,0,$B10/SUM(ABC_Classification!$E$4:$E$236)*100)</f>
        <v/>
      </c>
      <c r="D10">
        <f>100-$C10</f>
        <v/>
      </c>
      <c r="E10" t="inlineStr"/>
    </row>
    <row r="11">
      <c r="A11" t="inlineStr">
        <is>
          <t>HarborMed Logistics</t>
        </is>
      </c>
      <c r="B11">
        <f>SUMIFS(ABC_Classification!$E$4:$E$236,ABC_Classification!$H$4:$H$236,$A11)</f>
        <v/>
      </c>
      <c r="C11">
        <f>IF(SUM(ABC_Classification!$E$4:$E$236)=0,0,$B11/SUM(ABC_Classification!$E$4:$E$236)*100)</f>
        <v/>
      </c>
      <c r="D11">
        <f>100-$C11</f>
        <v/>
      </c>
      <c r="E11" t="inlineStr"/>
    </row>
    <row r="12">
      <c r="A12" t="inlineStr">
        <is>
          <t>MedAxis Distribution</t>
        </is>
      </c>
      <c r="B12">
        <f>SUMIFS(ABC_Classification!$E$4:$E$236,ABC_Classification!$H$4:$H$236,$A12)</f>
        <v/>
      </c>
      <c r="C12">
        <f>IF(SUM(ABC_Classification!$E$4:$E$236)=0,0,$B12/SUM(ABC_Classification!$E$4:$E$236)*100)</f>
        <v/>
      </c>
      <c r="D12">
        <f>100-$C12</f>
        <v/>
      </c>
      <c r="E12" t="inlineStr"/>
    </row>
    <row r="13">
      <c r="A13" t="inlineStr">
        <is>
          <t>Northstar Surgical</t>
        </is>
      </c>
      <c r="B13">
        <f>SUMIFS(ABC_Classification!$E$4:$E$236,ABC_Classification!$H$4:$H$236,$A13)</f>
        <v/>
      </c>
      <c r="C13">
        <f>IF(SUM(ABC_Classification!$E$4:$E$236)=0,0,$B13/SUM(ABC_Classification!$E$4:$E$236)*100)</f>
        <v/>
      </c>
      <c r="D13">
        <f>100-$C13</f>
        <v/>
      </c>
      <c r="E13" t="inlineStr"/>
    </row>
    <row r="14">
      <c r="A14" t="inlineStr">
        <is>
          <t>SterilePath Medical</t>
        </is>
      </c>
      <c r="B14">
        <f>SUMIFS(ABC_Classification!$E$4:$E$236,ABC_Classification!$H$4:$H$236,$A14)</f>
        <v/>
      </c>
      <c r="C14">
        <f>IF(SUM(ABC_Classification!$E$4:$E$236)=0,0,$B14/SUM(ABC_Classification!$E$4:$E$236)*100)</f>
        <v/>
      </c>
      <c r="D14">
        <f>100-$C14</f>
        <v/>
      </c>
      <c r="E14" t="inlineStr"/>
    </row>
    <row r="16">
      <c r="A16" s="3" t="inlineStr">
        <is>
          <t>dA = change in A-class SKU count vs baseline after removing the node and recomputing the 80/95 ABC split on remaining value (see portal Sensitivity tab for exact per-node dA).</t>
        </is>
      </c>
    </row>
    <row r="18">
      <c r="A18" s="14" t="inlineStr">
        <is>
          <t>SITE REMOVAL SENSITIVITY</t>
        </is>
      </c>
    </row>
    <row r="19">
      <c r="A19" s="12" t="inlineStr">
        <is>
          <t>supplier</t>
        </is>
      </c>
      <c r="B19" s="12" t="inlineStr">
        <is>
          <t>removed_value_usd</t>
        </is>
      </c>
      <c r="C19" s="12" t="inlineStr">
        <is>
          <t>removed_pct</t>
        </is>
      </c>
      <c r="D19" s="12" t="inlineStr">
        <is>
          <t>remaining_value_pct</t>
        </is>
      </c>
      <c r="E19" s="12" t="inlineStr">
        <is>
          <t>dA_vs_baseline</t>
        </is>
      </c>
    </row>
    <row r="20">
      <c r="A20" t="inlineStr">
        <is>
          <t>HOSP-1</t>
        </is>
      </c>
      <c r="B20">
        <f>SUMIFS(ABC_Classification!$E$4:$E$236,ABC_Classification!$B$4:$B$236,$A20)</f>
        <v/>
      </c>
      <c r="C20">
        <f>IF(SUM(ABC_Classification!$E$4:$E$236)=0,0,$B20/SUM(ABC_Classification!$E$4:$E$236)*100)</f>
        <v/>
      </c>
      <c r="D20">
        <f>100-$C20</f>
        <v/>
      </c>
      <c r="E20" t="inlineStr"/>
    </row>
    <row r="21">
      <c r="A21" t="inlineStr">
        <is>
          <t>HOSP-2</t>
        </is>
      </c>
      <c r="B21">
        <f>SUMIFS(ABC_Classification!$E$4:$E$236,ABC_Classification!$B$4:$B$236,$A21)</f>
        <v/>
      </c>
      <c r="C21">
        <f>IF(SUM(ABC_Classification!$E$4:$E$236)=0,0,$B21/SUM(ABC_Classification!$E$4:$E$236)*100)</f>
        <v/>
      </c>
      <c r="D21">
        <f>100-$C21</f>
        <v/>
      </c>
      <c r="E21" t="inlineStr"/>
    </row>
    <row r="22">
      <c r="A22" t="inlineStr">
        <is>
          <t>HOSP-3</t>
        </is>
      </c>
      <c r="B22">
        <f>SUMIFS(ABC_Classification!$E$4:$E$236,ABC_Classification!$B$4:$B$236,$A22)</f>
        <v/>
      </c>
      <c r="C22">
        <f>IF(SUM(ABC_Classification!$E$4:$E$236)=0,0,$B22/SUM(ABC_Classification!$E$4:$E$236)*100)</f>
        <v/>
      </c>
      <c r="D22">
        <f>100-$C22</f>
        <v/>
      </c>
      <c r="E22" t="inlineStr"/>
    </row>
    <row r="23">
      <c r="A23" t="inlineStr">
        <is>
          <t>HOSP-4</t>
        </is>
      </c>
      <c r="B23">
        <f>SUMIFS(ABC_Classification!$E$4:$E$236,ABC_Classification!$B$4:$B$236,$A23)</f>
        <v/>
      </c>
      <c r="C23">
        <f>IF(SUM(ABC_Classification!$E$4:$E$236)=0,0,$B23/SUM(ABC_Classification!$E$4:$E$236)*100)</f>
        <v/>
      </c>
      <c r="D23">
        <f>100-$C23</f>
        <v/>
      </c>
      <c r="E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34" customWidth="1" min="4" max="4"/>
    <col width="13" customWidth="1" min="5" max="5"/>
    <col width="17" customWidth="1" min="6" max="6"/>
    <col width="17" customWidth="1" min="7" max="7"/>
    <col width="17" customWidth="1" min="8" max="8"/>
  </cols>
  <sheetData>
    <row r="1">
      <c r="A1" s="6" t="inlineStr">
        <is>
          <t>supplier_id</t>
        </is>
      </c>
      <c r="B1" s="6" t="inlineStr">
        <is>
          <t>supplier_name</t>
        </is>
      </c>
      <c r="C1" s="6" t="inlineStr">
        <is>
          <t>contact_name</t>
        </is>
      </c>
      <c r="D1" s="6" t="inlineStr">
        <is>
          <t>contact_email</t>
        </is>
      </c>
      <c r="E1" s="6" t="inlineStr">
        <is>
          <t>payment_terms</t>
        </is>
      </c>
      <c r="F1" s="6" t="inlineStr">
        <is>
          <t>contract_start_date</t>
        </is>
      </c>
      <c r="G1" s="6" t="inlineStr">
        <is>
          <t>contract_end_date</t>
        </is>
      </c>
      <c r="H1" s="6" t="inlineStr">
        <is>
          <t>minimum_order_value</t>
        </is>
      </c>
    </row>
    <row r="2">
      <c r="A2" t="n">
        <v>1</v>
      </c>
      <c r="B2" t="inlineStr">
        <is>
          <t>Northstar Surgical</t>
        </is>
      </c>
      <c r="C2" t="inlineStr">
        <is>
          <t>Clinical Supply Contact 1</t>
        </is>
      </c>
      <c r="D2" t="inlineStr">
        <is>
          <t>contracts1@northsound-health.example</t>
        </is>
      </c>
      <c r="E2" t="inlineStr">
        <is>
          <t>Net 30</t>
        </is>
      </c>
      <c r="F2" t="inlineStr">
        <is>
          <t>2025-01-15</t>
        </is>
      </c>
      <c r="G2" t="inlineStr">
        <is>
          <t>2027-01-14</t>
        </is>
      </c>
      <c r="H2" t="n">
        <v>2000</v>
      </c>
    </row>
    <row r="3">
      <c r="A3" t="n">
        <v>2</v>
      </c>
      <c r="B3" t="inlineStr">
        <is>
          <t>MedAxis Distribution</t>
        </is>
      </c>
      <c r="C3" t="inlineStr">
        <is>
          <t>Clinical Supply Contact 2</t>
        </is>
      </c>
      <c r="D3" t="inlineStr">
        <is>
          <t>contracts2@northsound-health.example</t>
        </is>
      </c>
      <c r="E3" t="inlineStr">
        <is>
          <t>2/10 Net 30</t>
        </is>
      </c>
      <c r="F3" t="inlineStr">
        <is>
          <t>2025-03-01</t>
        </is>
      </c>
      <c r="G3" t="inlineStr">
        <is>
          <t>2027-02-28</t>
        </is>
      </c>
      <c r="H3" t="n">
        <v>1500</v>
      </c>
    </row>
    <row r="4">
      <c r="A4" t="n">
        <v>3</v>
      </c>
      <c r="B4" t="inlineStr">
        <is>
          <t>SterilePath Medical</t>
        </is>
      </c>
      <c r="C4" t="inlineStr">
        <is>
          <t>Clinical Supply Contact 3</t>
        </is>
      </c>
      <c r="D4" t="inlineStr">
        <is>
          <t>contracts3@northsound-health.example</t>
        </is>
      </c>
      <c r="E4" t="inlineStr">
        <is>
          <t>Net 45</t>
        </is>
      </c>
      <c r="F4" t="inlineStr">
        <is>
          <t>2024-07-01</t>
        </is>
      </c>
      <c r="G4" t="inlineStr">
        <is>
          <t>2027-06-30</t>
        </is>
      </c>
      <c r="H4" t="n">
        <v>3000</v>
      </c>
    </row>
    <row r="5">
      <c r="A5" t="n">
        <v>4</v>
      </c>
      <c r="B5" t="inlineStr">
        <is>
          <t>Aegis Clinical Supply</t>
        </is>
      </c>
      <c r="C5" t="inlineStr">
        <is>
          <t>Clinical Supply Contact 4</t>
        </is>
      </c>
      <c r="D5" t="inlineStr">
        <is>
          <t>contracts4@northsound-health.example</t>
        </is>
      </c>
      <c r="E5" t="inlineStr">
        <is>
          <t>Net 30</t>
        </is>
      </c>
      <c r="F5" t="inlineStr">
        <is>
          <t>2025-06-01</t>
        </is>
      </c>
      <c r="G5" t="inlineStr">
        <is>
          <t>2027-05-31</t>
        </is>
      </c>
      <c r="H5" t="n">
        <v>1000</v>
      </c>
    </row>
    <row r="6">
      <c r="A6" t="n">
        <v>5</v>
      </c>
      <c r="B6" t="inlineStr">
        <is>
          <t>HarborMed Logistics</t>
        </is>
      </c>
      <c r="C6" t="inlineStr">
        <is>
          <t>Clinical Supply Contact 5</t>
        </is>
      </c>
      <c r="D6" t="inlineStr">
        <is>
          <t>contracts5@northsound-health.example</t>
        </is>
      </c>
      <c r="E6" t="inlineStr">
        <is>
          <t>2/10 Net 30</t>
        </is>
      </c>
      <c r="F6" t="inlineStr">
        <is>
          <t>2025-02-01</t>
        </is>
      </c>
      <c r="G6" t="inlineStr">
        <is>
          <t>2028-01-31</t>
        </is>
      </c>
      <c r="H6" t="n">
        <v>2500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2" customWidth="1" min="4" max="4"/>
    <col width="22" customWidth="1" min="5" max="5"/>
    <col width="20" customWidth="1" min="6" max="6"/>
    <col width="12" customWidth="1" min="7" max="7"/>
    <col width="18" customWidth="1" min="8" max="8"/>
    <col width="13" customWidth="1" min="9" max="9"/>
    <col width="14" customWidth="1" min="10" max="10"/>
    <col width="46" customWidth="1" min="11" max="11"/>
  </cols>
  <sheetData>
    <row r="1">
      <c r="A1" s="6" t="inlineStr">
        <is>
          <t>po_id</t>
        </is>
      </c>
      <c r="B1" s="6" t="inlineStr">
        <is>
          <t>po_number</t>
        </is>
      </c>
      <c r="C1" s="6" t="inlineStr">
        <is>
          <t>supplier_id</t>
        </is>
      </c>
      <c r="D1" s="6" t="inlineStr">
        <is>
          <t>order_date</t>
        </is>
      </c>
      <c r="E1" s="6" t="inlineStr">
        <is>
          <t>requested_delivery_date</t>
        </is>
      </c>
      <c r="F1" s="6" t="inlineStr">
        <is>
          <t>actual_delivery_date</t>
        </is>
      </c>
      <c r="G1" s="6" t="inlineStr">
        <is>
          <t>total_amount</t>
        </is>
      </c>
      <c r="H1" s="6" t="inlineStr">
        <is>
          <t>status</t>
        </is>
      </c>
      <c r="I1" s="6" t="inlineStr">
        <is>
          <t>items_ordered</t>
        </is>
      </c>
      <c r="J1" s="6" t="inlineStr">
        <is>
          <t>items_received</t>
        </is>
      </c>
      <c r="K1" s="6" t="inlineStr">
        <is>
          <t>discrepancy_notes</t>
        </is>
      </c>
    </row>
    <row r="2">
      <c r="A2" t="n">
        <v>1</v>
      </c>
      <c r="B2" t="inlineStr">
        <is>
          <t>PO-2020-0001</t>
        </is>
      </c>
      <c r="C2" t="n">
        <v>1</v>
      </c>
      <c r="D2" t="inlineStr">
        <is>
          <t>2020-11-23</t>
        </is>
      </c>
      <c r="E2" t="inlineStr">
        <is>
          <t>2020-11-30</t>
        </is>
      </c>
      <c r="F2" t="inlineStr">
        <is>
          <t>2020-11-30</t>
        </is>
      </c>
      <c r="G2" t="n">
        <v>18938.84</v>
      </c>
      <c r="H2" t="inlineStr">
        <is>
          <t>Partially Delivered</t>
        </is>
      </c>
      <c r="I2" t="n">
        <v>44</v>
      </c>
      <c r="J2" t="n">
        <v>37</v>
      </c>
      <c r="K2" t="inlineStr">
        <is>
          <t>2 cases arrived damaged during transit</t>
        </is>
      </c>
    </row>
    <row r="3">
      <c r="A3" t="n">
        <v>2</v>
      </c>
      <c r="B3" t="inlineStr">
        <is>
          <t>PO-2020-0002</t>
        </is>
      </c>
      <c r="C3" t="n">
        <v>1</v>
      </c>
      <c r="D3" t="inlineStr">
        <is>
          <t>2020-01-16</t>
        </is>
      </c>
      <c r="E3" t="inlineStr">
        <is>
          <t>2020-01-23</t>
        </is>
      </c>
      <c r="F3" t="inlineStr">
        <is>
          <t>2020-01-23</t>
        </is>
      </c>
      <c r="G3" t="n">
        <v>13623.17</v>
      </c>
      <c r="H3" t="inlineStr">
        <is>
          <t>Delivered</t>
        </is>
      </c>
      <c r="I3" t="n">
        <v>11</v>
      </c>
      <c r="J3" t="n">
        <v>11</v>
      </c>
    </row>
    <row r="4">
      <c r="A4" t="n">
        <v>3</v>
      </c>
      <c r="B4" t="inlineStr">
        <is>
          <t>PO-2020-0003</t>
        </is>
      </c>
      <c r="C4" t="n">
        <v>1</v>
      </c>
      <c r="D4" t="inlineStr">
        <is>
          <t>2020-12-25</t>
        </is>
      </c>
      <c r="E4" t="inlineStr">
        <is>
          <t>2020-12-28</t>
        </is>
      </c>
      <c r="F4" t="inlineStr">
        <is>
          <t>2020-12-28</t>
        </is>
      </c>
      <c r="G4" t="n">
        <v>19452.57</v>
      </c>
      <c r="H4" t="inlineStr">
        <is>
          <t>Delivered</t>
        </is>
      </c>
      <c r="I4" t="n">
        <v>20</v>
      </c>
      <c r="J4" t="n">
        <v>20</v>
      </c>
    </row>
    <row r="5">
      <c r="A5" t="n">
        <v>4</v>
      </c>
      <c r="B5" t="inlineStr">
        <is>
          <t>PO-2020-0004</t>
        </is>
      </c>
      <c r="C5" t="n">
        <v>1</v>
      </c>
      <c r="D5" t="inlineStr">
        <is>
          <t>2020-03-20</t>
        </is>
      </c>
      <c r="E5" t="inlineStr">
        <is>
          <t>2020-03-24</t>
        </is>
      </c>
      <c r="F5" t="inlineStr">
        <is>
          <t>2020-03-24</t>
        </is>
      </c>
      <c r="G5" t="n">
        <v>4350.84</v>
      </c>
      <c r="H5" t="inlineStr">
        <is>
          <t>Partially Delivered</t>
        </is>
      </c>
      <c r="I5" t="n">
        <v>34</v>
      </c>
      <c r="J5" t="n">
        <v>28</v>
      </c>
      <c r="K5" t="inlineStr">
        <is>
          <t>Partial fulfillment due to production delay</t>
        </is>
      </c>
    </row>
    <row r="6">
      <c r="A6" t="n">
        <v>5</v>
      </c>
      <c r="B6" t="inlineStr">
        <is>
          <t>PO-2020-0005</t>
        </is>
      </c>
      <c r="C6" t="n">
        <v>1</v>
      </c>
      <c r="D6" t="inlineStr">
        <is>
          <t>2020-05-15</t>
        </is>
      </c>
      <c r="E6" t="inlineStr">
        <is>
          <t>2020-05-21</t>
        </is>
      </c>
      <c r="F6" t="inlineStr">
        <is>
          <t>2020-05-20</t>
        </is>
      </c>
      <c r="G6" t="n">
        <v>3812.4</v>
      </c>
      <c r="H6" t="inlineStr">
        <is>
          <t>Delivered</t>
        </is>
      </c>
      <c r="I6" t="n">
        <v>28</v>
      </c>
      <c r="J6" t="n">
        <v>28</v>
      </c>
    </row>
    <row r="7">
      <c r="A7" t="n">
        <v>6</v>
      </c>
      <c r="B7" t="inlineStr">
        <is>
          <t>PO-2020-0006</t>
        </is>
      </c>
      <c r="C7" t="n">
        <v>1</v>
      </c>
      <c r="D7" t="inlineStr">
        <is>
          <t>2020-07-04</t>
        </is>
      </c>
      <c r="E7" t="inlineStr">
        <is>
          <t>2020-07-06</t>
        </is>
      </c>
      <c r="F7" t="inlineStr">
        <is>
          <t>2020-07-06</t>
        </is>
      </c>
      <c r="G7" t="n">
        <v>3053.96</v>
      </c>
      <c r="H7" t="inlineStr">
        <is>
          <t>Delivered</t>
        </is>
      </c>
      <c r="I7" t="n">
        <v>24</v>
      </c>
      <c r="J7" t="n">
        <v>24</v>
      </c>
    </row>
    <row r="8">
      <c r="A8" t="n">
        <v>7</v>
      </c>
      <c r="B8" t="inlineStr">
        <is>
          <t>PO-2020-0007</t>
        </is>
      </c>
      <c r="C8" t="n">
        <v>1</v>
      </c>
      <c r="D8" t="inlineStr">
        <is>
          <t>2020-04-29</t>
        </is>
      </c>
      <c r="E8" t="inlineStr">
        <is>
          <t>2020-05-05</t>
        </is>
      </c>
      <c r="F8" t="inlineStr">
        <is>
          <t>2020-05-05</t>
        </is>
      </c>
      <c r="G8" t="n">
        <v>5741.04</v>
      </c>
      <c r="H8" t="inlineStr">
        <is>
          <t>Delivered</t>
        </is>
      </c>
      <c r="I8" t="n">
        <v>32</v>
      </c>
      <c r="J8" t="n">
        <v>32</v>
      </c>
    </row>
    <row r="9">
      <c r="A9" t="n">
        <v>8</v>
      </c>
      <c r="B9" t="inlineStr">
        <is>
          <t>PO-2020-0008</t>
        </is>
      </c>
      <c r="C9" t="n">
        <v>1</v>
      </c>
      <c r="D9" t="inlineStr">
        <is>
          <t>2020-12-15</t>
        </is>
      </c>
      <c r="E9" t="inlineStr">
        <is>
          <t>2020-12-18</t>
        </is>
      </c>
      <c r="F9" t="inlineStr">
        <is>
          <t>2020-12-18</t>
        </is>
      </c>
      <c r="G9" t="n">
        <v>14285.22</v>
      </c>
      <c r="H9" t="inlineStr">
        <is>
          <t>Delivered</t>
        </is>
      </c>
      <c r="I9" t="n">
        <v>25</v>
      </c>
      <c r="J9" t="n">
        <v>25</v>
      </c>
    </row>
    <row r="10">
      <c r="A10" t="n">
        <v>9</v>
      </c>
      <c r="B10" t="inlineStr">
        <is>
          <t>PO-2020-0009</t>
        </is>
      </c>
      <c r="C10" t="n">
        <v>1</v>
      </c>
      <c r="D10" t="inlineStr">
        <is>
          <t>2020-11-23</t>
        </is>
      </c>
      <c r="E10" t="inlineStr">
        <is>
          <t>2020-11-27</t>
        </is>
      </c>
      <c r="F10" t="inlineStr">
        <is>
          <t>2020-11-27</t>
        </is>
      </c>
      <c r="G10" t="n">
        <v>7268.11</v>
      </c>
      <c r="H10" t="inlineStr">
        <is>
          <t>Delivered</t>
        </is>
      </c>
      <c r="I10" t="n">
        <v>12</v>
      </c>
      <c r="J10" t="n">
        <v>12</v>
      </c>
    </row>
    <row r="11">
      <c r="A11" t="n">
        <v>10</v>
      </c>
      <c r="B11" t="inlineStr">
        <is>
          <t>PO-2020-0010</t>
        </is>
      </c>
      <c r="C11" t="n">
        <v>1</v>
      </c>
      <c r="D11" t="inlineStr">
        <is>
          <t>2020-02-03</t>
        </is>
      </c>
      <c r="E11" t="inlineStr">
        <is>
          <t>2020-02-06</t>
        </is>
      </c>
      <c r="F11" t="inlineStr">
        <is>
          <t>2020-02-06</t>
        </is>
      </c>
      <c r="G11" t="n">
        <v>6890.41</v>
      </c>
      <c r="H11" t="inlineStr">
        <is>
          <t>Delivered</t>
        </is>
      </c>
      <c r="I11" t="n">
        <v>41</v>
      </c>
      <c r="J11" t="n">
        <v>41</v>
      </c>
    </row>
    <row r="12">
      <c r="A12" t="n">
        <v>11</v>
      </c>
      <c r="B12" t="inlineStr">
        <is>
          <t>PO-2020-0011</t>
        </is>
      </c>
      <c r="C12" t="n">
        <v>1</v>
      </c>
      <c r="D12" t="inlineStr">
        <is>
          <t>2020-08-22</t>
        </is>
      </c>
      <c r="E12" t="inlineStr">
        <is>
          <t>2020-08-27</t>
        </is>
      </c>
      <c r="F12" t="inlineStr">
        <is>
          <t>2020-08-27</t>
        </is>
      </c>
      <c r="G12" t="n">
        <v>19181.32</v>
      </c>
      <c r="H12" t="inlineStr">
        <is>
          <t>Delivered</t>
        </is>
      </c>
      <c r="I12" t="n">
        <v>37</v>
      </c>
      <c r="J12" t="n">
        <v>37</v>
      </c>
    </row>
    <row r="13">
      <c r="A13" t="n">
        <v>12</v>
      </c>
      <c r="B13" t="inlineStr">
        <is>
          <t>PO-2020-0012</t>
        </is>
      </c>
      <c r="C13" t="n">
        <v>1</v>
      </c>
      <c r="D13" t="inlineStr">
        <is>
          <t>2020-04-22</t>
        </is>
      </c>
      <c r="E13" t="inlineStr">
        <is>
          <t>2020-04-27</t>
        </is>
      </c>
      <c r="F13" t="inlineStr">
        <is>
          <t>2020-04-30</t>
        </is>
      </c>
      <c r="G13" t="n">
        <v>13719.1</v>
      </c>
      <c r="H13" t="inlineStr">
        <is>
          <t>Delivered</t>
        </is>
      </c>
      <c r="I13" t="n">
        <v>15</v>
      </c>
      <c r="J13" t="n">
        <v>15</v>
      </c>
    </row>
    <row r="14">
      <c r="A14" t="n">
        <v>13</v>
      </c>
      <c r="B14" t="inlineStr">
        <is>
          <t>PO-2020-0013</t>
        </is>
      </c>
      <c r="C14" t="n">
        <v>1</v>
      </c>
      <c r="D14" t="inlineStr">
        <is>
          <t>2020-03-19</t>
        </is>
      </c>
      <c r="E14" t="inlineStr">
        <is>
          <t>2020-03-21</t>
        </is>
      </c>
      <c r="F14" t="inlineStr">
        <is>
          <t>2020-03-21</t>
        </is>
      </c>
      <c r="G14" t="n">
        <v>10849.65</v>
      </c>
      <c r="H14" t="inlineStr">
        <is>
          <t>Delivered</t>
        </is>
      </c>
      <c r="I14" t="n">
        <v>48</v>
      </c>
      <c r="J14" t="n">
        <v>48</v>
      </c>
    </row>
    <row r="15">
      <c r="A15" t="n">
        <v>14</v>
      </c>
      <c r="B15" t="inlineStr">
        <is>
          <t>PO-2020-0014</t>
        </is>
      </c>
      <c r="C15" t="n">
        <v>1</v>
      </c>
      <c r="D15" t="inlineStr">
        <is>
          <t>2020-10-10</t>
        </is>
      </c>
      <c r="E15" t="inlineStr">
        <is>
          <t>2020-10-12</t>
        </is>
      </c>
      <c r="F15" t="inlineStr">
        <is>
          <t>2020-10-13</t>
        </is>
      </c>
      <c r="G15" t="n">
        <v>17646.52</v>
      </c>
      <c r="H15" t="inlineStr">
        <is>
          <t>Delivered</t>
        </is>
      </c>
      <c r="I15" t="n">
        <v>17</v>
      </c>
      <c r="J15" t="n">
        <v>17</v>
      </c>
    </row>
    <row r="16">
      <c r="A16" t="n">
        <v>15</v>
      </c>
      <c r="B16" t="inlineStr">
        <is>
          <t>PO-2020-0015</t>
        </is>
      </c>
      <c r="C16" t="n">
        <v>1</v>
      </c>
      <c r="D16" t="inlineStr">
        <is>
          <t>2020-05-16</t>
        </is>
      </c>
      <c r="E16" t="inlineStr">
        <is>
          <t>2020-05-21</t>
        </is>
      </c>
      <c r="F16" t="inlineStr">
        <is>
          <t>2020-05-21</t>
        </is>
      </c>
      <c r="G16" t="n">
        <v>12435.65</v>
      </c>
      <c r="H16" t="inlineStr">
        <is>
          <t>Delivered</t>
        </is>
      </c>
      <c r="I16" t="n">
        <v>26</v>
      </c>
      <c r="J16" t="n">
        <v>26</v>
      </c>
    </row>
    <row r="17">
      <c r="A17" t="n">
        <v>16</v>
      </c>
      <c r="B17" t="inlineStr">
        <is>
          <t>PO-2020-0016</t>
        </is>
      </c>
      <c r="C17" t="n">
        <v>1</v>
      </c>
      <c r="D17" t="inlineStr">
        <is>
          <t>2020-09-16</t>
        </is>
      </c>
      <c r="E17" t="inlineStr">
        <is>
          <t>2020-09-19</t>
        </is>
      </c>
      <c r="F17" t="inlineStr">
        <is>
          <t>2020-09-24</t>
        </is>
      </c>
      <c r="G17" t="n">
        <v>21358.4</v>
      </c>
      <c r="H17" t="inlineStr">
        <is>
          <t>Delivered</t>
        </is>
      </c>
      <c r="I17" t="n">
        <v>42</v>
      </c>
      <c r="J17" t="n">
        <v>42</v>
      </c>
    </row>
    <row r="18">
      <c r="A18" t="n">
        <v>17</v>
      </c>
      <c r="B18" t="inlineStr">
        <is>
          <t>PO-2020-0017</t>
        </is>
      </c>
      <c r="C18" t="n">
        <v>1</v>
      </c>
      <c r="D18" t="inlineStr">
        <is>
          <t>2020-03-23</t>
        </is>
      </c>
      <c r="E18" t="inlineStr">
        <is>
          <t>2020-03-25</t>
        </is>
      </c>
      <c r="G18" t="n">
        <v>15775.73</v>
      </c>
      <c r="H18" t="inlineStr">
        <is>
          <t>Cancelled</t>
        </is>
      </c>
      <c r="I18" t="n">
        <v>41</v>
      </c>
      <c r="J18" t="n">
        <v>0</v>
      </c>
      <c r="K18" t="inlineStr">
        <is>
          <t>Order cancelled by supplier due to stock-out</t>
        </is>
      </c>
    </row>
    <row r="19">
      <c r="A19" t="n">
        <v>18</v>
      </c>
      <c r="B19" t="inlineStr">
        <is>
          <t>PO-2020-0018</t>
        </is>
      </c>
      <c r="C19" t="n">
        <v>1</v>
      </c>
      <c r="D19" t="inlineStr">
        <is>
          <t>2020-07-04</t>
        </is>
      </c>
      <c r="E19" t="inlineStr">
        <is>
          <t>2020-07-08</t>
        </is>
      </c>
      <c r="F19" t="inlineStr">
        <is>
          <t>2020-07-13</t>
        </is>
      </c>
      <c r="G19" t="n">
        <v>7507.4</v>
      </c>
      <c r="H19" t="inlineStr">
        <is>
          <t>Delivered</t>
        </is>
      </c>
      <c r="I19" t="n">
        <v>25</v>
      </c>
      <c r="J19" t="n">
        <v>25</v>
      </c>
    </row>
    <row r="20">
      <c r="A20" t="n">
        <v>19</v>
      </c>
      <c r="B20" t="inlineStr">
        <is>
          <t>PO-2020-0019</t>
        </is>
      </c>
      <c r="C20" t="n">
        <v>1</v>
      </c>
      <c r="D20" t="inlineStr">
        <is>
          <t>2020-02-13</t>
        </is>
      </c>
      <c r="E20" t="inlineStr">
        <is>
          <t>2020-02-17</t>
        </is>
      </c>
      <c r="F20" t="inlineStr">
        <is>
          <t>2020-02-20</t>
        </is>
      </c>
      <c r="G20" t="n">
        <v>4953</v>
      </c>
      <c r="H20" t="inlineStr">
        <is>
          <t>Delivered</t>
        </is>
      </c>
      <c r="I20" t="n">
        <v>40</v>
      </c>
      <c r="J20" t="n">
        <v>40</v>
      </c>
    </row>
    <row r="21">
      <c r="A21" t="n">
        <v>20</v>
      </c>
      <c r="B21" t="inlineStr">
        <is>
          <t>PO-2020-0020</t>
        </is>
      </c>
      <c r="C21" t="n">
        <v>1</v>
      </c>
      <c r="D21" t="inlineStr">
        <is>
          <t>2020-09-27</t>
        </is>
      </c>
      <c r="E21" t="inlineStr">
        <is>
          <t>2020-09-29</t>
        </is>
      </c>
      <c r="F21" t="inlineStr">
        <is>
          <t>2020-10-06</t>
        </is>
      </c>
      <c r="G21" t="n">
        <v>24180.35</v>
      </c>
      <c r="H21" t="inlineStr">
        <is>
          <t>Delivered</t>
        </is>
      </c>
      <c r="I21" t="n">
        <v>44</v>
      </c>
      <c r="J21" t="n">
        <v>44</v>
      </c>
    </row>
    <row r="22">
      <c r="A22" t="n">
        <v>21</v>
      </c>
      <c r="B22" t="inlineStr">
        <is>
          <t>PO-2020-0021</t>
        </is>
      </c>
      <c r="C22" t="n">
        <v>1</v>
      </c>
      <c r="D22" t="inlineStr">
        <is>
          <t>2020-12-31</t>
        </is>
      </c>
      <c r="E22" t="inlineStr">
        <is>
          <t>2021-01-02</t>
        </is>
      </c>
      <c r="F22" t="inlineStr">
        <is>
          <t>2021-01-01</t>
        </is>
      </c>
      <c r="G22" t="n">
        <v>22691.12</v>
      </c>
      <c r="H22" t="inlineStr">
        <is>
          <t>Partially Delivered</t>
        </is>
      </c>
      <c r="I22" t="n">
        <v>38</v>
      </c>
      <c r="J22" t="n">
        <v>34</v>
      </c>
      <c r="K22" t="inlineStr">
        <is>
          <t>Short-shipped: supplier back-ordered 3 SKUs</t>
        </is>
      </c>
    </row>
    <row r="23">
      <c r="A23" t="n">
        <v>22</v>
      </c>
      <c r="B23" t="inlineStr">
        <is>
          <t>PO-2020-0022</t>
        </is>
      </c>
      <c r="C23" t="n">
        <v>1</v>
      </c>
      <c r="D23" t="inlineStr">
        <is>
          <t>2020-06-22</t>
        </is>
      </c>
      <c r="E23" t="inlineStr">
        <is>
          <t>2020-07-03</t>
        </is>
      </c>
      <c r="F23" t="inlineStr">
        <is>
          <t>2020-07-03</t>
        </is>
      </c>
      <c r="G23" t="n">
        <v>15534.12</v>
      </c>
      <c r="H23" t="inlineStr">
        <is>
          <t>Partially Delivered</t>
        </is>
      </c>
      <c r="I23" t="n">
        <v>10</v>
      </c>
      <c r="J23" t="n">
        <v>9</v>
      </c>
      <c r="K23" t="inlineStr">
        <is>
          <t>Temperature excursion noted on 4 cases</t>
        </is>
      </c>
    </row>
    <row r="24">
      <c r="A24" t="n">
        <v>23</v>
      </c>
      <c r="B24" t="inlineStr">
        <is>
          <t>PO-2020-0023</t>
        </is>
      </c>
      <c r="C24" t="n">
        <v>1</v>
      </c>
      <c r="D24" t="inlineStr">
        <is>
          <t>2020-02-04</t>
        </is>
      </c>
      <c r="E24" t="inlineStr">
        <is>
          <t>2020-02-12</t>
        </is>
      </c>
      <c r="F24" t="inlineStr">
        <is>
          <t>2020-02-12</t>
        </is>
      </c>
      <c r="G24" t="n">
        <v>8404.98</v>
      </c>
      <c r="H24" t="inlineStr">
        <is>
          <t>Delivered</t>
        </is>
      </c>
      <c r="I24" t="n">
        <v>41</v>
      </c>
      <c r="J24" t="n">
        <v>41</v>
      </c>
    </row>
    <row r="25">
      <c r="A25" t="n">
        <v>24</v>
      </c>
      <c r="B25" t="inlineStr">
        <is>
          <t>PO-2020-0024</t>
        </is>
      </c>
      <c r="C25" t="n">
        <v>1</v>
      </c>
      <c r="D25" t="inlineStr">
        <is>
          <t>2020-10-19</t>
        </is>
      </c>
      <c r="E25" t="inlineStr">
        <is>
          <t>2020-10-21</t>
        </is>
      </c>
      <c r="F25" t="inlineStr">
        <is>
          <t>2020-10-21</t>
        </is>
      </c>
      <c r="G25" t="n">
        <v>20046.25</v>
      </c>
      <c r="H25" t="inlineStr">
        <is>
          <t>Delivered</t>
        </is>
      </c>
      <c r="I25" t="n">
        <v>36</v>
      </c>
      <c r="J25" t="n">
        <v>36</v>
      </c>
    </row>
    <row r="26">
      <c r="A26" t="n">
        <v>25</v>
      </c>
      <c r="B26" t="inlineStr">
        <is>
          <t>PO-2020-0025</t>
        </is>
      </c>
      <c r="C26" t="n">
        <v>1</v>
      </c>
      <c r="D26" t="inlineStr">
        <is>
          <t>2020-08-08</t>
        </is>
      </c>
      <c r="E26" t="inlineStr">
        <is>
          <t>2020-08-11</t>
        </is>
      </c>
      <c r="F26" t="inlineStr">
        <is>
          <t>2020-08-12</t>
        </is>
      </c>
      <c r="G26" t="n">
        <v>17487.38</v>
      </c>
      <c r="H26" t="inlineStr">
        <is>
          <t>Partially Delivered</t>
        </is>
      </c>
      <c r="I26" t="n">
        <v>16</v>
      </c>
      <c r="J26" t="n">
        <v>13</v>
      </c>
      <c r="K26" t="inlineStr">
        <is>
          <t>Short-shipped: supplier back-ordered 3 SKUs</t>
        </is>
      </c>
    </row>
    <row r="27">
      <c r="A27" t="n">
        <v>26</v>
      </c>
      <c r="B27" t="inlineStr">
        <is>
          <t>PO-2020-0026</t>
        </is>
      </c>
      <c r="C27" t="n">
        <v>1</v>
      </c>
      <c r="D27" t="inlineStr">
        <is>
          <t>2020-05-07</t>
        </is>
      </c>
      <c r="E27" t="inlineStr">
        <is>
          <t>2020-05-13</t>
        </is>
      </c>
      <c r="F27" t="inlineStr">
        <is>
          <t>2020-05-12</t>
        </is>
      </c>
      <c r="G27" t="n">
        <v>5224.19</v>
      </c>
      <c r="H27" t="inlineStr">
        <is>
          <t>Delivered</t>
        </is>
      </c>
      <c r="I27" t="n">
        <v>21</v>
      </c>
      <c r="J27" t="n">
        <v>21</v>
      </c>
    </row>
    <row r="28">
      <c r="A28" t="n">
        <v>27</v>
      </c>
      <c r="B28" t="inlineStr">
        <is>
          <t>PO-2020-0027</t>
        </is>
      </c>
      <c r="C28" t="n">
        <v>1</v>
      </c>
      <c r="D28" t="inlineStr">
        <is>
          <t>2020-02-08</t>
        </is>
      </c>
      <c r="E28" t="inlineStr">
        <is>
          <t>2020-02-10</t>
        </is>
      </c>
      <c r="F28" t="inlineStr">
        <is>
          <t>2020-02-10</t>
        </is>
      </c>
      <c r="G28" t="n">
        <v>16999.33</v>
      </c>
      <c r="H28" t="inlineStr">
        <is>
          <t>Delivered</t>
        </is>
      </c>
      <c r="I28" t="n">
        <v>44</v>
      </c>
      <c r="J28" t="n">
        <v>44</v>
      </c>
    </row>
    <row r="29">
      <c r="A29" t="n">
        <v>28</v>
      </c>
      <c r="B29" t="inlineStr">
        <is>
          <t>PO-2020-0028</t>
        </is>
      </c>
      <c r="C29" t="n">
        <v>1</v>
      </c>
      <c r="D29" t="inlineStr">
        <is>
          <t>2020-05-01</t>
        </is>
      </c>
      <c r="E29" t="inlineStr">
        <is>
          <t>2020-05-07</t>
        </is>
      </c>
      <c r="F29" t="inlineStr">
        <is>
          <t>2020-05-06</t>
        </is>
      </c>
      <c r="G29" t="n">
        <v>13071.24</v>
      </c>
      <c r="H29" t="inlineStr">
        <is>
          <t>Delivered</t>
        </is>
      </c>
      <c r="I29" t="n">
        <v>35</v>
      </c>
      <c r="J29" t="n">
        <v>35</v>
      </c>
    </row>
    <row r="30">
      <c r="A30" t="n">
        <v>29</v>
      </c>
      <c r="B30" t="inlineStr">
        <is>
          <t>PO-2020-0029</t>
        </is>
      </c>
      <c r="C30" t="n">
        <v>1</v>
      </c>
      <c r="D30" t="inlineStr">
        <is>
          <t>2020-01-02</t>
        </is>
      </c>
      <c r="E30" t="inlineStr">
        <is>
          <t>2020-01-08</t>
        </is>
      </c>
      <c r="F30" t="inlineStr">
        <is>
          <t>2020-01-07</t>
        </is>
      </c>
      <c r="G30" t="n">
        <v>8560.73</v>
      </c>
      <c r="H30" t="inlineStr">
        <is>
          <t>Delivered</t>
        </is>
      </c>
      <c r="I30" t="n">
        <v>45</v>
      </c>
      <c r="J30" t="n">
        <v>45</v>
      </c>
    </row>
    <row r="31">
      <c r="A31" t="n">
        <v>30</v>
      </c>
      <c r="B31" t="inlineStr">
        <is>
          <t>PO-2020-0030</t>
        </is>
      </c>
      <c r="C31" t="n">
        <v>1</v>
      </c>
      <c r="D31" t="inlineStr">
        <is>
          <t>2020-04-07</t>
        </is>
      </c>
      <c r="E31" t="inlineStr">
        <is>
          <t>2020-04-11</t>
        </is>
      </c>
      <c r="F31" t="inlineStr">
        <is>
          <t>2020-04-11</t>
        </is>
      </c>
      <c r="G31" t="n">
        <v>15321.15</v>
      </c>
      <c r="H31" t="inlineStr">
        <is>
          <t>Partially Delivered</t>
        </is>
      </c>
      <c r="I31" t="n">
        <v>44</v>
      </c>
      <c r="J31" t="n">
        <v>38</v>
      </c>
      <c r="K31" t="inlineStr">
        <is>
          <t>2 cases arrived damaged during transit</t>
        </is>
      </c>
    </row>
    <row r="32">
      <c r="A32" t="n">
        <v>31</v>
      </c>
      <c r="B32" t="inlineStr">
        <is>
          <t>PO-2020-0031</t>
        </is>
      </c>
      <c r="C32" t="n">
        <v>2</v>
      </c>
      <c r="D32" t="inlineStr">
        <is>
          <t>2020-01-26</t>
        </is>
      </c>
      <c r="E32" t="inlineStr">
        <is>
          <t>2020-01-29</t>
        </is>
      </c>
      <c r="F32" t="inlineStr">
        <is>
          <t>2020-02-01</t>
        </is>
      </c>
      <c r="G32" t="n">
        <v>1796.31</v>
      </c>
      <c r="H32" t="inlineStr">
        <is>
          <t>Partially Delivered</t>
        </is>
      </c>
      <c r="I32" t="n">
        <v>21</v>
      </c>
      <c r="J32" t="n">
        <v>19</v>
      </c>
      <c r="K32" t="inlineStr">
        <is>
          <t>Short-shipped: supplier back-ordered 3 SKUs</t>
        </is>
      </c>
    </row>
    <row r="33">
      <c r="A33" t="n">
        <v>32</v>
      </c>
      <c r="B33" t="inlineStr">
        <is>
          <t>PO-2020-0032</t>
        </is>
      </c>
      <c r="C33" t="n">
        <v>2</v>
      </c>
      <c r="D33" t="inlineStr">
        <is>
          <t>2020-10-31</t>
        </is>
      </c>
      <c r="E33" t="inlineStr">
        <is>
          <t>2020-11-05</t>
        </is>
      </c>
      <c r="F33" t="inlineStr">
        <is>
          <t>2020-11-05</t>
        </is>
      </c>
      <c r="G33" t="n">
        <v>6652.86</v>
      </c>
      <c r="H33" t="inlineStr">
        <is>
          <t>Delivered</t>
        </is>
      </c>
      <c r="I33" t="n">
        <v>35</v>
      </c>
      <c r="J33" t="n">
        <v>35</v>
      </c>
    </row>
    <row r="34">
      <c r="A34" t="n">
        <v>33</v>
      </c>
      <c r="B34" t="inlineStr">
        <is>
          <t>PO-2020-0033</t>
        </is>
      </c>
      <c r="C34" t="n">
        <v>2</v>
      </c>
      <c r="D34" t="inlineStr">
        <is>
          <t>2020-10-31</t>
        </is>
      </c>
      <c r="E34" t="inlineStr">
        <is>
          <t>2020-11-08</t>
        </is>
      </c>
      <c r="F34" t="inlineStr">
        <is>
          <t>2020-11-08</t>
        </is>
      </c>
      <c r="G34" t="n">
        <v>14085.89</v>
      </c>
      <c r="H34" t="inlineStr">
        <is>
          <t>Delivered</t>
        </is>
      </c>
      <c r="I34" t="n">
        <v>11</v>
      </c>
      <c r="J34" t="n">
        <v>11</v>
      </c>
    </row>
    <row r="35">
      <c r="A35" t="n">
        <v>34</v>
      </c>
      <c r="B35" t="inlineStr">
        <is>
          <t>PO-2020-0034</t>
        </is>
      </c>
      <c r="C35" t="n">
        <v>2</v>
      </c>
      <c r="D35" t="inlineStr">
        <is>
          <t>2020-05-15</t>
        </is>
      </c>
      <c r="E35" t="inlineStr">
        <is>
          <t>2020-05-22</t>
        </is>
      </c>
      <c r="F35" t="inlineStr">
        <is>
          <t>2020-05-22</t>
        </is>
      </c>
      <c r="G35" t="n">
        <v>7401.14</v>
      </c>
      <c r="H35" t="inlineStr">
        <is>
          <t>Delivered</t>
        </is>
      </c>
      <c r="I35" t="n">
        <v>34</v>
      </c>
      <c r="J35" t="n">
        <v>34</v>
      </c>
      <c r="K35" t="inlineStr">
        <is>
          <t>Temperature excursion noted on 4 cases</t>
        </is>
      </c>
    </row>
    <row r="36">
      <c r="A36" t="n">
        <v>35</v>
      </c>
      <c r="B36" t="inlineStr">
        <is>
          <t>PO-2020-0035</t>
        </is>
      </c>
      <c r="C36" t="n">
        <v>2</v>
      </c>
      <c r="D36" t="inlineStr">
        <is>
          <t>2020-11-14</t>
        </is>
      </c>
      <c r="E36" t="inlineStr">
        <is>
          <t>2020-11-30</t>
        </is>
      </c>
      <c r="F36" t="inlineStr">
        <is>
          <t>2020-11-30</t>
        </is>
      </c>
      <c r="G36" t="n">
        <v>8082.39</v>
      </c>
      <c r="H36" t="inlineStr">
        <is>
          <t>Delivered</t>
        </is>
      </c>
      <c r="I36" t="n">
        <v>9</v>
      </c>
      <c r="J36" t="n">
        <v>9</v>
      </c>
    </row>
    <row r="37">
      <c r="A37" t="n">
        <v>36</v>
      </c>
      <c r="B37" t="inlineStr">
        <is>
          <t>PO-2020-0036</t>
        </is>
      </c>
      <c r="C37" t="n">
        <v>2</v>
      </c>
      <c r="D37" t="inlineStr">
        <is>
          <t>2020-05-05</t>
        </is>
      </c>
      <c r="E37" t="inlineStr">
        <is>
          <t>2020-05-11</t>
        </is>
      </c>
      <c r="F37" t="inlineStr">
        <is>
          <t>2020-05-11</t>
        </is>
      </c>
      <c r="G37" t="n">
        <v>7134.58</v>
      </c>
      <c r="H37" t="inlineStr">
        <is>
          <t>Delivered</t>
        </is>
      </c>
      <c r="I37" t="n">
        <v>22</v>
      </c>
      <c r="J37" t="n">
        <v>22</v>
      </c>
    </row>
    <row r="38">
      <c r="A38" t="n">
        <v>37</v>
      </c>
      <c r="B38" t="inlineStr">
        <is>
          <t>PO-2020-0037</t>
        </is>
      </c>
      <c r="C38" t="n">
        <v>2</v>
      </c>
      <c r="D38" t="inlineStr">
        <is>
          <t>2020-11-30</t>
        </is>
      </c>
      <c r="E38" t="inlineStr">
        <is>
          <t>2020-12-02</t>
        </is>
      </c>
      <c r="F38" t="inlineStr">
        <is>
          <t>2020-12-02</t>
        </is>
      </c>
      <c r="G38" t="n">
        <v>14145.02</v>
      </c>
      <c r="H38" t="inlineStr">
        <is>
          <t>Delivered</t>
        </is>
      </c>
      <c r="I38" t="n">
        <v>9</v>
      </c>
      <c r="J38" t="n">
        <v>9</v>
      </c>
    </row>
    <row r="39">
      <c r="A39" t="n">
        <v>38</v>
      </c>
      <c r="B39" t="inlineStr">
        <is>
          <t>PO-2020-0038</t>
        </is>
      </c>
      <c r="C39" t="n">
        <v>2</v>
      </c>
      <c r="D39" t="inlineStr">
        <is>
          <t>2020-10-10</t>
        </is>
      </c>
      <c r="E39" t="inlineStr">
        <is>
          <t>2020-10-16</t>
        </is>
      </c>
      <c r="F39" t="inlineStr">
        <is>
          <t>2020-10-16</t>
        </is>
      </c>
      <c r="G39" t="n">
        <v>9467.620000000001</v>
      </c>
      <c r="H39" t="inlineStr">
        <is>
          <t>Delivered</t>
        </is>
      </c>
      <c r="I39" t="n">
        <v>27</v>
      </c>
      <c r="J39" t="n">
        <v>27</v>
      </c>
    </row>
    <row r="40">
      <c r="A40" t="n">
        <v>39</v>
      </c>
      <c r="B40" t="inlineStr">
        <is>
          <t>PO-2020-0039</t>
        </is>
      </c>
      <c r="C40" t="n">
        <v>2</v>
      </c>
      <c r="D40" t="inlineStr">
        <is>
          <t>2020-05-15</t>
        </is>
      </c>
      <c r="E40" t="inlineStr">
        <is>
          <t>2020-05-19</t>
        </is>
      </c>
      <c r="F40" t="inlineStr">
        <is>
          <t>2020-05-20</t>
        </is>
      </c>
      <c r="G40" t="n">
        <v>2292.18</v>
      </c>
      <c r="H40" t="inlineStr">
        <is>
          <t>Delivered</t>
        </is>
      </c>
      <c r="I40" t="n">
        <v>18</v>
      </c>
      <c r="J40" t="n">
        <v>18</v>
      </c>
      <c r="K40" t="inlineStr">
        <is>
          <t>Incorrect vintage delivered for 1 line item</t>
        </is>
      </c>
    </row>
    <row r="41">
      <c r="A41" t="n">
        <v>40</v>
      </c>
      <c r="B41" t="inlineStr">
        <is>
          <t>PO-2020-0040</t>
        </is>
      </c>
      <c r="C41" t="n">
        <v>2</v>
      </c>
      <c r="D41" t="inlineStr">
        <is>
          <t>2020-03-07</t>
        </is>
      </c>
      <c r="E41" t="inlineStr">
        <is>
          <t>2020-03-13</t>
        </is>
      </c>
      <c r="F41" t="inlineStr">
        <is>
          <t>2020-03-13</t>
        </is>
      </c>
      <c r="G41" t="n">
        <v>3262.15</v>
      </c>
      <c r="H41" t="inlineStr">
        <is>
          <t>Delivered</t>
        </is>
      </c>
      <c r="I41" t="n">
        <v>19</v>
      </c>
      <c r="J41" t="n">
        <v>19</v>
      </c>
    </row>
    <row r="42">
      <c r="A42" t="n">
        <v>41</v>
      </c>
      <c r="B42" t="inlineStr">
        <is>
          <t>PO-2020-0041</t>
        </is>
      </c>
      <c r="C42" t="n">
        <v>2</v>
      </c>
      <c r="D42" t="inlineStr">
        <is>
          <t>2020-01-05</t>
        </is>
      </c>
      <c r="E42" t="inlineStr">
        <is>
          <t>2020-01-17</t>
        </is>
      </c>
      <c r="F42" t="inlineStr">
        <is>
          <t>2020-01-17</t>
        </is>
      </c>
      <c r="G42" t="n">
        <v>8638.26</v>
      </c>
      <c r="H42" t="inlineStr">
        <is>
          <t>Delivered</t>
        </is>
      </c>
      <c r="I42" t="n">
        <v>31</v>
      </c>
      <c r="J42" t="n">
        <v>31</v>
      </c>
    </row>
    <row r="43">
      <c r="A43" t="n">
        <v>42</v>
      </c>
      <c r="B43" t="inlineStr">
        <is>
          <t>PO-2020-0042</t>
        </is>
      </c>
      <c r="C43" t="n">
        <v>2</v>
      </c>
      <c r="D43" t="inlineStr">
        <is>
          <t>2020-08-08</t>
        </is>
      </c>
      <c r="E43" t="inlineStr">
        <is>
          <t>2020-08-19</t>
        </is>
      </c>
      <c r="F43" t="inlineStr">
        <is>
          <t>2020-08-19</t>
        </is>
      </c>
      <c r="G43" t="n">
        <v>6105.12</v>
      </c>
      <c r="H43" t="inlineStr">
        <is>
          <t>Delivered</t>
        </is>
      </c>
      <c r="I43" t="n">
        <v>34</v>
      </c>
      <c r="J43" t="n">
        <v>34</v>
      </c>
    </row>
    <row r="44">
      <c r="A44" t="n">
        <v>43</v>
      </c>
      <c r="B44" t="inlineStr">
        <is>
          <t>PO-2020-0043</t>
        </is>
      </c>
      <c r="C44" t="n">
        <v>2</v>
      </c>
      <c r="D44" t="inlineStr">
        <is>
          <t>2020-07-02</t>
        </is>
      </c>
      <c r="E44" t="inlineStr">
        <is>
          <t>2020-07-09</t>
        </is>
      </c>
      <c r="F44" t="inlineStr">
        <is>
          <t>2020-07-08</t>
        </is>
      </c>
      <c r="G44" t="n">
        <v>14633.72</v>
      </c>
      <c r="H44" t="inlineStr">
        <is>
          <t>Delivered</t>
        </is>
      </c>
      <c r="I44" t="n">
        <v>28</v>
      </c>
      <c r="J44" t="n">
        <v>28</v>
      </c>
    </row>
    <row r="45">
      <c r="A45" t="n">
        <v>44</v>
      </c>
      <c r="B45" t="inlineStr">
        <is>
          <t>PO-2020-0044</t>
        </is>
      </c>
      <c r="C45" t="n">
        <v>2</v>
      </c>
      <c r="D45" t="inlineStr">
        <is>
          <t>2020-03-24</t>
        </is>
      </c>
      <c r="E45" t="inlineStr">
        <is>
          <t>2020-04-02</t>
        </is>
      </c>
      <c r="F45" t="inlineStr">
        <is>
          <t>2020-04-05</t>
        </is>
      </c>
      <c r="G45" t="n">
        <v>13339.83</v>
      </c>
      <c r="H45" t="inlineStr">
        <is>
          <t>Delivered</t>
        </is>
      </c>
      <c r="I45" t="n">
        <v>5</v>
      </c>
      <c r="J45" t="n">
        <v>5</v>
      </c>
    </row>
    <row r="46">
      <c r="A46" t="n">
        <v>45</v>
      </c>
      <c r="B46" t="inlineStr">
        <is>
          <t>PO-2020-0045</t>
        </is>
      </c>
      <c r="C46" t="n">
        <v>2</v>
      </c>
      <c r="D46" t="inlineStr">
        <is>
          <t>2020-07-29</t>
        </is>
      </c>
      <c r="E46" t="inlineStr">
        <is>
          <t>2020-08-06</t>
        </is>
      </c>
      <c r="F46" t="inlineStr">
        <is>
          <t>2020-08-11</t>
        </is>
      </c>
      <c r="G46" t="n">
        <v>3228.77</v>
      </c>
      <c r="H46" t="inlineStr">
        <is>
          <t>Partially Delivered</t>
        </is>
      </c>
      <c r="I46" t="n">
        <v>27</v>
      </c>
      <c r="J46" t="n">
        <v>26</v>
      </c>
      <c r="K46" t="inlineStr">
        <is>
          <t>Label damage on 3 cases; unsellable</t>
        </is>
      </c>
    </row>
    <row r="47">
      <c r="A47" t="n">
        <v>46</v>
      </c>
      <c r="B47" t="inlineStr">
        <is>
          <t>PO-2020-0046</t>
        </is>
      </c>
      <c r="C47" t="n">
        <v>2</v>
      </c>
      <c r="D47" t="inlineStr">
        <is>
          <t>2020-04-23</t>
        </is>
      </c>
      <c r="E47" t="inlineStr">
        <is>
          <t>2020-04-25</t>
        </is>
      </c>
      <c r="F47" t="inlineStr">
        <is>
          <t>2020-04-24</t>
        </is>
      </c>
      <c r="G47" t="n">
        <v>5895.22</v>
      </c>
      <c r="H47" t="inlineStr">
        <is>
          <t>Delivered</t>
        </is>
      </c>
      <c r="I47" t="n">
        <v>31</v>
      </c>
      <c r="J47" t="n">
        <v>31</v>
      </c>
    </row>
    <row r="48">
      <c r="A48" t="n">
        <v>47</v>
      </c>
      <c r="B48" t="inlineStr">
        <is>
          <t>PO-2020-0047</t>
        </is>
      </c>
      <c r="C48" t="n">
        <v>2</v>
      </c>
      <c r="D48" t="inlineStr">
        <is>
          <t>2020-01-13</t>
        </is>
      </c>
      <c r="E48" t="inlineStr">
        <is>
          <t>2020-01-18</t>
        </is>
      </c>
      <c r="F48" t="inlineStr">
        <is>
          <t>2020-01-18</t>
        </is>
      </c>
      <c r="G48" t="n">
        <v>14536.45</v>
      </c>
      <c r="H48" t="inlineStr">
        <is>
          <t>Delivered</t>
        </is>
      </c>
      <c r="I48" t="n">
        <v>13</v>
      </c>
      <c r="J48" t="n">
        <v>13</v>
      </c>
    </row>
    <row r="49">
      <c r="A49" t="n">
        <v>48</v>
      </c>
      <c r="B49" t="inlineStr">
        <is>
          <t>PO-2020-0048</t>
        </is>
      </c>
      <c r="C49" t="n">
        <v>2</v>
      </c>
      <c r="D49" t="inlineStr">
        <is>
          <t>2020-12-13</t>
        </is>
      </c>
      <c r="E49" t="inlineStr">
        <is>
          <t>2020-12-17</t>
        </is>
      </c>
      <c r="F49" t="inlineStr">
        <is>
          <t>2020-12-23</t>
        </is>
      </c>
      <c r="G49" t="n">
        <v>14149.32</v>
      </c>
      <c r="H49" t="inlineStr">
        <is>
          <t>Delivered</t>
        </is>
      </c>
      <c r="I49" t="n">
        <v>8</v>
      </c>
      <c r="J49" t="n">
        <v>8</v>
      </c>
    </row>
    <row r="50">
      <c r="A50" t="n">
        <v>49</v>
      </c>
      <c r="B50" t="inlineStr">
        <is>
          <t>PO-2020-0049</t>
        </is>
      </c>
      <c r="C50" t="n">
        <v>2</v>
      </c>
      <c r="D50" t="inlineStr">
        <is>
          <t>2020-10-24</t>
        </is>
      </c>
      <c r="E50" t="inlineStr">
        <is>
          <t>2020-11-02</t>
        </is>
      </c>
      <c r="F50" t="inlineStr">
        <is>
          <t>2020-11-01</t>
        </is>
      </c>
      <c r="G50" t="n">
        <v>5839.62</v>
      </c>
      <c r="H50" t="inlineStr">
        <is>
          <t>Delivered</t>
        </is>
      </c>
      <c r="I50" t="n">
        <v>30</v>
      </c>
      <c r="J50" t="n">
        <v>30</v>
      </c>
    </row>
    <row r="51">
      <c r="A51" t="n">
        <v>50</v>
      </c>
      <c r="B51" t="inlineStr">
        <is>
          <t>PO-2020-0050</t>
        </is>
      </c>
      <c r="C51" t="n">
        <v>2</v>
      </c>
      <c r="D51" t="inlineStr">
        <is>
          <t>2020-09-18</t>
        </is>
      </c>
      <c r="E51" t="inlineStr">
        <is>
          <t>2020-09-24</t>
        </is>
      </c>
      <c r="F51" t="inlineStr">
        <is>
          <t>2020-09-24</t>
        </is>
      </c>
      <c r="G51" t="n">
        <v>4566.12</v>
      </c>
      <c r="H51" t="inlineStr">
        <is>
          <t>Delivered</t>
        </is>
      </c>
      <c r="I51" t="n">
        <v>27</v>
      </c>
      <c r="J51" t="n">
        <v>27</v>
      </c>
    </row>
    <row r="52">
      <c r="A52" t="n">
        <v>51</v>
      </c>
      <c r="B52" t="inlineStr">
        <is>
          <t>PO-2020-0051</t>
        </is>
      </c>
      <c r="C52" t="n">
        <v>2</v>
      </c>
      <c r="D52" t="inlineStr">
        <is>
          <t>2020-10-02</t>
        </is>
      </c>
      <c r="E52" t="inlineStr">
        <is>
          <t>2020-10-06</t>
        </is>
      </c>
      <c r="F52" t="inlineStr">
        <is>
          <t>2020-10-06</t>
        </is>
      </c>
      <c r="G52" t="n">
        <v>6099.1</v>
      </c>
      <c r="H52" t="inlineStr">
        <is>
          <t>Delivered</t>
        </is>
      </c>
      <c r="I52" t="n">
        <v>7</v>
      </c>
      <c r="J52" t="n">
        <v>7</v>
      </c>
    </row>
    <row r="53">
      <c r="A53" t="n">
        <v>52</v>
      </c>
      <c r="B53" t="inlineStr">
        <is>
          <t>PO-2020-0052</t>
        </is>
      </c>
      <c r="C53" t="n">
        <v>2</v>
      </c>
      <c r="D53" t="inlineStr">
        <is>
          <t>2020-11-15</t>
        </is>
      </c>
      <c r="E53" t="inlineStr">
        <is>
          <t>2020-11-17</t>
        </is>
      </c>
      <c r="F53" t="inlineStr">
        <is>
          <t>2020-11-17</t>
        </is>
      </c>
      <c r="G53" t="n">
        <v>11076.56</v>
      </c>
      <c r="H53" t="inlineStr">
        <is>
          <t>Delivered</t>
        </is>
      </c>
      <c r="I53" t="n">
        <v>14</v>
      </c>
      <c r="J53" t="n">
        <v>14</v>
      </c>
    </row>
    <row r="54">
      <c r="A54" t="n">
        <v>53</v>
      </c>
      <c r="B54" t="inlineStr">
        <is>
          <t>PO-2020-0053</t>
        </is>
      </c>
      <c r="C54" t="n">
        <v>3</v>
      </c>
      <c r="D54" t="inlineStr">
        <is>
          <t>2020-06-16</t>
        </is>
      </c>
      <c r="E54" t="inlineStr">
        <is>
          <t>2020-06-18</t>
        </is>
      </c>
      <c r="F54" t="inlineStr">
        <is>
          <t>2020-06-17</t>
        </is>
      </c>
      <c r="G54" t="n">
        <v>17628.45</v>
      </c>
      <c r="H54" t="inlineStr">
        <is>
          <t>Delivered</t>
        </is>
      </c>
      <c r="I54" t="n">
        <v>39</v>
      </c>
      <c r="J54" t="n">
        <v>39</v>
      </c>
    </row>
    <row r="55">
      <c r="A55" t="n">
        <v>54</v>
      </c>
      <c r="B55" t="inlineStr">
        <is>
          <t>PO-2020-0054</t>
        </is>
      </c>
      <c r="C55" t="n">
        <v>3</v>
      </c>
      <c r="D55" t="inlineStr">
        <is>
          <t>2020-11-11</t>
        </is>
      </c>
      <c r="E55" t="inlineStr">
        <is>
          <t>2020-11-15</t>
        </is>
      </c>
      <c r="F55" t="inlineStr">
        <is>
          <t>2020-11-14</t>
        </is>
      </c>
      <c r="G55" t="n">
        <v>15054.62</v>
      </c>
      <c r="H55" t="inlineStr">
        <is>
          <t>Delivered</t>
        </is>
      </c>
      <c r="I55" t="n">
        <v>15</v>
      </c>
      <c r="J55" t="n">
        <v>15</v>
      </c>
    </row>
    <row r="56">
      <c r="A56" t="n">
        <v>55</v>
      </c>
      <c r="B56" t="inlineStr">
        <is>
          <t>PO-2020-0055</t>
        </is>
      </c>
      <c r="C56" t="n">
        <v>3</v>
      </c>
      <c r="D56" t="inlineStr">
        <is>
          <t>2020-10-23</t>
        </is>
      </c>
      <c r="E56" t="inlineStr">
        <is>
          <t>2020-10-25</t>
        </is>
      </c>
      <c r="F56" t="inlineStr">
        <is>
          <t>2020-10-25</t>
        </is>
      </c>
      <c r="G56" t="n">
        <v>14245.83</v>
      </c>
      <c r="H56" t="inlineStr">
        <is>
          <t>Delivered</t>
        </is>
      </c>
      <c r="I56" t="n">
        <v>25</v>
      </c>
      <c r="J56" t="n">
        <v>25</v>
      </c>
    </row>
    <row r="57">
      <c r="A57" t="n">
        <v>56</v>
      </c>
      <c r="B57" t="inlineStr">
        <is>
          <t>PO-2020-0056</t>
        </is>
      </c>
      <c r="C57" t="n">
        <v>3</v>
      </c>
      <c r="D57" t="inlineStr">
        <is>
          <t>2020-12-05</t>
        </is>
      </c>
      <c r="E57" t="inlineStr">
        <is>
          <t>2020-12-08</t>
        </is>
      </c>
      <c r="F57" t="inlineStr">
        <is>
          <t>2020-12-08</t>
        </is>
      </c>
      <c r="G57" t="n">
        <v>5054.52</v>
      </c>
      <c r="H57" t="inlineStr">
        <is>
          <t>Delivered</t>
        </is>
      </c>
      <c r="I57" t="n">
        <v>30</v>
      </c>
      <c r="J57" t="n">
        <v>30</v>
      </c>
    </row>
    <row r="58">
      <c r="A58" t="n">
        <v>57</v>
      </c>
      <c r="B58" t="inlineStr">
        <is>
          <t>PO-2020-0057</t>
        </is>
      </c>
      <c r="C58" t="n">
        <v>3</v>
      </c>
      <c r="D58" t="inlineStr">
        <is>
          <t>2020-04-11</t>
        </is>
      </c>
      <c r="E58" t="inlineStr">
        <is>
          <t>2020-04-15</t>
        </is>
      </c>
      <c r="F58" t="inlineStr">
        <is>
          <t>2020-04-17</t>
        </is>
      </c>
      <c r="G58" t="n">
        <v>13019.16</v>
      </c>
      <c r="H58" t="inlineStr">
        <is>
          <t>Delivered</t>
        </is>
      </c>
      <c r="I58" t="n">
        <v>27</v>
      </c>
      <c r="J58" t="n">
        <v>27</v>
      </c>
    </row>
    <row r="59">
      <c r="A59" t="n">
        <v>58</v>
      </c>
      <c r="B59" t="inlineStr">
        <is>
          <t>PO-2020-0058</t>
        </is>
      </c>
      <c r="C59" t="n">
        <v>3</v>
      </c>
      <c r="D59" t="inlineStr">
        <is>
          <t>2020-07-23</t>
        </is>
      </c>
      <c r="E59" t="inlineStr">
        <is>
          <t>2020-07-27</t>
        </is>
      </c>
      <c r="F59" t="inlineStr">
        <is>
          <t>2020-07-27</t>
        </is>
      </c>
      <c r="G59" t="n">
        <v>22638.52</v>
      </c>
      <c r="H59" t="inlineStr">
        <is>
          <t>Delivered</t>
        </is>
      </c>
      <c r="I59" t="n">
        <v>21</v>
      </c>
      <c r="J59" t="n">
        <v>21</v>
      </c>
    </row>
    <row r="60">
      <c r="A60" t="n">
        <v>59</v>
      </c>
      <c r="B60" t="inlineStr">
        <is>
          <t>PO-2020-0059</t>
        </is>
      </c>
      <c r="C60" t="n">
        <v>3</v>
      </c>
      <c r="D60" t="inlineStr">
        <is>
          <t>2020-12-22</t>
        </is>
      </c>
      <c r="E60" t="inlineStr">
        <is>
          <t>2020-12-25</t>
        </is>
      </c>
      <c r="F60" t="inlineStr">
        <is>
          <t>2020-12-25</t>
        </is>
      </c>
      <c r="G60" t="n">
        <v>13042.16</v>
      </c>
      <c r="H60" t="inlineStr">
        <is>
          <t>Delivered</t>
        </is>
      </c>
      <c r="I60" t="n">
        <v>44</v>
      </c>
      <c r="J60" t="n">
        <v>44</v>
      </c>
    </row>
    <row r="61">
      <c r="A61" t="n">
        <v>60</v>
      </c>
      <c r="B61" t="inlineStr">
        <is>
          <t>PO-2020-0060</t>
        </is>
      </c>
      <c r="C61" t="n">
        <v>3</v>
      </c>
      <c r="D61" t="inlineStr">
        <is>
          <t>2020-10-31</t>
        </is>
      </c>
      <c r="E61" t="inlineStr">
        <is>
          <t>2020-11-03</t>
        </is>
      </c>
      <c r="F61" t="inlineStr">
        <is>
          <t>2020-11-02</t>
        </is>
      </c>
      <c r="G61" t="n">
        <v>16478.35</v>
      </c>
      <c r="H61" t="inlineStr">
        <is>
          <t>Delivered</t>
        </is>
      </c>
      <c r="I61" t="n">
        <v>47</v>
      </c>
      <c r="J61" t="n">
        <v>47</v>
      </c>
    </row>
    <row r="62">
      <c r="A62" t="n">
        <v>61</v>
      </c>
      <c r="B62" t="inlineStr">
        <is>
          <t>PO-2020-0061</t>
        </is>
      </c>
      <c r="C62" t="n">
        <v>3</v>
      </c>
      <c r="D62" t="inlineStr">
        <is>
          <t>2020-08-16</t>
        </is>
      </c>
      <c r="E62" t="inlineStr">
        <is>
          <t>2020-08-21</t>
        </is>
      </c>
      <c r="F62" t="inlineStr">
        <is>
          <t>2020-08-21</t>
        </is>
      </c>
      <c r="G62" t="n">
        <v>19539.09</v>
      </c>
      <c r="H62" t="inlineStr">
        <is>
          <t>Delivered</t>
        </is>
      </c>
      <c r="I62" t="n">
        <v>32</v>
      </c>
      <c r="J62" t="n">
        <v>32</v>
      </c>
    </row>
    <row r="63">
      <c r="A63" t="n">
        <v>62</v>
      </c>
      <c r="B63" t="inlineStr">
        <is>
          <t>PO-2020-0062</t>
        </is>
      </c>
      <c r="C63" t="n">
        <v>3</v>
      </c>
      <c r="D63" t="inlineStr">
        <is>
          <t>2020-11-16</t>
        </is>
      </c>
      <c r="E63" t="inlineStr">
        <is>
          <t>2020-11-18</t>
        </is>
      </c>
      <c r="F63" t="inlineStr">
        <is>
          <t>2020-11-17</t>
        </is>
      </c>
      <c r="G63" t="n">
        <v>4704.63</v>
      </c>
      <c r="H63" t="inlineStr">
        <is>
          <t>Delivered</t>
        </is>
      </c>
      <c r="I63" t="n">
        <v>33</v>
      </c>
      <c r="J63" t="n">
        <v>33</v>
      </c>
    </row>
    <row r="64">
      <c r="A64" t="n">
        <v>63</v>
      </c>
      <c r="B64" t="inlineStr">
        <is>
          <t>PO-2020-0063</t>
        </is>
      </c>
      <c r="C64" t="n">
        <v>3</v>
      </c>
      <c r="D64" t="inlineStr">
        <is>
          <t>2020-10-03</t>
        </is>
      </c>
      <c r="E64" t="inlineStr">
        <is>
          <t>2020-10-07</t>
        </is>
      </c>
      <c r="F64" t="inlineStr">
        <is>
          <t>2020-10-07</t>
        </is>
      </c>
      <c r="G64" t="n">
        <v>18541.22</v>
      </c>
      <c r="H64" t="inlineStr">
        <is>
          <t>Delivered</t>
        </is>
      </c>
      <c r="I64" t="n">
        <v>19</v>
      </c>
      <c r="J64" t="n">
        <v>19</v>
      </c>
    </row>
    <row r="65">
      <c r="A65" t="n">
        <v>64</v>
      </c>
      <c r="B65" t="inlineStr">
        <is>
          <t>PO-2020-0064</t>
        </is>
      </c>
      <c r="C65" t="n">
        <v>3</v>
      </c>
      <c r="D65" t="inlineStr">
        <is>
          <t>2020-08-26</t>
        </is>
      </c>
      <c r="E65" t="inlineStr">
        <is>
          <t>2020-08-30</t>
        </is>
      </c>
      <c r="F65" t="inlineStr">
        <is>
          <t>2020-08-30</t>
        </is>
      </c>
      <c r="G65" t="n">
        <v>21323.61</v>
      </c>
      <c r="H65" t="inlineStr">
        <is>
          <t>Delivered</t>
        </is>
      </c>
      <c r="I65" t="n">
        <v>39</v>
      </c>
      <c r="J65" t="n">
        <v>39</v>
      </c>
    </row>
    <row r="66">
      <c r="A66" t="n">
        <v>65</v>
      </c>
      <c r="B66" t="inlineStr">
        <is>
          <t>PO-2020-0065</t>
        </is>
      </c>
      <c r="C66" t="n">
        <v>3</v>
      </c>
      <c r="D66" t="inlineStr">
        <is>
          <t>2020-12-22</t>
        </is>
      </c>
      <c r="E66" t="inlineStr">
        <is>
          <t>2020-12-29</t>
        </is>
      </c>
      <c r="F66" t="inlineStr">
        <is>
          <t>2020-12-28</t>
        </is>
      </c>
      <c r="G66" t="n">
        <v>3129.71</v>
      </c>
      <c r="H66" t="inlineStr">
        <is>
          <t>Delivered</t>
        </is>
      </c>
      <c r="I66" t="n">
        <v>37</v>
      </c>
      <c r="J66" t="n">
        <v>37</v>
      </c>
    </row>
    <row r="67">
      <c r="A67" t="n">
        <v>66</v>
      </c>
      <c r="B67" t="inlineStr">
        <is>
          <t>PO-2020-0066</t>
        </is>
      </c>
      <c r="C67" t="n">
        <v>3</v>
      </c>
      <c r="D67" t="inlineStr">
        <is>
          <t>2020-08-02</t>
        </is>
      </c>
      <c r="E67" t="inlineStr">
        <is>
          <t>2020-08-06</t>
        </is>
      </c>
      <c r="F67" t="inlineStr">
        <is>
          <t>2020-08-06</t>
        </is>
      </c>
      <c r="G67" t="n">
        <v>13741.05</v>
      </c>
      <c r="H67" t="inlineStr">
        <is>
          <t>Delivered</t>
        </is>
      </c>
      <c r="I67" t="n">
        <v>32</v>
      </c>
      <c r="J67" t="n">
        <v>32</v>
      </c>
      <c r="K67" t="inlineStr">
        <is>
          <t>Incorrect vintage delivered for 1 line item</t>
        </is>
      </c>
    </row>
    <row r="68">
      <c r="A68" t="n">
        <v>67</v>
      </c>
      <c r="B68" t="inlineStr">
        <is>
          <t>PO-2020-0067</t>
        </is>
      </c>
      <c r="C68" t="n">
        <v>3</v>
      </c>
      <c r="D68" t="inlineStr">
        <is>
          <t>2020-12-08</t>
        </is>
      </c>
      <c r="E68" t="inlineStr">
        <is>
          <t>2020-12-11</t>
        </is>
      </c>
      <c r="G68" t="n">
        <v>23229.92</v>
      </c>
      <c r="H68" t="inlineStr">
        <is>
          <t>Cancelled</t>
        </is>
      </c>
      <c r="I68" t="n">
        <v>49</v>
      </c>
      <c r="J68" t="n">
        <v>0</v>
      </c>
      <c r="K68" t="inlineStr">
        <is>
          <t>Order cancelled by supplier due to stock-out</t>
        </is>
      </c>
    </row>
    <row r="69">
      <c r="A69" t="n">
        <v>68</v>
      </c>
      <c r="B69" t="inlineStr">
        <is>
          <t>PO-2020-0068</t>
        </is>
      </c>
      <c r="C69" t="n">
        <v>3</v>
      </c>
      <c r="D69" t="inlineStr">
        <is>
          <t>2020-07-20</t>
        </is>
      </c>
      <c r="E69" t="inlineStr">
        <is>
          <t>2020-07-22</t>
        </is>
      </c>
      <c r="F69" t="inlineStr">
        <is>
          <t>2020-07-22</t>
        </is>
      </c>
      <c r="G69" t="n">
        <v>4846.84</v>
      </c>
      <c r="H69" t="inlineStr">
        <is>
          <t>Partially Delivered</t>
        </is>
      </c>
      <c r="I69" t="n">
        <v>42</v>
      </c>
      <c r="J69" t="n">
        <v>34</v>
      </c>
      <c r="K69" t="inlineStr">
        <is>
          <t>Incorrect vintage delivered for 1 line item</t>
        </is>
      </c>
    </row>
    <row r="70">
      <c r="A70" t="n">
        <v>69</v>
      </c>
      <c r="B70" t="inlineStr">
        <is>
          <t>PO-2020-0069</t>
        </is>
      </c>
      <c r="C70" t="n">
        <v>3</v>
      </c>
      <c r="D70" t="inlineStr">
        <is>
          <t>2020-01-26</t>
        </is>
      </c>
      <c r="E70" t="inlineStr">
        <is>
          <t>2020-01-29</t>
        </is>
      </c>
      <c r="F70" t="inlineStr">
        <is>
          <t>2020-01-29</t>
        </is>
      </c>
      <c r="G70" t="n">
        <v>19747.05</v>
      </c>
      <c r="H70" t="inlineStr">
        <is>
          <t>Delivered</t>
        </is>
      </c>
      <c r="I70" t="n">
        <v>39</v>
      </c>
      <c r="J70" t="n">
        <v>39</v>
      </c>
    </row>
    <row r="71">
      <c r="A71" t="n">
        <v>70</v>
      </c>
      <c r="B71" t="inlineStr">
        <is>
          <t>PO-2020-0070</t>
        </is>
      </c>
      <c r="C71" t="n">
        <v>3</v>
      </c>
      <c r="D71" t="inlineStr">
        <is>
          <t>2020-08-03</t>
        </is>
      </c>
      <c r="E71" t="inlineStr">
        <is>
          <t>2020-08-08</t>
        </is>
      </c>
      <c r="F71" t="inlineStr">
        <is>
          <t>2020-08-08</t>
        </is>
      </c>
      <c r="G71" t="n">
        <v>13346.75</v>
      </c>
      <c r="H71" t="inlineStr">
        <is>
          <t>Partially Delivered</t>
        </is>
      </c>
      <c r="I71" t="n">
        <v>49</v>
      </c>
      <c r="J71" t="n">
        <v>43</v>
      </c>
      <c r="K71" t="inlineStr">
        <is>
          <t>Temperature excursion noted on 4 cases</t>
        </is>
      </c>
    </row>
    <row r="72">
      <c r="A72" t="n">
        <v>71</v>
      </c>
      <c r="B72" t="inlineStr">
        <is>
          <t>PO-2020-0071</t>
        </is>
      </c>
      <c r="C72" t="n">
        <v>3</v>
      </c>
      <c r="D72" t="inlineStr">
        <is>
          <t>2020-11-28</t>
        </is>
      </c>
      <c r="E72" t="inlineStr">
        <is>
          <t>2020-12-05</t>
        </is>
      </c>
      <c r="F72" t="inlineStr">
        <is>
          <t>2020-12-05</t>
        </is>
      </c>
      <c r="G72" t="n">
        <v>23891.46</v>
      </c>
      <c r="H72" t="inlineStr">
        <is>
          <t>Delivered</t>
        </is>
      </c>
      <c r="I72" t="n">
        <v>27</v>
      </c>
      <c r="J72" t="n">
        <v>27</v>
      </c>
    </row>
    <row r="73">
      <c r="A73" t="n">
        <v>72</v>
      </c>
      <c r="B73" t="inlineStr">
        <is>
          <t>PO-2020-0072</t>
        </is>
      </c>
      <c r="C73" t="n">
        <v>3</v>
      </c>
      <c r="D73" t="inlineStr">
        <is>
          <t>2020-05-02</t>
        </is>
      </c>
      <c r="E73" t="inlineStr">
        <is>
          <t>2020-05-07</t>
        </is>
      </c>
      <c r="F73" t="inlineStr">
        <is>
          <t>2020-05-07</t>
        </is>
      </c>
      <c r="G73" t="n">
        <v>15407.33</v>
      </c>
      <c r="H73" t="inlineStr">
        <is>
          <t>Delivered</t>
        </is>
      </c>
      <c r="I73" t="n">
        <v>28</v>
      </c>
      <c r="J73" t="n">
        <v>28</v>
      </c>
    </row>
    <row r="74">
      <c r="A74" t="n">
        <v>73</v>
      </c>
      <c r="B74" t="inlineStr">
        <is>
          <t>PO-2020-0073</t>
        </is>
      </c>
      <c r="C74" t="n">
        <v>3</v>
      </c>
      <c r="D74" t="inlineStr">
        <is>
          <t>2020-07-07</t>
        </is>
      </c>
      <c r="E74" t="inlineStr">
        <is>
          <t>2020-07-12</t>
        </is>
      </c>
      <c r="F74" t="inlineStr">
        <is>
          <t>2020-07-12</t>
        </is>
      </c>
      <c r="G74" t="n">
        <v>20111.42</v>
      </c>
      <c r="H74" t="inlineStr">
        <is>
          <t>Delivered</t>
        </is>
      </c>
      <c r="I74" t="n">
        <v>25</v>
      </c>
      <c r="J74" t="n">
        <v>25</v>
      </c>
    </row>
    <row r="75">
      <c r="A75" t="n">
        <v>74</v>
      </c>
      <c r="B75" t="inlineStr">
        <is>
          <t>PO-2020-0074</t>
        </is>
      </c>
      <c r="C75" t="n">
        <v>3</v>
      </c>
      <c r="D75" t="inlineStr">
        <is>
          <t>2020-01-14</t>
        </is>
      </c>
      <c r="E75" t="inlineStr">
        <is>
          <t>2020-01-19</t>
        </is>
      </c>
      <c r="F75" t="inlineStr">
        <is>
          <t>2020-01-26</t>
        </is>
      </c>
      <c r="G75" t="n">
        <v>11726.4</v>
      </c>
      <c r="H75" t="inlineStr">
        <is>
          <t>Partially Delivered</t>
        </is>
      </c>
      <c r="I75" t="n">
        <v>27</v>
      </c>
      <c r="J75" t="n">
        <v>21</v>
      </c>
      <c r="K75" t="inlineStr">
        <is>
          <t>Freight carrier delay; product held at warehouse</t>
        </is>
      </c>
    </row>
    <row r="76">
      <c r="A76" t="n">
        <v>75</v>
      </c>
      <c r="B76" t="inlineStr">
        <is>
          <t>PO-2020-0075</t>
        </is>
      </c>
      <c r="C76" t="n">
        <v>3</v>
      </c>
      <c r="D76" t="inlineStr">
        <is>
          <t>2020-05-04</t>
        </is>
      </c>
      <c r="E76" t="inlineStr">
        <is>
          <t>2020-05-10</t>
        </is>
      </c>
      <c r="F76" t="inlineStr">
        <is>
          <t>2020-05-10</t>
        </is>
      </c>
      <c r="G76" t="n">
        <v>20517</v>
      </c>
      <c r="H76" t="inlineStr">
        <is>
          <t>Delivered</t>
        </is>
      </c>
      <c r="I76" t="n">
        <v>17</v>
      </c>
      <c r="J76" t="n">
        <v>17</v>
      </c>
    </row>
    <row r="77">
      <c r="A77" t="n">
        <v>76</v>
      </c>
      <c r="B77" t="inlineStr">
        <is>
          <t>PO-2020-0076</t>
        </is>
      </c>
      <c r="C77" t="n">
        <v>3</v>
      </c>
      <c r="D77" t="inlineStr">
        <is>
          <t>2020-07-08</t>
        </is>
      </c>
      <c r="E77" t="inlineStr">
        <is>
          <t>2020-07-13</t>
        </is>
      </c>
      <c r="F77" t="inlineStr">
        <is>
          <t>2020-07-13</t>
        </is>
      </c>
      <c r="G77" t="n">
        <v>3278.35</v>
      </c>
      <c r="H77" t="inlineStr">
        <is>
          <t>Delivered</t>
        </is>
      </c>
      <c r="I77" t="n">
        <v>41</v>
      </c>
      <c r="J77" t="n">
        <v>41</v>
      </c>
    </row>
    <row r="78">
      <c r="A78" t="n">
        <v>77</v>
      </c>
      <c r="B78" t="inlineStr">
        <is>
          <t>PO-2020-0077</t>
        </is>
      </c>
      <c r="C78" t="n">
        <v>3</v>
      </c>
      <c r="D78" t="inlineStr">
        <is>
          <t>2020-07-04</t>
        </is>
      </c>
      <c r="E78" t="inlineStr">
        <is>
          <t>2020-07-06</t>
        </is>
      </c>
      <c r="F78" t="inlineStr">
        <is>
          <t>2020-07-05</t>
        </is>
      </c>
      <c r="G78" t="n">
        <v>6875.01</v>
      </c>
      <c r="H78" t="inlineStr">
        <is>
          <t>Delivered</t>
        </is>
      </c>
      <c r="I78" t="n">
        <v>48</v>
      </c>
      <c r="J78" t="n">
        <v>48</v>
      </c>
    </row>
    <row r="79">
      <c r="A79" t="n">
        <v>78</v>
      </c>
      <c r="B79" t="inlineStr">
        <is>
          <t>PO-2020-0078</t>
        </is>
      </c>
      <c r="C79" t="n">
        <v>3</v>
      </c>
      <c r="D79" t="inlineStr">
        <is>
          <t>2020-10-02</t>
        </is>
      </c>
      <c r="E79" t="inlineStr">
        <is>
          <t>2020-10-04</t>
        </is>
      </c>
      <c r="F79" t="inlineStr">
        <is>
          <t>2020-10-03</t>
        </is>
      </c>
      <c r="G79" t="n">
        <v>12582.64</v>
      </c>
      <c r="H79" t="inlineStr">
        <is>
          <t>Delivered</t>
        </is>
      </c>
      <c r="I79" t="n">
        <v>32</v>
      </c>
      <c r="J79" t="n">
        <v>32</v>
      </c>
    </row>
    <row r="80">
      <c r="A80" t="n">
        <v>79</v>
      </c>
      <c r="B80" t="inlineStr">
        <is>
          <t>PO-2020-0079</t>
        </is>
      </c>
      <c r="C80" t="n">
        <v>3</v>
      </c>
      <c r="D80" t="inlineStr">
        <is>
          <t>2020-02-14</t>
        </is>
      </c>
      <c r="E80" t="inlineStr">
        <is>
          <t>2020-02-17</t>
        </is>
      </c>
      <c r="F80" t="inlineStr">
        <is>
          <t>2020-02-16</t>
        </is>
      </c>
      <c r="G80" t="n">
        <v>10400.73</v>
      </c>
      <c r="H80" t="inlineStr">
        <is>
          <t>Delivered</t>
        </is>
      </c>
      <c r="I80" t="n">
        <v>46</v>
      </c>
      <c r="J80" t="n">
        <v>46</v>
      </c>
    </row>
    <row r="81">
      <c r="A81" t="n">
        <v>80</v>
      </c>
      <c r="B81" t="inlineStr">
        <is>
          <t>PO-2020-0080</t>
        </is>
      </c>
      <c r="C81" t="n">
        <v>3</v>
      </c>
      <c r="D81" t="inlineStr">
        <is>
          <t>2020-04-18</t>
        </is>
      </c>
      <c r="E81" t="inlineStr">
        <is>
          <t>2020-04-23</t>
        </is>
      </c>
      <c r="F81" t="inlineStr">
        <is>
          <t>2020-04-23</t>
        </is>
      </c>
      <c r="G81" t="n">
        <v>10487.45</v>
      </c>
      <c r="H81" t="inlineStr">
        <is>
          <t>Delivered</t>
        </is>
      </c>
      <c r="I81" t="n">
        <v>32</v>
      </c>
      <c r="J81" t="n">
        <v>32</v>
      </c>
    </row>
    <row r="82">
      <c r="A82" t="n">
        <v>81</v>
      </c>
      <c r="B82" t="inlineStr">
        <is>
          <t>PO-2020-0081</t>
        </is>
      </c>
      <c r="C82" t="n">
        <v>3</v>
      </c>
      <c r="D82" t="inlineStr">
        <is>
          <t>2020-04-07</t>
        </is>
      </c>
      <c r="E82" t="inlineStr">
        <is>
          <t>2020-04-13</t>
        </is>
      </c>
      <c r="F82" t="inlineStr">
        <is>
          <t>2020-04-13</t>
        </is>
      </c>
      <c r="G82" t="n">
        <v>18193.41</v>
      </c>
      <c r="H82" t="inlineStr">
        <is>
          <t>Delivered</t>
        </is>
      </c>
      <c r="I82" t="n">
        <v>46</v>
      </c>
      <c r="J82" t="n">
        <v>46</v>
      </c>
      <c r="K82" t="inlineStr">
        <is>
          <t>Incorrect vintage delivered for 1 line item</t>
        </is>
      </c>
    </row>
    <row r="83">
      <c r="A83" t="n">
        <v>82</v>
      </c>
      <c r="B83" t="inlineStr">
        <is>
          <t>PO-2020-0082</t>
        </is>
      </c>
      <c r="C83" t="n">
        <v>3</v>
      </c>
      <c r="D83" t="inlineStr">
        <is>
          <t>2020-04-23</t>
        </is>
      </c>
      <c r="E83" t="inlineStr">
        <is>
          <t>2020-04-28</t>
        </is>
      </c>
      <c r="F83" t="inlineStr">
        <is>
          <t>2020-04-28</t>
        </is>
      </c>
      <c r="G83" t="n">
        <v>9736.530000000001</v>
      </c>
      <c r="H83" t="inlineStr">
        <is>
          <t>Delivered</t>
        </is>
      </c>
      <c r="I83" t="n">
        <v>38</v>
      </c>
      <c r="J83" t="n">
        <v>38</v>
      </c>
    </row>
    <row r="84">
      <c r="A84" t="n">
        <v>83</v>
      </c>
      <c r="B84" t="inlineStr">
        <is>
          <t>PO-2020-0083</t>
        </is>
      </c>
      <c r="C84" t="n">
        <v>3</v>
      </c>
      <c r="D84" t="inlineStr">
        <is>
          <t>2020-08-05</t>
        </is>
      </c>
      <c r="E84" t="inlineStr">
        <is>
          <t>2020-08-10</t>
        </is>
      </c>
      <c r="F84" t="inlineStr">
        <is>
          <t>2020-08-09</t>
        </is>
      </c>
      <c r="G84" t="n">
        <v>8960.16</v>
      </c>
      <c r="H84" t="inlineStr">
        <is>
          <t>Delivered</t>
        </is>
      </c>
      <c r="I84" t="n">
        <v>31</v>
      </c>
      <c r="J84" t="n">
        <v>31</v>
      </c>
    </row>
    <row r="85">
      <c r="A85" t="n">
        <v>84</v>
      </c>
      <c r="B85" t="inlineStr">
        <is>
          <t>PO-2020-0084</t>
        </is>
      </c>
      <c r="C85" t="n">
        <v>3</v>
      </c>
      <c r="D85" t="inlineStr">
        <is>
          <t>2020-06-10</t>
        </is>
      </c>
      <c r="E85" t="inlineStr">
        <is>
          <t>2020-06-13</t>
        </is>
      </c>
      <c r="F85" t="inlineStr">
        <is>
          <t>2020-06-13</t>
        </is>
      </c>
      <c r="G85" t="n">
        <v>7213.9</v>
      </c>
      <c r="H85" t="inlineStr">
        <is>
          <t>Delivered</t>
        </is>
      </c>
      <c r="I85" t="n">
        <v>45</v>
      </c>
      <c r="J85" t="n">
        <v>45</v>
      </c>
    </row>
    <row r="86">
      <c r="A86" t="n">
        <v>85</v>
      </c>
      <c r="B86" t="inlineStr">
        <is>
          <t>PO-2020-0085</t>
        </is>
      </c>
      <c r="C86" t="n">
        <v>4</v>
      </c>
      <c r="D86" t="inlineStr">
        <is>
          <t>2020-09-25</t>
        </is>
      </c>
      <c r="E86" t="inlineStr">
        <is>
          <t>2020-09-27</t>
        </is>
      </c>
      <c r="F86" t="inlineStr">
        <is>
          <t>2020-10-02</t>
        </is>
      </c>
      <c r="G86" t="n">
        <v>2661.09</v>
      </c>
      <c r="H86" t="inlineStr">
        <is>
          <t>Delivered</t>
        </is>
      </c>
      <c r="I86" t="n">
        <v>10</v>
      </c>
      <c r="J86" t="n">
        <v>10</v>
      </c>
    </row>
    <row r="87">
      <c r="A87" t="n">
        <v>86</v>
      </c>
      <c r="B87" t="inlineStr">
        <is>
          <t>PO-2020-0086</t>
        </is>
      </c>
      <c r="C87" t="n">
        <v>4</v>
      </c>
      <c r="D87" t="inlineStr">
        <is>
          <t>2020-03-05</t>
        </is>
      </c>
      <c r="E87" t="inlineStr">
        <is>
          <t>2020-03-08</t>
        </is>
      </c>
      <c r="F87" t="inlineStr">
        <is>
          <t>2020-03-08</t>
        </is>
      </c>
      <c r="G87" t="n">
        <v>5756.91</v>
      </c>
      <c r="H87" t="inlineStr">
        <is>
          <t>Delivered</t>
        </is>
      </c>
      <c r="I87" t="n">
        <v>9</v>
      </c>
      <c r="J87" t="n">
        <v>9</v>
      </c>
    </row>
    <row r="88">
      <c r="A88" t="n">
        <v>87</v>
      </c>
      <c r="B88" t="inlineStr">
        <is>
          <t>PO-2020-0087</t>
        </is>
      </c>
      <c r="C88" t="n">
        <v>4</v>
      </c>
      <c r="D88" t="inlineStr">
        <is>
          <t>2020-02-22</t>
        </is>
      </c>
      <c r="E88" t="inlineStr">
        <is>
          <t>2020-03-09</t>
        </is>
      </c>
      <c r="F88" t="inlineStr">
        <is>
          <t>2020-03-08</t>
        </is>
      </c>
      <c r="G88" t="n">
        <v>3736.71</v>
      </c>
      <c r="H88" t="inlineStr">
        <is>
          <t>Delivered</t>
        </is>
      </c>
      <c r="I88" t="n">
        <v>6</v>
      </c>
      <c r="J88" t="n">
        <v>6</v>
      </c>
    </row>
    <row r="89">
      <c r="A89" t="n">
        <v>88</v>
      </c>
      <c r="B89" t="inlineStr">
        <is>
          <t>PO-2020-0088</t>
        </is>
      </c>
      <c r="C89" t="n">
        <v>4</v>
      </c>
      <c r="D89" t="inlineStr">
        <is>
          <t>2020-02-28</t>
        </is>
      </c>
      <c r="E89" t="inlineStr">
        <is>
          <t>2020-03-06</t>
        </is>
      </c>
      <c r="F89" t="inlineStr">
        <is>
          <t>2020-03-13</t>
        </is>
      </c>
      <c r="G89" t="n">
        <v>5171.59</v>
      </c>
      <c r="H89" t="inlineStr">
        <is>
          <t>Delivered</t>
        </is>
      </c>
      <c r="I89" t="n">
        <v>23</v>
      </c>
      <c r="J89" t="n">
        <v>23</v>
      </c>
      <c r="K89" t="inlineStr">
        <is>
          <t>Short-shipped: supplier back-ordered 3 SKUs</t>
        </is>
      </c>
    </row>
    <row r="90">
      <c r="A90" t="n">
        <v>89</v>
      </c>
      <c r="B90" t="inlineStr">
        <is>
          <t>PO-2020-0089</t>
        </is>
      </c>
      <c r="C90" t="n">
        <v>4</v>
      </c>
      <c r="D90" t="inlineStr">
        <is>
          <t>2020-10-15</t>
        </is>
      </c>
      <c r="E90" t="inlineStr">
        <is>
          <t>2020-10-29</t>
        </is>
      </c>
      <c r="F90" t="inlineStr">
        <is>
          <t>2020-10-28</t>
        </is>
      </c>
      <c r="G90" t="n">
        <v>6260.02</v>
      </c>
      <c r="H90" t="inlineStr">
        <is>
          <t>Delivered</t>
        </is>
      </c>
      <c r="I90" t="n">
        <v>24</v>
      </c>
      <c r="J90" t="n">
        <v>24</v>
      </c>
    </row>
    <row r="91">
      <c r="A91" t="n">
        <v>90</v>
      </c>
      <c r="B91" t="inlineStr">
        <is>
          <t>PO-2020-0090</t>
        </is>
      </c>
      <c r="C91" t="n">
        <v>4</v>
      </c>
      <c r="D91" t="inlineStr">
        <is>
          <t>2020-08-18</t>
        </is>
      </c>
      <c r="E91" t="inlineStr">
        <is>
          <t>2020-08-29</t>
        </is>
      </c>
      <c r="F91" t="inlineStr">
        <is>
          <t>2020-09-03</t>
        </is>
      </c>
      <c r="G91" t="n">
        <v>8671.58</v>
      </c>
      <c r="H91" t="inlineStr">
        <is>
          <t>Delivered</t>
        </is>
      </c>
      <c r="I91" t="n">
        <v>18</v>
      </c>
      <c r="J91" t="n">
        <v>18</v>
      </c>
    </row>
    <row r="92">
      <c r="A92" t="n">
        <v>91</v>
      </c>
      <c r="B92" t="inlineStr">
        <is>
          <t>PO-2020-0091</t>
        </is>
      </c>
      <c r="C92" t="n">
        <v>4</v>
      </c>
      <c r="D92" t="inlineStr">
        <is>
          <t>2020-11-08</t>
        </is>
      </c>
      <c r="E92" t="inlineStr">
        <is>
          <t>2020-11-22</t>
        </is>
      </c>
      <c r="F92" t="inlineStr">
        <is>
          <t>2020-11-26</t>
        </is>
      </c>
      <c r="G92" t="n">
        <v>3014.14</v>
      </c>
      <c r="H92" t="inlineStr">
        <is>
          <t>Delivered</t>
        </is>
      </c>
      <c r="I92" t="n">
        <v>7</v>
      </c>
      <c r="J92" t="n">
        <v>7</v>
      </c>
    </row>
    <row r="93">
      <c r="A93" t="n">
        <v>92</v>
      </c>
      <c r="B93" t="inlineStr">
        <is>
          <t>PO-2020-0092</t>
        </is>
      </c>
      <c r="C93" t="n">
        <v>4</v>
      </c>
      <c r="D93" t="inlineStr">
        <is>
          <t>2020-02-08</t>
        </is>
      </c>
      <c r="E93" t="inlineStr">
        <is>
          <t>2020-02-19</t>
        </is>
      </c>
      <c r="F93" t="inlineStr">
        <is>
          <t>2020-02-18</t>
        </is>
      </c>
      <c r="G93" t="n">
        <v>4779.79</v>
      </c>
      <c r="H93" t="inlineStr">
        <is>
          <t>Delivered</t>
        </is>
      </c>
      <c r="I93" t="n">
        <v>24</v>
      </c>
      <c r="J93" t="n">
        <v>24</v>
      </c>
      <c r="K93" t="inlineStr">
        <is>
          <t>Incorrect vintage delivered for 1 line item</t>
        </is>
      </c>
    </row>
    <row r="94">
      <c r="A94" t="n">
        <v>93</v>
      </c>
      <c r="B94" t="inlineStr">
        <is>
          <t>PO-2020-0093</t>
        </is>
      </c>
      <c r="C94" t="n">
        <v>4</v>
      </c>
      <c r="D94" t="inlineStr">
        <is>
          <t>2020-12-27</t>
        </is>
      </c>
      <c r="E94" t="inlineStr">
        <is>
          <t>2021-01-05</t>
        </is>
      </c>
      <c r="F94" t="inlineStr">
        <is>
          <t>2021-01-05</t>
        </is>
      </c>
      <c r="G94" t="n">
        <v>9277.15</v>
      </c>
      <c r="H94" t="inlineStr">
        <is>
          <t>Delivered</t>
        </is>
      </c>
      <c r="I94" t="n">
        <v>25</v>
      </c>
      <c r="J94" t="n">
        <v>25</v>
      </c>
    </row>
    <row r="95">
      <c r="A95" t="n">
        <v>94</v>
      </c>
      <c r="B95" t="inlineStr">
        <is>
          <t>PO-2020-0094</t>
        </is>
      </c>
      <c r="C95" t="n">
        <v>4</v>
      </c>
      <c r="D95" t="inlineStr">
        <is>
          <t>2020-04-11</t>
        </is>
      </c>
      <c r="E95" t="inlineStr">
        <is>
          <t>2020-05-02</t>
        </is>
      </c>
      <c r="F95" t="inlineStr">
        <is>
          <t>2020-05-02</t>
        </is>
      </c>
      <c r="G95" t="n">
        <v>6652.53</v>
      </c>
      <c r="H95" t="inlineStr">
        <is>
          <t>Delivered</t>
        </is>
      </c>
      <c r="I95" t="n">
        <v>13</v>
      </c>
      <c r="J95" t="n">
        <v>13</v>
      </c>
      <c r="K95" t="inlineStr">
        <is>
          <t>Short-shipped: supplier back-ordered 3 SKUs</t>
        </is>
      </c>
    </row>
    <row r="96">
      <c r="A96" t="n">
        <v>95</v>
      </c>
      <c r="B96" t="inlineStr">
        <is>
          <t>PO-2020-0095</t>
        </is>
      </c>
      <c r="C96" t="n">
        <v>4</v>
      </c>
      <c r="D96" t="inlineStr">
        <is>
          <t>2020-06-06</t>
        </is>
      </c>
      <c r="E96" t="inlineStr">
        <is>
          <t>2020-06-10</t>
        </is>
      </c>
      <c r="F96" t="inlineStr">
        <is>
          <t>2020-06-18</t>
        </is>
      </c>
      <c r="G96" t="n">
        <v>1681.36</v>
      </c>
      <c r="H96" t="inlineStr">
        <is>
          <t>Delivered</t>
        </is>
      </c>
      <c r="I96" t="n">
        <v>14</v>
      </c>
      <c r="J96" t="n">
        <v>14</v>
      </c>
    </row>
    <row r="97">
      <c r="A97" t="n">
        <v>96</v>
      </c>
      <c r="B97" t="inlineStr">
        <is>
          <t>PO-2020-0096</t>
        </is>
      </c>
      <c r="C97" t="n">
        <v>4</v>
      </c>
      <c r="D97" t="inlineStr">
        <is>
          <t>2020-09-13</t>
        </is>
      </c>
      <c r="E97" t="inlineStr">
        <is>
          <t>2020-09-19</t>
        </is>
      </c>
      <c r="F97" t="inlineStr">
        <is>
          <t>2020-09-18</t>
        </is>
      </c>
      <c r="G97" t="n">
        <v>1264.2</v>
      </c>
      <c r="H97" t="inlineStr">
        <is>
          <t>Delivered</t>
        </is>
      </c>
      <c r="I97" t="n">
        <v>6</v>
      </c>
      <c r="J97" t="n">
        <v>6</v>
      </c>
    </row>
    <row r="98">
      <c r="A98" t="n">
        <v>97</v>
      </c>
      <c r="B98" t="inlineStr">
        <is>
          <t>PO-2020-0097</t>
        </is>
      </c>
      <c r="C98" t="n">
        <v>4</v>
      </c>
      <c r="D98" t="inlineStr">
        <is>
          <t>2020-11-05</t>
        </is>
      </c>
      <c r="E98" t="inlineStr">
        <is>
          <t>2020-11-16</t>
        </is>
      </c>
      <c r="F98" t="inlineStr">
        <is>
          <t>2020-11-17</t>
        </is>
      </c>
      <c r="G98" t="n">
        <v>9995.940000000001</v>
      </c>
      <c r="H98" t="inlineStr">
        <is>
          <t>Delivered</t>
        </is>
      </c>
      <c r="I98" t="n">
        <v>13</v>
      </c>
      <c r="J98" t="n">
        <v>13</v>
      </c>
    </row>
    <row r="99">
      <c r="A99" t="n">
        <v>98</v>
      </c>
      <c r="B99" t="inlineStr">
        <is>
          <t>PO-2020-0098</t>
        </is>
      </c>
      <c r="C99" t="n">
        <v>4</v>
      </c>
      <c r="D99" t="inlineStr">
        <is>
          <t>2020-03-30</t>
        </is>
      </c>
      <c r="E99" t="inlineStr">
        <is>
          <t>2020-04-13</t>
        </is>
      </c>
      <c r="F99" t="inlineStr">
        <is>
          <t>2020-04-12</t>
        </is>
      </c>
      <c r="G99" t="n">
        <v>9202.690000000001</v>
      </c>
      <c r="H99" t="inlineStr">
        <is>
          <t>Delivered</t>
        </is>
      </c>
      <c r="I99" t="n">
        <v>10</v>
      </c>
      <c r="J99" t="n">
        <v>10</v>
      </c>
    </row>
    <row r="100">
      <c r="A100" t="n">
        <v>99</v>
      </c>
      <c r="B100" t="inlineStr">
        <is>
          <t>PO-2020-0099</t>
        </is>
      </c>
      <c r="C100" t="n">
        <v>4</v>
      </c>
      <c r="D100" t="inlineStr">
        <is>
          <t>2020-09-08</t>
        </is>
      </c>
      <c r="E100" t="inlineStr">
        <is>
          <t>2020-09-25</t>
        </is>
      </c>
      <c r="F100" t="inlineStr">
        <is>
          <t>2020-09-25</t>
        </is>
      </c>
      <c r="G100" t="n">
        <v>6866.27</v>
      </c>
      <c r="H100" t="inlineStr">
        <is>
          <t>Delivered</t>
        </is>
      </c>
      <c r="I100" t="n">
        <v>10</v>
      </c>
      <c r="J100" t="n">
        <v>10</v>
      </c>
    </row>
    <row r="101">
      <c r="A101" t="n">
        <v>100</v>
      </c>
      <c r="B101" t="inlineStr">
        <is>
          <t>PO-2020-0100</t>
        </is>
      </c>
      <c r="C101" t="n">
        <v>4</v>
      </c>
      <c r="D101" t="inlineStr">
        <is>
          <t>2020-05-27</t>
        </is>
      </c>
      <c r="E101" t="inlineStr">
        <is>
          <t>2020-06-06</t>
        </is>
      </c>
      <c r="F101" t="inlineStr">
        <is>
          <t>2020-06-13</t>
        </is>
      </c>
      <c r="G101" t="n">
        <v>8228.879999999999</v>
      </c>
      <c r="H101" t="inlineStr">
        <is>
          <t>Partially Delivered</t>
        </is>
      </c>
      <c r="I101" t="n">
        <v>22</v>
      </c>
      <c r="J101" t="n">
        <v>21</v>
      </c>
      <c r="K101" t="inlineStr">
        <is>
          <t>Pallet wrap torn; 1 case broken bottles</t>
        </is>
      </c>
    </row>
    <row r="102">
      <c r="A102" t="n">
        <v>101</v>
      </c>
      <c r="B102" t="inlineStr">
        <is>
          <t>PO-2020-0101</t>
        </is>
      </c>
      <c r="C102" t="n">
        <v>5</v>
      </c>
      <c r="D102" t="inlineStr">
        <is>
          <t>2020-05-09</t>
        </is>
      </c>
      <c r="E102" t="inlineStr">
        <is>
          <t>2020-05-11</t>
        </is>
      </c>
      <c r="F102" t="inlineStr">
        <is>
          <t>2020-05-11</t>
        </is>
      </c>
      <c r="G102" t="n">
        <v>14009.06</v>
      </c>
      <c r="H102" t="inlineStr">
        <is>
          <t>Delivered</t>
        </is>
      </c>
      <c r="I102" t="n">
        <v>44</v>
      </c>
      <c r="J102" t="n">
        <v>44</v>
      </c>
      <c r="K102" t="inlineStr">
        <is>
          <t>Incorrect vintage delivered for 1 line item</t>
        </is>
      </c>
    </row>
    <row r="103">
      <c r="A103" t="n">
        <v>102</v>
      </c>
      <c r="B103" t="inlineStr">
        <is>
          <t>PO-2020-0102</t>
        </is>
      </c>
      <c r="C103" t="n">
        <v>5</v>
      </c>
      <c r="D103" t="inlineStr">
        <is>
          <t>2020-11-14</t>
        </is>
      </c>
      <c r="E103" t="inlineStr">
        <is>
          <t>2020-11-20</t>
        </is>
      </c>
      <c r="F103" t="inlineStr">
        <is>
          <t>2020-11-19</t>
        </is>
      </c>
      <c r="G103" t="n">
        <v>15799.83</v>
      </c>
      <c r="H103" t="inlineStr">
        <is>
          <t>Delivered</t>
        </is>
      </c>
      <c r="I103" t="n">
        <v>23</v>
      </c>
      <c r="J103" t="n">
        <v>23</v>
      </c>
    </row>
    <row r="104">
      <c r="A104" t="n">
        <v>103</v>
      </c>
      <c r="B104" t="inlineStr">
        <is>
          <t>PO-2020-0103</t>
        </is>
      </c>
      <c r="C104" t="n">
        <v>5</v>
      </c>
      <c r="D104" t="inlineStr">
        <is>
          <t>2020-05-27</t>
        </is>
      </c>
      <c r="E104" t="inlineStr">
        <is>
          <t>2020-05-29</t>
        </is>
      </c>
      <c r="F104" t="inlineStr">
        <is>
          <t>2020-05-29</t>
        </is>
      </c>
      <c r="G104" t="n">
        <v>14921.2</v>
      </c>
      <c r="H104" t="inlineStr">
        <is>
          <t>Delivered</t>
        </is>
      </c>
      <c r="I104" t="n">
        <v>29</v>
      </c>
      <c r="J104" t="n">
        <v>29</v>
      </c>
    </row>
    <row r="105">
      <c r="A105" t="n">
        <v>104</v>
      </c>
      <c r="B105" t="inlineStr">
        <is>
          <t>PO-2020-0104</t>
        </is>
      </c>
      <c r="C105" t="n">
        <v>5</v>
      </c>
      <c r="D105" t="inlineStr">
        <is>
          <t>2020-02-17</t>
        </is>
      </c>
      <c r="E105" t="inlineStr">
        <is>
          <t>2020-02-21</t>
        </is>
      </c>
      <c r="F105" t="inlineStr">
        <is>
          <t>2020-02-21</t>
        </is>
      </c>
      <c r="G105" t="n">
        <v>10575.34</v>
      </c>
      <c r="H105" t="inlineStr">
        <is>
          <t>Delivered</t>
        </is>
      </c>
      <c r="I105" t="n">
        <v>17</v>
      </c>
      <c r="J105" t="n">
        <v>17</v>
      </c>
    </row>
    <row r="106">
      <c r="A106" t="n">
        <v>105</v>
      </c>
      <c r="B106" t="inlineStr">
        <is>
          <t>PO-2020-0105</t>
        </is>
      </c>
      <c r="C106" t="n">
        <v>5</v>
      </c>
      <c r="D106" t="inlineStr">
        <is>
          <t>2020-05-29</t>
        </is>
      </c>
      <c r="E106" t="inlineStr">
        <is>
          <t>2020-06-01</t>
        </is>
      </c>
      <c r="F106" t="inlineStr">
        <is>
          <t>2020-05-31</t>
        </is>
      </c>
      <c r="G106" t="n">
        <v>6765.29</v>
      </c>
      <c r="H106" t="inlineStr">
        <is>
          <t>Partially Delivered</t>
        </is>
      </c>
      <c r="I106" t="n">
        <v>45</v>
      </c>
      <c r="J106" t="n">
        <v>41</v>
      </c>
      <c r="K106" t="inlineStr">
        <is>
          <t>Partial fulfillment due to production delay</t>
        </is>
      </c>
    </row>
    <row r="107">
      <c r="A107" t="n">
        <v>106</v>
      </c>
      <c r="B107" t="inlineStr">
        <is>
          <t>PO-2020-0106</t>
        </is>
      </c>
      <c r="C107" t="n">
        <v>5</v>
      </c>
      <c r="D107" t="inlineStr">
        <is>
          <t>2020-09-17</t>
        </is>
      </c>
      <c r="E107" t="inlineStr">
        <is>
          <t>2020-09-20</t>
        </is>
      </c>
      <c r="F107" t="inlineStr">
        <is>
          <t>2020-09-20</t>
        </is>
      </c>
      <c r="G107" t="n">
        <v>17620.47</v>
      </c>
      <c r="H107" t="inlineStr">
        <is>
          <t>Delivered</t>
        </is>
      </c>
      <c r="I107" t="n">
        <v>27</v>
      </c>
      <c r="J107" t="n">
        <v>27</v>
      </c>
    </row>
    <row r="108">
      <c r="A108" t="n">
        <v>107</v>
      </c>
      <c r="B108" t="inlineStr">
        <is>
          <t>PO-2020-0107</t>
        </is>
      </c>
      <c r="C108" t="n">
        <v>5</v>
      </c>
      <c r="D108" t="inlineStr">
        <is>
          <t>2020-06-23</t>
        </is>
      </c>
      <c r="E108" t="inlineStr">
        <is>
          <t>2020-06-28</t>
        </is>
      </c>
      <c r="F108" t="inlineStr">
        <is>
          <t>2020-06-28</t>
        </is>
      </c>
      <c r="G108" t="n">
        <v>15205.89</v>
      </c>
      <c r="H108" t="inlineStr">
        <is>
          <t>Delivered</t>
        </is>
      </c>
      <c r="I108" t="n">
        <v>41</v>
      </c>
      <c r="J108" t="n">
        <v>41</v>
      </c>
    </row>
    <row r="109">
      <c r="A109" t="n">
        <v>108</v>
      </c>
      <c r="B109" t="inlineStr">
        <is>
          <t>PO-2020-0108</t>
        </is>
      </c>
      <c r="C109" t="n">
        <v>5</v>
      </c>
      <c r="D109" t="inlineStr">
        <is>
          <t>2020-09-04</t>
        </is>
      </c>
      <c r="E109" t="inlineStr">
        <is>
          <t>2020-09-07</t>
        </is>
      </c>
      <c r="F109" t="inlineStr">
        <is>
          <t>2020-09-06</t>
        </is>
      </c>
      <c r="G109" t="n">
        <v>10468.53</v>
      </c>
      <c r="H109" t="inlineStr">
        <is>
          <t>Delivered</t>
        </is>
      </c>
      <c r="I109" t="n">
        <v>30</v>
      </c>
      <c r="J109" t="n">
        <v>30</v>
      </c>
    </row>
    <row r="110">
      <c r="A110" t="n">
        <v>109</v>
      </c>
      <c r="B110" t="inlineStr">
        <is>
          <t>PO-2020-0109</t>
        </is>
      </c>
      <c r="C110" t="n">
        <v>5</v>
      </c>
      <c r="D110" t="inlineStr">
        <is>
          <t>2020-05-02</t>
        </is>
      </c>
      <c r="E110" t="inlineStr">
        <is>
          <t>2020-05-05</t>
        </is>
      </c>
      <c r="F110" t="inlineStr">
        <is>
          <t>2020-05-05</t>
        </is>
      </c>
      <c r="G110" t="n">
        <v>8068.09</v>
      </c>
      <c r="H110" t="inlineStr">
        <is>
          <t>Delivered</t>
        </is>
      </c>
      <c r="I110" t="n">
        <v>40</v>
      </c>
      <c r="J110" t="n">
        <v>40</v>
      </c>
    </row>
    <row r="111">
      <c r="A111" t="n">
        <v>110</v>
      </c>
      <c r="B111" t="inlineStr">
        <is>
          <t>PO-2020-0110</t>
        </is>
      </c>
      <c r="C111" t="n">
        <v>5</v>
      </c>
      <c r="D111" t="inlineStr">
        <is>
          <t>2020-07-16</t>
        </is>
      </c>
      <c r="E111" t="inlineStr">
        <is>
          <t>2020-07-19</t>
        </is>
      </c>
      <c r="F111" t="inlineStr">
        <is>
          <t>2020-07-22</t>
        </is>
      </c>
      <c r="G111" t="n">
        <v>11168.25</v>
      </c>
      <c r="H111" t="inlineStr">
        <is>
          <t>Partially Delivered</t>
        </is>
      </c>
      <c r="I111" t="n">
        <v>12</v>
      </c>
      <c r="J111" t="n">
        <v>9</v>
      </c>
      <c r="K111" t="inlineStr">
        <is>
          <t>Pallet wrap torn; 1 case broken bottles</t>
        </is>
      </c>
    </row>
    <row r="112">
      <c r="A112" t="n">
        <v>111</v>
      </c>
      <c r="B112" t="inlineStr">
        <is>
          <t>PO-2020-0111</t>
        </is>
      </c>
      <c r="C112" t="n">
        <v>5</v>
      </c>
      <c r="D112" t="inlineStr">
        <is>
          <t>2020-02-21</t>
        </is>
      </c>
      <c r="E112" t="inlineStr">
        <is>
          <t>2020-02-25</t>
        </is>
      </c>
      <c r="F112" t="inlineStr">
        <is>
          <t>2020-02-24</t>
        </is>
      </c>
      <c r="G112" t="n">
        <v>2768.58</v>
      </c>
      <c r="H112" t="inlineStr">
        <is>
          <t>Delivered</t>
        </is>
      </c>
      <c r="I112" t="n">
        <v>19</v>
      </c>
      <c r="J112" t="n">
        <v>19</v>
      </c>
    </row>
    <row r="113">
      <c r="A113" t="n">
        <v>112</v>
      </c>
      <c r="B113" t="inlineStr">
        <is>
          <t>PO-2020-0112</t>
        </is>
      </c>
      <c r="C113" t="n">
        <v>5</v>
      </c>
      <c r="D113" t="inlineStr">
        <is>
          <t>2020-03-20</t>
        </is>
      </c>
      <c r="E113" t="inlineStr">
        <is>
          <t>2020-03-23</t>
        </is>
      </c>
      <c r="F113" t="inlineStr">
        <is>
          <t>2020-03-23</t>
        </is>
      </c>
      <c r="G113" t="n">
        <v>8424.82</v>
      </c>
      <c r="H113" t="inlineStr">
        <is>
          <t>Delivered</t>
        </is>
      </c>
      <c r="I113" t="n">
        <v>35</v>
      </c>
      <c r="J113" t="n">
        <v>35</v>
      </c>
    </row>
    <row r="114">
      <c r="A114" t="n">
        <v>113</v>
      </c>
      <c r="B114" t="inlineStr">
        <is>
          <t>PO-2020-0113</t>
        </is>
      </c>
      <c r="C114" t="n">
        <v>5</v>
      </c>
      <c r="D114" t="inlineStr">
        <is>
          <t>2020-12-11</t>
        </is>
      </c>
      <c r="E114" t="inlineStr">
        <is>
          <t>2020-12-15</t>
        </is>
      </c>
      <c r="F114" t="inlineStr">
        <is>
          <t>2020-12-14</t>
        </is>
      </c>
      <c r="G114" t="n">
        <v>17766.7</v>
      </c>
      <c r="H114" t="inlineStr">
        <is>
          <t>Delivered</t>
        </is>
      </c>
      <c r="I114" t="n">
        <v>12</v>
      </c>
      <c r="J114" t="n">
        <v>12</v>
      </c>
    </row>
    <row r="115">
      <c r="A115" t="n">
        <v>114</v>
      </c>
      <c r="B115" t="inlineStr">
        <is>
          <t>PO-2020-0114</t>
        </is>
      </c>
      <c r="C115" t="n">
        <v>5</v>
      </c>
      <c r="D115" t="inlineStr">
        <is>
          <t>2020-12-16</t>
        </is>
      </c>
      <c r="E115" t="inlineStr">
        <is>
          <t>2020-12-19</t>
        </is>
      </c>
      <c r="F115" t="inlineStr">
        <is>
          <t>2020-12-19</t>
        </is>
      </c>
      <c r="G115" t="n">
        <v>15568.41</v>
      </c>
      <c r="H115" t="inlineStr">
        <is>
          <t>Delivered</t>
        </is>
      </c>
      <c r="I115" t="n">
        <v>37</v>
      </c>
      <c r="J115" t="n">
        <v>37</v>
      </c>
    </row>
    <row r="116">
      <c r="A116" t="n">
        <v>115</v>
      </c>
      <c r="B116" t="inlineStr">
        <is>
          <t>PO-2020-0115</t>
        </is>
      </c>
      <c r="C116" t="n">
        <v>5</v>
      </c>
      <c r="D116" t="inlineStr">
        <is>
          <t>2020-12-26</t>
        </is>
      </c>
      <c r="E116" t="inlineStr">
        <is>
          <t>2020-12-30</t>
        </is>
      </c>
      <c r="F116" t="inlineStr">
        <is>
          <t>2020-12-30</t>
        </is>
      </c>
      <c r="G116" t="n">
        <v>3304.84</v>
      </c>
      <c r="H116" t="inlineStr">
        <is>
          <t>Delivered</t>
        </is>
      </c>
      <c r="I116" t="n">
        <v>13</v>
      </c>
      <c r="J116" t="n">
        <v>13</v>
      </c>
    </row>
    <row r="117">
      <c r="A117" t="n">
        <v>116</v>
      </c>
      <c r="B117" t="inlineStr">
        <is>
          <t>PO-2020-0116</t>
        </is>
      </c>
      <c r="C117" t="n">
        <v>5</v>
      </c>
      <c r="D117" t="inlineStr">
        <is>
          <t>2020-03-15</t>
        </is>
      </c>
      <c r="E117" t="inlineStr">
        <is>
          <t>2020-03-18</t>
        </is>
      </c>
      <c r="F117" t="inlineStr">
        <is>
          <t>2020-03-17</t>
        </is>
      </c>
      <c r="G117" t="n">
        <v>12403.74</v>
      </c>
      <c r="H117" t="inlineStr">
        <is>
          <t>Delivered</t>
        </is>
      </c>
      <c r="I117" t="n">
        <v>21</v>
      </c>
      <c r="J117" t="n">
        <v>21</v>
      </c>
      <c r="K117" t="inlineStr">
        <is>
          <t>Temperature excursion noted on 4 cases</t>
        </is>
      </c>
    </row>
    <row r="118">
      <c r="A118" t="n">
        <v>117</v>
      </c>
      <c r="B118" t="inlineStr">
        <is>
          <t>PO-2020-0117</t>
        </is>
      </c>
      <c r="C118" t="n">
        <v>5</v>
      </c>
      <c r="D118" t="inlineStr">
        <is>
          <t>2020-11-13</t>
        </is>
      </c>
      <c r="E118" t="inlineStr">
        <is>
          <t>2020-11-16</t>
        </is>
      </c>
      <c r="F118" t="inlineStr">
        <is>
          <t>2020-11-16</t>
        </is>
      </c>
      <c r="G118" t="n">
        <v>10570.12</v>
      </c>
      <c r="H118" t="inlineStr">
        <is>
          <t>Delivered</t>
        </is>
      </c>
      <c r="I118" t="n">
        <v>26</v>
      </c>
      <c r="J118" t="n">
        <v>26</v>
      </c>
    </row>
    <row r="119">
      <c r="A119" t="n">
        <v>118</v>
      </c>
      <c r="B119" t="inlineStr">
        <is>
          <t>PO-2020-0118</t>
        </is>
      </c>
      <c r="C119" t="n">
        <v>5</v>
      </c>
      <c r="D119" t="inlineStr">
        <is>
          <t>2020-08-26</t>
        </is>
      </c>
      <c r="E119" t="inlineStr">
        <is>
          <t>2020-08-28</t>
        </is>
      </c>
      <c r="F119" t="inlineStr">
        <is>
          <t>2020-08-28</t>
        </is>
      </c>
      <c r="G119" t="n">
        <v>3792.58</v>
      </c>
      <c r="H119" t="inlineStr">
        <is>
          <t>Delivered</t>
        </is>
      </c>
      <c r="I119" t="n">
        <v>32</v>
      </c>
      <c r="J119" t="n">
        <v>32</v>
      </c>
    </row>
    <row r="120">
      <c r="A120" t="n">
        <v>119</v>
      </c>
      <c r="B120" t="inlineStr">
        <is>
          <t>PO-2020-0119</t>
        </is>
      </c>
      <c r="C120" t="n">
        <v>5</v>
      </c>
      <c r="D120" t="inlineStr">
        <is>
          <t>2020-08-05</t>
        </is>
      </c>
      <c r="E120" t="inlineStr">
        <is>
          <t>2020-08-08</t>
        </is>
      </c>
      <c r="F120" t="inlineStr">
        <is>
          <t>2020-08-07</t>
        </is>
      </c>
      <c r="G120" t="n">
        <v>17433.37</v>
      </c>
      <c r="H120" t="inlineStr">
        <is>
          <t>Delivered</t>
        </is>
      </c>
      <c r="I120" t="n">
        <v>16</v>
      </c>
      <c r="J120" t="n">
        <v>16</v>
      </c>
    </row>
    <row r="121">
      <c r="A121" t="n">
        <v>120</v>
      </c>
      <c r="B121" t="inlineStr">
        <is>
          <t>PO-2020-0120</t>
        </is>
      </c>
      <c r="C121" t="n">
        <v>5</v>
      </c>
      <c r="D121" t="inlineStr">
        <is>
          <t>2020-10-21</t>
        </is>
      </c>
      <c r="E121" t="inlineStr">
        <is>
          <t>2020-10-23</t>
        </is>
      </c>
      <c r="F121" t="inlineStr">
        <is>
          <t>2020-10-23</t>
        </is>
      </c>
      <c r="G121" t="n">
        <v>2883.94</v>
      </c>
      <c r="H121" t="inlineStr">
        <is>
          <t>Delivered</t>
        </is>
      </c>
      <c r="I121" t="n">
        <v>35</v>
      </c>
      <c r="J1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7" customWidth="1" min="4" max="4"/>
    <col width="13" customWidth="1" min="5" max="5"/>
    <col width="14" customWidth="1" min="6" max="6"/>
    <col width="11" customWidth="1" min="7" max="7"/>
    <col width="19" customWidth="1" min="8" max="8"/>
    <col width="12" customWidth="1" min="9" max="9"/>
    <col width="17" customWidth="1" min="10" max="10"/>
    <col width="13" customWidth="1" min="11" max="11"/>
  </cols>
  <sheetData>
    <row r="1">
      <c r="A1" s="6" t="inlineStr">
        <is>
          <t>id</t>
        </is>
      </c>
      <c r="B1" s="6" t="inlineStr">
        <is>
          <t>supplier_id</t>
        </is>
      </c>
      <c r="C1" s="6" t="inlineStr">
        <is>
          <t>month</t>
        </is>
      </c>
      <c r="D1" s="6" t="inlineStr">
        <is>
          <t>year</t>
        </is>
      </c>
      <c r="E1" s="6" t="inlineStr">
        <is>
          <t>orders_placed</t>
        </is>
      </c>
      <c r="F1" s="6" t="inlineStr">
        <is>
          <t>orders_on_time</t>
        </is>
      </c>
      <c r="G1" s="6" t="inlineStr">
        <is>
          <t>orders_late</t>
        </is>
      </c>
      <c r="H1" s="6" t="inlineStr">
        <is>
          <t>orders_short_shipped</t>
        </is>
      </c>
      <c r="I1" s="6" t="inlineStr">
        <is>
          <t>total_spend</t>
        </is>
      </c>
      <c r="J1" s="6" t="inlineStr">
        <is>
          <t>avg_lead_time_days</t>
        </is>
      </c>
      <c r="K1" s="6" t="inlineStr">
        <is>
          <t>quality_issues</t>
        </is>
      </c>
    </row>
    <row r="2">
      <c r="A2" t="n">
        <v>1</v>
      </c>
      <c r="B2" t="n">
        <v>1</v>
      </c>
      <c r="C2" t="n">
        <v>1</v>
      </c>
      <c r="D2" t="n">
        <v>2020</v>
      </c>
      <c r="E2" t="n">
        <v>2</v>
      </c>
      <c r="F2" t="n">
        <v>2</v>
      </c>
      <c r="G2" t="n">
        <v>0</v>
      </c>
      <c r="H2" t="n">
        <v>0</v>
      </c>
      <c r="I2" t="n">
        <v>22183.9</v>
      </c>
      <c r="J2" t="n">
        <v>6</v>
      </c>
      <c r="K2" t="n">
        <v>0</v>
      </c>
    </row>
    <row r="3">
      <c r="A3" t="n">
        <v>2</v>
      </c>
      <c r="B3" t="n">
        <v>1</v>
      </c>
      <c r="C3" t="n">
        <v>2</v>
      </c>
      <c r="D3" t="n">
        <v>2020</v>
      </c>
      <c r="E3" t="n">
        <v>4</v>
      </c>
      <c r="F3" t="n">
        <v>3</v>
      </c>
      <c r="G3" t="n">
        <v>1</v>
      </c>
      <c r="H3" t="n">
        <v>0</v>
      </c>
      <c r="I3" t="n">
        <v>37247.72</v>
      </c>
      <c r="J3" t="n">
        <v>5</v>
      </c>
      <c r="K3" t="n">
        <v>0</v>
      </c>
    </row>
    <row r="4">
      <c r="A4" t="n">
        <v>3</v>
      </c>
      <c r="B4" t="n">
        <v>1</v>
      </c>
      <c r="C4" t="n">
        <v>3</v>
      </c>
      <c r="D4" t="n">
        <v>2020</v>
      </c>
      <c r="E4" t="n">
        <v>3</v>
      </c>
      <c r="F4" t="n">
        <v>2</v>
      </c>
      <c r="G4" t="n">
        <v>0</v>
      </c>
      <c r="H4" t="n">
        <v>1</v>
      </c>
      <c r="I4" t="n">
        <v>30976.22</v>
      </c>
      <c r="J4" t="n">
        <v>3</v>
      </c>
      <c r="K4" t="n">
        <v>0</v>
      </c>
    </row>
    <row r="5">
      <c r="A5" t="n">
        <v>4</v>
      </c>
      <c r="B5" t="n">
        <v>1</v>
      </c>
      <c r="C5" t="n">
        <v>4</v>
      </c>
      <c r="D5" t="n">
        <v>2020</v>
      </c>
      <c r="E5" t="n">
        <v>3</v>
      </c>
      <c r="F5" t="n">
        <v>2</v>
      </c>
      <c r="G5" t="n">
        <v>1</v>
      </c>
      <c r="H5" t="n">
        <v>1</v>
      </c>
      <c r="I5" t="n">
        <v>34781.29</v>
      </c>
      <c r="J5" t="n">
        <v>6</v>
      </c>
      <c r="K5" t="n">
        <v>1</v>
      </c>
    </row>
    <row r="6">
      <c r="A6" t="n">
        <v>5</v>
      </c>
      <c r="B6" t="n">
        <v>1</v>
      </c>
      <c r="C6" t="n">
        <v>5</v>
      </c>
      <c r="D6" t="n">
        <v>2020</v>
      </c>
      <c r="E6" t="n">
        <v>4</v>
      </c>
      <c r="F6" t="n">
        <v>4</v>
      </c>
      <c r="G6" t="n">
        <v>0</v>
      </c>
      <c r="H6" t="n">
        <v>0</v>
      </c>
      <c r="I6" t="n">
        <v>34543.48</v>
      </c>
      <c r="J6" t="n">
        <v>5</v>
      </c>
      <c r="K6" t="n">
        <v>0</v>
      </c>
    </row>
    <row r="7">
      <c r="A7" t="n">
        <v>6</v>
      </c>
      <c r="B7" t="n">
        <v>1</v>
      </c>
      <c r="C7" t="n">
        <v>6</v>
      </c>
      <c r="D7" t="n">
        <v>2020</v>
      </c>
      <c r="E7" t="n">
        <v>1</v>
      </c>
      <c r="F7" t="n">
        <v>1</v>
      </c>
      <c r="G7" t="n">
        <v>0</v>
      </c>
      <c r="H7" t="n">
        <v>1</v>
      </c>
      <c r="I7" t="n">
        <v>15534.12</v>
      </c>
      <c r="J7" t="n">
        <v>11</v>
      </c>
      <c r="K7" t="n">
        <v>1</v>
      </c>
    </row>
    <row r="8">
      <c r="A8" t="n">
        <v>7</v>
      </c>
      <c r="B8" t="n">
        <v>1</v>
      </c>
      <c r="C8" t="n">
        <v>7</v>
      </c>
      <c r="D8" t="n">
        <v>2020</v>
      </c>
      <c r="E8" t="n">
        <v>2</v>
      </c>
      <c r="F8" t="n">
        <v>1</v>
      </c>
      <c r="G8" t="n">
        <v>1</v>
      </c>
      <c r="H8" t="n">
        <v>0</v>
      </c>
      <c r="I8" t="n">
        <v>10561.36</v>
      </c>
      <c r="J8" t="n">
        <v>5.5</v>
      </c>
      <c r="K8" t="n">
        <v>0</v>
      </c>
    </row>
    <row r="9">
      <c r="A9" t="n">
        <v>8</v>
      </c>
      <c r="B9" t="n">
        <v>1</v>
      </c>
      <c r="C9" t="n">
        <v>8</v>
      </c>
      <c r="D9" t="n">
        <v>2020</v>
      </c>
      <c r="E9" t="n">
        <v>2</v>
      </c>
      <c r="F9" t="n">
        <v>1</v>
      </c>
      <c r="G9" t="n">
        <v>1</v>
      </c>
      <c r="H9" t="n">
        <v>1</v>
      </c>
      <c r="I9" t="n">
        <v>36668.7</v>
      </c>
      <c r="J9" t="n">
        <v>4.5</v>
      </c>
      <c r="K9" t="n">
        <v>0</v>
      </c>
    </row>
    <row r="10">
      <c r="A10" t="n">
        <v>9</v>
      </c>
      <c r="B10" t="n">
        <v>1</v>
      </c>
      <c r="C10" t="n">
        <v>9</v>
      </c>
      <c r="D10" t="n">
        <v>2020</v>
      </c>
      <c r="E10" t="n">
        <v>2</v>
      </c>
      <c r="F10" t="n">
        <v>0</v>
      </c>
      <c r="G10" t="n">
        <v>2</v>
      </c>
      <c r="H10" t="n">
        <v>0</v>
      </c>
      <c r="I10" t="n">
        <v>45538.75</v>
      </c>
      <c r="J10" t="n">
        <v>8.5</v>
      </c>
      <c r="K10" t="n">
        <v>0</v>
      </c>
    </row>
    <row r="11">
      <c r="A11" t="n">
        <v>10</v>
      </c>
      <c r="B11" t="n">
        <v>1</v>
      </c>
      <c r="C11" t="n">
        <v>10</v>
      </c>
      <c r="D11" t="n">
        <v>2020</v>
      </c>
      <c r="E11" t="n">
        <v>2</v>
      </c>
      <c r="F11" t="n">
        <v>1</v>
      </c>
      <c r="G11" t="n">
        <v>1</v>
      </c>
      <c r="H11" t="n">
        <v>0</v>
      </c>
      <c r="I11" t="n">
        <v>37692.77</v>
      </c>
      <c r="J11" t="n">
        <v>2.5</v>
      </c>
      <c r="K11" t="n">
        <v>0</v>
      </c>
    </row>
    <row r="12">
      <c r="A12" t="n">
        <v>11</v>
      </c>
      <c r="B12" t="n">
        <v>1</v>
      </c>
      <c r="C12" t="n">
        <v>11</v>
      </c>
      <c r="D12" t="n">
        <v>2020</v>
      </c>
      <c r="E12" t="n">
        <v>2</v>
      </c>
      <c r="F12" t="n">
        <v>2</v>
      </c>
      <c r="G12" t="n">
        <v>0</v>
      </c>
      <c r="H12" t="n">
        <v>1</v>
      </c>
      <c r="I12" t="n">
        <v>26206.95</v>
      </c>
      <c r="J12" t="n">
        <v>5.5</v>
      </c>
      <c r="K12" t="n">
        <v>1</v>
      </c>
    </row>
    <row r="13">
      <c r="A13" t="n">
        <v>12</v>
      </c>
      <c r="B13" t="n">
        <v>1</v>
      </c>
      <c r="C13" t="n">
        <v>12</v>
      </c>
      <c r="D13" t="n">
        <v>2020</v>
      </c>
      <c r="E13" t="n">
        <v>3</v>
      </c>
      <c r="F13" t="n">
        <v>3</v>
      </c>
      <c r="G13" t="n">
        <v>0</v>
      </c>
      <c r="H13" t="n">
        <v>1</v>
      </c>
      <c r="I13" t="n">
        <v>56428.91</v>
      </c>
      <c r="J13" t="n">
        <v>2.3</v>
      </c>
      <c r="K13" t="n">
        <v>0</v>
      </c>
    </row>
    <row r="14">
      <c r="A14" t="n">
        <v>13</v>
      </c>
      <c r="B14" t="n">
        <v>2</v>
      </c>
      <c r="C14" t="n">
        <v>1</v>
      </c>
      <c r="D14" t="n">
        <v>2020</v>
      </c>
      <c r="E14" t="n">
        <v>3</v>
      </c>
      <c r="F14" t="n">
        <v>2</v>
      </c>
      <c r="G14" t="n">
        <v>1</v>
      </c>
      <c r="H14" t="n">
        <v>1</v>
      </c>
      <c r="I14" t="n">
        <v>24971.02</v>
      </c>
      <c r="J14" t="n">
        <v>7.7</v>
      </c>
      <c r="K14" t="n">
        <v>0</v>
      </c>
    </row>
    <row r="15">
      <c r="A15" t="n">
        <v>14</v>
      </c>
      <c r="B15" t="n">
        <v>2</v>
      </c>
      <c r="C15" t="n">
        <v>2</v>
      </c>
      <c r="D15" t="n">
        <v>2020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2</v>
      </c>
      <c r="C16" t="n">
        <v>3</v>
      </c>
      <c r="D16" t="n">
        <v>2020</v>
      </c>
      <c r="E16" t="n">
        <v>2</v>
      </c>
      <c r="F16" t="n">
        <v>1</v>
      </c>
      <c r="G16" t="n">
        <v>1</v>
      </c>
      <c r="H16" t="n">
        <v>0</v>
      </c>
      <c r="I16" t="n">
        <v>16601.98</v>
      </c>
      <c r="J16" t="n">
        <v>9</v>
      </c>
      <c r="K16" t="n">
        <v>0</v>
      </c>
    </row>
    <row r="17">
      <c r="A17" t="n">
        <v>16</v>
      </c>
      <c r="B17" t="n">
        <v>2</v>
      </c>
      <c r="C17" t="n">
        <v>4</v>
      </c>
      <c r="D17" t="n">
        <v>2020</v>
      </c>
      <c r="E17" t="n">
        <v>1</v>
      </c>
      <c r="F17" t="n">
        <v>1</v>
      </c>
      <c r="G17" t="n">
        <v>0</v>
      </c>
      <c r="H17" t="n">
        <v>0</v>
      </c>
      <c r="I17" t="n">
        <v>5895.22</v>
      </c>
      <c r="J17" t="n">
        <v>1</v>
      </c>
      <c r="K17" t="n">
        <v>0</v>
      </c>
    </row>
    <row r="18">
      <c r="A18" t="n">
        <v>17</v>
      </c>
      <c r="B18" t="n">
        <v>2</v>
      </c>
      <c r="C18" t="n">
        <v>5</v>
      </c>
      <c r="D18" t="n">
        <v>2020</v>
      </c>
      <c r="E18" t="n">
        <v>3</v>
      </c>
      <c r="F18" t="n">
        <v>2</v>
      </c>
      <c r="G18" t="n">
        <v>1</v>
      </c>
      <c r="H18" t="n">
        <v>0</v>
      </c>
      <c r="I18" t="n">
        <v>16827.9</v>
      </c>
      <c r="J18" t="n">
        <v>6</v>
      </c>
      <c r="K18" t="n">
        <v>2</v>
      </c>
    </row>
    <row r="19">
      <c r="A19" t="n">
        <v>18</v>
      </c>
      <c r="B19" t="n">
        <v>2</v>
      </c>
      <c r="C19" t="n">
        <v>6</v>
      </c>
      <c r="D19" t="n">
        <v>2020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2</v>
      </c>
      <c r="C20" t="n">
        <v>7</v>
      </c>
      <c r="D20" t="n">
        <v>2020</v>
      </c>
      <c r="E20" t="n">
        <v>2</v>
      </c>
      <c r="F20" t="n">
        <v>1</v>
      </c>
      <c r="G20" t="n">
        <v>1</v>
      </c>
      <c r="H20" t="n">
        <v>1</v>
      </c>
      <c r="I20" t="n">
        <v>17862.49</v>
      </c>
      <c r="J20" t="n">
        <v>9.5</v>
      </c>
      <c r="K20" t="n">
        <v>1</v>
      </c>
    </row>
    <row r="21">
      <c r="A21" t="n">
        <v>20</v>
      </c>
      <c r="B21" t="n">
        <v>2</v>
      </c>
      <c r="C21" t="n">
        <v>8</v>
      </c>
      <c r="D21" t="n">
        <v>2020</v>
      </c>
      <c r="E21" t="n">
        <v>1</v>
      </c>
      <c r="F21" t="n">
        <v>1</v>
      </c>
      <c r="G21" t="n">
        <v>0</v>
      </c>
      <c r="H21" t="n">
        <v>0</v>
      </c>
      <c r="I21" t="n">
        <v>6105.12</v>
      </c>
      <c r="J21" t="n">
        <v>11</v>
      </c>
      <c r="K21" t="n">
        <v>0</v>
      </c>
    </row>
    <row r="22">
      <c r="A22" t="n">
        <v>21</v>
      </c>
      <c r="B22" t="n">
        <v>2</v>
      </c>
      <c r="C22" t="n">
        <v>9</v>
      </c>
      <c r="D22" t="n">
        <v>2020</v>
      </c>
      <c r="E22" t="n">
        <v>1</v>
      </c>
      <c r="F22" t="n">
        <v>1</v>
      </c>
      <c r="G22" t="n">
        <v>0</v>
      </c>
      <c r="H22" t="n">
        <v>0</v>
      </c>
      <c r="I22" t="n">
        <v>4566.12</v>
      </c>
      <c r="J22" t="n">
        <v>6</v>
      </c>
      <c r="K22" t="n">
        <v>0</v>
      </c>
    </row>
    <row r="23">
      <c r="A23" t="n">
        <v>22</v>
      </c>
      <c r="B23" t="n">
        <v>2</v>
      </c>
      <c r="C23" t="n">
        <v>10</v>
      </c>
      <c r="D23" t="n">
        <v>2020</v>
      </c>
      <c r="E23" t="n">
        <v>5</v>
      </c>
      <c r="F23" t="n">
        <v>5</v>
      </c>
      <c r="G23" t="n">
        <v>0</v>
      </c>
      <c r="H23" t="n">
        <v>0</v>
      </c>
      <c r="I23" t="n">
        <v>42145.09</v>
      </c>
      <c r="J23" t="n">
        <v>6.2</v>
      </c>
      <c r="K23" t="n">
        <v>0</v>
      </c>
    </row>
    <row r="24">
      <c r="A24" t="n">
        <v>23</v>
      </c>
      <c r="B24" t="n">
        <v>2</v>
      </c>
      <c r="C24" t="n">
        <v>11</v>
      </c>
      <c r="D24" t="n">
        <v>2020</v>
      </c>
      <c r="E24" t="n">
        <v>3</v>
      </c>
      <c r="F24" t="n">
        <v>3</v>
      </c>
      <c r="G24" t="n">
        <v>0</v>
      </c>
      <c r="H24" t="n">
        <v>0</v>
      </c>
      <c r="I24" t="n">
        <v>33303.97</v>
      </c>
      <c r="J24" t="n">
        <v>6.7</v>
      </c>
      <c r="K24" t="n">
        <v>0</v>
      </c>
    </row>
    <row r="25">
      <c r="A25" t="n">
        <v>24</v>
      </c>
      <c r="B25" t="n">
        <v>2</v>
      </c>
      <c r="C25" t="n">
        <v>12</v>
      </c>
      <c r="D25" t="n">
        <v>2020</v>
      </c>
      <c r="E25" t="n">
        <v>1</v>
      </c>
      <c r="F25" t="n">
        <v>0</v>
      </c>
      <c r="G25" t="n">
        <v>1</v>
      </c>
      <c r="H25" t="n">
        <v>0</v>
      </c>
      <c r="I25" t="n">
        <v>14149.32</v>
      </c>
      <c r="J25" t="n">
        <v>10</v>
      </c>
      <c r="K25" t="n">
        <v>0</v>
      </c>
    </row>
    <row r="26">
      <c r="A26" t="n">
        <v>25</v>
      </c>
      <c r="B26" t="n">
        <v>3</v>
      </c>
      <c r="C26" t="n">
        <v>1</v>
      </c>
      <c r="D26" t="n">
        <v>2020</v>
      </c>
      <c r="E26" t="n">
        <v>2</v>
      </c>
      <c r="F26" t="n">
        <v>1</v>
      </c>
      <c r="G26" t="n">
        <v>1</v>
      </c>
      <c r="H26" t="n">
        <v>1</v>
      </c>
      <c r="I26" t="n">
        <v>31473.45</v>
      </c>
      <c r="J26" t="n">
        <v>7.5</v>
      </c>
      <c r="K26" t="n">
        <v>0</v>
      </c>
    </row>
    <row r="27">
      <c r="A27" t="n">
        <v>26</v>
      </c>
      <c r="B27" t="n">
        <v>3</v>
      </c>
      <c r="C27" t="n">
        <v>2</v>
      </c>
      <c r="D27" t="n">
        <v>2020</v>
      </c>
      <c r="E27" t="n">
        <v>1</v>
      </c>
      <c r="F27" t="n">
        <v>1</v>
      </c>
      <c r="G27" t="n">
        <v>0</v>
      </c>
      <c r="H27" t="n">
        <v>0</v>
      </c>
      <c r="I27" t="n">
        <v>10400.73</v>
      </c>
      <c r="J27" t="n">
        <v>2</v>
      </c>
      <c r="K27" t="n">
        <v>0</v>
      </c>
    </row>
    <row r="28">
      <c r="A28" t="n">
        <v>27</v>
      </c>
      <c r="B28" t="n">
        <v>3</v>
      </c>
      <c r="C28" t="n">
        <v>3</v>
      </c>
      <c r="D28" t="n">
        <v>2020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3</v>
      </c>
      <c r="C29" t="n">
        <v>4</v>
      </c>
      <c r="D29" t="n">
        <v>2020</v>
      </c>
      <c r="E29" t="n">
        <v>4</v>
      </c>
      <c r="F29" t="n">
        <v>3</v>
      </c>
      <c r="G29" t="n">
        <v>1</v>
      </c>
      <c r="H29" t="n">
        <v>0</v>
      </c>
      <c r="I29" t="n">
        <v>51436.55</v>
      </c>
      <c r="J29" t="n">
        <v>5.5</v>
      </c>
      <c r="K29" t="n">
        <v>1</v>
      </c>
    </row>
    <row r="30">
      <c r="A30" t="n">
        <v>29</v>
      </c>
      <c r="B30" t="n">
        <v>3</v>
      </c>
      <c r="C30" t="n">
        <v>5</v>
      </c>
      <c r="D30" t="n">
        <v>2020</v>
      </c>
      <c r="E30" t="n">
        <v>2</v>
      </c>
      <c r="F30" t="n">
        <v>2</v>
      </c>
      <c r="G30" t="n">
        <v>0</v>
      </c>
      <c r="H30" t="n">
        <v>0</v>
      </c>
      <c r="I30" t="n">
        <v>35924.33</v>
      </c>
      <c r="J30" t="n">
        <v>5.5</v>
      </c>
      <c r="K30" t="n">
        <v>0</v>
      </c>
    </row>
    <row r="31">
      <c r="A31" t="n">
        <v>30</v>
      </c>
      <c r="B31" t="n">
        <v>3</v>
      </c>
      <c r="C31" t="n">
        <v>6</v>
      </c>
      <c r="D31" t="n">
        <v>2020</v>
      </c>
      <c r="E31" t="n">
        <v>2</v>
      </c>
      <c r="F31" t="n">
        <v>2</v>
      </c>
      <c r="G31" t="n">
        <v>0</v>
      </c>
      <c r="H31" t="n">
        <v>0</v>
      </c>
      <c r="I31" t="n">
        <v>24842.35</v>
      </c>
      <c r="J31" t="n">
        <v>2</v>
      </c>
      <c r="K31" t="n">
        <v>0</v>
      </c>
    </row>
    <row r="32">
      <c r="A32" t="n">
        <v>31</v>
      </c>
      <c r="B32" t="n">
        <v>3</v>
      </c>
      <c r="C32" t="n">
        <v>7</v>
      </c>
      <c r="D32" t="n">
        <v>2020</v>
      </c>
      <c r="E32" t="n">
        <v>5</v>
      </c>
      <c r="F32" t="n">
        <v>5</v>
      </c>
      <c r="G32" t="n">
        <v>0</v>
      </c>
      <c r="H32" t="n">
        <v>1</v>
      </c>
      <c r="I32" t="n">
        <v>57750.14</v>
      </c>
      <c r="J32" t="n">
        <v>3.4</v>
      </c>
      <c r="K32" t="n">
        <v>1</v>
      </c>
    </row>
    <row r="33">
      <c r="A33" t="n">
        <v>32</v>
      </c>
      <c r="B33" t="n">
        <v>3</v>
      </c>
      <c r="C33" t="n">
        <v>8</v>
      </c>
      <c r="D33" t="n">
        <v>2020</v>
      </c>
      <c r="E33" t="n">
        <v>5</v>
      </c>
      <c r="F33" t="n">
        <v>5</v>
      </c>
      <c r="G33" t="n">
        <v>0</v>
      </c>
      <c r="H33" t="n">
        <v>1</v>
      </c>
      <c r="I33" t="n">
        <v>76910.66</v>
      </c>
      <c r="J33" t="n">
        <v>4.4</v>
      </c>
      <c r="K33" t="n">
        <v>2</v>
      </c>
    </row>
    <row r="34">
      <c r="A34" t="n">
        <v>33</v>
      </c>
      <c r="B34" t="n">
        <v>3</v>
      </c>
      <c r="C34" t="n">
        <v>9</v>
      </c>
      <c r="D34" t="n">
        <v>2020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3</v>
      </c>
      <c r="C35" t="n">
        <v>10</v>
      </c>
      <c r="D35" t="n">
        <v>2020</v>
      </c>
      <c r="E35" t="n">
        <v>4</v>
      </c>
      <c r="F35" t="n">
        <v>4</v>
      </c>
      <c r="G35" t="n">
        <v>0</v>
      </c>
      <c r="H35" t="n">
        <v>0</v>
      </c>
      <c r="I35" t="n">
        <v>61848.04</v>
      </c>
      <c r="J35" t="n">
        <v>2.2</v>
      </c>
      <c r="K35" t="n">
        <v>0</v>
      </c>
    </row>
    <row r="36">
      <c r="A36" t="n">
        <v>35</v>
      </c>
      <c r="B36" t="n">
        <v>3</v>
      </c>
      <c r="C36" t="n">
        <v>11</v>
      </c>
      <c r="D36" t="n">
        <v>2020</v>
      </c>
      <c r="E36" t="n">
        <v>3</v>
      </c>
      <c r="F36" t="n">
        <v>3</v>
      </c>
      <c r="G36" t="n">
        <v>0</v>
      </c>
      <c r="H36" t="n">
        <v>0</v>
      </c>
      <c r="I36" t="n">
        <v>43650.71</v>
      </c>
      <c r="J36" t="n">
        <v>3.7</v>
      </c>
      <c r="K36" t="n">
        <v>0</v>
      </c>
    </row>
    <row r="37">
      <c r="A37" t="n">
        <v>36</v>
      </c>
      <c r="B37" t="n">
        <v>3</v>
      </c>
      <c r="C37" t="n">
        <v>12</v>
      </c>
      <c r="D37" t="n">
        <v>2020</v>
      </c>
      <c r="E37" t="n">
        <v>4</v>
      </c>
      <c r="F37" t="n">
        <v>3</v>
      </c>
      <c r="G37" t="n">
        <v>0</v>
      </c>
      <c r="H37" t="n">
        <v>0</v>
      </c>
      <c r="I37" t="n">
        <v>44456.31</v>
      </c>
      <c r="J37" t="n">
        <v>4</v>
      </c>
      <c r="K37" t="n">
        <v>0</v>
      </c>
    </row>
    <row r="38">
      <c r="A38" t="n">
        <v>37</v>
      </c>
      <c r="B38" t="n">
        <v>4</v>
      </c>
      <c r="C38" t="n">
        <v>1</v>
      </c>
      <c r="D38" t="n">
        <v>2020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4</v>
      </c>
      <c r="C39" t="n">
        <v>2</v>
      </c>
      <c r="D39" t="n">
        <v>2020</v>
      </c>
      <c r="E39" t="n">
        <v>3</v>
      </c>
      <c r="F39" t="n">
        <v>2</v>
      </c>
      <c r="G39" t="n">
        <v>1</v>
      </c>
      <c r="H39" t="n">
        <v>0</v>
      </c>
      <c r="I39" t="n">
        <v>13688.09</v>
      </c>
      <c r="J39" t="n">
        <v>13</v>
      </c>
      <c r="K39" t="n">
        <v>1</v>
      </c>
    </row>
    <row r="40">
      <c r="A40" t="n">
        <v>39</v>
      </c>
      <c r="B40" t="n">
        <v>4</v>
      </c>
      <c r="C40" t="n">
        <v>3</v>
      </c>
      <c r="D40" t="n">
        <v>2020</v>
      </c>
      <c r="E40" t="n">
        <v>2</v>
      </c>
      <c r="F40" t="n">
        <v>2</v>
      </c>
      <c r="G40" t="n">
        <v>0</v>
      </c>
      <c r="H40" t="n">
        <v>0</v>
      </c>
      <c r="I40" t="n">
        <v>14959.6</v>
      </c>
      <c r="J40" t="n">
        <v>8</v>
      </c>
      <c r="K40" t="n">
        <v>0</v>
      </c>
    </row>
    <row r="41">
      <c r="A41" t="n">
        <v>40</v>
      </c>
      <c r="B41" t="n">
        <v>4</v>
      </c>
      <c r="C41" t="n">
        <v>4</v>
      </c>
      <c r="D41" t="n">
        <v>2020</v>
      </c>
      <c r="E41" t="n">
        <v>1</v>
      </c>
      <c r="F41" t="n">
        <v>1</v>
      </c>
      <c r="G41" t="n">
        <v>0</v>
      </c>
      <c r="H41" t="n">
        <v>0</v>
      </c>
      <c r="I41" t="n">
        <v>6652.53</v>
      </c>
      <c r="J41" t="n">
        <v>21</v>
      </c>
      <c r="K41" t="n">
        <v>0</v>
      </c>
    </row>
    <row r="42">
      <c r="A42" t="n">
        <v>41</v>
      </c>
      <c r="B42" t="n">
        <v>4</v>
      </c>
      <c r="C42" t="n">
        <v>5</v>
      </c>
      <c r="D42" t="n">
        <v>2020</v>
      </c>
      <c r="E42" t="n">
        <v>1</v>
      </c>
      <c r="F42" t="n">
        <v>0</v>
      </c>
      <c r="G42" t="n">
        <v>1</v>
      </c>
      <c r="H42" t="n">
        <v>1</v>
      </c>
      <c r="I42" t="n">
        <v>8228.879999999999</v>
      </c>
      <c r="J42" t="n">
        <v>17</v>
      </c>
      <c r="K42" t="n">
        <v>1</v>
      </c>
    </row>
    <row r="43">
      <c r="A43" t="n">
        <v>42</v>
      </c>
      <c r="B43" t="n">
        <v>4</v>
      </c>
      <c r="C43" t="n">
        <v>6</v>
      </c>
      <c r="D43" t="n">
        <v>2020</v>
      </c>
      <c r="E43" t="n">
        <v>1</v>
      </c>
      <c r="F43" t="n">
        <v>0</v>
      </c>
      <c r="G43" t="n">
        <v>1</v>
      </c>
      <c r="H43" t="n">
        <v>0</v>
      </c>
      <c r="I43" t="n">
        <v>1681.36</v>
      </c>
      <c r="J43" t="n">
        <v>12</v>
      </c>
      <c r="K43" t="n">
        <v>0</v>
      </c>
    </row>
    <row r="44">
      <c r="A44" t="n">
        <v>43</v>
      </c>
      <c r="B44" t="n">
        <v>4</v>
      </c>
      <c r="C44" t="n">
        <v>7</v>
      </c>
      <c r="D44" t="n">
        <v>2020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4</v>
      </c>
      <c r="C45" t="n">
        <v>8</v>
      </c>
      <c r="D45" t="n">
        <v>2020</v>
      </c>
      <c r="E45" t="n">
        <v>1</v>
      </c>
      <c r="F45" t="n">
        <v>0</v>
      </c>
      <c r="G45" t="n">
        <v>1</v>
      </c>
      <c r="H45" t="n">
        <v>0</v>
      </c>
      <c r="I45" t="n">
        <v>8671.58</v>
      </c>
      <c r="J45" t="n">
        <v>16</v>
      </c>
      <c r="K45" t="n">
        <v>0</v>
      </c>
    </row>
    <row r="46">
      <c r="A46" t="n">
        <v>45</v>
      </c>
      <c r="B46" t="n">
        <v>4</v>
      </c>
      <c r="C46" t="n">
        <v>9</v>
      </c>
      <c r="D46" t="n">
        <v>2020</v>
      </c>
      <c r="E46" t="n">
        <v>3</v>
      </c>
      <c r="F46" t="n">
        <v>2</v>
      </c>
      <c r="G46" t="n">
        <v>1</v>
      </c>
      <c r="H46" t="n">
        <v>0</v>
      </c>
      <c r="I46" t="n">
        <v>10791.56</v>
      </c>
      <c r="J46" t="n">
        <v>9.699999999999999</v>
      </c>
      <c r="K46" t="n">
        <v>0</v>
      </c>
    </row>
    <row r="47">
      <c r="A47" t="n">
        <v>46</v>
      </c>
      <c r="B47" t="n">
        <v>4</v>
      </c>
      <c r="C47" t="n">
        <v>10</v>
      </c>
      <c r="D47" t="n">
        <v>2020</v>
      </c>
      <c r="E47" t="n">
        <v>1</v>
      </c>
      <c r="F47" t="n">
        <v>1</v>
      </c>
      <c r="G47" t="n">
        <v>0</v>
      </c>
      <c r="H47" t="n">
        <v>0</v>
      </c>
      <c r="I47" t="n">
        <v>6260.02</v>
      </c>
      <c r="J47" t="n">
        <v>13</v>
      </c>
      <c r="K47" t="n">
        <v>0</v>
      </c>
    </row>
    <row r="48">
      <c r="A48" t="n">
        <v>47</v>
      </c>
      <c r="B48" t="n">
        <v>4</v>
      </c>
      <c r="C48" t="n">
        <v>11</v>
      </c>
      <c r="D48" t="n">
        <v>2020</v>
      </c>
      <c r="E48" t="n">
        <v>2</v>
      </c>
      <c r="F48" t="n">
        <v>0</v>
      </c>
      <c r="G48" t="n">
        <v>2</v>
      </c>
      <c r="H48" t="n">
        <v>0</v>
      </c>
      <c r="I48" t="n">
        <v>13010.08</v>
      </c>
      <c r="J48" t="n">
        <v>15</v>
      </c>
      <c r="K48" t="n">
        <v>0</v>
      </c>
    </row>
    <row r="49">
      <c r="A49" t="n">
        <v>48</v>
      </c>
      <c r="B49" t="n">
        <v>4</v>
      </c>
      <c r="C49" t="n">
        <v>12</v>
      </c>
      <c r="D49" t="n">
        <v>2020</v>
      </c>
      <c r="E49" t="n">
        <v>1</v>
      </c>
      <c r="F49" t="n">
        <v>1</v>
      </c>
      <c r="G49" t="n">
        <v>0</v>
      </c>
      <c r="H49" t="n">
        <v>0</v>
      </c>
      <c r="I49" t="n">
        <v>9277.15</v>
      </c>
      <c r="J49" t="n">
        <v>9</v>
      </c>
      <c r="K49" t="n">
        <v>0</v>
      </c>
    </row>
    <row r="50">
      <c r="A50" t="n">
        <v>49</v>
      </c>
      <c r="B50" t="n">
        <v>5</v>
      </c>
      <c r="C50" t="n">
        <v>1</v>
      </c>
      <c r="D50" t="n">
        <v>2020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5</v>
      </c>
      <c r="C51" t="n">
        <v>2</v>
      </c>
      <c r="D51" t="n">
        <v>2020</v>
      </c>
      <c r="E51" t="n">
        <v>2</v>
      </c>
      <c r="F51" t="n">
        <v>2</v>
      </c>
      <c r="G51" t="n">
        <v>0</v>
      </c>
      <c r="H51" t="n">
        <v>0</v>
      </c>
      <c r="I51" t="n">
        <v>13343.92</v>
      </c>
      <c r="J51" t="n">
        <v>3.5</v>
      </c>
      <c r="K51" t="n">
        <v>0</v>
      </c>
    </row>
    <row r="52">
      <c r="A52" t="n">
        <v>51</v>
      </c>
      <c r="B52" t="n">
        <v>5</v>
      </c>
      <c r="C52" t="n">
        <v>3</v>
      </c>
      <c r="D52" t="n">
        <v>2020</v>
      </c>
      <c r="E52" t="n">
        <v>2</v>
      </c>
      <c r="F52" t="n">
        <v>2</v>
      </c>
      <c r="G52" t="n">
        <v>0</v>
      </c>
      <c r="H52" t="n">
        <v>0</v>
      </c>
      <c r="I52" t="n">
        <v>20828.56</v>
      </c>
      <c r="J52" t="n">
        <v>2.5</v>
      </c>
      <c r="K52" t="n">
        <v>1</v>
      </c>
    </row>
    <row r="53">
      <c r="A53" t="n">
        <v>52</v>
      </c>
      <c r="B53" t="n">
        <v>5</v>
      </c>
      <c r="C53" t="n">
        <v>4</v>
      </c>
      <c r="D53" t="n">
        <v>2020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53</v>
      </c>
      <c r="B54" t="n">
        <v>5</v>
      </c>
      <c r="C54" t="n">
        <v>5</v>
      </c>
      <c r="D54" t="n">
        <v>2020</v>
      </c>
      <c r="E54" t="n">
        <v>4</v>
      </c>
      <c r="F54" t="n">
        <v>4</v>
      </c>
      <c r="G54" t="n">
        <v>0</v>
      </c>
      <c r="H54" t="n">
        <v>1</v>
      </c>
      <c r="I54" t="n">
        <v>43763.64</v>
      </c>
      <c r="J54" t="n">
        <v>2.2</v>
      </c>
      <c r="K54" t="n">
        <v>1</v>
      </c>
    </row>
    <row r="55">
      <c r="A55" t="n">
        <v>54</v>
      </c>
      <c r="B55" t="n">
        <v>5</v>
      </c>
      <c r="C55" t="n">
        <v>6</v>
      </c>
      <c r="D55" t="n">
        <v>2020</v>
      </c>
      <c r="E55" t="n">
        <v>1</v>
      </c>
      <c r="F55" t="n">
        <v>1</v>
      </c>
      <c r="G55" t="n">
        <v>0</v>
      </c>
      <c r="H55" t="n">
        <v>0</v>
      </c>
      <c r="I55" t="n">
        <v>15205.89</v>
      </c>
      <c r="J55" t="n">
        <v>5</v>
      </c>
      <c r="K55" t="n">
        <v>0</v>
      </c>
    </row>
    <row r="56">
      <c r="A56" t="n">
        <v>55</v>
      </c>
      <c r="B56" t="n">
        <v>5</v>
      </c>
      <c r="C56" t="n">
        <v>7</v>
      </c>
      <c r="D56" t="n">
        <v>2020</v>
      </c>
      <c r="E56" t="n">
        <v>1</v>
      </c>
      <c r="F56" t="n">
        <v>0</v>
      </c>
      <c r="G56" t="n">
        <v>1</v>
      </c>
      <c r="H56" t="n">
        <v>1</v>
      </c>
      <c r="I56" t="n">
        <v>11168.25</v>
      </c>
      <c r="J56" t="n">
        <v>6</v>
      </c>
      <c r="K56" t="n">
        <v>1</v>
      </c>
    </row>
    <row r="57">
      <c r="A57" t="n">
        <v>56</v>
      </c>
      <c r="B57" t="n">
        <v>5</v>
      </c>
      <c r="C57" t="n">
        <v>8</v>
      </c>
      <c r="D57" t="n">
        <v>2020</v>
      </c>
      <c r="E57" t="n">
        <v>2</v>
      </c>
      <c r="F57" t="n">
        <v>2</v>
      </c>
      <c r="G57" t="n">
        <v>0</v>
      </c>
      <c r="H57" t="n">
        <v>0</v>
      </c>
      <c r="I57" t="n">
        <v>21225.95</v>
      </c>
      <c r="J57" t="n">
        <v>2</v>
      </c>
      <c r="K57" t="n">
        <v>0</v>
      </c>
    </row>
    <row r="58">
      <c r="A58" t="n">
        <v>57</v>
      </c>
      <c r="B58" t="n">
        <v>5</v>
      </c>
      <c r="C58" t="n">
        <v>9</v>
      </c>
      <c r="D58" t="n">
        <v>2020</v>
      </c>
      <c r="E58" t="n">
        <v>2</v>
      </c>
      <c r="F58" t="n">
        <v>2</v>
      </c>
      <c r="G58" t="n">
        <v>0</v>
      </c>
      <c r="H58" t="n">
        <v>0</v>
      </c>
      <c r="I58" t="n">
        <v>28089</v>
      </c>
      <c r="J58" t="n">
        <v>2.5</v>
      </c>
      <c r="K58" t="n">
        <v>0</v>
      </c>
    </row>
    <row r="59">
      <c r="A59" t="n">
        <v>58</v>
      </c>
      <c r="B59" t="n">
        <v>5</v>
      </c>
      <c r="C59" t="n">
        <v>10</v>
      </c>
      <c r="D59" t="n">
        <v>2020</v>
      </c>
      <c r="E59" t="n">
        <v>1</v>
      </c>
      <c r="F59" t="n">
        <v>1</v>
      </c>
      <c r="G59" t="n">
        <v>0</v>
      </c>
      <c r="H59" t="n">
        <v>0</v>
      </c>
      <c r="I59" t="n">
        <v>2883.94</v>
      </c>
      <c r="J59" t="n">
        <v>2</v>
      </c>
      <c r="K59" t="n">
        <v>0</v>
      </c>
    </row>
    <row r="60">
      <c r="A60" t="n">
        <v>59</v>
      </c>
      <c r="B60" t="n">
        <v>5</v>
      </c>
      <c r="C60" t="n">
        <v>11</v>
      </c>
      <c r="D60" t="n">
        <v>2020</v>
      </c>
      <c r="E60" t="n">
        <v>2</v>
      </c>
      <c r="F60" t="n">
        <v>2</v>
      </c>
      <c r="G60" t="n">
        <v>0</v>
      </c>
      <c r="H60" t="n">
        <v>0</v>
      </c>
      <c r="I60" t="n">
        <v>26369.95</v>
      </c>
      <c r="J60" t="n">
        <v>4</v>
      </c>
      <c r="K60" t="n">
        <v>0</v>
      </c>
    </row>
    <row r="61">
      <c r="A61" t="n">
        <v>60</v>
      </c>
      <c r="B61" t="n">
        <v>5</v>
      </c>
      <c r="C61" t="n">
        <v>12</v>
      </c>
      <c r="D61" t="n">
        <v>2020</v>
      </c>
      <c r="E61" t="n">
        <v>3</v>
      </c>
      <c r="F61" t="n">
        <v>3</v>
      </c>
      <c r="G61" t="n">
        <v>0</v>
      </c>
      <c r="H61" t="n">
        <v>0</v>
      </c>
      <c r="I61" t="n">
        <v>36639.95</v>
      </c>
      <c r="J61" t="n">
        <v>3.3</v>
      </c>
      <c r="K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8" customWidth="1" min="4" max="4"/>
    <col width="12" customWidth="1" min="5" max="5"/>
    <col width="13" customWidth="1" min="6" max="6"/>
    <col width="16" customWidth="1" min="7" max="7"/>
  </cols>
  <sheetData>
    <row r="1">
      <c r="A1" s="6" t="inlineStr">
        <is>
          <t>event_id</t>
        </is>
      </c>
      <c r="B1" s="6" t="inlineStr">
        <is>
          <t>supplier_id</t>
        </is>
      </c>
      <c r="C1" s="6" t="inlineStr">
        <is>
          <t>sku_id</t>
        </is>
      </c>
      <c r="D1" s="6" t="inlineStr">
        <is>
          <t>event_type</t>
        </is>
      </c>
      <c r="E1" s="6" t="inlineStr">
        <is>
          <t>event_date</t>
        </is>
      </c>
      <c r="F1" s="6" t="inlineStr">
        <is>
          <t>affected_lots</t>
        </is>
      </c>
      <c r="G1" s="6" t="inlineStr">
        <is>
          <t>closure_state</t>
        </is>
      </c>
    </row>
    <row r="2">
      <c r="A2" t="n">
        <v>1</v>
      </c>
      <c r="B2" t="n">
        <v>1</v>
      </c>
      <c r="C2" t="inlineStr">
        <is>
          <t>SS-01001</t>
        </is>
      </c>
      <c r="D2" t="inlineStr">
        <is>
          <t>recall</t>
        </is>
      </c>
      <c r="E2" t="inlineStr">
        <is>
          <t>2026-01-01</t>
        </is>
      </c>
      <c r="F2" t="n">
        <v>1</v>
      </c>
      <c r="G2" t="inlineStr">
        <is>
          <t>closed</t>
        </is>
      </c>
    </row>
    <row r="3">
      <c r="A3" t="n">
        <v>2</v>
      </c>
      <c r="B3" t="n">
        <v>2</v>
      </c>
      <c r="C3" t="inlineStr">
        <is>
          <t>SS-01010</t>
        </is>
      </c>
      <c r="D3" t="inlineStr">
        <is>
          <t>sterility_deviation</t>
        </is>
      </c>
      <c r="E3" t="inlineStr">
        <is>
          <t>2026-02-02</t>
        </is>
      </c>
      <c r="F3" t="n">
        <v>2</v>
      </c>
      <c r="G3" t="inlineStr">
        <is>
          <t>open</t>
        </is>
      </c>
    </row>
    <row r="4">
      <c r="A4" t="n">
        <v>3</v>
      </c>
      <c r="B4" t="n">
        <v>3</v>
      </c>
      <c r="C4" t="inlineStr">
        <is>
          <t>SS-01019</t>
        </is>
      </c>
      <c r="D4" t="inlineStr">
        <is>
          <t>late_cold_chain</t>
        </is>
      </c>
      <c r="E4" t="inlineStr">
        <is>
          <t>2026-03-03</t>
        </is>
      </c>
      <c r="F4" t="n">
        <v>3</v>
      </c>
      <c r="G4" t="inlineStr">
        <is>
          <t>scope-unresolved</t>
        </is>
      </c>
    </row>
    <row r="5">
      <c r="A5" t="n">
        <v>4</v>
      </c>
      <c r="B5" t="n">
        <v>4</v>
      </c>
      <c r="C5" t="inlineStr">
        <is>
          <t>SS-01028</t>
        </is>
      </c>
      <c r="D5" t="inlineStr">
        <is>
          <t>packaging_damage</t>
        </is>
      </c>
      <c r="E5" t="inlineStr">
        <is>
          <t>2026-04-04</t>
        </is>
      </c>
      <c r="F5" t="n">
        <v>4</v>
      </c>
      <c r="G5" t="inlineStr">
        <is>
          <t>closed</t>
        </is>
      </c>
    </row>
    <row r="6">
      <c r="A6" t="n">
        <v>5</v>
      </c>
      <c r="B6" t="n">
        <v>5</v>
      </c>
      <c r="C6" t="inlineStr">
        <is>
          <t>SS-01037</t>
        </is>
      </c>
      <c r="D6" t="inlineStr">
        <is>
          <t>recall</t>
        </is>
      </c>
      <c r="E6" t="inlineStr">
        <is>
          <t>2026-05-05</t>
        </is>
      </c>
      <c r="F6" t="n">
        <v>1</v>
      </c>
      <c r="G6" t="inlineStr">
        <is>
          <t>open</t>
        </is>
      </c>
    </row>
    <row r="7">
      <c r="A7" t="n">
        <v>6</v>
      </c>
      <c r="B7" t="n">
        <v>1</v>
      </c>
      <c r="C7" t="inlineStr">
        <is>
          <t>SS-01046</t>
        </is>
      </c>
      <c r="D7" t="inlineStr">
        <is>
          <t>sterility_deviation</t>
        </is>
      </c>
      <c r="E7" t="inlineStr">
        <is>
          <t>2026-06-06</t>
        </is>
      </c>
      <c r="F7" t="n">
        <v>2</v>
      </c>
      <c r="G7" t="inlineStr">
        <is>
          <t>scope-unresolved</t>
        </is>
      </c>
    </row>
    <row r="8">
      <c r="A8" t="n">
        <v>7</v>
      </c>
      <c r="B8" t="n">
        <v>2</v>
      </c>
      <c r="C8" t="inlineStr">
        <is>
          <t>SS-01055</t>
        </is>
      </c>
      <c r="D8" t="inlineStr">
        <is>
          <t>late_cold_chain</t>
        </is>
      </c>
      <c r="E8" t="inlineStr">
        <is>
          <t>2026-07-07</t>
        </is>
      </c>
      <c r="F8" t="n">
        <v>3</v>
      </c>
      <c r="G8" t="inlineStr">
        <is>
          <t>closed</t>
        </is>
      </c>
    </row>
    <row r="9">
      <c r="A9" t="n">
        <v>8</v>
      </c>
      <c r="B9" t="n">
        <v>3</v>
      </c>
      <c r="C9" t="inlineStr">
        <is>
          <t>SS-01064</t>
        </is>
      </c>
      <c r="D9" t="inlineStr">
        <is>
          <t>packaging_damage</t>
        </is>
      </c>
      <c r="E9" t="inlineStr">
        <is>
          <t>2026-08-08</t>
        </is>
      </c>
      <c r="F9" t="n">
        <v>4</v>
      </c>
      <c r="G9" t="inlineStr">
        <is>
          <t>open</t>
        </is>
      </c>
    </row>
    <row r="10">
      <c r="A10" t="n">
        <v>9</v>
      </c>
      <c r="B10" t="n">
        <v>4</v>
      </c>
      <c r="C10" t="inlineStr">
        <is>
          <t>SS-01073</t>
        </is>
      </c>
      <c r="D10" t="inlineStr">
        <is>
          <t>recall</t>
        </is>
      </c>
      <c r="E10" t="inlineStr">
        <is>
          <t>2026-09-09</t>
        </is>
      </c>
      <c r="F10" t="n">
        <v>1</v>
      </c>
      <c r="G10" t="inlineStr">
        <is>
          <t>scope-unresolved</t>
        </is>
      </c>
    </row>
    <row r="11">
      <c r="A11" t="n">
        <v>10</v>
      </c>
      <c r="B11" t="n">
        <v>5</v>
      </c>
      <c r="C11" t="inlineStr">
        <is>
          <t>SS-01082</t>
        </is>
      </c>
      <c r="D11" t="inlineStr">
        <is>
          <t>sterility_deviation</t>
        </is>
      </c>
      <c r="E11" t="inlineStr">
        <is>
          <t>2026-10-10</t>
        </is>
      </c>
      <c r="F11" t="n">
        <v>2</v>
      </c>
      <c r="G11" t="inlineStr">
        <is>
          <t>closed</t>
        </is>
      </c>
    </row>
    <row r="12">
      <c r="A12" t="n">
        <v>11</v>
      </c>
      <c r="B12" t="n">
        <v>1</v>
      </c>
      <c r="C12" t="inlineStr">
        <is>
          <t>SS-01091</t>
        </is>
      </c>
      <c r="D12" t="inlineStr">
        <is>
          <t>late_cold_chain</t>
        </is>
      </c>
      <c r="E12" t="inlineStr">
        <is>
          <t>2026-11-11</t>
        </is>
      </c>
      <c r="F12" t="n">
        <v>3</v>
      </c>
      <c r="G12" t="inlineStr">
        <is>
          <t>open</t>
        </is>
      </c>
    </row>
    <row r="13">
      <c r="A13" t="n">
        <v>12</v>
      </c>
      <c r="B13" t="n">
        <v>2</v>
      </c>
      <c r="C13" t="inlineStr">
        <is>
          <t>SS-01100</t>
        </is>
      </c>
      <c r="D13" t="inlineStr">
        <is>
          <t>packaging_damage</t>
        </is>
      </c>
      <c r="E13" t="inlineStr">
        <is>
          <t>2026-12-12</t>
        </is>
      </c>
      <c r="F13" t="n">
        <v>4</v>
      </c>
      <c r="G13" t="inlineStr">
        <is>
          <t>scope-unresolved</t>
        </is>
      </c>
    </row>
    <row r="14">
      <c r="A14" t="n">
        <v>13</v>
      </c>
      <c r="B14" t="n">
        <v>3</v>
      </c>
      <c r="C14" t="inlineStr">
        <is>
          <t>SS-01109</t>
        </is>
      </c>
      <c r="D14" t="inlineStr">
        <is>
          <t>recall</t>
        </is>
      </c>
      <c r="E14" t="inlineStr">
        <is>
          <t>2026-01-13</t>
        </is>
      </c>
      <c r="F14" t="n">
        <v>1</v>
      </c>
      <c r="G14" t="inlineStr">
        <is>
          <t>closed</t>
        </is>
      </c>
    </row>
    <row r="15">
      <c r="A15" t="n">
        <v>14</v>
      </c>
      <c r="B15" t="n">
        <v>4</v>
      </c>
      <c r="C15" t="inlineStr">
        <is>
          <t>SS-01118</t>
        </is>
      </c>
      <c r="D15" t="inlineStr">
        <is>
          <t>sterility_deviation</t>
        </is>
      </c>
      <c r="E15" t="inlineStr">
        <is>
          <t>2026-02-14</t>
        </is>
      </c>
      <c r="F15" t="n">
        <v>2</v>
      </c>
      <c r="G15" t="inlineStr">
        <is>
          <t>open</t>
        </is>
      </c>
    </row>
    <row r="16">
      <c r="A16" t="n">
        <v>15</v>
      </c>
      <c r="B16" t="n">
        <v>5</v>
      </c>
      <c r="C16" t="inlineStr">
        <is>
          <t>SS-01127</t>
        </is>
      </c>
      <c r="D16" t="inlineStr">
        <is>
          <t>late_cold_chain</t>
        </is>
      </c>
      <c r="E16" t="inlineStr">
        <is>
          <t>2026-03-15</t>
        </is>
      </c>
      <c r="F16" t="n">
        <v>3</v>
      </c>
      <c r="G16" t="inlineStr">
        <is>
          <t>scope-unresolved</t>
        </is>
      </c>
    </row>
    <row r="17">
      <c r="A17" t="n">
        <v>16</v>
      </c>
      <c r="B17" t="n">
        <v>1</v>
      </c>
      <c r="C17" t="inlineStr">
        <is>
          <t>SS-01136</t>
        </is>
      </c>
      <c r="D17" t="inlineStr">
        <is>
          <t>packaging_damage</t>
        </is>
      </c>
      <c r="E17" t="inlineStr">
        <is>
          <t>2026-04-16</t>
        </is>
      </c>
      <c r="F17" t="n">
        <v>4</v>
      </c>
      <c r="G17" t="inlineStr">
        <is>
          <t>closed</t>
        </is>
      </c>
    </row>
    <row r="18">
      <c r="A18" t="n">
        <v>17</v>
      </c>
      <c r="B18" t="n">
        <v>2</v>
      </c>
      <c r="C18" t="inlineStr">
        <is>
          <t>SS-01145</t>
        </is>
      </c>
      <c r="D18" t="inlineStr">
        <is>
          <t>recall</t>
        </is>
      </c>
      <c r="E18" t="inlineStr">
        <is>
          <t>2026-05-17</t>
        </is>
      </c>
      <c r="F18" t="n">
        <v>1</v>
      </c>
      <c r="G18" t="inlineStr">
        <is>
          <t>open</t>
        </is>
      </c>
    </row>
    <row r="19">
      <c r="A19" t="n">
        <v>18</v>
      </c>
      <c r="B19" t="n">
        <v>3</v>
      </c>
      <c r="C19" t="inlineStr">
        <is>
          <t>SS-01154</t>
        </is>
      </c>
      <c r="D19" t="inlineStr">
        <is>
          <t>sterility_deviation</t>
        </is>
      </c>
      <c r="E19" t="inlineStr">
        <is>
          <t>2026-06-18</t>
        </is>
      </c>
      <c r="F19" t="n">
        <v>2</v>
      </c>
      <c r="G19" t="inlineStr">
        <is>
          <t>scope-unresolved</t>
        </is>
      </c>
    </row>
    <row r="20">
      <c r="A20" t="n">
        <v>19</v>
      </c>
      <c r="B20" t="n">
        <v>4</v>
      </c>
      <c r="C20" t="inlineStr">
        <is>
          <t>SS-01163</t>
        </is>
      </c>
      <c r="D20" t="inlineStr">
        <is>
          <t>late_cold_chain</t>
        </is>
      </c>
      <c r="E20" t="inlineStr">
        <is>
          <t>2026-07-19</t>
        </is>
      </c>
      <c r="F20" t="n">
        <v>3</v>
      </c>
      <c r="G20" t="inlineStr">
        <is>
          <t>closed</t>
        </is>
      </c>
    </row>
    <row r="21">
      <c r="A21" t="n">
        <v>20</v>
      </c>
      <c r="B21" t="n">
        <v>5</v>
      </c>
      <c r="C21" t="inlineStr">
        <is>
          <t>SS-01172</t>
        </is>
      </c>
      <c r="D21" t="inlineStr">
        <is>
          <t>packaging_damage</t>
        </is>
      </c>
      <c r="E21" t="inlineStr">
        <is>
          <t>2026-08-20</t>
        </is>
      </c>
      <c r="F21" t="n">
        <v>4</v>
      </c>
      <c r="G21" t="inlineStr">
        <is>
          <t>open</t>
        </is>
      </c>
    </row>
    <row r="22">
      <c r="A22" t="n">
        <v>21</v>
      </c>
      <c r="B22" t="n">
        <v>1</v>
      </c>
      <c r="C22" t="inlineStr">
        <is>
          <t>SS-01181</t>
        </is>
      </c>
      <c r="D22" t="inlineStr">
        <is>
          <t>recall</t>
        </is>
      </c>
      <c r="E22" t="inlineStr">
        <is>
          <t>2026-09-21</t>
        </is>
      </c>
      <c r="F22" t="n">
        <v>1</v>
      </c>
      <c r="G22" t="inlineStr">
        <is>
          <t>scope-unresolved</t>
        </is>
      </c>
    </row>
    <row r="23">
      <c r="A23" t="n">
        <v>22</v>
      </c>
      <c r="B23" t="n">
        <v>2</v>
      </c>
      <c r="C23" t="inlineStr">
        <is>
          <t>SS-01190</t>
        </is>
      </c>
      <c r="D23" t="inlineStr">
        <is>
          <t>sterility_deviation</t>
        </is>
      </c>
      <c r="E23" t="inlineStr">
        <is>
          <t>2026-10-22</t>
        </is>
      </c>
      <c r="F23" t="n">
        <v>2</v>
      </c>
      <c r="G23" t="inlineStr">
        <is>
          <t>closed</t>
        </is>
      </c>
    </row>
    <row r="24">
      <c r="A24" t="n">
        <v>23</v>
      </c>
      <c r="B24" t="n">
        <v>3</v>
      </c>
      <c r="C24" t="inlineStr">
        <is>
          <t>SS-01199</t>
        </is>
      </c>
      <c r="D24" t="inlineStr">
        <is>
          <t>late_cold_chain</t>
        </is>
      </c>
      <c r="E24" t="inlineStr">
        <is>
          <t>2026-11-23</t>
        </is>
      </c>
      <c r="F24" t="n">
        <v>3</v>
      </c>
      <c r="G24" t="inlineStr">
        <is>
          <t>open</t>
        </is>
      </c>
    </row>
    <row r="25">
      <c r="A25" t="n">
        <v>24</v>
      </c>
      <c r="B25" t="n">
        <v>4</v>
      </c>
      <c r="C25" t="inlineStr">
        <is>
          <t>SS-01208</t>
        </is>
      </c>
      <c r="D25" t="inlineStr">
        <is>
          <t>packaging_damage</t>
        </is>
      </c>
      <c r="E25" t="inlineStr">
        <is>
          <t>2026-12-24</t>
        </is>
      </c>
      <c r="F25" t="n">
        <v>4</v>
      </c>
      <c r="G25" t="inlineStr">
        <is>
          <t>scope-unresolved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14" customWidth="1" min="5" max="5"/>
    <col width="10" customWidth="1" min="6" max="6"/>
    <col width="15" customWidth="1" min="7" max="7"/>
    <col width="30" customWidth="1" min="8" max="8"/>
    <col width="13" customWidth="1" min="9" max="9"/>
    <col width="13" customWidth="1" min="10" max="10"/>
  </cols>
  <sheetData>
    <row r="1">
      <c r="A1" s="1" t="inlineStr">
        <is>
          <t>Exception register with evidence grading</t>
        </is>
      </c>
    </row>
    <row r="2">
      <c r="A2" s="3" t="inlineStr">
        <is>
          <t>evidence_class: invoice/statement = documented; assertion-only/missing-support = unverified (excluded from confirmed exposure).</t>
        </is>
      </c>
    </row>
    <row r="3">
      <c r="A3" s="6" t="inlineStr">
        <is>
          <t>exception_id</t>
        </is>
      </c>
      <c r="B3" s="6" t="inlineStr">
        <is>
          <t>sku_id</t>
        </is>
      </c>
      <c r="C3" s="6" t="inlineStr">
        <is>
          <t>lot_id</t>
        </is>
      </c>
      <c r="D3" s="6" t="inlineStr">
        <is>
          <t>site_id</t>
        </is>
      </c>
      <c r="E3" s="6" t="inlineStr">
        <is>
          <t>exception_type</t>
        </is>
      </c>
      <c r="F3" s="6" t="inlineStr">
        <is>
          <t>quantity</t>
        </is>
      </c>
      <c r="G3" s="6" t="inlineStr">
        <is>
          <t>evidence_status</t>
        </is>
      </c>
      <c r="H3" s="6" t="inlineStr">
        <is>
          <t>source_locator</t>
        </is>
      </c>
      <c r="I3" s="6" t="inlineStr">
        <is>
          <t>evidence_class</t>
        </is>
      </c>
      <c r="J3" s="6" t="inlineStr">
        <is>
          <t>confirmed_qty</t>
        </is>
      </c>
    </row>
    <row r="4">
      <c r="A4" t="inlineStr">
        <is>
          <t>EX-0001</t>
        </is>
      </c>
      <c r="B4" t="inlineStr">
        <is>
          <t>SS-01001</t>
        </is>
      </c>
      <c r="C4" t="inlineStr">
        <is>
          <t>LOT-07001</t>
        </is>
      </c>
      <c r="D4" t="inlineStr">
        <is>
          <t>HOSP-1</t>
        </is>
      </c>
      <c r="E4" t="inlineStr">
        <is>
          <t>recall</t>
        </is>
      </c>
      <c r="F4" t="n">
        <v>5</v>
      </c>
      <c r="G4" t="inlineStr">
        <is>
          <t>invoice</t>
        </is>
      </c>
      <c r="H4" t="inlineStr">
        <is>
          <t>exception control source row 2</t>
        </is>
      </c>
      <c r="I4">
        <f>IF(OR(G4="invoice",G4="statement"),"documented","unverified")</f>
        <v/>
      </c>
      <c r="J4">
        <f>IF(I4="documented",F4,0)</f>
        <v/>
      </c>
    </row>
    <row r="5">
      <c r="A5" t="inlineStr">
        <is>
          <t>EX-0002</t>
        </is>
      </c>
      <c r="B5" t="inlineStr">
        <is>
          <t>SS-01002</t>
        </is>
      </c>
      <c r="C5" t="inlineStr">
        <is>
          <t>LOT-07002</t>
        </is>
      </c>
      <c r="D5" t="inlineStr">
        <is>
          <t>HOSP-2</t>
        </is>
      </c>
      <c r="E5" t="inlineStr">
        <is>
          <t>damage</t>
        </is>
      </c>
      <c r="F5" t="n">
        <v>2</v>
      </c>
      <c r="G5" t="inlineStr">
        <is>
          <t>statement</t>
        </is>
      </c>
      <c r="H5" t="inlineStr">
        <is>
          <t>exception control source row 3</t>
        </is>
      </c>
      <c r="I5">
        <f>IF(OR(G5="invoice",G5="statement"),"documented","unverified")</f>
        <v/>
      </c>
      <c r="J5">
        <f>IF(I5="documented",F5,0)</f>
        <v/>
      </c>
    </row>
    <row r="6">
      <c r="A6" t="inlineStr">
        <is>
          <t>EX-0003</t>
        </is>
      </c>
      <c r="B6" t="inlineStr">
        <is>
          <t>SS-01003</t>
        </is>
      </c>
      <c r="C6" t="inlineStr">
        <is>
          <t>LOT-07003</t>
        </is>
      </c>
      <c r="D6" t="inlineStr">
        <is>
          <t>HOSP-3</t>
        </is>
      </c>
      <c r="E6" t="inlineStr">
        <is>
          <t>near-expiry</t>
        </is>
      </c>
      <c r="F6" t="n">
        <v>0</v>
      </c>
      <c r="G6" t="inlineStr">
        <is>
          <t>assertion-only</t>
        </is>
      </c>
      <c r="H6" t="inlineStr">
        <is>
          <t>exception control source row 4</t>
        </is>
      </c>
      <c r="I6">
        <f>IF(OR(G6="invoice",G6="statement"),"documented","unverified")</f>
        <v/>
      </c>
      <c r="J6">
        <f>IF(I6="documented",F6,0)</f>
        <v/>
      </c>
    </row>
    <row r="7">
      <c r="A7" t="inlineStr">
        <is>
          <t>EX-0004</t>
        </is>
      </c>
      <c r="B7" t="inlineStr">
        <is>
          <t>SS-01004</t>
        </is>
      </c>
      <c r="C7" t="inlineStr">
        <is>
          <t>LOT-07004</t>
        </is>
      </c>
      <c r="D7" t="inlineStr">
        <is>
          <t>HOSP-4</t>
        </is>
      </c>
      <c r="E7" t="inlineStr">
        <is>
          <t>lot-conflict</t>
        </is>
      </c>
      <c r="F7" t="n">
        <v>37</v>
      </c>
      <c r="G7" t="inlineStr">
        <is>
          <t>missing-support</t>
        </is>
      </c>
      <c r="H7" t="inlineStr">
        <is>
          <t>exception control source row 5</t>
        </is>
      </c>
      <c r="I7">
        <f>IF(OR(G7="invoice",G7="statement"),"documented","unverified")</f>
        <v/>
      </c>
      <c r="J7">
        <f>IF(I7="documented",F7,0)</f>
        <v/>
      </c>
    </row>
    <row r="8">
      <c r="A8" t="inlineStr">
        <is>
          <t>EX-0005</t>
        </is>
      </c>
      <c r="B8" t="inlineStr">
        <is>
          <t>SS-01005</t>
        </is>
      </c>
      <c r="C8" t="inlineStr">
        <is>
          <t>LOT-07005</t>
        </is>
      </c>
      <c r="D8" t="inlineStr">
        <is>
          <t>HOSP-1</t>
        </is>
      </c>
      <c r="E8" t="inlineStr">
        <is>
          <t>evidence-gap</t>
        </is>
      </c>
      <c r="F8" t="n">
        <v>35</v>
      </c>
      <c r="G8" t="inlineStr">
        <is>
          <t>invoice</t>
        </is>
      </c>
      <c r="H8" t="inlineStr">
        <is>
          <t>exception control source row 6</t>
        </is>
      </c>
      <c r="I8">
        <f>IF(OR(G8="invoice",G8="statement"),"documented","unverified")</f>
        <v/>
      </c>
      <c r="J8">
        <f>IF(I8="documented",F8,0)</f>
        <v/>
      </c>
    </row>
    <row r="9">
      <c r="A9" t="inlineStr">
        <is>
          <t>EX-0006</t>
        </is>
      </c>
      <c r="B9" t="inlineStr">
        <is>
          <t>SS-01006</t>
        </is>
      </c>
      <c r="C9" t="inlineStr">
        <is>
          <t>LOT-07006</t>
        </is>
      </c>
      <c r="D9" t="inlineStr">
        <is>
          <t>HOSP-2</t>
        </is>
      </c>
      <c r="E9" t="inlineStr">
        <is>
          <t>recall</t>
        </is>
      </c>
      <c r="F9" t="n">
        <v>32</v>
      </c>
      <c r="G9" t="inlineStr">
        <is>
          <t>statement</t>
        </is>
      </c>
      <c r="H9" t="inlineStr">
        <is>
          <t>exception control source row 7</t>
        </is>
      </c>
      <c r="I9">
        <f>IF(OR(G9="invoice",G9="statement"),"documented","unverified")</f>
        <v/>
      </c>
      <c r="J9">
        <f>IF(I9="documented",F9,0)</f>
        <v/>
      </c>
    </row>
    <row r="10">
      <c r="A10" t="inlineStr">
        <is>
          <t>EX-0007</t>
        </is>
      </c>
      <c r="B10" t="inlineStr">
        <is>
          <t>SS-01007</t>
        </is>
      </c>
      <c r="C10" t="inlineStr">
        <is>
          <t>LOT-07007</t>
        </is>
      </c>
      <c r="D10" t="inlineStr">
        <is>
          <t>HOSP-3</t>
        </is>
      </c>
      <c r="E10" t="inlineStr">
        <is>
          <t>damage</t>
        </is>
      </c>
      <c r="F10" t="n">
        <v>30</v>
      </c>
      <c r="G10" t="inlineStr">
        <is>
          <t>assertion-only</t>
        </is>
      </c>
      <c r="H10" t="inlineStr">
        <is>
          <t>exception control source row 8</t>
        </is>
      </c>
      <c r="I10">
        <f>IF(OR(G10="invoice",G10="statement"),"documented","unverified")</f>
        <v/>
      </c>
      <c r="J10">
        <f>IF(I10="documented",F10,0)</f>
        <v/>
      </c>
    </row>
    <row r="11">
      <c r="A11" t="inlineStr">
        <is>
          <t>EX-0008</t>
        </is>
      </c>
      <c r="B11" t="inlineStr">
        <is>
          <t>SS-01008</t>
        </is>
      </c>
      <c r="C11" t="inlineStr">
        <is>
          <t>LOT-07008</t>
        </is>
      </c>
      <c r="D11" t="inlineStr">
        <is>
          <t>HOSP-4</t>
        </is>
      </c>
      <c r="E11" t="inlineStr">
        <is>
          <t>near-expiry</t>
        </is>
      </c>
      <c r="F11" t="n">
        <v>27</v>
      </c>
      <c r="G11" t="inlineStr">
        <is>
          <t>missing-support</t>
        </is>
      </c>
      <c r="H11" t="inlineStr">
        <is>
          <t>exception control source row 9</t>
        </is>
      </c>
      <c r="I11">
        <f>IF(OR(G11="invoice",G11="statement"),"documented","unverified")</f>
        <v/>
      </c>
      <c r="J11">
        <f>IF(I11="documented",F11,0)</f>
        <v/>
      </c>
    </row>
    <row r="12">
      <c r="A12" t="inlineStr">
        <is>
          <t>EX-0009</t>
        </is>
      </c>
      <c r="B12" t="inlineStr">
        <is>
          <t>SS-01009</t>
        </is>
      </c>
      <c r="C12" t="inlineStr">
        <is>
          <t>LOT-07009</t>
        </is>
      </c>
      <c r="D12" t="inlineStr">
        <is>
          <t>HOSP-1</t>
        </is>
      </c>
      <c r="E12" t="inlineStr">
        <is>
          <t>lot-conflict</t>
        </is>
      </c>
      <c r="F12" t="n">
        <v>25</v>
      </c>
      <c r="G12" t="inlineStr">
        <is>
          <t>invoice</t>
        </is>
      </c>
      <c r="H12" t="inlineStr">
        <is>
          <t>exception control source row 10</t>
        </is>
      </c>
      <c r="I12">
        <f>IF(OR(G12="invoice",G12="statement"),"documented","unverified")</f>
        <v/>
      </c>
      <c r="J12">
        <f>IF(I12="documented",F12,0)</f>
        <v/>
      </c>
    </row>
    <row r="13">
      <c r="A13" t="inlineStr">
        <is>
          <t>EX-0010</t>
        </is>
      </c>
      <c r="B13" t="inlineStr">
        <is>
          <t>SS-01010</t>
        </is>
      </c>
      <c r="C13" t="inlineStr">
        <is>
          <t>LOT-07010</t>
        </is>
      </c>
      <c r="D13" t="inlineStr">
        <is>
          <t>HOSP-2</t>
        </is>
      </c>
      <c r="E13" t="inlineStr">
        <is>
          <t>evidence-gap</t>
        </is>
      </c>
      <c r="F13" t="n">
        <v>22</v>
      </c>
      <c r="G13" t="inlineStr">
        <is>
          <t>statement</t>
        </is>
      </c>
      <c r="H13" t="inlineStr">
        <is>
          <t>exception control source row 11</t>
        </is>
      </c>
      <c r="I13">
        <f>IF(OR(G13="invoice",G13="statement"),"documented","unverified")</f>
        <v/>
      </c>
      <c r="J13">
        <f>IF(I13="documented",F13,0)</f>
        <v/>
      </c>
    </row>
    <row r="14">
      <c r="A14" t="inlineStr">
        <is>
          <t>EX-0011</t>
        </is>
      </c>
      <c r="B14" t="inlineStr">
        <is>
          <t>SS-01011</t>
        </is>
      </c>
      <c r="C14" t="inlineStr">
        <is>
          <t>LOT-07011</t>
        </is>
      </c>
      <c r="D14" t="inlineStr">
        <is>
          <t>HOSP-3</t>
        </is>
      </c>
      <c r="E14" t="inlineStr">
        <is>
          <t>recall</t>
        </is>
      </c>
      <c r="F14" t="n">
        <v>20</v>
      </c>
      <c r="G14" t="inlineStr">
        <is>
          <t>assertion-only</t>
        </is>
      </c>
      <c r="H14" t="inlineStr">
        <is>
          <t>exception control source row 12</t>
        </is>
      </c>
      <c r="I14">
        <f>IF(OR(G14="invoice",G14="statement"),"documented","unverified")</f>
        <v/>
      </c>
      <c r="J14">
        <f>IF(I14="documented",F14,0)</f>
        <v/>
      </c>
    </row>
    <row r="15">
      <c r="A15" t="inlineStr">
        <is>
          <t>EX-0012</t>
        </is>
      </c>
      <c r="B15" t="inlineStr">
        <is>
          <t>SS-01012</t>
        </is>
      </c>
      <c r="C15" t="inlineStr">
        <is>
          <t>LOT-07012</t>
        </is>
      </c>
      <c r="D15" t="inlineStr">
        <is>
          <t>HOSP-4</t>
        </is>
      </c>
      <c r="E15" t="inlineStr">
        <is>
          <t>damage</t>
        </is>
      </c>
      <c r="F15" t="n">
        <v>17</v>
      </c>
      <c r="G15" t="inlineStr">
        <is>
          <t>missing-support</t>
        </is>
      </c>
      <c r="H15" t="inlineStr">
        <is>
          <t>exception control source row 13</t>
        </is>
      </c>
      <c r="I15">
        <f>IF(OR(G15="invoice",G15="statement"),"documented","unverified")</f>
        <v/>
      </c>
      <c r="J15">
        <f>IF(I15="documented",F15,0)</f>
        <v/>
      </c>
    </row>
    <row r="16">
      <c r="A16" t="inlineStr">
        <is>
          <t>EX-0013</t>
        </is>
      </c>
      <c r="B16" t="inlineStr">
        <is>
          <t>SS-01013</t>
        </is>
      </c>
      <c r="C16" t="inlineStr">
        <is>
          <t>LOT-07013</t>
        </is>
      </c>
      <c r="D16" t="inlineStr">
        <is>
          <t>HOSP-1</t>
        </is>
      </c>
      <c r="E16" t="inlineStr">
        <is>
          <t>near-expiry</t>
        </is>
      </c>
      <c r="F16" t="n">
        <v>14</v>
      </c>
      <c r="G16" t="inlineStr">
        <is>
          <t>invoice</t>
        </is>
      </c>
      <c r="H16" t="inlineStr">
        <is>
          <t>exception control source row 14</t>
        </is>
      </c>
      <c r="I16">
        <f>IF(OR(G16="invoice",G16="statement"),"documented","unverified")</f>
        <v/>
      </c>
      <c r="J16">
        <f>IF(I16="documented",F16,0)</f>
        <v/>
      </c>
    </row>
    <row r="17">
      <c r="A17" t="inlineStr">
        <is>
          <t>EX-0014</t>
        </is>
      </c>
      <c r="B17" t="inlineStr">
        <is>
          <t>SS-01014</t>
        </is>
      </c>
      <c r="C17" t="inlineStr">
        <is>
          <t>LOT-07014</t>
        </is>
      </c>
      <c r="D17" t="inlineStr">
        <is>
          <t>HOSP-2</t>
        </is>
      </c>
      <c r="E17" t="inlineStr">
        <is>
          <t>lot-conflict</t>
        </is>
      </c>
      <c r="F17" t="n">
        <v>12</v>
      </c>
      <c r="G17" t="inlineStr">
        <is>
          <t>statement</t>
        </is>
      </c>
      <c r="H17" t="inlineStr">
        <is>
          <t>exception control source row 15</t>
        </is>
      </c>
      <c r="I17">
        <f>IF(OR(G17="invoice",G17="statement"),"documented","unverified")</f>
        <v/>
      </c>
      <c r="J17">
        <f>IF(I17="documented",F17,0)</f>
        <v/>
      </c>
    </row>
    <row r="18">
      <c r="A18" t="inlineStr">
        <is>
          <t>EX-0015</t>
        </is>
      </c>
      <c r="B18" t="inlineStr">
        <is>
          <t>SS-01015</t>
        </is>
      </c>
      <c r="C18" t="inlineStr">
        <is>
          <t>LOT-07015</t>
        </is>
      </c>
      <c r="D18" t="inlineStr">
        <is>
          <t>HOSP-3</t>
        </is>
      </c>
      <c r="E18" t="inlineStr">
        <is>
          <t>evidence-gap</t>
        </is>
      </c>
      <c r="F18" t="n">
        <v>9</v>
      </c>
      <c r="G18" t="inlineStr">
        <is>
          <t>assertion-only</t>
        </is>
      </c>
      <c r="H18" t="inlineStr">
        <is>
          <t>exception control source row 16</t>
        </is>
      </c>
      <c r="I18">
        <f>IF(OR(G18="invoice",G18="statement"),"documented","unverified")</f>
        <v/>
      </c>
      <c r="J18">
        <f>IF(I18="documented",F18,0)</f>
        <v/>
      </c>
    </row>
    <row r="19">
      <c r="A19" t="inlineStr">
        <is>
          <t>EX-0016</t>
        </is>
      </c>
      <c r="B19" t="inlineStr">
        <is>
          <t>SS-01016</t>
        </is>
      </c>
      <c r="C19" t="inlineStr">
        <is>
          <t>LOT-07016</t>
        </is>
      </c>
      <c r="D19" t="inlineStr">
        <is>
          <t>HOSP-4</t>
        </is>
      </c>
      <c r="E19" t="inlineStr">
        <is>
          <t>recall</t>
        </is>
      </c>
      <c r="F19" t="n">
        <v>7</v>
      </c>
      <c r="G19" t="inlineStr">
        <is>
          <t>missing-support</t>
        </is>
      </c>
      <c r="H19" t="inlineStr">
        <is>
          <t>exception control source row 17</t>
        </is>
      </c>
      <c r="I19">
        <f>IF(OR(G19="invoice",G19="statement"),"documented","unverified")</f>
        <v/>
      </c>
      <c r="J19">
        <f>IF(I19="documented",F19,0)</f>
        <v/>
      </c>
    </row>
    <row r="20">
      <c r="A20" t="inlineStr">
        <is>
          <t>EX-0017</t>
        </is>
      </c>
      <c r="B20" t="inlineStr">
        <is>
          <t>SS-01017</t>
        </is>
      </c>
      <c r="C20" t="inlineStr">
        <is>
          <t>LOT-07017</t>
        </is>
      </c>
      <c r="D20" t="inlineStr">
        <is>
          <t>HOSP-1</t>
        </is>
      </c>
      <c r="E20" t="inlineStr">
        <is>
          <t>damage</t>
        </is>
      </c>
      <c r="F20" t="n">
        <v>4</v>
      </c>
      <c r="G20" t="inlineStr">
        <is>
          <t>invoice</t>
        </is>
      </c>
      <c r="H20" t="inlineStr">
        <is>
          <t>exception control source row 18</t>
        </is>
      </c>
      <c r="I20">
        <f>IF(OR(G20="invoice",G20="statement"),"documented","unverified")</f>
        <v/>
      </c>
      <c r="J20">
        <f>IF(I20="documented",F20,0)</f>
        <v/>
      </c>
    </row>
    <row r="21">
      <c r="A21" t="inlineStr">
        <is>
          <t>EX-0018</t>
        </is>
      </c>
      <c r="B21" t="inlineStr">
        <is>
          <t>SS-01018</t>
        </is>
      </c>
      <c r="C21" t="inlineStr">
        <is>
          <t>LOT-07018</t>
        </is>
      </c>
      <c r="D21" t="inlineStr">
        <is>
          <t>HOSP-2</t>
        </is>
      </c>
      <c r="E21" t="inlineStr">
        <is>
          <t>near-expiry</t>
        </is>
      </c>
      <c r="F21" t="n">
        <v>2</v>
      </c>
      <c r="G21" t="inlineStr">
        <is>
          <t>statement</t>
        </is>
      </c>
      <c r="H21" t="inlineStr">
        <is>
          <t>exception control source row 19</t>
        </is>
      </c>
      <c r="I21">
        <f>IF(OR(G21="invoice",G21="statement"),"documented","unverified")</f>
        <v/>
      </c>
      <c r="J21">
        <f>IF(I21="documented",F21,0)</f>
        <v/>
      </c>
    </row>
    <row r="22">
      <c r="A22" t="inlineStr">
        <is>
          <t>EX-0019</t>
        </is>
      </c>
      <c r="B22" t="inlineStr">
        <is>
          <t>SS-01019</t>
        </is>
      </c>
      <c r="C22" t="inlineStr">
        <is>
          <t>LOT-07019</t>
        </is>
      </c>
      <c r="D22" t="inlineStr">
        <is>
          <t>HOSP-3</t>
        </is>
      </c>
      <c r="E22" t="inlineStr">
        <is>
          <t>lot-conflict</t>
        </is>
      </c>
      <c r="F22" t="n">
        <v>39</v>
      </c>
      <c r="G22" t="inlineStr">
        <is>
          <t>assertion-only</t>
        </is>
      </c>
      <c r="H22" t="inlineStr">
        <is>
          <t>exception control source row 20</t>
        </is>
      </c>
      <c r="I22">
        <f>IF(OR(G22="invoice",G22="statement"),"documented","unverified")</f>
        <v/>
      </c>
      <c r="J22">
        <f>IF(I22="documented",F22,0)</f>
        <v/>
      </c>
    </row>
    <row r="23">
      <c r="A23" t="inlineStr">
        <is>
          <t>EX-0020</t>
        </is>
      </c>
      <c r="B23" t="inlineStr">
        <is>
          <t>SS-01020</t>
        </is>
      </c>
      <c r="C23" t="inlineStr">
        <is>
          <t>LOT-07020</t>
        </is>
      </c>
      <c r="D23" t="inlineStr">
        <is>
          <t>HOSP-4</t>
        </is>
      </c>
      <c r="E23" t="inlineStr">
        <is>
          <t>evidence-gap</t>
        </is>
      </c>
      <c r="F23" t="n">
        <v>37</v>
      </c>
      <c r="G23" t="inlineStr">
        <is>
          <t>missing-support</t>
        </is>
      </c>
      <c r="H23" t="inlineStr">
        <is>
          <t>exception control source row 21</t>
        </is>
      </c>
      <c r="I23">
        <f>IF(OR(G23="invoice",G23="statement"),"documented","unverified")</f>
        <v/>
      </c>
      <c r="J23">
        <f>IF(I23="documented",F23,0)</f>
        <v/>
      </c>
    </row>
    <row r="24">
      <c r="A24" t="inlineStr">
        <is>
          <t>EX-0021</t>
        </is>
      </c>
      <c r="B24" t="inlineStr">
        <is>
          <t>SS-01021</t>
        </is>
      </c>
      <c r="C24" t="inlineStr">
        <is>
          <t>LOT-07021</t>
        </is>
      </c>
      <c r="D24" t="inlineStr">
        <is>
          <t>HOSP-1</t>
        </is>
      </c>
      <c r="E24" t="inlineStr">
        <is>
          <t>recall</t>
        </is>
      </c>
      <c r="F24" t="n">
        <v>34</v>
      </c>
      <c r="G24" t="inlineStr">
        <is>
          <t>invoice</t>
        </is>
      </c>
      <c r="H24" t="inlineStr">
        <is>
          <t>exception control source row 22</t>
        </is>
      </c>
      <c r="I24">
        <f>IF(OR(G24="invoice",G24="statement"),"documented","unverified")</f>
        <v/>
      </c>
      <c r="J24">
        <f>IF(I24="documented",F24,0)</f>
        <v/>
      </c>
    </row>
    <row r="25">
      <c r="A25" t="inlineStr">
        <is>
          <t>EX-0022</t>
        </is>
      </c>
      <c r="B25" t="inlineStr">
        <is>
          <t>SS-01022</t>
        </is>
      </c>
      <c r="C25" t="inlineStr">
        <is>
          <t>LOT-07022</t>
        </is>
      </c>
      <c r="D25" t="inlineStr">
        <is>
          <t>HOSP-2</t>
        </is>
      </c>
      <c r="E25" t="inlineStr">
        <is>
          <t>damage</t>
        </is>
      </c>
      <c r="F25" t="n">
        <v>31</v>
      </c>
      <c r="G25" t="inlineStr">
        <is>
          <t>statement</t>
        </is>
      </c>
      <c r="H25" t="inlineStr">
        <is>
          <t>exception control source row 23</t>
        </is>
      </c>
      <c r="I25">
        <f>IF(OR(G25="invoice",G25="statement"),"documented","unverified")</f>
        <v/>
      </c>
      <c r="J25">
        <f>IF(I25="documented",F25,0)</f>
        <v/>
      </c>
    </row>
    <row r="26">
      <c r="A26" t="inlineStr">
        <is>
          <t>EX-0023</t>
        </is>
      </c>
      <c r="B26" t="inlineStr">
        <is>
          <t>SS-01023</t>
        </is>
      </c>
      <c r="C26" t="inlineStr">
        <is>
          <t>LOT-07023</t>
        </is>
      </c>
      <c r="D26" t="inlineStr">
        <is>
          <t>HOSP-3</t>
        </is>
      </c>
      <c r="E26" t="inlineStr">
        <is>
          <t>near-expiry</t>
        </is>
      </c>
      <c r="F26" t="n">
        <v>29</v>
      </c>
      <c r="G26" t="inlineStr">
        <is>
          <t>assertion-only</t>
        </is>
      </c>
      <c r="H26" t="inlineStr">
        <is>
          <t>exception control source row 24</t>
        </is>
      </c>
      <c r="I26">
        <f>IF(OR(G26="invoice",G26="statement"),"documented","unverified")</f>
        <v/>
      </c>
      <c r="J26">
        <f>IF(I26="documented",F26,0)</f>
        <v/>
      </c>
    </row>
    <row r="27">
      <c r="A27" t="inlineStr">
        <is>
          <t>EX-0024</t>
        </is>
      </c>
      <c r="B27" t="inlineStr">
        <is>
          <t>SS-01024</t>
        </is>
      </c>
      <c r="C27" t="inlineStr">
        <is>
          <t>LOT-07024</t>
        </is>
      </c>
      <c r="D27" t="inlineStr">
        <is>
          <t>HOSP-4</t>
        </is>
      </c>
      <c r="E27" t="inlineStr">
        <is>
          <t>lot-conflict</t>
        </is>
      </c>
      <c r="F27" t="n">
        <v>26</v>
      </c>
      <c r="G27" t="inlineStr">
        <is>
          <t>missing-support</t>
        </is>
      </c>
      <c r="H27" t="inlineStr">
        <is>
          <t>exception control source row 25</t>
        </is>
      </c>
      <c r="I27">
        <f>IF(OR(G27="invoice",G27="statement"),"documented","unverified")</f>
        <v/>
      </c>
      <c r="J27">
        <f>IF(I27="documented",F27,0)</f>
        <v/>
      </c>
    </row>
    <row r="28">
      <c r="A28" t="inlineStr">
        <is>
          <t>EX-0025</t>
        </is>
      </c>
      <c r="B28" t="inlineStr">
        <is>
          <t>SS-01025</t>
        </is>
      </c>
      <c r="C28" t="inlineStr">
        <is>
          <t>LOT-07025</t>
        </is>
      </c>
      <c r="D28" t="inlineStr">
        <is>
          <t>HOSP-1</t>
        </is>
      </c>
      <c r="E28" t="inlineStr">
        <is>
          <t>evidence-gap</t>
        </is>
      </c>
      <c r="F28" t="n">
        <v>24</v>
      </c>
      <c r="G28" t="inlineStr">
        <is>
          <t>invoice</t>
        </is>
      </c>
      <c r="H28" t="inlineStr">
        <is>
          <t>exception control source row 26</t>
        </is>
      </c>
      <c r="I28">
        <f>IF(OR(G28="invoice",G28="statement"),"documented","unverified")</f>
        <v/>
      </c>
      <c r="J28">
        <f>IF(I28="documented",F28,0)</f>
        <v/>
      </c>
    </row>
    <row r="29">
      <c r="A29" t="inlineStr">
        <is>
          <t>EX-0026</t>
        </is>
      </c>
      <c r="B29" t="inlineStr">
        <is>
          <t>SS-01026</t>
        </is>
      </c>
      <c r="C29" t="inlineStr">
        <is>
          <t>LOT-07026</t>
        </is>
      </c>
      <c r="D29" t="inlineStr">
        <is>
          <t>HOSP-2</t>
        </is>
      </c>
      <c r="E29" t="inlineStr">
        <is>
          <t>recall</t>
        </is>
      </c>
      <c r="F29" t="n">
        <v>21</v>
      </c>
      <c r="G29" t="inlineStr">
        <is>
          <t>statement</t>
        </is>
      </c>
      <c r="H29" t="inlineStr">
        <is>
          <t>exception control source row 27</t>
        </is>
      </c>
      <c r="I29">
        <f>IF(OR(G29="invoice",G29="statement"),"documented","unverified")</f>
        <v/>
      </c>
      <c r="J29">
        <f>IF(I29="documented",F29,0)</f>
        <v/>
      </c>
    </row>
    <row r="30">
      <c r="A30" t="inlineStr">
        <is>
          <t>EX-0027</t>
        </is>
      </c>
      <c r="B30" t="inlineStr">
        <is>
          <t>SS-01027</t>
        </is>
      </c>
      <c r="C30" t="inlineStr">
        <is>
          <t>LOT-07027</t>
        </is>
      </c>
      <c r="D30" t="inlineStr">
        <is>
          <t>HOSP-3</t>
        </is>
      </c>
      <c r="E30" t="inlineStr">
        <is>
          <t>damage</t>
        </is>
      </c>
      <c r="F30" t="n">
        <v>19</v>
      </c>
      <c r="G30" t="inlineStr">
        <is>
          <t>assertion-only</t>
        </is>
      </c>
      <c r="H30" t="inlineStr">
        <is>
          <t>exception control source row 28</t>
        </is>
      </c>
      <c r="I30">
        <f>IF(OR(G30="invoice",G30="statement"),"documented","unverified")</f>
        <v/>
      </c>
      <c r="J30">
        <f>IF(I30="documented",F30,0)</f>
        <v/>
      </c>
    </row>
    <row r="31">
      <c r="A31" t="inlineStr">
        <is>
          <t>EX-0028</t>
        </is>
      </c>
      <c r="B31" t="inlineStr">
        <is>
          <t>SS-01028</t>
        </is>
      </c>
      <c r="C31" t="inlineStr">
        <is>
          <t>LOT-07028</t>
        </is>
      </c>
      <c r="D31" t="inlineStr">
        <is>
          <t>HOSP-4</t>
        </is>
      </c>
      <c r="E31" t="inlineStr">
        <is>
          <t>near-expiry</t>
        </is>
      </c>
      <c r="F31" t="n">
        <v>16</v>
      </c>
      <c r="G31" t="inlineStr">
        <is>
          <t>missing-support</t>
        </is>
      </c>
      <c r="H31" t="inlineStr">
        <is>
          <t>exception control source row 29</t>
        </is>
      </c>
      <c r="I31">
        <f>IF(OR(G31="invoice",G31="statement"),"documented","unverified")</f>
        <v/>
      </c>
      <c r="J31">
        <f>IF(I31="documented",F31,0)</f>
        <v/>
      </c>
    </row>
    <row r="32">
      <c r="A32" t="inlineStr">
        <is>
          <t>EX-0029</t>
        </is>
      </c>
      <c r="B32" t="inlineStr">
        <is>
          <t>SS-01029</t>
        </is>
      </c>
      <c r="C32" t="inlineStr">
        <is>
          <t>LOT-07029</t>
        </is>
      </c>
      <c r="D32" t="inlineStr">
        <is>
          <t>HOSP-1</t>
        </is>
      </c>
      <c r="E32" t="inlineStr">
        <is>
          <t>lot-conflict</t>
        </is>
      </c>
      <c r="F32" t="n">
        <v>14</v>
      </c>
      <c r="G32" t="inlineStr">
        <is>
          <t>invoice</t>
        </is>
      </c>
      <c r="H32" t="inlineStr">
        <is>
          <t>exception control source row 30</t>
        </is>
      </c>
      <c r="I32">
        <f>IF(OR(G32="invoice",G32="statement"),"documented","unverified")</f>
        <v/>
      </c>
      <c r="J32">
        <f>IF(I32="documented",F32,0)</f>
        <v/>
      </c>
    </row>
    <row r="33">
      <c r="A33" t="inlineStr">
        <is>
          <t>EX-0030</t>
        </is>
      </c>
      <c r="B33" t="inlineStr">
        <is>
          <t>SS-01030</t>
        </is>
      </c>
      <c r="C33" t="inlineStr">
        <is>
          <t>LOT-07030</t>
        </is>
      </c>
      <c r="D33" t="inlineStr">
        <is>
          <t>HOSP-2</t>
        </is>
      </c>
      <c r="E33" t="inlineStr">
        <is>
          <t>evidence-gap</t>
        </is>
      </c>
      <c r="F33" t="n">
        <v>11</v>
      </c>
      <c r="G33" t="inlineStr">
        <is>
          <t>statement</t>
        </is>
      </c>
      <c r="H33" t="inlineStr">
        <is>
          <t>exception control source row 31</t>
        </is>
      </c>
      <c r="I33">
        <f>IF(OR(G33="invoice",G33="statement"),"documented","unverified")</f>
        <v/>
      </c>
      <c r="J33">
        <f>IF(I33="documented",F33,0)</f>
        <v/>
      </c>
    </row>
    <row r="34">
      <c r="A34" t="inlineStr">
        <is>
          <t>EX-0031</t>
        </is>
      </c>
      <c r="B34" t="inlineStr">
        <is>
          <t>SS-01031</t>
        </is>
      </c>
      <c r="C34" t="inlineStr">
        <is>
          <t>LOT-07031</t>
        </is>
      </c>
      <c r="D34" t="inlineStr">
        <is>
          <t>HOSP-3</t>
        </is>
      </c>
      <c r="E34" t="inlineStr">
        <is>
          <t>recall</t>
        </is>
      </c>
      <c r="F34" t="n">
        <v>8</v>
      </c>
      <c r="G34" t="inlineStr">
        <is>
          <t>assertion-only</t>
        </is>
      </c>
      <c r="H34" t="inlineStr">
        <is>
          <t>exception control source row 32</t>
        </is>
      </c>
      <c r="I34">
        <f>IF(OR(G34="invoice",G34="statement"),"documented","unverified")</f>
        <v/>
      </c>
      <c r="J34">
        <f>IF(I34="documented",F34,0)</f>
        <v/>
      </c>
    </row>
    <row r="35">
      <c r="A35" t="inlineStr">
        <is>
          <t>EX-0032</t>
        </is>
      </c>
      <c r="B35" t="inlineStr">
        <is>
          <t>SS-01032</t>
        </is>
      </c>
      <c r="C35" t="inlineStr">
        <is>
          <t>LOT-07032</t>
        </is>
      </c>
      <c r="D35" t="inlineStr">
        <is>
          <t>HOSP-4</t>
        </is>
      </c>
      <c r="E35" t="inlineStr">
        <is>
          <t>damage</t>
        </is>
      </c>
      <c r="F35" t="n">
        <v>6</v>
      </c>
      <c r="G35" t="inlineStr">
        <is>
          <t>missing-support</t>
        </is>
      </c>
      <c r="H35" t="inlineStr">
        <is>
          <t>exception control source row 33</t>
        </is>
      </c>
      <c r="I35">
        <f>IF(OR(G35="invoice",G35="statement"),"documented","unverified")</f>
        <v/>
      </c>
      <c r="J35">
        <f>IF(I35="documented",F35,0)</f>
        <v/>
      </c>
    </row>
    <row r="36">
      <c r="A36" t="inlineStr">
        <is>
          <t>EX-0033</t>
        </is>
      </c>
      <c r="B36" t="inlineStr">
        <is>
          <t>SS-01033</t>
        </is>
      </c>
      <c r="C36" t="inlineStr">
        <is>
          <t>LOT-07033</t>
        </is>
      </c>
      <c r="D36" t="inlineStr">
        <is>
          <t>HOSP-1</t>
        </is>
      </c>
      <c r="E36" t="inlineStr">
        <is>
          <t>near-expiry</t>
        </is>
      </c>
      <c r="F36" t="n">
        <v>3</v>
      </c>
      <c r="G36" t="inlineStr">
        <is>
          <t>invoice</t>
        </is>
      </c>
      <c r="H36" t="inlineStr">
        <is>
          <t>exception control source row 34</t>
        </is>
      </c>
      <c r="I36">
        <f>IF(OR(G36="invoice",G36="statement"),"documented","unverified")</f>
        <v/>
      </c>
      <c r="J36">
        <f>IF(I36="documented",F36,0)</f>
        <v/>
      </c>
    </row>
    <row r="37">
      <c r="A37" t="inlineStr">
        <is>
          <t>EX-0034</t>
        </is>
      </c>
      <c r="B37" t="inlineStr">
        <is>
          <t>SS-01034</t>
        </is>
      </c>
      <c r="C37" t="inlineStr">
        <is>
          <t>LOT-07034</t>
        </is>
      </c>
      <c r="D37" t="inlineStr">
        <is>
          <t>HOSP-2</t>
        </is>
      </c>
      <c r="E37" t="inlineStr">
        <is>
          <t>lot-conflict</t>
        </is>
      </c>
      <c r="F37" t="n">
        <v>1</v>
      </c>
      <c r="G37" t="inlineStr">
        <is>
          <t>statement</t>
        </is>
      </c>
      <c r="H37" t="inlineStr">
        <is>
          <t>exception control source row 35</t>
        </is>
      </c>
      <c r="I37">
        <f>IF(OR(G37="invoice",G37="statement"),"documented","unverified")</f>
        <v/>
      </c>
      <c r="J37">
        <f>IF(I37="documented",F37,0)</f>
        <v/>
      </c>
    </row>
    <row r="38">
      <c r="A38" t="inlineStr">
        <is>
          <t>EX-0035</t>
        </is>
      </c>
      <c r="B38" t="inlineStr">
        <is>
          <t>SS-01035</t>
        </is>
      </c>
      <c r="C38" t="inlineStr">
        <is>
          <t>LOT-07035</t>
        </is>
      </c>
      <c r="D38" t="inlineStr">
        <is>
          <t>HOSP-3</t>
        </is>
      </c>
      <c r="E38" t="inlineStr">
        <is>
          <t>evidence-gap</t>
        </is>
      </c>
      <c r="F38" t="n">
        <v>38</v>
      </c>
      <c r="G38" t="inlineStr">
        <is>
          <t>assertion-only</t>
        </is>
      </c>
      <c r="H38" t="inlineStr">
        <is>
          <t>exception control source row 36</t>
        </is>
      </c>
      <c r="I38">
        <f>IF(OR(G38="invoice",G38="statement"),"documented","unverified")</f>
        <v/>
      </c>
      <c r="J38">
        <f>IF(I38="documented",F38,0)</f>
        <v/>
      </c>
    </row>
    <row r="39">
      <c r="A39" t="inlineStr">
        <is>
          <t>EX-0036</t>
        </is>
      </c>
      <c r="B39" t="inlineStr">
        <is>
          <t>SS-01036</t>
        </is>
      </c>
      <c r="C39" t="inlineStr">
        <is>
          <t>LOT-07036</t>
        </is>
      </c>
      <c r="D39" t="inlineStr">
        <is>
          <t>HOSP-4</t>
        </is>
      </c>
      <c r="E39" t="inlineStr">
        <is>
          <t>recall</t>
        </is>
      </c>
      <c r="F39" t="n">
        <v>36</v>
      </c>
      <c r="G39" t="inlineStr">
        <is>
          <t>missing-support</t>
        </is>
      </c>
      <c r="H39" t="inlineStr">
        <is>
          <t>exception control source row 37</t>
        </is>
      </c>
      <c r="I39">
        <f>IF(OR(G39="invoice",G39="statement"),"documented","unverified")</f>
        <v/>
      </c>
      <c r="J39">
        <f>IF(I39="documented",F39,0)</f>
        <v/>
      </c>
    </row>
    <row r="40">
      <c r="A40" t="inlineStr">
        <is>
          <t>EX-0037</t>
        </is>
      </c>
      <c r="B40" t="inlineStr">
        <is>
          <t>SS-01037</t>
        </is>
      </c>
      <c r="C40" t="inlineStr">
        <is>
          <t>LOT-07037</t>
        </is>
      </c>
      <c r="D40" t="inlineStr">
        <is>
          <t>HOSP-1</t>
        </is>
      </c>
      <c r="E40" t="inlineStr">
        <is>
          <t>damage</t>
        </is>
      </c>
      <c r="F40" t="n">
        <v>33</v>
      </c>
      <c r="G40" t="inlineStr">
        <is>
          <t>invoice</t>
        </is>
      </c>
      <c r="H40" t="inlineStr">
        <is>
          <t>exception control source row 38</t>
        </is>
      </c>
      <c r="I40">
        <f>IF(OR(G40="invoice",G40="statement"),"documented","unverified")</f>
        <v/>
      </c>
      <c r="J40">
        <f>IF(I40="documented",F40,0)</f>
        <v/>
      </c>
    </row>
    <row r="41">
      <c r="A41" t="inlineStr">
        <is>
          <t>EX-0038</t>
        </is>
      </c>
      <c r="B41" t="inlineStr">
        <is>
          <t>SS-01038</t>
        </is>
      </c>
      <c r="C41" t="inlineStr">
        <is>
          <t>LOT-07038</t>
        </is>
      </c>
      <c r="D41" t="inlineStr">
        <is>
          <t>HOSP-2</t>
        </is>
      </c>
      <c r="E41" t="inlineStr">
        <is>
          <t>near-expiry</t>
        </is>
      </c>
      <c r="F41" t="n">
        <v>31</v>
      </c>
      <c r="G41" t="inlineStr">
        <is>
          <t>statement</t>
        </is>
      </c>
      <c r="H41" t="inlineStr">
        <is>
          <t>exception control source row 39</t>
        </is>
      </c>
      <c r="I41">
        <f>IF(OR(G41="invoice",G41="statement"),"documented","unverified")</f>
        <v/>
      </c>
      <c r="J41">
        <f>IF(I41="documented",F41,0)</f>
        <v/>
      </c>
    </row>
    <row r="42">
      <c r="A42" t="inlineStr">
        <is>
          <t>EX-0039</t>
        </is>
      </c>
      <c r="B42" t="inlineStr">
        <is>
          <t>SS-01039</t>
        </is>
      </c>
      <c r="C42" t="inlineStr">
        <is>
          <t>LOT-07039</t>
        </is>
      </c>
      <c r="D42" t="inlineStr">
        <is>
          <t>HOSP-3</t>
        </is>
      </c>
      <c r="E42" t="inlineStr">
        <is>
          <t>lot-conflict</t>
        </is>
      </c>
      <c r="F42" t="n">
        <v>28</v>
      </c>
      <c r="G42" t="inlineStr">
        <is>
          <t>assertion-only</t>
        </is>
      </c>
      <c r="H42" t="inlineStr">
        <is>
          <t>exception control source row 40</t>
        </is>
      </c>
      <c r="I42">
        <f>IF(OR(G42="invoice",G42="statement"),"documented","unverified")</f>
        <v/>
      </c>
      <c r="J42">
        <f>IF(I42="documented",F42,0)</f>
        <v/>
      </c>
    </row>
    <row r="43">
      <c r="A43" t="inlineStr">
        <is>
          <t>EX-0040</t>
        </is>
      </c>
      <c r="B43" t="inlineStr">
        <is>
          <t>SS-01040</t>
        </is>
      </c>
      <c r="C43" t="inlineStr">
        <is>
          <t>LOT-07040</t>
        </is>
      </c>
      <c r="D43" t="inlineStr">
        <is>
          <t>HOSP-4</t>
        </is>
      </c>
      <c r="E43" t="inlineStr">
        <is>
          <t>evidence-gap</t>
        </is>
      </c>
      <c r="F43" t="n">
        <v>26</v>
      </c>
      <c r="G43" t="inlineStr">
        <is>
          <t>missing-support</t>
        </is>
      </c>
      <c r="H43" t="inlineStr">
        <is>
          <t>exception control source row 41</t>
        </is>
      </c>
      <c r="I43">
        <f>IF(OR(G43="invoice",G43="statement"),"documented","unverified")</f>
        <v/>
      </c>
      <c r="J43">
        <f>IF(I43="documented",F43,0)</f>
        <v/>
      </c>
    </row>
    <row r="44">
      <c r="A44" t="inlineStr">
        <is>
          <t>EX-0041</t>
        </is>
      </c>
      <c r="B44" t="inlineStr">
        <is>
          <t>SS-01041</t>
        </is>
      </c>
      <c r="C44" t="inlineStr">
        <is>
          <t>LOT-07041</t>
        </is>
      </c>
      <c r="D44" t="inlineStr">
        <is>
          <t>HOSP-1</t>
        </is>
      </c>
      <c r="E44" t="inlineStr">
        <is>
          <t>recall</t>
        </is>
      </c>
      <c r="F44" t="n">
        <v>23</v>
      </c>
      <c r="G44" t="inlineStr">
        <is>
          <t>invoice</t>
        </is>
      </c>
      <c r="H44" t="inlineStr">
        <is>
          <t>exception control source row 42</t>
        </is>
      </c>
      <c r="I44">
        <f>IF(OR(G44="invoice",G44="statement"),"documented","unverified")</f>
        <v/>
      </c>
      <c r="J44">
        <f>IF(I44="documented",F44,0)</f>
        <v/>
      </c>
    </row>
    <row r="45">
      <c r="A45" t="inlineStr">
        <is>
          <t>EX-0042</t>
        </is>
      </c>
      <c r="B45" t="inlineStr">
        <is>
          <t>SS-01042</t>
        </is>
      </c>
      <c r="C45" t="inlineStr">
        <is>
          <t>LOT-07042</t>
        </is>
      </c>
      <c r="D45" t="inlineStr">
        <is>
          <t>HOSP-2</t>
        </is>
      </c>
      <c r="E45" t="inlineStr">
        <is>
          <t>damage</t>
        </is>
      </c>
      <c r="F45" t="n">
        <v>20</v>
      </c>
      <c r="G45" t="inlineStr">
        <is>
          <t>statement</t>
        </is>
      </c>
      <c r="H45" t="inlineStr">
        <is>
          <t>exception control source row 43</t>
        </is>
      </c>
      <c r="I45">
        <f>IF(OR(G45="invoice",G45="statement"),"documented","unverified")</f>
        <v/>
      </c>
      <c r="J45">
        <f>IF(I45="documented",F45,0)</f>
        <v/>
      </c>
    </row>
    <row r="46">
      <c r="A46" t="inlineStr">
        <is>
          <t>EX-0043</t>
        </is>
      </c>
      <c r="B46" t="inlineStr">
        <is>
          <t>SS-01043</t>
        </is>
      </c>
      <c r="C46" t="inlineStr">
        <is>
          <t>LOT-07043</t>
        </is>
      </c>
      <c r="D46" t="inlineStr">
        <is>
          <t>HOSP-3</t>
        </is>
      </c>
      <c r="E46" t="inlineStr">
        <is>
          <t>near-expiry</t>
        </is>
      </c>
      <c r="F46" t="n">
        <v>18</v>
      </c>
      <c r="G46" t="inlineStr">
        <is>
          <t>assertion-only</t>
        </is>
      </c>
      <c r="H46" t="inlineStr">
        <is>
          <t>exception control source row 44</t>
        </is>
      </c>
      <c r="I46">
        <f>IF(OR(G46="invoice",G46="statement"),"documented","unverified")</f>
        <v/>
      </c>
      <c r="J46">
        <f>IF(I46="documented",F46,0)</f>
        <v/>
      </c>
    </row>
    <row r="47">
      <c r="A47" t="inlineStr">
        <is>
          <t>EX-0044</t>
        </is>
      </c>
      <c r="B47" t="inlineStr">
        <is>
          <t>SS-01044</t>
        </is>
      </c>
      <c r="C47" t="inlineStr">
        <is>
          <t>LOT-07044</t>
        </is>
      </c>
      <c r="D47" t="inlineStr">
        <is>
          <t>HOSP-4</t>
        </is>
      </c>
      <c r="E47" t="inlineStr">
        <is>
          <t>lot-conflict</t>
        </is>
      </c>
      <c r="F47" t="n">
        <v>15</v>
      </c>
      <c r="G47" t="inlineStr">
        <is>
          <t>missing-support</t>
        </is>
      </c>
      <c r="H47" t="inlineStr">
        <is>
          <t>exception control source row 45</t>
        </is>
      </c>
      <c r="I47">
        <f>IF(OR(G47="invoice",G47="statement"),"documented","unverified")</f>
        <v/>
      </c>
      <c r="J47">
        <f>IF(I47="documented",F47,0)</f>
        <v/>
      </c>
    </row>
    <row r="48">
      <c r="A48" t="inlineStr">
        <is>
          <t>EX-0045</t>
        </is>
      </c>
      <c r="B48" t="inlineStr">
        <is>
          <t>SS-01045</t>
        </is>
      </c>
      <c r="C48" t="inlineStr">
        <is>
          <t>LOT-07045</t>
        </is>
      </c>
      <c r="D48" t="inlineStr">
        <is>
          <t>HOSP-1</t>
        </is>
      </c>
      <c r="E48" t="inlineStr">
        <is>
          <t>evidence-gap</t>
        </is>
      </c>
      <c r="F48" t="n">
        <v>13</v>
      </c>
      <c r="G48" t="inlineStr">
        <is>
          <t>invoice</t>
        </is>
      </c>
      <c r="H48" t="inlineStr">
        <is>
          <t>exception control source row 46</t>
        </is>
      </c>
      <c r="I48">
        <f>IF(OR(G48="invoice",G48="statement"),"documented","unverified")</f>
        <v/>
      </c>
      <c r="J48">
        <f>IF(I48="documented",F48,0)</f>
        <v/>
      </c>
    </row>
    <row r="49">
      <c r="A49" t="inlineStr">
        <is>
          <t>EX-0046</t>
        </is>
      </c>
      <c r="B49" t="inlineStr">
        <is>
          <t>SS-01046</t>
        </is>
      </c>
      <c r="C49" t="inlineStr">
        <is>
          <t>LOT-07046</t>
        </is>
      </c>
      <c r="D49" t="inlineStr">
        <is>
          <t>HOSP-2</t>
        </is>
      </c>
      <c r="E49" t="inlineStr">
        <is>
          <t>recall</t>
        </is>
      </c>
      <c r="F49" t="n">
        <v>10</v>
      </c>
      <c r="G49" t="inlineStr">
        <is>
          <t>statement</t>
        </is>
      </c>
      <c r="H49" t="inlineStr">
        <is>
          <t>exception control source row 47</t>
        </is>
      </c>
      <c r="I49">
        <f>IF(OR(G49="invoice",G49="statement"),"documented","unverified")</f>
        <v/>
      </c>
      <c r="J49">
        <f>IF(I49="documented",F49,0)</f>
        <v/>
      </c>
    </row>
    <row r="50">
      <c r="A50" t="inlineStr">
        <is>
          <t>EX-0047</t>
        </is>
      </c>
      <c r="B50" t="inlineStr">
        <is>
          <t>SS-01047</t>
        </is>
      </c>
      <c r="C50" t="inlineStr">
        <is>
          <t>LOT-07047</t>
        </is>
      </c>
      <c r="D50" t="inlineStr">
        <is>
          <t>HOSP-3</t>
        </is>
      </c>
      <c r="E50" t="inlineStr">
        <is>
          <t>damage</t>
        </is>
      </c>
      <c r="F50" t="n">
        <v>8</v>
      </c>
      <c r="G50" t="inlineStr">
        <is>
          <t>assertion-only</t>
        </is>
      </c>
      <c r="H50" t="inlineStr">
        <is>
          <t>exception control source row 48</t>
        </is>
      </c>
      <c r="I50">
        <f>IF(OR(G50="invoice",G50="statement"),"documented","unverified")</f>
        <v/>
      </c>
      <c r="J50">
        <f>IF(I50="documented",F50,0)</f>
        <v/>
      </c>
    </row>
    <row r="51">
      <c r="A51" t="inlineStr">
        <is>
          <t>EX-0048</t>
        </is>
      </c>
      <c r="B51" t="inlineStr">
        <is>
          <t>SS-01048</t>
        </is>
      </c>
      <c r="C51" t="inlineStr">
        <is>
          <t>LOT-07048</t>
        </is>
      </c>
      <c r="D51" t="inlineStr">
        <is>
          <t>HOSP-4</t>
        </is>
      </c>
      <c r="E51" t="inlineStr">
        <is>
          <t>near-expiry</t>
        </is>
      </c>
      <c r="F51" t="n">
        <v>5</v>
      </c>
      <c r="G51" t="inlineStr">
        <is>
          <t>missing-support</t>
        </is>
      </c>
      <c r="H51" t="inlineStr">
        <is>
          <t>exception control source row 49</t>
        </is>
      </c>
      <c r="I51">
        <f>IF(OR(G51="invoice",G51="statement"),"documented","unverified")</f>
        <v/>
      </c>
      <c r="J51">
        <f>IF(I51="documented",F51,0)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</cols>
  <sheetData>
    <row r="1">
      <c r="A1" s="1" t="inlineStr">
        <is>
          <t>Site capacity pools by scenario (net of reserved emergency units)</t>
        </is>
      </c>
    </row>
    <row r="2">
      <c r="A2" s="3" t="inlineStr">
        <is>
          <t>Raw rows 4-15 (site_storage_clinical_constraints.csv). Pool summary rows 19-23: SUMIFS; net = MAX(0, gross - reserved).</t>
        </is>
      </c>
    </row>
    <row r="4">
      <c r="A4" s="6" t="inlineStr">
        <is>
          <t>constraint_id</t>
        </is>
      </c>
      <c r="B4" s="6" t="inlineStr">
        <is>
          <t>site_id</t>
        </is>
      </c>
      <c r="C4" s="6" t="inlineStr">
        <is>
          <t>capacity_pool</t>
        </is>
      </c>
      <c r="D4" s="6" t="inlineStr">
        <is>
          <t>adverse_units</t>
        </is>
      </c>
      <c r="E4" s="6" t="inlineStr">
        <is>
          <t>base_units</t>
        </is>
      </c>
      <c r="F4" s="6" t="inlineStr">
        <is>
          <t>upside_units</t>
        </is>
      </c>
      <c r="G4" s="6" t="inlineStr">
        <is>
          <t>reserved_emergency_units</t>
        </is>
      </c>
      <c r="H4" s="6" t="inlineStr">
        <is>
          <t>clinical_access_floor</t>
        </is>
      </c>
      <c r="I4" s="6" t="inlineStr">
        <is>
          <t>minimum_floor</t>
        </is>
      </c>
      <c r="J4" s="6" t="inlineStr">
        <is>
          <t>evidence_status</t>
        </is>
      </c>
    </row>
    <row r="5">
      <c r="A5" t="inlineStr">
        <is>
          <t>SSC-001</t>
        </is>
      </c>
      <c r="B5" t="inlineStr">
        <is>
          <t>HOSP-1</t>
        </is>
      </c>
      <c r="C5" t="inlineStr">
        <is>
          <t>BUYER_FTE</t>
        </is>
      </c>
      <c r="D5" t="n">
        <v>0.5</v>
      </c>
      <c r="E5" t="n">
        <v>1</v>
      </c>
      <c r="F5" t="n">
        <v>2</v>
      </c>
      <c r="G5" t="n">
        <v>0.25</v>
      </c>
      <c r="H5" t="inlineStr">
        <is>
          <t>vascular kits</t>
        </is>
      </c>
      <c r="I5" t="n">
        <v>80</v>
      </c>
      <c r="J5" t="inlineStr">
        <is>
          <t>approved</t>
        </is>
      </c>
    </row>
    <row r="6">
      <c r="A6" t="inlineStr">
        <is>
          <t>SSC-002</t>
        </is>
      </c>
      <c r="B6" t="inlineStr">
        <is>
          <t>HOSP-2</t>
        </is>
      </c>
      <c r="C6" t="inlineStr">
        <is>
          <t>COLD_CHAIN_PALLET</t>
        </is>
      </c>
      <c r="D6" t="n">
        <v>1</v>
      </c>
      <c r="E6" t="n">
        <v>2</v>
      </c>
      <c r="F6" t="n">
        <v>3</v>
      </c>
      <c r="G6" t="n">
        <v>0.5</v>
      </c>
      <c r="H6" t="inlineStr">
        <is>
          <t>airway kits</t>
        </is>
      </c>
      <c r="I6" t="n">
        <v>65</v>
      </c>
      <c r="J6" t="inlineStr">
        <is>
          <t>planning range</t>
        </is>
      </c>
    </row>
    <row r="7">
      <c r="A7" t="inlineStr">
        <is>
          <t>SSC-003</t>
        </is>
      </c>
      <c r="B7" t="inlineStr">
        <is>
          <t>HOSP-3</t>
        </is>
      </c>
      <c r="C7" t="inlineStr">
        <is>
          <t>RECEIVING_SLOT</t>
        </is>
      </c>
      <c r="D7" t="n">
        <v>2</v>
      </c>
      <c r="E7" t="n">
        <v>3</v>
      </c>
      <c r="F7" t="n">
        <v>4</v>
      </c>
      <c r="G7" t="n">
        <v>1</v>
      </c>
      <c r="H7" t="inlineStr">
        <is>
          <t>surgical packs</t>
        </is>
      </c>
      <c r="I7" t="n">
        <v>120</v>
      </c>
      <c r="J7" t="inlineStr">
        <is>
          <t>conditional</t>
        </is>
      </c>
    </row>
    <row r="8">
      <c r="A8" t="inlineStr">
        <is>
          <t>SSC-004</t>
        </is>
      </c>
      <c r="B8" t="inlineStr">
        <is>
          <t>HOSP-4</t>
        </is>
      </c>
      <c r="C8" t="inlineStr">
        <is>
          <t>CLINICAL_REVIEW</t>
        </is>
      </c>
      <c r="D8" t="n">
        <v>0.5</v>
      </c>
      <c r="E8" t="n">
        <v>1</v>
      </c>
      <c r="F8" t="n">
        <v>2</v>
      </c>
      <c r="G8" t="n">
        <v>0.25</v>
      </c>
      <c r="H8" t="inlineStr">
        <is>
          <t>wound supplies</t>
        </is>
      </c>
      <c r="I8" t="n">
        <v>95</v>
      </c>
      <c r="J8" t="inlineStr">
        <is>
          <t>approved</t>
        </is>
      </c>
    </row>
    <row r="9">
      <c r="A9" t="inlineStr">
        <is>
          <t>SSC-005</t>
        </is>
      </c>
      <c r="B9" t="inlineStr">
        <is>
          <t>HOSP-1</t>
        </is>
      </c>
      <c r="C9" t="inlineStr">
        <is>
          <t>TRANSFER_VEHICLE</t>
        </is>
      </c>
      <c r="D9" t="n">
        <v>1</v>
      </c>
      <c r="E9" t="n">
        <v>2</v>
      </c>
      <c r="F9" t="n">
        <v>3</v>
      </c>
      <c r="G9" t="n">
        <v>0.5</v>
      </c>
      <c r="H9" t="inlineStr">
        <is>
          <t>vascular kits</t>
        </is>
      </c>
      <c r="I9" t="n">
        <v>80</v>
      </c>
      <c r="J9" t="inlineStr">
        <is>
          <t>planning range</t>
        </is>
      </c>
    </row>
    <row r="10">
      <c r="A10" t="inlineStr">
        <is>
          <t>SSC-006</t>
        </is>
      </c>
      <c r="B10" t="inlineStr">
        <is>
          <t>HOSP-2</t>
        </is>
      </c>
      <c r="C10" t="inlineStr">
        <is>
          <t>BUYER_FTE</t>
        </is>
      </c>
      <c r="D10" t="n">
        <v>2</v>
      </c>
      <c r="E10" t="n">
        <v>3</v>
      </c>
      <c r="F10" t="n">
        <v>4</v>
      </c>
      <c r="G10" t="n">
        <v>1</v>
      </c>
      <c r="H10" t="inlineStr">
        <is>
          <t>airway kits</t>
        </is>
      </c>
      <c r="I10" t="n">
        <v>65</v>
      </c>
      <c r="J10" t="inlineStr">
        <is>
          <t>conditional</t>
        </is>
      </c>
    </row>
    <row r="11">
      <c r="A11" t="inlineStr">
        <is>
          <t>SSC-007</t>
        </is>
      </c>
      <c r="B11" t="inlineStr">
        <is>
          <t>HOSP-3</t>
        </is>
      </c>
      <c r="C11" t="inlineStr">
        <is>
          <t>COLD_CHAIN_PALLET</t>
        </is>
      </c>
      <c r="D11" t="n">
        <v>0.5</v>
      </c>
      <c r="E11" t="n">
        <v>1</v>
      </c>
      <c r="F11" t="n">
        <v>2</v>
      </c>
      <c r="G11" t="n">
        <v>0.25</v>
      </c>
      <c r="H11" t="inlineStr">
        <is>
          <t>surgical packs</t>
        </is>
      </c>
      <c r="I11" t="n">
        <v>120</v>
      </c>
      <c r="J11" t="inlineStr">
        <is>
          <t>approved</t>
        </is>
      </c>
    </row>
    <row r="12">
      <c r="A12" t="inlineStr">
        <is>
          <t>SSC-008</t>
        </is>
      </c>
      <c r="B12" t="inlineStr">
        <is>
          <t>HOSP-4</t>
        </is>
      </c>
      <c r="C12" t="inlineStr">
        <is>
          <t>RECEIVING_SLOT</t>
        </is>
      </c>
      <c r="D12" t="n">
        <v>1</v>
      </c>
      <c r="E12" t="n">
        <v>2</v>
      </c>
      <c r="F12" t="n">
        <v>3</v>
      </c>
      <c r="G12" t="n">
        <v>0.5</v>
      </c>
      <c r="H12" t="inlineStr">
        <is>
          <t>wound supplies</t>
        </is>
      </c>
      <c r="I12" t="n">
        <v>95</v>
      </c>
      <c r="J12" t="inlineStr">
        <is>
          <t>planning range</t>
        </is>
      </c>
    </row>
    <row r="13">
      <c r="A13" t="inlineStr">
        <is>
          <t>SSC-009</t>
        </is>
      </c>
      <c r="B13" t="inlineStr">
        <is>
          <t>HOSP-1</t>
        </is>
      </c>
      <c r="C13" t="inlineStr">
        <is>
          <t>CLINICAL_REVIEW</t>
        </is>
      </c>
      <c r="D13" t="n">
        <v>2</v>
      </c>
      <c r="E13" t="n">
        <v>3</v>
      </c>
      <c r="F13" t="n">
        <v>4</v>
      </c>
      <c r="G13" t="n">
        <v>1</v>
      </c>
      <c r="H13" t="inlineStr">
        <is>
          <t>vascular kits</t>
        </is>
      </c>
      <c r="I13" t="n">
        <v>80</v>
      </c>
      <c r="J13" t="inlineStr">
        <is>
          <t>conditional</t>
        </is>
      </c>
    </row>
    <row r="14">
      <c r="A14" t="inlineStr">
        <is>
          <t>SSC-010</t>
        </is>
      </c>
      <c r="B14" t="inlineStr">
        <is>
          <t>HOSP-2</t>
        </is>
      </c>
      <c r="C14" t="inlineStr">
        <is>
          <t>TRANSFER_VEHICLE</t>
        </is>
      </c>
      <c r="D14" t="n">
        <v>0.5</v>
      </c>
      <c r="E14" t="n">
        <v>1</v>
      </c>
      <c r="F14" t="n">
        <v>2</v>
      </c>
      <c r="G14" t="n">
        <v>0.25</v>
      </c>
      <c r="H14" t="inlineStr">
        <is>
          <t>airway kits</t>
        </is>
      </c>
      <c r="I14" t="n">
        <v>65</v>
      </c>
      <c r="J14" t="inlineStr">
        <is>
          <t>approved</t>
        </is>
      </c>
    </row>
    <row r="15">
      <c r="A15" t="inlineStr">
        <is>
          <t>SSC-011</t>
        </is>
      </c>
      <c r="B15" t="inlineStr">
        <is>
          <t>HOSP-3</t>
        </is>
      </c>
      <c r="C15" t="inlineStr">
        <is>
          <t>BUYER_FTE</t>
        </is>
      </c>
      <c r="D15" t="n">
        <v>1</v>
      </c>
      <c r="E15" t="n">
        <v>2</v>
      </c>
      <c r="F15" t="n">
        <v>3</v>
      </c>
      <c r="G15" t="n">
        <v>0.5</v>
      </c>
      <c r="H15" t="inlineStr">
        <is>
          <t>surgical packs</t>
        </is>
      </c>
      <c r="I15" t="n">
        <v>120</v>
      </c>
      <c r="J15" t="inlineStr">
        <is>
          <t>planning range</t>
        </is>
      </c>
    </row>
    <row r="16">
      <c r="A16" t="inlineStr">
        <is>
          <t>SSC-012</t>
        </is>
      </c>
      <c r="B16" t="inlineStr">
        <is>
          <t>HOSP-4</t>
        </is>
      </c>
      <c r="C16" t="inlineStr">
        <is>
          <t>COLD_CHAIN_PALLET</t>
        </is>
      </c>
      <c r="D16" t="n">
        <v>2</v>
      </c>
      <c r="E16" t="n">
        <v>3</v>
      </c>
      <c r="F16" t="n">
        <v>4</v>
      </c>
      <c r="G16" t="n">
        <v>1</v>
      </c>
      <c r="H16" t="inlineStr">
        <is>
          <t>wound supplies</t>
        </is>
      </c>
      <c r="I16" t="n">
        <v>95</v>
      </c>
      <c r="J16" t="inlineStr">
        <is>
          <t>conditional</t>
        </is>
      </c>
    </row>
    <row r="18">
      <c r="A18" s="6" t="inlineStr">
        <is>
          <t>capacity_pool</t>
        </is>
      </c>
      <c r="B18" s="6" t="inlineStr">
        <is>
          <t>adv_gross</t>
        </is>
      </c>
      <c r="C18" s="6" t="inlineStr">
        <is>
          <t>adv_reserved</t>
        </is>
      </c>
      <c r="D18" s="6" t="inlineStr">
        <is>
          <t>adv_net</t>
        </is>
      </c>
      <c r="E18" s="6" t="inlineStr">
        <is>
          <t>base_gross</t>
        </is>
      </c>
      <c r="F18" s="6" t="inlineStr">
        <is>
          <t>base_reserved</t>
        </is>
      </c>
      <c r="G18" s="6" t="inlineStr">
        <is>
          <t>base_net</t>
        </is>
      </c>
      <c r="H18" s="6" t="inlineStr">
        <is>
          <t>up_gross</t>
        </is>
      </c>
      <c r="I18" s="6" t="inlineStr">
        <is>
          <t>up_reserved</t>
        </is>
      </c>
      <c r="J18" s="6" t="inlineStr">
        <is>
          <t>up_net</t>
        </is>
      </c>
      <c r="K18" s="6" t="inlineStr">
        <is>
          <t>non_approved_rows</t>
        </is>
      </c>
    </row>
    <row r="19">
      <c r="A19" t="inlineStr">
        <is>
          <t>BUYER_FTE</t>
        </is>
      </c>
      <c r="B19">
        <f>SUMIF($C$5:$C$16,$A19,D$5:D$16)</f>
        <v/>
      </c>
      <c r="C19">
        <f>SUMIF($C$5:$C$16,$A19,$G$5:$G$16)</f>
        <v/>
      </c>
      <c r="D19">
        <f>MAX(0,B19-C19)</f>
        <v/>
      </c>
      <c r="E19">
        <f>SUMIF($C$5:$C$16,$A19,E$5:E$16)</f>
        <v/>
      </c>
      <c r="F19">
        <f>SUMIF($C$5:$C$16,$A19,$G$5:$G$16)</f>
        <v/>
      </c>
      <c r="G19">
        <f>MAX(0,E19-F19)</f>
        <v/>
      </c>
      <c r="H19">
        <f>SUMIF($C$5:$C$16,$A19,F$5:F$16)</f>
        <v/>
      </c>
      <c r="I19">
        <f>SUMIF($C$5:$C$16,$A19,$G$5:$G$16)</f>
        <v/>
      </c>
      <c r="J19">
        <f>MAX(0,H19-I19)</f>
        <v/>
      </c>
      <c r="K19">
        <f>COUNTIFS($C$5:$C$16,$A19,$J$5:$J$16,"&lt;&gt;approved")</f>
        <v/>
      </c>
    </row>
    <row r="20">
      <c r="A20" t="inlineStr">
        <is>
          <t>CLINICAL_REVIEW</t>
        </is>
      </c>
      <c r="B20">
        <f>SUMIF($C$5:$C$16,$A20,D$5:D$16)</f>
        <v/>
      </c>
      <c r="C20">
        <f>SUMIF($C$5:$C$16,$A20,$G$5:$G$16)</f>
        <v/>
      </c>
      <c r="D20">
        <f>MAX(0,B20-C20)</f>
        <v/>
      </c>
      <c r="E20">
        <f>SUMIF($C$5:$C$16,$A20,E$5:E$16)</f>
        <v/>
      </c>
      <c r="F20">
        <f>SUMIF($C$5:$C$16,$A20,$G$5:$G$16)</f>
        <v/>
      </c>
      <c r="G20">
        <f>MAX(0,E20-F20)</f>
        <v/>
      </c>
      <c r="H20">
        <f>SUMIF($C$5:$C$16,$A20,F$5:F$16)</f>
        <v/>
      </c>
      <c r="I20">
        <f>SUMIF($C$5:$C$16,$A20,$G$5:$G$16)</f>
        <v/>
      </c>
      <c r="J20">
        <f>MAX(0,H20-I20)</f>
        <v/>
      </c>
      <c r="K20">
        <f>COUNTIFS($C$5:$C$16,$A20,$J$5:$J$16,"&lt;&gt;approved")</f>
        <v/>
      </c>
    </row>
    <row r="21">
      <c r="A21" t="inlineStr">
        <is>
          <t>COLD_CHAIN_PALLET</t>
        </is>
      </c>
      <c r="B21">
        <f>SUMIF($C$5:$C$16,$A21,D$5:D$16)</f>
        <v/>
      </c>
      <c r="C21">
        <f>SUMIF($C$5:$C$16,$A21,$G$5:$G$16)</f>
        <v/>
      </c>
      <c r="D21">
        <f>MAX(0,B21-C21)</f>
        <v/>
      </c>
      <c r="E21">
        <f>SUMIF($C$5:$C$16,$A21,E$5:E$16)</f>
        <v/>
      </c>
      <c r="F21">
        <f>SUMIF($C$5:$C$16,$A21,$G$5:$G$16)</f>
        <v/>
      </c>
      <c r="G21">
        <f>MAX(0,E21-F21)</f>
        <v/>
      </c>
      <c r="H21">
        <f>SUMIF($C$5:$C$16,$A21,F$5:F$16)</f>
        <v/>
      </c>
      <c r="I21">
        <f>SUMIF($C$5:$C$16,$A21,$G$5:$G$16)</f>
        <v/>
      </c>
      <c r="J21">
        <f>MAX(0,H21-I21)</f>
        <v/>
      </c>
      <c r="K21">
        <f>COUNTIFS($C$5:$C$16,$A21,$J$5:$J$16,"&lt;&gt;approved")</f>
        <v/>
      </c>
    </row>
    <row r="22">
      <c r="A22" t="inlineStr">
        <is>
          <t>RECEIVING_SLOT</t>
        </is>
      </c>
      <c r="B22">
        <f>SUMIF($C$5:$C$16,$A22,D$5:D$16)</f>
        <v/>
      </c>
      <c r="C22">
        <f>SUMIF($C$5:$C$16,$A22,$G$5:$G$16)</f>
        <v/>
      </c>
      <c r="D22">
        <f>MAX(0,B22-C22)</f>
        <v/>
      </c>
      <c r="E22">
        <f>SUMIF($C$5:$C$16,$A22,E$5:E$16)</f>
        <v/>
      </c>
      <c r="F22">
        <f>SUMIF($C$5:$C$16,$A22,$G$5:$G$16)</f>
        <v/>
      </c>
      <c r="G22">
        <f>MAX(0,E22-F22)</f>
        <v/>
      </c>
      <c r="H22">
        <f>SUMIF($C$5:$C$16,$A22,F$5:F$16)</f>
        <v/>
      </c>
      <c r="I22">
        <f>SUMIF($C$5:$C$16,$A22,$G$5:$G$16)</f>
        <v/>
      </c>
      <c r="J22">
        <f>MAX(0,H22-I22)</f>
        <v/>
      </c>
      <c r="K22">
        <f>COUNTIFS($C$5:$C$16,$A22,$J$5:$J$16,"&lt;&gt;approved")</f>
        <v/>
      </c>
    </row>
    <row r="23">
      <c r="A23" t="inlineStr">
        <is>
          <t>TRANSFER_VEHICLE</t>
        </is>
      </c>
      <c r="B23">
        <f>SUMIF($C$5:$C$16,$A23,D$5:D$16)</f>
        <v/>
      </c>
      <c r="C23">
        <f>SUMIF($C$5:$C$16,$A23,$G$5:$G$16)</f>
        <v/>
      </c>
      <c r="D23">
        <f>MAX(0,B23-C23)</f>
        <v/>
      </c>
      <c r="E23">
        <f>SUMIF($C$5:$C$16,$A23,E$5:E$16)</f>
        <v/>
      </c>
      <c r="F23">
        <f>SUMIF($C$5:$C$16,$A23,$G$5:$G$16)</f>
        <v/>
      </c>
      <c r="G23">
        <f>MAX(0,E23-F23)</f>
        <v/>
      </c>
      <c r="H23">
        <f>SUMIF($C$5:$C$16,$A23,F$5:F$16)</f>
        <v/>
      </c>
      <c r="I23">
        <f>SUMIF($C$5:$C$16,$A23,$G$5:$G$16)</f>
        <v/>
      </c>
      <c r="J23">
        <f>MAX(0,H23-I23)</f>
        <v/>
      </c>
      <c r="K23">
        <f>COUNTIFS($C$5:$C$16,$A23,$J$5:$J$16,"&lt;&gt;approved")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12" customWidth="1" min="4" max="4"/>
    <col width="15" customWidth="1" min="5" max="5"/>
    <col width="11" customWidth="1" min="6" max="6"/>
    <col width="12" customWidth="1" min="7" max="7"/>
    <col width="19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22" customWidth="1" min="14" max="14"/>
    <col width="38" customWidth="1" min="15" max="15"/>
    <col width="12" customWidth="1" min="16" max="16"/>
    <col width="12" customWidth="1" min="17" max="17"/>
    <col width="10" customWidth="1" min="18" max="18"/>
    <col width="11" customWidth="1" min="19" max="19"/>
  </cols>
  <sheetData>
    <row r="1">
      <c r="A1" s="1" t="inlineStr">
        <is>
          <t>Supply action catalog (raw from supply_action_constraints.csv) + scenario eligibility flags</t>
        </is>
      </c>
    </row>
    <row r="3">
      <c r="A3" s="6" t="inlineStr">
        <is>
          <t>action_id</t>
        </is>
      </c>
      <c r="B3" s="6" t="inlineStr">
        <is>
          <t>eligible_family</t>
        </is>
      </c>
      <c r="C3" s="6" t="inlineStr">
        <is>
          <t>operational_lever</t>
        </is>
      </c>
      <c r="D3" s="6" t="inlineStr">
        <is>
          <t>lead_time_change_days</t>
        </is>
      </c>
      <c r="E3" s="6" t="inlineStr">
        <is>
          <t>transfer_or_receipt_capacity_units</t>
        </is>
      </c>
      <c r="F3" s="6" t="inlineStr">
        <is>
          <t>start_delay_days</t>
        </is>
      </c>
      <c r="G3" s="6" t="inlineStr">
        <is>
          <t>fixed_cost_usd</t>
        </is>
      </c>
      <c r="H3" s="6" t="inlineStr">
        <is>
          <t>capacity_pool</t>
        </is>
      </c>
      <c r="I3" s="6" t="inlineStr">
        <is>
          <t>capacity_units</t>
        </is>
      </c>
      <c r="J3" s="6" t="inlineStr">
        <is>
          <t>dependency_group</t>
        </is>
      </c>
      <c r="K3" s="6" t="inlineStr">
        <is>
          <t>mutual_exclusion_group</t>
        </is>
      </c>
      <c r="L3" s="6" t="inlineStr">
        <is>
          <t>overlap_group</t>
        </is>
      </c>
      <c r="M3" s="6" t="inlineStr">
        <is>
          <t>shared_execution_fraction</t>
        </is>
      </c>
      <c r="N3" s="6" t="inlineStr">
        <is>
          <t>eligible_scenarios</t>
        </is>
      </c>
      <c r="O3" s="6" t="inlineStr">
        <is>
          <t>clinical_constraint</t>
        </is>
      </c>
      <c r="P3" s="6" t="inlineStr">
        <is>
          <t>supporting_record_grade</t>
        </is>
      </c>
      <c r="Q3" s="6" t="inlineStr">
        <is>
          <t>elig_adverse</t>
        </is>
      </c>
      <c r="R3" s="6" t="inlineStr">
        <is>
          <t>elig_base</t>
        </is>
      </c>
      <c r="S3" s="6" t="inlineStr">
        <is>
          <t>elig_upside</t>
        </is>
      </c>
    </row>
    <row r="4">
      <c r="A4" t="inlineStr">
        <is>
          <t>SAC-001</t>
        </is>
      </c>
      <c r="B4" t="inlineStr">
        <is>
          <t>vascular</t>
        </is>
      </c>
      <c r="C4" t="inlineStr">
        <is>
          <t>expedite receipt</t>
        </is>
      </c>
      <c r="D4" t="n">
        <v>4</v>
      </c>
      <c r="E4" t="n">
        <v>16.2</v>
      </c>
      <c r="F4" t="n">
        <v>1</v>
      </c>
      <c r="G4" t="n">
        <v>1200</v>
      </c>
      <c r="H4" t="inlineStr">
        <is>
          <t>BUYER_FTE</t>
        </is>
      </c>
      <c r="I4" t="n">
        <v>0.5</v>
      </c>
      <c r="J4" t="inlineStr">
        <is>
          <t>DG-1</t>
        </is>
      </c>
      <c r="K4" t="inlineStr">
        <is>
          <t>MX-1</t>
        </is>
      </c>
      <c r="L4" t="inlineStr">
        <is>
          <t>OV-1</t>
        </is>
      </c>
      <c r="M4" t="n">
        <v>0</v>
      </c>
      <c r="N4" t="inlineStr">
        <is>
          <t>adverse|base|upside</t>
        </is>
      </c>
      <c r="O4" t="inlineStr">
        <is>
          <t>no reduction below emergency access floor</t>
        </is>
      </c>
      <c r="P4" t="inlineStr">
        <is>
          <t>A</t>
        </is>
      </c>
      <c r="Q4">
        <f>IF(ISNUMBER(SEARCH("adverse",$N4)),1,0)</f>
        <v/>
      </c>
      <c r="R4">
        <f>IF(ISNUMBER(SEARCH("base",$N4)),1,0)</f>
        <v/>
      </c>
      <c r="S4">
        <f>IF(ISNUMBER(SEARCH("upside",$N4)),1,0)</f>
        <v/>
      </c>
    </row>
    <row r="5">
      <c r="A5" t="inlineStr">
        <is>
          <t>SAC-002</t>
        </is>
      </c>
      <c r="B5" t="inlineStr">
        <is>
          <t>respiratory</t>
        </is>
      </c>
      <c r="C5" t="inlineStr">
        <is>
          <t>site transfer</t>
        </is>
      </c>
      <c r="D5" t="n">
        <v>1</v>
      </c>
      <c r="E5" t="n">
        <v>24.3</v>
      </c>
      <c r="F5" t="n">
        <v>3</v>
      </c>
      <c r="G5" t="n">
        <v>4500</v>
      </c>
      <c r="H5" t="inlineStr">
        <is>
          <t>COLD_CHAIN_PALLET</t>
        </is>
      </c>
      <c r="I5" t="n">
        <v>1</v>
      </c>
      <c r="J5" t="inlineStr">
        <is>
          <t>DG-2</t>
        </is>
      </c>
      <c r="L5" t="inlineStr">
        <is>
          <t>OV-2</t>
        </is>
      </c>
      <c r="M5" t="n">
        <v>0.2</v>
      </c>
      <c r="N5" t="inlineStr">
        <is>
          <t>base|upside</t>
        </is>
      </c>
      <c r="O5" t="inlineStr">
        <is>
          <t>requires infection-control approval</t>
        </is>
      </c>
      <c r="P5" t="inlineStr">
        <is>
          <t>B</t>
        </is>
      </c>
      <c r="Q5">
        <f>IF(ISNUMBER(SEARCH("adverse",$N5)),1,0)</f>
        <v/>
      </c>
      <c r="R5">
        <f>IF(ISNUMBER(SEARCH("base",$N5)),1,0)</f>
        <v/>
      </c>
      <c r="S5">
        <f>IF(ISNUMBER(SEARCH("upside",$N5)),1,0)</f>
        <v/>
      </c>
    </row>
    <row r="6">
      <c r="A6" t="inlineStr">
        <is>
          <t>SAC-003</t>
        </is>
      </c>
      <c r="B6" t="inlineStr">
        <is>
          <t>surgical</t>
        </is>
      </c>
      <c r="C6" t="inlineStr">
        <is>
          <t>supplier substitution</t>
        </is>
      </c>
      <c r="D6" t="n">
        <v>7</v>
      </c>
      <c r="E6" t="n">
        <v>32.4</v>
      </c>
      <c r="F6" t="n">
        <v>7</v>
      </c>
      <c r="G6" t="n">
        <v>9000</v>
      </c>
      <c r="H6" t="inlineStr">
        <is>
          <t>RECEIVING_SLOT</t>
        </is>
      </c>
      <c r="I6" t="n">
        <v>1.5</v>
      </c>
      <c r="J6" t="inlineStr">
        <is>
          <t>DG-3</t>
        </is>
      </c>
      <c r="L6" t="inlineStr">
        <is>
          <t>OV-3</t>
        </is>
      </c>
      <c r="M6" t="n">
        <v>0.35</v>
      </c>
      <c r="N6" t="inlineStr">
        <is>
          <t>upside</t>
        </is>
      </c>
      <c r="O6" t="inlineStr">
        <is>
          <t>preserve cold-chain integrity</t>
        </is>
      </c>
      <c r="P6" t="inlineStr">
        <is>
          <t>C</t>
        </is>
      </c>
      <c r="Q6">
        <f>IF(ISNUMBER(SEARCH("adverse",$N6)),1,0)</f>
        <v/>
      </c>
      <c r="R6">
        <f>IF(ISNUMBER(SEARCH("base",$N6)),1,0)</f>
        <v/>
      </c>
      <c r="S6">
        <f>IF(ISNUMBER(SEARCH("upside",$N6)),1,0)</f>
        <v/>
      </c>
    </row>
    <row r="7">
      <c r="A7" t="inlineStr">
        <is>
          <t>SAC-004</t>
        </is>
      </c>
      <c r="B7" t="inlineStr">
        <is>
          <t>diagnostic</t>
        </is>
      </c>
      <c r="C7" t="inlineStr">
        <is>
          <t>allocation hold</t>
        </is>
      </c>
      <c r="D7" t="n">
        <v>6</v>
      </c>
      <c r="E7" t="n">
        <v>43.2</v>
      </c>
      <c r="F7" t="n">
        <v>14</v>
      </c>
      <c r="G7" t="n">
        <v>18000</v>
      </c>
      <c r="H7" t="inlineStr">
        <is>
          <t>CLINICAL_REVIEW</t>
        </is>
      </c>
      <c r="I7" t="n">
        <v>2</v>
      </c>
      <c r="J7" t="inlineStr">
        <is>
          <t>DG-4</t>
        </is>
      </c>
      <c r="L7" t="inlineStr">
        <is>
          <t>OV-4</t>
        </is>
      </c>
      <c r="M7" t="n">
        <v>0.5</v>
      </c>
      <c r="N7" t="inlineStr">
        <is>
          <t>adverse|base|upside</t>
        </is>
      </c>
      <c r="O7" t="inlineStr">
        <is>
          <t>lot-level recall clearance required</t>
        </is>
      </c>
      <c r="P7" t="inlineStr">
        <is>
          <t>A</t>
        </is>
      </c>
      <c r="Q7">
        <f>IF(ISNUMBER(SEARCH("adverse",$N7)),1,0)</f>
        <v/>
      </c>
      <c r="R7">
        <f>IF(ISNUMBER(SEARCH("base",$N7)),1,0)</f>
        <v/>
      </c>
      <c r="S7">
        <f>IF(ISNUMBER(SEARCH("upside",$N7)),1,0)</f>
        <v/>
      </c>
    </row>
    <row r="8">
      <c r="A8" t="inlineStr">
        <is>
          <t>SAC-005</t>
        </is>
      </c>
      <c r="B8" t="inlineStr">
        <is>
          <t>wound</t>
        </is>
      </c>
      <c r="C8" t="inlineStr">
        <is>
          <t>expedite receipt</t>
        </is>
      </c>
      <c r="D8" t="n">
        <v>1</v>
      </c>
      <c r="E8" t="n">
        <v>60.8</v>
      </c>
      <c r="F8" t="n">
        <v>1</v>
      </c>
      <c r="G8" t="n">
        <v>1200</v>
      </c>
      <c r="H8" t="inlineStr">
        <is>
          <t>TRANSFER_VEHICLE</t>
        </is>
      </c>
      <c r="I8" t="n">
        <v>0.5</v>
      </c>
      <c r="J8" t="inlineStr">
        <is>
          <t>DG-5</t>
        </is>
      </c>
      <c r="L8" t="inlineStr">
        <is>
          <t>OV-5</t>
        </is>
      </c>
      <c r="M8" t="n">
        <v>0</v>
      </c>
      <c r="N8" t="inlineStr">
        <is>
          <t>base|upside</t>
        </is>
      </c>
      <c r="O8" t="inlineStr">
        <is>
          <t>no reduction below emergency access floor</t>
        </is>
      </c>
      <c r="P8" t="inlineStr">
        <is>
          <t>B</t>
        </is>
      </c>
      <c r="Q8">
        <f>IF(ISNUMBER(SEARCH("adverse",$N8)),1,0)</f>
        <v/>
      </c>
      <c r="R8">
        <f>IF(ISNUMBER(SEARCH("base",$N8)),1,0)</f>
        <v/>
      </c>
      <c r="S8">
        <f>IF(ISNUMBER(SEARCH("upside",$N8)),1,0)</f>
        <v/>
      </c>
    </row>
    <row r="9">
      <c r="A9" t="inlineStr">
        <is>
          <t>SAC-006</t>
        </is>
      </c>
      <c r="B9" t="inlineStr">
        <is>
          <t>all critical</t>
        </is>
      </c>
      <c r="C9" t="inlineStr">
        <is>
          <t>site transfer</t>
        </is>
      </c>
      <c r="D9" t="n">
        <v>4</v>
      </c>
      <c r="E9" t="n">
        <v>16.2</v>
      </c>
      <c r="F9" t="n">
        <v>3</v>
      </c>
      <c r="G9" t="n">
        <v>4500</v>
      </c>
      <c r="H9" t="inlineStr">
        <is>
          <t>BUYER_FTE</t>
        </is>
      </c>
      <c r="I9" t="n">
        <v>1</v>
      </c>
      <c r="J9" t="inlineStr">
        <is>
          <t>DG-6</t>
        </is>
      </c>
      <c r="K9" t="inlineStr">
        <is>
          <t>MX-2</t>
        </is>
      </c>
      <c r="L9" t="inlineStr">
        <is>
          <t>OV-1</t>
        </is>
      </c>
      <c r="M9" t="n">
        <v>0.2</v>
      </c>
      <c r="N9" t="inlineStr">
        <is>
          <t>upside</t>
        </is>
      </c>
      <c r="O9" t="inlineStr">
        <is>
          <t>requires infection-control approval</t>
        </is>
      </c>
      <c r="P9" t="inlineStr">
        <is>
          <t>C</t>
        </is>
      </c>
      <c r="Q9">
        <f>IF(ISNUMBER(SEARCH("adverse",$N9)),1,0)</f>
        <v/>
      </c>
      <c r="R9">
        <f>IF(ISNUMBER(SEARCH("base",$N9)),1,0)</f>
        <v/>
      </c>
      <c r="S9">
        <f>IF(ISNUMBER(SEARCH("upside",$N9)),1,0)</f>
        <v/>
      </c>
    </row>
    <row r="10">
      <c r="A10" t="inlineStr">
        <is>
          <t>SAC-007</t>
        </is>
      </c>
      <c r="B10" t="inlineStr">
        <is>
          <t>vascular</t>
        </is>
      </c>
      <c r="C10" t="inlineStr">
        <is>
          <t>supplier substitution</t>
        </is>
      </c>
      <c r="D10" t="n">
        <v>1</v>
      </c>
      <c r="E10" t="n">
        <v>24.3</v>
      </c>
      <c r="F10" t="n">
        <v>7</v>
      </c>
      <c r="G10" t="n">
        <v>9000</v>
      </c>
      <c r="H10" t="inlineStr">
        <is>
          <t>COLD_CHAIN_PALLET</t>
        </is>
      </c>
      <c r="I10" t="n">
        <v>1.5</v>
      </c>
      <c r="J10" t="inlineStr">
        <is>
          <t>DG-1</t>
        </is>
      </c>
      <c r="L10" t="inlineStr">
        <is>
          <t>OV-2</t>
        </is>
      </c>
      <c r="M10" t="n">
        <v>0.35</v>
      </c>
      <c r="N10" t="inlineStr">
        <is>
          <t>adverse|base|upside</t>
        </is>
      </c>
      <c r="O10" t="inlineStr">
        <is>
          <t>preserve cold-chain integrity</t>
        </is>
      </c>
      <c r="P10" t="inlineStr">
        <is>
          <t>A</t>
        </is>
      </c>
      <c r="Q10">
        <f>IF(ISNUMBER(SEARCH("adverse",$N10)),1,0)</f>
        <v/>
      </c>
      <c r="R10">
        <f>IF(ISNUMBER(SEARCH("base",$N10)),1,0)</f>
        <v/>
      </c>
      <c r="S10">
        <f>IF(ISNUMBER(SEARCH("upside",$N10)),1,0)</f>
        <v/>
      </c>
    </row>
    <row r="11">
      <c r="A11" t="inlineStr">
        <is>
          <t>SAC-008</t>
        </is>
      </c>
      <c r="B11" t="inlineStr">
        <is>
          <t>respiratory</t>
        </is>
      </c>
      <c r="C11" t="inlineStr">
        <is>
          <t>allocation hold</t>
        </is>
      </c>
      <c r="D11" t="n">
        <v>7</v>
      </c>
      <c r="E11" t="n">
        <v>32.4</v>
      </c>
      <c r="F11" t="n">
        <v>14</v>
      </c>
      <c r="G11" t="n">
        <v>18000</v>
      </c>
      <c r="H11" t="inlineStr">
        <is>
          <t>RECEIVING_SLOT</t>
        </is>
      </c>
      <c r="I11" t="n">
        <v>2</v>
      </c>
      <c r="J11" t="inlineStr">
        <is>
          <t>DG-2</t>
        </is>
      </c>
      <c r="L11" t="inlineStr">
        <is>
          <t>OV-3</t>
        </is>
      </c>
      <c r="M11" t="n">
        <v>0.5</v>
      </c>
      <c r="N11" t="inlineStr">
        <is>
          <t>base|upside</t>
        </is>
      </c>
      <c r="O11" t="inlineStr">
        <is>
          <t>lot-level recall clearance required</t>
        </is>
      </c>
      <c r="P11" t="inlineStr">
        <is>
          <t>B</t>
        </is>
      </c>
      <c r="Q11">
        <f>IF(ISNUMBER(SEARCH("adverse",$N11)),1,0)</f>
        <v/>
      </c>
      <c r="R11">
        <f>IF(ISNUMBER(SEARCH("base",$N11)),1,0)</f>
        <v/>
      </c>
      <c r="S11">
        <f>IF(ISNUMBER(SEARCH("upside",$N11)),1,0)</f>
        <v/>
      </c>
    </row>
    <row r="12">
      <c r="A12" t="inlineStr">
        <is>
          <t>SAC-009</t>
        </is>
      </c>
      <c r="B12" t="inlineStr">
        <is>
          <t>surgical</t>
        </is>
      </c>
      <c r="C12" t="inlineStr">
        <is>
          <t>expedite receipt</t>
        </is>
      </c>
      <c r="D12" t="n">
        <v>6</v>
      </c>
      <c r="E12" t="n">
        <v>43.2</v>
      </c>
      <c r="F12" t="n">
        <v>1</v>
      </c>
      <c r="G12" t="n">
        <v>1200</v>
      </c>
      <c r="H12" t="inlineStr">
        <is>
          <t>CLINICAL_REVIEW</t>
        </is>
      </c>
      <c r="I12" t="n">
        <v>0.5</v>
      </c>
      <c r="J12" t="inlineStr">
        <is>
          <t>DG-3</t>
        </is>
      </c>
      <c r="L12" t="inlineStr">
        <is>
          <t>OV-4</t>
        </is>
      </c>
      <c r="M12" t="n">
        <v>0</v>
      </c>
      <c r="N12" t="inlineStr">
        <is>
          <t>upside</t>
        </is>
      </c>
      <c r="O12" t="inlineStr">
        <is>
          <t>no reduction below emergency access floor</t>
        </is>
      </c>
      <c r="P12" t="inlineStr">
        <is>
          <t>C</t>
        </is>
      </c>
      <c r="Q12">
        <f>IF(ISNUMBER(SEARCH("adverse",$N12)),1,0)</f>
        <v/>
      </c>
      <c r="R12">
        <f>IF(ISNUMBER(SEARCH("base",$N12)),1,0)</f>
        <v/>
      </c>
      <c r="S12">
        <f>IF(ISNUMBER(SEARCH("upside",$N12)),1,0)</f>
        <v/>
      </c>
    </row>
    <row r="13">
      <c r="A13" t="inlineStr">
        <is>
          <t>SAC-010</t>
        </is>
      </c>
      <c r="B13" t="inlineStr">
        <is>
          <t>diagnostic</t>
        </is>
      </c>
      <c r="C13" t="inlineStr">
        <is>
          <t>site transfer</t>
        </is>
      </c>
      <c r="D13" t="n">
        <v>1</v>
      </c>
      <c r="E13" t="n">
        <v>60.8</v>
      </c>
      <c r="F13" t="n">
        <v>3</v>
      </c>
      <c r="G13" t="n">
        <v>4500</v>
      </c>
      <c r="H13" t="inlineStr">
        <is>
          <t>TRANSFER_VEHICLE</t>
        </is>
      </c>
      <c r="I13" t="n">
        <v>1</v>
      </c>
      <c r="J13" t="inlineStr">
        <is>
          <t>DG-4</t>
        </is>
      </c>
      <c r="L13" t="inlineStr">
        <is>
          <t>OV-5</t>
        </is>
      </c>
      <c r="M13" t="n">
        <v>0.2</v>
      </c>
      <c r="N13" t="inlineStr">
        <is>
          <t>adverse|base|upside</t>
        </is>
      </c>
      <c r="O13" t="inlineStr">
        <is>
          <t>requires infection-control approval</t>
        </is>
      </c>
      <c r="P13" t="inlineStr">
        <is>
          <t>A</t>
        </is>
      </c>
      <c r="Q13">
        <f>IF(ISNUMBER(SEARCH("adverse",$N13)),1,0)</f>
        <v/>
      </c>
      <c r="R13">
        <f>IF(ISNUMBER(SEARCH("base",$N13)),1,0)</f>
        <v/>
      </c>
      <c r="S13">
        <f>IF(ISNUMBER(SEARCH("upside",$N13)),1,0)</f>
        <v/>
      </c>
    </row>
    <row r="14">
      <c r="A14" t="inlineStr">
        <is>
          <t>SAC-011</t>
        </is>
      </c>
      <c r="B14" t="inlineStr">
        <is>
          <t>wound</t>
        </is>
      </c>
      <c r="C14" t="inlineStr">
        <is>
          <t>supplier substitution</t>
        </is>
      </c>
      <c r="D14" t="n">
        <v>4</v>
      </c>
      <c r="E14" t="n">
        <v>16.2</v>
      </c>
      <c r="F14" t="n">
        <v>7</v>
      </c>
      <c r="G14" t="n">
        <v>9000</v>
      </c>
      <c r="H14" t="inlineStr">
        <is>
          <t>BUYER_FTE</t>
        </is>
      </c>
      <c r="I14" t="n">
        <v>1.5</v>
      </c>
      <c r="J14" t="inlineStr">
        <is>
          <t>DG-5</t>
        </is>
      </c>
      <c r="K14" t="inlineStr">
        <is>
          <t>MX-3</t>
        </is>
      </c>
      <c r="L14" t="inlineStr">
        <is>
          <t>OV-1</t>
        </is>
      </c>
      <c r="M14" t="n">
        <v>0.35</v>
      </c>
      <c r="N14" t="inlineStr">
        <is>
          <t>base|upside</t>
        </is>
      </c>
      <c r="O14" t="inlineStr">
        <is>
          <t>preserve cold-chain integrity</t>
        </is>
      </c>
      <c r="P14" t="inlineStr">
        <is>
          <t>B</t>
        </is>
      </c>
      <c r="Q14">
        <f>IF(ISNUMBER(SEARCH("adverse",$N14)),1,0)</f>
        <v/>
      </c>
      <c r="R14">
        <f>IF(ISNUMBER(SEARCH("base",$N14)),1,0)</f>
        <v/>
      </c>
      <c r="S14">
        <f>IF(ISNUMBER(SEARCH("upside",$N14)),1,0)</f>
        <v/>
      </c>
    </row>
    <row r="15">
      <c r="A15" t="inlineStr">
        <is>
          <t>SAC-012</t>
        </is>
      </c>
      <c r="B15" t="inlineStr">
        <is>
          <t>all critical</t>
        </is>
      </c>
      <c r="C15" t="inlineStr">
        <is>
          <t>allocation hold</t>
        </is>
      </c>
      <c r="D15" t="n">
        <v>1</v>
      </c>
      <c r="E15" t="n">
        <v>24.3</v>
      </c>
      <c r="F15" t="n">
        <v>14</v>
      </c>
      <c r="G15" t="n">
        <v>18000</v>
      </c>
      <c r="H15" t="inlineStr">
        <is>
          <t>COLD_CHAIN_PALLET</t>
        </is>
      </c>
      <c r="I15" t="n">
        <v>2</v>
      </c>
      <c r="J15" t="inlineStr">
        <is>
          <t>DG-6</t>
        </is>
      </c>
      <c r="L15" t="inlineStr">
        <is>
          <t>OV-2</t>
        </is>
      </c>
      <c r="M15" t="n">
        <v>0.5</v>
      </c>
      <c r="N15" t="inlineStr">
        <is>
          <t>upside</t>
        </is>
      </c>
      <c r="O15" t="inlineStr">
        <is>
          <t>lot-level recall clearance required</t>
        </is>
      </c>
      <c r="P15" t="inlineStr">
        <is>
          <t>C</t>
        </is>
      </c>
      <c r="Q15">
        <f>IF(ISNUMBER(SEARCH("adverse",$N15)),1,0)</f>
        <v/>
      </c>
      <c r="R15">
        <f>IF(ISNUMBER(SEARCH("base",$N15)),1,0)</f>
        <v/>
      </c>
      <c r="S15">
        <f>IF(ISNUMBER(SEARCH("upside",$N15)),1,0)</f>
        <v/>
      </c>
    </row>
    <row r="16">
      <c r="A16" t="inlineStr">
        <is>
          <t>SAC-013</t>
        </is>
      </c>
      <c r="B16" t="inlineStr">
        <is>
          <t>vascular</t>
        </is>
      </c>
      <c r="C16" t="inlineStr">
        <is>
          <t>expedite receipt</t>
        </is>
      </c>
      <c r="D16" t="n">
        <v>7</v>
      </c>
      <c r="E16" t="n">
        <v>32.4</v>
      </c>
      <c r="F16" t="n">
        <v>1</v>
      </c>
      <c r="G16" t="n">
        <v>1200</v>
      </c>
      <c r="H16" t="inlineStr">
        <is>
          <t>RECEIVING_SLOT</t>
        </is>
      </c>
      <c r="I16" t="n">
        <v>0.5</v>
      </c>
      <c r="J16" t="inlineStr">
        <is>
          <t>DG-1</t>
        </is>
      </c>
      <c r="L16" t="inlineStr">
        <is>
          <t>OV-3</t>
        </is>
      </c>
      <c r="M16" t="n">
        <v>0</v>
      </c>
      <c r="N16" t="inlineStr">
        <is>
          <t>adverse|base|upside</t>
        </is>
      </c>
      <c r="O16" t="inlineStr">
        <is>
          <t>no reduction below emergency access floor</t>
        </is>
      </c>
      <c r="P16" t="inlineStr">
        <is>
          <t>A</t>
        </is>
      </c>
      <c r="Q16">
        <f>IF(ISNUMBER(SEARCH("adverse",$N16)),1,0)</f>
        <v/>
      </c>
      <c r="R16">
        <f>IF(ISNUMBER(SEARCH("base",$N16)),1,0)</f>
        <v/>
      </c>
      <c r="S16">
        <f>IF(ISNUMBER(SEARCH("upside",$N16)),1,0)</f>
        <v/>
      </c>
    </row>
    <row r="17">
      <c r="A17" t="inlineStr">
        <is>
          <t>SAC-014</t>
        </is>
      </c>
      <c r="B17" t="inlineStr">
        <is>
          <t>respiratory</t>
        </is>
      </c>
      <c r="C17" t="inlineStr">
        <is>
          <t>site transfer</t>
        </is>
      </c>
      <c r="D17" t="n">
        <v>6</v>
      </c>
      <c r="E17" t="n">
        <v>43.2</v>
      </c>
      <c r="F17" t="n">
        <v>3</v>
      </c>
      <c r="G17" t="n">
        <v>4500</v>
      </c>
      <c r="H17" t="inlineStr">
        <is>
          <t>CLINICAL_REVIEW</t>
        </is>
      </c>
      <c r="I17" t="n">
        <v>1</v>
      </c>
      <c r="J17" t="inlineStr">
        <is>
          <t>DG-2</t>
        </is>
      </c>
      <c r="L17" t="inlineStr">
        <is>
          <t>OV-4</t>
        </is>
      </c>
      <c r="M17" t="n">
        <v>0.2</v>
      </c>
      <c r="N17" t="inlineStr">
        <is>
          <t>base|upside</t>
        </is>
      </c>
      <c r="O17" t="inlineStr">
        <is>
          <t>requires infection-control approval</t>
        </is>
      </c>
      <c r="P17" t="inlineStr">
        <is>
          <t>B</t>
        </is>
      </c>
      <c r="Q17">
        <f>IF(ISNUMBER(SEARCH("adverse",$N17)),1,0)</f>
        <v/>
      </c>
      <c r="R17">
        <f>IF(ISNUMBER(SEARCH("base",$N17)),1,0)</f>
        <v/>
      </c>
      <c r="S17">
        <f>IF(ISNUMBER(SEARCH("upside",$N17)),1,0)</f>
        <v/>
      </c>
    </row>
    <row r="18">
      <c r="A18" t="inlineStr">
        <is>
          <t>SAC-015</t>
        </is>
      </c>
      <c r="B18" t="inlineStr">
        <is>
          <t>surgical</t>
        </is>
      </c>
      <c r="C18" t="inlineStr">
        <is>
          <t>supplier substitution</t>
        </is>
      </c>
      <c r="D18" t="n">
        <v>1</v>
      </c>
      <c r="E18" t="n">
        <v>60.8</v>
      </c>
      <c r="F18" t="n">
        <v>7</v>
      </c>
      <c r="G18" t="n">
        <v>9000</v>
      </c>
      <c r="H18" t="inlineStr">
        <is>
          <t>TRANSFER_VEHICLE</t>
        </is>
      </c>
      <c r="I18" t="n">
        <v>1.5</v>
      </c>
      <c r="J18" t="inlineStr">
        <is>
          <t>DG-3</t>
        </is>
      </c>
      <c r="L18" t="inlineStr">
        <is>
          <t>OV-5</t>
        </is>
      </c>
      <c r="M18" t="n">
        <v>0.35</v>
      </c>
      <c r="N18" t="inlineStr">
        <is>
          <t>upside</t>
        </is>
      </c>
      <c r="O18" t="inlineStr">
        <is>
          <t>preserve cold-chain integrity</t>
        </is>
      </c>
      <c r="P18" t="inlineStr">
        <is>
          <t>C</t>
        </is>
      </c>
      <c r="Q18">
        <f>IF(ISNUMBER(SEARCH("adverse",$N18)),1,0)</f>
        <v/>
      </c>
      <c r="R18">
        <f>IF(ISNUMBER(SEARCH("base",$N18)),1,0)</f>
        <v/>
      </c>
      <c r="S18">
        <f>IF(ISNUMBER(SEARCH("upside",$N18)),1,0)</f>
        <v/>
      </c>
    </row>
    <row r="19">
      <c r="A19" t="inlineStr">
        <is>
          <t>SAC-016</t>
        </is>
      </c>
      <c r="B19" t="inlineStr">
        <is>
          <t>diagnostic</t>
        </is>
      </c>
      <c r="C19" t="inlineStr">
        <is>
          <t>allocation hold</t>
        </is>
      </c>
      <c r="D19" t="n">
        <v>4</v>
      </c>
      <c r="E19" t="n">
        <v>16.2</v>
      </c>
      <c r="F19" t="n">
        <v>14</v>
      </c>
      <c r="G19" t="n">
        <v>18000</v>
      </c>
      <c r="H19" t="inlineStr">
        <is>
          <t>BUYER_FTE</t>
        </is>
      </c>
      <c r="I19" t="n">
        <v>2</v>
      </c>
      <c r="J19" t="inlineStr">
        <is>
          <t>DG-4</t>
        </is>
      </c>
      <c r="K19" t="inlineStr">
        <is>
          <t>MX-4</t>
        </is>
      </c>
      <c r="L19" t="inlineStr">
        <is>
          <t>OV-1</t>
        </is>
      </c>
      <c r="M19" t="n">
        <v>0.5</v>
      </c>
      <c r="N19" t="inlineStr">
        <is>
          <t>adverse|base|upside</t>
        </is>
      </c>
      <c r="O19" t="inlineStr">
        <is>
          <t>lot-level recall clearance required</t>
        </is>
      </c>
      <c r="P19" t="inlineStr">
        <is>
          <t>A</t>
        </is>
      </c>
      <c r="Q19">
        <f>IF(ISNUMBER(SEARCH("adverse",$N19)),1,0)</f>
        <v/>
      </c>
      <c r="R19">
        <f>IF(ISNUMBER(SEARCH("base",$N19)),1,0)</f>
        <v/>
      </c>
      <c r="S19">
        <f>IF(ISNUMBER(SEARCH("upside",$N19)),1,0)</f>
        <v/>
      </c>
    </row>
    <row r="20">
      <c r="A20" t="inlineStr">
        <is>
          <t>SAC-017</t>
        </is>
      </c>
      <c r="B20" t="inlineStr">
        <is>
          <t>wound</t>
        </is>
      </c>
      <c r="C20" t="inlineStr">
        <is>
          <t>expedite receipt</t>
        </is>
      </c>
      <c r="D20" t="n">
        <v>1</v>
      </c>
      <c r="E20" t="n">
        <v>24.3</v>
      </c>
      <c r="F20" t="n">
        <v>1</v>
      </c>
      <c r="G20" t="n">
        <v>1200</v>
      </c>
      <c r="H20" t="inlineStr">
        <is>
          <t>COLD_CHAIN_PALLET</t>
        </is>
      </c>
      <c r="I20" t="n">
        <v>0.5</v>
      </c>
      <c r="J20" t="inlineStr">
        <is>
          <t>DG-5</t>
        </is>
      </c>
      <c r="L20" t="inlineStr">
        <is>
          <t>OV-2</t>
        </is>
      </c>
      <c r="M20" t="n">
        <v>0</v>
      </c>
      <c r="N20" t="inlineStr">
        <is>
          <t>base|upside</t>
        </is>
      </c>
      <c r="O20" t="inlineStr">
        <is>
          <t>no reduction below emergency access floor</t>
        </is>
      </c>
      <c r="P20" t="inlineStr">
        <is>
          <t>B</t>
        </is>
      </c>
      <c r="Q20">
        <f>IF(ISNUMBER(SEARCH("adverse",$N20)),1,0)</f>
        <v/>
      </c>
      <c r="R20">
        <f>IF(ISNUMBER(SEARCH("base",$N20)),1,0)</f>
        <v/>
      </c>
      <c r="S20">
        <f>IF(ISNUMBER(SEARCH("upside",$N20)),1,0)</f>
        <v/>
      </c>
    </row>
    <row r="21">
      <c r="A21" t="inlineStr">
        <is>
          <t>SAC-018</t>
        </is>
      </c>
      <c r="B21" t="inlineStr">
        <is>
          <t>all critical</t>
        </is>
      </c>
      <c r="C21" t="inlineStr">
        <is>
          <t>site transfer</t>
        </is>
      </c>
      <c r="D21" t="n">
        <v>7</v>
      </c>
      <c r="E21" t="n">
        <v>32.4</v>
      </c>
      <c r="F21" t="n">
        <v>3</v>
      </c>
      <c r="G21" t="n">
        <v>4500</v>
      </c>
      <c r="H21" t="inlineStr">
        <is>
          <t>RECEIVING_SLOT</t>
        </is>
      </c>
      <c r="I21" t="n">
        <v>1</v>
      </c>
      <c r="J21" t="inlineStr">
        <is>
          <t>DG-6</t>
        </is>
      </c>
      <c r="L21" t="inlineStr">
        <is>
          <t>OV-3</t>
        </is>
      </c>
      <c r="M21" t="n">
        <v>0.2</v>
      </c>
      <c r="N21" t="inlineStr">
        <is>
          <t>upside</t>
        </is>
      </c>
      <c r="O21" t="inlineStr">
        <is>
          <t>requires infection-control approval</t>
        </is>
      </c>
      <c r="P21" t="inlineStr">
        <is>
          <t>C</t>
        </is>
      </c>
      <c r="Q21">
        <f>IF(ISNUMBER(SEARCH("adverse",$N21)),1,0)</f>
        <v/>
      </c>
      <c r="R21">
        <f>IF(ISNUMBER(SEARCH("base",$N21)),1,0)</f>
        <v/>
      </c>
      <c r="S21">
        <f>IF(ISNUMBER(SEARCH("upside",$N21)),1,0)</f>
        <v/>
      </c>
    </row>
    <row r="22">
      <c r="A22" t="inlineStr">
        <is>
          <t>SAC-019</t>
        </is>
      </c>
      <c r="B22" t="inlineStr">
        <is>
          <t>vascular</t>
        </is>
      </c>
      <c r="C22" t="inlineStr">
        <is>
          <t>supplier substitution</t>
        </is>
      </c>
      <c r="D22" t="n">
        <v>6</v>
      </c>
      <c r="E22" t="n">
        <v>43.2</v>
      </c>
      <c r="F22" t="n">
        <v>7</v>
      </c>
      <c r="G22" t="n">
        <v>9000</v>
      </c>
      <c r="H22" t="inlineStr">
        <is>
          <t>CLINICAL_REVIEW</t>
        </is>
      </c>
      <c r="I22" t="n">
        <v>1.5</v>
      </c>
      <c r="J22" t="inlineStr">
        <is>
          <t>DG-1</t>
        </is>
      </c>
      <c r="L22" t="inlineStr">
        <is>
          <t>OV-4</t>
        </is>
      </c>
      <c r="M22" t="n">
        <v>0.35</v>
      </c>
      <c r="N22" t="inlineStr">
        <is>
          <t>adverse|base|upside</t>
        </is>
      </c>
      <c r="O22" t="inlineStr">
        <is>
          <t>preserve cold-chain integrity</t>
        </is>
      </c>
      <c r="P22" t="inlineStr">
        <is>
          <t>A</t>
        </is>
      </c>
      <c r="Q22">
        <f>IF(ISNUMBER(SEARCH("adverse",$N22)),1,0)</f>
        <v/>
      </c>
      <c r="R22">
        <f>IF(ISNUMBER(SEARCH("base",$N22)),1,0)</f>
        <v/>
      </c>
      <c r="S22">
        <f>IF(ISNUMBER(SEARCH("upside",$N22)),1,0)</f>
        <v/>
      </c>
    </row>
    <row r="23">
      <c r="A23" t="inlineStr">
        <is>
          <t>SAC-020</t>
        </is>
      </c>
      <c r="B23" t="inlineStr">
        <is>
          <t>respiratory</t>
        </is>
      </c>
      <c r="C23" t="inlineStr">
        <is>
          <t>allocation hold</t>
        </is>
      </c>
      <c r="D23" t="n">
        <v>1</v>
      </c>
      <c r="E23" t="n">
        <v>60.8</v>
      </c>
      <c r="F23" t="n">
        <v>14</v>
      </c>
      <c r="G23" t="n">
        <v>18000</v>
      </c>
      <c r="H23" t="inlineStr">
        <is>
          <t>TRANSFER_VEHICLE</t>
        </is>
      </c>
      <c r="I23" t="n">
        <v>2</v>
      </c>
      <c r="J23" t="inlineStr">
        <is>
          <t>DG-2</t>
        </is>
      </c>
      <c r="L23" t="inlineStr">
        <is>
          <t>OV-5</t>
        </is>
      </c>
      <c r="M23" t="n">
        <v>0.5</v>
      </c>
      <c r="N23" t="inlineStr">
        <is>
          <t>base|upside</t>
        </is>
      </c>
      <c r="O23" t="inlineStr">
        <is>
          <t>lot-level recall clearance required</t>
        </is>
      </c>
      <c r="P23" t="inlineStr">
        <is>
          <t>B</t>
        </is>
      </c>
      <c r="Q23">
        <f>IF(ISNUMBER(SEARCH("adverse",$N23)),1,0)</f>
        <v/>
      </c>
      <c r="R23">
        <f>IF(ISNUMBER(SEARCH("base",$N23)),1,0)</f>
        <v/>
      </c>
      <c r="S23">
        <f>IF(ISNUMBER(SEARCH("upside",$N23)),1,0)</f>
        <v/>
      </c>
    </row>
    <row r="24">
      <c r="A24" t="inlineStr">
        <is>
          <t>SAC-021</t>
        </is>
      </c>
      <c r="B24" t="inlineStr">
        <is>
          <t>surgical</t>
        </is>
      </c>
      <c r="C24" t="inlineStr">
        <is>
          <t>expedite receipt</t>
        </is>
      </c>
      <c r="D24" t="n">
        <v>4</v>
      </c>
      <c r="E24" t="n">
        <v>16.2</v>
      </c>
      <c r="F24" t="n">
        <v>1</v>
      </c>
      <c r="G24" t="n">
        <v>1200</v>
      </c>
      <c r="H24" t="inlineStr">
        <is>
          <t>BUYER_FTE</t>
        </is>
      </c>
      <c r="I24" t="n">
        <v>0.5</v>
      </c>
      <c r="J24" t="inlineStr">
        <is>
          <t>DG-3</t>
        </is>
      </c>
      <c r="K24" t="inlineStr">
        <is>
          <t>MX-1</t>
        </is>
      </c>
      <c r="L24" t="inlineStr">
        <is>
          <t>OV-1</t>
        </is>
      </c>
      <c r="M24" t="n">
        <v>0</v>
      </c>
      <c r="N24" t="inlineStr">
        <is>
          <t>upside</t>
        </is>
      </c>
      <c r="O24" t="inlineStr">
        <is>
          <t>no reduction below emergency access floor</t>
        </is>
      </c>
      <c r="P24" t="inlineStr">
        <is>
          <t>C</t>
        </is>
      </c>
      <c r="Q24">
        <f>IF(ISNUMBER(SEARCH("adverse",$N24)),1,0)</f>
        <v/>
      </c>
      <c r="R24">
        <f>IF(ISNUMBER(SEARCH("base",$N24)),1,0)</f>
        <v/>
      </c>
      <c r="S24">
        <f>IF(ISNUMBER(SEARCH("upside",$N24)),1,0)</f>
        <v/>
      </c>
    </row>
    <row r="25">
      <c r="A25" t="inlineStr">
        <is>
          <t>SAC-022</t>
        </is>
      </c>
      <c r="B25" t="inlineStr">
        <is>
          <t>diagnostic</t>
        </is>
      </c>
      <c r="C25" t="inlineStr">
        <is>
          <t>site transfer</t>
        </is>
      </c>
      <c r="D25" t="n">
        <v>1</v>
      </c>
      <c r="E25" t="n">
        <v>24.3</v>
      </c>
      <c r="F25" t="n">
        <v>3</v>
      </c>
      <c r="G25" t="n">
        <v>4500</v>
      </c>
      <c r="H25" t="inlineStr">
        <is>
          <t>COLD_CHAIN_PALLET</t>
        </is>
      </c>
      <c r="I25" t="n">
        <v>1</v>
      </c>
      <c r="J25" t="inlineStr">
        <is>
          <t>DG-4</t>
        </is>
      </c>
      <c r="L25" t="inlineStr">
        <is>
          <t>OV-2</t>
        </is>
      </c>
      <c r="M25" t="n">
        <v>0.2</v>
      </c>
      <c r="N25" t="inlineStr">
        <is>
          <t>adverse|base|upside</t>
        </is>
      </c>
      <c r="O25" t="inlineStr">
        <is>
          <t>requires infection-control approval</t>
        </is>
      </c>
      <c r="P25" t="inlineStr">
        <is>
          <t>A</t>
        </is>
      </c>
      <c r="Q25">
        <f>IF(ISNUMBER(SEARCH("adverse",$N25)),1,0)</f>
        <v/>
      </c>
      <c r="R25">
        <f>IF(ISNUMBER(SEARCH("base",$N25)),1,0)</f>
        <v/>
      </c>
      <c r="S25">
        <f>IF(ISNUMBER(SEARCH("upside",$N25)),1,0)</f>
        <v/>
      </c>
    </row>
    <row r="26">
      <c r="A26" t="inlineStr">
        <is>
          <t>SAC-023</t>
        </is>
      </c>
      <c r="B26" t="inlineStr">
        <is>
          <t>wound</t>
        </is>
      </c>
      <c r="C26" t="inlineStr">
        <is>
          <t>supplier substitution</t>
        </is>
      </c>
      <c r="D26" t="n">
        <v>7</v>
      </c>
      <c r="E26" t="n">
        <v>32.4</v>
      </c>
      <c r="F26" t="n">
        <v>7</v>
      </c>
      <c r="G26" t="n">
        <v>9000</v>
      </c>
      <c r="H26" t="inlineStr">
        <is>
          <t>RECEIVING_SLOT</t>
        </is>
      </c>
      <c r="I26" t="n">
        <v>1.5</v>
      </c>
      <c r="J26" t="inlineStr">
        <is>
          <t>DG-5</t>
        </is>
      </c>
      <c r="L26" t="inlineStr">
        <is>
          <t>OV-3</t>
        </is>
      </c>
      <c r="M26" t="n">
        <v>0.35</v>
      </c>
      <c r="N26" t="inlineStr">
        <is>
          <t>base|upside</t>
        </is>
      </c>
      <c r="O26" t="inlineStr">
        <is>
          <t>preserve cold-chain integrity</t>
        </is>
      </c>
      <c r="P26" t="inlineStr">
        <is>
          <t>B</t>
        </is>
      </c>
      <c r="Q26">
        <f>IF(ISNUMBER(SEARCH("adverse",$N26)),1,0)</f>
        <v/>
      </c>
      <c r="R26">
        <f>IF(ISNUMBER(SEARCH("base",$N26)),1,0)</f>
        <v/>
      </c>
      <c r="S26">
        <f>IF(ISNUMBER(SEARCH("upside",$N26)),1,0)</f>
        <v/>
      </c>
    </row>
    <row r="27">
      <c r="A27" t="inlineStr">
        <is>
          <t>SAC-024</t>
        </is>
      </c>
      <c r="B27" t="inlineStr">
        <is>
          <t>all critical</t>
        </is>
      </c>
      <c r="C27" t="inlineStr">
        <is>
          <t>allocation hold</t>
        </is>
      </c>
      <c r="D27" t="n">
        <v>6</v>
      </c>
      <c r="E27" t="n">
        <v>43.2</v>
      </c>
      <c r="F27" t="n">
        <v>14</v>
      </c>
      <c r="G27" t="n">
        <v>18000</v>
      </c>
      <c r="H27" t="inlineStr">
        <is>
          <t>CLINICAL_REVIEW</t>
        </is>
      </c>
      <c r="I27" t="n">
        <v>2</v>
      </c>
      <c r="J27" t="inlineStr">
        <is>
          <t>DG-6</t>
        </is>
      </c>
      <c r="L27" t="inlineStr">
        <is>
          <t>OV-4</t>
        </is>
      </c>
      <c r="M27" t="n">
        <v>0.5</v>
      </c>
      <c r="N27" t="inlineStr">
        <is>
          <t>upside</t>
        </is>
      </c>
      <c r="O27" t="inlineStr">
        <is>
          <t>lot-level recall clearance required</t>
        </is>
      </c>
      <c r="P27" t="inlineStr">
        <is>
          <t>C</t>
        </is>
      </c>
      <c r="Q27">
        <f>IF(ISNUMBER(SEARCH("adverse",$N27)),1,0)</f>
        <v/>
      </c>
      <c r="R27">
        <f>IF(ISNUMBER(SEARCH("base",$N27)),1,0)</f>
        <v/>
      </c>
      <c r="S27">
        <f>IF(ISNUMBER(SEARCH("upside",$N27)),1,0)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0" customWidth="1" min="4" max="4"/>
    <col width="11" customWidth="1" min="5" max="5"/>
    <col width="16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  <col width="13" customWidth="1" min="14" max="14"/>
  </cols>
  <sheetData>
    <row r="1">
      <c r="A1" s="1" t="inlineStr">
        <is>
          <t>Per-SKU exposure: demand, days-of-cover, scenario gaps, reorder-point adequacy</t>
        </is>
      </c>
    </row>
    <row r="2">
      <c r="A2" s="3" t="inlineStr">
        <is>
          <t>gap = MAX(0, CEILING(demand x multiplier / 30 x target_days, 1) - usable). Demand is network-wide per SKU (usage rows span sites); stock is held at the listed site.</t>
        </is>
      </c>
    </row>
    <row r="3">
      <c r="A3" s="6" t="inlineStr">
        <is>
          <t>sku_id</t>
        </is>
      </c>
      <c r="B3" s="6" t="inlineStr">
        <is>
          <t>family</t>
        </is>
      </c>
      <c r="C3" s="6" t="inlineStr">
        <is>
          <t>site</t>
        </is>
      </c>
      <c r="D3" s="6" t="inlineStr">
        <is>
          <t>supplier</t>
        </is>
      </c>
      <c r="E3" s="6" t="inlineStr">
        <is>
          <t>usable_qty</t>
        </is>
      </c>
      <c r="F3" s="6" t="inlineStr">
        <is>
          <t>base_monthly_usage</t>
        </is>
      </c>
      <c r="G3" s="6" t="inlineStr">
        <is>
          <t>days_of_cover</t>
        </is>
      </c>
      <c r="H3" s="6" t="inlineStr">
        <is>
          <t>gap_adverse_units</t>
        </is>
      </c>
      <c r="I3" s="6" t="inlineStr">
        <is>
          <t>gap_base_units</t>
        </is>
      </c>
      <c r="J3" s="6" t="inlineStr">
        <is>
          <t>gap_upside_units</t>
        </is>
      </c>
      <c r="K3" s="6" t="inlineStr">
        <is>
          <t>stockout_flag</t>
        </is>
      </c>
      <c r="L3" s="6" t="inlineStr">
        <is>
          <t>srp</t>
        </is>
      </c>
      <c r="M3" s="6" t="inlineStr">
        <is>
          <t>lead_time_days</t>
        </is>
      </c>
      <c r="N3" s="6" t="inlineStr">
        <is>
          <t>srp_adequacy</t>
        </is>
      </c>
    </row>
    <row r="4">
      <c r="A4" t="inlineStr">
        <is>
          <t>SS-01001</t>
        </is>
      </c>
      <c r="B4">
        <f>INDEX(Lots_Data!$C$2:$C$234,MATCH($A4,Lots_Data!$A$2:$A$234,0))</f>
        <v/>
      </c>
      <c r="C4">
        <f>INDEX(Lots_Data!$E$2:$E$234,MATCH($A4,Lots_Data!$A$2:$A$234,0))</f>
        <v/>
      </c>
      <c r="D4">
        <f>INDEX(Lots_Data!$D$2:$D$234,MATCH($A4,Lots_Data!$A$2:$A$234,0))</f>
        <v/>
      </c>
      <c r="E4">
        <f>INDEX(Lots_Data!$K$2:$K$234,MATCH($A4,Lots_Data!$A$2:$A$234,0))</f>
        <v/>
      </c>
      <c r="F4">
        <f>INDEX(Usage_Summary!$C$4:$C$236,MATCH($A4,Usage_Summary!$A$4:$A$236,0))</f>
        <v/>
      </c>
      <c r="G4">
        <f>IF($F4&gt;0,$E4/$F4*30,"")</f>
        <v/>
      </c>
      <c r="H4">
        <f>MAX(0,CEILING(ROUND($F4*Inputs!$B$10/30*Inputs!$B$7,6),1)-$E4)</f>
        <v/>
      </c>
      <c r="I4">
        <f>MAX(0,CEILING(ROUND($F4*Inputs!$B$11/30*Inputs!$B$7,6),1)-$E4)</f>
        <v/>
      </c>
      <c r="J4">
        <f>MAX(0,CEILING(ROUND($F4*Inputs!$B$12/30*Inputs!$B$7,6),1)-$E4)</f>
        <v/>
      </c>
      <c r="K4">
        <f>IF(AND($F4&gt;0,$E4&lt;=0),1,0)</f>
        <v/>
      </c>
      <c r="L4">
        <f>INDEX(Lots_Data!$S$2:$S$234,MATCH($A4,Lots_Data!$A$2:$A$234,0))</f>
        <v/>
      </c>
      <c r="M4">
        <f>INDEX(Lots_Data!$N$2:$N$234,MATCH($A4,Lots_Data!$A$2:$A$234,0))</f>
        <v/>
      </c>
      <c r="N4">
        <f>IF($F4=0,"n/a",IF($L4&gt;=$F4/30*$M4,"adequate","under-set"))</f>
        <v/>
      </c>
    </row>
    <row r="5">
      <c r="A5" t="inlineStr">
        <is>
          <t>SS-01002</t>
        </is>
      </c>
      <c r="B5">
        <f>INDEX(Lots_Data!$C$2:$C$234,MATCH($A5,Lots_Data!$A$2:$A$234,0))</f>
        <v/>
      </c>
      <c r="C5">
        <f>INDEX(Lots_Data!$E$2:$E$234,MATCH($A5,Lots_Data!$A$2:$A$234,0))</f>
        <v/>
      </c>
      <c r="D5">
        <f>INDEX(Lots_Data!$D$2:$D$234,MATCH($A5,Lots_Data!$A$2:$A$234,0))</f>
        <v/>
      </c>
      <c r="E5">
        <f>INDEX(Lots_Data!$K$2:$K$234,MATCH($A5,Lots_Data!$A$2:$A$234,0))</f>
        <v/>
      </c>
      <c r="F5">
        <f>INDEX(Usage_Summary!$C$4:$C$236,MATCH($A5,Usage_Summary!$A$4:$A$236,0))</f>
        <v/>
      </c>
      <c r="G5">
        <f>IF($F5&gt;0,$E5/$F5*30,"")</f>
        <v/>
      </c>
      <c r="H5">
        <f>MAX(0,CEILING(ROUND($F5*Inputs!$B$10/30*Inputs!$B$7,6),1)-$E5)</f>
        <v/>
      </c>
      <c r="I5">
        <f>MAX(0,CEILING(ROUND($F5*Inputs!$B$11/30*Inputs!$B$7,6),1)-$E5)</f>
        <v/>
      </c>
      <c r="J5">
        <f>MAX(0,CEILING(ROUND($F5*Inputs!$B$12/30*Inputs!$B$7,6),1)-$E5)</f>
        <v/>
      </c>
      <c r="K5">
        <f>IF(AND($F5&gt;0,$E5&lt;=0),1,0)</f>
        <v/>
      </c>
      <c r="L5">
        <f>INDEX(Lots_Data!$S$2:$S$234,MATCH($A5,Lots_Data!$A$2:$A$234,0))</f>
        <v/>
      </c>
      <c r="M5">
        <f>INDEX(Lots_Data!$N$2:$N$234,MATCH($A5,Lots_Data!$A$2:$A$234,0))</f>
        <v/>
      </c>
      <c r="N5">
        <f>IF($F5=0,"n/a",IF($L5&gt;=$F5/30*$M5,"adequate","under-set"))</f>
        <v/>
      </c>
    </row>
    <row r="6">
      <c r="A6" t="inlineStr">
        <is>
          <t>SS-01003</t>
        </is>
      </c>
      <c r="B6">
        <f>INDEX(Lots_Data!$C$2:$C$234,MATCH($A6,Lots_Data!$A$2:$A$234,0))</f>
        <v/>
      </c>
      <c r="C6">
        <f>INDEX(Lots_Data!$E$2:$E$234,MATCH($A6,Lots_Data!$A$2:$A$234,0))</f>
        <v/>
      </c>
      <c r="D6">
        <f>INDEX(Lots_Data!$D$2:$D$234,MATCH($A6,Lots_Data!$A$2:$A$234,0))</f>
        <v/>
      </c>
      <c r="E6">
        <f>INDEX(Lots_Data!$K$2:$K$234,MATCH($A6,Lots_Data!$A$2:$A$234,0))</f>
        <v/>
      </c>
      <c r="F6">
        <f>INDEX(Usage_Summary!$C$4:$C$236,MATCH($A6,Usage_Summary!$A$4:$A$236,0))</f>
        <v/>
      </c>
      <c r="G6">
        <f>IF($F6&gt;0,$E6/$F6*30,"")</f>
        <v/>
      </c>
      <c r="H6">
        <f>MAX(0,CEILING(ROUND($F6*Inputs!$B$10/30*Inputs!$B$7,6),1)-$E6)</f>
        <v/>
      </c>
      <c r="I6">
        <f>MAX(0,CEILING(ROUND($F6*Inputs!$B$11/30*Inputs!$B$7,6),1)-$E6)</f>
        <v/>
      </c>
      <c r="J6">
        <f>MAX(0,CEILING(ROUND($F6*Inputs!$B$12/30*Inputs!$B$7,6),1)-$E6)</f>
        <v/>
      </c>
      <c r="K6">
        <f>IF(AND($F6&gt;0,$E6&lt;=0),1,0)</f>
        <v/>
      </c>
      <c r="L6">
        <f>INDEX(Lots_Data!$S$2:$S$234,MATCH($A6,Lots_Data!$A$2:$A$234,0))</f>
        <v/>
      </c>
      <c r="M6">
        <f>INDEX(Lots_Data!$N$2:$N$234,MATCH($A6,Lots_Data!$A$2:$A$234,0))</f>
        <v/>
      </c>
      <c r="N6">
        <f>IF($F6=0,"n/a",IF($L6&gt;=$F6/30*$M6,"adequate","under-set"))</f>
        <v/>
      </c>
    </row>
    <row r="7">
      <c r="A7" t="inlineStr">
        <is>
          <t>SS-01004</t>
        </is>
      </c>
      <c r="B7">
        <f>INDEX(Lots_Data!$C$2:$C$234,MATCH($A7,Lots_Data!$A$2:$A$234,0))</f>
        <v/>
      </c>
      <c r="C7">
        <f>INDEX(Lots_Data!$E$2:$E$234,MATCH($A7,Lots_Data!$A$2:$A$234,0))</f>
        <v/>
      </c>
      <c r="D7">
        <f>INDEX(Lots_Data!$D$2:$D$234,MATCH($A7,Lots_Data!$A$2:$A$234,0))</f>
        <v/>
      </c>
      <c r="E7">
        <f>INDEX(Lots_Data!$K$2:$K$234,MATCH($A7,Lots_Data!$A$2:$A$234,0))</f>
        <v/>
      </c>
      <c r="F7">
        <f>INDEX(Usage_Summary!$C$4:$C$236,MATCH($A7,Usage_Summary!$A$4:$A$236,0))</f>
        <v/>
      </c>
      <c r="G7">
        <f>IF($F7&gt;0,$E7/$F7*30,"")</f>
        <v/>
      </c>
      <c r="H7">
        <f>MAX(0,CEILING(ROUND($F7*Inputs!$B$10/30*Inputs!$B$7,6),1)-$E7)</f>
        <v/>
      </c>
      <c r="I7">
        <f>MAX(0,CEILING(ROUND($F7*Inputs!$B$11/30*Inputs!$B$7,6),1)-$E7)</f>
        <v/>
      </c>
      <c r="J7">
        <f>MAX(0,CEILING(ROUND($F7*Inputs!$B$12/30*Inputs!$B$7,6),1)-$E7)</f>
        <v/>
      </c>
      <c r="K7">
        <f>IF(AND($F7&gt;0,$E7&lt;=0),1,0)</f>
        <v/>
      </c>
      <c r="L7">
        <f>INDEX(Lots_Data!$S$2:$S$234,MATCH($A7,Lots_Data!$A$2:$A$234,0))</f>
        <v/>
      </c>
      <c r="M7">
        <f>INDEX(Lots_Data!$N$2:$N$234,MATCH($A7,Lots_Data!$A$2:$A$234,0))</f>
        <v/>
      </c>
      <c r="N7">
        <f>IF($F7=0,"n/a",IF($L7&gt;=$F7/30*$M7,"adequate","under-set"))</f>
        <v/>
      </c>
    </row>
    <row r="8">
      <c r="A8" t="inlineStr">
        <is>
          <t>SS-01005</t>
        </is>
      </c>
      <c r="B8">
        <f>INDEX(Lots_Data!$C$2:$C$234,MATCH($A8,Lots_Data!$A$2:$A$234,0))</f>
        <v/>
      </c>
      <c r="C8">
        <f>INDEX(Lots_Data!$E$2:$E$234,MATCH($A8,Lots_Data!$A$2:$A$234,0))</f>
        <v/>
      </c>
      <c r="D8">
        <f>INDEX(Lots_Data!$D$2:$D$234,MATCH($A8,Lots_Data!$A$2:$A$234,0))</f>
        <v/>
      </c>
      <c r="E8">
        <f>INDEX(Lots_Data!$K$2:$K$234,MATCH($A8,Lots_Data!$A$2:$A$234,0))</f>
        <v/>
      </c>
      <c r="F8">
        <f>INDEX(Usage_Summary!$C$4:$C$236,MATCH($A8,Usage_Summary!$A$4:$A$236,0))</f>
        <v/>
      </c>
      <c r="G8">
        <f>IF($F8&gt;0,$E8/$F8*30,"")</f>
        <v/>
      </c>
      <c r="H8">
        <f>MAX(0,CEILING(ROUND($F8*Inputs!$B$10/30*Inputs!$B$7,6),1)-$E8)</f>
        <v/>
      </c>
      <c r="I8">
        <f>MAX(0,CEILING(ROUND($F8*Inputs!$B$11/30*Inputs!$B$7,6),1)-$E8)</f>
        <v/>
      </c>
      <c r="J8">
        <f>MAX(0,CEILING(ROUND($F8*Inputs!$B$12/30*Inputs!$B$7,6),1)-$E8)</f>
        <v/>
      </c>
      <c r="K8">
        <f>IF(AND($F8&gt;0,$E8&lt;=0),1,0)</f>
        <v/>
      </c>
      <c r="L8">
        <f>INDEX(Lots_Data!$S$2:$S$234,MATCH($A8,Lots_Data!$A$2:$A$234,0))</f>
        <v/>
      </c>
      <c r="M8">
        <f>INDEX(Lots_Data!$N$2:$N$234,MATCH($A8,Lots_Data!$A$2:$A$234,0))</f>
        <v/>
      </c>
      <c r="N8">
        <f>IF($F8=0,"n/a",IF($L8&gt;=$F8/30*$M8,"adequate","under-set"))</f>
        <v/>
      </c>
    </row>
    <row r="9">
      <c r="A9" t="inlineStr">
        <is>
          <t>SS-01006</t>
        </is>
      </c>
      <c r="B9">
        <f>INDEX(Lots_Data!$C$2:$C$234,MATCH($A9,Lots_Data!$A$2:$A$234,0))</f>
        <v/>
      </c>
      <c r="C9">
        <f>INDEX(Lots_Data!$E$2:$E$234,MATCH($A9,Lots_Data!$A$2:$A$234,0))</f>
        <v/>
      </c>
      <c r="D9">
        <f>INDEX(Lots_Data!$D$2:$D$234,MATCH($A9,Lots_Data!$A$2:$A$234,0))</f>
        <v/>
      </c>
      <c r="E9">
        <f>INDEX(Lots_Data!$K$2:$K$234,MATCH($A9,Lots_Data!$A$2:$A$234,0))</f>
        <v/>
      </c>
      <c r="F9">
        <f>INDEX(Usage_Summary!$C$4:$C$236,MATCH($A9,Usage_Summary!$A$4:$A$236,0))</f>
        <v/>
      </c>
      <c r="G9">
        <f>IF($F9&gt;0,$E9/$F9*30,"")</f>
        <v/>
      </c>
      <c r="H9">
        <f>MAX(0,CEILING(ROUND($F9*Inputs!$B$10/30*Inputs!$B$7,6),1)-$E9)</f>
        <v/>
      </c>
      <c r="I9">
        <f>MAX(0,CEILING(ROUND($F9*Inputs!$B$11/30*Inputs!$B$7,6),1)-$E9)</f>
        <v/>
      </c>
      <c r="J9">
        <f>MAX(0,CEILING(ROUND($F9*Inputs!$B$12/30*Inputs!$B$7,6),1)-$E9)</f>
        <v/>
      </c>
      <c r="K9">
        <f>IF(AND($F9&gt;0,$E9&lt;=0),1,0)</f>
        <v/>
      </c>
      <c r="L9">
        <f>INDEX(Lots_Data!$S$2:$S$234,MATCH($A9,Lots_Data!$A$2:$A$234,0))</f>
        <v/>
      </c>
      <c r="M9">
        <f>INDEX(Lots_Data!$N$2:$N$234,MATCH($A9,Lots_Data!$A$2:$A$234,0))</f>
        <v/>
      </c>
      <c r="N9">
        <f>IF($F9=0,"n/a",IF($L9&gt;=$F9/30*$M9,"adequate","under-set"))</f>
        <v/>
      </c>
    </row>
    <row r="10">
      <c r="A10" t="inlineStr">
        <is>
          <t>SS-01007</t>
        </is>
      </c>
      <c r="B10">
        <f>INDEX(Lots_Data!$C$2:$C$234,MATCH($A10,Lots_Data!$A$2:$A$234,0))</f>
        <v/>
      </c>
      <c r="C10">
        <f>INDEX(Lots_Data!$E$2:$E$234,MATCH($A10,Lots_Data!$A$2:$A$234,0))</f>
        <v/>
      </c>
      <c r="D10">
        <f>INDEX(Lots_Data!$D$2:$D$234,MATCH($A10,Lots_Data!$A$2:$A$234,0))</f>
        <v/>
      </c>
      <c r="E10">
        <f>INDEX(Lots_Data!$K$2:$K$234,MATCH($A10,Lots_Data!$A$2:$A$234,0))</f>
        <v/>
      </c>
      <c r="F10">
        <f>INDEX(Usage_Summary!$C$4:$C$236,MATCH($A10,Usage_Summary!$A$4:$A$236,0))</f>
        <v/>
      </c>
      <c r="G10">
        <f>IF($F10&gt;0,$E10/$F10*30,"")</f>
        <v/>
      </c>
      <c r="H10">
        <f>MAX(0,CEILING(ROUND($F10*Inputs!$B$10/30*Inputs!$B$7,6),1)-$E10)</f>
        <v/>
      </c>
      <c r="I10">
        <f>MAX(0,CEILING(ROUND($F10*Inputs!$B$11/30*Inputs!$B$7,6),1)-$E10)</f>
        <v/>
      </c>
      <c r="J10">
        <f>MAX(0,CEILING(ROUND($F10*Inputs!$B$12/30*Inputs!$B$7,6),1)-$E10)</f>
        <v/>
      </c>
      <c r="K10">
        <f>IF(AND($F10&gt;0,$E10&lt;=0),1,0)</f>
        <v/>
      </c>
      <c r="L10">
        <f>INDEX(Lots_Data!$S$2:$S$234,MATCH($A10,Lots_Data!$A$2:$A$234,0))</f>
        <v/>
      </c>
      <c r="M10">
        <f>INDEX(Lots_Data!$N$2:$N$234,MATCH($A10,Lots_Data!$A$2:$A$234,0))</f>
        <v/>
      </c>
      <c r="N10">
        <f>IF($F10=0,"n/a",IF($L10&gt;=$F10/30*$M10,"adequate","under-set"))</f>
        <v/>
      </c>
    </row>
    <row r="11">
      <c r="A11" t="inlineStr">
        <is>
          <t>SS-01008</t>
        </is>
      </c>
      <c r="B11">
        <f>INDEX(Lots_Data!$C$2:$C$234,MATCH($A11,Lots_Data!$A$2:$A$234,0))</f>
        <v/>
      </c>
      <c r="C11">
        <f>INDEX(Lots_Data!$E$2:$E$234,MATCH($A11,Lots_Data!$A$2:$A$234,0))</f>
        <v/>
      </c>
      <c r="D11">
        <f>INDEX(Lots_Data!$D$2:$D$234,MATCH($A11,Lots_Data!$A$2:$A$234,0))</f>
        <v/>
      </c>
      <c r="E11">
        <f>INDEX(Lots_Data!$K$2:$K$234,MATCH($A11,Lots_Data!$A$2:$A$234,0))</f>
        <v/>
      </c>
      <c r="F11">
        <f>INDEX(Usage_Summary!$C$4:$C$236,MATCH($A11,Usage_Summary!$A$4:$A$236,0))</f>
        <v/>
      </c>
      <c r="G11">
        <f>IF($F11&gt;0,$E11/$F11*30,"")</f>
        <v/>
      </c>
      <c r="H11">
        <f>MAX(0,CEILING(ROUND($F11*Inputs!$B$10/30*Inputs!$B$7,6),1)-$E11)</f>
        <v/>
      </c>
      <c r="I11">
        <f>MAX(0,CEILING(ROUND($F11*Inputs!$B$11/30*Inputs!$B$7,6),1)-$E11)</f>
        <v/>
      </c>
      <c r="J11">
        <f>MAX(0,CEILING(ROUND($F11*Inputs!$B$12/30*Inputs!$B$7,6),1)-$E11)</f>
        <v/>
      </c>
      <c r="K11">
        <f>IF(AND($F11&gt;0,$E11&lt;=0),1,0)</f>
        <v/>
      </c>
      <c r="L11">
        <f>INDEX(Lots_Data!$S$2:$S$234,MATCH($A11,Lots_Data!$A$2:$A$234,0))</f>
        <v/>
      </c>
      <c r="M11">
        <f>INDEX(Lots_Data!$N$2:$N$234,MATCH($A11,Lots_Data!$A$2:$A$234,0))</f>
        <v/>
      </c>
      <c r="N11">
        <f>IF($F11=0,"n/a",IF($L11&gt;=$F11/30*$M11,"adequate","under-set"))</f>
        <v/>
      </c>
    </row>
    <row r="12">
      <c r="A12" t="inlineStr">
        <is>
          <t>SS-01009</t>
        </is>
      </c>
      <c r="B12">
        <f>INDEX(Lots_Data!$C$2:$C$234,MATCH($A12,Lots_Data!$A$2:$A$234,0))</f>
        <v/>
      </c>
      <c r="C12">
        <f>INDEX(Lots_Data!$E$2:$E$234,MATCH($A12,Lots_Data!$A$2:$A$234,0))</f>
        <v/>
      </c>
      <c r="D12">
        <f>INDEX(Lots_Data!$D$2:$D$234,MATCH($A12,Lots_Data!$A$2:$A$234,0))</f>
        <v/>
      </c>
      <c r="E12">
        <f>INDEX(Lots_Data!$K$2:$K$234,MATCH($A12,Lots_Data!$A$2:$A$234,0))</f>
        <v/>
      </c>
      <c r="F12">
        <f>INDEX(Usage_Summary!$C$4:$C$236,MATCH($A12,Usage_Summary!$A$4:$A$236,0))</f>
        <v/>
      </c>
      <c r="G12">
        <f>IF($F12&gt;0,$E12/$F12*30,"")</f>
        <v/>
      </c>
      <c r="H12">
        <f>MAX(0,CEILING(ROUND($F12*Inputs!$B$10/30*Inputs!$B$7,6),1)-$E12)</f>
        <v/>
      </c>
      <c r="I12">
        <f>MAX(0,CEILING(ROUND($F12*Inputs!$B$11/30*Inputs!$B$7,6),1)-$E12)</f>
        <v/>
      </c>
      <c r="J12">
        <f>MAX(0,CEILING(ROUND($F12*Inputs!$B$12/30*Inputs!$B$7,6),1)-$E12)</f>
        <v/>
      </c>
      <c r="K12">
        <f>IF(AND($F12&gt;0,$E12&lt;=0),1,0)</f>
        <v/>
      </c>
      <c r="L12">
        <f>INDEX(Lots_Data!$S$2:$S$234,MATCH($A12,Lots_Data!$A$2:$A$234,0))</f>
        <v/>
      </c>
      <c r="M12">
        <f>INDEX(Lots_Data!$N$2:$N$234,MATCH($A12,Lots_Data!$A$2:$A$234,0))</f>
        <v/>
      </c>
      <c r="N12">
        <f>IF($F12=0,"n/a",IF($L12&gt;=$F12/30*$M12,"adequate","under-set"))</f>
        <v/>
      </c>
    </row>
    <row r="13">
      <c r="A13" t="inlineStr">
        <is>
          <t>SS-01010</t>
        </is>
      </c>
      <c r="B13">
        <f>INDEX(Lots_Data!$C$2:$C$234,MATCH($A13,Lots_Data!$A$2:$A$234,0))</f>
        <v/>
      </c>
      <c r="C13">
        <f>INDEX(Lots_Data!$E$2:$E$234,MATCH($A13,Lots_Data!$A$2:$A$234,0))</f>
        <v/>
      </c>
      <c r="D13">
        <f>INDEX(Lots_Data!$D$2:$D$234,MATCH($A13,Lots_Data!$A$2:$A$234,0))</f>
        <v/>
      </c>
      <c r="E13">
        <f>INDEX(Lots_Data!$K$2:$K$234,MATCH($A13,Lots_Data!$A$2:$A$234,0))</f>
        <v/>
      </c>
      <c r="F13">
        <f>INDEX(Usage_Summary!$C$4:$C$236,MATCH($A13,Usage_Summary!$A$4:$A$236,0))</f>
        <v/>
      </c>
      <c r="G13">
        <f>IF($F13&gt;0,$E13/$F13*30,"")</f>
        <v/>
      </c>
      <c r="H13">
        <f>MAX(0,CEILING(ROUND($F13*Inputs!$B$10/30*Inputs!$B$7,6),1)-$E13)</f>
        <v/>
      </c>
      <c r="I13">
        <f>MAX(0,CEILING(ROUND($F13*Inputs!$B$11/30*Inputs!$B$7,6),1)-$E13)</f>
        <v/>
      </c>
      <c r="J13">
        <f>MAX(0,CEILING(ROUND($F13*Inputs!$B$12/30*Inputs!$B$7,6),1)-$E13)</f>
        <v/>
      </c>
      <c r="K13">
        <f>IF(AND($F13&gt;0,$E13&lt;=0),1,0)</f>
        <v/>
      </c>
      <c r="L13">
        <f>INDEX(Lots_Data!$S$2:$S$234,MATCH($A13,Lots_Data!$A$2:$A$234,0))</f>
        <v/>
      </c>
      <c r="M13">
        <f>INDEX(Lots_Data!$N$2:$N$234,MATCH($A13,Lots_Data!$A$2:$A$234,0))</f>
        <v/>
      </c>
      <c r="N13">
        <f>IF($F13=0,"n/a",IF($L13&gt;=$F13/30*$M13,"adequate","under-set"))</f>
        <v/>
      </c>
    </row>
    <row r="14">
      <c r="A14" t="inlineStr">
        <is>
          <t>SS-01011</t>
        </is>
      </c>
      <c r="B14">
        <f>INDEX(Lots_Data!$C$2:$C$234,MATCH($A14,Lots_Data!$A$2:$A$234,0))</f>
        <v/>
      </c>
      <c r="C14">
        <f>INDEX(Lots_Data!$E$2:$E$234,MATCH($A14,Lots_Data!$A$2:$A$234,0))</f>
        <v/>
      </c>
      <c r="D14">
        <f>INDEX(Lots_Data!$D$2:$D$234,MATCH($A14,Lots_Data!$A$2:$A$234,0))</f>
        <v/>
      </c>
      <c r="E14">
        <f>INDEX(Lots_Data!$K$2:$K$234,MATCH($A14,Lots_Data!$A$2:$A$234,0))</f>
        <v/>
      </c>
      <c r="F14">
        <f>INDEX(Usage_Summary!$C$4:$C$236,MATCH($A14,Usage_Summary!$A$4:$A$236,0))</f>
        <v/>
      </c>
      <c r="G14">
        <f>IF($F14&gt;0,$E14/$F14*30,"")</f>
        <v/>
      </c>
      <c r="H14">
        <f>MAX(0,CEILING(ROUND($F14*Inputs!$B$10/30*Inputs!$B$7,6),1)-$E14)</f>
        <v/>
      </c>
      <c r="I14">
        <f>MAX(0,CEILING(ROUND($F14*Inputs!$B$11/30*Inputs!$B$7,6),1)-$E14)</f>
        <v/>
      </c>
      <c r="J14">
        <f>MAX(0,CEILING(ROUND($F14*Inputs!$B$12/30*Inputs!$B$7,6),1)-$E14)</f>
        <v/>
      </c>
      <c r="K14">
        <f>IF(AND($F14&gt;0,$E14&lt;=0),1,0)</f>
        <v/>
      </c>
      <c r="L14">
        <f>INDEX(Lots_Data!$S$2:$S$234,MATCH($A14,Lots_Data!$A$2:$A$234,0))</f>
        <v/>
      </c>
      <c r="M14">
        <f>INDEX(Lots_Data!$N$2:$N$234,MATCH($A14,Lots_Data!$A$2:$A$234,0))</f>
        <v/>
      </c>
      <c r="N14">
        <f>IF($F14=0,"n/a",IF($L14&gt;=$F14/30*$M14,"adequate","under-set"))</f>
        <v/>
      </c>
    </row>
    <row r="15">
      <c r="A15" t="inlineStr">
        <is>
          <t>SS-01012</t>
        </is>
      </c>
      <c r="B15">
        <f>INDEX(Lots_Data!$C$2:$C$234,MATCH($A15,Lots_Data!$A$2:$A$234,0))</f>
        <v/>
      </c>
      <c r="C15">
        <f>INDEX(Lots_Data!$E$2:$E$234,MATCH($A15,Lots_Data!$A$2:$A$234,0))</f>
        <v/>
      </c>
      <c r="D15">
        <f>INDEX(Lots_Data!$D$2:$D$234,MATCH($A15,Lots_Data!$A$2:$A$234,0))</f>
        <v/>
      </c>
      <c r="E15">
        <f>INDEX(Lots_Data!$K$2:$K$234,MATCH($A15,Lots_Data!$A$2:$A$234,0))</f>
        <v/>
      </c>
      <c r="F15">
        <f>INDEX(Usage_Summary!$C$4:$C$236,MATCH($A15,Usage_Summary!$A$4:$A$236,0))</f>
        <v/>
      </c>
      <c r="G15">
        <f>IF($F15&gt;0,$E15/$F15*30,"")</f>
        <v/>
      </c>
      <c r="H15">
        <f>MAX(0,CEILING(ROUND($F15*Inputs!$B$10/30*Inputs!$B$7,6),1)-$E15)</f>
        <v/>
      </c>
      <c r="I15">
        <f>MAX(0,CEILING(ROUND($F15*Inputs!$B$11/30*Inputs!$B$7,6),1)-$E15)</f>
        <v/>
      </c>
      <c r="J15">
        <f>MAX(0,CEILING(ROUND($F15*Inputs!$B$12/30*Inputs!$B$7,6),1)-$E15)</f>
        <v/>
      </c>
      <c r="K15">
        <f>IF(AND($F15&gt;0,$E15&lt;=0),1,0)</f>
        <v/>
      </c>
      <c r="L15">
        <f>INDEX(Lots_Data!$S$2:$S$234,MATCH($A15,Lots_Data!$A$2:$A$234,0))</f>
        <v/>
      </c>
      <c r="M15">
        <f>INDEX(Lots_Data!$N$2:$N$234,MATCH($A15,Lots_Data!$A$2:$A$234,0))</f>
        <v/>
      </c>
      <c r="N15">
        <f>IF($F15=0,"n/a",IF($L15&gt;=$F15/30*$M15,"adequate","under-set"))</f>
        <v/>
      </c>
    </row>
    <row r="16">
      <c r="A16" t="inlineStr">
        <is>
          <t>SS-01013</t>
        </is>
      </c>
      <c r="B16">
        <f>INDEX(Lots_Data!$C$2:$C$234,MATCH($A16,Lots_Data!$A$2:$A$234,0))</f>
        <v/>
      </c>
      <c r="C16">
        <f>INDEX(Lots_Data!$E$2:$E$234,MATCH($A16,Lots_Data!$A$2:$A$234,0))</f>
        <v/>
      </c>
      <c r="D16">
        <f>INDEX(Lots_Data!$D$2:$D$234,MATCH($A16,Lots_Data!$A$2:$A$234,0))</f>
        <v/>
      </c>
      <c r="E16">
        <f>INDEX(Lots_Data!$K$2:$K$234,MATCH($A16,Lots_Data!$A$2:$A$234,0))</f>
        <v/>
      </c>
      <c r="F16">
        <f>INDEX(Usage_Summary!$C$4:$C$236,MATCH($A16,Usage_Summary!$A$4:$A$236,0))</f>
        <v/>
      </c>
      <c r="G16">
        <f>IF($F16&gt;0,$E16/$F16*30,"")</f>
        <v/>
      </c>
      <c r="H16">
        <f>MAX(0,CEILING(ROUND($F16*Inputs!$B$10/30*Inputs!$B$7,6),1)-$E16)</f>
        <v/>
      </c>
      <c r="I16">
        <f>MAX(0,CEILING(ROUND($F16*Inputs!$B$11/30*Inputs!$B$7,6),1)-$E16)</f>
        <v/>
      </c>
      <c r="J16">
        <f>MAX(0,CEILING(ROUND($F16*Inputs!$B$12/30*Inputs!$B$7,6),1)-$E16)</f>
        <v/>
      </c>
      <c r="K16">
        <f>IF(AND($F16&gt;0,$E16&lt;=0),1,0)</f>
        <v/>
      </c>
      <c r="L16">
        <f>INDEX(Lots_Data!$S$2:$S$234,MATCH($A16,Lots_Data!$A$2:$A$234,0))</f>
        <v/>
      </c>
      <c r="M16">
        <f>INDEX(Lots_Data!$N$2:$N$234,MATCH($A16,Lots_Data!$A$2:$A$234,0))</f>
        <v/>
      </c>
      <c r="N16">
        <f>IF($F16=0,"n/a",IF($L16&gt;=$F16/30*$M16,"adequate","under-set"))</f>
        <v/>
      </c>
    </row>
    <row r="17">
      <c r="A17" t="inlineStr">
        <is>
          <t>SS-01014</t>
        </is>
      </c>
      <c r="B17">
        <f>INDEX(Lots_Data!$C$2:$C$234,MATCH($A17,Lots_Data!$A$2:$A$234,0))</f>
        <v/>
      </c>
      <c r="C17">
        <f>INDEX(Lots_Data!$E$2:$E$234,MATCH($A17,Lots_Data!$A$2:$A$234,0))</f>
        <v/>
      </c>
      <c r="D17">
        <f>INDEX(Lots_Data!$D$2:$D$234,MATCH($A17,Lots_Data!$A$2:$A$234,0))</f>
        <v/>
      </c>
      <c r="E17">
        <f>INDEX(Lots_Data!$K$2:$K$234,MATCH($A17,Lots_Data!$A$2:$A$234,0))</f>
        <v/>
      </c>
      <c r="F17">
        <f>INDEX(Usage_Summary!$C$4:$C$236,MATCH($A17,Usage_Summary!$A$4:$A$236,0))</f>
        <v/>
      </c>
      <c r="G17">
        <f>IF($F17&gt;0,$E17/$F17*30,"")</f>
        <v/>
      </c>
      <c r="H17">
        <f>MAX(0,CEILING(ROUND($F17*Inputs!$B$10/30*Inputs!$B$7,6),1)-$E17)</f>
        <v/>
      </c>
      <c r="I17">
        <f>MAX(0,CEILING(ROUND($F17*Inputs!$B$11/30*Inputs!$B$7,6),1)-$E17)</f>
        <v/>
      </c>
      <c r="J17">
        <f>MAX(0,CEILING(ROUND($F17*Inputs!$B$12/30*Inputs!$B$7,6),1)-$E17)</f>
        <v/>
      </c>
      <c r="K17">
        <f>IF(AND($F17&gt;0,$E17&lt;=0),1,0)</f>
        <v/>
      </c>
      <c r="L17">
        <f>INDEX(Lots_Data!$S$2:$S$234,MATCH($A17,Lots_Data!$A$2:$A$234,0))</f>
        <v/>
      </c>
      <c r="M17">
        <f>INDEX(Lots_Data!$N$2:$N$234,MATCH($A17,Lots_Data!$A$2:$A$234,0))</f>
        <v/>
      </c>
      <c r="N17">
        <f>IF($F17=0,"n/a",IF($L17&gt;=$F17/30*$M17,"adequate","under-set"))</f>
        <v/>
      </c>
    </row>
    <row r="18">
      <c r="A18" t="inlineStr">
        <is>
          <t>SS-01015</t>
        </is>
      </c>
      <c r="B18">
        <f>INDEX(Lots_Data!$C$2:$C$234,MATCH($A18,Lots_Data!$A$2:$A$234,0))</f>
        <v/>
      </c>
      <c r="C18">
        <f>INDEX(Lots_Data!$E$2:$E$234,MATCH($A18,Lots_Data!$A$2:$A$234,0))</f>
        <v/>
      </c>
      <c r="D18">
        <f>INDEX(Lots_Data!$D$2:$D$234,MATCH($A18,Lots_Data!$A$2:$A$234,0))</f>
        <v/>
      </c>
      <c r="E18">
        <f>INDEX(Lots_Data!$K$2:$K$234,MATCH($A18,Lots_Data!$A$2:$A$234,0))</f>
        <v/>
      </c>
      <c r="F18">
        <f>INDEX(Usage_Summary!$C$4:$C$236,MATCH($A18,Usage_Summary!$A$4:$A$236,0))</f>
        <v/>
      </c>
      <c r="G18">
        <f>IF($F18&gt;0,$E18/$F18*30,"")</f>
        <v/>
      </c>
      <c r="H18">
        <f>MAX(0,CEILING(ROUND($F18*Inputs!$B$10/30*Inputs!$B$7,6),1)-$E18)</f>
        <v/>
      </c>
      <c r="I18">
        <f>MAX(0,CEILING(ROUND($F18*Inputs!$B$11/30*Inputs!$B$7,6),1)-$E18)</f>
        <v/>
      </c>
      <c r="J18">
        <f>MAX(0,CEILING(ROUND($F18*Inputs!$B$12/30*Inputs!$B$7,6),1)-$E18)</f>
        <v/>
      </c>
      <c r="K18">
        <f>IF(AND($F18&gt;0,$E18&lt;=0),1,0)</f>
        <v/>
      </c>
      <c r="L18">
        <f>INDEX(Lots_Data!$S$2:$S$234,MATCH($A18,Lots_Data!$A$2:$A$234,0))</f>
        <v/>
      </c>
      <c r="M18">
        <f>INDEX(Lots_Data!$N$2:$N$234,MATCH($A18,Lots_Data!$A$2:$A$234,0))</f>
        <v/>
      </c>
      <c r="N18">
        <f>IF($F18=0,"n/a",IF($L18&gt;=$F18/30*$M18,"adequate","under-set"))</f>
        <v/>
      </c>
    </row>
    <row r="19">
      <c r="A19" t="inlineStr">
        <is>
          <t>SS-01016</t>
        </is>
      </c>
      <c r="B19">
        <f>INDEX(Lots_Data!$C$2:$C$234,MATCH($A19,Lots_Data!$A$2:$A$234,0))</f>
        <v/>
      </c>
      <c r="C19">
        <f>INDEX(Lots_Data!$E$2:$E$234,MATCH($A19,Lots_Data!$A$2:$A$234,0))</f>
        <v/>
      </c>
      <c r="D19">
        <f>INDEX(Lots_Data!$D$2:$D$234,MATCH($A19,Lots_Data!$A$2:$A$234,0))</f>
        <v/>
      </c>
      <c r="E19">
        <f>INDEX(Lots_Data!$K$2:$K$234,MATCH($A19,Lots_Data!$A$2:$A$234,0))</f>
        <v/>
      </c>
      <c r="F19">
        <f>INDEX(Usage_Summary!$C$4:$C$236,MATCH($A19,Usage_Summary!$A$4:$A$236,0))</f>
        <v/>
      </c>
      <c r="G19">
        <f>IF($F19&gt;0,$E19/$F19*30,"")</f>
        <v/>
      </c>
      <c r="H19">
        <f>MAX(0,CEILING(ROUND($F19*Inputs!$B$10/30*Inputs!$B$7,6),1)-$E19)</f>
        <v/>
      </c>
      <c r="I19">
        <f>MAX(0,CEILING(ROUND($F19*Inputs!$B$11/30*Inputs!$B$7,6),1)-$E19)</f>
        <v/>
      </c>
      <c r="J19">
        <f>MAX(0,CEILING(ROUND($F19*Inputs!$B$12/30*Inputs!$B$7,6),1)-$E19)</f>
        <v/>
      </c>
      <c r="K19">
        <f>IF(AND($F19&gt;0,$E19&lt;=0),1,0)</f>
        <v/>
      </c>
      <c r="L19">
        <f>INDEX(Lots_Data!$S$2:$S$234,MATCH($A19,Lots_Data!$A$2:$A$234,0))</f>
        <v/>
      </c>
      <c r="M19">
        <f>INDEX(Lots_Data!$N$2:$N$234,MATCH($A19,Lots_Data!$A$2:$A$234,0))</f>
        <v/>
      </c>
      <c r="N19">
        <f>IF($F19=0,"n/a",IF($L19&gt;=$F19/30*$M19,"adequate","under-set"))</f>
        <v/>
      </c>
    </row>
    <row r="20">
      <c r="A20" t="inlineStr">
        <is>
          <t>SS-01017</t>
        </is>
      </c>
      <c r="B20">
        <f>INDEX(Lots_Data!$C$2:$C$234,MATCH($A20,Lots_Data!$A$2:$A$234,0))</f>
        <v/>
      </c>
      <c r="C20">
        <f>INDEX(Lots_Data!$E$2:$E$234,MATCH($A20,Lots_Data!$A$2:$A$234,0))</f>
        <v/>
      </c>
      <c r="D20">
        <f>INDEX(Lots_Data!$D$2:$D$234,MATCH($A20,Lots_Data!$A$2:$A$234,0))</f>
        <v/>
      </c>
      <c r="E20">
        <f>INDEX(Lots_Data!$K$2:$K$234,MATCH($A20,Lots_Data!$A$2:$A$234,0))</f>
        <v/>
      </c>
      <c r="F20">
        <f>INDEX(Usage_Summary!$C$4:$C$236,MATCH($A20,Usage_Summary!$A$4:$A$236,0))</f>
        <v/>
      </c>
      <c r="G20">
        <f>IF($F20&gt;0,$E20/$F20*30,"")</f>
        <v/>
      </c>
      <c r="H20">
        <f>MAX(0,CEILING(ROUND($F20*Inputs!$B$10/30*Inputs!$B$7,6),1)-$E20)</f>
        <v/>
      </c>
      <c r="I20">
        <f>MAX(0,CEILING(ROUND($F20*Inputs!$B$11/30*Inputs!$B$7,6),1)-$E20)</f>
        <v/>
      </c>
      <c r="J20">
        <f>MAX(0,CEILING(ROUND($F20*Inputs!$B$12/30*Inputs!$B$7,6),1)-$E20)</f>
        <v/>
      </c>
      <c r="K20">
        <f>IF(AND($F20&gt;0,$E20&lt;=0),1,0)</f>
        <v/>
      </c>
      <c r="L20">
        <f>INDEX(Lots_Data!$S$2:$S$234,MATCH($A20,Lots_Data!$A$2:$A$234,0))</f>
        <v/>
      </c>
      <c r="M20">
        <f>INDEX(Lots_Data!$N$2:$N$234,MATCH($A20,Lots_Data!$A$2:$A$234,0))</f>
        <v/>
      </c>
      <c r="N20">
        <f>IF($F20=0,"n/a",IF($L20&gt;=$F20/30*$M20,"adequate","under-set"))</f>
        <v/>
      </c>
    </row>
    <row r="21">
      <c r="A21" t="inlineStr">
        <is>
          <t>SS-01018</t>
        </is>
      </c>
      <c r="B21">
        <f>INDEX(Lots_Data!$C$2:$C$234,MATCH($A21,Lots_Data!$A$2:$A$234,0))</f>
        <v/>
      </c>
      <c r="C21">
        <f>INDEX(Lots_Data!$E$2:$E$234,MATCH($A21,Lots_Data!$A$2:$A$234,0))</f>
        <v/>
      </c>
      <c r="D21">
        <f>INDEX(Lots_Data!$D$2:$D$234,MATCH($A21,Lots_Data!$A$2:$A$234,0))</f>
        <v/>
      </c>
      <c r="E21">
        <f>INDEX(Lots_Data!$K$2:$K$234,MATCH($A21,Lots_Data!$A$2:$A$234,0))</f>
        <v/>
      </c>
      <c r="F21">
        <f>INDEX(Usage_Summary!$C$4:$C$236,MATCH($A21,Usage_Summary!$A$4:$A$236,0))</f>
        <v/>
      </c>
      <c r="G21">
        <f>IF($F21&gt;0,$E21/$F21*30,"")</f>
        <v/>
      </c>
      <c r="H21">
        <f>MAX(0,CEILING(ROUND($F21*Inputs!$B$10/30*Inputs!$B$7,6),1)-$E21)</f>
        <v/>
      </c>
      <c r="I21">
        <f>MAX(0,CEILING(ROUND($F21*Inputs!$B$11/30*Inputs!$B$7,6),1)-$E21)</f>
        <v/>
      </c>
      <c r="J21">
        <f>MAX(0,CEILING(ROUND($F21*Inputs!$B$12/30*Inputs!$B$7,6),1)-$E21)</f>
        <v/>
      </c>
      <c r="K21">
        <f>IF(AND($F21&gt;0,$E21&lt;=0),1,0)</f>
        <v/>
      </c>
      <c r="L21">
        <f>INDEX(Lots_Data!$S$2:$S$234,MATCH($A21,Lots_Data!$A$2:$A$234,0))</f>
        <v/>
      </c>
      <c r="M21">
        <f>INDEX(Lots_Data!$N$2:$N$234,MATCH($A21,Lots_Data!$A$2:$A$234,0))</f>
        <v/>
      </c>
      <c r="N21">
        <f>IF($F21=0,"n/a",IF($L21&gt;=$F21/30*$M21,"adequate","under-set"))</f>
        <v/>
      </c>
    </row>
    <row r="22">
      <c r="A22" t="inlineStr">
        <is>
          <t>SS-01019</t>
        </is>
      </c>
      <c r="B22">
        <f>INDEX(Lots_Data!$C$2:$C$234,MATCH($A22,Lots_Data!$A$2:$A$234,0))</f>
        <v/>
      </c>
      <c r="C22">
        <f>INDEX(Lots_Data!$E$2:$E$234,MATCH($A22,Lots_Data!$A$2:$A$234,0))</f>
        <v/>
      </c>
      <c r="D22">
        <f>INDEX(Lots_Data!$D$2:$D$234,MATCH($A22,Lots_Data!$A$2:$A$234,0))</f>
        <v/>
      </c>
      <c r="E22">
        <f>INDEX(Lots_Data!$K$2:$K$234,MATCH($A22,Lots_Data!$A$2:$A$234,0))</f>
        <v/>
      </c>
      <c r="F22">
        <f>INDEX(Usage_Summary!$C$4:$C$236,MATCH($A22,Usage_Summary!$A$4:$A$236,0))</f>
        <v/>
      </c>
      <c r="G22">
        <f>IF($F22&gt;0,$E22/$F22*30,"")</f>
        <v/>
      </c>
      <c r="H22">
        <f>MAX(0,CEILING(ROUND($F22*Inputs!$B$10/30*Inputs!$B$7,6),1)-$E22)</f>
        <v/>
      </c>
      <c r="I22">
        <f>MAX(0,CEILING(ROUND($F22*Inputs!$B$11/30*Inputs!$B$7,6),1)-$E22)</f>
        <v/>
      </c>
      <c r="J22">
        <f>MAX(0,CEILING(ROUND($F22*Inputs!$B$12/30*Inputs!$B$7,6),1)-$E22)</f>
        <v/>
      </c>
      <c r="K22">
        <f>IF(AND($F22&gt;0,$E22&lt;=0),1,0)</f>
        <v/>
      </c>
      <c r="L22">
        <f>INDEX(Lots_Data!$S$2:$S$234,MATCH($A22,Lots_Data!$A$2:$A$234,0))</f>
        <v/>
      </c>
      <c r="M22">
        <f>INDEX(Lots_Data!$N$2:$N$234,MATCH($A22,Lots_Data!$A$2:$A$234,0))</f>
        <v/>
      </c>
      <c r="N22">
        <f>IF($F22=0,"n/a",IF($L22&gt;=$F22/30*$M22,"adequate","under-set"))</f>
        <v/>
      </c>
    </row>
    <row r="23">
      <c r="A23" t="inlineStr">
        <is>
          <t>SS-01020</t>
        </is>
      </c>
      <c r="B23">
        <f>INDEX(Lots_Data!$C$2:$C$234,MATCH($A23,Lots_Data!$A$2:$A$234,0))</f>
        <v/>
      </c>
      <c r="C23">
        <f>INDEX(Lots_Data!$E$2:$E$234,MATCH($A23,Lots_Data!$A$2:$A$234,0))</f>
        <v/>
      </c>
      <c r="D23">
        <f>INDEX(Lots_Data!$D$2:$D$234,MATCH($A23,Lots_Data!$A$2:$A$234,0))</f>
        <v/>
      </c>
      <c r="E23">
        <f>INDEX(Lots_Data!$K$2:$K$234,MATCH($A23,Lots_Data!$A$2:$A$234,0))</f>
        <v/>
      </c>
      <c r="F23">
        <f>INDEX(Usage_Summary!$C$4:$C$236,MATCH($A23,Usage_Summary!$A$4:$A$236,0))</f>
        <v/>
      </c>
      <c r="G23">
        <f>IF($F23&gt;0,$E23/$F23*30,"")</f>
        <v/>
      </c>
      <c r="H23">
        <f>MAX(0,CEILING(ROUND($F23*Inputs!$B$10/30*Inputs!$B$7,6),1)-$E23)</f>
        <v/>
      </c>
      <c r="I23">
        <f>MAX(0,CEILING(ROUND($F23*Inputs!$B$11/30*Inputs!$B$7,6),1)-$E23)</f>
        <v/>
      </c>
      <c r="J23">
        <f>MAX(0,CEILING(ROUND($F23*Inputs!$B$12/30*Inputs!$B$7,6),1)-$E23)</f>
        <v/>
      </c>
      <c r="K23">
        <f>IF(AND($F23&gt;0,$E23&lt;=0),1,0)</f>
        <v/>
      </c>
      <c r="L23">
        <f>INDEX(Lots_Data!$S$2:$S$234,MATCH($A23,Lots_Data!$A$2:$A$234,0))</f>
        <v/>
      </c>
      <c r="M23">
        <f>INDEX(Lots_Data!$N$2:$N$234,MATCH($A23,Lots_Data!$A$2:$A$234,0))</f>
        <v/>
      </c>
      <c r="N23">
        <f>IF($F23=0,"n/a",IF($L23&gt;=$F23/30*$M23,"adequate","under-set"))</f>
        <v/>
      </c>
    </row>
    <row r="24">
      <c r="A24" t="inlineStr">
        <is>
          <t>SS-01021</t>
        </is>
      </c>
      <c r="B24">
        <f>INDEX(Lots_Data!$C$2:$C$234,MATCH($A24,Lots_Data!$A$2:$A$234,0))</f>
        <v/>
      </c>
      <c r="C24">
        <f>INDEX(Lots_Data!$E$2:$E$234,MATCH($A24,Lots_Data!$A$2:$A$234,0))</f>
        <v/>
      </c>
      <c r="D24">
        <f>INDEX(Lots_Data!$D$2:$D$234,MATCH($A24,Lots_Data!$A$2:$A$234,0))</f>
        <v/>
      </c>
      <c r="E24">
        <f>INDEX(Lots_Data!$K$2:$K$234,MATCH($A24,Lots_Data!$A$2:$A$234,0))</f>
        <v/>
      </c>
      <c r="F24">
        <f>INDEX(Usage_Summary!$C$4:$C$236,MATCH($A24,Usage_Summary!$A$4:$A$236,0))</f>
        <v/>
      </c>
      <c r="G24">
        <f>IF($F24&gt;0,$E24/$F24*30,"")</f>
        <v/>
      </c>
      <c r="H24">
        <f>MAX(0,CEILING(ROUND($F24*Inputs!$B$10/30*Inputs!$B$7,6),1)-$E24)</f>
        <v/>
      </c>
      <c r="I24">
        <f>MAX(0,CEILING(ROUND($F24*Inputs!$B$11/30*Inputs!$B$7,6),1)-$E24)</f>
        <v/>
      </c>
      <c r="J24">
        <f>MAX(0,CEILING(ROUND($F24*Inputs!$B$12/30*Inputs!$B$7,6),1)-$E24)</f>
        <v/>
      </c>
      <c r="K24">
        <f>IF(AND($F24&gt;0,$E24&lt;=0),1,0)</f>
        <v/>
      </c>
      <c r="L24">
        <f>INDEX(Lots_Data!$S$2:$S$234,MATCH($A24,Lots_Data!$A$2:$A$234,0))</f>
        <v/>
      </c>
      <c r="M24">
        <f>INDEX(Lots_Data!$N$2:$N$234,MATCH($A24,Lots_Data!$A$2:$A$234,0))</f>
        <v/>
      </c>
      <c r="N24">
        <f>IF($F24=0,"n/a",IF($L24&gt;=$F24/30*$M24,"adequate","under-set"))</f>
        <v/>
      </c>
    </row>
    <row r="25">
      <c r="A25" t="inlineStr">
        <is>
          <t>SS-01022</t>
        </is>
      </c>
      <c r="B25">
        <f>INDEX(Lots_Data!$C$2:$C$234,MATCH($A25,Lots_Data!$A$2:$A$234,0))</f>
        <v/>
      </c>
      <c r="C25">
        <f>INDEX(Lots_Data!$E$2:$E$234,MATCH($A25,Lots_Data!$A$2:$A$234,0))</f>
        <v/>
      </c>
      <c r="D25">
        <f>INDEX(Lots_Data!$D$2:$D$234,MATCH($A25,Lots_Data!$A$2:$A$234,0))</f>
        <v/>
      </c>
      <c r="E25">
        <f>INDEX(Lots_Data!$K$2:$K$234,MATCH($A25,Lots_Data!$A$2:$A$234,0))</f>
        <v/>
      </c>
      <c r="F25">
        <f>INDEX(Usage_Summary!$C$4:$C$236,MATCH($A25,Usage_Summary!$A$4:$A$236,0))</f>
        <v/>
      </c>
      <c r="G25">
        <f>IF($F25&gt;0,$E25/$F25*30,"")</f>
        <v/>
      </c>
      <c r="H25">
        <f>MAX(0,CEILING(ROUND($F25*Inputs!$B$10/30*Inputs!$B$7,6),1)-$E25)</f>
        <v/>
      </c>
      <c r="I25">
        <f>MAX(0,CEILING(ROUND($F25*Inputs!$B$11/30*Inputs!$B$7,6),1)-$E25)</f>
        <v/>
      </c>
      <c r="J25">
        <f>MAX(0,CEILING(ROUND($F25*Inputs!$B$12/30*Inputs!$B$7,6),1)-$E25)</f>
        <v/>
      </c>
      <c r="K25">
        <f>IF(AND($F25&gt;0,$E25&lt;=0),1,0)</f>
        <v/>
      </c>
      <c r="L25">
        <f>INDEX(Lots_Data!$S$2:$S$234,MATCH($A25,Lots_Data!$A$2:$A$234,0))</f>
        <v/>
      </c>
      <c r="M25">
        <f>INDEX(Lots_Data!$N$2:$N$234,MATCH($A25,Lots_Data!$A$2:$A$234,0))</f>
        <v/>
      </c>
      <c r="N25">
        <f>IF($F25=0,"n/a",IF($L25&gt;=$F25/30*$M25,"adequate","under-set"))</f>
        <v/>
      </c>
    </row>
    <row r="26">
      <c r="A26" t="inlineStr">
        <is>
          <t>SS-01023</t>
        </is>
      </c>
      <c r="B26">
        <f>INDEX(Lots_Data!$C$2:$C$234,MATCH($A26,Lots_Data!$A$2:$A$234,0))</f>
        <v/>
      </c>
      <c r="C26">
        <f>INDEX(Lots_Data!$E$2:$E$234,MATCH($A26,Lots_Data!$A$2:$A$234,0))</f>
        <v/>
      </c>
      <c r="D26">
        <f>INDEX(Lots_Data!$D$2:$D$234,MATCH($A26,Lots_Data!$A$2:$A$234,0))</f>
        <v/>
      </c>
      <c r="E26">
        <f>INDEX(Lots_Data!$K$2:$K$234,MATCH($A26,Lots_Data!$A$2:$A$234,0))</f>
        <v/>
      </c>
      <c r="F26">
        <f>INDEX(Usage_Summary!$C$4:$C$236,MATCH($A26,Usage_Summary!$A$4:$A$236,0))</f>
        <v/>
      </c>
      <c r="G26">
        <f>IF($F26&gt;0,$E26/$F26*30,"")</f>
        <v/>
      </c>
      <c r="H26">
        <f>MAX(0,CEILING(ROUND($F26*Inputs!$B$10/30*Inputs!$B$7,6),1)-$E26)</f>
        <v/>
      </c>
      <c r="I26">
        <f>MAX(0,CEILING(ROUND($F26*Inputs!$B$11/30*Inputs!$B$7,6),1)-$E26)</f>
        <v/>
      </c>
      <c r="J26">
        <f>MAX(0,CEILING(ROUND($F26*Inputs!$B$12/30*Inputs!$B$7,6),1)-$E26)</f>
        <v/>
      </c>
      <c r="K26">
        <f>IF(AND($F26&gt;0,$E26&lt;=0),1,0)</f>
        <v/>
      </c>
      <c r="L26">
        <f>INDEX(Lots_Data!$S$2:$S$234,MATCH($A26,Lots_Data!$A$2:$A$234,0))</f>
        <v/>
      </c>
      <c r="M26">
        <f>INDEX(Lots_Data!$N$2:$N$234,MATCH($A26,Lots_Data!$A$2:$A$234,0))</f>
        <v/>
      </c>
      <c r="N26">
        <f>IF($F26=0,"n/a",IF($L26&gt;=$F26/30*$M26,"adequate","under-set"))</f>
        <v/>
      </c>
    </row>
    <row r="27">
      <c r="A27" t="inlineStr">
        <is>
          <t>SS-01024</t>
        </is>
      </c>
      <c r="B27">
        <f>INDEX(Lots_Data!$C$2:$C$234,MATCH($A27,Lots_Data!$A$2:$A$234,0))</f>
        <v/>
      </c>
      <c r="C27">
        <f>INDEX(Lots_Data!$E$2:$E$234,MATCH($A27,Lots_Data!$A$2:$A$234,0))</f>
        <v/>
      </c>
      <c r="D27">
        <f>INDEX(Lots_Data!$D$2:$D$234,MATCH($A27,Lots_Data!$A$2:$A$234,0))</f>
        <v/>
      </c>
      <c r="E27">
        <f>INDEX(Lots_Data!$K$2:$K$234,MATCH($A27,Lots_Data!$A$2:$A$234,0))</f>
        <v/>
      </c>
      <c r="F27">
        <f>INDEX(Usage_Summary!$C$4:$C$236,MATCH($A27,Usage_Summary!$A$4:$A$236,0))</f>
        <v/>
      </c>
      <c r="G27">
        <f>IF($F27&gt;0,$E27/$F27*30,"")</f>
        <v/>
      </c>
      <c r="H27">
        <f>MAX(0,CEILING(ROUND($F27*Inputs!$B$10/30*Inputs!$B$7,6),1)-$E27)</f>
        <v/>
      </c>
      <c r="I27">
        <f>MAX(0,CEILING(ROUND($F27*Inputs!$B$11/30*Inputs!$B$7,6),1)-$E27)</f>
        <v/>
      </c>
      <c r="J27">
        <f>MAX(0,CEILING(ROUND($F27*Inputs!$B$12/30*Inputs!$B$7,6),1)-$E27)</f>
        <v/>
      </c>
      <c r="K27">
        <f>IF(AND($F27&gt;0,$E27&lt;=0),1,0)</f>
        <v/>
      </c>
      <c r="L27">
        <f>INDEX(Lots_Data!$S$2:$S$234,MATCH($A27,Lots_Data!$A$2:$A$234,0))</f>
        <v/>
      </c>
      <c r="M27">
        <f>INDEX(Lots_Data!$N$2:$N$234,MATCH($A27,Lots_Data!$A$2:$A$234,0))</f>
        <v/>
      </c>
      <c r="N27">
        <f>IF($F27=0,"n/a",IF($L27&gt;=$F27/30*$M27,"adequate","under-set"))</f>
        <v/>
      </c>
    </row>
    <row r="28">
      <c r="A28" t="inlineStr">
        <is>
          <t>SS-01025</t>
        </is>
      </c>
      <c r="B28">
        <f>INDEX(Lots_Data!$C$2:$C$234,MATCH($A28,Lots_Data!$A$2:$A$234,0))</f>
        <v/>
      </c>
      <c r="C28">
        <f>INDEX(Lots_Data!$E$2:$E$234,MATCH($A28,Lots_Data!$A$2:$A$234,0))</f>
        <v/>
      </c>
      <c r="D28">
        <f>INDEX(Lots_Data!$D$2:$D$234,MATCH($A28,Lots_Data!$A$2:$A$234,0))</f>
        <v/>
      </c>
      <c r="E28">
        <f>INDEX(Lots_Data!$K$2:$K$234,MATCH($A28,Lots_Data!$A$2:$A$234,0))</f>
        <v/>
      </c>
      <c r="F28">
        <f>INDEX(Usage_Summary!$C$4:$C$236,MATCH($A28,Usage_Summary!$A$4:$A$236,0))</f>
        <v/>
      </c>
      <c r="G28">
        <f>IF($F28&gt;0,$E28/$F28*30,"")</f>
        <v/>
      </c>
      <c r="H28">
        <f>MAX(0,CEILING(ROUND($F28*Inputs!$B$10/30*Inputs!$B$7,6),1)-$E28)</f>
        <v/>
      </c>
      <c r="I28">
        <f>MAX(0,CEILING(ROUND($F28*Inputs!$B$11/30*Inputs!$B$7,6),1)-$E28)</f>
        <v/>
      </c>
      <c r="J28">
        <f>MAX(0,CEILING(ROUND($F28*Inputs!$B$12/30*Inputs!$B$7,6),1)-$E28)</f>
        <v/>
      </c>
      <c r="K28">
        <f>IF(AND($F28&gt;0,$E28&lt;=0),1,0)</f>
        <v/>
      </c>
      <c r="L28">
        <f>INDEX(Lots_Data!$S$2:$S$234,MATCH($A28,Lots_Data!$A$2:$A$234,0))</f>
        <v/>
      </c>
      <c r="M28">
        <f>INDEX(Lots_Data!$N$2:$N$234,MATCH($A28,Lots_Data!$A$2:$A$234,0))</f>
        <v/>
      </c>
      <c r="N28">
        <f>IF($F28=0,"n/a",IF($L28&gt;=$F28/30*$M28,"adequate","under-set"))</f>
        <v/>
      </c>
    </row>
    <row r="29">
      <c r="A29" t="inlineStr">
        <is>
          <t>SS-01026</t>
        </is>
      </c>
      <c r="B29">
        <f>INDEX(Lots_Data!$C$2:$C$234,MATCH($A29,Lots_Data!$A$2:$A$234,0))</f>
        <v/>
      </c>
      <c r="C29">
        <f>INDEX(Lots_Data!$E$2:$E$234,MATCH($A29,Lots_Data!$A$2:$A$234,0))</f>
        <v/>
      </c>
      <c r="D29">
        <f>INDEX(Lots_Data!$D$2:$D$234,MATCH($A29,Lots_Data!$A$2:$A$234,0))</f>
        <v/>
      </c>
      <c r="E29">
        <f>INDEX(Lots_Data!$K$2:$K$234,MATCH($A29,Lots_Data!$A$2:$A$234,0))</f>
        <v/>
      </c>
      <c r="F29">
        <f>INDEX(Usage_Summary!$C$4:$C$236,MATCH($A29,Usage_Summary!$A$4:$A$236,0))</f>
        <v/>
      </c>
      <c r="G29">
        <f>IF($F29&gt;0,$E29/$F29*30,"")</f>
        <v/>
      </c>
      <c r="H29">
        <f>MAX(0,CEILING(ROUND($F29*Inputs!$B$10/30*Inputs!$B$7,6),1)-$E29)</f>
        <v/>
      </c>
      <c r="I29">
        <f>MAX(0,CEILING(ROUND($F29*Inputs!$B$11/30*Inputs!$B$7,6),1)-$E29)</f>
        <v/>
      </c>
      <c r="J29">
        <f>MAX(0,CEILING(ROUND($F29*Inputs!$B$12/30*Inputs!$B$7,6),1)-$E29)</f>
        <v/>
      </c>
      <c r="K29">
        <f>IF(AND($F29&gt;0,$E29&lt;=0),1,0)</f>
        <v/>
      </c>
      <c r="L29">
        <f>INDEX(Lots_Data!$S$2:$S$234,MATCH($A29,Lots_Data!$A$2:$A$234,0))</f>
        <v/>
      </c>
      <c r="M29">
        <f>INDEX(Lots_Data!$N$2:$N$234,MATCH($A29,Lots_Data!$A$2:$A$234,0))</f>
        <v/>
      </c>
      <c r="N29">
        <f>IF($F29=0,"n/a",IF($L29&gt;=$F29/30*$M29,"adequate","under-set"))</f>
        <v/>
      </c>
    </row>
    <row r="30">
      <c r="A30" t="inlineStr">
        <is>
          <t>SS-01027</t>
        </is>
      </c>
      <c r="B30">
        <f>INDEX(Lots_Data!$C$2:$C$234,MATCH($A30,Lots_Data!$A$2:$A$234,0))</f>
        <v/>
      </c>
      <c r="C30">
        <f>INDEX(Lots_Data!$E$2:$E$234,MATCH($A30,Lots_Data!$A$2:$A$234,0))</f>
        <v/>
      </c>
      <c r="D30">
        <f>INDEX(Lots_Data!$D$2:$D$234,MATCH($A30,Lots_Data!$A$2:$A$234,0))</f>
        <v/>
      </c>
      <c r="E30">
        <f>INDEX(Lots_Data!$K$2:$K$234,MATCH($A30,Lots_Data!$A$2:$A$234,0))</f>
        <v/>
      </c>
      <c r="F30">
        <f>INDEX(Usage_Summary!$C$4:$C$236,MATCH($A30,Usage_Summary!$A$4:$A$236,0))</f>
        <v/>
      </c>
      <c r="G30">
        <f>IF($F30&gt;0,$E30/$F30*30,"")</f>
        <v/>
      </c>
      <c r="H30">
        <f>MAX(0,CEILING(ROUND($F30*Inputs!$B$10/30*Inputs!$B$7,6),1)-$E30)</f>
        <v/>
      </c>
      <c r="I30">
        <f>MAX(0,CEILING(ROUND($F30*Inputs!$B$11/30*Inputs!$B$7,6),1)-$E30)</f>
        <v/>
      </c>
      <c r="J30">
        <f>MAX(0,CEILING(ROUND($F30*Inputs!$B$12/30*Inputs!$B$7,6),1)-$E30)</f>
        <v/>
      </c>
      <c r="K30">
        <f>IF(AND($F30&gt;0,$E30&lt;=0),1,0)</f>
        <v/>
      </c>
      <c r="L30">
        <f>INDEX(Lots_Data!$S$2:$S$234,MATCH($A30,Lots_Data!$A$2:$A$234,0))</f>
        <v/>
      </c>
      <c r="M30">
        <f>INDEX(Lots_Data!$N$2:$N$234,MATCH($A30,Lots_Data!$A$2:$A$234,0))</f>
        <v/>
      </c>
      <c r="N30">
        <f>IF($F30=0,"n/a",IF($L30&gt;=$F30/30*$M30,"adequate","under-set"))</f>
        <v/>
      </c>
    </row>
    <row r="31">
      <c r="A31" t="inlineStr">
        <is>
          <t>SS-01028</t>
        </is>
      </c>
      <c r="B31">
        <f>INDEX(Lots_Data!$C$2:$C$234,MATCH($A31,Lots_Data!$A$2:$A$234,0))</f>
        <v/>
      </c>
      <c r="C31">
        <f>INDEX(Lots_Data!$E$2:$E$234,MATCH($A31,Lots_Data!$A$2:$A$234,0))</f>
        <v/>
      </c>
      <c r="D31">
        <f>INDEX(Lots_Data!$D$2:$D$234,MATCH($A31,Lots_Data!$A$2:$A$234,0))</f>
        <v/>
      </c>
      <c r="E31">
        <f>INDEX(Lots_Data!$K$2:$K$234,MATCH($A31,Lots_Data!$A$2:$A$234,0))</f>
        <v/>
      </c>
      <c r="F31">
        <f>INDEX(Usage_Summary!$C$4:$C$236,MATCH($A31,Usage_Summary!$A$4:$A$236,0))</f>
        <v/>
      </c>
      <c r="G31">
        <f>IF($F31&gt;0,$E31/$F31*30,"")</f>
        <v/>
      </c>
      <c r="H31">
        <f>MAX(0,CEILING(ROUND($F31*Inputs!$B$10/30*Inputs!$B$7,6),1)-$E31)</f>
        <v/>
      </c>
      <c r="I31">
        <f>MAX(0,CEILING(ROUND($F31*Inputs!$B$11/30*Inputs!$B$7,6),1)-$E31)</f>
        <v/>
      </c>
      <c r="J31">
        <f>MAX(0,CEILING(ROUND($F31*Inputs!$B$12/30*Inputs!$B$7,6),1)-$E31)</f>
        <v/>
      </c>
      <c r="K31">
        <f>IF(AND($F31&gt;0,$E31&lt;=0),1,0)</f>
        <v/>
      </c>
      <c r="L31">
        <f>INDEX(Lots_Data!$S$2:$S$234,MATCH($A31,Lots_Data!$A$2:$A$234,0))</f>
        <v/>
      </c>
      <c r="M31">
        <f>INDEX(Lots_Data!$N$2:$N$234,MATCH($A31,Lots_Data!$A$2:$A$234,0))</f>
        <v/>
      </c>
      <c r="N31">
        <f>IF($F31=0,"n/a",IF($L31&gt;=$F31/30*$M31,"adequate","under-set"))</f>
        <v/>
      </c>
    </row>
    <row r="32">
      <c r="A32" t="inlineStr">
        <is>
          <t>SS-01029</t>
        </is>
      </c>
      <c r="B32">
        <f>INDEX(Lots_Data!$C$2:$C$234,MATCH($A32,Lots_Data!$A$2:$A$234,0))</f>
        <v/>
      </c>
      <c r="C32">
        <f>INDEX(Lots_Data!$E$2:$E$234,MATCH($A32,Lots_Data!$A$2:$A$234,0))</f>
        <v/>
      </c>
      <c r="D32">
        <f>INDEX(Lots_Data!$D$2:$D$234,MATCH($A32,Lots_Data!$A$2:$A$234,0))</f>
        <v/>
      </c>
      <c r="E32">
        <f>INDEX(Lots_Data!$K$2:$K$234,MATCH($A32,Lots_Data!$A$2:$A$234,0))</f>
        <v/>
      </c>
      <c r="F32">
        <f>INDEX(Usage_Summary!$C$4:$C$236,MATCH($A32,Usage_Summary!$A$4:$A$236,0))</f>
        <v/>
      </c>
      <c r="G32">
        <f>IF($F32&gt;0,$E32/$F32*30,"")</f>
        <v/>
      </c>
      <c r="H32">
        <f>MAX(0,CEILING(ROUND($F32*Inputs!$B$10/30*Inputs!$B$7,6),1)-$E32)</f>
        <v/>
      </c>
      <c r="I32">
        <f>MAX(0,CEILING(ROUND($F32*Inputs!$B$11/30*Inputs!$B$7,6),1)-$E32)</f>
        <v/>
      </c>
      <c r="J32">
        <f>MAX(0,CEILING(ROUND($F32*Inputs!$B$12/30*Inputs!$B$7,6),1)-$E32)</f>
        <v/>
      </c>
      <c r="K32">
        <f>IF(AND($F32&gt;0,$E32&lt;=0),1,0)</f>
        <v/>
      </c>
      <c r="L32">
        <f>INDEX(Lots_Data!$S$2:$S$234,MATCH($A32,Lots_Data!$A$2:$A$234,0))</f>
        <v/>
      </c>
      <c r="M32">
        <f>INDEX(Lots_Data!$N$2:$N$234,MATCH($A32,Lots_Data!$A$2:$A$234,0))</f>
        <v/>
      </c>
      <c r="N32">
        <f>IF($F32=0,"n/a",IF($L32&gt;=$F32/30*$M32,"adequate","under-set"))</f>
        <v/>
      </c>
    </row>
    <row r="33">
      <c r="A33" t="inlineStr">
        <is>
          <t>SS-01030</t>
        </is>
      </c>
      <c r="B33">
        <f>INDEX(Lots_Data!$C$2:$C$234,MATCH($A33,Lots_Data!$A$2:$A$234,0))</f>
        <v/>
      </c>
      <c r="C33">
        <f>INDEX(Lots_Data!$E$2:$E$234,MATCH($A33,Lots_Data!$A$2:$A$234,0))</f>
        <v/>
      </c>
      <c r="D33">
        <f>INDEX(Lots_Data!$D$2:$D$234,MATCH($A33,Lots_Data!$A$2:$A$234,0))</f>
        <v/>
      </c>
      <c r="E33">
        <f>INDEX(Lots_Data!$K$2:$K$234,MATCH($A33,Lots_Data!$A$2:$A$234,0))</f>
        <v/>
      </c>
      <c r="F33">
        <f>INDEX(Usage_Summary!$C$4:$C$236,MATCH($A33,Usage_Summary!$A$4:$A$236,0))</f>
        <v/>
      </c>
      <c r="G33">
        <f>IF($F33&gt;0,$E33/$F33*30,"")</f>
        <v/>
      </c>
      <c r="H33">
        <f>MAX(0,CEILING(ROUND($F33*Inputs!$B$10/30*Inputs!$B$7,6),1)-$E33)</f>
        <v/>
      </c>
      <c r="I33">
        <f>MAX(0,CEILING(ROUND($F33*Inputs!$B$11/30*Inputs!$B$7,6),1)-$E33)</f>
        <v/>
      </c>
      <c r="J33">
        <f>MAX(0,CEILING(ROUND($F33*Inputs!$B$12/30*Inputs!$B$7,6),1)-$E33)</f>
        <v/>
      </c>
      <c r="K33">
        <f>IF(AND($F33&gt;0,$E33&lt;=0),1,0)</f>
        <v/>
      </c>
      <c r="L33">
        <f>INDEX(Lots_Data!$S$2:$S$234,MATCH($A33,Lots_Data!$A$2:$A$234,0))</f>
        <v/>
      </c>
      <c r="M33">
        <f>INDEX(Lots_Data!$N$2:$N$234,MATCH($A33,Lots_Data!$A$2:$A$234,0))</f>
        <v/>
      </c>
      <c r="N33">
        <f>IF($F33=0,"n/a",IF($L33&gt;=$F33/30*$M33,"adequate","under-set"))</f>
        <v/>
      </c>
    </row>
    <row r="34">
      <c r="A34" t="inlineStr">
        <is>
          <t>SS-01031</t>
        </is>
      </c>
      <c r="B34">
        <f>INDEX(Lots_Data!$C$2:$C$234,MATCH($A34,Lots_Data!$A$2:$A$234,0))</f>
        <v/>
      </c>
      <c r="C34">
        <f>INDEX(Lots_Data!$E$2:$E$234,MATCH($A34,Lots_Data!$A$2:$A$234,0))</f>
        <v/>
      </c>
      <c r="D34">
        <f>INDEX(Lots_Data!$D$2:$D$234,MATCH($A34,Lots_Data!$A$2:$A$234,0))</f>
        <v/>
      </c>
      <c r="E34">
        <f>INDEX(Lots_Data!$K$2:$K$234,MATCH($A34,Lots_Data!$A$2:$A$234,0))</f>
        <v/>
      </c>
      <c r="F34">
        <f>INDEX(Usage_Summary!$C$4:$C$236,MATCH($A34,Usage_Summary!$A$4:$A$236,0))</f>
        <v/>
      </c>
      <c r="G34">
        <f>IF($F34&gt;0,$E34/$F34*30,"")</f>
        <v/>
      </c>
      <c r="H34">
        <f>MAX(0,CEILING(ROUND($F34*Inputs!$B$10/30*Inputs!$B$7,6),1)-$E34)</f>
        <v/>
      </c>
      <c r="I34">
        <f>MAX(0,CEILING(ROUND($F34*Inputs!$B$11/30*Inputs!$B$7,6),1)-$E34)</f>
        <v/>
      </c>
      <c r="J34">
        <f>MAX(0,CEILING(ROUND($F34*Inputs!$B$12/30*Inputs!$B$7,6),1)-$E34)</f>
        <v/>
      </c>
      <c r="K34">
        <f>IF(AND($F34&gt;0,$E34&lt;=0),1,0)</f>
        <v/>
      </c>
      <c r="L34">
        <f>INDEX(Lots_Data!$S$2:$S$234,MATCH($A34,Lots_Data!$A$2:$A$234,0))</f>
        <v/>
      </c>
      <c r="M34">
        <f>INDEX(Lots_Data!$N$2:$N$234,MATCH($A34,Lots_Data!$A$2:$A$234,0))</f>
        <v/>
      </c>
      <c r="N34">
        <f>IF($F34=0,"n/a",IF($L34&gt;=$F34/30*$M34,"adequate","under-set"))</f>
        <v/>
      </c>
    </row>
    <row r="35">
      <c r="A35" t="inlineStr">
        <is>
          <t>SS-01032</t>
        </is>
      </c>
      <c r="B35">
        <f>INDEX(Lots_Data!$C$2:$C$234,MATCH($A35,Lots_Data!$A$2:$A$234,0))</f>
        <v/>
      </c>
      <c r="C35">
        <f>INDEX(Lots_Data!$E$2:$E$234,MATCH($A35,Lots_Data!$A$2:$A$234,0))</f>
        <v/>
      </c>
      <c r="D35">
        <f>INDEX(Lots_Data!$D$2:$D$234,MATCH($A35,Lots_Data!$A$2:$A$234,0))</f>
        <v/>
      </c>
      <c r="E35">
        <f>INDEX(Lots_Data!$K$2:$K$234,MATCH($A35,Lots_Data!$A$2:$A$234,0))</f>
        <v/>
      </c>
      <c r="F35">
        <f>INDEX(Usage_Summary!$C$4:$C$236,MATCH($A35,Usage_Summary!$A$4:$A$236,0))</f>
        <v/>
      </c>
      <c r="G35">
        <f>IF($F35&gt;0,$E35/$F35*30,"")</f>
        <v/>
      </c>
      <c r="H35">
        <f>MAX(0,CEILING(ROUND($F35*Inputs!$B$10/30*Inputs!$B$7,6),1)-$E35)</f>
        <v/>
      </c>
      <c r="I35">
        <f>MAX(0,CEILING(ROUND($F35*Inputs!$B$11/30*Inputs!$B$7,6),1)-$E35)</f>
        <v/>
      </c>
      <c r="J35">
        <f>MAX(0,CEILING(ROUND($F35*Inputs!$B$12/30*Inputs!$B$7,6),1)-$E35)</f>
        <v/>
      </c>
      <c r="K35">
        <f>IF(AND($F35&gt;0,$E35&lt;=0),1,0)</f>
        <v/>
      </c>
      <c r="L35">
        <f>INDEX(Lots_Data!$S$2:$S$234,MATCH($A35,Lots_Data!$A$2:$A$234,0))</f>
        <v/>
      </c>
      <c r="M35">
        <f>INDEX(Lots_Data!$N$2:$N$234,MATCH($A35,Lots_Data!$A$2:$A$234,0))</f>
        <v/>
      </c>
      <c r="N35">
        <f>IF($F35=0,"n/a",IF($L35&gt;=$F35/30*$M35,"adequate","under-set"))</f>
        <v/>
      </c>
    </row>
    <row r="36">
      <c r="A36" t="inlineStr">
        <is>
          <t>SS-01033</t>
        </is>
      </c>
      <c r="B36">
        <f>INDEX(Lots_Data!$C$2:$C$234,MATCH($A36,Lots_Data!$A$2:$A$234,0))</f>
        <v/>
      </c>
      <c r="C36">
        <f>INDEX(Lots_Data!$E$2:$E$234,MATCH($A36,Lots_Data!$A$2:$A$234,0))</f>
        <v/>
      </c>
      <c r="D36">
        <f>INDEX(Lots_Data!$D$2:$D$234,MATCH($A36,Lots_Data!$A$2:$A$234,0))</f>
        <v/>
      </c>
      <c r="E36">
        <f>INDEX(Lots_Data!$K$2:$K$234,MATCH($A36,Lots_Data!$A$2:$A$234,0))</f>
        <v/>
      </c>
      <c r="F36">
        <f>INDEX(Usage_Summary!$C$4:$C$236,MATCH($A36,Usage_Summary!$A$4:$A$236,0))</f>
        <v/>
      </c>
      <c r="G36">
        <f>IF($F36&gt;0,$E36/$F36*30,"")</f>
        <v/>
      </c>
      <c r="H36">
        <f>MAX(0,CEILING(ROUND($F36*Inputs!$B$10/30*Inputs!$B$7,6),1)-$E36)</f>
        <v/>
      </c>
      <c r="I36">
        <f>MAX(0,CEILING(ROUND($F36*Inputs!$B$11/30*Inputs!$B$7,6),1)-$E36)</f>
        <v/>
      </c>
      <c r="J36">
        <f>MAX(0,CEILING(ROUND($F36*Inputs!$B$12/30*Inputs!$B$7,6),1)-$E36)</f>
        <v/>
      </c>
      <c r="K36">
        <f>IF(AND($F36&gt;0,$E36&lt;=0),1,0)</f>
        <v/>
      </c>
      <c r="L36">
        <f>INDEX(Lots_Data!$S$2:$S$234,MATCH($A36,Lots_Data!$A$2:$A$234,0))</f>
        <v/>
      </c>
      <c r="M36">
        <f>INDEX(Lots_Data!$N$2:$N$234,MATCH($A36,Lots_Data!$A$2:$A$234,0))</f>
        <v/>
      </c>
      <c r="N36">
        <f>IF($F36=0,"n/a",IF($L36&gt;=$F36/30*$M36,"adequate","under-set"))</f>
        <v/>
      </c>
    </row>
    <row r="37">
      <c r="A37" t="inlineStr">
        <is>
          <t>SS-01034</t>
        </is>
      </c>
      <c r="B37">
        <f>INDEX(Lots_Data!$C$2:$C$234,MATCH($A37,Lots_Data!$A$2:$A$234,0))</f>
        <v/>
      </c>
      <c r="C37">
        <f>INDEX(Lots_Data!$E$2:$E$234,MATCH($A37,Lots_Data!$A$2:$A$234,0))</f>
        <v/>
      </c>
      <c r="D37">
        <f>INDEX(Lots_Data!$D$2:$D$234,MATCH($A37,Lots_Data!$A$2:$A$234,0))</f>
        <v/>
      </c>
      <c r="E37">
        <f>INDEX(Lots_Data!$K$2:$K$234,MATCH($A37,Lots_Data!$A$2:$A$234,0))</f>
        <v/>
      </c>
      <c r="F37">
        <f>INDEX(Usage_Summary!$C$4:$C$236,MATCH($A37,Usage_Summary!$A$4:$A$236,0))</f>
        <v/>
      </c>
      <c r="G37">
        <f>IF($F37&gt;0,$E37/$F37*30,"")</f>
        <v/>
      </c>
      <c r="H37">
        <f>MAX(0,CEILING(ROUND($F37*Inputs!$B$10/30*Inputs!$B$7,6),1)-$E37)</f>
        <v/>
      </c>
      <c r="I37">
        <f>MAX(0,CEILING(ROUND($F37*Inputs!$B$11/30*Inputs!$B$7,6),1)-$E37)</f>
        <v/>
      </c>
      <c r="J37">
        <f>MAX(0,CEILING(ROUND($F37*Inputs!$B$12/30*Inputs!$B$7,6),1)-$E37)</f>
        <v/>
      </c>
      <c r="K37">
        <f>IF(AND($F37&gt;0,$E37&lt;=0),1,0)</f>
        <v/>
      </c>
      <c r="L37">
        <f>INDEX(Lots_Data!$S$2:$S$234,MATCH($A37,Lots_Data!$A$2:$A$234,0))</f>
        <v/>
      </c>
      <c r="M37">
        <f>INDEX(Lots_Data!$N$2:$N$234,MATCH($A37,Lots_Data!$A$2:$A$234,0))</f>
        <v/>
      </c>
      <c r="N37">
        <f>IF($F37=0,"n/a",IF($L37&gt;=$F37/30*$M37,"adequate","under-set"))</f>
        <v/>
      </c>
    </row>
    <row r="38">
      <c r="A38" t="inlineStr">
        <is>
          <t>SS-01035</t>
        </is>
      </c>
      <c r="B38">
        <f>INDEX(Lots_Data!$C$2:$C$234,MATCH($A38,Lots_Data!$A$2:$A$234,0))</f>
        <v/>
      </c>
      <c r="C38">
        <f>INDEX(Lots_Data!$E$2:$E$234,MATCH($A38,Lots_Data!$A$2:$A$234,0))</f>
        <v/>
      </c>
      <c r="D38">
        <f>INDEX(Lots_Data!$D$2:$D$234,MATCH($A38,Lots_Data!$A$2:$A$234,0))</f>
        <v/>
      </c>
      <c r="E38">
        <f>INDEX(Lots_Data!$K$2:$K$234,MATCH($A38,Lots_Data!$A$2:$A$234,0))</f>
        <v/>
      </c>
      <c r="F38">
        <f>INDEX(Usage_Summary!$C$4:$C$236,MATCH($A38,Usage_Summary!$A$4:$A$236,0))</f>
        <v/>
      </c>
      <c r="G38">
        <f>IF($F38&gt;0,$E38/$F38*30,"")</f>
        <v/>
      </c>
      <c r="H38">
        <f>MAX(0,CEILING(ROUND($F38*Inputs!$B$10/30*Inputs!$B$7,6),1)-$E38)</f>
        <v/>
      </c>
      <c r="I38">
        <f>MAX(0,CEILING(ROUND($F38*Inputs!$B$11/30*Inputs!$B$7,6),1)-$E38)</f>
        <v/>
      </c>
      <c r="J38">
        <f>MAX(0,CEILING(ROUND($F38*Inputs!$B$12/30*Inputs!$B$7,6),1)-$E38)</f>
        <v/>
      </c>
      <c r="K38">
        <f>IF(AND($F38&gt;0,$E38&lt;=0),1,0)</f>
        <v/>
      </c>
      <c r="L38">
        <f>INDEX(Lots_Data!$S$2:$S$234,MATCH($A38,Lots_Data!$A$2:$A$234,0))</f>
        <v/>
      </c>
      <c r="M38">
        <f>INDEX(Lots_Data!$N$2:$N$234,MATCH($A38,Lots_Data!$A$2:$A$234,0))</f>
        <v/>
      </c>
      <c r="N38">
        <f>IF($F38=0,"n/a",IF($L38&gt;=$F38/30*$M38,"adequate","under-set"))</f>
        <v/>
      </c>
    </row>
    <row r="39">
      <c r="A39" t="inlineStr">
        <is>
          <t>SS-01036</t>
        </is>
      </c>
      <c r="B39">
        <f>INDEX(Lots_Data!$C$2:$C$234,MATCH($A39,Lots_Data!$A$2:$A$234,0))</f>
        <v/>
      </c>
      <c r="C39">
        <f>INDEX(Lots_Data!$E$2:$E$234,MATCH($A39,Lots_Data!$A$2:$A$234,0))</f>
        <v/>
      </c>
      <c r="D39">
        <f>INDEX(Lots_Data!$D$2:$D$234,MATCH($A39,Lots_Data!$A$2:$A$234,0))</f>
        <v/>
      </c>
      <c r="E39">
        <f>INDEX(Lots_Data!$K$2:$K$234,MATCH($A39,Lots_Data!$A$2:$A$234,0))</f>
        <v/>
      </c>
      <c r="F39">
        <f>INDEX(Usage_Summary!$C$4:$C$236,MATCH($A39,Usage_Summary!$A$4:$A$236,0))</f>
        <v/>
      </c>
      <c r="G39">
        <f>IF($F39&gt;0,$E39/$F39*30,"")</f>
        <v/>
      </c>
      <c r="H39">
        <f>MAX(0,CEILING(ROUND($F39*Inputs!$B$10/30*Inputs!$B$7,6),1)-$E39)</f>
        <v/>
      </c>
      <c r="I39">
        <f>MAX(0,CEILING(ROUND($F39*Inputs!$B$11/30*Inputs!$B$7,6),1)-$E39)</f>
        <v/>
      </c>
      <c r="J39">
        <f>MAX(0,CEILING(ROUND($F39*Inputs!$B$12/30*Inputs!$B$7,6),1)-$E39)</f>
        <v/>
      </c>
      <c r="K39">
        <f>IF(AND($F39&gt;0,$E39&lt;=0),1,0)</f>
        <v/>
      </c>
      <c r="L39">
        <f>INDEX(Lots_Data!$S$2:$S$234,MATCH($A39,Lots_Data!$A$2:$A$234,0))</f>
        <v/>
      </c>
      <c r="M39">
        <f>INDEX(Lots_Data!$N$2:$N$234,MATCH($A39,Lots_Data!$A$2:$A$234,0))</f>
        <v/>
      </c>
      <c r="N39">
        <f>IF($F39=0,"n/a",IF($L39&gt;=$F39/30*$M39,"adequate","under-set"))</f>
        <v/>
      </c>
    </row>
    <row r="40">
      <c r="A40" t="inlineStr">
        <is>
          <t>SS-01037</t>
        </is>
      </c>
      <c r="B40">
        <f>INDEX(Lots_Data!$C$2:$C$234,MATCH($A40,Lots_Data!$A$2:$A$234,0))</f>
        <v/>
      </c>
      <c r="C40">
        <f>INDEX(Lots_Data!$E$2:$E$234,MATCH($A40,Lots_Data!$A$2:$A$234,0))</f>
        <v/>
      </c>
      <c r="D40">
        <f>INDEX(Lots_Data!$D$2:$D$234,MATCH($A40,Lots_Data!$A$2:$A$234,0))</f>
        <v/>
      </c>
      <c r="E40">
        <f>INDEX(Lots_Data!$K$2:$K$234,MATCH($A40,Lots_Data!$A$2:$A$234,0))</f>
        <v/>
      </c>
      <c r="F40">
        <f>INDEX(Usage_Summary!$C$4:$C$236,MATCH($A40,Usage_Summary!$A$4:$A$236,0))</f>
        <v/>
      </c>
      <c r="G40">
        <f>IF($F40&gt;0,$E40/$F40*30,"")</f>
        <v/>
      </c>
      <c r="H40">
        <f>MAX(0,CEILING(ROUND($F40*Inputs!$B$10/30*Inputs!$B$7,6),1)-$E40)</f>
        <v/>
      </c>
      <c r="I40">
        <f>MAX(0,CEILING(ROUND($F40*Inputs!$B$11/30*Inputs!$B$7,6),1)-$E40)</f>
        <v/>
      </c>
      <c r="J40">
        <f>MAX(0,CEILING(ROUND($F40*Inputs!$B$12/30*Inputs!$B$7,6),1)-$E40)</f>
        <v/>
      </c>
      <c r="K40">
        <f>IF(AND($F40&gt;0,$E40&lt;=0),1,0)</f>
        <v/>
      </c>
      <c r="L40">
        <f>INDEX(Lots_Data!$S$2:$S$234,MATCH($A40,Lots_Data!$A$2:$A$234,0))</f>
        <v/>
      </c>
      <c r="M40">
        <f>INDEX(Lots_Data!$N$2:$N$234,MATCH($A40,Lots_Data!$A$2:$A$234,0))</f>
        <v/>
      </c>
      <c r="N40">
        <f>IF($F40=0,"n/a",IF($L40&gt;=$F40/30*$M40,"adequate","under-set"))</f>
        <v/>
      </c>
    </row>
    <row r="41">
      <c r="A41" t="inlineStr">
        <is>
          <t>SS-01038</t>
        </is>
      </c>
      <c r="B41">
        <f>INDEX(Lots_Data!$C$2:$C$234,MATCH($A41,Lots_Data!$A$2:$A$234,0))</f>
        <v/>
      </c>
      <c r="C41">
        <f>INDEX(Lots_Data!$E$2:$E$234,MATCH($A41,Lots_Data!$A$2:$A$234,0))</f>
        <v/>
      </c>
      <c r="D41">
        <f>INDEX(Lots_Data!$D$2:$D$234,MATCH($A41,Lots_Data!$A$2:$A$234,0))</f>
        <v/>
      </c>
      <c r="E41">
        <f>INDEX(Lots_Data!$K$2:$K$234,MATCH($A41,Lots_Data!$A$2:$A$234,0))</f>
        <v/>
      </c>
      <c r="F41">
        <f>INDEX(Usage_Summary!$C$4:$C$236,MATCH($A41,Usage_Summary!$A$4:$A$236,0))</f>
        <v/>
      </c>
      <c r="G41">
        <f>IF($F41&gt;0,$E41/$F41*30,"")</f>
        <v/>
      </c>
      <c r="H41">
        <f>MAX(0,CEILING(ROUND($F41*Inputs!$B$10/30*Inputs!$B$7,6),1)-$E41)</f>
        <v/>
      </c>
      <c r="I41">
        <f>MAX(0,CEILING(ROUND($F41*Inputs!$B$11/30*Inputs!$B$7,6),1)-$E41)</f>
        <v/>
      </c>
      <c r="J41">
        <f>MAX(0,CEILING(ROUND($F41*Inputs!$B$12/30*Inputs!$B$7,6),1)-$E41)</f>
        <v/>
      </c>
      <c r="K41">
        <f>IF(AND($F41&gt;0,$E41&lt;=0),1,0)</f>
        <v/>
      </c>
      <c r="L41">
        <f>INDEX(Lots_Data!$S$2:$S$234,MATCH($A41,Lots_Data!$A$2:$A$234,0))</f>
        <v/>
      </c>
      <c r="M41">
        <f>INDEX(Lots_Data!$N$2:$N$234,MATCH($A41,Lots_Data!$A$2:$A$234,0))</f>
        <v/>
      </c>
      <c r="N41">
        <f>IF($F41=0,"n/a",IF($L41&gt;=$F41/30*$M41,"adequate","under-set"))</f>
        <v/>
      </c>
    </row>
    <row r="42">
      <c r="A42" t="inlineStr">
        <is>
          <t>SS-01039</t>
        </is>
      </c>
      <c r="B42">
        <f>INDEX(Lots_Data!$C$2:$C$234,MATCH($A42,Lots_Data!$A$2:$A$234,0))</f>
        <v/>
      </c>
      <c r="C42">
        <f>INDEX(Lots_Data!$E$2:$E$234,MATCH($A42,Lots_Data!$A$2:$A$234,0))</f>
        <v/>
      </c>
      <c r="D42">
        <f>INDEX(Lots_Data!$D$2:$D$234,MATCH($A42,Lots_Data!$A$2:$A$234,0))</f>
        <v/>
      </c>
      <c r="E42">
        <f>INDEX(Lots_Data!$K$2:$K$234,MATCH($A42,Lots_Data!$A$2:$A$234,0))</f>
        <v/>
      </c>
      <c r="F42">
        <f>INDEX(Usage_Summary!$C$4:$C$236,MATCH($A42,Usage_Summary!$A$4:$A$236,0))</f>
        <v/>
      </c>
      <c r="G42">
        <f>IF($F42&gt;0,$E42/$F42*30,"")</f>
        <v/>
      </c>
      <c r="H42">
        <f>MAX(0,CEILING(ROUND($F42*Inputs!$B$10/30*Inputs!$B$7,6),1)-$E42)</f>
        <v/>
      </c>
      <c r="I42">
        <f>MAX(0,CEILING(ROUND($F42*Inputs!$B$11/30*Inputs!$B$7,6),1)-$E42)</f>
        <v/>
      </c>
      <c r="J42">
        <f>MAX(0,CEILING(ROUND($F42*Inputs!$B$12/30*Inputs!$B$7,6),1)-$E42)</f>
        <v/>
      </c>
      <c r="K42">
        <f>IF(AND($F42&gt;0,$E42&lt;=0),1,0)</f>
        <v/>
      </c>
      <c r="L42">
        <f>INDEX(Lots_Data!$S$2:$S$234,MATCH($A42,Lots_Data!$A$2:$A$234,0))</f>
        <v/>
      </c>
      <c r="M42">
        <f>INDEX(Lots_Data!$N$2:$N$234,MATCH($A42,Lots_Data!$A$2:$A$234,0))</f>
        <v/>
      </c>
      <c r="N42">
        <f>IF($F42=0,"n/a",IF($L42&gt;=$F42/30*$M42,"adequate","under-set"))</f>
        <v/>
      </c>
    </row>
    <row r="43">
      <c r="A43" t="inlineStr">
        <is>
          <t>SS-01040</t>
        </is>
      </c>
      <c r="B43">
        <f>INDEX(Lots_Data!$C$2:$C$234,MATCH($A43,Lots_Data!$A$2:$A$234,0))</f>
        <v/>
      </c>
      <c r="C43">
        <f>INDEX(Lots_Data!$E$2:$E$234,MATCH($A43,Lots_Data!$A$2:$A$234,0))</f>
        <v/>
      </c>
      <c r="D43">
        <f>INDEX(Lots_Data!$D$2:$D$234,MATCH($A43,Lots_Data!$A$2:$A$234,0))</f>
        <v/>
      </c>
      <c r="E43">
        <f>INDEX(Lots_Data!$K$2:$K$234,MATCH($A43,Lots_Data!$A$2:$A$234,0))</f>
        <v/>
      </c>
      <c r="F43">
        <f>INDEX(Usage_Summary!$C$4:$C$236,MATCH($A43,Usage_Summary!$A$4:$A$236,0))</f>
        <v/>
      </c>
      <c r="G43">
        <f>IF($F43&gt;0,$E43/$F43*30,"")</f>
        <v/>
      </c>
      <c r="H43">
        <f>MAX(0,CEILING(ROUND($F43*Inputs!$B$10/30*Inputs!$B$7,6),1)-$E43)</f>
        <v/>
      </c>
      <c r="I43">
        <f>MAX(0,CEILING(ROUND($F43*Inputs!$B$11/30*Inputs!$B$7,6),1)-$E43)</f>
        <v/>
      </c>
      <c r="J43">
        <f>MAX(0,CEILING(ROUND($F43*Inputs!$B$12/30*Inputs!$B$7,6),1)-$E43)</f>
        <v/>
      </c>
      <c r="K43">
        <f>IF(AND($F43&gt;0,$E43&lt;=0),1,0)</f>
        <v/>
      </c>
      <c r="L43">
        <f>INDEX(Lots_Data!$S$2:$S$234,MATCH($A43,Lots_Data!$A$2:$A$234,0))</f>
        <v/>
      </c>
      <c r="M43">
        <f>INDEX(Lots_Data!$N$2:$N$234,MATCH($A43,Lots_Data!$A$2:$A$234,0))</f>
        <v/>
      </c>
      <c r="N43">
        <f>IF($F43=0,"n/a",IF($L43&gt;=$F43/30*$M43,"adequate","under-set"))</f>
        <v/>
      </c>
    </row>
    <row r="44">
      <c r="A44" t="inlineStr">
        <is>
          <t>SS-01041</t>
        </is>
      </c>
      <c r="B44">
        <f>INDEX(Lots_Data!$C$2:$C$234,MATCH($A44,Lots_Data!$A$2:$A$234,0))</f>
        <v/>
      </c>
      <c r="C44">
        <f>INDEX(Lots_Data!$E$2:$E$234,MATCH($A44,Lots_Data!$A$2:$A$234,0))</f>
        <v/>
      </c>
      <c r="D44">
        <f>INDEX(Lots_Data!$D$2:$D$234,MATCH($A44,Lots_Data!$A$2:$A$234,0))</f>
        <v/>
      </c>
      <c r="E44">
        <f>INDEX(Lots_Data!$K$2:$K$234,MATCH($A44,Lots_Data!$A$2:$A$234,0))</f>
        <v/>
      </c>
      <c r="F44">
        <f>INDEX(Usage_Summary!$C$4:$C$236,MATCH($A44,Usage_Summary!$A$4:$A$236,0))</f>
        <v/>
      </c>
      <c r="G44">
        <f>IF($F44&gt;0,$E44/$F44*30,"")</f>
        <v/>
      </c>
      <c r="H44">
        <f>MAX(0,CEILING(ROUND($F44*Inputs!$B$10/30*Inputs!$B$7,6),1)-$E44)</f>
        <v/>
      </c>
      <c r="I44">
        <f>MAX(0,CEILING(ROUND($F44*Inputs!$B$11/30*Inputs!$B$7,6),1)-$E44)</f>
        <v/>
      </c>
      <c r="J44">
        <f>MAX(0,CEILING(ROUND($F44*Inputs!$B$12/30*Inputs!$B$7,6),1)-$E44)</f>
        <v/>
      </c>
      <c r="K44">
        <f>IF(AND($F44&gt;0,$E44&lt;=0),1,0)</f>
        <v/>
      </c>
      <c r="L44">
        <f>INDEX(Lots_Data!$S$2:$S$234,MATCH($A44,Lots_Data!$A$2:$A$234,0))</f>
        <v/>
      </c>
      <c r="M44">
        <f>INDEX(Lots_Data!$N$2:$N$234,MATCH($A44,Lots_Data!$A$2:$A$234,0))</f>
        <v/>
      </c>
      <c r="N44">
        <f>IF($F44=0,"n/a",IF($L44&gt;=$F44/30*$M44,"adequate","under-set"))</f>
        <v/>
      </c>
    </row>
    <row r="45">
      <c r="A45" t="inlineStr">
        <is>
          <t>SS-01042</t>
        </is>
      </c>
      <c r="B45">
        <f>INDEX(Lots_Data!$C$2:$C$234,MATCH($A45,Lots_Data!$A$2:$A$234,0))</f>
        <v/>
      </c>
      <c r="C45">
        <f>INDEX(Lots_Data!$E$2:$E$234,MATCH($A45,Lots_Data!$A$2:$A$234,0))</f>
        <v/>
      </c>
      <c r="D45">
        <f>INDEX(Lots_Data!$D$2:$D$234,MATCH($A45,Lots_Data!$A$2:$A$234,0))</f>
        <v/>
      </c>
      <c r="E45">
        <f>INDEX(Lots_Data!$K$2:$K$234,MATCH($A45,Lots_Data!$A$2:$A$234,0))</f>
        <v/>
      </c>
      <c r="F45">
        <f>INDEX(Usage_Summary!$C$4:$C$236,MATCH($A45,Usage_Summary!$A$4:$A$236,0))</f>
        <v/>
      </c>
      <c r="G45">
        <f>IF($F45&gt;0,$E45/$F45*30,"")</f>
        <v/>
      </c>
      <c r="H45">
        <f>MAX(0,CEILING(ROUND($F45*Inputs!$B$10/30*Inputs!$B$7,6),1)-$E45)</f>
        <v/>
      </c>
      <c r="I45">
        <f>MAX(0,CEILING(ROUND($F45*Inputs!$B$11/30*Inputs!$B$7,6),1)-$E45)</f>
        <v/>
      </c>
      <c r="J45">
        <f>MAX(0,CEILING(ROUND($F45*Inputs!$B$12/30*Inputs!$B$7,6),1)-$E45)</f>
        <v/>
      </c>
      <c r="K45">
        <f>IF(AND($F45&gt;0,$E45&lt;=0),1,0)</f>
        <v/>
      </c>
      <c r="L45">
        <f>INDEX(Lots_Data!$S$2:$S$234,MATCH($A45,Lots_Data!$A$2:$A$234,0))</f>
        <v/>
      </c>
      <c r="M45">
        <f>INDEX(Lots_Data!$N$2:$N$234,MATCH($A45,Lots_Data!$A$2:$A$234,0))</f>
        <v/>
      </c>
      <c r="N45">
        <f>IF($F45=0,"n/a",IF($L45&gt;=$F45/30*$M45,"adequate","under-set"))</f>
        <v/>
      </c>
    </row>
    <row r="46">
      <c r="A46" t="inlineStr">
        <is>
          <t>SS-01043</t>
        </is>
      </c>
      <c r="B46">
        <f>INDEX(Lots_Data!$C$2:$C$234,MATCH($A46,Lots_Data!$A$2:$A$234,0))</f>
        <v/>
      </c>
      <c r="C46">
        <f>INDEX(Lots_Data!$E$2:$E$234,MATCH($A46,Lots_Data!$A$2:$A$234,0))</f>
        <v/>
      </c>
      <c r="D46">
        <f>INDEX(Lots_Data!$D$2:$D$234,MATCH($A46,Lots_Data!$A$2:$A$234,0))</f>
        <v/>
      </c>
      <c r="E46">
        <f>INDEX(Lots_Data!$K$2:$K$234,MATCH($A46,Lots_Data!$A$2:$A$234,0))</f>
        <v/>
      </c>
      <c r="F46">
        <f>INDEX(Usage_Summary!$C$4:$C$236,MATCH($A46,Usage_Summary!$A$4:$A$236,0))</f>
        <v/>
      </c>
      <c r="G46">
        <f>IF($F46&gt;0,$E46/$F46*30,"")</f>
        <v/>
      </c>
      <c r="H46">
        <f>MAX(0,CEILING(ROUND($F46*Inputs!$B$10/30*Inputs!$B$7,6),1)-$E46)</f>
        <v/>
      </c>
      <c r="I46">
        <f>MAX(0,CEILING(ROUND($F46*Inputs!$B$11/30*Inputs!$B$7,6),1)-$E46)</f>
        <v/>
      </c>
      <c r="J46">
        <f>MAX(0,CEILING(ROUND($F46*Inputs!$B$12/30*Inputs!$B$7,6),1)-$E46)</f>
        <v/>
      </c>
      <c r="K46">
        <f>IF(AND($F46&gt;0,$E46&lt;=0),1,0)</f>
        <v/>
      </c>
      <c r="L46">
        <f>INDEX(Lots_Data!$S$2:$S$234,MATCH($A46,Lots_Data!$A$2:$A$234,0))</f>
        <v/>
      </c>
      <c r="M46">
        <f>INDEX(Lots_Data!$N$2:$N$234,MATCH($A46,Lots_Data!$A$2:$A$234,0))</f>
        <v/>
      </c>
      <c r="N46">
        <f>IF($F46=0,"n/a",IF($L46&gt;=$F46/30*$M46,"adequate","under-set"))</f>
        <v/>
      </c>
    </row>
    <row r="47">
      <c r="A47" t="inlineStr">
        <is>
          <t>SS-01044</t>
        </is>
      </c>
      <c r="B47">
        <f>INDEX(Lots_Data!$C$2:$C$234,MATCH($A47,Lots_Data!$A$2:$A$234,0))</f>
        <v/>
      </c>
      <c r="C47">
        <f>INDEX(Lots_Data!$E$2:$E$234,MATCH($A47,Lots_Data!$A$2:$A$234,0))</f>
        <v/>
      </c>
      <c r="D47">
        <f>INDEX(Lots_Data!$D$2:$D$234,MATCH($A47,Lots_Data!$A$2:$A$234,0))</f>
        <v/>
      </c>
      <c r="E47">
        <f>INDEX(Lots_Data!$K$2:$K$234,MATCH($A47,Lots_Data!$A$2:$A$234,0))</f>
        <v/>
      </c>
      <c r="F47">
        <f>INDEX(Usage_Summary!$C$4:$C$236,MATCH($A47,Usage_Summary!$A$4:$A$236,0))</f>
        <v/>
      </c>
      <c r="G47">
        <f>IF($F47&gt;0,$E47/$F47*30,"")</f>
        <v/>
      </c>
      <c r="H47">
        <f>MAX(0,CEILING(ROUND($F47*Inputs!$B$10/30*Inputs!$B$7,6),1)-$E47)</f>
        <v/>
      </c>
      <c r="I47">
        <f>MAX(0,CEILING(ROUND($F47*Inputs!$B$11/30*Inputs!$B$7,6),1)-$E47)</f>
        <v/>
      </c>
      <c r="J47">
        <f>MAX(0,CEILING(ROUND($F47*Inputs!$B$12/30*Inputs!$B$7,6),1)-$E47)</f>
        <v/>
      </c>
      <c r="K47">
        <f>IF(AND($F47&gt;0,$E47&lt;=0),1,0)</f>
        <v/>
      </c>
      <c r="L47">
        <f>INDEX(Lots_Data!$S$2:$S$234,MATCH($A47,Lots_Data!$A$2:$A$234,0))</f>
        <v/>
      </c>
      <c r="M47">
        <f>INDEX(Lots_Data!$N$2:$N$234,MATCH($A47,Lots_Data!$A$2:$A$234,0))</f>
        <v/>
      </c>
      <c r="N47">
        <f>IF($F47=0,"n/a",IF($L47&gt;=$F47/30*$M47,"adequate","under-set"))</f>
        <v/>
      </c>
    </row>
    <row r="48">
      <c r="A48" t="inlineStr">
        <is>
          <t>SS-01045</t>
        </is>
      </c>
      <c r="B48">
        <f>INDEX(Lots_Data!$C$2:$C$234,MATCH($A48,Lots_Data!$A$2:$A$234,0))</f>
        <v/>
      </c>
      <c r="C48">
        <f>INDEX(Lots_Data!$E$2:$E$234,MATCH($A48,Lots_Data!$A$2:$A$234,0))</f>
        <v/>
      </c>
      <c r="D48">
        <f>INDEX(Lots_Data!$D$2:$D$234,MATCH($A48,Lots_Data!$A$2:$A$234,0))</f>
        <v/>
      </c>
      <c r="E48">
        <f>INDEX(Lots_Data!$K$2:$K$234,MATCH($A48,Lots_Data!$A$2:$A$234,0))</f>
        <v/>
      </c>
      <c r="F48">
        <f>INDEX(Usage_Summary!$C$4:$C$236,MATCH($A48,Usage_Summary!$A$4:$A$236,0))</f>
        <v/>
      </c>
      <c r="G48">
        <f>IF($F48&gt;0,$E48/$F48*30,"")</f>
        <v/>
      </c>
      <c r="H48">
        <f>MAX(0,CEILING(ROUND($F48*Inputs!$B$10/30*Inputs!$B$7,6),1)-$E48)</f>
        <v/>
      </c>
      <c r="I48">
        <f>MAX(0,CEILING(ROUND($F48*Inputs!$B$11/30*Inputs!$B$7,6),1)-$E48)</f>
        <v/>
      </c>
      <c r="J48">
        <f>MAX(0,CEILING(ROUND($F48*Inputs!$B$12/30*Inputs!$B$7,6),1)-$E48)</f>
        <v/>
      </c>
      <c r="K48">
        <f>IF(AND($F48&gt;0,$E48&lt;=0),1,0)</f>
        <v/>
      </c>
      <c r="L48">
        <f>INDEX(Lots_Data!$S$2:$S$234,MATCH($A48,Lots_Data!$A$2:$A$234,0))</f>
        <v/>
      </c>
      <c r="M48">
        <f>INDEX(Lots_Data!$N$2:$N$234,MATCH($A48,Lots_Data!$A$2:$A$234,0))</f>
        <v/>
      </c>
      <c r="N48">
        <f>IF($F48=0,"n/a",IF($L48&gt;=$F48/30*$M48,"adequate","under-set"))</f>
        <v/>
      </c>
    </row>
    <row r="49">
      <c r="A49" t="inlineStr">
        <is>
          <t>SS-01046</t>
        </is>
      </c>
      <c r="B49">
        <f>INDEX(Lots_Data!$C$2:$C$234,MATCH($A49,Lots_Data!$A$2:$A$234,0))</f>
        <v/>
      </c>
      <c r="C49">
        <f>INDEX(Lots_Data!$E$2:$E$234,MATCH($A49,Lots_Data!$A$2:$A$234,0))</f>
        <v/>
      </c>
      <c r="D49">
        <f>INDEX(Lots_Data!$D$2:$D$234,MATCH($A49,Lots_Data!$A$2:$A$234,0))</f>
        <v/>
      </c>
      <c r="E49">
        <f>INDEX(Lots_Data!$K$2:$K$234,MATCH($A49,Lots_Data!$A$2:$A$234,0))</f>
        <v/>
      </c>
      <c r="F49">
        <f>INDEX(Usage_Summary!$C$4:$C$236,MATCH($A49,Usage_Summary!$A$4:$A$236,0))</f>
        <v/>
      </c>
      <c r="G49">
        <f>IF($F49&gt;0,$E49/$F49*30,"")</f>
        <v/>
      </c>
      <c r="H49">
        <f>MAX(0,CEILING(ROUND($F49*Inputs!$B$10/30*Inputs!$B$7,6),1)-$E49)</f>
        <v/>
      </c>
      <c r="I49">
        <f>MAX(0,CEILING(ROUND($F49*Inputs!$B$11/30*Inputs!$B$7,6),1)-$E49)</f>
        <v/>
      </c>
      <c r="J49">
        <f>MAX(0,CEILING(ROUND($F49*Inputs!$B$12/30*Inputs!$B$7,6),1)-$E49)</f>
        <v/>
      </c>
      <c r="K49">
        <f>IF(AND($F49&gt;0,$E49&lt;=0),1,0)</f>
        <v/>
      </c>
      <c r="L49">
        <f>INDEX(Lots_Data!$S$2:$S$234,MATCH($A49,Lots_Data!$A$2:$A$234,0))</f>
        <v/>
      </c>
      <c r="M49">
        <f>INDEX(Lots_Data!$N$2:$N$234,MATCH($A49,Lots_Data!$A$2:$A$234,0))</f>
        <v/>
      </c>
      <c r="N49">
        <f>IF($F49=0,"n/a",IF($L49&gt;=$F49/30*$M49,"adequate","under-set"))</f>
        <v/>
      </c>
    </row>
    <row r="50">
      <c r="A50" t="inlineStr">
        <is>
          <t>SS-01047</t>
        </is>
      </c>
      <c r="B50">
        <f>INDEX(Lots_Data!$C$2:$C$234,MATCH($A50,Lots_Data!$A$2:$A$234,0))</f>
        <v/>
      </c>
      <c r="C50">
        <f>INDEX(Lots_Data!$E$2:$E$234,MATCH($A50,Lots_Data!$A$2:$A$234,0))</f>
        <v/>
      </c>
      <c r="D50">
        <f>INDEX(Lots_Data!$D$2:$D$234,MATCH($A50,Lots_Data!$A$2:$A$234,0))</f>
        <v/>
      </c>
      <c r="E50">
        <f>INDEX(Lots_Data!$K$2:$K$234,MATCH($A50,Lots_Data!$A$2:$A$234,0))</f>
        <v/>
      </c>
      <c r="F50">
        <f>INDEX(Usage_Summary!$C$4:$C$236,MATCH($A50,Usage_Summary!$A$4:$A$236,0))</f>
        <v/>
      </c>
      <c r="G50">
        <f>IF($F50&gt;0,$E50/$F50*30,"")</f>
        <v/>
      </c>
      <c r="H50">
        <f>MAX(0,CEILING(ROUND($F50*Inputs!$B$10/30*Inputs!$B$7,6),1)-$E50)</f>
        <v/>
      </c>
      <c r="I50">
        <f>MAX(0,CEILING(ROUND($F50*Inputs!$B$11/30*Inputs!$B$7,6),1)-$E50)</f>
        <v/>
      </c>
      <c r="J50">
        <f>MAX(0,CEILING(ROUND($F50*Inputs!$B$12/30*Inputs!$B$7,6),1)-$E50)</f>
        <v/>
      </c>
      <c r="K50">
        <f>IF(AND($F50&gt;0,$E50&lt;=0),1,0)</f>
        <v/>
      </c>
      <c r="L50">
        <f>INDEX(Lots_Data!$S$2:$S$234,MATCH($A50,Lots_Data!$A$2:$A$234,0))</f>
        <v/>
      </c>
      <c r="M50">
        <f>INDEX(Lots_Data!$N$2:$N$234,MATCH($A50,Lots_Data!$A$2:$A$234,0))</f>
        <v/>
      </c>
      <c r="N50">
        <f>IF($F50=0,"n/a",IF($L50&gt;=$F50/30*$M50,"adequate","under-set"))</f>
        <v/>
      </c>
    </row>
    <row r="51">
      <c r="A51" t="inlineStr">
        <is>
          <t>SS-01048</t>
        </is>
      </c>
      <c r="B51">
        <f>INDEX(Lots_Data!$C$2:$C$234,MATCH($A51,Lots_Data!$A$2:$A$234,0))</f>
        <v/>
      </c>
      <c r="C51">
        <f>INDEX(Lots_Data!$E$2:$E$234,MATCH($A51,Lots_Data!$A$2:$A$234,0))</f>
        <v/>
      </c>
      <c r="D51">
        <f>INDEX(Lots_Data!$D$2:$D$234,MATCH($A51,Lots_Data!$A$2:$A$234,0))</f>
        <v/>
      </c>
      <c r="E51">
        <f>INDEX(Lots_Data!$K$2:$K$234,MATCH($A51,Lots_Data!$A$2:$A$234,0))</f>
        <v/>
      </c>
      <c r="F51">
        <f>INDEX(Usage_Summary!$C$4:$C$236,MATCH($A51,Usage_Summary!$A$4:$A$236,0))</f>
        <v/>
      </c>
      <c r="G51">
        <f>IF($F51&gt;0,$E51/$F51*30,"")</f>
        <v/>
      </c>
      <c r="H51">
        <f>MAX(0,CEILING(ROUND($F51*Inputs!$B$10/30*Inputs!$B$7,6),1)-$E51)</f>
        <v/>
      </c>
      <c r="I51">
        <f>MAX(0,CEILING(ROUND($F51*Inputs!$B$11/30*Inputs!$B$7,6),1)-$E51)</f>
        <v/>
      </c>
      <c r="J51">
        <f>MAX(0,CEILING(ROUND($F51*Inputs!$B$12/30*Inputs!$B$7,6),1)-$E51)</f>
        <v/>
      </c>
      <c r="K51">
        <f>IF(AND($F51&gt;0,$E51&lt;=0),1,0)</f>
        <v/>
      </c>
      <c r="L51">
        <f>INDEX(Lots_Data!$S$2:$S$234,MATCH($A51,Lots_Data!$A$2:$A$234,0))</f>
        <v/>
      </c>
      <c r="M51">
        <f>INDEX(Lots_Data!$N$2:$N$234,MATCH($A51,Lots_Data!$A$2:$A$234,0))</f>
        <v/>
      </c>
      <c r="N51">
        <f>IF($F51=0,"n/a",IF($L51&gt;=$F51/30*$M51,"adequate","under-set"))</f>
        <v/>
      </c>
    </row>
    <row r="52">
      <c r="A52" t="inlineStr">
        <is>
          <t>SS-01049</t>
        </is>
      </c>
      <c r="B52">
        <f>INDEX(Lots_Data!$C$2:$C$234,MATCH($A52,Lots_Data!$A$2:$A$234,0))</f>
        <v/>
      </c>
      <c r="C52">
        <f>INDEX(Lots_Data!$E$2:$E$234,MATCH($A52,Lots_Data!$A$2:$A$234,0))</f>
        <v/>
      </c>
      <c r="D52">
        <f>INDEX(Lots_Data!$D$2:$D$234,MATCH($A52,Lots_Data!$A$2:$A$234,0))</f>
        <v/>
      </c>
      <c r="E52">
        <f>INDEX(Lots_Data!$K$2:$K$234,MATCH($A52,Lots_Data!$A$2:$A$234,0))</f>
        <v/>
      </c>
      <c r="F52">
        <f>INDEX(Usage_Summary!$C$4:$C$236,MATCH($A52,Usage_Summary!$A$4:$A$236,0))</f>
        <v/>
      </c>
      <c r="G52">
        <f>IF($F52&gt;0,$E52/$F52*30,"")</f>
        <v/>
      </c>
      <c r="H52">
        <f>MAX(0,CEILING(ROUND($F52*Inputs!$B$10/30*Inputs!$B$7,6),1)-$E52)</f>
        <v/>
      </c>
      <c r="I52">
        <f>MAX(0,CEILING(ROUND($F52*Inputs!$B$11/30*Inputs!$B$7,6),1)-$E52)</f>
        <v/>
      </c>
      <c r="J52">
        <f>MAX(0,CEILING(ROUND($F52*Inputs!$B$12/30*Inputs!$B$7,6),1)-$E52)</f>
        <v/>
      </c>
      <c r="K52">
        <f>IF(AND($F52&gt;0,$E52&lt;=0),1,0)</f>
        <v/>
      </c>
      <c r="L52">
        <f>INDEX(Lots_Data!$S$2:$S$234,MATCH($A52,Lots_Data!$A$2:$A$234,0))</f>
        <v/>
      </c>
      <c r="M52">
        <f>INDEX(Lots_Data!$N$2:$N$234,MATCH($A52,Lots_Data!$A$2:$A$234,0))</f>
        <v/>
      </c>
      <c r="N52">
        <f>IF($F52=0,"n/a",IF($L52&gt;=$F52/30*$M52,"adequate","under-set"))</f>
        <v/>
      </c>
    </row>
    <row r="53">
      <c r="A53" t="inlineStr">
        <is>
          <t>SS-01050</t>
        </is>
      </c>
      <c r="B53">
        <f>INDEX(Lots_Data!$C$2:$C$234,MATCH($A53,Lots_Data!$A$2:$A$234,0))</f>
        <v/>
      </c>
      <c r="C53">
        <f>INDEX(Lots_Data!$E$2:$E$234,MATCH($A53,Lots_Data!$A$2:$A$234,0))</f>
        <v/>
      </c>
      <c r="D53">
        <f>INDEX(Lots_Data!$D$2:$D$234,MATCH($A53,Lots_Data!$A$2:$A$234,0))</f>
        <v/>
      </c>
      <c r="E53">
        <f>INDEX(Lots_Data!$K$2:$K$234,MATCH($A53,Lots_Data!$A$2:$A$234,0))</f>
        <v/>
      </c>
      <c r="F53">
        <f>INDEX(Usage_Summary!$C$4:$C$236,MATCH($A53,Usage_Summary!$A$4:$A$236,0))</f>
        <v/>
      </c>
      <c r="G53">
        <f>IF($F53&gt;0,$E53/$F53*30,"")</f>
        <v/>
      </c>
      <c r="H53">
        <f>MAX(0,CEILING(ROUND($F53*Inputs!$B$10/30*Inputs!$B$7,6),1)-$E53)</f>
        <v/>
      </c>
      <c r="I53">
        <f>MAX(0,CEILING(ROUND($F53*Inputs!$B$11/30*Inputs!$B$7,6),1)-$E53)</f>
        <v/>
      </c>
      <c r="J53">
        <f>MAX(0,CEILING(ROUND($F53*Inputs!$B$12/30*Inputs!$B$7,6),1)-$E53)</f>
        <v/>
      </c>
      <c r="K53">
        <f>IF(AND($F53&gt;0,$E53&lt;=0),1,0)</f>
        <v/>
      </c>
      <c r="L53">
        <f>INDEX(Lots_Data!$S$2:$S$234,MATCH($A53,Lots_Data!$A$2:$A$234,0))</f>
        <v/>
      </c>
      <c r="M53">
        <f>INDEX(Lots_Data!$N$2:$N$234,MATCH($A53,Lots_Data!$A$2:$A$234,0))</f>
        <v/>
      </c>
      <c r="N53">
        <f>IF($F53=0,"n/a",IF($L53&gt;=$F53/30*$M53,"adequate","under-set"))</f>
        <v/>
      </c>
    </row>
    <row r="54">
      <c r="A54" t="inlineStr">
        <is>
          <t>SS-01051</t>
        </is>
      </c>
      <c r="B54">
        <f>INDEX(Lots_Data!$C$2:$C$234,MATCH($A54,Lots_Data!$A$2:$A$234,0))</f>
        <v/>
      </c>
      <c r="C54">
        <f>INDEX(Lots_Data!$E$2:$E$234,MATCH($A54,Lots_Data!$A$2:$A$234,0))</f>
        <v/>
      </c>
      <c r="D54">
        <f>INDEX(Lots_Data!$D$2:$D$234,MATCH($A54,Lots_Data!$A$2:$A$234,0))</f>
        <v/>
      </c>
      <c r="E54">
        <f>INDEX(Lots_Data!$K$2:$K$234,MATCH($A54,Lots_Data!$A$2:$A$234,0))</f>
        <v/>
      </c>
      <c r="F54">
        <f>INDEX(Usage_Summary!$C$4:$C$236,MATCH($A54,Usage_Summary!$A$4:$A$236,0))</f>
        <v/>
      </c>
      <c r="G54">
        <f>IF($F54&gt;0,$E54/$F54*30,"")</f>
        <v/>
      </c>
      <c r="H54">
        <f>MAX(0,CEILING(ROUND($F54*Inputs!$B$10/30*Inputs!$B$7,6),1)-$E54)</f>
        <v/>
      </c>
      <c r="I54">
        <f>MAX(0,CEILING(ROUND($F54*Inputs!$B$11/30*Inputs!$B$7,6),1)-$E54)</f>
        <v/>
      </c>
      <c r="J54">
        <f>MAX(0,CEILING(ROUND($F54*Inputs!$B$12/30*Inputs!$B$7,6),1)-$E54)</f>
        <v/>
      </c>
      <c r="K54">
        <f>IF(AND($F54&gt;0,$E54&lt;=0),1,0)</f>
        <v/>
      </c>
      <c r="L54">
        <f>INDEX(Lots_Data!$S$2:$S$234,MATCH($A54,Lots_Data!$A$2:$A$234,0))</f>
        <v/>
      </c>
      <c r="M54">
        <f>INDEX(Lots_Data!$N$2:$N$234,MATCH($A54,Lots_Data!$A$2:$A$234,0))</f>
        <v/>
      </c>
      <c r="N54">
        <f>IF($F54=0,"n/a",IF($L54&gt;=$F54/30*$M54,"adequate","under-set"))</f>
        <v/>
      </c>
    </row>
    <row r="55">
      <c r="A55" t="inlineStr">
        <is>
          <t>SS-01052</t>
        </is>
      </c>
      <c r="B55">
        <f>INDEX(Lots_Data!$C$2:$C$234,MATCH($A55,Lots_Data!$A$2:$A$234,0))</f>
        <v/>
      </c>
      <c r="C55">
        <f>INDEX(Lots_Data!$E$2:$E$234,MATCH($A55,Lots_Data!$A$2:$A$234,0))</f>
        <v/>
      </c>
      <c r="D55">
        <f>INDEX(Lots_Data!$D$2:$D$234,MATCH($A55,Lots_Data!$A$2:$A$234,0))</f>
        <v/>
      </c>
      <c r="E55">
        <f>INDEX(Lots_Data!$K$2:$K$234,MATCH($A55,Lots_Data!$A$2:$A$234,0))</f>
        <v/>
      </c>
      <c r="F55">
        <f>INDEX(Usage_Summary!$C$4:$C$236,MATCH($A55,Usage_Summary!$A$4:$A$236,0))</f>
        <v/>
      </c>
      <c r="G55">
        <f>IF($F55&gt;0,$E55/$F55*30,"")</f>
        <v/>
      </c>
      <c r="H55">
        <f>MAX(0,CEILING(ROUND($F55*Inputs!$B$10/30*Inputs!$B$7,6),1)-$E55)</f>
        <v/>
      </c>
      <c r="I55">
        <f>MAX(0,CEILING(ROUND($F55*Inputs!$B$11/30*Inputs!$B$7,6),1)-$E55)</f>
        <v/>
      </c>
      <c r="J55">
        <f>MAX(0,CEILING(ROUND($F55*Inputs!$B$12/30*Inputs!$B$7,6),1)-$E55)</f>
        <v/>
      </c>
      <c r="K55">
        <f>IF(AND($F55&gt;0,$E55&lt;=0),1,0)</f>
        <v/>
      </c>
      <c r="L55">
        <f>INDEX(Lots_Data!$S$2:$S$234,MATCH($A55,Lots_Data!$A$2:$A$234,0))</f>
        <v/>
      </c>
      <c r="M55">
        <f>INDEX(Lots_Data!$N$2:$N$234,MATCH($A55,Lots_Data!$A$2:$A$234,0))</f>
        <v/>
      </c>
      <c r="N55">
        <f>IF($F55=0,"n/a",IF($L55&gt;=$F55/30*$M55,"adequate","under-set"))</f>
        <v/>
      </c>
    </row>
    <row r="56">
      <c r="A56" t="inlineStr">
        <is>
          <t>SS-01053</t>
        </is>
      </c>
      <c r="B56">
        <f>INDEX(Lots_Data!$C$2:$C$234,MATCH($A56,Lots_Data!$A$2:$A$234,0))</f>
        <v/>
      </c>
      <c r="C56">
        <f>INDEX(Lots_Data!$E$2:$E$234,MATCH($A56,Lots_Data!$A$2:$A$234,0))</f>
        <v/>
      </c>
      <c r="D56">
        <f>INDEX(Lots_Data!$D$2:$D$234,MATCH($A56,Lots_Data!$A$2:$A$234,0))</f>
        <v/>
      </c>
      <c r="E56">
        <f>INDEX(Lots_Data!$K$2:$K$234,MATCH($A56,Lots_Data!$A$2:$A$234,0))</f>
        <v/>
      </c>
      <c r="F56">
        <f>INDEX(Usage_Summary!$C$4:$C$236,MATCH($A56,Usage_Summary!$A$4:$A$236,0))</f>
        <v/>
      </c>
      <c r="G56">
        <f>IF($F56&gt;0,$E56/$F56*30,"")</f>
        <v/>
      </c>
      <c r="H56">
        <f>MAX(0,CEILING(ROUND($F56*Inputs!$B$10/30*Inputs!$B$7,6),1)-$E56)</f>
        <v/>
      </c>
      <c r="I56">
        <f>MAX(0,CEILING(ROUND($F56*Inputs!$B$11/30*Inputs!$B$7,6),1)-$E56)</f>
        <v/>
      </c>
      <c r="J56">
        <f>MAX(0,CEILING(ROUND($F56*Inputs!$B$12/30*Inputs!$B$7,6),1)-$E56)</f>
        <v/>
      </c>
      <c r="K56">
        <f>IF(AND($F56&gt;0,$E56&lt;=0),1,0)</f>
        <v/>
      </c>
      <c r="L56">
        <f>INDEX(Lots_Data!$S$2:$S$234,MATCH($A56,Lots_Data!$A$2:$A$234,0))</f>
        <v/>
      </c>
      <c r="M56">
        <f>INDEX(Lots_Data!$N$2:$N$234,MATCH($A56,Lots_Data!$A$2:$A$234,0))</f>
        <v/>
      </c>
      <c r="N56">
        <f>IF($F56=0,"n/a",IF($L56&gt;=$F56/30*$M56,"adequate","under-set"))</f>
        <v/>
      </c>
    </row>
    <row r="57">
      <c r="A57" t="inlineStr">
        <is>
          <t>SS-01054</t>
        </is>
      </c>
      <c r="B57">
        <f>INDEX(Lots_Data!$C$2:$C$234,MATCH($A57,Lots_Data!$A$2:$A$234,0))</f>
        <v/>
      </c>
      <c r="C57">
        <f>INDEX(Lots_Data!$E$2:$E$234,MATCH($A57,Lots_Data!$A$2:$A$234,0))</f>
        <v/>
      </c>
      <c r="D57">
        <f>INDEX(Lots_Data!$D$2:$D$234,MATCH($A57,Lots_Data!$A$2:$A$234,0))</f>
        <v/>
      </c>
      <c r="E57">
        <f>INDEX(Lots_Data!$K$2:$K$234,MATCH($A57,Lots_Data!$A$2:$A$234,0))</f>
        <v/>
      </c>
      <c r="F57">
        <f>INDEX(Usage_Summary!$C$4:$C$236,MATCH($A57,Usage_Summary!$A$4:$A$236,0))</f>
        <v/>
      </c>
      <c r="G57">
        <f>IF($F57&gt;0,$E57/$F57*30,"")</f>
        <v/>
      </c>
      <c r="H57">
        <f>MAX(0,CEILING(ROUND($F57*Inputs!$B$10/30*Inputs!$B$7,6),1)-$E57)</f>
        <v/>
      </c>
      <c r="I57">
        <f>MAX(0,CEILING(ROUND($F57*Inputs!$B$11/30*Inputs!$B$7,6),1)-$E57)</f>
        <v/>
      </c>
      <c r="J57">
        <f>MAX(0,CEILING(ROUND($F57*Inputs!$B$12/30*Inputs!$B$7,6),1)-$E57)</f>
        <v/>
      </c>
      <c r="K57">
        <f>IF(AND($F57&gt;0,$E57&lt;=0),1,0)</f>
        <v/>
      </c>
      <c r="L57">
        <f>INDEX(Lots_Data!$S$2:$S$234,MATCH($A57,Lots_Data!$A$2:$A$234,0))</f>
        <v/>
      </c>
      <c r="M57">
        <f>INDEX(Lots_Data!$N$2:$N$234,MATCH($A57,Lots_Data!$A$2:$A$234,0))</f>
        <v/>
      </c>
      <c r="N57">
        <f>IF($F57=0,"n/a",IF($L57&gt;=$F57/30*$M57,"adequate","under-set"))</f>
        <v/>
      </c>
    </row>
    <row r="58">
      <c r="A58" t="inlineStr">
        <is>
          <t>SS-01055</t>
        </is>
      </c>
      <c r="B58">
        <f>INDEX(Lots_Data!$C$2:$C$234,MATCH($A58,Lots_Data!$A$2:$A$234,0))</f>
        <v/>
      </c>
      <c r="C58">
        <f>INDEX(Lots_Data!$E$2:$E$234,MATCH($A58,Lots_Data!$A$2:$A$234,0))</f>
        <v/>
      </c>
      <c r="D58">
        <f>INDEX(Lots_Data!$D$2:$D$234,MATCH($A58,Lots_Data!$A$2:$A$234,0))</f>
        <v/>
      </c>
      <c r="E58">
        <f>INDEX(Lots_Data!$K$2:$K$234,MATCH($A58,Lots_Data!$A$2:$A$234,0))</f>
        <v/>
      </c>
      <c r="F58">
        <f>INDEX(Usage_Summary!$C$4:$C$236,MATCH($A58,Usage_Summary!$A$4:$A$236,0))</f>
        <v/>
      </c>
      <c r="G58">
        <f>IF($F58&gt;0,$E58/$F58*30,"")</f>
        <v/>
      </c>
      <c r="H58">
        <f>MAX(0,CEILING(ROUND($F58*Inputs!$B$10/30*Inputs!$B$7,6),1)-$E58)</f>
        <v/>
      </c>
      <c r="I58">
        <f>MAX(0,CEILING(ROUND($F58*Inputs!$B$11/30*Inputs!$B$7,6),1)-$E58)</f>
        <v/>
      </c>
      <c r="J58">
        <f>MAX(0,CEILING(ROUND($F58*Inputs!$B$12/30*Inputs!$B$7,6),1)-$E58)</f>
        <v/>
      </c>
      <c r="K58">
        <f>IF(AND($F58&gt;0,$E58&lt;=0),1,0)</f>
        <v/>
      </c>
      <c r="L58">
        <f>INDEX(Lots_Data!$S$2:$S$234,MATCH($A58,Lots_Data!$A$2:$A$234,0))</f>
        <v/>
      </c>
      <c r="M58">
        <f>INDEX(Lots_Data!$N$2:$N$234,MATCH($A58,Lots_Data!$A$2:$A$234,0))</f>
        <v/>
      </c>
      <c r="N58">
        <f>IF($F58=0,"n/a",IF($L58&gt;=$F58/30*$M58,"adequate","under-set"))</f>
        <v/>
      </c>
    </row>
    <row r="59">
      <c r="A59" t="inlineStr">
        <is>
          <t>SS-01056</t>
        </is>
      </c>
      <c r="B59">
        <f>INDEX(Lots_Data!$C$2:$C$234,MATCH($A59,Lots_Data!$A$2:$A$234,0))</f>
        <v/>
      </c>
      <c r="C59">
        <f>INDEX(Lots_Data!$E$2:$E$234,MATCH($A59,Lots_Data!$A$2:$A$234,0))</f>
        <v/>
      </c>
      <c r="D59">
        <f>INDEX(Lots_Data!$D$2:$D$234,MATCH($A59,Lots_Data!$A$2:$A$234,0))</f>
        <v/>
      </c>
      <c r="E59">
        <f>INDEX(Lots_Data!$K$2:$K$234,MATCH($A59,Lots_Data!$A$2:$A$234,0))</f>
        <v/>
      </c>
      <c r="F59">
        <f>INDEX(Usage_Summary!$C$4:$C$236,MATCH($A59,Usage_Summary!$A$4:$A$236,0))</f>
        <v/>
      </c>
      <c r="G59">
        <f>IF($F59&gt;0,$E59/$F59*30,"")</f>
        <v/>
      </c>
      <c r="H59">
        <f>MAX(0,CEILING(ROUND($F59*Inputs!$B$10/30*Inputs!$B$7,6),1)-$E59)</f>
        <v/>
      </c>
      <c r="I59">
        <f>MAX(0,CEILING(ROUND($F59*Inputs!$B$11/30*Inputs!$B$7,6),1)-$E59)</f>
        <v/>
      </c>
      <c r="J59">
        <f>MAX(0,CEILING(ROUND($F59*Inputs!$B$12/30*Inputs!$B$7,6),1)-$E59)</f>
        <v/>
      </c>
      <c r="K59">
        <f>IF(AND($F59&gt;0,$E59&lt;=0),1,0)</f>
        <v/>
      </c>
      <c r="L59">
        <f>INDEX(Lots_Data!$S$2:$S$234,MATCH($A59,Lots_Data!$A$2:$A$234,0))</f>
        <v/>
      </c>
      <c r="M59">
        <f>INDEX(Lots_Data!$N$2:$N$234,MATCH($A59,Lots_Data!$A$2:$A$234,0))</f>
        <v/>
      </c>
      <c r="N59">
        <f>IF($F59=0,"n/a",IF($L59&gt;=$F59/30*$M59,"adequate","under-set"))</f>
        <v/>
      </c>
    </row>
    <row r="60">
      <c r="A60" t="inlineStr">
        <is>
          <t>SS-01057</t>
        </is>
      </c>
      <c r="B60">
        <f>INDEX(Lots_Data!$C$2:$C$234,MATCH($A60,Lots_Data!$A$2:$A$234,0))</f>
        <v/>
      </c>
      <c r="C60">
        <f>INDEX(Lots_Data!$E$2:$E$234,MATCH($A60,Lots_Data!$A$2:$A$234,0))</f>
        <v/>
      </c>
      <c r="D60">
        <f>INDEX(Lots_Data!$D$2:$D$234,MATCH($A60,Lots_Data!$A$2:$A$234,0))</f>
        <v/>
      </c>
      <c r="E60">
        <f>INDEX(Lots_Data!$K$2:$K$234,MATCH($A60,Lots_Data!$A$2:$A$234,0))</f>
        <v/>
      </c>
      <c r="F60">
        <f>INDEX(Usage_Summary!$C$4:$C$236,MATCH($A60,Usage_Summary!$A$4:$A$236,0))</f>
        <v/>
      </c>
      <c r="G60">
        <f>IF($F60&gt;0,$E60/$F60*30,"")</f>
        <v/>
      </c>
      <c r="H60">
        <f>MAX(0,CEILING(ROUND($F60*Inputs!$B$10/30*Inputs!$B$7,6),1)-$E60)</f>
        <v/>
      </c>
      <c r="I60">
        <f>MAX(0,CEILING(ROUND($F60*Inputs!$B$11/30*Inputs!$B$7,6),1)-$E60)</f>
        <v/>
      </c>
      <c r="J60">
        <f>MAX(0,CEILING(ROUND($F60*Inputs!$B$12/30*Inputs!$B$7,6),1)-$E60)</f>
        <v/>
      </c>
      <c r="K60">
        <f>IF(AND($F60&gt;0,$E60&lt;=0),1,0)</f>
        <v/>
      </c>
      <c r="L60">
        <f>INDEX(Lots_Data!$S$2:$S$234,MATCH($A60,Lots_Data!$A$2:$A$234,0))</f>
        <v/>
      </c>
      <c r="M60">
        <f>INDEX(Lots_Data!$N$2:$N$234,MATCH($A60,Lots_Data!$A$2:$A$234,0))</f>
        <v/>
      </c>
      <c r="N60">
        <f>IF($F60=0,"n/a",IF($L60&gt;=$F60/30*$M60,"adequate","under-set"))</f>
        <v/>
      </c>
    </row>
    <row r="61">
      <c r="A61" t="inlineStr">
        <is>
          <t>SS-01058</t>
        </is>
      </c>
      <c r="B61">
        <f>INDEX(Lots_Data!$C$2:$C$234,MATCH($A61,Lots_Data!$A$2:$A$234,0))</f>
        <v/>
      </c>
      <c r="C61">
        <f>INDEX(Lots_Data!$E$2:$E$234,MATCH($A61,Lots_Data!$A$2:$A$234,0))</f>
        <v/>
      </c>
      <c r="D61">
        <f>INDEX(Lots_Data!$D$2:$D$234,MATCH($A61,Lots_Data!$A$2:$A$234,0))</f>
        <v/>
      </c>
      <c r="E61">
        <f>INDEX(Lots_Data!$K$2:$K$234,MATCH($A61,Lots_Data!$A$2:$A$234,0))</f>
        <v/>
      </c>
      <c r="F61">
        <f>INDEX(Usage_Summary!$C$4:$C$236,MATCH($A61,Usage_Summary!$A$4:$A$236,0))</f>
        <v/>
      </c>
      <c r="G61">
        <f>IF($F61&gt;0,$E61/$F61*30,"")</f>
        <v/>
      </c>
      <c r="H61">
        <f>MAX(0,CEILING(ROUND($F61*Inputs!$B$10/30*Inputs!$B$7,6),1)-$E61)</f>
        <v/>
      </c>
      <c r="I61">
        <f>MAX(0,CEILING(ROUND($F61*Inputs!$B$11/30*Inputs!$B$7,6),1)-$E61)</f>
        <v/>
      </c>
      <c r="J61">
        <f>MAX(0,CEILING(ROUND($F61*Inputs!$B$12/30*Inputs!$B$7,6),1)-$E61)</f>
        <v/>
      </c>
      <c r="K61">
        <f>IF(AND($F61&gt;0,$E61&lt;=0),1,0)</f>
        <v/>
      </c>
      <c r="L61">
        <f>INDEX(Lots_Data!$S$2:$S$234,MATCH($A61,Lots_Data!$A$2:$A$234,0))</f>
        <v/>
      </c>
      <c r="M61">
        <f>INDEX(Lots_Data!$N$2:$N$234,MATCH($A61,Lots_Data!$A$2:$A$234,0))</f>
        <v/>
      </c>
      <c r="N61">
        <f>IF($F61=0,"n/a",IF($L61&gt;=$F61/30*$M61,"adequate","under-set"))</f>
        <v/>
      </c>
    </row>
    <row r="62">
      <c r="A62" t="inlineStr">
        <is>
          <t>SS-01059</t>
        </is>
      </c>
      <c r="B62">
        <f>INDEX(Lots_Data!$C$2:$C$234,MATCH($A62,Lots_Data!$A$2:$A$234,0))</f>
        <v/>
      </c>
      <c r="C62">
        <f>INDEX(Lots_Data!$E$2:$E$234,MATCH($A62,Lots_Data!$A$2:$A$234,0))</f>
        <v/>
      </c>
      <c r="D62">
        <f>INDEX(Lots_Data!$D$2:$D$234,MATCH($A62,Lots_Data!$A$2:$A$234,0))</f>
        <v/>
      </c>
      <c r="E62">
        <f>INDEX(Lots_Data!$K$2:$K$234,MATCH($A62,Lots_Data!$A$2:$A$234,0))</f>
        <v/>
      </c>
      <c r="F62">
        <f>INDEX(Usage_Summary!$C$4:$C$236,MATCH($A62,Usage_Summary!$A$4:$A$236,0))</f>
        <v/>
      </c>
      <c r="G62">
        <f>IF($F62&gt;0,$E62/$F62*30,"")</f>
        <v/>
      </c>
      <c r="H62">
        <f>MAX(0,CEILING(ROUND($F62*Inputs!$B$10/30*Inputs!$B$7,6),1)-$E62)</f>
        <v/>
      </c>
      <c r="I62">
        <f>MAX(0,CEILING(ROUND($F62*Inputs!$B$11/30*Inputs!$B$7,6),1)-$E62)</f>
        <v/>
      </c>
      <c r="J62">
        <f>MAX(0,CEILING(ROUND($F62*Inputs!$B$12/30*Inputs!$B$7,6),1)-$E62)</f>
        <v/>
      </c>
      <c r="K62">
        <f>IF(AND($F62&gt;0,$E62&lt;=0),1,0)</f>
        <v/>
      </c>
      <c r="L62">
        <f>INDEX(Lots_Data!$S$2:$S$234,MATCH($A62,Lots_Data!$A$2:$A$234,0))</f>
        <v/>
      </c>
      <c r="M62">
        <f>INDEX(Lots_Data!$N$2:$N$234,MATCH($A62,Lots_Data!$A$2:$A$234,0))</f>
        <v/>
      </c>
      <c r="N62">
        <f>IF($F62=0,"n/a",IF($L62&gt;=$F62/30*$M62,"adequate","under-set"))</f>
        <v/>
      </c>
    </row>
    <row r="63">
      <c r="A63" t="inlineStr">
        <is>
          <t>SS-01060</t>
        </is>
      </c>
      <c r="B63">
        <f>INDEX(Lots_Data!$C$2:$C$234,MATCH($A63,Lots_Data!$A$2:$A$234,0))</f>
        <v/>
      </c>
      <c r="C63">
        <f>INDEX(Lots_Data!$E$2:$E$234,MATCH($A63,Lots_Data!$A$2:$A$234,0))</f>
        <v/>
      </c>
      <c r="D63">
        <f>INDEX(Lots_Data!$D$2:$D$234,MATCH($A63,Lots_Data!$A$2:$A$234,0))</f>
        <v/>
      </c>
      <c r="E63">
        <f>INDEX(Lots_Data!$K$2:$K$234,MATCH($A63,Lots_Data!$A$2:$A$234,0))</f>
        <v/>
      </c>
      <c r="F63">
        <f>INDEX(Usage_Summary!$C$4:$C$236,MATCH($A63,Usage_Summary!$A$4:$A$236,0))</f>
        <v/>
      </c>
      <c r="G63">
        <f>IF($F63&gt;0,$E63/$F63*30,"")</f>
        <v/>
      </c>
      <c r="H63">
        <f>MAX(0,CEILING(ROUND($F63*Inputs!$B$10/30*Inputs!$B$7,6),1)-$E63)</f>
        <v/>
      </c>
      <c r="I63">
        <f>MAX(0,CEILING(ROUND($F63*Inputs!$B$11/30*Inputs!$B$7,6),1)-$E63)</f>
        <v/>
      </c>
      <c r="J63">
        <f>MAX(0,CEILING(ROUND($F63*Inputs!$B$12/30*Inputs!$B$7,6),1)-$E63)</f>
        <v/>
      </c>
      <c r="K63">
        <f>IF(AND($F63&gt;0,$E63&lt;=0),1,0)</f>
        <v/>
      </c>
      <c r="L63">
        <f>INDEX(Lots_Data!$S$2:$S$234,MATCH($A63,Lots_Data!$A$2:$A$234,0))</f>
        <v/>
      </c>
      <c r="M63">
        <f>INDEX(Lots_Data!$N$2:$N$234,MATCH($A63,Lots_Data!$A$2:$A$234,0))</f>
        <v/>
      </c>
      <c r="N63">
        <f>IF($F63=0,"n/a",IF($L63&gt;=$F63/30*$M63,"adequate","under-set"))</f>
        <v/>
      </c>
    </row>
    <row r="64">
      <c r="A64" t="inlineStr">
        <is>
          <t>SS-01061</t>
        </is>
      </c>
      <c r="B64">
        <f>INDEX(Lots_Data!$C$2:$C$234,MATCH($A64,Lots_Data!$A$2:$A$234,0))</f>
        <v/>
      </c>
      <c r="C64">
        <f>INDEX(Lots_Data!$E$2:$E$234,MATCH($A64,Lots_Data!$A$2:$A$234,0))</f>
        <v/>
      </c>
      <c r="D64">
        <f>INDEX(Lots_Data!$D$2:$D$234,MATCH($A64,Lots_Data!$A$2:$A$234,0))</f>
        <v/>
      </c>
      <c r="E64">
        <f>INDEX(Lots_Data!$K$2:$K$234,MATCH($A64,Lots_Data!$A$2:$A$234,0))</f>
        <v/>
      </c>
      <c r="F64">
        <f>INDEX(Usage_Summary!$C$4:$C$236,MATCH($A64,Usage_Summary!$A$4:$A$236,0))</f>
        <v/>
      </c>
      <c r="G64">
        <f>IF($F64&gt;0,$E64/$F64*30,"")</f>
        <v/>
      </c>
      <c r="H64">
        <f>MAX(0,CEILING(ROUND($F64*Inputs!$B$10/30*Inputs!$B$7,6),1)-$E64)</f>
        <v/>
      </c>
      <c r="I64">
        <f>MAX(0,CEILING(ROUND($F64*Inputs!$B$11/30*Inputs!$B$7,6),1)-$E64)</f>
        <v/>
      </c>
      <c r="J64">
        <f>MAX(0,CEILING(ROUND($F64*Inputs!$B$12/30*Inputs!$B$7,6),1)-$E64)</f>
        <v/>
      </c>
      <c r="K64">
        <f>IF(AND($F64&gt;0,$E64&lt;=0),1,0)</f>
        <v/>
      </c>
      <c r="L64">
        <f>INDEX(Lots_Data!$S$2:$S$234,MATCH($A64,Lots_Data!$A$2:$A$234,0))</f>
        <v/>
      </c>
      <c r="M64">
        <f>INDEX(Lots_Data!$N$2:$N$234,MATCH($A64,Lots_Data!$A$2:$A$234,0))</f>
        <v/>
      </c>
      <c r="N64">
        <f>IF($F64=0,"n/a",IF($L64&gt;=$F64/30*$M64,"adequate","under-set"))</f>
        <v/>
      </c>
    </row>
    <row r="65">
      <c r="A65" t="inlineStr">
        <is>
          <t>SS-01062</t>
        </is>
      </c>
      <c r="B65">
        <f>INDEX(Lots_Data!$C$2:$C$234,MATCH($A65,Lots_Data!$A$2:$A$234,0))</f>
        <v/>
      </c>
      <c r="C65">
        <f>INDEX(Lots_Data!$E$2:$E$234,MATCH($A65,Lots_Data!$A$2:$A$234,0))</f>
        <v/>
      </c>
      <c r="D65">
        <f>INDEX(Lots_Data!$D$2:$D$234,MATCH($A65,Lots_Data!$A$2:$A$234,0))</f>
        <v/>
      </c>
      <c r="E65">
        <f>INDEX(Lots_Data!$K$2:$K$234,MATCH($A65,Lots_Data!$A$2:$A$234,0))</f>
        <v/>
      </c>
      <c r="F65">
        <f>INDEX(Usage_Summary!$C$4:$C$236,MATCH($A65,Usage_Summary!$A$4:$A$236,0))</f>
        <v/>
      </c>
      <c r="G65">
        <f>IF($F65&gt;0,$E65/$F65*30,"")</f>
        <v/>
      </c>
      <c r="H65">
        <f>MAX(0,CEILING(ROUND($F65*Inputs!$B$10/30*Inputs!$B$7,6),1)-$E65)</f>
        <v/>
      </c>
      <c r="I65">
        <f>MAX(0,CEILING(ROUND($F65*Inputs!$B$11/30*Inputs!$B$7,6),1)-$E65)</f>
        <v/>
      </c>
      <c r="J65">
        <f>MAX(0,CEILING(ROUND($F65*Inputs!$B$12/30*Inputs!$B$7,6),1)-$E65)</f>
        <v/>
      </c>
      <c r="K65">
        <f>IF(AND($F65&gt;0,$E65&lt;=0),1,0)</f>
        <v/>
      </c>
      <c r="L65">
        <f>INDEX(Lots_Data!$S$2:$S$234,MATCH($A65,Lots_Data!$A$2:$A$234,0))</f>
        <v/>
      </c>
      <c r="M65">
        <f>INDEX(Lots_Data!$N$2:$N$234,MATCH($A65,Lots_Data!$A$2:$A$234,0))</f>
        <v/>
      </c>
      <c r="N65">
        <f>IF($F65=0,"n/a",IF($L65&gt;=$F65/30*$M65,"adequate","under-set"))</f>
        <v/>
      </c>
    </row>
    <row r="66">
      <c r="A66" t="inlineStr">
        <is>
          <t>SS-01063</t>
        </is>
      </c>
      <c r="B66">
        <f>INDEX(Lots_Data!$C$2:$C$234,MATCH($A66,Lots_Data!$A$2:$A$234,0))</f>
        <v/>
      </c>
      <c r="C66">
        <f>INDEX(Lots_Data!$E$2:$E$234,MATCH($A66,Lots_Data!$A$2:$A$234,0))</f>
        <v/>
      </c>
      <c r="D66">
        <f>INDEX(Lots_Data!$D$2:$D$234,MATCH($A66,Lots_Data!$A$2:$A$234,0))</f>
        <v/>
      </c>
      <c r="E66">
        <f>INDEX(Lots_Data!$K$2:$K$234,MATCH($A66,Lots_Data!$A$2:$A$234,0))</f>
        <v/>
      </c>
      <c r="F66">
        <f>INDEX(Usage_Summary!$C$4:$C$236,MATCH($A66,Usage_Summary!$A$4:$A$236,0))</f>
        <v/>
      </c>
      <c r="G66">
        <f>IF($F66&gt;0,$E66/$F66*30,"")</f>
        <v/>
      </c>
      <c r="H66">
        <f>MAX(0,CEILING(ROUND($F66*Inputs!$B$10/30*Inputs!$B$7,6),1)-$E66)</f>
        <v/>
      </c>
      <c r="I66">
        <f>MAX(0,CEILING(ROUND($F66*Inputs!$B$11/30*Inputs!$B$7,6),1)-$E66)</f>
        <v/>
      </c>
      <c r="J66">
        <f>MAX(0,CEILING(ROUND($F66*Inputs!$B$12/30*Inputs!$B$7,6),1)-$E66)</f>
        <v/>
      </c>
      <c r="K66">
        <f>IF(AND($F66&gt;0,$E66&lt;=0),1,0)</f>
        <v/>
      </c>
      <c r="L66">
        <f>INDEX(Lots_Data!$S$2:$S$234,MATCH($A66,Lots_Data!$A$2:$A$234,0))</f>
        <v/>
      </c>
      <c r="M66">
        <f>INDEX(Lots_Data!$N$2:$N$234,MATCH($A66,Lots_Data!$A$2:$A$234,0))</f>
        <v/>
      </c>
      <c r="N66">
        <f>IF($F66=0,"n/a",IF($L66&gt;=$F66/30*$M66,"adequate","under-set"))</f>
        <v/>
      </c>
    </row>
    <row r="67">
      <c r="A67" t="inlineStr">
        <is>
          <t>SS-01064</t>
        </is>
      </c>
      <c r="B67">
        <f>INDEX(Lots_Data!$C$2:$C$234,MATCH($A67,Lots_Data!$A$2:$A$234,0))</f>
        <v/>
      </c>
      <c r="C67">
        <f>INDEX(Lots_Data!$E$2:$E$234,MATCH($A67,Lots_Data!$A$2:$A$234,0))</f>
        <v/>
      </c>
      <c r="D67">
        <f>INDEX(Lots_Data!$D$2:$D$234,MATCH($A67,Lots_Data!$A$2:$A$234,0))</f>
        <v/>
      </c>
      <c r="E67">
        <f>INDEX(Lots_Data!$K$2:$K$234,MATCH($A67,Lots_Data!$A$2:$A$234,0))</f>
        <v/>
      </c>
      <c r="F67">
        <f>INDEX(Usage_Summary!$C$4:$C$236,MATCH($A67,Usage_Summary!$A$4:$A$236,0))</f>
        <v/>
      </c>
      <c r="G67">
        <f>IF($F67&gt;0,$E67/$F67*30,"")</f>
        <v/>
      </c>
      <c r="H67">
        <f>MAX(0,CEILING(ROUND($F67*Inputs!$B$10/30*Inputs!$B$7,6),1)-$E67)</f>
        <v/>
      </c>
      <c r="I67">
        <f>MAX(0,CEILING(ROUND($F67*Inputs!$B$11/30*Inputs!$B$7,6),1)-$E67)</f>
        <v/>
      </c>
      <c r="J67">
        <f>MAX(0,CEILING(ROUND($F67*Inputs!$B$12/30*Inputs!$B$7,6),1)-$E67)</f>
        <v/>
      </c>
      <c r="K67">
        <f>IF(AND($F67&gt;0,$E67&lt;=0),1,0)</f>
        <v/>
      </c>
      <c r="L67">
        <f>INDEX(Lots_Data!$S$2:$S$234,MATCH($A67,Lots_Data!$A$2:$A$234,0))</f>
        <v/>
      </c>
      <c r="M67">
        <f>INDEX(Lots_Data!$N$2:$N$234,MATCH($A67,Lots_Data!$A$2:$A$234,0))</f>
        <v/>
      </c>
      <c r="N67">
        <f>IF($F67=0,"n/a",IF($L67&gt;=$F67/30*$M67,"adequate","under-set"))</f>
        <v/>
      </c>
    </row>
    <row r="68">
      <c r="A68" t="inlineStr">
        <is>
          <t>SS-01065</t>
        </is>
      </c>
      <c r="B68">
        <f>INDEX(Lots_Data!$C$2:$C$234,MATCH($A68,Lots_Data!$A$2:$A$234,0))</f>
        <v/>
      </c>
      <c r="C68">
        <f>INDEX(Lots_Data!$E$2:$E$234,MATCH($A68,Lots_Data!$A$2:$A$234,0))</f>
        <v/>
      </c>
      <c r="D68">
        <f>INDEX(Lots_Data!$D$2:$D$234,MATCH($A68,Lots_Data!$A$2:$A$234,0))</f>
        <v/>
      </c>
      <c r="E68">
        <f>INDEX(Lots_Data!$K$2:$K$234,MATCH($A68,Lots_Data!$A$2:$A$234,0))</f>
        <v/>
      </c>
      <c r="F68">
        <f>INDEX(Usage_Summary!$C$4:$C$236,MATCH($A68,Usage_Summary!$A$4:$A$236,0))</f>
        <v/>
      </c>
      <c r="G68">
        <f>IF($F68&gt;0,$E68/$F68*30,"")</f>
        <v/>
      </c>
      <c r="H68">
        <f>MAX(0,CEILING(ROUND($F68*Inputs!$B$10/30*Inputs!$B$7,6),1)-$E68)</f>
        <v/>
      </c>
      <c r="I68">
        <f>MAX(0,CEILING(ROUND($F68*Inputs!$B$11/30*Inputs!$B$7,6),1)-$E68)</f>
        <v/>
      </c>
      <c r="J68">
        <f>MAX(0,CEILING(ROUND($F68*Inputs!$B$12/30*Inputs!$B$7,6),1)-$E68)</f>
        <v/>
      </c>
      <c r="K68">
        <f>IF(AND($F68&gt;0,$E68&lt;=0),1,0)</f>
        <v/>
      </c>
      <c r="L68">
        <f>INDEX(Lots_Data!$S$2:$S$234,MATCH($A68,Lots_Data!$A$2:$A$234,0))</f>
        <v/>
      </c>
      <c r="M68">
        <f>INDEX(Lots_Data!$N$2:$N$234,MATCH($A68,Lots_Data!$A$2:$A$234,0))</f>
        <v/>
      </c>
      <c r="N68">
        <f>IF($F68=0,"n/a",IF($L68&gt;=$F68/30*$M68,"adequate","under-set"))</f>
        <v/>
      </c>
    </row>
    <row r="69">
      <c r="A69" t="inlineStr">
        <is>
          <t>SS-01066</t>
        </is>
      </c>
      <c r="B69">
        <f>INDEX(Lots_Data!$C$2:$C$234,MATCH($A69,Lots_Data!$A$2:$A$234,0))</f>
        <v/>
      </c>
      <c r="C69">
        <f>INDEX(Lots_Data!$E$2:$E$234,MATCH($A69,Lots_Data!$A$2:$A$234,0))</f>
        <v/>
      </c>
      <c r="D69">
        <f>INDEX(Lots_Data!$D$2:$D$234,MATCH($A69,Lots_Data!$A$2:$A$234,0))</f>
        <v/>
      </c>
      <c r="E69">
        <f>INDEX(Lots_Data!$K$2:$K$234,MATCH($A69,Lots_Data!$A$2:$A$234,0))</f>
        <v/>
      </c>
      <c r="F69">
        <f>INDEX(Usage_Summary!$C$4:$C$236,MATCH($A69,Usage_Summary!$A$4:$A$236,0))</f>
        <v/>
      </c>
      <c r="G69">
        <f>IF($F69&gt;0,$E69/$F69*30,"")</f>
        <v/>
      </c>
      <c r="H69">
        <f>MAX(0,CEILING(ROUND($F69*Inputs!$B$10/30*Inputs!$B$7,6),1)-$E69)</f>
        <v/>
      </c>
      <c r="I69">
        <f>MAX(0,CEILING(ROUND($F69*Inputs!$B$11/30*Inputs!$B$7,6),1)-$E69)</f>
        <v/>
      </c>
      <c r="J69">
        <f>MAX(0,CEILING(ROUND($F69*Inputs!$B$12/30*Inputs!$B$7,6),1)-$E69)</f>
        <v/>
      </c>
      <c r="K69">
        <f>IF(AND($F69&gt;0,$E69&lt;=0),1,0)</f>
        <v/>
      </c>
      <c r="L69">
        <f>INDEX(Lots_Data!$S$2:$S$234,MATCH($A69,Lots_Data!$A$2:$A$234,0))</f>
        <v/>
      </c>
      <c r="M69">
        <f>INDEX(Lots_Data!$N$2:$N$234,MATCH($A69,Lots_Data!$A$2:$A$234,0))</f>
        <v/>
      </c>
      <c r="N69">
        <f>IF($F69=0,"n/a",IF($L69&gt;=$F69/30*$M69,"adequate","under-set"))</f>
        <v/>
      </c>
    </row>
    <row r="70">
      <c r="A70" t="inlineStr">
        <is>
          <t>SS-01067</t>
        </is>
      </c>
      <c r="B70">
        <f>INDEX(Lots_Data!$C$2:$C$234,MATCH($A70,Lots_Data!$A$2:$A$234,0))</f>
        <v/>
      </c>
      <c r="C70">
        <f>INDEX(Lots_Data!$E$2:$E$234,MATCH($A70,Lots_Data!$A$2:$A$234,0))</f>
        <v/>
      </c>
      <c r="D70">
        <f>INDEX(Lots_Data!$D$2:$D$234,MATCH($A70,Lots_Data!$A$2:$A$234,0))</f>
        <v/>
      </c>
      <c r="E70">
        <f>INDEX(Lots_Data!$K$2:$K$234,MATCH($A70,Lots_Data!$A$2:$A$234,0))</f>
        <v/>
      </c>
      <c r="F70">
        <f>INDEX(Usage_Summary!$C$4:$C$236,MATCH($A70,Usage_Summary!$A$4:$A$236,0))</f>
        <v/>
      </c>
      <c r="G70">
        <f>IF($F70&gt;0,$E70/$F70*30,"")</f>
        <v/>
      </c>
      <c r="H70">
        <f>MAX(0,CEILING(ROUND($F70*Inputs!$B$10/30*Inputs!$B$7,6),1)-$E70)</f>
        <v/>
      </c>
      <c r="I70">
        <f>MAX(0,CEILING(ROUND($F70*Inputs!$B$11/30*Inputs!$B$7,6),1)-$E70)</f>
        <v/>
      </c>
      <c r="J70">
        <f>MAX(0,CEILING(ROUND($F70*Inputs!$B$12/30*Inputs!$B$7,6),1)-$E70)</f>
        <v/>
      </c>
      <c r="K70">
        <f>IF(AND($F70&gt;0,$E70&lt;=0),1,0)</f>
        <v/>
      </c>
      <c r="L70">
        <f>INDEX(Lots_Data!$S$2:$S$234,MATCH($A70,Lots_Data!$A$2:$A$234,0))</f>
        <v/>
      </c>
      <c r="M70">
        <f>INDEX(Lots_Data!$N$2:$N$234,MATCH($A70,Lots_Data!$A$2:$A$234,0))</f>
        <v/>
      </c>
      <c r="N70">
        <f>IF($F70=0,"n/a",IF($L70&gt;=$F70/30*$M70,"adequate","under-set"))</f>
        <v/>
      </c>
    </row>
    <row r="71">
      <c r="A71" t="inlineStr">
        <is>
          <t>SS-01068</t>
        </is>
      </c>
      <c r="B71">
        <f>INDEX(Lots_Data!$C$2:$C$234,MATCH($A71,Lots_Data!$A$2:$A$234,0))</f>
        <v/>
      </c>
      <c r="C71">
        <f>INDEX(Lots_Data!$E$2:$E$234,MATCH($A71,Lots_Data!$A$2:$A$234,0))</f>
        <v/>
      </c>
      <c r="D71">
        <f>INDEX(Lots_Data!$D$2:$D$234,MATCH($A71,Lots_Data!$A$2:$A$234,0))</f>
        <v/>
      </c>
      <c r="E71">
        <f>INDEX(Lots_Data!$K$2:$K$234,MATCH($A71,Lots_Data!$A$2:$A$234,0))</f>
        <v/>
      </c>
      <c r="F71">
        <f>INDEX(Usage_Summary!$C$4:$C$236,MATCH($A71,Usage_Summary!$A$4:$A$236,0))</f>
        <v/>
      </c>
      <c r="G71">
        <f>IF($F71&gt;0,$E71/$F71*30,"")</f>
        <v/>
      </c>
      <c r="H71">
        <f>MAX(0,CEILING(ROUND($F71*Inputs!$B$10/30*Inputs!$B$7,6),1)-$E71)</f>
        <v/>
      </c>
      <c r="I71">
        <f>MAX(0,CEILING(ROUND($F71*Inputs!$B$11/30*Inputs!$B$7,6),1)-$E71)</f>
        <v/>
      </c>
      <c r="J71">
        <f>MAX(0,CEILING(ROUND($F71*Inputs!$B$12/30*Inputs!$B$7,6),1)-$E71)</f>
        <v/>
      </c>
      <c r="K71">
        <f>IF(AND($F71&gt;0,$E71&lt;=0),1,0)</f>
        <v/>
      </c>
      <c r="L71">
        <f>INDEX(Lots_Data!$S$2:$S$234,MATCH($A71,Lots_Data!$A$2:$A$234,0))</f>
        <v/>
      </c>
      <c r="M71">
        <f>INDEX(Lots_Data!$N$2:$N$234,MATCH($A71,Lots_Data!$A$2:$A$234,0))</f>
        <v/>
      </c>
      <c r="N71">
        <f>IF($F71=0,"n/a",IF($L71&gt;=$F71/30*$M71,"adequate","under-set"))</f>
        <v/>
      </c>
    </row>
    <row r="72">
      <c r="A72" t="inlineStr">
        <is>
          <t>SS-01069</t>
        </is>
      </c>
      <c r="B72">
        <f>INDEX(Lots_Data!$C$2:$C$234,MATCH($A72,Lots_Data!$A$2:$A$234,0))</f>
        <v/>
      </c>
      <c r="C72">
        <f>INDEX(Lots_Data!$E$2:$E$234,MATCH($A72,Lots_Data!$A$2:$A$234,0))</f>
        <v/>
      </c>
      <c r="D72">
        <f>INDEX(Lots_Data!$D$2:$D$234,MATCH($A72,Lots_Data!$A$2:$A$234,0))</f>
        <v/>
      </c>
      <c r="E72">
        <f>INDEX(Lots_Data!$K$2:$K$234,MATCH($A72,Lots_Data!$A$2:$A$234,0))</f>
        <v/>
      </c>
      <c r="F72">
        <f>INDEX(Usage_Summary!$C$4:$C$236,MATCH($A72,Usage_Summary!$A$4:$A$236,0))</f>
        <v/>
      </c>
      <c r="G72">
        <f>IF($F72&gt;0,$E72/$F72*30,"")</f>
        <v/>
      </c>
      <c r="H72">
        <f>MAX(0,CEILING(ROUND($F72*Inputs!$B$10/30*Inputs!$B$7,6),1)-$E72)</f>
        <v/>
      </c>
      <c r="I72">
        <f>MAX(0,CEILING(ROUND($F72*Inputs!$B$11/30*Inputs!$B$7,6),1)-$E72)</f>
        <v/>
      </c>
      <c r="J72">
        <f>MAX(0,CEILING(ROUND($F72*Inputs!$B$12/30*Inputs!$B$7,6),1)-$E72)</f>
        <v/>
      </c>
      <c r="K72">
        <f>IF(AND($F72&gt;0,$E72&lt;=0),1,0)</f>
        <v/>
      </c>
      <c r="L72">
        <f>INDEX(Lots_Data!$S$2:$S$234,MATCH($A72,Lots_Data!$A$2:$A$234,0))</f>
        <v/>
      </c>
      <c r="M72">
        <f>INDEX(Lots_Data!$N$2:$N$234,MATCH($A72,Lots_Data!$A$2:$A$234,0))</f>
        <v/>
      </c>
      <c r="N72">
        <f>IF($F72=0,"n/a",IF($L72&gt;=$F72/30*$M72,"adequate","under-set"))</f>
        <v/>
      </c>
    </row>
    <row r="73">
      <c r="A73" t="inlineStr">
        <is>
          <t>SS-01070</t>
        </is>
      </c>
      <c r="B73">
        <f>INDEX(Lots_Data!$C$2:$C$234,MATCH($A73,Lots_Data!$A$2:$A$234,0))</f>
        <v/>
      </c>
      <c r="C73">
        <f>INDEX(Lots_Data!$E$2:$E$234,MATCH($A73,Lots_Data!$A$2:$A$234,0))</f>
        <v/>
      </c>
      <c r="D73">
        <f>INDEX(Lots_Data!$D$2:$D$234,MATCH($A73,Lots_Data!$A$2:$A$234,0))</f>
        <v/>
      </c>
      <c r="E73">
        <f>INDEX(Lots_Data!$K$2:$K$234,MATCH($A73,Lots_Data!$A$2:$A$234,0))</f>
        <v/>
      </c>
      <c r="F73">
        <f>INDEX(Usage_Summary!$C$4:$C$236,MATCH($A73,Usage_Summary!$A$4:$A$236,0))</f>
        <v/>
      </c>
      <c r="G73">
        <f>IF($F73&gt;0,$E73/$F73*30,"")</f>
        <v/>
      </c>
      <c r="H73">
        <f>MAX(0,CEILING(ROUND($F73*Inputs!$B$10/30*Inputs!$B$7,6),1)-$E73)</f>
        <v/>
      </c>
      <c r="I73">
        <f>MAX(0,CEILING(ROUND($F73*Inputs!$B$11/30*Inputs!$B$7,6),1)-$E73)</f>
        <v/>
      </c>
      <c r="J73">
        <f>MAX(0,CEILING(ROUND($F73*Inputs!$B$12/30*Inputs!$B$7,6),1)-$E73)</f>
        <v/>
      </c>
      <c r="K73">
        <f>IF(AND($F73&gt;0,$E73&lt;=0),1,0)</f>
        <v/>
      </c>
      <c r="L73">
        <f>INDEX(Lots_Data!$S$2:$S$234,MATCH($A73,Lots_Data!$A$2:$A$234,0))</f>
        <v/>
      </c>
      <c r="M73">
        <f>INDEX(Lots_Data!$N$2:$N$234,MATCH($A73,Lots_Data!$A$2:$A$234,0))</f>
        <v/>
      </c>
      <c r="N73">
        <f>IF($F73=0,"n/a",IF($L73&gt;=$F73/30*$M73,"adequate","under-set"))</f>
        <v/>
      </c>
    </row>
    <row r="74">
      <c r="A74" t="inlineStr">
        <is>
          <t>SS-01071</t>
        </is>
      </c>
      <c r="B74">
        <f>INDEX(Lots_Data!$C$2:$C$234,MATCH($A74,Lots_Data!$A$2:$A$234,0))</f>
        <v/>
      </c>
      <c r="C74">
        <f>INDEX(Lots_Data!$E$2:$E$234,MATCH($A74,Lots_Data!$A$2:$A$234,0))</f>
        <v/>
      </c>
      <c r="D74">
        <f>INDEX(Lots_Data!$D$2:$D$234,MATCH($A74,Lots_Data!$A$2:$A$234,0))</f>
        <v/>
      </c>
      <c r="E74">
        <f>INDEX(Lots_Data!$K$2:$K$234,MATCH($A74,Lots_Data!$A$2:$A$234,0))</f>
        <v/>
      </c>
      <c r="F74">
        <f>INDEX(Usage_Summary!$C$4:$C$236,MATCH($A74,Usage_Summary!$A$4:$A$236,0))</f>
        <v/>
      </c>
      <c r="G74">
        <f>IF($F74&gt;0,$E74/$F74*30,"")</f>
        <v/>
      </c>
      <c r="H74">
        <f>MAX(0,CEILING(ROUND($F74*Inputs!$B$10/30*Inputs!$B$7,6),1)-$E74)</f>
        <v/>
      </c>
      <c r="I74">
        <f>MAX(0,CEILING(ROUND($F74*Inputs!$B$11/30*Inputs!$B$7,6),1)-$E74)</f>
        <v/>
      </c>
      <c r="J74">
        <f>MAX(0,CEILING(ROUND($F74*Inputs!$B$12/30*Inputs!$B$7,6),1)-$E74)</f>
        <v/>
      </c>
      <c r="K74">
        <f>IF(AND($F74&gt;0,$E74&lt;=0),1,0)</f>
        <v/>
      </c>
      <c r="L74">
        <f>INDEX(Lots_Data!$S$2:$S$234,MATCH($A74,Lots_Data!$A$2:$A$234,0))</f>
        <v/>
      </c>
      <c r="M74">
        <f>INDEX(Lots_Data!$N$2:$N$234,MATCH($A74,Lots_Data!$A$2:$A$234,0))</f>
        <v/>
      </c>
      <c r="N74">
        <f>IF($F74=0,"n/a",IF($L74&gt;=$F74/30*$M74,"adequate","under-set"))</f>
        <v/>
      </c>
    </row>
    <row r="75">
      <c r="A75" t="inlineStr">
        <is>
          <t>SS-01072</t>
        </is>
      </c>
      <c r="B75">
        <f>INDEX(Lots_Data!$C$2:$C$234,MATCH($A75,Lots_Data!$A$2:$A$234,0))</f>
        <v/>
      </c>
      <c r="C75">
        <f>INDEX(Lots_Data!$E$2:$E$234,MATCH($A75,Lots_Data!$A$2:$A$234,0))</f>
        <v/>
      </c>
      <c r="D75">
        <f>INDEX(Lots_Data!$D$2:$D$234,MATCH($A75,Lots_Data!$A$2:$A$234,0))</f>
        <v/>
      </c>
      <c r="E75">
        <f>INDEX(Lots_Data!$K$2:$K$234,MATCH($A75,Lots_Data!$A$2:$A$234,0))</f>
        <v/>
      </c>
      <c r="F75">
        <f>INDEX(Usage_Summary!$C$4:$C$236,MATCH($A75,Usage_Summary!$A$4:$A$236,0))</f>
        <v/>
      </c>
      <c r="G75">
        <f>IF($F75&gt;0,$E75/$F75*30,"")</f>
        <v/>
      </c>
      <c r="H75">
        <f>MAX(0,CEILING(ROUND($F75*Inputs!$B$10/30*Inputs!$B$7,6),1)-$E75)</f>
        <v/>
      </c>
      <c r="I75">
        <f>MAX(0,CEILING(ROUND($F75*Inputs!$B$11/30*Inputs!$B$7,6),1)-$E75)</f>
        <v/>
      </c>
      <c r="J75">
        <f>MAX(0,CEILING(ROUND($F75*Inputs!$B$12/30*Inputs!$B$7,6),1)-$E75)</f>
        <v/>
      </c>
      <c r="K75">
        <f>IF(AND($F75&gt;0,$E75&lt;=0),1,0)</f>
        <v/>
      </c>
      <c r="L75">
        <f>INDEX(Lots_Data!$S$2:$S$234,MATCH($A75,Lots_Data!$A$2:$A$234,0))</f>
        <v/>
      </c>
      <c r="M75">
        <f>INDEX(Lots_Data!$N$2:$N$234,MATCH($A75,Lots_Data!$A$2:$A$234,0))</f>
        <v/>
      </c>
      <c r="N75">
        <f>IF($F75=0,"n/a",IF($L75&gt;=$F75/30*$M75,"adequate","under-set"))</f>
        <v/>
      </c>
    </row>
    <row r="76">
      <c r="A76" t="inlineStr">
        <is>
          <t>SS-01073</t>
        </is>
      </c>
      <c r="B76">
        <f>INDEX(Lots_Data!$C$2:$C$234,MATCH($A76,Lots_Data!$A$2:$A$234,0))</f>
        <v/>
      </c>
      <c r="C76">
        <f>INDEX(Lots_Data!$E$2:$E$234,MATCH($A76,Lots_Data!$A$2:$A$234,0))</f>
        <v/>
      </c>
      <c r="D76">
        <f>INDEX(Lots_Data!$D$2:$D$234,MATCH($A76,Lots_Data!$A$2:$A$234,0))</f>
        <v/>
      </c>
      <c r="E76">
        <f>INDEX(Lots_Data!$K$2:$K$234,MATCH($A76,Lots_Data!$A$2:$A$234,0))</f>
        <v/>
      </c>
      <c r="F76">
        <f>INDEX(Usage_Summary!$C$4:$C$236,MATCH($A76,Usage_Summary!$A$4:$A$236,0))</f>
        <v/>
      </c>
      <c r="G76">
        <f>IF($F76&gt;0,$E76/$F76*30,"")</f>
        <v/>
      </c>
      <c r="H76">
        <f>MAX(0,CEILING(ROUND($F76*Inputs!$B$10/30*Inputs!$B$7,6),1)-$E76)</f>
        <v/>
      </c>
      <c r="I76">
        <f>MAX(0,CEILING(ROUND($F76*Inputs!$B$11/30*Inputs!$B$7,6),1)-$E76)</f>
        <v/>
      </c>
      <c r="J76">
        <f>MAX(0,CEILING(ROUND($F76*Inputs!$B$12/30*Inputs!$B$7,6),1)-$E76)</f>
        <v/>
      </c>
      <c r="K76">
        <f>IF(AND($F76&gt;0,$E76&lt;=0),1,0)</f>
        <v/>
      </c>
      <c r="L76">
        <f>INDEX(Lots_Data!$S$2:$S$234,MATCH($A76,Lots_Data!$A$2:$A$234,0))</f>
        <v/>
      </c>
      <c r="M76">
        <f>INDEX(Lots_Data!$N$2:$N$234,MATCH($A76,Lots_Data!$A$2:$A$234,0))</f>
        <v/>
      </c>
      <c r="N76">
        <f>IF($F76=0,"n/a",IF($L76&gt;=$F76/30*$M76,"adequate","under-set"))</f>
        <v/>
      </c>
    </row>
    <row r="77">
      <c r="A77" t="inlineStr">
        <is>
          <t>SS-01074</t>
        </is>
      </c>
      <c r="B77">
        <f>INDEX(Lots_Data!$C$2:$C$234,MATCH($A77,Lots_Data!$A$2:$A$234,0))</f>
        <v/>
      </c>
      <c r="C77">
        <f>INDEX(Lots_Data!$E$2:$E$234,MATCH($A77,Lots_Data!$A$2:$A$234,0))</f>
        <v/>
      </c>
      <c r="D77">
        <f>INDEX(Lots_Data!$D$2:$D$234,MATCH($A77,Lots_Data!$A$2:$A$234,0))</f>
        <v/>
      </c>
      <c r="E77">
        <f>INDEX(Lots_Data!$K$2:$K$234,MATCH($A77,Lots_Data!$A$2:$A$234,0))</f>
        <v/>
      </c>
      <c r="F77">
        <f>INDEX(Usage_Summary!$C$4:$C$236,MATCH($A77,Usage_Summary!$A$4:$A$236,0))</f>
        <v/>
      </c>
      <c r="G77">
        <f>IF($F77&gt;0,$E77/$F77*30,"")</f>
        <v/>
      </c>
      <c r="H77">
        <f>MAX(0,CEILING(ROUND($F77*Inputs!$B$10/30*Inputs!$B$7,6),1)-$E77)</f>
        <v/>
      </c>
      <c r="I77">
        <f>MAX(0,CEILING(ROUND($F77*Inputs!$B$11/30*Inputs!$B$7,6),1)-$E77)</f>
        <v/>
      </c>
      <c r="J77">
        <f>MAX(0,CEILING(ROUND($F77*Inputs!$B$12/30*Inputs!$B$7,6),1)-$E77)</f>
        <v/>
      </c>
      <c r="K77">
        <f>IF(AND($F77&gt;0,$E77&lt;=0),1,0)</f>
        <v/>
      </c>
      <c r="L77">
        <f>INDEX(Lots_Data!$S$2:$S$234,MATCH($A77,Lots_Data!$A$2:$A$234,0))</f>
        <v/>
      </c>
      <c r="M77">
        <f>INDEX(Lots_Data!$N$2:$N$234,MATCH($A77,Lots_Data!$A$2:$A$234,0))</f>
        <v/>
      </c>
      <c r="N77">
        <f>IF($F77=0,"n/a",IF($L77&gt;=$F77/30*$M77,"adequate","under-set"))</f>
        <v/>
      </c>
    </row>
    <row r="78">
      <c r="A78" t="inlineStr">
        <is>
          <t>SS-01075</t>
        </is>
      </c>
      <c r="B78">
        <f>INDEX(Lots_Data!$C$2:$C$234,MATCH($A78,Lots_Data!$A$2:$A$234,0))</f>
        <v/>
      </c>
      <c r="C78">
        <f>INDEX(Lots_Data!$E$2:$E$234,MATCH($A78,Lots_Data!$A$2:$A$234,0))</f>
        <v/>
      </c>
      <c r="D78">
        <f>INDEX(Lots_Data!$D$2:$D$234,MATCH($A78,Lots_Data!$A$2:$A$234,0))</f>
        <v/>
      </c>
      <c r="E78">
        <f>INDEX(Lots_Data!$K$2:$K$234,MATCH($A78,Lots_Data!$A$2:$A$234,0))</f>
        <v/>
      </c>
      <c r="F78">
        <f>INDEX(Usage_Summary!$C$4:$C$236,MATCH($A78,Usage_Summary!$A$4:$A$236,0))</f>
        <v/>
      </c>
      <c r="G78">
        <f>IF($F78&gt;0,$E78/$F78*30,"")</f>
        <v/>
      </c>
      <c r="H78">
        <f>MAX(0,CEILING(ROUND($F78*Inputs!$B$10/30*Inputs!$B$7,6),1)-$E78)</f>
        <v/>
      </c>
      <c r="I78">
        <f>MAX(0,CEILING(ROUND($F78*Inputs!$B$11/30*Inputs!$B$7,6),1)-$E78)</f>
        <v/>
      </c>
      <c r="J78">
        <f>MAX(0,CEILING(ROUND($F78*Inputs!$B$12/30*Inputs!$B$7,6),1)-$E78)</f>
        <v/>
      </c>
      <c r="K78">
        <f>IF(AND($F78&gt;0,$E78&lt;=0),1,0)</f>
        <v/>
      </c>
      <c r="L78">
        <f>INDEX(Lots_Data!$S$2:$S$234,MATCH($A78,Lots_Data!$A$2:$A$234,0))</f>
        <v/>
      </c>
      <c r="M78">
        <f>INDEX(Lots_Data!$N$2:$N$234,MATCH($A78,Lots_Data!$A$2:$A$234,0))</f>
        <v/>
      </c>
      <c r="N78">
        <f>IF($F78=0,"n/a",IF($L78&gt;=$F78/30*$M78,"adequate","under-set"))</f>
        <v/>
      </c>
    </row>
    <row r="79">
      <c r="A79" t="inlineStr">
        <is>
          <t>SS-01076</t>
        </is>
      </c>
      <c r="B79">
        <f>INDEX(Lots_Data!$C$2:$C$234,MATCH($A79,Lots_Data!$A$2:$A$234,0))</f>
        <v/>
      </c>
      <c r="C79">
        <f>INDEX(Lots_Data!$E$2:$E$234,MATCH($A79,Lots_Data!$A$2:$A$234,0))</f>
        <v/>
      </c>
      <c r="D79">
        <f>INDEX(Lots_Data!$D$2:$D$234,MATCH($A79,Lots_Data!$A$2:$A$234,0))</f>
        <v/>
      </c>
      <c r="E79">
        <f>INDEX(Lots_Data!$K$2:$K$234,MATCH($A79,Lots_Data!$A$2:$A$234,0))</f>
        <v/>
      </c>
      <c r="F79">
        <f>INDEX(Usage_Summary!$C$4:$C$236,MATCH($A79,Usage_Summary!$A$4:$A$236,0))</f>
        <v/>
      </c>
      <c r="G79">
        <f>IF($F79&gt;0,$E79/$F79*30,"")</f>
        <v/>
      </c>
      <c r="H79">
        <f>MAX(0,CEILING(ROUND($F79*Inputs!$B$10/30*Inputs!$B$7,6),1)-$E79)</f>
        <v/>
      </c>
      <c r="I79">
        <f>MAX(0,CEILING(ROUND($F79*Inputs!$B$11/30*Inputs!$B$7,6),1)-$E79)</f>
        <v/>
      </c>
      <c r="J79">
        <f>MAX(0,CEILING(ROUND($F79*Inputs!$B$12/30*Inputs!$B$7,6),1)-$E79)</f>
        <v/>
      </c>
      <c r="K79">
        <f>IF(AND($F79&gt;0,$E79&lt;=0),1,0)</f>
        <v/>
      </c>
      <c r="L79">
        <f>INDEX(Lots_Data!$S$2:$S$234,MATCH($A79,Lots_Data!$A$2:$A$234,0))</f>
        <v/>
      </c>
      <c r="M79">
        <f>INDEX(Lots_Data!$N$2:$N$234,MATCH($A79,Lots_Data!$A$2:$A$234,0))</f>
        <v/>
      </c>
      <c r="N79">
        <f>IF($F79=0,"n/a",IF($L79&gt;=$F79/30*$M79,"adequate","under-set"))</f>
        <v/>
      </c>
    </row>
    <row r="80">
      <c r="A80" t="inlineStr">
        <is>
          <t>SS-01077</t>
        </is>
      </c>
      <c r="B80">
        <f>INDEX(Lots_Data!$C$2:$C$234,MATCH($A80,Lots_Data!$A$2:$A$234,0))</f>
        <v/>
      </c>
      <c r="C80">
        <f>INDEX(Lots_Data!$E$2:$E$234,MATCH($A80,Lots_Data!$A$2:$A$234,0))</f>
        <v/>
      </c>
      <c r="D80">
        <f>INDEX(Lots_Data!$D$2:$D$234,MATCH($A80,Lots_Data!$A$2:$A$234,0))</f>
        <v/>
      </c>
      <c r="E80">
        <f>INDEX(Lots_Data!$K$2:$K$234,MATCH($A80,Lots_Data!$A$2:$A$234,0))</f>
        <v/>
      </c>
      <c r="F80">
        <f>INDEX(Usage_Summary!$C$4:$C$236,MATCH($A80,Usage_Summary!$A$4:$A$236,0))</f>
        <v/>
      </c>
      <c r="G80">
        <f>IF($F80&gt;0,$E80/$F80*30,"")</f>
        <v/>
      </c>
      <c r="H80">
        <f>MAX(0,CEILING(ROUND($F80*Inputs!$B$10/30*Inputs!$B$7,6),1)-$E80)</f>
        <v/>
      </c>
      <c r="I80">
        <f>MAX(0,CEILING(ROUND($F80*Inputs!$B$11/30*Inputs!$B$7,6),1)-$E80)</f>
        <v/>
      </c>
      <c r="J80">
        <f>MAX(0,CEILING(ROUND($F80*Inputs!$B$12/30*Inputs!$B$7,6),1)-$E80)</f>
        <v/>
      </c>
      <c r="K80">
        <f>IF(AND($F80&gt;0,$E80&lt;=0),1,0)</f>
        <v/>
      </c>
      <c r="L80">
        <f>INDEX(Lots_Data!$S$2:$S$234,MATCH($A80,Lots_Data!$A$2:$A$234,0))</f>
        <v/>
      </c>
      <c r="M80">
        <f>INDEX(Lots_Data!$N$2:$N$234,MATCH($A80,Lots_Data!$A$2:$A$234,0))</f>
        <v/>
      </c>
      <c r="N80">
        <f>IF($F80=0,"n/a",IF($L80&gt;=$F80/30*$M80,"adequate","under-set"))</f>
        <v/>
      </c>
    </row>
    <row r="81">
      <c r="A81" t="inlineStr">
        <is>
          <t>SS-01078</t>
        </is>
      </c>
      <c r="B81">
        <f>INDEX(Lots_Data!$C$2:$C$234,MATCH($A81,Lots_Data!$A$2:$A$234,0))</f>
        <v/>
      </c>
      <c r="C81">
        <f>INDEX(Lots_Data!$E$2:$E$234,MATCH($A81,Lots_Data!$A$2:$A$234,0))</f>
        <v/>
      </c>
      <c r="D81">
        <f>INDEX(Lots_Data!$D$2:$D$234,MATCH($A81,Lots_Data!$A$2:$A$234,0))</f>
        <v/>
      </c>
      <c r="E81">
        <f>INDEX(Lots_Data!$K$2:$K$234,MATCH($A81,Lots_Data!$A$2:$A$234,0))</f>
        <v/>
      </c>
      <c r="F81">
        <f>INDEX(Usage_Summary!$C$4:$C$236,MATCH($A81,Usage_Summary!$A$4:$A$236,0))</f>
        <v/>
      </c>
      <c r="G81">
        <f>IF($F81&gt;0,$E81/$F81*30,"")</f>
        <v/>
      </c>
      <c r="H81">
        <f>MAX(0,CEILING(ROUND($F81*Inputs!$B$10/30*Inputs!$B$7,6),1)-$E81)</f>
        <v/>
      </c>
      <c r="I81">
        <f>MAX(0,CEILING(ROUND($F81*Inputs!$B$11/30*Inputs!$B$7,6),1)-$E81)</f>
        <v/>
      </c>
      <c r="J81">
        <f>MAX(0,CEILING(ROUND($F81*Inputs!$B$12/30*Inputs!$B$7,6),1)-$E81)</f>
        <v/>
      </c>
      <c r="K81">
        <f>IF(AND($F81&gt;0,$E81&lt;=0),1,0)</f>
        <v/>
      </c>
      <c r="L81">
        <f>INDEX(Lots_Data!$S$2:$S$234,MATCH($A81,Lots_Data!$A$2:$A$234,0))</f>
        <v/>
      </c>
      <c r="M81">
        <f>INDEX(Lots_Data!$N$2:$N$234,MATCH($A81,Lots_Data!$A$2:$A$234,0))</f>
        <v/>
      </c>
      <c r="N81">
        <f>IF($F81=0,"n/a",IF($L81&gt;=$F81/30*$M81,"adequate","under-set"))</f>
        <v/>
      </c>
    </row>
    <row r="82">
      <c r="A82" t="inlineStr">
        <is>
          <t>SS-01079</t>
        </is>
      </c>
      <c r="B82">
        <f>INDEX(Lots_Data!$C$2:$C$234,MATCH($A82,Lots_Data!$A$2:$A$234,0))</f>
        <v/>
      </c>
      <c r="C82">
        <f>INDEX(Lots_Data!$E$2:$E$234,MATCH($A82,Lots_Data!$A$2:$A$234,0))</f>
        <v/>
      </c>
      <c r="D82">
        <f>INDEX(Lots_Data!$D$2:$D$234,MATCH($A82,Lots_Data!$A$2:$A$234,0))</f>
        <v/>
      </c>
      <c r="E82">
        <f>INDEX(Lots_Data!$K$2:$K$234,MATCH($A82,Lots_Data!$A$2:$A$234,0))</f>
        <v/>
      </c>
      <c r="F82">
        <f>INDEX(Usage_Summary!$C$4:$C$236,MATCH($A82,Usage_Summary!$A$4:$A$236,0))</f>
        <v/>
      </c>
      <c r="G82">
        <f>IF($F82&gt;0,$E82/$F82*30,"")</f>
        <v/>
      </c>
      <c r="H82">
        <f>MAX(0,CEILING(ROUND($F82*Inputs!$B$10/30*Inputs!$B$7,6),1)-$E82)</f>
        <v/>
      </c>
      <c r="I82">
        <f>MAX(0,CEILING(ROUND($F82*Inputs!$B$11/30*Inputs!$B$7,6),1)-$E82)</f>
        <v/>
      </c>
      <c r="J82">
        <f>MAX(0,CEILING(ROUND($F82*Inputs!$B$12/30*Inputs!$B$7,6),1)-$E82)</f>
        <v/>
      </c>
      <c r="K82">
        <f>IF(AND($F82&gt;0,$E82&lt;=0),1,0)</f>
        <v/>
      </c>
      <c r="L82">
        <f>INDEX(Lots_Data!$S$2:$S$234,MATCH($A82,Lots_Data!$A$2:$A$234,0))</f>
        <v/>
      </c>
      <c r="M82">
        <f>INDEX(Lots_Data!$N$2:$N$234,MATCH($A82,Lots_Data!$A$2:$A$234,0))</f>
        <v/>
      </c>
      <c r="N82">
        <f>IF($F82=0,"n/a",IF($L82&gt;=$F82/30*$M82,"adequate","under-set"))</f>
        <v/>
      </c>
    </row>
    <row r="83">
      <c r="A83" t="inlineStr">
        <is>
          <t>SS-01080</t>
        </is>
      </c>
      <c r="B83">
        <f>INDEX(Lots_Data!$C$2:$C$234,MATCH($A83,Lots_Data!$A$2:$A$234,0))</f>
        <v/>
      </c>
      <c r="C83">
        <f>INDEX(Lots_Data!$E$2:$E$234,MATCH($A83,Lots_Data!$A$2:$A$234,0))</f>
        <v/>
      </c>
      <c r="D83">
        <f>INDEX(Lots_Data!$D$2:$D$234,MATCH($A83,Lots_Data!$A$2:$A$234,0))</f>
        <v/>
      </c>
      <c r="E83">
        <f>INDEX(Lots_Data!$K$2:$K$234,MATCH($A83,Lots_Data!$A$2:$A$234,0))</f>
        <v/>
      </c>
      <c r="F83">
        <f>INDEX(Usage_Summary!$C$4:$C$236,MATCH($A83,Usage_Summary!$A$4:$A$236,0))</f>
        <v/>
      </c>
      <c r="G83">
        <f>IF($F83&gt;0,$E83/$F83*30,"")</f>
        <v/>
      </c>
      <c r="H83">
        <f>MAX(0,CEILING(ROUND($F83*Inputs!$B$10/30*Inputs!$B$7,6),1)-$E83)</f>
        <v/>
      </c>
      <c r="I83">
        <f>MAX(0,CEILING(ROUND($F83*Inputs!$B$11/30*Inputs!$B$7,6),1)-$E83)</f>
        <v/>
      </c>
      <c r="J83">
        <f>MAX(0,CEILING(ROUND($F83*Inputs!$B$12/30*Inputs!$B$7,6),1)-$E83)</f>
        <v/>
      </c>
      <c r="K83">
        <f>IF(AND($F83&gt;0,$E83&lt;=0),1,0)</f>
        <v/>
      </c>
      <c r="L83">
        <f>INDEX(Lots_Data!$S$2:$S$234,MATCH($A83,Lots_Data!$A$2:$A$234,0))</f>
        <v/>
      </c>
      <c r="M83">
        <f>INDEX(Lots_Data!$N$2:$N$234,MATCH($A83,Lots_Data!$A$2:$A$234,0))</f>
        <v/>
      </c>
      <c r="N83">
        <f>IF($F83=0,"n/a",IF($L83&gt;=$F83/30*$M83,"adequate","under-set"))</f>
        <v/>
      </c>
    </row>
    <row r="84">
      <c r="A84" t="inlineStr">
        <is>
          <t>SS-01081</t>
        </is>
      </c>
      <c r="B84">
        <f>INDEX(Lots_Data!$C$2:$C$234,MATCH($A84,Lots_Data!$A$2:$A$234,0))</f>
        <v/>
      </c>
      <c r="C84">
        <f>INDEX(Lots_Data!$E$2:$E$234,MATCH($A84,Lots_Data!$A$2:$A$234,0))</f>
        <v/>
      </c>
      <c r="D84">
        <f>INDEX(Lots_Data!$D$2:$D$234,MATCH($A84,Lots_Data!$A$2:$A$234,0))</f>
        <v/>
      </c>
      <c r="E84">
        <f>INDEX(Lots_Data!$K$2:$K$234,MATCH($A84,Lots_Data!$A$2:$A$234,0))</f>
        <v/>
      </c>
      <c r="F84">
        <f>INDEX(Usage_Summary!$C$4:$C$236,MATCH($A84,Usage_Summary!$A$4:$A$236,0))</f>
        <v/>
      </c>
      <c r="G84">
        <f>IF($F84&gt;0,$E84/$F84*30,"")</f>
        <v/>
      </c>
      <c r="H84">
        <f>MAX(0,CEILING(ROUND($F84*Inputs!$B$10/30*Inputs!$B$7,6),1)-$E84)</f>
        <v/>
      </c>
      <c r="I84">
        <f>MAX(0,CEILING(ROUND($F84*Inputs!$B$11/30*Inputs!$B$7,6),1)-$E84)</f>
        <v/>
      </c>
      <c r="J84">
        <f>MAX(0,CEILING(ROUND($F84*Inputs!$B$12/30*Inputs!$B$7,6),1)-$E84)</f>
        <v/>
      </c>
      <c r="K84">
        <f>IF(AND($F84&gt;0,$E84&lt;=0),1,0)</f>
        <v/>
      </c>
      <c r="L84">
        <f>INDEX(Lots_Data!$S$2:$S$234,MATCH($A84,Lots_Data!$A$2:$A$234,0))</f>
        <v/>
      </c>
      <c r="M84">
        <f>INDEX(Lots_Data!$N$2:$N$234,MATCH($A84,Lots_Data!$A$2:$A$234,0))</f>
        <v/>
      </c>
      <c r="N84">
        <f>IF($F84=0,"n/a",IF($L84&gt;=$F84/30*$M84,"adequate","under-set"))</f>
        <v/>
      </c>
    </row>
    <row r="85">
      <c r="A85" t="inlineStr">
        <is>
          <t>SS-01082</t>
        </is>
      </c>
      <c r="B85">
        <f>INDEX(Lots_Data!$C$2:$C$234,MATCH($A85,Lots_Data!$A$2:$A$234,0))</f>
        <v/>
      </c>
      <c r="C85">
        <f>INDEX(Lots_Data!$E$2:$E$234,MATCH($A85,Lots_Data!$A$2:$A$234,0))</f>
        <v/>
      </c>
      <c r="D85">
        <f>INDEX(Lots_Data!$D$2:$D$234,MATCH($A85,Lots_Data!$A$2:$A$234,0))</f>
        <v/>
      </c>
      <c r="E85">
        <f>INDEX(Lots_Data!$K$2:$K$234,MATCH($A85,Lots_Data!$A$2:$A$234,0))</f>
        <v/>
      </c>
      <c r="F85">
        <f>INDEX(Usage_Summary!$C$4:$C$236,MATCH($A85,Usage_Summary!$A$4:$A$236,0))</f>
        <v/>
      </c>
      <c r="G85">
        <f>IF($F85&gt;0,$E85/$F85*30,"")</f>
        <v/>
      </c>
      <c r="H85">
        <f>MAX(0,CEILING(ROUND($F85*Inputs!$B$10/30*Inputs!$B$7,6),1)-$E85)</f>
        <v/>
      </c>
      <c r="I85">
        <f>MAX(0,CEILING(ROUND($F85*Inputs!$B$11/30*Inputs!$B$7,6),1)-$E85)</f>
        <v/>
      </c>
      <c r="J85">
        <f>MAX(0,CEILING(ROUND($F85*Inputs!$B$12/30*Inputs!$B$7,6),1)-$E85)</f>
        <v/>
      </c>
      <c r="K85">
        <f>IF(AND($F85&gt;0,$E85&lt;=0),1,0)</f>
        <v/>
      </c>
      <c r="L85">
        <f>INDEX(Lots_Data!$S$2:$S$234,MATCH($A85,Lots_Data!$A$2:$A$234,0))</f>
        <v/>
      </c>
      <c r="M85">
        <f>INDEX(Lots_Data!$N$2:$N$234,MATCH($A85,Lots_Data!$A$2:$A$234,0))</f>
        <v/>
      </c>
      <c r="N85">
        <f>IF($F85=0,"n/a",IF($L85&gt;=$F85/30*$M85,"adequate","under-set"))</f>
        <v/>
      </c>
    </row>
    <row r="86">
      <c r="A86" t="inlineStr">
        <is>
          <t>SS-01083</t>
        </is>
      </c>
      <c r="B86">
        <f>INDEX(Lots_Data!$C$2:$C$234,MATCH($A86,Lots_Data!$A$2:$A$234,0))</f>
        <v/>
      </c>
      <c r="C86">
        <f>INDEX(Lots_Data!$E$2:$E$234,MATCH($A86,Lots_Data!$A$2:$A$234,0))</f>
        <v/>
      </c>
      <c r="D86">
        <f>INDEX(Lots_Data!$D$2:$D$234,MATCH($A86,Lots_Data!$A$2:$A$234,0))</f>
        <v/>
      </c>
      <c r="E86">
        <f>INDEX(Lots_Data!$K$2:$K$234,MATCH($A86,Lots_Data!$A$2:$A$234,0))</f>
        <v/>
      </c>
      <c r="F86">
        <f>INDEX(Usage_Summary!$C$4:$C$236,MATCH($A86,Usage_Summary!$A$4:$A$236,0))</f>
        <v/>
      </c>
      <c r="G86">
        <f>IF($F86&gt;0,$E86/$F86*30,"")</f>
        <v/>
      </c>
      <c r="H86">
        <f>MAX(0,CEILING(ROUND($F86*Inputs!$B$10/30*Inputs!$B$7,6),1)-$E86)</f>
        <v/>
      </c>
      <c r="I86">
        <f>MAX(0,CEILING(ROUND($F86*Inputs!$B$11/30*Inputs!$B$7,6),1)-$E86)</f>
        <v/>
      </c>
      <c r="J86">
        <f>MAX(0,CEILING(ROUND($F86*Inputs!$B$12/30*Inputs!$B$7,6),1)-$E86)</f>
        <v/>
      </c>
      <c r="K86">
        <f>IF(AND($F86&gt;0,$E86&lt;=0),1,0)</f>
        <v/>
      </c>
      <c r="L86">
        <f>INDEX(Lots_Data!$S$2:$S$234,MATCH($A86,Lots_Data!$A$2:$A$234,0))</f>
        <v/>
      </c>
      <c r="M86">
        <f>INDEX(Lots_Data!$N$2:$N$234,MATCH($A86,Lots_Data!$A$2:$A$234,0))</f>
        <v/>
      </c>
      <c r="N86">
        <f>IF($F86=0,"n/a",IF($L86&gt;=$F86/30*$M86,"adequate","under-set"))</f>
        <v/>
      </c>
    </row>
    <row r="87">
      <c r="A87" t="inlineStr">
        <is>
          <t>SS-01084</t>
        </is>
      </c>
      <c r="B87">
        <f>INDEX(Lots_Data!$C$2:$C$234,MATCH($A87,Lots_Data!$A$2:$A$234,0))</f>
        <v/>
      </c>
      <c r="C87">
        <f>INDEX(Lots_Data!$E$2:$E$234,MATCH($A87,Lots_Data!$A$2:$A$234,0))</f>
        <v/>
      </c>
      <c r="D87">
        <f>INDEX(Lots_Data!$D$2:$D$234,MATCH($A87,Lots_Data!$A$2:$A$234,0))</f>
        <v/>
      </c>
      <c r="E87">
        <f>INDEX(Lots_Data!$K$2:$K$234,MATCH($A87,Lots_Data!$A$2:$A$234,0))</f>
        <v/>
      </c>
      <c r="F87">
        <f>INDEX(Usage_Summary!$C$4:$C$236,MATCH($A87,Usage_Summary!$A$4:$A$236,0))</f>
        <v/>
      </c>
      <c r="G87">
        <f>IF($F87&gt;0,$E87/$F87*30,"")</f>
        <v/>
      </c>
      <c r="H87">
        <f>MAX(0,CEILING(ROUND($F87*Inputs!$B$10/30*Inputs!$B$7,6),1)-$E87)</f>
        <v/>
      </c>
      <c r="I87">
        <f>MAX(0,CEILING(ROUND($F87*Inputs!$B$11/30*Inputs!$B$7,6),1)-$E87)</f>
        <v/>
      </c>
      <c r="J87">
        <f>MAX(0,CEILING(ROUND($F87*Inputs!$B$12/30*Inputs!$B$7,6),1)-$E87)</f>
        <v/>
      </c>
      <c r="K87">
        <f>IF(AND($F87&gt;0,$E87&lt;=0),1,0)</f>
        <v/>
      </c>
      <c r="L87">
        <f>INDEX(Lots_Data!$S$2:$S$234,MATCH($A87,Lots_Data!$A$2:$A$234,0))</f>
        <v/>
      </c>
      <c r="M87">
        <f>INDEX(Lots_Data!$N$2:$N$234,MATCH($A87,Lots_Data!$A$2:$A$234,0))</f>
        <v/>
      </c>
      <c r="N87">
        <f>IF($F87=0,"n/a",IF($L87&gt;=$F87/30*$M87,"adequate","under-set"))</f>
        <v/>
      </c>
    </row>
    <row r="88">
      <c r="A88" t="inlineStr">
        <is>
          <t>SS-01085</t>
        </is>
      </c>
      <c r="B88">
        <f>INDEX(Lots_Data!$C$2:$C$234,MATCH($A88,Lots_Data!$A$2:$A$234,0))</f>
        <v/>
      </c>
      <c r="C88">
        <f>INDEX(Lots_Data!$E$2:$E$234,MATCH($A88,Lots_Data!$A$2:$A$234,0))</f>
        <v/>
      </c>
      <c r="D88">
        <f>INDEX(Lots_Data!$D$2:$D$234,MATCH($A88,Lots_Data!$A$2:$A$234,0))</f>
        <v/>
      </c>
      <c r="E88">
        <f>INDEX(Lots_Data!$K$2:$K$234,MATCH($A88,Lots_Data!$A$2:$A$234,0))</f>
        <v/>
      </c>
      <c r="F88">
        <f>INDEX(Usage_Summary!$C$4:$C$236,MATCH($A88,Usage_Summary!$A$4:$A$236,0))</f>
        <v/>
      </c>
      <c r="G88">
        <f>IF($F88&gt;0,$E88/$F88*30,"")</f>
        <v/>
      </c>
      <c r="H88">
        <f>MAX(0,CEILING(ROUND($F88*Inputs!$B$10/30*Inputs!$B$7,6),1)-$E88)</f>
        <v/>
      </c>
      <c r="I88">
        <f>MAX(0,CEILING(ROUND($F88*Inputs!$B$11/30*Inputs!$B$7,6),1)-$E88)</f>
        <v/>
      </c>
      <c r="J88">
        <f>MAX(0,CEILING(ROUND($F88*Inputs!$B$12/30*Inputs!$B$7,6),1)-$E88)</f>
        <v/>
      </c>
      <c r="K88">
        <f>IF(AND($F88&gt;0,$E88&lt;=0),1,0)</f>
        <v/>
      </c>
      <c r="L88">
        <f>INDEX(Lots_Data!$S$2:$S$234,MATCH($A88,Lots_Data!$A$2:$A$234,0))</f>
        <v/>
      </c>
      <c r="M88">
        <f>INDEX(Lots_Data!$N$2:$N$234,MATCH($A88,Lots_Data!$A$2:$A$234,0))</f>
        <v/>
      </c>
      <c r="N88">
        <f>IF($F88=0,"n/a",IF($L88&gt;=$F88/30*$M88,"adequate","under-set"))</f>
        <v/>
      </c>
    </row>
    <row r="89">
      <c r="A89" t="inlineStr">
        <is>
          <t>SS-01086</t>
        </is>
      </c>
      <c r="B89">
        <f>INDEX(Lots_Data!$C$2:$C$234,MATCH($A89,Lots_Data!$A$2:$A$234,0))</f>
        <v/>
      </c>
      <c r="C89">
        <f>INDEX(Lots_Data!$E$2:$E$234,MATCH($A89,Lots_Data!$A$2:$A$234,0))</f>
        <v/>
      </c>
      <c r="D89">
        <f>INDEX(Lots_Data!$D$2:$D$234,MATCH($A89,Lots_Data!$A$2:$A$234,0))</f>
        <v/>
      </c>
      <c r="E89">
        <f>INDEX(Lots_Data!$K$2:$K$234,MATCH($A89,Lots_Data!$A$2:$A$234,0))</f>
        <v/>
      </c>
      <c r="F89">
        <f>INDEX(Usage_Summary!$C$4:$C$236,MATCH($A89,Usage_Summary!$A$4:$A$236,0))</f>
        <v/>
      </c>
      <c r="G89">
        <f>IF($F89&gt;0,$E89/$F89*30,"")</f>
        <v/>
      </c>
      <c r="H89">
        <f>MAX(0,CEILING(ROUND($F89*Inputs!$B$10/30*Inputs!$B$7,6),1)-$E89)</f>
        <v/>
      </c>
      <c r="I89">
        <f>MAX(0,CEILING(ROUND($F89*Inputs!$B$11/30*Inputs!$B$7,6),1)-$E89)</f>
        <v/>
      </c>
      <c r="J89">
        <f>MAX(0,CEILING(ROUND($F89*Inputs!$B$12/30*Inputs!$B$7,6),1)-$E89)</f>
        <v/>
      </c>
      <c r="K89">
        <f>IF(AND($F89&gt;0,$E89&lt;=0),1,0)</f>
        <v/>
      </c>
      <c r="L89">
        <f>INDEX(Lots_Data!$S$2:$S$234,MATCH($A89,Lots_Data!$A$2:$A$234,0))</f>
        <v/>
      </c>
      <c r="M89">
        <f>INDEX(Lots_Data!$N$2:$N$234,MATCH($A89,Lots_Data!$A$2:$A$234,0))</f>
        <v/>
      </c>
      <c r="N89">
        <f>IF($F89=0,"n/a",IF($L89&gt;=$F89/30*$M89,"adequate","under-set"))</f>
        <v/>
      </c>
    </row>
    <row r="90">
      <c r="A90" t="inlineStr">
        <is>
          <t>SS-01087</t>
        </is>
      </c>
      <c r="B90">
        <f>INDEX(Lots_Data!$C$2:$C$234,MATCH($A90,Lots_Data!$A$2:$A$234,0))</f>
        <v/>
      </c>
      <c r="C90">
        <f>INDEX(Lots_Data!$E$2:$E$234,MATCH($A90,Lots_Data!$A$2:$A$234,0))</f>
        <v/>
      </c>
      <c r="D90">
        <f>INDEX(Lots_Data!$D$2:$D$234,MATCH($A90,Lots_Data!$A$2:$A$234,0))</f>
        <v/>
      </c>
      <c r="E90">
        <f>INDEX(Lots_Data!$K$2:$K$234,MATCH($A90,Lots_Data!$A$2:$A$234,0))</f>
        <v/>
      </c>
      <c r="F90">
        <f>INDEX(Usage_Summary!$C$4:$C$236,MATCH($A90,Usage_Summary!$A$4:$A$236,0))</f>
        <v/>
      </c>
      <c r="G90">
        <f>IF($F90&gt;0,$E90/$F90*30,"")</f>
        <v/>
      </c>
      <c r="H90">
        <f>MAX(0,CEILING(ROUND($F90*Inputs!$B$10/30*Inputs!$B$7,6),1)-$E90)</f>
        <v/>
      </c>
      <c r="I90">
        <f>MAX(0,CEILING(ROUND($F90*Inputs!$B$11/30*Inputs!$B$7,6),1)-$E90)</f>
        <v/>
      </c>
      <c r="J90">
        <f>MAX(0,CEILING(ROUND($F90*Inputs!$B$12/30*Inputs!$B$7,6),1)-$E90)</f>
        <v/>
      </c>
      <c r="K90">
        <f>IF(AND($F90&gt;0,$E90&lt;=0),1,0)</f>
        <v/>
      </c>
      <c r="L90">
        <f>INDEX(Lots_Data!$S$2:$S$234,MATCH($A90,Lots_Data!$A$2:$A$234,0))</f>
        <v/>
      </c>
      <c r="M90">
        <f>INDEX(Lots_Data!$N$2:$N$234,MATCH($A90,Lots_Data!$A$2:$A$234,0))</f>
        <v/>
      </c>
      <c r="N90">
        <f>IF($F90=0,"n/a",IF($L90&gt;=$F90/30*$M90,"adequate","under-set"))</f>
        <v/>
      </c>
    </row>
    <row r="91">
      <c r="A91" t="inlineStr">
        <is>
          <t>SS-01088</t>
        </is>
      </c>
      <c r="B91">
        <f>INDEX(Lots_Data!$C$2:$C$234,MATCH($A91,Lots_Data!$A$2:$A$234,0))</f>
        <v/>
      </c>
      <c r="C91">
        <f>INDEX(Lots_Data!$E$2:$E$234,MATCH($A91,Lots_Data!$A$2:$A$234,0))</f>
        <v/>
      </c>
      <c r="D91">
        <f>INDEX(Lots_Data!$D$2:$D$234,MATCH($A91,Lots_Data!$A$2:$A$234,0))</f>
        <v/>
      </c>
      <c r="E91">
        <f>INDEX(Lots_Data!$K$2:$K$234,MATCH($A91,Lots_Data!$A$2:$A$234,0))</f>
        <v/>
      </c>
      <c r="F91">
        <f>INDEX(Usage_Summary!$C$4:$C$236,MATCH($A91,Usage_Summary!$A$4:$A$236,0))</f>
        <v/>
      </c>
      <c r="G91">
        <f>IF($F91&gt;0,$E91/$F91*30,"")</f>
        <v/>
      </c>
      <c r="H91">
        <f>MAX(0,CEILING(ROUND($F91*Inputs!$B$10/30*Inputs!$B$7,6),1)-$E91)</f>
        <v/>
      </c>
      <c r="I91">
        <f>MAX(0,CEILING(ROUND($F91*Inputs!$B$11/30*Inputs!$B$7,6),1)-$E91)</f>
        <v/>
      </c>
      <c r="J91">
        <f>MAX(0,CEILING(ROUND($F91*Inputs!$B$12/30*Inputs!$B$7,6),1)-$E91)</f>
        <v/>
      </c>
      <c r="K91">
        <f>IF(AND($F91&gt;0,$E91&lt;=0),1,0)</f>
        <v/>
      </c>
      <c r="L91">
        <f>INDEX(Lots_Data!$S$2:$S$234,MATCH($A91,Lots_Data!$A$2:$A$234,0))</f>
        <v/>
      </c>
      <c r="M91">
        <f>INDEX(Lots_Data!$N$2:$N$234,MATCH($A91,Lots_Data!$A$2:$A$234,0))</f>
        <v/>
      </c>
      <c r="N91">
        <f>IF($F91=0,"n/a",IF($L91&gt;=$F91/30*$M91,"adequate","under-set"))</f>
        <v/>
      </c>
    </row>
    <row r="92">
      <c r="A92" t="inlineStr">
        <is>
          <t>SS-01089</t>
        </is>
      </c>
      <c r="B92">
        <f>INDEX(Lots_Data!$C$2:$C$234,MATCH($A92,Lots_Data!$A$2:$A$234,0))</f>
        <v/>
      </c>
      <c r="C92">
        <f>INDEX(Lots_Data!$E$2:$E$234,MATCH($A92,Lots_Data!$A$2:$A$234,0))</f>
        <v/>
      </c>
      <c r="D92">
        <f>INDEX(Lots_Data!$D$2:$D$234,MATCH($A92,Lots_Data!$A$2:$A$234,0))</f>
        <v/>
      </c>
      <c r="E92">
        <f>INDEX(Lots_Data!$K$2:$K$234,MATCH($A92,Lots_Data!$A$2:$A$234,0))</f>
        <v/>
      </c>
      <c r="F92">
        <f>INDEX(Usage_Summary!$C$4:$C$236,MATCH($A92,Usage_Summary!$A$4:$A$236,0))</f>
        <v/>
      </c>
      <c r="G92">
        <f>IF($F92&gt;0,$E92/$F92*30,"")</f>
        <v/>
      </c>
      <c r="H92">
        <f>MAX(0,CEILING(ROUND($F92*Inputs!$B$10/30*Inputs!$B$7,6),1)-$E92)</f>
        <v/>
      </c>
      <c r="I92">
        <f>MAX(0,CEILING(ROUND($F92*Inputs!$B$11/30*Inputs!$B$7,6),1)-$E92)</f>
        <v/>
      </c>
      <c r="J92">
        <f>MAX(0,CEILING(ROUND($F92*Inputs!$B$12/30*Inputs!$B$7,6),1)-$E92)</f>
        <v/>
      </c>
      <c r="K92">
        <f>IF(AND($F92&gt;0,$E92&lt;=0),1,0)</f>
        <v/>
      </c>
      <c r="L92">
        <f>INDEX(Lots_Data!$S$2:$S$234,MATCH($A92,Lots_Data!$A$2:$A$234,0))</f>
        <v/>
      </c>
      <c r="M92">
        <f>INDEX(Lots_Data!$N$2:$N$234,MATCH($A92,Lots_Data!$A$2:$A$234,0))</f>
        <v/>
      </c>
      <c r="N92">
        <f>IF($F92=0,"n/a",IF($L92&gt;=$F92/30*$M92,"adequate","under-set"))</f>
        <v/>
      </c>
    </row>
    <row r="93">
      <c r="A93" t="inlineStr">
        <is>
          <t>SS-01090</t>
        </is>
      </c>
      <c r="B93">
        <f>INDEX(Lots_Data!$C$2:$C$234,MATCH($A93,Lots_Data!$A$2:$A$234,0))</f>
        <v/>
      </c>
      <c r="C93">
        <f>INDEX(Lots_Data!$E$2:$E$234,MATCH($A93,Lots_Data!$A$2:$A$234,0))</f>
        <v/>
      </c>
      <c r="D93">
        <f>INDEX(Lots_Data!$D$2:$D$234,MATCH($A93,Lots_Data!$A$2:$A$234,0))</f>
        <v/>
      </c>
      <c r="E93">
        <f>INDEX(Lots_Data!$K$2:$K$234,MATCH($A93,Lots_Data!$A$2:$A$234,0))</f>
        <v/>
      </c>
      <c r="F93">
        <f>INDEX(Usage_Summary!$C$4:$C$236,MATCH($A93,Usage_Summary!$A$4:$A$236,0))</f>
        <v/>
      </c>
      <c r="G93">
        <f>IF($F93&gt;0,$E93/$F93*30,"")</f>
        <v/>
      </c>
      <c r="H93">
        <f>MAX(0,CEILING(ROUND($F93*Inputs!$B$10/30*Inputs!$B$7,6),1)-$E93)</f>
        <v/>
      </c>
      <c r="I93">
        <f>MAX(0,CEILING(ROUND($F93*Inputs!$B$11/30*Inputs!$B$7,6),1)-$E93)</f>
        <v/>
      </c>
      <c r="J93">
        <f>MAX(0,CEILING(ROUND($F93*Inputs!$B$12/30*Inputs!$B$7,6),1)-$E93)</f>
        <v/>
      </c>
      <c r="K93">
        <f>IF(AND($F93&gt;0,$E93&lt;=0),1,0)</f>
        <v/>
      </c>
      <c r="L93">
        <f>INDEX(Lots_Data!$S$2:$S$234,MATCH($A93,Lots_Data!$A$2:$A$234,0))</f>
        <v/>
      </c>
      <c r="M93">
        <f>INDEX(Lots_Data!$N$2:$N$234,MATCH($A93,Lots_Data!$A$2:$A$234,0))</f>
        <v/>
      </c>
      <c r="N93">
        <f>IF($F93=0,"n/a",IF($L93&gt;=$F93/30*$M93,"adequate","under-set"))</f>
        <v/>
      </c>
    </row>
    <row r="94">
      <c r="A94" t="inlineStr">
        <is>
          <t>SS-01091</t>
        </is>
      </c>
      <c r="B94">
        <f>INDEX(Lots_Data!$C$2:$C$234,MATCH($A94,Lots_Data!$A$2:$A$234,0))</f>
        <v/>
      </c>
      <c r="C94">
        <f>INDEX(Lots_Data!$E$2:$E$234,MATCH($A94,Lots_Data!$A$2:$A$234,0))</f>
        <v/>
      </c>
      <c r="D94">
        <f>INDEX(Lots_Data!$D$2:$D$234,MATCH($A94,Lots_Data!$A$2:$A$234,0))</f>
        <v/>
      </c>
      <c r="E94">
        <f>INDEX(Lots_Data!$K$2:$K$234,MATCH($A94,Lots_Data!$A$2:$A$234,0))</f>
        <v/>
      </c>
      <c r="F94">
        <f>INDEX(Usage_Summary!$C$4:$C$236,MATCH($A94,Usage_Summary!$A$4:$A$236,0))</f>
        <v/>
      </c>
      <c r="G94">
        <f>IF($F94&gt;0,$E94/$F94*30,"")</f>
        <v/>
      </c>
      <c r="H94">
        <f>MAX(0,CEILING(ROUND($F94*Inputs!$B$10/30*Inputs!$B$7,6),1)-$E94)</f>
        <v/>
      </c>
      <c r="I94">
        <f>MAX(0,CEILING(ROUND($F94*Inputs!$B$11/30*Inputs!$B$7,6),1)-$E94)</f>
        <v/>
      </c>
      <c r="J94">
        <f>MAX(0,CEILING(ROUND($F94*Inputs!$B$12/30*Inputs!$B$7,6),1)-$E94)</f>
        <v/>
      </c>
      <c r="K94">
        <f>IF(AND($F94&gt;0,$E94&lt;=0),1,0)</f>
        <v/>
      </c>
      <c r="L94">
        <f>INDEX(Lots_Data!$S$2:$S$234,MATCH($A94,Lots_Data!$A$2:$A$234,0))</f>
        <v/>
      </c>
      <c r="M94">
        <f>INDEX(Lots_Data!$N$2:$N$234,MATCH($A94,Lots_Data!$A$2:$A$234,0))</f>
        <v/>
      </c>
      <c r="N94">
        <f>IF($F94=0,"n/a",IF($L94&gt;=$F94/30*$M94,"adequate","under-set"))</f>
        <v/>
      </c>
    </row>
    <row r="95">
      <c r="A95" t="inlineStr">
        <is>
          <t>SS-01092</t>
        </is>
      </c>
      <c r="B95">
        <f>INDEX(Lots_Data!$C$2:$C$234,MATCH($A95,Lots_Data!$A$2:$A$234,0))</f>
        <v/>
      </c>
      <c r="C95">
        <f>INDEX(Lots_Data!$E$2:$E$234,MATCH($A95,Lots_Data!$A$2:$A$234,0))</f>
        <v/>
      </c>
      <c r="D95">
        <f>INDEX(Lots_Data!$D$2:$D$234,MATCH($A95,Lots_Data!$A$2:$A$234,0))</f>
        <v/>
      </c>
      <c r="E95">
        <f>INDEX(Lots_Data!$K$2:$K$234,MATCH($A95,Lots_Data!$A$2:$A$234,0))</f>
        <v/>
      </c>
      <c r="F95">
        <f>INDEX(Usage_Summary!$C$4:$C$236,MATCH($A95,Usage_Summary!$A$4:$A$236,0))</f>
        <v/>
      </c>
      <c r="G95">
        <f>IF($F95&gt;0,$E95/$F95*30,"")</f>
        <v/>
      </c>
      <c r="H95">
        <f>MAX(0,CEILING(ROUND($F95*Inputs!$B$10/30*Inputs!$B$7,6),1)-$E95)</f>
        <v/>
      </c>
      <c r="I95">
        <f>MAX(0,CEILING(ROUND($F95*Inputs!$B$11/30*Inputs!$B$7,6),1)-$E95)</f>
        <v/>
      </c>
      <c r="J95">
        <f>MAX(0,CEILING(ROUND($F95*Inputs!$B$12/30*Inputs!$B$7,6),1)-$E95)</f>
        <v/>
      </c>
      <c r="K95">
        <f>IF(AND($F95&gt;0,$E95&lt;=0),1,0)</f>
        <v/>
      </c>
      <c r="L95">
        <f>INDEX(Lots_Data!$S$2:$S$234,MATCH($A95,Lots_Data!$A$2:$A$234,0))</f>
        <v/>
      </c>
      <c r="M95">
        <f>INDEX(Lots_Data!$N$2:$N$234,MATCH($A95,Lots_Data!$A$2:$A$234,0))</f>
        <v/>
      </c>
      <c r="N95">
        <f>IF($F95=0,"n/a",IF($L95&gt;=$F95/30*$M95,"adequate","under-set"))</f>
        <v/>
      </c>
    </row>
    <row r="96">
      <c r="A96" t="inlineStr">
        <is>
          <t>SS-01093</t>
        </is>
      </c>
      <c r="B96">
        <f>INDEX(Lots_Data!$C$2:$C$234,MATCH($A96,Lots_Data!$A$2:$A$234,0))</f>
        <v/>
      </c>
      <c r="C96">
        <f>INDEX(Lots_Data!$E$2:$E$234,MATCH($A96,Lots_Data!$A$2:$A$234,0))</f>
        <v/>
      </c>
      <c r="D96">
        <f>INDEX(Lots_Data!$D$2:$D$234,MATCH($A96,Lots_Data!$A$2:$A$234,0))</f>
        <v/>
      </c>
      <c r="E96">
        <f>INDEX(Lots_Data!$K$2:$K$234,MATCH($A96,Lots_Data!$A$2:$A$234,0))</f>
        <v/>
      </c>
      <c r="F96">
        <f>INDEX(Usage_Summary!$C$4:$C$236,MATCH($A96,Usage_Summary!$A$4:$A$236,0))</f>
        <v/>
      </c>
      <c r="G96">
        <f>IF($F96&gt;0,$E96/$F96*30,"")</f>
        <v/>
      </c>
      <c r="H96">
        <f>MAX(0,CEILING(ROUND($F96*Inputs!$B$10/30*Inputs!$B$7,6),1)-$E96)</f>
        <v/>
      </c>
      <c r="I96">
        <f>MAX(0,CEILING(ROUND($F96*Inputs!$B$11/30*Inputs!$B$7,6),1)-$E96)</f>
        <v/>
      </c>
      <c r="J96">
        <f>MAX(0,CEILING(ROUND($F96*Inputs!$B$12/30*Inputs!$B$7,6),1)-$E96)</f>
        <v/>
      </c>
      <c r="K96">
        <f>IF(AND($F96&gt;0,$E96&lt;=0),1,0)</f>
        <v/>
      </c>
      <c r="L96">
        <f>INDEX(Lots_Data!$S$2:$S$234,MATCH($A96,Lots_Data!$A$2:$A$234,0))</f>
        <v/>
      </c>
      <c r="M96">
        <f>INDEX(Lots_Data!$N$2:$N$234,MATCH($A96,Lots_Data!$A$2:$A$234,0))</f>
        <v/>
      </c>
      <c r="N96">
        <f>IF($F96=0,"n/a",IF($L96&gt;=$F96/30*$M96,"adequate","under-set"))</f>
        <v/>
      </c>
    </row>
    <row r="97">
      <c r="A97" t="inlineStr">
        <is>
          <t>SS-01094</t>
        </is>
      </c>
      <c r="B97">
        <f>INDEX(Lots_Data!$C$2:$C$234,MATCH($A97,Lots_Data!$A$2:$A$234,0))</f>
        <v/>
      </c>
      <c r="C97">
        <f>INDEX(Lots_Data!$E$2:$E$234,MATCH($A97,Lots_Data!$A$2:$A$234,0))</f>
        <v/>
      </c>
      <c r="D97">
        <f>INDEX(Lots_Data!$D$2:$D$234,MATCH($A97,Lots_Data!$A$2:$A$234,0))</f>
        <v/>
      </c>
      <c r="E97">
        <f>INDEX(Lots_Data!$K$2:$K$234,MATCH($A97,Lots_Data!$A$2:$A$234,0))</f>
        <v/>
      </c>
      <c r="F97">
        <f>INDEX(Usage_Summary!$C$4:$C$236,MATCH($A97,Usage_Summary!$A$4:$A$236,0))</f>
        <v/>
      </c>
      <c r="G97">
        <f>IF($F97&gt;0,$E97/$F97*30,"")</f>
        <v/>
      </c>
      <c r="H97">
        <f>MAX(0,CEILING(ROUND($F97*Inputs!$B$10/30*Inputs!$B$7,6),1)-$E97)</f>
        <v/>
      </c>
      <c r="I97">
        <f>MAX(0,CEILING(ROUND($F97*Inputs!$B$11/30*Inputs!$B$7,6),1)-$E97)</f>
        <v/>
      </c>
      <c r="J97">
        <f>MAX(0,CEILING(ROUND($F97*Inputs!$B$12/30*Inputs!$B$7,6),1)-$E97)</f>
        <v/>
      </c>
      <c r="K97">
        <f>IF(AND($F97&gt;0,$E97&lt;=0),1,0)</f>
        <v/>
      </c>
      <c r="L97">
        <f>INDEX(Lots_Data!$S$2:$S$234,MATCH($A97,Lots_Data!$A$2:$A$234,0))</f>
        <v/>
      </c>
      <c r="M97">
        <f>INDEX(Lots_Data!$N$2:$N$234,MATCH($A97,Lots_Data!$A$2:$A$234,0))</f>
        <v/>
      </c>
      <c r="N97">
        <f>IF($F97=0,"n/a",IF($L97&gt;=$F97/30*$M97,"adequate","under-set"))</f>
        <v/>
      </c>
    </row>
    <row r="98">
      <c r="A98" t="inlineStr">
        <is>
          <t>SS-01095</t>
        </is>
      </c>
      <c r="B98">
        <f>INDEX(Lots_Data!$C$2:$C$234,MATCH($A98,Lots_Data!$A$2:$A$234,0))</f>
        <v/>
      </c>
      <c r="C98">
        <f>INDEX(Lots_Data!$E$2:$E$234,MATCH($A98,Lots_Data!$A$2:$A$234,0))</f>
        <v/>
      </c>
      <c r="D98">
        <f>INDEX(Lots_Data!$D$2:$D$234,MATCH($A98,Lots_Data!$A$2:$A$234,0))</f>
        <v/>
      </c>
      <c r="E98">
        <f>INDEX(Lots_Data!$K$2:$K$234,MATCH($A98,Lots_Data!$A$2:$A$234,0))</f>
        <v/>
      </c>
      <c r="F98">
        <f>INDEX(Usage_Summary!$C$4:$C$236,MATCH($A98,Usage_Summary!$A$4:$A$236,0))</f>
        <v/>
      </c>
      <c r="G98">
        <f>IF($F98&gt;0,$E98/$F98*30,"")</f>
        <v/>
      </c>
      <c r="H98">
        <f>MAX(0,CEILING(ROUND($F98*Inputs!$B$10/30*Inputs!$B$7,6),1)-$E98)</f>
        <v/>
      </c>
      <c r="I98">
        <f>MAX(0,CEILING(ROUND($F98*Inputs!$B$11/30*Inputs!$B$7,6),1)-$E98)</f>
        <v/>
      </c>
      <c r="J98">
        <f>MAX(0,CEILING(ROUND($F98*Inputs!$B$12/30*Inputs!$B$7,6),1)-$E98)</f>
        <v/>
      </c>
      <c r="K98">
        <f>IF(AND($F98&gt;0,$E98&lt;=0),1,0)</f>
        <v/>
      </c>
      <c r="L98">
        <f>INDEX(Lots_Data!$S$2:$S$234,MATCH($A98,Lots_Data!$A$2:$A$234,0))</f>
        <v/>
      </c>
      <c r="M98">
        <f>INDEX(Lots_Data!$N$2:$N$234,MATCH($A98,Lots_Data!$A$2:$A$234,0))</f>
        <v/>
      </c>
      <c r="N98">
        <f>IF($F98=0,"n/a",IF($L98&gt;=$F98/30*$M98,"adequate","under-set"))</f>
        <v/>
      </c>
    </row>
    <row r="99">
      <c r="A99" t="inlineStr">
        <is>
          <t>SS-01096</t>
        </is>
      </c>
      <c r="B99">
        <f>INDEX(Lots_Data!$C$2:$C$234,MATCH($A99,Lots_Data!$A$2:$A$234,0))</f>
        <v/>
      </c>
      <c r="C99">
        <f>INDEX(Lots_Data!$E$2:$E$234,MATCH($A99,Lots_Data!$A$2:$A$234,0))</f>
        <v/>
      </c>
      <c r="D99">
        <f>INDEX(Lots_Data!$D$2:$D$234,MATCH($A99,Lots_Data!$A$2:$A$234,0))</f>
        <v/>
      </c>
      <c r="E99">
        <f>INDEX(Lots_Data!$K$2:$K$234,MATCH($A99,Lots_Data!$A$2:$A$234,0))</f>
        <v/>
      </c>
      <c r="F99">
        <f>INDEX(Usage_Summary!$C$4:$C$236,MATCH($A99,Usage_Summary!$A$4:$A$236,0))</f>
        <v/>
      </c>
      <c r="G99">
        <f>IF($F99&gt;0,$E99/$F99*30,"")</f>
        <v/>
      </c>
      <c r="H99">
        <f>MAX(0,CEILING(ROUND($F99*Inputs!$B$10/30*Inputs!$B$7,6),1)-$E99)</f>
        <v/>
      </c>
      <c r="I99">
        <f>MAX(0,CEILING(ROUND($F99*Inputs!$B$11/30*Inputs!$B$7,6),1)-$E99)</f>
        <v/>
      </c>
      <c r="J99">
        <f>MAX(0,CEILING(ROUND($F99*Inputs!$B$12/30*Inputs!$B$7,6),1)-$E99)</f>
        <v/>
      </c>
      <c r="K99">
        <f>IF(AND($F99&gt;0,$E99&lt;=0),1,0)</f>
        <v/>
      </c>
      <c r="L99">
        <f>INDEX(Lots_Data!$S$2:$S$234,MATCH($A99,Lots_Data!$A$2:$A$234,0))</f>
        <v/>
      </c>
      <c r="M99">
        <f>INDEX(Lots_Data!$N$2:$N$234,MATCH($A99,Lots_Data!$A$2:$A$234,0))</f>
        <v/>
      </c>
      <c r="N99">
        <f>IF($F99=0,"n/a",IF($L99&gt;=$F99/30*$M99,"adequate","under-set"))</f>
        <v/>
      </c>
    </row>
    <row r="100">
      <c r="A100" t="inlineStr">
        <is>
          <t>SS-01097</t>
        </is>
      </c>
      <c r="B100">
        <f>INDEX(Lots_Data!$C$2:$C$234,MATCH($A100,Lots_Data!$A$2:$A$234,0))</f>
        <v/>
      </c>
      <c r="C100">
        <f>INDEX(Lots_Data!$E$2:$E$234,MATCH($A100,Lots_Data!$A$2:$A$234,0))</f>
        <v/>
      </c>
      <c r="D100">
        <f>INDEX(Lots_Data!$D$2:$D$234,MATCH($A100,Lots_Data!$A$2:$A$234,0))</f>
        <v/>
      </c>
      <c r="E100">
        <f>INDEX(Lots_Data!$K$2:$K$234,MATCH($A100,Lots_Data!$A$2:$A$234,0))</f>
        <v/>
      </c>
      <c r="F100">
        <f>INDEX(Usage_Summary!$C$4:$C$236,MATCH($A100,Usage_Summary!$A$4:$A$236,0))</f>
        <v/>
      </c>
      <c r="G100">
        <f>IF($F100&gt;0,$E100/$F100*30,"")</f>
        <v/>
      </c>
      <c r="H100">
        <f>MAX(0,CEILING(ROUND($F100*Inputs!$B$10/30*Inputs!$B$7,6),1)-$E100)</f>
        <v/>
      </c>
      <c r="I100">
        <f>MAX(0,CEILING(ROUND($F100*Inputs!$B$11/30*Inputs!$B$7,6),1)-$E100)</f>
        <v/>
      </c>
      <c r="J100">
        <f>MAX(0,CEILING(ROUND($F100*Inputs!$B$12/30*Inputs!$B$7,6),1)-$E100)</f>
        <v/>
      </c>
      <c r="K100">
        <f>IF(AND($F100&gt;0,$E100&lt;=0),1,0)</f>
        <v/>
      </c>
      <c r="L100">
        <f>INDEX(Lots_Data!$S$2:$S$234,MATCH($A100,Lots_Data!$A$2:$A$234,0))</f>
        <v/>
      </c>
      <c r="M100">
        <f>INDEX(Lots_Data!$N$2:$N$234,MATCH($A100,Lots_Data!$A$2:$A$234,0))</f>
        <v/>
      </c>
      <c r="N100">
        <f>IF($F100=0,"n/a",IF($L100&gt;=$F100/30*$M100,"adequate","under-set"))</f>
        <v/>
      </c>
    </row>
    <row r="101">
      <c r="A101" t="inlineStr">
        <is>
          <t>SS-01098</t>
        </is>
      </c>
      <c r="B101">
        <f>INDEX(Lots_Data!$C$2:$C$234,MATCH($A101,Lots_Data!$A$2:$A$234,0))</f>
        <v/>
      </c>
      <c r="C101">
        <f>INDEX(Lots_Data!$E$2:$E$234,MATCH($A101,Lots_Data!$A$2:$A$234,0))</f>
        <v/>
      </c>
      <c r="D101">
        <f>INDEX(Lots_Data!$D$2:$D$234,MATCH($A101,Lots_Data!$A$2:$A$234,0))</f>
        <v/>
      </c>
      <c r="E101">
        <f>INDEX(Lots_Data!$K$2:$K$234,MATCH($A101,Lots_Data!$A$2:$A$234,0))</f>
        <v/>
      </c>
      <c r="F101">
        <f>INDEX(Usage_Summary!$C$4:$C$236,MATCH($A101,Usage_Summary!$A$4:$A$236,0))</f>
        <v/>
      </c>
      <c r="G101">
        <f>IF($F101&gt;0,$E101/$F101*30,"")</f>
        <v/>
      </c>
      <c r="H101">
        <f>MAX(0,CEILING(ROUND($F101*Inputs!$B$10/30*Inputs!$B$7,6),1)-$E101)</f>
        <v/>
      </c>
      <c r="I101">
        <f>MAX(0,CEILING(ROUND($F101*Inputs!$B$11/30*Inputs!$B$7,6),1)-$E101)</f>
        <v/>
      </c>
      <c r="J101">
        <f>MAX(0,CEILING(ROUND($F101*Inputs!$B$12/30*Inputs!$B$7,6),1)-$E101)</f>
        <v/>
      </c>
      <c r="K101">
        <f>IF(AND($F101&gt;0,$E101&lt;=0),1,0)</f>
        <v/>
      </c>
      <c r="L101">
        <f>INDEX(Lots_Data!$S$2:$S$234,MATCH($A101,Lots_Data!$A$2:$A$234,0))</f>
        <v/>
      </c>
      <c r="M101">
        <f>INDEX(Lots_Data!$N$2:$N$234,MATCH($A101,Lots_Data!$A$2:$A$234,0))</f>
        <v/>
      </c>
      <c r="N101">
        <f>IF($F101=0,"n/a",IF($L101&gt;=$F101/30*$M101,"adequate","under-set"))</f>
        <v/>
      </c>
    </row>
    <row r="102">
      <c r="A102" t="inlineStr">
        <is>
          <t>SS-01099</t>
        </is>
      </c>
      <c r="B102">
        <f>INDEX(Lots_Data!$C$2:$C$234,MATCH($A102,Lots_Data!$A$2:$A$234,0))</f>
        <v/>
      </c>
      <c r="C102">
        <f>INDEX(Lots_Data!$E$2:$E$234,MATCH($A102,Lots_Data!$A$2:$A$234,0))</f>
        <v/>
      </c>
      <c r="D102">
        <f>INDEX(Lots_Data!$D$2:$D$234,MATCH($A102,Lots_Data!$A$2:$A$234,0))</f>
        <v/>
      </c>
      <c r="E102">
        <f>INDEX(Lots_Data!$K$2:$K$234,MATCH($A102,Lots_Data!$A$2:$A$234,0))</f>
        <v/>
      </c>
      <c r="F102">
        <f>INDEX(Usage_Summary!$C$4:$C$236,MATCH($A102,Usage_Summary!$A$4:$A$236,0))</f>
        <v/>
      </c>
      <c r="G102">
        <f>IF($F102&gt;0,$E102/$F102*30,"")</f>
        <v/>
      </c>
      <c r="H102">
        <f>MAX(0,CEILING(ROUND($F102*Inputs!$B$10/30*Inputs!$B$7,6),1)-$E102)</f>
        <v/>
      </c>
      <c r="I102">
        <f>MAX(0,CEILING(ROUND($F102*Inputs!$B$11/30*Inputs!$B$7,6),1)-$E102)</f>
        <v/>
      </c>
      <c r="J102">
        <f>MAX(0,CEILING(ROUND($F102*Inputs!$B$12/30*Inputs!$B$7,6),1)-$E102)</f>
        <v/>
      </c>
      <c r="K102">
        <f>IF(AND($F102&gt;0,$E102&lt;=0),1,0)</f>
        <v/>
      </c>
      <c r="L102">
        <f>INDEX(Lots_Data!$S$2:$S$234,MATCH($A102,Lots_Data!$A$2:$A$234,0))</f>
        <v/>
      </c>
      <c r="M102">
        <f>INDEX(Lots_Data!$N$2:$N$234,MATCH($A102,Lots_Data!$A$2:$A$234,0))</f>
        <v/>
      </c>
      <c r="N102">
        <f>IF($F102=0,"n/a",IF($L102&gt;=$F102/30*$M102,"adequate","under-set"))</f>
        <v/>
      </c>
    </row>
    <row r="103">
      <c r="A103" t="inlineStr">
        <is>
          <t>SS-01100</t>
        </is>
      </c>
      <c r="B103">
        <f>INDEX(Lots_Data!$C$2:$C$234,MATCH($A103,Lots_Data!$A$2:$A$234,0))</f>
        <v/>
      </c>
      <c r="C103">
        <f>INDEX(Lots_Data!$E$2:$E$234,MATCH($A103,Lots_Data!$A$2:$A$234,0))</f>
        <v/>
      </c>
      <c r="D103">
        <f>INDEX(Lots_Data!$D$2:$D$234,MATCH($A103,Lots_Data!$A$2:$A$234,0))</f>
        <v/>
      </c>
      <c r="E103">
        <f>INDEX(Lots_Data!$K$2:$K$234,MATCH($A103,Lots_Data!$A$2:$A$234,0))</f>
        <v/>
      </c>
      <c r="F103">
        <f>INDEX(Usage_Summary!$C$4:$C$236,MATCH($A103,Usage_Summary!$A$4:$A$236,0))</f>
        <v/>
      </c>
      <c r="G103">
        <f>IF($F103&gt;0,$E103/$F103*30,"")</f>
        <v/>
      </c>
      <c r="H103">
        <f>MAX(0,CEILING(ROUND($F103*Inputs!$B$10/30*Inputs!$B$7,6),1)-$E103)</f>
        <v/>
      </c>
      <c r="I103">
        <f>MAX(0,CEILING(ROUND($F103*Inputs!$B$11/30*Inputs!$B$7,6),1)-$E103)</f>
        <v/>
      </c>
      <c r="J103">
        <f>MAX(0,CEILING(ROUND($F103*Inputs!$B$12/30*Inputs!$B$7,6),1)-$E103)</f>
        <v/>
      </c>
      <c r="K103">
        <f>IF(AND($F103&gt;0,$E103&lt;=0),1,0)</f>
        <v/>
      </c>
      <c r="L103">
        <f>INDEX(Lots_Data!$S$2:$S$234,MATCH($A103,Lots_Data!$A$2:$A$234,0))</f>
        <v/>
      </c>
      <c r="M103">
        <f>INDEX(Lots_Data!$N$2:$N$234,MATCH($A103,Lots_Data!$A$2:$A$234,0))</f>
        <v/>
      </c>
      <c r="N103">
        <f>IF($F103=0,"n/a",IF($L103&gt;=$F103/30*$M103,"adequate","under-set"))</f>
        <v/>
      </c>
    </row>
    <row r="104">
      <c r="A104" t="inlineStr">
        <is>
          <t>SS-01101</t>
        </is>
      </c>
      <c r="B104">
        <f>INDEX(Lots_Data!$C$2:$C$234,MATCH($A104,Lots_Data!$A$2:$A$234,0))</f>
        <v/>
      </c>
      <c r="C104">
        <f>INDEX(Lots_Data!$E$2:$E$234,MATCH($A104,Lots_Data!$A$2:$A$234,0))</f>
        <v/>
      </c>
      <c r="D104">
        <f>INDEX(Lots_Data!$D$2:$D$234,MATCH($A104,Lots_Data!$A$2:$A$234,0))</f>
        <v/>
      </c>
      <c r="E104">
        <f>INDEX(Lots_Data!$K$2:$K$234,MATCH($A104,Lots_Data!$A$2:$A$234,0))</f>
        <v/>
      </c>
      <c r="F104">
        <f>INDEX(Usage_Summary!$C$4:$C$236,MATCH($A104,Usage_Summary!$A$4:$A$236,0))</f>
        <v/>
      </c>
      <c r="G104">
        <f>IF($F104&gt;0,$E104/$F104*30,"")</f>
        <v/>
      </c>
      <c r="H104">
        <f>MAX(0,CEILING(ROUND($F104*Inputs!$B$10/30*Inputs!$B$7,6),1)-$E104)</f>
        <v/>
      </c>
      <c r="I104">
        <f>MAX(0,CEILING(ROUND($F104*Inputs!$B$11/30*Inputs!$B$7,6),1)-$E104)</f>
        <v/>
      </c>
      <c r="J104">
        <f>MAX(0,CEILING(ROUND($F104*Inputs!$B$12/30*Inputs!$B$7,6),1)-$E104)</f>
        <v/>
      </c>
      <c r="K104">
        <f>IF(AND($F104&gt;0,$E104&lt;=0),1,0)</f>
        <v/>
      </c>
      <c r="L104">
        <f>INDEX(Lots_Data!$S$2:$S$234,MATCH($A104,Lots_Data!$A$2:$A$234,0))</f>
        <v/>
      </c>
      <c r="M104">
        <f>INDEX(Lots_Data!$N$2:$N$234,MATCH($A104,Lots_Data!$A$2:$A$234,0))</f>
        <v/>
      </c>
      <c r="N104">
        <f>IF($F104=0,"n/a",IF($L104&gt;=$F104/30*$M104,"adequate","under-set"))</f>
        <v/>
      </c>
    </row>
    <row r="105">
      <c r="A105" t="inlineStr">
        <is>
          <t>SS-01102</t>
        </is>
      </c>
      <c r="B105">
        <f>INDEX(Lots_Data!$C$2:$C$234,MATCH($A105,Lots_Data!$A$2:$A$234,0))</f>
        <v/>
      </c>
      <c r="C105">
        <f>INDEX(Lots_Data!$E$2:$E$234,MATCH($A105,Lots_Data!$A$2:$A$234,0))</f>
        <v/>
      </c>
      <c r="D105">
        <f>INDEX(Lots_Data!$D$2:$D$234,MATCH($A105,Lots_Data!$A$2:$A$234,0))</f>
        <v/>
      </c>
      <c r="E105">
        <f>INDEX(Lots_Data!$K$2:$K$234,MATCH($A105,Lots_Data!$A$2:$A$234,0))</f>
        <v/>
      </c>
      <c r="F105">
        <f>INDEX(Usage_Summary!$C$4:$C$236,MATCH($A105,Usage_Summary!$A$4:$A$236,0))</f>
        <v/>
      </c>
      <c r="G105">
        <f>IF($F105&gt;0,$E105/$F105*30,"")</f>
        <v/>
      </c>
      <c r="H105">
        <f>MAX(0,CEILING(ROUND($F105*Inputs!$B$10/30*Inputs!$B$7,6),1)-$E105)</f>
        <v/>
      </c>
      <c r="I105">
        <f>MAX(0,CEILING(ROUND($F105*Inputs!$B$11/30*Inputs!$B$7,6),1)-$E105)</f>
        <v/>
      </c>
      <c r="J105">
        <f>MAX(0,CEILING(ROUND($F105*Inputs!$B$12/30*Inputs!$B$7,6),1)-$E105)</f>
        <v/>
      </c>
      <c r="K105">
        <f>IF(AND($F105&gt;0,$E105&lt;=0),1,0)</f>
        <v/>
      </c>
      <c r="L105">
        <f>INDEX(Lots_Data!$S$2:$S$234,MATCH($A105,Lots_Data!$A$2:$A$234,0))</f>
        <v/>
      </c>
      <c r="M105">
        <f>INDEX(Lots_Data!$N$2:$N$234,MATCH($A105,Lots_Data!$A$2:$A$234,0))</f>
        <v/>
      </c>
      <c r="N105">
        <f>IF($F105=0,"n/a",IF($L105&gt;=$F105/30*$M105,"adequate","under-set"))</f>
        <v/>
      </c>
    </row>
    <row r="106">
      <c r="A106" t="inlineStr">
        <is>
          <t>SS-01103</t>
        </is>
      </c>
      <c r="B106">
        <f>INDEX(Lots_Data!$C$2:$C$234,MATCH($A106,Lots_Data!$A$2:$A$234,0))</f>
        <v/>
      </c>
      <c r="C106">
        <f>INDEX(Lots_Data!$E$2:$E$234,MATCH($A106,Lots_Data!$A$2:$A$234,0))</f>
        <v/>
      </c>
      <c r="D106">
        <f>INDEX(Lots_Data!$D$2:$D$234,MATCH($A106,Lots_Data!$A$2:$A$234,0))</f>
        <v/>
      </c>
      <c r="E106">
        <f>INDEX(Lots_Data!$K$2:$K$234,MATCH($A106,Lots_Data!$A$2:$A$234,0))</f>
        <v/>
      </c>
      <c r="F106">
        <f>INDEX(Usage_Summary!$C$4:$C$236,MATCH($A106,Usage_Summary!$A$4:$A$236,0))</f>
        <v/>
      </c>
      <c r="G106">
        <f>IF($F106&gt;0,$E106/$F106*30,"")</f>
        <v/>
      </c>
      <c r="H106">
        <f>MAX(0,CEILING(ROUND($F106*Inputs!$B$10/30*Inputs!$B$7,6),1)-$E106)</f>
        <v/>
      </c>
      <c r="I106">
        <f>MAX(0,CEILING(ROUND($F106*Inputs!$B$11/30*Inputs!$B$7,6),1)-$E106)</f>
        <v/>
      </c>
      <c r="J106">
        <f>MAX(0,CEILING(ROUND($F106*Inputs!$B$12/30*Inputs!$B$7,6),1)-$E106)</f>
        <v/>
      </c>
      <c r="K106">
        <f>IF(AND($F106&gt;0,$E106&lt;=0),1,0)</f>
        <v/>
      </c>
      <c r="L106">
        <f>INDEX(Lots_Data!$S$2:$S$234,MATCH($A106,Lots_Data!$A$2:$A$234,0))</f>
        <v/>
      </c>
      <c r="M106">
        <f>INDEX(Lots_Data!$N$2:$N$234,MATCH($A106,Lots_Data!$A$2:$A$234,0))</f>
        <v/>
      </c>
      <c r="N106">
        <f>IF($F106=0,"n/a",IF($L106&gt;=$F106/30*$M106,"adequate","under-set"))</f>
        <v/>
      </c>
    </row>
    <row r="107">
      <c r="A107" t="inlineStr">
        <is>
          <t>SS-01104</t>
        </is>
      </c>
      <c r="B107">
        <f>INDEX(Lots_Data!$C$2:$C$234,MATCH($A107,Lots_Data!$A$2:$A$234,0))</f>
        <v/>
      </c>
      <c r="C107">
        <f>INDEX(Lots_Data!$E$2:$E$234,MATCH($A107,Lots_Data!$A$2:$A$234,0))</f>
        <v/>
      </c>
      <c r="D107">
        <f>INDEX(Lots_Data!$D$2:$D$234,MATCH($A107,Lots_Data!$A$2:$A$234,0))</f>
        <v/>
      </c>
      <c r="E107">
        <f>INDEX(Lots_Data!$K$2:$K$234,MATCH($A107,Lots_Data!$A$2:$A$234,0))</f>
        <v/>
      </c>
      <c r="F107">
        <f>INDEX(Usage_Summary!$C$4:$C$236,MATCH($A107,Usage_Summary!$A$4:$A$236,0))</f>
        <v/>
      </c>
      <c r="G107">
        <f>IF($F107&gt;0,$E107/$F107*30,"")</f>
        <v/>
      </c>
      <c r="H107">
        <f>MAX(0,CEILING(ROUND($F107*Inputs!$B$10/30*Inputs!$B$7,6),1)-$E107)</f>
        <v/>
      </c>
      <c r="I107">
        <f>MAX(0,CEILING(ROUND($F107*Inputs!$B$11/30*Inputs!$B$7,6),1)-$E107)</f>
        <v/>
      </c>
      <c r="J107">
        <f>MAX(0,CEILING(ROUND($F107*Inputs!$B$12/30*Inputs!$B$7,6),1)-$E107)</f>
        <v/>
      </c>
      <c r="K107">
        <f>IF(AND($F107&gt;0,$E107&lt;=0),1,0)</f>
        <v/>
      </c>
      <c r="L107">
        <f>INDEX(Lots_Data!$S$2:$S$234,MATCH($A107,Lots_Data!$A$2:$A$234,0))</f>
        <v/>
      </c>
      <c r="M107">
        <f>INDEX(Lots_Data!$N$2:$N$234,MATCH($A107,Lots_Data!$A$2:$A$234,0))</f>
        <v/>
      </c>
      <c r="N107">
        <f>IF($F107=0,"n/a",IF($L107&gt;=$F107/30*$M107,"adequate","under-set"))</f>
        <v/>
      </c>
    </row>
    <row r="108">
      <c r="A108" t="inlineStr">
        <is>
          <t>SS-01105</t>
        </is>
      </c>
      <c r="B108">
        <f>INDEX(Lots_Data!$C$2:$C$234,MATCH($A108,Lots_Data!$A$2:$A$234,0))</f>
        <v/>
      </c>
      <c r="C108">
        <f>INDEX(Lots_Data!$E$2:$E$234,MATCH($A108,Lots_Data!$A$2:$A$234,0))</f>
        <v/>
      </c>
      <c r="D108">
        <f>INDEX(Lots_Data!$D$2:$D$234,MATCH($A108,Lots_Data!$A$2:$A$234,0))</f>
        <v/>
      </c>
      <c r="E108">
        <f>INDEX(Lots_Data!$K$2:$K$234,MATCH($A108,Lots_Data!$A$2:$A$234,0))</f>
        <v/>
      </c>
      <c r="F108">
        <f>INDEX(Usage_Summary!$C$4:$C$236,MATCH($A108,Usage_Summary!$A$4:$A$236,0))</f>
        <v/>
      </c>
      <c r="G108">
        <f>IF($F108&gt;0,$E108/$F108*30,"")</f>
        <v/>
      </c>
      <c r="H108">
        <f>MAX(0,CEILING(ROUND($F108*Inputs!$B$10/30*Inputs!$B$7,6),1)-$E108)</f>
        <v/>
      </c>
      <c r="I108">
        <f>MAX(0,CEILING(ROUND($F108*Inputs!$B$11/30*Inputs!$B$7,6),1)-$E108)</f>
        <v/>
      </c>
      <c r="J108">
        <f>MAX(0,CEILING(ROUND($F108*Inputs!$B$12/30*Inputs!$B$7,6),1)-$E108)</f>
        <v/>
      </c>
      <c r="K108">
        <f>IF(AND($F108&gt;0,$E108&lt;=0),1,0)</f>
        <v/>
      </c>
      <c r="L108">
        <f>INDEX(Lots_Data!$S$2:$S$234,MATCH($A108,Lots_Data!$A$2:$A$234,0))</f>
        <v/>
      </c>
      <c r="M108">
        <f>INDEX(Lots_Data!$N$2:$N$234,MATCH($A108,Lots_Data!$A$2:$A$234,0))</f>
        <v/>
      </c>
      <c r="N108">
        <f>IF($F108=0,"n/a",IF($L108&gt;=$F108/30*$M108,"adequate","under-set"))</f>
        <v/>
      </c>
    </row>
    <row r="109">
      <c r="A109" t="inlineStr">
        <is>
          <t>SS-01106</t>
        </is>
      </c>
      <c r="B109">
        <f>INDEX(Lots_Data!$C$2:$C$234,MATCH($A109,Lots_Data!$A$2:$A$234,0))</f>
        <v/>
      </c>
      <c r="C109">
        <f>INDEX(Lots_Data!$E$2:$E$234,MATCH($A109,Lots_Data!$A$2:$A$234,0))</f>
        <v/>
      </c>
      <c r="D109">
        <f>INDEX(Lots_Data!$D$2:$D$234,MATCH($A109,Lots_Data!$A$2:$A$234,0))</f>
        <v/>
      </c>
      <c r="E109">
        <f>INDEX(Lots_Data!$K$2:$K$234,MATCH($A109,Lots_Data!$A$2:$A$234,0))</f>
        <v/>
      </c>
      <c r="F109">
        <f>INDEX(Usage_Summary!$C$4:$C$236,MATCH($A109,Usage_Summary!$A$4:$A$236,0))</f>
        <v/>
      </c>
      <c r="G109">
        <f>IF($F109&gt;0,$E109/$F109*30,"")</f>
        <v/>
      </c>
      <c r="H109">
        <f>MAX(0,CEILING(ROUND($F109*Inputs!$B$10/30*Inputs!$B$7,6),1)-$E109)</f>
        <v/>
      </c>
      <c r="I109">
        <f>MAX(0,CEILING(ROUND($F109*Inputs!$B$11/30*Inputs!$B$7,6),1)-$E109)</f>
        <v/>
      </c>
      <c r="J109">
        <f>MAX(0,CEILING(ROUND($F109*Inputs!$B$12/30*Inputs!$B$7,6),1)-$E109)</f>
        <v/>
      </c>
      <c r="K109">
        <f>IF(AND($F109&gt;0,$E109&lt;=0),1,0)</f>
        <v/>
      </c>
      <c r="L109">
        <f>INDEX(Lots_Data!$S$2:$S$234,MATCH($A109,Lots_Data!$A$2:$A$234,0))</f>
        <v/>
      </c>
      <c r="M109">
        <f>INDEX(Lots_Data!$N$2:$N$234,MATCH($A109,Lots_Data!$A$2:$A$234,0))</f>
        <v/>
      </c>
      <c r="N109">
        <f>IF($F109=0,"n/a",IF($L109&gt;=$F109/30*$M109,"adequate","under-set"))</f>
        <v/>
      </c>
    </row>
    <row r="110">
      <c r="A110" t="inlineStr">
        <is>
          <t>SS-01107</t>
        </is>
      </c>
      <c r="B110">
        <f>INDEX(Lots_Data!$C$2:$C$234,MATCH($A110,Lots_Data!$A$2:$A$234,0))</f>
        <v/>
      </c>
      <c r="C110">
        <f>INDEX(Lots_Data!$E$2:$E$234,MATCH($A110,Lots_Data!$A$2:$A$234,0))</f>
        <v/>
      </c>
      <c r="D110">
        <f>INDEX(Lots_Data!$D$2:$D$234,MATCH($A110,Lots_Data!$A$2:$A$234,0))</f>
        <v/>
      </c>
      <c r="E110">
        <f>INDEX(Lots_Data!$K$2:$K$234,MATCH($A110,Lots_Data!$A$2:$A$234,0))</f>
        <v/>
      </c>
      <c r="F110">
        <f>INDEX(Usage_Summary!$C$4:$C$236,MATCH($A110,Usage_Summary!$A$4:$A$236,0))</f>
        <v/>
      </c>
      <c r="G110">
        <f>IF($F110&gt;0,$E110/$F110*30,"")</f>
        <v/>
      </c>
      <c r="H110">
        <f>MAX(0,CEILING(ROUND($F110*Inputs!$B$10/30*Inputs!$B$7,6),1)-$E110)</f>
        <v/>
      </c>
      <c r="I110">
        <f>MAX(0,CEILING(ROUND($F110*Inputs!$B$11/30*Inputs!$B$7,6),1)-$E110)</f>
        <v/>
      </c>
      <c r="J110">
        <f>MAX(0,CEILING(ROUND($F110*Inputs!$B$12/30*Inputs!$B$7,6),1)-$E110)</f>
        <v/>
      </c>
      <c r="K110">
        <f>IF(AND($F110&gt;0,$E110&lt;=0),1,0)</f>
        <v/>
      </c>
      <c r="L110">
        <f>INDEX(Lots_Data!$S$2:$S$234,MATCH($A110,Lots_Data!$A$2:$A$234,0))</f>
        <v/>
      </c>
      <c r="M110">
        <f>INDEX(Lots_Data!$N$2:$N$234,MATCH($A110,Lots_Data!$A$2:$A$234,0))</f>
        <v/>
      </c>
      <c r="N110">
        <f>IF($F110=0,"n/a",IF($L110&gt;=$F110/30*$M110,"adequate","under-set"))</f>
        <v/>
      </c>
    </row>
    <row r="111">
      <c r="A111" t="inlineStr">
        <is>
          <t>SS-01108</t>
        </is>
      </c>
      <c r="B111">
        <f>INDEX(Lots_Data!$C$2:$C$234,MATCH($A111,Lots_Data!$A$2:$A$234,0))</f>
        <v/>
      </c>
      <c r="C111">
        <f>INDEX(Lots_Data!$E$2:$E$234,MATCH($A111,Lots_Data!$A$2:$A$234,0))</f>
        <v/>
      </c>
      <c r="D111">
        <f>INDEX(Lots_Data!$D$2:$D$234,MATCH($A111,Lots_Data!$A$2:$A$234,0))</f>
        <v/>
      </c>
      <c r="E111">
        <f>INDEX(Lots_Data!$K$2:$K$234,MATCH($A111,Lots_Data!$A$2:$A$234,0))</f>
        <v/>
      </c>
      <c r="F111">
        <f>INDEX(Usage_Summary!$C$4:$C$236,MATCH($A111,Usage_Summary!$A$4:$A$236,0))</f>
        <v/>
      </c>
      <c r="G111">
        <f>IF($F111&gt;0,$E111/$F111*30,"")</f>
        <v/>
      </c>
      <c r="H111">
        <f>MAX(0,CEILING(ROUND($F111*Inputs!$B$10/30*Inputs!$B$7,6),1)-$E111)</f>
        <v/>
      </c>
      <c r="I111">
        <f>MAX(0,CEILING(ROUND($F111*Inputs!$B$11/30*Inputs!$B$7,6),1)-$E111)</f>
        <v/>
      </c>
      <c r="J111">
        <f>MAX(0,CEILING(ROUND($F111*Inputs!$B$12/30*Inputs!$B$7,6),1)-$E111)</f>
        <v/>
      </c>
      <c r="K111">
        <f>IF(AND($F111&gt;0,$E111&lt;=0),1,0)</f>
        <v/>
      </c>
      <c r="L111">
        <f>INDEX(Lots_Data!$S$2:$S$234,MATCH($A111,Lots_Data!$A$2:$A$234,0))</f>
        <v/>
      </c>
      <c r="M111">
        <f>INDEX(Lots_Data!$N$2:$N$234,MATCH($A111,Lots_Data!$A$2:$A$234,0))</f>
        <v/>
      </c>
      <c r="N111">
        <f>IF($F111=0,"n/a",IF($L111&gt;=$F111/30*$M111,"adequate","under-set"))</f>
        <v/>
      </c>
    </row>
    <row r="112">
      <c r="A112" t="inlineStr">
        <is>
          <t>SS-01109</t>
        </is>
      </c>
      <c r="B112">
        <f>INDEX(Lots_Data!$C$2:$C$234,MATCH($A112,Lots_Data!$A$2:$A$234,0))</f>
        <v/>
      </c>
      <c r="C112">
        <f>INDEX(Lots_Data!$E$2:$E$234,MATCH($A112,Lots_Data!$A$2:$A$234,0))</f>
        <v/>
      </c>
      <c r="D112">
        <f>INDEX(Lots_Data!$D$2:$D$234,MATCH($A112,Lots_Data!$A$2:$A$234,0))</f>
        <v/>
      </c>
      <c r="E112">
        <f>INDEX(Lots_Data!$K$2:$K$234,MATCH($A112,Lots_Data!$A$2:$A$234,0))</f>
        <v/>
      </c>
      <c r="F112">
        <f>INDEX(Usage_Summary!$C$4:$C$236,MATCH($A112,Usage_Summary!$A$4:$A$236,0))</f>
        <v/>
      </c>
      <c r="G112">
        <f>IF($F112&gt;0,$E112/$F112*30,"")</f>
        <v/>
      </c>
      <c r="H112">
        <f>MAX(0,CEILING(ROUND($F112*Inputs!$B$10/30*Inputs!$B$7,6),1)-$E112)</f>
        <v/>
      </c>
      <c r="I112">
        <f>MAX(0,CEILING(ROUND($F112*Inputs!$B$11/30*Inputs!$B$7,6),1)-$E112)</f>
        <v/>
      </c>
      <c r="J112">
        <f>MAX(0,CEILING(ROUND($F112*Inputs!$B$12/30*Inputs!$B$7,6),1)-$E112)</f>
        <v/>
      </c>
      <c r="K112">
        <f>IF(AND($F112&gt;0,$E112&lt;=0),1,0)</f>
        <v/>
      </c>
      <c r="L112">
        <f>INDEX(Lots_Data!$S$2:$S$234,MATCH($A112,Lots_Data!$A$2:$A$234,0))</f>
        <v/>
      </c>
      <c r="M112">
        <f>INDEX(Lots_Data!$N$2:$N$234,MATCH($A112,Lots_Data!$A$2:$A$234,0))</f>
        <v/>
      </c>
      <c r="N112">
        <f>IF($F112=0,"n/a",IF($L112&gt;=$F112/30*$M112,"adequate","under-set"))</f>
        <v/>
      </c>
    </row>
    <row r="113">
      <c r="A113" t="inlineStr">
        <is>
          <t>SS-01110</t>
        </is>
      </c>
      <c r="B113">
        <f>INDEX(Lots_Data!$C$2:$C$234,MATCH($A113,Lots_Data!$A$2:$A$234,0))</f>
        <v/>
      </c>
      <c r="C113">
        <f>INDEX(Lots_Data!$E$2:$E$234,MATCH($A113,Lots_Data!$A$2:$A$234,0))</f>
        <v/>
      </c>
      <c r="D113">
        <f>INDEX(Lots_Data!$D$2:$D$234,MATCH($A113,Lots_Data!$A$2:$A$234,0))</f>
        <v/>
      </c>
      <c r="E113">
        <f>INDEX(Lots_Data!$K$2:$K$234,MATCH($A113,Lots_Data!$A$2:$A$234,0))</f>
        <v/>
      </c>
      <c r="F113">
        <f>INDEX(Usage_Summary!$C$4:$C$236,MATCH($A113,Usage_Summary!$A$4:$A$236,0))</f>
        <v/>
      </c>
      <c r="G113">
        <f>IF($F113&gt;0,$E113/$F113*30,"")</f>
        <v/>
      </c>
      <c r="H113">
        <f>MAX(0,CEILING(ROUND($F113*Inputs!$B$10/30*Inputs!$B$7,6),1)-$E113)</f>
        <v/>
      </c>
      <c r="I113">
        <f>MAX(0,CEILING(ROUND($F113*Inputs!$B$11/30*Inputs!$B$7,6),1)-$E113)</f>
        <v/>
      </c>
      <c r="J113">
        <f>MAX(0,CEILING(ROUND($F113*Inputs!$B$12/30*Inputs!$B$7,6),1)-$E113)</f>
        <v/>
      </c>
      <c r="K113">
        <f>IF(AND($F113&gt;0,$E113&lt;=0),1,0)</f>
        <v/>
      </c>
      <c r="L113">
        <f>INDEX(Lots_Data!$S$2:$S$234,MATCH($A113,Lots_Data!$A$2:$A$234,0))</f>
        <v/>
      </c>
      <c r="M113">
        <f>INDEX(Lots_Data!$N$2:$N$234,MATCH($A113,Lots_Data!$A$2:$A$234,0))</f>
        <v/>
      </c>
      <c r="N113">
        <f>IF($F113=0,"n/a",IF($L113&gt;=$F113/30*$M113,"adequate","under-set"))</f>
        <v/>
      </c>
    </row>
    <row r="114">
      <c r="A114" t="inlineStr">
        <is>
          <t>SS-01111</t>
        </is>
      </c>
      <c r="B114">
        <f>INDEX(Lots_Data!$C$2:$C$234,MATCH($A114,Lots_Data!$A$2:$A$234,0))</f>
        <v/>
      </c>
      <c r="C114">
        <f>INDEX(Lots_Data!$E$2:$E$234,MATCH($A114,Lots_Data!$A$2:$A$234,0))</f>
        <v/>
      </c>
      <c r="D114">
        <f>INDEX(Lots_Data!$D$2:$D$234,MATCH($A114,Lots_Data!$A$2:$A$234,0))</f>
        <v/>
      </c>
      <c r="E114">
        <f>INDEX(Lots_Data!$K$2:$K$234,MATCH($A114,Lots_Data!$A$2:$A$234,0))</f>
        <v/>
      </c>
      <c r="F114">
        <f>INDEX(Usage_Summary!$C$4:$C$236,MATCH($A114,Usage_Summary!$A$4:$A$236,0))</f>
        <v/>
      </c>
      <c r="G114">
        <f>IF($F114&gt;0,$E114/$F114*30,"")</f>
        <v/>
      </c>
      <c r="H114">
        <f>MAX(0,CEILING(ROUND($F114*Inputs!$B$10/30*Inputs!$B$7,6),1)-$E114)</f>
        <v/>
      </c>
      <c r="I114">
        <f>MAX(0,CEILING(ROUND($F114*Inputs!$B$11/30*Inputs!$B$7,6),1)-$E114)</f>
        <v/>
      </c>
      <c r="J114">
        <f>MAX(0,CEILING(ROUND($F114*Inputs!$B$12/30*Inputs!$B$7,6),1)-$E114)</f>
        <v/>
      </c>
      <c r="K114">
        <f>IF(AND($F114&gt;0,$E114&lt;=0),1,0)</f>
        <v/>
      </c>
      <c r="L114">
        <f>INDEX(Lots_Data!$S$2:$S$234,MATCH($A114,Lots_Data!$A$2:$A$234,0))</f>
        <v/>
      </c>
      <c r="M114">
        <f>INDEX(Lots_Data!$N$2:$N$234,MATCH($A114,Lots_Data!$A$2:$A$234,0))</f>
        <v/>
      </c>
      <c r="N114">
        <f>IF($F114=0,"n/a",IF($L114&gt;=$F114/30*$M114,"adequate","under-set"))</f>
        <v/>
      </c>
    </row>
    <row r="115">
      <c r="A115" t="inlineStr">
        <is>
          <t>SS-01112</t>
        </is>
      </c>
      <c r="B115">
        <f>INDEX(Lots_Data!$C$2:$C$234,MATCH($A115,Lots_Data!$A$2:$A$234,0))</f>
        <v/>
      </c>
      <c r="C115">
        <f>INDEX(Lots_Data!$E$2:$E$234,MATCH($A115,Lots_Data!$A$2:$A$234,0))</f>
        <v/>
      </c>
      <c r="D115">
        <f>INDEX(Lots_Data!$D$2:$D$234,MATCH($A115,Lots_Data!$A$2:$A$234,0))</f>
        <v/>
      </c>
      <c r="E115">
        <f>INDEX(Lots_Data!$K$2:$K$234,MATCH($A115,Lots_Data!$A$2:$A$234,0))</f>
        <v/>
      </c>
      <c r="F115">
        <f>INDEX(Usage_Summary!$C$4:$C$236,MATCH($A115,Usage_Summary!$A$4:$A$236,0))</f>
        <v/>
      </c>
      <c r="G115">
        <f>IF($F115&gt;0,$E115/$F115*30,"")</f>
        <v/>
      </c>
      <c r="H115">
        <f>MAX(0,CEILING(ROUND($F115*Inputs!$B$10/30*Inputs!$B$7,6),1)-$E115)</f>
        <v/>
      </c>
      <c r="I115">
        <f>MAX(0,CEILING(ROUND($F115*Inputs!$B$11/30*Inputs!$B$7,6),1)-$E115)</f>
        <v/>
      </c>
      <c r="J115">
        <f>MAX(0,CEILING(ROUND($F115*Inputs!$B$12/30*Inputs!$B$7,6),1)-$E115)</f>
        <v/>
      </c>
      <c r="K115">
        <f>IF(AND($F115&gt;0,$E115&lt;=0),1,0)</f>
        <v/>
      </c>
      <c r="L115">
        <f>INDEX(Lots_Data!$S$2:$S$234,MATCH($A115,Lots_Data!$A$2:$A$234,0))</f>
        <v/>
      </c>
      <c r="M115">
        <f>INDEX(Lots_Data!$N$2:$N$234,MATCH($A115,Lots_Data!$A$2:$A$234,0))</f>
        <v/>
      </c>
      <c r="N115">
        <f>IF($F115=0,"n/a",IF($L115&gt;=$F115/30*$M115,"adequate","under-set"))</f>
        <v/>
      </c>
    </row>
    <row r="116">
      <c r="A116" t="inlineStr">
        <is>
          <t>SS-01113</t>
        </is>
      </c>
      <c r="B116">
        <f>INDEX(Lots_Data!$C$2:$C$234,MATCH($A116,Lots_Data!$A$2:$A$234,0))</f>
        <v/>
      </c>
      <c r="C116">
        <f>INDEX(Lots_Data!$E$2:$E$234,MATCH($A116,Lots_Data!$A$2:$A$234,0))</f>
        <v/>
      </c>
      <c r="D116">
        <f>INDEX(Lots_Data!$D$2:$D$234,MATCH($A116,Lots_Data!$A$2:$A$234,0))</f>
        <v/>
      </c>
      <c r="E116">
        <f>INDEX(Lots_Data!$K$2:$K$234,MATCH($A116,Lots_Data!$A$2:$A$234,0))</f>
        <v/>
      </c>
      <c r="F116">
        <f>INDEX(Usage_Summary!$C$4:$C$236,MATCH($A116,Usage_Summary!$A$4:$A$236,0))</f>
        <v/>
      </c>
      <c r="G116">
        <f>IF($F116&gt;0,$E116/$F116*30,"")</f>
        <v/>
      </c>
      <c r="H116">
        <f>MAX(0,CEILING(ROUND($F116*Inputs!$B$10/30*Inputs!$B$7,6),1)-$E116)</f>
        <v/>
      </c>
      <c r="I116">
        <f>MAX(0,CEILING(ROUND($F116*Inputs!$B$11/30*Inputs!$B$7,6),1)-$E116)</f>
        <v/>
      </c>
      <c r="J116">
        <f>MAX(0,CEILING(ROUND($F116*Inputs!$B$12/30*Inputs!$B$7,6),1)-$E116)</f>
        <v/>
      </c>
      <c r="K116">
        <f>IF(AND($F116&gt;0,$E116&lt;=0),1,0)</f>
        <v/>
      </c>
      <c r="L116">
        <f>INDEX(Lots_Data!$S$2:$S$234,MATCH($A116,Lots_Data!$A$2:$A$234,0))</f>
        <v/>
      </c>
      <c r="M116">
        <f>INDEX(Lots_Data!$N$2:$N$234,MATCH($A116,Lots_Data!$A$2:$A$234,0))</f>
        <v/>
      </c>
      <c r="N116">
        <f>IF($F116=0,"n/a",IF($L116&gt;=$F116/30*$M116,"adequate","under-set"))</f>
        <v/>
      </c>
    </row>
    <row r="117">
      <c r="A117" t="inlineStr">
        <is>
          <t>SS-01114</t>
        </is>
      </c>
      <c r="B117">
        <f>INDEX(Lots_Data!$C$2:$C$234,MATCH($A117,Lots_Data!$A$2:$A$234,0))</f>
        <v/>
      </c>
      <c r="C117">
        <f>INDEX(Lots_Data!$E$2:$E$234,MATCH($A117,Lots_Data!$A$2:$A$234,0))</f>
        <v/>
      </c>
      <c r="D117">
        <f>INDEX(Lots_Data!$D$2:$D$234,MATCH($A117,Lots_Data!$A$2:$A$234,0))</f>
        <v/>
      </c>
      <c r="E117">
        <f>INDEX(Lots_Data!$K$2:$K$234,MATCH($A117,Lots_Data!$A$2:$A$234,0))</f>
        <v/>
      </c>
      <c r="F117">
        <f>INDEX(Usage_Summary!$C$4:$C$236,MATCH($A117,Usage_Summary!$A$4:$A$236,0))</f>
        <v/>
      </c>
      <c r="G117">
        <f>IF($F117&gt;0,$E117/$F117*30,"")</f>
        <v/>
      </c>
      <c r="H117">
        <f>MAX(0,CEILING(ROUND($F117*Inputs!$B$10/30*Inputs!$B$7,6),1)-$E117)</f>
        <v/>
      </c>
      <c r="I117">
        <f>MAX(0,CEILING(ROUND($F117*Inputs!$B$11/30*Inputs!$B$7,6),1)-$E117)</f>
        <v/>
      </c>
      <c r="J117">
        <f>MAX(0,CEILING(ROUND($F117*Inputs!$B$12/30*Inputs!$B$7,6),1)-$E117)</f>
        <v/>
      </c>
      <c r="K117">
        <f>IF(AND($F117&gt;0,$E117&lt;=0),1,0)</f>
        <v/>
      </c>
      <c r="L117">
        <f>INDEX(Lots_Data!$S$2:$S$234,MATCH($A117,Lots_Data!$A$2:$A$234,0))</f>
        <v/>
      </c>
      <c r="M117">
        <f>INDEX(Lots_Data!$N$2:$N$234,MATCH($A117,Lots_Data!$A$2:$A$234,0))</f>
        <v/>
      </c>
      <c r="N117">
        <f>IF($F117=0,"n/a",IF($L117&gt;=$F117/30*$M117,"adequate","under-set"))</f>
        <v/>
      </c>
    </row>
    <row r="118">
      <c r="A118" t="inlineStr">
        <is>
          <t>SS-01115</t>
        </is>
      </c>
      <c r="B118">
        <f>INDEX(Lots_Data!$C$2:$C$234,MATCH($A118,Lots_Data!$A$2:$A$234,0))</f>
        <v/>
      </c>
      <c r="C118">
        <f>INDEX(Lots_Data!$E$2:$E$234,MATCH($A118,Lots_Data!$A$2:$A$234,0))</f>
        <v/>
      </c>
      <c r="D118">
        <f>INDEX(Lots_Data!$D$2:$D$234,MATCH($A118,Lots_Data!$A$2:$A$234,0))</f>
        <v/>
      </c>
      <c r="E118">
        <f>INDEX(Lots_Data!$K$2:$K$234,MATCH($A118,Lots_Data!$A$2:$A$234,0))</f>
        <v/>
      </c>
      <c r="F118">
        <f>INDEX(Usage_Summary!$C$4:$C$236,MATCH($A118,Usage_Summary!$A$4:$A$236,0))</f>
        <v/>
      </c>
      <c r="G118">
        <f>IF($F118&gt;0,$E118/$F118*30,"")</f>
        <v/>
      </c>
      <c r="H118">
        <f>MAX(0,CEILING(ROUND($F118*Inputs!$B$10/30*Inputs!$B$7,6),1)-$E118)</f>
        <v/>
      </c>
      <c r="I118">
        <f>MAX(0,CEILING(ROUND($F118*Inputs!$B$11/30*Inputs!$B$7,6),1)-$E118)</f>
        <v/>
      </c>
      <c r="J118">
        <f>MAX(0,CEILING(ROUND($F118*Inputs!$B$12/30*Inputs!$B$7,6),1)-$E118)</f>
        <v/>
      </c>
      <c r="K118">
        <f>IF(AND($F118&gt;0,$E118&lt;=0),1,0)</f>
        <v/>
      </c>
      <c r="L118">
        <f>INDEX(Lots_Data!$S$2:$S$234,MATCH($A118,Lots_Data!$A$2:$A$234,0))</f>
        <v/>
      </c>
      <c r="M118">
        <f>INDEX(Lots_Data!$N$2:$N$234,MATCH($A118,Lots_Data!$A$2:$A$234,0))</f>
        <v/>
      </c>
      <c r="N118">
        <f>IF($F118=0,"n/a",IF($L118&gt;=$F118/30*$M118,"adequate","under-set"))</f>
        <v/>
      </c>
    </row>
    <row r="119">
      <c r="A119" t="inlineStr">
        <is>
          <t>SS-01116</t>
        </is>
      </c>
      <c r="B119">
        <f>INDEX(Lots_Data!$C$2:$C$234,MATCH($A119,Lots_Data!$A$2:$A$234,0))</f>
        <v/>
      </c>
      <c r="C119">
        <f>INDEX(Lots_Data!$E$2:$E$234,MATCH($A119,Lots_Data!$A$2:$A$234,0))</f>
        <v/>
      </c>
      <c r="D119">
        <f>INDEX(Lots_Data!$D$2:$D$234,MATCH($A119,Lots_Data!$A$2:$A$234,0))</f>
        <v/>
      </c>
      <c r="E119">
        <f>INDEX(Lots_Data!$K$2:$K$234,MATCH($A119,Lots_Data!$A$2:$A$234,0))</f>
        <v/>
      </c>
      <c r="F119">
        <f>INDEX(Usage_Summary!$C$4:$C$236,MATCH($A119,Usage_Summary!$A$4:$A$236,0))</f>
        <v/>
      </c>
      <c r="G119">
        <f>IF($F119&gt;0,$E119/$F119*30,"")</f>
        <v/>
      </c>
      <c r="H119">
        <f>MAX(0,CEILING(ROUND($F119*Inputs!$B$10/30*Inputs!$B$7,6),1)-$E119)</f>
        <v/>
      </c>
      <c r="I119">
        <f>MAX(0,CEILING(ROUND($F119*Inputs!$B$11/30*Inputs!$B$7,6),1)-$E119)</f>
        <v/>
      </c>
      <c r="J119">
        <f>MAX(0,CEILING(ROUND($F119*Inputs!$B$12/30*Inputs!$B$7,6),1)-$E119)</f>
        <v/>
      </c>
      <c r="K119">
        <f>IF(AND($F119&gt;0,$E119&lt;=0),1,0)</f>
        <v/>
      </c>
      <c r="L119">
        <f>INDEX(Lots_Data!$S$2:$S$234,MATCH($A119,Lots_Data!$A$2:$A$234,0))</f>
        <v/>
      </c>
      <c r="M119">
        <f>INDEX(Lots_Data!$N$2:$N$234,MATCH($A119,Lots_Data!$A$2:$A$234,0))</f>
        <v/>
      </c>
      <c r="N119">
        <f>IF($F119=0,"n/a",IF($L119&gt;=$F119/30*$M119,"adequate","under-set"))</f>
        <v/>
      </c>
    </row>
    <row r="120">
      <c r="A120" t="inlineStr">
        <is>
          <t>SS-01117</t>
        </is>
      </c>
      <c r="B120">
        <f>INDEX(Lots_Data!$C$2:$C$234,MATCH($A120,Lots_Data!$A$2:$A$234,0))</f>
        <v/>
      </c>
      <c r="C120">
        <f>INDEX(Lots_Data!$E$2:$E$234,MATCH($A120,Lots_Data!$A$2:$A$234,0))</f>
        <v/>
      </c>
      <c r="D120">
        <f>INDEX(Lots_Data!$D$2:$D$234,MATCH($A120,Lots_Data!$A$2:$A$234,0))</f>
        <v/>
      </c>
      <c r="E120">
        <f>INDEX(Lots_Data!$K$2:$K$234,MATCH($A120,Lots_Data!$A$2:$A$234,0))</f>
        <v/>
      </c>
      <c r="F120">
        <f>INDEX(Usage_Summary!$C$4:$C$236,MATCH($A120,Usage_Summary!$A$4:$A$236,0))</f>
        <v/>
      </c>
      <c r="G120">
        <f>IF($F120&gt;0,$E120/$F120*30,"")</f>
        <v/>
      </c>
      <c r="H120">
        <f>MAX(0,CEILING(ROUND($F120*Inputs!$B$10/30*Inputs!$B$7,6),1)-$E120)</f>
        <v/>
      </c>
      <c r="I120">
        <f>MAX(0,CEILING(ROUND($F120*Inputs!$B$11/30*Inputs!$B$7,6),1)-$E120)</f>
        <v/>
      </c>
      <c r="J120">
        <f>MAX(0,CEILING(ROUND($F120*Inputs!$B$12/30*Inputs!$B$7,6),1)-$E120)</f>
        <v/>
      </c>
      <c r="K120">
        <f>IF(AND($F120&gt;0,$E120&lt;=0),1,0)</f>
        <v/>
      </c>
      <c r="L120">
        <f>INDEX(Lots_Data!$S$2:$S$234,MATCH($A120,Lots_Data!$A$2:$A$234,0))</f>
        <v/>
      </c>
      <c r="M120">
        <f>INDEX(Lots_Data!$N$2:$N$234,MATCH($A120,Lots_Data!$A$2:$A$234,0))</f>
        <v/>
      </c>
      <c r="N120">
        <f>IF($F120=0,"n/a",IF($L120&gt;=$F120/30*$M120,"adequate","under-set"))</f>
        <v/>
      </c>
    </row>
    <row r="121">
      <c r="A121" t="inlineStr">
        <is>
          <t>SS-01118</t>
        </is>
      </c>
      <c r="B121">
        <f>INDEX(Lots_Data!$C$2:$C$234,MATCH($A121,Lots_Data!$A$2:$A$234,0))</f>
        <v/>
      </c>
      <c r="C121">
        <f>INDEX(Lots_Data!$E$2:$E$234,MATCH($A121,Lots_Data!$A$2:$A$234,0))</f>
        <v/>
      </c>
      <c r="D121">
        <f>INDEX(Lots_Data!$D$2:$D$234,MATCH($A121,Lots_Data!$A$2:$A$234,0))</f>
        <v/>
      </c>
      <c r="E121">
        <f>INDEX(Lots_Data!$K$2:$K$234,MATCH($A121,Lots_Data!$A$2:$A$234,0))</f>
        <v/>
      </c>
      <c r="F121">
        <f>INDEX(Usage_Summary!$C$4:$C$236,MATCH($A121,Usage_Summary!$A$4:$A$236,0))</f>
        <v/>
      </c>
      <c r="G121">
        <f>IF($F121&gt;0,$E121/$F121*30,"")</f>
        <v/>
      </c>
      <c r="H121">
        <f>MAX(0,CEILING(ROUND($F121*Inputs!$B$10/30*Inputs!$B$7,6),1)-$E121)</f>
        <v/>
      </c>
      <c r="I121">
        <f>MAX(0,CEILING(ROUND($F121*Inputs!$B$11/30*Inputs!$B$7,6),1)-$E121)</f>
        <v/>
      </c>
      <c r="J121">
        <f>MAX(0,CEILING(ROUND($F121*Inputs!$B$12/30*Inputs!$B$7,6),1)-$E121)</f>
        <v/>
      </c>
      <c r="K121">
        <f>IF(AND($F121&gt;0,$E121&lt;=0),1,0)</f>
        <v/>
      </c>
      <c r="L121">
        <f>INDEX(Lots_Data!$S$2:$S$234,MATCH($A121,Lots_Data!$A$2:$A$234,0))</f>
        <v/>
      </c>
      <c r="M121">
        <f>INDEX(Lots_Data!$N$2:$N$234,MATCH($A121,Lots_Data!$A$2:$A$234,0))</f>
        <v/>
      </c>
      <c r="N121">
        <f>IF($F121=0,"n/a",IF($L121&gt;=$F121/30*$M121,"adequate","under-set"))</f>
        <v/>
      </c>
    </row>
    <row r="122">
      <c r="A122" t="inlineStr">
        <is>
          <t>SS-01119</t>
        </is>
      </c>
      <c r="B122">
        <f>INDEX(Lots_Data!$C$2:$C$234,MATCH($A122,Lots_Data!$A$2:$A$234,0))</f>
        <v/>
      </c>
      <c r="C122">
        <f>INDEX(Lots_Data!$E$2:$E$234,MATCH($A122,Lots_Data!$A$2:$A$234,0))</f>
        <v/>
      </c>
      <c r="D122">
        <f>INDEX(Lots_Data!$D$2:$D$234,MATCH($A122,Lots_Data!$A$2:$A$234,0))</f>
        <v/>
      </c>
      <c r="E122">
        <f>INDEX(Lots_Data!$K$2:$K$234,MATCH($A122,Lots_Data!$A$2:$A$234,0))</f>
        <v/>
      </c>
      <c r="F122">
        <f>INDEX(Usage_Summary!$C$4:$C$236,MATCH($A122,Usage_Summary!$A$4:$A$236,0))</f>
        <v/>
      </c>
      <c r="G122">
        <f>IF($F122&gt;0,$E122/$F122*30,"")</f>
        <v/>
      </c>
      <c r="H122">
        <f>MAX(0,CEILING(ROUND($F122*Inputs!$B$10/30*Inputs!$B$7,6),1)-$E122)</f>
        <v/>
      </c>
      <c r="I122">
        <f>MAX(0,CEILING(ROUND($F122*Inputs!$B$11/30*Inputs!$B$7,6),1)-$E122)</f>
        <v/>
      </c>
      <c r="J122">
        <f>MAX(0,CEILING(ROUND($F122*Inputs!$B$12/30*Inputs!$B$7,6),1)-$E122)</f>
        <v/>
      </c>
      <c r="K122">
        <f>IF(AND($F122&gt;0,$E122&lt;=0),1,0)</f>
        <v/>
      </c>
      <c r="L122">
        <f>INDEX(Lots_Data!$S$2:$S$234,MATCH($A122,Lots_Data!$A$2:$A$234,0))</f>
        <v/>
      </c>
      <c r="M122">
        <f>INDEX(Lots_Data!$N$2:$N$234,MATCH($A122,Lots_Data!$A$2:$A$234,0))</f>
        <v/>
      </c>
      <c r="N122">
        <f>IF($F122=0,"n/a",IF($L122&gt;=$F122/30*$M122,"adequate","under-set"))</f>
        <v/>
      </c>
    </row>
    <row r="123">
      <c r="A123" t="inlineStr">
        <is>
          <t>SS-01120</t>
        </is>
      </c>
      <c r="B123">
        <f>INDEX(Lots_Data!$C$2:$C$234,MATCH($A123,Lots_Data!$A$2:$A$234,0))</f>
        <v/>
      </c>
      <c r="C123">
        <f>INDEX(Lots_Data!$E$2:$E$234,MATCH($A123,Lots_Data!$A$2:$A$234,0))</f>
        <v/>
      </c>
      <c r="D123">
        <f>INDEX(Lots_Data!$D$2:$D$234,MATCH($A123,Lots_Data!$A$2:$A$234,0))</f>
        <v/>
      </c>
      <c r="E123">
        <f>INDEX(Lots_Data!$K$2:$K$234,MATCH($A123,Lots_Data!$A$2:$A$234,0))</f>
        <v/>
      </c>
      <c r="F123">
        <f>INDEX(Usage_Summary!$C$4:$C$236,MATCH($A123,Usage_Summary!$A$4:$A$236,0))</f>
        <v/>
      </c>
      <c r="G123">
        <f>IF($F123&gt;0,$E123/$F123*30,"")</f>
        <v/>
      </c>
      <c r="H123">
        <f>MAX(0,CEILING(ROUND($F123*Inputs!$B$10/30*Inputs!$B$7,6),1)-$E123)</f>
        <v/>
      </c>
      <c r="I123">
        <f>MAX(0,CEILING(ROUND($F123*Inputs!$B$11/30*Inputs!$B$7,6),1)-$E123)</f>
        <v/>
      </c>
      <c r="J123">
        <f>MAX(0,CEILING(ROUND($F123*Inputs!$B$12/30*Inputs!$B$7,6),1)-$E123)</f>
        <v/>
      </c>
      <c r="K123">
        <f>IF(AND($F123&gt;0,$E123&lt;=0),1,0)</f>
        <v/>
      </c>
      <c r="L123">
        <f>INDEX(Lots_Data!$S$2:$S$234,MATCH($A123,Lots_Data!$A$2:$A$234,0))</f>
        <v/>
      </c>
      <c r="M123">
        <f>INDEX(Lots_Data!$N$2:$N$234,MATCH($A123,Lots_Data!$A$2:$A$234,0))</f>
        <v/>
      </c>
      <c r="N123">
        <f>IF($F123=0,"n/a",IF($L123&gt;=$F123/30*$M123,"adequate","under-set"))</f>
        <v/>
      </c>
    </row>
    <row r="124">
      <c r="A124" t="inlineStr">
        <is>
          <t>SS-01121</t>
        </is>
      </c>
      <c r="B124">
        <f>INDEX(Lots_Data!$C$2:$C$234,MATCH($A124,Lots_Data!$A$2:$A$234,0))</f>
        <v/>
      </c>
      <c r="C124">
        <f>INDEX(Lots_Data!$E$2:$E$234,MATCH($A124,Lots_Data!$A$2:$A$234,0))</f>
        <v/>
      </c>
      <c r="D124">
        <f>INDEX(Lots_Data!$D$2:$D$234,MATCH($A124,Lots_Data!$A$2:$A$234,0))</f>
        <v/>
      </c>
      <c r="E124">
        <f>INDEX(Lots_Data!$K$2:$K$234,MATCH($A124,Lots_Data!$A$2:$A$234,0))</f>
        <v/>
      </c>
      <c r="F124">
        <f>INDEX(Usage_Summary!$C$4:$C$236,MATCH($A124,Usage_Summary!$A$4:$A$236,0))</f>
        <v/>
      </c>
      <c r="G124">
        <f>IF($F124&gt;0,$E124/$F124*30,"")</f>
        <v/>
      </c>
      <c r="H124">
        <f>MAX(0,CEILING(ROUND($F124*Inputs!$B$10/30*Inputs!$B$7,6),1)-$E124)</f>
        <v/>
      </c>
      <c r="I124">
        <f>MAX(0,CEILING(ROUND($F124*Inputs!$B$11/30*Inputs!$B$7,6),1)-$E124)</f>
        <v/>
      </c>
      <c r="J124">
        <f>MAX(0,CEILING(ROUND($F124*Inputs!$B$12/30*Inputs!$B$7,6),1)-$E124)</f>
        <v/>
      </c>
      <c r="K124">
        <f>IF(AND($F124&gt;0,$E124&lt;=0),1,0)</f>
        <v/>
      </c>
      <c r="L124">
        <f>INDEX(Lots_Data!$S$2:$S$234,MATCH($A124,Lots_Data!$A$2:$A$234,0))</f>
        <v/>
      </c>
      <c r="M124">
        <f>INDEX(Lots_Data!$N$2:$N$234,MATCH($A124,Lots_Data!$A$2:$A$234,0))</f>
        <v/>
      </c>
      <c r="N124">
        <f>IF($F124=0,"n/a",IF($L124&gt;=$F124/30*$M124,"adequate","under-set"))</f>
        <v/>
      </c>
    </row>
    <row r="125">
      <c r="A125" t="inlineStr">
        <is>
          <t>SS-01122</t>
        </is>
      </c>
      <c r="B125">
        <f>INDEX(Lots_Data!$C$2:$C$234,MATCH($A125,Lots_Data!$A$2:$A$234,0))</f>
        <v/>
      </c>
      <c r="C125">
        <f>INDEX(Lots_Data!$E$2:$E$234,MATCH($A125,Lots_Data!$A$2:$A$234,0))</f>
        <v/>
      </c>
      <c r="D125">
        <f>INDEX(Lots_Data!$D$2:$D$234,MATCH($A125,Lots_Data!$A$2:$A$234,0))</f>
        <v/>
      </c>
      <c r="E125">
        <f>INDEX(Lots_Data!$K$2:$K$234,MATCH($A125,Lots_Data!$A$2:$A$234,0))</f>
        <v/>
      </c>
      <c r="F125">
        <f>INDEX(Usage_Summary!$C$4:$C$236,MATCH($A125,Usage_Summary!$A$4:$A$236,0))</f>
        <v/>
      </c>
      <c r="G125">
        <f>IF($F125&gt;0,$E125/$F125*30,"")</f>
        <v/>
      </c>
      <c r="H125">
        <f>MAX(0,CEILING(ROUND($F125*Inputs!$B$10/30*Inputs!$B$7,6),1)-$E125)</f>
        <v/>
      </c>
      <c r="I125">
        <f>MAX(0,CEILING(ROUND($F125*Inputs!$B$11/30*Inputs!$B$7,6),1)-$E125)</f>
        <v/>
      </c>
      <c r="J125">
        <f>MAX(0,CEILING(ROUND($F125*Inputs!$B$12/30*Inputs!$B$7,6),1)-$E125)</f>
        <v/>
      </c>
      <c r="K125">
        <f>IF(AND($F125&gt;0,$E125&lt;=0),1,0)</f>
        <v/>
      </c>
      <c r="L125">
        <f>INDEX(Lots_Data!$S$2:$S$234,MATCH($A125,Lots_Data!$A$2:$A$234,0))</f>
        <v/>
      </c>
      <c r="M125">
        <f>INDEX(Lots_Data!$N$2:$N$234,MATCH($A125,Lots_Data!$A$2:$A$234,0))</f>
        <v/>
      </c>
      <c r="N125">
        <f>IF($F125=0,"n/a",IF($L125&gt;=$F125/30*$M125,"adequate","under-set"))</f>
        <v/>
      </c>
    </row>
    <row r="126">
      <c r="A126" t="inlineStr">
        <is>
          <t>SS-01123</t>
        </is>
      </c>
      <c r="B126">
        <f>INDEX(Lots_Data!$C$2:$C$234,MATCH($A126,Lots_Data!$A$2:$A$234,0))</f>
        <v/>
      </c>
      <c r="C126">
        <f>INDEX(Lots_Data!$E$2:$E$234,MATCH($A126,Lots_Data!$A$2:$A$234,0))</f>
        <v/>
      </c>
      <c r="D126">
        <f>INDEX(Lots_Data!$D$2:$D$234,MATCH($A126,Lots_Data!$A$2:$A$234,0))</f>
        <v/>
      </c>
      <c r="E126">
        <f>INDEX(Lots_Data!$K$2:$K$234,MATCH($A126,Lots_Data!$A$2:$A$234,0))</f>
        <v/>
      </c>
      <c r="F126">
        <f>INDEX(Usage_Summary!$C$4:$C$236,MATCH($A126,Usage_Summary!$A$4:$A$236,0))</f>
        <v/>
      </c>
      <c r="G126">
        <f>IF($F126&gt;0,$E126/$F126*30,"")</f>
        <v/>
      </c>
      <c r="H126">
        <f>MAX(0,CEILING(ROUND($F126*Inputs!$B$10/30*Inputs!$B$7,6),1)-$E126)</f>
        <v/>
      </c>
      <c r="I126">
        <f>MAX(0,CEILING(ROUND($F126*Inputs!$B$11/30*Inputs!$B$7,6),1)-$E126)</f>
        <v/>
      </c>
      <c r="J126">
        <f>MAX(0,CEILING(ROUND($F126*Inputs!$B$12/30*Inputs!$B$7,6),1)-$E126)</f>
        <v/>
      </c>
      <c r="K126">
        <f>IF(AND($F126&gt;0,$E126&lt;=0),1,0)</f>
        <v/>
      </c>
      <c r="L126">
        <f>INDEX(Lots_Data!$S$2:$S$234,MATCH($A126,Lots_Data!$A$2:$A$234,0))</f>
        <v/>
      </c>
      <c r="M126">
        <f>INDEX(Lots_Data!$N$2:$N$234,MATCH($A126,Lots_Data!$A$2:$A$234,0))</f>
        <v/>
      </c>
      <c r="N126">
        <f>IF($F126=0,"n/a",IF($L126&gt;=$F126/30*$M126,"adequate","under-set"))</f>
        <v/>
      </c>
    </row>
    <row r="127">
      <c r="A127" t="inlineStr">
        <is>
          <t>SS-01124</t>
        </is>
      </c>
      <c r="B127">
        <f>INDEX(Lots_Data!$C$2:$C$234,MATCH($A127,Lots_Data!$A$2:$A$234,0))</f>
        <v/>
      </c>
      <c r="C127">
        <f>INDEX(Lots_Data!$E$2:$E$234,MATCH($A127,Lots_Data!$A$2:$A$234,0))</f>
        <v/>
      </c>
      <c r="D127">
        <f>INDEX(Lots_Data!$D$2:$D$234,MATCH($A127,Lots_Data!$A$2:$A$234,0))</f>
        <v/>
      </c>
      <c r="E127">
        <f>INDEX(Lots_Data!$K$2:$K$234,MATCH($A127,Lots_Data!$A$2:$A$234,0))</f>
        <v/>
      </c>
      <c r="F127">
        <f>INDEX(Usage_Summary!$C$4:$C$236,MATCH($A127,Usage_Summary!$A$4:$A$236,0))</f>
        <v/>
      </c>
      <c r="G127">
        <f>IF($F127&gt;0,$E127/$F127*30,"")</f>
        <v/>
      </c>
      <c r="H127">
        <f>MAX(0,CEILING(ROUND($F127*Inputs!$B$10/30*Inputs!$B$7,6),1)-$E127)</f>
        <v/>
      </c>
      <c r="I127">
        <f>MAX(0,CEILING(ROUND($F127*Inputs!$B$11/30*Inputs!$B$7,6),1)-$E127)</f>
        <v/>
      </c>
      <c r="J127">
        <f>MAX(0,CEILING(ROUND($F127*Inputs!$B$12/30*Inputs!$B$7,6),1)-$E127)</f>
        <v/>
      </c>
      <c r="K127">
        <f>IF(AND($F127&gt;0,$E127&lt;=0),1,0)</f>
        <v/>
      </c>
      <c r="L127">
        <f>INDEX(Lots_Data!$S$2:$S$234,MATCH($A127,Lots_Data!$A$2:$A$234,0))</f>
        <v/>
      </c>
      <c r="M127">
        <f>INDEX(Lots_Data!$N$2:$N$234,MATCH($A127,Lots_Data!$A$2:$A$234,0))</f>
        <v/>
      </c>
      <c r="N127">
        <f>IF($F127=0,"n/a",IF($L127&gt;=$F127/30*$M127,"adequate","under-set"))</f>
        <v/>
      </c>
    </row>
    <row r="128">
      <c r="A128" t="inlineStr">
        <is>
          <t>SS-01125</t>
        </is>
      </c>
      <c r="B128">
        <f>INDEX(Lots_Data!$C$2:$C$234,MATCH($A128,Lots_Data!$A$2:$A$234,0))</f>
        <v/>
      </c>
      <c r="C128">
        <f>INDEX(Lots_Data!$E$2:$E$234,MATCH($A128,Lots_Data!$A$2:$A$234,0))</f>
        <v/>
      </c>
      <c r="D128">
        <f>INDEX(Lots_Data!$D$2:$D$234,MATCH($A128,Lots_Data!$A$2:$A$234,0))</f>
        <v/>
      </c>
      <c r="E128">
        <f>INDEX(Lots_Data!$K$2:$K$234,MATCH($A128,Lots_Data!$A$2:$A$234,0))</f>
        <v/>
      </c>
      <c r="F128">
        <f>INDEX(Usage_Summary!$C$4:$C$236,MATCH($A128,Usage_Summary!$A$4:$A$236,0))</f>
        <v/>
      </c>
      <c r="G128">
        <f>IF($F128&gt;0,$E128/$F128*30,"")</f>
        <v/>
      </c>
      <c r="H128">
        <f>MAX(0,CEILING(ROUND($F128*Inputs!$B$10/30*Inputs!$B$7,6),1)-$E128)</f>
        <v/>
      </c>
      <c r="I128">
        <f>MAX(0,CEILING(ROUND($F128*Inputs!$B$11/30*Inputs!$B$7,6),1)-$E128)</f>
        <v/>
      </c>
      <c r="J128">
        <f>MAX(0,CEILING(ROUND($F128*Inputs!$B$12/30*Inputs!$B$7,6),1)-$E128)</f>
        <v/>
      </c>
      <c r="K128">
        <f>IF(AND($F128&gt;0,$E128&lt;=0),1,0)</f>
        <v/>
      </c>
      <c r="L128">
        <f>INDEX(Lots_Data!$S$2:$S$234,MATCH($A128,Lots_Data!$A$2:$A$234,0))</f>
        <v/>
      </c>
      <c r="M128">
        <f>INDEX(Lots_Data!$N$2:$N$234,MATCH($A128,Lots_Data!$A$2:$A$234,0))</f>
        <v/>
      </c>
      <c r="N128">
        <f>IF($F128=0,"n/a",IF($L128&gt;=$F128/30*$M128,"adequate","under-set"))</f>
        <v/>
      </c>
    </row>
    <row r="129">
      <c r="A129" t="inlineStr">
        <is>
          <t>SS-01126</t>
        </is>
      </c>
      <c r="B129">
        <f>INDEX(Lots_Data!$C$2:$C$234,MATCH($A129,Lots_Data!$A$2:$A$234,0))</f>
        <v/>
      </c>
      <c r="C129">
        <f>INDEX(Lots_Data!$E$2:$E$234,MATCH($A129,Lots_Data!$A$2:$A$234,0))</f>
        <v/>
      </c>
      <c r="D129">
        <f>INDEX(Lots_Data!$D$2:$D$234,MATCH($A129,Lots_Data!$A$2:$A$234,0))</f>
        <v/>
      </c>
      <c r="E129">
        <f>INDEX(Lots_Data!$K$2:$K$234,MATCH($A129,Lots_Data!$A$2:$A$234,0))</f>
        <v/>
      </c>
      <c r="F129">
        <f>INDEX(Usage_Summary!$C$4:$C$236,MATCH($A129,Usage_Summary!$A$4:$A$236,0))</f>
        <v/>
      </c>
      <c r="G129">
        <f>IF($F129&gt;0,$E129/$F129*30,"")</f>
        <v/>
      </c>
      <c r="H129">
        <f>MAX(0,CEILING(ROUND($F129*Inputs!$B$10/30*Inputs!$B$7,6),1)-$E129)</f>
        <v/>
      </c>
      <c r="I129">
        <f>MAX(0,CEILING(ROUND($F129*Inputs!$B$11/30*Inputs!$B$7,6),1)-$E129)</f>
        <v/>
      </c>
      <c r="J129">
        <f>MAX(0,CEILING(ROUND($F129*Inputs!$B$12/30*Inputs!$B$7,6),1)-$E129)</f>
        <v/>
      </c>
      <c r="K129">
        <f>IF(AND($F129&gt;0,$E129&lt;=0),1,0)</f>
        <v/>
      </c>
      <c r="L129">
        <f>INDEX(Lots_Data!$S$2:$S$234,MATCH($A129,Lots_Data!$A$2:$A$234,0))</f>
        <v/>
      </c>
      <c r="M129">
        <f>INDEX(Lots_Data!$N$2:$N$234,MATCH($A129,Lots_Data!$A$2:$A$234,0))</f>
        <v/>
      </c>
      <c r="N129">
        <f>IF($F129=0,"n/a",IF($L129&gt;=$F129/30*$M129,"adequate","under-set"))</f>
        <v/>
      </c>
    </row>
    <row r="130">
      <c r="A130" t="inlineStr">
        <is>
          <t>SS-01127</t>
        </is>
      </c>
      <c r="B130">
        <f>INDEX(Lots_Data!$C$2:$C$234,MATCH($A130,Lots_Data!$A$2:$A$234,0))</f>
        <v/>
      </c>
      <c r="C130">
        <f>INDEX(Lots_Data!$E$2:$E$234,MATCH($A130,Lots_Data!$A$2:$A$234,0))</f>
        <v/>
      </c>
      <c r="D130">
        <f>INDEX(Lots_Data!$D$2:$D$234,MATCH($A130,Lots_Data!$A$2:$A$234,0))</f>
        <v/>
      </c>
      <c r="E130">
        <f>INDEX(Lots_Data!$K$2:$K$234,MATCH($A130,Lots_Data!$A$2:$A$234,0))</f>
        <v/>
      </c>
      <c r="F130">
        <f>INDEX(Usage_Summary!$C$4:$C$236,MATCH($A130,Usage_Summary!$A$4:$A$236,0))</f>
        <v/>
      </c>
      <c r="G130">
        <f>IF($F130&gt;0,$E130/$F130*30,"")</f>
        <v/>
      </c>
      <c r="H130">
        <f>MAX(0,CEILING(ROUND($F130*Inputs!$B$10/30*Inputs!$B$7,6),1)-$E130)</f>
        <v/>
      </c>
      <c r="I130">
        <f>MAX(0,CEILING(ROUND($F130*Inputs!$B$11/30*Inputs!$B$7,6),1)-$E130)</f>
        <v/>
      </c>
      <c r="J130">
        <f>MAX(0,CEILING(ROUND($F130*Inputs!$B$12/30*Inputs!$B$7,6),1)-$E130)</f>
        <v/>
      </c>
      <c r="K130">
        <f>IF(AND($F130&gt;0,$E130&lt;=0),1,0)</f>
        <v/>
      </c>
      <c r="L130">
        <f>INDEX(Lots_Data!$S$2:$S$234,MATCH($A130,Lots_Data!$A$2:$A$234,0))</f>
        <v/>
      </c>
      <c r="M130">
        <f>INDEX(Lots_Data!$N$2:$N$234,MATCH($A130,Lots_Data!$A$2:$A$234,0))</f>
        <v/>
      </c>
      <c r="N130">
        <f>IF($F130=0,"n/a",IF($L130&gt;=$F130/30*$M130,"adequate","under-set"))</f>
        <v/>
      </c>
    </row>
    <row r="131">
      <c r="A131" t="inlineStr">
        <is>
          <t>SS-01128</t>
        </is>
      </c>
      <c r="B131">
        <f>INDEX(Lots_Data!$C$2:$C$234,MATCH($A131,Lots_Data!$A$2:$A$234,0))</f>
        <v/>
      </c>
      <c r="C131">
        <f>INDEX(Lots_Data!$E$2:$E$234,MATCH($A131,Lots_Data!$A$2:$A$234,0))</f>
        <v/>
      </c>
      <c r="D131">
        <f>INDEX(Lots_Data!$D$2:$D$234,MATCH($A131,Lots_Data!$A$2:$A$234,0))</f>
        <v/>
      </c>
      <c r="E131">
        <f>INDEX(Lots_Data!$K$2:$K$234,MATCH($A131,Lots_Data!$A$2:$A$234,0))</f>
        <v/>
      </c>
      <c r="F131">
        <f>INDEX(Usage_Summary!$C$4:$C$236,MATCH($A131,Usage_Summary!$A$4:$A$236,0))</f>
        <v/>
      </c>
      <c r="G131">
        <f>IF($F131&gt;0,$E131/$F131*30,"")</f>
        <v/>
      </c>
      <c r="H131">
        <f>MAX(0,CEILING(ROUND($F131*Inputs!$B$10/30*Inputs!$B$7,6),1)-$E131)</f>
        <v/>
      </c>
      <c r="I131">
        <f>MAX(0,CEILING(ROUND($F131*Inputs!$B$11/30*Inputs!$B$7,6),1)-$E131)</f>
        <v/>
      </c>
      <c r="J131">
        <f>MAX(0,CEILING(ROUND($F131*Inputs!$B$12/30*Inputs!$B$7,6),1)-$E131)</f>
        <v/>
      </c>
      <c r="K131">
        <f>IF(AND($F131&gt;0,$E131&lt;=0),1,0)</f>
        <v/>
      </c>
      <c r="L131">
        <f>INDEX(Lots_Data!$S$2:$S$234,MATCH($A131,Lots_Data!$A$2:$A$234,0))</f>
        <v/>
      </c>
      <c r="M131">
        <f>INDEX(Lots_Data!$N$2:$N$234,MATCH($A131,Lots_Data!$A$2:$A$234,0))</f>
        <v/>
      </c>
      <c r="N131">
        <f>IF($F131=0,"n/a",IF($L131&gt;=$F131/30*$M131,"adequate","under-set"))</f>
        <v/>
      </c>
    </row>
    <row r="132">
      <c r="A132" t="inlineStr">
        <is>
          <t>SS-01129</t>
        </is>
      </c>
      <c r="B132">
        <f>INDEX(Lots_Data!$C$2:$C$234,MATCH($A132,Lots_Data!$A$2:$A$234,0))</f>
        <v/>
      </c>
      <c r="C132">
        <f>INDEX(Lots_Data!$E$2:$E$234,MATCH($A132,Lots_Data!$A$2:$A$234,0))</f>
        <v/>
      </c>
      <c r="D132">
        <f>INDEX(Lots_Data!$D$2:$D$234,MATCH($A132,Lots_Data!$A$2:$A$234,0))</f>
        <v/>
      </c>
      <c r="E132">
        <f>INDEX(Lots_Data!$K$2:$K$234,MATCH($A132,Lots_Data!$A$2:$A$234,0))</f>
        <v/>
      </c>
      <c r="F132">
        <f>INDEX(Usage_Summary!$C$4:$C$236,MATCH($A132,Usage_Summary!$A$4:$A$236,0))</f>
        <v/>
      </c>
      <c r="G132">
        <f>IF($F132&gt;0,$E132/$F132*30,"")</f>
        <v/>
      </c>
      <c r="H132">
        <f>MAX(0,CEILING(ROUND($F132*Inputs!$B$10/30*Inputs!$B$7,6),1)-$E132)</f>
        <v/>
      </c>
      <c r="I132">
        <f>MAX(0,CEILING(ROUND($F132*Inputs!$B$11/30*Inputs!$B$7,6),1)-$E132)</f>
        <v/>
      </c>
      <c r="J132">
        <f>MAX(0,CEILING(ROUND($F132*Inputs!$B$12/30*Inputs!$B$7,6),1)-$E132)</f>
        <v/>
      </c>
      <c r="K132">
        <f>IF(AND($F132&gt;0,$E132&lt;=0),1,0)</f>
        <v/>
      </c>
      <c r="L132">
        <f>INDEX(Lots_Data!$S$2:$S$234,MATCH($A132,Lots_Data!$A$2:$A$234,0))</f>
        <v/>
      </c>
      <c r="M132">
        <f>INDEX(Lots_Data!$N$2:$N$234,MATCH($A132,Lots_Data!$A$2:$A$234,0))</f>
        <v/>
      </c>
      <c r="N132">
        <f>IF($F132=0,"n/a",IF($L132&gt;=$F132/30*$M132,"adequate","under-set"))</f>
        <v/>
      </c>
    </row>
    <row r="133">
      <c r="A133" t="inlineStr">
        <is>
          <t>SS-01130</t>
        </is>
      </c>
      <c r="B133">
        <f>INDEX(Lots_Data!$C$2:$C$234,MATCH($A133,Lots_Data!$A$2:$A$234,0))</f>
        <v/>
      </c>
      <c r="C133">
        <f>INDEX(Lots_Data!$E$2:$E$234,MATCH($A133,Lots_Data!$A$2:$A$234,0))</f>
        <v/>
      </c>
      <c r="D133">
        <f>INDEX(Lots_Data!$D$2:$D$234,MATCH($A133,Lots_Data!$A$2:$A$234,0))</f>
        <v/>
      </c>
      <c r="E133">
        <f>INDEX(Lots_Data!$K$2:$K$234,MATCH($A133,Lots_Data!$A$2:$A$234,0))</f>
        <v/>
      </c>
      <c r="F133">
        <f>INDEX(Usage_Summary!$C$4:$C$236,MATCH($A133,Usage_Summary!$A$4:$A$236,0))</f>
        <v/>
      </c>
      <c r="G133">
        <f>IF($F133&gt;0,$E133/$F133*30,"")</f>
        <v/>
      </c>
      <c r="H133">
        <f>MAX(0,CEILING(ROUND($F133*Inputs!$B$10/30*Inputs!$B$7,6),1)-$E133)</f>
        <v/>
      </c>
      <c r="I133">
        <f>MAX(0,CEILING(ROUND($F133*Inputs!$B$11/30*Inputs!$B$7,6),1)-$E133)</f>
        <v/>
      </c>
      <c r="J133">
        <f>MAX(0,CEILING(ROUND($F133*Inputs!$B$12/30*Inputs!$B$7,6),1)-$E133)</f>
        <v/>
      </c>
      <c r="K133">
        <f>IF(AND($F133&gt;0,$E133&lt;=0),1,0)</f>
        <v/>
      </c>
      <c r="L133">
        <f>INDEX(Lots_Data!$S$2:$S$234,MATCH($A133,Lots_Data!$A$2:$A$234,0))</f>
        <v/>
      </c>
      <c r="M133">
        <f>INDEX(Lots_Data!$N$2:$N$234,MATCH($A133,Lots_Data!$A$2:$A$234,0))</f>
        <v/>
      </c>
      <c r="N133">
        <f>IF($F133=0,"n/a",IF($L133&gt;=$F133/30*$M133,"adequate","under-set"))</f>
        <v/>
      </c>
    </row>
    <row r="134">
      <c r="A134" t="inlineStr">
        <is>
          <t>SS-01131</t>
        </is>
      </c>
      <c r="B134">
        <f>INDEX(Lots_Data!$C$2:$C$234,MATCH($A134,Lots_Data!$A$2:$A$234,0))</f>
        <v/>
      </c>
      <c r="C134">
        <f>INDEX(Lots_Data!$E$2:$E$234,MATCH($A134,Lots_Data!$A$2:$A$234,0))</f>
        <v/>
      </c>
      <c r="D134">
        <f>INDEX(Lots_Data!$D$2:$D$234,MATCH($A134,Lots_Data!$A$2:$A$234,0))</f>
        <v/>
      </c>
      <c r="E134">
        <f>INDEX(Lots_Data!$K$2:$K$234,MATCH($A134,Lots_Data!$A$2:$A$234,0))</f>
        <v/>
      </c>
      <c r="F134">
        <f>INDEX(Usage_Summary!$C$4:$C$236,MATCH($A134,Usage_Summary!$A$4:$A$236,0))</f>
        <v/>
      </c>
      <c r="G134">
        <f>IF($F134&gt;0,$E134/$F134*30,"")</f>
        <v/>
      </c>
      <c r="H134">
        <f>MAX(0,CEILING(ROUND($F134*Inputs!$B$10/30*Inputs!$B$7,6),1)-$E134)</f>
        <v/>
      </c>
      <c r="I134">
        <f>MAX(0,CEILING(ROUND($F134*Inputs!$B$11/30*Inputs!$B$7,6),1)-$E134)</f>
        <v/>
      </c>
      <c r="J134">
        <f>MAX(0,CEILING(ROUND($F134*Inputs!$B$12/30*Inputs!$B$7,6),1)-$E134)</f>
        <v/>
      </c>
      <c r="K134">
        <f>IF(AND($F134&gt;0,$E134&lt;=0),1,0)</f>
        <v/>
      </c>
      <c r="L134">
        <f>INDEX(Lots_Data!$S$2:$S$234,MATCH($A134,Lots_Data!$A$2:$A$234,0))</f>
        <v/>
      </c>
      <c r="M134">
        <f>INDEX(Lots_Data!$N$2:$N$234,MATCH($A134,Lots_Data!$A$2:$A$234,0))</f>
        <v/>
      </c>
      <c r="N134">
        <f>IF($F134=0,"n/a",IF($L134&gt;=$F134/30*$M134,"adequate","under-set"))</f>
        <v/>
      </c>
    </row>
    <row r="135">
      <c r="A135" t="inlineStr">
        <is>
          <t>SS-01132</t>
        </is>
      </c>
      <c r="B135">
        <f>INDEX(Lots_Data!$C$2:$C$234,MATCH($A135,Lots_Data!$A$2:$A$234,0))</f>
        <v/>
      </c>
      <c r="C135">
        <f>INDEX(Lots_Data!$E$2:$E$234,MATCH($A135,Lots_Data!$A$2:$A$234,0))</f>
        <v/>
      </c>
      <c r="D135">
        <f>INDEX(Lots_Data!$D$2:$D$234,MATCH($A135,Lots_Data!$A$2:$A$234,0))</f>
        <v/>
      </c>
      <c r="E135">
        <f>INDEX(Lots_Data!$K$2:$K$234,MATCH($A135,Lots_Data!$A$2:$A$234,0))</f>
        <v/>
      </c>
      <c r="F135">
        <f>INDEX(Usage_Summary!$C$4:$C$236,MATCH($A135,Usage_Summary!$A$4:$A$236,0))</f>
        <v/>
      </c>
      <c r="G135">
        <f>IF($F135&gt;0,$E135/$F135*30,"")</f>
        <v/>
      </c>
      <c r="H135">
        <f>MAX(0,CEILING(ROUND($F135*Inputs!$B$10/30*Inputs!$B$7,6),1)-$E135)</f>
        <v/>
      </c>
      <c r="I135">
        <f>MAX(0,CEILING(ROUND($F135*Inputs!$B$11/30*Inputs!$B$7,6),1)-$E135)</f>
        <v/>
      </c>
      <c r="J135">
        <f>MAX(0,CEILING(ROUND($F135*Inputs!$B$12/30*Inputs!$B$7,6),1)-$E135)</f>
        <v/>
      </c>
      <c r="K135">
        <f>IF(AND($F135&gt;0,$E135&lt;=0),1,0)</f>
        <v/>
      </c>
      <c r="L135">
        <f>INDEX(Lots_Data!$S$2:$S$234,MATCH($A135,Lots_Data!$A$2:$A$234,0))</f>
        <v/>
      </c>
      <c r="M135">
        <f>INDEX(Lots_Data!$N$2:$N$234,MATCH($A135,Lots_Data!$A$2:$A$234,0))</f>
        <v/>
      </c>
      <c r="N135">
        <f>IF($F135=0,"n/a",IF($L135&gt;=$F135/30*$M135,"adequate","under-set"))</f>
        <v/>
      </c>
    </row>
    <row r="136">
      <c r="A136" t="inlineStr">
        <is>
          <t>SS-01133</t>
        </is>
      </c>
      <c r="B136">
        <f>INDEX(Lots_Data!$C$2:$C$234,MATCH($A136,Lots_Data!$A$2:$A$234,0))</f>
        <v/>
      </c>
      <c r="C136">
        <f>INDEX(Lots_Data!$E$2:$E$234,MATCH($A136,Lots_Data!$A$2:$A$234,0))</f>
        <v/>
      </c>
      <c r="D136">
        <f>INDEX(Lots_Data!$D$2:$D$234,MATCH($A136,Lots_Data!$A$2:$A$234,0))</f>
        <v/>
      </c>
      <c r="E136">
        <f>INDEX(Lots_Data!$K$2:$K$234,MATCH($A136,Lots_Data!$A$2:$A$234,0))</f>
        <v/>
      </c>
      <c r="F136">
        <f>INDEX(Usage_Summary!$C$4:$C$236,MATCH($A136,Usage_Summary!$A$4:$A$236,0))</f>
        <v/>
      </c>
      <c r="G136">
        <f>IF($F136&gt;0,$E136/$F136*30,"")</f>
        <v/>
      </c>
      <c r="H136">
        <f>MAX(0,CEILING(ROUND($F136*Inputs!$B$10/30*Inputs!$B$7,6),1)-$E136)</f>
        <v/>
      </c>
      <c r="I136">
        <f>MAX(0,CEILING(ROUND($F136*Inputs!$B$11/30*Inputs!$B$7,6),1)-$E136)</f>
        <v/>
      </c>
      <c r="J136">
        <f>MAX(0,CEILING(ROUND($F136*Inputs!$B$12/30*Inputs!$B$7,6),1)-$E136)</f>
        <v/>
      </c>
      <c r="K136">
        <f>IF(AND($F136&gt;0,$E136&lt;=0),1,0)</f>
        <v/>
      </c>
      <c r="L136">
        <f>INDEX(Lots_Data!$S$2:$S$234,MATCH($A136,Lots_Data!$A$2:$A$234,0))</f>
        <v/>
      </c>
      <c r="M136">
        <f>INDEX(Lots_Data!$N$2:$N$234,MATCH($A136,Lots_Data!$A$2:$A$234,0))</f>
        <v/>
      </c>
      <c r="N136">
        <f>IF($F136=0,"n/a",IF($L136&gt;=$F136/30*$M136,"adequate","under-set"))</f>
        <v/>
      </c>
    </row>
    <row r="137">
      <c r="A137" t="inlineStr">
        <is>
          <t>SS-01134</t>
        </is>
      </c>
      <c r="B137">
        <f>INDEX(Lots_Data!$C$2:$C$234,MATCH($A137,Lots_Data!$A$2:$A$234,0))</f>
        <v/>
      </c>
      <c r="C137">
        <f>INDEX(Lots_Data!$E$2:$E$234,MATCH($A137,Lots_Data!$A$2:$A$234,0))</f>
        <v/>
      </c>
      <c r="D137">
        <f>INDEX(Lots_Data!$D$2:$D$234,MATCH($A137,Lots_Data!$A$2:$A$234,0))</f>
        <v/>
      </c>
      <c r="E137">
        <f>INDEX(Lots_Data!$K$2:$K$234,MATCH($A137,Lots_Data!$A$2:$A$234,0))</f>
        <v/>
      </c>
      <c r="F137">
        <f>INDEX(Usage_Summary!$C$4:$C$236,MATCH($A137,Usage_Summary!$A$4:$A$236,0))</f>
        <v/>
      </c>
      <c r="G137">
        <f>IF($F137&gt;0,$E137/$F137*30,"")</f>
        <v/>
      </c>
      <c r="H137">
        <f>MAX(0,CEILING(ROUND($F137*Inputs!$B$10/30*Inputs!$B$7,6),1)-$E137)</f>
        <v/>
      </c>
      <c r="I137">
        <f>MAX(0,CEILING(ROUND($F137*Inputs!$B$11/30*Inputs!$B$7,6),1)-$E137)</f>
        <v/>
      </c>
      <c r="J137">
        <f>MAX(0,CEILING(ROUND($F137*Inputs!$B$12/30*Inputs!$B$7,6),1)-$E137)</f>
        <v/>
      </c>
      <c r="K137">
        <f>IF(AND($F137&gt;0,$E137&lt;=0),1,0)</f>
        <v/>
      </c>
      <c r="L137">
        <f>INDEX(Lots_Data!$S$2:$S$234,MATCH($A137,Lots_Data!$A$2:$A$234,0))</f>
        <v/>
      </c>
      <c r="M137">
        <f>INDEX(Lots_Data!$N$2:$N$234,MATCH($A137,Lots_Data!$A$2:$A$234,0))</f>
        <v/>
      </c>
      <c r="N137">
        <f>IF($F137=0,"n/a",IF($L137&gt;=$F137/30*$M137,"adequate","under-set"))</f>
        <v/>
      </c>
    </row>
    <row r="138">
      <c r="A138" t="inlineStr">
        <is>
          <t>SS-01135</t>
        </is>
      </c>
      <c r="B138">
        <f>INDEX(Lots_Data!$C$2:$C$234,MATCH($A138,Lots_Data!$A$2:$A$234,0))</f>
        <v/>
      </c>
      <c r="C138">
        <f>INDEX(Lots_Data!$E$2:$E$234,MATCH($A138,Lots_Data!$A$2:$A$234,0))</f>
        <v/>
      </c>
      <c r="D138">
        <f>INDEX(Lots_Data!$D$2:$D$234,MATCH($A138,Lots_Data!$A$2:$A$234,0))</f>
        <v/>
      </c>
      <c r="E138">
        <f>INDEX(Lots_Data!$K$2:$K$234,MATCH($A138,Lots_Data!$A$2:$A$234,0))</f>
        <v/>
      </c>
      <c r="F138">
        <f>INDEX(Usage_Summary!$C$4:$C$236,MATCH($A138,Usage_Summary!$A$4:$A$236,0))</f>
        <v/>
      </c>
      <c r="G138">
        <f>IF($F138&gt;0,$E138/$F138*30,"")</f>
        <v/>
      </c>
      <c r="H138">
        <f>MAX(0,CEILING(ROUND($F138*Inputs!$B$10/30*Inputs!$B$7,6),1)-$E138)</f>
        <v/>
      </c>
      <c r="I138">
        <f>MAX(0,CEILING(ROUND($F138*Inputs!$B$11/30*Inputs!$B$7,6),1)-$E138)</f>
        <v/>
      </c>
      <c r="J138">
        <f>MAX(0,CEILING(ROUND($F138*Inputs!$B$12/30*Inputs!$B$7,6),1)-$E138)</f>
        <v/>
      </c>
      <c r="K138">
        <f>IF(AND($F138&gt;0,$E138&lt;=0),1,0)</f>
        <v/>
      </c>
      <c r="L138">
        <f>INDEX(Lots_Data!$S$2:$S$234,MATCH($A138,Lots_Data!$A$2:$A$234,0))</f>
        <v/>
      </c>
      <c r="M138">
        <f>INDEX(Lots_Data!$N$2:$N$234,MATCH($A138,Lots_Data!$A$2:$A$234,0))</f>
        <v/>
      </c>
      <c r="N138">
        <f>IF($F138=0,"n/a",IF($L138&gt;=$F138/30*$M138,"adequate","under-set"))</f>
        <v/>
      </c>
    </row>
    <row r="139">
      <c r="A139" t="inlineStr">
        <is>
          <t>SS-01136</t>
        </is>
      </c>
      <c r="B139">
        <f>INDEX(Lots_Data!$C$2:$C$234,MATCH($A139,Lots_Data!$A$2:$A$234,0))</f>
        <v/>
      </c>
      <c r="C139">
        <f>INDEX(Lots_Data!$E$2:$E$234,MATCH($A139,Lots_Data!$A$2:$A$234,0))</f>
        <v/>
      </c>
      <c r="D139">
        <f>INDEX(Lots_Data!$D$2:$D$234,MATCH($A139,Lots_Data!$A$2:$A$234,0))</f>
        <v/>
      </c>
      <c r="E139">
        <f>INDEX(Lots_Data!$K$2:$K$234,MATCH($A139,Lots_Data!$A$2:$A$234,0))</f>
        <v/>
      </c>
      <c r="F139">
        <f>INDEX(Usage_Summary!$C$4:$C$236,MATCH($A139,Usage_Summary!$A$4:$A$236,0))</f>
        <v/>
      </c>
      <c r="G139">
        <f>IF($F139&gt;0,$E139/$F139*30,"")</f>
        <v/>
      </c>
      <c r="H139">
        <f>MAX(0,CEILING(ROUND($F139*Inputs!$B$10/30*Inputs!$B$7,6),1)-$E139)</f>
        <v/>
      </c>
      <c r="I139">
        <f>MAX(0,CEILING(ROUND($F139*Inputs!$B$11/30*Inputs!$B$7,6),1)-$E139)</f>
        <v/>
      </c>
      <c r="J139">
        <f>MAX(0,CEILING(ROUND($F139*Inputs!$B$12/30*Inputs!$B$7,6),1)-$E139)</f>
        <v/>
      </c>
      <c r="K139">
        <f>IF(AND($F139&gt;0,$E139&lt;=0),1,0)</f>
        <v/>
      </c>
      <c r="L139">
        <f>INDEX(Lots_Data!$S$2:$S$234,MATCH($A139,Lots_Data!$A$2:$A$234,0))</f>
        <v/>
      </c>
      <c r="M139">
        <f>INDEX(Lots_Data!$N$2:$N$234,MATCH($A139,Lots_Data!$A$2:$A$234,0))</f>
        <v/>
      </c>
      <c r="N139">
        <f>IF($F139=0,"n/a",IF($L139&gt;=$F139/30*$M139,"adequate","under-set"))</f>
        <v/>
      </c>
    </row>
    <row r="140">
      <c r="A140" t="inlineStr">
        <is>
          <t>SS-01137</t>
        </is>
      </c>
      <c r="B140">
        <f>INDEX(Lots_Data!$C$2:$C$234,MATCH($A140,Lots_Data!$A$2:$A$234,0))</f>
        <v/>
      </c>
      <c r="C140">
        <f>INDEX(Lots_Data!$E$2:$E$234,MATCH($A140,Lots_Data!$A$2:$A$234,0))</f>
        <v/>
      </c>
      <c r="D140">
        <f>INDEX(Lots_Data!$D$2:$D$234,MATCH($A140,Lots_Data!$A$2:$A$234,0))</f>
        <v/>
      </c>
      <c r="E140">
        <f>INDEX(Lots_Data!$K$2:$K$234,MATCH($A140,Lots_Data!$A$2:$A$234,0))</f>
        <v/>
      </c>
      <c r="F140">
        <f>INDEX(Usage_Summary!$C$4:$C$236,MATCH($A140,Usage_Summary!$A$4:$A$236,0))</f>
        <v/>
      </c>
      <c r="G140">
        <f>IF($F140&gt;0,$E140/$F140*30,"")</f>
        <v/>
      </c>
      <c r="H140">
        <f>MAX(0,CEILING(ROUND($F140*Inputs!$B$10/30*Inputs!$B$7,6),1)-$E140)</f>
        <v/>
      </c>
      <c r="I140">
        <f>MAX(0,CEILING(ROUND($F140*Inputs!$B$11/30*Inputs!$B$7,6),1)-$E140)</f>
        <v/>
      </c>
      <c r="J140">
        <f>MAX(0,CEILING(ROUND($F140*Inputs!$B$12/30*Inputs!$B$7,6),1)-$E140)</f>
        <v/>
      </c>
      <c r="K140">
        <f>IF(AND($F140&gt;0,$E140&lt;=0),1,0)</f>
        <v/>
      </c>
      <c r="L140">
        <f>INDEX(Lots_Data!$S$2:$S$234,MATCH($A140,Lots_Data!$A$2:$A$234,0))</f>
        <v/>
      </c>
      <c r="M140">
        <f>INDEX(Lots_Data!$N$2:$N$234,MATCH($A140,Lots_Data!$A$2:$A$234,0))</f>
        <v/>
      </c>
      <c r="N140">
        <f>IF($F140=0,"n/a",IF($L140&gt;=$F140/30*$M140,"adequate","under-set"))</f>
        <v/>
      </c>
    </row>
    <row r="141">
      <c r="A141" t="inlineStr">
        <is>
          <t>SS-01138</t>
        </is>
      </c>
      <c r="B141">
        <f>INDEX(Lots_Data!$C$2:$C$234,MATCH($A141,Lots_Data!$A$2:$A$234,0))</f>
        <v/>
      </c>
      <c r="C141">
        <f>INDEX(Lots_Data!$E$2:$E$234,MATCH($A141,Lots_Data!$A$2:$A$234,0))</f>
        <v/>
      </c>
      <c r="D141">
        <f>INDEX(Lots_Data!$D$2:$D$234,MATCH($A141,Lots_Data!$A$2:$A$234,0))</f>
        <v/>
      </c>
      <c r="E141">
        <f>INDEX(Lots_Data!$K$2:$K$234,MATCH($A141,Lots_Data!$A$2:$A$234,0))</f>
        <v/>
      </c>
      <c r="F141">
        <f>INDEX(Usage_Summary!$C$4:$C$236,MATCH($A141,Usage_Summary!$A$4:$A$236,0))</f>
        <v/>
      </c>
      <c r="G141">
        <f>IF($F141&gt;0,$E141/$F141*30,"")</f>
        <v/>
      </c>
      <c r="H141">
        <f>MAX(0,CEILING(ROUND($F141*Inputs!$B$10/30*Inputs!$B$7,6),1)-$E141)</f>
        <v/>
      </c>
      <c r="I141">
        <f>MAX(0,CEILING(ROUND($F141*Inputs!$B$11/30*Inputs!$B$7,6),1)-$E141)</f>
        <v/>
      </c>
      <c r="J141">
        <f>MAX(0,CEILING(ROUND($F141*Inputs!$B$12/30*Inputs!$B$7,6),1)-$E141)</f>
        <v/>
      </c>
      <c r="K141">
        <f>IF(AND($F141&gt;0,$E141&lt;=0),1,0)</f>
        <v/>
      </c>
      <c r="L141">
        <f>INDEX(Lots_Data!$S$2:$S$234,MATCH($A141,Lots_Data!$A$2:$A$234,0))</f>
        <v/>
      </c>
      <c r="M141">
        <f>INDEX(Lots_Data!$N$2:$N$234,MATCH($A141,Lots_Data!$A$2:$A$234,0))</f>
        <v/>
      </c>
      <c r="N141">
        <f>IF($F141=0,"n/a",IF($L141&gt;=$F141/30*$M141,"adequate","under-set"))</f>
        <v/>
      </c>
    </row>
    <row r="142">
      <c r="A142" t="inlineStr">
        <is>
          <t>SS-01139</t>
        </is>
      </c>
      <c r="B142">
        <f>INDEX(Lots_Data!$C$2:$C$234,MATCH($A142,Lots_Data!$A$2:$A$234,0))</f>
        <v/>
      </c>
      <c r="C142">
        <f>INDEX(Lots_Data!$E$2:$E$234,MATCH($A142,Lots_Data!$A$2:$A$234,0))</f>
        <v/>
      </c>
      <c r="D142">
        <f>INDEX(Lots_Data!$D$2:$D$234,MATCH($A142,Lots_Data!$A$2:$A$234,0))</f>
        <v/>
      </c>
      <c r="E142">
        <f>INDEX(Lots_Data!$K$2:$K$234,MATCH($A142,Lots_Data!$A$2:$A$234,0))</f>
        <v/>
      </c>
      <c r="F142">
        <f>INDEX(Usage_Summary!$C$4:$C$236,MATCH($A142,Usage_Summary!$A$4:$A$236,0))</f>
        <v/>
      </c>
      <c r="G142">
        <f>IF($F142&gt;0,$E142/$F142*30,"")</f>
        <v/>
      </c>
      <c r="H142">
        <f>MAX(0,CEILING(ROUND($F142*Inputs!$B$10/30*Inputs!$B$7,6),1)-$E142)</f>
        <v/>
      </c>
      <c r="I142">
        <f>MAX(0,CEILING(ROUND($F142*Inputs!$B$11/30*Inputs!$B$7,6),1)-$E142)</f>
        <v/>
      </c>
      <c r="J142">
        <f>MAX(0,CEILING(ROUND($F142*Inputs!$B$12/30*Inputs!$B$7,6),1)-$E142)</f>
        <v/>
      </c>
      <c r="K142">
        <f>IF(AND($F142&gt;0,$E142&lt;=0),1,0)</f>
        <v/>
      </c>
      <c r="L142">
        <f>INDEX(Lots_Data!$S$2:$S$234,MATCH($A142,Lots_Data!$A$2:$A$234,0))</f>
        <v/>
      </c>
      <c r="M142">
        <f>INDEX(Lots_Data!$N$2:$N$234,MATCH($A142,Lots_Data!$A$2:$A$234,0))</f>
        <v/>
      </c>
      <c r="N142">
        <f>IF($F142=0,"n/a",IF($L142&gt;=$F142/30*$M142,"adequate","under-set"))</f>
        <v/>
      </c>
    </row>
    <row r="143">
      <c r="A143" t="inlineStr">
        <is>
          <t>SS-01140</t>
        </is>
      </c>
      <c r="B143">
        <f>INDEX(Lots_Data!$C$2:$C$234,MATCH($A143,Lots_Data!$A$2:$A$234,0))</f>
        <v/>
      </c>
      <c r="C143">
        <f>INDEX(Lots_Data!$E$2:$E$234,MATCH($A143,Lots_Data!$A$2:$A$234,0))</f>
        <v/>
      </c>
      <c r="D143">
        <f>INDEX(Lots_Data!$D$2:$D$234,MATCH($A143,Lots_Data!$A$2:$A$234,0))</f>
        <v/>
      </c>
      <c r="E143">
        <f>INDEX(Lots_Data!$K$2:$K$234,MATCH($A143,Lots_Data!$A$2:$A$234,0))</f>
        <v/>
      </c>
      <c r="F143">
        <f>INDEX(Usage_Summary!$C$4:$C$236,MATCH($A143,Usage_Summary!$A$4:$A$236,0))</f>
        <v/>
      </c>
      <c r="G143">
        <f>IF($F143&gt;0,$E143/$F143*30,"")</f>
        <v/>
      </c>
      <c r="H143">
        <f>MAX(0,CEILING(ROUND($F143*Inputs!$B$10/30*Inputs!$B$7,6),1)-$E143)</f>
        <v/>
      </c>
      <c r="I143">
        <f>MAX(0,CEILING(ROUND($F143*Inputs!$B$11/30*Inputs!$B$7,6),1)-$E143)</f>
        <v/>
      </c>
      <c r="J143">
        <f>MAX(0,CEILING(ROUND($F143*Inputs!$B$12/30*Inputs!$B$7,6),1)-$E143)</f>
        <v/>
      </c>
      <c r="K143">
        <f>IF(AND($F143&gt;0,$E143&lt;=0),1,0)</f>
        <v/>
      </c>
      <c r="L143">
        <f>INDEX(Lots_Data!$S$2:$S$234,MATCH($A143,Lots_Data!$A$2:$A$234,0))</f>
        <v/>
      </c>
      <c r="M143">
        <f>INDEX(Lots_Data!$N$2:$N$234,MATCH($A143,Lots_Data!$A$2:$A$234,0))</f>
        <v/>
      </c>
      <c r="N143">
        <f>IF($F143=0,"n/a",IF($L143&gt;=$F143/30*$M143,"adequate","under-set"))</f>
        <v/>
      </c>
    </row>
    <row r="144">
      <c r="A144" t="inlineStr">
        <is>
          <t>SS-01141</t>
        </is>
      </c>
      <c r="B144">
        <f>INDEX(Lots_Data!$C$2:$C$234,MATCH($A144,Lots_Data!$A$2:$A$234,0))</f>
        <v/>
      </c>
      <c r="C144">
        <f>INDEX(Lots_Data!$E$2:$E$234,MATCH($A144,Lots_Data!$A$2:$A$234,0))</f>
        <v/>
      </c>
      <c r="D144">
        <f>INDEX(Lots_Data!$D$2:$D$234,MATCH($A144,Lots_Data!$A$2:$A$234,0))</f>
        <v/>
      </c>
      <c r="E144">
        <f>INDEX(Lots_Data!$K$2:$K$234,MATCH($A144,Lots_Data!$A$2:$A$234,0))</f>
        <v/>
      </c>
      <c r="F144">
        <f>INDEX(Usage_Summary!$C$4:$C$236,MATCH($A144,Usage_Summary!$A$4:$A$236,0))</f>
        <v/>
      </c>
      <c r="G144">
        <f>IF($F144&gt;0,$E144/$F144*30,"")</f>
        <v/>
      </c>
      <c r="H144">
        <f>MAX(0,CEILING(ROUND($F144*Inputs!$B$10/30*Inputs!$B$7,6),1)-$E144)</f>
        <v/>
      </c>
      <c r="I144">
        <f>MAX(0,CEILING(ROUND($F144*Inputs!$B$11/30*Inputs!$B$7,6),1)-$E144)</f>
        <v/>
      </c>
      <c r="J144">
        <f>MAX(0,CEILING(ROUND($F144*Inputs!$B$12/30*Inputs!$B$7,6),1)-$E144)</f>
        <v/>
      </c>
      <c r="K144">
        <f>IF(AND($F144&gt;0,$E144&lt;=0),1,0)</f>
        <v/>
      </c>
      <c r="L144">
        <f>INDEX(Lots_Data!$S$2:$S$234,MATCH($A144,Lots_Data!$A$2:$A$234,0))</f>
        <v/>
      </c>
      <c r="M144">
        <f>INDEX(Lots_Data!$N$2:$N$234,MATCH($A144,Lots_Data!$A$2:$A$234,0))</f>
        <v/>
      </c>
      <c r="N144">
        <f>IF($F144=0,"n/a",IF($L144&gt;=$F144/30*$M144,"adequate","under-set"))</f>
        <v/>
      </c>
    </row>
    <row r="145">
      <c r="A145" t="inlineStr">
        <is>
          <t>SS-01142</t>
        </is>
      </c>
      <c r="B145">
        <f>INDEX(Lots_Data!$C$2:$C$234,MATCH($A145,Lots_Data!$A$2:$A$234,0))</f>
        <v/>
      </c>
      <c r="C145">
        <f>INDEX(Lots_Data!$E$2:$E$234,MATCH($A145,Lots_Data!$A$2:$A$234,0))</f>
        <v/>
      </c>
      <c r="D145">
        <f>INDEX(Lots_Data!$D$2:$D$234,MATCH($A145,Lots_Data!$A$2:$A$234,0))</f>
        <v/>
      </c>
      <c r="E145">
        <f>INDEX(Lots_Data!$K$2:$K$234,MATCH($A145,Lots_Data!$A$2:$A$234,0))</f>
        <v/>
      </c>
      <c r="F145">
        <f>INDEX(Usage_Summary!$C$4:$C$236,MATCH($A145,Usage_Summary!$A$4:$A$236,0))</f>
        <v/>
      </c>
      <c r="G145">
        <f>IF($F145&gt;0,$E145/$F145*30,"")</f>
        <v/>
      </c>
      <c r="H145">
        <f>MAX(0,CEILING(ROUND($F145*Inputs!$B$10/30*Inputs!$B$7,6),1)-$E145)</f>
        <v/>
      </c>
      <c r="I145">
        <f>MAX(0,CEILING(ROUND($F145*Inputs!$B$11/30*Inputs!$B$7,6),1)-$E145)</f>
        <v/>
      </c>
      <c r="J145">
        <f>MAX(0,CEILING(ROUND($F145*Inputs!$B$12/30*Inputs!$B$7,6),1)-$E145)</f>
        <v/>
      </c>
      <c r="K145">
        <f>IF(AND($F145&gt;0,$E145&lt;=0),1,0)</f>
        <v/>
      </c>
      <c r="L145">
        <f>INDEX(Lots_Data!$S$2:$S$234,MATCH($A145,Lots_Data!$A$2:$A$234,0))</f>
        <v/>
      </c>
      <c r="M145">
        <f>INDEX(Lots_Data!$N$2:$N$234,MATCH($A145,Lots_Data!$A$2:$A$234,0))</f>
        <v/>
      </c>
      <c r="N145">
        <f>IF($F145=0,"n/a",IF($L145&gt;=$F145/30*$M145,"adequate","under-set"))</f>
        <v/>
      </c>
    </row>
    <row r="146">
      <c r="A146" t="inlineStr">
        <is>
          <t>SS-01143</t>
        </is>
      </c>
      <c r="B146">
        <f>INDEX(Lots_Data!$C$2:$C$234,MATCH($A146,Lots_Data!$A$2:$A$234,0))</f>
        <v/>
      </c>
      <c r="C146">
        <f>INDEX(Lots_Data!$E$2:$E$234,MATCH($A146,Lots_Data!$A$2:$A$234,0))</f>
        <v/>
      </c>
      <c r="D146">
        <f>INDEX(Lots_Data!$D$2:$D$234,MATCH($A146,Lots_Data!$A$2:$A$234,0))</f>
        <v/>
      </c>
      <c r="E146">
        <f>INDEX(Lots_Data!$K$2:$K$234,MATCH($A146,Lots_Data!$A$2:$A$234,0))</f>
        <v/>
      </c>
      <c r="F146">
        <f>INDEX(Usage_Summary!$C$4:$C$236,MATCH($A146,Usage_Summary!$A$4:$A$236,0))</f>
        <v/>
      </c>
      <c r="G146">
        <f>IF($F146&gt;0,$E146/$F146*30,"")</f>
        <v/>
      </c>
      <c r="H146">
        <f>MAX(0,CEILING(ROUND($F146*Inputs!$B$10/30*Inputs!$B$7,6),1)-$E146)</f>
        <v/>
      </c>
      <c r="I146">
        <f>MAX(0,CEILING(ROUND($F146*Inputs!$B$11/30*Inputs!$B$7,6),1)-$E146)</f>
        <v/>
      </c>
      <c r="J146">
        <f>MAX(0,CEILING(ROUND($F146*Inputs!$B$12/30*Inputs!$B$7,6),1)-$E146)</f>
        <v/>
      </c>
      <c r="K146">
        <f>IF(AND($F146&gt;0,$E146&lt;=0),1,0)</f>
        <v/>
      </c>
      <c r="L146">
        <f>INDEX(Lots_Data!$S$2:$S$234,MATCH($A146,Lots_Data!$A$2:$A$234,0))</f>
        <v/>
      </c>
      <c r="M146">
        <f>INDEX(Lots_Data!$N$2:$N$234,MATCH($A146,Lots_Data!$A$2:$A$234,0))</f>
        <v/>
      </c>
      <c r="N146">
        <f>IF($F146=0,"n/a",IF($L146&gt;=$F146/30*$M146,"adequate","under-set"))</f>
        <v/>
      </c>
    </row>
    <row r="147">
      <c r="A147" t="inlineStr">
        <is>
          <t>SS-01144</t>
        </is>
      </c>
      <c r="B147">
        <f>INDEX(Lots_Data!$C$2:$C$234,MATCH($A147,Lots_Data!$A$2:$A$234,0))</f>
        <v/>
      </c>
      <c r="C147">
        <f>INDEX(Lots_Data!$E$2:$E$234,MATCH($A147,Lots_Data!$A$2:$A$234,0))</f>
        <v/>
      </c>
      <c r="D147">
        <f>INDEX(Lots_Data!$D$2:$D$234,MATCH($A147,Lots_Data!$A$2:$A$234,0))</f>
        <v/>
      </c>
      <c r="E147">
        <f>INDEX(Lots_Data!$K$2:$K$234,MATCH($A147,Lots_Data!$A$2:$A$234,0))</f>
        <v/>
      </c>
      <c r="F147">
        <f>INDEX(Usage_Summary!$C$4:$C$236,MATCH($A147,Usage_Summary!$A$4:$A$236,0))</f>
        <v/>
      </c>
      <c r="G147">
        <f>IF($F147&gt;0,$E147/$F147*30,"")</f>
        <v/>
      </c>
      <c r="H147">
        <f>MAX(0,CEILING(ROUND($F147*Inputs!$B$10/30*Inputs!$B$7,6),1)-$E147)</f>
        <v/>
      </c>
      <c r="I147">
        <f>MAX(0,CEILING(ROUND($F147*Inputs!$B$11/30*Inputs!$B$7,6),1)-$E147)</f>
        <v/>
      </c>
      <c r="J147">
        <f>MAX(0,CEILING(ROUND($F147*Inputs!$B$12/30*Inputs!$B$7,6),1)-$E147)</f>
        <v/>
      </c>
      <c r="K147">
        <f>IF(AND($F147&gt;0,$E147&lt;=0),1,0)</f>
        <v/>
      </c>
      <c r="L147">
        <f>INDEX(Lots_Data!$S$2:$S$234,MATCH($A147,Lots_Data!$A$2:$A$234,0))</f>
        <v/>
      </c>
      <c r="M147">
        <f>INDEX(Lots_Data!$N$2:$N$234,MATCH($A147,Lots_Data!$A$2:$A$234,0))</f>
        <v/>
      </c>
      <c r="N147">
        <f>IF($F147=0,"n/a",IF($L147&gt;=$F147/30*$M147,"adequate","under-set"))</f>
        <v/>
      </c>
    </row>
    <row r="148">
      <c r="A148" t="inlineStr">
        <is>
          <t>SS-01145</t>
        </is>
      </c>
      <c r="B148">
        <f>INDEX(Lots_Data!$C$2:$C$234,MATCH($A148,Lots_Data!$A$2:$A$234,0))</f>
        <v/>
      </c>
      <c r="C148">
        <f>INDEX(Lots_Data!$E$2:$E$234,MATCH($A148,Lots_Data!$A$2:$A$234,0))</f>
        <v/>
      </c>
      <c r="D148">
        <f>INDEX(Lots_Data!$D$2:$D$234,MATCH($A148,Lots_Data!$A$2:$A$234,0))</f>
        <v/>
      </c>
      <c r="E148">
        <f>INDEX(Lots_Data!$K$2:$K$234,MATCH($A148,Lots_Data!$A$2:$A$234,0))</f>
        <v/>
      </c>
      <c r="F148">
        <f>INDEX(Usage_Summary!$C$4:$C$236,MATCH($A148,Usage_Summary!$A$4:$A$236,0))</f>
        <v/>
      </c>
      <c r="G148">
        <f>IF($F148&gt;0,$E148/$F148*30,"")</f>
        <v/>
      </c>
      <c r="H148">
        <f>MAX(0,CEILING(ROUND($F148*Inputs!$B$10/30*Inputs!$B$7,6),1)-$E148)</f>
        <v/>
      </c>
      <c r="I148">
        <f>MAX(0,CEILING(ROUND($F148*Inputs!$B$11/30*Inputs!$B$7,6),1)-$E148)</f>
        <v/>
      </c>
      <c r="J148">
        <f>MAX(0,CEILING(ROUND($F148*Inputs!$B$12/30*Inputs!$B$7,6),1)-$E148)</f>
        <v/>
      </c>
      <c r="K148">
        <f>IF(AND($F148&gt;0,$E148&lt;=0),1,0)</f>
        <v/>
      </c>
      <c r="L148">
        <f>INDEX(Lots_Data!$S$2:$S$234,MATCH($A148,Lots_Data!$A$2:$A$234,0))</f>
        <v/>
      </c>
      <c r="M148">
        <f>INDEX(Lots_Data!$N$2:$N$234,MATCH($A148,Lots_Data!$A$2:$A$234,0))</f>
        <v/>
      </c>
      <c r="N148">
        <f>IF($F148=0,"n/a",IF($L148&gt;=$F148/30*$M148,"adequate","under-set"))</f>
        <v/>
      </c>
    </row>
    <row r="149">
      <c r="A149" t="inlineStr">
        <is>
          <t>SS-01146</t>
        </is>
      </c>
      <c r="B149">
        <f>INDEX(Lots_Data!$C$2:$C$234,MATCH($A149,Lots_Data!$A$2:$A$234,0))</f>
        <v/>
      </c>
      <c r="C149">
        <f>INDEX(Lots_Data!$E$2:$E$234,MATCH($A149,Lots_Data!$A$2:$A$234,0))</f>
        <v/>
      </c>
      <c r="D149">
        <f>INDEX(Lots_Data!$D$2:$D$234,MATCH($A149,Lots_Data!$A$2:$A$234,0))</f>
        <v/>
      </c>
      <c r="E149">
        <f>INDEX(Lots_Data!$K$2:$K$234,MATCH($A149,Lots_Data!$A$2:$A$234,0))</f>
        <v/>
      </c>
      <c r="F149">
        <f>INDEX(Usage_Summary!$C$4:$C$236,MATCH($A149,Usage_Summary!$A$4:$A$236,0))</f>
        <v/>
      </c>
      <c r="G149">
        <f>IF($F149&gt;0,$E149/$F149*30,"")</f>
        <v/>
      </c>
      <c r="H149">
        <f>MAX(0,CEILING(ROUND($F149*Inputs!$B$10/30*Inputs!$B$7,6),1)-$E149)</f>
        <v/>
      </c>
      <c r="I149">
        <f>MAX(0,CEILING(ROUND($F149*Inputs!$B$11/30*Inputs!$B$7,6),1)-$E149)</f>
        <v/>
      </c>
      <c r="J149">
        <f>MAX(0,CEILING(ROUND($F149*Inputs!$B$12/30*Inputs!$B$7,6),1)-$E149)</f>
        <v/>
      </c>
      <c r="K149">
        <f>IF(AND($F149&gt;0,$E149&lt;=0),1,0)</f>
        <v/>
      </c>
      <c r="L149">
        <f>INDEX(Lots_Data!$S$2:$S$234,MATCH($A149,Lots_Data!$A$2:$A$234,0))</f>
        <v/>
      </c>
      <c r="M149">
        <f>INDEX(Lots_Data!$N$2:$N$234,MATCH($A149,Lots_Data!$A$2:$A$234,0))</f>
        <v/>
      </c>
      <c r="N149">
        <f>IF($F149=0,"n/a",IF($L149&gt;=$F149/30*$M149,"adequate","under-set"))</f>
        <v/>
      </c>
    </row>
    <row r="150">
      <c r="A150" t="inlineStr">
        <is>
          <t>SS-01147</t>
        </is>
      </c>
      <c r="B150">
        <f>INDEX(Lots_Data!$C$2:$C$234,MATCH($A150,Lots_Data!$A$2:$A$234,0))</f>
        <v/>
      </c>
      <c r="C150">
        <f>INDEX(Lots_Data!$E$2:$E$234,MATCH($A150,Lots_Data!$A$2:$A$234,0))</f>
        <v/>
      </c>
      <c r="D150">
        <f>INDEX(Lots_Data!$D$2:$D$234,MATCH($A150,Lots_Data!$A$2:$A$234,0))</f>
        <v/>
      </c>
      <c r="E150">
        <f>INDEX(Lots_Data!$K$2:$K$234,MATCH($A150,Lots_Data!$A$2:$A$234,0))</f>
        <v/>
      </c>
      <c r="F150">
        <f>INDEX(Usage_Summary!$C$4:$C$236,MATCH($A150,Usage_Summary!$A$4:$A$236,0))</f>
        <v/>
      </c>
      <c r="G150">
        <f>IF($F150&gt;0,$E150/$F150*30,"")</f>
        <v/>
      </c>
      <c r="H150">
        <f>MAX(0,CEILING(ROUND($F150*Inputs!$B$10/30*Inputs!$B$7,6),1)-$E150)</f>
        <v/>
      </c>
      <c r="I150">
        <f>MAX(0,CEILING(ROUND($F150*Inputs!$B$11/30*Inputs!$B$7,6),1)-$E150)</f>
        <v/>
      </c>
      <c r="J150">
        <f>MAX(0,CEILING(ROUND($F150*Inputs!$B$12/30*Inputs!$B$7,6),1)-$E150)</f>
        <v/>
      </c>
      <c r="K150">
        <f>IF(AND($F150&gt;0,$E150&lt;=0),1,0)</f>
        <v/>
      </c>
      <c r="L150">
        <f>INDEX(Lots_Data!$S$2:$S$234,MATCH($A150,Lots_Data!$A$2:$A$234,0))</f>
        <v/>
      </c>
      <c r="M150">
        <f>INDEX(Lots_Data!$N$2:$N$234,MATCH($A150,Lots_Data!$A$2:$A$234,0))</f>
        <v/>
      </c>
      <c r="N150">
        <f>IF($F150=0,"n/a",IF($L150&gt;=$F150/30*$M150,"adequate","under-set"))</f>
        <v/>
      </c>
    </row>
    <row r="151">
      <c r="A151" t="inlineStr">
        <is>
          <t>SS-01148</t>
        </is>
      </c>
      <c r="B151">
        <f>INDEX(Lots_Data!$C$2:$C$234,MATCH($A151,Lots_Data!$A$2:$A$234,0))</f>
        <v/>
      </c>
      <c r="C151">
        <f>INDEX(Lots_Data!$E$2:$E$234,MATCH($A151,Lots_Data!$A$2:$A$234,0))</f>
        <v/>
      </c>
      <c r="D151">
        <f>INDEX(Lots_Data!$D$2:$D$234,MATCH($A151,Lots_Data!$A$2:$A$234,0))</f>
        <v/>
      </c>
      <c r="E151">
        <f>INDEX(Lots_Data!$K$2:$K$234,MATCH($A151,Lots_Data!$A$2:$A$234,0))</f>
        <v/>
      </c>
      <c r="F151">
        <f>INDEX(Usage_Summary!$C$4:$C$236,MATCH($A151,Usage_Summary!$A$4:$A$236,0))</f>
        <v/>
      </c>
      <c r="G151">
        <f>IF($F151&gt;0,$E151/$F151*30,"")</f>
        <v/>
      </c>
      <c r="H151">
        <f>MAX(0,CEILING(ROUND($F151*Inputs!$B$10/30*Inputs!$B$7,6),1)-$E151)</f>
        <v/>
      </c>
      <c r="I151">
        <f>MAX(0,CEILING(ROUND($F151*Inputs!$B$11/30*Inputs!$B$7,6),1)-$E151)</f>
        <v/>
      </c>
      <c r="J151">
        <f>MAX(0,CEILING(ROUND($F151*Inputs!$B$12/30*Inputs!$B$7,6),1)-$E151)</f>
        <v/>
      </c>
      <c r="K151">
        <f>IF(AND($F151&gt;0,$E151&lt;=0),1,0)</f>
        <v/>
      </c>
      <c r="L151">
        <f>INDEX(Lots_Data!$S$2:$S$234,MATCH($A151,Lots_Data!$A$2:$A$234,0))</f>
        <v/>
      </c>
      <c r="M151">
        <f>INDEX(Lots_Data!$N$2:$N$234,MATCH($A151,Lots_Data!$A$2:$A$234,0))</f>
        <v/>
      </c>
      <c r="N151">
        <f>IF($F151=0,"n/a",IF($L151&gt;=$F151/30*$M151,"adequate","under-set"))</f>
        <v/>
      </c>
    </row>
    <row r="152">
      <c r="A152" t="inlineStr">
        <is>
          <t>SS-01149</t>
        </is>
      </c>
      <c r="B152">
        <f>INDEX(Lots_Data!$C$2:$C$234,MATCH($A152,Lots_Data!$A$2:$A$234,0))</f>
        <v/>
      </c>
      <c r="C152">
        <f>INDEX(Lots_Data!$E$2:$E$234,MATCH($A152,Lots_Data!$A$2:$A$234,0))</f>
        <v/>
      </c>
      <c r="D152">
        <f>INDEX(Lots_Data!$D$2:$D$234,MATCH($A152,Lots_Data!$A$2:$A$234,0))</f>
        <v/>
      </c>
      <c r="E152">
        <f>INDEX(Lots_Data!$K$2:$K$234,MATCH($A152,Lots_Data!$A$2:$A$234,0))</f>
        <v/>
      </c>
      <c r="F152">
        <f>INDEX(Usage_Summary!$C$4:$C$236,MATCH($A152,Usage_Summary!$A$4:$A$236,0))</f>
        <v/>
      </c>
      <c r="G152">
        <f>IF($F152&gt;0,$E152/$F152*30,"")</f>
        <v/>
      </c>
      <c r="H152">
        <f>MAX(0,CEILING(ROUND($F152*Inputs!$B$10/30*Inputs!$B$7,6),1)-$E152)</f>
        <v/>
      </c>
      <c r="I152">
        <f>MAX(0,CEILING(ROUND($F152*Inputs!$B$11/30*Inputs!$B$7,6),1)-$E152)</f>
        <v/>
      </c>
      <c r="J152">
        <f>MAX(0,CEILING(ROUND($F152*Inputs!$B$12/30*Inputs!$B$7,6),1)-$E152)</f>
        <v/>
      </c>
      <c r="K152">
        <f>IF(AND($F152&gt;0,$E152&lt;=0),1,0)</f>
        <v/>
      </c>
      <c r="L152">
        <f>INDEX(Lots_Data!$S$2:$S$234,MATCH($A152,Lots_Data!$A$2:$A$234,0))</f>
        <v/>
      </c>
      <c r="M152">
        <f>INDEX(Lots_Data!$N$2:$N$234,MATCH($A152,Lots_Data!$A$2:$A$234,0))</f>
        <v/>
      </c>
      <c r="N152">
        <f>IF($F152=0,"n/a",IF($L152&gt;=$F152/30*$M152,"adequate","under-set"))</f>
        <v/>
      </c>
    </row>
    <row r="153">
      <c r="A153" t="inlineStr">
        <is>
          <t>SS-01150</t>
        </is>
      </c>
      <c r="B153">
        <f>INDEX(Lots_Data!$C$2:$C$234,MATCH($A153,Lots_Data!$A$2:$A$234,0))</f>
        <v/>
      </c>
      <c r="C153">
        <f>INDEX(Lots_Data!$E$2:$E$234,MATCH($A153,Lots_Data!$A$2:$A$234,0))</f>
        <v/>
      </c>
      <c r="D153">
        <f>INDEX(Lots_Data!$D$2:$D$234,MATCH($A153,Lots_Data!$A$2:$A$234,0))</f>
        <v/>
      </c>
      <c r="E153">
        <f>INDEX(Lots_Data!$K$2:$K$234,MATCH($A153,Lots_Data!$A$2:$A$234,0))</f>
        <v/>
      </c>
      <c r="F153">
        <f>INDEX(Usage_Summary!$C$4:$C$236,MATCH($A153,Usage_Summary!$A$4:$A$236,0))</f>
        <v/>
      </c>
      <c r="G153">
        <f>IF($F153&gt;0,$E153/$F153*30,"")</f>
        <v/>
      </c>
      <c r="H153">
        <f>MAX(0,CEILING(ROUND($F153*Inputs!$B$10/30*Inputs!$B$7,6),1)-$E153)</f>
        <v/>
      </c>
      <c r="I153">
        <f>MAX(0,CEILING(ROUND($F153*Inputs!$B$11/30*Inputs!$B$7,6),1)-$E153)</f>
        <v/>
      </c>
      <c r="J153">
        <f>MAX(0,CEILING(ROUND($F153*Inputs!$B$12/30*Inputs!$B$7,6),1)-$E153)</f>
        <v/>
      </c>
      <c r="K153">
        <f>IF(AND($F153&gt;0,$E153&lt;=0),1,0)</f>
        <v/>
      </c>
      <c r="L153">
        <f>INDEX(Lots_Data!$S$2:$S$234,MATCH($A153,Lots_Data!$A$2:$A$234,0))</f>
        <v/>
      </c>
      <c r="M153">
        <f>INDEX(Lots_Data!$N$2:$N$234,MATCH($A153,Lots_Data!$A$2:$A$234,0))</f>
        <v/>
      </c>
      <c r="N153">
        <f>IF($F153=0,"n/a",IF($L153&gt;=$F153/30*$M153,"adequate","under-set"))</f>
        <v/>
      </c>
    </row>
    <row r="154">
      <c r="A154" t="inlineStr">
        <is>
          <t>SS-01151</t>
        </is>
      </c>
      <c r="B154">
        <f>INDEX(Lots_Data!$C$2:$C$234,MATCH($A154,Lots_Data!$A$2:$A$234,0))</f>
        <v/>
      </c>
      <c r="C154">
        <f>INDEX(Lots_Data!$E$2:$E$234,MATCH($A154,Lots_Data!$A$2:$A$234,0))</f>
        <v/>
      </c>
      <c r="D154">
        <f>INDEX(Lots_Data!$D$2:$D$234,MATCH($A154,Lots_Data!$A$2:$A$234,0))</f>
        <v/>
      </c>
      <c r="E154">
        <f>INDEX(Lots_Data!$K$2:$K$234,MATCH($A154,Lots_Data!$A$2:$A$234,0))</f>
        <v/>
      </c>
      <c r="F154">
        <f>INDEX(Usage_Summary!$C$4:$C$236,MATCH($A154,Usage_Summary!$A$4:$A$236,0))</f>
        <v/>
      </c>
      <c r="G154">
        <f>IF($F154&gt;0,$E154/$F154*30,"")</f>
        <v/>
      </c>
      <c r="H154">
        <f>MAX(0,CEILING(ROUND($F154*Inputs!$B$10/30*Inputs!$B$7,6),1)-$E154)</f>
        <v/>
      </c>
      <c r="I154">
        <f>MAX(0,CEILING(ROUND($F154*Inputs!$B$11/30*Inputs!$B$7,6),1)-$E154)</f>
        <v/>
      </c>
      <c r="J154">
        <f>MAX(0,CEILING(ROUND($F154*Inputs!$B$12/30*Inputs!$B$7,6),1)-$E154)</f>
        <v/>
      </c>
      <c r="K154">
        <f>IF(AND($F154&gt;0,$E154&lt;=0),1,0)</f>
        <v/>
      </c>
      <c r="L154">
        <f>INDEX(Lots_Data!$S$2:$S$234,MATCH($A154,Lots_Data!$A$2:$A$234,0))</f>
        <v/>
      </c>
      <c r="M154">
        <f>INDEX(Lots_Data!$N$2:$N$234,MATCH($A154,Lots_Data!$A$2:$A$234,0))</f>
        <v/>
      </c>
      <c r="N154">
        <f>IF($F154=0,"n/a",IF($L154&gt;=$F154/30*$M154,"adequate","under-set"))</f>
        <v/>
      </c>
    </row>
    <row r="155">
      <c r="A155" t="inlineStr">
        <is>
          <t>SS-01152</t>
        </is>
      </c>
      <c r="B155">
        <f>INDEX(Lots_Data!$C$2:$C$234,MATCH($A155,Lots_Data!$A$2:$A$234,0))</f>
        <v/>
      </c>
      <c r="C155">
        <f>INDEX(Lots_Data!$E$2:$E$234,MATCH($A155,Lots_Data!$A$2:$A$234,0))</f>
        <v/>
      </c>
      <c r="D155">
        <f>INDEX(Lots_Data!$D$2:$D$234,MATCH($A155,Lots_Data!$A$2:$A$234,0))</f>
        <v/>
      </c>
      <c r="E155">
        <f>INDEX(Lots_Data!$K$2:$K$234,MATCH($A155,Lots_Data!$A$2:$A$234,0))</f>
        <v/>
      </c>
      <c r="F155">
        <f>INDEX(Usage_Summary!$C$4:$C$236,MATCH($A155,Usage_Summary!$A$4:$A$236,0))</f>
        <v/>
      </c>
      <c r="G155">
        <f>IF($F155&gt;0,$E155/$F155*30,"")</f>
        <v/>
      </c>
      <c r="H155">
        <f>MAX(0,CEILING(ROUND($F155*Inputs!$B$10/30*Inputs!$B$7,6),1)-$E155)</f>
        <v/>
      </c>
      <c r="I155">
        <f>MAX(0,CEILING(ROUND($F155*Inputs!$B$11/30*Inputs!$B$7,6),1)-$E155)</f>
        <v/>
      </c>
      <c r="J155">
        <f>MAX(0,CEILING(ROUND($F155*Inputs!$B$12/30*Inputs!$B$7,6),1)-$E155)</f>
        <v/>
      </c>
      <c r="K155">
        <f>IF(AND($F155&gt;0,$E155&lt;=0),1,0)</f>
        <v/>
      </c>
      <c r="L155">
        <f>INDEX(Lots_Data!$S$2:$S$234,MATCH($A155,Lots_Data!$A$2:$A$234,0))</f>
        <v/>
      </c>
      <c r="M155">
        <f>INDEX(Lots_Data!$N$2:$N$234,MATCH($A155,Lots_Data!$A$2:$A$234,0))</f>
        <v/>
      </c>
      <c r="N155">
        <f>IF($F155=0,"n/a",IF($L155&gt;=$F155/30*$M155,"adequate","under-set"))</f>
        <v/>
      </c>
    </row>
    <row r="156">
      <c r="A156" t="inlineStr">
        <is>
          <t>SS-01153</t>
        </is>
      </c>
      <c r="B156">
        <f>INDEX(Lots_Data!$C$2:$C$234,MATCH($A156,Lots_Data!$A$2:$A$234,0))</f>
        <v/>
      </c>
      <c r="C156">
        <f>INDEX(Lots_Data!$E$2:$E$234,MATCH($A156,Lots_Data!$A$2:$A$234,0))</f>
        <v/>
      </c>
      <c r="D156">
        <f>INDEX(Lots_Data!$D$2:$D$234,MATCH($A156,Lots_Data!$A$2:$A$234,0))</f>
        <v/>
      </c>
      <c r="E156">
        <f>INDEX(Lots_Data!$K$2:$K$234,MATCH($A156,Lots_Data!$A$2:$A$234,0))</f>
        <v/>
      </c>
      <c r="F156">
        <f>INDEX(Usage_Summary!$C$4:$C$236,MATCH($A156,Usage_Summary!$A$4:$A$236,0))</f>
        <v/>
      </c>
      <c r="G156">
        <f>IF($F156&gt;0,$E156/$F156*30,"")</f>
        <v/>
      </c>
      <c r="H156">
        <f>MAX(0,CEILING(ROUND($F156*Inputs!$B$10/30*Inputs!$B$7,6),1)-$E156)</f>
        <v/>
      </c>
      <c r="I156">
        <f>MAX(0,CEILING(ROUND($F156*Inputs!$B$11/30*Inputs!$B$7,6),1)-$E156)</f>
        <v/>
      </c>
      <c r="J156">
        <f>MAX(0,CEILING(ROUND($F156*Inputs!$B$12/30*Inputs!$B$7,6),1)-$E156)</f>
        <v/>
      </c>
      <c r="K156">
        <f>IF(AND($F156&gt;0,$E156&lt;=0),1,0)</f>
        <v/>
      </c>
      <c r="L156">
        <f>INDEX(Lots_Data!$S$2:$S$234,MATCH($A156,Lots_Data!$A$2:$A$234,0))</f>
        <v/>
      </c>
      <c r="M156">
        <f>INDEX(Lots_Data!$N$2:$N$234,MATCH($A156,Lots_Data!$A$2:$A$234,0))</f>
        <v/>
      </c>
      <c r="N156">
        <f>IF($F156=0,"n/a",IF($L156&gt;=$F156/30*$M156,"adequate","under-set"))</f>
        <v/>
      </c>
    </row>
    <row r="157">
      <c r="A157" t="inlineStr">
        <is>
          <t>SS-01154</t>
        </is>
      </c>
      <c r="B157">
        <f>INDEX(Lots_Data!$C$2:$C$234,MATCH($A157,Lots_Data!$A$2:$A$234,0))</f>
        <v/>
      </c>
      <c r="C157">
        <f>INDEX(Lots_Data!$E$2:$E$234,MATCH($A157,Lots_Data!$A$2:$A$234,0))</f>
        <v/>
      </c>
      <c r="D157">
        <f>INDEX(Lots_Data!$D$2:$D$234,MATCH($A157,Lots_Data!$A$2:$A$234,0))</f>
        <v/>
      </c>
      <c r="E157">
        <f>INDEX(Lots_Data!$K$2:$K$234,MATCH($A157,Lots_Data!$A$2:$A$234,0))</f>
        <v/>
      </c>
      <c r="F157">
        <f>INDEX(Usage_Summary!$C$4:$C$236,MATCH($A157,Usage_Summary!$A$4:$A$236,0))</f>
        <v/>
      </c>
      <c r="G157">
        <f>IF($F157&gt;0,$E157/$F157*30,"")</f>
        <v/>
      </c>
      <c r="H157">
        <f>MAX(0,CEILING(ROUND($F157*Inputs!$B$10/30*Inputs!$B$7,6),1)-$E157)</f>
        <v/>
      </c>
      <c r="I157">
        <f>MAX(0,CEILING(ROUND($F157*Inputs!$B$11/30*Inputs!$B$7,6),1)-$E157)</f>
        <v/>
      </c>
      <c r="J157">
        <f>MAX(0,CEILING(ROUND($F157*Inputs!$B$12/30*Inputs!$B$7,6),1)-$E157)</f>
        <v/>
      </c>
      <c r="K157">
        <f>IF(AND($F157&gt;0,$E157&lt;=0),1,0)</f>
        <v/>
      </c>
      <c r="L157">
        <f>INDEX(Lots_Data!$S$2:$S$234,MATCH($A157,Lots_Data!$A$2:$A$234,0))</f>
        <v/>
      </c>
      <c r="M157">
        <f>INDEX(Lots_Data!$N$2:$N$234,MATCH($A157,Lots_Data!$A$2:$A$234,0))</f>
        <v/>
      </c>
      <c r="N157">
        <f>IF($F157=0,"n/a",IF($L157&gt;=$F157/30*$M157,"adequate","under-set"))</f>
        <v/>
      </c>
    </row>
    <row r="158">
      <c r="A158" t="inlineStr">
        <is>
          <t>SS-01155</t>
        </is>
      </c>
      <c r="B158">
        <f>INDEX(Lots_Data!$C$2:$C$234,MATCH($A158,Lots_Data!$A$2:$A$234,0))</f>
        <v/>
      </c>
      <c r="C158">
        <f>INDEX(Lots_Data!$E$2:$E$234,MATCH($A158,Lots_Data!$A$2:$A$234,0))</f>
        <v/>
      </c>
      <c r="D158">
        <f>INDEX(Lots_Data!$D$2:$D$234,MATCH($A158,Lots_Data!$A$2:$A$234,0))</f>
        <v/>
      </c>
      <c r="E158">
        <f>INDEX(Lots_Data!$K$2:$K$234,MATCH($A158,Lots_Data!$A$2:$A$234,0))</f>
        <v/>
      </c>
      <c r="F158">
        <f>INDEX(Usage_Summary!$C$4:$C$236,MATCH($A158,Usage_Summary!$A$4:$A$236,0))</f>
        <v/>
      </c>
      <c r="G158">
        <f>IF($F158&gt;0,$E158/$F158*30,"")</f>
        <v/>
      </c>
      <c r="H158">
        <f>MAX(0,CEILING(ROUND($F158*Inputs!$B$10/30*Inputs!$B$7,6),1)-$E158)</f>
        <v/>
      </c>
      <c r="I158">
        <f>MAX(0,CEILING(ROUND($F158*Inputs!$B$11/30*Inputs!$B$7,6),1)-$E158)</f>
        <v/>
      </c>
      <c r="J158">
        <f>MAX(0,CEILING(ROUND($F158*Inputs!$B$12/30*Inputs!$B$7,6),1)-$E158)</f>
        <v/>
      </c>
      <c r="K158">
        <f>IF(AND($F158&gt;0,$E158&lt;=0),1,0)</f>
        <v/>
      </c>
      <c r="L158">
        <f>INDEX(Lots_Data!$S$2:$S$234,MATCH($A158,Lots_Data!$A$2:$A$234,0))</f>
        <v/>
      </c>
      <c r="M158">
        <f>INDEX(Lots_Data!$N$2:$N$234,MATCH($A158,Lots_Data!$A$2:$A$234,0))</f>
        <v/>
      </c>
      <c r="N158">
        <f>IF($F158=0,"n/a",IF($L158&gt;=$F158/30*$M158,"adequate","under-set"))</f>
        <v/>
      </c>
    </row>
    <row r="159">
      <c r="A159" t="inlineStr">
        <is>
          <t>SS-01156</t>
        </is>
      </c>
      <c r="B159">
        <f>INDEX(Lots_Data!$C$2:$C$234,MATCH($A159,Lots_Data!$A$2:$A$234,0))</f>
        <v/>
      </c>
      <c r="C159">
        <f>INDEX(Lots_Data!$E$2:$E$234,MATCH($A159,Lots_Data!$A$2:$A$234,0))</f>
        <v/>
      </c>
      <c r="D159">
        <f>INDEX(Lots_Data!$D$2:$D$234,MATCH($A159,Lots_Data!$A$2:$A$234,0))</f>
        <v/>
      </c>
      <c r="E159">
        <f>INDEX(Lots_Data!$K$2:$K$234,MATCH($A159,Lots_Data!$A$2:$A$234,0))</f>
        <v/>
      </c>
      <c r="F159">
        <f>INDEX(Usage_Summary!$C$4:$C$236,MATCH($A159,Usage_Summary!$A$4:$A$236,0))</f>
        <v/>
      </c>
      <c r="G159">
        <f>IF($F159&gt;0,$E159/$F159*30,"")</f>
        <v/>
      </c>
      <c r="H159">
        <f>MAX(0,CEILING(ROUND($F159*Inputs!$B$10/30*Inputs!$B$7,6),1)-$E159)</f>
        <v/>
      </c>
      <c r="I159">
        <f>MAX(0,CEILING(ROUND($F159*Inputs!$B$11/30*Inputs!$B$7,6),1)-$E159)</f>
        <v/>
      </c>
      <c r="J159">
        <f>MAX(0,CEILING(ROUND($F159*Inputs!$B$12/30*Inputs!$B$7,6),1)-$E159)</f>
        <v/>
      </c>
      <c r="K159">
        <f>IF(AND($F159&gt;0,$E159&lt;=0),1,0)</f>
        <v/>
      </c>
      <c r="L159">
        <f>INDEX(Lots_Data!$S$2:$S$234,MATCH($A159,Lots_Data!$A$2:$A$234,0))</f>
        <v/>
      </c>
      <c r="M159">
        <f>INDEX(Lots_Data!$N$2:$N$234,MATCH($A159,Lots_Data!$A$2:$A$234,0))</f>
        <v/>
      </c>
      <c r="N159">
        <f>IF($F159=0,"n/a",IF($L159&gt;=$F159/30*$M159,"adequate","under-set"))</f>
        <v/>
      </c>
    </row>
    <row r="160">
      <c r="A160" t="inlineStr">
        <is>
          <t>SS-01157</t>
        </is>
      </c>
      <c r="B160">
        <f>INDEX(Lots_Data!$C$2:$C$234,MATCH($A160,Lots_Data!$A$2:$A$234,0))</f>
        <v/>
      </c>
      <c r="C160">
        <f>INDEX(Lots_Data!$E$2:$E$234,MATCH($A160,Lots_Data!$A$2:$A$234,0))</f>
        <v/>
      </c>
      <c r="D160">
        <f>INDEX(Lots_Data!$D$2:$D$234,MATCH($A160,Lots_Data!$A$2:$A$234,0))</f>
        <v/>
      </c>
      <c r="E160">
        <f>INDEX(Lots_Data!$K$2:$K$234,MATCH($A160,Lots_Data!$A$2:$A$234,0))</f>
        <v/>
      </c>
      <c r="F160">
        <f>INDEX(Usage_Summary!$C$4:$C$236,MATCH($A160,Usage_Summary!$A$4:$A$236,0))</f>
        <v/>
      </c>
      <c r="G160">
        <f>IF($F160&gt;0,$E160/$F160*30,"")</f>
        <v/>
      </c>
      <c r="H160">
        <f>MAX(0,CEILING(ROUND($F160*Inputs!$B$10/30*Inputs!$B$7,6),1)-$E160)</f>
        <v/>
      </c>
      <c r="I160">
        <f>MAX(0,CEILING(ROUND($F160*Inputs!$B$11/30*Inputs!$B$7,6),1)-$E160)</f>
        <v/>
      </c>
      <c r="J160">
        <f>MAX(0,CEILING(ROUND($F160*Inputs!$B$12/30*Inputs!$B$7,6),1)-$E160)</f>
        <v/>
      </c>
      <c r="K160">
        <f>IF(AND($F160&gt;0,$E160&lt;=0),1,0)</f>
        <v/>
      </c>
      <c r="L160">
        <f>INDEX(Lots_Data!$S$2:$S$234,MATCH($A160,Lots_Data!$A$2:$A$234,0))</f>
        <v/>
      </c>
      <c r="M160">
        <f>INDEX(Lots_Data!$N$2:$N$234,MATCH($A160,Lots_Data!$A$2:$A$234,0))</f>
        <v/>
      </c>
      <c r="N160">
        <f>IF($F160=0,"n/a",IF($L160&gt;=$F160/30*$M160,"adequate","under-set"))</f>
        <v/>
      </c>
    </row>
    <row r="161">
      <c r="A161" t="inlineStr">
        <is>
          <t>SS-01158</t>
        </is>
      </c>
      <c r="B161">
        <f>INDEX(Lots_Data!$C$2:$C$234,MATCH($A161,Lots_Data!$A$2:$A$234,0))</f>
        <v/>
      </c>
      <c r="C161">
        <f>INDEX(Lots_Data!$E$2:$E$234,MATCH($A161,Lots_Data!$A$2:$A$234,0))</f>
        <v/>
      </c>
      <c r="D161">
        <f>INDEX(Lots_Data!$D$2:$D$234,MATCH($A161,Lots_Data!$A$2:$A$234,0))</f>
        <v/>
      </c>
      <c r="E161">
        <f>INDEX(Lots_Data!$K$2:$K$234,MATCH($A161,Lots_Data!$A$2:$A$234,0))</f>
        <v/>
      </c>
      <c r="F161">
        <f>INDEX(Usage_Summary!$C$4:$C$236,MATCH($A161,Usage_Summary!$A$4:$A$236,0))</f>
        <v/>
      </c>
      <c r="G161">
        <f>IF($F161&gt;0,$E161/$F161*30,"")</f>
        <v/>
      </c>
      <c r="H161">
        <f>MAX(0,CEILING(ROUND($F161*Inputs!$B$10/30*Inputs!$B$7,6),1)-$E161)</f>
        <v/>
      </c>
      <c r="I161">
        <f>MAX(0,CEILING(ROUND($F161*Inputs!$B$11/30*Inputs!$B$7,6),1)-$E161)</f>
        <v/>
      </c>
      <c r="J161">
        <f>MAX(0,CEILING(ROUND($F161*Inputs!$B$12/30*Inputs!$B$7,6),1)-$E161)</f>
        <v/>
      </c>
      <c r="K161">
        <f>IF(AND($F161&gt;0,$E161&lt;=0),1,0)</f>
        <v/>
      </c>
      <c r="L161">
        <f>INDEX(Lots_Data!$S$2:$S$234,MATCH($A161,Lots_Data!$A$2:$A$234,0))</f>
        <v/>
      </c>
      <c r="M161">
        <f>INDEX(Lots_Data!$N$2:$N$234,MATCH($A161,Lots_Data!$A$2:$A$234,0))</f>
        <v/>
      </c>
      <c r="N161">
        <f>IF($F161=0,"n/a",IF($L161&gt;=$F161/30*$M161,"adequate","under-set"))</f>
        <v/>
      </c>
    </row>
    <row r="162">
      <c r="A162" t="inlineStr">
        <is>
          <t>SS-01159</t>
        </is>
      </c>
      <c r="B162">
        <f>INDEX(Lots_Data!$C$2:$C$234,MATCH($A162,Lots_Data!$A$2:$A$234,0))</f>
        <v/>
      </c>
      <c r="C162">
        <f>INDEX(Lots_Data!$E$2:$E$234,MATCH($A162,Lots_Data!$A$2:$A$234,0))</f>
        <v/>
      </c>
      <c r="D162">
        <f>INDEX(Lots_Data!$D$2:$D$234,MATCH($A162,Lots_Data!$A$2:$A$234,0))</f>
        <v/>
      </c>
      <c r="E162">
        <f>INDEX(Lots_Data!$K$2:$K$234,MATCH($A162,Lots_Data!$A$2:$A$234,0))</f>
        <v/>
      </c>
      <c r="F162">
        <f>INDEX(Usage_Summary!$C$4:$C$236,MATCH($A162,Usage_Summary!$A$4:$A$236,0))</f>
        <v/>
      </c>
      <c r="G162">
        <f>IF($F162&gt;0,$E162/$F162*30,"")</f>
        <v/>
      </c>
      <c r="H162">
        <f>MAX(0,CEILING(ROUND($F162*Inputs!$B$10/30*Inputs!$B$7,6),1)-$E162)</f>
        <v/>
      </c>
      <c r="I162">
        <f>MAX(0,CEILING(ROUND($F162*Inputs!$B$11/30*Inputs!$B$7,6),1)-$E162)</f>
        <v/>
      </c>
      <c r="J162">
        <f>MAX(0,CEILING(ROUND($F162*Inputs!$B$12/30*Inputs!$B$7,6),1)-$E162)</f>
        <v/>
      </c>
      <c r="K162">
        <f>IF(AND($F162&gt;0,$E162&lt;=0),1,0)</f>
        <v/>
      </c>
      <c r="L162">
        <f>INDEX(Lots_Data!$S$2:$S$234,MATCH($A162,Lots_Data!$A$2:$A$234,0))</f>
        <v/>
      </c>
      <c r="M162">
        <f>INDEX(Lots_Data!$N$2:$N$234,MATCH($A162,Lots_Data!$A$2:$A$234,0))</f>
        <v/>
      </c>
      <c r="N162">
        <f>IF($F162=0,"n/a",IF($L162&gt;=$F162/30*$M162,"adequate","under-set"))</f>
        <v/>
      </c>
    </row>
    <row r="163">
      <c r="A163" t="inlineStr">
        <is>
          <t>SS-01160</t>
        </is>
      </c>
      <c r="B163">
        <f>INDEX(Lots_Data!$C$2:$C$234,MATCH($A163,Lots_Data!$A$2:$A$234,0))</f>
        <v/>
      </c>
      <c r="C163">
        <f>INDEX(Lots_Data!$E$2:$E$234,MATCH($A163,Lots_Data!$A$2:$A$234,0))</f>
        <v/>
      </c>
      <c r="D163">
        <f>INDEX(Lots_Data!$D$2:$D$234,MATCH($A163,Lots_Data!$A$2:$A$234,0))</f>
        <v/>
      </c>
      <c r="E163">
        <f>INDEX(Lots_Data!$K$2:$K$234,MATCH($A163,Lots_Data!$A$2:$A$234,0))</f>
        <v/>
      </c>
      <c r="F163">
        <f>INDEX(Usage_Summary!$C$4:$C$236,MATCH($A163,Usage_Summary!$A$4:$A$236,0))</f>
        <v/>
      </c>
      <c r="G163">
        <f>IF($F163&gt;0,$E163/$F163*30,"")</f>
        <v/>
      </c>
      <c r="H163">
        <f>MAX(0,CEILING(ROUND($F163*Inputs!$B$10/30*Inputs!$B$7,6),1)-$E163)</f>
        <v/>
      </c>
      <c r="I163">
        <f>MAX(0,CEILING(ROUND($F163*Inputs!$B$11/30*Inputs!$B$7,6),1)-$E163)</f>
        <v/>
      </c>
      <c r="J163">
        <f>MAX(0,CEILING(ROUND($F163*Inputs!$B$12/30*Inputs!$B$7,6),1)-$E163)</f>
        <v/>
      </c>
      <c r="K163">
        <f>IF(AND($F163&gt;0,$E163&lt;=0),1,0)</f>
        <v/>
      </c>
      <c r="L163">
        <f>INDEX(Lots_Data!$S$2:$S$234,MATCH($A163,Lots_Data!$A$2:$A$234,0))</f>
        <v/>
      </c>
      <c r="M163">
        <f>INDEX(Lots_Data!$N$2:$N$234,MATCH($A163,Lots_Data!$A$2:$A$234,0))</f>
        <v/>
      </c>
      <c r="N163">
        <f>IF($F163=0,"n/a",IF($L163&gt;=$F163/30*$M163,"adequate","under-set"))</f>
        <v/>
      </c>
    </row>
    <row r="164">
      <c r="A164" t="inlineStr">
        <is>
          <t>SS-01161</t>
        </is>
      </c>
      <c r="B164">
        <f>INDEX(Lots_Data!$C$2:$C$234,MATCH($A164,Lots_Data!$A$2:$A$234,0))</f>
        <v/>
      </c>
      <c r="C164">
        <f>INDEX(Lots_Data!$E$2:$E$234,MATCH($A164,Lots_Data!$A$2:$A$234,0))</f>
        <v/>
      </c>
      <c r="D164">
        <f>INDEX(Lots_Data!$D$2:$D$234,MATCH($A164,Lots_Data!$A$2:$A$234,0))</f>
        <v/>
      </c>
      <c r="E164">
        <f>INDEX(Lots_Data!$K$2:$K$234,MATCH($A164,Lots_Data!$A$2:$A$234,0))</f>
        <v/>
      </c>
      <c r="F164">
        <f>INDEX(Usage_Summary!$C$4:$C$236,MATCH($A164,Usage_Summary!$A$4:$A$236,0))</f>
        <v/>
      </c>
      <c r="G164">
        <f>IF($F164&gt;0,$E164/$F164*30,"")</f>
        <v/>
      </c>
      <c r="H164">
        <f>MAX(0,CEILING(ROUND($F164*Inputs!$B$10/30*Inputs!$B$7,6),1)-$E164)</f>
        <v/>
      </c>
      <c r="I164">
        <f>MAX(0,CEILING(ROUND($F164*Inputs!$B$11/30*Inputs!$B$7,6),1)-$E164)</f>
        <v/>
      </c>
      <c r="J164">
        <f>MAX(0,CEILING(ROUND($F164*Inputs!$B$12/30*Inputs!$B$7,6),1)-$E164)</f>
        <v/>
      </c>
      <c r="K164">
        <f>IF(AND($F164&gt;0,$E164&lt;=0),1,0)</f>
        <v/>
      </c>
      <c r="L164">
        <f>INDEX(Lots_Data!$S$2:$S$234,MATCH($A164,Lots_Data!$A$2:$A$234,0))</f>
        <v/>
      </c>
      <c r="M164">
        <f>INDEX(Lots_Data!$N$2:$N$234,MATCH($A164,Lots_Data!$A$2:$A$234,0))</f>
        <v/>
      </c>
      <c r="N164">
        <f>IF($F164=0,"n/a",IF($L164&gt;=$F164/30*$M164,"adequate","under-set"))</f>
        <v/>
      </c>
    </row>
    <row r="165">
      <c r="A165" t="inlineStr">
        <is>
          <t>SS-01162</t>
        </is>
      </c>
      <c r="B165">
        <f>INDEX(Lots_Data!$C$2:$C$234,MATCH($A165,Lots_Data!$A$2:$A$234,0))</f>
        <v/>
      </c>
      <c r="C165">
        <f>INDEX(Lots_Data!$E$2:$E$234,MATCH($A165,Lots_Data!$A$2:$A$234,0))</f>
        <v/>
      </c>
      <c r="D165">
        <f>INDEX(Lots_Data!$D$2:$D$234,MATCH($A165,Lots_Data!$A$2:$A$234,0))</f>
        <v/>
      </c>
      <c r="E165">
        <f>INDEX(Lots_Data!$K$2:$K$234,MATCH($A165,Lots_Data!$A$2:$A$234,0))</f>
        <v/>
      </c>
      <c r="F165">
        <f>INDEX(Usage_Summary!$C$4:$C$236,MATCH($A165,Usage_Summary!$A$4:$A$236,0))</f>
        <v/>
      </c>
      <c r="G165">
        <f>IF($F165&gt;0,$E165/$F165*30,"")</f>
        <v/>
      </c>
      <c r="H165">
        <f>MAX(0,CEILING(ROUND($F165*Inputs!$B$10/30*Inputs!$B$7,6),1)-$E165)</f>
        <v/>
      </c>
      <c r="I165">
        <f>MAX(0,CEILING(ROUND($F165*Inputs!$B$11/30*Inputs!$B$7,6),1)-$E165)</f>
        <v/>
      </c>
      <c r="J165">
        <f>MAX(0,CEILING(ROUND($F165*Inputs!$B$12/30*Inputs!$B$7,6),1)-$E165)</f>
        <v/>
      </c>
      <c r="K165">
        <f>IF(AND($F165&gt;0,$E165&lt;=0),1,0)</f>
        <v/>
      </c>
      <c r="L165">
        <f>INDEX(Lots_Data!$S$2:$S$234,MATCH($A165,Lots_Data!$A$2:$A$234,0))</f>
        <v/>
      </c>
      <c r="M165">
        <f>INDEX(Lots_Data!$N$2:$N$234,MATCH($A165,Lots_Data!$A$2:$A$234,0))</f>
        <v/>
      </c>
      <c r="N165">
        <f>IF($F165=0,"n/a",IF($L165&gt;=$F165/30*$M165,"adequate","under-set"))</f>
        <v/>
      </c>
    </row>
    <row r="166">
      <c r="A166" t="inlineStr">
        <is>
          <t>SS-01163</t>
        </is>
      </c>
      <c r="B166">
        <f>INDEX(Lots_Data!$C$2:$C$234,MATCH($A166,Lots_Data!$A$2:$A$234,0))</f>
        <v/>
      </c>
      <c r="C166">
        <f>INDEX(Lots_Data!$E$2:$E$234,MATCH($A166,Lots_Data!$A$2:$A$234,0))</f>
        <v/>
      </c>
      <c r="D166">
        <f>INDEX(Lots_Data!$D$2:$D$234,MATCH($A166,Lots_Data!$A$2:$A$234,0))</f>
        <v/>
      </c>
      <c r="E166">
        <f>INDEX(Lots_Data!$K$2:$K$234,MATCH($A166,Lots_Data!$A$2:$A$234,0))</f>
        <v/>
      </c>
      <c r="F166">
        <f>INDEX(Usage_Summary!$C$4:$C$236,MATCH($A166,Usage_Summary!$A$4:$A$236,0))</f>
        <v/>
      </c>
      <c r="G166">
        <f>IF($F166&gt;0,$E166/$F166*30,"")</f>
        <v/>
      </c>
      <c r="H166">
        <f>MAX(0,CEILING(ROUND($F166*Inputs!$B$10/30*Inputs!$B$7,6),1)-$E166)</f>
        <v/>
      </c>
      <c r="I166">
        <f>MAX(0,CEILING(ROUND($F166*Inputs!$B$11/30*Inputs!$B$7,6),1)-$E166)</f>
        <v/>
      </c>
      <c r="J166">
        <f>MAX(0,CEILING(ROUND($F166*Inputs!$B$12/30*Inputs!$B$7,6),1)-$E166)</f>
        <v/>
      </c>
      <c r="K166">
        <f>IF(AND($F166&gt;0,$E166&lt;=0),1,0)</f>
        <v/>
      </c>
      <c r="L166">
        <f>INDEX(Lots_Data!$S$2:$S$234,MATCH($A166,Lots_Data!$A$2:$A$234,0))</f>
        <v/>
      </c>
      <c r="M166">
        <f>INDEX(Lots_Data!$N$2:$N$234,MATCH($A166,Lots_Data!$A$2:$A$234,0))</f>
        <v/>
      </c>
      <c r="N166">
        <f>IF($F166=0,"n/a",IF($L166&gt;=$F166/30*$M166,"adequate","under-set"))</f>
        <v/>
      </c>
    </row>
    <row r="167">
      <c r="A167" t="inlineStr">
        <is>
          <t>SS-01164</t>
        </is>
      </c>
      <c r="B167">
        <f>INDEX(Lots_Data!$C$2:$C$234,MATCH($A167,Lots_Data!$A$2:$A$234,0))</f>
        <v/>
      </c>
      <c r="C167">
        <f>INDEX(Lots_Data!$E$2:$E$234,MATCH($A167,Lots_Data!$A$2:$A$234,0))</f>
        <v/>
      </c>
      <c r="D167">
        <f>INDEX(Lots_Data!$D$2:$D$234,MATCH($A167,Lots_Data!$A$2:$A$234,0))</f>
        <v/>
      </c>
      <c r="E167">
        <f>INDEX(Lots_Data!$K$2:$K$234,MATCH($A167,Lots_Data!$A$2:$A$234,0))</f>
        <v/>
      </c>
      <c r="F167">
        <f>INDEX(Usage_Summary!$C$4:$C$236,MATCH($A167,Usage_Summary!$A$4:$A$236,0))</f>
        <v/>
      </c>
      <c r="G167">
        <f>IF($F167&gt;0,$E167/$F167*30,"")</f>
        <v/>
      </c>
      <c r="H167">
        <f>MAX(0,CEILING(ROUND($F167*Inputs!$B$10/30*Inputs!$B$7,6),1)-$E167)</f>
        <v/>
      </c>
      <c r="I167">
        <f>MAX(0,CEILING(ROUND($F167*Inputs!$B$11/30*Inputs!$B$7,6),1)-$E167)</f>
        <v/>
      </c>
      <c r="J167">
        <f>MAX(0,CEILING(ROUND($F167*Inputs!$B$12/30*Inputs!$B$7,6),1)-$E167)</f>
        <v/>
      </c>
      <c r="K167">
        <f>IF(AND($F167&gt;0,$E167&lt;=0),1,0)</f>
        <v/>
      </c>
      <c r="L167">
        <f>INDEX(Lots_Data!$S$2:$S$234,MATCH($A167,Lots_Data!$A$2:$A$234,0))</f>
        <v/>
      </c>
      <c r="M167">
        <f>INDEX(Lots_Data!$N$2:$N$234,MATCH($A167,Lots_Data!$A$2:$A$234,0))</f>
        <v/>
      </c>
      <c r="N167">
        <f>IF($F167=0,"n/a",IF($L167&gt;=$F167/30*$M167,"adequate","under-set"))</f>
        <v/>
      </c>
    </row>
    <row r="168">
      <c r="A168" t="inlineStr">
        <is>
          <t>SS-01165</t>
        </is>
      </c>
      <c r="B168">
        <f>INDEX(Lots_Data!$C$2:$C$234,MATCH($A168,Lots_Data!$A$2:$A$234,0))</f>
        <v/>
      </c>
      <c r="C168">
        <f>INDEX(Lots_Data!$E$2:$E$234,MATCH($A168,Lots_Data!$A$2:$A$234,0))</f>
        <v/>
      </c>
      <c r="D168">
        <f>INDEX(Lots_Data!$D$2:$D$234,MATCH($A168,Lots_Data!$A$2:$A$234,0))</f>
        <v/>
      </c>
      <c r="E168">
        <f>INDEX(Lots_Data!$K$2:$K$234,MATCH($A168,Lots_Data!$A$2:$A$234,0))</f>
        <v/>
      </c>
      <c r="F168">
        <f>INDEX(Usage_Summary!$C$4:$C$236,MATCH($A168,Usage_Summary!$A$4:$A$236,0))</f>
        <v/>
      </c>
      <c r="G168">
        <f>IF($F168&gt;0,$E168/$F168*30,"")</f>
        <v/>
      </c>
      <c r="H168">
        <f>MAX(0,CEILING(ROUND($F168*Inputs!$B$10/30*Inputs!$B$7,6),1)-$E168)</f>
        <v/>
      </c>
      <c r="I168">
        <f>MAX(0,CEILING(ROUND($F168*Inputs!$B$11/30*Inputs!$B$7,6),1)-$E168)</f>
        <v/>
      </c>
      <c r="J168">
        <f>MAX(0,CEILING(ROUND($F168*Inputs!$B$12/30*Inputs!$B$7,6),1)-$E168)</f>
        <v/>
      </c>
      <c r="K168">
        <f>IF(AND($F168&gt;0,$E168&lt;=0),1,0)</f>
        <v/>
      </c>
      <c r="L168">
        <f>INDEX(Lots_Data!$S$2:$S$234,MATCH($A168,Lots_Data!$A$2:$A$234,0))</f>
        <v/>
      </c>
      <c r="M168">
        <f>INDEX(Lots_Data!$N$2:$N$234,MATCH($A168,Lots_Data!$A$2:$A$234,0))</f>
        <v/>
      </c>
      <c r="N168">
        <f>IF($F168=0,"n/a",IF($L168&gt;=$F168/30*$M168,"adequate","under-set"))</f>
        <v/>
      </c>
    </row>
    <row r="169">
      <c r="A169" t="inlineStr">
        <is>
          <t>SS-01166</t>
        </is>
      </c>
      <c r="B169">
        <f>INDEX(Lots_Data!$C$2:$C$234,MATCH($A169,Lots_Data!$A$2:$A$234,0))</f>
        <v/>
      </c>
      <c r="C169">
        <f>INDEX(Lots_Data!$E$2:$E$234,MATCH($A169,Lots_Data!$A$2:$A$234,0))</f>
        <v/>
      </c>
      <c r="D169">
        <f>INDEX(Lots_Data!$D$2:$D$234,MATCH($A169,Lots_Data!$A$2:$A$234,0))</f>
        <v/>
      </c>
      <c r="E169">
        <f>INDEX(Lots_Data!$K$2:$K$234,MATCH($A169,Lots_Data!$A$2:$A$234,0))</f>
        <v/>
      </c>
      <c r="F169">
        <f>INDEX(Usage_Summary!$C$4:$C$236,MATCH($A169,Usage_Summary!$A$4:$A$236,0))</f>
        <v/>
      </c>
      <c r="G169">
        <f>IF($F169&gt;0,$E169/$F169*30,"")</f>
        <v/>
      </c>
      <c r="H169">
        <f>MAX(0,CEILING(ROUND($F169*Inputs!$B$10/30*Inputs!$B$7,6),1)-$E169)</f>
        <v/>
      </c>
      <c r="I169">
        <f>MAX(0,CEILING(ROUND($F169*Inputs!$B$11/30*Inputs!$B$7,6),1)-$E169)</f>
        <v/>
      </c>
      <c r="J169">
        <f>MAX(0,CEILING(ROUND($F169*Inputs!$B$12/30*Inputs!$B$7,6),1)-$E169)</f>
        <v/>
      </c>
      <c r="K169">
        <f>IF(AND($F169&gt;0,$E169&lt;=0),1,0)</f>
        <v/>
      </c>
      <c r="L169">
        <f>INDEX(Lots_Data!$S$2:$S$234,MATCH($A169,Lots_Data!$A$2:$A$234,0))</f>
        <v/>
      </c>
      <c r="M169">
        <f>INDEX(Lots_Data!$N$2:$N$234,MATCH($A169,Lots_Data!$A$2:$A$234,0))</f>
        <v/>
      </c>
      <c r="N169">
        <f>IF($F169=0,"n/a",IF($L169&gt;=$F169/30*$M169,"adequate","under-set"))</f>
        <v/>
      </c>
    </row>
    <row r="170">
      <c r="A170" t="inlineStr">
        <is>
          <t>SS-01167</t>
        </is>
      </c>
      <c r="B170">
        <f>INDEX(Lots_Data!$C$2:$C$234,MATCH($A170,Lots_Data!$A$2:$A$234,0))</f>
        <v/>
      </c>
      <c r="C170">
        <f>INDEX(Lots_Data!$E$2:$E$234,MATCH($A170,Lots_Data!$A$2:$A$234,0))</f>
        <v/>
      </c>
      <c r="D170">
        <f>INDEX(Lots_Data!$D$2:$D$234,MATCH($A170,Lots_Data!$A$2:$A$234,0))</f>
        <v/>
      </c>
      <c r="E170">
        <f>INDEX(Lots_Data!$K$2:$K$234,MATCH($A170,Lots_Data!$A$2:$A$234,0))</f>
        <v/>
      </c>
      <c r="F170">
        <f>INDEX(Usage_Summary!$C$4:$C$236,MATCH($A170,Usage_Summary!$A$4:$A$236,0))</f>
        <v/>
      </c>
      <c r="G170">
        <f>IF($F170&gt;0,$E170/$F170*30,"")</f>
        <v/>
      </c>
      <c r="H170">
        <f>MAX(0,CEILING(ROUND($F170*Inputs!$B$10/30*Inputs!$B$7,6),1)-$E170)</f>
        <v/>
      </c>
      <c r="I170">
        <f>MAX(0,CEILING(ROUND($F170*Inputs!$B$11/30*Inputs!$B$7,6),1)-$E170)</f>
        <v/>
      </c>
      <c r="J170">
        <f>MAX(0,CEILING(ROUND($F170*Inputs!$B$12/30*Inputs!$B$7,6),1)-$E170)</f>
        <v/>
      </c>
      <c r="K170">
        <f>IF(AND($F170&gt;0,$E170&lt;=0),1,0)</f>
        <v/>
      </c>
      <c r="L170">
        <f>INDEX(Lots_Data!$S$2:$S$234,MATCH($A170,Lots_Data!$A$2:$A$234,0))</f>
        <v/>
      </c>
      <c r="M170">
        <f>INDEX(Lots_Data!$N$2:$N$234,MATCH($A170,Lots_Data!$A$2:$A$234,0))</f>
        <v/>
      </c>
      <c r="N170">
        <f>IF($F170=0,"n/a",IF($L170&gt;=$F170/30*$M170,"adequate","under-set"))</f>
        <v/>
      </c>
    </row>
    <row r="171">
      <c r="A171" t="inlineStr">
        <is>
          <t>SS-01168</t>
        </is>
      </c>
      <c r="B171">
        <f>INDEX(Lots_Data!$C$2:$C$234,MATCH($A171,Lots_Data!$A$2:$A$234,0))</f>
        <v/>
      </c>
      <c r="C171">
        <f>INDEX(Lots_Data!$E$2:$E$234,MATCH($A171,Lots_Data!$A$2:$A$234,0))</f>
        <v/>
      </c>
      <c r="D171">
        <f>INDEX(Lots_Data!$D$2:$D$234,MATCH($A171,Lots_Data!$A$2:$A$234,0))</f>
        <v/>
      </c>
      <c r="E171">
        <f>INDEX(Lots_Data!$K$2:$K$234,MATCH($A171,Lots_Data!$A$2:$A$234,0))</f>
        <v/>
      </c>
      <c r="F171">
        <f>INDEX(Usage_Summary!$C$4:$C$236,MATCH($A171,Usage_Summary!$A$4:$A$236,0))</f>
        <v/>
      </c>
      <c r="G171">
        <f>IF($F171&gt;0,$E171/$F171*30,"")</f>
        <v/>
      </c>
      <c r="H171">
        <f>MAX(0,CEILING(ROUND($F171*Inputs!$B$10/30*Inputs!$B$7,6),1)-$E171)</f>
        <v/>
      </c>
      <c r="I171">
        <f>MAX(0,CEILING(ROUND($F171*Inputs!$B$11/30*Inputs!$B$7,6),1)-$E171)</f>
        <v/>
      </c>
      <c r="J171">
        <f>MAX(0,CEILING(ROUND($F171*Inputs!$B$12/30*Inputs!$B$7,6),1)-$E171)</f>
        <v/>
      </c>
      <c r="K171">
        <f>IF(AND($F171&gt;0,$E171&lt;=0),1,0)</f>
        <v/>
      </c>
      <c r="L171">
        <f>INDEX(Lots_Data!$S$2:$S$234,MATCH($A171,Lots_Data!$A$2:$A$234,0))</f>
        <v/>
      </c>
      <c r="M171">
        <f>INDEX(Lots_Data!$N$2:$N$234,MATCH($A171,Lots_Data!$A$2:$A$234,0))</f>
        <v/>
      </c>
      <c r="N171">
        <f>IF($F171=0,"n/a",IF($L171&gt;=$F171/30*$M171,"adequate","under-set"))</f>
        <v/>
      </c>
    </row>
    <row r="172">
      <c r="A172" t="inlineStr">
        <is>
          <t>SS-01169</t>
        </is>
      </c>
      <c r="B172">
        <f>INDEX(Lots_Data!$C$2:$C$234,MATCH($A172,Lots_Data!$A$2:$A$234,0))</f>
        <v/>
      </c>
      <c r="C172">
        <f>INDEX(Lots_Data!$E$2:$E$234,MATCH($A172,Lots_Data!$A$2:$A$234,0))</f>
        <v/>
      </c>
      <c r="D172">
        <f>INDEX(Lots_Data!$D$2:$D$234,MATCH($A172,Lots_Data!$A$2:$A$234,0))</f>
        <v/>
      </c>
      <c r="E172">
        <f>INDEX(Lots_Data!$K$2:$K$234,MATCH($A172,Lots_Data!$A$2:$A$234,0))</f>
        <v/>
      </c>
      <c r="F172">
        <f>INDEX(Usage_Summary!$C$4:$C$236,MATCH($A172,Usage_Summary!$A$4:$A$236,0))</f>
        <v/>
      </c>
      <c r="G172">
        <f>IF($F172&gt;0,$E172/$F172*30,"")</f>
        <v/>
      </c>
      <c r="H172">
        <f>MAX(0,CEILING(ROUND($F172*Inputs!$B$10/30*Inputs!$B$7,6),1)-$E172)</f>
        <v/>
      </c>
      <c r="I172">
        <f>MAX(0,CEILING(ROUND($F172*Inputs!$B$11/30*Inputs!$B$7,6),1)-$E172)</f>
        <v/>
      </c>
      <c r="J172">
        <f>MAX(0,CEILING(ROUND($F172*Inputs!$B$12/30*Inputs!$B$7,6),1)-$E172)</f>
        <v/>
      </c>
      <c r="K172">
        <f>IF(AND($F172&gt;0,$E172&lt;=0),1,0)</f>
        <v/>
      </c>
      <c r="L172">
        <f>INDEX(Lots_Data!$S$2:$S$234,MATCH($A172,Lots_Data!$A$2:$A$234,0))</f>
        <v/>
      </c>
      <c r="M172">
        <f>INDEX(Lots_Data!$N$2:$N$234,MATCH($A172,Lots_Data!$A$2:$A$234,0))</f>
        <v/>
      </c>
      <c r="N172">
        <f>IF($F172=0,"n/a",IF($L172&gt;=$F172/30*$M172,"adequate","under-set"))</f>
        <v/>
      </c>
    </row>
    <row r="173">
      <c r="A173" t="inlineStr">
        <is>
          <t>SS-01170</t>
        </is>
      </c>
      <c r="B173">
        <f>INDEX(Lots_Data!$C$2:$C$234,MATCH($A173,Lots_Data!$A$2:$A$234,0))</f>
        <v/>
      </c>
      <c r="C173">
        <f>INDEX(Lots_Data!$E$2:$E$234,MATCH($A173,Lots_Data!$A$2:$A$234,0))</f>
        <v/>
      </c>
      <c r="D173">
        <f>INDEX(Lots_Data!$D$2:$D$234,MATCH($A173,Lots_Data!$A$2:$A$234,0))</f>
        <v/>
      </c>
      <c r="E173">
        <f>INDEX(Lots_Data!$K$2:$K$234,MATCH($A173,Lots_Data!$A$2:$A$234,0))</f>
        <v/>
      </c>
      <c r="F173">
        <f>INDEX(Usage_Summary!$C$4:$C$236,MATCH($A173,Usage_Summary!$A$4:$A$236,0))</f>
        <v/>
      </c>
      <c r="G173">
        <f>IF($F173&gt;0,$E173/$F173*30,"")</f>
        <v/>
      </c>
      <c r="H173">
        <f>MAX(0,CEILING(ROUND($F173*Inputs!$B$10/30*Inputs!$B$7,6),1)-$E173)</f>
        <v/>
      </c>
      <c r="I173">
        <f>MAX(0,CEILING(ROUND($F173*Inputs!$B$11/30*Inputs!$B$7,6),1)-$E173)</f>
        <v/>
      </c>
      <c r="J173">
        <f>MAX(0,CEILING(ROUND($F173*Inputs!$B$12/30*Inputs!$B$7,6),1)-$E173)</f>
        <v/>
      </c>
      <c r="K173">
        <f>IF(AND($F173&gt;0,$E173&lt;=0),1,0)</f>
        <v/>
      </c>
      <c r="L173">
        <f>INDEX(Lots_Data!$S$2:$S$234,MATCH($A173,Lots_Data!$A$2:$A$234,0))</f>
        <v/>
      </c>
      <c r="M173">
        <f>INDEX(Lots_Data!$N$2:$N$234,MATCH($A173,Lots_Data!$A$2:$A$234,0))</f>
        <v/>
      </c>
      <c r="N173">
        <f>IF($F173=0,"n/a",IF($L173&gt;=$F173/30*$M173,"adequate","under-set"))</f>
        <v/>
      </c>
    </row>
    <row r="174">
      <c r="A174" t="inlineStr">
        <is>
          <t>SS-01171</t>
        </is>
      </c>
      <c r="B174">
        <f>INDEX(Lots_Data!$C$2:$C$234,MATCH($A174,Lots_Data!$A$2:$A$234,0))</f>
        <v/>
      </c>
      <c r="C174">
        <f>INDEX(Lots_Data!$E$2:$E$234,MATCH($A174,Lots_Data!$A$2:$A$234,0))</f>
        <v/>
      </c>
      <c r="D174">
        <f>INDEX(Lots_Data!$D$2:$D$234,MATCH($A174,Lots_Data!$A$2:$A$234,0))</f>
        <v/>
      </c>
      <c r="E174">
        <f>INDEX(Lots_Data!$K$2:$K$234,MATCH($A174,Lots_Data!$A$2:$A$234,0))</f>
        <v/>
      </c>
      <c r="F174">
        <f>INDEX(Usage_Summary!$C$4:$C$236,MATCH($A174,Usage_Summary!$A$4:$A$236,0))</f>
        <v/>
      </c>
      <c r="G174">
        <f>IF($F174&gt;0,$E174/$F174*30,"")</f>
        <v/>
      </c>
      <c r="H174">
        <f>MAX(0,CEILING(ROUND($F174*Inputs!$B$10/30*Inputs!$B$7,6),1)-$E174)</f>
        <v/>
      </c>
      <c r="I174">
        <f>MAX(0,CEILING(ROUND($F174*Inputs!$B$11/30*Inputs!$B$7,6),1)-$E174)</f>
        <v/>
      </c>
      <c r="J174">
        <f>MAX(0,CEILING(ROUND($F174*Inputs!$B$12/30*Inputs!$B$7,6),1)-$E174)</f>
        <v/>
      </c>
      <c r="K174">
        <f>IF(AND($F174&gt;0,$E174&lt;=0),1,0)</f>
        <v/>
      </c>
      <c r="L174">
        <f>INDEX(Lots_Data!$S$2:$S$234,MATCH($A174,Lots_Data!$A$2:$A$234,0))</f>
        <v/>
      </c>
      <c r="M174">
        <f>INDEX(Lots_Data!$N$2:$N$234,MATCH($A174,Lots_Data!$A$2:$A$234,0))</f>
        <v/>
      </c>
      <c r="N174">
        <f>IF($F174=0,"n/a",IF($L174&gt;=$F174/30*$M174,"adequate","under-set"))</f>
        <v/>
      </c>
    </row>
    <row r="175">
      <c r="A175" t="inlineStr">
        <is>
          <t>SS-01172</t>
        </is>
      </c>
      <c r="B175">
        <f>INDEX(Lots_Data!$C$2:$C$234,MATCH($A175,Lots_Data!$A$2:$A$234,0))</f>
        <v/>
      </c>
      <c r="C175">
        <f>INDEX(Lots_Data!$E$2:$E$234,MATCH($A175,Lots_Data!$A$2:$A$234,0))</f>
        <v/>
      </c>
      <c r="D175">
        <f>INDEX(Lots_Data!$D$2:$D$234,MATCH($A175,Lots_Data!$A$2:$A$234,0))</f>
        <v/>
      </c>
      <c r="E175">
        <f>INDEX(Lots_Data!$K$2:$K$234,MATCH($A175,Lots_Data!$A$2:$A$234,0))</f>
        <v/>
      </c>
      <c r="F175">
        <f>INDEX(Usage_Summary!$C$4:$C$236,MATCH($A175,Usage_Summary!$A$4:$A$236,0))</f>
        <v/>
      </c>
      <c r="G175">
        <f>IF($F175&gt;0,$E175/$F175*30,"")</f>
        <v/>
      </c>
      <c r="H175">
        <f>MAX(0,CEILING(ROUND($F175*Inputs!$B$10/30*Inputs!$B$7,6),1)-$E175)</f>
        <v/>
      </c>
      <c r="I175">
        <f>MAX(0,CEILING(ROUND($F175*Inputs!$B$11/30*Inputs!$B$7,6),1)-$E175)</f>
        <v/>
      </c>
      <c r="J175">
        <f>MAX(0,CEILING(ROUND($F175*Inputs!$B$12/30*Inputs!$B$7,6),1)-$E175)</f>
        <v/>
      </c>
      <c r="K175">
        <f>IF(AND($F175&gt;0,$E175&lt;=0),1,0)</f>
        <v/>
      </c>
      <c r="L175">
        <f>INDEX(Lots_Data!$S$2:$S$234,MATCH($A175,Lots_Data!$A$2:$A$234,0))</f>
        <v/>
      </c>
      <c r="M175">
        <f>INDEX(Lots_Data!$N$2:$N$234,MATCH($A175,Lots_Data!$A$2:$A$234,0))</f>
        <v/>
      </c>
      <c r="N175">
        <f>IF($F175=0,"n/a",IF($L175&gt;=$F175/30*$M175,"adequate","under-set"))</f>
        <v/>
      </c>
    </row>
    <row r="176">
      <c r="A176" t="inlineStr">
        <is>
          <t>SS-01173</t>
        </is>
      </c>
      <c r="B176">
        <f>INDEX(Lots_Data!$C$2:$C$234,MATCH($A176,Lots_Data!$A$2:$A$234,0))</f>
        <v/>
      </c>
      <c r="C176">
        <f>INDEX(Lots_Data!$E$2:$E$234,MATCH($A176,Lots_Data!$A$2:$A$234,0))</f>
        <v/>
      </c>
      <c r="D176">
        <f>INDEX(Lots_Data!$D$2:$D$234,MATCH($A176,Lots_Data!$A$2:$A$234,0))</f>
        <v/>
      </c>
      <c r="E176">
        <f>INDEX(Lots_Data!$K$2:$K$234,MATCH($A176,Lots_Data!$A$2:$A$234,0))</f>
        <v/>
      </c>
      <c r="F176">
        <f>INDEX(Usage_Summary!$C$4:$C$236,MATCH($A176,Usage_Summary!$A$4:$A$236,0))</f>
        <v/>
      </c>
      <c r="G176">
        <f>IF($F176&gt;0,$E176/$F176*30,"")</f>
        <v/>
      </c>
      <c r="H176">
        <f>MAX(0,CEILING(ROUND($F176*Inputs!$B$10/30*Inputs!$B$7,6),1)-$E176)</f>
        <v/>
      </c>
      <c r="I176">
        <f>MAX(0,CEILING(ROUND($F176*Inputs!$B$11/30*Inputs!$B$7,6),1)-$E176)</f>
        <v/>
      </c>
      <c r="J176">
        <f>MAX(0,CEILING(ROUND($F176*Inputs!$B$12/30*Inputs!$B$7,6),1)-$E176)</f>
        <v/>
      </c>
      <c r="K176">
        <f>IF(AND($F176&gt;0,$E176&lt;=0),1,0)</f>
        <v/>
      </c>
      <c r="L176">
        <f>INDEX(Lots_Data!$S$2:$S$234,MATCH($A176,Lots_Data!$A$2:$A$234,0))</f>
        <v/>
      </c>
      <c r="M176">
        <f>INDEX(Lots_Data!$N$2:$N$234,MATCH($A176,Lots_Data!$A$2:$A$234,0))</f>
        <v/>
      </c>
      <c r="N176">
        <f>IF($F176=0,"n/a",IF($L176&gt;=$F176/30*$M176,"adequate","under-set"))</f>
        <v/>
      </c>
    </row>
    <row r="177">
      <c r="A177" t="inlineStr">
        <is>
          <t>SS-01174</t>
        </is>
      </c>
      <c r="B177">
        <f>INDEX(Lots_Data!$C$2:$C$234,MATCH($A177,Lots_Data!$A$2:$A$234,0))</f>
        <v/>
      </c>
      <c r="C177">
        <f>INDEX(Lots_Data!$E$2:$E$234,MATCH($A177,Lots_Data!$A$2:$A$234,0))</f>
        <v/>
      </c>
      <c r="D177">
        <f>INDEX(Lots_Data!$D$2:$D$234,MATCH($A177,Lots_Data!$A$2:$A$234,0))</f>
        <v/>
      </c>
      <c r="E177">
        <f>INDEX(Lots_Data!$K$2:$K$234,MATCH($A177,Lots_Data!$A$2:$A$234,0))</f>
        <v/>
      </c>
      <c r="F177">
        <f>INDEX(Usage_Summary!$C$4:$C$236,MATCH($A177,Usage_Summary!$A$4:$A$236,0))</f>
        <v/>
      </c>
      <c r="G177">
        <f>IF($F177&gt;0,$E177/$F177*30,"")</f>
        <v/>
      </c>
      <c r="H177">
        <f>MAX(0,CEILING(ROUND($F177*Inputs!$B$10/30*Inputs!$B$7,6),1)-$E177)</f>
        <v/>
      </c>
      <c r="I177">
        <f>MAX(0,CEILING(ROUND($F177*Inputs!$B$11/30*Inputs!$B$7,6),1)-$E177)</f>
        <v/>
      </c>
      <c r="J177">
        <f>MAX(0,CEILING(ROUND($F177*Inputs!$B$12/30*Inputs!$B$7,6),1)-$E177)</f>
        <v/>
      </c>
      <c r="K177">
        <f>IF(AND($F177&gt;0,$E177&lt;=0),1,0)</f>
        <v/>
      </c>
      <c r="L177">
        <f>INDEX(Lots_Data!$S$2:$S$234,MATCH($A177,Lots_Data!$A$2:$A$234,0))</f>
        <v/>
      </c>
      <c r="M177">
        <f>INDEX(Lots_Data!$N$2:$N$234,MATCH($A177,Lots_Data!$A$2:$A$234,0))</f>
        <v/>
      </c>
      <c r="N177">
        <f>IF($F177=0,"n/a",IF($L177&gt;=$F177/30*$M177,"adequate","under-set"))</f>
        <v/>
      </c>
    </row>
    <row r="178">
      <c r="A178" t="inlineStr">
        <is>
          <t>SS-01175</t>
        </is>
      </c>
      <c r="B178">
        <f>INDEX(Lots_Data!$C$2:$C$234,MATCH($A178,Lots_Data!$A$2:$A$234,0))</f>
        <v/>
      </c>
      <c r="C178">
        <f>INDEX(Lots_Data!$E$2:$E$234,MATCH($A178,Lots_Data!$A$2:$A$234,0))</f>
        <v/>
      </c>
      <c r="D178">
        <f>INDEX(Lots_Data!$D$2:$D$234,MATCH($A178,Lots_Data!$A$2:$A$234,0))</f>
        <v/>
      </c>
      <c r="E178">
        <f>INDEX(Lots_Data!$K$2:$K$234,MATCH($A178,Lots_Data!$A$2:$A$234,0))</f>
        <v/>
      </c>
      <c r="F178">
        <f>INDEX(Usage_Summary!$C$4:$C$236,MATCH($A178,Usage_Summary!$A$4:$A$236,0))</f>
        <v/>
      </c>
      <c r="G178">
        <f>IF($F178&gt;0,$E178/$F178*30,"")</f>
        <v/>
      </c>
      <c r="H178">
        <f>MAX(0,CEILING(ROUND($F178*Inputs!$B$10/30*Inputs!$B$7,6),1)-$E178)</f>
        <v/>
      </c>
      <c r="I178">
        <f>MAX(0,CEILING(ROUND($F178*Inputs!$B$11/30*Inputs!$B$7,6),1)-$E178)</f>
        <v/>
      </c>
      <c r="J178">
        <f>MAX(0,CEILING(ROUND($F178*Inputs!$B$12/30*Inputs!$B$7,6),1)-$E178)</f>
        <v/>
      </c>
      <c r="K178">
        <f>IF(AND($F178&gt;0,$E178&lt;=0),1,0)</f>
        <v/>
      </c>
      <c r="L178">
        <f>INDEX(Lots_Data!$S$2:$S$234,MATCH($A178,Lots_Data!$A$2:$A$234,0))</f>
        <v/>
      </c>
      <c r="M178">
        <f>INDEX(Lots_Data!$N$2:$N$234,MATCH($A178,Lots_Data!$A$2:$A$234,0))</f>
        <v/>
      </c>
      <c r="N178">
        <f>IF($F178=0,"n/a",IF($L178&gt;=$F178/30*$M178,"adequate","under-set"))</f>
        <v/>
      </c>
    </row>
    <row r="179">
      <c r="A179" t="inlineStr">
        <is>
          <t>SS-01176</t>
        </is>
      </c>
      <c r="B179">
        <f>INDEX(Lots_Data!$C$2:$C$234,MATCH($A179,Lots_Data!$A$2:$A$234,0))</f>
        <v/>
      </c>
      <c r="C179">
        <f>INDEX(Lots_Data!$E$2:$E$234,MATCH($A179,Lots_Data!$A$2:$A$234,0))</f>
        <v/>
      </c>
      <c r="D179">
        <f>INDEX(Lots_Data!$D$2:$D$234,MATCH($A179,Lots_Data!$A$2:$A$234,0))</f>
        <v/>
      </c>
      <c r="E179">
        <f>INDEX(Lots_Data!$K$2:$K$234,MATCH($A179,Lots_Data!$A$2:$A$234,0))</f>
        <v/>
      </c>
      <c r="F179">
        <f>INDEX(Usage_Summary!$C$4:$C$236,MATCH($A179,Usage_Summary!$A$4:$A$236,0))</f>
        <v/>
      </c>
      <c r="G179">
        <f>IF($F179&gt;0,$E179/$F179*30,"")</f>
        <v/>
      </c>
      <c r="H179">
        <f>MAX(0,CEILING(ROUND($F179*Inputs!$B$10/30*Inputs!$B$7,6),1)-$E179)</f>
        <v/>
      </c>
      <c r="I179">
        <f>MAX(0,CEILING(ROUND($F179*Inputs!$B$11/30*Inputs!$B$7,6),1)-$E179)</f>
        <v/>
      </c>
      <c r="J179">
        <f>MAX(0,CEILING(ROUND($F179*Inputs!$B$12/30*Inputs!$B$7,6),1)-$E179)</f>
        <v/>
      </c>
      <c r="K179">
        <f>IF(AND($F179&gt;0,$E179&lt;=0),1,0)</f>
        <v/>
      </c>
      <c r="L179">
        <f>INDEX(Lots_Data!$S$2:$S$234,MATCH($A179,Lots_Data!$A$2:$A$234,0))</f>
        <v/>
      </c>
      <c r="M179">
        <f>INDEX(Lots_Data!$N$2:$N$234,MATCH($A179,Lots_Data!$A$2:$A$234,0))</f>
        <v/>
      </c>
      <c r="N179">
        <f>IF($F179=0,"n/a",IF($L179&gt;=$F179/30*$M179,"adequate","under-set"))</f>
        <v/>
      </c>
    </row>
    <row r="180">
      <c r="A180" t="inlineStr">
        <is>
          <t>SS-01177</t>
        </is>
      </c>
      <c r="B180">
        <f>INDEX(Lots_Data!$C$2:$C$234,MATCH($A180,Lots_Data!$A$2:$A$234,0))</f>
        <v/>
      </c>
      <c r="C180">
        <f>INDEX(Lots_Data!$E$2:$E$234,MATCH($A180,Lots_Data!$A$2:$A$234,0))</f>
        <v/>
      </c>
      <c r="D180">
        <f>INDEX(Lots_Data!$D$2:$D$234,MATCH($A180,Lots_Data!$A$2:$A$234,0))</f>
        <v/>
      </c>
      <c r="E180">
        <f>INDEX(Lots_Data!$K$2:$K$234,MATCH($A180,Lots_Data!$A$2:$A$234,0))</f>
        <v/>
      </c>
      <c r="F180">
        <f>INDEX(Usage_Summary!$C$4:$C$236,MATCH($A180,Usage_Summary!$A$4:$A$236,0))</f>
        <v/>
      </c>
      <c r="G180">
        <f>IF($F180&gt;0,$E180/$F180*30,"")</f>
        <v/>
      </c>
      <c r="H180">
        <f>MAX(0,CEILING(ROUND($F180*Inputs!$B$10/30*Inputs!$B$7,6),1)-$E180)</f>
        <v/>
      </c>
      <c r="I180">
        <f>MAX(0,CEILING(ROUND($F180*Inputs!$B$11/30*Inputs!$B$7,6),1)-$E180)</f>
        <v/>
      </c>
      <c r="J180">
        <f>MAX(0,CEILING(ROUND($F180*Inputs!$B$12/30*Inputs!$B$7,6),1)-$E180)</f>
        <v/>
      </c>
      <c r="K180">
        <f>IF(AND($F180&gt;0,$E180&lt;=0),1,0)</f>
        <v/>
      </c>
      <c r="L180">
        <f>INDEX(Lots_Data!$S$2:$S$234,MATCH($A180,Lots_Data!$A$2:$A$234,0))</f>
        <v/>
      </c>
      <c r="M180">
        <f>INDEX(Lots_Data!$N$2:$N$234,MATCH($A180,Lots_Data!$A$2:$A$234,0))</f>
        <v/>
      </c>
      <c r="N180">
        <f>IF($F180=0,"n/a",IF($L180&gt;=$F180/30*$M180,"adequate","under-set"))</f>
        <v/>
      </c>
    </row>
    <row r="181">
      <c r="A181" t="inlineStr">
        <is>
          <t>SS-01178</t>
        </is>
      </c>
      <c r="B181">
        <f>INDEX(Lots_Data!$C$2:$C$234,MATCH($A181,Lots_Data!$A$2:$A$234,0))</f>
        <v/>
      </c>
      <c r="C181">
        <f>INDEX(Lots_Data!$E$2:$E$234,MATCH($A181,Lots_Data!$A$2:$A$234,0))</f>
        <v/>
      </c>
      <c r="D181">
        <f>INDEX(Lots_Data!$D$2:$D$234,MATCH($A181,Lots_Data!$A$2:$A$234,0))</f>
        <v/>
      </c>
      <c r="E181">
        <f>INDEX(Lots_Data!$K$2:$K$234,MATCH($A181,Lots_Data!$A$2:$A$234,0))</f>
        <v/>
      </c>
      <c r="F181">
        <f>INDEX(Usage_Summary!$C$4:$C$236,MATCH($A181,Usage_Summary!$A$4:$A$236,0))</f>
        <v/>
      </c>
      <c r="G181">
        <f>IF($F181&gt;0,$E181/$F181*30,"")</f>
        <v/>
      </c>
      <c r="H181">
        <f>MAX(0,CEILING(ROUND($F181*Inputs!$B$10/30*Inputs!$B$7,6),1)-$E181)</f>
        <v/>
      </c>
      <c r="I181">
        <f>MAX(0,CEILING(ROUND($F181*Inputs!$B$11/30*Inputs!$B$7,6),1)-$E181)</f>
        <v/>
      </c>
      <c r="J181">
        <f>MAX(0,CEILING(ROUND($F181*Inputs!$B$12/30*Inputs!$B$7,6),1)-$E181)</f>
        <v/>
      </c>
      <c r="K181">
        <f>IF(AND($F181&gt;0,$E181&lt;=0),1,0)</f>
        <v/>
      </c>
      <c r="L181">
        <f>INDEX(Lots_Data!$S$2:$S$234,MATCH($A181,Lots_Data!$A$2:$A$234,0))</f>
        <v/>
      </c>
      <c r="M181">
        <f>INDEX(Lots_Data!$N$2:$N$234,MATCH($A181,Lots_Data!$A$2:$A$234,0))</f>
        <v/>
      </c>
      <c r="N181">
        <f>IF($F181=0,"n/a",IF($L181&gt;=$F181/30*$M181,"adequate","under-set"))</f>
        <v/>
      </c>
    </row>
    <row r="182">
      <c r="A182" t="inlineStr">
        <is>
          <t>SS-01179</t>
        </is>
      </c>
      <c r="B182">
        <f>INDEX(Lots_Data!$C$2:$C$234,MATCH($A182,Lots_Data!$A$2:$A$234,0))</f>
        <v/>
      </c>
      <c r="C182">
        <f>INDEX(Lots_Data!$E$2:$E$234,MATCH($A182,Lots_Data!$A$2:$A$234,0))</f>
        <v/>
      </c>
      <c r="D182">
        <f>INDEX(Lots_Data!$D$2:$D$234,MATCH($A182,Lots_Data!$A$2:$A$234,0))</f>
        <v/>
      </c>
      <c r="E182">
        <f>INDEX(Lots_Data!$K$2:$K$234,MATCH($A182,Lots_Data!$A$2:$A$234,0))</f>
        <v/>
      </c>
      <c r="F182">
        <f>INDEX(Usage_Summary!$C$4:$C$236,MATCH($A182,Usage_Summary!$A$4:$A$236,0))</f>
        <v/>
      </c>
      <c r="G182">
        <f>IF($F182&gt;0,$E182/$F182*30,"")</f>
        <v/>
      </c>
      <c r="H182">
        <f>MAX(0,CEILING(ROUND($F182*Inputs!$B$10/30*Inputs!$B$7,6),1)-$E182)</f>
        <v/>
      </c>
      <c r="I182">
        <f>MAX(0,CEILING(ROUND($F182*Inputs!$B$11/30*Inputs!$B$7,6),1)-$E182)</f>
        <v/>
      </c>
      <c r="J182">
        <f>MAX(0,CEILING(ROUND($F182*Inputs!$B$12/30*Inputs!$B$7,6),1)-$E182)</f>
        <v/>
      </c>
      <c r="K182">
        <f>IF(AND($F182&gt;0,$E182&lt;=0),1,0)</f>
        <v/>
      </c>
      <c r="L182">
        <f>INDEX(Lots_Data!$S$2:$S$234,MATCH($A182,Lots_Data!$A$2:$A$234,0))</f>
        <v/>
      </c>
      <c r="M182">
        <f>INDEX(Lots_Data!$N$2:$N$234,MATCH($A182,Lots_Data!$A$2:$A$234,0))</f>
        <v/>
      </c>
      <c r="N182">
        <f>IF($F182=0,"n/a",IF($L182&gt;=$F182/30*$M182,"adequate","under-set"))</f>
        <v/>
      </c>
    </row>
    <row r="183">
      <c r="A183" t="inlineStr">
        <is>
          <t>SS-01180</t>
        </is>
      </c>
      <c r="B183">
        <f>INDEX(Lots_Data!$C$2:$C$234,MATCH($A183,Lots_Data!$A$2:$A$234,0))</f>
        <v/>
      </c>
      <c r="C183">
        <f>INDEX(Lots_Data!$E$2:$E$234,MATCH($A183,Lots_Data!$A$2:$A$234,0))</f>
        <v/>
      </c>
      <c r="D183">
        <f>INDEX(Lots_Data!$D$2:$D$234,MATCH($A183,Lots_Data!$A$2:$A$234,0))</f>
        <v/>
      </c>
      <c r="E183">
        <f>INDEX(Lots_Data!$K$2:$K$234,MATCH($A183,Lots_Data!$A$2:$A$234,0))</f>
        <v/>
      </c>
      <c r="F183">
        <f>INDEX(Usage_Summary!$C$4:$C$236,MATCH($A183,Usage_Summary!$A$4:$A$236,0))</f>
        <v/>
      </c>
      <c r="G183">
        <f>IF($F183&gt;0,$E183/$F183*30,"")</f>
        <v/>
      </c>
      <c r="H183">
        <f>MAX(0,CEILING(ROUND($F183*Inputs!$B$10/30*Inputs!$B$7,6),1)-$E183)</f>
        <v/>
      </c>
      <c r="I183">
        <f>MAX(0,CEILING(ROUND($F183*Inputs!$B$11/30*Inputs!$B$7,6),1)-$E183)</f>
        <v/>
      </c>
      <c r="J183">
        <f>MAX(0,CEILING(ROUND($F183*Inputs!$B$12/30*Inputs!$B$7,6),1)-$E183)</f>
        <v/>
      </c>
      <c r="K183">
        <f>IF(AND($F183&gt;0,$E183&lt;=0),1,0)</f>
        <v/>
      </c>
      <c r="L183">
        <f>INDEX(Lots_Data!$S$2:$S$234,MATCH($A183,Lots_Data!$A$2:$A$234,0))</f>
        <v/>
      </c>
      <c r="M183">
        <f>INDEX(Lots_Data!$N$2:$N$234,MATCH($A183,Lots_Data!$A$2:$A$234,0))</f>
        <v/>
      </c>
      <c r="N183">
        <f>IF($F183=0,"n/a",IF($L183&gt;=$F183/30*$M183,"adequate","under-set"))</f>
        <v/>
      </c>
    </row>
    <row r="184">
      <c r="A184" t="inlineStr">
        <is>
          <t>SS-01181</t>
        </is>
      </c>
      <c r="B184">
        <f>INDEX(Lots_Data!$C$2:$C$234,MATCH($A184,Lots_Data!$A$2:$A$234,0))</f>
        <v/>
      </c>
      <c r="C184">
        <f>INDEX(Lots_Data!$E$2:$E$234,MATCH($A184,Lots_Data!$A$2:$A$234,0))</f>
        <v/>
      </c>
      <c r="D184">
        <f>INDEX(Lots_Data!$D$2:$D$234,MATCH($A184,Lots_Data!$A$2:$A$234,0))</f>
        <v/>
      </c>
      <c r="E184">
        <f>INDEX(Lots_Data!$K$2:$K$234,MATCH($A184,Lots_Data!$A$2:$A$234,0))</f>
        <v/>
      </c>
      <c r="F184">
        <f>INDEX(Usage_Summary!$C$4:$C$236,MATCH($A184,Usage_Summary!$A$4:$A$236,0))</f>
        <v/>
      </c>
      <c r="G184">
        <f>IF($F184&gt;0,$E184/$F184*30,"")</f>
        <v/>
      </c>
      <c r="H184">
        <f>MAX(0,CEILING(ROUND($F184*Inputs!$B$10/30*Inputs!$B$7,6),1)-$E184)</f>
        <v/>
      </c>
      <c r="I184">
        <f>MAX(0,CEILING(ROUND($F184*Inputs!$B$11/30*Inputs!$B$7,6),1)-$E184)</f>
        <v/>
      </c>
      <c r="J184">
        <f>MAX(0,CEILING(ROUND($F184*Inputs!$B$12/30*Inputs!$B$7,6),1)-$E184)</f>
        <v/>
      </c>
      <c r="K184">
        <f>IF(AND($F184&gt;0,$E184&lt;=0),1,0)</f>
        <v/>
      </c>
      <c r="L184">
        <f>INDEX(Lots_Data!$S$2:$S$234,MATCH($A184,Lots_Data!$A$2:$A$234,0))</f>
        <v/>
      </c>
      <c r="M184">
        <f>INDEX(Lots_Data!$N$2:$N$234,MATCH($A184,Lots_Data!$A$2:$A$234,0))</f>
        <v/>
      </c>
      <c r="N184">
        <f>IF($F184=0,"n/a",IF($L184&gt;=$F184/30*$M184,"adequate","under-set"))</f>
        <v/>
      </c>
    </row>
    <row r="185">
      <c r="A185" t="inlineStr">
        <is>
          <t>SS-01182</t>
        </is>
      </c>
      <c r="B185">
        <f>INDEX(Lots_Data!$C$2:$C$234,MATCH($A185,Lots_Data!$A$2:$A$234,0))</f>
        <v/>
      </c>
      <c r="C185">
        <f>INDEX(Lots_Data!$E$2:$E$234,MATCH($A185,Lots_Data!$A$2:$A$234,0))</f>
        <v/>
      </c>
      <c r="D185">
        <f>INDEX(Lots_Data!$D$2:$D$234,MATCH($A185,Lots_Data!$A$2:$A$234,0))</f>
        <v/>
      </c>
      <c r="E185">
        <f>INDEX(Lots_Data!$K$2:$K$234,MATCH($A185,Lots_Data!$A$2:$A$234,0))</f>
        <v/>
      </c>
      <c r="F185">
        <f>INDEX(Usage_Summary!$C$4:$C$236,MATCH($A185,Usage_Summary!$A$4:$A$236,0))</f>
        <v/>
      </c>
      <c r="G185">
        <f>IF($F185&gt;0,$E185/$F185*30,"")</f>
        <v/>
      </c>
      <c r="H185">
        <f>MAX(0,CEILING(ROUND($F185*Inputs!$B$10/30*Inputs!$B$7,6),1)-$E185)</f>
        <v/>
      </c>
      <c r="I185">
        <f>MAX(0,CEILING(ROUND($F185*Inputs!$B$11/30*Inputs!$B$7,6),1)-$E185)</f>
        <v/>
      </c>
      <c r="J185">
        <f>MAX(0,CEILING(ROUND($F185*Inputs!$B$12/30*Inputs!$B$7,6),1)-$E185)</f>
        <v/>
      </c>
      <c r="K185">
        <f>IF(AND($F185&gt;0,$E185&lt;=0),1,0)</f>
        <v/>
      </c>
      <c r="L185">
        <f>INDEX(Lots_Data!$S$2:$S$234,MATCH($A185,Lots_Data!$A$2:$A$234,0))</f>
        <v/>
      </c>
      <c r="M185">
        <f>INDEX(Lots_Data!$N$2:$N$234,MATCH($A185,Lots_Data!$A$2:$A$234,0))</f>
        <v/>
      </c>
      <c r="N185">
        <f>IF($F185=0,"n/a",IF($L185&gt;=$F185/30*$M185,"adequate","under-set"))</f>
        <v/>
      </c>
    </row>
    <row r="186">
      <c r="A186" t="inlineStr">
        <is>
          <t>SS-01183</t>
        </is>
      </c>
      <c r="B186">
        <f>INDEX(Lots_Data!$C$2:$C$234,MATCH($A186,Lots_Data!$A$2:$A$234,0))</f>
        <v/>
      </c>
      <c r="C186">
        <f>INDEX(Lots_Data!$E$2:$E$234,MATCH($A186,Lots_Data!$A$2:$A$234,0))</f>
        <v/>
      </c>
      <c r="D186">
        <f>INDEX(Lots_Data!$D$2:$D$234,MATCH($A186,Lots_Data!$A$2:$A$234,0))</f>
        <v/>
      </c>
      <c r="E186">
        <f>INDEX(Lots_Data!$K$2:$K$234,MATCH($A186,Lots_Data!$A$2:$A$234,0))</f>
        <v/>
      </c>
      <c r="F186">
        <f>INDEX(Usage_Summary!$C$4:$C$236,MATCH($A186,Usage_Summary!$A$4:$A$236,0))</f>
        <v/>
      </c>
      <c r="G186">
        <f>IF($F186&gt;0,$E186/$F186*30,"")</f>
        <v/>
      </c>
      <c r="H186">
        <f>MAX(0,CEILING(ROUND($F186*Inputs!$B$10/30*Inputs!$B$7,6),1)-$E186)</f>
        <v/>
      </c>
      <c r="I186">
        <f>MAX(0,CEILING(ROUND($F186*Inputs!$B$11/30*Inputs!$B$7,6),1)-$E186)</f>
        <v/>
      </c>
      <c r="J186">
        <f>MAX(0,CEILING(ROUND($F186*Inputs!$B$12/30*Inputs!$B$7,6),1)-$E186)</f>
        <v/>
      </c>
      <c r="K186">
        <f>IF(AND($F186&gt;0,$E186&lt;=0),1,0)</f>
        <v/>
      </c>
      <c r="L186">
        <f>INDEX(Lots_Data!$S$2:$S$234,MATCH($A186,Lots_Data!$A$2:$A$234,0))</f>
        <v/>
      </c>
      <c r="M186">
        <f>INDEX(Lots_Data!$N$2:$N$234,MATCH($A186,Lots_Data!$A$2:$A$234,0))</f>
        <v/>
      </c>
      <c r="N186">
        <f>IF($F186=0,"n/a",IF($L186&gt;=$F186/30*$M186,"adequate","under-set"))</f>
        <v/>
      </c>
    </row>
    <row r="187">
      <c r="A187" t="inlineStr">
        <is>
          <t>SS-01184</t>
        </is>
      </c>
      <c r="B187">
        <f>INDEX(Lots_Data!$C$2:$C$234,MATCH($A187,Lots_Data!$A$2:$A$234,0))</f>
        <v/>
      </c>
      <c r="C187">
        <f>INDEX(Lots_Data!$E$2:$E$234,MATCH($A187,Lots_Data!$A$2:$A$234,0))</f>
        <v/>
      </c>
      <c r="D187">
        <f>INDEX(Lots_Data!$D$2:$D$234,MATCH($A187,Lots_Data!$A$2:$A$234,0))</f>
        <v/>
      </c>
      <c r="E187">
        <f>INDEX(Lots_Data!$K$2:$K$234,MATCH($A187,Lots_Data!$A$2:$A$234,0))</f>
        <v/>
      </c>
      <c r="F187">
        <f>INDEX(Usage_Summary!$C$4:$C$236,MATCH($A187,Usage_Summary!$A$4:$A$236,0))</f>
        <v/>
      </c>
      <c r="G187">
        <f>IF($F187&gt;0,$E187/$F187*30,"")</f>
        <v/>
      </c>
      <c r="H187">
        <f>MAX(0,CEILING(ROUND($F187*Inputs!$B$10/30*Inputs!$B$7,6),1)-$E187)</f>
        <v/>
      </c>
      <c r="I187">
        <f>MAX(0,CEILING(ROUND($F187*Inputs!$B$11/30*Inputs!$B$7,6),1)-$E187)</f>
        <v/>
      </c>
      <c r="J187">
        <f>MAX(0,CEILING(ROUND($F187*Inputs!$B$12/30*Inputs!$B$7,6),1)-$E187)</f>
        <v/>
      </c>
      <c r="K187">
        <f>IF(AND($F187&gt;0,$E187&lt;=0),1,0)</f>
        <v/>
      </c>
      <c r="L187">
        <f>INDEX(Lots_Data!$S$2:$S$234,MATCH($A187,Lots_Data!$A$2:$A$234,0))</f>
        <v/>
      </c>
      <c r="M187">
        <f>INDEX(Lots_Data!$N$2:$N$234,MATCH($A187,Lots_Data!$A$2:$A$234,0))</f>
        <v/>
      </c>
      <c r="N187">
        <f>IF($F187=0,"n/a",IF($L187&gt;=$F187/30*$M187,"adequate","under-set"))</f>
        <v/>
      </c>
    </row>
    <row r="188">
      <c r="A188" t="inlineStr">
        <is>
          <t>SS-01185</t>
        </is>
      </c>
      <c r="B188">
        <f>INDEX(Lots_Data!$C$2:$C$234,MATCH($A188,Lots_Data!$A$2:$A$234,0))</f>
        <v/>
      </c>
      <c r="C188">
        <f>INDEX(Lots_Data!$E$2:$E$234,MATCH($A188,Lots_Data!$A$2:$A$234,0))</f>
        <v/>
      </c>
      <c r="D188">
        <f>INDEX(Lots_Data!$D$2:$D$234,MATCH($A188,Lots_Data!$A$2:$A$234,0))</f>
        <v/>
      </c>
      <c r="E188">
        <f>INDEX(Lots_Data!$K$2:$K$234,MATCH($A188,Lots_Data!$A$2:$A$234,0))</f>
        <v/>
      </c>
      <c r="F188">
        <f>INDEX(Usage_Summary!$C$4:$C$236,MATCH($A188,Usage_Summary!$A$4:$A$236,0))</f>
        <v/>
      </c>
      <c r="G188">
        <f>IF($F188&gt;0,$E188/$F188*30,"")</f>
        <v/>
      </c>
      <c r="H188">
        <f>MAX(0,CEILING(ROUND($F188*Inputs!$B$10/30*Inputs!$B$7,6),1)-$E188)</f>
        <v/>
      </c>
      <c r="I188">
        <f>MAX(0,CEILING(ROUND($F188*Inputs!$B$11/30*Inputs!$B$7,6),1)-$E188)</f>
        <v/>
      </c>
      <c r="J188">
        <f>MAX(0,CEILING(ROUND($F188*Inputs!$B$12/30*Inputs!$B$7,6),1)-$E188)</f>
        <v/>
      </c>
      <c r="K188">
        <f>IF(AND($F188&gt;0,$E188&lt;=0),1,0)</f>
        <v/>
      </c>
      <c r="L188">
        <f>INDEX(Lots_Data!$S$2:$S$234,MATCH($A188,Lots_Data!$A$2:$A$234,0))</f>
        <v/>
      </c>
      <c r="M188">
        <f>INDEX(Lots_Data!$N$2:$N$234,MATCH($A188,Lots_Data!$A$2:$A$234,0))</f>
        <v/>
      </c>
      <c r="N188">
        <f>IF($F188=0,"n/a",IF($L188&gt;=$F188/30*$M188,"adequate","under-set"))</f>
        <v/>
      </c>
    </row>
    <row r="189">
      <c r="A189" t="inlineStr">
        <is>
          <t>SS-01186</t>
        </is>
      </c>
      <c r="B189">
        <f>INDEX(Lots_Data!$C$2:$C$234,MATCH($A189,Lots_Data!$A$2:$A$234,0))</f>
        <v/>
      </c>
      <c r="C189">
        <f>INDEX(Lots_Data!$E$2:$E$234,MATCH($A189,Lots_Data!$A$2:$A$234,0))</f>
        <v/>
      </c>
      <c r="D189">
        <f>INDEX(Lots_Data!$D$2:$D$234,MATCH($A189,Lots_Data!$A$2:$A$234,0))</f>
        <v/>
      </c>
      <c r="E189">
        <f>INDEX(Lots_Data!$K$2:$K$234,MATCH($A189,Lots_Data!$A$2:$A$234,0))</f>
        <v/>
      </c>
      <c r="F189">
        <f>INDEX(Usage_Summary!$C$4:$C$236,MATCH($A189,Usage_Summary!$A$4:$A$236,0))</f>
        <v/>
      </c>
      <c r="G189">
        <f>IF($F189&gt;0,$E189/$F189*30,"")</f>
        <v/>
      </c>
      <c r="H189">
        <f>MAX(0,CEILING(ROUND($F189*Inputs!$B$10/30*Inputs!$B$7,6),1)-$E189)</f>
        <v/>
      </c>
      <c r="I189">
        <f>MAX(0,CEILING(ROUND($F189*Inputs!$B$11/30*Inputs!$B$7,6),1)-$E189)</f>
        <v/>
      </c>
      <c r="J189">
        <f>MAX(0,CEILING(ROUND($F189*Inputs!$B$12/30*Inputs!$B$7,6),1)-$E189)</f>
        <v/>
      </c>
      <c r="K189">
        <f>IF(AND($F189&gt;0,$E189&lt;=0),1,0)</f>
        <v/>
      </c>
      <c r="L189">
        <f>INDEX(Lots_Data!$S$2:$S$234,MATCH($A189,Lots_Data!$A$2:$A$234,0))</f>
        <v/>
      </c>
      <c r="M189">
        <f>INDEX(Lots_Data!$N$2:$N$234,MATCH($A189,Lots_Data!$A$2:$A$234,0))</f>
        <v/>
      </c>
      <c r="N189">
        <f>IF($F189=0,"n/a",IF($L189&gt;=$F189/30*$M189,"adequate","under-set"))</f>
        <v/>
      </c>
    </row>
    <row r="190">
      <c r="A190" t="inlineStr">
        <is>
          <t>SS-01187</t>
        </is>
      </c>
      <c r="B190">
        <f>INDEX(Lots_Data!$C$2:$C$234,MATCH($A190,Lots_Data!$A$2:$A$234,0))</f>
        <v/>
      </c>
      <c r="C190">
        <f>INDEX(Lots_Data!$E$2:$E$234,MATCH($A190,Lots_Data!$A$2:$A$234,0))</f>
        <v/>
      </c>
      <c r="D190">
        <f>INDEX(Lots_Data!$D$2:$D$234,MATCH($A190,Lots_Data!$A$2:$A$234,0))</f>
        <v/>
      </c>
      <c r="E190">
        <f>INDEX(Lots_Data!$K$2:$K$234,MATCH($A190,Lots_Data!$A$2:$A$234,0))</f>
        <v/>
      </c>
      <c r="F190">
        <f>INDEX(Usage_Summary!$C$4:$C$236,MATCH($A190,Usage_Summary!$A$4:$A$236,0))</f>
        <v/>
      </c>
      <c r="G190">
        <f>IF($F190&gt;0,$E190/$F190*30,"")</f>
        <v/>
      </c>
      <c r="H190">
        <f>MAX(0,CEILING(ROUND($F190*Inputs!$B$10/30*Inputs!$B$7,6),1)-$E190)</f>
        <v/>
      </c>
      <c r="I190">
        <f>MAX(0,CEILING(ROUND($F190*Inputs!$B$11/30*Inputs!$B$7,6),1)-$E190)</f>
        <v/>
      </c>
      <c r="J190">
        <f>MAX(0,CEILING(ROUND($F190*Inputs!$B$12/30*Inputs!$B$7,6),1)-$E190)</f>
        <v/>
      </c>
      <c r="K190">
        <f>IF(AND($F190&gt;0,$E190&lt;=0),1,0)</f>
        <v/>
      </c>
      <c r="L190">
        <f>INDEX(Lots_Data!$S$2:$S$234,MATCH($A190,Lots_Data!$A$2:$A$234,0))</f>
        <v/>
      </c>
      <c r="M190">
        <f>INDEX(Lots_Data!$N$2:$N$234,MATCH($A190,Lots_Data!$A$2:$A$234,0))</f>
        <v/>
      </c>
      <c r="N190">
        <f>IF($F190=0,"n/a",IF($L190&gt;=$F190/30*$M190,"adequate","under-set"))</f>
        <v/>
      </c>
    </row>
    <row r="191">
      <c r="A191" t="inlineStr">
        <is>
          <t>SS-01188</t>
        </is>
      </c>
      <c r="B191">
        <f>INDEX(Lots_Data!$C$2:$C$234,MATCH($A191,Lots_Data!$A$2:$A$234,0))</f>
        <v/>
      </c>
      <c r="C191">
        <f>INDEX(Lots_Data!$E$2:$E$234,MATCH($A191,Lots_Data!$A$2:$A$234,0))</f>
        <v/>
      </c>
      <c r="D191">
        <f>INDEX(Lots_Data!$D$2:$D$234,MATCH($A191,Lots_Data!$A$2:$A$234,0))</f>
        <v/>
      </c>
      <c r="E191">
        <f>INDEX(Lots_Data!$K$2:$K$234,MATCH($A191,Lots_Data!$A$2:$A$234,0))</f>
        <v/>
      </c>
      <c r="F191">
        <f>INDEX(Usage_Summary!$C$4:$C$236,MATCH($A191,Usage_Summary!$A$4:$A$236,0))</f>
        <v/>
      </c>
      <c r="G191">
        <f>IF($F191&gt;0,$E191/$F191*30,"")</f>
        <v/>
      </c>
      <c r="H191">
        <f>MAX(0,CEILING(ROUND($F191*Inputs!$B$10/30*Inputs!$B$7,6),1)-$E191)</f>
        <v/>
      </c>
      <c r="I191">
        <f>MAX(0,CEILING(ROUND($F191*Inputs!$B$11/30*Inputs!$B$7,6),1)-$E191)</f>
        <v/>
      </c>
      <c r="J191">
        <f>MAX(0,CEILING(ROUND($F191*Inputs!$B$12/30*Inputs!$B$7,6),1)-$E191)</f>
        <v/>
      </c>
      <c r="K191">
        <f>IF(AND($F191&gt;0,$E191&lt;=0),1,0)</f>
        <v/>
      </c>
      <c r="L191">
        <f>INDEX(Lots_Data!$S$2:$S$234,MATCH($A191,Lots_Data!$A$2:$A$234,0))</f>
        <v/>
      </c>
      <c r="M191">
        <f>INDEX(Lots_Data!$N$2:$N$234,MATCH($A191,Lots_Data!$A$2:$A$234,0))</f>
        <v/>
      </c>
      <c r="N191">
        <f>IF($F191=0,"n/a",IF($L191&gt;=$F191/30*$M191,"adequate","under-set"))</f>
        <v/>
      </c>
    </row>
    <row r="192">
      <c r="A192" t="inlineStr">
        <is>
          <t>SS-01189</t>
        </is>
      </c>
      <c r="B192">
        <f>INDEX(Lots_Data!$C$2:$C$234,MATCH($A192,Lots_Data!$A$2:$A$234,0))</f>
        <v/>
      </c>
      <c r="C192">
        <f>INDEX(Lots_Data!$E$2:$E$234,MATCH($A192,Lots_Data!$A$2:$A$234,0))</f>
        <v/>
      </c>
      <c r="D192">
        <f>INDEX(Lots_Data!$D$2:$D$234,MATCH($A192,Lots_Data!$A$2:$A$234,0))</f>
        <v/>
      </c>
      <c r="E192">
        <f>INDEX(Lots_Data!$K$2:$K$234,MATCH($A192,Lots_Data!$A$2:$A$234,0))</f>
        <v/>
      </c>
      <c r="F192">
        <f>INDEX(Usage_Summary!$C$4:$C$236,MATCH($A192,Usage_Summary!$A$4:$A$236,0))</f>
        <v/>
      </c>
      <c r="G192">
        <f>IF($F192&gt;0,$E192/$F192*30,"")</f>
        <v/>
      </c>
      <c r="H192">
        <f>MAX(0,CEILING(ROUND($F192*Inputs!$B$10/30*Inputs!$B$7,6),1)-$E192)</f>
        <v/>
      </c>
      <c r="I192">
        <f>MAX(0,CEILING(ROUND($F192*Inputs!$B$11/30*Inputs!$B$7,6),1)-$E192)</f>
        <v/>
      </c>
      <c r="J192">
        <f>MAX(0,CEILING(ROUND($F192*Inputs!$B$12/30*Inputs!$B$7,6),1)-$E192)</f>
        <v/>
      </c>
      <c r="K192">
        <f>IF(AND($F192&gt;0,$E192&lt;=0),1,0)</f>
        <v/>
      </c>
      <c r="L192">
        <f>INDEX(Lots_Data!$S$2:$S$234,MATCH($A192,Lots_Data!$A$2:$A$234,0))</f>
        <v/>
      </c>
      <c r="M192">
        <f>INDEX(Lots_Data!$N$2:$N$234,MATCH($A192,Lots_Data!$A$2:$A$234,0))</f>
        <v/>
      </c>
      <c r="N192">
        <f>IF($F192=0,"n/a",IF($L192&gt;=$F192/30*$M192,"adequate","under-set"))</f>
        <v/>
      </c>
    </row>
    <row r="193">
      <c r="A193" t="inlineStr">
        <is>
          <t>SS-01190</t>
        </is>
      </c>
      <c r="B193">
        <f>INDEX(Lots_Data!$C$2:$C$234,MATCH($A193,Lots_Data!$A$2:$A$234,0))</f>
        <v/>
      </c>
      <c r="C193">
        <f>INDEX(Lots_Data!$E$2:$E$234,MATCH($A193,Lots_Data!$A$2:$A$234,0))</f>
        <v/>
      </c>
      <c r="D193">
        <f>INDEX(Lots_Data!$D$2:$D$234,MATCH($A193,Lots_Data!$A$2:$A$234,0))</f>
        <v/>
      </c>
      <c r="E193">
        <f>INDEX(Lots_Data!$K$2:$K$234,MATCH($A193,Lots_Data!$A$2:$A$234,0))</f>
        <v/>
      </c>
      <c r="F193">
        <f>INDEX(Usage_Summary!$C$4:$C$236,MATCH($A193,Usage_Summary!$A$4:$A$236,0))</f>
        <v/>
      </c>
      <c r="G193">
        <f>IF($F193&gt;0,$E193/$F193*30,"")</f>
        <v/>
      </c>
      <c r="H193">
        <f>MAX(0,CEILING(ROUND($F193*Inputs!$B$10/30*Inputs!$B$7,6),1)-$E193)</f>
        <v/>
      </c>
      <c r="I193">
        <f>MAX(0,CEILING(ROUND($F193*Inputs!$B$11/30*Inputs!$B$7,6),1)-$E193)</f>
        <v/>
      </c>
      <c r="J193">
        <f>MAX(0,CEILING(ROUND($F193*Inputs!$B$12/30*Inputs!$B$7,6),1)-$E193)</f>
        <v/>
      </c>
      <c r="K193">
        <f>IF(AND($F193&gt;0,$E193&lt;=0),1,0)</f>
        <v/>
      </c>
      <c r="L193">
        <f>INDEX(Lots_Data!$S$2:$S$234,MATCH($A193,Lots_Data!$A$2:$A$234,0))</f>
        <v/>
      </c>
      <c r="M193">
        <f>INDEX(Lots_Data!$N$2:$N$234,MATCH($A193,Lots_Data!$A$2:$A$234,0))</f>
        <v/>
      </c>
      <c r="N193">
        <f>IF($F193=0,"n/a",IF($L193&gt;=$F193/30*$M193,"adequate","under-set"))</f>
        <v/>
      </c>
    </row>
    <row r="194">
      <c r="A194" t="inlineStr">
        <is>
          <t>SS-01191</t>
        </is>
      </c>
      <c r="B194">
        <f>INDEX(Lots_Data!$C$2:$C$234,MATCH($A194,Lots_Data!$A$2:$A$234,0))</f>
        <v/>
      </c>
      <c r="C194">
        <f>INDEX(Lots_Data!$E$2:$E$234,MATCH($A194,Lots_Data!$A$2:$A$234,0))</f>
        <v/>
      </c>
      <c r="D194">
        <f>INDEX(Lots_Data!$D$2:$D$234,MATCH($A194,Lots_Data!$A$2:$A$234,0))</f>
        <v/>
      </c>
      <c r="E194">
        <f>INDEX(Lots_Data!$K$2:$K$234,MATCH($A194,Lots_Data!$A$2:$A$234,0))</f>
        <v/>
      </c>
      <c r="F194">
        <f>INDEX(Usage_Summary!$C$4:$C$236,MATCH($A194,Usage_Summary!$A$4:$A$236,0))</f>
        <v/>
      </c>
      <c r="G194">
        <f>IF($F194&gt;0,$E194/$F194*30,"")</f>
        <v/>
      </c>
      <c r="H194">
        <f>MAX(0,CEILING(ROUND($F194*Inputs!$B$10/30*Inputs!$B$7,6),1)-$E194)</f>
        <v/>
      </c>
      <c r="I194">
        <f>MAX(0,CEILING(ROUND($F194*Inputs!$B$11/30*Inputs!$B$7,6),1)-$E194)</f>
        <v/>
      </c>
      <c r="J194">
        <f>MAX(0,CEILING(ROUND($F194*Inputs!$B$12/30*Inputs!$B$7,6),1)-$E194)</f>
        <v/>
      </c>
      <c r="K194">
        <f>IF(AND($F194&gt;0,$E194&lt;=0),1,0)</f>
        <v/>
      </c>
      <c r="L194">
        <f>INDEX(Lots_Data!$S$2:$S$234,MATCH($A194,Lots_Data!$A$2:$A$234,0))</f>
        <v/>
      </c>
      <c r="M194">
        <f>INDEX(Lots_Data!$N$2:$N$234,MATCH($A194,Lots_Data!$A$2:$A$234,0))</f>
        <v/>
      </c>
      <c r="N194">
        <f>IF($F194=0,"n/a",IF($L194&gt;=$F194/30*$M194,"adequate","under-set"))</f>
        <v/>
      </c>
    </row>
    <row r="195">
      <c r="A195" t="inlineStr">
        <is>
          <t>SS-01192</t>
        </is>
      </c>
      <c r="B195">
        <f>INDEX(Lots_Data!$C$2:$C$234,MATCH($A195,Lots_Data!$A$2:$A$234,0))</f>
        <v/>
      </c>
      <c r="C195">
        <f>INDEX(Lots_Data!$E$2:$E$234,MATCH($A195,Lots_Data!$A$2:$A$234,0))</f>
        <v/>
      </c>
      <c r="D195">
        <f>INDEX(Lots_Data!$D$2:$D$234,MATCH($A195,Lots_Data!$A$2:$A$234,0))</f>
        <v/>
      </c>
      <c r="E195">
        <f>INDEX(Lots_Data!$K$2:$K$234,MATCH($A195,Lots_Data!$A$2:$A$234,0))</f>
        <v/>
      </c>
      <c r="F195">
        <f>INDEX(Usage_Summary!$C$4:$C$236,MATCH($A195,Usage_Summary!$A$4:$A$236,0))</f>
        <v/>
      </c>
      <c r="G195">
        <f>IF($F195&gt;0,$E195/$F195*30,"")</f>
        <v/>
      </c>
      <c r="H195">
        <f>MAX(0,CEILING(ROUND($F195*Inputs!$B$10/30*Inputs!$B$7,6),1)-$E195)</f>
        <v/>
      </c>
      <c r="I195">
        <f>MAX(0,CEILING(ROUND($F195*Inputs!$B$11/30*Inputs!$B$7,6),1)-$E195)</f>
        <v/>
      </c>
      <c r="J195">
        <f>MAX(0,CEILING(ROUND($F195*Inputs!$B$12/30*Inputs!$B$7,6),1)-$E195)</f>
        <v/>
      </c>
      <c r="K195">
        <f>IF(AND($F195&gt;0,$E195&lt;=0),1,0)</f>
        <v/>
      </c>
      <c r="L195">
        <f>INDEX(Lots_Data!$S$2:$S$234,MATCH($A195,Lots_Data!$A$2:$A$234,0))</f>
        <v/>
      </c>
      <c r="M195">
        <f>INDEX(Lots_Data!$N$2:$N$234,MATCH($A195,Lots_Data!$A$2:$A$234,0))</f>
        <v/>
      </c>
      <c r="N195">
        <f>IF($F195=0,"n/a",IF($L195&gt;=$F195/30*$M195,"adequate","under-set"))</f>
        <v/>
      </c>
    </row>
    <row r="196">
      <c r="A196" t="inlineStr">
        <is>
          <t>SS-01193</t>
        </is>
      </c>
      <c r="B196">
        <f>INDEX(Lots_Data!$C$2:$C$234,MATCH($A196,Lots_Data!$A$2:$A$234,0))</f>
        <v/>
      </c>
      <c r="C196">
        <f>INDEX(Lots_Data!$E$2:$E$234,MATCH($A196,Lots_Data!$A$2:$A$234,0))</f>
        <v/>
      </c>
      <c r="D196">
        <f>INDEX(Lots_Data!$D$2:$D$234,MATCH($A196,Lots_Data!$A$2:$A$234,0))</f>
        <v/>
      </c>
      <c r="E196">
        <f>INDEX(Lots_Data!$K$2:$K$234,MATCH($A196,Lots_Data!$A$2:$A$234,0))</f>
        <v/>
      </c>
      <c r="F196">
        <f>INDEX(Usage_Summary!$C$4:$C$236,MATCH($A196,Usage_Summary!$A$4:$A$236,0))</f>
        <v/>
      </c>
      <c r="G196">
        <f>IF($F196&gt;0,$E196/$F196*30,"")</f>
        <v/>
      </c>
      <c r="H196">
        <f>MAX(0,CEILING(ROUND($F196*Inputs!$B$10/30*Inputs!$B$7,6),1)-$E196)</f>
        <v/>
      </c>
      <c r="I196">
        <f>MAX(0,CEILING(ROUND($F196*Inputs!$B$11/30*Inputs!$B$7,6),1)-$E196)</f>
        <v/>
      </c>
      <c r="J196">
        <f>MAX(0,CEILING(ROUND($F196*Inputs!$B$12/30*Inputs!$B$7,6),1)-$E196)</f>
        <v/>
      </c>
      <c r="K196">
        <f>IF(AND($F196&gt;0,$E196&lt;=0),1,0)</f>
        <v/>
      </c>
      <c r="L196">
        <f>INDEX(Lots_Data!$S$2:$S$234,MATCH($A196,Lots_Data!$A$2:$A$234,0))</f>
        <v/>
      </c>
      <c r="M196">
        <f>INDEX(Lots_Data!$N$2:$N$234,MATCH($A196,Lots_Data!$A$2:$A$234,0))</f>
        <v/>
      </c>
      <c r="N196">
        <f>IF($F196=0,"n/a",IF($L196&gt;=$F196/30*$M196,"adequate","under-set"))</f>
        <v/>
      </c>
    </row>
    <row r="197">
      <c r="A197" t="inlineStr">
        <is>
          <t>SS-01194</t>
        </is>
      </c>
      <c r="B197">
        <f>INDEX(Lots_Data!$C$2:$C$234,MATCH($A197,Lots_Data!$A$2:$A$234,0))</f>
        <v/>
      </c>
      <c r="C197">
        <f>INDEX(Lots_Data!$E$2:$E$234,MATCH($A197,Lots_Data!$A$2:$A$234,0))</f>
        <v/>
      </c>
      <c r="D197">
        <f>INDEX(Lots_Data!$D$2:$D$234,MATCH($A197,Lots_Data!$A$2:$A$234,0))</f>
        <v/>
      </c>
      <c r="E197">
        <f>INDEX(Lots_Data!$K$2:$K$234,MATCH($A197,Lots_Data!$A$2:$A$234,0))</f>
        <v/>
      </c>
      <c r="F197">
        <f>INDEX(Usage_Summary!$C$4:$C$236,MATCH($A197,Usage_Summary!$A$4:$A$236,0))</f>
        <v/>
      </c>
      <c r="G197">
        <f>IF($F197&gt;0,$E197/$F197*30,"")</f>
        <v/>
      </c>
      <c r="H197">
        <f>MAX(0,CEILING(ROUND($F197*Inputs!$B$10/30*Inputs!$B$7,6),1)-$E197)</f>
        <v/>
      </c>
      <c r="I197">
        <f>MAX(0,CEILING(ROUND($F197*Inputs!$B$11/30*Inputs!$B$7,6),1)-$E197)</f>
        <v/>
      </c>
      <c r="J197">
        <f>MAX(0,CEILING(ROUND($F197*Inputs!$B$12/30*Inputs!$B$7,6),1)-$E197)</f>
        <v/>
      </c>
      <c r="K197">
        <f>IF(AND($F197&gt;0,$E197&lt;=0),1,0)</f>
        <v/>
      </c>
      <c r="L197">
        <f>INDEX(Lots_Data!$S$2:$S$234,MATCH($A197,Lots_Data!$A$2:$A$234,0))</f>
        <v/>
      </c>
      <c r="M197">
        <f>INDEX(Lots_Data!$N$2:$N$234,MATCH($A197,Lots_Data!$A$2:$A$234,0))</f>
        <v/>
      </c>
      <c r="N197">
        <f>IF($F197=0,"n/a",IF($L197&gt;=$F197/30*$M197,"adequate","under-set"))</f>
        <v/>
      </c>
    </row>
    <row r="198">
      <c r="A198" t="inlineStr">
        <is>
          <t>SS-01195</t>
        </is>
      </c>
      <c r="B198">
        <f>INDEX(Lots_Data!$C$2:$C$234,MATCH($A198,Lots_Data!$A$2:$A$234,0))</f>
        <v/>
      </c>
      <c r="C198">
        <f>INDEX(Lots_Data!$E$2:$E$234,MATCH($A198,Lots_Data!$A$2:$A$234,0))</f>
        <v/>
      </c>
      <c r="D198">
        <f>INDEX(Lots_Data!$D$2:$D$234,MATCH($A198,Lots_Data!$A$2:$A$234,0))</f>
        <v/>
      </c>
      <c r="E198">
        <f>INDEX(Lots_Data!$K$2:$K$234,MATCH($A198,Lots_Data!$A$2:$A$234,0))</f>
        <v/>
      </c>
      <c r="F198">
        <f>INDEX(Usage_Summary!$C$4:$C$236,MATCH($A198,Usage_Summary!$A$4:$A$236,0))</f>
        <v/>
      </c>
      <c r="G198">
        <f>IF($F198&gt;0,$E198/$F198*30,"")</f>
        <v/>
      </c>
      <c r="H198">
        <f>MAX(0,CEILING(ROUND($F198*Inputs!$B$10/30*Inputs!$B$7,6),1)-$E198)</f>
        <v/>
      </c>
      <c r="I198">
        <f>MAX(0,CEILING(ROUND($F198*Inputs!$B$11/30*Inputs!$B$7,6),1)-$E198)</f>
        <v/>
      </c>
      <c r="J198">
        <f>MAX(0,CEILING(ROUND($F198*Inputs!$B$12/30*Inputs!$B$7,6),1)-$E198)</f>
        <v/>
      </c>
      <c r="K198">
        <f>IF(AND($F198&gt;0,$E198&lt;=0),1,0)</f>
        <v/>
      </c>
      <c r="L198">
        <f>INDEX(Lots_Data!$S$2:$S$234,MATCH($A198,Lots_Data!$A$2:$A$234,0))</f>
        <v/>
      </c>
      <c r="M198">
        <f>INDEX(Lots_Data!$N$2:$N$234,MATCH($A198,Lots_Data!$A$2:$A$234,0))</f>
        <v/>
      </c>
      <c r="N198">
        <f>IF($F198=0,"n/a",IF($L198&gt;=$F198/30*$M198,"adequate","under-set"))</f>
        <v/>
      </c>
    </row>
    <row r="199">
      <c r="A199" t="inlineStr">
        <is>
          <t>SS-01196</t>
        </is>
      </c>
      <c r="B199">
        <f>INDEX(Lots_Data!$C$2:$C$234,MATCH($A199,Lots_Data!$A$2:$A$234,0))</f>
        <v/>
      </c>
      <c r="C199">
        <f>INDEX(Lots_Data!$E$2:$E$234,MATCH($A199,Lots_Data!$A$2:$A$234,0))</f>
        <v/>
      </c>
      <c r="D199">
        <f>INDEX(Lots_Data!$D$2:$D$234,MATCH($A199,Lots_Data!$A$2:$A$234,0))</f>
        <v/>
      </c>
      <c r="E199">
        <f>INDEX(Lots_Data!$K$2:$K$234,MATCH($A199,Lots_Data!$A$2:$A$234,0))</f>
        <v/>
      </c>
      <c r="F199">
        <f>INDEX(Usage_Summary!$C$4:$C$236,MATCH($A199,Usage_Summary!$A$4:$A$236,0))</f>
        <v/>
      </c>
      <c r="G199">
        <f>IF($F199&gt;0,$E199/$F199*30,"")</f>
        <v/>
      </c>
      <c r="H199">
        <f>MAX(0,CEILING(ROUND($F199*Inputs!$B$10/30*Inputs!$B$7,6),1)-$E199)</f>
        <v/>
      </c>
      <c r="I199">
        <f>MAX(0,CEILING(ROUND($F199*Inputs!$B$11/30*Inputs!$B$7,6),1)-$E199)</f>
        <v/>
      </c>
      <c r="J199">
        <f>MAX(0,CEILING(ROUND($F199*Inputs!$B$12/30*Inputs!$B$7,6),1)-$E199)</f>
        <v/>
      </c>
      <c r="K199">
        <f>IF(AND($F199&gt;0,$E199&lt;=0),1,0)</f>
        <v/>
      </c>
      <c r="L199">
        <f>INDEX(Lots_Data!$S$2:$S$234,MATCH($A199,Lots_Data!$A$2:$A$234,0))</f>
        <v/>
      </c>
      <c r="M199">
        <f>INDEX(Lots_Data!$N$2:$N$234,MATCH($A199,Lots_Data!$A$2:$A$234,0))</f>
        <v/>
      </c>
      <c r="N199">
        <f>IF($F199=0,"n/a",IF($L199&gt;=$F199/30*$M199,"adequate","under-set"))</f>
        <v/>
      </c>
    </row>
    <row r="200">
      <c r="A200" t="inlineStr">
        <is>
          <t>SS-01197</t>
        </is>
      </c>
      <c r="B200">
        <f>INDEX(Lots_Data!$C$2:$C$234,MATCH($A200,Lots_Data!$A$2:$A$234,0))</f>
        <v/>
      </c>
      <c r="C200">
        <f>INDEX(Lots_Data!$E$2:$E$234,MATCH($A200,Lots_Data!$A$2:$A$234,0))</f>
        <v/>
      </c>
      <c r="D200">
        <f>INDEX(Lots_Data!$D$2:$D$234,MATCH($A200,Lots_Data!$A$2:$A$234,0))</f>
        <v/>
      </c>
      <c r="E200">
        <f>INDEX(Lots_Data!$K$2:$K$234,MATCH($A200,Lots_Data!$A$2:$A$234,0))</f>
        <v/>
      </c>
      <c r="F200">
        <f>INDEX(Usage_Summary!$C$4:$C$236,MATCH($A200,Usage_Summary!$A$4:$A$236,0))</f>
        <v/>
      </c>
      <c r="G200">
        <f>IF($F200&gt;0,$E200/$F200*30,"")</f>
        <v/>
      </c>
      <c r="H200">
        <f>MAX(0,CEILING(ROUND($F200*Inputs!$B$10/30*Inputs!$B$7,6),1)-$E200)</f>
        <v/>
      </c>
      <c r="I200">
        <f>MAX(0,CEILING(ROUND($F200*Inputs!$B$11/30*Inputs!$B$7,6),1)-$E200)</f>
        <v/>
      </c>
      <c r="J200">
        <f>MAX(0,CEILING(ROUND($F200*Inputs!$B$12/30*Inputs!$B$7,6),1)-$E200)</f>
        <v/>
      </c>
      <c r="K200">
        <f>IF(AND($F200&gt;0,$E200&lt;=0),1,0)</f>
        <v/>
      </c>
      <c r="L200">
        <f>INDEX(Lots_Data!$S$2:$S$234,MATCH($A200,Lots_Data!$A$2:$A$234,0))</f>
        <v/>
      </c>
      <c r="M200">
        <f>INDEX(Lots_Data!$N$2:$N$234,MATCH($A200,Lots_Data!$A$2:$A$234,0))</f>
        <v/>
      </c>
      <c r="N200">
        <f>IF($F200=0,"n/a",IF($L200&gt;=$F200/30*$M200,"adequate","under-set"))</f>
        <v/>
      </c>
    </row>
    <row r="201">
      <c r="A201" t="inlineStr">
        <is>
          <t>SS-01198</t>
        </is>
      </c>
      <c r="B201">
        <f>INDEX(Lots_Data!$C$2:$C$234,MATCH($A201,Lots_Data!$A$2:$A$234,0))</f>
        <v/>
      </c>
      <c r="C201">
        <f>INDEX(Lots_Data!$E$2:$E$234,MATCH($A201,Lots_Data!$A$2:$A$234,0))</f>
        <v/>
      </c>
      <c r="D201">
        <f>INDEX(Lots_Data!$D$2:$D$234,MATCH($A201,Lots_Data!$A$2:$A$234,0))</f>
        <v/>
      </c>
      <c r="E201">
        <f>INDEX(Lots_Data!$K$2:$K$234,MATCH($A201,Lots_Data!$A$2:$A$234,0))</f>
        <v/>
      </c>
      <c r="F201">
        <f>INDEX(Usage_Summary!$C$4:$C$236,MATCH($A201,Usage_Summary!$A$4:$A$236,0))</f>
        <v/>
      </c>
      <c r="G201">
        <f>IF($F201&gt;0,$E201/$F201*30,"")</f>
        <v/>
      </c>
      <c r="H201">
        <f>MAX(0,CEILING(ROUND($F201*Inputs!$B$10/30*Inputs!$B$7,6),1)-$E201)</f>
        <v/>
      </c>
      <c r="I201">
        <f>MAX(0,CEILING(ROUND($F201*Inputs!$B$11/30*Inputs!$B$7,6),1)-$E201)</f>
        <v/>
      </c>
      <c r="J201">
        <f>MAX(0,CEILING(ROUND($F201*Inputs!$B$12/30*Inputs!$B$7,6),1)-$E201)</f>
        <v/>
      </c>
      <c r="K201">
        <f>IF(AND($F201&gt;0,$E201&lt;=0),1,0)</f>
        <v/>
      </c>
      <c r="L201">
        <f>INDEX(Lots_Data!$S$2:$S$234,MATCH($A201,Lots_Data!$A$2:$A$234,0))</f>
        <v/>
      </c>
      <c r="M201">
        <f>INDEX(Lots_Data!$N$2:$N$234,MATCH($A201,Lots_Data!$A$2:$A$234,0))</f>
        <v/>
      </c>
      <c r="N201">
        <f>IF($F201=0,"n/a",IF($L201&gt;=$F201/30*$M201,"adequate","under-set"))</f>
        <v/>
      </c>
    </row>
    <row r="202">
      <c r="A202" t="inlineStr">
        <is>
          <t>SS-01199</t>
        </is>
      </c>
      <c r="B202">
        <f>INDEX(Lots_Data!$C$2:$C$234,MATCH($A202,Lots_Data!$A$2:$A$234,0))</f>
        <v/>
      </c>
      <c r="C202">
        <f>INDEX(Lots_Data!$E$2:$E$234,MATCH($A202,Lots_Data!$A$2:$A$234,0))</f>
        <v/>
      </c>
      <c r="D202">
        <f>INDEX(Lots_Data!$D$2:$D$234,MATCH($A202,Lots_Data!$A$2:$A$234,0))</f>
        <v/>
      </c>
      <c r="E202">
        <f>INDEX(Lots_Data!$K$2:$K$234,MATCH($A202,Lots_Data!$A$2:$A$234,0))</f>
        <v/>
      </c>
      <c r="F202">
        <f>INDEX(Usage_Summary!$C$4:$C$236,MATCH($A202,Usage_Summary!$A$4:$A$236,0))</f>
        <v/>
      </c>
      <c r="G202">
        <f>IF($F202&gt;0,$E202/$F202*30,"")</f>
        <v/>
      </c>
      <c r="H202">
        <f>MAX(0,CEILING(ROUND($F202*Inputs!$B$10/30*Inputs!$B$7,6),1)-$E202)</f>
        <v/>
      </c>
      <c r="I202">
        <f>MAX(0,CEILING(ROUND($F202*Inputs!$B$11/30*Inputs!$B$7,6),1)-$E202)</f>
        <v/>
      </c>
      <c r="J202">
        <f>MAX(0,CEILING(ROUND($F202*Inputs!$B$12/30*Inputs!$B$7,6),1)-$E202)</f>
        <v/>
      </c>
      <c r="K202">
        <f>IF(AND($F202&gt;0,$E202&lt;=0),1,0)</f>
        <v/>
      </c>
      <c r="L202">
        <f>INDEX(Lots_Data!$S$2:$S$234,MATCH($A202,Lots_Data!$A$2:$A$234,0))</f>
        <v/>
      </c>
      <c r="M202">
        <f>INDEX(Lots_Data!$N$2:$N$234,MATCH($A202,Lots_Data!$A$2:$A$234,0))</f>
        <v/>
      </c>
      <c r="N202">
        <f>IF($F202=0,"n/a",IF($L202&gt;=$F202/30*$M202,"adequate","under-set"))</f>
        <v/>
      </c>
    </row>
    <row r="203">
      <c r="A203" t="inlineStr">
        <is>
          <t>SS-01200</t>
        </is>
      </c>
      <c r="B203">
        <f>INDEX(Lots_Data!$C$2:$C$234,MATCH($A203,Lots_Data!$A$2:$A$234,0))</f>
        <v/>
      </c>
      <c r="C203">
        <f>INDEX(Lots_Data!$E$2:$E$234,MATCH($A203,Lots_Data!$A$2:$A$234,0))</f>
        <v/>
      </c>
      <c r="D203">
        <f>INDEX(Lots_Data!$D$2:$D$234,MATCH($A203,Lots_Data!$A$2:$A$234,0))</f>
        <v/>
      </c>
      <c r="E203">
        <f>INDEX(Lots_Data!$K$2:$K$234,MATCH($A203,Lots_Data!$A$2:$A$234,0))</f>
        <v/>
      </c>
      <c r="F203">
        <f>INDEX(Usage_Summary!$C$4:$C$236,MATCH($A203,Usage_Summary!$A$4:$A$236,0))</f>
        <v/>
      </c>
      <c r="G203">
        <f>IF($F203&gt;0,$E203/$F203*30,"")</f>
        <v/>
      </c>
      <c r="H203">
        <f>MAX(0,CEILING(ROUND($F203*Inputs!$B$10/30*Inputs!$B$7,6),1)-$E203)</f>
        <v/>
      </c>
      <c r="I203">
        <f>MAX(0,CEILING(ROUND($F203*Inputs!$B$11/30*Inputs!$B$7,6),1)-$E203)</f>
        <v/>
      </c>
      <c r="J203">
        <f>MAX(0,CEILING(ROUND($F203*Inputs!$B$12/30*Inputs!$B$7,6),1)-$E203)</f>
        <v/>
      </c>
      <c r="K203">
        <f>IF(AND($F203&gt;0,$E203&lt;=0),1,0)</f>
        <v/>
      </c>
      <c r="L203">
        <f>INDEX(Lots_Data!$S$2:$S$234,MATCH($A203,Lots_Data!$A$2:$A$234,0))</f>
        <v/>
      </c>
      <c r="M203">
        <f>INDEX(Lots_Data!$N$2:$N$234,MATCH($A203,Lots_Data!$A$2:$A$234,0))</f>
        <v/>
      </c>
      <c r="N203">
        <f>IF($F203=0,"n/a",IF($L203&gt;=$F203/30*$M203,"adequate","under-set"))</f>
        <v/>
      </c>
    </row>
    <row r="204">
      <c r="A204" t="inlineStr">
        <is>
          <t>SS-01201</t>
        </is>
      </c>
      <c r="B204">
        <f>INDEX(Lots_Data!$C$2:$C$234,MATCH($A204,Lots_Data!$A$2:$A$234,0))</f>
        <v/>
      </c>
      <c r="C204">
        <f>INDEX(Lots_Data!$E$2:$E$234,MATCH($A204,Lots_Data!$A$2:$A$234,0))</f>
        <v/>
      </c>
      <c r="D204">
        <f>INDEX(Lots_Data!$D$2:$D$234,MATCH($A204,Lots_Data!$A$2:$A$234,0))</f>
        <v/>
      </c>
      <c r="E204">
        <f>INDEX(Lots_Data!$K$2:$K$234,MATCH($A204,Lots_Data!$A$2:$A$234,0))</f>
        <v/>
      </c>
      <c r="F204">
        <f>INDEX(Usage_Summary!$C$4:$C$236,MATCH($A204,Usage_Summary!$A$4:$A$236,0))</f>
        <v/>
      </c>
      <c r="G204">
        <f>IF($F204&gt;0,$E204/$F204*30,"")</f>
        <v/>
      </c>
      <c r="H204">
        <f>MAX(0,CEILING(ROUND($F204*Inputs!$B$10/30*Inputs!$B$7,6),1)-$E204)</f>
        <v/>
      </c>
      <c r="I204">
        <f>MAX(0,CEILING(ROUND($F204*Inputs!$B$11/30*Inputs!$B$7,6),1)-$E204)</f>
        <v/>
      </c>
      <c r="J204">
        <f>MAX(0,CEILING(ROUND($F204*Inputs!$B$12/30*Inputs!$B$7,6),1)-$E204)</f>
        <v/>
      </c>
      <c r="K204">
        <f>IF(AND($F204&gt;0,$E204&lt;=0),1,0)</f>
        <v/>
      </c>
      <c r="L204">
        <f>INDEX(Lots_Data!$S$2:$S$234,MATCH($A204,Lots_Data!$A$2:$A$234,0))</f>
        <v/>
      </c>
      <c r="M204">
        <f>INDEX(Lots_Data!$N$2:$N$234,MATCH($A204,Lots_Data!$A$2:$A$234,0))</f>
        <v/>
      </c>
      <c r="N204">
        <f>IF($F204=0,"n/a",IF($L204&gt;=$F204/30*$M204,"adequate","under-set"))</f>
        <v/>
      </c>
    </row>
    <row r="205">
      <c r="A205" t="inlineStr">
        <is>
          <t>SS-01202</t>
        </is>
      </c>
      <c r="B205">
        <f>INDEX(Lots_Data!$C$2:$C$234,MATCH($A205,Lots_Data!$A$2:$A$234,0))</f>
        <v/>
      </c>
      <c r="C205">
        <f>INDEX(Lots_Data!$E$2:$E$234,MATCH($A205,Lots_Data!$A$2:$A$234,0))</f>
        <v/>
      </c>
      <c r="D205">
        <f>INDEX(Lots_Data!$D$2:$D$234,MATCH($A205,Lots_Data!$A$2:$A$234,0))</f>
        <v/>
      </c>
      <c r="E205">
        <f>INDEX(Lots_Data!$K$2:$K$234,MATCH($A205,Lots_Data!$A$2:$A$234,0))</f>
        <v/>
      </c>
      <c r="F205">
        <f>INDEX(Usage_Summary!$C$4:$C$236,MATCH($A205,Usage_Summary!$A$4:$A$236,0))</f>
        <v/>
      </c>
      <c r="G205">
        <f>IF($F205&gt;0,$E205/$F205*30,"")</f>
        <v/>
      </c>
      <c r="H205">
        <f>MAX(0,CEILING(ROUND($F205*Inputs!$B$10/30*Inputs!$B$7,6),1)-$E205)</f>
        <v/>
      </c>
      <c r="I205">
        <f>MAX(0,CEILING(ROUND($F205*Inputs!$B$11/30*Inputs!$B$7,6),1)-$E205)</f>
        <v/>
      </c>
      <c r="J205">
        <f>MAX(0,CEILING(ROUND($F205*Inputs!$B$12/30*Inputs!$B$7,6),1)-$E205)</f>
        <v/>
      </c>
      <c r="K205">
        <f>IF(AND($F205&gt;0,$E205&lt;=0),1,0)</f>
        <v/>
      </c>
      <c r="L205">
        <f>INDEX(Lots_Data!$S$2:$S$234,MATCH($A205,Lots_Data!$A$2:$A$234,0))</f>
        <v/>
      </c>
      <c r="M205">
        <f>INDEX(Lots_Data!$N$2:$N$234,MATCH($A205,Lots_Data!$A$2:$A$234,0))</f>
        <v/>
      </c>
      <c r="N205">
        <f>IF($F205=0,"n/a",IF($L205&gt;=$F205/30*$M205,"adequate","under-set"))</f>
        <v/>
      </c>
    </row>
    <row r="206">
      <c r="A206" t="inlineStr">
        <is>
          <t>SS-01203</t>
        </is>
      </c>
      <c r="B206">
        <f>INDEX(Lots_Data!$C$2:$C$234,MATCH($A206,Lots_Data!$A$2:$A$234,0))</f>
        <v/>
      </c>
      <c r="C206">
        <f>INDEX(Lots_Data!$E$2:$E$234,MATCH($A206,Lots_Data!$A$2:$A$234,0))</f>
        <v/>
      </c>
      <c r="D206">
        <f>INDEX(Lots_Data!$D$2:$D$234,MATCH($A206,Lots_Data!$A$2:$A$234,0))</f>
        <v/>
      </c>
      <c r="E206">
        <f>INDEX(Lots_Data!$K$2:$K$234,MATCH($A206,Lots_Data!$A$2:$A$234,0))</f>
        <v/>
      </c>
      <c r="F206">
        <f>INDEX(Usage_Summary!$C$4:$C$236,MATCH($A206,Usage_Summary!$A$4:$A$236,0))</f>
        <v/>
      </c>
      <c r="G206">
        <f>IF($F206&gt;0,$E206/$F206*30,"")</f>
        <v/>
      </c>
      <c r="H206">
        <f>MAX(0,CEILING(ROUND($F206*Inputs!$B$10/30*Inputs!$B$7,6),1)-$E206)</f>
        <v/>
      </c>
      <c r="I206">
        <f>MAX(0,CEILING(ROUND($F206*Inputs!$B$11/30*Inputs!$B$7,6),1)-$E206)</f>
        <v/>
      </c>
      <c r="J206">
        <f>MAX(0,CEILING(ROUND($F206*Inputs!$B$12/30*Inputs!$B$7,6),1)-$E206)</f>
        <v/>
      </c>
      <c r="K206">
        <f>IF(AND($F206&gt;0,$E206&lt;=0),1,0)</f>
        <v/>
      </c>
      <c r="L206">
        <f>INDEX(Lots_Data!$S$2:$S$234,MATCH($A206,Lots_Data!$A$2:$A$234,0))</f>
        <v/>
      </c>
      <c r="M206">
        <f>INDEX(Lots_Data!$N$2:$N$234,MATCH($A206,Lots_Data!$A$2:$A$234,0))</f>
        <v/>
      </c>
      <c r="N206">
        <f>IF($F206=0,"n/a",IF($L206&gt;=$F206/30*$M206,"adequate","under-set"))</f>
        <v/>
      </c>
    </row>
    <row r="207">
      <c r="A207" t="inlineStr">
        <is>
          <t>SS-01204</t>
        </is>
      </c>
      <c r="B207">
        <f>INDEX(Lots_Data!$C$2:$C$234,MATCH($A207,Lots_Data!$A$2:$A$234,0))</f>
        <v/>
      </c>
      <c r="C207">
        <f>INDEX(Lots_Data!$E$2:$E$234,MATCH($A207,Lots_Data!$A$2:$A$234,0))</f>
        <v/>
      </c>
      <c r="D207">
        <f>INDEX(Lots_Data!$D$2:$D$234,MATCH($A207,Lots_Data!$A$2:$A$234,0))</f>
        <v/>
      </c>
      <c r="E207">
        <f>INDEX(Lots_Data!$K$2:$K$234,MATCH($A207,Lots_Data!$A$2:$A$234,0))</f>
        <v/>
      </c>
      <c r="F207">
        <f>INDEX(Usage_Summary!$C$4:$C$236,MATCH($A207,Usage_Summary!$A$4:$A$236,0))</f>
        <v/>
      </c>
      <c r="G207">
        <f>IF($F207&gt;0,$E207/$F207*30,"")</f>
        <v/>
      </c>
      <c r="H207">
        <f>MAX(0,CEILING(ROUND($F207*Inputs!$B$10/30*Inputs!$B$7,6),1)-$E207)</f>
        <v/>
      </c>
      <c r="I207">
        <f>MAX(0,CEILING(ROUND($F207*Inputs!$B$11/30*Inputs!$B$7,6),1)-$E207)</f>
        <v/>
      </c>
      <c r="J207">
        <f>MAX(0,CEILING(ROUND($F207*Inputs!$B$12/30*Inputs!$B$7,6),1)-$E207)</f>
        <v/>
      </c>
      <c r="K207">
        <f>IF(AND($F207&gt;0,$E207&lt;=0),1,0)</f>
        <v/>
      </c>
      <c r="L207">
        <f>INDEX(Lots_Data!$S$2:$S$234,MATCH($A207,Lots_Data!$A$2:$A$234,0))</f>
        <v/>
      </c>
      <c r="M207">
        <f>INDEX(Lots_Data!$N$2:$N$234,MATCH($A207,Lots_Data!$A$2:$A$234,0))</f>
        <v/>
      </c>
      <c r="N207">
        <f>IF($F207=0,"n/a",IF($L207&gt;=$F207/30*$M207,"adequate","under-set"))</f>
        <v/>
      </c>
    </row>
    <row r="208">
      <c r="A208" t="inlineStr">
        <is>
          <t>SS-01205</t>
        </is>
      </c>
      <c r="B208">
        <f>INDEX(Lots_Data!$C$2:$C$234,MATCH($A208,Lots_Data!$A$2:$A$234,0))</f>
        <v/>
      </c>
      <c r="C208">
        <f>INDEX(Lots_Data!$E$2:$E$234,MATCH($A208,Lots_Data!$A$2:$A$234,0))</f>
        <v/>
      </c>
      <c r="D208">
        <f>INDEX(Lots_Data!$D$2:$D$234,MATCH($A208,Lots_Data!$A$2:$A$234,0))</f>
        <v/>
      </c>
      <c r="E208">
        <f>INDEX(Lots_Data!$K$2:$K$234,MATCH($A208,Lots_Data!$A$2:$A$234,0))</f>
        <v/>
      </c>
      <c r="F208">
        <f>INDEX(Usage_Summary!$C$4:$C$236,MATCH($A208,Usage_Summary!$A$4:$A$236,0))</f>
        <v/>
      </c>
      <c r="G208">
        <f>IF($F208&gt;0,$E208/$F208*30,"")</f>
        <v/>
      </c>
      <c r="H208">
        <f>MAX(0,CEILING(ROUND($F208*Inputs!$B$10/30*Inputs!$B$7,6),1)-$E208)</f>
        <v/>
      </c>
      <c r="I208">
        <f>MAX(0,CEILING(ROUND($F208*Inputs!$B$11/30*Inputs!$B$7,6),1)-$E208)</f>
        <v/>
      </c>
      <c r="J208">
        <f>MAX(0,CEILING(ROUND($F208*Inputs!$B$12/30*Inputs!$B$7,6),1)-$E208)</f>
        <v/>
      </c>
      <c r="K208">
        <f>IF(AND($F208&gt;0,$E208&lt;=0),1,0)</f>
        <v/>
      </c>
      <c r="L208">
        <f>INDEX(Lots_Data!$S$2:$S$234,MATCH($A208,Lots_Data!$A$2:$A$234,0))</f>
        <v/>
      </c>
      <c r="M208">
        <f>INDEX(Lots_Data!$N$2:$N$234,MATCH($A208,Lots_Data!$A$2:$A$234,0))</f>
        <v/>
      </c>
      <c r="N208">
        <f>IF($F208=0,"n/a",IF($L208&gt;=$F208/30*$M208,"adequate","under-set"))</f>
        <v/>
      </c>
    </row>
    <row r="209">
      <c r="A209" t="inlineStr">
        <is>
          <t>SS-01206</t>
        </is>
      </c>
      <c r="B209">
        <f>INDEX(Lots_Data!$C$2:$C$234,MATCH($A209,Lots_Data!$A$2:$A$234,0))</f>
        <v/>
      </c>
      <c r="C209">
        <f>INDEX(Lots_Data!$E$2:$E$234,MATCH($A209,Lots_Data!$A$2:$A$234,0))</f>
        <v/>
      </c>
      <c r="D209">
        <f>INDEX(Lots_Data!$D$2:$D$234,MATCH($A209,Lots_Data!$A$2:$A$234,0))</f>
        <v/>
      </c>
      <c r="E209">
        <f>INDEX(Lots_Data!$K$2:$K$234,MATCH($A209,Lots_Data!$A$2:$A$234,0))</f>
        <v/>
      </c>
      <c r="F209">
        <f>INDEX(Usage_Summary!$C$4:$C$236,MATCH($A209,Usage_Summary!$A$4:$A$236,0))</f>
        <v/>
      </c>
      <c r="G209">
        <f>IF($F209&gt;0,$E209/$F209*30,"")</f>
        <v/>
      </c>
      <c r="H209">
        <f>MAX(0,CEILING(ROUND($F209*Inputs!$B$10/30*Inputs!$B$7,6),1)-$E209)</f>
        <v/>
      </c>
      <c r="I209">
        <f>MAX(0,CEILING(ROUND($F209*Inputs!$B$11/30*Inputs!$B$7,6),1)-$E209)</f>
        <v/>
      </c>
      <c r="J209">
        <f>MAX(0,CEILING(ROUND($F209*Inputs!$B$12/30*Inputs!$B$7,6),1)-$E209)</f>
        <v/>
      </c>
      <c r="K209">
        <f>IF(AND($F209&gt;0,$E209&lt;=0),1,0)</f>
        <v/>
      </c>
      <c r="L209">
        <f>INDEX(Lots_Data!$S$2:$S$234,MATCH($A209,Lots_Data!$A$2:$A$234,0))</f>
        <v/>
      </c>
      <c r="M209">
        <f>INDEX(Lots_Data!$N$2:$N$234,MATCH($A209,Lots_Data!$A$2:$A$234,0))</f>
        <v/>
      </c>
      <c r="N209">
        <f>IF($F209=0,"n/a",IF($L209&gt;=$F209/30*$M209,"adequate","under-set"))</f>
        <v/>
      </c>
    </row>
    <row r="210">
      <c r="A210" t="inlineStr">
        <is>
          <t>SS-01207</t>
        </is>
      </c>
      <c r="B210">
        <f>INDEX(Lots_Data!$C$2:$C$234,MATCH($A210,Lots_Data!$A$2:$A$234,0))</f>
        <v/>
      </c>
      <c r="C210">
        <f>INDEX(Lots_Data!$E$2:$E$234,MATCH($A210,Lots_Data!$A$2:$A$234,0))</f>
        <v/>
      </c>
      <c r="D210">
        <f>INDEX(Lots_Data!$D$2:$D$234,MATCH($A210,Lots_Data!$A$2:$A$234,0))</f>
        <v/>
      </c>
      <c r="E210">
        <f>INDEX(Lots_Data!$K$2:$K$234,MATCH($A210,Lots_Data!$A$2:$A$234,0))</f>
        <v/>
      </c>
      <c r="F210">
        <f>INDEX(Usage_Summary!$C$4:$C$236,MATCH($A210,Usage_Summary!$A$4:$A$236,0))</f>
        <v/>
      </c>
      <c r="G210">
        <f>IF($F210&gt;0,$E210/$F210*30,"")</f>
        <v/>
      </c>
      <c r="H210">
        <f>MAX(0,CEILING(ROUND($F210*Inputs!$B$10/30*Inputs!$B$7,6),1)-$E210)</f>
        <v/>
      </c>
      <c r="I210">
        <f>MAX(0,CEILING(ROUND($F210*Inputs!$B$11/30*Inputs!$B$7,6),1)-$E210)</f>
        <v/>
      </c>
      <c r="J210">
        <f>MAX(0,CEILING(ROUND($F210*Inputs!$B$12/30*Inputs!$B$7,6),1)-$E210)</f>
        <v/>
      </c>
      <c r="K210">
        <f>IF(AND($F210&gt;0,$E210&lt;=0),1,0)</f>
        <v/>
      </c>
      <c r="L210">
        <f>INDEX(Lots_Data!$S$2:$S$234,MATCH($A210,Lots_Data!$A$2:$A$234,0))</f>
        <v/>
      </c>
      <c r="M210">
        <f>INDEX(Lots_Data!$N$2:$N$234,MATCH($A210,Lots_Data!$A$2:$A$234,0))</f>
        <v/>
      </c>
      <c r="N210">
        <f>IF($F210=0,"n/a",IF($L210&gt;=$F210/30*$M210,"adequate","under-set"))</f>
        <v/>
      </c>
    </row>
    <row r="211">
      <c r="A211" t="inlineStr">
        <is>
          <t>SS-01208</t>
        </is>
      </c>
      <c r="B211">
        <f>INDEX(Lots_Data!$C$2:$C$234,MATCH($A211,Lots_Data!$A$2:$A$234,0))</f>
        <v/>
      </c>
      <c r="C211">
        <f>INDEX(Lots_Data!$E$2:$E$234,MATCH($A211,Lots_Data!$A$2:$A$234,0))</f>
        <v/>
      </c>
      <c r="D211">
        <f>INDEX(Lots_Data!$D$2:$D$234,MATCH($A211,Lots_Data!$A$2:$A$234,0))</f>
        <v/>
      </c>
      <c r="E211">
        <f>INDEX(Lots_Data!$K$2:$K$234,MATCH($A211,Lots_Data!$A$2:$A$234,0))</f>
        <v/>
      </c>
      <c r="F211">
        <f>INDEX(Usage_Summary!$C$4:$C$236,MATCH($A211,Usage_Summary!$A$4:$A$236,0))</f>
        <v/>
      </c>
      <c r="G211">
        <f>IF($F211&gt;0,$E211/$F211*30,"")</f>
        <v/>
      </c>
      <c r="H211">
        <f>MAX(0,CEILING(ROUND($F211*Inputs!$B$10/30*Inputs!$B$7,6),1)-$E211)</f>
        <v/>
      </c>
      <c r="I211">
        <f>MAX(0,CEILING(ROUND($F211*Inputs!$B$11/30*Inputs!$B$7,6),1)-$E211)</f>
        <v/>
      </c>
      <c r="J211">
        <f>MAX(0,CEILING(ROUND($F211*Inputs!$B$12/30*Inputs!$B$7,6),1)-$E211)</f>
        <v/>
      </c>
      <c r="K211">
        <f>IF(AND($F211&gt;0,$E211&lt;=0),1,0)</f>
        <v/>
      </c>
      <c r="L211">
        <f>INDEX(Lots_Data!$S$2:$S$234,MATCH($A211,Lots_Data!$A$2:$A$234,0))</f>
        <v/>
      </c>
      <c r="M211">
        <f>INDEX(Lots_Data!$N$2:$N$234,MATCH($A211,Lots_Data!$A$2:$A$234,0))</f>
        <v/>
      </c>
      <c r="N211">
        <f>IF($F211=0,"n/a",IF($L211&gt;=$F211/30*$M211,"adequate","under-set"))</f>
        <v/>
      </c>
    </row>
    <row r="212">
      <c r="A212" t="inlineStr">
        <is>
          <t>SS-01209</t>
        </is>
      </c>
      <c r="B212">
        <f>INDEX(Lots_Data!$C$2:$C$234,MATCH($A212,Lots_Data!$A$2:$A$234,0))</f>
        <v/>
      </c>
      <c r="C212">
        <f>INDEX(Lots_Data!$E$2:$E$234,MATCH($A212,Lots_Data!$A$2:$A$234,0))</f>
        <v/>
      </c>
      <c r="D212">
        <f>INDEX(Lots_Data!$D$2:$D$234,MATCH($A212,Lots_Data!$A$2:$A$234,0))</f>
        <v/>
      </c>
      <c r="E212">
        <f>INDEX(Lots_Data!$K$2:$K$234,MATCH($A212,Lots_Data!$A$2:$A$234,0))</f>
        <v/>
      </c>
      <c r="F212">
        <f>INDEX(Usage_Summary!$C$4:$C$236,MATCH($A212,Usage_Summary!$A$4:$A$236,0))</f>
        <v/>
      </c>
      <c r="G212">
        <f>IF($F212&gt;0,$E212/$F212*30,"")</f>
        <v/>
      </c>
      <c r="H212">
        <f>MAX(0,CEILING(ROUND($F212*Inputs!$B$10/30*Inputs!$B$7,6),1)-$E212)</f>
        <v/>
      </c>
      <c r="I212">
        <f>MAX(0,CEILING(ROUND($F212*Inputs!$B$11/30*Inputs!$B$7,6),1)-$E212)</f>
        <v/>
      </c>
      <c r="J212">
        <f>MAX(0,CEILING(ROUND($F212*Inputs!$B$12/30*Inputs!$B$7,6),1)-$E212)</f>
        <v/>
      </c>
      <c r="K212">
        <f>IF(AND($F212&gt;0,$E212&lt;=0),1,0)</f>
        <v/>
      </c>
      <c r="L212">
        <f>INDEX(Lots_Data!$S$2:$S$234,MATCH($A212,Lots_Data!$A$2:$A$234,0))</f>
        <v/>
      </c>
      <c r="M212">
        <f>INDEX(Lots_Data!$N$2:$N$234,MATCH($A212,Lots_Data!$A$2:$A$234,0))</f>
        <v/>
      </c>
      <c r="N212">
        <f>IF($F212=0,"n/a",IF($L212&gt;=$F212/30*$M212,"adequate","under-set"))</f>
        <v/>
      </c>
    </row>
    <row r="213">
      <c r="A213" t="inlineStr">
        <is>
          <t>SS-01210</t>
        </is>
      </c>
      <c r="B213">
        <f>INDEX(Lots_Data!$C$2:$C$234,MATCH($A213,Lots_Data!$A$2:$A$234,0))</f>
        <v/>
      </c>
      <c r="C213">
        <f>INDEX(Lots_Data!$E$2:$E$234,MATCH($A213,Lots_Data!$A$2:$A$234,0))</f>
        <v/>
      </c>
      <c r="D213">
        <f>INDEX(Lots_Data!$D$2:$D$234,MATCH($A213,Lots_Data!$A$2:$A$234,0))</f>
        <v/>
      </c>
      <c r="E213">
        <f>INDEX(Lots_Data!$K$2:$K$234,MATCH($A213,Lots_Data!$A$2:$A$234,0))</f>
        <v/>
      </c>
      <c r="F213">
        <f>INDEX(Usage_Summary!$C$4:$C$236,MATCH($A213,Usage_Summary!$A$4:$A$236,0))</f>
        <v/>
      </c>
      <c r="G213">
        <f>IF($F213&gt;0,$E213/$F213*30,"")</f>
        <v/>
      </c>
      <c r="H213">
        <f>MAX(0,CEILING(ROUND($F213*Inputs!$B$10/30*Inputs!$B$7,6),1)-$E213)</f>
        <v/>
      </c>
      <c r="I213">
        <f>MAX(0,CEILING(ROUND($F213*Inputs!$B$11/30*Inputs!$B$7,6),1)-$E213)</f>
        <v/>
      </c>
      <c r="J213">
        <f>MAX(0,CEILING(ROUND($F213*Inputs!$B$12/30*Inputs!$B$7,6),1)-$E213)</f>
        <v/>
      </c>
      <c r="K213">
        <f>IF(AND($F213&gt;0,$E213&lt;=0),1,0)</f>
        <v/>
      </c>
      <c r="L213">
        <f>INDEX(Lots_Data!$S$2:$S$234,MATCH($A213,Lots_Data!$A$2:$A$234,0))</f>
        <v/>
      </c>
      <c r="M213">
        <f>INDEX(Lots_Data!$N$2:$N$234,MATCH($A213,Lots_Data!$A$2:$A$234,0))</f>
        <v/>
      </c>
      <c r="N213">
        <f>IF($F213=0,"n/a",IF($L213&gt;=$F213/30*$M213,"adequate","under-set"))</f>
        <v/>
      </c>
    </row>
    <row r="214">
      <c r="A214" t="inlineStr">
        <is>
          <t>SS-01211</t>
        </is>
      </c>
      <c r="B214">
        <f>INDEX(Lots_Data!$C$2:$C$234,MATCH($A214,Lots_Data!$A$2:$A$234,0))</f>
        <v/>
      </c>
      <c r="C214">
        <f>INDEX(Lots_Data!$E$2:$E$234,MATCH($A214,Lots_Data!$A$2:$A$234,0))</f>
        <v/>
      </c>
      <c r="D214">
        <f>INDEX(Lots_Data!$D$2:$D$234,MATCH($A214,Lots_Data!$A$2:$A$234,0))</f>
        <v/>
      </c>
      <c r="E214">
        <f>INDEX(Lots_Data!$K$2:$K$234,MATCH($A214,Lots_Data!$A$2:$A$234,0))</f>
        <v/>
      </c>
      <c r="F214">
        <f>INDEX(Usage_Summary!$C$4:$C$236,MATCH($A214,Usage_Summary!$A$4:$A$236,0))</f>
        <v/>
      </c>
      <c r="G214">
        <f>IF($F214&gt;0,$E214/$F214*30,"")</f>
        <v/>
      </c>
      <c r="H214">
        <f>MAX(0,CEILING(ROUND($F214*Inputs!$B$10/30*Inputs!$B$7,6),1)-$E214)</f>
        <v/>
      </c>
      <c r="I214">
        <f>MAX(0,CEILING(ROUND($F214*Inputs!$B$11/30*Inputs!$B$7,6),1)-$E214)</f>
        <v/>
      </c>
      <c r="J214">
        <f>MAX(0,CEILING(ROUND($F214*Inputs!$B$12/30*Inputs!$B$7,6),1)-$E214)</f>
        <v/>
      </c>
      <c r="K214">
        <f>IF(AND($F214&gt;0,$E214&lt;=0),1,0)</f>
        <v/>
      </c>
      <c r="L214">
        <f>INDEX(Lots_Data!$S$2:$S$234,MATCH($A214,Lots_Data!$A$2:$A$234,0))</f>
        <v/>
      </c>
      <c r="M214">
        <f>INDEX(Lots_Data!$N$2:$N$234,MATCH($A214,Lots_Data!$A$2:$A$234,0))</f>
        <v/>
      </c>
      <c r="N214">
        <f>IF($F214=0,"n/a",IF($L214&gt;=$F214/30*$M214,"adequate","under-set"))</f>
        <v/>
      </c>
    </row>
    <row r="215">
      <c r="A215" t="inlineStr">
        <is>
          <t>SS-01212</t>
        </is>
      </c>
      <c r="B215">
        <f>INDEX(Lots_Data!$C$2:$C$234,MATCH($A215,Lots_Data!$A$2:$A$234,0))</f>
        <v/>
      </c>
      <c r="C215">
        <f>INDEX(Lots_Data!$E$2:$E$234,MATCH($A215,Lots_Data!$A$2:$A$234,0))</f>
        <v/>
      </c>
      <c r="D215">
        <f>INDEX(Lots_Data!$D$2:$D$234,MATCH($A215,Lots_Data!$A$2:$A$234,0))</f>
        <v/>
      </c>
      <c r="E215">
        <f>INDEX(Lots_Data!$K$2:$K$234,MATCH($A215,Lots_Data!$A$2:$A$234,0))</f>
        <v/>
      </c>
      <c r="F215">
        <f>INDEX(Usage_Summary!$C$4:$C$236,MATCH($A215,Usage_Summary!$A$4:$A$236,0))</f>
        <v/>
      </c>
      <c r="G215">
        <f>IF($F215&gt;0,$E215/$F215*30,"")</f>
        <v/>
      </c>
      <c r="H215">
        <f>MAX(0,CEILING(ROUND($F215*Inputs!$B$10/30*Inputs!$B$7,6),1)-$E215)</f>
        <v/>
      </c>
      <c r="I215">
        <f>MAX(0,CEILING(ROUND($F215*Inputs!$B$11/30*Inputs!$B$7,6),1)-$E215)</f>
        <v/>
      </c>
      <c r="J215">
        <f>MAX(0,CEILING(ROUND($F215*Inputs!$B$12/30*Inputs!$B$7,6),1)-$E215)</f>
        <v/>
      </c>
      <c r="K215">
        <f>IF(AND($F215&gt;0,$E215&lt;=0),1,0)</f>
        <v/>
      </c>
      <c r="L215">
        <f>INDEX(Lots_Data!$S$2:$S$234,MATCH($A215,Lots_Data!$A$2:$A$234,0))</f>
        <v/>
      </c>
      <c r="M215">
        <f>INDEX(Lots_Data!$N$2:$N$234,MATCH($A215,Lots_Data!$A$2:$A$234,0))</f>
        <v/>
      </c>
      <c r="N215">
        <f>IF($F215=0,"n/a",IF($L215&gt;=$F215/30*$M215,"adequate","under-set"))</f>
        <v/>
      </c>
    </row>
    <row r="216">
      <c r="A216" t="inlineStr">
        <is>
          <t>SS-01213</t>
        </is>
      </c>
      <c r="B216">
        <f>INDEX(Lots_Data!$C$2:$C$234,MATCH($A216,Lots_Data!$A$2:$A$234,0))</f>
        <v/>
      </c>
      <c r="C216">
        <f>INDEX(Lots_Data!$E$2:$E$234,MATCH($A216,Lots_Data!$A$2:$A$234,0))</f>
        <v/>
      </c>
      <c r="D216">
        <f>INDEX(Lots_Data!$D$2:$D$234,MATCH($A216,Lots_Data!$A$2:$A$234,0))</f>
        <v/>
      </c>
      <c r="E216">
        <f>INDEX(Lots_Data!$K$2:$K$234,MATCH($A216,Lots_Data!$A$2:$A$234,0))</f>
        <v/>
      </c>
      <c r="F216">
        <f>INDEX(Usage_Summary!$C$4:$C$236,MATCH($A216,Usage_Summary!$A$4:$A$236,0))</f>
        <v/>
      </c>
      <c r="G216">
        <f>IF($F216&gt;0,$E216/$F216*30,"")</f>
        <v/>
      </c>
      <c r="H216">
        <f>MAX(0,CEILING(ROUND($F216*Inputs!$B$10/30*Inputs!$B$7,6),1)-$E216)</f>
        <v/>
      </c>
      <c r="I216">
        <f>MAX(0,CEILING(ROUND($F216*Inputs!$B$11/30*Inputs!$B$7,6),1)-$E216)</f>
        <v/>
      </c>
      <c r="J216">
        <f>MAX(0,CEILING(ROUND($F216*Inputs!$B$12/30*Inputs!$B$7,6),1)-$E216)</f>
        <v/>
      </c>
      <c r="K216">
        <f>IF(AND($F216&gt;0,$E216&lt;=0),1,0)</f>
        <v/>
      </c>
      <c r="L216">
        <f>INDEX(Lots_Data!$S$2:$S$234,MATCH($A216,Lots_Data!$A$2:$A$234,0))</f>
        <v/>
      </c>
      <c r="M216">
        <f>INDEX(Lots_Data!$N$2:$N$234,MATCH($A216,Lots_Data!$A$2:$A$234,0))</f>
        <v/>
      </c>
      <c r="N216">
        <f>IF($F216=0,"n/a",IF($L216&gt;=$F216/30*$M216,"adequate","under-set"))</f>
        <v/>
      </c>
    </row>
    <row r="217">
      <c r="A217" t="inlineStr">
        <is>
          <t>SS-01214</t>
        </is>
      </c>
      <c r="B217">
        <f>INDEX(Lots_Data!$C$2:$C$234,MATCH($A217,Lots_Data!$A$2:$A$234,0))</f>
        <v/>
      </c>
      <c r="C217">
        <f>INDEX(Lots_Data!$E$2:$E$234,MATCH($A217,Lots_Data!$A$2:$A$234,0))</f>
        <v/>
      </c>
      <c r="D217">
        <f>INDEX(Lots_Data!$D$2:$D$234,MATCH($A217,Lots_Data!$A$2:$A$234,0))</f>
        <v/>
      </c>
      <c r="E217">
        <f>INDEX(Lots_Data!$K$2:$K$234,MATCH($A217,Lots_Data!$A$2:$A$234,0))</f>
        <v/>
      </c>
      <c r="F217">
        <f>INDEX(Usage_Summary!$C$4:$C$236,MATCH($A217,Usage_Summary!$A$4:$A$236,0))</f>
        <v/>
      </c>
      <c r="G217">
        <f>IF($F217&gt;0,$E217/$F217*30,"")</f>
        <v/>
      </c>
      <c r="H217">
        <f>MAX(0,CEILING(ROUND($F217*Inputs!$B$10/30*Inputs!$B$7,6),1)-$E217)</f>
        <v/>
      </c>
      <c r="I217">
        <f>MAX(0,CEILING(ROUND($F217*Inputs!$B$11/30*Inputs!$B$7,6),1)-$E217)</f>
        <v/>
      </c>
      <c r="J217">
        <f>MAX(0,CEILING(ROUND($F217*Inputs!$B$12/30*Inputs!$B$7,6),1)-$E217)</f>
        <v/>
      </c>
      <c r="K217">
        <f>IF(AND($F217&gt;0,$E217&lt;=0),1,0)</f>
        <v/>
      </c>
      <c r="L217">
        <f>INDEX(Lots_Data!$S$2:$S$234,MATCH($A217,Lots_Data!$A$2:$A$234,0))</f>
        <v/>
      </c>
      <c r="M217">
        <f>INDEX(Lots_Data!$N$2:$N$234,MATCH($A217,Lots_Data!$A$2:$A$234,0))</f>
        <v/>
      </c>
      <c r="N217">
        <f>IF($F217=0,"n/a",IF($L217&gt;=$F217/30*$M217,"adequate","under-set"))</f>
        <v/>
      </c>
    </row>
    <row r="218">
      <c r="A218" t="inlineStr">
        <is>
          <t>SS-01215</t>
        </is>
      </c>
      <c r="B218">
        <f>INDEX(Lots_Data!$C$2:$C$234,MATCH($A218,Lots_Data!$A$2:$A$234,0))</f>
        <v/>
      </c>
      <c r="C218">
        <f>INDEX(Lots_Data!$E$2:$E$234,MATCH($A218,Lots_Data!$A$2:$A$234,0))</f>
        <v/>
      </c>
      <c r="D218">
        <f>INDEX(Lots_Data!$D$2:$D$234,MATCH($A218,Lots_Data!$A$2:$A$234,0))</f>
        <v/>
      </c>
      <c r="E218">
        <f>INDEX(Lots_Data!$K$2:$K$234,MATCH($A218,Lots_Data!$A$2:$A$234,0))</f>
        <v/>
      </c>
      <c r="F218">
        <f>INDEX(Usage_Summary!$C$4:$C$236,MATCH($A218,Usage_Summary!$A$4:$A$236,0))</f>
        <v/>
      </c>
      <c r="G218">
        <f>IF($F218&gt;0,$E218/$F218*30,"")</f>
        <v/>
      </c>
      <c r="H218">
        <f>MAX(0,CEILING(ROUND($F218*Inputs!$B$10/30*Inputs!$B$7,6),1)-$E218)</f>
        <v/>
      </c>
      <c r="I218">
        <f>MAX(0,CEILING(ROUND($F218*Inputs!$B$11/30*Inputs!$B$7,6),1)-$E218)</f>
        <v/>
      </c>
      <c r="J218">
        <f>MAX(0,CEILING(ROUND($F218*Inputs!$B$12/30*Inputs!$B$7,6),1)-$E218)</f>
        <v/>
      </c>
      <c r="K218">
        <f>IF(AND($F218&gt;0,$E218&lt;=0),1,0)</f>
        <v/>
      </c>
      <c r="L218">
        <f>INDEX(Lots_Data!$S$2:$S$234,MATCH($A218,Lots_Data!$A$2:$A$234,0))</f>
        <v/>
      </c>
      <c r="M218">
        <f>INDEX(Lots_Data!$N$2:$N$234,MATCH($A218,Lots_Data!$A$2:$A$234,0))</f>
        <v/>
      </c>
      <c r="N218">
        <f>IF($F218=0,"n/a",IF($L218&gt;=$F218/30*$M218,"adequate","under-set"))</f>
        <v/>
      </c>
    </row>
    <row r="219">
      <c r="A219" t="inlineStr">
        <is>
          <t>SS-01216</t>
        </is>
      </c>
      <c r="B219">
        <f>INDEX(Lots_Data!$C$2:$C$234,MATCH($A219,Lots_Data!$A$2:$A$234,0))</f>
        <v/>
      </c>
      <c r="C219">
        <f>INDEX(Lots_Data!$E$2:$E$234,MATCH($A219,Lots_Data!$A$2:$A$234,0))</f>
        <v/>
      </c>
      <c r="D219">
        <f>INDEX(Lots_Data!$D$2:$D$234,MATCH($A219,Lots_Data!$A$2:$A$234,0))</f>
        <v/>
      </c>
      <c r="E219">
        <f>INDEX(Lots_Data!$K$2:$K$234,MATCH($A219,Lots_Data!$A$2:$A$234,0))</f>
        <v/>
      </c>
      <c r="F219">
        <f>INDEX(Usage_Summary!$C$4:$C$236,MATCH($A219,Usage_Summary!$A$4:$A$236,0))</f>
        <v/>
      </c>
      <c r="G219">
        <f>IF($F219&gt;0,$E219/$F219*30,"")</f>
        <v/>
      </c>
      <c r="H219">
        <f>MAX(0,CEILING(ROUND($F219*Inputs!$B$10/30*Inputs!$B$7,6),1)-$E219)</f>
        <v/>
      </c>
      <c r="I219">
        <f>MAX(0,CEILING(ROUND($F219*Inputs!$B$11/30*Inputs!$B$7,6),1)-$E219)</f>
        <v/>
      </c>
      <c r="J219">
        <f>MAX(0,CEILING(ROUND($F219*Inputs!$B$12/30*Inputs!$B$7,6),1)-$E219)</f>
        <v/>
      </c>
      <c r="K219">
        <f>IF(AND($F219&gt;0,$E219&lt;=0),1,0)</f>
        <v/>
      </c>
      <c r="L219">
        <f>INDEX(Lots_Data!$S$2:$S$234,MATCH($A219,Lots_Data!$A$2:$A$234,0))</f>
        <v/>
      </c>
      <c r="M219">
        <f>INDEX(Lots_Data!$N$2:$N$234,MATCH($A219,Lots_Data!$A$2:$A$234,0))</f>
        <v/>
      </c>
      <c r="N219">
        <f>IF($F219=0,"n/a",IF($L219&gt;=$F219/30*$M219,"adequate","under-set"))</f>
        <v/>
      </c>
    </row>
    <row r="220">
      <c r="A220" t="inlineStr">
        <is>
          <t>SS-01217</t>
        </is>
      </c>
      <c r="B220">
        <f>INDEX(Lots_Data!$C$2:$C$234,MATCH($A220,Lots_Data!$A$2:$A$234,0))</f>
        <v/>
      </c>
      <c r="C220">
        <f>INDEX(Lots_Data!$E$2:$E$234,MATCH($A220,Lots_Data!$A$2:$A$234,0))</f>
        <v/>
      </c>
      <c r="D220">
        <f>INDEX(Lots_Data!$D$2:$D$234,MATCH($A220,Lots_Data!$A$2:$A$234,0))</f>
        <v/>
      </c>
      <c r="E220">
        <f>INDEX(Lots_Data!$K$2:$K$234,MATCH($A220,Lots_Data!$A$2:$A$234,0))</f>
        <v/>
      </c>
      <c r="F220">
        <f>INDEX(Usage_Summary!$C$4:$C$236,MATCH($A220,Usage_Summary!$A$4:$A$236,0))</f>
        <v/>
      </c>
      <c r="G220">
        <f>IF($F220&gt;0,$E220/$F220*30,"")</f>
        <v/>
      </c>
      <c r="H220">
        <f>MAX(0,CEILING(ROUND($F220*Inputs!$B$10/30*Inputs!$B$7,6),1)-$E220)</f>
        <v/>
      </c>
      <c r="I220">
        <f>MAX(0,CEILING(ROUND($F220*Inputs!$B$11/30*Inputs!$B$7,6),1)-$E220)</f>
        <v/>
      </c>
      <c r="J220">
        <f>MAX(0,CEILING(ROUND($F220*Inputs!$B$12/30*Inputs!$B$7,6),1)-$E220)</f>
        <v/>
      </c>
      <c r="K220">
        <f>IF(AND($F220&gt;0,$E220&lt;=0),1,0)</f>
        <v/>
      </c>
      <c r="L220">
        <f>INDEX(Lots_Data!$S$2:$S$234,MATCH($A220,Lots_Data!$A$2:$A$234,0))</f>
        <v/>
      </c>
      <c r="M220">
        <f>INDEX(Lots_Data!$N$2:$N$234,MATCH($A220,Lots_Data!$A$2:$A$234,0))</f>
        <v/>
      </c>
      <c r="N220">
        <f>IF($F220=0,"n/a",IF($L220&gt;=$F220/30*$M220,"adequate","under-set"))</f>
        <v/>
      </c>
    </row>
    <row r="221">
      <c r="A221" t="inlineStr">
        <is>
          <t>SS-01218</t>
        </is>
      </c>
      <c r="B221">
        <f>INDEX(Lots_Data!$C$2:$C$234,MATCH($A221,Lots_Data!$A$2:$A$234,0))</f>
        <v/>
      </c>
      <c r="C221">
        <f>INDEX(Lots_Data!$E$2:$E$234,MATCH($A221,Lots_Data!$A$2:$A$234,0))</f>
        <v/>
      </c>
      <c r="D221">
        <f>INDEX(Lots_Data!$D$2:$D$234,MATCH($A221,Lots_Data!$A$2:$A$234,0))</f>
        <v/>
      </c>
      <c r="E221">
        <f>INDEX(Lots_Data!$K$2:$K$234,MATCH($A221,Lots_Data!$A$2:$A$234,0))</f>
        <v/>
      </c>
      <c r="F221">
        <f>INDEX(Usage_Summary!$C$4:$C$236,MATCH($A221,Usage_Summary!$A$4:$A$236,0))</f>
        <v/>
      </c>
      <c r="G221">
        <f>IF($F221&gt;0,$E221/$F221*30,"")</f>
        <v/>
      </c>
      <c r="H221">
        <f>MAX(0,CEILING(ROUND($F221*Inputs!$B$10/30*Inputs!$B$7,6),1)-$E221)</f>
        <v/>
      </c>
      <c r="I221">
        <f>MAX(0,CEILING(ROUND($F221*Inputs!$B$11/30*Inputs!$B$7,6),1)-$E221)</f>
        <v/>
      </c>
      <c r="J221">
        <f>MAX(0,CEILING(ROUND($F221*Inputs!$B$12/30*Inputs!$B$7,6),1)-$E221)</f>
        <v/>
      </c>
      <c r="K221">
        <f>IF(AND($F221&gt;0,$E221&lt;=0),1,0)</f>
        <v/>
      </c>
      <c r="L221">
        <f>INDEX(Lots_Data!$S$2:$S$234,MATCH($A221,Lots_Data!$A$2:$A$234,0))</f>
        <v/>
      </c>
      <c r="M221">
        <f>INDEX(Lots_Data!$N$2:$N$234,MATCH($A221,Lots_Data!$A$2:$A$234,0))</f>
        <v/>
      </c>
      <c r="N221">
        <f>IF($F221=0,"n/a",IF($L221&gt;=$F221/30*$M221,"adequate","under-set"))</f>
        <v/>
      </c>
    </row>
    <row r="222">
      <c r="A222" t="inlineStr">
        <is>
          <t>SS-01219</t>
        </is>
      </c>
      <c r="B222">
        <f>INDEX(Lots_Data!$C$2:$C$234,MATCH($A222,Lots_Data!$A$2:$A$234,0))</f>
        <v/>
      </c>
      <c r="C222">
        <f>INDEX(Lots_Data!$E$2:$E$234,MATCH($A222,Lots_Data!$A$2:$A$234,0))</f>
        <v/>
      </c>
      <c r="D222">
        <f>INDEX(Lots_Data!$D$2:$D$234,MATCH($A222,Lots_Data!$A$2:$A$234,0))</f>
        <v/>
      </c>
      <c r="E222">
        <f>INDEX(Lots_Data!$K$2:$K$234,MATCH($A222,Lots_Data!$A$2:$A$234,0))</f>
        <v/>
      </c>
      <c r="F222">
        <f>INDEX(Usage_Summary!$C$4:$C$236,MATCH($A222,Usage_Summary!$A$4:$A$236,0))</f>
        <v/>
      </c>
      <c r="G222">
        <f>IF($F222&gt;0,$E222/$F222*30,"")</f>
        <v/>
      </c>
      <c r="H222">
        <f>MAX(0,CEILING(ROUND($F222*Inputs!$B$10/30*Inputs!$B$7,6),1)-$E222)</f>
        <v/>
      </c>
      <c r="I222">
        <f>MAX(0,CEILING(ROUND($F222*Inputs!$B$11/30*Inputs!$B$7,6),1)-$E222)</f>
        <v/>
      </c>
      <c r="J222">
        <f>MAX(0,CEILING(ROUND($F222*Inputs!$B$12/30*Inputs!$B$7,6),1)-$E222)</f>
        <v/>
      </c>
      <c r="K222">
        <f>IF(AND($F222&gt;0,$E222&lt;=0),1,0)</f>
        <v/>
      </c>
      <c r="L222">
        <f>INDEX(Lots_Data!$S$2:$S$234,MATCH($A222,Lots_Data!$A$2:$A$234,0))</f>
        <v/>
      </c>
      <c r="M222">
        <f>INDEX(Lots_Data!$N$2:$N$234,MATCH($A222,Lots_Data!$A$2:$A$234,0))</f>
        <v/>
      </c>
      <c r="N222">
        <f>IF($F222=0,"n/a",IF($L222&gt;=$F222/30*$M222,"adequate","under-set"))</f>
        <v/>
      </c>
    </row>
    <row r="223">
      <c r="A223" t="inlineStr">
        <is>
          <t>SS-01220</t>
        </is>
      </c>
      <c r="B223">
        <f>INDEX(Lots_Data!$C$2:$C$234,MATCH($A223,Lots_Data!$A$2:$A$234,0))</f>
        <v/>
      </c>
      <c r="C223">
        <f>INDEX(Lots_Data!$E$2:$E$234,MATCH($A223,Lots_Data!$A$2:$A$234,0))</f>
        <v/>
      </c>
      <c r="D223">
        <f>INDEX(Lots_Data!$D$2:$D$234,MATCH($A223,Lots_Data!$A$2:$A$234,0))</f>
        <v/>
      </c>
      <c r="E223">
        <f>INDEX(Lots_Data!$K$2:$K$234,MATCH($A223,Lots_Data!$A$2:$A$234,0))</f>
        <v/>
      </c>
      <c r="F223">
        <f>INDEX(Usage_Summary!$C$4:$C$236,MATCH($A223,Usage_Summary!$A$4:$A$236,0))</f>
        <v/>
      </c>
      <c r="G223">
        <f>IF($F223&gt;0,$E223/$F223*30,"")</f>
        <v/>
      </c>
      <c r="H223">
        <f>MAX(0,CEILING(ROUND($F223*Inputs!$B$10/30*Inputs!$B$7,6),1)-$E223)</f>
        <v/>
      </c>
      <c r="I223">
        <f>MAX(0,CEILING(ROUND($F223*Inputs!$B$11/30*Inputs!$B$7,6),1)-$E223)</f>
        <v/>
      </c>
      <c r="J223">
        <f>MAX(0,CEILING(ROUND($F223*Inputs!$B$12/30*Inputs!$B$7,6),1)-$E223)</f>
        <v/>
      </c>
      <c r="K223">
        <f>IF(AND($F223&gt;0,$E223&lt;=0),1,0)</f>
        <v/>
      </c>
      <c r="L223">
        <f>INDEX(Lots_Data!$S$2:$S$234,MATCH($A223,Lots_Data!$A$2:$A$234,0))</f>
        <v/>
      </c>
      <c r="M223">
        <f>INDEX(Lots_Data!$N$2:$N$234,MATCH($A223,Lots_Data!$A$2:$A$234,0))</f>
        <v/>
      </c>
      <c r="N223">
        <f>IF($F223=0,"n/a",IF($L223&gt;=$F223/30*$M223,"adequate","under-set"))</f>
        <v/>
      </c>
    </row>
    <row r="224">
      <c r="A224" t="inlineStr">
        <is>
          <t>SS-01221</t>
        </is>
      </c>
      <c r="B224">
        <f>INDEX(Lots_Data!$C$2:$C$234,MATCH($A224,Lots_Data!$A$2:$A$234,0))</f>
        <v/>
      </c>
      <c r="C224">
        <f>INDEX(Lots_Data!$E$2:$E$234,MATCH($A224,Lots_Data!$A$2:$A$234,0))</f>
        <v/>
      </c>
      <c r="D224">
        <f>INDEX(Lots_Data!$D$2:$D$234,MATCH($A224,Lots_Data!$A$2:$A$234,0))</f>
        <v/>
      </c>
      <c r="E224">
        <f>INDEX(Lots_Data!$K$2:$K$234,MATCH($A224,Lots_Data!$A$2:$A$234,0))</f>
        <v/>
      </c>
      <c r="F224">
        <f>INDEX(Usage_Summary!$C$4:$C$236,MATCH($A224,Usage_Summary!$A$4:$A$236,0))</f>
        <v/>
      </c>
      <c r="G224">
        <f>IF($F224&gt;0,$E224/$F224*30,"")</f>
        <v/>
      </c>
      <c r="H224">
        <f>MAX(0,CEILING(ROUND($F224*Inputs!$B$10/30*Inputs!$B$7,6),1)-$E224)</f>
        <v/>
      </c>
      <c r="I224">
        <f>MAX(0,CEILING(ROUND($F224*Inputs!$B$11/30*Inputs!$B$7,6),1)-$E224)</f>
        <v/>
      </c>
      <c r="J224">
        <f>MAX(0,CEILING(ROUND($F224*Inputs!$B$12/30*Inputs!$B$7,6),1)-$E224)</f>
        <v/>
      </c>
      <c r="K224">
        <f>IF(AND($F224&gt;0,$E224&lt;=0),1,0)</f>
        <v/>
      </c>
      <c r="L224">
        <f>INDEX(Lots_Data!$S$2:$S$234,MATCH($A224,Lots_Data!$A$2:$A$234,0))</f>
        <v/>
      </c>
      <c r="M224">
        <f>INDEX(Lots_Data!$N$2:$N$234,MATCH($A224,Lots_Data!$A$2:$A$234,0))</f>
        <v/>
      </c>
      <c r="N224">
        <f>IF($F224=0,"n/a",IF($L224&gt;=$F224/30*$M224,"adequate","under-set"))</f>
        <v/>
      </c>
    </row>
    <row r="225">
      <c r="A225" t="inlineStr">
        <is>
          <t>SS-01222</t>
        </is>
      </c>
      <c r="B225">
        <f>INDEX(Lots_Data!$C$2:$C$234,MATCH($A225,Lots_Data!$A$2:$A$234,0))</f>
        <v/>
      </c>
      <c r="C225">
        <f>INDEX(Lots_Data!$E$2:$E$234,MATCH($A225,Lots_Data!$A$2:$A$234,0))</f>
        <v/>
      </c>
      <c r="D225">
        <f>INDEX(Lots_Data!$D$2:$D$234,MATCH($A225,Lots_Data!$A$2:$A$234,0))</f>
        <v/>
      </c>
      <c r="E225">
        <f>INDEX(Lots_Data!$K$2:$K$234,MATCH($A225,Lots_Data!$A$2:$A$234,0))</f>
        <v/>
      </c>
      <c r="F225">
        <f>INDEX(Usage_Summary!$C$4:$C$236,MATCH($A225,Usage_Summary!$A$4:$A$236,0))</f>
        <v/>
      </c>
      <c r="G225">
        <f>IF($F225&gt;0,$E225/$F225*30,"")</f>
        <v/>
      </c>
      <c r="H225">
        <f>MAX(0,CEILING(ROUND($F225*Inputs!$B$10/30*Inputs!$B$7,6),1)-$E225)</f>
        <v/>
      </c>
      <c r="I225">
        <f>MAX(0,CEILING(ROUND($F225*Inputs!$B$11/30*Inputs!$B$7,6),1)-$E225)</f>
        <v/>
      </c>
      <c r="J225">
        <f>MAX(0,CEILING(ROUND($F225*Inputs!$B$12/30*Inputs!$B$7,6),1)-$E225)</f>
        <v/>
      </c>
      <c r="K225">
        <f>IF(AND($F225&gt;0,$E225&lt;=0),1,0)</f>
        <v/>
      </c>
      <c r="L225">
        <f>INDEX(Lots_Data!$S$2:$S$234,MATCH($A225,Lots_Data!$A$2:$A$234,0))</f>
        <v/>
      </c>
      <c r="M225">
        <f>INDEX(Lots_Data!$N$2:$N$234,MATCH($A225,Lots_Data!$A$2:$A$234,0))</f>
        <v/>
      </c>
      <c r="N225">
        <f>IF($F225=0,"n/a",IF($L225&gt;=$F225/30*$M225,"adequate","under-set"))</f>
        <v/>
      </c>
    </row>
    <row r="226">
      <c r="A226" t="inlineStr">
        <is>
          <t>SS-01223</t>
        </is>
      </c>
      <c r="B226">
        <f>INDEX(Lots_Data!$C$2:$C$234,MATCH($A226,Lots_Data!$A$2:$A$234,0))</f>
        <v/>
      </c>
      <c r="C226">
        <f>INDEX(Lots_Data!$E$2:$E$234,MATCH($A226,Lots_Data!$A$2:$A$234,0))</f>
        <v/>
      </c>
      <c r="D226">
        <f>INDEX(Lots_Data!$D$2:$D$234,MATCH($A226,Lots_Data!$A$2:$A$234,0))</f>
        <v/>
      </c>
      <c r="E226">
        <f>INDEX(Lots_Data!$K$2:$K$234,MATCH($A226,Lots_Data!$A$2:$A$234,0))</f>
        <v/>
      </c>
      <c r="F226">
        <f>INDEX(Usage_Summary!$C$4:$C$236,MATCH($A226,Usage_Summary!$A$4:$A$236,0))</f>
        <v/>
      </c>
      <c r="G226">
        <f>IF($F226&gt;0,$E226/$F226*30,"")</f>
        <v/>
      </c>
      <c r="H226">
        <f>MAX(0,CEILING(ROUND($F226*Inputs!$B$10/30*Inputs!$B$7,6),1)-$E226)</f>
        <v/>
      </c>
      <c r="I226">
        <f>MAX(0,CEILING(ROUND($F226*Inputs!$B$11/30*Inputs!$B$7,6),1)-$E226)</f>
        <v/>
      </c>
      <c r="J226">
        <f>MAX(0,CEILING(ROUND($F226*Inputs!$B$12/30*Inputs!$B$7,6),1)-$E226)</f>
        <v/>
      </c>
      <c r="K226">
        <f>IF(AND($F226&gt;0,$E226&lt;=0),1,0)</f>
        <v/>
      </c>
      <c r="L226">
        <f>INDEX(Lots_Data!$S$2:$S$234,MATCH($A226,Lots_Data!$A$2:$A$234,0))</f>
        <v/>
      </c>
      <c r="M226">
        <f>INDEX(Lots_Data!$N$2:$N$234,MATCH($A226,Lots_Data!$A$2:$A$234,0))</f>
        <v/>
      </c>
      <c r="N226">
        <f>IF($F226=0,"n/a",IF($L226&gt;=$F226/30*$M226,"adequate","under-set"))</f>
        <v/>
      </c>
    </row>
    <row r="227">
      <c r="A227" t="inlineStr">
        <is>
          <t>SS-01224</t>
        </is>
      </c>
      <c r="B227">
        <f>INDEX(Lots_Data!$C$2:$C$234,MATCH($A227,Lots_Data!$A$2:$A$234,0))</f>
        <v/>
      </c>
      <c r="C227">
        <f>INDEX(Lots_Data!$E$2:$E$234,MATCH($A227,Lots_Data!$A$2:$A$234,0))</f>
        <v/>
      </c>
      <c r="D227">
        <f>INDEX(Lots_Data!$D$2:$D$234,MATCH($A227,Lots_Data!$A$2:$A$234,0))</f>
        <v/>
      </c>
      <c r="E227">
        <f>INDEX(Lots_Data!$K$2:$K$234,MATCH($A227,Lots_Data!$A$2:$A$234,0))</f>
        <v/>
      </c>
      <c r="F227">
        <f>INDEX(Usage_Summary!$C$4:$C$236,MATCH($A227,Usage_Summary!$A$4:$A$236,0))</f>
        <v/>
      </c>
      <c r="G227">
        <f>IF($F227&gt;0,$E227/$F227*30,"")</f>
        <v/>
      </c>
      <c r="H227">
        <f>MAX(0,CEILING(ROUND($F227*Inputs!$B$10/30*Inputs!$B$7,6),1)-$E227)</f>
        <v/>
      </c>
      <c r="I227">
        <f>MAX(0,CEILING(ROUND($F227*Inputs!$B$11/30*Inputs!$B$7,6),1)-$E227)</f>
        <v/>
      </c>
      <c r="J227">
        <f>MAX(0,CEILING(ROUND($F227*Inputs!$B$12/30*Inputs!$B$7,6),1)-$E227)</f>
        <v/>
      </c>
      <c r="K227">
        <f>IF(AND($F227&gt;0,$E227&lt;=0),1,0)</f>
        <v/>
      </c>
      <c r="L227">
        <f>INDEX(Lots_Data!$S$2:$S$234,MATCH($A227,Lots_Data!$A$2:$A$234,0))</f>
        <v/>
      </c>
      <c r="M227">
        <f>INDEX(Lots_Data!$N$2:$N$234,MATCH($A227,Lots_Data!$A$2:$A$234,0))</f>
        <v/>
      </c>
      <c r="N227">
        <f>IF($F227=0,"n/a",IF($L227&gt;=$F227/30*$M227,"adequate","under-set"))</f>
        <v/>
      </c>
    </row>
    <row r="228">
      <c r="A228" t="inlineStr">
        <is>
          <t>SS-01225</t>
        </is>
      </c>
      <c r="B228">
        <f>INDEX(Lots_Data!$C$2:$C$234,MATCH($A228,Lots_Data!$A$2:$A$234,0))</f>
        <v/>
      </c>
      <c r="C228">
        <f>INDEX(Lots_Data!$E$2:$E$234,MATCH($A228,Lots_Data!$A$2:$A$234,0))</f>
        <v/>
      </c>
      <c r="D228">
        <f>INDEX(Lots_Data!$D$2:$D$234,MATCH($A228,Lots_Data!$A$2:$A$234,0))</f>
        <v/>
      </c>
      <c r="E228">
        <f>INDEX(Lots_Data!$K$2:$K$234,MATCH($A228,Lots_Data!$A$2:$A$234,0))</f>
        <v/>
      </c>
      <c r="F228">
        <f>INDEX(Usage_Summary!$C$4:$C$236,MATCH($A228,Usage_Summary!$A$4:$A$236,0))</f>
        <v/>
      </c>
      <c r="G228">
        <f>IF($F228&gt;0,$E228/$F228*30,"")</f>
        <v/>
      </c>
      <c r="H228">
        <f>MAX(0,CEILING(ROUND($F228*Inputs!$B$10/30*Inputs!$B$7,6),1)-$E228)</f>
        <v/>
      </c>
      <c r="I228">
        <f>MAX(0,CEILING(ROUND($F228*Inputs!$B$11/30*Inputs!$B$7,6),1)-$E228)</f>
        <v/>
      </c>
      <c r="J228">
        <f>MAX(0,CEILING(ROUND($F228*Inputs!$B$12/30*Inputs!$B$7,6),1)-$E228)</f>
        <v/>
      </c>
      <c r="K228">
        <f>IF(AND($F228&gt;0,$E228&lt;=0),1,0)</f>
        <v/>
      </c>
      <c r="L228">
        <f>INDEX(Lots_Data!$S$2:$S$234,MATCH($A228,Lots_Data!$A$2:$A$234,0))</f>
        <v/>
      </c>
      <c r="M228">
        <f>INDEX(Lots_Data!$N$2:$N$234,MATCH($A228,Lots_Data!$A$2:$A$234,0))</f>
        <v/>
      </c>
      <c r="N228">
        <f>IF($F228=0,"n/a",IF($L228&gt;=$F228/30*$M228,"adequate","under-set"))</f>
        <v/>
      </c>
    </row>
    <row r="229">
      <c r="A229" t="inlineStr">
        <is>
          <t>SS-01226</t>
        </is>
      </c>
      <c r="B229">
        <f>INDEX(Lots_Data!$C$2:$C$234,MATCH($A229,Lots_Data!$A$2:$A$234,0))</f>
        <v/>
      </c>
      <c r="C229">
        <f>INDEX(Lots_Data!$E$2:$E$234,MATCH($A229,Lots_Data!$A$2:$A$234,0))</f>
        <v/>
      </c>
      <c r="D229">
        <f>INDEX(Lots_Data!$D$2:$D$234,MATCH($A229,Lots_Data!$A$2:$A$234,0))</f>
        <v/>
      </c>
      <c r="E229">
        <f>INDEX(Lots_Data!$K$2:$K$234,MATCH($A229,Lots_Data!$A$2:$A$234,0))</f>
        <v/>
      </c>
      <c r="F229">
        <f>INDEX(Usage_Summary!$C$4:$C$236,MATCH($A229,Usage_Summary!$A$4:$A$236,0))</f>
        <v/>
      </c>
      <c r="G229">
        <f>IF($F229&gt;0,$E229/$F229*30,"")</f>
        <v/>
      </c>
      <c r="H229">
        <f>MAX(0,CEILING(ROUND($F229*Inputs!$B$10/30*Inputs!$B$7,6),1)-$E229)</f>
        <v/>
      </c>
      <c r="I229">
        <f>MAX(0,CEILING(ROUND($F229*Inputs!$B$11/30*Inputs!$B$7,6),1)-$E229)</f>
        <v/>
      </c>
      <c r="J229">
        <f>MAX(0,CEILING(ROUND($F229*Inputs!$B$12/30*Inputs!$B$7,6),1)-$E229)</f>
        <v/>
      </c>
      <c r="K229">
        <f>IF(AND($F229&gt;0,$E229&lt;=0),1,0)</f>
        <v/>
      </c>
      <c r="L229">
        <f>INDEX(Lots_Data!$S$2:$S$234,MATCH($A229,Lots_Data!$A$2:$A$234,0))</f>
        <v/>
      </c>
      <c r="M229">
        <f>INDEX(Lots_Data!$N$2:$N$234,MATCH($A229,Lots_Data!$A$2:$A$234,0))</f>
        <v/>
      </c>
      <c r="N229">
        <f>IF($F229=0,"n/a",IF($L229&gt;=$F229/30*$M229,"adequate","under-set"))</f>
        <v/>
      </c>
    </row>
    <row r="230">
      <c r="A230" t="inlineStr">
        <is>
          <t>SS-01227</t>
        </is>
      </c>
      <c r="B230">
        <f>INDEX(Lots_Data!$C$2:$C$234,MATCH($A230,Lots_Data!$A$2:$A$234,0))</f>
        <v/>
      </c>
      <c r="C230">
        <f>INDEX(Lots_Data!$E$2:$E$234,MATCH($A230,Lots_Data!$A$2:$A$234,0))</f>
        <v/>
      </c>
      <c r="D230">
        <f>INDEX(Lots_Data!$D$2:$D$234,MATCH($A230,Lots_Data!$A$2:$A$234,0))</f>
        <v/>
      </c>
      <c r="E230">
        <f>INDEX(Lots_Data!$K$2:$K$234,MATCH($A230,Lots_Data!$A$2:$A$234,0))</f>
        <v/>
      </c>
      <c r="F230">
        <f>INDEX(Usage_Summary!$C$4:$C$236,MATCH($A230,Usage_Summary!$A$4:$A$236,0))</f>
        <v/>
      </c>
      <c r="G230">
        <f>IF($F230&gt;0,$E230/$F230*30,"")</f>
        <v/>
      </c>
      <c r="H230">
        <f>MAX(0,CEILING(ROUND($F230*Inputs!$B$10/30*Inputs!$B$7,6),1)-$E230)</f>
        <v/>
      </c>
      <c r="I230">
        <f>MAX(0,CEILING(ROUND($F230*Inputs!$B$11/30*Inputs!$B$7,6),1)-$E230)</f>
        <v/>
      </c>
      <c r="J230">
        <f>MAX(0,CEILING(ROUND($F230*Inputs!$B$12/30*Inputs!$B$7,6),1)-$E230)</f>
        <v/>
      </c>
      <c r="K230">
        <f>IF(AND($F230&gt;0,$E230&lt;=0),1,0)</f>
        <v/>
      </c>
      <c r="L230">
        <f>INDEX(Lots_Data!$S$2:$S$234,MATCH($A230,Lots_Data!$A$2:$A$234,0))</f>
        <v/>
      </c>
      <c r="M230">
        <f>INDEX(Lots_Data!$N$2:$N$234,MATCH($A230,Lots_Data!$A$2:$A$234,0))</f>
        <v/>
      </c>
      <c r="N230">
        <f>IF($F230=0,"n/a",IF($L230&gt;=$F230/30*$M230,"adequate","under-set"))</f>
        <v/>
      </c>
    </row>
    <row r="231">
      <c r="A231" t="inlineStr">
        <is>
          <t>SS-01228</t>
        </is>
      </c>
      <c r="B231">
        <f>INDEX(Lots_Data!$C$2:$C$234,MATCH($A231,Lots_Data!$A$2:$A$234,0))</f>
        <v/>
      </c>
      <c r="C231">
        <f>INDEX(Lots_Data!$E$2:$E$234,MATCH($A231,Lots_Data!$A$2:$A$234,0))</f>
        <v/>
      </c>
      <c r="D231">
        <f>INDEX(Lots_Data!$D$2:$D$234,MATCH($A231,Lots_Data!$A$2:$A$234,0))</f>
        <v/>
      </c>
      <c r="E231">
        <f>INDEX(Lots_Data!$K$2:$K$234,MATCH($A231,Lots_Data!$A$2:$A$234,0))</f>
        <v/>
      </c>
      <c r="F231">
        <f>INDEX(Usage_Summary!$C$4:$C$236,MATCH($A231,Usage_Summary!$A$4:$A$236,0))</f>
        <v/>
      </c>
      <c r="G231">
        <f>IF($F231&gt;0,$E231/$F231*30,"")</f>
        <v/>
      </c>
      <c r="H231">
        <f>MAX(0,CEILING(ROUND($F231*Inputs!$B$10/30*Inputs!$B$7,6),1)-$E231)</f>
        <v/>
      </c>
      <c r="I231">
        <f>MAX(0,CEILING(ROUND($F231*Inputs!$B$11/30*Inputs!$B$7,6),1)-$E231)</f>
        <v/>
      </c>
      <c r="J231">
        <f>MAX(0,CEILING(ROUND($F231*Inputs!$B$12/30*Inputs!$B$7,6),1)-$E231)</f>
        <v/>
      </c>
      <c r="K231">
        <f>IF(AND($F231&gt;0,$E231&lt;=0),1,0)</f>
        <v/>
      </c>
      <c r="L231">
        <f>INDEX(Lots_Data!$S$2:$S$234,MATCH($A231,Lots_Data!$A$2:$A$234,0))</f>
        <v/>
      </c>
      <c r="M231">
        <f>INDEX(Lots_Data!$N$2:$N$234,MATCH($A231,Lots_Data!$A$2:$A$234,0))</f>
        <v/>
      </c>
      <c r="N231">
        <f>IF($F231=0,"n/a",IF($L231&gt;=$F231/30*$M231,"adequate","under-set"))</f>
        <v/>
      </c>
    </row>
    <row r="232">
      <c r="A232" t="inlineStr">
        <is>
          <t>SS-01229</t>
        </is>
      </c>
      <c r="B232">
        <f>INDEX(Lots_Data!$C$2:$C$234,MATCH($A232,Lots_Data!$A$2:$A$234,0))</f>
        <v/>
      </c>
      <c r="C232">
        <f>INDEX(Lots_Data!$E$2:$E$234,MATCH($A232,Lots_Data!$A$2:$A$234,0))</f>
        <v/>
      </c>
      <c r="D232">
        <f>INDEX(Lots_Data!$D$2:$D$234,MATCH($A232,Lots_Data!$A$2:$A$234,0))</f>
        <v/>
      </c>
      <c r="E232">
        <f>INDEX(Lots_Data!$K$2:$K$234,MATCH($A232,Lots_Data!$A$2:$A$234,0))</f>
        <v/>
      </c>
      <c r="F232">
        <f>INDEX(Usage_Summary!$C$4:$C$236,MATCH($A232,Usage_Summary!$A$4:$A$236,0))</f>
        <v/>
      </c>
      <c r="G232">
        <f>IF($F232&gt;0,$E232/$F232*30,"")</f>
        <v/>
      </c>
      <c r="H232">
        <f>MAX(0,CEILING(ROUND($F232*Inputs!$B$10/30*Inputs!$B$7,6),1)-$E232)</f>
        <v/>
      </c>
      <c r="I232">
        <f>MAX(0,CEILING(ROUND($F232*Inputs!$B$11/30*Inputs!$B$7,6),1)-$E232)</f>
        <v/>
      </c>
      <c r="J232">
        <f>MAX(0,CEILING(ROUND($F232*Inputs!$B$12/30*Inputs!$B$7,6),1)-$E232)</f>
        <v/>
      </c>
      <c r="K232">
        <f>IF(AND($F232&gt;0,$E232&lt;=0),1,0)</f>
        <v/>
      </c>
      <c r="L232">
        <f>INDEX(Lots_Data!$S$2:$S$234,MATCH($A232,Lots_Data!$A$2:$A$234,0))</f>
        <v/>
      </c>
      <c r="M232">
        <f>INDEX(Lots_Data!$N$2:$N$234,MATCH($A232,Lots_Data!$A$2:$A$234,0))</f>
        <v/>
      </c>
      <c r="N232">
        <f>IF($F232=0,"n/a",IF($L232&gt;=$F232/30*$M232,"adequate","under-set"))</f>
        <v/>
      </c>
    </row>
    <row r="233">
      <c r="A233" t="inlineStr">
        <is>
          <t>SS-01230</t>
        </is>
      </c>
      <c r="B233">
        <f>INDEX(Lots_Data!$C$2:$C$234,MATCH($A233,Lots_Data!$A$2:$A$234,0))</f>
        <v/>
      </c>
      <c r="C233">
        <f>INDEX(Lots_Data!$E$2:$E$234,MATCH($A233,Lots_Data!$A$2:$A$234,0))</f>
        <v/>
      </c>
      <c r="D233">
        <f>INDEX(Lots_Data!$D$2:$D$234,MATCH($A233,Lots_Data!$A$2:$A$234,0))</f>
        <v/>
      </c>
      <c r="E233">
        <f>INDEX(Lots_Data!$K$2:$K$234,MATCH($A233,Lots_Data!$A$2:$A$234,0))</f>
        <v/>
      </c>
      <c r="F233">
        <f>INDEX(Usage_Summary!$C$4:$C$236,MATCH($A233,Usage_Summary!$A$4:$A$236,0))</f>
        <v/>
      </c>
      <c r="G233">
        <f>IF($F233&gt;0,$E233/$F233*30,"")</f>
        <v/>
      </c>
      <c r="H233">
        <f>MAX(0,CEILING(ROUND($F233*Inputs!$B$10/30*Inputs!$B$7,6),1)-$E233)</f>
        <v/>
      </c>
      <c r="I233">
        <f>MAX(0,CEILING(ROUND($F233*Inputs!$B$11/30*Inputs!$B$7,6),1)-$E233)</f>
        <v/>
      </c>
      <c r="J233">
        <f>MAX(0,CEILING(ROUND($F233*Inputs!$B$12/30*Inputs!$B$7,6),1)-$E233)</f>
        <v/>
      </c>
      <c r="K233">
        <f>IF(AND($F233&gt;0,$E233&lt;=0),1,0)</f>
        <v/>
      </c>
      <c r="L233">
        <f>INDEX(Lots_Data!$S$2:$S$234,MATCH($A233,Lots_Data!$A$2:$A$234,0))</f>
        <v/>
      </c>
      <c r="M233">
        <f>INDEX(Lots_Data!$N$2:$N$234,MATCH($A233,Lots_Data!$A$2:$A$234,0))</f>
        <v/>
      </c>
      <c r="N233">
        <f>IF($F233=0,"n/a",IF($L233&gt;=$F233/30*$M233,"adequate","under-set"))</f>
        <v/>
      </c>
    </row>
    <row r="234">
      <c r="A234" t="inlineStr">
        <is>
          <t>SS-01231</t>
        </is>
      </c>
      <c r="B234">
        <f>INDEX(Lots_Data!$C$2:$C$234,MATCH($A234,Lots_Data!$A$2:$A$234,0))</f>
        <v/>
      </c>
      <c r="C234">
        <f>INDEX(Lots_Data!$E$2:$E$234,MATCH($A234,Lots_Data!$A$2:$A$234,0))</f>
        <v/>
      </c>
      <c r="D234">
        <f>INDEX(Lots_Data!$D$2:$D$234,MATCH($A234,Lots_Data!$A$2:$A$234,0))</f>
        <v/>
      </c>
      <c r="E234">
        <f>INDEX(Lots_Data!$K$2:$K$234,MATCH($A234,Lots_Data!$A$2:$A$234,0))</f>
        <v/>
      </c>
      <c r="F234">
        <f>INDEX(Usage_Summary!$C$4:$C$236,MATCH($A234,Usage_Summary!$A$4:$A$236,0))</f>
        <v/>
      </c>
      <c r="G234">
        <f>IF($F234&gt;0,$E234/$F234*30,"")</f>
        <v/>
      </c>
      <c r="H234">
        <f>MAX(0,CEILING(ROUND($F234*Inputs!$B$10/30*Inputs!$B$7,6),1)-$E234)</f>
        <v/>
      </c>
      <c r="I234">
        <f>MAX(0,CEILING(ROUND($F234*Inputs!$B$11/30*Inputs!$B$7,6),1)-$E234)</f>
        <v/>
      </c>
      <c r="J234">
        <f>MAX(0,CEILING(ROUND($F234*Inputs!$B$12/30*Inputs!$B$7,6),1)-$E234)</f>
        <v/>
      </c>
      <c r="K234">
        <f>IF(AND($F234&gt;0,$E234&lt;=0),1,0)</f>
        <v/>
      </c>
      <c r="L234">
        <f>INDEX(Lots_Data!$S$2:$S$234,MATCH($A234,Lots_Data!$A$2:$A$234,0))</f>
        <v/>
      </c>
      <c r="M234">
        <f>INDEX(Lots_Data!$N$2:$N$234,MATCH($A234,Lots_Data!$A$2:$A$234,0))</f>
        <v/>
      </c>
      <c r="N234">
        <f>IF($F234=0,"n/a",IF($L234&gt;=$F234/30*$M234,"adequate","under-set"))</f>
        <v/>
      </c>
    </row>
    <row r="235">
      <c r="A235" t="inlineStr">
        <is>
          <t>SS-01232</t>
        </is>
      </c>
      <c r="B235">
        <f>INDEX(Lots_Data!$C$2:$C$234,MATCH($A235,Lots_Data!$A$2:$A$234,0))</f>
        <v/>
      </c>
      <c r="C235">
        <f>INDEX(Lots_Data!$E$2:$E$234,MATCH($A235,Lots_Data!$A$2:$A$234,0))</f>
        <v/>
      </c>
      <c r="D235">
        <f>INDEX(Lots_Data!$D$2:$D$234,MATCH($A235,Lots_Data!$A$2:$A$234,0))</f>
        <v/>
      </c>
      <c r="E235">
        <f>INDEX(Lots_Data!$K$2:$K$234,MATCH($A235,Lots_Data!$A$2:$A$234,0))</f>
        <v/>
      </c>
      <c r="F235">
        <f>INDEX(Usage_Summary!$C$4:$C$236,MATCH($A235,Usage_Summary!$A$4:$A$236,0))</f>
        <v/>
      </c>
      <c r="G235">
        <f>IF($F235&gt;0,$E235/$F235*30,"")</f>
        <v/>
      </c>
      <c r="H235">
        <f>MAX(0,CEILING(ROUND($F235*Inputs!$B$10/30*Inputs!$B$7,6),1)-$E235)</f>
        <v/>
      </c>
      <c r="I235">
        <f>MAX(0,CEILING(ROUND($F235*Inputs!$B$11/30*Inputs!$B$7,6),1)-$E235)</f>
        <v/>
      </c>
      <c r="J235">
        <f>MAX(0,CEILING(ROUND($F235*Inputs!$B$12/30*Inputs!$B$7,6),1)-$E235)</f>
        <v/>
      </c>
      <c r="K235">
        <f>IF(AND($F235&gt;0,$E235&lt;=0),1,0)</f>
        <v/>
      </c>
      <c r="L235">
        <f>INDEX(Lots_Data!$S$2:$S$234,MATCH($A235,Lots_Data!$A$2:$A$234,0))</f>
        <v/>
      </c>
      <c r="M235">
        <f>INDEX(Lots_Data!$N$2:$N$234,MATCH($A235,Lots_Data!$A$2:$A$234,0))</f>
        <v/>
      </c>
      <c r="N235">
        <f>IF($F235=0,"n/a",IF($L235&gt;=$F235/30*$M235,"adequate","under-set"))</f>
        <v/>
      </c>
    </row>
    <row r="236">
      <c r="A236" t="inlineStr">
        <is>
          <t>SS-01233</t>
        </is>
      </c>
      <c r="B236">
        <f>INDEX(Lots_Data!$C$2:$C$234,MATCH($A236,Lots_Data!$A$2:$A$234,0))</f>
        <v/>
      </c>
      <c r="C236">
        <f>INDEX(Lots_Data!$E$2:$E$234,MATCH($A236,Lots_Data!$A$2:$A$234,0))</f>
        <v/>
      </c>
      <c r="D236">
        <f>INDEX(Lots_Data!$D$2:$D$234,MATCH($A236,Lots_Data!$A$2:$A$234,0))</f>
        <v/>
      </c>
      <c r="E236">
        <f>INDEX(Lots_Data!$K$2:$K$234,MATCH($A236,Lots_Data!$A$2:$A$234,0))</f>
        <v/>
      </c>
      <c r="F236">
        <f>INDEX(Usage_Summary!$C$4:$C$236,MATCH($A236,Usage_Summary!$A$4:$A$236,0))</f>
        <v/>
      </c>
      <c r="G236">
        <f>IF($F236&gt;0,$E236/$F236*30,"")</f>
        <v/>
      </c>
      <c r="H236">
        <f>MAX(0,CEILING(ROUND($F236*Inputs!$B$10/30*Inputs!$B$7,6),1)-$E236)</f>
        <v/>
      </c>
      <c r="I236">
        <f>MAX(0,CEILING(ROUND($F236*Inputs!$B$11/30*Inputs!$B$7,6),1)-$E236)</f>
        <v/>
      </c>
      <c r="J236">
        <f>MAX(0,CEILING(ROUND($F236*Inputs!$B$12/30*Inputs!$B$7,6),1)-$E236)</f>
        <v/>
      </c>
      <c r="K236">
        <f>IF(AND($F236&gt;0,$E236&lt;=0),1,0)</f>
        <v/>
      </c>
      <c r="L236">
        <f>INDEX(Lots_Data!$S$2:$S$234,MATCH($A236,Lots_Data!$A$2:$A$234,0))</f>
        <v/>
      </c>
      <c r="M236">
        <f>INDEX(Lots_Data!$N$2:$N$234,MATCH($A236,Lots_Data!$A$2:$A$234,0))</f>
        <v/>
      </c>
      <c r="N236">
        <f>IF($F236=0,"n/a",IF($L236&gt;=$F236/30*$M236,"adequate","under-set"))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7" customWidth="1" min="5" max="5"/>
    <col width="13" customWidth="1" min="6" max="6"/>
    <col width="9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  <col width="11" customWidth="1" min="19" max="19"/>
    <col width="15" customWidth="1" min="20" max="20"/>
    <col width="15" customWidth="1" min="21" max="21"/>
    <col width="6" customWidth="1" min="22" max="22"/>
    <col width="12" customWidth="1" min="23" max="23"/>
    <col width="13" customWidth="1" min="24" max="24"/>
    <col width="10" customWidth="1" min="25" max="25"/>
    <col width="12" customWidth="1" min="26" max="26"/>
    <col width="12" customWidth="1" min="27" max="27"/>
    <col width="30" customWidth="1" min="28" max="28"/>
    <col width="90" customWidth="1" min="29" max="29"/>
  </cols>
  <sheetData>
    <row r="1">
      <c r="A1" s="1" t="inlineStr">
        <is>
          <t>Supplier performance &amp; renewal scorecard</t>
        </is>
      </c>
    </row>
    <row r="2">
      <c r="A2" s="3" t="inlineStr">
        <is>
          <t>Live SUMIFS/COUNTIFS over Supplier_Info, PO_Data, Delivery_Data, Quality_Data. Weights: Inputs B15:B18. Stance/basis columns are recommendations, not data.</t>
        </is>
      </c>
    </row>
    <row r="3">
      <c r="A3" s="6" t="inlineStr">
        <is>
          <t>supplier_id</t>
        </is>
      </c>
      <c r="B3" s="6" t="inlineStr">
        <is>
          <t>supplier_name</t>
        </is>
      </c>
      <c r="C3" s="6" t="inlineStr">
        <is>
          <t>orders_placed</t>
        </is>
      </c>
      <c r="D3" s="6" t="inlineStr">
        <is>
          <t>on_time</t>
        </is>
      </c>
      <c r="E3" s="6" t="inlineStr">
        <is>
          <t>late</t>
        </is>
      </c>
      <c r="F3" s="6" t="inlineStr">
        <is>
          <t>short_shipped</t>
        </is>
      </c>
      <c r="G3" s="6" t="inlineStr">
        <is>
          <t>OTD_rate</t>
        </is>
      </c>
      <c r="H3" s="6" t="inlineStr">
        <is>
          <t>short_ship_rate</t>
        </is>
      </c>
      <c r="I3" s="6" t="inlineStr">
        <is>
          <t>total_spend_usd</t>
        </is>
      </c>
      <c r="J3" s="6" t="inlineStr">
        <is>
          <t>avg_lead_days</t>
        </is>
      </c>
      <c r="K3" s="6" t="inlineStr">
        <is>
          <t>quality_issues</t>
        </is>
      </c>
      <c r="L3" s="6" t="inlineStr">
        <is>
          <t>events_total</t>
        </is>
      </c>
      <c r="M3" s="6" t="inlineStr">
        <is>
          <t>events_open</t>
        </is>
      </c>
      <c r="N3" s="6" t="inlineStr">
        <is>
          <t>events_scope_unresolved</t>
        </is>
      </c>
      <c r="O3" s="6" t="inlineStr">
        <is>
          <t>events_not_closed</t>
        </is>
      </c>
      <c r="P3" s="6" t="inlineStr">
        <is>
          <t>PO_fill_rate</t>
        </is>
      </c>
      <c r="Q3" s="6" t="inlineStr">
        <is>
          <t>partial_POs</t>
        </is>
      </c>
      <c r="R3" s="6" t="inlineStr">
        <is>
          <t>cancelled_POs</t>
        </is>
      </c>
      <c r="S3" s="6" t="inlineStr">
        <is>
          <t>lead_score</t>
        </is>
      </c>
      <c r="T3" s="6" t="inlineStr">
        <is>
          <t>unresolved_score</t>
        </is>
      </c>
      <c r="U3" s="6" t="inlineStr">
        <is>
          <t>composite_score</t>
        </is>
      </c>
      <c r="V3" s="6" t="inlineStr">
        <is>
          <t>rank</t>
        </is>
      </c>
      <c r="W3" s="6" t="inlineStr">
        <is>
          <t>contract_end</t>
        </is>
      </c>
      <c r="X3" s="6" t="inlineStr">
        <is>
          <t>payment_terms</t>
        </is>
      </c>
      <c r="Y3" s="6" t="inlineStr">
        <is>
          <t>MOQ_usd</t>
        </is>
      </c>
      <c r="Z3" s="6" t="inlineStr">
        <is>
          <t>lots_on_hand</t>
        </is>
      </c>
      <c r="AA3" s="6" t="inlineStr">
        <is>
          <t>recalled_lots_on_hand</t>
        </is>
      </c>
      <c r="AB3" s="6" t="inlineStr">
        <is>
          <t>renewal_stance</t>
        </is>
      </c>
      <c r="AC3" s="6" t="inlineStr">
        <is>
          <t>stance_basis</t>
        </is>
      </c>
    </row>
    <row r="4">
      <c r="A4" t="n">
        <v>1</v>
      </c>
      <c r="B4">
        <f>INDEX(Supplier_Info!$B$2:$B$6,MATCH($A4,Supplier_Info!$A$2:$A$6,0))</f>
        <v/>
      </c>
      <c r="C4">
        <f>SUMIFS(Delivery_Data!$E$2:$E$61,Delivery_Data!$B$2:$B$61,$A4)</f>
        <v/>
      </c>
      <c r="D4">
        <f>SUMIFS(Delivery_Data!$F$2:$F$61,Delivery_Data!$B$2:$B$61,$A4)</f>
        <v/>
      </c>
      <c r="E4">
        <f>SUMIFS(Delivery_Data!$G$2:$G$61,Delivery_Data!$B$2:$B$61,$A4)</f>
        <v/>
      </c>
      <c r="F4">
        <f>SUMIFS(Delivery_Data!$H$2:$H$61,Delivery_Data!$B$2:$B$61,$A4)</f>
        <v/>
      </c>
      <c r="G4" s="8">
        <f>D4/C4</f>
        <v/>
      </c>
      <c r="H4" s="8">
        <f>F4/C4</f>
        <v/>
      </c>
      <c r="I4" s="9">
        <f>SUMIFS(Delivery_Data!$I$2:$I$61,Delivery_Data!$B$2:$B$61,$A4)</f>
        <v/>
      </c>
      <c r="J4" s="10">
        <f>AVERAGEIFS(Delivery_Data!$J$2:$J$61,Delivery_Data!$B$2:$B$61,$A4)</f>
        <v/>
      </c>
      <c r="K4">
        <f>SUMIFS(Delivery_Data!$K$2:$K$61,Delivery_Data!$B$2:$B$61,$A4)</f>
        <v/>
      </c>
      <c r="L4">
        <f>COUNTIFS(Quality_Data!$B$2:$B$25,$A4)</f>
        <v/>
      </c>
      <c r="M4">
        <f>COUNTIFS(Quality_Data!$B$2:$B$25,$A4,Quality_Data!$G$2:$G$25,"open")</f>
        <v/>
      </c>
      <c r="N4">
        <f>COUNTIFS(Quality_Data!$B$2:$B$25,$A4,Quality_Data!$G$2:$G$25,"scope-unresolved")</f>
        <v/>
      </c>
      <c r="O4">
        <f>M4+N4</f>
        <v/>
      </c>
      <c r="P4" s="8">
        <f>SUMIFS(PO_Data!$J$2:$J$121,PO_Data!$C$2:$C$121,$A4)/SUMIFS(PO_Data!$I$2:$I$121,PO_Data!$C$2:$C$121,$A4)</f>
        <v/>
      </c>
      <c r="Q4">
        <f>COUNTIFS(PO_Data!$C$2:$C$121,$A4,PO_Data!$H$2:$H$121,"Partially Delivered")</f>
        <v/>
      </c>
      <c r="R4">
        <f>COUNTIFS(PO_Data!$C$2:$C$121,$A4,PO_Data!$H$2:$H$121,"Cancelled")</f>
        <v/>
      </c>
      <c r="S4" s="8">
        <f>MIN($J$4:$J$8)/J4</f>
        <v/>
      </c>
      <c r="T4" s="8">
        <f>IF(MAX($O$4:$O$8)=0,1,1-O4/MAX($O$4:$O$8))</f>
        <v/>
      </c>
      <c r="U4" s="8">
        <f>Inputs!$B$15*G4+Inputs!$B$16*S4+Inputs!$B$17*T4+Inputs!$B$18*P4</f>
        <v/>
      </c>
      <c r="V4">
        <f>RANK(U4,$U$4:$U$8)</f>
        <v/>
      </c>
      <c r="W4">
        <f>INDEX(Supplier_Info!$G$2:$G$6,MATCH($A4,Supplier_Info!$A$2:$A$6,0))</f>
        <v/>
      </c>
      <c r="X4">
        <f>INDEX(Supplier_Info!$E$2:$E$6,MATCH($A4,Supplier_Info!$A$2:$A$6,0))</f>
        <v/>
      </c>
      <c r="Y4">
        <f>INDEX(Supplier_Info!$H$2:$H$6,MATCH($A4,Supplier_Info!$A$2:$A$6,0))</f>
        <v/>
      </c>
      <c r="Z4">
        <f>COUNTIFS(Lots_Data!$D$2:$D$234,$B4)</f>
        <v/>
      </c>
      <c r="AA4">
        <f>COUNTIFS(Lots_Data!$D$2:$D$234,$B4,Lots_Data!$J$2:$J$234,"recalled")</f>
        <v/>
      </c>
      <c r="AB4" t="inlineStr">
        <is>
          <t>Renegotiate with corrective conditions</t>
        </is>
      </c>
      <c r="AC4" t="inlineStr">
        <is>
          <t>Earliest contract expiry (2027-01-14) with mid-pack OTD (73.3%) and highest-2nd spend; recalled lot LOT-07001 on hand. Do not auto-renew: require OTD improvement commitment and closure evidence on 3 not-closed quality events; qualify a second vascular source.</t>
        </is>
      </c>
    </row>
    <row r="5">
      <c r="A5" t="n">
        <v>2</v>
      </c>
      <c r="B5">
        <f>INDEX(Supplier_Info!$B$2:$B$6,MATCH($A5,Supplier_Info!$A$2:$A$6,0))</f>
        <v/>
      </c>
      <c r="C5">
        <f>SUMIFS(Delivery_Data!$E$2:$E$61,Delivery_Data!$B$2:$B$61,$A5)</f>
        <v/>
      </c>
      <c r="D5">
        <f>SUMIFS(Delivery_Data!$F$2:$F$61,Delivery_Data!$B$2:$B$61,$A5)</f>
        <v/>
      </c>
      <c r="E5">
        <f>SUMIFS(Delivery_Data!$G$2:$G$61,Delivery_Data!$B$2:$B$61,$A5)</f>
        <v/>
      </c>
      <c r="F5">
        <f>SUMIFS(Delivery_Data!$H$2:$H$61,Delivery_Data!$B$2:$B$61,$A5)</f>
        <v/>
      </c>
      <c r="G5" s="8">
        <f>D5/C5</f>
        <v/>
      </c>
      <c r="H5" s="8">
        <f>F5/C5</f>
        <v/>
      </c>
      <c r="I5" s="9">
        <f>SUMIFS(Delivery_Data!$I$2:$I$61,Delivery_Data!$B$2:$B$61,$A5)</f>
        <v/>
      </c>
      <c r="J5" s="10">
        <f>AVERAGEIFS(Delivery_Data!$J$2:$J$61,Delivery_Data!$B$2:$B$61,$A5)</f>
        <v/>
      </c>
      <c r="K5">
        <f>SUMIFS(Delivery_Data!$K$2:$K$61,Delivery_Data!$B$2:$B$61,$A5)</f>
        <v/>
      </c>
      <c r="L5">
        <f>COUNTIFS(Quality_Data!$B$2:$B$25,$A5)</f>
        <v/>
      </c>
      <c r="M5">
        <f>COUNTIFS(Quality_Data!$B$2:$B$25,$A5,Quality_Data!$G$2:$G$25,"open")</f>
        <v/>
      </c>
      <c r="N5">
        <f>COUNTIFS(Quality_Data!$B$2:$B$25,$A5,Quality_Data!$G$2:$G$25,"scope-unresolved")</f>
        <v/>
      </c>
      <c r="O5">
        <f>M5+N5</f>
        <v/>
      </c>
      <c r="P5" s="8">
        <f>SUMIFS(PO_Data!$J$2:$J$121,PO_Data!$C$2:$C$121,$A5)/SUMIFS(PO_Data!$I$2:$I$121,PO_Data!$C$2:$C$121,$A5)</f>
        <v/>
      </c>
      <c r="Q5">
        <f>COUNTIFS(PO_Data!$C$2:$C$121,$A5,PO_Data!$H$2:$H$121,"Partially Delivered")</f>
        <v/>
      </c>
      <c r="R5">
        <f>COUNTIFS(PO_Data!$C$2:$C$121,$A5,PO_Data!$H$2:$H$121,"Cancelled")</f>
        <v/>
      </c>
      <c r="S5" s="8">
        <f>MIN($J$4:$J$8)/J5</f>
        <v/>
      </c>
      <c r="T5" s="8">
        <f>IF(MAX($O$4:$O$8)=0,1,1-O5/MAX($O$4:$O$8))</f>
        <v/>
      </c>
      <c r="U5" s="8">
        <f>Inputs!$B$15*G5+Inputs!$B$16*S5+Inputs!$B$17*T5+Inputs!$B$18*P5</f>
        <v/>
      </c>
      <c r="V5">
        <f>RANK(U5,$U$4:$U$8)</f>
        <v/>
      </c>
      <c r="W5">
        <f>INDEX(Supplier_Info!$G$2:$G$6,MATCH($A5,Supplier_Info!$A$2:$A$6,0))</f>
        <v/>
      </c>
      <c r="X5">
        <f>INDEX(Supplier_Info!$E$2:$E$6,MATCH($A5,Supplier_Info!$A$2:$A$6,0))</f>
        <v/>
      </c>
      <c r="Y5">
        <f>INDEX(Supplier_Info!$H$2:$H$6,MATCH($A5,Supplier_Info!$A$2:$A$6,0))</f>
        <v/>
      </c>
      <c r="Z5">
        <f>COUNTIFS(Lots_Data!$D$2:$D$234,$B5)</f>
        <v/>
      </c>
      <c r="AA5">
        <f>COUNTIFS(Lots_Data!$D$2:$D$234,$B5,Lots_Data!$J$2:$J$234,"recalled")</f>
        <v/>
      </c>
      <c r="AB5" t="inlineStr">
        <is>
          <t>Conditional renewal with remediation plan</t>
        </is>
      </c>
      <c r="AC5" t="inlineStr">
        <is>
          <t>OTD 77.3%, avg lead 6.1d; 2/10 Net 30 terms; 3 not-closed quality events and recalled lot LOT-07142 on hand. Renew only with a 90-day remediation milestone and fill-rate monitoring.</t>
        </is>
      </c>
    </row>
    <row r="6">
      <c r="A6" t="n">
        <v>3</v>
      </c>
      <c r="B6">
        <f>INDEX(Supplier_Info!$B$2:$B$6,MATCH($A6,Supplier_Info!$A$2:$A$6,0))</f>
        <v/>
      </c>
      <c r="C6">
        <f>SUMIFS(Delivery_Data!$E$2:$E$61,Delivery_Data!$B$2:$B$61,$A6)</f>
        <v/>
      </c>
      <c r="D6">
        <f>SUMIFS(Delivery_Data!$F$2:$F$61,Delivery_Data!$B$2:$B$61,$A6)</f>
        <v/>
      </c>
      <c r="E6">
        <f>SUMIFS(Delivery_Data!$G$2:$G$61,Delivery_Data!$B$2:$B$61,$A6)</f>
        <v/>
      </c>
      <c r="F6">
        <f>SUMIFS(Delivery_Data!$H$2:$H$61,Delivery_Data!$B$2:$B$61,$A6)</f>
        <v/>
      </c>
      <c r="G6" s="8">
        <f>D6/C6</f>
        <v/>
      </c>
      <c r="H6" s="8">
        <f>F6/C6</f>
        <v/>
      </c>
      <c r="I6" s="9">
        <f>SUMIFS(Delivery_Data!$I$2:$I$61,Delivery_Data!$B$2:$B$61,$A6)</f>
        <v/>
      </c>
      <c r="J6" s="10">
        <f>AVERAGEIFS(Delivery_Data!$J$2:$J$61,Delivery_Data!$B$2:$B$61,$A6)</f>
        <v/>
      </c>
      <c r="K6">
        <f>SUMIFS(Delivery_Data!$K$2:$K$61,Delivery_Data!$B$2:$B$61,$A6)</f>
        <v/>
      </c>
      <c r="L6">
        <f>COUNTIFS(Quality_Data!$B$2:$B$25,$A6)</f>
        <v/>
      </c>
      <c r="M6">
        <f>COUNTIFS(Quality_Data!$B$2:$B$25,$A6,Quality_Data!$G$2:$G$25,"open")</f>
        <v/>
      </c>
      <c r="N6">
        <f>COUNTIFS(Quality_Data!$B$2:$B$25,$A6,Quality_Data!$G$2:$G$25,"scope-unresolved")</f>
        <v/>
      </c>
      <c r="O6">
        <f>M6+N6</f>
        <v/>
      </c>
      <c r="P6" s="8">
        <f>SUMIFS(PO_Data!$J$2:$J$121,PO_Data!$C$2:$C$121,$A6)/SUMIFS(PO_Data!$I$2:$I$121,PO_Data!$C$2:$C$121,$A6)</f>
        <v/>
      </c>
      <c r="Q6">
        <f>COUNTIFS(PO_Data!$C$2:$C$121,$A6,PO_Data!$H$2:$H$121,"Partially Delivered")</f>
        <v/>
      </c>
      <c r="R6">
        <f>COUNTIFS(PO_Data!$C$2:$C$121,$A6,PO_Data!$H$2:$H$121,"Cancelled")</f>
        <v/>
      </c>
      <c r="S6" s="8">
        <f>MIN($J$4:$J$8)/J6</f>
        <v/>
      </c>
      <c r="T6" s="8">
        <f>IF(MAX($O$4:$O$8)=0,1,1-O6/MAX($O$4:$O$8))</f>
        <v/>
      </c>
      <c r="U6" s="8">
        <f>Inputs!$B$15*G6+Inputs!$B$16*S6+Inputs!$B$17*T6+Inputs!$B$18*P6</f>
        <v/>
      </c>
      <c r="V6">
        <f>RANK(U6,$U$4:$U$8)</f>
        <v/>
      </c>
      <c r="W6">
        <f>INDEX(Supplier_Info!$G$2:$G$6,MATCH($A6,Supplier_Info!$A$2:$A$6,0))</f>
        <v/>
      </c>
      <c r="X6">
        <f>INDEX(Supplier_Info!$E$2:$E$6,MATCH($A6,Supplier_Info!$A$2:$A$6,0))</f>
        <v/>
      </c>
      <c r="Y6">
        <f>INDEX(Supplier_Info!$H$2:$H$6,MATCH($A6,Supplier_Info!$A$2:$A$6,0))</f>
        <v/>
      </c>
      <c r="Z6">
        <f>COUNTIFS(Lots_Data!$D$2:$D$234,$B6)</f>
        <v/>
      </c>
      <c r="AA6">
        <f>COUNTIFS(Lots_Data!$D$2:$D$234,$B6,Lots_Data!$J$2:$J$234,"recalled")</f>
        <v/>
      </c>
      <c r="AB6" t="inlineStr">
        <is>
          <t>Renew with quality-escalation clause</t>
        </is>
      </c>
      <c r="AC6" t="inlineStr">
        <is>
          <t>Strong OTD (90.6%) and 3.4d lead at the highest spend ($438.7k), but the most not-closed quality events (4). Renewal justified on service; condition it on closing event scope and sterility-deviation CAPA evidence.</t>
        </is>
      </c>
    </row>
    <row r="7">
      <c r="A7" t="n">
        <v>4</v>
      </c>
      <c r="B7">
        <f>INDEX(Supplier_Info!$B$2:$B$6,MATCH($A7,Supplier_Info!$A$2:$A$6,0))</f>
        <v/>
      </c>
      <c r="C7">
        <f>SUMIFS(Delivery_Data!$E$2:$E$61,Delivery_Data!$B$2:$B$61,$A7)</f>
        <v/>
      </c>
      <c r="D7">
        <f>SUMIFS(Delivery_Data!$F$2:$F$61,Delivery_Data!$B$2:$B$61,$A7)</f>
        <v/>
      </c>
      <c r="E7">
        <f>SUMIFS(Delivery_Data!$G$2:$G$61,Delivery_Data!$B$2:$B$61,$A7)</f>
        <v/>
      </c>
      <c r="F7">
        <f>SUMIFS(Delivery_Data!$H$2:$H$61,Delivery_Data!$B$2:$B$61,$A7)</f>
        <v/>
      </c>
      <c r="G7" s="8">
        <f>D7/C7</f>
        <v/>
      </c>
      <c r="H7" s="8">
        <f>F7/C7</f>
        <v/>
      </c>
      <c r="I7" s="9">
        <f>SUMIFS(Delivery_Data!$I$2:$I$61,Delivery_Data!$B$2:$B$61,$A7)</f>
        <v/>
      </c>
      <c r="J7" s="10">
        <f>AVERAGEIFS(Delivery_Data!$J$2:$J$61,Delivery_Data!$B$2:$B$61,$A7)</f>
        <v/>
      </c>
      <c r="K7">
        <f>SUMIFS(Delivery_Data!$K$2:$K$61,Delivery_Data!$B$2:$B$61,$A7)</f>
        <v/>
      </c>
      <c r="L7">
        <f>COUNTIFS(Quality_Data!$B$2:$B$25,$A7)</f>
        <v/>
      </c>
      <c r="M7">
        <f>COUNTIFS(Quality_Data!$B$2:$B$25,$A7,Quality_Data!$G$2:$G$25,"open")</f>
        <v/>
      </c>
      <c r="N7">
        <f>COUNTIFS(Quality_Data!$B$2:$B$25,$A7,Quality_Data!$G$2:$G$25,"scope-unresolved")</f>
        <v/>
      </c>
      <c r="O7">
        <f>M7+N7</f>
        <v/>
      </c>
      <c r="P7" s="8">
        <f>SUMIFS(PO_Data!$J$2:$J$121,PO_Data!$C$2:$C$121,$A7)/SUMIFS(PO_Data!$I$2:$I$121,PO_Data!$C$2:$C$121,$A7)</f>
        <v/>
      </c>
      <c r="Q7">
        <f>COUNTIFS(PO_Data!$C$2:$C$121,$A7,PO_Data!$H$2:$H$121,"Partially Delivered")</f>
        <v/>
      </c>
      <c r="R7">
        <f>COUNTIFS(PO_Data!$C$2:$C$121,$A7,PO_Data!$H$2:$H$121,"Cancelled")</f>
        <v/>
      </c>
      <c r="S7" s="8">
        <f>MIN($J$4:$J$8)/J7</f>
        <v/>
      </c>
      <c r="T7" s="8">
        <f>IF(MAX($O$4:$O$8)=0,1,1-O7/MAX($O$4:$O$8))</f>
        <v/>
      </c>
      <c r="U7" s="8">
        <f>Inputs!$B$15*G7+Inputs!$B$16*S7+Inputs!$B$17*T7+Inputs!$B$18*P7</f>
        <v/>
      </c>
      <c r="V7">
        <f>RANK(U7,$U$4:$U$8)</f>
        <v/>
      </c>
      <c r="W7">
        <f>INDEX(Supplier_Info!$G$2:$G$6,MATCH($A7,Supplier_Info!$A$2:$A$6,0))</f>
        <v/>
      </c>
      <c r="X7">
        <f>INDEX(Supplier_Info!$E$2:$E$6,MATCH($A7,Supplier_Info!$A$2:$A$6,0))</f>
        <v/>
      </c>
      <c r="Y7">
        <f>INDEX(Supplier_Info!$H$2:$H$6,MATCH($A7,Supplier_Info!$A$2:$A$6,0))</f>
        <v/>
      </c>
      <c r="Z7">
        <f>COUNTIFS(Lots_Data!$D$2:$D$234,$B7)</f>
        <v/>
      </c>
      <c r="AA7">
        <f>COUNTIFS(Lots_Data!$D$2:$D$234,$B7,Lots_Data!$J$2:$J$234,"recalled")</f>
        <v/>
      </c>
      <c r="AB7" t="inlineStr">
        <is>
          <t>Corrective action and dual-source</t>
        </is>
      </c>
      <c r="AC7" t="inlineStr">
        <is>
          <t>Weakest OTD (56.3%) and slowest lead (11.1d, ~3x best); largest recalled quantity on hand (25 units, LOT-07189). Lowest spend ($93.2k) limits leverage; begin dual-sourcing diagnostics before 2027-05-31 expiry.</t>
        </is>
      </c>
    </row>
    <row r="8">
      <c r="A8" t="n">
        <v>5</v>
      </c>
      <c r="B8">
        <f>INDEX(Supplier_Info!$B$2:$B$6,MATCH($A8,Supplier_Info!$A$2:$A$6,0))</f>
        <v/>
      </c>
      <c r="C8">
        <f>SUMIFS(Delivery_Data!$E$2:$E$61,Delivery_Data!$B$2:$B$61,$A8)</f>
        <v/>
      </c>
      <c r="D8">
        <f>SUMIFS(Delivery_Data!$F$2:$F$61,Delivery_Data!$B$2:$B$61,$A8)</f>
        <v/>
      </c>
      <c r="E8">
        <f>SUMIFS(Delivery_Data!$G$2:$G$61,Delivery_Data!$B$2:$B$61,$A8)</f>
        <v/>
      </c>
      <c r="F8">
        <f>SUMIFS(Delivery_Data!$H$2:$H$61,Delivery_Data!$B$2:$B$61,$A8)</f>
        <v/>
      </c>
      <c r="G8" s="8">
        <f>D8/C8</f>
        <v/>
      </c>
      <c r="H8" s="8">
        <f>F8/C8</f>
        <v/>
      </c>
      <c r="I8" s="9">
        <f>SUMIFS(Delivery_Data!$I$2:$I$61,Delivery_Data!$B$2:$B$61,$A8)</f>
        <v/>
      </c>
      <c r="J8" s="10">
        <f>AVERAGEIFS(Delivery_Data!$J$2:$J$61,Delivery_Data!$B$2:$B$61,$A8)</f>
        <v/>
      </c>
      <c r="K8">
        <f>SUMIFS(Delivery_Data!$K$2:$K$61,Delivery_Data!$B$2:$B$61,$A8)</f>
        <v/>
      </c>
      <c r="L8">
        <f>COUNTIFS(Quality_Data!$B$2:$B$25,$A8)</f>
        <v/>
      </c>
      <c r="M8">
        <f>COUNTIFS(Quality_Data!$B$2:$B$25,$A8,Quality_Data!$G$2:$G$25,"open")</f>
        <v/>
      </c>
      <c r="N8">
        <f>COUNTIFS(Quality_Data!$B$2:$B$25,$A8,Quality_Data!$G$2:$G$25,"scope-unresolved")</f>
        <v/>
      </c>
      <c r="O8">
        <f>M8+N8</f>
        <v/>
      </c>
      <c r="P8" s="8">
        <f>SUMIFS(PO_Data!$J$2:$J$121,PO_Data!$C$2:$C$121,$A8)/SUMIFS(PO_Data!$I$2:$I$121,PO_Data!$C$2:$C$121,$A8)</f>
        <v/>
      </c>
      <c r="Q8">
        <f>COUNTIFS(PO_Data!$C$2:$C$121,$A8,PO_Data!$H$2:$H$121,"Partially Delivered")</f>
        <v/>
      </c>
      <c r="R8">
        <f>COUNTIFS(PO_Data!$C$2:$C$121,$A8,PO_Data!$H$2:$H$121,"Cancelled")</f>
        <v/>
      </c>
      <c r="S8" s="8">
        <f>MIN($J$4:$J$8)/J8</f>
        <v/>
      </c>
      <c r="T8" s="8">
        <f>IF(MAX($O$4:$O$8)=0,1,1-O8/MAX($O$4:$O$8))</f>
        <v/>
      </c>
      <c r="U8" s="8">
        <f>Inputs!$B$15*G8+Inputs!$B$16*S8+Inputs!$B$17*T8+Inputs!$B$18*P8</f>
        <v/>
      </c>
      <c r="V8">
        <f>RANK(U8,$U$4:$U$8)</f>
        <v/>
      </c>
      <c r="W8">
        <f>INDEX(Supplier_Info!$G$2:$G$6,MATCH($A8,Supplier_Info!$A$2:$A$6,0))</f>
        <v/>
      </c>
      <c r="X8">
        <f>INDEX(Supplier_Info!$E$2:$E$6,MATCH($A8,Supplier_Info!$A$2:$A$6,0))</f>
        <v/>
      </c>
      <c r="Y8">
        <f>INDEX(Supplier_Info!$H$2:$H$6,MATCH($A8,Supplier_Info!$A$2:$A$6,0))</f>
        <v/>
      </c>
      <c r="Z8">
        <f>COUNTIFS(Lots_Data!$D$2:$D$234,$B8)</f>
        <v/>
      </c>
      <c r="AA8">
        <f>COUNTIFS(Lots_Data!$D$2:$D$234,$B8,Lots_Data!$J$2:$J$234,"recalled")</f>
        <v/>
      </c>
      <c r="AB8" t="inlineStr">
        <is>
          <t>Renew as preferred; candidate for expanded volume</t>
        </is>
      </c>
      <c r="AC8" t="inlineStr">
        <is>
          <t>Best OTD (95.0%) and fastest lead (2.8d); longest contract runway (to 2028-01-31). 3 not-closed quality events still require closure discipline before volume shift.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4" customWidth="1" min="4" max="4"/>
    <col width="20" customWidth="1" min="5" max="5"/>
    <col width="7" customWidth="1" min="6" max="6"/>
    <col width="13" customWidth="1" min="7" max="7"/>
    <col width="13" customWidth="1" min="8" max="8"/>
    <col width="20" customWidth="1" min="9" max="9"/>
    <col width="12" customWidth="1" min="10" max="10"/>
    <col width="13" customWidth="1" min="11" max="11"/>
    <col width="11" customWidth="1" min="12" max="12"/>
    <col width="10" customWidth="1" min="13" max="13"/>
    <col width="15" customWidth="1" min="14" max="14"/>
    <col width="12" customWidth="1" min="15" max="15"/>
    <col width="9" customWidth="1" min="16" max="16"/>
    <col width="12" customWidth="1" min="17" max="17"/>
    <col width="15" customWidth="1" min="18" max="18"/>
    <col width="13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Scenario action programs — adverse / base / upside</t>
        </is>
      </c>
    </row>
    <row r="2">
      <c r="A2" s="3" t="inlineStr">
        <is>
          <t>Selected flags (0/1, yellow) are the greedy-rule output (see Uncertainty_Register U-08..U-11) and remain editable; capacity, mutual-exclusion, eligibility and feasibility checks are live formulas. Recalculate after any change.</t>
        </is>
      </c>
    </row>
    <row r="4">
      <c r="A4" s="2" t="inlineStr">
        <is>
          <t>Family gap to target cover (units)</t>
        </is>
      </c>
    </row>
    <row r="5">
      <c r="A5" s="6" t="inlineStr">
        <is>
          <t>family</t>
        </is>
      </c>
      <c r="B5" s="6" t="inlineStr">
        <is>
          <t>adverse</t>
        </is>
      </c>
      <c r="C5" s="6" t="inlineStr">
        <is>
          <t>base</t>
        </is>
      </c>
      <c r="D5" s="6" t="inlineStr">
        <is>
          <t>upside</t>
        </is>
      </c>
    </row>
    <row r="6">
      <c r="A6" t="inlineStr">
        <is>
          <t>vascular</t>
        </is>
      </c>
      <c r="B6">
        <f>SUMIFS(SKU_Exposure!$H$4:$H$236,SKU_Exposure!$B$4:$B$236,$A6)</f>
        <v/>
      </c>
      <c r="C6">
        <f>SUMIFS(SKU_Exposure!$I$4:$I$236,SKU_Exposure!$B$4:$B$236,$A6)</f>
        <v/>
      </c>
      <c r="D6">
        <f>SUMIFS(SKU_Exposure!$J$4:$J$236,SKU_Exposure!$B$4:$B$236,$A6)</f>
        <v/>
      </c>
    </row>
    <row r="7">
      <c r="A7" t="inlineStr">
        <is>
          <t>respiratory</t>
        </is>
      </c>
      <c r="B7">
        <f>SUMIFS(SKU_Exposure!$H$4:$H$236,SKU_Exposure!$B$4:$B$236,$A7)</f>
        <v/>
      </c>
      <c r="C7">
        <f>SUMIFS(SKU_Exposure!$I$4:$I$236,SKU_Exposure!$B$4:$B$236,$A7)</f>
        <v/>
      </c>
      <c r="D7">
        <f>SUMIFS(SKU_Exposure!$J$4:$J$236,SKU_Exposure!$B$4:$B$236,$A7)</f>
        <v/>
      </c>
    </row>
    <row r="8">
      <c r="A8" t="inlineStr">
        <is>
          <t>surgical</t>
        </is>
      </c>
      <c r="B8">
        <f>SUMIFS(SKU_Exposure!$H$4:$H$236,SKU_Exposure!$B$4:$B$236,$A8)</f>
        <v/>
      </c>
      <c r="C8">
        <f>SUMIFS(SKU_Exposure!$I$4:$I$236,SKU_Exposure!$B$4:$B$236,$A8)</f>
        <v/>
      </c>
      <c r="D8">
        <f>SUMIFS(SKU_Exposure!$J$4:$J$236,SKU_Exposure!$B$4:$B$236,$A8)</f>
        <v/>
      </c>
    </row>
    <row r="9">
      <c r="A9" t="inlineStr">
        <is>
          <t>diagnostic</t>
        </is>
      </c>
      <c r="B9">
        <f>SUMIFS(SKU_Exposure!$H$4:$H$236,SKU_Exposure!$B$4:$B$236,$A9)</f>
        <v/>
      </c>
      <c r="C9">
        <f>SUMIFS(SKU_Exposure!$I$4:$I$236,SKU_Exposure!$B$4:$B$236,$A9)</f>
        <v/>
      </c>
      <c r="D9">
        <f>SUMIFS(SKU_Exposure!$J$4:$J$236,SKU_Exposure!$B$4:$B$236,$A9)</f>
        <v/>
      </c>
    </row>
    <row r="10">
      <c r="A10" t="inlineStr">
        <is>
          <t>wound</t>
        </is>
      </c>
      <c r="B10">
        <f>SUMIFS(SKU_Exposure!$H$4:$H$236,SKU_Exposure!$B$4:$B$236,$A10)</f>
        <v/>
      </c>
      <c r="C10">
        <f>SUMIFS(SKU_Exposure!$I$4:$I$236,SKU_Exposure!$B$4:$B$236,$A10)</f>
        <v/>
      </c>
      <c r="D10">
        <f>SUMIFS(SKU_Exposure!$J$4:$J$236,SKU_Exposure!$B$4:$B$236,$A10)</f>
        <v/>
      </c>
    </row>
    <row r="11">
      <c r="A11" t="inlineStr">
        <is>
          <t>TOTAL</t>
        </is>
      </c>
      <c r="B11">
        <f>SUM(B6:B10)</f>
        <v/>
      </c>
      <c r="C11">
        <f>SUM(C6:C10)</f>
        <v/>
      </c>
      <c r="D11">
        <f>SUM(D6:D10)</f>
        <v/>
      </c>
    </row>
    <row r="13">
      <c r="A13" s="2" t="inlineStr">
        <is>
          <t>Scenario: ADVERSE</t>
        </is>
      </c>
    </row>
    <row r="14">
      <c r="A14" s="6" t="inlineStr">
        <is>
          <t>priority</t>
        </is>
      </c>
      <c r="B14" s="6" t="inlineStr">
        <is>
          <t>action_id</t>
        </is>
      </c>
      <c r="C14" s="6" t="inlineStr">
        <is>
          <t>eligible_family</t>
        </is>
      </c>
      <c r="D14" s="6" t="inlineStr">
        <is>
          <t>target_family</t>
        </is>
      </c>
      <c r="E14" s="6" t="inlineStr">
        <is>
          <t>lever</t>
        </is>
      </c>
      <c r="F14" s="6" t="inlineStr">
        <is>
          <t>grade</t>
        </is>
      </c>
      <c r="G14" s="6" t="inlineStr">
        <is>
          <t>provided_units</t>
        </is>
      </c>
      <c r="H14" s="6" t="inlineStr">
        <is>
          <t>fixed_cost_usd</t>
        </is>
      </c>
      <c r="I14" s="6" t="inlineStr">
        <is>
          <t>pool</t>
        </is>
      </c>
      <c r="J14" s="6" t="inlineStr">
        <is>
          <t>capacity_units</t>
        </is>
      </c>
      <c r="K14" s="6" t="inlineStr">
        <is>
          <t>overlap_group</t>
        </is>
      </c>
      <c r="L14" s="6" t="inlineStr">
        <is>
          <t>shared_frac</t>
        </is>
      </c>
      <c r="M14" s="6" t="inlineStr">
        <is>
          <t>mx_group</t>
        </is>
      </c>
      <c r="N14" s="6" t="inlineStr">
        <is>
          <t>dependency_group</t>
        </is>
      </c>
      <c r="O14" s="6" t="inlineStr">
        <is>
          <t>selected (edit 0/1)</t>
        </is>
      </c>
      <c r="P14" s="6" t="inlineStr">
        <is>
          <t>eligible?</t>
        </is>
      </c>
      <c r="Q14" s="6" t="inlineStr">
        <is>
          <t>eff_capacity</t>
        </is>
      </c>
      <c r="R14" s="6" t="inlineStr">
        <is>
          <t>prior_coverage_tgt</t>
        </is>
      </c>
      <c r="S14" s="6" t="inlineStr">
        <is>
          <t>coverage_units</t>
        </is>
      </c>
      <c r="T14" s="6" t="inlineStr">
        <is>
          <t>start_delay_days</t>
        </is>
      </c>
      <c r="U14" s="6" t="inlineStr">
        <is>
          <t>mx_violation</t>
        </is>
      </c>
      <c r="V14" s="6" t="inlineStr">
        <is>
          <t>elig_violation</t>
        </is>
      </c>
    </row>
    <row r="15">
      <c r="A15" t="n">
        <v>1</v>
      </c>
      <c r="B15" t="inlineStr">
        <is>
          <t>SAC-013</t>
        </is>
      </c>
      <c r="C15" t="inlineStr">
        <is>
          <t>vascular</t>
        </is>
      </c>
      <c r="D15" t="inlineStr">
        <is>
          <t>vascular</t>
        </is>
      </c>
      <c r="E15" t="inlineStr">
        <is>
          <t>expedite receipt</t>
        </is>
      </c>
      <c r="F15" t="inlineStr">
        <is>
          <t>A</t>
        </is>
      </c>
      <c r="G15" t="n">
        <v>32.4</v>
      </c>
      <c r="H15" t="n">
        <v>1200</v>
      </c>
      <c r="I15" t="inlineStr">
        <is>
          <t>RECEIVING_SLOT</t>
        </is>
      </c>
      <c r="J15" t="n">
        <v>0.5</v>
      </c>
      <c r="K15" t="inlineStr">
        <is>
          <t>OV-3</t>
        </is>
      </c>
      <c r="L15" t="n">
        <v>0</v>
      </c>
      <c r="N15" t="inlineStr">
        <is>
          <t>DG-1</t>
        </is>
      </c>
      <c r="O15" s="5" t="n">
        <v>1</v>
      </c>
      <c r="P15">
        <f>INDEX(Action_Catalog!$Q$4:$Q$27,MATCH($B15,Action_Catalog!$A$4:$A$27,0))</f>
        <v/>
      </c>
      <c r="Q15">
        <f>$O15*$J15*IF(COUNTIFS($K$15:$K15,$K15,$O$15:$O15,1)&gt;1,1-$L15,1)</f>
        <v/>
      </c>
      <c r="R15">
        <f>SUMIFS($S$14:$S14,$D$14:$D14,$D15)</f>
        <v/>
      </c>
      <c r="S15">
        <f>$O15*MIN($G15,MAX(0,INDEX($B$6:$D$10,MATCH($D15,$A$6:$A$10,0),1)-$R15))</f>
        <v/>
      </c>
      <c r="T15" t="n">
        <v>1</v>
      </c>
      <c r="U15">
        <f>IF(AND($M15&lt;&gt;"",$O15=1,COUNTIFS($M$15:$M$38,$M15,$O$15:$O$38,1)&gt;1),1,0)</f>
        <v/>
      </c>
      <c r="V15">
        <f>IF(AND($O15=1,$P15=0),1,0)</f>
        <v/>
      </c>
    </row>
    <row r="16">
      <c r="A16" t="n">
        <v>2</v>
      </c>
      <c r="B16" t="inlineStr">
        <is>
          <t>SAC-010</t>
        </is>
      </c>
      <c r="C16" t="inlineStr">
        <is>
          <t>diagnostic</t>
        </is>
      </c>
      <c r="D16" t="inlineStr">
        <is>
          <t>diagnostic</t>
        </is>
      </c>
      <c r="E16" t="inlineStr">
        <is>
          <t>site transfer</t>
        </is>
      </c>
      <c r="F16" t="inlineStr">
        <is>
          <t>A</t>
        </is>
      </c>
      <c r="G16" t="n">
        <v>60.8</v>
      </c>
      <c r="H16" t="n">
        <v>4500</v>
      </c>
      <c r="I16" t="inlineStr">
        <is>
          <t>TRANSFER_VEHICLE</t>
        </is>
      </c>
      <c r="J16" t="n">
        <v>1</v>
      </c>
      <c r="K16" t="inlineStr">
        <is>
          <t>OV-5</t>
        </is>
      </c>
      <c r="L16" t="n">
        <v>0.2</v>
      </c>
      <c r="N16" t="inlineStr">
        <is>
          <t>DG-4</t>
        </is>
      </c>
      <c r="O16" s="5" t="n">
        <v>0</v>
      </c>
      <c r="P16">
        <f>INDEX(Action_Catalog!$Q$4:$Q$27,MATCH($B16,Action_Catalog!$A$4:$A$27,0))</f>
        <v/>
      </c>
      <c r="Q16">
        <f>$O16*$J16*IF(COUNTIFS($K$15:$K16,$K16,$O$15:$O16,1)&gt;1,1-$L16,1)</f>
        <v/>
      </c>
      <c r="R16">
        <f>SUMIFS($S$14:$S15,$D$14:$D15,$D16)</f>
        <v/>
      </c>
      <c r="S16">
        <f>$O16*MIN($G16,MAX(0,INDEX($B$6:$D$10,MATCH($D16,$A$6:$A$10,0),1)-$R16))</f>
        <v/>
      </c>
      <c r="T16" t="n">
        <v>3</v>
      </c>
      <c r="U16">
        <f>IF(AND($M16&lt;&gt;"",$O16=1,COUNTIFS($M$15:$M$38,$M16,$O$15:$O$38,1)&gt;1),1,0)</f>
        <v/>
      </c>
      <c r="V16">
        <f>IF(AND($O16=1,$P16=0),1,0)</f>
        <v/>
      </c>
    </row>
    <row r="17">
      <c r="A17" t="n">
        <v>3</v>
      </c>
      <c r="B17" t="inlineStr">
        <is>
          <t>SAC-001</t>
        </is>
      </c>
      <c r="C17" t="inlineStr">
        <is>
          <t>vascular</t>
        </is>
      </c>
      <c r="D17" t="inlineStr">
        <is>
          <t>vascular</t>
        </is>
      </c>
      <c r="E17" t="inlineStr">
        <is>
          <t>expedite receipt</t>
        </is>
      </c>
      <c r="F17" t="inlineStr">
        <is>
          <t>A</t>
        </is>
      </c>
      <c r="G17" t="n">
        <v>16.2</v>
      </c>
      <c r="H17" t="n">
        <v>1200</v>
      </c>
      <c r="I17" t="inlineStr">
        <is>
          <t>BUYER_FTE</t>
        </is>
      </c>
      <c r="J17" t="n">
        <v>0.5</v>
      </c>
      <c r="K17" t="inlineStr">
        <is>
          <t>OV-1</t>
        </is>
      </c>
      <c r="L17" t="n">
        <v>0</v>
      </c>
      <c r="M17" t="inlineStr">
        <is>
          <t>MX-1</t>
        </is>
      </c>
      <c r="N17" t="inlineStr">
        <is>
          <t>DG-1</t>
        </is>
      </c>
      <c r="O17" s="5" t="n">
        <v>1</v>
      </c>
      <c r="P17">
        <f>INDEX(Action_Catalog!$Q$4:$Q$27,MATCH($B17,Action_Catalog!$A$4:$A$27,0))</f>
        <v/>
      </c>
      <c r="Q17">
        <f>$O17*$J17*IF(COUNTIFS($K$15:$K17,$K17,$O$15:$O17,1)&gt;1,1-$L17,1)</f>
        <v/>
      </c>
      <c r="R17">
        <f>SUMIFS($S$14:$S16,$D$14:$D16,$D17)</f>
        <v/>
      </c>
      <c r="S17">
        <f>$O17*MIN($G17,MAX(0,INDEX($B$6:$D$10,MATCH($D17,$A$6:$A$10,0),1)-$R17))</f>
        <v/>
      </c>
      <c r="T17" t="n">
        <v>1</v>
      </c>
      <c r="U17">
        <f>IF(AND($M17&lt;&gt;"",$O17=1,COUNTIFS($M$15:$M$38,$M17,$O$15:$O$38,1)&gt;1),1,0)</f>
        <v/>
      </c>
      <c r="V17">
        <f>IF(AND($O17=1,$P17=0),1,0)</f>
        <v/>
      </c>
    </row>
    <row r="18">
      <c r="A18" t="n">
        <v>4</v>
      </c>
      <c r="B18" t="inlineStr">
        <is>
          <t>SAC-022</t>
        </is>
      </c>
      <c r="C18" t="inlineStr">
        <is>
          <t>diagnostic</t>
        </is>
      </c>
      <c r="D18" t="inlineStr">
        <is>
          <t>diagnostic</t>
        </is>
      </c>
      <c r="E18" t="inlineStr">
        <is>
          <t>site transfer</t>
        </is>
      </c>
      <c r="F18" t="inlineStr">
        <is>
          <t>A</t>
        </is>
      </c>
      <c r="G18" t="n">
        <v>24.3</v>
      </c>
      <c r="H18" t="n">
        <v>4500</v>
      </c>
      <c r="I18" t="inlineStr">
        <is>
          <t>COLD_CHAIN_PALLET</t>
        </is>
      </c>
      <c r="J18" t="n">
        <v>1</v>
      </c>
      <c r="K18" t="inlineStr">
        <is>
          <t>OV-2</t>
        </is>
      </c>
      <c r="L18" t="n">
        <v>0.2</v>
      </c>
      <c r="N18" t="inlineStr">
        <is>
          <t>DG-4</t>
        </is>
      </c>
      <c r="O18" s="5" t="n">
        <v>1</v>
      </c>
      <c r="P18">
        <f>INDEX(Action_Catalog!$Q$4:$Q$27,MATCH($B18,Action_Catalog!$A$4:$A$27,0))</f>
        <v/>
      </c>
      <c r="Q18">
        <f>$O18*$J18*IF(COUNTIFS($K$15:$K18,$K18,$O$15:$O18,1)&gt;1,1-$L18,1)</f>
        <v/>
      </c>
      <c r="R18">
        <f>SUMIFS($S$14:$S17,$D$14:$D17,$D18)</f>
        <v/>
      </c>
      <c r="S18">
        <f>$O18*MIN($G18,MAX(0,INDEX($B$6:$D$10,MATCH($D18,$A$6:$A$10,0),1)-$R18))</f>
        <v/>
      </c>
      <c r="T18" t="n">
        <v>3</v>
      </c>
      <c r="U18">
        <f>IF(AND($M18&lt;&gt;"",$O18=1,COUNTIFS($M$15:$M$38,$M18,$O$15:$O$38,1)&gt;1),1,0)</f>
        <v/>
      </c>
      <c r="V18">
        <f>IF(AND($O18=1,$P18=0),1,0)</f>
        <v/>
      </c>
    </row>
    <row r="19">
      <c r="A19" t="n">
        <v>5</v>
      </c>
      <c r="B19" t="inlineStr">
        <is>
          <t>SAC-019</t>
        </is>
      </c>
      <c r="C19" t="inlineStr">
        <is>
          <t>vascular</t>
        </is>
      </c>
      <c r="D19" t="inlineStr">
        <is>
          <t>vascular</t>
        </is>
      </c>
      <c r="E19" t="inlineStr">
        <is>
          <t>supplier substitution</t>
        </is>
      </c>
      <c r="F19" t="inlineStr">
        <is>
          <t>A</t>
        </is>
      </c>
      <c r="G19" t="n">
        <v>43.2</v>
      </c>
      <c r="H19" t="n">
        <v>9000</v>
      </c>
      <c r="I19" t="inlineStr">
        <is>
          <t>CLINICAL_REVIEW</t>
        </is>
      </c>
      <c r="J19" t="n">
        <v>1.5</v>
      </c>
      <c r="K19" t="inlineStr">
        <is>
          <t>OV-4</t>
        </is>
      </c>
      <c r="L19" t="n">
        <v>0.35</v>
      </c>
      <c r="N19" t="inlineStr">
        <is>
          <t>DG-1</t>
        </is>
      </c>
      <c r="O19" s="5" t="n">
        <v>0</v>
      </c>
      <c r="P19">
        <f>INDEX(Action_Catalog!$Q$4:$Q$27,MATCH($B19,Action_Catalog!$A$4:$A$27,0))</f>
        <v/>
      </c>
      <c r="Q19">
        <f>$O19*$J19*IF(COUNTIFS($K$15:$K19,$K19,$O$15:$O19,1)&gt;1,1-$L19,1)</f>
        <v/>
      </c>
      <c r="R19">
        <f>SUMIFS($S$14:$S18,$D$14:$D18,$D19)</f>
        <v/>
      </c>
      <c r="S19">
        <f>$O19*MIN($G19,MAX(0,INDEX($B$6:$D$10,MATCH($D19,$A$6:$A$10,0),1)-$R19))</f>
        <v/>
      </c>
      <c r="T19" t="n">
        <v>7</v>
      </c>
      <c r="U19">
        <f>IF(AND($M19&lt;&gt;"",$O19=1,COUNTIFS($M$15:$M$38,$M19,$O$15:$O$38,1)&gt;1),1,0)</f>
        <v/>
      </c>
      <c r="V19">
        <f>IF(AND($O19=1,$P19=0),1,0)</f>
        <v/>
      </c>
    </row>
    <row r="20">
      <c r="A20" t="n">
        <v>6</v>
      </c>
      <c r="B20" t="inlineStr">
        <is>
          <t>SAC-007</t>
        </is>
      </c>
      <c r="C20" t="inlineStr">
        <is>
          <t>vascular</t>
        </is>
      </c>
      <c r="D20" t="inlineStr">
        <is>
          <t>vascular</t>
        </is>
      </c>
      <c r="E20" t="inlineStr">
        <is>
          <t>supplier substitution</t>
        </is>
      </c>
      <c r="F20" t="inlineStr">
        <is>
          <t>A</t>
        </is>
      </c>
      <c r="G20" t="n">
        <v>24.3</v>
      </c>
      <c r="H20" t="n">
        <v>9000</v>
      </c>
      <c r="I20" t="inlineStr">
        <is>
          <t>COLD_CHAIN_PALLET</t>
        </is>
      </c>
      <c r="J20" t="n">
        <v>1.5</v>
      </c>
      <c r="K20" t="inlineStr">
        <is>
          <t>OV-2</t>
        </is>
      </c>
      <c r="L20" t="n">
        <v>0.35</v>
      </c>
      <c r="N20" t="inlineStr">
        <is>
          <t>DG-1</t>
        </is>
      </c>
      <c r="O20" s="5" t="n">
        <v>0</v>
      </c>
      <c r="P20">
        <f>INDEX(Action_Catalog!$Q$4:$Q$27,MATCH($B20,Action_Catalog!$A$4:$A$27,0))</f>
        <v/>
      </c>
      <c r="Q20">
        <f>$O20*$J20*IF(COUNTIFS($K$15:$K20,$K20,$O$15:$O20,1)&gt;1,1-$L20,1)</f>
        <v/>
      </c>
      <c r="R20">
        <f>SUMIFS($S$14:$S19,$D$14:$D19,$D20)</f>
        <v/>
      </c>
      <c r="S20">
        <f>$O20*MIN($G20,MAX(0,INDEX($B$6:$D$10,MATCH($D20,$A$6:$A$10,0),1)-$R20))</f>
        <v/>
      </c>
      <c r="T20" t="n">
        <v>7</v>
      </c>
      <c r="U20">
        <f>IF(AND($M20&lt;&gt;"",$O20=1,COUNTIFS($M$15:$M$38,$M20,$O$15:$O$38,1)&gt;1),1,0)</f>
        <v/>
      </c>
      <c r="V20">
        <f>IF(AND($O20=1,$P20=0),1,0)</f>
        <v/>
      </c>
    </row>
    <row r="21">
      <c r="A21" t="n">
        <v>7</v>
      </c>
      <c r="B21" t="inlineStr">
        <is>
          <t>SAC-004</t>
        </is>
      </c>
      <c r="C21" t="inlineStr">
        <is>
          <t>diagnostic</t>
        </is>
      </c>
      <c r="D21" t="inlineStr">
        <is>
          <t>diagnostic</t>
        </is>
      </c>
      <c r="E21" t="inlineStr">
        <is>
          <t>allocation hold</t>
        </is>
      </c>
      <c r="F21" t="inlineStr">
        <is>
          <t>A</t>
        </is>
      </c>
      <c r="G21" t="n">
        <v>43.2</v>
      </c>
      <c r="H21" t="n">
        <v>18000</v>
      </c>
      <c r="I21" t="inlineStr">
        <is>
          <t>CLINICAL_REVIEW</t>
        </is>
      </c>
      <c r="J21" t="n">
        <v>2</v>
      </c>
      <c r="K21" t="inlineStr">
        <is>
          <t>OV-4</t>
        </is>
      </c>
      <c r="L21" t="n">
        <v>0.5</v>
      </c>
      <c r="N21" t="inlineStr">
        <is>
          <t>DG-4</t>
        </is>
      </c>
      <c r="O21" s="5" t="n">
        <v>0</v>
      </c>
      <c r="P21">
        <f>INDEX(Action_Catalog!$Q$4:$Q$27,MATCH($B21,Action_Catalog!$A$4:$A$27,0))</f>
        <v/>
      </c>
      <c r="Q21">
        <f>$O21*$J21*IF(COUNTIFS($K$15:$K21,$K21,$O$15:$O21,1)&gt;1,1-$L21,1)</f>
        <v/>
      </c>
      <c r="R21">
        <f>SUMIFS($S$14:$S20,$D$14:$D20,$D21)</f>
        <v/>
      </c>
      <c r="S21">
        <f>$O21*MIN($G21,MAX(0,INDEX($B$6:$D$10,MATCH($D21,$A$6:$A$10,0),1)-$R21))</f>
        <v/>
      </c>
      <c r="T21" t="n">
        <v>14</v>
      </c>
      <c r="U21">
        <f>IF(AND($M21&lt;&gt;"",$O21=1,COUNTIFS($M$15:$M$38,$M21,$O$15:$O$38,1)&gt;1),1,0)</f>
        <v/>
      </c>
      <c r="V21">
        <f>IF(AND($O21=1,$P21=0),1,0)</f>
        <v/>
      </c>
    </row>
    <row r="22">
      <c r="A22" t="n">
        <v>8</v>
      </c>
      <c r="B22" t="inlineStr">
        <is>
          <t>SAC-016</t>
        </is>
      </c>
      <c r="C22" t="inlineStr">
        <is>
          <t>diagnostic</t>
        </is>
      </c>
      <c r="D22" t="inlineStr">
        <is>
          <t>diagnostic</t>
        </is>
      </c>
      <c r="E22" t="inlineStr">
        <is>
          <t>allocation hold</t>
        </is>
      </c>
      <c r="F22" t="inlineStr">
        <is>
          <t>A</t>
        </is>
      </c>
      <c r="G22" t="n">
        <v>16.2</v>
      </c>
      <c r="H22" t="n">
        <v>18000</v>
      </c>
      <c r="I22" t="inlineStr">
        <is>
          <t>BUYER_FTE</t>
        </is>
      </c>
      <c r="J22" t="n">
        <v>2</v>
      </c>
      <c r="K22" t="inlineStr">
        <is>
          <t>OV-1</t>
        </is>
      </c>
      <c r="L22" t="n">
        <v>0.5</v>
      </c>
      <c r="M22" t="inlineStr">
        <is>
          <t>MX-4</t>
        </is>
      </c>
      <c r="N22" t="inlineStr">
        <is>
          <t>DG-4</t>
        </is>
      </c>
      <c r="O22" s="5" t="n">
        <v>1</v>
      </c>
      <c r="P22">
        <f>INDEX(Action_Catalog!$Q$4:$Q$27,MATCH($B22,Action_Catalog!$A$4:$A$27,0))</f>
        <v/>
      </c>
      <c r="Q22">
        <f>$O22*$J22*IF(COUNTIFS($K$15:$K22,$K22,$O$15:$O22,1)&gt;1,1-$L22,1)</f>
        <v/>
      </c>
      <c r="R22">
        <f>SUMIFS($S$14:$S21,$D$14:$D21,$D22)</f>
        <v/>
      </c>
      <c r="S22">
        <f>$O22*MIN($G22,MAX(0,INDEX($B$6:$D$10,MATCH($D22,$A$6:$A$10,0),1)-$R22))</f>
        <v/>
      </c>
      <c r="T22" t="n">
        <v>14</v>
      </c>
      <c r="U22">
        <f>IF(AND($M22&lt;&gt;"",$O22=1,COUNTIFS($M$15:$M$38,$M22,$O$15:$O$38,1)&gt;1),1,0)</f>
        <v/>
      </c>
      <c r="V22">
        <f>IF(AND($O22=1,$P22=0),1,0)</f>
        <v/>
      </c>
    </row>
    <row r="40">
      <c r="A40" s="2" t="inlineStr">
        <is>
          <t>ADVERSE summary</t>
        </is>
      </c>
    </row>
    <row r="41">
      <c r="A41" s="6" t="inlineStr">
        <is>
          <t>metric</t>
        </is>
      </c>
      <c r="B41" s="6" t="inlineStr">
        <is>
          <t>value</t>
        </is>
      </c>
      <c r="C41" s="6" t="inlineStr">
        <is>
          <t>check</t>
        </is>
      </c>
    </row>
    <row r="42">
      <c r="A42" t="inlineStr">
        <is>
          <t>actions selected</t>
        </is>
      </c>
      <c r="B42">
        <f>SUM($O$15:$O$38)</f>
        <v/>
      </c>
    </row>
    <row r="43">
      <c r="A43" t="inlineStr">
        <is>
          <t>fixed cost (USD)</t>
        </is>
      </c>
      <c r="B43">
        <f>SUMPRODUCT($O$15:$O$38,$H$15:$H$38)</f>
        <v/>
      </c>
    </row>
    <row r="44">
      <c r="A44" t="inlineStr">
        <is>
          <t>family gap (units)</t>
        </is>
      </c>
      <c r="B44">
        <f>B$11</f>
        <v/>
      </c>
      <c r="C44" t="inlineStr">
        <is>
          <t>from family gap table</t>
        </is>
      </c>
    </row>
    <row r="45">
      <c r="A45" t="inlineStr">
        <is>
          <t>coverage (units)</t>
        </is>
      </c>
      <c r="B45">
        <f>SUM($S$15:$S$38)</f>
        <v/>
      </c>
    </row>
    <row r="46">
      <c r="A46" t="inlineStr">
        <is>
          <t>residual gap (units)</t>
        </is>
      </c>
      <c r="B46">
        <f>B44-B45</f>
        <v/>
      </c>
      <c r="C46" t="inlineStr">
        <is>
          <t>gap - coverage</t>
        </is>
      </c>
    </row>
    <row r="47">
      <c r="A47" t="inlineStr">
        <is>
          <t>mx violations</t>
        </is>
      </c>
      <c r="B47">
        <f>SUM($U$15:$U$38)</f>
        <v/>
      </c>
      <c r="C47" t="inlineStr">
        <is>
          <t>must be 0</t>
        </is>
      </c>
    </row>
    <row r="48">
      <c r="A48" t="inlineStr">
        <is>
          <t>eligibility violations</t>
        </is>
      </c>
      <c r="B48">
        <f>SUM($V$15:$V$38)</f>
        <v/>
      </c>
      <c r="C48" t="inlineStr">
        <is>
          <t>must be 0</t>
        </is>
      </c>
    </row>
    <row r="49">
      <c r="A49" t="inlineStr">
        <is>
          <t>program start delay (days)</t>
        </is>
      </c>
      <c r="B49">
        <f>IF(SUM($O$15:$O$38)=0,0,SUMPRODUCT(MAX(($O$15:$O$38=1)*$T$15:$T$38)))</f>
        <v/>
      </c>
      <c r="C49" t="inlineStr">
        <is>
          <t>max delay of selected</t>
        </is>
      </c>
    </row>
    <row r="51">
      <c r="A51" s="6" t="inlineStr">
        <is>
          <t>pool</t>
        </is>
      </c>
      <c r="B51" s="6" t="inlineStr">
        <is>
          <t>consumed</t>
        </is>
      </c>
      <c r="C51" s="6" t="inlineStr">
        <is>
          <t>net_capacity</t>
        </is>
      </c>
      <c r="D51" s="6" t="inlineStr">
        <is>
          <t>within_capacity</t>
        </is>
      </c>
    </row>
    <row r="52">
      <c r="A52" t="inlineStr">
        <is>
          <t>BUYER_FTE</t>
        </is>
      </c>
      <c r="B52">
        <f>SUMIFS($Q$15:$Q$38,$I$15:$I$38,$A52)</f>
        <v/>
      </c>
      <c r="C52">
        <f>Site_Constraints!D$19</f>
        <v/>
      </c>
      <c r="D52">
        <f>IF(B52&lt;=C52,1,0)</f>
        <v/>
      </c>
    </row>
    <row r="53">
      <c r="A53" t="inlineStr">
        <is>
          <t>CLINICAL_REVIEW</t>
        </is>
      </c>
      <c r="B53">
        <f>SUMIFS($Q$15:$Q$38,$I$15:$I$38,$A53)</f>
        <v/>
      </c>
      <c r="C53">
        <f>Site_Constraints!D$20</f>
        <v/>
      </c>
      <c r="D53">
        <f>IF(B53&lt;=C53,1,0)</f>
        <v/>
      </c>
    </row>
    <row r="54">
      <c r="A54" t="inlineStr">
        <is>
          <t>COLD_CHAIN_PALLET</t>
        </is>
      </c>
      <c r="B54">
        <f>SUMIFS($Q$15:$Q$38,$I$15:$I$38,$A54)</f>
        <v/>
      </c>
      <c r="C54">
        <f>Site_Constraints!D$21</f>
        <v/>
      </c>
      <c r="D54">
        <f>IF(B54&lt;=C54,1,0)</f>
        <v/>
      </c>
    </row>
    <row r="55">
      <c r="A55" t="inlineStr">
        <is>
          <t>RECEIVING_SLOT</t>
        </is>
      </c>
      <c r="B55">
        <f>SUMIFS($Q$15:$Q$38,$I$15:$I$38,$A55)</f>
        <v/>
      </c>
      <c r="C55">
        <f>Site_Constraints!D$22</f>
        <v/>
      </c>
      <c r="D55">
        <f>IF(B55&lt;=C55,1,0)</f>
        <v/>
      </c>
    </row>
    <row r="56">
      <c r="A56" t="inlineStr">
        <is>
          <t>TRANSFER_VEHICLE</t>
        </is>
      </c>
      <c r="B56">
        <f>SUMIFS($Q$15:$Q$38,$I$15:$I$38,$A56)</f>
        <v/>
      </c>
      <c r="C56">
        <f>Site_Constraints!D$23</f>
        <v/>
      </c>
      <c r="D56">
        <f>IF(B56&lt;=C56,1,0)</f>
        <v/>
      </c>
    </row>
    <row r="57">
      <c r="A57" t="inlineStr">
        <is>
          <t>all pools feasible</t>
        </is>
      </c>
      <c r="B57">
        <f>SUM($D$52:$D$56)</f>
        <v/>
      </c>
      <c r="C57" t="inlineStr">
        <is>
          <t>must equal 5</t>
        </is>
      </c>
    </row>
    <row r="58">
      <c r="A58" s="2" t="inlineStr">
        <is>
          <t>Scenario: BASE</t>
        </is>
      </c>
    </row>
    <row r="59">
      <c r="A59" s="6" t="inlineStr">
        <is>
          <t>priority</t>
        </is>
      </c>
      <c r="B59" s="6" t="inlineStr">
        <is>
          <t>action_id</t>
        </is>
      </c>
      <c r="C59" s="6" t="inlineStr">
        <is>
          <t>eligible_family</t>
        </is>
      </c>
      <c r="D59" s="6" t="inlineStr">
        <is>
          <t>target_family</t>
        </is>
      </c>
      <c r="E59" s="6" t="inlineStr">
        <is>
          <t>lever</t>
        </is>
      </c>
      <c r="F59" s="6" t="inlineStr">
        <is>
          <t>grade</t>
        </is>
      </c>
      <c r="G59" s="6" t="inlineStr">
        <is>
          <t>provided_units</t>
        </is>
      </c>
      <c r="H59" s="6" t="inlineStr">
        <is>
          <t>fixed_cost_usd</t>
        </is>
      </c>
      <c r="I59" s="6" t="inlineStr">
        <is>
          <t>pool</t>
        </is>
      </c>
      <c r="J59" s="6" t="inlineStr">
        <is>
          <t>capacity_units</t>
        </is>
      </c>
      <c r="K59" s="6" t="inlineStr">
        <is>
          <t>overlap_group</t>
        </is>
      </c>
      <c r="L59" s="6" t="inlineStr">
        <is>
          <t>shared_frac</t>
        </is>
      </c>
      <c r="M59" s="6" t="inlineStr">
        <is>
          <t>mx_group</t>
        </is>
      </c>
      <c r="N59" s="6" t="inlineStr">
        <is>
          <t>dependency_group</t>
        </is>
      </c>
      <c r="O59" s="6" t="inlineStr">
        <is>
          <t>selected (edit 0/1)</t>
        </is>
      </c>
      <c r="P59" s="6" t="inlineStr">
        <is>
          <t>eligible?</t>
        </is>
      </c>
      <c r="Q59" s="6" t="inlineStr">
        <is>
          <t>eff_capacity</t>
        </is>
      </c>
      <c r="R59" s="6" t="inlineStr">
        <is>
          <t>prior_coverage_tgt</t>
        </is>
      </c>
      <c r="S59" s="6" t="inlineStr">
        <is>
          <t>coverage_units</t>
        </is>
      </c>
      <c r="T59" s="6" t="inlineStr">
        <is>
          <t>start_delay_days</t>
        </is>
      </c>
      <c r="U59" s="6" t="inlineStr">
        <is>
          <t>mx_violation</t>
        </is>
      </c>
      <c r="V59" s="6" t="inlineStr">
        <is>
          <t>elig_violation</t>
        </is>
      </c>
    </row>
    <row r="60">
      <c r="A60" t="n">
        <v>1</v>
      </c>
      <c r="B60" t="inlineStr">
        <is>
          <t>SAC-013</t>
        </is>
      </c>
      <c r="C60" t="inlineStr">
        <is>
          <t>vascular</t>
        </is>
      </c>
      <c r="D60" t="inlineStr">
        <is>
          <t>vascular</t>
        </is>
      </c>
      <c r="E60" t="inlineStr">
        <is>
          <t>expedite receipt</t>
        </is>
      </c>
      <c r="F60" t="inlineStr">
        <is>
          <t>A</t>
        </is>
      </c>
      <c r="G60" t="n">
        <v>32.4</v>
      </c>
      <c r="H60" t="n">
        <v>1200</v>
      </c>
      <c r="I60" t="inlineStr">
        <is>
          <t>RECEIVING_SLOT</t>
        </is>
      </c>
      <c r="J60" t="n">
        <v>0.5</v>
      </c>
      <c r="K60" t="inlineStr">
        <is>
          <t>OV-3</t>
        </is>
      </c>
      <c r="L60" t="n">
        <v>0</v>
      </c>
      <c r="N60" t="inlineStr">
        <is>
          <t>DG-1</t>
        </is>
      </c>
      <c r="O60" s="5" t="n">
        <v>1</v>
      </c>
      <c r="P60">
        <f>INDEX(Action_Catalog!$R$4:$R$27,MATCH($B60,Action_Catalog!$A$4:$A$27,0))</f>
        <v/>
      </c>
      <c r="Q60">
        <f>$O60*$J60*IF(COUNTIFS($K$60:$K60,$K60,$O$60:$O60,1)&gt;1,1-$L60,1)</f>
        <v/>
      </c>
      <c r="R60">
        <f>SUMIFS($S$59:$S59,$D$59:$D59,$D60)</f>
        <v/>
      </c>
      <c r="S60">
        <f>$O60*MIN($G60,MAX(0,INDEX($B$6:$D$10,MATCH($D60,$A$6:$A$10,0),2)-$R60))</f>
        <v/>
      </c>
      <c r="T60" t="n">
        <v>1</v>
      </c>
      <c r="U60">
        <f>IF(AND($M60&lt;&gt;"",$O60=1,COUNTIFS($M$60:$M$83,$M60,$O$60:$O$83,1)&gt;1),1,0)</f>
        <v/>
      </c>
      <c r="V60">
        <f>IF(AND($O60=1,$P60=0),1,0)</f>
        <v/>
      </c>
    </row>
    <row r="61">
      <c r="A61" t="n">
        <v>2</v>
      </c>
      <c r="B61" t="inlineStr">
        <is>
          <t>SAC-010</t>
        </is>
      </c>
      <c r="C61" t="inlineStr">
        <is>
          <t>diagnostic</t>
        </is>
      </c>
      <c r="D61" t="inlineStr">
        <is>
          <t>diagnostic</t>
        </is>
      </c>
      <c r="E61" t="inlineStr">
        <is>
          <t>site transfer</t>
        </is>
      </c>
      <c r="F61" t="inlineStr">
        <is>
          <t>A</t>
        </is>
      </c>
      <c r="G61" t="n">
        <v>60.8</v>
      </c>
      <c r="H61" t="n">
        <v>4500</v>
      </c>
      <c r="I61" t="inlineStr">
        <is>
          <t>TRANSFER_VEHICLE</t>
        </is>
      </c>
      <c r="J61" t="n">
        <v>1</v>
      </c>
      <c r="K61" t="inlineStr">
        <is>
          <t>OV-5</t>
        </is>
      </c>
      <c r="L61" t="n">
        <v>0.2</v>
      </c>
      <c r="N61" t="inlineStr">
        <is>
          <t>DG-4</t>
        </is>
      </c>
      <c r="O61" s="5" t="n">
        <v>1</v>
      </c>
      <c r="P61">
        <f>INDEX(Action_Catalog!$R$4:$R$27,MATCH($B61,Action_Catalog!$A$4:$A$27,0))</f>
        <v/>
      </c>
      <c r="Q61">
        <f>$O61*$J61*IF(COUNTIFS($K$60:$K61,$K61,$O$60:$O61,1)&gt;1,1-$L61,1)</f>
        <v/>
      </c>
      <c r="R61">
        <f>SUMIFS($S$59:$S60,$D$59:$D60,$D61)</f>
        <v/>
      </c>
      <c r="S61">
        <f>$O61*MIN($G61,MAX(0,INDEX($B$6:$D$10,MATCH($D61,$A$6:$A$10,0),2)-$R61))</f>
        <v/>
      </c>
      <c r="T61" t="n">
        <v>3</v>
      </c>
      <c r="U61">
        <f>IF(AND($M61&lt;&gt;"",$O61=1,COUNTIFS($M$60:$M$83,$M61,$O$60:$O$83,1)&gt;1),1,0)</f>
        <v/>
      </c>
      <c r="V61">
        <f>IF(AND($O61=1,$P61=0),1,0)</f>
        <v/>
      </c>
    </row>
    <row r="62">
      <c r="A62" t="n">
        <v>3</v>
      </c>
      <c r="B62" t="inlineStr">
        <is>
          <t>SAC-001</t>
        </is>
      </c>
      <c r="C62" t="inlineStr">
        <is>
          <t>vascular</t>
        </is>
      </c>
      <c r="D62" t="inlineStr">
        <is>
          <t>vascular</t>
        </is>
      </c>
      <c r="E62" t="inlineStr">
        <is>
          <t>expedite receipt</t>
        </is>
      </c>
      <c r="F62" t="inlineStr">
        <is>
          <t>A</t>
        </is>
      </c>
      <c r="G62" t="n">
        <v>16.2</v>
      </c>
      <c r="H62" t="n">
        <v>1200</v>
      </c>
      <c r="I62" t="inlineStr">
        <is>
          <t>BUYER_FTE</t>
        </is>
      </c>
      <c r="J62" t="n">
        <v>0.5</v>
      </c>
      <c r="K62" t="inlineStr">
        <is>
          <t>OV-1</t>
        </is>
      </c>
      <c r="L62" t="n">
        <v>0</v>
      </c>
      <c r="M62" t="inlineStr">
        <is>
          <t>MX-1</t>
        </is>
      </c>
      <c r="N62" t="inlineStr">
        <is>
          <t>DG-1</t>
        </is>
      </c>
      <c r="O62" s="5" t="n">
        <v>1</v>
      </c>
      <c r="P62">
        <f>INDEX(Action_Catalog!$R$4:$R$27,MATCH($B62,Action_Catalog!$A$4:$A$27,0))</f>
        <v/>
      </c>
      <c r="Q62">
        <f>$O62*$J62*IF(COUNTIFS($K$60:$K62,$K62,$O$60:$O62,1)&gt;1,1-$L62,1)</f>
        <v/>
      </c>
      <c r="R62">
        <f>SUMIFS($S$59:$S61,$D$59:$D61,$D62)</f>
        <v/>
      </c>
      <c r="S62">
        <f>$O62*MIN($G62,MAX(0,INDEX($B$6:$D$10,MATCH($D62,$A$6:$A$10,0),2)-$R62))</f>
        <v/>
      </c>
      <c r="T62" t="n">
        <v>1</v>
      </c>
      <c r="U62">
        <f>IF(AND($M62&lt;&gt;"",$O62=1,COUNTIFS($M$60:$M$83,$M62,$O$60:$O$83,1)&gt;1),1,0)</f>
        <v/>
      </c>
      <c r="V62">
        <f>IF(AND($O62=1,$P62=0),1,0)</f>
        <v/>
      </c>
    </row>
    <row r="63">
      <c r="A63" t="n">
        <v>4</v>
      </c>
      <c r="B63" t="inlineStr">
        <is>
          <t>SAC-022</t>
        </is>
      </c>
      <c r="C63" t="inlineStr">
        <is>
          <t>diagnostic</t>
        </is>
      </c>
      <c r="D63" t="inlineStr">
        <is>
          <t>diagnostic</t>
        </is>
      </c>
      <c r="E63" t="inlineStr">
        <is>
          <t>site transfer</t>
        </is>
      </c>
      <c r="F63" t="inlineStr">
        <is>
          <t>A</t>
        </is>
      </c>
      <c r="G63" t="n">
        <v>24.3</v>
      </c>
      <c r="H63" t="n">
        <v>4500</v>
      </c>
      <c r="I63" t="inlineStr">
        <is>
          <t>COLD_CHAIN_PALLET</t>
        </is>
      </c>
      <c r="J63" t="n">
        <v>1</v>
      </c>
      <c r="K63" t="inlineStr">
        <is>
          <t>OV-2</t>
        </is>
      </c>
      <c r="L63" t="n">
        <v>0.2</v>
      </c>
      <c r="N63" t="inlineStr">
        <is>
          <t>DG-4</t>
        </is>
      </c>
      <c r="O63" s="5" t="n">
        <v>1</v>
      </c>
      <c r="P63">
        <f>INDEX(Action_Catalog!$R$4:$R$27,MATCH($B63,Action_Catalog!$A$4:$A$27,0))</f>
        <v/>
      </c>
      <c r="Q63">
        <f>$O63*$J63*IF(COUNTIFS($K$60:$K63,$K63,$O$60:$O63,1)&gt;1,1-$L63,1)</f>
        <v/>
      </c>
      <c r="R63">
        <f>SUMIFS($S$59:$S62,$D$59:$D62,$D63)</f>
        <v/>
      </c>
      <c r="S63">
        <f>$O63*MIN($G63,MAX(0,INDEX($B$6:$D$10,MATCH($D63,$A$6:$A$10,0),2)-$R63))</f>
        <v/>
      </c>
      <c r="T63" t="n">
        <v>3</v>
      </c>
      <c r="U63">
        <f>IF(AND($M63&lt;&gt;"",$O63=1,COUNTIFS($M$60:$M$83,$M63,$O$60:$O$83,1)&gt;1),1,0)</f>
        <v/>
      </c>
      <c r="V63">
        <f>IF(AND($O63=1,$P63=0),1,0)</f>
        <v/>
      </c>
    </row>
    <row r="64">
      <c r="A64" t="n">
        <v>5</v>
      </c>
      <c r="B64" t="inlineStr">
        <is>
          <t>SAC-019</t>
        </is>
      </c>
      <c r="C64" t="inlineStr">
        <is>
          <t>vascular</t>
        </is>
      </c>
      <c r="D64" t="inlineStr">
        <is>
          <t>vascular</t>
        </is>
      </c>
      <c r="E64" t="inlineStr">
        <is>
          <t>supplier substitution</t>
        </is>
      </c>
      <c r="F64" t="inlineStr">
        <is>
          <t>A</t>
        </is>
      </c>
      <c r="G64" t="n">
        <v>43.2</v>
      </c>
      <c r="H64" t="n">
        <v>9000</v>
      </c>
      <c r="I64" t="inlineStr">
        <is>
          <t>CLINICAL_REVIEW</t>
        </is>
      </c>
      <c r="J64" t="n">
        <v>1.5</v>
      </c>
      <c r="K64" t="inlineStr">
        <is>
          <t>OV-4</t>
        </is>
      </c>
      <c r="L64" t="n">
        <v>0.35</v>
      </c>
      <c r="N64" t="inlineStr">
        <is>
          <t>DG-1</t>
        </is>
      </c>
      <c r="O64" s="5" t="n">
        <v>1</v>
      </c>
      <c r="P64">
        <f>INDEX(Action_Catalog!$R$4:$R$27,MATCH($B64,Action_Catalog!$A$4:$A$27,0))</f>
        <v/>
      </c>
      <c r="Q64">
        <f>$O64*$J64*IF(COUNTIFS($K$60:$K64,$K64,$O$60:$O64,1)&gt;1,1-$L64,1)</f>
        <v/>
      </c>
      <c r="R64">
        <f>SUMIFS($S$59:$S63,$D$59:$D63,$D64)</f>
        <v/>
      </c>
      <c r="S64">
        <f>$O64*MIN($G64,MAX(0,INDEX($B$6:$D$10,MATCH($D64,$A$6:$A$10,0),2)-$R64))</f>
        <v/>
      </c>
      <c r="T64" t="n">
        <v>7</v>
      </c>
      <c r="U64">
        <f>IF(AND($M64&lt;&gt;"",$O64=1,COUNTIFS($M$60:$M$83,$M64,$O$60:$O$83,1)&gt;1),1,0)</f>
        <v/>
      </c>
      <c r="V64">
        <f>IF(AND($O64=1,$P64=0),1,0)</f>
        <v/>
      </c>
    </row>
    <row r="65">
      <c r="A65" t="n">
        <v>6</v>
      </c>
      <c r="B65" t="inlineStr">
        <is>
          <t>SAC-007</t>
        </is>
      </c>
      <c r="C65" t="inlineStr">
        <is>
          <t>vascular</t>
        </is>
      </c>
      <c r="D65" t="inlineStr">
        <is>
          <t>vascular</t>
        </is>
      </c>
      <c r="E65" t="inlineStr">
        <is>
          <t>supplier substitution</t>
        </is>
      </c>
      <c r="F65" t="inlineStr">
        <is>
          <t>A</t>
        </is>
      </c>
      <c r="G65" t="n">
        <v>24.3</v>
      </c>
      <c r="H65" t="n">
        <v>9000</v>
      </c>
      <c r="I65" t="inlineStr">
        <is>
          <t>COLD_CHAIN_PALLET</t>
        </is>
      </c>
      <c r="J65" t="n">
        <v>1.5</v>
      </c>
      <c r="K65" t="inlineStr">
        <is>
          <t>OV-2</t>
        </is>
      </c>
      <c r="L65" t="n">
        <v>0.35</v>
      </c>
      <c r="N65" t="inlineStr">
        <is>
          <t>DG-1</t>
        </is>
      </c>
      <c r="O65" s="5" t="n">
        <v>1</v>
      </c>
      <c r="P65">
        <f>INDEX(Action_Catalog!$R$4:$R$27,MATCH($B65,Action_Catalog!$A$4:$A$27,0))</f>
        <v/>
      </c>
      <c r="Q65">
        <f>$O65*$J65*IF(COUNTIFS($K$60:$K65,$K65,$O$60:$O65,1)&gt;1,1-$L65,1)</f>
        <v/>
      </c>
      <c r="R65">
        <f>SUMIFS($S$59:$S64,$D$59:$D64,$D65)</f>
        <v/>
      </c>
      <c r="S65">
        <f>$O65*MIN($G65,MAX(0,INDEX($B$6:$D$10,MATCH($D65,$A$6:$A$10,0),2)-$R65))</f>
        <v/>
      </c>
      <c r="T65" t="n">
        <v>7</v>
      </c>
      <c r="U65">
        <f>IF(AND($M65&lt;&gt;"",$O65=1,COUNTIFS($M$60:$M$83,$M65,$O$60:$O$83,1)&gt;1),1,0)</f>
        <v/>
      </c>
      <c r="V65">
        <f>IF(AND($O65=1,$P65=0),1,0)</f>
        <v/>
      </c>
    </row>
    <row r="66">
      <c r="A66" t="n">
        <v>7</v>
      </c>
      <c r="B66" t="inlineStr">
        <is>
          <t>SAC-004</t>
        </is>
      </c>
      <c r="C66" t="inlineStr">
        <is>
          <t>diagnostic</t>
        </is>
      </c>
      <c r="D66" t="inlineStr">
        <is>
          <t>diagnostic</t>
        </is>
      </c>
      <c r="E66" t="inlineStr">
        <is>
          <t>allocation hold</t>
        </is>
      </c>
      <c r="F66" t="inlineStr">
        <is>
          <t>A</t>
        </is>
      </c>
      <c r="G66" t="n">
        <v>43.2</v>
      </c>
      <c r="H66" t="n">
        <v>18000</v>
      </c>
      <c r="I66" t="inlineStr">
        <is>
          <t>CLINICAL_REVIEW</t>
        </is>
      </c>
      <c r="J66" t="n">
        <v>2</v>
      </c>
      <c r="K66" t="inlineStr">
        <is>
          <t>OV-4</t>
        </is>
      </c>
      <c r="L66" t="n">
        <v>0.5</v>
      </c>
      <c r="N66" t="inlineStr">
        <is>
          <t>DG-4</t>
        </is>
      </c>
      <c r="O66" s="5" t="n">
        <v>1</v>
      </c>
      <c r="P66">
        <f>INDEX(Action_Catalog!$R$4:$R$27,MATCH($B66,Action_Catalog!$A$4:$A$27,0))</f>
        <v/>
      </c>
      <c r="Q66">
        <f>$O66*$J66*IF(COUNTIFS($K$60:$K66,$K66,$O$60:$O66,1)&gt;1,1-$L66,1)</f>
        <v/>
      </c>
      <c r="R66">
        <f>SUMIFS($S$59:$S65,$D$59:$D65,$D66)</f>
        <v/>
      </c>
      <c r="S66">
        <f>$O66*MIN($G66,MAX(0,INDEX($B$6:$D$10,MATCH($D66,$A$6:$A$10,0),2)-$R66))</f>
        <v/>
      </c>
      <c r="T66" t="n">
        <v>14</v>
      </c>
      <c r="U66">
        <f>IF(AND($M66&lt;&gt;"",$O66=1,COUNTIFS($M$60:$M$83,$M66,$O$60:$O$83,1)&gt;1),1,0)</f>
        <v/>
      </c>
      <c r="V66">
        <f>IF(AND($O66=1,$P66=0),1,0)</f>
        <v/>
      </c>
    </row>
    <row r="67">
      <c r="A67" t="n">
        <v>8</v>
      </c>
      <c r="B67" t="inlineStr">
        <is>
          <t>SAC-016</t>
        </is>
      </c>
      <c r="C67" t="inlineStr">
        <is>
          <t>diagnostic</t>
        </is>
      </c>
      <c r="D67" t="inlineStr">
        <is>
          <t>diagnostic</t>
        </is>
      </c>
      <c r="E67" t="inlineStr">
        <is>
          <t>allocation hold</t>
        </is>
      </c>
      <c r="F67" t="inlineStr">
        <is>
          <t>A</t>
        </is>
      </c>
      <c r="G67" t="n">
        <v>16.2</v>
      </c>
      <c r="H67" t="n">
        <v>18000</v>
      </c>
      <c r="I67" t="inlineStr">
        <is>
          <t>BUYER_FTE</t>
        </is>
      </c>
      <c r="J67" t="n">
        <v>2</v>
      </c>
      <c r="K67" t="inlineStr">
        <is>
          <t>OV-1</t>
        </is>
      </c>
      <c r="L67" t="n">
        <v>0.5</v>
      </c>
      <c r="M67" t="inlineStr">
        <is>
          <t>MX-4</t>
        </is>
      </c>
      <c r="N67" t="inlineStr">
        <is>
          <t>DG-4</t>
        </is>
      </c>
      <c r="O67" s="5" t="n">
        <v>1</v>
      </c>
      <c r="P67">
        <f>INDEX(Action_Catalog!$R$4:$R$27,MATCH($B67,Action_Catalog!$A$4:$A$27,0))</f>
        <v/>
      </c>
      <c r="Q67">
        <f>$O67*$J67*IF(COUNTIFS($K$60:$K67,$K67,$O$60:$O67,1)&gt;1,1-$L67,1)</f>
        <v/>
      </c>
      <c r="R67">
        <f>SUMIFS($S$59:$S66,$D$59:$D66,$D67)</f>
        <v/>
      </c>
      <c r="S67">
        <f>$O67*MIN($G67,MAX(0,INDEX($B$6:$D$10,MATCH($D67,$A$6:$A$10,0),2)-$R67))</f>
        <v/>
      </c>
      <c r="T67" t="n">
        <v>14</v>
      </c>
      <c r="U67">
        <f>IF(AND($M67&lt;&gt;"",$O67=1,COUNTIFS($M$60:$M$83,$M67,$O$60:$O$83,1)&gt;1),1,0)</f>
        <v/>
      </c>
      <c r="V67">
        <f>IF(AND($O67=1,$P67=0),1,0)</f>
        <v/>
      </c>
    </row>
    <row r="68">
      <c r="A68" t="n">
        <v>9</v>
      </c>
      <c r="B68" t="inlineStr">
        <is>
          <t>SAC-005</t>
        </is>
      </c>
      <c r="C68" t="inlineStr">
        <is>
          <t>wound</t>
        </is>
      </c>
      <c r="D68" t="inlineStr">
        <is>
          <t>wound</t>
        </is>
      </c>
      <c r="E68" t="inlineStr">
        <is>
          <t>expedite receipt</t>
        </is>
      </c>
      <c r="F68" t="inlineStr">
        <is>
          <t>B</t>
        </is>
      </c>
      <c r="G68" t="n">
        <v>60.8</v>
      </c>
      <c r="H68" t="n">
        <v>1200</v>
      </c>
      <c r="I68" t="inlineStr">
        <is>
          <t>TRANSFER_VEHICLE</t>
        </is>
      </c>
      <c r="J68" t="n">
        <v>0.5</v>
      </c>
      <c r="K68" t="inlineStr">
        <is>
          <t>OV-5</t>
        </is>
      </c>
      <c r="L68" t="n">
        <v>0</v>
      </c>
      <c r="N68" t="inlineStr">
        <is>
          <t>DG-5</t>
        </is>
      </c>
      <c r="O68" s="5" t="n">
        <v>1</v>
      </c>
      <c r="P68">
        <f>INDEX(Action_Catalog!$R$4:$R$27,MATCH($B68,Action_Catalog!$A$4:$A$27,0))</f>
        <v/>
      </c>
      <c r="Q68">
        <f>$O68*$J68*IF(COUNTIFS($K$60:$K68,$K68,$O$60:$O68,1)&gt;1,1-$L68,1)</f>
        <v/>
      </c>
      <c r="R68">
        <f>SUMIFS($S$59:$S67,$D$59:$D67,$D68)</f>
        <v/>
      </c>
      <c r="S68">
        <f>$O68*MIN($G68,MAX(0,INDEX($B$6:$D$10,MATCH($D68,$A$6:$A$10,0),2)-$R68))</f>
        <v/>
      </c>
      <c r="T68" t="n">
        <v>1</v>
      </c>
      <c r="U68">
        <f>IF(AND($M68&lt;&gt;"",$O68=1,COUNTIFS($M$60:$M$83,$M68,$O$60:$O$83,1)&gt;1),1,0)</f>
        <v/>
      </c>
      <c r="V68">
        <f>IF(AND($O68=1,$P68=0),1,0)</f>
        <v/>
      </c>
    </row>
    <row r="69">
      <c r="A69" t="n">
        <v>10</v>
      </c>
      <c r="B69" t="inlineStr">
        <is>
          <t>SAC-017</t>
        </is>
      </c>
      <c r="C69" t="inlineStr">
        <is>
          <t>wound</t>
        </is>
      </c>
      <c r="D69" t="inlineStr">
        <is>
          <t>wound</t>
        </is>
      </c>
      <c r="E69" t="inlineStr">
        <is>
          <t>expedite receipt</t>
        </is>
      </c>
      <c r="F69" t="inlineStr">
        <is>
          <t>B</t>
        </is>
      </c>
      <c r="G69" t="n">
        <v>24.3</v>
      </c>
      <c r="H69" t="n">
        <v>1200</v>
      </c>
      <c r="I69" t="inlineStr">
        <is>
          <t>COLD_CHAIN_PALLET</t>
        </is>
      </c>
      <c r="J69" t="n">
        <v>0.5</v>
      </c>
      <c r="K69" t="inlineStr">
        <is>
          <t>OV-2</t>
        </is>
      </c>
      <c r="L69" t="n">
        <v>0</v>
      </c>
      <c r="N69" t="inlineStr">
        <is>
          <t>DG-5</t>
        </is>
      </c>
      <c r="O69" s="5" t="n">
        <v>1</v>
      </c>
      <c r="P69">
        <f>INDEX(Action_Catalog!$R$4:$R$27,MATCH($B69,Action_Catalog!$A$4:$A$27,0))</f>
        <v/>
      </c>
      <c r="Q69">
        <f>$O69*$J69*IF(COUNTIFS($K$60:$K69,$K69,$O$60:$O69,1)&gt;1,1-$L69,1)</f>
        <v/>
      </c>
      <c r="R69">
        <f>SUMIFS($S$59:$S68,$D$59:$D68,$D69)</f>
        <v/>
      </c>
      <c r="S69">
        <f>$O69*MIN($G69,MAX(0,INDEX($B$6:$D$10,MATCH($D69,$A$6:$A$10,0),2)-$R69))</f>
        <v/>
      </c>
      <c r="T69" t="n">
        <v>1</v>
      </c>
      <c r="U69">
        <f>IF(AND($M69&lt;&gt;"",$O69=1,COUNTIFS($M$60:$M$83,$M69,$O$60:$O$83,1)&gt;1),1,0)</f>
        <v/>
      </c>
      <c r="V69">
        <f>IF(AND($O69=1,$P69=0),1,0)</f>
        <v/>
      </c>
    </row>
    <row r="70">
      <c r="A70" t="n">
        <v>11</v>
      </c>
      <c r="B70" t="inlineStr">
        <is>
          <t>SAC-014</t>
        </is>
      </c>
      <c r="C70" t="inlineStr">
        <is>
          <t>respiratory</t>
        </is>
      </c>
      <c r="D70" t="inlineStr">
        <is>
          <t>respiratory</t>
        </is>
      </c>
      <c r="E70" t="inlineStr">
        <is>
          <t>site transfer</t>
        </is>
      </c>
      <c r="F70" t="inlineStr">
        <is>
          <t>B</t>
        </is>
      </c>
      <c r="G70" t="n">
        <v>43.2</v>
      </c>
      <c r="H70" t="n">
        <v>4500</v>
      </c>
      <c r="I70" t="inlineStr">
        <is>
          <t>CLINICAL_REVIEW</t>
        </is>
      </c>
      <c r="J70" t="n">
        <v>1</v>
      </c>
      <c r="K70" t="inlineStr">
        <is>
          <t>OV-4</t>
        </is>
      </c>
      <c r="L70" t="n">
        <v>0.2</v>
      </c>
      <c r="N70" t="inlineStr">
        <is>
          <t>DG-2</t>
        </is>
      </c>
      <c r="O70" s="5" t="n">
        <v>0</v>
      </c>
      <c r="P70">
        <f>INDEX(Action_Catalog!$R$4:$R$27,MATCH($B70,Action_Catalog!$A$4:$A$27,0))</f>
        <v/>
      </c>
      <c r="Q70">
        <f>$O70*$J70*IF(COUNTIFS($K$60:$K70,$K70,$O$60:$O70,1)&gt;1,1-$L70,1)</f>
        <v/>
      </c>
      <c r="R70">
        <f>SUMIFS($S$59:$S69,$D$59:$D69,$D70)</f>
        <v/>
      </c>
      <c r="S70">
        <f>$O70*MIN($G70,MAX(0,INDEX($B$6:$D$10,MATCH($D70,$A$6:$A$10,0),2)-$R70))</f>
        <v/>
      </c>
      <c r="T70" t="n">
        <v>3</v>
      </c>
      <c r="U70">
        <f>IF(AND($M70&lt;&gt;"",$O70=1,COUNTIFS($M$60:$M$83,$M70,$O$60:$O$83,1)&gt;1),1,0)</f>
        <v/>
      </c>
      <c r="V70">
        <f>IF(AND($O70=1,$P70=0),1,0)</f>
        <v/>
      </c>
    </row>
    <row r="71">
      <c r="A71" t="n">
        <v>12</v>
      </c>
      <c r="B71" t="inlineStr">
        <is>
          <t>SAC-002</t>
        </is>
      </c>
      <c r="C71" t="inlineStr">
        <is>
          <t>respiratory</t>
        </is>
      </c>
      <c r="D71" t="inlineStr">
        <is>
          <t>respiratory</t>
        </is>
      </c>
      <c r="E71" t="inlineStr">
        <is>
          <t>site transfer</t>
        </is>
      </c>
      <c r="F71" t="inlineStr">
        <is>
          <t>B</t>
        </is>
      </c>
      <c r="G71" t="n">
        <v>24.3</v>
      </c>
      <c r="H71" t="n">
        <v>4500</v>
      </c>
      <c r="I71" t="inlineStr">
        <is>
          <t>COLD_CHAIN_PALLET</t>
        </is>
      </c>
      <c r="J71" t="n">
        <v>1</v>
      </c>
      <c r="K71" t="inlineStr">
        <is>
          <t>OV-2</t>
        </is>
      </c>
      <c r="L71" t="n">
        <v>0.2</v>
      </c>
      <c r="N71" t="inlineStr">
        <is>
          <t>DG-2</t>
        </is>
      </c>
      <c r="O71" s="5" t="n">
        <v>1</v>
      </c>
      <c r="P71">
        <f>INDEX(Action_Catalog!$R$4:$R$27,MATCH($B71,Action_Catalog!$A$4:$A$27,0))</f>
        <v/>
      </c>
      <c r="Q71">
        <f>$O71*$J71*IF(COUNTIFS($K$60:$K71,$K71,$O$60:$O71,1)&gt;1,1-$L71,1)</f>
        <v/>
      </c>
      <c r="R71">
        <f>SUMIFS($S$59:$S70,$D$59:$D70,$D71)</f>
        <v/>
      </c>
      <c r="S71">
        <f>$O71*MIN($G71,MAX(0,INDEX($B$6:$D$10,MATCH($D71,$A$6:$A$10,0),2)-$R71))</f>
        <v/>
      </c>
      <c r="T71" t="n">
        <v>3</v>
      </c>
      <c r="U71">
        <f>IF(AND($M71&lt;&gt;"",$O71=1,COUNTIFS($M$60:$M$83,$M71,$O$60:$O$83,1)&gt;1),1,0)</f>
        <v/>
      </c>
      <c r="V71">
        <f>IF(AND($O71=1,$P71=0),1,0)</f>
        <v/>
      </c>
    </row>
    <row r="72">
      <c r="A72" t="n">
        <v>13</v>
      </c>
      <c r="B72" t="inlineStr">
        <is>
          <t>SAC-023</t>
        </is>
      </c>
      <c r="C72" t="inlineStr">
        <is>
          <t>wound</t>
        </is>
      </c>
      <c r="D72" t="inlineStr">
        <is>
          <t>wound</t>
        </is>
      </c>
      <c r="E72" t="inlineStr">
        <is>
          <t>supplier substitution</t>
        </is>
      </c>
      <c r="F72" t="inlineStr">
        <is>
          <t>B</t>
        </is>
      </c>
      <c r="G72" t="n">
        <v>32.4</v>
      </c>
      <c r="H72" t="n">
        <v>9000</v>
      </c>
      <c r="I72" t="inlineStr">
        <is>
          <t>RECEIVING_SLOT</t>
        </is>
      </c>
      <c r="J72" t="n">
        <v>1.5</v>
      </c>
      <c r="K72" t="inlineStr">
        <is>
          <t>OV-3</t>
        </is>
      </c>
      <c r="L72" t="n">
        <v>0.35</v>
      </c>
      <c r="N72" t="inlineStr">
        <is>
          <t>DG-5</t>
        </is>
      </c>
      <c r="O72" s="5" t="n">
        <v>1</v>
      </c>
      <c r="P72">
        <f>INDEX(Action_Catalog!$R$4:$R$27,MATCH($B72,Action_Catalog!$A$4:$A$27,0))</f>
        <v/>
      </c>
      <c r="Q72">
        <f>$O72*$J72*IF(COUNTIFS($K$60:$K72,$K72,$O$60:$O72,1)&gt;1,1-$L72,1)</f>
        <v/>
      </c>
      <c r="R72">
        <f>SUMIFS($S$59:$S71,$D$59:$D71,$D72)</f>
        <v/>
      </c>
      <c r="S72">
        <f>$O72*MIN($G72,MAX(0,INDEX($B$6:$D$10,MATCH($D72,$A$6:$A$10,0),2)-$R72))</f>
        <v/>
      </c>
      <c r="T72" t="n">
        <v>7</v>
      </c>
      <c r="U72">
        <f>IF(AND($M72&lt;&gt;"",$O72=1,COUNTIFS($M$60:$M$83,$M72,$O$60:$O$83,1)&gt;1),1,0)</f>
        <v/>
      </c>
      <c r="V72">
        <f>IF(AND($O72=1,$P72=0),1,0)</f>
        <v/>
      </c>
    </row>
    <row r="73">
      <c r="A73" t="n">
        <v>14</v>
      </c>
      <c r="B73" t="inlineStr">
        <is>
          <t>SAC-020</t>
        </is>
      </c>
      <c r="C73" t="inlineStr">
        <is>
          <t>respiratory</t>
        </is>
      </c>
      <c r="D73" t="inlineStr">
        <is>
          <t>respiratory</t>
        </is>
      </c>
      <c r="E73" t="inlineStr">
        <is>
          <t>allocation hold</t>
        </is>
      </c>
      <c r="F73" t="inlineStr">
        <is>
          <t>B</t>
        </is>
      </c>
      <c r="G73" t="n">
        <v>60.8</v>
      </c>
      <c r="H73" t="n">
        <v>18000</v>
      </c>
      <c r="I73" t="inlineStr">
        <is>
          <t>TRANSFER_VEHICLE</t>
        </is>
      </c>
      <c r="J73" t="n">
        <v>2</v>
      </c>
      <c r="K73" t="inlineStr">
        <is>
          <t>OV-5</t>
        </is>
      </c>
      <c r="L73" t="n">
        <v>0.5</v>
      </c>
      <c r="N73" t="inlineStr">
        <is>
          <t>DG-2</t>
        </is>
      </c>
      <c r="O73" s="5" t="n">
        <v>0</v>
      </c>
      <c r="P73">
        <f>INDEX(Action_Catalog!$R$4:$R$27,MATCH($B73,Action_Catalog!$A$4:$A$27,0))</f>
        <v/>
      </c>
      <c r="Q73">
        <f>$O73*$J73*IF(COUNTIFS($K$60:$K73,$K73,$O$60:$O73,1)&gt;1,1-$L73,1)</f>
        <v/>
      </c>
      <c r="R73">
        <f>SUMIFS($S$59:$S72,$D$59:$D72,$D73)</f>
        <v/>
      </c>
      <c r="S73">
        <f>$O73*MIN($G73,MAX(0,INDEX($B$6:$D$10,MATCH($D73,$A$6:$A$10,0),2)-$R73))</f>
        <v/>
      </c>
      <c r="T73" t="n">
        <v>14</v>
      </c>
      <c r="U73">
        <f>IF(AND($M73&lt;&gt;"",$O73=1,COUNTIFS($M$60:$M$83,$M73,$O$60:$O$83,1)&gt;1),1,0)</f>
        <v/>
      </c>
      <c r="V73">
        <f>IF(AND($O73=1,$P73=0),1,0)</f>
        <v/>
      </c>
    </row>
    <row r="74">
      <c r="A74" t="n">
        <v>15</v>
      </c>
      <c r="B74" t="inlineStr">
        <is>
          <t>SAC-008</t>
        </is>
      </c>
      <c r="C74" t="inlineStr">
        <is>
          <t>respiratory</t>
        </is>
      </c>
      <c r="D74" t="inlineStr">
        <is>
          <t>respiratory</t>
        </is>
      </c>
      <c r="E74" t="inlineStr">
        <is>
          <t>allocation hold</t>
        </is>
      </c>
      <c r="F74" t="inlineStr">
        <is>
          <t>B</t>
        </is>
      </c>
      <c r="G74" t="n">
        <v>32.4</v>
      </c>
      <c r="H74" t="n">
        <v>18000</v>
      </c>
      <c r="I74" t="inlineStr">
        <is>
          <t>RECEIVING_SLOT</t>
        </is>
      </c>
      <c r="J74" t="n">
        <v>2</v>
      </c>
      <c r="K74" t="inlineStr">
        <is>
          <t>OV-3</t>
        </is>
      </c>
      <c r="L74" t="n">
        <v>0.5</v>
      </c>
      <c r="N74" t="inlineStr">
        <is>
          <t>DG-2</t>
        </is>
      </c>
      <c r="O74" s="5" t="n">
        <v>1</v>
      </c>
      <c r="P74">
        <f>INDEX(Action_Catalog!$R$4:$R$27,MATCH($B74,Action_Catalog!$A$4:$A$27,0))</f>
        <v/>
      </c>
      <c r="Q74">
        <f>$O74*$J74*IF(COUNTIFS($K$60:$K74,$K74,$O$60:$O74,1)&gt;1,1-$L74,1)</f>
        <v/>
      </c>
      <c r="R74">
        <f>SUMIFS($S$59:$S73,$D$59:$D73,$D74)</f>
        <v/>
      </c>
      <c r="S74">
        <f>$O74*MIN($G74,MAX(0,INDEX($B$6:$D$10,MATCH($D74,$A$6:$A$10,0),2)-$R74))</f>
        <v/>
      </c>
      <c r="T74" t="n">
        <v>14</v>
      </c>
      <c r="U74">
        <f>IF(AND($M74&lt;&gt;"",$O74=1,COUNTIFS($M$60:$M$83,$M74,$O$60:$O$83,1)&gt;1),1,0)</f>
        <v/>
      </c>
      <c r="V74">
        <f>IF(AND($O74=1,$P74=0),1,0)</f>
        <v/>
      </c>
    </row>
    <row r="75">
      <c r="A75" t="n">
        <v>16</v>
      </c>
      <c r="B75" t="inlineStr">
        <is>
          <t>SAC-011</t>
        </is>
      </c>
      <c r="C75" t="inlineStr">
        <is>
          <t>wound</t>
        </is>
      </c>
      <c r="D75" t="inlineStr">
        <is>
          <t>wound</t>
        </is>
      </c>
      <c r="E75" t="inlineStr">
        <is>
          <t>supplier substitution</t>
        </is>
      </c>
      <c r="F75" t="inlineStr">
        <is>
          <t>B</t>
        </is>
      </c>
      <c r="G75" t="n">
        <v>16.2</v>
      </c>
      <c r="H75" t="n">
        <v>9000</v>
      </c>
      <c r="I75" t="inlineStr">
        <is>
          <t>BUYER_FTE</t>
        </is>
      </c>
      <c r="J75" t="n">
        <v>1.5</v>
      </c>
      <c r="K75" t="inlineStr">
        <is>
          <t>OV-1</t>
        </is>
      </c>
      <c r="L75" t="n">
        <v>0.35</v>
      </c>
      <c r="M75" t="inlineStr">
        <is>
          <t>MX-3</t>
        </is>
      </c>
      <c r="N75" t="inlineStr">
        <is>
          <t>DG-5</t>
        </is>
      </c>
      <c r="O75" s="5" t="n">
        <v>1</v>
      </c>
      <c r="P75">
        <f>INDEX(Action_Catalog!$R$4:$R$27,MATCH($B75,Action_Catalog!$A$4:$A$27,0))</f>
        <v/>
      </c>
      <c r="Q75">
        <f>$O75*$J75*IF(COUNTIFS($K$60:$K75,$K75,$O$60:$O75,1)&gt;1,1-$L75,1)</f>
        <v/>
      </c>
      <c r="R75">
        <f>SUMIFS($S$59:$S74,$D$59:$D74,$D75)</f>
        <v/>
      </c>
      <c r="S75">
        <f>$O75*MIN($G75,MAX(0,INDEX($B$6:$D$10,MATCH($D75,$A$6:$A$10,0),2)-$R75))</f>
        <v/>
      </c>
      <c r="T75" t="n">
        <v>7</v>
      </c>
      <c r="U75">
        <f>IF(AND($M75&lt;&gt;"",$O75=1,COUNTIFS($M$60:$M$83,$M75,$O$60:$O$83,1)&gt;1),1,0)</f>
        <v/>
      </c>
      <c r="V75">
        <f>IF(AND($O75=1,$P75=0),1,0)</f>
        <v/>
      </c>
    </row>
    <row r="85">
      <c r="A85" s="2" t="inlineStr">
        <is>
          <t>BASE summary</t>
        </is>
      </c>
    </row>
    <row r="86">
      <c r="A86" s="6" t="inlineStr">
        <is>
          <t>metric</t>
        </is>
      </c>
      <c r="B86" s="6" t="inlineStr">
        <is>
          <t>value</t>
        </is>
      </c>
      <c r="C86" s="6" t="inlineStr">
        <is>
          <t>check</t>
        </is>
      </c>
    </row>
    <row r="87">
      <c r="A87" t="inlineStr">
        <is>
          <t>actions selected</t>
        </is>
      </c>
      <c r="B87">
        <f>SUM($O$60:$O$83)</f>
        <v/>
      </c>
    </row>
    <row r="88">
      <c r="A88" t="inlineStr">
        <is>
          <t>fixed cost (USD)</t>
        </is>
      </c>
      <c r="B88">
        <f>SUMPRODUCT($O$60:$O$83,$H$60:$H$83)</f>
        <v/>
      </c>
    </row>
    <row r="89">
      <c r="A89" t="inlineStr">
        <is>
          <t>family gap (units)</t>
        </is>
      </c>
      <c r="B89">
        <f>C$11</f>
        <v/>
      </c>
      <c r="C89" t="inlineStr">
        <is>
          <t>from family gap table</t>
        </is>
      </c>
    </row>
    <row r="90">
      <c r="A90" t="inlineStr">
        <is>
          <t>coverage (units)</t>
        </is>
      </c>
      <c r="B90">
        <f>SUM($S$60:$S$83)</f>
        <v/>
      </c>
    </row>
    <row r="91">
      <c r="A91" t="inlineStr">
        <is>
          <t>residual gap (units)</t>
        </is>
      </c>
      <c r="B91">
        <f>B89-B90</f>
        <v/>
      </c>
      <c r="C91" t="inlineStr">
        <is>
          <t>gap - coverage</t>
        </is>
      </c>
    </row>
    <row r="92">
      <c r="A92" t="inlineStr">
        <is>
          <t>mx violations</t>
        </is>
      </c>
      <c r="B92">
        <f>SUM($U$60:$U$83)</f>
        <v/>
      </c>
      <c r="C92" t="inlineStr">
        <is>
          <t>must be 0</t>
        </is>
      </c>
    </row>
    <row r="93">
      <c r="A93" t="inlineStr">
        <is>
          <t>eligibility violations</t>
        </is>
      </c>
      <c r="B93">
        <f>SUM($V$60:$V$83)</f>
        <v/>
      </c>
      <c r="C93" t="inlineStr">
        <is>
          <t>must be 0</t>
        </is>
      </c>
    </row>
    <row r="94">
      <c r="A94" t="inlineStr">
        <is>
          <t>program start delay (days)</t>
        </is>
      </c>
      <c r="B94">
        <f>IF(SUM($O$60:$O$83)=0,0,SUMPRODUCT(MAX(($O$60:$O$83=1)*$T$60:$T$83)))</f>
        <v/>
      </c>
      <c r="C94" t="inlineStr">
        <is>
          <t>max delay of selected</t>
        </is>
      </c>
    </row>
    <row r="96">
      <c r="A96" s="6" t="inlineStr">
        <is>
          <t>pool</t>
        </is>
      </c>
      <c r="B96" s="6" t="inlineStr">
        <is>
          <t>consumed</t>
        </is>
      </c>
      <c r="C96" s="6" t="inlineStr">
        <is>
          <t>net_capacity</t>
        </is>
      </c>
      <c r="D96" s="6" t="inlineStr">
        <is>
          <t>within_capacity</t>
        </is>
      </c>
    </row>
    <row r="97">
      <c r="A97" t="inlineStr">
        <is>
          <t>BUYER_FTE</t>
        </is>
      </c>
      <c r="B97">
        <f>SUMIFS($Q$60:$Q$83,$I$60:$I$83,$A97)</f>
        <v/>
      </c>
      <c r="C97">
        <f>Site_Constraints!G$19</f>
        <v/>
      </c>
      <c r="D97">
        <f>IF(B97&lt;=C97,1,0)</f>
        <v/>
      </c>
    </row>
    <row r="98">
      <c r="A98" t="inlineStr">
        <is>
          <t>CLINICAL_REVIEW</t>
        </is>
      </c>
      <c r="B98">
        <f>SUMIFS($Q$60:$Q$83,$I$60:$I$83,$A98)</f>
        <v/>
      </c>
      <c r="C98">
        <f>Site_Constraints!G$20</f>
        <v/>
      </c>
      <c r="D98">
        <f>IF(B98&lt;=C98,1,0)</f>
        <v/>
      </c>
    </row>
    <row r="99">
      <c r="A99" t="inlineStr">
        <is>
          <t>COLD_CHAIN_PALLET</t>
        </is>
      </c>
      <c r="B99">
        <f>SUMIFS($Q$60:$Q$83,$I$60:$I$83,$A99)</f>
        <v/>
      </c>
      <c r="C99">
        <f>Site_Constraints!G$21</f>
        <v/>
      </c>
      <c r="D99">
        <f>IF(B99&lt;=C99,1,0)</f>
        <v/>
      </c>
    </row>
    <row r="100">
      <c r="A100" t="inlineStr">
        <is>
          <t>RECEIVING_SLOT</t>
        </is>
      </c>
      <c r="B100">
        <f>SUMIFS($Q$60:$Q$83,$I$60:$I$83,$A100)</f>
        <v/>
      </c>
      <c r="C100">
        <f>Site_Constraints!G$22</f>
        <v/>
      </c>
      <c r="D100">
        <f>IF(B100&lt;=C100,1,0)</f>
        <v/>
      </c>
    </row>
    <row r="101">
      <c r="A101" t="inlineStr">
        <is>
          <t>TRANSFER_VEHICLE</t>
        </is>
      </c>
      <c r="B101">
        <f>SUMIFS($Q$60:$Q$83,$I$60:$I$83,$A101)</f>
        <v/>
      </c>
      <c r="C101">
        <f>Site_Constraints!G$23</f>
        <v/>
      </c>
      <c r="D101">
        <f>IF(B101&lt;=C101,1,0)</f>
        <v/>
      </c>
    </row>
    <row r="102">
      <c r="A102" t="inlineStr">
        <is>
          <t>all pools feasible</t>
        </is>
      </c>
      <c r="B102">
        <f>SUM($D$97:$D$101)</f>
        <v/>
      </c>
      <c r="C102" t="inlineStr">
        <is>
          <t>must equal 5</t>
        </is>
      </c>
    </row>
    <row r="103">
      <c r="A103" s="2" t="inlineStr">
        <is>
          <t>Scenario: UPSIDE</t>
        </is>
      </c>
    </row>
    <row r="104">
      <c r="A104" s="6" t="inlineStr">
        <is>
          <t>priority</t>
        </is>
      </c>
      <c r="B104" s="6" t="inlineStr">
        <is>
          <t>action_id</t>
        </is>
      </c>
      <c r="C104" s="6" t="inlineStr">
        <is>
          <t>eligible_family</t>
        </is>
      </c>
      <c r="D104" s="6" t="inlineStr">
        <is>
          <t>target_family</t>
        </is>
      </c>
      <c r="E104" s="6" t="inlineStr">
        <is>
          <t>lever</t>
        </is>
      </c>
      <c r="F104" s="6" t="inlineStr">
        <is>
          <t>grade</t>
        </is>
      </c>
      <c r="G104" s="6" t="inlineStr">
        <is>
          <t>provided_units</t>
        </is>
      </c>
      <c r="H104" s="6" t="inlineStr">
        <is>
          <t>fixed_cost_usd</t>
        </is>
      </c>
      <c r="I104" s="6" t="inlineStr">
        <is>
          <t>pool</t>
        </is>
      </c>
      <c r="J104" s="6" t="inlineStr">
        <is>
          <t>capacity_units</t>
        </is>
      </c>
      <c r="K104" s="6" t="inlineStr">
        <is>
          <t>overlap_group</t>
        </is>
      </c>
      <c r="L104" s="6" t="inlineStr">
        <is>
          <t>shared_frac</t>
        </is>
      </c>
      <c r="M104" s="6" t="inlineStr">
        <is>
          <t>mx_group</t>
        </is>
      </c>
      <c r="N104" s="6" t="inlineStr">
        <is>
          <t>dependency_group</t>
        </is>
      </c>
      <c r="O104" s="6" t="inlineStr">
        <is>
          <t>selected (edit 0/1)</t>
        </is>
      </c>
      <c r="P104" s="6" t="inlineStr">
        <is>
          <t>eligible?</t>
        </is>
      </c>
      <c r="Q104" s="6" t="inlineStr">
        <is>
          <t>eff_capacity</t>
        </is>
      </c>
      <c r="R104" s="6" t="inlineStr">
        <is>
          <t>prior_coverage_tgt</t>
        </is>
      </c>
      <c r="S104" s="6" t="inlineStr">
        <is>
          <t>coverage_units</t>
        </is>
      </c>
      <c r="T104" s="6" t="inlineStr">
        <is>
          <t>start_delay_days</t>
        </is>
      </c>
      <c r="U104" s="6" t="inlineStr">
        <is>
          <t>mx_violation</t>
        </is>
      </c>
      <c r="V104" s="6" t="inlineStr">
        <is>
          <t>elig_violation</t>
        </is>
      </c>
    </row>
    <row r="105">
      <c r="A105" t="n">
        <v>1</v>
      </c>
      <c r="B105" t="inlineStr">
        <is>
          <t>SAC-013</t>
        </is>
      </c>
      <c r="C105" t="inlineStr">
        <is>
          <t>vascular</t>
        </is>
      </c>
      <c r="D105" t="inlineStr">
        <is>
          <t>vascular</t>
        </is>
      </c>
      <c r="E105" t="inlineStr">
        <is>
          <t>expedite receipt</t>
        </is>
      </c>
      <c r="F105" t="inlineStr">
        <is>
          <t>A</t>
        </is>
      </c>
      <c r="G105" t="n">
        <v>32.4</v>
      </c>
      <c r="H105" t="n">
        <v>1200</v>
      </c>
      <c r="I105" t="inlineStr">
        <is>
          <t>RECEIVING_SLOT</t>
        </is>
      </c>
      <c r="J105" t="n">
        <v>0.5</v>
      </c>
      <c r="K105" t="inlineStr">
        <is>
          <t>OV-3</t>
        </is>
      </c>
      <c r="L105" t="n">
        <v>0</v>
      </c>
      <c r="N105" t="inlineStr">
        <is>
          <t>DG-1</t>
        </is>
      </c>
      <c r="O105" s="5" t="n">
        <v>1</v>
      </c>
      <c r="P105">
        <f>INDEX(Action_Catalog!$S$4:$S$27,MATCH($B105,Action_Catalog!$A$4:$A$27,0))</f>
        <v/>
      </c>
      <c r="Q105">
        <f>$O105*$J105*IF(COUNTIFS($K$105:$K105,$K105,$O$105:$O105,1)&gt;1,1-$L105,1)</f>
        <v/>
      </c>
      <c r="R105">
        <f>SUMIFS($S$104:$S104,$D$104:$D104,$D105)</f>
        <v/>
      </c>
      <c r="S105">
        <f>$O105*MIN($G105,MAX(0,INDEX($B$6:$D$10,MATCH($D105,$A$6:$A$10,0),3)-$R105))</f>
        <v/>
      </c>
      <c r="T105" t="n">
        <v>1</v>
      </c>
      <c r="U105">
        <f>IF(AND($M105&lt;&gt;"",$O105=1,COUNTIFS($M$105:$M$128,$M105,$O$105:$O$128,1)&gt;1),1,0)</f>
        <v/>
      </c>
      <c r="V105">
        <f>IF(AND($O105=1,$P105=0),1,0)</f>
        <v/>
      </c>
    </row>
    <row r="106">
      <c r="A106" t="n">
        <v>2</v>
      </c>
      <c r="B106" t="inlineStr">
        <is>
          <t>SAC-010</t>
        </is>
      </c>
      <c r="C106" t="inlineStr">
        <is>
          <t>diagnostic</t>
        </is>
      </c>
      <c r="D106" t="inlineStr">
        <is>
          <t>diagnostic</t>
        </is>
      </c>
      <c r="E106" t="inlineStr">
        <is>
          <t>site transfer</t>
        </is>
      </c>
      <c r="F106" t="inlineStr">
        <is>
          <t>A</t>
        </is>
      </c>
      <c r="G106" t="n">
        <v>60.8</v>
      </c>
      <c r="H106" t="n">
        <v>4500</v>
      </c>
      <c r="I106" t="inlineStr">
        <is>
          <t>TRANSFER_VEHICLE</t>
        </is>
      </c>
      <c r="J106" t="n">
        <v>1</v>
      </c>
      <c r="K106" t="inlineStr">
        <is>
          <t>OV-5</t>
        </is>
      </c>
      <c r="L106" t="n">
        <v>0.2</v>
      </c>
      <c r="N106" t="inlineStr">
        <is>
          <t>DG-4</t>
        </is>
      </c>
      <c r="O106" s="5" t="n">
        <v>1</v>
      </c>
      <c r="P106">
        <f>INDEX(Action_Catalog!$S$4:$S$27,MATCH($B106,Action_Catalog!$A$4:$A$27,0))</f>
        <v/>
      </c>
      <c r="Q106">
        <f>$O106*$J106*IF(COUNTIFS($K$105:$K106,$K106,$O$105:$O106,1)&gt;1,1-$L106,1)</f>
        <v/>
      </c>
      <c r="R106">
        <f>SUMIFS($S$104:$S105,$D$104:$D105,$D106)</f>
        <v/>
      </c>
      <c r="S106">
        <f>$O106*MIN($G106,MAX(0,INDEX($B$6:$D$10,MATCH($D106,$A$6:$A$10,0),3)-$R106))</f>
        <v/>
      </c>
      <c r="T106" t="n">
        <v>3</v>
      </c>
      <c r="U106">
        <f>IF(AND($M106&lt;&gt;"",$O106=1,COUNTIFS($M$105:$M$128,$M106,$O$105:$O$128,1)&gt;1),1,0)</f>
        <v/>
      </c>
      <c r="V106">
        <f>IF(AND($O106=1,$P106=0),1,0)</f>
        <v/>
      </c>
    </row>
    <row r="107">
      <c r="A107" t="n">
        <v>3</v>
      </c>
      <c r="B107" t="inlineStr">
        <is>
          <t>SAC-001</t>
        </is>
      </c>
      <c r="C107" t="inlineStr">
        <is>
          <t>vascular</t>
        </is>
      </c>
      <c r="D107" t="inlineStr">
        <is>
          <t>vascular</t>
        </is>
      </c>
      <c r="E107" t="inlineStr">
        <is>
          <t>expedite receipt</t>
        </is>
      </c>
      <c r="F107" t="inlineStr">
        <is>
          <t>A</t>
        </is>
      </c>
      <c r="G107" t="n">
        <v>16.2</v>
      </c>
      <c r="H107" t="n">
        <v>1200</v>
      </c>
      <c r="I107" t="inlineStr">
        <is>
          <t>BUYER_FTE</t>
        </is>
      </c>
      <c r="J107" t="n">
        <v>0.5</v>
      </c>
      <c r="K107" t="inlineStr">
        <is>
          <t>OV-1</t>
        </is>
      </c>
      <c r="L107" t="n">
        <v>0</v>
      </c>
      <c r="M107" t="inlineStr">
        <is>
          <t>MX-1</t>
        </is>
      </c>
      <c r="N107" t="inlineStr">
        <is>
          <t>DG-1</t>
        </is>
      </c>
      <c r="O107" s="5" t="n">
        <v>1</v>
      </c>
      <c r="P107">
        <f>INDEX(Action_Catalog!$S$4:$S$27,MATCH($B107,Action_Catalog!$A$4:$A$27,0))</f>
        <v/>
      </c>
      <c r="Q107">
        <f>$O107*$J107*IF(COUNTIFS($K$105:$K107,$K107,$O$105:$O107,1)&gt;1,1-$L107,1)</f>
        <v/>
      </c>
      <c r="R107">
        <f>SUMIFS($S$104:$S106,$D$104:$D106,$D107)</f>
        <v/>
      </c>
      <c r="S107">
        <f>$O107*MIN($G107,MAX(0,INDEX($B$6:$D$10,MATCH($D107,$A$6:$A$10,0),3)-$R107))</f>
        <v/>
      </c>
      <c r="T107" t="n">
        <v>1</v>
      </c>
      <c r="U107">
        <f>IF(AND($M107&lt;&gt;"",$O107=1,COUNTIFS($M$105:$M$128,$M107,$O$105:$O$128,1)&gt;1),1,0)</f>
        <v/>
      </c>
      <c r="V107">
        <f>IF(AND($O107=1,$P107=0),1,0)</f>
        <v/>
      </c>
    </row>
    <row r="108">
      <c r="A108" t="n">
        <v>4</v>
      </c>
      <c r="B108" t="inlineStr">
        <is>
          <t>SAC-022</t>
        </is>
      </c>
      <c r="C108" t="inlineStr">
        <is>
          <t>diagnostic</t>
        </is>
      </c>
      <c r="D108" t="inlineStr">
        <is>
          <t>diagnostic</t>
        </is>
      </c>
      <c r="E108" t="inlineStr">
        <is>
          <t>site transfer</t>
        </is>
      </c>
      <c r="F108" t="inlineStr">
        <is>
          <t>A</t>
        </is>
      </c>
      <c r="G108" t="n">
        <v>24.3</v>
      </c>
      <c r="H108" t="n">
        <v>4500</v>
      </c>
      <c r="I108" t="inlineStr">
        <is>
          <t>COLD_CHAIN_PALLET</t>
        </is>
      </c>
      <c r="J108" t="n">
        <v>1</v>
      </c>
      <c r="K108" t="inlineStr">
        <is>
          <t>OV-2</t>
        </is>
      </c>
      <c r="L108" t="n">
        <v>0.2</v>
      </c>
      <c r="N108" t="inlineStr">
        <is>
          <t>DG-4</t>
        </is>
      </c>
      <c r="O108" s="5" t="n">
        <v>1</v>
      </c>
      <c r="P108">
        <f>INDEX(Action_Catalog!$S$4:$S$27,MATCH($B108,Action_Catalog!$A$4:$A$27,0))</f>
        <v/>
      </c>
      <c r="Q108">
        <f>$O108*$J108*IF(COUNTIFS($K$105:$K108,$K108,$O$105:$O108,1)&gt;1,1-$L108,1)</f>
        <v/>
      </c>
      <c r="R108">
        <f>SUMIFS($S$104:$S107,$D$104:$D107,$D108)</f>
        <v/>
      </c>
      <c r="S108">
        <f>$O108*MIN($G108,MAX(0,INDEX($B$6:$D$10,MATCH($D108,$A$6:$A$10,0),3)-$R108))</f>
        <v/>
      </c>
      <c r="T108" t="n">
        <v>3</v>
      </c>
      <c r="U108">
        <f>IF(AND($M108&lt;&gt;"",$O108=1,COUNTIFS($M$105:$M$128,$M108,$O$105:$O$128,1)&gt;1),1,0)</f>
        <v/>
      </c>
      <c r="V108">
        <f>IF(AND($O108=1,$P108=0),1,0)</f>
        <v/>
      </c>
    </row>
    <row r="109">
      <c r="A109" t="n">
        <v>5</v>
      </c>
      <c r="B109" t="inlineStr">
        <is>
          <t>SAC-019</t>
        </is>
      </c>
      <c r="C109" t="inlineStr">
        <is>
          <t>vascular</t>
        </is>
      </c>
      <c r="D109" t="inlineStr">
        <is>
          <t>vascular</t>
        </is>
      </c>
      <c r="E109" t="inlineStr">
        <is>
          <t>supplier substitution</t>
        </is>
      </c>
      <c r="F109" t="inlineStr">
        <is>
          <t>A</t>
        </is>
      </c>
      <c r="G109" t="n">
        <v>43.2</v>
      </c>
      <c r="H109" t="n">
        <v>9000</v>
      </c>
      <c r="I109" t="inlineStr">
        <is>
          <t>CLINICAL_REVIEW</t>
        </is>
      </c>
      <c r="J109" t="n">
        <v>1.5</v>
      </c>
      <c r="K109" t="inlineStr">
        <is>
          <t>OV-4</t>
        </is>
      </c>
      <c r="L109" t="n">
        <v>0.35</v>
      </c>
      <c r="N109" t="inlineStr">
        <is>
          <t>DG-1</t>
        </is>
      </c>
      <c r="O109" s="5" t="n">
        <v>1</v>
      </c>
      <c r="P109">
        <f>INDEX(Action_Catalog!$S$4:$S$27,MATCH($B109,Action_Catalog!$A$4:$A$27,0))</f>
        <v/>
      </c>
      <c r="Q109">
        <f>$O109*$J109*IF(COUNTIFS($K$105:$K109,$K109,$O$105:$O109,1)&gt;1,1-$L109,1)</f>
        <v/>
      </c>
      <c r="R109">
        <f>SUMIFS($S$104:$S108,$D$104:$D108,$D109)</f>
        <v/>
      </c>
      <c r="S109">
        <f>$O109*MIN($G109,MAX(0,INDEX($B$6:$D$10,MATCH($D109,$A$6:$A$10,0),3)-$R109))</f>
        <v/>
      </c>
      <c r="T109" t="n">
        <v>7</v>
      </c>
      <c r="U109">
        <f>IF(AND($M109&lt;&gt;"",$O109=1,COUNTIFS($M$105:$M$128,$M109,$O$105:$O$128,1)&gt;1),1,0)</f>
        <v/>
      </c>
      <c r="V109">
        <f>IF(AND($O109=1,$P109=0),1,0)</f>
        <v/>
      </c>
    </row>
    <row r="110">
      <c r="A110" t="n">
        <v>6</v>
      </c>
      <c r="B110" t="inlineStr">
        <is>
          <t>SAC-007</t>
        </is>
      </c>
      <c r="C110" t="inlineStr">
        <is>
          <t>vascular</t>
        </is>
      </c>
      <c r="D110" t="inlineStr">
        <is>
          <t>vascular</t>
        </is>
      </c>
      <c r="E110" t="inlineStr">
        <is>
          <t>supplier substitution</t>
        </is>
      </c>
      <c r="F110" t="inlineStr">
        <is>
          <t>A</t>
        </is>
      </c>
      <c r="G110" t="n">
        <v>24.3</v>
      </c>
      <c r="H110" t="n">
        <v>9000</v>
      </c>
      <c r="I110" t="inlineStr">
        <is>
          <t>COLD_CHAIN_PALLET</t>
        </is>
      </c>
      <c r="J110" t="n">
        <v>1.5</v>
      </c>
      <c r="K110" t="inlineStr">
        <is>
          <t>OV-2</t>
        </is>
      </c>
      <c r="L110" t="n">
        <v>0.35</v>
      </c>
      <c r="N110" t="inlineStr">
        <is>
          <t>DG-1</t>
        </is>
      </c>
      <c r="O110" s="5" t="n">
        <v>1</v>
      </c>
      <c r="P110">
        <f>INDEX(Action_Catalog!$S$4:$S$27,MATCH($B110,Action_Catalog!$A$4:$A$27,0))</f>
        <v/>
      </c>
      <c r="Q110">
        <f>$O110*$J110*IF(COUNTIFS($K$105:$K110,$K110,$O$105:$O110,1)&gt;1,1-$L110,1)</f>
        <v/>
      </c>
      <c r="R110">
        <f>SUMIFS($S$104:$S109,$D$104:$D109,$D110)</f>
        <v/>
      </c>
      <c r="S110">
        <f>$O110*MIN($G110,MAX(0,INDEX($B$6:$D$10,MATCH($D110,$A$6:$A$10,0),3)-$R110))</f>
        <v/>
      </c>
      <c r="T110" t="n">
        <v>7</v>
      </c>
      <c r="U110">
        <f>IF(AND($M110&lt;&gt;"",$O110=1,COUNTIFS($M$105:$M$128,$M110,$O$105:$O$128,1)&gt;1),1,0)</f>
        <v/>
      </c>
      <c r="V110">
        <f>IF(AND($O110=1,$P110=0),1,0)</f>
        <v/>
      </c>
    </row>
    <row r="111">
      <c r="A111" t="n">
        <v>7</v>
      </c>
      <c r="B111" t="inlineStr">
        <is>
          <t>SAC-004</t>
        </is>
      </c>
      <c r="C111" t="inlineStr">
        <is>
          <t>diagnostic</t>
        </is>
      </c>
      <c r="D111" t="inlineStr">
        <is>
          <t>diagnostic</t>
        </is>
      </c>
      <c r="E111" t="inlineStr">
        <is>
          <t>allocation hold</t>
        </is>
      </c>
      <c r="F111" t="inlineStr">
        <is>
          <t>A</t>
        </is>
      </c>
      <c r="G111" t="n">
        <v>43.2</v>
      </c>
      <c r="H111" t="n">
        <v>18000</v>
      </c>
      <c r="I111" t="inlineStr">
        <is>
          <t>CLINICAL_REVIEW</t>
        </is>
      </c>
      <c r="J111" t="n">
        <v>2</v>
      </c>
      <c r="K111" t="inlineStr">
        <is>
          <t>OV-4</t>
        </is>
      </c>
      <c r="L111" t="n">
        <v>0.5</v>
      </c>
      <c r="N111" t="inlineStr">
        <is>
          <t>DG-4</t>
        </is>
      </c>
      <c r="O111" s="5" t="n">
        <v>1</v>
      </c>
      <c r="P111">
        <f>INDEX(Action_Catalog!$S$4:$S$27,MATCH($B111,Action_Catalog!$A$4:$A$27,0))</f>
        <v/>
      </c>
      <c r="Q111">
        <f>$O111*$J111*IF(COUNTIFS($K$105:$K111,$K111,$O$105:$O111,1)&gt;1,1-$L111,1)</f>
        <v/>
      </c>
      <c r="R111">
        <f>SUMIFS($S$104:$S110,$D$104:$D110,$D111)</f>
        <v/>
      </c>
      <c r="S111">
        <f>$O111*MIN($G111,MAX(0,INDEX($B$6:$D$10,MATCH($D111,$A$6:$A$10,0),3)-$R111))</f>
        <v/>
      </c>
      <c r="T111" t="n">
        <v>14</v>
      </c>
      <c r="U111">
        <f>IF(AND($M111&lt;&gt;"",$O111=1,COUNTIFS($M$105:$M$128,$M111,$O$105:$O$128,1)&gt;1),1,0)</f>
        <v/>
      </c>
      <c r="V111">
        <f>IF(AND($O111=1,$P111=0),1,0)</f>
        <v/>
      </c>
    </row>
    <row r="112">
      <c r="A112" t="n">
        <v>8</v>
      </c>
      <c r="B112" t="inlineStr">
        <is>
          <t>SAC-016</t>
        </is>
      </c>
      <c r="C112" t="inlineStr">
        <is>
          <t>diagnostic</t>
        </is>
      </c>
      <c r="D112" t="inlineStr">
        <is>
          <t>diagnostic</t>
        </is>
      </c>
      <c r="E112" t="inlineStr">
        <is>
          <t>allocation hold</t>
        </is>
      </c>
      <c r="F112" t="inlineStr">
        <is>
          <t>A</t>
        </is>
      </c>
      <c r="G112" t="n">
        <v>16.2</v>
      </c>
      <c r="H112" t="n">
        <v>18000</v>
      </c>
      <c r="I112" t="inlineStr">
        <is>
          <t>BUYER_FTE</t>
        </is>
      </c>
      <c r="J112" t="n">
        <v>2</v>
      </c>
      <c r="K112" t="inlineStr">
        <is>
          <t>OV-1</t>
        </is>
      </c>
      <c r="L112" t="n">
        <v>0.5</v>
      </c>
      <c r="M112" t="inlineStr">
        <is>
          <t>MX-4</t>
        </is>
      </c>
      <c r="N112" t="inlineStr">
        <is>
          <t>DG-4</t>
        </is>
      </c>
      <c r="O112" s="5" t="n">
        <v>1</v>
      </c>
      <c r="P112">
        <f>INDEX(Action_Catalog!$S$4:$S$27,MATCH($B112,Action_Catalog!$A$4:$A$27,0))</f>
        <v/>
      </c>
      <c r="Q112">
        <f>$O112*$J112*IF(COUNTIFS($K$105:$K112,$K112,$O$105:$O112,1)&gt;1,1-$L112,1)</f>
        <v/>
      </c>
      <c r="R112">
        <f>SUMIFS($S$104:$S111,$D$104:$D111,$D112)</f>
        <v/>
      </c>
      <c r="S112">
        <f>$O112*MIN($G112,MAX(0,INDEX($B$6:$D$10,MATCH($D112,$A$6:$A$10,0),3)-$R112))</f>
        <v/>
      </c>
      <c r="T112" t="n">
        <v>14</v>
      </c>
      <c r="U112">
        <f>IF(AND($M112&lt;&gt;"",$O112=1,COUNTIFS($M$105:$M$128,$M112,$O$105:$O$128,1)&gt;1),1,0)</f>
        <v/>
      </c>
      <c r="V112">
        <f>IF(AND($O112=1,$P112=0),1,0)</f>
        <v/>
      </c>
    </row>
    <row r="113">
      <c r="A113" t="n">
        <v>9</v>
      </c>
      <c r="B113" t="inlineStr">
        <is>
          <t>SAC-005</t>
        </is>
      </c>
      <c r="C113" t="inlineStr">
        <is>
          <t>wound</t>
        </is>
      </c>
      <c r="D113" t="inlineStr">
        <is>
          <t>wound</t>
        </is>
      </c>
      <c r="E113" t="inlineStr">
        <is>
          <t>expedite receipt</t>
        </is>
      </c>
      <c r="F113" t="inlineStr">
        <is>
          <t>B</t>
        </is>
      </c>
      <c r="G113" t="n">
        <v>60.8</v>
      </c>
      <c r="H113" t="n">
        <v>1200</v>
      </c>
      <c r="I113" t="inlineStr">
        <is>
          <t>TRANSFER_VEHICLE</t>
        </is>
      </c>
      <c r="J113" t="n">
        <v>0.5</v>
      </c>
      <c r="K113" t="inlineStr">
        <is>
          <t>OV-5</t>
        </is>
      </c>
      <c r="L113" t="n">
        <v>0</v>
      </c>
      <c r="N113" t="inlineStr">
        <is>
          <t>DG-5</t>
        </is>
      </c>
      <c r="O113" s="5" t="n">
        <v>1</v>
      </c>
      <c r="P113">
        <f>INDEX(Action_Catalog!$S$4:$S$27,MATCH($B113,Action_Catalog!$A$4:$A$27,0))</f>
        <v/>
      </c>
      <c r="Q113">
        <f>$O113*$J113*IF(COUNTIFS($K$105:$K113,$K113,$O$105:$O113,1)&gt;1,1-$L113,1)</f>
        <v/>
      </c>
      <c r="R113">
        <f>SUMIFS($S$104:$S112,$D$104:$D112,$D113)</f>
        <v/>
      </c>
      <c r="S113">
        <f>$O113*MIN($G113,MAX(0,INDEX($B$6:$D$10,MATCH($D113,$A$6:$A$10,0),3)-$R113))</f>
        <v/>
      </c>
      <c r="T113" t="n">
        <v>1</v>
      </c>
      <c r="U113">
        <f>IF(AND($M113&lt;&gt;"",$O113=1,COUNTIFS($M$105:$M$128,$M113,$O$105:$O$128,1)&gt;1),1,0)</f>
        <v/>
      </c>
      <c r="V113">
        <f>IF(AND($O113=1,$P113=0),1,0)</f>
        <v/>
      </c>
    </row>
    <row r="114">
      <c r="A114" t="n">
        <v>10</v>
      </c>
      <c r="B114" t="inlineStr">
        <is>
          <t>SAC-017</t>
        </is>
      </c>
      <c r="C114" t="inlineStr">
        <is>
          <t>wound</t>
        </is>
      </c>
      <c r="D114" t="inlineStr">
        <is>
          <t>wound</t>
        </is>
      </c>
      <c r="E114" t="inlineStr">
        <is>
          <t>expedite receipt</t>
        </is>
      </c>
      <c r="F114" t="inlineStr">
        <is>
          <t>B</t>
        </is>
      </c>
      <c r="G114" t="n">
        <v>24.3</v>
      </c>
      <c r="H114" t="n">
        <v>1200</v>
      </c>
      <c r="I114" t="inlineStr">
        <is>
          <t>COLD_CHAIN_PALLET</t>
        </is>
      </c>
      <c r="J114" t="n">
        <v>0.5</v>
      </c>
      <c r="K114" t="inlineStr">
        <is>
          <t>OV-2</t>
        </is>
      </c>
      <c r="L114" t="n">
        <v>0</v>
      </c>
      <c r="N114" t="inlineStr">
        <is>
          <t>DG-5</t>
        </is>
      </c>
      <c r="O114" s="5" t="n">
        <v>1</v>
      </c>
      <c r="P114">
        <f>INDEX(Action_Catalog!$S$4:$S$27,MATCH($B114,Action_Catalog!$A$4:$A$27,0))</f>
        <v/>
      </c>
      <c r="Q114">
        <f>$O114*$J114*IF(COUNTIFS($K$105:$K114,$K114,$O$105:$O114,1)&gt;1,1-$L114,1)</f>
        <v/>
      </c>
      <c r="R114">
        <f>SUMIFS($S$104:$S113,$D$104:$D113,$D114)</f>
        <v/>
      </c>
      <c r="S114">
        <f>$O114*MIN($G114,MAX(0,INDEX($B$6:$D$10,MATCH($D114,$A$6:$A$10,0),3)-$R114))</f>
        <v/>
      </c>
      <c r="T114" t="n">
        <v>1</v>
      </c>
      <c r="U114">
        <f>IF(AND($M114&lt;&gt;"",$O114=1,COUNTIFS($M$105:$M$128,$M114,$O$105:$O$128,1)&gt;1),1,0)</f>
        <v/>
      </c>
      <c r="V114">
        <f>IF(AND($O114=1,$P114=0),1,0)</f>
        <v/>
      </c>
    </row>
    <row r="115">
      <c r="A115" t="n">
        <v>11</v>
      </c>
      <c r="B115" t="inlineStr">
        <is>
          <t>SAC-014</t>
        </is>
      </c>
      <c r="C115" t="inlineStr">
        <is>
          <t>respiratory</t>
        </is>
      </c>
      <c r="D115" t="inlineStr">
        <is>
          <t>respiratory</t>
        </is>
      </c>
      <c r="E115" t="inlineStr">
        <is>
          <t>site transfer</t>
        </is>
      </c>
      <c r="F115" t="inlineStr">
        <is>
          <t>B</t>
        </is>
      </c>
      <c r="G115" t="n">
        <v>43.2</v>
      </c>
      <c r="H115" t="n">
        <v>4500</v>
      </c>
      <c r="I115" t="inlineStr">
        <is>
          <t>CLINICAL_REVIEW</t>
        </is>
      </c>
      <c r="J115" t="n">
        <v>1</v>
      </c>
      <c r="K115" t="inlineStr">
        <is>
          <t>OV-4</t>
        </is>
      </c>
      <c r="L115" t="n">
        <v>0.2</v>
      </c>
      <c r="N115" t="inlineStr">
        <is>
          <t>DG-2</t>
        </is>
      </c>
      <c r="O115" s="5" t="n">
        <v>1</v>
      </c>
      <c r="P115">
        <f>INDEX(Action_Catalog!$S$4:$S$27,MATCH($B115,Action_Catalog!$A$4:$A$27,0))</f>
        <v/>
      </c>
      <c r="Q115">
        <f>$O115*$J115*IF(COUNTIFS($K$105:$K115,$K115,$O$105:$O115,1)&gt;1,1-$L115,1)</f>
        <v/>
      </c>
      <c r="R115">
        <f>SUMIFS($S$104:$S114,$D$104:$D114,$D115)</f>
        <v/>
      </c>
      <c r="S115">
        <f>$O115*MIN($G115,MAX(0,INDEX($B$6:$D$10,MATCH($D115,$A$6:$A$10,0),3)-$R115))</f>
        <v/>
      </c>
      <c r="T115" t="n">
        <v>3</v>
      </c>
      <c r="U115">
        <f>IF(AND($M115&lt;&gt;"",$O115=1,COUNTIFS($M$105:$M$128,$M115,$O$105:$O$128,1)&gt;1),1,0)</f>
        <v/>
      </c>
      <c r="V115">
        <f>IF(AND($O115=1,$P115=0),1,0)</f>
        <v/>
      </c>
    </row>
    <row r="116">
      <c r="A116" t="n">
        <v>12</v>
      </c>
      <c r="B116" t="inlineStr">
        <is>
          <t>SAC-002</t>
        </is>
      </c>
      <c r="C116" t="inlineStr">
        <is>
          <t>respiratory</t>
        </is>
      </c>
      <c r="D116" t="inlineStr">
        <is>
          <t>respiratory</t>
        </is>
      </c>
      <c r="E116" t="inlineStr">
        <is>
          <t>site transfer</t>
        </is>
      </c>
      <c r="F116" t="inlineStr">
        <is>
          <t>B</t>
        </is>
      </c>
      <c r="G116" t="n">
        <v>24.3</v>
      </c>
      <c r="H116" t="n">
        <v>4500</v>
      </c>
      <c r="I116" t="inlineStr">
        <is>
          <t>COLD_CHAIN_PALLET</t>
        </is>
      </c>
      <c r="J116" t="n">
        <v>1</v>
      </c>
      <c r="K116" t="inlineStr">
        <is>
          <t>OV-2</t>
        </is>
      </c>
      <c r="L116" t="n">
        <v>0.2</v>
      </c>
      <c r="N116" t="inlineStr">
        <is>
          <t>DG-2</t>
        </is>
      </c>
      <c r="O116" s="5" t="n">
        <v>1</v>
      </c>
      <c r="P116">
        <f>INDEX(Action_Catalog!$S$4:$S$27,MATCH($B116,Action_Catalog!$A$4:$A$27,0))</f>
        <v/>
      </c>
      <c r="Q116">
        <f>$O116*$J116*IF(COUNTIFS($K$105:$K116,$K116,$O$105:$O116,1)&gt;1,1-$L116,1)</f>
        <v/>
      </c>
      <c r="R116">
        <f>SUMIFS($S$104:$S115,$D$104:$D115,$D116)</f>
        <v/>
      </c>
      <c r="S116">
        <f>$O116*MIN($G116,MAX(0,INDEX($B$6:$D$10,MATCH($D116,$A$6:$A$10,0),3)-$R116))</f>
        <v/>
      </c>
      <c r="T116" t="n">
        <v>3</v>
      </c>
      <c r="U116">
        <f>IF(AND($M116&lt;&gt;"",$O116=1,COUNTIFS($M$105:$M$128,$M116,$O$105:$O$128,1)&gt;1),1,0)</f>
        <v/>
      </c>
      <c r="V116">
        <f>IF(AND($O116=1,$P116=0),1,0)</f>
        <v/>
      </c>
    </row>
    <row r="117">
      <c r="A117" t="n">
        <v>13</v>
      </c>
      <c r="B117" t="inlineStr">
        <is>
          <t>SAC-023</t>
        </is>
      </c>
      <c r="C117" t="inlineStr">
        <is>
          <t>wound</t>
        </is>
      </c>
      <c r="D117" t="inlineStr">
        <is>
          <t>wound</t>
        </is>
      </c>
      <c r="E117" t="inlineStr">
        <is>
          <t>supplier substitution</t>
        </is>
      </c>
      <c r="F117" t="inlineStr">
        <is>
          <t>B</t>
        </is>
      </c>
      <c r="G117" t="n">
        <v>32.4</v>
      </c>
      <c r="H117" t="n">
        <v>9000</v>
      </c>
      <c r="I117" t="inlineStr">
        <is>
          <t>RECEIVING_SLOT</t>
        </is>
      </c>
      <c r="J117" t="n">
        <v>1.5</v>
      </c>
      <c r="K117" t="inlineStr">
        <is>
          <t>OV-3</t>
        </is>
      </c>
      <c r="L117" t="n">
        <v>0.35</v>
      </c>
      <c r="N117" t="inlineStr">
        <is>
          <t>DG-5</t>
        </is>
      </c>
      <c r="O117" s="5" t="n">
        <v>1</v>
      </c>
      <c r="P117">
        <f>INDEX(Action_Catalog!$S$4:$S$27,MATCH($B117,Action_Catalog!$A$4:$A$27,0))</f>
        <v/>
      </c>
      <c r="Q117">
        <f>$O117*$J117*IF(COUNTIFS($K$105:$K117,$K117,$O$105:$O117,1)&gt;1,1-$L117,1)</f>
        <v/>
      </c>
      <c r="R117">
        <f>SUMIFS($S$104:$S116,$D$104:$D116,$D117)</f>
        <v/>
      </c>
      <c r="S117">
        <f>$O117*MIN($G117,MAX(0,INDEX($B$6:$D$10,MATCH($D117,$A$6:$A$10,0),3)-$R117))</f>
        <v/>
      </c>
      <c r="T117" t="n">
        <v>7</v>
      </c>
      <c r="U117">
        <f>IF(AND($M117&lt;&gt;"",$O117=1,COUNTIFS($M$105:$M$128,$M117,$O$105:$O$128,1)&gt;1),1,0)</f>
        <v/>
      </c>
      <c r="V117">
        <f>IF(AND($O117=1,$P117=0),1,0)</f>
        <v/>
      </c>
    </row>
    <row r="118">
      <c r="A118" t="n">
        <v>14</v>
      </c>
      <c r="B118" t="inlineStr">
        <is>
          <t>SAC-020</t>
        </is>
      </c>
      <c r="C118" t="inlineStr">
        <is>
          <t>respiratory</t>
        </is>
      </c>
      <c r="D118" t="inlineStr">
        <is>
          <t>respiratory</t>
        </is>
      </c>
      <c r="E118" t="inlineStr">
        <is>
          <t>allocation hold</t>
        </is>
      </c>
      <c r="F118" t="inlineStr">
        <is>
          <t>B</t>
        </is>
      </c>
      <c r="G118" t="n">
        <v>60.8</v>
      </c>
      <c r="H118" t="n">
        <v>18000</v>
      </c>
      <c r="I118" t="inlineStr">
        <is>
          <t>TRANSFER_VEHICLE</t>
        </is>
      </c>
      <c r="J118" t="n">
        <v>2</v>
      </c>
      <c r="K118" t="inlineStr">
        <is>
          <t>OV-5</t>
        </is>
      </c>
      <c r="L118" t="n">
        <v>0.5</v>
      </c>
      <c r="N118" t="inlineStr">
        <is>
          <t>DG-2</t>
        </is>
      </c>
      <c r="O118" s="5" t="n">
        <v>1</v>
      </c>
      <c r="P118">
        <f>INDEX(Action_Catalog!$S$4:$S$27,MATCH($B118,Action_Catalog!$A$4:$A$27,0))</f>
        <v/>
      </c>
      <c r="Q118">
        <f>$O118*$J118*IF(COUNTIFS($K$105:$K118,$K118,$O$105:$O118,1)&gt;1,1-$L118,1)</f>
        <v/>
      </c>
      <c r="R118">
        <f>SUMIFS($S$104:$S117,$D$104:$D117,$D118)</f>
        <v/>
      </c>
      <c r="S118">
        <f>$O118*MIN($G118,MAX(0,INDEX($B$6:$D$10,MATCH($D118,$A$6:$A$10,0),3)-$R118))</f>
        <v/>
      </c>
      <c r="T118" t="n">
        <v>14</v>
      </c>
      <c r="U118">
        <f>IF(AND($M118&lt;&gt;"",$O118=1,COUNTIFS($M$105:$M$128,$M118,$O$105:$O$128,1)&gt;1),1,0)</f>
        <v/>
      </c>
      <c r="V118">
        <f>IF(AND($O118=1,$P118=0),1,0)</f>
        <v/>
      </c>
    </row>
    <row r="119">
      <c r="A119" t="n">
        <v>15</v>
      </c>
      <c r="B119" t="inlineStr">
        <is>
          <t>SAC-008</t>
        </is>
      </c>
      <c r="C119" t="inlineStr">
        <is>
          <t>respiratory</t>
        </is>
      </c>
      <c r="D119" t="inlineStr">
        <is>
          <t>respiratory</t>
        </is>
      </c>
      <c r="E119" t="inlineStr">
        <is>
          <t>allocation hold</t>
        </is>
      </c>
      <c r="F119" t="inlineStr">
        <is>
          <t>B</t>
        </is>
      </c>
      <c r="G119" t="n">
        <v>32.4</v>
      </c>
      <c r="H119" t="n">
        <v>18000</v>
      </c>
      <c r="I119" t="inlineStr">
        <is>
          <t>RECEIVING_SLOT</t>
        </is>
      </c>
      <c r="J119" t="n">
        <v>2</v>
      </c>
      <c r="K119" t="inlineStr">
        <is>
          <t>OV-3</t>
        </is>
      </c>
      <c r="L119" t="n">
        <v>0.5</v>
      </c>
      <c r="N119" t="inlineStr">
        <is>
          <t>DG-2</t>
        </is>
      </c>
      <c r="O119" s="5" t="n">
        <v>1</v>
      </c>
      <c r="P119">
        <f>INDEX(Action_Catalog!$S$4:$S$27,MATCH($B119,Action_Catalog!$A$4:$A$27,0))</f>
        <v/>
      </c>
      <c r="Q119">
        <f>$O119*$J119*IF(COUNTIFS($K$105:$K119,$K119,$O$105:$O119,1)&gt;1,1-$L119,1)</f>
        <v/>
      </c>
      <c r="R119">
        <f>SUMIFS($S$104:$S118,$D$104:$D118,$D119)</f>
        <v/>
      </c>
      <c r="S119">
        <f>$O119*MIN($G119,MAX(0,INDEX($B$6:$D$10,MATCH($D119,$A$6:$A$10,0),3)-$R119))</f>
        <v/>
      </c>
      <c r="T119" t="n">
        <v>14</v>
      </c>
      <c r="U119">
        <f>IF(AND($M119&lt;&gt;"",$O119=1,COUNTIFS($M$105:$M$128,$M119,$O$105:$O$128,1)&gt;1),1,0)</f>
        <v/>
      </c>
      <c r="V119">
        <f>IF(AND($O119=1,$P119=0),1,0)</f>
        <v/>
      </c>
    </row>
    <row r="120">
      <c r="A120" t="n">
        <v>16</v>
      </c>
      <c r="B120" t="inlineStr">
        <is>
          <t>SAC-011</t>
        </is>
      </c>
      <c r="C120" t="inlineStr">
        <is>
          <t>wound</t>
        </is>
      </c>
      <c r="D120" t="inlineStr">
        <is>
          <t>wound</t>
        </is>
      </c>
      <c r="E120" t="inlineStr">
        <is>
          <t>supplier substitution</t>
        </is>
      </c>
      <c r="F120" t="inlineStr">
        <is>
          <t>B</t>
        </is>
      </c>
      <c r="G120" t="n">
        <v>16.2</v>
      </c>
      <c r="H120" t="n">
        <v>9000</v>
      </c>
      <c r="I120" t="inlineStr">
        <is>
          <t>BUYER_FTE</t>
        </is>
      </c>
      <c r="J120" t="n">
        <v>1.5</v>
      </c>
      <c r="K120" t="inlineStr">
        <is>
          <t>OV-1</t>
        </is>
      </c>
      <c r="L120" t="n">
        <v>0.35</v>
      </c>
      <c r="M120" t="inlineStr">
        <is>
          <t>MX-3</t>
        </is>
      </c>
      <c r="N120" t="inlineStr">
        <is>
          <t>DG-5</t>
        </is>
      </c>
      <c r="O120" s="5" t="n">
        <v>1</v>
      </c>
      <c r="P120">
        <f>INDEX(Action_Catalog!$S$4:$S$27,MATCH($B120,Action_Catalog!$A$4:$A$27,0))</f>
        <v/>
      </c>
      <c r="Q120">
        <f>$O120*$J120*IF(COUNTIFS($K$105:$K120,$K120,$O$105:$O120,1)&gt;1,1-$L120,1)</f>
        <v/>
      </c>
      <c r="R120">
        <f>SUMIFS($S$104:$S119,$D$104:$D119,$D120)</f>
        <v/>
      </c>
      <c r="S120">
        <f>$O120*MIN($G120,MAX(0,INDEX($B$6:$D$10,MATCH($D120,$A$6:$A$10,0),3)-$R120))</f>
        <v/>
      </c>
      <c r="T120" t="n">
        <v>7</v>
      </c>
      <c r="U120">
        <f>IF(AND($M120&lt;&gt;"",$O120=1,COUNTIFS($M$105:$M$128,$M120,$O$105:$O$128,1)&gt;1),1,0)</f>
        <v/>
      </c>
      <c r="V120">
        <f>IF(AND($O120=1,$P120=0),1,0)</f>
        <v/>
      </c>
    </row>
    <row r="121">
      <c r="A121" t="n">
        <v>17</v>
      </c>
      <c r="B121" t="inlineStr">
        <is>
          <t>SAC-009</t>
        </is>
      </c>
      <c r="C121" t="inlineStr">
        <is>
          <t>surgical</t>
        </is>
      </c>
      <c r="D121" t="inlineStr">
        <is>
          <t>surgical</t>
        </is>
      </c>
      <c r="E121" t="inlineStr">
        <is>
          <t>expedite receipt</t>
        </is>
      </c>
      <c r="F121" t="inlineStr">
        <is>
          <t>C</t>
        </is>
      </c>
      <c r="G121" t="n">
        <v>43.2</v>
      </c>
      <c r="H121" t="n">
        <v>1200</v>
      </c>
      <c r="I121" t="inlineStr">
        <is>
          <t>CLINICAL_REVIEW</t>
        </is>
      </c>
      <c r="J121" t="n">
        <v>0.5</v>
      </c>
      <c r="K121" t="inlineStr">
        <is>
          <t>OV-4</t>
        </is>
      </c>
      <c r="L121" t="n">
        <v>0</v>
      </c>
      <c r="N121" t="inlineStr">
        <is>
          <t>DG-3</t>
        </is>
      </c>
      <c r="O121" s="5" t="n">
        <v>1</v>
      </c>
      <c r="P121">
        <f>INDEX(Action_Catalog!$S$4:$S$27,MATCH($B121,Action_Catalog!$A$4:$A$27,0))</f>
        <v/>
      </c>
      <c r="Q121">
        <f>$O121*$J121*IF(COUNTIFS($K$105:$K121,$K121,$O$105:$O121,1)&gt;1,1-$L121,1)</f>
        <v/>
      </c>
      <c r="R121">
        <f>SUMIFS($S$104:$S120,$D$104:$D120,$D121)</f>
        <v/>
      </c>
      <c r="S121">
        <f>$O121*MIN($G121,MAX(0,INDEX($B$6:$D$10,MATCH($D121,$A$6:$A$10,0),3)-$R121))</f>
        <v/>
      </c>
      <c r="T121" t="n">
        <v>1</v>
      </c>
      <c r="U121">
        <f>IF(AND($M121&lt;&gt;"",$O121=1,COUNTIFS($M$105:$M$128,$M121,$O$105:$O$128,1)&gt;1),1,0)</f>
        <v/>
      </c>
      <c r="V121">
        <f>IF(AND($O121=1,$P121=0),1,0)</f>
        <v/>
      </c>
    </row>
    <row r="122">
      <c r="A122" t="n">
        <v>18</v>
      </c>
      <c r="B122" t="inlineStr">
        <is>
          <t>SAC-021</t>
        </is>
      </c>
      <c r="C122" t="inlineStr">
        <is>
          <t>surgical</t>
        </is>
      </c>
      <c r="D122" t="inlineStr">
        <is>
          <t>surgical</t>
        </is>
      </c>
      <c r="E122" t="inlineStr">
        <is>
          <t>expedite receipt</t>
        </is>
      </c>
      <c r="F122" t="inlineStr">
        <is>
          <t>C</t>
        </is>
      </c>
      <c r="G122" t="n">
        <v>16.2</v>
      </c>
      <c r="H122" t="n">
        <v>1200</v>
      </c>
      <c r="I122" t="inlineStr">
        <is>
          <t>BUYER_FTE</t>
        </is>
      </c>
      <c r="J122" t="n">
        <v>0.5</v>
      </c>
      <c r="K122" t="inlineStr">
        <is>
          <t>OV-1</t>
        </is>
      </c>
      <c r="L122" t="n">
        <v>0</v>
      </c>
      <c r="M122" t="inlineStr">
        <is>
          <t>MX-1</t>
        </is>
      </c>
      <c r="N122" t="inlineStr">
        <is>
          <t>DG-3</t>
        </is>
      </c>
      <c r="O122" s="5" t="n">
        <v>0</v>
      </c>
      <c r="P122">
        <f>INDEX(Action_Catalog!$S$4:$S$27,MATCH($B122,Action_Catalog!$A$4:$A$27,0))</f>
        <v/>
      </c>
      <c r="Q122">
        <f>$O122*$J122*IF(COUNTIFS($K$105:$K122,$K122,$O$105:$O122,1)&gt;1,1-$L122,1)</f>
        <v/>
      </c>
      <c r="R122">
        <f>SUMIFS($S$104:$S121,$D$104:$D121,$D122)</f>
        <v/>
      </c>
      <c r="S122">
        <f>$O122*MIN($G122,MAX(0,INDEX($B$6:$D$10,MATCH($D122,$A$6:$A$10,0),3)-$R122))</f>
        <v/>
      </c>
      <c r="T122" t="n">
        <v>1</v>
      </c>
      <c r="U122">
        <f>IF(AND($M122&lt;&gt;"",$O122=1,COUNTIFS($M$105:$M$128,$M122,$O$105:$O$128,1)&gt;1),1,0)</f>
        <v/>
      </c>
      <c r="V122">
        <f>IF(AND($O122=1,$P122=0),1,0)</f>
        <v/>
      </c>
    </row>
    <row r="123">
      <c r="A123" t="n">
        <v>19</v>
      </c>
      <c r="B123" t="inlineStr">
        <is>
          <t>SAC-018</t>
        </is>
      </c>
      <c r="C123" t="inlineStr">
        <is>
          <t>all critical</t>
        </is>
      </c>
      <c r="D123" t="inlineStr">
        <is>
          <t>vascular</t>
        </is>
      </c>
      <c r="E123" t="inlineStr">
        <is>
          <t>site transfer</t>
        </is>
      </c>
      <c r="F123" t="inlineStr">
        <is>
          <t>C</t>
        </is>
      </c>
      <c r="G123" t="n">
        <v>32.4</v>
      </c>
      <c r="H123" t="n">
        <v>4500</v>
      </c>
      <c r="I123" t="inlineStr">
        <is>
          <t>RECEIVING_SLOT</t>
        </is>
      </c>
      <c r="J123" t="n">
        <v>1</v>
      </c>
      <c r="K123" t="inlineStr">
        <is>
          <t>OV-3</t>
        </is>
      </c>
      <c r="L123" t="n">
        <v>0.2</v>
      </c>
      <c r="N123" t="inlineStr">
        <is>
          <t>DG-6</t>
        </is>
      </c>
      <c r="O123" s="5" t="n">
        <v>1</v>
      </c>
      <c r="P123">
        <f>INDEX(Action_Catalog!$S$4:$S$27,MATCH($B123,Action_Catalog!$A$4:$A$27,0))</f>
        <v/>
      </c>
      <c r="Q123">
        <f>$O123*$J123*IF(COUNTIFS($K$105:$K123,$K123,$O$105:$O123,1)&gt;1,1-$L123,1)</f>
        <v/>
      </c>
      <c r="R123">
        <f>SUMIFS($S$104:$S122,$D$104:$D122,$D123)</f>
        <v/>
      </c>
      <c r="S123">
        <f>$O123*MIN($G123,MAX(0,INDEX($B$6:$D$10,MATCH($D123,$A$6:$A$10,0),3)-$R123))</f>
        <v/>
      </c>
      <c r="T123" t="n">
        <v>3</v>
      </c>
      <c r="U123">
        <f>IF(AND($M123&lt;&gt;"",$O123=1,COUNTIFS($M$105:$M$128,$M123,$O$105:$O$128,1)&gt;1),1,0)</f>
        <v/>
      </c>
      <c r="V123">
        <f>IF(AND($O123=1,$P123=0),1,0)</f>
        <v/>
      </c>
    </row>
    <row r="124">
      <c r="A124" t="n">
        <v>20</v>
      </c>
      <c r="B124" t="inlineStr">
        <is>
          <t>SAC-015</t>
        </is>
      </c>
      <c r="C124" t="inlineStr">
        <is>
          <t>surgical</t>
        </is>
      </c>
      <c r="D124" t="inlineStr">
        <is>
          <t>surgical</t>
        </is>
      </c>
      <c r="E124" t="inlineStr">
        <is>
          <t>supplier substitution</t>
        </is>
      </c>
      <c r="F124" t="inlineStr">
        <is>
          <t>C</t>
        </is>
      </c>
      <c r="G124" t="n">
        <v>60.8</v>
      </c>
      <c r="H124" t="n">
        <v>9000</v>
      </c>
      <c r="I124" t="inlineStr">
        <is>
          <t>TRANSFER_VEHICLE</t>
        </is>
      </c>
      <c r="J124" t="n">
        <v>1.5</v>
      </c>
      <c r="K124" t="inlineStr">
        <is>
          <t>OV-5</t>
        </is>
      </c>
      <c r="L124" t="n">
        <v>0.35</v>
      </c>
      <c r="N124" t="inlineStr">
        <is>
          <t>DG-3</t>
        </is>
      </c>
      <c r="O124" s="5" t="n">
        <v>1</v>
      </c>
      <c r="P124">
        <f>INDEX(Action_Catalog!$S$4:$S$27,MATCH($B124,Action_Catalog!$A$4:$A$27,0))</f>
        <v/>
      </c>
      <c r="Q124">
        <f>$O124*$J124*IF(COUNTIFS($K$105:$K124,$K124,$O$105:$O124,1)&gt;1,1-$L124,1)</f>
        <v/>
      </c>
      <c r="R124">
        <f>SUMIFS($S$104:$S123,$D$104:$D123,$D124)</f>
        <v/>
      </c>
      <c r="S124">
        <f>$O124*MIN($G124,MAX(0,INDEX($B$6:$D$10,MATCH($D124,$A$6:$A$10,0),3)-$R124))</f>
        <v/>
      </c>
      <c r="T124" t="n">
        <v>7</v>
      </c>
      <c r="U124">
        <f>IF(AND($M124&lt;&gt;"",$O124=1,COUNTIFS($M$105:$M$128,$M124,$O$105:$O$128,1)&gt;1),1,0)</f>
        <v/>
      </c>
      <c r="V124">
        <f>IF(AND($O124=1,$P124=0),1,0)</f>
        <v/>
      </c>
    </row>
    <row r="125">
      <c r="A125" t="n">
        <v>21</v>
      </c>
      <c r="B125" t="inlineStr">
        <is>
          <t>SAC-003</t>
        </is>
      </c>
      <c r="C125" t="inlineStr">
        <is>
          <t>surgical</t>
        </is>
      </c>
      <c r="D125" t="inlineStr">
        <is>
          <t>surgical</t>
        </is>
      </c>
      <c r="E125" t="inlineStr">
        <is>
          <t>supplier substitution</t>
        </is>
      </c>
      <c r="F125" t="inlineStr">
        <is>
          <t>C</t>
        </is>
      </c>
      <c r="G125" t="n">
        <v>32.4</v>
      </c>
      <c r="H125" t="n">
        <v>9000</v>
      </c>
      <c r="I125" t="inlineStr">
        <is>
          <t>RECEIVING_SLOT</t>
        </is>
      </c>
      <c r="J125" t="n">
        <v>1.5</v>
      </c>
      <c r="K125" t="inlineStr">
        <is>
          <t>OV-3</t>
        </is>
      </c>
      <c r="L125" t="n">
        <v>0.35</v>
      </c>
      <c r="N125" t="inlineStr">
        <is>
          <t>DG-3</t>
        </is>
      </c>
      <c r="O125" s="5" t="n">
        <v>1</v>
      </c>
      <c r="P125">
        <f>INDEX(Action_Catalog!$S$4:$S$27,MATCH($B125,Action_Catalog!$A$4:$A$27,0))</f>
        <v/>
      </c>
      <c r="Q125">
        <f>$O125*$J125*IF(COUNTIFS($K$105:$K125,$K125,$O$105:$O125,1)&gt;1,1-$L125,1)</f>
        <v/>
      </c>
      <c r="R125">
        <f>SUMIFS($S$104:$S124,$D$104:$D124,$D125)</f>
        <v/>
      </c>
      <c r="S125">
        <f>$O125*MIN($G125,MAX(0,INDEX($B$6:$D$10,MATCH($D125,$A$6:$A$10,0),3)-$R125))</f>
        <v/>
      </c>
      <c r="T125" t="n">
        <v>7</v>
      </c>
      <c r="U125">
        <f>IF(AND($M125&lt;&gt;"",$O125=1,COUNTIFS($M$105:$M$128,$M125,$O$105:$O$128,1)&gt;1),1,0)</f>
        <v/>
      </c>
      <c r="V125">
        <f>IF(AND($O125=1,$P125=0),1,0)</f>
        <v/>
      </c>
    </row>
    <row r="126">
      <c r="A126" t="n">
        <v>22</v>
      </c>
      <c r="B126" t="inlineStr">
        <is>
          <t>SAC-006</t>
        </is>
      </c>
      <c r="C126" t="inlineStr">
        <is>
          <t>all critical</t>
        </is>
      </c>
      <c r="D126" t="inlineStr">
        <is>
          <t>vascular</t>
        </is>
      </c>
      <c r="E126" t="inlineStr">
        <is>
          <t>site transfer</t>
        </is>
      </c>
      <c r="F126" t="inlineStr">
        <is>
          <t>C</t>
        </is>
      </c>
      <c r="G126" t="n">
        <v>16.2</v>
      </c>
      <c r="H126" t="n">
        <v>4500</v>
      </c>
      <c r="I126" t="inlineStr">
        <is>
          <t>BUYER_FTE</t>
        </is>
      </c>
      <c r="J126" t="n">
        <v>1</v>
      </c>
      <c r="K126" t="inlineStr">
        <is>
          <t>OV-1</t>
        </is>
      </c>
      <c r="L126" t="n">
        <v>0.2</v>
      </c>
      <c r="M126" t="inlineStr">
        <is>
          <t>MX-2</t>
        </is>
      </c>
      <c r="N126" t="inlineStr">
        <is>
          <t>DG-6</t>
        </is>
      </c>
      <c r="O126" s="5" t="n">
        <v>1</v>
      </c>
      <c r="P126">
        <f>INDEX(Action_Catalog!$S$4:$S$27,MATCH($B126,Action_Catalog!$A$4:$A$27,0))</f>
        <v/>
      </c>
      <c r="Q126">
        <f>$O126*$J126*IF(COUNTIFS($K$105:$K126,$K126,$O$105:$O126,1)&gt;1,1-$L126,1)</f>
        <v/>
      </c>
      <c r="R126">
        <f>SUMIFS($S$104:$S125,$D$104:$D125,$D126)</f>
        <v/>
      </c>
      <c r="S126">
        <f>$O126*MIN($G126,MAX(0,INDEX($B$6:$D$10,MATCH($D126,$A$6:$A$10,0),3)-$R126))</f>
        <v/>
      </c>
      <c r="T126" t="n">
        <v>3</v>
      </c>
      <c r="U126">
        <f>IF(AND($M126&lt;&gt;"",$O126=1,COUNTIFS($M$105:$M$128,$M126,$O$105:$O$128,1)&gt;1),1,0)</f>
        <v/>
      </c>
      <c r="V126">
        <f>IF(AND($O126=1,$P126=0),1,0)</f>
        <v/>
      </c>
    </row>
    <row r="127">
      <c r="A127" t="n">
        <v>23</v>
      </c>
      <c r="B127" t="inlineStr">
        <is>
          <t>SAC-024</t>
        </is>
      </c>
      <c r="C127" t="inlineStr">
        <is>
          <t>all critical</t>
        </is>
      </c>
      <c r="D127" t="inlineStr">
        <is>
          <t>vascular</t>
        </is>
      </c>
      <c r="E127" t="inlineStr">
        <is>
          <t>allocation hold</t>
        </is>
      </c>
      <c r="F127" t="inlineStr">
        <is>
          <t>C</t>
        </is>
      </c>
      <c r="G127" t="n">
        <v>43.2</v>
      </c>
      <c r="H127" t="n">
        <v>18000</v>
      </c>
      <c r="I127" t="inlineStr">
        <is>
          <t>CLINICAL_REVIEW</t>
        </is>
      </c>
      <c r="J127" t="n">
        <v>2</v>
      </c>
      <c r="K127" t="inlineStr">
        <is>
          <t>OV-4</t>
        </is>
      </c>
      <c r="L127" t="n">
        <v>0.5</v>
      </c>
      <c r="N127" t="inlineStr">
        <is>
          <t>DG-6</t>
        </is>
      </c>
      <c r="O127" s="5" t="n">
        <v>0</v>
      </c>
      <c r="P127">
        <f>INDEX(Action_Catalog!$S$4:$S$27,MATCH($B127,Action_Catalog!$A$4:$A$27,0))</f>
        <v/>
      </c>
      <c r="Q127">
        <f>$O127*$J127*IF(COUNTIFS($K$105:$K127,$K127,$O$105:$O127,1)&gt;1,1-$L127,1)</f>
        <v/>
      </c>
      <c r="R127">
        <f>SUMIFS($S$104:$S126,$D$104:$D126,$D127)</f>
        <v/>
      </c>
      <c r="S127">
        <f>$O127*MIN($G127,MAX(0,INDEX($B$6:$D$10,MATCH($D127,$A$6:$A$10,0),3)-$R127))</f>
        <v/>
      </c>
      <c r="T127" t="n">
        <v>14</v>
      </c>
      <c r="U127">
        <f>IF(AND($M127&lt;&gt;"",$O127=1,COUNTIFS($M$105:$M$128,$M127,$O$105:$O$128,1)&gt;1),1,0)</f>
        <v/>
      </c>
      <c r="V127">
        <f>IF(AND($O127=1,$P127=0),1,0)</f>
        <v/>
      </c>
    </row>
    <row r="128">
      <c r="A128" t="n">
        <v>24</v>
      </c>
      <c r="B128" t="inlineStr">
        <is>
          <t>SAC-012</t>
        </is>
      </c>
      <c r="C128" t="inlineStr">
        <is>
          <t>all critical</t>
        </is>
      </c>
      <c r="D128" t="inlineStr">
        <is>
          <t>vascular</t>
        </is>
      </c>
      <c r="E128" t="inlineStr">
        <is>
          <t>allocation hold</t>
        </is>
      </c>
      <c r="F128" t="inlineStr">
        <is>
          <t>C</t>
        </is>
      </c>
      <c r="G128" t="n">
        <v>24.3</v>
      </c>
      <c r="H128" t="n">
        <v>18000</v>
      </c>
      <c r="I128" t="inlineStr">
        <is>
          <t>COLD_CHAIN_PALLET</t>
        </is>
      </c>
      <c r="J128" t="n">
        <v>2</v>
      </c>
      <c r="K128" t="inlineStr">
        <is>
          <t>OV-2</t>
        </is>
      </c>
      <c r="L128" t="n">
        <v>0.5</v>
      </c>
      <c r="N128" t="inlineStr">
        <is>
          <t>DG-6</t>
        </is>
      </c>
      <c r="O128" s="5" t="n">
        <v>1</v>
      </c>
      <c r="P128">
        <f>INDEX(Action_Catalog!$S$4:$S$27,MATCH($B128,Action_Catalog!$A$4:$A$27,0))</f>
        <v/>
      </c>
      <c r="Q128">
        <f>$O128*$J128*IF(COUNTIFS($K$105:$K128,$K128,$O$105:$O128,1)&gt;1,1-$L128,1)</f>
        <v/>
      </c>
      <c r="R128">
        <f>SUMIFS($S$104:$S127,$D$104:$D127,$D128)</f>
        <v/>
      </c>
      <c r="S128">
        <f>$O128*MIN($G128,MAX(0,INDEX($B$6:$D$10,MATCH($D128,$A$6:$A$10,0),3)-$R128))</f>
        <v/>
      </c>
      <c r="T128" t="n">
        <v>14</v>
      </c>
      <c r="U128">
        <f>IF(AND($M128&lt;&gt;"",$O128=1,COUNTIFS($M$105:$M$128,$M128,$O$105:$O$128,1)&gt;1),1,0)</f>
        <v/>
      </c>
      <c r="V128">
        <f>IF(AND($O128=1,$P128=0),1,0)</f>
        <v/>
      </c>
    </row>
    <row r="130">
      <c r="A130" s="2" t="inlineStr">
        <is>
          <t>UPSIDE summary</t>
        </is>
      </c>
    </row>
    <row r="131">
      <c r="A131" s="6" t="inlineStr">
        <is>
          <t>metric</t>
        </is>
      </c>
      <c r="B131" s="6" t="inlineStr">
        <is>
          <t>value</t>
        </is>
      </c>
      <c r="C131" s="6" t="inlineStr">
        <is>
          <t>check</t>
        </is>
      </c>
    </row>
    <row r="132">
      <c r="A132" t="inlineStr">
        <is>
          <t>actions selected</t>
        </is>
      </c>
      <c r="B132">
        <f>SUM($O$105:$O$128)</f>
        <v/>
      </c>
    </row>
    <row r="133">
      <c r="A133" t="inlineStr">
        <is>
          <t>fixed cost (USD)</t>
        </is>
      </c>
      <c r="B133">
        <f>SUMPRODUCT($O$105:$O$128,$H$105:$H$128)</f>
        <v/>
      </c>
    </row>
    <row r="134">
      <c r="A134" t="inlineStr">
        <is>
          <t>family gap (units)</t>
        </is>
      </c>
      <c r="B134">
        <f>D$11</f>
        <v/>
      </c>
      <c r="C134" t="inlineStr">
        <is>
          <t>from family gap table</t>
        </is>
      </c>
    </row>
    <row r="135">
      <c r="A135" t="inlineStr">
        <is>
          <t>coverage (units)</t>
        </is>
      </c>
      <c r="B135">
        <f>SUM($S$105:$S$128)</f>
        <v/>
      </c>
    </row>
    <row r="136">
      <c r="A136" t="inlineStr">
        <is>
          <t>residual gap (units)</t>
        </is>
      </c>
      <c r="B136">
        <f>B134-B135</f>
        <v/>
      </c>
      <c r="C136" t="inlineStr">
        <is>
          <t>gap - coverage</t>
        </is>
      </c>
    </row>
    <row r="137">
      <c r="A137" t="inlineStr">
        <is>
          <t>mx violations</t>
        </is>
      </c>
      <c r="B137">
        <f>SUM($U$105:$U$128)</f>
        <v/>
      </c>
      <c r="C137" t="inlineStr">
        <is>
          <t>must be 0</t>
        </is>
      </c>
    </row>
    <row r="138">
      <c r="A138" t="inlineStr">
        <is>
          <t>eligibility violations</t>
        </is>
      </c>
      <c r="B138">
        <f>SUM($V$105:$V$128)</f>
        <v/>
      </c>
      <c r="C138" t="inlineStr">
        <is>
          <t>must be 0</t>
        </is>
      </c>
    </row>
    <row r="139">
      <c r="A139" t="inlineStr">
        <is>
          <t>program start delay (days)</t>
        </is>
      </c>
      <c r="B139">
        <f>IF(SUM($O$105:$O$128)=0,0,SUMPRODUCT(MAX(($O$105:$O$128=1)*$T$105:$T$128)))</f>
        <v/>
      </c>
      <c r="C139" t="inlineStr">
        <is>
          <t>max delay of selected</t>
        </is>
      </c>
    </row>
    <row r="141">
      <c r="A141" s="6" t="inlineStr">
        <is>
          <t>pool</t>
        </is>
      </c>
      <c r="B141" s="6" t="inlineStr">
        <is>
          <t>consumed</t>
        </is>
      </c>
      <c r="C141" s="6" t="inlineStr">
        <is>
          <t>net_capacity</t>
        </is>
      </c>
      <c r="D141" s="6" t="inlineStr">
        <is>
          <t>within_capacity</t>
        </is>
      </c>
    </row>
    <row r="142">
      <c r="A142" t="inlineStr">
        <is>
          <t>BUYER_FTE</t>
        </is>
      </c>
      <c r="B142">
        <f>SUMIFS($Q$105:$Q$128,$I$105:$I$128,$A142)</f>
        <v/>
      </c>
      <c r="C142">
        <f>Site_Constraints!J$19</f>
        <v/>
      </c>
      <c r="D142">
        <f>IF(B142&lt;=C142,1,0)</f>
        <v/>
      </c>
    </row>
    <row r="143">
      <c r="A143" t="inlineStr">
        <is>
          <t>CLINICAL_REVIEW</t>
        </is>
      </c>
      <c r="B143">
        <f>SUMIFS($Q$105:$Q$128,$I$105:$I$128,$A143)</f>
        <v/>
      </c>
      <c r="C143">
        <f>Site_Constraints!J$20</f>
        <v/>
      </c>
      <c r="D143">
        <f>IF(B143&lt;=C143,1,0)</f>
        <v/>
      </c>
    </row>
    <row r="144">
      <c r="A144" t="inlineStr">
        <is>
          <t>COLD_CHAIN_PALLET</t>
        </is>
      </c>
      <c r="B144">
        <f>SUMIFS($Q$105:$Q$128,$I$105:$I$128,$A144)</f>
        <v/>
      </c>
      <c r="C144">
        <f>Site_Constraints!J$21</f>
        <v/>
      </c>
      <c r="D144">
        <f>IF(B144&lt;=C144,1,0)</f>
        <v/>
      </c>
    </row>
    <row r="145">
      <c r="A145" t="inlineStr">
        <is>
          <t>RECEIVING_SLOT</t>
        </is>
      </c>
      <c r="B145">
        <f>SUMIFS($Q$105:$Q$128,$I$105:$I$128,$A145)</f>
        <v/>
      </c>
      <c r="C145">
        <f>Site_Constraints!J$22</f>
        <v/>
      </c>
      <c r="D145">
        <f>IF(B145&lt;=C145,1,0)</f>
        <v/>
      </c>
    </row>
    <row r="146">
      <c r="A146" t="inlineStr">
        <is>
          <t>TRANSFER_VEHICLE</t>
        </is>
      </c>
      <c r="B146">
        <f>SUMIFS($Q$105:$Q$128,$I$105:$I$128,$A146)</f>
        <v/>
      </c>
      <c r="C146">
        <f>Site_Constraints!J$23</f>
        <v/>
      </c>
      <c r="D146">
        <f>IF(B146&lt;=C146,1,0)</f>
        <v/>
      </c>
    </row>
    <row r="147">
      <c r="A147" t="inlineStr">
        <is>
          <t>all pools feasible</t>
        </is>
      </c>
      <c r="B147">
        <f>SUM($D$142:$D$146)</f>
        <v/>
      </c>
      <c r="C147" t="inlineStr">
        <is>
          <t>must equal 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4" customWidth="1" min="3" max="3"/>
    <col width="14" customWidth="1" min="4" max="4"/>
    <col width="12" customWidth="1" min="5" max="5"/>
    <col width="44" customWidth="1" min="6" max="6"/>
    <col width="12" customWidth="1" min="7" max="7"/>
  </cols>
  <sheetData>
    <row r="1">
      <c r="A1" s="1" t="inlineStr">
        <is>
          <t>Dashboard — figures that reconcile with sterile_supply_resilience_portal.html</t>
        </is>
      </c>
    </row>
    <row r="2">
      <c r="A2" s="3" t="inlineStr">
        <is>
          <t>Every value below is a live formula. Portal shows the same figures from the same sources.</t>
        </is>
      </c>
    </row>
    <row r="4">
      <c r="A4" s="2" t="inlineStr">
        <is>
          <t>Network exposure KPIs</t>
        </is>
      </c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source / formula basis</t>
        </is>
      </c>
    </row>
    <row r="6">
      <c r="A6" t="inlineStr">
        <is>
          <t>SKUs / lots tracked</t>
        </is>
      </c>
      <c r="B6">
        <f>COUNTA(Lots_Data!$A$2:$A$234)</f>
        <v/>
      </c>
      <c r="C6" t="inlineStr">
        <is>
          <t>lot snapshot rows</t>
        </is>
      </c>
    </row>
    <row r="7">
      <c r="A7" t="inlineStr">
        <is>
          <t>On-hand units</t>
        </is>
      </c>
      <c r="B7">
        <f>SUM(Lots_Data!$H$2:$H$234)</f>
        <v/>
      </c>
      <c r="C7" t="inlineStr">
        <is>
          <t>lot snapshot on_hand_qty</t>
        </is>
      </c>
    </row>
    <row r="8">
      <c r="A8" t="inlineStr">
        <is>
          <t>Usable units (excl. recalled &amp; quarantine)</t>
        </is>
      </c>
      <c r="B8">
        <f>SUM(Lots_Data!$K$2:$K$234)</f>
        <v/>
      </c>
      <c r="C8" t="inlineStr">
        <is>
          <t>Lots_Data col K formula</t>
        </is>
      </c>
    </row>
    <row r="9">
      <c r="A9" t="inlineStr">
        <is>
          <t>Base network monthly demand (units)</t>
        </is>
      </c>
      <c r="B9">
        <f>SUM(Usage_Summary!$C$4:$C$236)</f>
        <v/>
      </c>
      <c r="C9" t="inlineStr">
        <is>
          <t>usage window avg</t>
        </is>
      </c>
    </row>
    <row r="10">
      <c r="A10" t="inlineStr">
        <is>
          <t>Average network days of cover</t>
        </is>
      </c>
      <c r="B10">
        <f>B8/(B9/30)</f>
        <v/>
      </c>
      <c r="C10" t="inlineStr">
        <is>
          <t>usable / (demand/30)</t>
        </is>
      </c>
    </row>
    <row r="11">
      <c r="A11" t="inlineStr">
        <is>
          <t>Stockout SKUs (usable = 0, demand &gt; 0)</t>
        </is>
      </c>
      <c r="B11">
        <f>SUM(SKU_Exposure!$K$4:$K$236)</f>
        <v/>
      </c>
      <c r="C11" t="inlineStr">
        <is>
          <t>SKU_Exposure col K</t>
        </is>
      </c>
    </row>
    <row r="12">
      <c r="A12" t="inlineStr">
        <is>
          <t>SKUs with static reorder point &lt; lead-time demand</t>
        </is>
      </c>
      <c r="B12">
        <f>COUNTIF(SKU_Exposure!$N$4:$N$236,"under-set")</f>
        <v/>
      </c>
      <c r="C12" t="inlineStr">
        <is>
          <t>SKU_Exposure col N</t>
        </is>
      </c>
    </row>
    <row r="13">
      <c r="A13" t="inlineStr">
        <is>
          <t>Recalled lots</t>
        </is>
      </c>
      <c r="B13">
        <f>COUNTIF(Lots_Data!$J$2:$J$234,"recalled")</f>
        <v/>
      </c>
      <c r="C13" t="inlineStr">
        <is>
          <t>lot snapshot recall_state</t>
        </is>
      </c>
    </row>
    <row r="14">
      <c r="A14" t="inlineStr">
        <is>
          <t>Recalled units on hand</t>
        </is>
      </c>
      <c r="B14">
        <f>SUMIF(Lots_Data!$J$2:$J$234,"recalled",Lots_Data!$H$2:$H$234)</f>
        <v/>
      </c>
      <c r="C14" t="inlineStr">
        <is>
          <t>gross on-hand in recalled lots</t>
        </is>
      </c>
    </row>
    <row r="15">
      <c r="A15" t="inlineStr">
        <is>
          <t>Recall value at risk (USD)</t>
        </is>
      </c>
      <c r="B15">
        <f>SUMIFS(Lots_Data!$M$2:$M$234,Lots_Data!$J$2:$J$234,"recalled")</f>
        <v/>
      </c>
      <c r="C15" t="inlineStr">
        <is>
          <t>units x unit_cost</t>
        </is>
      </c>
    </row>
    <row r="16">
      <c r="A16" t="inlineStr">
        <is>
          <t>Quarantine units</t>
        </is>
      </c>
      <c r="B16">
        <f>SUM(Lots_Data!$I$2:$I$234)</f>
        <v/>
      </c>
      <c r="C16" t="inlineStr">
        <is>
          <t>lot snapshot quarantine_qty</t>
        </is>
      </c>
    </row>
    <row r="17">
      <c r="A17" t="inlineStr">
        <is>
          <t>Lots with quarantine &gt; 0</t>
        </is>
      </c>
      <c r="B17">
        <f>COUNTIF(Lots_Data!$I$2:$I$234,"&gt;0")</f>
        <v/>
      </c>
    </row>
    <row r="18">
      <c r="A18" t="inlineStr">
        <is>
          <t>Near-expiry lots (&lt;=180 days)</t>
        </is>
      </c>
      <c r="B18">
        <f>COUNTIFS(Lots_Data!$Q$2:$Q$234,"&lt;=180")</f>
        <v/>
      </c>
      <c r="C18" t="inlineStr">
        <is>
          <t>vs snapshot date Inputs!B4</t>
        </is>
      </c>
    </row>
    <row r="19">
      <c r="A19" t="inlineStr">
        <is>
          <t>Near-expiry units (&lt;=180 days)</t>
        </is>
      </c>
      <c r="B19">
        <f>SUMIFS(Lots_Data!$H$2:$H$234,Lots_Data!$Q$2:$Q$234,"&lt;=180")</f>
        <v/>
      </c>
      <c r="C19" t="inlineStr">
        <is>
          <t>no lot is &lt;=90 days out</t>
        </is>
      </c>
    </row>
    <row r="20">
      <c r="A20" t="inlineStr">
        <is>
          <t>Near-expiry value (&lt;=180 days, USD)</t>
        </is>
      </c>
      <c r="B20">
        <f>SUMIFS(Lots_Data!$M$2:$M$234,Lots_Data!$Q$2:$Q$234,"&lt;=180")</f>
        <v/>
      </c>
    </row>
    <row r="22">
      <c r="A22" s="2" t="inlineStr">
        <is>
          <t>Days-of-cover distribution (SKUs)</t>
        </is>
      </c>
    </row>
    <row r="23">
      <c r="A23" s="6" t="inlineStr">
        <is>
          <t>bucket</t>
        </is>
      </c>
      <c r="B23" s="6" t="inlineStr">
        <is>
          <t>skus</t>
        </is>
      </c>
      <c r="C23" s="6" t="inlineStr">
        <is>
          <t>criteria</t>
        </is>
      </c>
    </row>
    <row r="24">
      <c r="A24" t="inlineStr">
        <is>
          <t>0 (stockout)</t>
        </is>
      </c>
      <c r="B24">
        <f>COUNTIFS(SKU_Exposure!$G$4:$G$236,0)</f>
        <v/>
      </c>
      <c r="C24" t="inlineStr">
        <is>
          <t>days_of_cover = 0</t>
        </is>
      </c>
    </row>
    <row r="25">
      <c r="A25" t="inlineStr">
        <is>
          <t>0-7 days</t>
        </is>
      </c>
      <c r="B25">
        <f>COUNTIFS(SKU_Exposure!$G$4:$G$236,"&gt;0",SKU_Exposure!$G$4:$G$236,"&lt;=7")</f>
        <v/>
      </c>
    </row>
    <row r="26">
      <c r="A26" t="inlineStr">
        <is>
          <t>7-14 days</t>
        </is>
      </c>
      <c r="B26">
        <f>COUNTIFS(SKU_Exposure!$G$4:$G$236,"&gt;7",SKU_Exposure!$G$4:$G$236,"&lt;=14")</f>
        <v/>
      </c>
    </row>
    <row r="27">
      <c r="A27" t="inlineStr">
        <is>
          <t>14-30 days</t>
        </is>
      </c>
      <c r="B27">
        <f>COUNTIFS(SKU_Exposure!$G$4:$G$236,"&gt;14",SKU_Exposure!$G$4:$G$236,"&lt;=30")</f>
        <v/>
      </c>
    </row>
    <row r="28">
      <c r="A28" t="inlineStr">
        <is>
          <t>&gt;30 days</t>
        </is>
      </c>
      <c r="B28">
        <f>COUNTIFS(SKU_Exposure!$G$4:$G$236,"&gt;30")</f>
        <v/>
      </c>
    </row>
    <row r="29">
      <c r="A29" t="inlineStr">
        <is>
          <t>no recorded demand</t>
        </is>
      </c>
      <c r="B29">
        <f>COUNTIFS(SKU_Exposure!$F$4:$F$236,0)</f>
        <v/>
      </c>
      <c r="C29" t="inlineStr">
        <is>
          <t>base usage = 0</t>
        </is>
      </c>
    </row>
    <row r="31">
      <c r="A31" s="2" t="inlineStr">
        <is>
          <t>Clinical access floors (site_storage_clinical_constraints.csv)</t>
        </is>
      </c>
    </row>
    <row r="32">
      <c r="A32" s="6" t="inlineStr">
        <is>
          <t>site</t>
        </is>
      </c>
      <c r="B32" s="6" t="inlineStr">
        <is>
          <t>clinical floor</t>
        </is>
      </c>
      <c r="C32" s="6" t="inlineStr">
        <is>
          <t>family</t>
        </is>
      </c>
      <c r="D32" s="6" t="inlineStr">
        <is>
          <t>usable_units</t>
        </is>
      </c>
      <c r="E32" s="6" t="inlineStr">
        <is>
          <t>minimum_floor</t>
        </is>
      </c>
      <c r="F32" s="6" t="inlineStr">
        <is>
          <t>status</t>
        </is>
      </c>
    </row>
    <row r="33">
      <c r="A33" t="inlineStr">
        <is>
          <t>HOSP-1</t>
        </is>
      </c>
      <c r="B33" t="inlineStr">
        <is>
          <t>vascular kits</t>
        </is>
      </c>
      <c r="C33" t="inlineStr">
        <is>
          <t>vascular</t>
        </is>
      </c>
      <c r="D33">
        <f>SUMIFS(Lots_Data!$K$2:$K$234,Lots_Data!$E$2:$E$234,$A33,Lots_Data!$C$2:$C$234,$C33)</f>
        <v/>
      </c>
      <c r="E33" t="n">
        <v>80</v>
      </c>
      <c r="F33">
        <f>IF(D33&lt;E33,"BREACH","ok")</f>
        <v/>
      </c>
    </row>
    <row r="34">
      <c r="A34" t="inlineStr">
        <is>
          <t>HOSP-2</t>
        </is>
      </c>
      <c r="B34" t="inlineStr">
        <is>
          <t>airway kits</t>
        </is>
      </c>
      <c r="C34" t="inlineStr">
        <is>
          <t>respiratory</t>
        </is>
      </c>
      <c r="D34">
        <f>SUMIFS(Lots_Data!$K$2:$K$234,Lots_Data!$E$2:$E$234,$A34,Lots_Data!$C$2:$C$234,$C34)</f>
        <v/>
      </c>
      <c r="E34" t="n">
        <v>65</v>
      </c>
      <c r="F34">
        <f>IF(D34&lt;E34,"BREACH","ok")</f>
        <v/>
      </c>
    </row>
    <row r="35">
      <c r="A35" t="inlineStr">
        <is>
          <t>HOSP-3</t>
        </is>
      </c>
      <c r="B35" t="inlineStr">
        <is>
          <t>surgical packs</t>
        </is>
      </c>
      <c r="C35" t="inlineStr">
        <is>
          <t>surgical</t>
        </is>
      </c>
      <c r="D35">
        <f>SUMIFS(Lots_Data!$K$2:$K$234,Lots_Data!$E$2:$E$234,$A35,Lots_Data!$C$2:$C$234,$C35)</f>
        <v/>
      </c>
      <c r="E35" t="n">
        <v>120</v>
      </c>
      <c r="F35">
        <f>IF(D35&lt;E35,"BREACH","ok")</f>
        <v/>
      </c>
    </row>
    <row r="36">
      <c r="A36" t="inlineStr">
        <is>
          <t>HOSP-4</t>
        </is>
      </c>
      <c r="B36" t="inlineStr">
        <is>
          <t>wound supplies</t>
        </is>
      </c>
      <c r="C36" t="inlineStr">
        <is>
          <t>wound</t>
        </is>
      </c>
      <c r="D36">
        <f>SUMIFS(Lots_Data!$K$2:$K$234,Lots_Data!$E$2:$E$234,$A36,Lots_Data!$C$2:$C$234,$C36)</f>
        <v/>
      </c>
      <c r="E36" t="n">
        <v>95</v>
      </c>
      <c r="F36">
        <f>IF(D36&lt;E36,"BREACH","ok")</f>
        <v/>
      </c>
    </row>
    <row r="38">
      <c r="A38" s="2" t="inlineStr">
        <is>
          <t>Scenario decision summary (from Scenario_Decision blocks)</t>
        </is>
      </c>
    </row>
    <row r="39">
      <c r="A39" s="6" t="inlineStr">
        <is>
          <t>scenario</t>
        </is>
      </c>
      <c r="B39" s="6" t="inlineStr">
        <is>
          <t>gap_units</t>
        </is>
      </c>
      <c r="C39" s="6" t="inlineStr">
        <is>
          <t>actions</t>
        </is>
      </c>
      <c r="D39" s="6" t="inlineStr">
        <is>
          <t>coverage_units</t>
        </is>
      </c>
      <c r="E39" s="6" t="inlineStr">
        <is>
          <t>residual_units</t>
        </is>
      </c>
      <c r="F39" s="6" t="inlineStr">
        <is>
          <t>fixed_cost_usd</t>
        </is>
      </c>
      <c r="G39" s="6" t="inlineStr">
        <is>
          <t>feasible</t>
        </is>
      </c>
    </row>
    <row r="40">
      <c r="A40" t="inlineStr">
        <is>
          <t>adverse</t>
        </is>
      </c>
      <c r="B40">
        <f>Scenario_Decision!$B$44</f>
        <v/>
      </c>
      <c r="C40">
        <f>Scenario_Decision!$B$42</f>
        <v/>
      </c>
      <c r="D40">
        <f>Scenario_Decision!$B$45</f>
        <v/>
      </c>
      <c r="E40">
        <f>Scenario_Decision!$B$46</f>
        <v/>
      </c>
      <c r="F40">
        <f>Scenario_Decision!$B$43</f>
        <v/>
      </c>
      <c r="G40">
        <f>IF(AND(Scenario_Decision!$B$47=0,Scenario_Decision!$B$48=0,Scenario_Decision!$B$57=5),"FEASIBLE","CHECK")</f>
        <v/>
      </c>
    </row>
    <row r="41">
      <c r="A41" t="inlineStr">
        <is>
          <t>base</t>
        </is>
      </c>
      <c r="B41">
        <f>Scenario_Decision!$B$89</f>
        <v/>
      </c>
      <c r="C41">
        <f>Scenario_Decision!$B$87</f>
        <v/>
      </c>
      <c r="D41">
        <f>Scenario_Decision!$B$90</f>
        <v/>
      </c>
      <c r="E41">
        <f>Scenario_Decision!$B$91</f>
        <v/>
      </c>
      <c r="F41">
        <f>Scenario_Decision!$B$88</f>
        <v/>
      </c>
      <c r="G41">
        <f>IF(AND(Scenario_Decision!$B$92=0,Scenario_Decision!$B$93=0,Scenario_Decision!$B$102=5),"FEASIBLE","CHECK")</f>
        <v/>
      </c>
    </row>
    <row r="42">
      <c r="A42" t="inlineStr">
        <is>
          <t>upside</t>
        </is>
      </c>
      <c r="B42">
        <f>Scenario_Decision!$B$134</f>
        <v/>
      </c>
      <c r="C42">
        <f>Scenario_Decision!$B$132</f>
        <v/>
      </c>
      <c r="D42">
        <f>Scenario_Decision!$B$135</f>
        <v/>
      </c>
      <c r="E42">
        <f>Scenario_Decision!$B$136</f>
        <v/>
      </c>
      <c r="F42">
        <f>Scenario_Decision!$B$133</f>
        <v/>
      </c>
      <c r="G42">
        <f>IF(AND(Scenario_Decision!$B$137=0,Scenario_Decision!$B$138=0,Scenario_Decision!$B$147=5),"FEASIBLE","CHECK")</f>
        <v/>
      </c>
    </row>
    <row r="44">
      <c r="A44" s="2" t="inlineStr">
        <is>
          <t>Exception evidence (Exceptions sheet)</t>
        </is>
      </c>
    </row>
    <row r="45">
      <c r="A45" s="6" t="inlineStr">
        <is>
          <t>class</t>
        </is>
      </c>
      <c r="B45" s="6" t="inlineStr">
        <is>
          <t>records</t>
        </is>
      </c>
      <c r="C45" s="6" t="inlineStr">
        <is>
          <t>quantity</t>
        </is>
      </c>
    </row>
    <row r="46">
      <c r="A46" t="inlineStr">
        <is>
          <t>documented (invoice/statement)</t>
        </is>
      </c>
      <c r="B46">
        <f>COUNTIF(Exceptions!$I$4:$I$51,"documented")</f>
        <v/>
      </c>
      <c r="C46">
        <f>SUM(Exceptions!$J$4:$J$51)</f>
        <v/>
      </c>
    </row>
    <row r="47">
      <c r="A47" t="inlineStr">
        <is>
          <t>unverified (assertion-only/missing-support)</t>
        </is>
      </c>
      <c r="B47">
        <f>COUNTIF(Exceptions!$I$4:$I$51,"unverified")</f>
        <v/>
      </c>
      <c r="C47">
        <f>SUMIFS(Exceptions!$F$4:$F$51,Exceptions!$I$4:$I$51,"unverified")</f>
        <v/>
      </c>
    </row>
    <row r="49">
      <c r="A49" s="2" t="inlineStr">
        <is>
          <t>Surge / scenario evidence</t>
        </is>
      </c>
    </row>
    <row r="50">
      <c r="A50" s="6" t="inlineStr">
        <is>
          <t>metric</t>
        </is>
      </c>
      <c r="B50" s="6" t="inlineStr">
        <is>
          <t>value</t>
        </is>
      </c>
      <c r="C50" s="6" t="inlineStr">
        <is>
          <t>note</t>
        </is>
      </c>
    </row>
    <row r="51">
      <c r="A51" t="inlineStr">
        <is>
          <t>usage rows in window</t>
        </is>
      </c>
      <c r="B51">
        <f>SUM(Usage_Data!$G$2:$G$5001)</f>
        <v/>
      </c>
    </row>
    <row r="52">
      <c r="A52" t="inlineStr">
        <is>
          <t>surge-flagged rows in window</t>
        </is>
      </c>
      <c r="B52">
        <f>COUNTIFS(Usage_Data!$F$2:$F$5001,"surge",Usage_Data!$G$2:$G$5001,1)</f>
        <v/>
      </c>
    </row>
    <row r="53">
      <c r="A53" t="inlineStr">
        <is>
          <t>adverse demand multiplier</t>
        </is>
      </c>
      <c r="B53">
        <f>Inputs!$B$10</f>
        <v/>
      </c>
      <c r="C53" t="inlineStr">
        <is>
          <t>observed surge ratio; see Inputs note &amp; U-03</t>
        </is>
      </c>
    </row>
    <row r="55">
      <c r="A55" s="2" t="inlineStr">
        <is>
          <t>Supplier summary (from Supplier_Scorecard)</t>
        </is>
      </c>
    </row>
    <row r="56">
      <c r="A56" s="6" t="inlineStr">
        <is>
          <t>supplier</t>
        </is>
      </c>
      <c r="B56" s="6" t="inlineStr">
        <is>
          <t>OTD</t>
        </is>
      </c>
      <c r="C56" s="6" t="inlineStr">
        <is>
          <t>avg_lead_days</t>
        </is>
      </c>
      <c r="D56" s="6" t="inlineStr">
        <is>
          <t>not_closed_events</t>
        </is>
      </c>
      <c r="E56" s="6" t="inlineStr">
        <is>
          <t>composite</t>
        </is>
      </c>
      <c r="F56" s="6" t="inlineStr">
        <is>
          <t>renewal_stance</t>
        </is>
      </c>
    </row>
    <row r="57">
      <c r="A57">
        <f>Supplier_Scorecard!$B$4</f>
        <v/>
      </c>
      <c r="B57" s="8">
        <f>Supplier_Scorecard!$G$4</f>
        <v/>
      </c>
      <c r="C57" s="10">
        <f>Supplier_Scorecard!$J$4</f>
        <v/>
      </c>
      <c r="D57">
        <f>Supplier_Scorecard!$O$4</f>
        <v/>
      </c>
      <c r="E57" s="8">
        <f>Supplier_Scorecard!$U$4</f>
        <v/>
      </c>
      <c r="F57">
        <f>Supplier_Scorecard!$AB$4</f>
        <v/>
      </c>
    </row>
    <row r="58">
      <c r="A58">
        <f>Supplier_Scorecard!$B$5</f>
        <v/>
      </c>
      <c r="B58" s="8">
        <f>Supplier_Scorecard!$G$5</f>
        <v/>
      </c>
      <c r="C58" s="10">
        <f>Supplier_Scorecard!$J$5</f>
        <v/>
      </c>
      <c r="D58">
        <f>Supplier_Scorecard!$O$5</f>
        <v/>
      </c>
      <c r="E58" s="8">
        <f>Supplier_Scorecard!$U$5</f>
        <v/>
      </c>
      <c r="F58">
        <f>Supplier_Scorecard!$AB$5</f>
        <v/>
      </c>
    </row>
    <row r="59">
      <c r="A59">
        <f>Supplier_Scorecard!$B$6</f>
        <v/>
      </c>
      <c r="B59" s="8">
        <f>Supplier_Scorecard!$G$6</f>
        <v/>
      </c>
      <c r="C59" s="10">
        <f>Supplier_Scorecard!$J$6</f>
        <v/>
      </c>
      <c r="D59">
        <f>Supplier_Scorecard!$O$6</f>
        <v/>
      </c>
      <c r="E59" s="8">
        <f>Supplier_Scorecard!$U$6</f>
        <v/>
      </c>
      <c r="F59">
        <f>Supplier_Scorecard!$AB$6</f>
        <v/>
      </c>
    </row>
    <row r="60">
      <c r="A60">
        <f>Supplier_Scorecard!$B$7</f>
        <v/>
      </c>
      <c r="B60" s="8">
        <f>Supplier_Scorecard!$G$7</f>
        <v/>
      </c>
      <c r="C60" s="10">
        <f>Supplier_Scorecard!$J$7</f>
        <v/>
      </c>
      <c r="D60">
        <f>Supplier_Scorecard!$O$7</f>
        <v/>
      </c>
      <c r="E60" s="8">
        <f>Supplier_Scorecard!$U$7</f>
        <v/>
      </c>
      <c r="F60">
        <f>Supplier_Scorecard!$AB$7</f>
        <v/>
      </c>
    </row>
    <row r="61">
      <c r="A61">
        <f>Supplier_Scorecard!$B$8</f>
        <v/>
      </c>
      <c r="B61" s="8">
        <f>Supplier_Scorecard!$G$8</f>
        <v/>
      </c>
      <c r="C61" s="10">
        <f>Supplier_Scorecard!$J$8</f>
        <v/>
      </c>
      <c r="D61">
        <f>Supplier_Scorecard!$O$8</f>
        <v/>
      </c>
      <c r="E61" s="8">
        <f>Supplier_Scorecard!$U$8</f>
        <v/>
      </c>
      <c r="F61">
        <f>Supplier_Scorecard!$AB$8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80" customWidth="1" min="3" max="3"/>
    <col width="22" customWidth="1" min="4" max="4"/>
    <col width="44" customWidth="1" min="5" max="5"/>
    <col width="44" customWidth="1" min="6" max="6"/>
  </cols>
  <sheetData>
    <row r="1">
      <c r="A1" s="1" t="inlineStr">
        <is>
          <t>Assumptions, unresolved boundaries and evidence handling</t>
        </is>
      </c>
    </row>
    <row r="2">
      <c r="A2" s="3" t="inlineStr">
        <is>
          <t>Supplied estimates/annotations are evidence claims, not approved conclusions. No missing measurements, authority, contract terms, prices or implementation evidence are fabricated.</t>
        </is>
      </c>
    </row>
    <row r="3">
      <c r="A3" s="6" t="inlineStr">
        <is>
          <t>id</t>
        </is>
      </c>
      <c r="B3" s="6" t="inlineStr">
        <is>
          <t>topic</t>
        </is>
      </c>
      <c r="C3" s="6" t="inlineStr">
        <is>
          <t>claim / assumption / boundary</t>
        </is>
      </c>
      <c r="D3" s="6" t="inlineStr">
        <is>
          <t>type</t>
        </is>
      </c>
      <c r="E3" s="6" t="inlineStr">
        <is>
          <t>source locator</t>
        </is>
      </c>
      <c r="F3" s="6" t="inlineStr">
        <is>
          <t>handling</t>
        </is>
      </c>
    </row>
    <row r="4">
      <c r="A4" t="inlineStr">
        <is>
          <t>U-01</t>
        </is>
      </c>
      <c r="B4" t="inlineStr">
        <is>
          <t>Analysis date</t>
        </is>
      </c>
      <c r="C4" t="inlineStr">
        <is>
          <t>Snapshot 2026-08-25 used for expiry horizons and horizon labels.</t>
        </is>
      </c>
      <c r="D4" t="inlineStr">
        <is>
          <t>assumption</t>
        </is>
      </c>
      <c r="E4" t="inlineStr">
        <is>
          <t>task context date</t>
        </is>
      </c>
      <c r="F4" t="inlineStr">
        <is>
          <t>Editable in Inputs!B4.</t>
        </is>
      </c>
    </row>
    <row r="5">
      <c r="A5" t="inlineStr">
        <is>
          <t>U-02</t>
        </is>
      </c>
      <c r="B5" t="inlineStr">
        <is>
          <t>Demand window</t>
        </is>
      </c>
      <c r="C5" t="inlineStr">
        <is>
          <t>Base demand = 2026-01..2026-08 (8 complete months). 2025 periods are sparse (4 non-consecutive); 2026-09..11 rows are future-dated relative to the snapshot and treated as forward-looking, not history.</t>
        </is>
      </c>
      <c r="D5" t="inlineStr">
        <is>
          <t>assumption</t>
        </is>
      </c>
      <c r="E5" t="inlineStr">
        <is>
          <t>sterile_daily_monthly_usage.csv periods</t>
        </is>
      </c>
      <c r="F5" t="inlineStr">
        <is>
          <t>Window editable in Inputs!B5:B6; summary recalculates.</t>
        </is>
      </c>
    </row>
    <row r="6">
      <c r="A6" t="inlineStr">
        <is>
          <t>U-03</t>
        </is>
      </c>
      <c r="B6" t="inlineStr">
        <is>
          <t>Adverse multiplier</t>
        </is>
      </c>
      <c r="C6" t="inlineStr">
        <is>
          <t>Adverse multiplier 1.315 = mean of per-SKU ratios of surge-flagged to non-surge usage; only 16 flagged rows in window.</t>
        </is>
      </c>
      <c r="D6" t="inlineStr">
        <is>
          <t>evidence claim (small sample)</t>
        </is>
      </c>
      <c r="E6" t="inlineStr">
        <is>
          <t>sterile_daily_monthly_usage.csv exception_flag="surge"</t>
        </is>
      </c>
      <c r="F6" t="inlineStr">
        <is>
          <t>Editable in Inputs!B10; flagged as low-confidence.</t>
        </is>
      </c>
    </row>
    <row r="7">
      <c r="A7" t="inlineStr">
        <is>
          <t>U-04</t>
        </is>
      </c>
      <c r="B7" t="inlineStr">
        <is>
          <t>Upside multiplier</t>
        </is>
      </c>
      <c r="C7" t="inlineStr">
        <is>
          <t>Upside demand relief of 0.90 is a planning judgment with no direct source evidence.</t>
        </is>
      </c>
      <c r="D7" t="inlineStr">
        <is>
          <t>assumption</t>
        </is>
      </c>
      <c r="E7" t="inlineStr">
        <is>
          <t>(none — no source basis)</t>
        </is>
      </c>
      <c r="F7" t="inlineStr">
        <is>
          <t>Editable in Inputs!B12.</t>
        </is>
      </c>
    </row>
    <row r="8">
      <c r="A8" t="inlineStr">
        <is>
          <t>U-05</t>
        </is>
      </c>
      <c r="B8" t="inlineStr">
        <is>
          <t>Target cover</t>
        </is>
      </c>
      <c r="C8" t="inlineStr">
        <is>
          <t>Target 30 days of cover used for gap sizing; SOP states a weekly review cycle but no service-level target.</t>
        </is>
      </c>
      <c r="D8" t="inlineStr">
        <is>
          <t>assumption</t>
        </is>
      </c>
      <c r="E8" t="inlineStr">
        <is>
          <t>SOP-WH-2024-003 §2</t>
        </is>
      </c>
      <c r="F8" t="inlineStr">
        <is>
          <t>Editable in Inputs!B7.</t>
        </is>
      </c>
    </row>
    <row r="9">
      <c r="A9" t="inlineStr">
        <is>
          <t>U-06</t>
        </is>
      </c>
      <c r="B9" t="inlineStr">
        <is>
          <t>Network pooling</t>
        </is>
      </c>
      <c r="C9" t="inlineStr">
        <is>
          <t>Each SKU has usage at multiple sites but stock held at one site; demand aggregated network-wide per SKU. 1,578 transfer units in the usage file support network pooling.</t>
        </is>
      </c>
      <c r="D9" t="inlineStr">
        <is>
          <t>assumption</t>
        </is>
      </c>
      <c r="E9" t="inlineStr">
        <is>
          <t>usage file site_id spread; transfer_qty sum</t>
        </is>
      </c>
      <c r="F9" t="inlineStr">
        <is>
          <t>State explicitly; site-level allocation unresolved.</t>
        </is>
      </c>
    </row>
    <row r="10">
      <c r="A10" t="inlineStr">
        <is>
          <t>U-07</t>
        </is>
      </c>
      <c r="B10" t="inlineStr">
        <is>
          <t>Pool capacity</t>
        </is>
      </c>
      <c r="C10" t="inlineStr">
        <is>
          <t>Scenario pool capacity = sum over sites of (scenario units - reserved emergency units), floored at 0. Only 4 of 12 constraint rows are evidence_status "approved" (SSC-001, -004, -007, -010); the rest are "planning range" or "conditional".</t>
        </is>
      </c>
      <c r="D10" t="inlineStr">
        <is>
          <t>assumption + evidence grading</t>
        </is>
      </c>
      <c r="E10" t="inlineStr">
        <is>
          <t>site_storage_clinical_constraints.csv SSC-001..012</t>
        </is>
      </c>
      <c r="F10" t="inlineStr">
        <is>
          <t>Non-approved count shown per pool in Site_Constraints col K.</t>
        </is>
      </c>
    </row>
    <row r="11">
      <c r="A11" t="inlineStr">
        <is>
          <t>U-08</t>
        </is>
      </c>
      <c r="B11" t="inlineStr">
        <is>
          <t>Overlap discount</t>
        </is>
      </c>
      <c r="C11" t="inlineStr">
        <is>
          <t>shared_execution_fraction read as: when 2+ actions in the same overlap_group are selected, each action beyond the first consumes capacity_units x (1 - fraction). Semantic is not defined in the source.</t>
        </is>
      </c>
      <c r="D11" t="inlineStr">
        <is>
          <t>assumption</t>
        </is>
      </c>
      <c r="E11" t="inlineStr">
        <is>
          <t>supply_action_constraints.csv overlap_group, shared_execution_fraction</t>
        </is>
      </c>
      <c r="F11" t="inlineStr">
        <is>
          <t>Formula in Scenario_Decision col Q; interpretation documented.</t>
        </is>
      </c>
    </row>
    <row r="12">
      <c r="A12" t="inlineStr">
        <is>
          <t>U-09</t>
        </is>
      </c>
      <c r="B12" t="inlineStr">
        <is>
          <t>Mutual exclusion</t>
        </is>
      </c>
      <c r="C12" t="inlineStr">
        <is>
          <t>Actions sharing a mutual_exclusion_group: at most one may be selected (MX-1..MX-4).</t>
        </is>
      </c>
      <c r="D12" t="inlineStr">
        <is>
          <t>assumption</t>
        </is>
      </c>
      <c r="E12" t="inlineStr">
        <is>
          <t>supply_action_constraints.csv mutual_exclusion_group</t>
        </is>
      </c>
      <c r="F12" t="inlineStr">
        <is>
          <t>Live violation check in Scenario_Decision col U.</t>
        </is>
      </c>
    </row>
    <row r="13">
      <c r="A13" t="inlineStr">
        <is>
          <t>U-10</t>
        </is>
      </c>
      <c r="B13" t="inlineStr">
        <is>
          <t>Dependency groups</t>
        </is>
      </c>
      <c r="C13" t="inlineStr">
        <is>
          <t>dependency_group maps 1:1 to clinical family (DG-1..DG-5) or "all critical" (DG-6); treated as a family execution cohort. Program start delay = max start_delay of selected actions. Sequence semantics undefined in source.</t>
        </is>
      </c>
      <c r="D13" t="inlineStr">
        <is>
          <t>assumption</t>
        </is>
      </c>
      <c r="E13" t="inlineStr">
        <is>
          <t>supply_action_constraints.csv dependency_group</t>
        </is>
      </c>
      <c r="F13" t="inlineStr">
        <is>
          <t>Reported in scenario summary.</t>
        </is>
      </c>
    </row>
    <row r="14">
      <c r="A14" t="inlineStr">
        <is>
          <t>U-11</t>
        </is>
      </c>
      <c r="B14" t="inlineStr">
        <is>
          <t>Greedy selection rule</t>
        </is>
      </c>
      <c r="C14" t="inlineStr">
        <is>
          <t>Candidates (scenario-eligible) sorted by (record grade A&gt;B&gt;C, then provided_units/fixed_cost desc, then action_id); select if target family gap &gt; 0, MX group unused, pool capacity (with overlap rule) sufficient. Coverage assigned to largest-gap family for "all critical" actions.</t>
        </is>
      </c>
      <c r="D14" t="inlineStr">
        <is>
          <t>assumption</t>
        </is>
      </c>
      <c r="E14" t="inlineStr">
        <is>
          <t>supply_action_constraints.csv supporting_record_grade</t>
        </is>
      </c>
      <c r="F14" t="inlineStr">
        <is>
          <t>Selected flags editable; all checks live.</t>
        </is>
      </c>
    </row>
    <row r="15">
      <c r="A15" t="inlineStr">
        <is>
          <t>U-12</t>
        </is>
      </c>
      <c r="B15" t="inlineStr">
        <is>
          <t>Exception evidence</t>
        </is>
      </c>
      <c r="C15" t="inlineStr">
        <is>
          <t>48 exception records: 24 documented (invoice/statement), 24 unverified (assertion-only/missing-support). Only documented quantities (422 units) enter confirmed exposure; 501 units are unverified claims.</t>
        </is>
      </c>
      <c r="D15" t="inlineStr">
        <is>
          <t>evidence grading</t>
        </is>
      </c>
      <c r="E15" t="inlineStr">
        <is>
          <t>sterile_exception_records.csv rows 2-49</t>
        </is>
      </c>
      <c r="F15" t="inlineStr">
        <is>
          <t>Formula-graded in Exceptions sheet col I.</t>
        </is>
      </c>
    </row>
    <row r="16">
      <c r="A16" t="inlineStr">
        <is>
          <t>U-13</t>
        </is>
      </c>
      <c r="B16" t="inlineStr">
        <is>
          <t>Static reorder points</t>
        </is>
      </c>
      <c r="C16" t="inlineStr">
        <is>
          <t>submitted_static_reorder_point treated as a submitted claim, not validated policy. 160 of 233 SKUs are below lead-time demand (Dashboard B12); 220 SKUs carry the uniform value 5.</t>
        </is>
      </c>
      <c r="D16" t="inlineStr">
        <is>
          <t>evidence claim</t>
        </is>
      </c>
      <c r="E16" t="inlineStr">
        <is>
          <t>sterile_inventory_lot_snapshot.csv col "submitted_static_reorder_point"</t>
        </is>
      </c>
      <c r="F16" t="inlineStr">
        <is>
          <t>Adequacy flag per SKU in SKU_Exposure col N.</t>
        </is>
      </c>
    </row>
    <row r="17">
      <c r="A17" t="inlineStr">
        <is>
          <t>U-14</t>
        </is>
      </c>
      <c r="B17" t="inlineStr">
        <is>
          <t>Quality events</t>
        </is>
      </c>
      <c r="C17" t="inlineStr">
        <is>
          <t>All 5 suppliers have &gt;=2 not-closed quality events (open or scope-unresolved). Closure scope and affected-lot totals are unresolved; renewal stances are conditional on closure evidence.</t>
        </is>
      </c>
      <c r="D17" t="inlineStr">
        <is>
          <t>unresolved boundary</t>
        </is>
      </c>
      <c r="E17" t="inlineStr">
        <is>
          <t>sterile_supplier_performance.db quality_recall_events</t>
        </is>
      </c>
      <c r="F17" t="inlineStr">
        <is>
          <t>Counted per supplier in Supplier_Scorecard cols M-O.</t>
        </is>
      </c>
    </row>
    <row r="18">
      <c r="A18" t="inlineStr">
        <is>
          <t>U-15</t>
        </is>
      </c>
      <c r="B18" t="inlineStr">
        <is>
          <t>Commercial data</t>
        </is>
      </c>
      <c r="C18" t="inlineStr">
        <is>
          <t>Payment terms, contract dates, MOQ come only from supplier_info; action costs come only from the action catalog. No negotiated prices, contract terms or implementation evidence are asserted.</t>
        </is>
      </c>
      <c r="D18" t="inlineStr">
        <is>
          <t>boundary</t>
        </is>
      </c>
      <c r="E18" t="inlineStr">
        <is>
          <t>sterile_supplier_performance.db supplier_info; supply_action_constraints.csv</t>
        </is>
      </c>
      <c r="F18" t="inlineStr">
        <is>
          <t>Cited, not fabricated.</t>
        </is>
      </c>
    </row>
    <row r="19">
      <c r="A19" t="inlineStr">
        <is>
          <t>U-16</t>
        </is>
      </c>
      <c r="B19" t="inlineStr">
        <is>
          <t>SOP currency</t>
        </is>
      </c>
      <c r="C19" t="inlineStr">
        <is>
          <t>SOP-WH-2024-003 v2.1 review date 2025-08-12 has passed; document may be stale.</t>
        </is>
      </c>
      <c r="D19" t="inlineStr">
        <is>
          <t>unresolved boundary</t>
        </is>
      </c>
      <c r="E19" t="inlineStr">
        <is>
          <t>current_sterile_replenishment_process.docx header</t>
        </is>
      </c>
      <c r="F19" t="inlineStr">
        <is>
          <t>Flagged; process findings cited by section number.</t>
        </is>
      </c>
    </row>
    <row r="20">
      <c r="A20" t="inlineStr">
        <is>
          <t>U-17</t>
        </is>
      </c>
      <c r="B20" t="inlineStr">
        <is>
          <t>Floor semantics</t>
        </is>
      </c>
      <c r="C20" t="inlineStr">
        <is>
          <t>minimum_floor (e.g. 80 vascular kits at HOSP-1) is compared against current usable stock; source does not state the floor period or per-what.</t>
        </is>
      </c>
      <c r="D20" t="inlineStr">
        <is>
          <t>unresolved boundary</t>
        </is>
      </c>
      <c r="E20" t="inlineStr">
        <is>
          <t>site_storage_clinical_constraints.csv cols H-I</t>
        </is>
      </c>
      <c r="F20" t="inlineStr">
        <is>
          <t>Checked on Dashboard rows 33-36.</t>
        </is>
      </c>
    </row>
    <row r="21">
      <c r="A21" t="inlineStr">
        <is>
          <t>U-18</t>
        </is>
      </c>
      <c r="B21" t="inlineStr">
        <is>
          <t>Outcome attribution</t>
        </is>
      </c>
      <c r="C21" t="inlineStr">
        <is>
          <t>Coverage from actions is modeled as full provided_units applied to the family gap; no fill-rate or realization adjustment exists in the sources.</t>
        </is>
      </c>
      <c r="D21" t="inlineStr">
        <is>
          <t>assumption</t>
        </is>
      </c>
      <c r="E21" t="inlineStr">
        <is>
          <t>supply_action_constraints.csv</t>
        </is>
      </c>
      <c r="F21" t="inlineStr">
        <is>
          <t>Residual gap reported honestly per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2026-08-25T11:27:51Z</dcterms:created>
  <dcterms:modified xmlns:dcterms="http://purl.org/dc/terms/" xmlns:xsi="http://www.w3.org/2001/XMLSchema-instance" xsi:type="dcterms:W3CDTF">2026-09-03T08:48:42Z</dcterms:modified>
</cp:coreProperties>
</file>