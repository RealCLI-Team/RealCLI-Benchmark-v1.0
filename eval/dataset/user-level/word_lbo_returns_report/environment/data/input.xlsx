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6.xml" ContentType="application/vnd.openxmlformats-officedocument.spreadsheetml.comments+xml"/>
  <Override PartName="/xl/styles.xml" ContentType="application/vnd.openxmlformats-officedocument.spreadsheetml.styles+xml"/>
  <Override PartName="/xl/comments7.xml" ContentType="application/vnd.openxmlformats-officedocument.spreadsheetml.comments+xml"/>
  <Override PartName="/xl/workbook.xml" ContentType="application/vnd.openxmlformats-officedocument.spreadsheetml.sheet.main+xml"/>
  <Override PartName="/xl/comments10.xml" ContentType="application/vnd.openxmlformats-officedocument.spreadsheetml.comments+xml"/>
  <Override PartName="/xl/sharedStrings.xml" ContentType="application/vnd.openxmlformats-officedocument.spreadsheetml.sharedStrings+xml"/>
  <Override PartName="/xl/theme/theme1.xml" ContentType="application/vnd.openxmlformats-officedocument.theme+xml"/>
  <Override PartName="/xl/comments3.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4.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1.xml" ContentType="application/vnd.openxmlformats-officedocument.spreadsheetml.comments+xml"/>
  <Override PartName="/xl/drawings/drawing1.xml" ContentType="application/vnd.openxmlformats-officedocument.drawing+xml"/>
  <Override PartName="/xl/drawings/vmlDrawing3.vml" ContentType="application/vnd.openxmlformats-officedocument.vmlDrawing"/>
  <Override PartName="/xl/drawings/vmlDrawing1.vml" ContentType="application/vnd.openxmlformats-officedocument.vmlDrawing"/>
  <Override PartName="/xl/drawings/vmlDrawing2.vml" ContentType="application/vnd.openxmlformats-officedocument.vmlDrawing"/>
  <Override PartName="/xl/drawings/vmlDrawing4.vml" ContentType="application/vnd.openxmlformats-officedocument.vmlDrawing"/>
  <Override PartName="/xl/drawings/_rels/drawing1.xml.rels" ContentType="application/vnd.openxmlformats-package.relationships+xml"/>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drawings/vmlDrawing8.vml" ContentType="application/vnd.openxmlformats-officedocument.vmlDrawing"/>
  <Override PartName="/xl/media/image1.png" ContentType="image/png"/>
  <Override PartName="/xl/comments4.xml" ContentType="application/vnd.openxmlformats-officedocument.spreadsheetml.comments+xml"/>
  <Override PartName="/xl/comments2.xml" ContentType="application/vnd.openxmlformats-officedocument.spreadsheetml.comments+xml"/>
  <Override PartName="/xl/comments5.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put" sheetId="1" state="visible" r:id="rId3"/>
    <sheet name="Inc_St" sheetId="2" state="visible" r:id="rId4"/>
    <sheet name="Bal_Sheet" sheetId="3" state="visible" r:id="rId5"/>
    <sheet name="Cash_Flow" sheetId="4" state="visible" r:id="rId6"/>
    <sheet name="Depr_Amort" sheetId="5" state="visible" r:id="rId7"/>
    <sheet name="Income_Tax" sheetId="6" state="visible" r:id="rId8"/>
    <sheet name="WACC" sheetId="7" state="visible" r:id="rId9"/>
    <sheet name="DCF_Analysis" sheetId="8" state="visible" r:id="rId10"/>
    <sheet name="IRR_Returns" sheetId="9" state="visible" r:id="rId11"/>
    <sheet name="Ratios" sheetId="10" state="visible" r:id="rId12"/>
  </sheets>
  <definedNames>
    <definedName function="false" hidden="false" name="acc_exp" vbProcedure="false">Input!$N$32</definedName>
    <definedName function="false" hidden="false" name="acc_exp_ann_incr" vbProcedure="false">Input!$N$33</definedName>
    <definedName function="false" hidden="false" name="acc_payable" vbProcedure="false">Input!$N$30</definedName>
    <definedName function="false" hidden="false" name="acc_payable_ann_incr" vbProcedure="false">Input!$N$31</definedName>
    <definedName function="false" hidden="false" name="acc_recv" vbProcedure="false">Input!$N$19</definedName>
    <definedName function="false" hidden="false" name="acc_recv_ann_incr" vbProcedure="false">Input!$N$20</definedName>
    <definedName function="false" hidden="false" name="assumed_debt_ann_repay" vbProcedure="false">Input!$I$10</definedName>
    <definedName function="false" hidden="false" name="assumed_debt_avg_int" vbProcedure="false">Input!$I$12</definedName>
    <definedName function="false" hidden="false" name="assumed_debt_cou_rate" vbProcedure="false">Input!$I$11</definedName>
    <definedName function="false" hidden="false" name="assumed_debt_maturity_year" vbProcedure="false">Input!$I$9</definedName>
    <definedName function="false" hidden="false" name="assumed_debt_prepay" vbProcedure="false">Input!$I$13</definedName>
    <definedName function="false" hidden="false" name="bank_revolver_cou_rate" vbProcedure="false">Input!$I$16</definedName>
    <definedName function="false" hidden="false" name="capex" vbProcedure="false">Input!$N$36</definedName>
    <definedName function="false" hidden="false" name="capex_interval" vbProcedure="false">Input!$N$38</definedName>
    <definedName function="false" hidden="false" name="capex_start_year" vbProcedure="false">Input!$N$37</definedName>
    <definedName function="false" hidden="false" name="cash_min" vbProcedure="false">Input!$N$43</definedName>
    <definedName function="false" hidden="false" name="cash_min_amt" vbProcedure="false">Input!$N$42</definedName>
    <definedName function="false" hidden="false" name="cogs" vbProcedure="false">Input!$N$11</definedName>
    <definedName function="false" hidden="false" name="cogs_ann_incr" vbProcedure="false">Input!$N$12</definedName>
    <definedName function="false" hidden="false" name="discount_rate_range" vbProcedure="false">Input!$N$51</definedName>
    <definedName function="false" hidden="false" name="ebitda_multiple" vbProcedure="false">Input!$N$52</definedName>
    <definedName function="false" hidden="false" name="ebitda_multiple_range" vbProcedure="false">Input!$N$53</definedName>
    <definedName function="false" hidden="false" name="exit_year" vbProcedure="false">IRR_Returns!$B$4</definedName>
    <definedName function="false" hidden="false" name="goodwill_intang_deductible" vbProcedure="false">Depr_Amort!$N$6</definedName>
    <definedName function="false" hidden="false" name="inventories" vbProcedure="false">Input!$N$21</definedName>
    <definedName function="false" hidden="false" name="inventories_ann_incr" vbProcedure="false">Input!$N$22</definedName>
    <definedName function="false" hidden="false" name="mezzdebt_avg_int" vbProcedure="false">Input!$I$51</definedName>
    <definedName function="false" hidden="false" name="mezzdebt_cou_rate" vbProcedure="false">Input!$I$50</definedName>
    <definedName function="false" hidden="false" name="mezzdebt_maturity_year" vbProcedure="false">Input!$I$49</definedName>
    <definedName function="false" hidden="false" name="mezzdebt_prepay" vbProcedure="false">Input!$I$53</definedName>
    <definedName function="false" hidden="false" name="mezzdebt_years_PIK" vbProcedure="false">Input!$I$52</definedName>
    <definedName function="false" hidden="false" name="no_shares_outs" vbProcedure="false">Input!$C$11</definedName>
    <definedName function="false" hidden="false" name="other_curr_assets" vbProcedure="false">Input!$N$25</definedName>
    <definedName function="false" hidden="false" name="other_curr_assets_ann_incr" vbProcedure="false">Input!$N$26</definedName>
    <definedName function="false" hidden="false" name="other_curr_liab" vbProcedure="false">Input!$N$34</definedName>
    <definedName function="false" hidden="false" name="other_curr_liab_ann_incr" vbProcedure="false">Input!$N$35</definedName>
    <definedName function="false" hidden="false" name="other_exp" vbProcedure="false">Input!$N$15</definedName>
    <definedName function="false" hidden="false" name="other_exp_ann_incr" vbProcedure="false">Input!$N$16</definedName>
    <definedName function="false" hidden="false" name="other_longterm_assets" vbProcedure="false">Input!$N$27</definedName>
    <definedName function="false" hidden="false" name="other_longterm_assets_ann_incr" vbProcedure="false">Input!$N$28</definedName>
    <definedName function="false" hidden="false" name="perpetuity_growth_range" vbProcedure="false">Input!$N$55</definedName>
    <definedName function="false" hidden="false" name="perpetuity_growth_rate" vbProcedure="false">Input!$N$54</definedName>
    <definedName function="false" hidden="false" name="pref_stock_div" vbProcedure="false">Input!$I$64</definedName>
    <definedName function="false" hidden="false" name="pref_stock_retired_year" vbProcedure="false">Input!$I$66</definedName>
    <definedName function="false" hidden="false" name="pref_stock_years_PIK" vbProcedure="false">Input!$I$65</definedName>
    <definedName function="false" hidden="false" name="prepaids" vbProcedure="false">Input!$N$23</definedName>
    <definedName function="false" hidden="false" name="prepaids_ann_incr" vbProcedure="false">Input!$N$24</definedName>
    <definedName function="false" hidden="false" name="revolver_limit" vbProcedure="false">Input!$I$17</definedName>
    <definedName function="false" hidden="false" name="sales_ann_incr" vbProcedure="false">Input!$N$10</definedName>
    <definedName function="false" hidden="false" name="sales_yr1" vbProcedure="false">Input!$N$9</definedName>
    <definedName function="false" hidden="false" name="seller_notes_ann_repay" vbProcedure="false">Input!$I$57</definedName>
    <definedName function="false" hidden="false" name="seller_notes_avg_int" vbProcedure="false">Input!$I$59</definedName>
    <definedName function="false" hidden="false" name="seller_notes_cou_rate" vbProcedure="false">Input!$I$58</definedName>
    <definedName function="false" hidden="false" name="seller_notes_prepay" vbProcedure="false">Input!$I$61</definedName>
    <definedName function="false" hidden="false" name="seller_notes_term_year" vbProcedure="false">Input!$I$56</definedName>
    <definedName function="false" hidden="false" name="seller_notes_years_PIK" vbProcedure="false">Input!$I$60</definedName>
    <definedName function="false" hidden="false" name="senior_notes_avg_int" vbProcedure="false">Input!$I$38</definedName>
    <definedName function="false" hidden="false" name="senior_notes_cou_rate" vbProcedure="false">Input!$I$37</definedName>
    <definedName function="false" hidden="false" name="senior_notes_mat_yr" vbProcedure="false">Input!$I$36</definedName>
    <definedName function="false" hidden="false" name="senior_notes_prepay" vbProcedure="false">Input!$I$39</definedName>
    <definedName function="false" hidden="false" name="sga_exp" vbProcedure="false">Input!$N$13</definedName>
    <definedName function="false" hidden="false" name="sga_exp_ann_incr" vbProcedure="false">Input!$N$14</definedName>
    <definedName function="false" hidden="false" name="sub_notes_avg_int" vbProcedure="false">Input!$I$44</definedName>
    <definedName function="false" hidden="false" name="sub_notes_cou_rate" vbProcedure="false">Input!$I$43</definedName>
    <definedName function="false" hidden="false" name="sub_notes_mat_yr" vbProcedure="false">Input!$I$42</definedName>
    <definedName function="false" hidden="false" name="sub_notes_prepay" vbProcedure="false">Input!$I$46</definedName>
    <definedName function="false" hidden="false" name="sub_notes_years_PIK" vbProcedure="false">Input!$I$45</definedName>
    <definedName function="false" hidden="false" name="tax_rate" vbProcedure="false">Input!$N$45</definedName>
    <definedName function="false" hidden="false" name="termloanA_ann_repay" vbProcedure="false">Input!$I$22</definedName>
    <definedName function="false" hidden="false" name="termloanA_avg_int" vbProcedure="false">Input!$I$24</definedName>
    <definedName function="false" hidden="false" name="termloanA_cou_rate" vbProcedure="false">Input!$I$23</definedName>
    <definedName function="false" hidden="false" name="termloanA_prepay" vbProcedure="false">Input!$I$25</definedName>
    <definedName function="false" hidden="false" name="termloanA_term_years" vbProcedure="false">Input!$I$21</definedName>
    <definedName function="false" hidden="false" name="termloanB_ann_repay" vbProcedure="false">Input!$I$29</definedName>
    <definedName function="false" hidden="false" name="termloanB_avg_int" vbProcedure="false">Input!$I$32</definedName>
    <definedName function="false" hidden="false" name="termloanB_bulletyr_repayment" vbProcedure="false">Input!$I$30</definedName>
    <definedName function="false" hidden="false" name="termloanB_cou_rate" vbProcedure="false">Input!$I$31</definedName>
    <definedName function="false" hidden="false" name="termloanB_prepay" vbProcedure="false">Input!$I$33</definedName>
    <definedName function="false" hidden="false" name="termloanB_term_years" vbProcedure="false">Input!$I$28</definedName>
    <definedName function="false" hidden="false" name="undrawn_commit_fee" vbProcedure="false">Input!$I$18</definedName>
    <definedName function="false" hidden="false" name="WACC" vbProcedure="false">Input!$N$50</definedName>
    <definedName function="false" hidden="false" name="year1" vbProcedure="false">Input!$N$46</definedName>
  </definedNames>
  <calcPr iterateCount="100" refMode="A1" iterate="true" iterateDelta="0.001"/>
  <extLst>
    <ext xmlns:loext="http://schemas.libreoffice.org/" uri="{7626C862-2A13-11E5-B345-FEFF819CDC9F}">
      <loext:extCalcPr stringRefSyntax="CalcA1"/>
    </ext>
  </extLst>
</workbook>
</file>

<file path=xl/comments1.xml><?xml version="1.0" encoding="utf-8"?>
<comments xmlns="http://schemas.openxmlformats.org/spreadsheetml/2006/main" xmlns:xdr="http://schemas.openxmlformats.org/drawingml/2006/spreadsheetDrawing">
  <authors>
    <author>Unknown Author</author>
  </authors>
  <commentList>
    <comment ref="A2" authorId="0">
      <text>
        <r>
          <rPr>
            <b val="true"/>
            <sz val="8"/>
            <color rgb="FF000000"/>
            <rFont val="Tahoma"/>
            <family val="2"/>
          </rPr>
          <t xml:space="preserve">Amit Tandon:
</t>
        </r>
        <r>
          <rPr>
            <sz val="8"/>
            <color rgb="FF000000"/>
            <rFont val="Tahoma"/>
            <family val="2"/>
          </rPr>
          <t xml:space="preserve">A leveraged buyout (LBO) is an acquisition of a company or a segment of a company funded mostly with debt. A financial buyer (e.g. private equity fund) invests a small amount of equity (relative to the total purchase price) and uses leverage (debt or other non-equity sources of financing) to fund the remainder of the consideration paid to the seller.</t>
        </r>
      </text>
    </comment>
    <comment ref="B16" authorId="0">
      <text>
        <r>
          <rPr>
            <b val="true"/>
            <sz val="8"/>
            <color rgb="FF000000"/>
            <rFont val="Tahoma"/>
            <family val="2"/>
          </rPr>
          <t xml:space="preserve">Amit Tandon:
</t>
        </r>
        <r>
          <rPr>
            <sz val="8"/>
            <color rgb="FF000000"/>
            <rFont val="Tahoma"/>
            <family val="2"/>
          </rPr>
          <t xml:space="preserve">Expensed as incurred (in current period) in accordance with FAS 141r.</t>
        </r>
      </text>
    </comment>
    <comment ref="B17" authorId="0">
      <text>
        <r>
          <rPr>
            <b val="true"/>
            <sz val="8"/>
            <color rgb="FF000000"/>
            <rFont val="Tahoma"/>
            <family val="2"/>
          </rPr>
          <t xml:space="preserve">Amit Tandon:
</t>
        </r>
        <r>
          <rPr>
            <sz val="8"/>
            <color rgb="FF000000"/>
            <rFont val="Tahoma"/>
            <family val="2"/>
          </rPr>
          <t xml:space="preserve">Costs to issue debt and equity securities are excluded from Expensed Transaction Costs (per FAS 141r) and are to be accounted for under other applicable GAAP. </t>
        </r>
      </text>
    </comment>
    <comment ref="B20" authorId="0">
      <text>
        <r>
          <rPr>
            <b val="true"/>
            <sz val="8"/>
            <color rgb="FF000000"/>
            <rFont val="Tahoma"/>
            <family val="2"/>
          </rPr>
          <t xml:space="preserve">Amit Tandon:
</t>
        </r>
        <r>
          <rPr>
            <sz val="8"/>
            <color rgb="FF000000"/>
            <rFont val="Tahoma"/>
            <family val="2"/>
          </rPr>
          <t xml:space="preserve">To reconcile with "Sources of Funds".</t>
        </r>
      </text>
    </comment>
    <comment ref="B23" authorId="0">
      <text>
        <r>
          <rPr>
            <b val="true"/>
            <sz val="8"/>
            <color rgb="FF000000"/>
            <rFont val="Tahoma"/>
            <family val="2"/>
          </rPr>
          <t xml:space="preserve">Amit Tandon:
</t>
        </r>
        <r>
          <rPr>
            <sz val="8"/>
            <color rgb="FF000000"/>
            <rFont val="Tahoma"/>
            <family val="2"/>
          </rPr>
          <t xml:space="preserve">In a leveraged buyout (LBO), the target company's existing debt is usually refinanced (although it can be rolled over) and replaced with new debt to finance the transaction. Multiple tranches of debt are commonly used to finance LBOs.</t>
        </r>
      </text>
    </comment>
    <comment ref="B26" authorId="0">
      <text>
        <r>
          <rPr>
            <b val="true"/>
            <sz val="8"/>
            <color rgb="FF000000"/>
            <rFont val="Tahoma"/>
            <family val="2"/>
          </rPr>
          <t xml:space="preserve">Amit Tandon:
</t>
        </r>
        <r>
          <rPr>
            <sz val="8"/>
            <color rgb="FF000000"/>
            <rFont val="Tahoma"/>
            <family val="2"/>
          </rPr>
          <t xml:space="preserve">Amortized evenly over specified no. of years.</t>
        </r>
      </text>
    </comment>
    <comment ref="B27" authorId="0">
      <text>
        <r>
          <rPr>
            <b val="true"/>
            <sz val="8"/>
            <color rgb="FF000000"/>
            <rFont val="Tahoma"/>
            <family val="2"/>
          </rPr>
          <t xml:space="preserve">Amit Tandon:
</t>
        </r>
        <r>
          <rPr>
            <sz val="8"/>
            <color rgb="FF000000"/>
            <rFont val="Tahoma"/>
            <family val="2"/>
          </rPr>
          <t xml:space="preserve">A revolver is a form of senior bank debt that acts like a credit card for companies and is generally used to help fund a company's working capital needs.</t>
        </r>
      </text>
    </comment>
    <comment ref="B28" authorId="0">
      <text>
        <r>
          <rPr>
            <b val="true"/>
            <sz val="8"/>
            <color rgb="FF000000"/>
            <rFont val="Tahoma"/>
            <family val="2"/>
          </rPr>
          <t xml:space="preserve">Amit Tandon:
</t>
        </r>
        <r>
          <rPr>
            <sz val="8"/>
            <color rgb="FF000000"/>
            <rFont val="Tahoma"/>
            <family val="2"/>
          </rPr>
          <t xml:space="preserve">Bank debt, typically amortized evenly over specified no. of years.
</t>
        </r>
      </text>
    </comment>
    <comment ref="B29" authorId="0">
      <text>
        <r>
          <rPr>
            <b val="true"/>
            <sz val="8"/>
            <color rgb="FF000000"/>
            <rFont val="Tahoma"/>
            <family val="2"/>
          </rPr>
          <t xml:space="preserve">Amit Tandon:
</t>
        </r>
        <r>
          <rPr>
            <sz val="8"/>
            <color rgb="FF000000"/>
            <rFont val="Tahoma"/>
            <family val="2"/>
          </rPr>
          <t xml:space="preserve">Bank debt (Term Loan B), usually involves nominal amortization (repayment) overspecified no. of years, with a large bullet payment in the last year.</t>
        </r>
      </text>
    </comment>
    <comment ref="B30" authorId="0">
      <text>
        <r>
          <rPr>
            <b val="true"/>
            <sz val="8"/>
            <color rgb="FF000000"/>
            <rFont val="Tahoma"/>
            <family val="2"/>
          </rPr>
          <t xml:space="preserve">Amit Tandon:
</t>
        </r>
        <r>
          <rPr>
            <sz val="8"/>
            <color rgb="FF000000"/>
            <rFont val="Tahoma"/>
            <family val="2"/>
          </rPr>
          <t xml:space="preserve">Carries a bullet repayment with no amortization. Categorized as Senior Debt.</t>
        </r>
      </text>
    </comment>
    <comment ref="B31" authorId="0">
      <text>
        <r>
          <rPr>
            <b val="true"/>
            <sz val="8"/>
            <color rgb="FF000000"/>
            <rFont val="Tahoma"/>
            <family val="2"/>
          </rPr>
          <t xml:space="preserve">Amit Tandon:
</t>
        </r>
        <r>
          <rPr>
            <sz val="8"/>
            <color rgb="FF000000"/>
            <rFont val="Tahoma"/>
            <family val="2"/>
          </rPr>
          <t xml:space="preserve">Carries a bullet repayment with no amortization. 
This is high-yield debt and the interest may be either cash-pay, payment-in-kind ("PIK"), or a combination of both. It may be structured so that the PIK option is available for the first few years of the debt's life, after which cash-pay becomes mandatory.
</t>
        </r>
      </text>
    </comment>
    <comment ref="B32" authorId="0">
      <text>
        <r>
          <rPr>
            <b val="true"/>
            <sz val="8"/>
            <color rgb="FF000000"/>
            <rFont val="Tahoma"/>
            <family val="2"/>
          </rPr>
          <t xml:space="preserve">Amit Tandon:
</t>
        </r>
        <r>
          <rPr>
            <sz val="8"/>
            <color rgb="FF000000"/>
            <rFont val="Tahoma"/>
            <family val="2"/>
          </rPr>
          <t xml:space="preserve">Carries bullet repayments with no amortization.
This is high-yield debt and the interest may be either cash-pay, payment-in-kind ("PIK"), or a combination of both. It may be structured so that the PIK option is available for the first few years of the debt's life, after which cash-pay becomes mandatory.</t>
        </r>
      </text>
    </comment>
    <comment ref="B33" authorId="0">
      <text>
        <r>
          <rPr>
            <b val="true"/>
            <sz val="8"/>
            <color rgb="FF000000"/>
            <rFont val="Tahoma"/>
            <family val="2"/>
          </rPr>
          <t xml:space="preserve">Amit Tandon:
</t>
        </r>
        <r>
          <rPr>
            <sz val="8"/>
            <color rgb="FF000000"/>
            <rFont val="Tahoma"/>
            <family val="2"/>
          </rPr>
          <t xml:space="preserve">Amortize over fixed period of time.</t>
        </r>
      </text>
    </comment>
    <comment ref="B43" authorId="0">
      <text>
        <r>
          <rPr>
            <b val="true"/>
            <sz val="8"/>
            <color rgb="FF000000"/>
            <rFont val="Tahoma"/>
            <family val="2"/>
          </rPr>
          <t xml:space="preserve">Amit Tandon:
</t>
        </r>
        <r>
          <rPr>
            <sz val="8"/>
            <color rgb="FF000000"/>
            <rFont val="Tahoma"/>
            <family val="2"/>
          </rPr>
          <t xml:space="preserve">Purchase price - Fair value of net assets acquired = Goodwill
</t>
        </r>
      </text>
    </comment>
    <comment ref="B46" authorId="0">
      <text>
        <r>
          <rPr>
            <b val="true"/>
            <sz val="8"/>
            <color rgb="FF000000"/>
            <rFont val="Tahoma"/>
            <family val="2"/>
          </rPr>
          <t xml:space="preserve">Amit Tandon:
</t>
        </r>
        <r>
          <rPr>
            <sz val="8"/>
            <color rgb="FF000000"/>
            <rFont val="Tahoma"/>
            <family val="2"/>
          </rPr>
          <t xml:space="preserve">Any goodwill or deferred tax items existing on the target's balance sheet at the time of acquisition are written off.</t>
        </r>
      </text>
    </comment>
    <comment ref="B49" authorId="0">
      <text>
        <r>
          <rPr>
            <b val="true"/>
            <sz val="8"/>
            <color rgb="FF000000"/>
            <rFont val="Tahoma"/>
            <family val="2"/>
          </rPr>
          <t xml:space="preserve">Amit Tandon:
</t>
        </r>
        <r>
          <rPr>
            <sz val="8"/>
            <color rgb="FF000000"/>
            <rFont val="Tahoma"/>
            <family val="2"/>
          </rPr>
          <t xml:space="preserve">Both Fixed Assets and Intangibles. Exceptions: the following are not measured at fair value:
1. Assets and liabilities arising from contingencies
2. Income taxes
3. Employee benefits
4. Indemnification assets
5. Reacquired rights
6. Share-based payment awards
7. Assets held for sale
Each of the above are to measured in accordance with the guidance of the Statements that they currently fall under. (I.e. Share-based payment awards follow the guidance in FAS123R)
</t>
        </r>
      </text>
    </comment>
    <comment ref="B50" authorId="0">
      <text>
        <r>
          <rPr>
            <b val="true"/>
            <sz val="8"/>
            <color rgb="FF000000"/>
            <rFont val="Tahoma"/>
            <family val="2"/>
          </rPr>
          <t xml:space="preserve">Amit Tandon:
</t>
        </r>
        <r>
          <rPr>
            <sz val="8"/>
            <color rgb="FF000000"/>
            <rFont val="Tahoma"/>
            <family val="2"/>
          </rPr>
          <t xml:space="preserve">Acquired intangible assets may represent indefinite-lived assets (e.g., certain trademarks or brands), determinable-lived intangibles (e.g., certain trademarks or brands, customer relationships, patents and technologies) or residual goodwill. Of these, only the costs of determinable-lived intangibles are amortized to expense over their estimated life. The value of indefinite-lived intangible assets and residual goodwill is not amortized, but is tested at least annually for impairment. </t>
        </r>
      </text>
    </comment>
    <comment ref="B51" authorId="0">
      <text>
        <r>
          <rPr>
            <b val="true"/>
            <sz val="8"/>
            <color rgb="FF000000"/>
            <rFont val="Tahoma"/>
            <family val="2"/>
          </rPr>
          <t xml:space="preserve">Amit Tandon:
</t>
        </r>
        <r>
          <rPr>
            <sz val="8"/>
            <color rgb="FF000000"/>
            <rFont val="Tahoma"/>
            <family val="2"/>
          </rPr>
          <t xml:space="preserve">Any goodwill or deferred tax items existing on the target's balance sheet at the time of acquisition are written off.</t>
        </r>
      </text>
    </comment>
    <comment ref="B53" authorId="0">
      <text>
        <r>
          <rPr>
            <b val="true"/>
            <sz val="8"/>
            <color rgb="FF000000"/>
            <rFont val="Tahoma"/>
            <family val="2"/>
          </rPr>
          <t xml:space="preserve">Amit Tandon:
</t>
        </r>
        <r>
          <rPr>
            <sz val="8"/>
            <color rgb="FF000000"/>
            <rFont val="Tahoma"/>
            <family val="2"/>
          </rPr>
          <t xml:space="preserve">Excess paid on acquisition is "Goodwill" which is amortized over a specific no. of years and immediately recognize "Gain from Bargain Purchase" in earnings (included in Retained Earnings) as a gain in accordance with FAS 141r.
FAS 141(R) amended FAS 109 to require a deferred tax asset to be recorded for the excess of tax deductible goodwill over book goodwill as of the acquisition date. </t>
        </r>
      </text>
    </comment>
    <comment ref="C16" authorId="0">
      <text>
        <r>
          <rPr>
            <b val="true"/>
            <sz val="8"/>
            <color rgb="FF000000"/>
            <rFont val="Tahoma"/>
            <family val="2"/>
          </rPr>
          <t xml:space="preserve">Amit Tandon:
</t>
        </r>
        <r>
          <rPr>
            <sz val="8"/>
            <color rgb="FF000000"/>
            <rFont val="Tahoma"/>
            <family val="2"/>
          </rPr>
          <t xml:space="preserve">Includes investment banking, legal, accounting &amp; other expenses related to the transaction/ acquisition, with the exception of debt and equity issuance costs.
</t>
        </r>
      </text>
    </comment>
    <comment ref="C17" authorId="0">
      <text>
        <r>
          <rPr>
            <b val="true"/>
            <sz val="8"/>
            <color rgb="FF000000"/>
            <rFont val="Tahoma"/>
            <family val="2"/>
          </rPr>
          <t xml:space="preserve">Amit Tandon:
</t>
        </r>
        <r>
          <rPr>
            <sz val="8"/>
            <color rgb="FF000000"/>
            <rFont val="Tahoma"/>
            <family val="2"/>
          </rPr>
          <t xml:space="preserve">Costs to issue debt and equity securities are excluded from Expensed Transaction Costs (per FAS 141r) and are to be accounted for under other applicable GAAP. 
Debt issuance fees, is to be capitalized (and amortized over the term of the debt) and Equity issuance fees to be netted against proceeds from the offering. </t>
        </r>
      </text>
    </comment>
    <comment ref="C27" authorId="0">
      <text>
        <r>
          <rPr>
            <b val="true"/>
            <sz val="8"/>
            <color rgb="FF000000"/>
            <rFont val="Tahoma"/>
            <family val="2"/>
          </rPr>
          <t xml:space="preserve">Amit Tandon:
</t>
        </r>
        <r>
          <rPr>
            <sz val="8"/>
            <color rgb="FF000000"/>
            <rFont val="Tahoma"/>
            <family val="2"/>
          </rPr>
          <t xml:space="preserve">Balance of Total Funds Requirement less Sources of Funds (exc.l revolver).</t>
        </r>
      </text>
    </comment>
    <comment ref="E25" authorId="0">
      <text>
        <r>
          <rPr>
            <b val="true"/>
            <sz val="8"/>
            <color rgb="FF000000"/>
            <rFont val="Tahoma"/>
            <family val="2"/>
          </rPr>
          <t xml:space="preserve">Amit Tandon:
</t>
        </r>
        <r>
          <rPr>
            <sz val="8"/>
            <color rgb="FF000000"/>
            <rFont val="Tahoma"/>
            <family val="2"/>
          </rPr>
          <t xml:space="preserve">Issue Costs.</t>
        </r>
      </text>
    </comment>
    <comment ref="E35" authorId="0">
      <text>
        <r>
          <rPr>
            <b val="true"/>
            <sz val="8"/>
            <color rgb="FF000000"/>
            <rFont val="Tahoma"/>
            <family val="2"/>
          </rPr>
          <t xml:space="preserve">Amit Tandon:
</t>
        </r>
        <r>
          <rPr>
            <sz val="8"/>
            <color rgb="FF000000"/>
            <rFont val="Tahoma"/>
            <family val="2"/>
          </rPr>
          <t xml:space="preserve">Equity issuance fees to be netted against proceeds from the offering. 
Issue Costs of Preferred Stock need to be adjusted against APIC (Additional Paid In Capital), which also includes any premium charged over par value. Preferred Dividend will be payable on par value of stock.
NOT being accounted for in this model presently.</t>
        </r>
      </text>
    </comment>
    <comment ref="H13" authorId="0">
      <text>
        <r>
          <rPr>
            <b val="true"/>
            <sz val="8"/>
            <color rgb="FF000000"/>
            <rFont val="Tahoma"/>
            <family val="2"/>
          </rPr>
          <t xml:space="preserve">Amit Tandon:
</t>
        </r>
        <r>
          <rPr>
            <sz val="8"/>
            <color rgb="FF000000"/>
            <rFont val="Tahoma"/>
            <family val="2"/>
          </rPr>
          <t xml:space="preserve">Optional repayment option, subject to excess cash.</t>
        </r>
      </text>
    </comment>
    <comment ref="H15" authorId="0">
      <text>
        <r>
          <rPr>
            <b val="true"/>
            <sz val="8"/>
            <color rgb="FF000000"/>
            <rFont val="Tahoma"/>
            <family val="2"/>
          </rPr>
          <t xml:space="preserve">Amit Tandon:
</t>
        </r>
        <r>
          <rPr>
            <sz val="8"/>
            <color rgb="FF000000"/>
            <rFont val="Tahoma"/>
            <family val="2"/>
          </rPr>
          <t xml:space="preserve">Balance adjustable every year subject to Cash Balance and Cash Minimum.</t>
        </r>
      </text>
    </comment>
    <comment ref="H25" authorId="0">
      <text>
        <r>
          <rPr>
            <b val="true"/>
            <sz val="8"/>
            <color rgb="FF000000"/>
            <rFont val="Tahoma"/>
            <family val="2"/>
          </rPr>
          <t xml:space="preserve">Amit Tandon:
</t>
        </r>
        <r>
          <rPr>
            <sz val="8"/>
            <color rgb="FF000000"/>
            <rFont val="Tahoma"/>
            <family val="2"/>
          </rPr>
          <t xml:space="preserve">Optional repayment option, subject to excess cash.</t>
        </r>
      </text>
    </comment>
    <comment ref="H30" authorId="0">
      <text>
        <r>
          <rPr>
            <b val="true"/>
            <sz val="8"/>
            <color rgb="FF000000"/>
            <rFont val="Tahoma"/>
            <family val="2"/>
          </rPr>
          <t xml:space="preserve">Amit Tandon:
</t>
        </r>
        <r>
          <rPr>
            <sz val="8"/>
            <color rgb="FF000000"/>
            <rFont val="Tahoma"/>
            <family val="2"/>
          </rPr>
          <t xml:space="preserve">Bank debt (Term Loan B), usually involves nominal amortization (repayment) overspecified no. of years, with a large bullet payment in the last year.</t>
        </r>
      </text>
    </comment>
    <comment ref="H33" authorId="0">
      <text>
        <r>
          <rPr>
            <b val="true"/>
            <sz val="8"/>
            <color rgb="FF000000"/>
            <rFont val="Tahoma"/>
            <family val="2"/>
          </rPr>
          <t xml:space="preserve">Amit Tandon:
</t>
        </r>
        <r>
          <rPr>
            <sz val="8"/>
            <color rgb="FF000000"/>
            <rFont val="Tahoma"/>
            <family val="2"/>
          </rPr>
          <t xml:space="preserve">Optional repayment option, subject to excess cash.</t>
        </r>
      </text>
    </comment>
    <comment ref="H39" authorId="0">
      <text>
        <r>
          <rPr>
            <b val="true"/>
            <sz val="8"/>
            <color rgb="FF000000"/>
            <rFont val="Tahoma"/>
            <family val="2"/>
          </rPr>
          <t xml:space="preserve">Amit Tandon:
</t>
        </r>
        <r>
          <rPr>
            <sz val="8"/>
            <color rgb="FF000000"/>
            <rFont val="Tahoma"/>
            <family val="2"/>
          </rPr>
          <t xml:space="preserve">Optional repayment option, subject to excess cash.</t>
        </r>
      </text>
    </comment>
    <comment ref="H46" authorId="0">
      <text>
        <r>
          <rPr>
            <b val="true"/>
            <sz val="8"/>
            <color rgb="FF000000"/>
            <rFont val="Tahoma"/>
            <family val="2"/>
          </rPr>
          <t xml:space="preserve">Amit Tandon:
</t>
        </r>
        <r>
          <rPr>
            <sz val="8"/>
            <color rgb="FF000000"/>
            <rFont val="Tahoma"/>
            <family val="2"/>
          </rPr>
          <t xml:space="preserve">Optional repayment option, subject to excess cash.</t>
        </r>
      </text>
    </comment>
    <comment ref="H53" authorId="0">
      <text>
        <r>
          <rPr>
            <b val="true"/>
            <sz val="8"/>
            <color rgb="FF000000"/>
            <rFont val="Tahoma"/>
            <family val="2"/>
          </rPr>
          <t xml:space="preserve">Amit Tandon:
</t>
        </r>
        <r>
          <rPr>
            <sz val="8"/>
            <color rgb="FF000000"/>
            <rFont val="Tahoma"/>
            <family val="2"/>
          </rPr>
          <t xml:space="preserve">Optional repayment option, subject to excess cash.</t>
        </r>
      </text>
    </comment>
    <comment ref="H61" authorId="0">
      <text>
        <r>
          <rPr>
            <b val="true"/>
            <sz val="8"/>
            <color rgb="FF000000"/>
            <rFont val="Tahoma"/>
            <family val="2"/>
          </rPr>
          <t xml:space="preserve">Amit Tandon:
</t>
        </r>
        <r>
          <rPr>
            <sz val="8"/>
            <color rgb="FF000000"/>
            <rFont val="Tahoma"/>
            <family val="2"/>
          </rPr>
          <t xml:space="preserve">Optional repayment option, subject to excess cash.</t>
        </r>
      </text>
    </comment>
    <comment ref="H66" authorId="0">
      <text>
        <r>
          <rPr>
            <b val="true"/>
            <sz val="8"/>
            <color rgb="FF000000"/>
            <rFont val="Tahoma"/>
            <family val="2"/>
          </rPr>
          <t xml:space="preserve">Amit Tandon:
</t>
        </r>
        <r>
          <rPr>
            <sz val="8"/>
            <color rgb="FF000000"/>
            <rFont val="Tahoma"/>
            <family val="2"/>
          </rPr>
          <t xml:space="preserve">Leave Blank in case not repaid.</t>
        </r>
      </text>
    </comment>
    <comment ref="I13" authorId="0">
      <text>
        <r>
          <rPr>
            <b val="true"/>
            <sz val="8"/>
            <color rgb="FF000000"/>
            <rFont val="Tahoma"/>
            <family val="2"/>
          </rPr>
          <t xml:space="preserve">Amit Tandon:
</t>
        </r>
        <r>
          <rPr>
            <sz val="8"/>
            <color rgb="FF000000"/>
            <rFont val="Tahoma"/>
            <family val="2"/>
          </rPr>
          <t xml:space="preserve">Leaving this field Blank will mean "No".</t>
        </r>
      </text>
    </comment>
    <comment ref="I25" authorId="0">
      <text>
        <r>
          <rPr>
            <b val="true"/>
            <sz val="8"/>
            <color rgb="FF000000"/>
            <rFont val="Tahoma"/>
            <family val="2"/>
          </rPr>
          <t xml:space="preserve">Amit Tandon:
</t>
        </r>
        <r>
          <rPr>
            <sz val="8"/>
            <color rgb="FF000000"/>
            <rFont val="Tahoma"/>
            <family val="2"/>
          </rPr>
          <t xml:space="preserve">Leaving this field Blank will mean "No".</t>
        </r>
      </text>
    </comment>
    <comment ref="I33" authorId="0">
      <text>
        <r>
          <rPr>
            <b val="true"/>
            <sz val="8"/>
            <color rgb="FF000000"/>
            <rFont val="Tahoma"/>
            <family val="2"/>
          </rPr>
          <t xml:space="preserve">Amit Tandon:
</t>
        </r>
        <r>
          <rPr>
            <sz val="8"/>
            <color rgb="FF000000"/>
            <rFont val="Tahoma"/>
            <family val="2"/>
          </rPr>
          <t xml:space="preserve">Leaving this field Blank will mean "No".</t>
        </r>
      </text>
    </comment>
    <comment ref="I39" authorId="0">
      <text>
        <r>
          <rPr>
            <b val="true"/>
            <sz val="8"/>
            <color rgb="FF000000"/>
            <rFont val="Tahoma"/>
            <family val="2"/>
          </rPr>
          <t xml:space="preserve">Amit Tandon:
</t>
        </r>
        <r>
          <rPr>
            <sz val="8"/>
            <color rgb="FF000000"/>
            <rFont val="Tahoma"/>
            <family val="2"/>
          </rPr>
          <t xml:space="preserve">Leaving this field Blank will mean "No".</t>
        </r>
      </text>
    </comment>
    <comment ref="I46" authorId="0">
      <text>
        <r>
          <rPr>
            <b val="true"/>
            <sz val="8"/>
            <color rgb="FF000000"/>
            <rFont val="Tahoma"/>
            <family val="2"/>
          </rPr>
          <t xml:space="preserve">Amit Tandon:
</t>
        </r>
        <r>
          <rPr>
            <sz val="8"/>
            <color rgb="FF000000"/>
            <rFont val="Tahoma"/>
            <family val="2"/>
          </rPr>
          <t xml:space="preserve">Leaving this field Blank will mean "No".</t>
        </r>
      </text>
    </comment>
    <comment ref="I53" authorId="0">
      <text>
        <r>
          <rPr>
            <b val="true"/>
            <sz val="8"/>
            <color rgb="FF000000"/>
            <rFont val="Tahoma"/>
            <family val="2"/>
          </rPr>
          <t xml:space="preserve">Amit Tandon:
</t>
        </r>
        <r>
          <rPr>
            <sz val="8"/>
            <color rgb="FF000000"/>
            <rFont val="Tahoma"/>
            <family val="2"/>
          </rPr>
          <t xml:space="preserve">Leaving this field Blank will mean "No".</t>
        </r>
      </text>
    </comment>
    <comment ref="I61" authorId="0">
      <text>
        <r>
          <rPr>
            <b val="true"/>
            <sz val="8"/>
            <color rgb="FF000000"/>
            <rFont val="Tahoma"/>
            <family val="2"/>
          </rPr>
          <t xml:space="preserve">Amit Tandon:
</t>
        </r>
        <r>
          <rPr>
            <sz val="8"/>
            <color rgb="FF000000"/>
            <rFont val="Tahoma"/>
            <family val="2"/>
          </rPr>
          <t xml:space="preserve">Leaving this field Blank will mean "No".</t>
        </r>
      </text>
    </comment>
    <comment ref="M36" authorId="0">
      <text>
        <r>
          <rPr>
            <b val="true"/>
            <sz val="8"/>
            <color rgb="FF000000"/>
            <rFont val="Tahoma"/>
            <family val="2"/>
          </rPr>
          <t xml:space="preserve">Amit Tandon:
</t>
        </r>
        <r>
          <rPr>
            <sz val="8"/>
            <color rgb="FF000000"/>
            <rFont val="Tahoma"/>
            <family val="2"/>
          </rPr>
          <t xml:space="preserve">%age of revenue.</t>
        </r>
      </text>
    </comment>
    <comment ref="M38" authorId="0">
      <text>
        <r>
          <rPr>
            <b val="true"/>
            <sz val="8"/>
            <color rgb="FF000000"/>
            <rFont val="Tahoma"/>
            <family val="2"/>
          </rPr>
          <t xml:space="preserve">Amit Tandon:
</t>
        </r>
        <r>
          <rPr>
            <sz val="8"/>
            <color rgb="FF000000"/>
            <rFont val="Tahoma"/>
            <family val="2"/>
          </rPr>
          <t xml:space="preserve">Select 1 for Annual Exp, 2 for Bi-Annual Exp, and so on.
</t>
        </r>
      </text>
    </comment>
    <comment ref="M43" authorId="0">
      <text>
        <r>
          <rPr>
            <b val="true"/>
            <sz val="8"/>
            <color rgb="FF000000"/>
            <rFont val="Tahoma"/>
            <family val="2"/>
          </rPr>
          <t xml:space="preserve">Amit Tandon:
</t>
        </r>
        <r>
          <rPr>
            <sz val="8"/>
            <color rgb="FF000000"/>
            <rFont val="Tahoma"/>
            <family val="2"/>
          </rPr>
          <t xml:space="preserve">To maintain Cash Minimum, select 1. This will adjust excess cash with Revolver Loan. To not use this feature, select 0.</t>
        </r>
      </text>
    </comment>
    <comment ref="N56" authorId="0">
      <text>
        <r>
          <rPr>
            <b val="true"/>
            <sz val="8"/>
            <color rgb="FF000000"/>
            <rFont val="Tahoma"/>
            <family val="2"/>
          </rPr>
          <t xml:space="preserve">Amit Tandon:
</t>
        </r>
        <r>
          <rPr>
            <sz val="8"/>
            <color rgb="FF000000"/>
            <rFont val="Tahoma"/>
            <family val="2"/>
          </rPr>
          <t xml:space="preserve">Debt + Preferred Stock - Cash.
Total Enterprise Value is equal to: company's market capitalization + preferred stock + debt - cash and cash equivalents. 
"Preferred Stock Redeemable" is treated as above. In case of "Preferred Stock Convertible", the portion/option which is converted to (ie. upon conversion to) Common Stock will be treated as Common Stock and  the balance amount as Debt, as above.</t>
        </r>
      </text>
    </comment>
    <comment ref="Q34" authorId="0">
      <text>
        <r>
          <rPr>
            <b val="true"/>
            <sz val="8"/>
            <color rgb="FF000000"/>
            <rFont val="Tahoma"/>
            <family val="2"/>
          </rPr>
          <t xml:space="preserve">Amit Tandon:
</t>
        </r>
        <r>
          <rPr>
            <sz val="8"/>
            <color rgb="FF000000"/>
            <rFont val="Tahoma"/>
            <family val="2"/>
          </rPr>
          <t xml:space="preserve">Debt issuance fees, to be capitalized and amortized over the term of the debt.
</t>
        </r>
      </text>
    </comment>
    <comment ref="Q35" authorId="0">
      <text>
        <r>
          <rPr>
            <b val="true"/>
            <sz val="8"/>
            <color rgb="FF000000"/>
            <rFont val="Tahoma"/>
            <family val="2"/>
          </rPr>
          <t xml:space="preserve">Amit Tandon:
</t>
        </r>
        <r>
          <rPr>
            <sz val="8"/>
            <color rgb="FF000000"/>
            <rFont val="Tahoma"/>
            <family val="2"/>
          </rPr>
          <t xml:space="preserve">Equity issuance fees to be netted against proceeds from the offering. 
Issue Costs of Preferred Stock need to be adjusted against APIC (Additional Paid In Capital), which also includes any premium charged over par value. Preferred Dividend will be payable on par value of stock.
Not being accounted for in this model presently.</t>
        </r>
      </text>
    </comment>
    <comment ref="R25" authorId="0">
      <text>
        <r>
          <rPr>
            <b val="true"/>
            <sz val="8"/>
            <color rgb="FF000000"/>
            <rFont val="Tahoma"/>
            <family val="2"/>
          </rPr>
          <t xml:space="preserve">Amit Tandon:
</t>
        </r>
        <r>
          <rPr>
            <sz val="8"/>
            <color rgb="FF000000"/>
            <rFont val="Tahoma"/>
            <family val="2"/>
          </rPr>
          <t xml:space="preserve">Amortized over the term of the debt, as per FAS 141r.</t>
        </r>
      </text>
    </comment>
    <comment ref="R27" authorId="0">
      <text>
        <r>
          <rPr>
            <b val="true"/>
            <sz val="8"/>
            <color rgb="FF000000"/>
            <rFont val="Tahoma"/>
            <family val="2"/>
          </rPr>
          <t xml:space="preserve">Amit Tandon:
</t>
        </r>
        <r>
          <rPr>
            <sz val="8"/>
            <color rgb="FF000000"/>
            <rFont val="Tahoma"/>
            <family val="2"/>
          </rPr>
          <t xml:space="preserve">Bank Revolver not having a maturity date, this can be spread over the revolver validity period ... presently we have taken the projected no. of years ie. 10.</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A20" authorId="0">
      <text>
        <r>
          <rPr>
            <b val="true"/>
            <sz val="8"/>
            <color rgb="FF000000"/>
            <rFont val="Tahoma"/>
            <family val="2"/>
          </rPr>
          <t xml:space="preserve">Amit Tandon:
</t>
        </r>
        <r>
          <rPr>
            <sz val="8"/>
            <color rgb="FF000000"/>
            <rFont val="Tahoma"/>
            <family val="2"/>
          </rPr>
          <t xml:space="preserve">Includes Depreciation on PP&amp;E, Impairment of Goodwill and Amortization of Intangible Assets. Excludes Amortization of Capitalized Financing Costs.
With the introduction of impairment testing of goodwill, there is no regular charge to the income statement for goodwill. This might result in irregular income statement charges as and when impairments materialize and as a result of which EBIT volatility would increase. 
Free Cash Flows need to be normalized for any volatility on account of goodwill impairment charges, which might need to be excluded for EBIT.</t>
        </r>
      </text>
    </comment>
    <comment ref="A46" authorId="0">
      <text>
        <r>
          <rPr>
            <b val="true"/>
            <sz val="8"/>
            <color rgb="FF000000"/>
            <rFont val="Tahoma"/>
            <family val="2"/>
          </rPr>
          <t xml:space="preserve">Amit Tandon:
</t>
        </r>
        <r>
          <rPr>
            <sz val="8"/>
            <color rgb="FF000000"/>
            <rFont val="Tahoma"/>
            <family val="2"/>
          </rPr>
          <t xml:space="preserve">Preferred Dividend is payable on par value of stock.</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A27" authorId="0">
      <text>
        <r>
          <rPr>
            <b val="true"/>
            <sz val="8"/>
            <color rgb="FF000000"/>
            <rFont val="Tahoma"/>
            <family val="2"/>
          </rPr>
          <t xml:space="preserve">Amit Tandon:
</t>
        </r>
        <r>
          <rPr>
            <sz val="8"/>
            <color rgb="FF000000"/>
            <rFont val="Tahoma"/>
            <family val="2"/>
          </rPr>
          <t xml:space="preserve">Includes current depreciation.</t>
        </r>
      </text>
    </comment>
    <comment ref="E5" authorId="0">
      <text>
        <r>
          <rPr>
            <b val="true"/>
            <sz val="8"/>
            <color rgb="FF000000"/>
            <rFont val="Tahoma"/>
            <family val="2"/>
          </rPr>
          <t xml:space="preserve">Amit Tandon:
</t>
        </r>
        <r>
          <rPr>
            <sz val="8"/>
            <color rgb="FF000000"/>
            <rFont val="Tahoma"/>
            <family val="2"/>
          </rPr>
          <t xml:space="preserve">Post Acquisition Balance Sheet, Year 0, Opening Balances.</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A12" authorId="0">
      <text>
        <r>
          <rPr>
            <b val="true"/>
            <sz val="8"/>
            <color rgb="FF000000"/>
            <rFont val="Tahoma"/>
            <family val="2"/>
          </rPr>
          <t xml:space="preserve">Amit Tandon:
</t>
        </r>
        <r>
          <rPr>
            <sz val="8"/>
            <color rgb="FF000000"/>
            <rFont val="Tahoma"/>
            <family val="2"/>
          </rPr>
          <t xml:space="preserve">Includes Depreciation on PP&amp;E, Impairment of Goodwill and Amortization of Intangible Assets. Excludes Amortization of Capitalized Financing Costs.</t>
        </r>
      </text>
    </comment>
    <comment ref="A61" authorId="0">
      <text>
        <r>
          <rPr>
            <b val="true"/>
            <sz val="8"/>
            <color rgb="FF000000"/>
            <rFont val="Tahoma"/>
            <family val="0"/>
            <charset val="1"/>
          </rPr>
          <t xml:space="preserve">Amit Tandon:
</t>
        </r>
        <r>
          <rPr>
            <sz val="8"/>
            <color rgb="FF000000"/>
            <rFont val="Tahoma"/>
            <family val="0"/>
            <charset val="1"/>
          </rPr>
          <t xml:space="preserve">With the introduction of impairment testing of goodwill, there is no regular charge to the income statement for goodwill. This might result in irregular income statement charges as and when impairments materialize and as a result of which EBIT volatility would increase. 
Free Cash Flows need to be normalized for any volatility on account of goodwill impairment charges, which might need to be excluded for EBIT.</t>
        </r>
      </text>
    </comment>
    <comment ref="A64" authorId="0">
      <text>
        <r>
          <rPr>
            <b val="true"/>
            <sz val="8"/>
            <color rgb="FF000000"/>
            <rFont val="Tahoma"/>
            <family val="2"/>
          </rPr>
          <t xml:space="preserve">Amit Tandon:
</t>
        </r>
        <r>
          <rPr>
            <sz val="8"/>
            <color rgb="FF000000"/>
            <rFont val="Tahoma"/>
            <family val="2"/>
          </rPr>
          <t xml:space="preserve">Calculated by multiplying the marginal tax rate by EBIT after adding back items which are not tax deductible such as non-deductible goodwill amortization &amp; non-deductible intangibles amortization..</t>
        </r>
      </text>
    </comment>
    <comment ref="A66" authorId="0">
      <text>
        <r>
          <rPr>
            <b val="true"/>
            <sz val="8"/>
            <color rgb="FF000000"/>
            <rFont val="Tahoma"/>
            <family val="2"/>
          </rPr>
          <t xml:space="preserve">Amit Tandon:
</t>
        </r>
        <r>
          <rPr>
            <sz val="8"/>
            <color rgb="FF000000"/>
            <rFont val="Tahoma"/>
            <family val="2"/>
          </rPr>
          <t xml:space="preserve">Includes all depreciation and amortization subtracted from EBITDA to arrive at EBIT, excluding non-deductible goodwill amortization &amp; non-deductible intangibles amortization..</t>
        </r>
      </text>
    </comment>
    <comment ref="A69" authorId="0">
      <text>
        <r>
          <rPr>
            <b val="true"/>
            <sz val="8"/>
            <color rgb="FF000000"/>
            <rFont val="Tahoma"/>
            <family val="0"/>
            <charset val="1"/>
          </rPr>
          <t xml:space="preserve">Amit Tandon:
</t>
        </r>
        <r>
          <rPr>
            <sz val="8"/>
            <color rgb="FF000000"/>
            <rFont val="Tahoma"/>
            <family val="0"/>
            <charset val="1"/>
          </rPr>
          <t xml:space="preserve">Increase in Deferred Taxes will have a positive impact on Cash Flows.</t>
        </r>
      </text>
    </comment>
    <comment ref="A70" authorId="0">
      <text>
        <r>
          <rPr>
            <b val="true"/>
            <sz val="8"/>
            <color rgb="FF000000"/>
            <rFont val="Tahoma"/>
            <family val="2"/>
          </rPr>
          <t xml:space="preserve">Amit Tandon:
</t>
        </r>
        <r>
          <rPr>
            <sz val="8"/>
            <color rgb="FF000000"/>
            <rFont val="Tahoma"/>
            <family val="2"/>
          </rPr>
          <t xml:space="preserve">Free cash flow equals EBIT less taxes plus D&amp;A less capital expenditures less the change in working capital (ie. any investments or increase in net working capital which is "current assets - current liabilities"). 
Unlevered Free Cash flows are available to both debt and equity holders.</t>
        </r>
      </text>
    </comment>
    <comment ref="A96" authorId="0">
      <text>
        <r>
          <rPr>
            <b val="true"/>
            <sz val="8"/>
            <color rgb="FF000000"/>
            <rFont val="Tahoma"/>
            <family val="2"/>
          </rPr>
          <t xml:space="preserve">Amit Tandon:
</t>
        </r>
        <r>
          <rPr>
            <sz val="8"/>
            <color rgb="FF000000"/>
            <rFont val="Tahoma"/>
            <family val="2"/>
          </rPr>
          <t xml:space="preserve">Bank Revolver is not incremented for Optional Repayments.</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A43" authorId="0">
      <text>
        <r>
          <rPr>
            <b val="true"/>
            <sz val="8"/>
            <color rgb="FF000000"/>
            <rFont val="Tahoma"/>
            <family val="0"/>
            <charset val="1"/>
          </rPr>
          <t xml:space="preserve">Amit Tandon:
</t>
        </r>
        <r>
          <rPr>
            <sz val="8"/>
            <color rgb="FF000000"/>
            <rFont val="Tahoma"/>
            <family val="0"/>
            <charset val="1"/>
          </rPr>
          <t xml:space="preserve">As per  SFAS 142, for book accounting purpose, goodwill is not amortized but, rather, tested for impairment. For tax purposes, Section 197 of the IRS tax code requires straight-line amortization of all intangible assets (including goodwill) over 15 years only in an: (i) Asset acquisition or (ii) a Stock acquisition with a Section 338 election.</t>
        </r>
      </text>
    </comment>
    <comment ref="A88" authorId="0">
      <text>
        <r>
          <rPr>
            <b val="true"/>
            <sz val="8"/>
            <color rgb="FF000000"/>
            <rFont val="Tahoma"/>
            <family val="0"/>
            <charset val="1"/>
          </rPr>
          <t xml:space="preserve">Amit Tandon:
</t>
        </r>
        <r>
          <rPr>
            <sz val="8"/>
            <color rgb="FF000000"/>
            <rFont val="Tahoma"/>
            <family val="0"/>
            <charset val="1"/>
          </rPr>
          <t xml:space="preserve">As per  FAS 141r, for book accounting purpose, goodwill is not amortized but, rather, tested for impairment. For tax purposes, Section 197 of the IRS tax code requires straight-line amortization of all intangible assets (including goodwill) over 15 years only in an: (i) Asset acquisition or (ii) a Stock acquisition with a Section 338 election.</t>
        </r>
      </text>
    </comment>
    <comment ref="B15" authorId="0">
      <text>
        <r>
          <rPr>
            <b val="true"/>
            <sz val="8"/>
            <color rgb="FF000000"/>
            <rFont val="Tahoma"/>
            <family val="2"/>
          </rPr>
          <t xml:space="preserve">Amit Tandon:
</t>
        </r>
        <r>
          <rPr>
            <sz val="8"/>
            <color rgb="FF000000"/>
            <rFont val="Tahoma"/>
            <family val="2"/>
          </rPr>
          <t xml:space="preserve">Beginning Amount is the "Net PP&amp;E". Depreciable Amount = Beginning Amount minus Salvage Value, where Depreciable Amount will be the total Depreciation provided over the Remaining Useful Life of the asset.</t>
        </r>
      </text>
    </comment>
    <comment ref="B63" authorId="0">
      <text>
        <r>
          <rPr>
            <b val="true"/>
            <sz val="8"/>
            <color rgb="FF000000"/>
            <rFont val="Tahoma"/>
            <family val="2"/>
          </rPr>
          <t xml:space="preserve">Amit Tandon:
</t>
        </r>
        <r>
          <rPr>
            <sz val="8"/>
            <color rgb="FF000000"/>
            <rFont val="Tahoma"/>
            <family val="2"/>
          </rPr>
          <t xml:space="preserve">Beginning Amount is the "Net Depreciable PP&amp;E". Depreciable Amount = Beginning Amount minus Salvage Value, where Depreciable Amount will be the total Depreciation provided over the Remaining Useful Life of the asset.</t>
        </r>
      </text>
    </comment>
    <comment ref="C15" authorId="0">
      <text>
        <r>
          <rPr>
            <b val="true"/>
            <sz val="8"/>
            <color rgb="FF000000"/>
            <rFont val="Tahoma"/>
            <family val="0"/>
            <charset val="1"/>
          </rPr>
          <t xml:space="preserve">Amit Tandon:
</t>
        </r>
        <r>
          <rPr>
            <sz val="8"/>
            <color rgb="FF000000"/>
            <rFont val="Tahoma"/>
            <family val="0"/>
            <charset val="1"/>
          </rPr>
          <t xml:space="preserve">On acquisition, management determines the remaining useful life and salvage value.</t>
        </r>
      </text>
    </comment>
    <comment ref="C63" authorId="0">
      <text>
        <r>
          <rPr>
            <b val="true"/>
            <sz val="8"/>
            <color rgb="FF000000"/>
            <rFont val="Tahoma"/>
            <family val="0"/>
            <charset val="1"/>
          </rPr>
          <t xml:space="preserve">Amit Tandon:
</t>
        </r>
        <r>
          <rPr>
            <sz val="8"/>
            <color rgb="FF000000"/>
            <rFont val="Tahoma"/>
            <family val="0"/>
            <charset val="1"/>
          </rPr>
          <t xml:space="preserve">On acquisition, management determines the remaining useful life and salvage value.</t>
        </r>
      </text>
    </comment>
    <comment ref="N4" authorId="0">
      <text>
        <r>
          <rPr>
            <b val="true"/>
            <sz val="8"/>
            <color rgb="FF000000"/>
            <rFont val="Tahoma"/>
            <family val="2"/>
          </rPr>
          <t xml:space="preserve">Amit Tandon:
</t>
        </r>
        <r>
          <rPr>
            <sz val="8"/>
            <color rgb="FF000000"/>
            <rFont val="Tahoma"/>
            <family val="2"/>
          </rPr>
          <t xml:space="preserve">As per  SFAS 142, for book accounting purpose, goodwill is not amortized but, rather, tested for impairment. For tax purposes, Section 197 of the IRS tax code requires straight-line amortization of all intangible assets (including goodwill) over 15 years only in an: (i) Asset acquisition or (ii) a Stock acquisition with a Section 338 election.</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A29" authorId="0">
      <text>
        <r>
          <rPr>
            <b val="true"/>
            <sz val="8"/>
            <color rgb="FF000000"/>
            <rFont val="Tahoma"/>
            <family val="2"/>
          </rPr>
          <t xml:space="preserve">Amit Tandon:
</t>
        </r>
        <r>
          <rPr>
            <sz val="8"/>
            <color rgb="FF000000"/>
            <rFont val="Tahoma"/>
            <family val="2"/>
          </rPr>
          <t xml:space="preserve">If Cash Taxes exceed Book Taxes, a Deferred Tax Asset (DTA) is created, which is similar to a reduction in DTL. </t>
        </r>
      </text>
    </comment>
    <comment ref="A41" authorId="0">
      <text>
        <r>
          <rPr>
            <b val="true"/>
            <sz val="8"/>
            <color rgb="FF000000"/>
            <rFont val="Tahoma"/>
            <family val="2"/>
          </rPr>
          <t xml:space="preserve">Amit Tandon:
</t>
        </r>
        <r>
          <rPr>
            <sz val="8"/>
            <color rgb="FF000000"/>
            <rFont val="Tahoma"/>
            <family val="2"/>
          </rPr>
          <t xml:space="preserve">Currently, only Book &amp; Tax Gain (Loss) on Sale have been taken in this model. The allocation to Balance Sheet &amp; Sale Proceeds are  yet to be accounted for.</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A7" authorId="0">
      <text>
        <r>
          <rPr>
            <b val="true"/>
            <sz val="8"/>
            <color rgb="FF000000"/>
            <rFont val="Tahoma"/>
            <family val="2"/>
          </rPr>
          <t xml:space="preserve">Amit Tandon:
</t>
        </r>
        <r>
          <rPr>
            <sz val="8"/>
            <color rgb="FF000000"/>
            <rFont val="Tahoma"/>
            <family val="2"/>
          </rPr>
          <t xml:space="preserve">"Industry" Beta, of comparable companies.</t>
        </r>
      </text>
    </comment>
    <comment ref="A32" authorId="0">
      <text>
        <r>
          <rPr>
            <b val="true"/>
            <sz val="8"/>
            <color rgb="FF000000"/>
            <rFont val="Tahoma"/>
            <family val="2"/>
          </rPr>
          <t xml:space="preserve">Amit Tandon:
</t>
        </r>
        <r>
          <rPr>
            <sz val="8"/>
            <color rgb="FF000000"/>
            <rFont val="Tahoma"/>
            <family val="2"/>
          </rPr>
          <t xml:space="preserve">Equity investors have 2 risks - business risks and financial risks (due to gearing ie. debt &amp; preferred stock). Unlevering will get a Beta with only the business risks and this is required to be re-levered with the company's gearing.</t>
        </r>
      </text>
    </comment>
    <comment ref="A34" authorId="0">
      <text>
        <r>
          <rPr>
            <b val="true"/>
            <sz val="8"/>
            <color rgb="FF000000"/>
            <rFont val="Tahoma"/>
            <family val="2"/>
          </rPr>
          <t xml:space="preserve">Amit Tandon:
</t>
        </r>
        <r>
          <rPr>
            <sz val="8"/>
            <color rgb="FF000000"/>
            <rFont val="Tahoma"/>
            <family val="2"/>
          </rPr>
          <t xml:space="preserve">"Industry" Beta, of comparable companies.</t>
        </r>
      </text>
    </comment>
    <comment ref="A36" authorId="0">
      <text>
        <r>
          <rPr>
            <b val="true"/>
            <sz val="8"/>
            <color rgb="FF000000"/>
            <rFont val="Tahoma"/>
            <family val="2"/>
          </rPr>
          <t xml:space="preserve">Amit Tandon:
</t>
        </r>
        <r>
          <rPr>
            <sz val="8"/>
            <color rgb="FF000000"/>
            <rFont val="Tahoma"/>
            <family val="2"/>
          </rPr>
          <t xml:space="preserve">Pre-Acquisition Market Values of Debt, Common Equity &amp; Preferred Stock to be taken. </t>
        </r>
      </text>
    </comment>
    <comment ref="C27" authorId="0">
      <text>
        <r>
          <rPr>
            <b val="true"/>
            <sz val="8"/>
            <color rgb="FF000000"/>
            <rFont val="Tahoma"/>
            <family val="2"/>
          </rPr>
          <t xml:space="preserve">Amit Tandon:
</t>
        </r>
        <r>
          <rPr>
            <sz val="8"/>
            <color rgb="FF000000"/>
            <rFont val="Tahoma"/>
            <family val="2"/>
          </rPr>
          <t xml:space="preserve">The Capital Asset Pricing Model (CAPM):  The CAPM formula states the cost of equity equals the risk free rate plus the multiplication of Beta (Relevered Beta) times the equity risk premium. </t>
        </r>
      </text>
    </comment>
  </commentList>
</comments>
</file>

<file path=xl/comments10.xml><?xml version="1.0" encoding="utf-8"?>
<comments xmlns="http://schemas.openxmlformats.org/spreadsheetml/2006/main" xmlns:xdr="http://schemas.openxmlformats.org/drawingml/2006/spreadsheetDrawing">
  <authors>
    <author>Unknown Author</author>
  </authors>
  <commentList>
    <comment ref="A9" authorId="0">
      <text>
        <r>
          <rPr>
            <b val="true"/>
            <sz val="8"/>
            <color rgb="FF000000"/>
            <rFont val="Tahoma"/>
            <family val="2"/>
          </rPr>
          <t xml:space="preserve">Amit Tandon:
</t>
        </r>
        <r>
          <rPr>
            <sz val="8"/>
            <color rgb="FF000000"/>
            <rFont val="Tahoma"/>
            <family val="2"/>
          </rPr>
          <t xml:space="preserve">Debt Ratio = Total Debt / Total Assets. Total debt is the sum of a company's current liabilities and long-term liabilities, and total assets are the sum of fixed assets and current assets and other assets such as 'goodwill'. 
A company's debt ratio should be compared with their industry average or other competing firms. The debt/asset ratio shows the proportion of a company's assets which are financed through debt. If the ratio is less than 0.5, most of the company's assets are financed through equity. If the ratio is greater than 0.5, most of the company's assets are financed through debt. Companies with high debt/asset ratios are said to be "highly leveraged", &amp; not highly liquid.
</t>
        </r>
      </text>
    </comment>
    <comment ref="A39" authorId="0">
      <text>
        <r>
          <rPr>
            <b val="true"/>
            <sz val="8"/>
            <color rgb="FF000000"/>
            <rFont val="Tahoma"/>
            <family val="2"/>
          </rPr>
          <t xml:space="preserve">Amit Tandon:
</t>
        </r>
        <r>
          <rPr>
            <sz val="8"/>
            <color rgb="FF000000"/>
            <rFont val="Tahoma"/>
            <family val="2"/>
          </rPr>
          <t xml:space="preserve">This measures the number of times inventory is turned over. It is useful in determining whether a firm is carrying excess stock in inventory.</t>
        </r>
      </text>
    </comment>
    <comment ref="A40" authorId="0">
      <text>
        <r>
          <rPr>
            <b val="true"/>
            <sz val="8"/>
            <color rgb="FF000000"/>
            <rFont val="Tahoma"/>
            <family val="2"/>
          </rPr>
          <t xml:space="preserve">Amit Tandon:
</t>
        </r>
        <r>
          <rPr>
            <sz val="8"/>
            <color rgb="FF000000"/>
            <rFont val="Tahoma"/>
            <family val="2"/>
          </rPr>
          <t xml:space="preserve">Indication of how quickly the company collects its accounts receivable. Arrived at by dividing "Annual Credit Sales" by Accounts Receivable.</t>
        </r>
      </text>
    </comment>
    <comment ref="A41" authorId="0">
      <text>
        <r>
          <rPr>
            <b val="true"/>
            <sz val="8"/>
            <color rgb="FF000000"/>
            <rFont val="Tahoma"/>
            <family val="0"/>
            <charset val="1"/>
          </rPr>
          <t xml:space="preserve">Amit Tandon:
</t>
        </r>
        <r>
          <rPr>
            <sz val="8"/>
            <color rgb="FF000000"/>
            <rFont val="Tahoma"/>
            <family val="0"/>
            <charset val="1"/>
          </rPr>
          <t xml:space="preserve">The accounts payable turnover ratio indicates how many times a company pays off its suppliers during an accounting period. A falling ratio indicates that the company is taking longer to pay its suppliers.
A falling accounts payable turnover ratio may suggest one of two scenarios. First, the business might be experiencing cash flow problems or disputed invoices with suppliers, which leads to slower payment. However, a successful business may extend payments to make the best possible use of cash and might have negotiated more favorable payment terms with suppliers. Additional analysis is therefore advised when faced with a changing accounts payable turnover ratio.
</t>
        </r>
      </text>
    </comment>
    <comment ref="A42" authorId="0">
      <text>
        <r>
          <rPr>
            <b val="true"/>
            <sz val="8"/>
            <color rgb="FF000000"/>
            <rFont val="Tahoma"/>
            <family val="2"/>
          </rPr>
          <t xml:space="preserve">Amit Tandon:
</t>
        </r>
        <r>
          <rPr>
            <sz val="8"/>
            <color rgb="FF000000"/>
            <rFont val="Tahoma"/>
            <family val="2"/>
          </rPr>
          <t xml:space="preserve">The number of days worth of inventory on hand.</t>
        </r>
      </text>
    </comment>
    <comment ref="A43" authorId="0">
      <text>
        <r>
          <rPr>
            <b val="true"/>
            <sz val="8"/>
            <color rgb="FF000000"/>
            <rFont val="Tahoma"/>
            <family val="2"/>
          </rPr>
          <t xml:space="preserve">Amit Tandon:
</t>
        </r>
        <r>
          <rPr>
            <sz val="8"/>
            <color rgb="FF000000"/>
            <rFont val="Tahoma"/>
            <family val="2"/>
          </rPr>
          <t xml:space="preserve">Also known as "Average Collection Period". This is the number of days that credit sales remain in accounts receivable before they are collected.</t>
        </r>
      </text>
    </comment>
    <comment ref="A44" authorId="0">
      <text>
        <r>
          <rPr>
            <b val="true"/>
            <sz val="8"/>
            <color rgb="FF000000"/>
            <rFont val="Tahoma"/>
            <family val="0"/>
            <charset val="1"/>
          </rPr>
          <t xml:space="preserve">Amit Tandon:
</t>
        </r>
        <r>
          <rPr>
            <sz val="8"/>
            <color rgb="FF000000"/>
            <rFont val="Tahoma"/>
            <family val="0"/>
            <charset val="1"/>
          </rPr>
          <t xml:space="preserve">This ratio shows how many days it takes to pay accounts payable ie. the average length of time trade payables are outstanding before they are paid. </t>
        </r>
      </text>
    </comment>
    <comment ref="A48" authorId="0">
      <text>
        <r>
          <rPr>
            <b val="true"/>
            <sz val="8"/>
            <color rgb="FF000000"/>
            <rFont val="Tahoma"/>
            <family val="2"/>
          </rPr>
          <t xml:space="preserve">Amit Tandon:
</t>
        </r>
        <r>
          <rPr>
            <sz val="8"/>
            <color rgb="FF000000"/>
            <rFont val="Tahoma"/>
            <family val="2"/>
          </rPr>
          <t xml:space="preserve">A generally acceptable current ratio is 2 to 1. But whether or not a specific ratio is satisfactory depends on the nature of the business and the characteristics of its current assets and liabilities. The minimum acceptable current ratio is obviously 1:1, but that relationship is usually playing it too close for comfort.
</t>
        </r>
      </text>
    </comment>
    <comment ref="A49" authorId="0">
      <text>
        <r>
          <rPr>
            <b val="true"/>
            <sz val="8"/>
            <color rgb="FF000000"/>
            <rFont val="Tahoma"/>
            <family val="2"/>
          </rPr>
          <t xml:space="preserve">Amit Tandon:
</t>
        </r>
        <r>
          <rPr>
            <sz val="8"/>
            <color rgb="FF000000"/>
            <rFont val="Tahoma"/>
            <family val="2"/>
          </rPr>
          <t xml:space="preserve">An acid-test of 1:1 is considered satisfactory unless the majority of your "quick assets" are in accounts receivable, and the pattern of accounts receivable collection lags behind the schedule for paying current liabilities.
</t>
        </r>
      </text>
    </comment>
  </commentList>
</comments>
</file>

<file path=xl/sharedStrings.xml><?xml version="1.0" encoding="utf-8"?>
<sst xmlns="http://schemas.openxmlformats.org/spreadsheetml/2006/main" count="595" uniqueCount="377">
  <si>
    <t xml:space="preserve">Leveraged Buyout (LBO) Model</t>
  </si>
  <si>
    <t xml:space="preserve">http://www.globaliconnect.com/excel_models.php</t>
  </si>
  <si>
    <t xml:space="preserve">Input Values</t>
  </si>
  <si>
    <t xml:space="preserve">To help us improve this model, please send your feedback to info@globaliconnect.com </t>
  </si>
  <si>
    <t xml:space="preserve">*Enter values in yellow cells.</t>
  </si>
  <si>
    <t xml:space="preserve">Estimated Cost of Deal:</t>
  </si>
  <si>
    <t xml:space="preserve">Debt Assumptions:</t>
  </si>
  <si>
    <t xml:space="preserve">Income/BS Assumptions:</t>
  </si>
  <si>
    <t xml:space="preserve">Curent Stock Price</t>
  </si>
  <si>
    <t xml:space="preserve">$ amt</t>
  </si>
  <si>
    <t xml:space="preserve">Income Statement:</t>
  </si>
  <si>
    <t xml:space="preserve">Offer Premium</t>
  </si>
  <si>
    <t xml:space="preserve">%</t>
  </si>
  <si>
    <t xml:space="preserve">Maturity Year</t>
  </si>
  <si>
    <t xml:space="preserve">select no.</t>
  </si>
  <si>
    <t xml:space="preserve">Sales Year 1</t>
  </si>
  <si>
    <t xml:space="preserve">Offer Price Per Share</t>
  </si>
  <si>
    <t xml:space="preserve">Annual Repayment</t>
  </si>
  <si>
    <t xml:space="preserve">% of FV</t>
  </si>
  <si>
    <t xml:space="preserve">Sales - Annual Increase</t>
  </si>
  <si>
    <t xml:space="preserve">No. of Shares outstanding</t>
  </si>
  <si>
    <t xml:space="preserve">nos.</t>
  </si>
  <si>
    <t xml:space="preserve">Coupon Rate</t>
  </si>
  <si>
    <t xml:space="preserve">% annual</t>
  </si>
  <si>
    <t xml:space="preserve">Cost of goods sold</t>
  </si>
  <si>
    <t xml:space="preserve">% of revenue</t>
  </si>
  <si>
    <t xml:space="preserve">Equity Purchase Price</t>
  </si>
  <si>
    <t xml:space="preserve">Average Interest</t>
  </si>
  <si>
    <t xml:space="preserve">1=Yes  0=No</t>
  </si>
  <si>
    <t xml:space="preserve">% </t>
  </si>
  <si>
    <t xml:space="preserve">Optional Prepayment</t>
  </si>
  <si>
    <t xml:space="preserve">SG&amp;A expenses</t>
  </si>
  <si>
    <t xml:space="preserve">Existing Debt Retired</t>
  </si>
  <si>
    <t xml:space="preserve">Assumed Debt</t>
  </si>
  <si>
    <t xml:space="preserve">Other expenses</t>
  </si>
  <si>
    <t xml:space="preserve">Expensed Transaction Costs</t>
  </si>
  <si>
    <t xml:space="preserve">Capitalized Financing Costs</t>
  </si>
  <si>
    <t xml:space="preserve">Revolver limit</t>
  </si>
  <si>
    <t xml:space="preserve">Cash Infusion</t>
  </si>
  <si>
    <t xml:space="preserve">Undrawn Commitment Fee</t>
  </si>
  <si>
    <t xml:space="preserve">Balance Sheet:</t>
  </si>
  <si>
    <t xml:space="preserve">Accounts receivable</t>
  </si>
  <si>
    <t xml:space="preserve">Total Funds Requirement</t>
  </si>
  <si>
    <t xml:space="preserve">Term Years</t>
  </si>
  <si>
    <t xml:space="preserve">Inventories</t>
  </si>
  <si>
    <t xml:space="preserve">% of COGS</t>
  </si>
  <si>
    <t xml:space="preserve">Sources of Funds:</t>
  </si>
  <si>
    <t xml:space="preserve">Prepaids</t>
  </si>
  <si>
    <t xml:space="preserve">Excess Cash</t>
  </si>
  <si>
    <t xml:space="preserve">Financing</t>
  </si>
  <si>
    <t xml:space="preserve">Annual</t>
  </si>
  <si>
    <t xml:space="preserve">Debt:</t>
  </si>
  <si>
    <t xml:space="preserve">Fees</t>
  </si>
  <si>
    <t xml:space="preserve">Other current assets</t>
  </si>
  <si>
    <t xml:space="preserve">Costs</t>
  </si>
  <si>
    <t xml:space="preserve">Amortization</t>
  </si>
  <si>
    <t xml:space="preserve">Period (Yrs)</t>
  </si>
  <si>
    <t xml:space="preserve">Bank Revolver</t>
  </si>
  <si>
    <t xml:space="preserve">Other long-term assets</t>
  </si>
  <si>
    <t xml:space="preserve">Term Loan "A"</t>
  </si>
  <si>
    <t xml:space="preserve">Term Loan "B"</t>
  </si>
  <si>
    <t xml:space="preserve">Senior Notes</t>
  </si>
  <si>
    <t xml:space="preserve">Bullet Year Repayment</t>
  </si>
  <si>
    <t xml:space="preserve">Accounts payable</t>
  </si>
  <si>
    <t xml:space="preserve">% of COGS plus inventory increase</t>
  </si>
  <si>
    <t xml:space="preserve">Subordinated Notes</t>
  </si>
  <si>
    <t xml:space="preserve">Mezzanine Debt</t>
  </si>
  <si>
    <t xml:space="preserve">Accrued expenses</t>
  </si>
  <si>
    <t xml:space="preserve">Seller Notes</t>
  </si>
  <si>
    <t xml:space="preserve">Preferred:</t>
  </si>
  <si>
    <t xml:space="preserve">Other current liabilities</t>
  </si>
  <si>
    <t xml:space="preserve">Preferred Stock</t>
  </si>
  <si>
    <t xml:space="preserve">Equity:</t>
  </si>
  <si>
    <t xml:space="preserve">Capex</t>
  </si>
  <si>
    <t xml:space="preserve">Common - Sponsor Equity</t>
  </si>
  <si>
    <t xml:space="preserve">Capex Start Year</t>
  </si>
  <si>
    <t xml:space="preserve">in years</t>
  </si>
  <si>
    <t xml:space="preserve">Management Equity</t>
  </si>
  <si>
    <t xml:space="preserve">Capex Interval</t>
  </si>
  <si>
    <t xml:space="preserve">New Equity</t>
  </si>
  <si>
    <t xml:space="preserve">Total</t>
  </si>
  <si>
    <t xml:space="preserve">Other Assumptions:</t>
  </si>
  <si>
    <t xml:space="preserve">Cash Minimum</t>
  </si>
  <si>
    <t xml:space="preserve">Goodwill / Bargain Purchase:</t>
  </si>
  <si>
    <t xml:space="preserve">On / Off</t>
  </si>
  <si>
    <t xml:space="preserve">1=On. 0=Off.</t>
  </si>
  <si>
    <t xml:space="preserve">Add: </t>
  </si>
  <si>
    <t xml:space="preserve">Years PIK</t>
  </si>
  <si>
    <t xml:space="preserve">enter no.</t>
  </si>
  <si>
    <t xml:space="preserve">Tax Rate          </t>
  </si>
  <si>
    <t xml:space="preserve">Existing Goodwill</t>
  </si>
  <si>
    <t xml:space="preserve">Year 1               </t>
  </si>
  <si>
    <t xml:space="preserve">year</t>
  </si>
  <si>
    <t xml:space="preserve">Less:</t>
  </si>
  <si>
    <t xml:space="preserve">Net Assets (Book Value)</t>
  </si>
  <si>
    <t xml:space="preserve">Fixed Assets (PP&amp;E) Write-up</t>
  </si>
  <si>
    <t xml:space="preserve">DCF Assumptions:</t>
  </si>
  <si>
    <t xml:space="preserve">Identifiable Tangibles Write-up</t>
  </si>
  <si>
    <t xml:space="preserve">Discount Rate (WACC)</t>
  </si>
  <si>
    <t xml:space="preserve">Deferred Tax Liability - existing</t>
  </si>
  <si>
    <t xml:space="preserve">Discount Rate Range</t>
  </si>
  <si>
    <t xml:space="preserve">DTL Created on Assets Write-up</t>
  </si>
  <si>
    <t xml:space="preserve">EBITDA Terminal Value Multiple</t>
  </si>
  <si>
    <t xml:space="preserve">x</t>
  </si>
  <si>
    <t xml:space="preserve">Goodwill/(Gain from Bargain Purchase)</t>
  </si>
  <si>
    <t xml:space="preserve">EBITDA Multiple Range</t>
  </si>
  <si>
    <t xml:space="preserve">Perpetuity Growth Rate</t>
  </si>
  <si>
    <t xml:space="preserve">Perpetuity Growth Range</t>
  </si>
  <si>
    <t xml:space="preserve">Net Debt</t>
  </si>
  <si>
    <t xml:space="preserve">Preferred Stock Dividend</t>
  </si>
  <si>
    <t xml:space="preserve">Pref Stock Retired Year</t>
  </si>
  <si>
    <t xml:space="preserve">Income Statements</t>
  </si>
  <si>
    <t xml:space="preserve">Year</t>
  </si>
  <si>
    <t xml:space="preserve">Year No.</t>
  </si>
  <si>
    <t xml:space="preserve">Net Sales</t>
  </si>
  <si>
    <t xml:space="preserve">Gross Margin</t>
  </si>
  <si>
    <t xml:space="preserve">Operating Expenses</t>
  </si>
  <si>
    <t xml:space="preserve">EBITDA</t>
  </si>
  <si>
    <t xml:space="preserve">D&amp;A</t>
  </si>
  <si>
    <t xml:space="preserve">EBIT</t>
  </si>
  <si>
    <t xml:space="preserve">Interest Expense</t>
  </si>
  <si>
    <t xml:space="preserve">Other Expenses (Income)</t>
  </si>
  <si>
    <t xml:space="preserve">Amortization of Capitalized </t>
  </si>
  <si>
    <t xml:space="preserve">Financing Costs</t>
  </si>
  <si>
    <t xml:space="preserve">(Gain) Loss on Asset Sales</t>
  </si>
  <si>
    <t xml:space="preserve">Net Income before Taxes</t>
  </si>
  <si>
    <t xml:space="preserve">Income Tax Expense (Benefit)</t>
  </si>
  <si>
    <t xml:space="preserve">Net Income</t>
  </si>
  <si>
    <t xml:space="preserve">Dividend</t>
  </si>
  <si>
    <t xml:space="preserve">Common Stock Dividend</t>
  </si>
  <si>
    <t xml:space="preserve">Net Income to Common Shareholders</t>
  </si>
  <si>
    <t xml:space="preserve">Balance Sheets</t>
  </si>
  <si>
    <t xml:space="preserve">Pre-Acq</t>
  </si>
  <si>
    <t xml:space="preserve">Adj</t>
  </si>
  <si>
    <t xml:space="preserve">Post-Acq</t>
  </si>
  <si>
    <t xml:space="preserve">ASSETS</t>
  </si>
  <si>
    <t xml:space="preserve">Current Assets:</t>
  </si>
  <si>
    <t xml:space="preserve">Cash in bank</t>
  </si>
  <si>
    <t xml:space="preserve">Total Current Assets</t>
  </si>
  <si>
    <t xml:space="preserve">Non-Current Assets:</t>
  </si>
  <si>
    <t xml:space="preserve">Goodwill</t>
  </si>
  <si>
    <t xml:space="preserve">Intangible Assets</t>
  </si>
  <si>
    <t xml:space="preserve">Other Long-Term Assets</t>
  </si>
  <si>
    <t xml:space="preserve">PP&amp;E:</t>
  </si>
  <si>
    <t xml:space="preserve">Gross PP&amp;E</t>
  </si>
  <si>
    <t xml:space="preserve">Depreciation (Current)</t>
  </si>
  <si>
    <t xml:space="preserve">Accumulated Depreciation</t>
  </si>
  <si>
    <t xml:space="preserve">Net PP&amp;E</t>
  </si>
  <si>
    <t xml:space="preserve">Total Non-Current Assets</t>
  </si>
  <si>
    <t xml:space="preserve">Total Assets</t>
  </si>
  <si>
    <t xml:space="preserve">LIABILITIES &amp; EQUITY</t>
  </si>
  <si>
    <t xml:space="preserve">Current Liabilities:</t>
  </si>
  <si>
    <t xml:space="preserve">Total Current Liabilities</t>
  </si>
  <si>
    <t xml:space="preserve">Deferred Tax Liability</t>
  </si>
  <si>
    <t xml:space="preserve">Long-Term Debt:</t>
  </si>
  <si>
    <t xml:space="preserve">Existing Debt</t>
  </si>
  <si>
    <t xml:space="preserve">Total Long Term Debt</t>
  </si>
  <si>
    <t xml:space="preserve">Total Long-Term Liabilities</t>
  </si>
  <si>
    <t xml:space="preserve">Total Liabilities</t>
  </si>
  <si>
    <t xml:space="preserve">Shareholder's Equity:</t>
  </si>
  <si>
    <t xml:space="preserve">Common Equity</t>
  </si>
  <si>
    <t xml:space="preserve">Retained Earnings</t>
  </si>
  <si>
    <t xml:space="preserve">Total Shareholder's Equity</t>
  </si>
  <si>
    <t xml:space="preserve">Total Liabilities &amp; Equity</t>
  </si>
  <si>
    <t xml:space="preserve">Balance Sheet Check</t>
  </si>
  <si>
    <t xml:space="preserve">Cash Flows</t>
  </si>
  <si>
    <t xml:space="preserve">Cash flows from operating activities</t>
  </si>
  <si>
    <t xml:space="preserve">Non-cash adjustments:</t>
  </si>
  <si>
    <t xml:space="preserve">Depreciation and amortization</t>
  </si>
  <si>
    <t xml:space="preserve">Amortization of Capitalized Financing Costs</t>
  </si>
  <si>
    <t xml:space="preserve">Increase (Decrease) in Deferred Tax Liability</t>
  </si>
  <si>
    <t xml:space="preserve">Changes in operating assets and liabilities:</t>
  </si>
  <si>
    <t xml:space="preserve">(Increase) decrease in accounts receivable</t>
  </si>
  <si>
    <t xml:space="preserve">(Increase) decrease in inventories</t>
  </si>
  <si>
    <t xml:space="preserve">(Increase) decrease in prepaids &amp; other assets</t>
  </si>
  <si>
    <t xml:space="preserve">Increase (decrease) in accounts payable</t>
  </si>
  <si>
    <t xml:space="preserve">Increase (decrease) in accrued exp &amp; other liabilities</t>
  </si>
  <si>
    <t xml:space="preserve">Net cash provided by (used in) operating activities</t>
  </si>
  <si>
    <t xml:space="preserve">Cash flows from investing activities</t>
  </si>
  <si>
    <t xml:space="preserve">Purchase of property &amp; equipment</t>
  </si>
  <si>
    <t xml:space="preserve">(Increase) decrease in other long-term assets</t>
  </si>
  <si>
    <t xml:space="preserve">Net cash provided by (used in) investing activities</t>
  </si>
  <si>
    <t xml:space="preserve">Cash flows from financing activities</t>
  </si>
  <si>
    <t xml:space="preserve">Net cash provided by (used in) financing activities</t>
  </si>
  <si>
    <t xml:space="preserve">Net increase (decrease) in cash</t>
  </si>
  <si>
    <t xml:space="preserve">Cash at beginning of year</t>
  </si>
  <si>
    <t xml:space="preserve">Cash at end of year</t>
  </si>
  <si>
    <t xml:space="preserve">Free Cash Flows</t>
  </si>
  <si>
    <t xml:space="preserve">Add: Amortization of non-deductible goodwill &amp; intangibles</t>
  </si>
  <si>
    <t xml:space="preserve">EBIT (Adj)</t>
  </si>
  <si>
    <t xml:space="preserve">Less: Tax on EBIT (Adj)</t>
  </si>
  <si>
    <t xml:space="preserve">Unlevered Net Income</t>
  </si>
  <si>
    <t xml:space="preserve">Plus: D&amp;A &amp; other non-cash charges affecting EBIT </t>
  </si>
  <si>
    <t xml:space="preserve">Less: Capital Expenditures</t>
  </si>
  <si>
    <t xml:space="preserve">Less: Increase in Net (non-cash) Working Capital</t>
  </si>
  <si>
    <t xml:space="preserve">Less: (Increase) decrease in Deferred Tax</t>
  </si>
  <si>
    <t xml:space="preserve">Unlevered Free Cash Flows (UFCF)</t>
  </si>
  <si>
    <t xml:space="preserve">Debt Repayment</t>
  </si>
  <si>
    <t xml:space="preserve">Cash Available for Debt Repayment</t>
  </si>
  <si>
    <t xml:space="preserve">Sub-total</t>
  </si>
  <si>
    <t xml:space="preserve">Minimum Cash Balance</t>
  </si>
  <si>
    <t xml:space="preserve">Mandatory Repayment</t>
  </si>
  <si>
    <t xml:space="preserve">Cash Balance</t>
  </si>
  <si>
    <t xml:space="preserve">Incremental Revolver</t>
  </si>
  <si>
    <t xml:space="preserve">Cash Available for Optional Repayment</t>
  </si>
  <si>
    <t xml:space="preserve">Optional Repayment</t>
  </si>
  <si>
    <t xml:space="preserve">Cash Flow Check</t>
  </si>
  <si>
    <t xml:space="preserve">Depreciation &amp; Amortization</t>
  </si>
  <si>
    <t xml:space="preserve">Book Depreciation &amp; Amortization:</t>
  </si>
  <si>
    <t xml:space="preserve">Depreciation Method</t>
  </si>
  <si>
    <t xml:space="preserve">Goodwill &amp; Intangibles Amortization</t>
  </si>
  <si>
    <t xml:space="preserve">PP&amp;E Write-up</t>
  </si>
  <si>
    <t xml:space="preserve"> 0=SLN   1=Sum of Years </t>
  </si>
  <si>
    <t xml:space="preserve"> 0=Not Deductible   1=Tax Deductible</t>
  </si>
  <si>
    <t xml:space="preserve">Fair Value PP&amp;E</t>
  </si>
  <si>
    <t xml:space="preserve">Manual or Computed Depreciation</t>
  </si>
  <si>
    <t xml:space="preserve"> 0=Manual   1=Computed</t>
  </si>
  <si>
    <t xml:space="preserve">Existing PP&amp;E (incl Write-up)</t>
  </si>
  <si>
    <t xml:space="preserve">Beginning Amt</t>
  </si>
  <si>
    <t xml:space="preserve">Remaining Life</t>
  </si>
  <si>
    <t xml:space="preserve">Salvage</t>
  </si>
  <si>
    <t xml:space="preserve">Class 1</t>
  </si>
  <si>
    <t xml:space="preserve">Class 2</t>
  </si>
  <si>
    <t xml:space="preserve">Class 3</t>
  </si>
  <si>
    <t xml:space="preserve">Class 4</t>
  </si>
  <si>
    <t xml:space="preserve">Useful Life</t>
  </si>
  <si>
    <t xml:space="preserve">Computed Depreciation</t>
  </si>
  <si>
    <t xml:space="preserve">Manual Depreciation</t>
  </si>
  <si>
    <t xml:space="preserve">Total Book Depreciation</t>
  </si>
  <si>
    <t xml:space="preserve">Amortization of Intangibles (incl Write-up)</t>
  </si>
  <si>
    <t xml:space="preserve">Impairment of Goodwill</t>
  </si>
  <si>
    <t xml:space="preserve">Total Cost ($)</t>
  </si>
  <si>
    <t xml:space="preserve">Tax Depreciation &amp; Amortization:</t>
  </si>
  <si>
    <t xml:space="preserve">Tax PP&amp;E</t>
  </si>
  <si>
    <t xml:space="preserve">Existing PP&amp;E (Tax)</t>
  </si>
  <si>
    <t xml:space="preserve">Total Tax Depreciation</t>
  </si>
  <si>
    <t xml:space="preserve">Amortization of Goodwill</t>
  </si>
  <si>
    <t xml:space="preserve">Income Tax Calculation</t>
  </si>
  <si>
    <t xml:space="preserve">Net Income before Tax</t>
  </si>
  <si>
    <t xml:space="preserve">Add: Book Depreciation</t>
  </si>
  <si>
    <t xml:space="preserve">Add: Book (Gain) Loss on Assets Sale</t>
  </si>
  <si>
    <t xml:space="preserve">Add: Book Impairment of Goodwill</t>
  </si>
  <si>
    <t xml:space="preserve">Add: Book Amortization of Intangibles</t>
  </si>
  <si>
    <t xml:space="preserve">Add: Non-Deductible Expenses</t>
  </si>
  <si>
    <t xml:space="preserve">Less: Tax Depreciation</t>
  </si>
  <si>
    <t xml:space="preserve">Less: Tax (Gain) Loss on Assets Sale</t>
  </si>
  <si>
    <t xml:space="preserve">Less: Tax Amortization of Goodwill</t>
  </si>
  <si>
    <t xml:space="preserve">Less: Tax Amortization of Intangibles</t>
  </si>
  <si>
    <t xml:space="preserve">Pre-NOL Taxable Income</t>
  </si>
  <si>
    <t xml:space="preserve">Less: NOLs Used</t>
  </si>
  <si>
    <t xml:space="preserve">Post-NOL Taxable Income</t>
  </si>
  <si>
    <t xml:space="preserve">Cash Taxes Payable</t>
  </si>
  <si>
    <t xml:space="preserve">Total Book Tax</t>
  </si>
  <si>
    <t xml:space="preserve">Increase (Decrease) in Deferred</t>
  </si>
  <si>
    <t xml:space="preserve">Tax Liability</t>
  </si>
  <si>
    <t xml:space="preserve">Beginning NOL Balance</t>
  </si>
  <si>
    <t xml:space="preserve">Current Year NOL</t>
  </si>
  <si>
    <t xml:space="preserve">NOLs Used</t>
  </si>
  <si>
    <t xml:space="preserve">Ending NOL Balance</t>
  </si>
  <si>
    <t xml:space="preserve">Projected Asset Sales:</t>
  </si>
  <si>
    <t xml:space="preserve">Estimated Sale Proceeds</t>
  </si>
  <si>
    <t xml:space="preserve">Book Basis of Assets</t>
  </si>
  <si>
    <t xml:space="preserve">Tax Basis of Assets</t>
  </si>
  <si>
    <t xml:space="preserve">Book Gain (Loss) on Sale</t>
  </si>
  <si>
    <t xml:space="preserve">Tax Gain (Loss) on Sale</t>
  </si>
  <si>
    <t xml:space="preserve">Allocation to Balance Sheet:</t>
  </si>
  <si>
    <t xml:space="preserve">Weighted Average Cost of Capital</t>
  </si>
  <si>
    <t xml:space="preserve">Risk Free Rate (Treasury Bill Rate)</t>
  </si>
  <si>
    <t xml:space="preserve">WACC</t>
  </si>
  <si>
    <t xml:space="preserve">Manual</t>
  </si>
  <si>
    <t xml:space="preserve">Market Risk Premium</t>
  </si>
  <si>
    <t xml:space="preserve">0 = Manual    1 = Computed</t>
  </si>
  <si>
    <t xml:space="preserve">Levered Beta</t>
  </si>
  <si>
    <t xml:space="preserve">Estimated Cost of Debt</t>
  </si>
  <si>
    <t xml:space="preserve">Amount</t>
  </si>
  <si>
    <t xml:space="preserve">Int. Rate</t>
  </si>
  <si>
    <t xml:space="preserve">Wtd. Rate</t>
  </si>
  <si>
    <t xml:space="preserve">Computed WACC</t>
  </si>
  <si>
    <t xml:space="preserve">Proportion</t>
  </si>
  <si>
    <t xml:space="preserve">Rate</t>
  </si>
  <si>
    <t xml:space="preserve">Wtd. Cost</t>
  </si>
  <si>
    <t xml:space="preserve">Cost of Debt (Post-Tax)</t>
  </si>
  <si>
    <t xml:space="preserve">Cost of Preferred Stock</t>
  </si>
  <si>
    <t xml:space="preserve">Cost of Equity</t>
  </si>
  <si>
    <t xml:space="preserve">Total Debt</t>
  </si>
  <si>
    <t xml:space="preserve">Post-Tax</t>
  </si>
  <si>
    <t xml:space="preserve">Estimated Cost of Preferred Stock</t>
  </si>
  <si>
    <t xml:space="preserve">Estimated Cost of Equity (CAPM)</t>
  </si>
  <si>
    <t xml:space="preserve">Total Book Equity</t>
  </si>
  <si>
    <t xml:space="preserve">Beta Calculation</t>
  </si>
  <si>
    <t xml:space="preserve">Pre-Acquisition:</t>
  </si>
  <si>
    <t xml:space="preserve">Debt</t>
  </si>
  <si>
    <t xml:space="preserve">Equity</t>
  </si>
  <si>
    <t xml:space="preserve">Debt/Equity Ratio</t>
  </si>
  <si>
    <t xml:space="preserve">Preferred Stock/Equity Ratio</t>
  </si>
  <si>
    <t xml:space="preserve">Post-Acquisition:</t>
  </si>
  <si>
    <t xml:space="preserve">Unlevered Beta</t>
  </si>
  <si>
    <t xml:space="preserve">Relevered Beta</t>
  </si>
  <si>
    <t xml:space="preserve">Discounted Cash Flow Analysis</t>
  </si>
  <si>
    <t xml:space="preserve">NPV of Free Cash Flow</t>
  </si>
  <si>
    <t xml:space="preserve">FV of Terminal Value (EBITDA)</t>
  </si>
  <si>
    <t xml:space="preserve">PV of Terminal Value (EBITDA)</t>
  </si>
  <si>
    <t xml:space="preserve">FV of Terminal Value (Perpetuity)</t>
  </si>
  <si>
    <t xml:space="preserve">PV of Terminal Value (Perpetuity)</t>
  </si>
  <si>
    <t xml:space="preserve">Total Enterprise Value</t>
  </si>
  <si>
    <t xml:space="preserve">Percentage Split of DCF Analysis</t>
  </si>
  <si>
    <t xml:space="preserve">EBITDA Multiple Method</t>
  </si>
  <si>
    <t xml:space="preserve">Perpetuity Growth Method</t>
  </si>
  <si>
    <t xml:space="preserve">Cash Flow % of TEV:</t>
  </si>
  <si>
    <t xml:space="preserve">Terminal Value % of TEV:</t>
  </si>
  <si>
    <t xml:space="preserve">Total Equity Value</t>
  </si>
  <si>
    <t xml:space="preserve">Total Equity Value Per Share</t>
  </si>
  <si>
    <t xml:space="preserve">IRR / Returns Calculation</t>
  </si>
  <si>
    <t xml:space="preserve">Exit Year</t>
  </si>
  <si>
    <t xml:space="preserve">Equity Allocation on Exit</t>
  </si>
  <si>
    <t xml:space="preserve">Investment</t>
  </si>
  <si>
    <t xml:space="preserve">Undiluted</t>
  </si>
  <si>
    <t xml:space="preserve">% Allocation</t>
  </si>
  <si>
    <t xml:space="preserve">Diluted</t>
  </si>
  <si>
    <t xml:space="preserve">Allocation</t>
  </si>
  <si>
    <t xml:space="preserve">Allocation of Exit Proceeds</t>
  </si>
  <si>
    <t xml:space="preserve">EBITDA Multiple (Exit Year)</t>
  </si>
  <si>
    <t xml:space="preserve">EBITDA (Exit Year)</t>
  </si>
  <si>
    <t xml:space="preserve">Exit Year Enterprise Value</t>
  </si>
  <si>
    <t xml:space="preserve">N/A</t>
  </si>
  <si>
    <t xml:space="preserve">Less: Debt</t>
  </si>
  <si>
    <t xml:space="preserve">Less: Preferred Stock</t>
  </si>
  <si>
    <t xml:space="preserve">Management Performance Equity</t>
  </si>
  <si>
    <t xml:space="preserve">Add: Excess Cash</t>
  </si>
  <si>
    <t xml:space="preserve">Equity Value - Allocable Proceeds</t>
  </si>
  <si>
    <t xml:space="preserve">Cash Flows &amp; IRR</t>
  </si>
  <si>
    <t xml:space="preserve">Initial Investment</t>
  </si>
  <si>
    <t xml:space="preserve">Cash Interest</t>
  </si>
  <si>
    <t xml:space="preserve">Repayment</t>
  </si>
  <si>
    <t xml:space="preserve">Principal</t>
  </si>
  <si>
    <t xml:space="preserve">Participation on Exit</t>
  </si>
  <si>
    <t xml:space="preserve">IRR</t>
  </si>
  <si>
    <t xml:space="preserve">Cash Dividend</t>
  </si>
  <si>
    <t xml:space="preserve">Ratio Analysis</t>
  </si>
  <si>
    <t xml:space="preserve">Capital Ratios</t>
  </si>
  <si>
    <t xml:space="preserve">Debt Ratio</t>
  </si>
  <si>
    <t xml:space="preserve">Total Debt / Book Capitalization</t>
  </si>
  <si>
    <t xml:space="preserve">Total Debt / Equity</t>
  </si>
  <si>
    <t xml:space="preserve">Leverage Ratios</t>
  </si>
  <si>
    <t xml:space="preserve">Total Debt / EBITDA</t>
  </si>
  <si>
    <t xml:space="preserve">Total Debt / (EBITDA - Capex)</t>
  </si>
  <si>
    <t xml:space="preserve">Net Debt / EBITDA</t>
  </si>
  <si>
    <t xml:space="preserve">Senior Debt / EBITDA</t>
  </si>
  <si>
    <t xml:space="preserve">Interest Coverage</t>
  </si>
  <si>
    <t xml:space="preserve">EBITDA / Total Interest</t>
  </si>
  <si>
    <t xml:space="preserve">EBITDA / Senior Interest</t>
  </si>
  <si>
    <t xml:space="preserve">EBITDA / Cash Interest</t>
  </si>
  <si>
    <t xml:space="preserve">(EBITDA - Capex) / Total Interest</t>
  </si>
  <si>
    <t xml:space="preserve">(EBITDA - Capex) / Senior Interest</t>
  </si>
  <si>
    <t xml:space="preserve">(EBITDA - Capex) / Cash Interest</t>
  </si>
  <si>
    <t xml:space="preserve">EBIT / Total Interest</t>
  </si>
  <si>
    <t xml:space="preserve">Asset Utilization</t>
  </si>
  <si>
    <t xml:space="preserve">Total Asset Turnover (Sales)</t>
  </si>
  <si>
    <t xml:space="preserve">Fixed Asset Turnover (Sales)</t>
  </si>
  <si>
    <t xml:space="preserve">Activity Ratios</t>
  </si>
  <si>
    <t xml:space="preserve">Inventory Turnover (COGS)</t>
  </si>
  <si>
    <t xml:space="preserve">Accounts Receivable Turnover (Sales)</t>
  </si>
  <si>
    <t xml:space="preserve">Accounts Payable Turnover (COGS &amp; Inv)</t>
  </si>
  <si>
    <t xml:space="preserve">Inventory Holding Period (Days)</t>
  </si>
  <si>
    <t xml:space="preserve">Days Receivable (Sales)</t>
  </si>
  <si>
    <t xml:space="preserve">Days Payable (COGS &amp; Inv)</t>
  </si>
  <si>
    <t xml:space="preserve">Liquidity Ratios</t>
  </si>
  <si>
    <t xml:space="preserve">Current Ratio</t>
  </si>
  <si>
    <t xml:space="preserve">Quick (Acid Test) Ratio</t>
  </si>
  <si>
    <t xml:space="preserve">Returns</t>
  </si>
  <si>
    <t xml:space="preserve">Return on Equity (ROE)</t>
  </si>
  <si>
    <t xml:space="preserve">Return on Assets (ROA)</t>
  </si>
  <si>
    <t xml:space="preserve">Operating Results</t>
  </si>
  <si>
    <t xml:space="preserve">Sales Growth</t>
  </si>
  <si>
    <t xml:space="preserve">EBITDA Margin</t>
  </si>
  <si>
    <t xml:space="preserve">EBIT Margin</t>
  </si>
  <si>
    <t xml:space="preserve">Pre-Tax Profit Ratio</t>
  </si>
</sst>
</file>

<file path=xl/styles.xml><?xml version="1.0" encoding="utf-8"?>
<styleSheet xmlns="http://schemas.openxmlformats.org/spreadsheetml/2006/main">
  <numFmts count="14">
    <numFmt numFmtId="164" formatCode="General"/>
    <numFmt numFmtId="165" formatCode="\$#,##0_);[RED]&quot;($&quot;#,##0\)"/>
    <numFmt numFmtId="166" formatCode="\$#,##0.00_);[RED]&quot;($&quot;#,##0.00\)"/>
    <numFmt numFmtId="167" formatCode="General"/>
    <numFmt numFmtId="168" formatCode="[$-409]#,##0_);[RED]\(#,##0\)"/>
    <numFmt numFmtId="169" formatCode="0.00%"/>
    <numFmt numFmtId="170" formatCode="[$-409]#,##0.00_);[RED]\(#,##0.00\)"/>
    <numFmt numFmtId="171" formatCode="@"/>
    <numFmt numFmtId="172" formatCode="0.0%"/>
    <numFmt numFmtId="173" formatCode="0.0\x"/>
    <numFmt numFmtId="174" formatCode="_(* #,##0_);_(* \(#,##0\);_(* \-_);_(@_)"/>
    <numFmt numFmtId="175" formatCode="#,##0.00"/>
    <numFmt numFmtId="176" formatCode="0.00"/>
    <numFmt numFmtId="177" formatCode="#,##0.0_);[RED]\(#,##0.0\)"/>
  </numFmts>
  <fonts count="36">
    <font>
      <sz val="10"/>
      <name val="Arial"/>
      <family val="0"/>
    </font>
    <font>
      <sz val="10"/>
      <name val="Arial"/>
      <family val="0"/>
    </font>
    <font>
      <sz val="10"/>
      <name val="Arial"/>
      <family val="0"/>
    </font>
    <font>
      <sz val="10"/>
      <name val="Arial"/>
      <family val="0"/>
    </font>
    <font>
      <sz val="9"/>
      <name val="Arial"/>
      <family val="2"/>
    </font>
    <font>
      <b val="true"/>
      <sz val="12"/>
      <color rgb="FFFF0000"/>
      <name val="Arial"/>
      <family val="2"/>
    </font>
    <font>
      <u val="single"/>
      <sz val="10"/>
      <color rgb="FF0000FF"/>
      <name val="Arial"/>
      <family val="2"/>
    </font>
    <font>
      <b val="true"/>
      <i val="true"/>
      <sz val="12"/>
      <color rgb="FF0066CC"/>
      <name val="Arial"/>
      <family val="2"/>
    </font>
    <font>
      <b val="true"/>
      <sz val="9"/>
      <color rgb="FFFFFFFF"/>
      <name val="Arial"/>
      <family val="2"/>
    </font>
    <font>
      <sz val="9"/>
      <color rgb="FFFFFFFF"/>
      <name val="Arial"/>
      <family val="2"/>
    </font>
    <font>
      <b val="true"/>
      <sz val="9"/>
      <name val="Arial"/>
      <family val="2"/>
    </font>
    <font>
      <sz val="9"/>
      <color rgb="FF0066CC"/>
      <name val="Arial"/>
      <family val="2"/>
    </font>
    <font>
      <sz val="9"/>
      <color rgb="FFC0C0C0"/>
      <name val="Arial"/>
      <family val="2"/>
    </font>
    <font>
      <sz val="8"/>
      <name val="Arial"/>
      <family val="2"/>
    </font>
    <font>
      <u val="single"/>
      <sz val="9"/>
      <name val="Arial"/>
      <family val="2"/>
    </font>
    <font>
      <sz val="9"/>
      <color rgb="FF969696"/>
      <name val="Arial"/>
      <family val="2"/>
    </font>
    <font>
      <sz val="9"/>
      <color rgb="FF0000FF"/>
      <name val="Arial"/>
      <family val="2"/>
    </font>
    <font>
      <sz val="9"/>
      <color rgb="FF00CCFF"/>
      <name val="Arial"/>
      <family val="2"/>
    </font>
    <font>
      <b val="true"/>
      <sz val="8"/>
      <color rgb="FF000000"/>
      <name val="Tahoma"/>
      <family val="2"/>
    </font>
    <font>
      <sz val="8"/>
      <color rgb="FF000000"/>
      <name val="Tahoma"/>
      <family val="2"/>
    </font>
    <font>
      <sz val="10"/>
      <name val="Arial"/>
      <family val="2"/>
    </font>
    <font>
      <b val="true"/>
      <sz val="8"/>
      <name val="Arial"/>
      <family val="2"/>
    </font>
    <font>
      <b val="true"/>
      <sz val="8"/>
      <color rgb="FFFF0000"/>
      <name val="Arial"/>
      <family val="2"/>
    </font>
    <font>
      <sz val="10"/>
      <color rgb="FF969696"/>
      <name val="Arial"/>
      <family val="2"/>
    </font>
    <font>
      <b val="true"/>
      <sz val="10"/>
      <name val="Arial"/>
      <family val="2"/>
    </font>
    <font>
      <i val="true"/>
      <sz val="10"/>
      <name val="Arial"/>
      <family val="2"/>
    </font>
    <font>
      <b val="true"/>
      <i val="true"/>
      <sz val="10"/>
      <color rgb="FF0066CC"/>
      <name val="Arial"/>
      <family val="2"/>
    </font>
    <font>
      <i val="true"/>
      <sz val="9"/>
      <name val="Arial"/>
      <family val="2"/>
    </font>
    <font>
      <b val="true"/>
      <sz val="8"/>
      <color rgb="FF000000"/>
      <name val="Tahoma"/>
      <family val="0"/>
      <charset val="1"/>
    </font>
    <font>
      <sz val="8"/>
      <color rgb="FF000000"/>
      <name val="Tahoma"/>
      <family val="0"/>
      <charset val="1"/>
    </font>
    <font>
      <b val="true"/>
      <i val="true"/>
      <sz val="9"/>
      <color rgb="FF0066CC"/>
      <name val="Arial"/>
      <family val="2"/>
    </font>
    <font>
      <u val="single"/>
      <sz val="8"/>
      <name val="Arial"/>
      <family val="2"/>
    </font>
    <font>
      <u val="single"/>
      <sz val="10"/>
      <name val="Arial"/>
      <family val="2"/>
    </font>
    <font>
      <b val="true"/>
      <sz val="9"/>
      <color rgb="FF0066CC"/>
      <name val="Arial"/>
      <family val="2"/>
    </font>
    <font>
      <sz val="10"/>
      <color rgb="FF333333"/>
      <name val="Arial"/>
      <family val="2"/>
    </font>
    <font>
      <b val="true"/>
      <i val="true"/>
      <sz val="9"/>
      <name val="Arial"/>
      <family val="2"/>
    </font>
  </fonts>
  <fills count="10">
    <fill>
      <patternFill patternType="none"/>
    </fill>
    <fill>
      <patternFill patternType="gray125"/>
    </fill>
    <fill>
      <patternFill patternType="solid">
        <fgColor rgb="FFFFFFFF"/>
        <bgColor rgb="FFFFFFCC"/>
      </patternFill>
    </fill>
    <fill>
      <patternFill patternType="solid">
        <fgColor rgb="FF0066CC"/>
        <bgColor rgb="FF008080"/>
      </patternFill>
    </fill>
    <fill>
      <patternFill patternType="solid">
        <fgColor rgb="FF99CCFF"/>
        <bgColor rgb="FFCCCCFF"/>
      </patternFill>
    </fill>
    <fill>
      <patternFill patternType="solid">
        <fgColor rgb="FFFFFF99"/>
        <bgColor rgb="FFFFFFCC"/>
      </patternFill>
    </fill>
    <fill>
      <patternFill patternType="solid">
        <fgColor rgb="FFC0C0C0"/>
        <bgColor rgb="FFCCCCFF"/>
      </patternFill>
    </fill>
    <fill>
      <patternFill patternType="solid">
        <fgColor rgb="FF969696"/>
        <bgColor rgb="FF808080"/>
      </patternFill>
    </fill>
    <fill>
      <patternFill patternType="solid">
        <fgColor rgb="FF00CCFF"/>
        <bgColor rgb="FF33CCCC"/>
      </patternFill>
    </fill>
    <fill>
      <patternFill patternType="solid">
        <fgColor rgb="FFCCCCFF"/>
        <bgColor rgb="FFC0C0C0"/>
      </patternFill>
    </fill>
  </fills>
  <borders count="42">
    <border diagonalUp="false" diagonalDown="false">
      <left/>
      <right/>
      <top/>
      <botto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medium"/>
      <right/>
      <top style="thin"/>
      <bottom style="thin"/>
      <diagonal/>
    </border>
    <border diagonalUp="false" diagonalDown="false">
      <left/>
      <right style="thin"/>
      <top style="thin"/>
      <bottom style="thin"/>
      <diagonal/>
    </border>
    <border diagonalUp="false" diagonalDown="false">
      <left style="thin"/>
      <right/>
      <top style="thin"/>
      <bottom style="thin"/>
      <diagonal/>
    </border>
    <border diagonalUp="false" diagonalDown="false">
      <left style="thin"/>
      <right style="thin"/>
      <top style="thin"/>
      <bottom style="thin"/>
      <diagonal/>
    </border>
    <border diagonalUp="false" diagonalDown="false">
      <left style="thin"/>
      <right/>
      <top style="thin"/>
      <bottom/>
      <diagonal/>
    </border>
    <border diagonalUp="false" diagonalDown="false">
      <left/>
      <right style="thin"/>
      <top style="thin"/>
      <bottom/>
      <diagonal/>
    </border>
    <border diagonalUp="false" diagonalDown="false">
      <left style="thin"/>
      <right style="thin"/>
      <top style="thin"/>
      <bottom/>
      <diagonal/>
    </border>
    <border diagonalUp="false" diagonalDown="false">
      <left/>
      <right/>
      <top style="thin"/>
      <bottom/>
      <diagonal/>
    </border>
    <border diagonalUp="false" diagonalDown="false">
      <left/>
      <right style="medium"/>
      <top style="thin"/>
      <bottom/>
      <diagonal/>
    </border>
    <border diagonalUp="false" diagonalDown="false">
      <left style="thin"/>
      <right/>
      <top/>
      <bottom style="thin"/>
      <diagonal/>
    </border>
    <border diagonalUp="false" diagonalDown="false">
      <left/>
      <right/>
      <top/>
      <bottom style="thin"/>
      <diagonal/>
    </border>
    <border diagonalUp="false" diagonalDown="false">
      <left style="thin"/>
      <right/>
      <top/>
      <bottom/>
      <diagonal/>
    </border>
    <border diagonalUp="false" diagonalDown="false">
      <left style="medium"/>
      <right style="thin"/>
      <top style="thin"/>
      <bottom style="thin"/>
      <diagonal/>
    </border>
    <border diagonalUp="false" diagonalDown="false">
      <left style="medium"/>
      <right style="thin"/>
      <top/>
      <bottom style="thin"/>
      <diagonal/>
    </border>
    <border diagonalUp="false" diagonalDown="false">
      <left style="thin"/>
      <right style="thin"/>
      <top/>
      <bottom style="thin"/>
      <diagonal/>
    </border>
    <border diagonalUp="false" diagonalDown="false">
      <left/>
      <right/>
      <top style="thin"/>
      <bottom style="thin"/>
      <diagonal/>
    </border>
    <border diagonalUp="false" diagonalDown="false">
      <left/>
      <right style="medium"/>
      <top/>
      <bottom style="thin"/>
      <diagonal/>
    </border>
    <border diagonalUp="false" diagonalDown="false">
      <left style="medium"/>
      <right style="thin"/>
      <top style="thin"/>
      <bottom/>
      <diagonal/>
    </border>
    <border diagonalUp="false" diagonalDown="false">
      <left style="medium"/>
      <right/>
      <top/>
      <bottom style="thin"/>
      <diagonal/>
    </border>
    <border diagonalUp="false" diagonalDown="false">
      <left/>
      <right style="thin"/>
      <top/>
      <bottom style="thin"/>
      <diagonal/>
    </border>
    <border diagonalUp="false" diagonalDown="false">
      <left style="medium"/>
      <right/>
      <top style="thin"/>
      <bottom/>
      <diagonal/>
    </border>
    <border diagonalUp="false" diagonalDown="false">
      <left style="medium"/>
      <right/>
      <top/>
      <bottom style="medium"/>
      <diagonal/>
    </border>
    <border diagonalUp="false" diagonalDown="false">
      <left/>
      <right/>
      <top/>
      <bottom style="medium"/>
      <diagonal/>
    </border>
    <border diagonalUp="false" diagonalDown="false">
      <left style="thin"/>
      <right/>
      <top style="thin"/>
      <bottom style="medium"/>
      <diagonal/>
    </border>
    <border diagonalUp="false" diagonalDown="false">
      <left/>
      <right style="thin"/>
      <top style="thin"/>
      <bottom style="medium"/>
      <diagonal/>
    </border>
    <border diagonalUp="false" diagonalDown="false">
      <left style="thin"/>
      <right style="thin"/>
      <top style="thin"/>
      <bottom style="medium"/>
      <diagonal/>
    </border>
    <border diagonalUp="false" diagonalDown="false">
      <left/>
      <right style="medium"/>
      <top/>
      <bottom style="medium"/>
      <diagonal/>
    </border>
    <border diagonalUp="false" diagonalDown="false">
      <left/>
      <right style="thin"/>
      <top/>
      <bottom/>
      <diagonal/>
    </border>
    <border diagonalUp="false" diagonalDown="false">
      <left style="thin"/>
      <right style="thin"/>
      <top/>
      <botto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thin"/>
      <right style="medium"/>
      <top style="thin"/>
      <bottom style="thin"/>
      <diagonal/>
    </border>
    <border diagonalUp="false" diagonalDown="false">
      <left style="medium"/>
      <right style="thin"/>
      <top style="thin"/>
      <bottom style="medium"/>
      <diagonal/>
    </border>
    <border diagonalUp="false" diagonalDown="false">
      <left/>
      <right/>
      <top style="thin"/>
      <bottom style="medium"/>
      <diagonal/>
    </border>
    <border diagonalUp="false" diagonalDown="false">
      <left style="thin"/>
      <right style="medium"/>
      <top style="thin"/>
      <bottom style="mediu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6" fillId="0" borderId="0" applyFont="true" applyBorder="false" applyAlignment="false" applyProtection="false"/>
  </cellStyleXfs>
  <cellXfs count="3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false" applyProtection="false">
      <alignment horizontal="general" vertical="bottom" textRotation="0" wrapText="false" indent="0" shrinkToFit="false"/>
      <protection locked="true" hidden="false"/>
    </xf>
    <xf numFmtId="164" fontId="4" fillId="2" borderId="2" xfId="0" applyFont="true" applyBorder="true" applyAlignment="false" applyProtection="false">
      <alignment horizontal="general" vertical="bottom" textRotation="0" wrapText="false" indent="0" shrinkToFit="false"/>
      <protection locked="true" hidden="false"/>
    </xf>
    <xf numFmtId="164" fontId="4" fillId="2" borderId="3" xfId="0" applyFont="true" applyBorder="true" applyAlignment="false" applyProtection="false">
      <alignment horizontal="general" vertical="bottom" textRotation="0" wrapText="false" indent="0" shrinkToFit="false"/>
      <protection locked="true" hidden="false"/>
    </xf>
    <xf numFmtId="164" fontId="5" fillId="2" borderId="4" xfId="0" applyFont="true" applyBorder="true" applyAlignment="false" applyProtection="false">
      <alignment horizontal="general"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4" fillId="2" borderId="5" xfId="0" applyFont="true" applyBorder="true" applyAlignment="false" applyProtection="false">
      <alignment horizontal="general" vertical="bottom" textRotation="0" wrapText="false" indent="0" shrinkToFit="false"/>
      <protection locked="true" hidden="false"/>
    </xf>
    <xf numFmtId="164" fontId="4" fillId="2" borderId="4" xfId="0" applyFont="true" applyBorder="true" applyAlignment="false" applyProtection="false">
      <alignment horizontal="general" vertical="bottom" textRotation="0" wrapText="false" indent="0" shrinkToFit="false"/>
      <protection locked="true" hidden="false"/>
    </xf>
    <xf numFmtId="164" fontId="6" fillId="2" borderId="0" xfId="20" applyFont="true" applyBorder="true" applyAlignment="true" applyProtection="true">
      <alignment horizontal="general" vertical="bottom" textRotation="0" wrapText="false" indent="0" shrinkToFit="false"/>
      <protection locked="true" hidden="false"/>
    </xf>
    <xf numFmtId="164" fontId="7" fillId="2" borderId="4" xfId="0" applyFont="true" applyBorder="tru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5" fontId="4" fillId="2" borderId="0" xfId="0" applyFont="true" applyBorder="true" applyAlignment="false" applyProtection="false">
      <alignment horizontal="general" vertical="bottom" textRotation="0" wrapText="false" indent="0" shrinkToFit="false"/>
      <protection locked="true" hidden="false"/>
    </xf>
    <xf numFmtId="164" fontId="8" fillId="3" borderId="6" xfId="0" applyFont="true" applyBorder="true" applyAlignment="false" applyProtection="false">
      <alignment horizontal="general" vertical="bottom" textRotation="0" wrapText="false" indent="0" shrinkToFit="false"/>
      <protection locked="true" hidden="false"/>
    </xf>
    <xf numFmtId="164" fontId="9" fillId="3" borderId="7"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10" fillId="4" borderId="8" xfId="0" applyFont="true" applyBorder="true" applyAlignment="false" applyProtection="false">
      <alignment horizontal="general" vertical="bottom" textRotation="0" wrapText="false" indent="0" shrinkToFit="false"/>
      <protection locked="true" hidden="false"/>
    </xf>
    <xf numFmtId="164" fontId="10" fillId="4" borderId="7" xfId="0" applyFont="true" applyBorder="true" applyAlignment="false" applyProtection="false">
      <alignment horizontal="general" vertical="bottom" textRotation="0" wrapText="false" indent="0" shrinkToFit="false"/>
      <protection locked="true" hidden="false"/>
    </xf>
    <xf numFmtId="164" fontId="4" fillId="4" borderId="7" xfId="0" applyFont="true" applyBorder="true" applyAlignment="false" applyProtection="false">
      <alignment horizontal="general" vertical="bottom" textRotation="0" wrapText="false" indent="0" shrinkToFit="false"/>
      <protection locked="true" hidden="false"/>
    </xf>
    <xf numFmtId="164" fontId="4" fillId="2" borderId="6" xfId="0" applyFont="true" applyBorder="true" applyAlignment="false" applyProtection="false">
      <alignment horizontal="general" vertical="bottom" textRotation="0" wrapText="false" indent="0" shrinkToFit="false"/>
      <protection locked="true" hidden="false"/>
    </xf>
    <xf numFmtId="164" fontId="4" fillId="2" borderId="7" xfId="0" applyFont="true" applyBorder="true" applyAlignment="false" applyProtection="false">
      <alignment horizontal="general" vertical="bottom" textRotation="0" wrapText="false" indent="0" shrinkToFit="false"/>
      <protection locked="true" hidden="false"/>
    </xf>
    <xf numFmtId="166" fontId="11" fillId="5" borderId="9" xfId="0" applyFont="true" applyBorder="true" applyAlignment="false" applyProtection="false">
      <alignment horizontal="general" vertical="bottom" textRotation="0" wrapText="false" indent="0" shrinkToFit="false"/>
      <protection locked="true" hidden="false"/>
    </xf>
    <xf numFmtId="167" fontId="4" fillId="6" borderId="8" xfId="0" applyFont="true" applyBorder="true" applyAlignment="false" applyProtection="false">
      <alignment horizontal="general" vertical="bottom" textRotation="0" wrapText="false" indent="0" shrinkToFit="false"/>
      <protection locked="true" hidden="false"/>
    </xf>
    <xf numFmtId="164" fontId="4" fillId="6" borderId="7" xfId="0" applyFont="true" applyBorder="true" applyAlignment="false" applyProtection="false">
      <alignment horizontal="general" vertical="bottom" textRotation="0" wrapText="false" indent="0" shrinkToFit="false"/>
      <protection locked="true" hidden="false"/>
    </xf>
    <xf numFmtId="168" fontId="10" fillId="2" borderId="0" xfId="0" applyFont="true" applyBorder="true" applyAlignment="true" applyProtection="false">
      <alignment horizontal="center" vertical="bottom" textRotation="0" wrapText="false" indent="0" shrinkToFit="false"/>
      <protection locked="true" hidden="false"/>
    </xf>
    <xf numFmtId="164" fontId="10" fillId="7" borderId="8" xfId="0" applyFont="true" applyBorder="true" applyAlignment="false" applyProtection="false">
      <alignment horizontal="general" vertical="bottom" textRotation="0" wrapText="false" indent="0" shrinkToFit="false"/>
      <protection locked="true" hidden="false"/>
    </xf>
    <xf numFmtId="164" fontId="10" fillId="7" borderId="7" xfId="0" applyFont="true" applyBorder="true" applyAlignment="false" applyProtection="false">
      <alignment horizontal="general" vertical="bottom" textRotation="0" wrapText="false" indent="0" shrinkToFit="false"/>
      <protection locked="true" hidden="false"/>
    </xf>
    <xf numFmtId="169" fontId="11" fillId="5" borderId="7" xfId="0" applyFont="true" applyBorder="true" applyAlignment="false" applyProtection="false">
      <alignment horizontal="general" vertical="bottom" textRotation="0" wrapText="false" indent="0" shrinkToFit="false"/>
      <protection locked="true" hidden="false"/>
    </xf>
    <xf numFmtId="164" fontId="4" fillId="2" borderId="8" xfId="0" applyFont="true" applyBorder="true" applyAlignment="true" applyProtection="false">
      <alignment horizontal="general" vertical="bottom" textRotation="0" wrapText="false" indent="0" shrinkToFit="false"/>
      <protection locked="true" hidden="false"/>
    </xf>
    <xf numFmtId="164" fontId="11" fillId="5" borderId="9" xfId="0" applyFont="true" applyBorder="true" applyAlignment="true" applyProtection="false">
      <alignment horizontal="right" vertical="bottom" textRotation="0" wrapText="false" indent="0" shrinkToFit="false"/>
      <protection locked="true" hidden="false"/>
    </xf>
    <xf numFmtId="168" fontId="4" fillId="2" borderId="0" xfId="0" applyFont="true" applyBorder="true" applyAlignment="false" applyProtection="false">
      <alignment horizontal="general" vertical="bottom" textRotation="0" wrapText="false" indent="0" shrinkToFit="false"/>
      <protection locked="true" hidden="false"/>
    </xf>
    <xf numFmtId="164" fontId="4" fillId="6" borderId="10" xfId="0" applyFont="true" applyBorder="true" applyAlignment="false" applyProtection="false">
      <alignment horizontal="general" vertical="bottom" textRotation="0" wrapText="false" indent="0" shrinkToFit="false"/>
      <protection locked="true" hidden="false"/>
    </xf>
    <xf numFmtId="164" fontId="4" fillId="6" borderId="11" xfId="0" applyFont="true" applyBorder="true" applyAlignment="false" applyProtection="false">
      <alignment horizontal="general" vertical="bottom" textRotation="0" wrapText="false" indent="0" shrinkToFit="false"/>
      <protection locked="true" hidden="false"/>
    </xf>
    <xf numFmtId="165" fontId="11" fillId="5" borderId="7" xfId="0" applyFont="true" applyBorder="true" applyAlignment="false" applyProtection="false">
      <alignment horizontal="general" vertical="bottom" textRotation="0" wrapText="false" indent="0" shrinkToFit="false"/>
      <protection locked="true" hidden="false"/>
    </xf>
    <xf numFmtId="170" fontId="4" fillId="6" borderId="9" xfId="0" applyFont="true" applyBorder="true" applyAlignment="false" applyProtection="false">
      <alignment horizontal="general" vertical="bottom" textRotation="0" wrapText="false" indent="0" shrinkToFit="false"/>
      <protection locked="true" hidden="false"/>
    </xf>
    <xf numFmtId="169" fontId="4" fillId="6" borderId="7" xfId="0" applyFont="true" applyBorder="true" applyAlignment="false" applyProtection="false">
      <alignment horizontal="general" vertical="bottom" textRotation="0" wrapText="false" indent="0" shrinkToFit="false"/>
      <protection locked="true" hidden="false"/>
    </xf>
    <xf numFmtId="168" fontId="11" fillId="5" borderId="9" xfId="0" applyFont="true" applyBorder="true" applyAlignment="false" applyProtection="false">
      <alignment horizontal="general" vertical="bottom" textRotation="0" wrapText="false" indent="0" shrinkToFit="false"/>
      <protection locked="true" hidden="false"/>
    </xf>
    <xf numFmtId="164" fontId="4" fillId="2" borderId="10" xfId="0" applyFont="true" applyBorder="true" applyAlignment="false" applyProtection="false">
      <alignment horizontal="general" vertical="bottom" textRotation="0" wrapText="false" indent="0" shrinkToFit="false"/>
      <protection locked="true" hidden="false"/>
    </xf>
    <xf numFmtId="164" fontId="4" fillId="2" borderId="11" xfId="0" applyFont="true" applyBorder="true" applyAlignment="false" applyProtection="false">
      <alignment horizontal="general" vertical="bottom" textRotation="0" wrapText="false" indent="0" shrinkToFit="false"/>
      <protection locked="true" hidden="false"/>
    </xf>
    <xf numFmtId="164" fontId="10" fillId="2" borderId="6" xfId="0" applyFont="true" applyBorder="true" applyAlignment="false" applyProtection="false">
      <alignment horizontal="general" vertical="bottom" textRotation="0" wrapText="false" indent="0" shrinkToFit="false"/>
      <protection locked="true" hidden="false"/>
    </xf>
    <xf numFmtId="165" fontId="4" fillId="6" borderId="9" xfId="0" applyFont="true" applyBorder="true" applyAlignment="false" applyProtection="false">
      <alignment horizontal="general" vertical="bottom" textRotation="0" wrapText="false" indent="0" shrinkToFit="false"/>
      <protection locked="true" hidden="false"/>
    </xf>
    <xf numFmtId="164" fontId="12" fillId="2" borderId="7" xfId="0" applyFont="true" applyBorder="true" applyAlignment="false" applyProtection="false">
      <alignment horizontal="general" vertical="bottom" textRotation="0" wrapText="false" indent="0" shrinkToFit="false"/>
      <protection locked="true" hidden="false"/>
    </xf>
    <xf numFmtId="164" fontId="11" fillId="5" borderId="9" xfId="0" applyFont="true" applyBorder="true" applyAlignment="false" applyProtection="false">
      <alignment horizontal="general" vertical="bottom" textRotation="0" wrapText="false" indent="0" shrinkToFit="false"/>
      <protection locked="true" hidden="false"/>
    </xf>
    <xf numFmtId="167" fontId="4" fillId="2" borderId="8" xfId="0" applyFont="true" applyBorder="true" applyAlignment="false" applyProtection="false">
      <alignment horizontal="general" vertical="bottom" textRotation="0" wrapText="false" indent="0" shrinkToFit="false"/>
      <protection locked="true" hidden="false"/>
    </xf>
    <xf numFmtId="165" fontId="4" fillId="0" borderId="0" xfId="0" applyFont="true" applyBorder="true" applyAlignment="false" applyProtection="false">
      <alignment horizontal="general" vertical="bottom" textRotation="0" wrapText="false" indent="0" shrinkToFit="false"/>
      <protection locked="true" hidden="false"/>
    </xf>
    <xf numFmtId="165" fontId="11" fillId="5" borderId="9" xfId="0" applyFont="true" applyBorder="true" applyAlignment="false" applyProtection="false">
      <alignment horizontal="general" vertical="bottom" textRotation="0" wrapText="false" indent="0" shrinkToFit="false"/>
      <protection locked="true" hidden="false"/>
    </xf>
    <xf numFmtId="164" fontId="4" fillId="7" borderId="7" xfId="0" applyFont="true" applyBorder="true" applyAlignment="false" applyProtection="false">
      <alignment horizontal="general" vertical="bottom" textRotation="0" wrapText="false" indent="0" shrinkToFit="false"/>
      <protection locked="true" hidden="false"/>
    </xf>
    <xf numFmtId="164" fontId="4" fillId="6" borderId="12" xfId="0" applyFont="true" applyBorder="true" applyAlignment="false" applyProtection="false">
      <alignment horizontal="general" vertical="bottom" textRotation="0" wrapText="false" indent="0" shrinkToFit="false"/>
      <protection locked="true" hidden="false"/>
    </xf>
    <xf numFmtId="168" fontId="10" fillId="2" borderId="0" xfId="0" applyFont="true" applyBorder="true" applyAlignment="false" applyProtection="false">
      <alignment horizontal="general" vertical="bottom" textRotation="0" wrapText="false" indent="0" shrinkToFit="false"/>
      <protection locked="true" hidden="false"/>
    </xf>
    <xf numFmtId="164" fontId="10" fillId="4" borderId="6" xfId="0" applyFont="true" applyBorder="true" applyAlignment="false" applyProtection="false">
      <alignment horizontal="general" vertical="bottom" textRotation="0" wrapText="false" indent="0" shrinkToFit="false"/>
      <protection locked="true" hidden="false"/>
    </xf>
    <xf numFmtId="164" fontId="13" fillId="0" borderId="10" xfId="0" applyFont="true" applyBorder="true" applyAlignment="true" applyProtection="false">
      <alignment horizontal="center" vertical="bottom" textRotation="0" wrapText="false" indent="0" shrinkToFit="false"/>
      <protection locked="true" hidden="false"/>
    </xf>
    <xf numFmtId="164" fontId="13" fillId="0" borderId="13" xfId="0" applyFont="true" applyBorder="true" applyAlignment="true" applyProtection="false">
      <alignment horizontal="center" vertical="bottom" textRotation="0" wrapText="false" indent="0" shrinkToFit="false"/>
      <protection locked="true" hidden="false"/>
    </xf>
    <xf numFmtId="164" fontId="4" fillId="0" borderId="14" xfId="0" applyFont="true" applyBorder="true" applyAlignment="false" applyProtection="false">
      <alignment horizontal="general" vertical="bottom" textRotation="0" wrapText="false" indent="0" shrinkToFit="false"/>
      <protection locked="true" hidden="false"/>
    </xf>
    <xf numFmtId="164" fontId="10" fillId="6" borderId="6" xfId="0" applyFont="true" applyBorder="true" applyAlignment="false" applyProtection="false">
      <alignment horizontal="general" vertical="bottom" textRotation="0" wrapText="false" indent="0" shrinkToFit="false"/>
      <protection locked="true" hidden="false"/>
    </xf>
    <xf numFmtId="164" fontId="10" fillId="6" borderId="9" xfId="0" applyFont="true" applyBorder="true" applyAlignment="true" applyProtection="false">
      <alignment horizontal="center" vertical="bottom" textRotation="0" wrapText="false" indent="0" shrinkToFit="false"/>
      <protection locked="true" hidden="false"/>
    </xf>
    <xf numFmtId="164" fontId="4" fillId="2" borderId="9" xfId="0" applyFont="true" applyBorder="true" applyAlignment="false" applyProtection="false">
      <alignment horizontal="general" vertical="bottom" textRotation="0" wrapText="false" indent="0" shrinkToFit="false"/>
      <protection locked="true" hidden="false"/>
    </xf>
    <xf numFmtId="168" fontId="13" fillId="0" borderId="15" xfId="0" applyFont="true" applyBorder="true" applyAlignment="true" applyProtection="false">
      <alignment horizontal="center" vertical="bottom" textRotation="0" wrapText="false" indent="0" shrinkToFit="false"/>
      <protection locked="true" hidden="false"/>
    </xf>
    <xf numFmtId="168" fontId="13" fillId="0" borderId="16" xfId="0" applyFont="true" applyBorder="true" applyAlignment="true" applyProtection="false">
      <alignment horizontal="center" vertical="bottom" textRotation="0" wrapText="false" indent="0" shrinkToFit="false"/>
      <protection locked="true" hidden="false"/>
    </xf>
    <xf numFmtId="168" fontId="4" fillId="0" borderId="5" xfId="0" applyFont="true" applyBorder="true" applyAlignment="false" applyProtection="false">
      <alignment horizontal="general" vertical="bottom" textRotation="0" wrapText="false" indent="0" shrinkToFit="false"/>
      <protection locked="true" hidden="false"/>
    </xf>
    <xf numFmtId="168" fontId="4" fillId="0" borderId="0" xfId="0" applyFont="true" applyBorder="false" applyAlignment="false" applyProtection="false">
      <alignment horizontal="general" vertical="bottom" textRotation="0" wrapText="false" indent="0" shrinkToFit="false"/>
      <protection locked="true" hidden="false"/>
    </xf>
    <xf numFmtId="164" fontId="4" fillId="0" borderId="9" xfId="0" applyFont="true" applyBorder="true" applyAlignment="false" applyProtection="false">
      <alignment horizontal="general" vertical="bottom" textRotation="0" wrapText="false" indent="0" shrinkToFit="false"/>
      <protection locked="true" hidden="false"/>
    </xf>
    <xf numFmtId="168" fontId="4" fillId="0" borderId="17" xfId="0" applyFont="true" applyBorder="true" applyAlignment="false" applyProtection="false">
      <alignment horizontal="general" vertical="bottom" textRotation="0" wrapText="false" indent="0" shrinkToFit="false"/>
      <protection locked="true" hidden="false"/>
    </xf>
    <xf numFmtId="168" fontId="4" fillId="0" borderId="0" xfId="0" applyFont="true" applyBorder="true" applyAlignment="false" applyProtection="false">
      <alignment horizontal="general" vertical="bottom" textRotation="0" wrapText="false" indent="0" shrinkToFit="false"/>
      <protection locked="true" hidden="false"/>
    </xf>
    <xf numFmtId="168" fontId="14" fillId="0" borderId="5" xfId="0" applyFont="true" applyBorder="true" applyAlignment="true" applyProtection="false">
      <alignment horizontal="center" vertical="bottom" textRotation="0" wrapText="false" indent="0" shrinkToFit="false"/>
      <protection locked="true" hidden="false"/>
    </xf>
    <xf numFmtId="164" fontId="4" fillId="2" borderId="18" xfId="0" applyFont="true" applyBorder="true" applyAlignment="false" applyProtection="false">
      <alignment horizontal="general" vertical="bottom" textRotation="0" wrapText="false" indent="0" shrinkToFit="false"/>
      <protection locked="true" hidden="false"/>
    </xf>
    <xf numFmtId="169" fontId="11" fillId="5" borderId="9" xfId="0" applyFont="true" applyBorder="true" applyAlignment="false" applyProtection="false">
      <alignment horizontal="general" vertical="bottom" textRotation="0" wrapText="false" indent="0" shrinkToFit="false"/>
      <protection locked="true" hidden="false"/>
    </xf>
    <xf numFmtId="164" fontId="4" fillId="6" borderId="9" xfId="0" applyFont="true" applyBorder="true" applyAlignment="false" applyProtection="false">
      <alignment horizontal="general" vertical="bottom" textRotation="0" wrapText="false" indent="0" shrinkToFit="false"/>
      <protection locked="true" hidden="false"/>
    </xf>
    <xf numFmtId="168" fontId="11" fillId="0" borderId="5" xfId="0" applyFont="true" applyBorder="true" applyAlignment="true" applyProtection="false">
      <alignment horizontal="center" vertical="bottom" textRotation="0" wrapText="false" indent="0" shrinkToFit="false"/>
      <protection locked="true" hidden="false"/>
    </xf>
    <xf numFmtId="164" fontId="4" fillId="2" borderId="19" xfId="0" applyFont="true" applyBorder="true" applyAlignment="false" applyProtection="false">
      <alignment horizontal="general" vertical="bottom" textRotation="0" wrapText="false" indent="0" shrinkToFit="false"/>
      <protection locked="true" hidden="false"/>
    </xf>
    <xf numFmtId="164" fontId="4" fillId="2" borderId="20" xfId="0" applyFont="true" applyBorder="true" applyAlignment="false" applyProtection="false">
      <alignment horizontal="general" vertical="bottom" textRotation="0" wrapText="false" indent="0" shrinkToFit="false"/>
      <protection locked="true" hidden="false"/>
    </xf>
    <xf numFmtId="165" fontId="11" fillId="5" borderId="20" xfId="0" applyFont="true" applyBorder="true" applyAlignment="false" applyProtection="false">
      <alignment horizontal="general" vertical="bottom" textRotation="0" wrapText="false" indent="0" shrinkToFit="false"/>
      <protection locked="true" hidden="false"/>
    </xf>
    <xf numFmtId="164" fontId="4" fillId="2" borderId="12" xfId="0" applyFont="true" applyBorder="true" applyAlignment="false" applyProtection="false">
      <alignment horizontal="general" vertical="bottom" textRotation="0" wrapText="false" indent="0" shrinkToFit="false"/>
      <protection locked="true" hidden="false"/>
    </xf>
    <xf numFmtId="168" fontId="4" fillId="0" borderId="15" xfId="0" applyFont="true" applyBorder="true" applyAlignment="false" applyProtection="false">
      <alignment horizontal="general" vertical="bottom" textRotation="0" wrapText="false" indent="0" shrinkToFit="false"/>
      <protection locked="true" hidden="false"/>
    </xf>
    <xf numFmtId="169" fontId="4" fillId="2" borderId="0" xfId="0" applyFont="true" applyBorder="true" applyAlignment="false" applyProtection="false">
      <alignment horizontal="general" vertical="bottom" textRotation="0" wrapText="false" indent="0" shrinkToFit="false"/>
      <protection locked="true" hidden="false"/>
    </xf>
    <xf numFmtId="168" fontId="4" fillId="0" borderId="8" xfId="0" applyFont="true" applyBorder="true" applyAlignment="false" applyProtection="false">
      <alignment horizontal="general" vertical="bottom" textRotation="0" wrapText="false" indent="0" shrinkToFit="false"/>
      <protection locked="true" hidden="false"/>
    </xf>
    <xf numFmtId="168" fontId="4" fillId="0" borderId="21" xfId="0" applyFont="true" applyBorder="true" applyAlignment="false" applyProtection="false">
      <alignment horizontal="general" vertical="bottom" textRotation="0" wrapText="false" indent="0" shrinkToFit="false"/>
      <protection locked="true" hidden="false"/>
    </xf>
    <xf numFmtId="168" fontId="15" fillId="0" borderId="17"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8" fontId="15" fillId="0" borderId="8" xfId="0" applyFont="true" applyBorder="true" applyAlignment="false" applyProtection="false">
      <alignment horizontal="general" vertical="bottom" textRotation="0" wrapText="false" indent="0" shrinkToFit="false"/>
      <protection locked="true" hidden="false"/>
    </xf>
    <xf numFmtId="168" fontId="4" fillId="0" borderId="16" xfId="0" applyFont="true" applyBorder="true" applyAlignment="false" applyProtection="false">
      <alignment horizontal="general" vertical="bottom" textRotation="0" wrapText="false" indent="0" shrinkToFit="false"/>
      <protection locked="true" hidden="false"/>
    </xf>
    <xf numFmtId="168" fontId="4" fillId="0" borderId="22" xfId="0" applyFont="true" applyBorder="true" applyAlignment="false" applyProtection="false">
      <alignment horizontal="general" vertical="bottom" textRotation="0" wrapText="false" indent="0" shrinkToFit="false"/>
      <protection locked="true" hidden="false"/>
    </xf>
    <xf numFmtId="164" fontId="4" fillId="2" borderId="23" xfId="0" applyFont="true" applyBorder="true" applyAlignment="false" applyProtection="false">
      <alignment horizontal="general" vertical="bottom" textRotation="0" wrapText="false" indent="0" shrinkToFit="false"/>
      <protection locked="true" hidden="false"/>
    </xf>
    <xf numFmtId="164" fontId="11" fillId="5" borderId="9" xfId="0" applyFont="true" applyBorder="true" applyAlignment="false" applyProtection="false">
      <alignment horizontal="general" vertical="bottom" textRotation="0" wrapText="false" indent="0" shrinkToFit="false"/>
      <protection locked="true" hidden="false"/>
    </xf>
    <xf numFmtId="168" fontId="4" fillId="2" borderId="5" xfId="0" applyFont="true" applyBorder="true" applyAlignment="false" applyProtection="false">
      <alignment horizontal="general" vertical="bottom" textRotation="0" wrapText="false" indent="0" shrinkToFit="false"/>
      <protection locked="true" hidden="false"/>
    </xf>
    <xf numFmtId="164" fontId="10" fillId="2" borderId="24" xfId="0" applyFont="true" applyBorder="true" applyAlignment="false" applyProtection="false">
      <alignment horizontal="general" vertical="bottom" textRotation="0" wrapText="false" indent="0" shrinkToFit="false"/>
      <protection locked="true" hidden="false"/>
    </xf>
    <xf numFmtId="164" fontId="4" fillId="2" borderId="25" xfId="0" applyFont="true" applyBorder="true" applyAlignment="false" applyProtection="false">
      <alignment horizontal="general" vertical="bottom" textRotation="0" wrapText="false" indent="0" shrinkToFit="false"/>
      <protection locked="true" hidden="false"/>
    </xf>
    <xf numFmtId="164" fontId="10" fillId="2" borderId="0" xfId="0" applyFont="true" applyBorder="true" applyAlignment="false" applyProtection="false">
      <alignment horizontal="general" vertical="bottom" textRotation="0" wrapText="false" indent="0" shrinkToFit="false"/>
      <protection locked="true" hidden="false"/>
    </xf>
    <xf numFmtId="164" fontId="4" fillId="6" borderId="8" xfId="0" applyFont="true" applyBorder="true" applyAlignment="true" applyProtection="false">
      <alignment horizontal="general" vertical="bottom" textRotation="0" wrapText="false" indent="0" shrinkToFit="false"/>
      <protection locked="true" hidden="false"/>
    </xf>
    <xf numFmtId="171" fontId="4" fillId="2" borderId="0" xfId="0" applyFont="true" applyBorder="true" applyAlignment="false" applyProtection="false">
      <alignment horizontal="general" vertical="bottom" textRotation="0" wrapText="false" indent="0" shrinkToFit="false"/>
      <protection locked="true" hidden="false"/>
    </xf>
    <xf numFmtId="164" fontId="4" fillId="2" borderId="26" xfId="0" applyFont="true" applyBorder="true" applyAlignment="false" applyProtection="false">
      <alignment horizontal="general" vertical="bottom" textRotation="0" wrapText="false" indent="0" shrinkToFit="false"/>
      <protection locked="true" hidden="false"/>
    </xf>
    <xf numFmtId="164" fontId="4" fillId="0" borderId="7" xfId="0" applyFont="true" applyBorder="true" applyAlignment="false" applyProtection="false">
      <alignment horizontal="general" vertical="bottom" textRotation="0" wrapText="false" indent="0" shrinkToFit="false"/>
      <protection locked="true" hidden="false"/>
    </xf>
    <xf numFmtId="164" fontId="4" fillId="2" borderId="24" xfId="0" applyFont="true" applyBorder="true" applyAlignment="true" applyProtection="false">
      <alignment horizontal="left" vertical="bottom" textRotation="0" wrapText="false" indent="1" shrinkToFit="false"/>
      <protection locked="true" hidden="false"/>
    </xf>
    <xf numFmtId="165" fontId="4" fillId="6" borderId="7" xfId="0" applyFont="true" applyBorder="true" applyAlignment="false" applyProtection="false">
      <alignment horizontal="general" vertical="bottom" textRotation="0" wrapText="false" indent="0" shrinkToFit="false"/>
      <protection locked="true" hidden="false"/>
    </xf>
    <xf numFmtId="164" fontId="11" fillId="5" borderId="7" xfId="0" applyFont="true" applyBorder="true" applyAlignment="true" applyProtection="false">
      <alignment horizontal="right"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4" fillId="2" borderId="4" xfId="0" applyFont="true" applyBorder="true" applyAlignment="true" applyProtection="false">
      <alignment horizontal="left" vertical="bottom" textRotation="0" wrapText="false" indent="1" shrinkToFit="false"/>
      <protection locked="true" hidden="false"/>
    </xf>
    <xf numFmtId="164" fontId="4" fillId="6" borderId="20" xfId="0" applyFont="true" applyBorder="true" applyAlignment="false" applyProtection="false">
      <alignment horizontal="general" vertical="bottom" textRotation="0" wrapText="false" indent="0" shrinkToFit="false"/>
      <protection locked="true" hidden="false"/>
    </xf>
    <xf numFmtId="169" fontId="4" fillId="6" borderId="9" xfId="0" applyFont="true" applyBorder="true" applyAlignment="false" applyProtection="false">
      <alignment horizontal="general" vertical="bottom" textRotation="0" wrapText="false" indent="0" shrinkToFit="false"/>
      <protection locked="true" hidden="false"/>
    </xf>
    <xf numFmtId="168" fontId="4" fillId="6" borderId="17" xfId="0" applyFont="true" applyBorder="true" applyAlignment="false" applyProtection="false">
      <alignment horizontal="general" vertical="bottom" textRotation="0" wrapText="false" indent="0" shrinkToFit="false"/>
      <protection locked="true" hidden="false"/>
    </xf>
    <xf numFmtId="168" fontId="4" fillId="6" borderId="0" xfId="0" applyFont="true" applyBorder="true" applyAlignment="false" applyProtection="false">
      <alignment horizontal="general" vertical="bottom" textRotation="0" wrapText="false" indent="0" shrinkToFit="false"/>
      <protection locked="true" hidden="false"/>
    </xf>
    <xf numFmtId="172" fontId="16" fillId="5" borderId="9" xfId="0" applyFont="true" applyBorder="true" applyAlignment="true" applyProtection="false">
      <alignment horizontal="right" vertical="bottom" textRotation="0" wrapText="false" indent="0" shrinkToFit="false"/>
      <protection locked="true" hidden="false"/>
    </xf>
    <xf numFmtId="164" fontId="10" fillId="2" borderId="4" xfId="0" applyFont="true" applyBorder="true" applyAlignment="true" applyProtection="false">
      <alignment horizontal="left" vertical="bottom" textRotation="0" wrapText="false" indent="1" shrinkToFit="false"/>
      <protection locked="true" hidden="false"/>
    </xf>
    <xf numFmtId="173" fontId="11" fillId="5" borderId="9" xfId="0" applyFont="true" applyBorder="true" applyAlignment="true" applyProtection="false">
      <alignment horizontal="right" vertical="bottom" textRotation="0" wrapText="false" indent="0" shrinkToFit="false"/>
      <protection locked="true" hidden="false"/>
    </xf>
    <xf numFmtId="168" fontId="4" fillId="2" borderId="8" xfId="0" applyFont="true" applyBorder="true" applyAlignment="false" applyProtection="false">
      <alignment horizontal="general" vertical="bottom" textRotation="0" wrapText="false" indent="0" shrinkToFit="false"/>
      <protection locked="true" hidden="false"/>
    </xf>
    <xf numFmtId="168" fontId="4" fillId="2" borderId="7" xfId="0" applyFont="true" applyBorder="true" applyAlignment="false" applyProtection="false">
      <alignment horizontal="general" vertical="bottom" textRotation="0" wrapText="false" indent="0" shrinkToFit="false"/>
      <protection locked="true" hidden="false"/>
    </xf>
    <xf numFmtId="173" fontId="16" fillId="5" borderId="20" xfId="0" applyFont="true" applyBorder="true" applyAlignment="true" applyProtection="false">
      <alignment horizontal="right" vertical="bottom" textRotation="0" wrapText="false" indent="0" shrinkToFit="false"/>
      <protection locked="true" hidden="false"/>
    </xf>
    <xf numFmtId="165" fontId="11" fillId="2" borderId="0" xfId="0" applyFont="true" applyBorder="true" applyAlignment="false" applyProtection="false">
      <alignment horizontal="general" vertical="bottom" textRotation="0" wrapText="false" indent="0" shrinkToFit="false"/>
      <protection locked="true" hidden="false"/>
    </xf>
    <xf numFmtId="168" fontId="4" fillId="6" borderId="8" xfId="0" applyFont="true" applyBorder="true" applyAlignment="false" applyProtection="false">
      <alignment horizontal="general" vertical="bottom" textRotation="0" wrapText="false" indent="0" shrinkToFit="false"/>
      <protection locked="true" hidden="false"/>
    </xf>
    <xf numFmtId="168" fontId="4" fillId="6" borderId="7" xfId="0" applyFont="true" applyBorder="true" applyAlignment="false" applyProtection="false">
      <alignment horizontal="general" vertical="bottom" textRotation="0" wrapText="false" indent="0" shrinkToFit="false"/>
      <protection locked="true" hidden="false"/>
    </xf>
    <xf numFmtId="164" fontId="10" fillId="2" borderId="4" xfId="0" applyFont="true" applyBorder="true" applyAlignment="false" applyProtection="false">
      <alignment horizontal="general" vertical="bottom" textRotation="0" wrapText="false" indent="0" shrinkToFit="false"/>
      <protection locked="true" hidden="false"/>
    </xf>
    <xf numFmtId="164" fontId="4" fillId="2" borderId="15" xfId="0" applyFont="true" applyBorder="true" applyAlignment="false" applyProtection="false">
      <alignment horizontal="general" vertical="bottom" textRotation="0" wrapText="false" indent="0" shrinkToFit="false"/>
      <protection locked="true" hidden="false"/>
    </xf>
    <xf numFmtId="164" fontId="4" fillId="2" borderId="16" xfId="0" applyFont="true" applyBorder="true" applyAlignment="false" applyProtection="false">
      <alignment horizontal="general" vertical="bottom" textRotation="0" wrapText="false" indent="0" shrinkToFit="false"/>
      <protection locked="true" hidden="false"/>
    </xf>
    <xf numFmtId="165" fontId="4" fillId="6" borderId="9" xfId="0" applyFont="true" applyBorder="true" applyAlignment="true" applyProtection="false">
      <alignment horizontal="right" vertical="bottom" textRotation="0" wrapText="false" indent="0" shrinkToFit="false"/>
      <protection locked="true" hidden="false"/>
    </xf>
    <xf numFmtId="165" fontId="17" fillId="2" borderId="0" xfId="0" applyFont="true" applyBorder="true" applyAlignment="false" applyProtection="false">
      <alignment horizontal="general" vertical="bottom" textRotation="0" wrapText="false" indent="0" shrinkToFit="false"/>
      <protection locked="true" hidden="false"/>
    </xf>
    <xf numFmtId="164" fontId="4" fillId="2" borderId="27" xfId="0" applyFont="true" applyBorder="true" applyAlignment="false" applyProtection="false">
      <alignment horizontal="general" vertical="bottom" textRotation="0" wrapText="false" indent="0" shrinkToFit="false"/>
      <protection locked="true" hidden="false"/>
    </xf>
    <xf numFmtId="164" fontId="4" fillId="2" borderId="28" xfId="0" applyFont="true" applyBorder="true" applyAlignment="false" applyProtection="false">
      <alignment horizontal="general" vertical="bottom" textRotation="0" wrapText="false" indent="0" shrinkToFit="false"/>
      <protection locked="true" hidden="false"/>
    </xf>
    <xf numFmtId="164" fontId="4" fillId="2" borderId="29" xfId="0" applyFont="true" applyBorder="true" applyAlignment="true" applyProtection="false">
      <alignment horizontal="general" vertical="bottom" textRotation="0" wrapText="false" indent="0" shrinkToFit="false"/>
      <protection locked="true" hidden="false"/>
    </xf>
    <xf numFmtId="164" fontId="4" fillId="2" borderId="30" xfId="0" applyFont="true" applyBorder="true" applyAlignment="false" applyProtection="false">
      <alignment horizontal="general" vertical="bottom" textRotation="0" wrapText="false" indent="0" shrinkToFit="false"/>
      <protection locked="true" hidden="false"/>
    </xf>
    <xf numFmtId="164" fontId="11" fillId="5" borderId="31" xfId="0" applyFont="true" applyBorder="true" applyAlignment="true" applyProtection="false">
      <alignment horizontal="right" vertical="bottom" textRotation="0" wrapText="false" indent="0" shrinkToFit="false"/>
      <protection locked="true" hidden="false"/>
    </xf>
    <xf numFmtId="168" fontId="4" fillId="2" borderId="28" xfId="0" applyFont="true" applyBorder="true" applyAlignment="false" applyProtection="false">
      <alignment horizontal="general" vertical="bottom" textRotation="0" wrapText="false" indent="0" shrinkToFit="false"/>
      <protection locked="true" hidden="false"/>
    </xf>
    <xf numFmtId="164" fontId="4" fillId="2" borderId="32"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0" fillId="0" borderId="33" xfId="0" applyFont="false" applyBorder="true" applyAlignment="true" applyProtection="false">
      <alignment horizontal="center" vertical="bottom" textRotation="0" wrapText="false" indent="0" shrinkToFit="false"/>
      <protection locked="true" hidden="false"/>
    </xf>
    <xf numFmtId="167" fontId="0" fillId="6" borderId="7" xfId="0" applyFont="false" applyBorder="true" applyAlignment="true" applyProtection="false">
      <alignment horizontal="center" vertical="bottom" textRotation="0" wrapText="false" indent="0" shrinkToFit="false"/>
      <protection locked="true" hidden="false"/>
    </xf>
    <xf numFmtId="167" fontId="0" fillId="6" borderId="9" xfId="0" applyFont="false" applyBorder="true" applyAlignment="true" applyProtection="false">
      <alignment horizontal="center" vertical="bottom" textRotation="0" wrapText="false" indent="0" shrinkToFit="false"/>
      <protection locked="true" hidden="false"/>
    </xf>
    <xf numFmtId="174" fontId="13"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13" fillId="0" borderId="0" xfId="0" applyFont="true" applyBorder="false" applyAlignment="true" applyProtection="false">
      <alignment horizontal="center" vertical="bottom" textRotation="0" wrapText="false" indent="0" shrinkToFit="false"/>
      <protection locked="true" hidden="false"/>
    </xf>
    <xf numFmtId="174" fontId="13" fillId="0" borderId="0" xfId="0" applyFont="true" applyBorder="false" applyAlignment="true" applyProtection="false">
      <alignment horizontal="center"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9" fontId="20" fillId="0" borderId="0" xfId="0" applyFont="true" applyBorder="false" applyAlignment="true" applyProtection="false">
      <alignment horizontal="center"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74" fontId="13"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74" fontId="21" fillId="0" borderId="0" xfId="0" applyFont="true" applyBorder="false" applyAlignment="false" applyProtection="false">
      <alignment horizontal="general"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7" fontId="23" fillId="0" borderId="0" xfId="0" applyFont="true" applyBorder="false" applyAlignment="true" applyProtection="false">
      <alignment horizontal="left" vertical="bottom" textRotation="0" wrapText="false" indent="1" shrinkToFit="false"/>
      <protection locked="true" hidden="false"/>
    </xf>
    <xf numFmtId="168" fontId="15" fillId="0" borderId="0" xfId="0" applyFont="true" applyBorder="false" applyAlignment="false" applyProtection="false">
      <alignment horizontal="general" vertical="bottom" textRotation="0" wrapText="false" indent="0" shrinkToFit="false"/>
      <protection locked="true" hidden="false"/>
    </xf>
    <xf numFmtId="174" fontId="21" fillId="0" borderId="0" xfId="0" applyFont="true" applyBorder="false" applyAlignment="false" applyProtection="false">
      <alignment horizontal="general" vertical="bottom" textRotation="0" wrapText="false" indent="0" shrinkToFit="false"/>
      <protection locked="true" hidden="false"/>
    </xf>
    <xf numFmtId="168" fontId="15"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left" vertical="bottom" textRotation="0" wrapText="false" indent="0" shrinkToFit="false"/>
      <protection locked="true" hidden="false"/>
    </xf>
    <xf numFmtId="164" fontId="23" fillId="0" borderId="0" xfId="0" applyFont="true" applyBorder="false" applyAlignment="true" applyProtection="false">
      <alignment horizontal="left" vertical="bottom" textRotation="0" wrapText="false" indent="2" shrinkToFit="false"/>
      <protection locked="true" hidden="false"/>
    </xf>
    <xf numFmtId="168" fontId="20" fillId="0" borderId="0" xfId="0" applyFont="true" applyBorder="false" applyAlignment="false" applyProtection="false">
      <alignment horizontal="general" vertical="bottom" textRotation="0" wrapText="false" indent="0" shrinkToFit="false"/>
      <protection locked="true" hidden="false"/>
    </xf>
    <xf numFmtId="168" fontId="24" fillId="0" borderId="0" xfId="0" applyFont="true" applyBorder="false" applyAlignment="false" applyProtection="false">
      <alignment horizontal="general"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8" fontId="11" fillId="5" borderId="0" xfId="0" applyFont="true" applyBorder="false" applyAlignment="false" applyProtection="false">
      <alignment horizontal="general" vertical="bottom" textRotation="0" wrapText="false" indent="0" shrinkToFit="false"/>
      <protection locked="true" hidden="false"/>
    </xf>
    <xf numFmtId="164" fontId="20" fillId="0" borderId="8" xfId="0" applyFont="true" applyBorder="true" applyAlignment="true" applyProtection="false">
      <alignment horizontal="center" vertical="bottom" textRotation="0" wrapText="false" indent="0" shrinkToFit="false"/>
      <protection locked="true" hidden="false"/>
    </xf>
    <xf numFmtId="164" fontId="20" fillId="0" borderId="21" xfId="0" applyFont="true" applyBorder="true" applyAlignment="true" applyProtection="false">
      <alignment horizontal="center" vertical="bottom" textRotation="0" wrapText="false" indent="0" shrinkToFit="false"/>
      <protection locked="true" hidden="false"/>
    </xf>
    <xf numFmtId="164" fontId="20" fillId="0" borderId="9" xfId="0" applyFont="true" applyBorder="true" applyAlignment="true" applyProtection="false">
      <alignment horizontal="center" vertical="bottom" textRotation="0" wrapText="false" indent="0" shrinkToFit="false"/>
      <protection locked="true" hidden="false"/>
    </xf>
    <xf numFmtId="167" fontId="0" fillId="0" borderId="9" xfId="0" applyFont="false" applyBorder="true" applyAlignment="true" applyProtection="false">
      <alignment horizontal="center" vertical="bottom" textRotation="0" wrapText="false" indent="0" shrinkToFit="false"/>
      <protection locked="true" hidden="false"/>
    </xf>
    <xf numFmtId="168" fontId="4" fillId="0" borderId="0" xfId="0" applyFont="true" applyBorder="false" applyAlignment="true" applyProtection="false">
      <alignment horizontal="center" vertical="bottom" textRotation="0" wrapText="false" indent="0" shrinkToFit="false"/>
      <protection locked="true" hidden="false"/>
    </xf>
    <xf numFmtId="164" fontId="20" fillId="0" borderId="0" xfId="0" applyFont="true" applyBorder="false" applyAlignment="true" applyProtection="false">
      <alignment horizontal="left" vertical="bottom" textRotation="0" wrapText="false" indent="1" shrinkToFit="false"/>
      <protection locked="true" hidden="false"/>
    </xf>
    <xf numFmtId="168" fontId="4" fillId="0" borderId="21" xfId="0" applyFont="true" applyBorder="true" applyAlignment="false" applyProtection="false">
      <alignment horizontal="general" vertical="bottom" textRotation="0" wrapText="false" indent="0" shrinkToFit="false"/>
      <protection locked="true" hidden="false"/>
    </xf>
    <xf numFmtId="169" fontId="4" fillId="0" borderId="0" xfId="0" applyFont="true" applyBorder="false" applyAlignment="false" applyProtection="false">
      <alignment horizontal="general" vertical="bottom" textRotation="0" wrapText="false" indent="0" shrinkToFit="false"/>
      <protection locked="true" hidden="false"/>
    </xf>
    <xf numFmtId="168" fontId="11" fillId="0" borderId="0" xfId="0" applyFont="true" applyBorder="false" applyAlignment="false" applyProtection="false">
      <alignment horizontal="general" vertical="bottom" textRotation="0" wrapText="fals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center"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1" shrinkToFit="false"/>
      <protection locked="true" hidden="false"/>
    </xf>
    <xf numFmtId="168" fontId="4" fillId="0" borderId="0" xfId="0" applyFont="true" applyBorder="false" applyAlignment="false" applyProtection="false">
      <alignment horizontal="general" vertical="bottom" textRotation="0" wrapText="false" indent="0" shrinkToFit="false"/>
      <protection locked="true" hidden="false"/>
    </xf>
    <xf numFmtId="168" fontId="12" fillId="0" borderId="0" xfId="0" applyFont="true" applyBorder="false" applyAlignment="false" applyProtection="false">
      <alignment horizontal="general" vertical="bottom" textRotation="0" wrapText="false" indent="0" shrinkToFit="false"/>
      <protection locked="true" hidden="false"/>
    </xf>
    <xf numFmtId="164" fontId="0" fillId="0" borderId="16" xfId="0" applyFont="false" applyBorder="true" applyAlignment="false" applyProtection="false">
      <alignment horizontal="general" vertical="bottom" textRotation="0" wrapText="false" indent="0" shrinkToFit="false"/>
      <protection locked="true" hidden="false"/>
    </xf>
    <xf numFmtId="168" fontId="4" fillId="0" borderId="16"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8" fontId="4" fillId="0" borderId="0" xfId="0" applyFont="true" applyBorder="true" applyAlignment="false" applyProtection="false">
      <alignment horizontal="general" vertical="bottom" textRotation="0" wrapText="false" indent="0" shrinkToFit="false"/>
      <protection locked="true" hidden="false"/>
    </xf>
    <xf numFmtId="164" fontId="26" fillId="0" borderId="0" xfId="0" applyFont="true" applyBorder="true" applyAlignment="false" applyProtection="false">
      <alignment horizontal="general" vertical="bottom" textRotation="0" wrapText="false" indent="0" shrinkToFit="false"/>
      <protection locked="true" hidden="false"/>
    </xf>
    <xf numFmtId="168" fontId="4" fillId="0" borderId="0" xfId="0" applyFont="true" applyBorder="false" applyAlignment="true" applyProtection="false">
      <alignment horizontal="right" vertical="bottom" textRotation="0" wrapText="false" indent="0" shrinkToFit="false"/>
      <protection locked="true" hidden="false"/>
    </xf>
    <xf numFmtId="168" fontId="4" fillId="0" borderId="16" xfId="0" applyFont="true" applyBorder="true" applyAlignment="true" applyProtection="false">
      <alignment horizontal="right" vertical="bottom" textRotation="0" wrapText="false" indent="0" shrinkToFit="false"/>
      <protection locked="true" hidden="false"/>
    </xf>
    <xf numFmtId="164" fontId="27" fillId="0" borderId="0" xfId="0" applyFont="true" applyBorder="false" applyAlignment="true" applyProtection="false">
      <alignment horizontal="left" vertical="bottom" textRotation="0" wrapText="false" indent="0" shrinkToFit="false"/>
      <protection locked="true" hidden="false"/>
    </xf>
    <xf numFmtId="168" fontId="10" fillId="0" borderId="21" xfId="0" applyFont="true" applyBorder="tru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8" fontId="0" fillId="0" borderId="16" xfId="0" applyFont="false" applyBorder="true" applyAlignment="false" applyProtection="false">
      <alignment horizontal="general" vertical="bottom" textRotation="0" wrapText="false" indent="0" shrinkToFit="false"/>
      <protection locked="true" hidden="false"/>
    </xf>
    <xf numFmtId="167" fontId="4" fillId="0" borderId="0" xfId="0" applyFont="true" applyBorder="false" applyAlignment="true" applyProtection="false">
      <alignment horizontal="left" vertical="bottom" textRotation="0" wrapText="false" indent="1"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27" fillId="0" borderId="0" xfId="0" applyFont="true" applyBorder="false" applyAlignment="false" applyProtection="false">
      <alignment horizontal="general" vertical="bottom" textRotation="0" wrapText="false" indent="0" shrinkToFit="false"/>
      <protection locked="true" hidden="false"/>
    </xf>
    <xf numFmtId="164" fontId="4" fillId="0" borderId="16" xfId="0" applyFont="true" applyBorder="true" applyAlignment="false" applyProtection="false">
      <alignment horizontal="general" vertical="bottom" textRotation="0" wrapText="false" indent="0" shrinkToFit="false"/>
      <protection locked="true" hidden="false"/>
    </xf>
    <xf numFmtId="164" fontId="30" fillId="0" borderId="0" xfId="0" applyFont="true" applyBorder="false" applyAlignment="false" applyProtection="false">
      <alignment horizontal="general" vertical="bottom" textRotation="0" wrapText="false" indent="0" shrinkToFit="false"/>
      <protection locked="true" hidden="false"/>
    </xf>
    <xf numFmtId="164" fontId="26" fillId="0" borderId="0" xfId="0" applyFont="true" applyBorder="false" applyAlignment="false" applyProtection="false">
      <alignment horizontal="general" vertical="bottom" textRotation="0" wrapText="false" indent="0" shrinkToFit="false"/>
      <protection locked="true" hidden="false"/>
    </xf>
    <xf numFmtId="164" fontId="11" fillId="5" borderId="9" xfId="0" applyFont="true" applyBorder="true" applyAlignment="true" applyProtection="false">
      <alignment horizontal="center" vertical="bottom" textRotation="0" wrapText="false" indent="0" shrinkToFit="false"/>
      <protection locked="true" hidden="false"/>
    </xf>
    <xf numFmtId="164" fontId="4" fillId="0" borderId="9" xfId="0" applyFont="true" applyBorder="true" applyAlignment="true" applyProtection="false">
      <alignment horizontal="center" vertical="bottom" textRotation="0" wrapText="false" indent="0" shrinkToFit="false"/>
      <protection locked="true" hidden="false"/>
    </xf>
    <xf numFmtId="167" fontId="4" fillId="6" borderId="9" xfId="0" applyFont="true" applyBorder="true" applyAlignment="true" applyProtection="false">
      <alignment horizontal="center" vertical="bottom" textRotation="0" wrapText="false" indent="0" shrinkToFit="false"/>
      <protection locked="true" hidden="false"/>
    </xf>
    <xf numFmtId="168" fontId="4" fillId="6" borderId="9" xfId="0" applyFont="true" applyBorder="true" applyAlignment="false" applyProtection="false">
      <alignment horizontal="general"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bottom" textRotation="0" wrapText="false" indent="0" shrinkToFit="false"/>
      <protection locked="true" hidden="false"/>
    </xf>
    <xf numFmtId="164" fontId="4" fillId="0" borderId="33" xfId="0" applyFont="true" applyBorder="true" applyAlignment="true" applyProtection="false">
      <alignment horizontal="center" vertical="bottom" textRotation="0" wrapText="false" indent="0" shrinkToFit="false"/>
      <protection locked="true" hidden="false"/>
    </xf>
    <xf numFmtId="167" fontId="4" fillId="6" borderId="7"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14" fillId="0" borderId="0" xfId="0" applyFont="true" applyBorder="false" applyAlignment="true" applyProtection="false">
      <alignment horizontal="center" vertical="bottom" textRotation="0" wrapText="false" indent="0" shrinkToFit="false"/>
      <protection locked="true" hidden="false"/>
    </xf>
    <xf numFmtId="164" fontId="31" fillId="0" borderId="0" xfId="0" applyFont="true" applyBorder="false" applyAlignment="true" applyProtection="false">
      <alignment horizontal="center" vertical="bottom" textRotation="0" wrapText="false" indent="0" shrinkToFit="false"/>
      <protection locked="true" hidden="false"/>
    </xf>
    <xf numFmtId="165" fontId="11" fillId="5" borderId="0" xfId="0" applyFont="true" applyBorder="false" applyAlignment="true" applyProtection="false">
      <alignment horizontal="center" vertical="bottom" textRotation="0" wrapText="false" indent="0" shrinkToFit="false"/>
      <protection locked="true" hidden="false"/>
    </xf>
    <xf numFmtId="168" fontId="11" fillId="5" borderId="0" xfId="0" applyFont="true" applyBorder="false" applyAlignment="true" applyProtection="false">
      <alignment horizontal="center" vertical="bottom" textRotation="0" wrapText="false" indent="0" shrinkToFit="false"/>
      <protection locked="true" hidden="false"/>
    </xf>
    <xf numFmtId="168" fontId="4" fillId="0" borderId="21" xfId="0" applyFont="true" applyBorder="true" applyAlignment="true" applyProtection="false">
      <alignment horizontal="center" vertical="bottom" textRotation="0" wrapText="false" indent="0" shrinkToFit="false"/>
      <protection locked="true" hidden="false"/>
    </xf>
    <xf numFmtId="168" fontId="4" fillId="0" borderId="21" xfId="0" applyFont="true" applyBorder="true" applyAlignment="true" applyProtection="false">
      <alignment horizontal="right" vertical="bottom" textRotation="0" wrapText="false" indent="0" shrinkToFit="false"/>
      <protection locked="true" hidden="false"/>
    </xf>
    <xf numFmtId="168" fontId="4" fillId="0" borderId="0" xfId="0" applyFont="true" applyBorder="false" applyAlignment="true" applyProtection="false">
      <alignment horizontal="left" vertical="bottom" textRotation="0" wrapText="false" indent="0" shrinkToFit="false"/>
      <protection locked="true" hidden="false"/>
    </xf>
    <xf numFmtId="164" fontId="10" fillId="0" borderId="0" xfId="0" applyFont="true" applyBorder="false" applyAlignment="true" applyProtection="false">
      <alignment horizontal="left" vertical="bottom" textRotation="0" wrapText="false" indent="0" shrinkToFit="false"/>
      <protection locked="true" hidden="false"/>
    </xf>
    <xf numFmtId="168" fontId="14" fillId="0" borderId="0" xfId="0" applyFont="true" applyBorder="false" applyAlignment="true" applyProtection="false">
      <alignment horizontal="center" vertical="bottom" textRotation="0" wrapText="false" indent="0" shrinkToFit="false"/>
      <protection locked="true" hidden="false"/>
    </xf>
    <xf numFmtId="165" fontId="4" fillId="0" borderId="0" xfId="0" applyFont="true" applyBorder="false" applyAlignment="true" applyProtection="false">
      <alignment horizontal="center" vertical="bottom" textRotation="0" wrapText="false" indent="0" shrinkToFit="false"/>
      <protection locked="true" hidden="false"/>
    </xf>
    <xf numFmtId="168" fontId="4" fillId="0" borderId="0" xfId="0" applyFont="true" applyBorder="false" applyAlignment="true" applyProtection="false">
      <alignment horizontal="left" vertical="bottom" textRotation="0" wrapText="false" indent="1" shrinkToFit="false"/>
      <protection locked="true" hidden="false"/>
    </xf>
    <xf numFmtId="167" fontId="15" fillId="0" borderId="0" xfId="0" applyFont="true" applyBorder="false" applyAlignment="true" applyProtection="false">
      <alignment horizontal="left" vertical="bottom" textRotation="0" wrapText="false" indent="1" shrinkToFit="false"/>
      <protection locked="true" hidden="false"/>
    </xf>
    <xf numFmtId="168" fontId="15" fillId="0" borderId="0" xfId="0" applyFont="true" applyBorder="false" applyAlignment="true" applyProtection="false">
      <alignment horizontal="left" vertical="bottom" textRotation="0" wrapText="false" indent="0" shrinkToFit="false"/>
      <protection locked="true" hidden="false"/>
    </xf>
    <xf numFmtId="164" fontId="4" fillId="0" borderId="16" xfId="0" applyFont="true" applyBorder="true" applyAlignment="true" applyProtection="false">
      <alignment horizontal="left" vertical="bottom" textRotation="0" wrapText="false" indent="0" shrinkToFit="false"/>
      <protection locked="true" hidden="false"/>
    </xf>
    <xf numFmtId="168" fontId="4" fillId="0" borderId="16" xfId="0" applyFont="true" applyBorder="true" applyAlignment="true" applyProtection="false">
      <alignment horizontal="left" vertical="bottom" textRotation="0" wrapText="false" indent="0" shrinkToFit="false"/>
      <protection locked="true" hidden="false"/>
    </xf>
    <xf numFmtId="165" fontId="4" fillId="0" borderId="0" xfId="0" applyFont="true" applyBorder="true" applyAlignment="false" applyProtection="false">
      <alignment horizontal="general" vertical="bottom" textRotation="0" wrapText="false" indent="0" shrinkToFit="false"/>
      <protection locked="true" hidden="false"/>
    </xf>
    <xf numFmtId="168" fontId="20" fillId="0" borderId="0" xfId="0" applyFont="true" applyBorder="false" applyAlignment="true" applyProtection="false">
      <alignment horizontal="center" vertical="bottom" textRotation="0" wrapText="false" indent="0" shrinkToFit="false"/>
      <protection locked="true" hidden="false"/>
    </xf>
    <xf numFmtId="164" fontId="26" fillId="0" borderId="0" xfId="0" applyFont="true" applyBorder="false" applyAlignment="false" applyProtection="false">
      <alignment horizontal="general" vertical="bottom" textRotation="0" wrapText="false" indent="0" shrinkToFit="false"/>
      <protection locked="true" hidden="false"/>
    </xf>
    <xf numFmtId="164" fontId="32" fillId="0" borderId="0" xfId="0" applyFont="true" applyBorder="false" applyAlignment="false" applyProtection="false">
      <alignment horizontal="general" vertical="bottom" textRotation="0" wrapText="false" indent="0" shrinkToFit="false"/>
      <protection locked="true" hidden="false"/>
    </xf>
    <xf numFmtId="164" fontId="4" fillId="2" borderId="21" xfId="0" applyFont="true" applyBorder="true" applyAlignment="false" applyProtection="false">
      <alignment horizontal="general" vertical="bottom" textRotation="0" wrapText="false" indent="0" shrinkToFit="false"/>
      <protection locked="true" hidden="false"/>
    </xf>
    <xf numFmtId="169" fontId="33" fillId="5" borderId="9" xfId="0" applyFont="true" applyBorder="true" applyAlignment="false" applyProtection="false">
      <alignment horizontal="general" vertical="bottom" textRotation="0" wrapText="false" indent="0" shrinkToFit="false"/>
      <protection locked="true" hidden="false"/>
    </xf>
    <xf numFmtId="164" fontId="10" fillId="6" borderId="12" xfId="0" applyFont="true" applyBorder="true" applyAlignment="true" applyProtection="false">
      <alignment horizontal="center" vertical="bottom" textRotation="0" wrapText="false" indent="0" shrinkToFit="false"/>
      <protection locked="true" hidden="false"/>
    </xf>
    <xf numFmtId="164" fontId="4" fillId="0" borderId="9" xfId="0" applyFont="true" applyBorder="true" applyAlignment="true" applyProtection="false">
      <alignment horizontal="center" vertical="bottom" textRotation="0" wrapText="false" indent="0" shrinkToFit="false"/>
      <protection locked="true" hidden="false"/>
    </xf>
    <xf numFmtId="164" fontId="10" fillId="6" borderId="20" xfId="0" applyFont="true" applyBorder="true" applyAlignment="true" applyProtection="false">
      <alignment horizontal="center" vertical="bottom" textRotation="0" wrapText="false" indent="0" shrinkToFit="false"/>
      <protection locked="true" hidden="false"/>
    </xf>
    <xf numFmtId="175" fontId="33" fillId="5" borderId="9" xfId="0" applyFont="true" applyBorder="true" applyAlignment="false" applyProtection="false">
      <alignment horizontal="general" vertical="bottom" textRotation="0" wrapText="false" indent="0" shrinkToFit="false"/>
      <protection locked="true" hidden="false"/>
    </xf>
    <xf numFmtId="164" fontId="33" fillId="5" borderId="9" xfId="0" applyFont="true" applyBorder="true" applyAlignment="true" applyProtection="false">
      <alignment horizontal="center" vertical="bottom" textRotation="0" wrapText="false" indent="0" shrinkToFit="false"/>
      <protection locked="true" hidden="false"/>
    </xf>
    <xf numFmtId="167" fontId="10" fillId="0" borderId="9" xfId="0" applyFont="true" applyBorder="true" applyAlignment="true" applyProtection="false">
      <alignment horizontal="center" vertical="bottom" textRotation="0" wrapText="false" indent="0" shrinkToFit="false"/>
      <protection locked="true" hidden="false"/>
    </xf>
    <xf numFmtId="169" fontId="33" fillId="5" borderId="9" xfId="0" applyFont="true" applyBorder="true" applyAlignment="true" applyProtection="false">
      <alignment horizontal="center" vertical="bottom" textRotation="0" wrapText="false" indent="0" shrinkToFit="false"/>
      <protection locked="true" hidden="false"/>
    </xf>
    <xf numFmtId="164" fontId="10" fillId="6" borderId="10" xfId="0" applyFont="true" applyBorder="true" applyAlignment="false" applyProtection="false">
      <alignment horizontal="general" vertical="bottom" textRotation="0" wrapText="false" indent="0" shrinkToFit="false"/>
      <protection locked="true" hidden="false"/>
    </xf>
    <xf numFmtId="164" fontId="4" fillId="6" borderId="13" xfId="0" applyFont="true" applyBorder="true" applyAlignment="false" applyProtection="false">
      <alignment horizontal="general" vertical="bottom" textRotation="0" wrapText="false" indent="0" shrinkToFit="false"/>
      <protection locked="true" hidden="false"/>
    </xf>
    <xf numFmtId="167" fontId="4" fillId="6" borderId="10" xfId="0" applyFont="true" applyBorder="true" applyAlignment="true" applyProtection="false">
      <alignment horizontal="left" vertical="bottom" textRotation="0" wrapText="false" indent="1" shrinkToFit="false"/>
      <protection locked="true" hidden="false"/>
    </xf>
    <xf numFmtId="168" fontId="4" fillId="0" borderId="9" xfId="0" applyFont="true" applyBorder="true" applyAlignment="false" applyProtection="false">
      <alignment horizontal="general" vertical="bottom" textRotation="0" wrapText="false" indent="0" shrinkToFit="false"/>
      <protection locked="true" hidden="false"/>
    </xf>
    <xf numFmtId="169" fontId="4" fillId="0" borderId="9" xfId="0" applyFont="true" applyBorder="true" applyAlignment="false" applyProtection="false">
      <alignment horizontal="general" vertical="bottom" textRotation="0" wrapText="false" indent="0" shrinkToFit="false"/>
      <protection locked="true" hidden="false"/>
    </xf>
    <xf numFmtId="164" fontId="4" fillId="2" borderId="13" xfId="0" applyFont="true" applyBorder="true" applyAlignment="false" applyProtection="false">
      <alignment horizontal="general" vertical="bottom" textRotation="0" wrapText="false" indent="0" shrinkToFit="false"/>
      <protection locked="true" hidden="false"/>
    </xf>
    <xf numFmtId="169" fontId="4" fillId="0" borderId="9" xfId="0" applyFont="true" applyBorder="true" applyAlignment="true" applyProtection="false">
      <alignment horizontal="right" vertical="bottom" textRotation="0" wrapText="false" indent="0" shrinkToFit="false"/>
      <protection locked="true" hidden="false"/>
    </xf>
    <xf numFmtId="167" fontId="4" fillId="6" borderId="8" xfId="0" applyFont="true" applyBorder="true" applyAlignment="true" applyProtection="false">
      <alignment horizontal="left" vertical="bottom" textRotation="0" wrapText="false" indent="1" shrinkToFit="false"/>
      <protection locked="true" hidden="false"/>
    </xf>
    <xf numFmtId="164" fontId="4" fillId="6" borderId="21" xfId="0" applyFont="true" applyBorder="true" applyAlignment="false" applyProtection="false">
      <alignment horizontal="general" vertical="bottom" textRotation="0" wrapText="false" indent="0" shrinkToFit="false"/>
      <protection locked="true" hidden="false"/>
    </xf>
    <xf numFmtId="164" fontId="4" fillId="2" borderId="17" xfId="0" applyFont="true" applyBorder="true" applyAlignment="false" applyProtection="false">
      <alignment horizontal="general" vertical="bottom" textRotation="0" wrapText="false" indent="0" shrinkToFit="false"/>
      <protection locked="true" hidden="false"/>
    </xf>
    <xf numFmtId="169" fontId="4" fillId="2" borderId="33" xfId="0" applyFont="true" applyBorder="true" applyAlignment="false" applyProtection="false">
      <alignment horizontal="general" vertical="bottom" textRotation="0" wrapText="false" indent="0" shrinkToFit="false"/>
      <protection locked="true" hidden="false"/>
    </xf>
    <xf numFmtId="164" fontId="10" fillId="6" borderId="8" xfId="0" applyFont="true" applyBorder="true" applyAlignment="false" applyProtection="false">
      <alignment horizontal="general" vertical="bottom" textRotation="0" wrapText="false" indent="0" shrinkToFit="false"/>
      <protection locked="true" hidden="false"/>
    </xf>
    <xf numFmtId="169" fontId="4" fillId="6" borderId="21" xfId="0" applyFont="true" applyBorder="true" applyAlignment="false" applyProtection="false">
      <alignment horizontal="general" vertical="bottom" textRotation="0" wrapText="false" indent="0" shrinkToFit="false"/>
      <protection locked="true" hidden="false"/>
    </xf>
    <xf numFmtId="169" fontId="10" fillId="8" borderId="7" xfId="0" applyFont="true" applyBorder="true" applyAlignment="true" applyProtection="false">
      <alignment horizontal="center" vertical="bottom" textRotation="0" wrapText="false" indent="0" shrinkToFit="false"/>
      <protection locked="true" hidden="false"/>
    </xf>
    <xf numFmtId="168" fontId="4" fillId="0" borderId="12" xfId="0" applyFont="true" applyBorder="true" applyAlignment="false" applyProtection="false">
      <alignment horizontal="general" vertical="bottom" textRotation="0" wrapText="false" indent="0" shrinkToFit="false"/>
      <protection locked="true" hidden="false"/>
    </xf>
    <xf numFmtId="169" fontId="4" fillId="0" borderId="12"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center" vertical="bottom" textRotation="0" wrapText="false" indent="0" shrinkToFit="false"/>
      <protection locked="true" hidden="false"/>
    </xf>
    <xf numFmtId="169" fontId="4" fillId="0" borderId="0" xfId="0" applyFont="true" applyBorder="true" applyAlignment="true" applyProtection="false">
      <alignment horizontal="center" vertical="bottom" textRotation="0" wrapText="false" indent="0" shrinkToFit="false"/>
      <protection locked="true" hidden="false"/>
    </xf>
    <xf numFmtId="168" fontId="4" fillId="0" borderId="20" xfId="0" applyFont="true" applyBorder="true" applyAlignment="false" applyProtection="false">
      <alignment horizontal="general" vertical="bottom" textRotation="0" wrapText="false" indent="0" shrinkToFit="false"/>
      <protection locked="true" hidden="false"/>
    </xf>
    <xf numFmtId="169" fontId="4" fillId="0" borderId="20" xfId="0" applyFont="true" applyBorder="true" applyAlignment="false" applyProtection="false">
      <alignment horizontal="general" vertical="bottom" textRotation="0" wrapText="false" indent="0" shrinkToFit="false"/>
      <protection locked="true" hidden="false"/>
    </xf>
    <xf numFmtId="169" fontId="4" fillId="6" borderId="9" xfId="0" applyFont="true" applyBorder="true" applyAlignment="true" applyProtection="false">
      <alignment horizontal="center" vertical="bottom" textRotation="0" wrapText="false" indent="0" shrinkToFit="false"/>
      <protection locked="true" hidden="false"/>
    </xf>
    <xf numFmtId="169" fontId="10" fillId="0" borderId="9" xfId="0" applyFont="true" applyBorder="true" applyAlignment="false" applyProtection="false">
      <alignment horizontal="general" vertical="bottom" textRotation="0" wrapText="false" indent="0" shrinkToFit="false"/>
      <protection locked="true" hidden="false"/>
    </xf>
    <xf numFmtId="168" fontId="4" fillId="6" borderId="11" xfId="0" applyFont="true" applyBorder="true" applyAlignment="false" applyProtection="false">
      <alignment horizontal="general" vertical="bottom" textRotation="0" wrapText="false" indent="0" shrinkToFit="false"/>
      <protection locked="true" hidden="false"/>
    </xf>
    <xf numFmtId="164" fontId="4" fillId="2" borderId="33" xfId="0" applyFont="true" applyBorder="true" applyAlignment="false" applyProtection="false">
      <alignment horizontal="general" vertical="bottom" textRotation="0" wrapText="false" indent="0" shrinkToFit="false"/>
      <protection locked="true" hidden="false"/>
    </xf>
    <xf numFmtId="164" fontId="10" fillId="2" borderId="17" xfId="0" applyFont="true" applyBorder="true" applyAlignment="false" applyProtection="false">
      <alignment horizontal="general" vertical="bottom" textRotation="0" wrapText="false" indent="0" shrinkToFit="false"/>
      <protection locked="true" hidden="false"/>
    </xf>
    <xf numFmtId="164" fontId="4" fillId="6" borderId="8" xfId="0" applyFont="true" applyBorder="true" applyAlignment="true" applyProtection="false">
      <alignment horizontal="left" vertical="bottom" textRotation="0" wrapText="false" indent="0" shrinkToFit="false"/>
      <protection locked="true" hidden="false"/>
    </xf>
    <xf numFmtId="176" fontId="10" fillId="0" borderId="9" xfId="0" applyFont="true" applyBorder="true" applyAlignment="false" applyProtection="false">
      <alignment horizontal="general" vertical="bottom" textRotation="0" wrapText="false" indent="0" shrinkToFit="false"/>
      <protection locked="true" hidden="false"/>
    </xf>
    <xf numFmtId="164" fontId="4" fillId="2" borderId="17" xfId="0" applyFont="true" applyBorder="true" applyAlignment="true" applyProtection="false">
      <alignment horizontal="left" vertical="bottom" textRotation="0" wrapText="false" indent="1" shrinkToFit="false"/>
      <protection locked="true" hidden="false"/>
    </xf>
    <xf numFmtId="164" fontId="4" fillId="6" borderId="10" xfId="0" applyFont="true" applyBorder="true" applyAlignment="true" applyProtection="false">
      <alignment horizontal="left" vertical="bottom" textRotation="0" wrapText="false" indent="0" shrinkToFit="false"/>
      <protection locked="true" hidden="false"/>
    </xf>
    <xf numFmtId="166" fontId="4" fillId="2" borderId="33" xfId="0" applyFont="true" applyBorder="true" applyAlignment="false" applyProtection="false">
      <alignment horizontal="general" vertical="bottom" textRotation="0" wrapText="false" indent="0" shrinkToFit="false"/>
      <protection locked="true" hidden="false"/>
    </xf>
    <xf numFmtId="164" fontId="4" fillId="6" borderId="17" xfId="0" applyFont="true" applyBorder="true" applyAlignment="true" applyProtection="false">
      <alignment horizontal="left" vertical="bottom" textRotation="0" wrapText="false" indent="1" shrinkToFit="false"/>
      <protection locked="true" hidden="false"/>
    </xf>
    <xf numFmtId="164" fontId="4" fillId="6" borderId="0" xfId="0" applyFont="true" applyBorder="true" applyAlignment="false" applyProtection="false">
      <alignment horizontal="general" vertical="bottom" textRotation="0" wrapText="false" indent="0" shrinkToFit="false"/>
      <protection locked="true" hidden="false"/>
    </xf>
    <xf numFmtId="164" fontId="4" fillId="6" borderId="33" xfId="0" applyFont="true" applyBorder="true" applyAlignment="false" applyProtection="false">
      <alignment horizontal="general" vertical="bottom" textRotation="0" wrapText="false" indent="0" shrinkToFit="false"/>
      <protection locked="true" hidden="false"/>
    </xf>
    <xf numFmtId="165" fontId="4" fillId="0" borderId="9" xfId="0" applyFont="true" applyBorder="true" applyAlignment="false" applyProtection="false">
      <alignment horizontal="general" vertical="bottom" textRotation="0" wrapText="false" indent="0" shrinkToFit="false"/>
      <protection locked="true" hidden="false"/>
    </xf>
    <xf numFmtId="170" fontId="4" fillId="0" borderId="9" xfId="0" applyFont="true" applyBorder="true" applyAlignment="false" applyProtection="false">
      <alignment horizontal="general" vertical="bottom" textRotation="0" wrapText="false" indent="0" shrinkToFit="false"/>
      <protection locked="true" hidden="false"/>
    </xf>
    <xf numFmtId="164" fontId="4" fillId="6" borderId="15" xfId="0" applyFont="true" applyBorder="true" applyAlignment="true" applyProtection="false">
      <alignment horizontal="left" vertical="bottom" textRotation="0" wrapText="false" indent="1" shrinkToFit="false"/>
      <protection locked="true" hidden="false"/>
    </xf>
    <xf numFmtId="164" fontId="4" fillId="6" borderId="16" xfId="0" applyFont="true" applyBorder="true" applyAlignment="false" applyProtection="false">
      <alignment horizontal="general" vertical="bottom" textRotation="0" wrapText="false" indent="0" shrinkToFit="false"/>
      <protection locked="true" hidden="false"/>
    </xf>
    <xf numFmtId="164" fontId="4" fillId="6" borderId="25" xfId="0" applyFont="true" applyBorder="true" applyAlignment="false" applyProtection="false">
      <alignment horizontal="general" vertical="bottom" textRotation="0" wrapText="false" indent="0" shrinkToFit="false"/>
      <protection locked="true" hidden="false"/>
    </xf>
    <xf numFmtId="164" fontId="10" fillId="6" borderId="21" xfId="0" applyFont="true" applyBorder="true" applyAlignment="false" applyProtection="false">
      <alignment horizontal="general" vertical="bottom" textRotation="0" wrapText="false" indent="0" shrinkToFit="false"/>
      <protection locked="true" hidden="false"/>
    </xf>
    <xf numFmtId="164" fontId="10" fillId="6" borderId="7" xfId="0" applyFont="true" applyBorder="true" applyAlignment="false" applyProtection="false">
      <alignment horizontal="general" vertical="bottom" textRotation="0" wrapText="false" indent="0" shrinkToFit="false"/>
      <protection locked="true" hidden="false"/>
    </xf>
    <xf numFmtId="175" fontId="10" fillId="0" borderId="9" xfId="0" applyFont="true" applyBorder="true" applyAlignment="false" applyProtection="false">
      <alignment horizontal="general" vertical="bottom" textRotation="0" wrapText="false" indent="0" shrinkToFit="false"/>
      <protection locked="true" hidden="false"/>
    </xf>
    <xf numFmtId="175" fontId="4" fillId="2" borderId="33" xfId="0" applyFont="true" applyBorder="true" applyAlignment="false" applyProtection="false">
      <alignment horizontal="general" vertical="bottom" textRotation="0" wrapText="fals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8" fontId="10" fillId="0" borderId="0" xfId="0" applyFont="true" applyBorder="true" applyAlignment="true" applyProtection="false">
      <alignment horizontal="general" vertical="bottom" textRotation="0" wrapText="false" indent="0" shrinkToFit="false"/>
      <protection locked="true" hidden="false"/>
    </xf>
    <xf numFmtId="164" fontId="0" fillId="2" borderId="10" xfId="0" applyFont="false" applyBorder="true" applyAlignment="false" applyProtection="false">
      <alignment horizontal="general" vertical="bottom" textRotation="0" wrapText="false" indent="0" shrinkToFit="false"/>
      <protection locked="true" hidden="false"/>
    </xf>
    <xf numFmtId="168" fontId="4" fillId="2" borderId="13" xfId="0" applyFont="true" applyBorder="true" applyAlignment="false" applyProtection="false">
      <alignment horizontal="general" vertical="bottom" textRotation="0" wrapText="false" indent="0" shrinkToFit="false"/>
      <protection locked="true" hidden="false"/>
    </xf>
    <xf numFmtId="168" fontId="4" fillId="2" borderId="11" xfId="0" applyFont="true" applyBorder="true" applyAlignment="false" applyProtection="false">
      <alignment horizontal="general" vertical="bottom" textRotation="0" wrapText="false" indent="0" shrinkToFit="false"/>
      <protection locked="true" hidden="false"/>
    </xf>
    <xf numFmtId="168" fontId="4" fillId="0" borderId="9" xfId="0" applyFont="true" applyBorder="true" applyAlignment="false" applyProtection="false">
      <alignment horizontal="general" vertical="bottom" textRotation="0" wrapText="false" indent="0" shrinkToFit="false"/>
      <protection locked="true" hidden="false"/>
    </xf>
    <xf numFmtId="168" fontId="4" fillId="2" borderId="0" xfId="0" applyFont="true" applyBorder="false" applyAlignment="false" applyProtection="false">
      <alignment horizontal="general" vertical="bottom" textRotation="0" wrapText="false" indent="0" shrinkToFit="false"/>
      <protection locked="true" hidden="false"/>
    </xf>
    <xf numFmtId="173" fontId="4" fillId="0" borderId="9" xfId="0" applyFont="true" applyBorder="true" applyAlignment="true" applyProtection="false">
      <alignment horizontal="center" vertical="bottom" textRotation="0" wrapText="false" indent="0" shrinkToFit="false"/>
      <protection locked="true" hidden="false"/>
    </xf>
    <xf numFmtId="172" fontId="4" fillId="0" borderId="9" xfId="0" applyFont="true" applyBorder="true" applyAlignment="true" applyProtection="false">
      <alignment horizontal="center" vertical="bottom" textRotation="0" wrapText="false" indent="0" shrinkToFit="false"/>
      <protection locked="true" hidden="false"/>
    </xf>
    <xf numFmtId="164" fontId="10" fillId="4" borderId="9" xfId="0" applyFont="true" applyBorder="true" applyAlignment="true" applyProtection="false">
      <alignment horizontal="center" vertical="bottom" textRotation="0" wrapText="false" indent="0" shrinkToFit="false"/>
      <protection locked="true" hidden="false"/>
    </xf>
    <xf numFmtId="168" fontId="10" fillId="4" borderId="9" xfId="0" applyFont="true" applyBorder="true" applyAlignment="true" applyProtection="false">
      <alignment horizontal="center" vertical="bottom" textRotation="0" wrapText="false" indent="0" shrinkToFit="false"/>
      <protection locked="true" hidden="false"/>
    </xf>
    <xf numFmtId="164" fontId="10" fillId="6" borderId="8" xfId="0" applyFont="true" applyBorder="true" applyAlignment="true" applyProtection="false">
      <alignment horizontal="center" vertical="bottom" textRotation="0" wrapText="false" indent="0" shrinkToFit="false"/>
      <protection locked="true" hidden="false"/>
    </xf>
    <xf numFmtId="168" fontId="4" fillId="2" borderId="12" xfId="0" applyFont="true" applyBorder="true" applyAlignment="false" applyProtection="false">
      <alignment horizontal="general" vertical="bottom" textRotation="0" wrapText="false" indent="0" shrinkToFit="false"/>
      <protection locked="true" hidden="false"/>
    </xf>
    <xf numFmtId="168" fontId="10" fillId="6" borderId="9" xfId="0" applyFont="true" applyBorder="true" applyAlignment="true" applyProtection="false">
      <alignment horizontal="center" vertical="bottom" textRotation="0" wrapText="false" indent="0" shrinkToFit="false"/>
      <protection locked="true" hidden="false"/>
    </xf>
    <xf numFmtId="168" fontId="4" fillId="2" borderId="10" xfId="0" applyFont="true" applyBorder="true" applyAlignment="false" applyProtection="false">
      <alignment horizontal="general" vertical="bottom" textRotation="0" wrapText="false" indent="0" shrinkToFit="false"/>
      <protection locked="true" hidden="false"/>
    </xf>
    <xf numFmtId="173" fontId="4" fillId="6" borderId="9" xfId="0" applyFont="true" applyBorder="true" applyAlignment="true" applyProtection="false">
      <alignment horizontal="center" vertical="bottom" textRotation="0" wrapText="false" indent="0" shrinkToFit="false"/>
      <protection locked="true" hidden="false"/>
    </xf>
    <xf numFmtId="173" fontId="4" fillId="6" borderId="8" xfId="0" applyFont="true" applyBorder="true" applyAlignment="true" applyProtection="false">
      <alignment horizontal="center" vertical="bottom" textRotation="0" wrapText="false" indent="0" shrinkToFit="false"/>
      <protection locked="true" hidden="false"/>
    </xf>
    <xf numFmtId="168" fontId="4" fillId="2" borderId="34" xfId="0" applyFont="true" applyBorder="true" applyAlignment="false" applyProtection="false">
      <alignment horizontal="general" vertical="bottom" textRotation="0" wrapText="false" indent="0" shrinkToFit="false"/>
      <protection locked="true" hidden="false"/>
    </xf>
    <xf numFmtId="172" fontId="4" fillId="6" borderId="9" xfId="0" applyFont="true" applyBorder="true" applyAlignment="true" applyProtection="false">
      <alignment horizontal="center" vertical="bottom" textRotation="0" wrapText="false" indent="0" shrinkToFit="false"/>
      <protection locked="true" hidden="false"/>
    </xf>
    <xf numFmtId="168" fontId="4" fillId="2" borderId="17" xfId="0" applyFont="true" applyBorder="true" applyAlignment="false" applyProtection="false">
      <alignment horizontal="general" vertical="bottom" textRotation="0" wrapText="false" indent="0" shrinkToFit="false"/>
      <protection locked="true" hidden="false"/>
    </xf>
    <xf numFmtId="172" fontId="4" fillId="6" borderId="7" xfId="0" applyFont="true" applyBorder="true" applyAlignment="true" applyProtection="false">
      <alignment horizontal="center" vertical="bottom" textRotation="0" wrapText="false" indent="0" shrinkToFit="false"/>
      <protection locked="true" hidden="false"/>
    </xf>
    <xf numFmtId="168" fontId="10" fillId="6" borderId="8" xfId="0" applyFont="true" applyBorder="true" applyAlignment="false" applyProtection="false">
      <alignment horizontal="general" vertical="bottom" textRotation="0" wrapText="false" indent="0" shrinkToFit="false"/>
      <protection locked="true" hidden="false"/>
    </xf>
    <xf numFmtId="168" fontId="10" fillId="6" borderId="7" xfId="0" applyFont="true" applyBorder="true" applyAlignment="false" applyProtection="false">
      <alignment horizontal="general" vertical="bottom" textRotation="0" wrapText="false" indent="0" shrinkToFit="false"/>
      <protection locked="true" hidden="false"/>
    </xf>
    <xf numFmtId="168" fontId="4" fillId="6" borderId="8" xfId="0" applyFont="true" applyBorder="true" applyAlignment="true" applyProtection="false">
      <alignment horizontal="left" vertical="bottom" textRotation="0" wrapText="false" indent="1" shrinkToFit="false"/>
      <protection locked="true" hidden="false"/>
    </xf>
    <xf numFmtId="172" fontId="4" fillId="0" borderId="9" xfId="0" applyFont="true" applyBorder="true" applyAlignment="false" applyProtection="false">
      <alignment horizontal="general" vertical="bottom" textRotation="0" wrapText="false" indent="0" shrinkToFit="false"/>
      <protection locked="true" hidden="false"/>
    </xf>
    <xf numFmtId="168" fontId="4" fillId="2" borderId="20" xfId="0" applyFont="true" applyBorder="true" applyAlignment="false" applyProtection="false">
      <alignment horizontal="general" vertical="bottom" textRotation="0" wrapText="false" indent="0" shrinkToFit="false"/>
      <protection locked="true" hidden="false"/>
    </xf>
    <xf numFmtId="166" fontId="4" fillId="0" borderId="9" xfId="0" applyFont="true" applyBorder="true" applyAlignment="false" applyProtection="false">
      <alignment horizontal="general" vertical="bottom" textRotation="0" wrapText="false" indent="0" shrinkToFit="false"/>
      <protection locked="true" hidden="false"/>
    </xf>
    <xf numFmtId="164" fontId="10" fillId="9" borderId="9" xfId="0" applyFont="true" applyBorder="true" applyAlignment="false" applyProtection="false">
      <alignment horizontal="general" vertical="bottom" textRotation="0" wrapText="false" indent="0" shrinkToFit="false"/>
      <protection locked="true" hidden="false"/>
    </xf>
    <xf numFmtId="164" fontId="4" fillId="0" borderId="12" xfId="0" applyFont="true" applyBorder="true" applyAlignment="false" applyProtection="false">
      <alignment horizontal="general" vertical="bottom" textRotation="0" wrapText="false" indent="0" shrinkToFit="false"/>
      <protection locked="true" hidden="false"/>
    </xf>
    <xf numFmtId="164" fontId="27" fillId="6" borderId="9" xfId="0" applyFont="true" applyBorder="true" applyAlignment="true" applyProtection="false">
      <alignment horizontal="center" vertical="bottom" textRotation="0" wrapText="false" indent="0" shrinkToFit="false"/>
      <protection locked="true" hidden="false"/>
    </xf>
    <xf numFmtId="164" fontId="35" fillId="6" borderId="9" xfId="0" applyFont="true" applyBorder="true" applyAlignment="true" applyProtection="false">
      <alignment horizontal="center" vertical="bottom" textRotation="0" wrapText="false" indent="0" shrinkToFit="false"/>
      <protection locked="true" hidden="false"/>
    </xf>
    <xf numFmtId="164" fontId="10" fillId="9" borderId="8" xfId="0" applyFont="true" applyBorder="true" applyAlignment="false" applyProtection="false">
      <alignment horizontal="general" vertical="bottom" textRotation="0" wrapText="false" indent="0" shrinkToFit="false"/>
      <protection locked="true" hidden="false"/>
    </xf>
    <xf numFmtId="164" fontId="4" fillId="9" borderId="21" xfId="0" applyFont="true" applyBorder="true" applyAlignment="false" applyProtection="false">
      <alignment horizontal="general" vertical="bottom" textRotation="0" wrapText="false" indent="0" shrinkToFit="false"/>
      <protection locked="true" hidden="false"/>
    </xf>
    <xf numFmtId="164" fontId="4" fillId="9" borderId="7" xfId="0" applyFont="true" applyBorder="true" applyAlignment="false" applyProtection="false">
      <alignment horizontal="general" vertical="bottom" textRotation="0" wrapText="false" indent="0" shrinkToFit="false"/>
      <protection locked="true" hidden="false"/>
    </xf>
    <xf numFmtId="164" fontId="4" fillId="0" borderId="11" xfId="0" applyFont="true" applyBorder="true" applyAlignment="false" applyProtection="false">
      <alignment horizontal="general" vertical="bottom" textRotation="0" wrapText="false" indent="0" shrinkToFit="false"/>
      <protection locked="true" hidden="false"/>
    </xf>
    <xf numFmtId="168" fontId="4" fillId="2" borderId="33" xfId="0" applyFont="true" applyBorder="true" applyAlignment="false" applyProtection="false">
      <alignment horizontal="general" vertical="bottom" textRotation="0" wrapText="false" indent="0" shrinkToFit="false"/>
      <protection locked="true" hidden="false"/>
    </xf>
    <xf numFmtId="173" fontId="4" fillId="0" borderId="9" xfId="0" applyFont="true" applyBorder="true" applyAlignment="true" applyProtection="false">
      <alignment horizontal="center" vertical="bottom" textRotation="0" wrapText="false" indent="0" shrinkToFit="false"/>
      <protection locked="true" hidden="false"/>
    </xf>
    <xf numFmtId="168" fontId="10" fillId="0" borderId="9" xfId="0" applyFont="true" applyBorder="true" applyAlignment="false" applyProtection="false">
      <alignment horizontal="general" vertical="bottom" textRotation="0" wrapText="false" indent="0" shrinkToFit="false"/>
      <protection locked="true" hidden="false"/>
    </xf>
    <xf numFmtId="168" fontId="4" fillId="0" borderId="9" xfId="0" applyFont="true" applyBorder="true" applyAlignment="true" applyProtection="false">
      <alignment horizontal="right" vertical="bottom" textRotation="0" wrapText="false" indent="0" shrinkToFit="false"/>
      <protection locked="true" hidden="false"/>
    </xf>
    <xf numFmtId="174" fontId="4" fillId="0" borderId="0" xfId="0" applyFont="true" applyBorder="false" applyAlignment="false" applyProtection="false">
      <alignment horizontal="general" vertical="bottom" textRotation="0" wrapText="false" indent="0" shrinkToFit="false"/>
      <protection locked="true" hidden="false"/>
    </xf>
    <xf numFmtId="164" fontId="10" fillId="9" borderId="35" xfId="0" applyFont="true" applyBorder="true" applyAlignment="false" applyProtection="false">
      <alignment horizontal="general" vertical="bottom" textRotation="0" wrapText="false" indent="0" shrinkToFit="false"/>
      <protection locked="true" hidden="false"/>
    </xf>
    <xf numFmtId="164" fontId="4" fillId="0" borderId="2" xfId="0" applyFont="true" applyBorder="true" applyAlignment="false" applyProtection="false">
      <alignment horizontal="general" vertical="bottom" textRotation="0" wrapText="false" indent="0" shrinkToFit="false"/>
      <protection locked="true" hidden="false"/>
    </xf>
    <xf numFmtId="164" fontId="4" fillId="0" borderId="36" xfId="0" applyFont="true" applyBorder="true" applyAlignment="true" applyProtection="false">
      <alignment horizontal="center" vertical="bottom" textRotation="0" wrapText="false" indent="0" shrinkToFit="false"/>
      <protection locked="true" hidden="false"/>
    </xf>
    <xf numFmtId="167" fontId="4" fillId="6" borderId="36" xfId="0" applyFont="true" applyBorder="true" applyAlignment="true" applyProtection="false">
      <alignment horizontal="center" vertical="bottom" textRotation="0" wrapText="false" indent="0" shrinkToFit="false"/>
      <protection locked="true" hidden="false"/>
    </xf>
    <xf numFmtId="167" fontId="4" fillId="6" borderId="37" xfId="0" applyFont="true" applyBorder="true" applyAlignment="true" applyProtection="false">
      <alignment horizontal="center" vertical="bottom" textRotation="0" wrapText="false" indent="0" shrinkToFit="false"/>
      <protection locked="true" hidden="false"/>
    </xf>
    <xf numFmtId="167" fontId="4" fillId="0" borderId="9" xfId="0" applyFont="true" applyBorder="true" applyAlignment="true" applyProtection="false">
      <alignment horizontal="center" vertical="bottom" textRotation="0" wrapText="false" indent="0" shrinkToFit="false"/>
      <protection locked="true" hidden="false"/>
    </xf>
    <xf numFmtId="167" fontId="4" fillId="6" borderId="38" xfId="0" applyFont="true" applyBorder="true" applyAlignment="true" applyProtection="false">
      <alignment horizontal="center" vertical="bottom" textRotation="0" wrapText="false" indent="0" shrinkToFit="false"/>
      <protection locked="true" hidden="false"/>
    </xf>
    <xf numFmtId="169" fontId="4" fillId="2" borderId="0" xfId="0" applyFont="true" applyBorder="true" applyAlignment="true" applyProtection="false">
      <alignment horizontal="center" vertical="bottom" textRotation="0" wrapText="false" indent="0" shrinkToFit="false"/>
      <protection locked="true" hidden="false"/>
    </xf>
    <xf numFmtId="169" fontId="4" fillId="2" borderId="5" xfId="0" applyFont="true" applyBorder="true" applyAlignment="true" applyProtection="false">
      <alignment horizontal="center" vertical="bottom" textRotation="0" wrapText="false" indent="0" shrinkToFit="false"/>
      <protection locked="true" hidden="false"/>
    </xf>
    <xf numFmtId="167" fontId="10" fillId="6" borderId="18" xfId="0" applyFont="true" applyBorder="true" applyAlignment="false" applyProtection="false">
      <alignment horizontal="general" vertical="bottom" textRotation="0" wrapText="false" indent="0" shrinkToFit="false"/>
      <protection locked="true" hidden="false"/>
    </xf>
    <xf numFmtId="168" fontId="4" fillId="2" borderId="14" xfId="0" applyFont="true" applyBorder="true" applyAlignment="false" applyProtection="false">
      <alignment horizontal="general" vertical="bottom" textRotation="0" wrapText="false" indent="0" shrinkToFit="false"/>
      <protection locked="true" hidden="false"/>
    </xf>
    <xf numFmtId="164" fontId="4" fillId="6" borderId="18" xfId="0" applyFont="true" applyBorder="true" applyAlignment="true" applyProtection="false">
      <alignment horizontal="left" vertical="bottom" textRotation="0" wrapText="false" indent="1" shrinkToFit="false"/>
      <protection locked="true" hidden="false"/>
    </xf>
    <xf numFmtId="168" fontId="4" fillId="0" borderId="38" xfId="0" applyFont="true" applyBorder="true" applyAlignment="false" applyProtection="false">
      <alignment horizontal="general" vertical="bottom" textRotation="0" wrapText="false" indent="0" shrinkToFit="false"/>
      <protection locked="true" hidden="false"/>
    </xf>
    <xf numFmtId="169" fontId="10" fillId="8" borderId="8" xfId="0" applyFont="true" applyBorder="true" applyAlignment="true" applyProtection="false">
      <alignment horizontal="center" vertical="bottom" textRotation="0" wrapText="false" indent="0" shrinkToFit="false"/>
      <protection locked="true" hidden="false"/>
    </xf>
    <xf numFmtId="169" fontId="10" fillId="2" borderId="0" xfId="0" applyFont="true" applyBorder="true" applyAlignment="true" applyProtection="false">
      <alignment horizontal="center" vertical="bottom" textRotation="0" wrapText="false" indent="0" shrinkToFit="false"/>
      <protection locked="true" hidden="false"/>
    </xf>
    <xf numFmtId="169" fontId="10" fillId="8" borderId="21" xfId="0" applyFont="true" applyBorder="true" applyAlignment="true" applyProtection="false">
      <alignment horizontal="center" vertical="bottom" textRotation="0" wrapText="false" indent="0" shrinkToFit="false"/>
      <protection locked="true" hidden="false"/>
    </xf>
    <xf numFmtId="168" fontId="4" fillId="0" borderId="38" xfId="0" applyFont="true" applyBorder="true" applyAlignment="false" applyProtection="false">
      <alignment horizontal="general" vertical="bottom" textRotation="0" wrapText="false" indent="0" shrinkToFit="false"/>
      <protection locked="true" hidden="false"/>
    </xf>
    <xf numFmtId="164" fontId="10" fillId="6" borderId="39" xfId="0" applyFont="true" applyBorder="true" applyAlignment="false" applyProtection="false">
      <alignment horizontal="general" vertical="bottom" textRotation="0" wrapText="false" indent="0" shrinkToFit="false"/>
      <protection locked="true" hidden="false"/>
    </xf>
    <xf numFmtId="169" fontId="10" fillId="8" borderId="40" xfId="0" applyFont="true" applyBorder="true" applyAlignment="true" applyProtection="false">
      <alignment horizontal="center" vertical="bottom" textRotation="0" wrapText="false" indent="0" shrinkToFit="false"/>
      <protection locked="true" hidden="false"/>
    </xf>
    <xf numFmtId="168" fontId="4" fillId="0" borderId="31" xfId="0" applyFont="true" applyBorder="true" applyAlignment="false" applyProtection="false">
      <alignment horizontal="general" vertical="bottom" textRotation="0" wrapText="false" indent="0" shrinkToFit="false"/>
      <protection locked="true" hidden="false"/>
    </xf>
    <xf numFmtId="168" fontId="4" fillId="0" borderId="41" xfId="0" applyFont="true" applyBorder="true" applyAlignment="false" applyProtection="false">
      <alignment horizontal="general" vertical="bottom" textRotation="0" wrapText="false" indent="0" shrinkToFit="false"/>
      <protection locked="true" hidden="false"/>
    </xf>
    <xf numFmtId="174" fontId="4" fillId="0" borderId="0" xfId="0" applyFont="true" applyBorder="false" applyAlignment="true" applyProtection="false">
      <alignment horizontal="center" vertical="bottom" textRotation="0" wrapText="false" indent="0" shrinkToFit="false"/>
      <protection locked="true" hidden="false"/>
    </xf>
    <xf numFmtId="169" fontId="4" fillId="0" borderId="0" xfId="0" applyFont="true" applyBorder="false" applyAlignment="true" applyProtection="false">
      <alignment horizontal="center" vertical="bottom" textRotation="0" wrapText="false" indent="0" shrinkToFit="false"/>
      <protection locked="true" hidden="false"/>
    </xf>
    <xf numFmtId="174" fontId="4" fillId="0" borderId="0" xfId="0" applyFont="true" applyBorder="false" applyAlignment="false" applyProtection="false">
      <alignment horizontal="general" vertical="bottom" textRotation="0" wrapText="false" indent="0" shrinkToFit="false"/>
      <protection locked="true" hidden="false"/>
    </xf>
    <xf numFmtId="173" fontId="4" fillId="0" borderId="0" xfId="0" applyFont="true" applyBorder="false" applyAlignment="true" applyProtection="false">
      <alignment horizontal="center" vertical="bottom" textRotation="0" wrapText="false" indent="0" shrinkToFit="false"/>
      <protection locked="true" hidden="false"/>
    </xf>
    <xf numFmtId="177" fontId="4" fillId="0" borderId="0" xfId="0" applyFont="true" applyBorder="false" applyAlignment="true" applyProtection="false">
      <alignment horizontal="center" vertical="bottom" textRotation="0" wrapText="false" indent="0" shrinkToFit="false"/>
      <protection locked="true" hidden="false"/>
    </xf>
    <xf numFmtId="169" fontId="4" fillId="0" borderId="0" xfId="0" applyFont="true" applyBorder="false" applyAlignment="true" applyProtection="false">
      <alignment horizontal="center"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hyperlink" Target="http://www.globaliconnect.com/" TargetMode="External"/><Relationship Id="rId2"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12</xdr:col>
      <xdr:colOff>1059480</xdr:colOff>
      <xdr:row>0</xdr:row>
      <xdr:rowOff>76320</xdr:rowOff>
    </xdr:from>
    <xdr:to>
      <xdr:col>13</xdr:col>
      <xdr:colOff>772200</xdr:colOff>
      <xdr:row>1</xdr:row>
      <xdr:rowOff>200160</xdr:rowOff>
    </xdr:to>
    <xdr:pic>
      <xdr:nvPicPr>
        <xdr:cNvPr id="0" name="Picture 1" descr="gic_logo.gif">
          <a:hlinkClick r:id="rId1"/>
        </xdr:cNvPr>
        <xdr:cNvPicPr/>
      </xdr:nvPicPr>
      <xdr:blipFill>
        <a:blip r:embed="rId2"/>
        <a:stretch/>
      </xdr:blipFill>
      <xdr:spPr>
        <a:xfrm>
          <a:off x="10992240" y="76320"/>
          <a:ext cx="1324800" cy="2761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www.globaliconnect.com/excel_models.php" TargetMode="External"/><Relationship Id="rId3" Type="http://schemas.openxmlformats.org/officeDocument/2006/relationships/drawing" Target="../drawings/drawing1.xml"/><Relationship Id="rId4"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5.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6.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8.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9.13671875" defaultRowHeight="12" zeroHeight="false" outlineLevelRow="0" outlineLevelCol="0"/>
  <cols>
    <col collapsed="false" customWidth="true" hidden="false" outlineLevel="0" max="1" min="1" style="1" width="9.85"/>
    <col collapsed="false" customWidth="true" hidden="false" outlineLevel="0" max="2" min="2" style="1" width="22.42"/>
    <col collapsed="false" customWidth="true" hidden="false" outlineLevel="0" max="3" min="3" style="1" width="10.85"/>
    <col collapsed="false" customWidth="true" hidden="false" outlineLevel="0" max="4" min="4" style="1" width="6.7"/>
    <col collapsed="false" customWidth="true" hidden="false" outlineLevel="0" max="5" min="5" style="1" width="7.42"/>
    <col collapsed="false" customWidth="true" hidden="false" outlineLevel="0" max="6" min="6" style="1" width="3.85"/>
    <col collapsed="false" customWidth="true" hidden="false" outlineLevel="0" max="7" min="7" style="1" width="11.56"/>
    <col collapsed="false" customWidth="true" hidden="false" outlineLevel="0" max="8" min="8" style="1" width="11.42"/>
    <col collapsed="false" customWidth="true" hidden="false" outlineLevel="0" max="9" min="9" style="1" width="10.56"/>
    <col collapsed="false" customWidth="true" hidden="false" outlineLevel="0" max="10" min="10" style="1" width="11.85"/>
    <col collapsed="false" customWidth="true" hidden="false" outlineLevel="0" max="11" min="11" style="1" width="4.13"/>
    <col collapsed="false" customWidth="true" hidden="false" outlineLevel="0" max="12" min="12" style="1" width="12.56"/>
    <col collapsed="false" customWidth="true" hidden="false" outlineLevel="0" max="13" min="13" style="1" width="19.99"/>
    <col collapsed="false" customWidth="true" hidden="false" outlineLevel="0" max="14" min="14" style="1" width="11.56"/>
    <col collapsed="false" customWidth="true" hidden="false" outlineLevel="0" max="15" min="15" style="1" width="11.7"/>
    <col collapsed="false" customWidth="false" hidden="false" outlineLevel="0" max="16" min="16" style="1" width="9.13"/>
    <col collapsed="false" customWidth="true" hidden="false" outlineLevel="0" max="17" min="17" style="1" width="9.42"/>
    <col collapsed="false" customWidth="false" hidden="false" outlineLevel="0" max="18" min="18" style="1" width="9.13"/>
    <col collapsed="false" customWidth="true" hidden="false" outlineLevel="0" max="19" min="19" style="1" width="10.99"/>
    <col collapsed="false" customWidth="false" hidden="false" outlineLevel="0" max="257" min="20" style="1" width="9.13"/>
  </cols>
  <sheetData>
    <row r="1" customFormat="false" ht="12" hidden="false" customHeight="false" outlineLevel="0" collapsed="false">
      <c r="A1" s="2"/>
      <c r="B1" s="3"/>
      <c r="C1" s="3"/>
      <c r="D1" s="3"/>
      <c r="E1" s="3"/>
      <c r="F1" s="3"/>
      <c r="G1" s="3"/>
      <c r="H1" s="3"/>
      <c r="I1" s="3"/>
      <c r="J1" s="3"/>
      <c r="K1" s="3"/>
      <c r="L1" s="3"/>
      <c r="M1" s="3"/>
      <c r="N1" s="3"/>
      <c r="O1" s="3"/>
      <c r="P1" s="3"/>
      <c r="Q1" s="3"/>
      <c r="R1" s="3"/>
      <c r="S1" s="4"/>
    </row>
    <row r="2" customFormat="false" ht="15.75" hidden="false" customHeight="false" outlineLevel="0" collapsed="false">
      <c r="A2" s="5" t="s">
        <v>0</v>
      </c>
      <c r="B2" s="6"/>
      <c r="C2" s="6"/>
      <c r="D2" s="6"/>
      <c r="E2" s="6"/>
      <c r="F2" s="6"/>
      <c r="G2" s="6"/>
      <c r="H2" s="6"/>
      <c r="I2" s="6"/>
      <c r="J2" s="6"/>
      <c r="K2" s="6"/>
      <c r="L2" s="6"/>
      <c r="M2" s="6"/>
      <c r="N2" s="6"/>
      <c r="O2" s="6"/>
      <c r="P2" s="6"/>
      <c r="Q2" s="6"/>
      <c r="R2" s="6"/>
      <c r="S2" s="7"/>
    </row>
    <row r="3" customFormat="false" ht="12.75" hidden="false" customHeight="false" outlineLevel="0" collapsed="false">
      <c r="A3" s="8"/>
      <c r="B3" s="6"/>
      <c r="C3" s="6"/>
      <c r="D3" s="6"/>
      <c r="E3" s="6"/>
      <c r="F3" s="6"/>
      <c r="G3" s="6"/>
      <c r="H3" s="6"/>
      <c r="J3" s="6"/>
      <c r="K3" s="6"/>
      <c r="L3" s="9" t="s">
        <v>1</v>
      </c>
      <c r="M3" s="6"/>
      <c r="N3" s="6"/>
      <c r="O3" s="6"/>
      <c r="P3" s="6"/>
      <c r="Q3" s="6"/>
      <c r="R3" s="6"/>
      <c r="S3" s="7"/>
    </row>
    <row r="4" customFormat="false" ht="15" hidden="false" customHeight="false" outlineLevel="0" collapsed="false">
      <c r="A4" s="10" t="s">
        <v>2</v>
      </c>
      <c r="B4" s="6"/>
      <c r="C4" s="6"/>
      <c r="D4" s="6"/>
      <c r="E4" s="6"/>
      <c r="F4" s="6"/>
      <c r="G4" s="6"/>
      <c r="H4" s="6"/>
      <c r="I4" s="6" t="s">
        <v>3</v>
      </c>
      <c r="J4" s="6"/>
      <c r="K4" s="6"/>
      <c r="L4" s="6"/>
      <c r="M4" s="6"/>
      <c r="N4" s="6"/>
      <c r="O4" s="6"/>
      <c r="P4" s="6"/>
      <c r="Q4" s="6"/>
      <c r="R4" s="6"/>
      <c r="S4" s="7"/>
    </row>
    <row r="5" customFormat="false" ht="12" hidden="false" customHeight="false" outlineLevel="0" collapsed="false">
      <c r="A5" s="8" t="s">
        <v>4</v>
      </c>
      <c r="B5" s="6"/>
      <c r="C5" s="6"/>
      <c r="D5" s="6"/>
      <c r="E5" s="6"/>
      <c r="F5" s="6"/>
      <c r="H5" s="6"/>
      <c r="I5" s="11"/>
      <c r="J5" s="6"/>
      <c r="K5" s="6"/>
      <c r="L5" s="6"/>
      <c r="M5" s="6"/>
      <c r="N5" s="6"/>
      <c r="O5" s="6"/>
      <c r="P5" s="6"/>
      <c r="Q5" s="6"/>
      <c r="R5" s="6"/>
      <c r="S5" s="7"/>
    </row>
    <row r="6" customFormat="false" ht="12" hidden="false" customHeight="false" outlineLevel="0" collapsed="false">
      <c r="A6" s="8"/>
      <c r="B6" s="6"/>
      <c r="C6" s="12"/>
      <c r="D6" s="6"/>
      <c r="E6" s="6"/>
      <c r="F6" s="6"/>
      <c r="G6" s="6"/>
      <c r="H6" s="6"/>
      <c r="I6" s="6"/>
      <c r="J6" s="6"/>
      <c r="K6" s="6"/>
      <c r="L6" s="6"/>
      <c r="M6" s="6"/>
      <c r="N6" s="6"/>
      <c r="O6" s="6"/>
      <c r="P6" s="6"/>
      <c r="Q6" s="6"/>
      <c r="R6" s="6"/>
      <c r="S6" s="7"/>
    </row>
    <row r="7" customFormat="false" ht="12" hidden="false" customHeight="false" outlineLevel="0" collapsed="false">
      <c r="A7" s="13" t="s">
        <v>5</v>
      </c>
      <c r="B7" s="14"/>
      <c r="C7" s="12"/>
      <c r="D7" s="6"/>
      <c r="E7" s="6"/>
      <c r="F7" s="15"/>
      <c r="G7" s="16" t="s">
        <v>6</v>
      </c>
      <c r="H7" s="17"/>
      <c r="I7" s="6"/>
      <c r="J7" s="6"/>
      <c r="K7" s="6"/>
      <c r="L7" s="16" t="s">
        <v>7</v>
      </c>
      <c r="M7" s="18"/>
      <c r="N7" s="6"/>
      <c r="O7" s="6"/>
      <c r="P7" s="6"/>
      <c r="Q7" s="6"/>
      <c r="R7" s="6"/>
      <c r="S7" s="7"/>
    </row>
    <row r="8" customFormat="false" ht="12" hidden="false" customHeight="false" outlineLevel="0" collapsed="false">
      <c r="A8" s="19" t="s">
        <v>8</v>
      </c>
      <c r="B8" s="20"/>
      <c r="C8" s="21" t="n">
        <v>6</v>
      </c>
      <c r="D8" s="6" t="s">
        <v>9</v>
      </c>
      <c r="E8" s="6"/>
      <c r="F8" s="6"/>
      <c r="G8" s="22" t="str">
        <f aca="false">A26</f>
        <v>Assumed Debt</v>
      </c>
      <c r="H8" s="23"/>
      <c r="I8" s="24"/>
      <c r="J8" s="6"/>
      <c r="K8" s="6"/>
      <c r="L8" s="25" t="s">
        <v>10</v>
      </c>
      <c r="M8" s="26"/>
      <c r="N8" s="6"/>
      <c r="O8" s="6"/>
      <c r="P8" s="6"/>
      <c r="Q8" s="6"/>
      <c r="R8" s="6"/>
      <c r="S8" s="7"/>
    </row>
    <row r="9" customFormat="false" ht="12" hidden="false" customHeight="false" outlineLevel="0" collapsed="false">
      <c r="A9" s="19" t="s">
        <v>11</v>
      </c>
      <c r="B9" s="20"/>
      <c r="C9" s="27" t="n">
        <v>0.1</v>
      </c>
      <c r="D9" s="6" t="s">
        <v>12</v>
      </c>
      <c r="E9" s="6"/>
      <c r="F9" s="6"/>
      <c r="G9" s="28" t="s">
        <v>13</v>
      </c>
      <c r="H9" s="20"/>
      <c r="I9" s="29" t="n">
        <v>9</v>
      </c>
      <c r="J9" s="30" t="s">
        <v>14</v>
      </c>
      <c r="K9" s="6"/>
      <c r="L9" s="31" t="s">
        <v>15</v>
      </c>
      <c r="M9" s="32"/>
      <c r="N9" s="33" t="n">
        <v>1100000</v>
      </c>
      <c r="O9" s="6" t="s">
        <v>9</v>
      </c>
      <c r="P9" s="6"/>
      <c r="Q9" s="6"/>
      <c r="R9" s="6"/>
      <c r="S9" s="7"/>
    </row>
    <row r="10" customFormat="false" ht="12" hidden="false" customHeight="false" outlineLevel="0" collapsed="false">
      <c r="A10" s="19" t="s">
        <v>16</v>
      </c>
      <c r="B10" s="20"/>
      <c r="C10" s="34" t="n">
        <f aca="false">C8*(1+C9)</f>
        <v>6.6</v>
      </c>
      <c r="D10" s="6" t="s">
        <v>9</v>
      </c>
      <c r="E10" s="6"/>
      <c r="F10" s="6"/>
      <c r="G10" s="28" t="s">
        <v>17</v>
      </c>
      <c r="H10" s="20"/>
      <c r="I10" s="35" t="n">
        <f aca="false">1/assumed_debt_maturity_year</f>
        <v>0.111111111111111</v>
      </c>
      <c r="J10" s="6" t="s">
        <v>18</v>
      </c>
      <c r="K10" s="6"/>
      <c r="L10" s="31" t="s">
        <v>19</v>
      </c>
      <c r="M10" s="32"/>
      <c r="N10" s="27" t="n">
        <v>0.1</v>
      </c>
      <c r="O10" s="6" t="s">
        <v>12</v>
      </c>
      <c r="P10" s="6"/>
      <c r="Q10" s="6"/>
      <c r="R10" s="6"/>
      <c r="S10" s="7"/>
    </row>
    <row r="11" customFormat="false" ht="12" hidden="false" customHeight="false" outlineLevel="0" collapsed="false">
      <c r="A11" s="19" t="s">
        <v>20</v>
      </c>
      <c r="B11" s="20"/>
      <c r="C11" s="36" t="n">
        <v>100000</v>
      </c>
      <c r="D11" s="6" t="s">
        <v>21</v>
      </c>
      <c r="E11" s="6"/>
      <c r="F11" s="6"/>
      <c r="G11" s="28" t="s">
        <v>22</v>
      </c>
      <c r="H11" s="20"/>
      <c r="I11" s="27" t="n">
        <v>0.0425</v>
      </c>
      <c r="J11" s="6" t="s">
        <v>23</v>
      </c>
      <c r="K11" s="6"/>
      <c r="L11" s="37" t="s">
        <v>24</v>
      </c>
      <c r="M11" s="38"/>
      <c r="N11" s="27" t="n">
        <v>0.45</v>
      </c>
      <c r="O11" s="6" t="s">
        <v>25</v>
      </c>
      <c r="P11" s="6"/>
      <c r="Q11" s="6"/>
      <c r="R11" s="6"/>
      <c r="S11" s="7"/>
    </row>
    <row r="12" customFormat="false" ht="12" hidden="false" customHeight="false" outlineLevel="0" collapsed="false">
      <c r="A12" s="39" t="s">
        <v>26</v>
      </c>
      <c r="B12" s="20"/>
      <c r="C12" s="40" t="n">
        <f aca="false">C10*C11</f>
        <v>660000</v>
      </c>
      <c r="D12" s="6" t="s">
        <v>9</v>
      </c>
      <c r="E12" s="6"/>
      <c r="F12" s="6"/>
      <c r="G12" s="28" t="s">
        <v>27</v>
      </c>
      <c r="H12" s="41"/>
      <c r="I12" s="42" t="n">
        <v>1</v>
      </c>
      <c r="J12" s="6" t="s">
        <v>28</v>
      </c>
      <c r="K12" s="6"/>
      <c r="L12" s="43" t="str">
        <f aca="false">L11&amp;" - Annual Increase"</f>
        <v>Cost of goods sold - Annual Increase</v>
      </c>
      <c r="M12" s="20"/>
      <c r="N12" s="27" t="n">
        <v>0.0025</v>
      </c>
      <c r="O12" s="6" t="s">
        <v>29</v>
      </c>
      <c r="P12" s="6"/>
      <c r="Q12" s="6"/>
      <c r="R12" s="6"/>
      <c r="S12" s="7"/>
    </row>
    <row r="13" customFormat="false" ht="12" hidden="false" customHeight="false" outlineLevel="0" collapsed="false">
      <c r="A13" s="19"/>
      <c r="B13" s="20"/>
      <c r="C13" s="44"/>
      <c r="D13" s="6"/>
      <c r="E13" s="6"/>
      <c r="F13" s="6"/>
      <c r="G13" s="28" t="s">
        <v>30</v>
      </c>
      <c r="H13" s="20"/>
      <c r="I13" s="29" t="n">
        <v>1</v>
      </c>
      <c r="J13" s="6" t="s">
        <v>28</v>
      </c>
      <c r="K13" s="6"/>
      <c r="L13" s="22" t="s">
        <v>31</v>
      </c>
      <c r="M13" s="23"/>
      <c r="N13" s="27" t="n">
        <v>0.14</v>
      </c>
      <c r="O13" s="6" t="s">
        <v>25</v>
      </c>
      <c r="P13" s="6"/>
      <c r="Q13" s="6"/>
      <c r="R13" s="6"/>
      <c r="S13" s="7"/>
    </row>
    <row r="14" customFormat="false" ht="12" hidden="false" customHeight="false" outlineLevel="0" collapsed="false">
      <c r="A14" s="19" t="s">
        <v>32</v>
      </c>
      <c r="B14" s="20"/>
      <c r="C14" s="40" t="n">
        <f aca="false">Bal_Sheet!C46-C15</f>
        <v>185000</v>
      </c>
      <c r="D14" s="6" t="s">
        <v>9</v>
      </c>
      <c r="E14" s="6"/>
      <c r="F14" s="6"/>
      <c r="G14" s="43"/>
      <c r="H14" s="20"/>
      <c r="I14" s="6"/>
      <c r="J14" s="6"/>
      <c r="K14" s="6"/>
      <c r="L14" s="22" t="str">
        <f aca="false">L13&amp;" - Annual Increase"</f>
        <v>SG&amp;A expenses - Annual Increase</v>
      </c>
      <c r="M14" s="23"/>
      <c r="N14" s="27" t="n">
        <v>0.005</v>
      </c>
      <c r="O14" s="6" t="s">
        <v>29</v>
      </c>
      <c r="P14" s="6"/>
      <c r="Q14" s="6"/>
      <c r="R14" s="6"/>
      <c r="S14" s="7"/>
    </row>
    <row r="15" customFormat="false" ht="12" hidden="false" customHeight="false" outlineLevel="0" collapsed="false">
      <c r="A15" s="8" t="s">
        <v>33</v>
      </c>
      <c r="B15" s="6"/>
      <c r="C15" s="45" t="n">
        <v>65000</v>
      </c>
      <c r="D15" s="6" t="s">
        <v>9</v>
      </c>
      <c r="E15" s="6"/>
      <c r="F15" s="6"/>
      <c r="G15" s="22" t="str">
        <f aca="false">A27</f>
        <v>Bank Revolver</v>
      </c>
      <c r="H15" s="23"/>
      <c r="I15" s="24"/>
      <c r="J15" s="6"/>
      <c r="K15" s="6"/>
      <c r="L15" s="43" t="s">
        <v>34</v>
      </c>
      <c r="M15" s="20"/>
      <c r="N15" s="27" t="n">
        <v>0.12</v>
      </c>
      <c r="O15" s="6" t="s">
        <v>25</v>
      </c>
      <c r="P15" s="6"/>
      <c r="Q15" s="6"/>
      <c r="R15" s="6"/>
      <c r="S15" s="7"/>
    </row>
    <row r="16" customFormat="false" ht="12" hidden="false" customHeight="false" outlineLevel="0" collapsed="false">
      <c r="A16" s="19" t="s">
        <v>35</v>
      </c>
      <c r="B16" s="20"/>
      <c r="C16" s="45" t="n">
        <v>2500</v>
      </c>
      <c r="D16" s="6" t="s">
        <v>9</v>
      </c>
      <c r="E16" s="6"/>
      <c r="F16" s="6"/>
      <c r="G16" s="28" t="s">
        <v>22</v>
      </c>
      <c r="H16" s="20"/>
      <c r="I16" s="27" t="n">
        <v>0.0475</v>
      </c>
      <c r="J16" s="6" t="s">
        <v>23</v>
      </c>
      <c r="K16" s="6"/>
      <c r="L16" s="43" t="str">
        <f aca="false">L15&amp;" - Annual Increase"</f>
        <v>Other expenses - Annual Increase</v>
      </c>
      <c r="M16" s="20"/>
      <c r="N16" s="27" t="n">
        <v>0.0015</v>
      </c>
      <c r="O16" s="6" t="s">
        <v>29</v>
      </c>
      <c r="P16" s="6"/>
      <c r="Q16" s="6"/>
      <c r="R16" s="6"/>
      <c r="S16" s="7"/>
    </row>
    <row r="17" customFormat="false" ht="12" hidden="false" customHeight="false" outlineLevel="0" collapsed="false">
      <c r="A17" s="19" t="s">
        <v>36</v>
      </c>
      <c r="B17" s="20"/>
      <c r="C17" s="45" t="n">
        <f aca="false">E27*revolver_limit+SUMPRODUCT(C28:C33,E28:E33)</f>
        <v>10887.5</v>
      </c>
      <c r="D17" s="6" t="s">
        <v>9</v>
      </c>
      <c r="E17" s="6"/>
      <c r="F17" s="6"/>
      <c r="G17" s="28" t="s">
        <v>37</v>
      </c>
      <c r="H17" s="20"/>
      <c r="I17" s="45" t="n">
        <v>600000</v>
      </c>
      <c r="J17" s="6" t="s">
        <v>9</v>
      </c>
      <c r="K17" s="6"/>
      <c r="L17" s="43"/>
      <c r="M17" s="20"/>
      <c r="N17" s="6"/>
      <c r="O17" s="6"/>
      <c r="P17" s="6"/>
      <c r="Q17" s="6"/>
      <c r="R17" s="6"/>
      <c r="S17" s="7"/>
    </row>
    <row r="18" customFormat="false" ht="12" hidden="false" customHeight="false" outlineLevel="0" collapsed="false">
      <c r="A18" s="19" t="s">
        <v>38</v>
      </c>
      <c r="B18" s="20"/>
      <c r="C18" s="45" t="n">
        <v>27500</v>
      </c>
      <c r="D18" s="6" t="s">
        <v>9</v>
      </c>
      <c r="E18" s="6"/>
      <c r="F18" s="6"/>
      <c r="G18" s="28" t="s">
        <v>39</v>
      </c>
      <c r="H18" s="20"/>
      <c r="I18" s="27" t="n">
        <v>0.01</v>
      </c>
      <c r="J18" s="6" t="s">
        <v>23</v>
      </c>
      <c r="K18" s="6"/>
      <c r="L18" s="25" t="s">
        <v>40</v>
      </c>
      <c r="M18" s="46"/>
      <c r="N18" s="6"/>
      <c r="O18" s="6"/>
      <c r="P18" s="6"/>
      <c r="Q18" s="6"/>
      <c r="R18" s="6"/>
      <c r="S18" s="7"/>
    </row>
    <row r="19" customFormat="false" ht="12" hidden="false" customHeight="false" outlineLevel="0" collapsed="false">
      <c r="A19" s="8"/>
      <c r="B19" s="6"/>
      <c r="C19" s="15"/>
      <c r="D19" s="6"/>
      <c r="E19" s="6"/>
      <c r="F19" s="6"/>
      <c r="G19" s="43"/>
      <c r="H19" s="20"/>
      <c r="I19" s="6"/>
      <c r="J19" s="6"/>
      <c r="K19" s="6"/>
      <c r="L19" s="47" t="s">
        <v>41</v>
      </c>
      <c r="M19" s="47"/>
      <c r="N19" s="27" t="n">
        <v>0.18</v>
      </c>
      <c r="O19" s="6" t="s">
        <v>25</v>
      </c>
      <c r="P19" s="6"/>
      <c r="Q19" s="6"/>
      <c r="R19" s="6"/>
      <c r="S19" s="7"/>
    </row>
    <row r="20" customFormat="false" ht="12" hidden="false" customHeight="false" outlineLevel="0" collapsed="false">
      <c r="A20" s="39" t="s">
        <v>42</v>
      </c>
      <c r="B20" s="20"/>
      <c r="C20" s="40" t="n">
        <f aca="false">SUM(C12,C14:C18)</f>
        <v>950887.5</v>
      </c>
      <c r="D20" s="6" t="s">
        <v>9</v>
      </c>
      <c r="E20" s="6"/>
      <c r="F20" s="6"/>
      <c r="G20" s="22" t="str">
        <f aca="false">A28</f>
        <v>Term Loan "A"</v>
      </c>
      <c r="H20" s="23"/>
      <c r="I20" s="24"/>
      <c r="J20" s="48"/>
      <c r="K20" s="6"/>
      <c r="L20" s="22" t="str">
        <f aca="false">L19&amp;" - Annual Increase"</f>
        <v>Accounts receivable - Annual Increase</v>
      </c>
      <c r="M20" s="23"/>
      <c r="N20" s="27" t="n">
        <v>0.05</v>
      </c>
      <c r="O20" s="6" t="s">
        <v>29</v>
      </c>
      <c r="P20" s="6"/>
      <c r="Q20" s="6"/>
      <c r="R20" s="6"/>
      <c r="S20" s="7"/>
    </row>
    <row r="21" customFormat="false" ht="12" hidden="false" customHeight="false" outlineLevel="0" collapsed="false">
      <c r="A21" s="8"/>
      <c r="B21" s="6"/>
      <c r="C21" s="12"/>
      <c r="D21" s="6"/>
      <c r="E21" s="6"/>
      <c r="F21" s="6"/>
      <c r="G21" s="28" t="s">
        <v>43</v>
      </c>
      <c r="H21" s="20"/>
      <c r="I21" s="29" t="n">
        <v>8</v>
      </c>
      <c r="J21" s="30" t="s">
        <v>14</v>
      </c>
      <c r="K21" s="6"/>
      <c r="L21" s="37" t="s">
        <v>44</v>
      </c>
      <c r="M21" s="38"/>
      <c r="N21" s="27" t="n">
        <v>0.2</v>
      </c>
      <c r="O21" s="6" t="s">
        <v>45</v>
      </c>
      <c r="P21" s="6"/>
      <c r="Q21" s="6"/>
      <c r="R21" s="6"/>
      <c r="S21" s="7"/>
    </row>
    <row r="22" customFormat="false" ht="12" hidden="false" customHeight="false" outlineLevel="0" collapsed="false">
      <c r="A22" s="8"/>
      <c r="B22" s="6"/>
      <c r="C22" s="6"/>
      <c r="D22" s="6"/>
      <c r="E22" s="6"/>
      <c r="F22" s="6"/>
      <c r="G22" s="28" t="s">
        <v>17</v>
      </c>
      <c r="H22" s="20"/>
      <c r="I22" s="35" t="n">
        <f aca="false">1/I21</f>
        <v>0.125</v>
      </c>
      <c r="J22" s="6" t="s">
        <v>18</v>
      </c>
      <c r="K22" s="6"/>
      <c r="L22" s="43" t="str">
        <f aca="false">L21&amp;" - Annual Increase"</f>
        <v>Inventories - Annual Increase</v>
      </c>
      <c r="M22" s="20"/>
      <c r="N22" s="27" t="n">
        <v>0.04</v>
      </c>
      <c r="O22" s="6" t="s">
        <v>29</v>
      </c>
      <c r="P22" s="6"/>
      <c r="Q22" s="6"/>
      <c r="R22" s="6"/>
      <c r="S22" s="7"/>
    </row>
    <row r="23" customFormat="false" ht="12" hidden="false" customHeight="false" outlineLevel="0" collapsed="false">
      <c r="A23" s="49" t="s">
        <v>46</v>
      </c>
      <c r="B23" s="18"/>
      <c r="C23" s="6"/>
      <c r="D23" s="6"/>
      <c r="E23" s="6"/>
      <c r="F23" s="6"/>
      <c r="G23" s="28" t="s">
        <v>22</v>
      </c>
      <c r="H23" s="20"/>
      <c r="I23" s="27" t="n">
        <v>0.055</v>
      </c>
      <c r="J23" s="6" t="s">
        <v>23</v>
      </c>
      <c r="K23" s="6"/>
      <c r="L23" s="22" t="s">
        <v>47</v>
      </c>
      <c r="M23" s="23"/>
      <c r="N23" s="27" t="n">
        <v>0.045</v>
      </c>
      <c r="O23" s="6" t="s">
        <v>25</v>
      </c>
      <c r="P23" s="6"/>
      <c r="Q23" s="6"/>
      <c r="R23" s="6"/>
      <c r="S23" s="7"/>
    </row>
    <row r="24" customFormat="false" ht="12" hidden="false" customHeight="false" outlineLevel="0" collapsed="false">
      <c r="A24" s="19" t="s">
        <v>48</v>
      </c>
      <c r="B24" s="20"/>
      <c r="C24" s="40" t="n">
        <f aca="false">IF(cash_min=1,Bal_Sheet!C10-cash_min_amt,Bal_Sheet!C10)</f>
        <v>5000</v>
      </c>
      <c r="D24" s="6" t="s">
        <v>9</v>
      </c>
      <c r="E24" s="6"/>
      <c r="F24" s="6"/>
      <c r="G24" s="28" t="s">
        <v>27</v>
      </c>
      <c r="H24" s="41"/>
      <c r="I24" s="42" t="n">
        <v>1</v>
      </c>
      <c r="J24" s="6" t="s">
        <v>28</v>
      </c>
      <c r="K24" s="6"/>
      <c r="L24" s="22" t="str">
        <f aca="false">L23&amp;" - Annual Increase"</f>
        <v>Prepaids - Annual Increase</v>
      </c>
      <c r="M24" s="23"/>
      <c r="N24" s="27" t="n">
        <v>0.02</v>
      </c>
      <c r="O24" s="6" t="s">
        <v>29</v>
      </c>
      <c r="P24" s="15"/>
      <c r="Q24" s="50" t="s">
        <v>49</v>
      </c>
      <c r="R24" s="51" t="s">
        <v>50</v>
      </c>
      <c r="S24" s="52"/>
    </row>
    <row r="25" customFormat="false" ht="12" hidden="false" customHeight="false" outlineLevel="0" collapsed="false">
      <c r="A25" s="53" t="s">
        <v>51</v>
      </c>
      <c r="B25" s="23"/>
      <c r="C25" s="15"/>
      <c r="D25" s="6"/>
      <c r="E25" s="54" t="s">
        <v>52</v>
      </c>
      <c r="F25" s="6"/>
      <c r="G25" s="28" t="s">
        <v>30</v>
      </c>
      <c r="H25" s="20"/>
      <c r="I25" s="29" t="n">
        <v>1</v>
      </c>
      <c r="J25" s="6" t="s">
        <v>28</v>
      </c>
      <c r="K25" s="6"/>
      <c r="L25" s="55" t="s">
        <v>53</v>
      </c>
      <c r="M25" s="55"/>
      <c r="N25" s="27" t="n">
        <v>0.12</v>
      </c>
      <c r="O25" s="6" t="s">
        <v>25</v>
      </c>
      <c r="P25" s="6"/>
      <c r="Q25" s="56" t="s">
        <v>54</v>
      </c>
      <c r="R25" s="57" t="s">
        <v>55</v>
      </c>
      <c r="S25" s="58"/>
      <c r="T25" s="59"/>
      <c r="U25" s="59"/>
    </row>
    <row r="26" customFormat="false" ht="12" hidden="false" customHeight="false" outlineLevel="0" collapsed="false">
      <c r="A26" s="19" t="str">
        <f aca="false">A15</f>
        <v>Assumed Debt</v>
      </c>
      <c r="B26" s="20"/>
      <c r="C26" s="40" t="n">
        <f aca="false">C15</f>
        <v>65000</v>
      </c>
      <c r="D26" s="6" t="s">
        <v>9</v>
      </c>
      <c r="E26" s="60"/>
      <c r="F26" s="6"/>
      <c r="G26" s="43"/>
      <c r="H26" s="20"/>
      <c r="I26" s="6"/>
      <c r="J26" s="6"/>
      <c r="K26" s="6"/>
      <c r="L26" s="43" t="str">
        <f aca="false">L25&amp;" - Annual Increase"</f>
        <v>Other current assets - Annual Increase</v>
      </c>
      <c r="M26" s="20"/>
      <c r="N26" s="27" t="n">
        <v>0.025</v>
      </c>
      <c r="O26" s="6" t="s">
        <v>29</v>
      </c>
      <c r="P26" s="6"/>
      <c r="Q26" s="61"/>
      <c r="R26" s="62"/>
      <c r="S26" s="63" t="s">
        <v>56</v>
      </c>
      <c r="T26" s="59"/>
      <c r="U26" s="59"/>
    </row>
    <row r="27" customFormat="false" ht="12" hidden="false" customHeight="false" outlineLevel="0" collapsed="false">
      <c r="A27" s="64" t="s">
        <v>57</v>
      </c>
      <c r="B27" s="55"/>
      <c r="C27" s="40" t="n">
        <f aca="false">C20-SUM(C24,C26,C28:C33,C35,C37:C39)</f>
        <v>200887.5</v>
      </c>
      <c r="D27" s="6" t="s">
        <v>9</v>
      </c>
      <c r="E27" s="65" t="n">
        <v>0.0075</v>
      </c>
      <c r="F27" s="6"/>
      <c r="G27" s="22" t="str">
        <f aca="false">A29</f>
        <v>Term Loan "B"</v>
      </c>
      <c r="H27" s="23"/>
      <c r="I27" s="24"/>
      <c r="J27" s="48"/>
      <c r="K27" s="6"/>
      <c r="L27" s="66" t="s">
        <v>58</v>
      </c>
      <c r="M27" s="66"/>
      <c r="N27" s="27" t="n">
        <v>0.04</v>
      </c>
      <c r="O27" s="6" t="s">
        <v>25</v>
      </c>
      <c r="P27" s="6"/>
      <c r="Q27" s="61" t="n">
        <f aca="false">revolver_limit*E27</f>
        <v>4500</v>
      </c>
      <c r="R27" s="62" t="n">
        <f aca="false">Q27/S27</f>
        <v>450</v>
      </c>
      <c r="S27" s="67" t="n">
        <v>10</v>
      </c>
      <c r="T27" s="59"/>
      <c r="U27" s="59"/>
    </row>
    <row r="28" customFormat="false" ht="12" hidden="false" customHeight="false" outlineLevel="0" collapsed="false">
      <c r="A28" s="68" t="s">
        <v>59</v>
      </c>
      <c r="B28" s="69"/>
      <c r="C28" s="70" t="n">
        <v>80000</v>
      </c>
      <c r="D28" s="6" t="s">
        <v>9</v>
      </c>
      <c r="E28" s="65" t="n">
        <v>0.015</v>
      </c>
      <c r="F28" s="6"/>
      <c r="G28" s="28" t="s">
        <v>43</v>
      </c>
      <c r="H28" s="20"/>
      <c r="I28" s="29" t="n">
        <v>11</v>
      </c>
      <c r="J28" s="30" t="s">
        <v>14</v>
      </c>
      <c r="K28" s="6"/>
      <c r="L28" s="22" t="str">
        <f aca="false">L27&amp;" - Annual Increase"</f>
        <v>Other long-term assets - Annual Increase</v>
      </c>
      <c r="M28" s="23"/>
      <c r="N28" s="27" t="n">
        <v>0.005</v>
      </c>
      <c r="O28" s="6" t="s">
        <v>29</v>
      </c>
      <c r="P28" s="6"/>
      <c r="Q28" s="61" t="n">
        <f aca="false">C28*E28</f>
        <v>1200</v>
      </c>
      <c r="R28" s="62" t="n">
        <f aca="false">Q28/I21</f>
        <v>150</v>
      </c>
      <c r="S28" s="58"/>
      <c r="T28" s="59"/>
      <c r="U28" s="59"/>
    </row>
    <row r="29" customFormat="false" ht="12" hidden="false" customHeight="false" outlineLevel="0" collapsed="false">
      <c r="A29" s="68" t="s">
        <v>60</v>
      </c>
      <c r="B29" s="69"/>
      <c r="C29" s="70" t="n">
        <v>55000</v>
      </c>
      <c r="D29" s="6" t="s">
        <v>9</v>
      </c>
      <c r="E29" s="65" t="n">
        <v>0.0175</v>
      </c>
      <c r="F29" s="6"/>
      <c r="G29" s="28" t="s">
        <v>17</v>
      </c>
      <c r="H29" s="20"/>
      <c r="I29" s="27" t="n">
        <v>0.04</v>
      </c>
      <c r="J29" s="6" t="s">
        <v>18</v>
      </c>
      <c r="K29" s="6"/>
      <c r="L29" s="43"/>
      <c r="M29" s="20"/>
      <c r="N29" s="15"/>
      <c r="O29" s="15"/>
      <c r="P29" s="6"/>
      <c r="Q29" s="61" t="n">
        <f aca="false">C29*E29</f>
        <v>962.5</v>
      </c>
      <c r="R29" s="62" t="n">
        <f aca="false">Q29/I28</f>
        <v>87.5</v>
      </c>
      <c r="S29" s="58"/>
      <c r="T29" s="59"/>
      <c r="U29" s="59"/>
    </row>
    <row r="30" customFormat="false" ht="12" hidden="false" customHeight="false" outlineLevel="0" collapsed="false">
      <c r="A30" s="64" t="s">
        <v>61</v>
      </c>
      <c r="B30" s="55"/>
      <c r="C30" s="45" t="n">
        <v>65000</v>
      </c>
      <c r="D30" s="6" t="s">
        <v>9</v>
      </c>
      <c r="E30" s="65" t="n">
        <v>0.02</v>
      </c>
      <c r="F30" s="6"/>
      <c r="G30" s="28" t="s">
        <v>62</v>
      </c>
      <c r="H30" s="20"/>
      <c r="I30" s="35" t="n">
        <f aca="false">1-(I28-1)*termloanB_ann_repay</f>
        <v>0.6</v>
      </c>
      <c r="J30" s="6" t="s">
        <v>18</v>
      </c>
      <c r="K30" s="6"/>
      <c r="L30" s="66" t="s">
        <v>63</v>
      </c>
      <c r="M30" s="66"/>
      <c r="N30" s="27" t="n">
        <v>0.15</v>
      </c>
      <c r="O30" s="6" t="s">
        <v>64</v>
      </c>
      <c r="P30" s="6"/>
      <c r="Q30" s="61" t="n">
        <f aca="false">C30*E30</f>
        <v>1300</v>
      </c>
      <c r="R30" s="62" t="n">
        <f aca="false">Q30/senior_notes_mat_yr</f>
        <v>144.444444444444</v>
      </c>
      <c r="S30" s="58"/>
      <c r="T30" s="59"/>
      <c r="U30" s="59"/>
    </row>
    <row r="31" customFormat="false" ht="12" hidden="false" customHeight="false" outlineLevel="0" collapsed="false">
      <c r="A31" s="64" t="s">
        <v>65</v>
      </c>
      <c r="B31" s="55"/>
      <c r="C31" s="45" t="n">
        <v>40000</v>
      </c>
      <c r="D31" s="6" t="s">
        <v>9</v>
      </c>
      <c r="E31" s="65" t="n">
        <v>0.025</v>
      </c>
      <c r="F31" s="6"/>
      <c r="G31" s="28" t="s">
        <v>22</v>
      </c>
      <c r="H31" s="20"/>
      <c r="I31" s="27" t="n">
        <v>0.0525</v>
      </c>
      <c r="J31" s="6" t="s">
        <v>23</v>
      </c>
      <c r="K31" s="6"/>
      <c r="L31" s="22" t="str">
        <f aca="false">L30&amp;" - Annual Increase"</f>
        <v>Accounts payable - Annual Increase</v>
      </c>
      <c r="M31" s="23"/>
      <c r="N31" s="27" t="n">
        <v>0.02</v>
      </c>
      <c r="O31" s="6" t="s">
        <v>29</v>
      </c>
      <c r="P31" s="6"/>
      <c r="Q31" s="61" t="n">
        <f aca="false">C31*E31</f>
        <v>1000</v>
      </c>
      <c r="R31" s="62" t="n">
        <f aca="false">Q31/sub_notes_mat_yr</f>
        <v>83.3333333333333</v>
      </c>
      <c r="S31" s="58"/>
      <c r="T31" s="59"/>
      <c r="U31" s="59"/>
    </row>
    <row r="32" customFormat="false" ht="12" hidden="false" customHeight="false" outlineLevel="0" collapsed="false">
      <c r="A32" s="64" t="s">
        <v>66</v>
      </c>
      <c r="B32" s="55"/>
      <c r="C32" s="45" t="n">
        <v>70000</v>
      </c>
      <c r="D32" s="6" t="s">
        <v>9</v>
      </c>
      <c r="E32" s="65" t="n">
        <v>0.0275</v>
      </c>
      <c r="F32" s="6"/>
      <c r="G32" s="28" t="s">
        <v>27</v>
      </c>
      <c r="H32" s="41"/>
      <c r="I32" s="42" t="n">
        <v>1</v>
      </c>
      <c r="J32" s="6" t="s">
        <v>28</v>
      </c>
      <c r="K32" s="6"/>
      <c r="L32" s="71" t="s">
        <v>67</v>
      </c>
      <c r="M32" s="71"/>
      <c r="N32" s="27" t="n">
        <v>0.06</v>
      </c>
      <c r="O32" s="6" t="s">
        <v>25</v>
      </c>
      <c r="P32" s="6"/>
      <c r="Q32" s="61" t="n">
        <f aca="false">C32*E32</f>
        <v>1925</v>
      </c>
      <c r="R32" s="62" t="n">
        <f aca="false">Q32/mezzdebt_maturity_year</f>
        <v>137.5</v>
      </c>
      <c r="S32" s="58"/>
      <c r="T32" s="59"/>
      <c r="U32" s="59"/>
    </row>
    <row r="33" customFormat="false" ht="12" hidden="false" customHeight="false" outlineLevel="0" collapsed="false">
      <c r="A33" s="64" t="s">
        <v>68</v>
      </c>
      <c r="B33" s="55"/>
      <c r="C33" s="45" t="n">
        <v>25000</v>
      </c>
      <c r="D33" s="6" t="s">
        <v>9</v>
      </c>
      <c r="E33" s="65" t="n">
        <v>0</v>
      </c>
      <c r="F33" s="6"/>
      <c r="G33" s="28" t="s">
        <v>30</v>
      </c>
      <c r="H33" s="20"/>
      <c r="I33" s="29" t="n">
        <v>1</v>
      </c>
      <c r="J33" s="6" t="s">
        <v>28</v>
      </c>
      <c r="K33" s="6"/>
      <c r="L33" s="43" t="str">
        <f aca="false">L32&amp;" - Annual Increase"</f>
        <v>Accrued expenses - Annual Increase</v>
      </c>
      <c r="M33" s="20"/>
      <c r="N33" s="27" t="n">
        <v>0.015</v>
      </c>
      <c r="O33" s="6" t="s">
        <v>29</v>
      </c>
      <c r="P33" s="6"/>
      <c r="Q33" s="72" t="n">
        <f aca="false">C33*E33</f>
        <v>0</v>
      </c>
      <c r="R33" s="62" t="n">
        <f aca="false">Q33/I56</f>
        <v>0</v>
      </c>
      <c r="S33" s="58"/>
      <c r="T33" s="59"/>
      <c r="U33" s="59"/>
    </row>
    <row r="34" customFormat="false" ht="12" hidden="false" customHeight="false" outlineLevel="0" collapsed="false">
      <c r="A34" s="53" t="s">
        <v>69</v>
      </c>
      <c r="B34" s="23"/>
      <c r="C34" s="15"/>
      <c r="D34" s="6"/>
      <c r="E34" s="73"/>
      <c r="F34" s="6"/>
      <c r="G34" s="43"/>
      <c r="H34" s="20"/>
      <c r="I34" s="6"/>
      <c r="J34" s="6"/>
      <c r="K34" s="6"/>
      <c r="L34" s="22" t="s">
        <v>70</v>
      </c>
      <c r="M34" s="23"/>
      <c r="N34" s="27" t="n">
        <v>0.08</v>
      </c>
      <c r="O34" s="6" t="s">
        <v>25</v>
      </c>
      <c r="P34" s="6"/>
      <c r="Q34" s="74" t="n">
        <f aca="false">SUM(Q27:Q33)</f>
        <v>10887.5</v>
      </c>
      <c r="R34" s="75" t="n">
        <f aca="false">SUM(R27:R33)</f>
        <v>1052.77777777778</v>
      </c>
      <c r="S34" s="58"/>
      <c r="T34" s="59"/>
      <c r="U34" s="59"/>
    </row>
    <row r="35" customFormat="false" ht="12" hidden="false" customHeight="false" outlineLevel="0" collapsed="false">
      <c r="A35" s="64" t="s">
        <v>71</v>
      </c>
      <c r="B35" s="55"/>
      <c r="C35" s="45" t="n">
        <v>60000</v>
      </c>
      <c r="D35" s="6" t="s">
        <v>9</v>
      </c>
      <c r="E35" s="65" t="n">
        <v>0.02</v>
      </c>
      <c r="F35" s="6"/>
      <c r="G35" s="22" t="str">
        <f aca="false">A30</f>
        <v>Senior Notes</v>
      </c>
      <c r="H35" s="23"/>
      <c r="I35" s="24"/>
      <c r="J35" s="6"/>
      <c r="K35" s="6"/>
      <c r="L35" s="22" t="str">
        <f aca="false">L34&amp;" - Annual Increase"</f>
        <v>Other current liabilities - Annual Increase</v>
      </c>
      <c r="M35" s="23"/>
      <c r="N35" s="27" t="n">
        <v>0.01</v>
      </c>
      <c r="O35" s="6" t="s">
        <v>29</v>
      </c>
      <c r="P35" s="6"/>
      <c r="Q35" s="76" t="n">
        <f aca="false">C35*E35</f>
        <v>1200</v>
      </c>
      <c r="R35" s="62"/>
      <c r="S35" s="58"/>
      <c r="T35" s="59"/>
      <c r="U35" s="59"/>
    </row>
    <row r="36" customFormat="false" ht="12" hidden="false" customHeight="false" outlineLevel="0" collapsed="false">
      <c r="A36" s="53" t="s">
        <v>72</v>
      </c>
      <c r="B36" s="23"/>
      <c r="C36" s="15"/>
      <c r="D36" s="6"/>
      <c r="E36" s="73"/>
      <c r="F36" s="6"/>
      <c r="G36" s="28" t="s">
        <v>13</v>
      </c>
      <c r="H36" s="20"/>
      <c r="I36" s="29" t="n">
        <v>9</v>
      </c>
      <c r="J36" s="30" t="s">
        <v>14</v>
      </c>
      <c r="K36" s="6"/>
      <c r="L36" s="43" t="s">
        <v>73</v>
      </c>
      <c r="M36" s="20"/>
      <c r="N36" s="65" t="n">
        <v>0.1</v>
      </c>
      <c r="O36" s="77" t="s">
        <v>25</v>
      </c>
      <c r="P36" s="6"/>
      <c r="Q36" s="78" t="n">
        <f aca="false">SUM(Q34:Q35)</f>
        <v>12087.5</v>
      </c>
      <c r="R36" s="79"/>
      <c r="S36" s="80"/>
      <c r="T36" s="59"/>
      <c r="U36" s="59"/>
    </row>
    <row r="37" customFormat="false" ht="12" hidden="false" customHeight="false" outlineLevel="0" collapsed="false">
      <c r="A37" s="81" t="s">
        <v>74</v>
      </c>
      <c r="B37" s="71"/>
      <c r="C37" s="45" t="n">
        <v>220000</v>
      </c>
      <c r="D37" s="6" t="s">
        <v>9</v>
      </c>
      <c r="E37" s="73"/>
      <c r="F37" s="6"/>
      <c r="G37" s="28" t="s">
        <v>22</v>
      </c>
      <c r="H37" s="20"/>
      <c r="I37" s="27" t="n">
        <v>0.0425</v>
      </c>
      <c r="J37" s="6" t="s">
        <v>23</v>
      </c>
      <c r="K37" s="6"/>
      <c r="L37" s="43" t="s">
        <v>75</v>
      </c>
      <c r="M37" s="20"/>
      <c r="N37" s="82" t="n">
        <v>1</v>
      </c>
      <c r="O37" s="6" t="s">
        <v>76</v>
      </c>
      <c r="P37" s="6"/>
      <c r="Q37" s="30"/>
      <c r="R37" s="30"/>
      <c r="S37" s="83"/>
      <c r="T37" s="59"/>
      <c r="U37" s="59"/>
    </row>
    <row r="38" customFormat="false" ht="12" hidden="false" customHeight="false" outlineLevel="0" collapsed="false">
      <c r="A38" s="81" t="s">
        <v>77</v>
      </c>
      <c r="B38" s="71"/>
      <c r="C38" s="45" t="n">
        <v>40000</v>
      </c>
      <c r="D38" s="6" t="s">
        <v>9</v>
      </c>
      <c r="E38" s="73"/>
      <c r="F38" s="6"/>
      <c r="G38" s="28" t="s">
        <v>27</v>
      </c>
      <c r="H38" s="41"/>
      <c r="I38" s="42" t="n">
        <v>1</v>
      </c>
      <c r="J38" s="6" t="s">
        <v>28</v>
      </c>
      <c r="K38" s="6"/>
      <c r="L38" s="43" t="s">
        <v>78</v>
      </c>
      <c r="M38" s="20"/>
      <c r="N38" s="82" t="n">
        <v>1</v>
      </c>
      <c r="O38" s="6" t="s">
        <v>76</v>
      </c>
      <c r="P38" s="6"/>
      <c r="Q38" s="30"/>
      <c r="R38" s="30"/>
      <c r="S38" s="83"/>
      <c r="T38" s="59"/>
      <c r="U38" s="59"/>
    </row>
    <row r="39" customFormat="false" ht="12" hidden="false" customHeight="false" outlineLevel="0" collapsed="false">
      <c r="A39" s="19" t="s">
        <v>79</v>
      </c>
      <c r="B39" s="20"/>
      <c r="C39" s="33" t="n">
        <v>25000</v>
      </c>
      <c r="D39" s="6" t="s">
        <v>9</v>
      </c>
      <c r="E39" s="73"/>
      <c r="F39" s="6"/>
      <c r="G39" s="28" t="s">
        <v>30</v>
      </c>
      <c r="H39" s="20"/>
      <c r="I39" s="29" t="n">
        <v>1</v>
      </c>
      <c r="J39" s="6" t="s">
        <v>28</v>
      </c>
      <c r="K39" s="6"/>
      <c r="L39" s="6"/>
      <c r="M39" s="6"/>
      <c r="N39" s="6"/>
      <c r="O39" s="6"/>
      <c r="P39" s="6"/>
      <c r="Q39" s="30"/>
      <c r="R39" s="30"/>
      <c r="S39" s="83"/>
      <c r="T39" s="59"/>
      <c r="U39" s="59"/>
    </row>
    <row r="40" customFormat="false" ht="12" hidden="false" customHeight="false" outlineLevel="0" collapsed="false">
      <c r="A40" s="84" t="s">
        <v>80</v>
      </c>
      <c r="B40" s="85"/>
      <c r="C40" s="40" t="n">
        <f aca="false">SUM(C24:C39)</f>
        <v>950887.5</v>
      </c>
      <c r="D40" s="6" t="s">
        <v>9</v>
      </c>
      <c r="E40" s="6"/>
      <c r="F40" s="6"/>
      <c r="G40" s="43"/>
      <c r="H40" s="20"/>
      <c r="I40" s="6"/>
      <c r="J40" s="6"/>
      <c r="K40" s="6"/>
      <c r="L40" s="6"/>
      <c r="M40" s="6"/>
      <c r="N40" s="6"/>
      <c r="O40" s="6"/>
      <c r="P40" s="6"/>
      <c r="Q40" s="30"/>
      <c r="R40" s="30"/>
      <c r="S40" s="83"/>
      <c r="T40" s="59"/>
      <c r="U40" s="59"/>
    </row>
    <row r="41" customFormat="false" ht="12" hidden="false" customHeight="false" outlineLevel="0" collapsed="false">
      <c r="A41" s="8"/>
      <c r="B41" s="6"/>
      <c r="C41" s="6"/>
      <c r="D41" s="6"/>
      <c r="E41" s="6"/>
      <c r="F41" s="86"/>
      <c r="G41" s="22" t="str">
        <f aca="false">A31</f>
        <v>Subordinated Notes</v>
      </c>
      <c r="H41" s="23"/>
      <c r="I41" s="24"/>
      <c r="J41" s="6"/>
      <c r="K41" s="6"/>
      <c r="L41" s="16" t="s">
        <v>81</v>
      </c>
      <c r="M41" s="17"/>
      <c r="N41" s="15"/>
      <c r="O41" s="6"/>
      <c r="P41" s="6"/>
      <c r="Q41" s="30"/>
      <c r="R41" s="30"/>
      <c r="S41" s="83"/>
      <c r="T41" s="59"/>
      <c r="U41" s="59"/>
    </row>
    <row r="42" customFormat="false" ht="12" hidden="false" customHeight="false" outlineLevel="0" collapsed="false">
      <c r="A42" s="8"/>
      <c r="B42" s="6"/>
      <c r="C42" s="6"/>
      <c r="D42" s="6"/>
      <c r="E42" s="6"/>
      <c r="F42" s="6"/>
      <c r="G42" s="28" t="s">
        <v>13</v>
      </c>
      <c r="H42" s="20"/>
      <c r="I42" s="29" t="n">
        <v>12</v>
      </c>
      <c r="J42" s="30" t="s">
        <v>14</v>
      </c>
      <c r="K42" s="6"/>
      <c r="L42" s="87" t="s">
        <v>82</v>
      </c>
      <c r="M42" s="23"/>
      <c r="N42" s="45" t="n">
        <v>50000</v>
      </c>
      <c r="O42" s="6" t="s">
        <v>9</v>
      </c>
      <c r="P42" s="6"/>
      <c r="Q42" s="30"/>
      <c r="R42" s="30"/>
      <c r="S42" s="83"/>
      <c r="T42" s="59"/>
      <c r="U42" s="59"/>
    </row>
    <row r="43" customFormat="false" ht="12" hidden="false" customHeight="false" outlineLevel="0" collapsed="false">
      <c r="A43" s="49" t="s">
        <v>83</v>
      </c>
      <c r="B43" s="18"/>
      <c r="C43" s="15"/>
      <c r="D43" s="6"/>
      <c r="E43" s="6"/>
      <c r="F43" s="88"/>
      <c r="G43" s="28" t="s">
        <v>22</v>
      </c>
      <c r="H43" s="20"/>
      <c r="I43" s="27" t="n">
        <v>0.045</v>
      </c>
      <c r="J43" s="6" t="s">
        <v>23</v>
      </c>
      <c r="K43" s="6"/>
      <c r="L43" s="87" t="s">
        <v>84</v>
      </c>
      <c r="M43" s="23"/>
      <c r="N43" s="42" t="n">
        <v>1</v>
      </c>
      <c r="O43" s="6" t="s">
        <v>85</v>
      </c>
      <c r="P43" s="6"/>
      <c r="Q43" s="30"/>
      <c r="R43" s="30"/>
      <c r="S43" s="83"/>
      <c r="T43" s="59"/>
      <c r="U43" s="59"/>
    </row>
    <row r="44" customFormat="false" ht="12" hidden="false" customHeight="false" outlineLevel="0" collapsed="false">
      <c r="A44" s="89" t="s">
        <v>26</v>
      </c>
      <c r="B44" s="38"/>
      <c r="C44" s="40" t="n">
        <f aca="false">C12</f>
        <v>660000</v>
      </c>
      <c r="D44" s="6" t="s">
        <v>9</v>
      </c>
      <c r="E44" s="6"/>
      <c r="F44" s="88"/>
      <c r="G44" s="28" t="s">
        <v>27</v>
      </c>
      <c r="H44" s="41"/>
      <c r="I44" s="42" t="n">
        <v>0</v>
      </c>
      <c r="J44" s="6" t="s">
        <v>28</v>
      </c>
      <c r="K44" s="6"/>
      <c r="L44" s="43"/>
      <c r="M44" s="20"/>
      <c r="N44" s="15"/>
      <c r="O44" s="6"/>
      <c r="P44" s="6"/>
      <c r="Q44" s="30"/>
      <c r="R44" s="30"/>
      <c r="S44" s="83"/>
      <c r="T44" s="59"/>
      <c r="U44" s="59"/>
    </row>
    <row r="45" customFormat="false" ht="12" hidden="false" customHeight="false" outlineLevel="0" collapsed="false">
      <c r="A45" s="89" t="s">
        <v>86</v>
      </c>
      <c r="B45" s="38"/>
      <c r="C45" s="90"/>
      <c r="D45" s="6"/>
      <c r="E45" s="6"/>
      <c r="F45" s="88"/>
      <c r="G45" s="43" t="s">
        <v>87</v>
      </c>
      <c r="H45" s="20"/>
      <c r="I45" s="29" t="n">
        <v>5</v>
      </c>
      <c r="J45" s="30" t="s">
        <v>88</v>
      </c>
      <c r="K45" s="6"/>
      <c r="L45" s="22" t="s">
        <v>89</v>
      </c>
      <c r="M45" s="23"/>
      <c r="N45" s="27" t="n">
        <v>0.35</v>
      </c>
      <c r="O45" s="6" t="s">
        <v>12</v>
      </c>
      <c r="P45" s="6"/>
      <c r="Q45" s="30"/>
      <c r="R45" s="30"/>
      <c r="S45" s="83"/>
      <c r="T45" s="59"/>
      <c r="U45" s="59"/>
    </row>
    <row r="46" customFormat="false" ht="12" hidden="false" customHeight="false" outlineLevel="0" collapsed="false">
      <c r="A46" s="91" t="s">
        <v>90</v>
      </c>
      <c r="B46" s="85"/>
      <c r="C46" s="92" t="n">
        <f aca="false">Bal_Sheet!C19</f>
        <v>20000</v>
      </c>
      <c r="D46" s="6" t="s">
        <v>9</v>
      </c>
      <c r="E46" s="6"/>
      <c r="F46" s="88"/>
      <c r="G46" s="28" t="s">
        <v>30</v>
      </c>
      <c r="H46" s="20"/>
      <c r="I46" s="29" t="n">
        <v>1</v>
      </c>
      <c r="J46" s="6" t="s">
        <v>28</v>
      </c>
      <c r="K46" s="6"/>
      <c r="L46" s="22" t="s">
        <v>91</v>
      </c>
      <c r="M46" s="23"/>
      <c r="N46" s="93" t="n">
        <v>2010</v>
      </c>
      <c r="O46" s="6" t="s">
        <v>92</v>
      </c>
      <c r="P46" s="6"/>
      <c r="Q46" s="30"/>
      <c r="R46" s="30"/>
      <c r="S46" s="83"/>
      <c r="T46" s="59"/>
      <c r="U46" s="59"/>
    </row>
    <row r="47" customFormat="false" ht="12" hidden="false" customHeight="false" outlineLevel="0" collapsed="false">
      <c r="A47" s="8" t="s">
        <v>93</v>
      </c>
      <c r="B47" s="6"/>
      <c r="C47" s="60"/>
      <c r="D47" s="6"/>
      <c r="E47" s="6"/>
      <c r="F47" s="94"/>
      <c r="G47" s="43"/>
      <c r="H47" s="20"/>
      <c r="I47" s="6"/>
      <c r="J47" s="6"/>
      <c r="K47" s="94"/>
      <c r="L47" s="15"/>
      <c r="M47" s="15"/>
      <c r="N47" s="15"/>
      <c r="O47" s="6"/>
      <c r="P47" s="6"/>
      <c r="Q47" s="30"/>
      <c r="R47" s="30"/>
      <c r="S47" s="83"/>
      <c r="T47" s="59"/>
      <c r="U47" s="59"/>
    </row>
    <row r="48" customFormat="false" ht="12" hidden="false" customHeight="false" outlineLevel="0" collapsed="false">
      <c r="A48" s="95" t="s">
        <v>94</v>
      </c>
      <c r="B48" s="6"/>
      <c r="C48" s="40" t="n">
        <f aca="false">SUM(Bal_Sheet!C62:C63)</f>
        <v>464749</v>
      </c>
      <c r="D48" s="6" t="s">
        <v>9</v>
      </c>
      <c r="E48" s="6"/>
      <c r="F48" s="94"/>
      <c r="G48" s="22" t="str">
        <f aca="false">A32</f>
        <v>Mezzanine Debt</v>
      </c>
      <c r="H48" s="23"/>
      <c r="I48" s="24"/>
      <c r="J48" s="6"/>
      <c r="K48" s="94"/>
      <c r="L48" s="15"/>
      <c r="M48" s="15"/>
      <c r="N48" s="15"/>
      <c r="O48" s="6"/>
      <c r="P48" s="6"/>
      <c r="Q48" s="6"/>
      <c r="R48" s="6"/>
      <c r="S48" s="7"/>
    </row>
    <row r="49" customFormat="false" ht="12" hidden="false" customHeight="false" outlineLevel="0" collapsed="false">
      <c r="A49" s="95" t="s">
        <v>95</v>
      </c>
      <c r="B49" s="6"/>
      <c r="C49" s="45" t="n">
        <v>2450</v>
      </c>
      <c r="D49" s="6" t="s">
        <v>9</v>
      </c>
      <c r="E49" s="6"/>
      <c r="F49" s="94"/>
      <c r="G49" s="28" t="s">
        <v>13</v>
      </c>
      <c r="H49" s="20"/>
      <c r="I49" s="29" t="n">
        <v>14</v>
      </c>
      <c r="J49" s="30" t="s">
        <v>14</v>
      </c>
      <c r="K49" s="94"/>
      <c r="L49" s="16" t="s">
        <v>96</v>
      </c>
      <c r="M49" s="17"/>
      <c r="N49" s="15"/>
      <c r="O49" s="6"/>
      <c r="P49" s="6"/>
      <c r="Q49" s="6"/>
      <c r="R49" s="6"/>
      <c r="S49" s="7"/>
    </row>
    <row r="50" customFormat="false" ht="12" hidden="false" customHeight="false" outlineLevel="0" collapsed="false">
      <c r="A50" s="95" t="s">
        <v>97</v>
      </c>
      <c r="B50" s="6"/>
      <c r="C50" s="45" t="n">
        <v>1200</v>
      </c>
      <c r="D50" s="6" t="s">
        <v>9</v>
      </c>
      <c r="E50" s="6"/>
      <c r="F50" s="94"/>
      <c r="G50" s="28" t="s">
        <v>22</v>
      </c>
      <c r="H50" s="20"/>
      <c r="I50" s="27" t="n">
        <v>0.045</v>
      </c>
      <c r="J50" s="6" t="s">
        <v>23</v>
      </c>
      <c r="K50" s="94"/>
      <c r="L50" s="96" t="s">
        <v>98</v>
      </c>
      <c r="M50" s="96"/>
      <c r="N50" s="97" t="n">
        <f aca="false">IF(WACC!H7=1,ROUND(WACC!L16,2),ROUND(WACC!L7,2))</f>
        <v>0.07</v>
      </c>
      <c r="O50" s="6" t="s">
        <v>12</v>
      </c>
      <c r="P50" s="6"/>
      <c r="Q50" s="6"/>
      <c r="R50" s="6"/>
      <c r="S50" s="7"/>
    </row>
    <row r="51" customFormat="false" ht="12" hidden="false" customHeight="false" outlineLevel="0" collapsed="false">
      <c r="A51" s="95" t="s">
        <v>99</v>
      </c>
      <c r="B51" s="6"/>
      <c r="C51" s="40" t="n">
        <f aca="false">Bal_Sheet!C44</f>
        <v>1400</v>
      </c>
      <c r="D51" s="6" t="s">
        <v>9</v>
      </c>
      <c r="E51" s="6"/>
      <c r="F51" s="94"/>
      <c r="G51" s="28" t="s">
        <v>27</v>
      </c>
      <c r="H51" s="41"/>
      <c r="I51" s="42" t="n">
        <v>0</v>
      </c>
      <c r="J51" s="6" t="s">
        <v>28</v>
      </c>
      <c r="K51" s="94"/>
      <c r="L51" s="98" t="s">
        <v>100</v>
      </c>
      <c r="M51" s="99"/>
      <c r="N51" s="100" t="n">
        <v>0.01</v>
      </c>
      <c r="O51" s="6" t="s">
        <v>12</v>
      </c>
      <c r="P51" s="6"/>
      <c r="Q51" s="6"/>
      <c r="R51" s="6"/>
      <c r="S51" s="7"/>
    </row>
    <row r="52" customFormat="false" ht="12" hidden="false" customHeight="false" outlineLevel="0" collapsed="false">
      <c r="A52" s="101" t="s">
        <v>101</v>
      </c>
      <c r="B52" s="6"/>
      <c r="C52" s="40" t="n">
        <f aca="false">-SUM(C49:C50)*tax_rate</f>
        <v>-1277.5</v>
      </c>
      <c r="D52" s="6" t="s">
        <v>9</v>
      </c>
      <c r="E52" s="6"/>
      <c r="F52" s="94"/>
      <c r="G52" s="43" t="s">
        <v>87</v>
      </c>
      <c r="H52" s="20"/>
      <c r="I52" s="29" t="n">
        <v>5</v>
      </c>
      <c r="J52" s="30" t="s">
        <v>88</v>
      </c>
      <c r="K52" s="94"/>
      <c r="L52" s="55" t="s">
        <v>102</v>
      </c>
      <c r="M52" s="55"/>
      <c r="N52" s="102" t="n">
        <v>6</v>
      </c>
      <c r="O52" s="6" t="s">
        <v>103</v>
      </c>
      <c r="P52" s="6"/>
      <c r="Q52" s="6"/>
      <c r="R52" s="6"/>
      <c r="S52" s="7"/>
    </row>
    <row r="53" customFormat="false" ht="12" hidden="false" customHeight="false" outlineLevel="0" collapsed="false">
      <c r="A53" s="19" t="s">
        <v>104</v>
      </c>
      <c r="B53" s="20"/>
      <c r="C53" s="40" t="n">
        <f aca="false">SUM(C44,C46,-SUM(C48:C52))</f>
        <v>211478.5</v>
      </c>
      <c r="D53" s="6" t="s">
        <v>9</v>
      </c>
      <c r="E53" s="6"/>
      <c r="F53" s="94"/>
      <c r="G53" s="28" t="s">
        <v>30</v>
      </c>
      <c r="H53" s="20"/>
      <c r="I53" s="29" t="n">
        <v>1</v>
      </c>
      <c r="J53" s="6" t="s">
        <v>28</v>
      </c>
      <c r="K53" s="94"/>
      <c r="L53" s="103" t="s">
        <v>105</v>
      </c>
      <c r="M53" s="104"/>
      <c r="N53" s="105" t="n">
        <v>2</v>
      </c>
      <c r="O53" s="6" t="s">
        <v>103</v>
      </c>
      <c r="P53" s="6"/>
      <c r="Q53" s="6"/>
      <c r="R53" s="6"/>
      <c r="S53" s="7"/>
    </row>
    <row r="54" customFormat="false" ht="12" hidden="false" customHeight="false" outlineLevel="0" collapsed="false">
      <c r="A54" s="8"/>
      <c r="B54" s="6"/>
      <c r="C54" s="106"/>
      <c r="D54" s="6"/>
      <c r="E54" s="6"/>
      <c r="F54" s="94"/>
      <c r="G54" s="43"/>
      <c r="H54" s="20"/>
      <c r="I54" s="6"/>
      <c r="J54" s="6"/>
      <c r="K54" s="94"/>
      <c r="L54" s="96" t="s">
        <v>106</v>
      </c>
      <c r="M54" s="96"/>
      <c r="N54" s="65" t="n">
        <v>0.03</v>
      </c>
      <c r="O54" s="6" t="s">
        <v>12</v>
      </c>
      <c r="P54" s="6"/>
      <c r="Q54" s="6"/>
      <c r="R54" s="6"/>
      <c r="S54" s="7"/>
    </row>
    <row r="55" customFormat="false" ht="12" hidden="false" customHeight="false" outlineLevel="0" collapsed="false">
      <c r="A55" s="8"/>
      <c r="B55" s="6"/>
      <c r="C55" s="12"/>
      <c r="D55" s="6"/>
      <c r="E55" s="6"/>
      <c r="F55" s="94"/>
      <c r="G55" s="22" t="str">
        <f aca="false">A33</f>
        <v>Seller Notes</v>
      </c>
      <c r="H55" s="23"/>
      <c r="I55" s="24"/>
      <c r="J55" s="48"/>
      <c r="K55" s="94"/>
      <c r="L55" s="107" t="s">
        <v>107</v>
      </c>
      <c r="M55" s="108"/>
      <c r="N55" s="100" t="n">
        <v>0.005</v>
      </c>
      <c r="O55" s="6" t="s">
        <v>12</v>
      </c>
      <c r="P55" s="6"/>
      <c r="Q55" s="6"/>
      <c r="R55" s="6"/>
      <c r="S55" s="7"/>
    </row>
    <row r="56" customFormat="false" ht="12" hidden="false" customHeight="false" outlineLevel="0" collapsed="false">
      <c r="A56" s="109"/>
      <c r="B56" s="6"/>
      <c r="C56" s="12"/>
      <c r="D56" s="6"/>
      <c r="E56" s="6"/>
      <c r="F56" s="94"/>
      <c r="G56" s="28" t="s">
        <v>43</v>
      </c>
      <c r="H56" s="20"/>
      <c r="I56" s="29" t="n">
        <v>7</v>
      </c>
      <c r="J56" s="30" t="s">
        <v>14</v>
      </c>
      <c r="K56" s="94"/>
      <c r="L56" s="110" t="s">
        <v>108</v>
      </c>
      <c r="M56" s="111"/>
      <c r="N56" s="112" t="n">
        <f aca="false">Bal_Sheet!E54+Bal_Sheet!E61-Bal_Sheet!E10</f>
        <v>583387.5</v>
      </c>
      <c r="O56" s="6" t="s">
        <v>9</v>
      </c>
      <c r="P56" s="6"/>
      <c r="Q56" s="6"/>
      <c r="R56" s="6"/>
      <c r="S56" s="7"/>
    </row>
    <row r="57" customFormat="false" ht="12" hidden="false" customHeight="false" outlineLevel="0" collapsed="false">
      <c r="A57" s="8"/>
      <c r="B57" s="6"/>
      <c r="C57" s="6"/>
      <c r="D57" s="6"/>
      <c r="E57" s="6"/>
      <c r="F57" s="94"/>
      <c r="G57" s="28" t="s">
        <v>17</v>
      </c>
      <c r="H57" s="20"/>
      <c r="I57" s="35" t="n">
        <f aca="false">1/I56</f>
        <v>0.142857142857143</v>
      </c>
      <c r="J57" s="6" t="s">
        <v>18</v>
      </c>
      <c r="K57" s="94"/>
      <c r="L57" s="6"/>
      <c r="M57" s="6"/>
      <c r="N57" s="6"/>
      <c r="O57" s="6"/>
      <c r="P57" s="6"/>
      <c r="Q57" s="6"/>
      <c r="R57" s="6"/>
      <c r="S57" s="7"/>
    </row>
    <row r="58" customFormat="false" ht="12" hidden="false" customHeight="false" outlineLevel="0" collapsed="false">
      <c r="A58" s="95"/>
      <c r="B58" s="6"/>
      <c r="C58" s="113"/>
      <c r="D58" s="6"/>
      <c r="E58" s="6"/>
      <c r="F58" s="94"/>
      <c r="G58" s="28" t="s">
        <v>22</v>
      </c>
      <c r="H58" s="20"/>
      <c r="I58" s="27" t="n">
        <v>0.0525</v>
      </c>
      <c r="J58" s="6" t="s">
        <v>23</v>
      </c>
      <c r="K58" s="94"/>
      <c r="L58" s="6"/>
      <c r="M58" s="6"/>
      <c r="N58" s="6"/>
      <c r="O58" s="6"/>
      <c r="P58" s="6"/>
      <c r="Q58" s="6"/>
      <c r="R58" s="6"/>
      <c r="S58" s="7"/>
    </row>
    <row r="59" customFormat="false" ht="12" hidden="false" customHeight="false" outlineLevel="0" collapsed="false">
      <c r="A59" s="109"/>
      <c r="B59" s="6"/>
      <c r="C59" s="6"/>
      <c r="D59" s="6"/>
      <c r="E59" s="6"/>
      <c r="F59" s="94"/>
      <c r="G59" s="28" t="s">
        <v>27</v>
      </c>
      <c r="H59" s="41"/>
      <c r="I59" s="42" t="n">
        <v>1</v>
      </c>
      <c r="J59" s="6" t="s">
        <v>28</v>
      </c>
      <c r="K59" s="94"/>
      <c r="L59" s="6"/>
      <c r="M59" s="6"/>
      <c r="N59" s="6"/>
      <c r="O59" s="6"/>
      <c r="P59" s="6"/>
      <c r="Q59" s="6"/>
      <c r="R59" s="6"/>
      <c r="S59" s="7"/>
    </row>
    <row r="60" customFormat="false" ht="12" hidden="false" customHeight="false" outlineLevel="0" collapsed="false">
      <c r="A60" s="101"/>
      <c r="B60" s="6"/>
      <c r="C60" s="12"/>
      <c r="D60" s="6"/>
      <c r="E60" s="6"/>
      <c r="F60" s="94"/>
      <c r="G60" s="43" t="s">
        <v>87</v>
      </c>
      <c r="H60" s="20"/>
      <c r="I60" s="29" t="n">
        <v>5</v>
      </c>
      <c r="J60" s="30" t="s">
        <v>88</v>
      </c>
      <c r="K60" s="94"/>
      <c r="L60" s="6"/>
      <c r="M60" s="6"/>
      <c r="N60" s="6"/>
      <c r="O60" s="6"/>
      <c r="P60" s="6"/>
      <c r="Q60" s="6"/>
      <c r="R60" s="6"/>
      <c r="S60" s="7"/>
    </row>
    <row r="61" customFormat="false" ht="12" hidden="false" customHeight="false" outlineLevel="0" collapsed="false">
      <c r="A61" s="8"/>
      <c r="B61" s="6"/>
      <c r="C61" s="6"/>
      <c r="D61" s="6"/>
      <c r="E61" s="6"/>
      <c r="F61" s="6"/>
      <c r="G61" s="28" t="s">
        <v>30</v>
      </c>
      <c r="H61" s="20"/>
      <c r="I61" s="29" t="n">
        <v>1</v>
      </c>
      <c r="J61" s="6" t="s">
        <v>28</v>
      </c>
      <c r="K61" s="6"/>
      <c r="L61" s="6"/>
      <c r="M61" s="6"/>
      <c r="N61" s="6"/>
      <c r="O61" s="6"/>
      <c r="P61" s="6"/>
      <c r="Q61" s="6"/>
      <c r="R61" s="6"/>
      <c r="S61" s="7"/>
    </row>
    <row r="62" customFormat="false" ht="12" hidden="false" customHeight="false" outlineLevel="0" collapsed="false">
      <c r="A62" s="8"/>
      <c r="B62" s="6"/>
      <c r="C62" s="6"/>
      <c r="D62" s="6"/>
      <c r="E62" s="6"/>
      <c r="F62" s="6"/>
      <c r="G62" s="43"/>
      <c r="H62" s="20"/>
      <c r="I62" s="6"/>
      <c r="J62" s="6"/>
      <c r="K62" s="6"/>
      <c r="L62" s="6"/>
      <c r="M62" s="6"/>
      <c r="N62" s="6"/>
      <c r="O62" s="6"/>
      <c r="P62" s="6"/>
      <c r="Q62" s="6"/>
      <c r="R62" s="6"/>
      <c r="S62" s="7"/>
    </row>
    <row r="63" customFormat="false" ht="12" hidden="false" customHeight="false" outlineLevel="0" collapsed="false">
      <c r="A63" s="8"/>
      <c r="B63" s="6"/>
      <c r="C63" s="6"/>
      <c r="D63" s="6"/>
      <c r="E63" s="6"/>
      <c r="F63" s="6"/>
      <c r="G63" s="22" t="str">
        <f aca="false">A35</f>
        <v>Preferred Stock</v>
      </c>
      <c r="H63" s="23"/>
      <c r="I63" s="6"/>
      <c r="J63" s="6"/>
      <c r="K63" s="6"/>
      <c r="L63" s="6"/>
      <c r="M63" s="6"/>
      <c r="N63" s="6"/>
      <c r="O63" s="6"/>
      <c r="P63" s="6"/>
      <c r="Q63" s="6"/>
      <c r="R63" s="6"/>
      <c r="S63" s="7"/>
    </row>
    <row r="64" customFormat="false" ht="12" hidden="false" customHeight="false" outlineLevel="0" collapsed="false">
      <c r="A64" s="8"/>
      <c r="B64" s="6"/>
      <c r="C64" s="6"/>
      <c r="D64" s="6"/>
      <c r="E64" s="6"/>
      <c r="F64" s="6"/>
      <c r="G64" s="28" t="s">
        <v>109</v>
      </c>
      <c r="H64" s="20"/>
      <c r="I64" s="27" t="n">
        <v>0.07</v>
      </c>
      <c r="J64" s="6" t="s">
        <v>23</v>
      </c>
      <c r="K64" s="6"/>
      <c r="L64" s="6"/>
      <c r="M64" s="6"/>
      <c r="N64" s="6"/>
      <c r="O64" s="6"/>
      <c r="P64" s="6"/>
      <c r="Q64" s="6"/>
      <c r="R64" s="6"/>
      <c r="S64" s="7"/>
    </row>
    <row r="65" customFormat="false" ht="12" hidden="false" customHeight="false" outlineLevel="0" collapsed="false">
      <c r="A65" s="8"/>
      <c r="B65" s="6"/>
      <c r="C65" s="6"/>
      <c r="D65" s="6"/>
      <c r="E65" s="6"/>
      <c r="F65" s="6"/>
      <c r="G65" s="43" t="s">
        <v>87</v>
      </c>
      <c r="H65" s="20"/>
      <c r="I65" s="29" t="n">
        <v>5</v>
      </c>
      <c r="J65" s="30" t="s">
        <v>88</v>
      </c>
      <c r="K65" s="6"/>
      <c r="L65" s="6"/>
      <c r="M65" s="6"/>
      <c r="N65" s="6"/>
      <c r="O65" s="6"/>
      <c r="P65" s="6"/>
      <c r="Q65" s="6"/>
      <c r="R65" s="6"/>
      <c r="S65" s="7"/>
    </row>
    <row r="66" customFormat="false" ht="12.75" hidden="false" customHeight="false" outlineLevel="0" collapsed="false">
      <c r="A66" s="114"/>
      <c r="B66" s="115"/>
      <c r="C66" s="115"/>
      <c r="D66" s="115"/>
      <c r="E66" s="115"/>
      <c r="F66" s="115"/>
      <c r="G66" s="116" t="s">
        <v>110</v>
      </c>
      <c r="H66" s="117"/>
      <c r="I66" s="118"/>
      <c r="J66" s="119" t="s">
        <v>14</v>
      </c>
      <c r="K66" s="115"/>
      <c r="L66" s="115"/>
      <c r="M66" s="115"/>
      <c r="N66" s="115"/>
      <c r="O66" s="115"/>
      <c r="P66" s="115"/>
      <c r="Q66" s="115"/>
      <c r="R66" s="115"/>
      <c r="S66" s="120"/>
    </row>
    <row r="67" customFormat="false" ht="12" hidden="false" customHeight="false" outlineLevel="0" collapsed="false">
      <c r="A67" s="121"/>
      <c r="B67" s="121"/>
      <c r="C67" s="121"/>
      <c r="D67" s="121"/>
      <c r="E67" s="121"/>
      <c r="F67" s="121"/>
      <c r="G67" s="121"/>
      <c r="H67" s="121"/>
      <c r="I67" s="121"/>
      <c r="J67" s="121"/>
      <c r="K67" s="121"/>
      <c r="L67" s="121"/>
      <c r="M67" s="121"/>
      <c r="N67" s="121"/>
      <c r="O67" s="121"/>
      <c r="P67" s="121"/>
    </row>
    <row r="68" customFormat="false" ht="12" hidden="false" customHeight="false" outlineLevel="0" collapsed="false">
      <c r="A68" s="121"/>
      <c r="B68" s="121"/>
      <c r="C68" s="121"/>
      <c r="D68" s="121"/>
      <c r="E68" s="121"/>
      <c r="F68" s="121"/>
      <c r="G68" s="121"/>
      <c r="H68" s="121"/>
      <c r="I68" s="121"/>
      <c r="J68" s="121"/>
      <c r="K68" s="121"/>
      <c r="L68" s="121"/>
      <c r="M68" s="121"/>
      <c r="N68" s="121"/>
      <c r="O68" s="121"/>
      <c r="P68" s="121"/>
    </row>
    <row r="69" customFormat="false" ht="12" hidden="false" customHeight="false" outlineLevel="0" collapsed="false">
      <c r="A69" s="121"/>
      <c r="B69" s="121"/>
      <c r="C69" s="121"/>
      <c r="D69" s="121"/>
      <c r="E69" s="121"/>
      <c r="F69" s="121"/>
      <c r="G69" s="121"/>
      <c r="H69" s="121"/>
      <c r="I69" s="121"/>
      <c r="J69" s="121"/>
      <c r="K69" s="121"/>
      <c r="L69" s="121"/>
      <c r="M69" s="121"/>
      <c r="N69" s="121"/>
      <c r="O69" s="121"/>
      <c r="P69" s="121"/>
    </row>
    <row r="70" customFormat="false" ht="12" hidden="false" customHeight="false" outlineLevel="0" collapsed="false">
      <c r="A70" s="121"/>
      <c r="B70" s="121"/>
      <c r="C70" s="121"/>
      <c r="D70" s="121"/>
      <c r="E70" s="121"/>
      <c r="F70" s="121"/>
      <c r="G70" s="121"/>
      <c r="H70" s="121"/>
      <c r="I70" s="121"/>
      <c r="J70" s="121"/>
      <c r="K70" s="121"/>
      <c r="L70" s="121"/>
      <c r="M70" s="121"/>
      <c r="N70" s="121"/>
      <c r="O70" s="121"/>
      <c r="P70" s="121"/>
    </row>
    <row r="71" customFormat="false" ht="12" hidden="false" customHeight="false" outlineLevel="0" collapsed="false">
      <c r="A71" s="121"/>
      <c r="B71" s="121"/>
      <c r="C71" s="121"/>
      <c r="D71" s="121"/>
      <c r="E71" s="121"/>
      <c r="F71" s="121"/>
      <c r="G71" s="121"/>
      <c r="H71" s="121"/>
      <c r="I71" s="121"/>
      <c r="J71" s="121"/>
      <c r="K71" s="121"/>
      <c r="L71" s="121"/>
      <c r="M71" s="121"/>
      <c r="N71" s="121"/>
      <c r="O71" s="121"/>
      <c r="P71" s="121"/>
    </row>
    <row r="72" customFormat="false" ht="12" hidden="false" customHeight="false" outlineLevel="0" collapsed="false">
      <c r="A72" s="121"/>
      <c r="B72" s="121"/>
      <c r="C72" s="121"/>
      <c r="D72" s="121"/>
      <c r="E72" s="121"/>
      <c r="F72" s="121"/>
      <c r="G72" s="121"/>
      <c r="H72" s="121"/>
      <c r="I72" s="121"/>
      <c r="J72" s="121"/>
      <c r="K72" s="121"/>
      <c r="L72" s="121"/>
      <c r="M72" s="121"/>
      <c r="N72" s="121"/>
      <c r="O72" s="121"/>
      <c r="P72" s="121"/>
    </row>
    <row r="73" customFormat="false" ht="12" hidden="false" customHeight="false" outlineLevel="0" collapsed="false">
      <c r="A73" s="121"/>
      <c r="B73" s="121"/>
      <c r="C73" s="121"/>
      <c r="D73" s="121"/>
      <c r="E73" s="121"/>
      <c r="F73" s="121"/>
      <c r="G73" s="121"/>
      <c r="H73" s="121"/>
      <c r="I73" s="121"/>
      <c r="J73" s="121"/>
      <c r="K73" s="121"/>
      <c r="L73" s="121"/>
      <c r="M73" s="121"/>
      <c r="N73" s="121"/>
      <c r="O73" s="121"/>
      <c r="P73" s="121"/>
    </row>
    <row r="74" customFormat="false" ht="12" hidden="false" customHeight="false" outlineLevel="0" collapsed="false">
      <c r="A74" s="121"/>
      <c r="B74" s="121"/>
      <c r="C74" s="121"/>
      <c r="D74" s="121"/>
      <c r="E74" s="121"/>
      <c r="F74" s="121"/>
      <c r="G74" s="121"/>
      <c r="H74" s="121"/>
      <c r="I74" s="121"/>
      <c r="J74" s="121"/>
      <c r="K74" s="121"/>
      <c r="L74" s="121"/>
      <c r="M74" s="121"/>
      <c r="N74" s="121"/>
      <c r="O74" s="121"/>
      <c r="P74" s="121"/>
    </row>
    <row r="75" customFormat="false" ht="12" hidden="false" customHeight="false" outlineLevel="0" collapsed="false">
      <c r="A75" s="121"/>
      <c r="B75" s="121"/>
      <c r="C75" s="121"/>
      <c r="D75" s="121"/>
      <c r="E75" s="121"/>
      <c r="F75" s="121"/>
      <c r="G75" s="121"/>
      <c r="H75" s="121"/>
      <c r="I75" s="121"/>
      <c r="J75" s="121"/>
      <c r="K75" s="121"/>
      <c r="L75" s="121"/>
      <c r="M75" s="121"/>
      <c r="N75" s="121"/>
      <c r="O75" s="121"/>
      <c r="P75" s="121"/>
    </row>
    <row r="76" customFormat="false" ht="12" hidden="false" customHeight="false" outlineLevel="0" collapsed="false">
      <c r="A76" s="121"/>
      <c r="B76" s="121"/>
      <c r="C76" s="121"/>
      <c r="D76" s="121"/>
      <c r="E76" s="121"/>
      <c r="F76" s="121"/>
      <c r="G76" s="121"/>
      <c r="H76" s="121"/>
      <c r="I76" s="121"/>
      <c r="J76" s="121"/>
      <c r="K76" s="121"/>
      <c r="L76" s="121"/>
      <c r="M76" s="121"/>
      <c r="N76" s="121"/>
      <c r="O76" s="121"/>
      <c r="P76" s="121"/>
    </row>
  </sheetData>
  <dataValidations count="7">
    <dataValidation allowBlank="true" error="Should be a whole no. and cannot be greater than the Maturity Year!" errorStyle="stop" errorTitle="Error!" operator="between" showDropDown="false" showErrorMessage="true" showInputMessage="false" sqref="I45 I52" type="whole">
      <formula1>0</formula1>
      <formula2>I42</formula2>
    </dataValidation>
    <dataValidation allowBlank="true" error="Should be a whole no. and cannot be greater than the Maturity Year!" errorStyle="stop" errorTitle="Error!" operator="between" showDropDown="false" showErrorMessage="true" showInputMessage="false" sqref="I60" type="whole">
      <formula1>0</formula1>
      <formula2>I56</formula2>
    </dataValidation>
    <dataValidation allowBlank="true" error="Cannot be -ive or greater than Transaction Costs." errorStyle="stop" errorTitle="Error!" operator="between" showDropDown="false" showErrorMessage="true" showInputMessage="false" sqref="C58" type="whole">
      <formula1>0</formula1>
      <formula2>C16</formula2>
    </dataValidation>
    <dataValidation allowBlank="true" errorStyle="stop" operator="between" showDropDown="false" showErrorMessage="true" showInputMessage="false" sqref="N37:N38 I66" type="list">
      <formula1>"1,2,3,4,5,6,7,8,9,10"</formula1>
      <formula2>0</formula2>
    </dataValidation>
    <dataValidation allowBlank="true" errorStyle="stop" operator="between" showDropDown="false" showErrorMessage="true" showInputMessage="false" sqref="I12:I13 I24:I25 I32:I33 I38:I39 N43 I44 I46 I51 I53 I59 I61" type="list">
      <formula1>"0,1"</formula1>
      <formula2>0</formula2>
    </dataValidation>
    <dataValidation allowBlank="true" errorStyle="stop" operator="between" showDropDown="false" showErrorMessage="true" showInputMessage="false" sqref="I9 I21 I28 I36 I42 I49 I56" type="list">
      <formula1>"1,2,3,4,5,6,7,8,9,10,11,12,13,14,15,16,17,18,19,20,21,22,23,24,25"</formula1>
      <formula2>0</formula2>
    </dataValidation>
    <dataValidation allowBlank="true" error="Cannot be -ive!" errorStyle="stop" errorTitle="Error!" operator="greaterThanOrEqual" showDropDown="false" showErrorMessage="true" showInputMessage="false" sqref="I65" type="whole">
      <formula1>0</formula1>
      <formula2>0</formula2>
    </dataValidation>
  </dataValidations>
  <hyperlinks>
    <hyperlink ref="L3" r:id="rId2" display="http://www.globaliconnect.com/excel_models.php"/>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3"/>
  <legacy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O1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2" activeCellId="0" sqref="H2"/>
    </sheetView>
  </sheetViews>
  <sheetFormatPr defaultColWidth="9.05078125" defaultRowHeight="12.75" zeroHeight="false" outlineLevelRow="0" outlineLevelCol="0"/>
  <cols>
    <col collapsed="false" customWidth="true" hidden="false" outlineLevel="0" max="1" min="1" style="0" width="15.99"/>
    <col collapsed="false" customWidth="true" hidden="false" outlineLevel="0" max="2" min="2" style="0" width="15.7"/>
    <col collapsed="false" customWidth="true" hidden="false" outlineLevel="0" max="3" min="3" style="0" width="2.85"/>
    <col collapsed="false" customWidth="true" hidden="false" outlineLevel="0" max="13" min="4" style="0" width="10.7"/>
  </cols>
  <sheetData>
    <row r="2" customFormat="false" ht="15" hidden="false" customHeight="false" outlineLevel="0" collapsed="false">
      <c r="A2" s="122" t="s">
        <v>111</v>
      </c>
      <c r="D2" s="123"/>
      <c r="E2" s="123"/>
      <c r="F2" s="123"/>
      <c r="G2" s="123"/>
      <c r="H2" s="123"/>
      <c r="I2" s="123"/>
      <c r="J2" s="123"/>
      <c r="K2" s="123"/>
      <c r="L2" s="123"/>
      <c r="M2" s="123"/>
    </row>
    <row r="3" customFormat="false" ht="12.75" hidden="false" customHeight="false" outlineLevel="0" collapsed="false">
      <c r="D3" s="124"/>
      <c r="E3" s="124"/>
      <c r="F3" s="124"/>
      <c r="G3" s="124"/>
      <c r="H3" s="124"/>
      <c r="I3" s="124"/>
      <c r="J3" s="124"/>
      <c r="K3" s="124"/>
      <c r="L3" s="124"/>
      <c r="M3" s="124"/>
    </row>
    <row r="4" customFormat="false" ht="12.75" hidden="false" customHeight="false" outlineLevel="0" collapsed="false">
      <c r="A4" s="125" t="s">
        <v>112</v>
      </c>
      <c r="C4" s="126"/>
      <c r="D4" s="127" t="n">
        <f aca="false">year1</f>
        <v>2010</v>
      </c>
      <c r="E4" s="128" t="n">
        <f aca="false">D4+1</f>
        <v>2011</v>
      </c>
      <c r="F4" s="128" t="n">
        <f aca="false">E4+1</f>
        <v>2012</v>
      </c>
      <c r="G4" s="128" t="n">
        <f aca="false">F4+1</f>
        <v>2013</v>
      </c>
      <c r="H4" s="128" t="n">
        <f aca="false">G4+1</f>
        <v>2014</v>
      </c>
      <c r="I4" s="128" t="n">
        <f aca="false">H4+1</f>
        <v>2015</v>
      </c>
      <c r="J4" s="128" t="n">
        <f aca="false">I4+1</f>
        <v>2016</v>
      </c>
      <c r="K4" s="128" t="n">
        <f aca="false">J4+1</f>
        <v>2017</v>
      </c>
      <c r="L4" s="128" t="n">
        <f aca="false">K4+1</f>
        <v>2018</v>
      </c>
      <c r="M4" s="128" t="n">
        <f aca="false">L4+1</f>
        <v>2019</v>
      </c>
      <c r="P4" s="129"/>
    </row>
    <row r="5" customFormat="false" ht="12.75" hidden="false" customHeight="false" outlineLevel="0" collapsed="false">
      <c r="A5" s="125" t="s">
        <v>113</v>
      </c>
      <c r="C5" s="126"/>
      <c r="D5" s="127" t="n">
        <v>1</v>
      </c>
      <c r="E5" s="128" t="n">
        <f aca="false">D5+1</f>
        <v>2</v>
      </c>
      <c r="F5" s="128" t="n">
        <f aca="false">E5+1</f>
        <v>3</v>
      </c>
      <c r="G5" s="128" t="n">
        <f aca="false">F5+1</f>
        <v>4</v>
      </c>
      <c r="H5" s="128" t="n">
        <f aca="false">G5+1</f>
        <v>5</v>
      </c>
      <c r="I5" s="128" t="n">
        <f aca="false">H5+1</f>
        <v>6</v>
      </c>
      <c r="J5" s="128" t="n">
        <f aca="false">I5+1</f>
        <v>7</v>
      </c>
      <c r="K5" s="128" t="n">
        <f aca="false">J5+1</f>
        <v>8</v>
      </c>
      <c r="L5" s="128" t="n">
        <f aca="false">K5+1</f>
        <v>9</v>
      </c>
      <c r="M5" s="128" t="n">
        <f aca="false">L5+1</f>
        <v>10</v>
      </c>
      <c r="N5" s="130"/>
      <c r="O5" s="131"/>
      <c r="P5" s="132"/>
      <c r="Q5" s="130"/>
      <c r="R5" s="130"/>
      <c r="S5" s="130"/>
      <c r="T5" s="130"/>
      <c r="U5" s="130"/>
      <c r="V5" s="130"/>
      <c r="W5" s="130"/>
      <c r="X5" s="130"/>
      <c r="Y5" s="130"/>
      <c r="Z5" s="130"/>
      <c r="AA5" s="130"/>
      <c r="AB5" s="130"/>
      <c r="AC5" s="130"/>
      <c r="AD5" s="130"/>
      <c r="AE5" s="130"/>
      <c r="AF5" s="130"/>
      <c r="AG5" s="130"/>
      <c r="AH5" s="130"/>
      <c r="AI5" s="130"/>
      <c r="AJ5" s="130"/>
      <c r="AK5" s="130"/>
      <c r="AL5" s="130"/>
      <c r="AM5" s="130"/>
      <c r="AN5" s="130"/>
      <c r="AO5" s="130"/>
    </row>
    <row r="6" customFormat="false" ht="12.75" hidden="false" customHeight="false" outlineLevel="0" collapsed="false">
      <c r="C6" s="133"/>
      <c r="D6" s="134"/>
      <c r="E6" s="134"/>
      <c r="F6" s="134"/>
      <c r="G6" s="134"/>
      <c r="H6" s="134"/>
      <c r="I6" s="134"/>
      <c r="J6" s="134"/>
      <c r="K6" s="134"/>
      <c r="L6" s="134"/>
      <c r="M6" s="134"/>
      <c r="O6" s="135"/>
      <c r="P6" s="136"/>
    </row>
    <row r="7" customFormat="false" ht="12.75" hidden="false" customHeight="false" outlineLevel="0" collapsed="false">
      <c r="C7" s="133"/>
      <c r="D7" s="134"/>
      <c r="E7" s="134"/>
      <c r="F7" s="134"/>
      <c r="G7" s="134"/>
      <c r="H7" s="134"/>
      <c r="I7" s="134"/>
      <c r="J7" s="134"/>
      <c r="K7" s="134"/>
      <c r="L7" s="134"/>
      <c r="M7" s="134"/>
      <c r="O7" s="135"/>
      <c r="P7" s="136"/>
    </row>
    <row r="8" customFormat="false" ht="12.75" hidden="false" customHeight="false" outlineLevel="0" collapsed="false">
      <c r="A8" s="0" t="s">
        <v>114</v>
      </c>
      <c r="C8" s="133"/>
      <c r="D8" s="59" t="n">
        <f aca="false">sales_yr1</f>
        <v>1100000</v>
      </c>
      <c r="E8" s="59" t="n">
        <f aca="false">D8*(1+sales_ann_incr)</f>
        <v>1210000</v>
      </c>
      <c r="F8" s="59" t="n">
        <f aca="false">E8*(1+sales_ann_incr)</f>
        <v>1331000</v>
      </c>
      <c r="G8" s="59" t="n">
        <f aca="false">F8*(1+sales_ann_incr)</f>
        <v>1464100</v>
      </c>
      <c r="H8" s="59" t="n">
        <f aca="false">G8*(1+sales_ann_incr)</f>
        <v>1610510</v>
      </c>
      <c r="I8" s="59" t="n">
        <f aca="false">H8*(1+sales_ann_incr)</f>
        <v>1771561</v>
      </c>
      <c r="J8" s="59" t="n">
        <f aca="false">I8*(1+sales_ann_incr)</f>
        <v>1948717.1</v>
      </c>
      <c r="K8" s="59" t="n">
        <f aca="false">J8*(1+sales_ann_incr)</f>
        <v>2143588.81</v>
      </c>
      <c r="L8" s="59" t="n">
        <f aca="false">K8*(1+sales_ann_incr)</f>
        <v>2357947.691</v>
      </c>
      <c r="M8" s="59" t="n">
        <f aca="false">L8*(1+sales_ann_incr)</f>
        <v>2593742.4601</v>
      </c>
      <c r="O8" s="135"/>
      <c r="P8" s="136"/>
    </row>
    <row r="9" customFormat="false" ht="12.75" hidden="false" customHeight="false" outlineLevel="0" collapsed="false">
      <c r="C9" s="133"/>
      <c r="D9" s="59"/>
      <c r="E9" s="59"/>
      <c r="F9" s="59"/>
      <c r="G9" s="59"/>
      <c r="H9" s="59"/>
      <c r="I9" s="59"/>
      <c r="J9" s="59"/>
      <c r="K9" s="59"/>
      <c r="L9" s="59"/>
      <c r="M9" s="59"/>
      <c r="O9" s="135"/>
      <c r="P9" s="137"/>
    </row>
    <row r="10" customFormat="false" ht="12.75" hidden="false" customHeight="false" outlineLevel="0" collapsed="false">
      <c r="A10" s="0" t="str">
        <f aca="false">Input!L11</f>
        <v>Cost of goods sold</v>
      </c>
      <c r="C10" s="133"/>
      <c r="D10" s="59" t="n">
        <f aca="false">D8*cogs*(1+cogs_ann_incr)^(D5-1)</f>
        <v>495000</v>
      </c>
      <c r="E10" s="59" t="n">
        <f aca="false">E8*cogs*(1+cogs_ann_incr)^(E5-1)</f>
        <v>545861.25</v>
      </c>
      <c r="F10" s="59" t="n">
        <f aca="false">F8*cogs*(1+cogs_ann_incr)^(F5-1)</f>
        <v>601948.4934375</v>
      </c>
      <c r="G10" s="59" t="n">
        <f aca="false">G8*cogs*(1+cogs_ann_incr)^(G5-1)</f>
        <v>663798.701138203</v>
      </c>
      <c r="H10" s="59" t="n">
        <f aca="false">H8*cogs*(1+cogs_ann_incr)^(H5-1)</f>
        <v>732004.017680154</v>
      </c>
      <c r="I10" s="59" t="n">
        <f aca="false">I8*cogs*(1+cogs_ann_incr)^(I5-1)</f>
        <v>807217.430496789</v>
      </c>
      <c r="J10" s="59" t="n">
        <f aca="false">J8*cogs*(1+cogs_ann_incr)^(J5-1)</f>
        <v>890159.021480335</v>
      </c>
      <c r="K10" s="59" t="n">
        <f aca="false">K8*cogs*(1+cogs_ann_incr)^(K5-1)</f>
        <v>981622.860937439</v>
      </c>
      <c r="L10" s="59" t="n">
        <f aca="false">L8*cogs*(1+cogs_ann_incr)^(L5-1)</f>
        <v>1082484.60989876</v>
      </c>
      <c r="M10" s="59" t="n">
        <f aca="false">M8*cogs*(1+cogs_ann_incr)^(M5-1)</f>
        <v>1193709.90356586</v>
      </c>
      <c r="O10" s="135"/>
      <c r="P10" s="136"/>
    </row>
    <row r="11" customFormat="false" ht="12.75" hidden="false" customHeight="false" outlineLevel="0" collapsed="false">
      <c r="C11" s="133"/>
      <c r="D11" s="59"/>
      <c r="E11" s="59"/>
      <c r="F11" s="59"/>
      <c r="G11" s="59"/>
      <c r="H11" s="59"/>
      <c r="I11" s="59"/>
      <c r="J11" s="59"/>
      <c r="K11" s="59"/>
      <c r="L11" s="59"/>
      <c r="M11" s="59"/>
      <c r="O11" s="138"/>
      <c r="P11" s="139"/>
    </row>
    <row r="12" customFormat="false" ht="12.75" hidden="false" customHeight="false" outlineLevel="0" collapsed="false">
      <c r="A12" s="0" t="s">
        <v>115</v>
      </c>
      <c r="C12" s="133"/>
      <c r="D12" s="59" t="n">
        <f aca="false">D8-D10</f>
        <v>605000</v>
      </c>
      <c r="E12" s="59" t="n">
        <f aca="false">E8-E10</f>
        <v>664138.75</v>
      </c>
      <c r="F12" s="59" t="n">
        <f aca="false">F8-F10</f>
        <v>729051.5065625</v>
      </c>
      <c r="G12" s="59" t="n">
        <f aca="false">G8-G10</f>
        <v>800301.298861797</v>
      </c>
      <c r="H12" s="59" t="n">
        <f aca="false">H8-H10</f>
        <v>878505.982319847</v>
      </c>
      <c r="I12" s="59" t="n">
        <f aca="false">I8-I10</f>
        <v>964343.569503211</v>
      </c>
      <c r="J12" s="59" t="n">
        <f aca="false">J8-J10</f>
        <v>1058558.07851967</v>
      </c>
      <c r="K12" s="59" t="n">
        <f aca="false">K8-K10</f>
        <v>1161965.94906256</v>
      </c>
      <c r="L12" s="59" t="n">
        <f aca="false">L8-L10</f>
        <v>1275463.08110124</v>
      </c>
      <c r="M12" s="59" t="n">
        <f aca="false">M8-M10</f>
        <v>1400032.55653414</v>
      </c>
      <c r="O12" s="135"/>
      <c r="P12" s="136"/>
    </row>
    <row r="13" customFormat="false" ht="12.75" hidden="false" customHeight="false" outlineLevel="0" collapsed="false">
      <c r="C13" s="133"/>
      <c r="D13" s="59"/>
      <c r="E13" s="59"/>
      <c r="F13" s="59"/>
      <c r="G13" s="59"/>
      <c r="H13" s="59"/>
      <c r="I13" s="59"/>
      <c r="J13" s="59"/>
      <c r="K13" s="59"/>
      <c r="L13" s="59"/>
      <c r="M13" s="59"/>
      <c r="O13" s="135"/>
      <c r="P13" s="136"/>
    </row>
    <row r="14" customFormat="false" ht="12.75" hidden="false" customHeight="false" outlineLevel="0" collapsed="false">
      <c r="A14" s="125" t="s">
        <v>116</v>
      </c>
      <c r="C14" s="133"/>
      <c r="D14" s="59" t="n">
        <f aca="false">SUM(D15:D16)</f>
        <v>286000</v>
      </c>
      <c r="E14" s="59" t="n">
        <f aca="false">SUM(E15:E16)</f>
        <v>315664.8</v>
      </c>
      <c r="F14" s="59" t="n">
        <f aca="false">SUM(F15:F16)</f>
        <v>348407.57787</v>
      </c>
      <c r="G14" s="59" t="n">
        <f aca="false">SUM(G15:G16)</f>
        <v>384547.809185711</v>
      </c>
      <c r="H14" s="59" t="n">
        <f aca="false">SUM(H15:H16)</f>
        <v>424438.140422824</v>
      </c>
      <c r="I14" s="59" t="n">
        <f aca="false">SUM(I15:I16)</f>
        <v>468467.834228913</v>
      </c>
      <c r="J14" s="59" t="n">
        <f aca="false">SUM(J15:J16)</f>
        <v>517066.572656178</v>
      </c>
      <c r="K14" s="59" t="n">
        <f aca="false">SUM(K15:K16)</f>
        <v>570708.655559292</v>
      </c>
      <c r="L14" s="59" t="n">
        <f aca="false">SUM(L15:L16)</f>
        <v>629917.635230629</v>
      </c>
      <c r="M14" s="59" t="n">
        <f aca="false">SUM(M15:M16)</f>
        <v>695271.432615517</v>
      </c>
      <c r="O14" s="140"/>
      <c r="P14" s="136"/>
    </row>
    <row r="15" customFormat="false" ht="12.75" hidden="false" customHeight="false" outlineLevel="0" collapsed="false">
      <c r="A15" s="141" t="str">
        <f aca="false">Input!L13</f>
        <v>SG&amp;A expenses</v>
      </c>
      <c r="C15" s="133"/>
      <c r="D15" s="142" t="n">
        <f aca="false">D8*sga_exp*(1+sga_exp_ann_incr)^(D5-1)</f>
        <v>154000</v>
      </c>
      <c r="E15" s="142" t="n">
        <f aca="false">E8*sga_exp*(1+sga_exp_ann_incr)^(E5-1)</f>
        <v>170247</v>
      </c>
      <c r="F15" s="142" t="n">
        <f aca="false">F8*sga_exp*(1+sga_exp_ann_incr)^(F5-1)</f>
        <v>188208.0585</v>
      </c>
      <c r="G15" s="142" t="n">
        <f aca="false">G8*sga_exp*(1+sga_exp_ann_incr)^(G5-1)</f>
        <v>208064.00867175</v>
      </c>
      <c r="H15" s="142" t="n">
        <f aca="false">H8*sga_exp*(1+sga_exp_ann_incr)^(H5-1)</f>
        <v>230014.76158662</v>
      </c>
      <c r="I15" s="142" t="n">
        <f aca="false">I8*sga_exp*(1+sga_exp_ann_incr)^(I5-1)</f>
        <v>254281.318934008</v>
      </c>
      <c r="J15" s="142" t="n">
        <f aca="false">J8*sga_exp*(1+sga_exp_ann_incr)^(J5-1)</f>
        <v>281107.998081546</v>
      </c>
      <c r="K15" s="142" t="n">
        <f aca="false">K8*sga_exp*(1+sga_exp_ann_incr)^(K5-1)</f>
        <v>310764.891879149</v>
      </c>
      <c r="L15" s="142" t="n">
        <f aca="false">L8*sga_exp*(1+sga_exp_ann_incr)^(L5-1)</f>
        <v>343550.587972399</v>
      </c>
      <c r="M15" s="142" t="n">
        <f aca="false">M8*sga_exp*(1+sga_exp_ann_incr)^(M5-1)</f>
        <v>379795.175003487</v>
      </c>
      <c r="O15" s="135"/>
      <c r="P15" s="136"/>
    </row>
    <row r="16" customFormat="false" ht="12.75" hidden="false" customHeight="false" outlineLevel="0" collapsed="false">
      <c r="A16" s="141" t="str">
        <f aca="false">Input!L15</f>
        <v>Other expenses</v>
      </c>
      <c r="C16" s="133"/>
      <c r="D16" s="142" t="n">
        <f aca="false">D8*other_exp*(1+other_exp_ann_incr)^(D5-1)</f>
        <v>132000</v>
      </c>
      <c r="E16" s="142" t="n">
        <f aca="false">E8*other_exp*(1+other_exp_ann_incr)^(E5-1)</f>
        <v>145417.8</v>
      </c>
      <c r="F16" s="142" t="n">
        <f aca="false">F8*other_exp*(1+other_exp_ann_incr)^(F5-1)</f>
        <v>160199.51937</v>
      </c>
      <c r="G16" s="142" t="n">
        <f aca="false">G8*other_exp*(1+other_exp_ann_incr)^(G5-1)</f>
        <v>176483.800513961</v>
      </c>
      <c r="H16" s="142" t="n">
        <f aca="false">H8*other_exp*(1+other_exp_ann_incr)^(H5-1)</f>
        <v>194423.378836205</v>
      </c>
      <c r="I16" s="142" t="n">
        <f aca="false">I8*other_exp*(1+other_exp_ann_incr)^(I5-1)</f>
        <v>214186.515294905</v>
      </c>
      <c r="J16" s="142" t="n">
        <f aca="false">J8*other_exp*(1+other_exp_ann_incr)^(J5-1)</f>
        <v>235958.574574632</v>
      </c>
      <c r="K16" s="142" t="n">
        <f aca="false">K8*other_exp*(1+other_exp_ann_incr)^(K5-1)</f>
        <v>259943.763680143</v>
      </c>
      <c r="L16" s="142" t="n">
        <f aca="false">L8*other_exp*(1+other_exp_ann_incr)^(L5-1)</f>
        <v>286367.04725823</v>
      </c>
      <c r="M16" s="142" t="n">
        <f aca="false">M8*other_exp*(1+other_exp_ann_incr)^(M5-1)</f>
        <v>315476.257612029</v>
      </c>
      <c r="O16" s="135"/>
      <c r="P16" s="136"/>
    </row>
    <row r="17" customFormat="false" ht="12.75" hidden="false" customHeight="false" outlineLevel="0" collapsed="false">
      <c r="C17" s="133"/>
      <c r="D17" s="59"/>
      <c r="E17" s="59"/>
      <c r="F17" s="59"/>
      <c r="G17" s="59"/>
      <c r="H17" s="59"/>
      <c r="I17" s="59"/>
      <c r="J17" s="59"/>
      <c r="K17" s="59"/>
      <c r="L17" s="59"/>
      <c r="M17" s="59"/>
      <c r="O17" s="138"/>
      <c r="P17" s="139"/>
    </row>
    <row r="18" customFormat="false" ht="12.75" hidden="false" customHeight="false" outlineLevel="0" collapsed="false">
      <c r="A18" s="0" t="s">
        <v>117</v>
      </c>
      <c r="C18" s="133"/>
      <c r="D18" s="59" t="n">
        <f aca="false">D12-D14</f>
        <v>319000</v>
      </c>
      <c r="E18" s="59" t="n">
        <f aca="false">E12-E14</f>
        <v>348473.95</v>
      </c>
      <c r="F18" s="59" t="n">
        <f aca="false">F12-F14</f>
        <v>380643.9286925</v>
      </c>
      <c r="G18" s="59" t="n">
        <f aca="false">G12-G14</f>
        <v>415753.489676087</v>
      </c>
      <c r="H18" s="59" t="n">
        <f aca="false">H12-H14</f>
        <v>454067.841897023</v>
      </c>
      <c r="I18" s="59" t="n">
        <f aca="false">I12-I14</f>
        <v>495875.735274298</v>
      </c>
      <c r="J18" s="59" t="n">
        <f aca="false">J12-J14</f>
        <v>541491.505863489</v>
      </c>
      <c r="K18" s="59" t="n">
        <f aca="false">K12-K14</f>
        <v>591257.29350327</v>
      </c>
      <c r="L18" s="59" t="n">
        <f aca="false">L12-L14</f>
        <v>645545.445870612</v>
      </c>
      <c r="M18" s="59" t="n">
        <f aca="false">M12-M14</f>
        <v>704761.123918627</v>
      </c>
      <c r="O18" s="135"/>
      <c r="P18" s="136"/>
    </row>
    <row r="19" customFormat="false" ht="12.75" hidden="false" customHeight="false" outlineLevel="0" collapsed="false">
      <c r="C19" s="133"/>
      <c r="D19" s="59"/>
      <c r="E19" s="59"/>
      <c r="F19" s="59"/>
      <c r="G19" s="59"/>
      <c r="H19" s="59"/>
      <c r="I19" s="59"/>
      <c r="J19" s="59"/>
      <c r="K19" s="59"/>
      <c r="L19" s="59"/>
      <c r="M19" s="59"/>
      <c r="O19" s="135"/>
      <c r="P19" s="136"/>
    </row>
    <row r="20" customFormat="false" ht="12.75" hidden="false" customHeight="false" outlineLevel="0" collapsed="false">
      <c r="A20" s="0" t="s">
        <v>118</v>
      </c>
      <c r="C20" s="133"/>
      <c r="D20" s="59" t="n">
        <f aca="false">Depr_Amort!F39+Depr_Amort!F42+Depr_Amort!F43</f>
        <v>72924.1666666667</v>
      </c>
      <c r="E20" s="59" t="n">
        <f aca="false">Depr_Amort!G39+Depr_Amort!G42+Depr_Amort!G43</f>
        <v>85024.1666666667</v>
      </c>
      <c r="F20" s="59" t="n">
        <f aca="false">Depr_Amort!H39+Depr_Amort!H42+Depr_Amort!H43</f>
        <v>93897.5</v>
      </c>
      <c r="G20" s="59" t="n">
        <f aca="false">Depr_Amort!I39+Depr_Amort!I42+Depr_Amort!I43</f>
        <v>104355.357142857</v>
      </c>
      <c r="H20" s="59" t="n">
        <f aca="false">Depr_Amort!J39+Depr_Amort!J42+Depr_Amort!J43</f>
        <v>117776.273809524</v>
      </c>
      <c r="I20" s="59" t="n">
        <f aca="false">Depr_Amort!K39+Depr_Amort!K42+Depr_Amort!K43</f>
        <v>128848.530059524</v>
      </c>
      <c r="J20" s="59" t="n">
        <f aca="false">Depr_Amort!L39+Depr_Amort!L42+Depr_Amort!L43</f>
        <v>101531.644059524</v>
      </c>
      <c r="K20" s="59" t="n">
        <f aca="false">Depr_Amort!M39+Depr_Amort!M42+Depr_Amort!M43</f>
        <v>115822.236126191</v>
      </c>
      <c r="L20" s="59" t="n">
        <f aca="false">Depr_Amort!N39+Depr_Amort!N42+Depr_Amort!N43</f>
        <v>128046.800217857</v>
      </c>
      <c r="M20" s="59" t="n">
        <f aca="false">Depr_Amort!O39+Depr_Amort!O42+Depr_Amort!O43</f>
        <v>149661.320718691</v>
      </c>
      <c r="O20" s="135"/>
      <c r="P20" s="136"/>
    </row>
    <row r="21" customFormat="false" ht="12.75" hidden="false" customHeight="false" outlineLevel="0" collapsed="false">
      <c r="C21" s="133"/>
      <c r="D21" s="59"/>
      <c r="E21" s="59"/>
      <c r="F21" s="59"/>
      <c r="G21" s="59"/>
      <c r="H21" s="59"/>
      <c r="I21" s="59"/>
      <c r="J21" s="59"/>
      <c r="K21" s="59"/>
      <c r="L21" s="59"/>
      <c r="M21" s="59"/>
      <c r="O21" s="138"/>
      <c r="P21" s="139"/>
    </row>
    <row r="22" customFormat="false" ht="12.75" hidden="false" customHeight="false" outlineLevel="0" collapsed="false">
      <c r="A22" s="0" t="s">
        <v>119</v>
      </c>
      <c r="C22" s="133"/>
      <c r="D22" s="59" t="n">
        <f aca="false">D18-D20</f>
        <v>246075.833333333</v>
      </c>
      <c r="E22" s="59" t="n">
        <f aca="false">E18-E20</f>
        <v>263449.783333333</v>
      </c>
      <c r="F22" s="59" t="n">
        <f aca="false">F18-F20</f>
        <v>286746.4286925</v>
      </c>
      <c r="G22" s="59" t="n">
        <f aca="false">G18-G20</f>
        <v>311398.13253323</v>
      </c>
      <c r="H22" s="59" t="n">
        <f aca="false">H18-H20</f>
        <v>336291.568087499</v>
      </c>
      <c r="I22" s="59" t="n">
        <f aca="false">I18-I20</f>
        <v>367027.205214775</v>
      </c>
      <c r="J22" s="59" t="n">
        <f aca="false">J18-J20</f>
        <v>439959.861803965</v>
      </c>
      <c r="K22" s="59" t="n">
        <f aca="false">K18-K20</f>
        <v>475435.05737708</v>
      </c>
      <c r="L22" s="59" t="n">
        <f aca="false">L18-L20</f>
        <v>517498.645652754</v>
      </c>
      <c r="M22" s="59" t="n">
        <f aca="false">M18-M20</f>
        <v>555099.803199937</v>
      </c>
      <c r="O22" s="135"/>
      <c r="P22" s="136"/>
    </row>
    <row r="23" customFormat="false" ht="12.75" hidden="false" customHeight="false" outlineLevel="0" collapsed="false">
      <c r="C23" s="133"/>
      <c r="D23" s="59"/>
      <c r="E23" s="59"/>
      <c r="F23" s="59"/>
      <c r="G23" s="59"/>
      <c r="H23" s="59"/>
      <c r="I23" s="59"/>
      <c r="J23" s="59"/>
      <c r="K23" s="59"/>
      <c r="L23" s="59"/>
      <c r="M23" s="59"/>
      <c r="O23" s="135"/>
      <c r="P23" s="136"/>
    </row>
    <row r="24" customFormat="false" ht="12.75" hidden="false" customHeight="false" outlineLevel="0" collapsed="false">
      <c r="A24" s="0" t="s">
        <v>120</v>
      </c>
      <c r="C24" s="133"/>
      <c r="D24" s="59" t="n">
        <f aca="false">SUM(D25:D32)</f>
        <v>32061.1636490872</v>
      </c>
      <c r="E24" s="59" t="n">
        <f aca="false">SUM(E25:E32)</f>
        <v>30508.6978681756</v>
      </c>
      <c r="F24" s="59" t="n">
        <f aca="false">SUM(F25:F32)</f>
        <v>26834.5176530724</v>
      </c>
      <c r="G24" s="59" t="n">
        <f aca="false">SUM(G25:G32)</f>
        <v>22778.2515476461</v>
      </c>
      <c r="H24" s="59" t="n">
        <f aca="false">SUM(H25:H32)</f>
        <v>20741.1406881037</v>
      </c>
      <c r="I24" s="59" t="n">
        <f aca="false">SUM(I25:I32)</f>
        <v>16059.2819181198</v>
      </c>
      <c r="J24" s="59" t="n">
        <f aca="false">SUM(J25:J32)</f>
        <v>12049.4039530869</v>
      </c>
      <c r="K24" s="59" t="n">
        <f aca="false">SUM(K25:K32)</f>
        <v>8160.7241716929</v>
      </c>
      <c r="L24" s="59" t="n">
        <f aca="false">SUM(L25:L32)</f>
        <v>6000</v>
      </c>
      <c r="M24" s="59" t="n">
        <f aca="false">SUM(M25:M32)</f>
        <v>6000</v>
      </c>
      <c r="O24" s="138"/>
      <c r="P24" s="143"/>
    </row>
    <row r="25" customFormat="false" ht="12.75" hidden="false" customHeight="false" outlineLevel="0" collapsed="false">
      <c r="A25" s="141" t="str">
        <f aca="false">Bal_Sheet!A46</f>
        <v>Existing Debt</v>
      </c>
      <c r="C25" s="133"/>
      <c r="D25" s="144" t="n">
        <f aca="false">IF(assumed_debt_avg_int=1,AVERAGE(Bal_Sheet!E46,Bal_Sheet!F46)*assumed_debt_cou_rate,Bal_Sheet!E46*assumed_debt_cou_rate)</f>
        <v>2609.02777777778</v>
      </c>
      <c r="E25" s="144" t="n">
        <f aca="false">IF(assumed_debt_avg_int=1,AVERAGE(Bal_Sheet!F46,Bal_Sheet!G46)*assumed_debt_cou_rate,Bal_Sheet!F46*assumed_debt_cou_rate)</f>
        <v>1227.77777777778</v>
      </c>
      <c r="F25" s="144" t="n">
        <f aca="false">IF(assumed_debt_avg_int=1,AVERAGE(Bal_Sheet!G46,Bal_Sheet!H46)*assumed_debt_cou_rate,Bal_Sheet!G46*assumed_debt_cou_rate)</f>
        <v>0</v>
      </c>
      <c r="G25" s="144" t="n">
        <f aca="false">IF(assumed_debt_avg_int=1,AVERAGE(Bal_Sheet!H46,Bal_Sheet!I46)*assumed_debt_cou_rate,Bal_Sheet!H46*assumed_debt_cou_rate)</f>
        <v>0</v>
      </c>
      <c r="H25" s="144" t="n">
        <f aca="false">IF(assumed_debt_avg_int=1,AVERAGE(Bal_Sheet!I46,Bal_Sheet!J46)*assumed_debt_cou_rate,Bal_Sheet!I46*assumed_debt_cou_rate)</f>
        <v>0</v>
      </c>
      <c r="I25" s="144" t="n">
        <f aca="false">IF(assumed_debt_avg_int=1,AVERAGE(Bal_Sheet!J46,Bal_Sheet!K46)*assumed_debt_cou_rate,Bal_Sheet!J46*assumed_debt_cou_rate)</f>
        <v>0</v>
      </c>
      <c r="J25" s="144" t="n">
        <f aca="false">IF(assumed_debt_avg_int=1,AVERAGE(Bal_Sheet!K46,Bal_Sheet!L46)*assumed_debt_cou_rate,Bal_Sheet!K46*assumed_debt_cou_rate)</f>
        <v>0</v>
      </c>
      <c r="K25" s="144" t="n">
        <f aca="false">IF(assumed_debt_avg_int=1,AVERAGE(Bal_Sheet!L46,Bal_Sheet!M46)*assumed_debt_cou_rate,Bal_Sheet!L46*assumed_debt_cou_rate)</f>
        <v>0</v>
      </c>
      <c r="L25" s="144" t="n">
        <f aca="false">IF(assumed_debt_avg_int=1,AVERAGE(Bal_Sheet!M46,Bal_Sheet!N46)*assumed_debt_cou_rate,Bal_Sheet!M46*assumed_debt_cou_rate)</f>
        <v>0</v>
      </c>
      <c r="M25" s="144" t="n">
        <f aca="false">IF(assumed_debt_avg_int=1,AVERAGE(Bal_Sheet!N46,Bal_Sheet!O46)*assumed_debt_cou_rate,Bal_Sheet!N46*assumed_debt_cou_rate)</f>
        <v>0</v>
      </c>
      <c r="O25" s="135"/>
      <c r="P25" s="129"/>
    </row>
    <row r="26" customFormat="false" ht="12.75" hidden="false" customHeight="false" outlineLevel="0" collapsed="false">
      <c r="A26" s="141" t="str">
        <f aca="false">Bal_Sheet!A47</f>
        <v>Bank Revolver</v>
      </c>
      <c r="C26" s="133"/>
      <c r="D26" s="142" t="n">
        <f aca="false">Bal_Sheet!E47*bank_revolver_cou_rate+(revolver_limit-Bal_Sheet!E47)*undrawn_commit_fee</f>
        <v>13533.28125</v>
      </c>
      <c r="E26" s="142" t="n">
        <f aca="false">Bal_Sheet!F47*bank_revolver_cou_rate+(revolver_limit-Bal_Sheet!F47)*undrawn_commit_fee</f>
        <v>14005.141199576</v>
      </c>
      <c r="F26" s="142" t="n">
        <f aca="false">Bal_Sheet!G47*bank_revolver_cou_rate+(revolver_limit-Bal_Sheet!G47)*undrawn_commit_fee</f>
        <v>14005.141199576</v>
      </c>
      <c r="G26" s="142" t="n">
        <f aca="false">Bal_Sheet!H47*bank_revolver_cou_rate+(revolver_limit-Bal_Sheet!H47)*undrawn_commit_fee</f>
        <v>14005.141199576</v>
      </c>
      <c r="H26" s="142" t="n">
        <f aca="false">Bal_Sheet!I47*bank_revolver_cou_rate+(revolver_limit-Bal_Sheet!I47)*undrawn_commit_fee</f>
        <v>14005.141199576</v>
      </c>
      <c r="I26" s="142" t="n">
        <f aca="false">Bal_Sheet!J47*bank_revolver_cou_rate+(revolver_limit-Bal_Sheet!J47)*undrawn_commit_fee</f>
        <v>14005.141199576</v>
      </c>
      <c r="J26" s="142" t="n">
        <f aca="false">Bal_Sheet!K47*bank_revolver_cou_rate+(revolver_limit-Bal_Sheet!K47)*undrawn_commit_fee</f>
        <v>12049.4039530869</v>
      </c>
      <c r="K26" s="142" t="n">
        <f aca="false">Bal_Sheet!L47*bank_revolver_cou_rate+(revolver_limit-Bal_Sheet!L47)*undrawn_commit_fee</f>
        <v>8160.7241716929</v>
      </c>
      <c r="L26" s="142" t="n">
        <f aca="false">Bal_Sheet!M47*bank_revolver_cou_rate+(revolver_limit-Bal_Sheet!M47)*undrawn_commit_fee</f>
        <v>6000</v>
      </c>
      <c r="M26" s="142" t="n">
        <f aca="false">Bal_Sheet!N47*bank_revolver_cou_rate+(revolver_limit-Bal_Sheet!N47)*undrawn_commit_fee</f>
        <v>6000</v>
      </c>
      <c r="O26" s="135"/>
      <c r="P26" s="129"/>
    </row>
    <row r="27" customFormat="false" ht="12.75" hidden="false" customHeight="false" outlineLevel="0" collapsed="false">
      <c r="A27" s="141" t="str">
        <f aca="false">Bal_Sheet!A48</f>
        <v>Term Loan "A"</v>
      </c>
      <c r="C27" s="133"/>
      <c r="D27" s="142" t="n">
        <f aca="false">IF(termloanA_avg_int=1,AVERAGE(Bal_Sheet!E48,Bal_Sheet!F48)*termloanA_cou_rate,Bal_Sheet!E48*termloanA_cou_rate)</f>
        <v>4125</v>
      </c>
      <c r="E27" s="142" t="n">
        <f aca="false">IF(termloanA_avg_int=1,AVERAGE(Bal_Sheet!F48,Bal_Sheet!G48)*termloanA_cou_rate,Bal_Sheet!F48*termloanA_cou_rate)</f>
        <v>3499.74821804261</v>
      </c>
      <c r="F27" s="142" t="n">
        <f aca="false">IF(termloanA_avg_int=1,AVERAGE(Bal_Sheet!G48,Bal_Sheet!H48)*termloanA_cou_rate,Bal_Sheet!G48*termloanA_cou_rate)</f>
        <v>1574.74821804261</v>
      </c>
      <c r="G27" s="142" t="n">
        <f aca="false">IF(termloanA_avg_int=1,AVERAGE(Bal_Sheet!H48,Bal_Sheet!I48)*termloanA_cou_rate,Bal_Sheet!H48*termloanA_cou_rate)</f>
        <v>0</v>
      </c>
      <c r="H27" s="142" t="n">
        <f aca="false">IF(termloanA_avg_int=1,AVERAGE(Bal_Sheet!I48,Bal_Sheet!J48)*termloanA_cou_rate,Bal_Sheet!I48*termloanA_cou_rate)</f>
        <v>0</v>
      </c>
      <c r="I27" s="142" t="n">
        <f aca="false">IF(termloanA_avg_int=1,AVERAGE(Bal_Sheet!J48,Bal_Sheet!K48)*termloanA_cou_rate,Bal_Sheet!J48*termloanA_cou_rate)</f>
        <v>0</v>
      </c>
      <c r="J27" s="142" t="n">
        <f aca="false">IF(termloanA_avg_int=1,AVERAGE(Bal_Sheet!K48,Bal_Sheet!L48)*termloanA_cou_rate,Bal_Sheet!K48*termloanA_cou_rate)</f>
        <v>0</v>
      </c>
      <c r="K27" s="142" t="n">
        <f aca="false">IF(termloanA_avg_int=1,AVERAGE(Bal_Sheet!L48,Bal_Sheet!M48)*termloanA_cou_rate,Bal_Sheet!L48*termloanA_cou_rate)</f>
        <v>0</v>
      </c>
      <c r="L27" s="142" t="n">
        <f aca="false">IF(termloanA_avg_int=1,AVERAGE(Bal_Sheet!M48,Bal_Sheet!N48)*termloanA_cou_rate,Bal_Sheet!M48*termloanA_cou_rate)</f>
        <v>0</v>
      </c>
      <c r="M27" s="142" t="n">
        <f aca="false">IF(termloanA_avg_int=1,AVERAGE(Bal_Sheet!N48,Bal_Sheet!O48)*termloanA_cou_rate,Bal_Sheet!N48*termloanA_cou_rate)</f>
        <v>0</v>
      </c>
      <c r="P27" s="123"/>
    </row>
    <row r="28" customFormat="false" ht="12.75" hidden="false" customHeight="false" outlineLevel="0" collapsed="false">
      <c r="A28" s="141" t="str">
        <f aca="false">Bal_Sheet!A49</f>
        <v>Term Loan "B"</v>
      </c>
      <c r="C28" s="133"/>
      <c r="D28" s="142" t="n">
        <f aca="false">IF(termloanB_avg_int=1,AVERAGE(Bal_Sheet!E49,Bal_Sheet!F49)*termloanB_cou_rate,Bal_Sheet!E49*termloanB_cou_rate)</f>
        <v>2829.75</v>
      </c>
      <c r="E28" s="142" t="n">
        <f aca="false">IF(termloanB_avg_int=1,AVERAGE(Bal_Sheet!F49,Bal_Sheet!G49)*termloanB_cou_rate,Bal_Sheet!F49*termloanB_cou_rate)</f>
        <v>2714.25</v>
      </c>
      <c r="F28" s="142" t="n">
        <f aca="false">IF(termloanB_avg_int=1,AVERAGE(Bal_Sheet!G49,Bal_Sheet!H49)*termloanB_cou_rate,Bal_Sheet!G49*termloanB_cou_rate)</f>
        <v>2091.89115765959</v>
      </c>
      <c r="G28" s="142" t="n">
        <f aca="false">IF(termloanB_avg_int=1,AVERAGE(Bal_Sheet!H49,Bal_Sheet!I49)*termloanB_cou_rate,Bal_Sheet!H49*termloanB_cou_rate)</f>
        <v>763.641157659587</v>
      </c>
      <c r="H28" s="142" t="n">
        <f aca="false">IF(termloanB_avg_int=1,AVERAGE(Bal_Sheet!I49,Bal_Sheet!J49)*termloanB_cou_rate,Bal_Sheet!I49*termloanB_cou_rate)</f>
        <v>0</v>
      </c>
      <c r="I28" s="142" t="n">
        <f aca="false">IF(termloanB_avg_int=1,AVERAGE(Bal_Sheet!J49,Bal_Sheet!K49)*termloanB_cou_rate,Bal_Sheet!J49*termloanB_cou_rate)</f>
        <v>0</v>
      </c>
      <c r="J28" s="142" t="n">
        <f aca="false">IF(termloanB_avg_int=1,AVERAGE(Bal_Sheet!K49,Bal_Sheet!L49)*termloanB_cou_rate,Bal_Sheet!K49*termloanB_cou_rate)</f>
        <v>0</v>
      </c>
      <c r="K28" s="142" t="n">
        <f aca="false">IF(termloanB_avg_int=1,AVERAGE(Bal_Sheet!L49,Bal_Sheet!M49)*termloanB_cou_rate,Bal_Sheet!L49*termloanB_cou_rate)</f>
        <v>0</v>
      </c>
      <c r="L28" s="142" t="n">
        <f aca="false">IF(termloanB_avg_int=1,AVERAGE(Bal_Sheet!M49,Bal_Sheet!N49)*termloanB_cou_rate,Bal_Sheet!M49*termloanB_cou_rate)</f>
        <v>0</v>
      </c>
      <c r="M28" s="142" t="n">
        <f aca="false">IF(termloanB_avg_int=1,AVERAGE(Bal_Sheet!N49,Bal_Sheet!O49)*termloanB_cou_rate,Bal_Sheet!N49*termloanB_cou_rate)</f>
        <v>0</v>
      </c>
      <c r="P28" s="123"/>
    </row>
    <row r="29" customFormat="false" ht="12.75" hidden="false" customHeight="false" outlineLevel="0" collapsed="false">
      <c r="A29" s="141" t="str">
        <f aca="false">Bal_Sheet!A50</f>
        <v>Senior Notes</v>
      </c>
      <c r="C29" s="133"/>
      <c r="D29" s="142" t="n">
        <f aca="false">IF(senior_notes_avg_int=1,AVERAGE(Bal_Sheet!E50,Bal_Sheet!F50)*senior_notes_cou_rate,Bal_Sheet!E50*senior_notes_cou_rate)</f>
        <v>2762.5</v>
      </c>
      <c r="E29" s="142" t="n">
        <f aca="false">IF(senior_notes_avg_int=1,AVERAGE(Bal_Sheet!F50,Bal_Sheet!G50)*senior_notes_cou_rate,Bal_Sheet!F50*senior_notes_cou_rate)</f>
        <v>2762.5</v>
      </c>
      <c r="F29" s="142" t="n">
        <f aca="false">IF(senior_notes_avg_int=1,AVERAGE(Bal_Sheet!G50,Bal_Sheet!H50)*senior_notes_cou_rate,Bal_Sheet!G50*senior_notes_cou_rate)</f>
        <v>2762.5</v>
      </c>
      <c r="G29" s="142" t="n">
        <f aca="false">IF(senior_notes_avg_int=1,AVERAGE(Bal_Sheet!H50,Bal_Sheet!I50)*senior_notes_cou_rate,Bal_Sheet!H50*senior_notes_cou_rate)</f>
        <v>1504.90785738702</v>
      </c>
      <c r="H29" s="142" t="n">
        <f aca="false">IF(senior_notes_avg_int=1,AVERAGE(Bal_Sheet!I50,Bal_Sheet!J50)*senior_notes_cou_rate,Bal_Sheet!I50*senior_notes_cou_rate)</f>
        <v>123.657857387018</v>
      </c>
      <c r="I29" s="142" t="n">
        <f aca="false">IF(senior_notes_avg_int=1,AVERAGE(Bal_Sheet!J50,Bal_Sheet!K50)*senior_notes_cou_rate,Bal_Sheet!J50*senior_notes_cou_rate)</f>
        <v>0</v>
      </c>
      <c r="J29" s="142" t="n">
        <f aca="false">IF(senior_notes_avg_int=1,AVERAGE(Bal_Sheet!K50,Bal_Sheet!L50)*senior_notes_cou_rate,Bal_Sheet!K50*senior_notes_cou_rate)</f>
        <v>0</v>
      </c>
      <c r="K29" s="142" t="n">
        <f aca="false">IF(senior_notes_avg_int=1,AVERAGE(Bal_Sheet!L50,Bal_Sheet!M50)*senior_notes_cou_rate,Bal_Sheet!L50*senior_notes_cou_rate)</f>
        <v>0</v>
      </c>
      <c r="L29" s="142" t="n">
        <f aca="false">IF(senior_notes_avg_int=1,AVERAGE(Bal_Sheet!M50,Bal_Sheet!N50)*senior_notes_cou_rate,Bal_Sheet!M50*senior_notes_cou_rate)</f>
        <v>0</v>
      </c>
      <c r="M29" s="142" t="n">
        <f aca="false">IF(senior_notes_avg_int=1,AVERAGE(Bal_Sheet!N50,Bal_Sheet!O50)*senior_notes_cou_rate,Bal_Sheet!N50*senior_notes_cou_rate)</f>
        <v>0</v>
      </c>
      <c r="P29" s="123"/>
    </row>
    <row r="30" customFormat="false" ht="12.75" hidden="false" customHeight="false" outlineLevel="0" collapsed="false">
      <c r="A30" s="141" t="str">
        <f aca="false">Bal_Sheet!A51</f>
        <v>Subordinated Notes</v>
      </c>
      <c r="C30" s="133"/>
      <c r="D30" s="142" t="n">
        <f aca="false">IF(sub_notes_avg_int=1,AVERAGE(Bal_Sheet!E51,Bal_Sheet!F51)*sub_notes_cou_rate,Bal_Sheet!E51*sub_notes_cou_rate)</f>
        <v>1800</v>
      </c>
      <c r="E30" s="142" t="n">
        <f aca="false">IF(sub_notes_avg_int=1,AVERAGE(Bal_Sheet!F51,Bal_Sheet!G51)*sub_notes_cou_rate,Bal_Sheet!F51*sub_notes_cou_rate)</f>
        <v>1881</v>
      </c>
      <c r="F30" s="142" t="n">
        <f aca="false">IF(sub_notes_avg_int=1,AVERAGE(Bal_Sheet!G51,Bal_Sheet!H51)*sub_notes_cou_rate,Bal_Sheet!G51*sub_notes_cou_rate)</f>
        <v>1965.645</v>
      </c>
      <c r="G30" s="142" t="n">
        <f aca="false">IF(sub_notes_avg_int=1,AVERAGE(Bal_Sheet!H51,Bal_Sheet!I51)*sub_notes_cou_rate,Bal_Sheet!H51*sub_notes_cou_rate)</f>
        <v>2054.099025</v>
      </c>
      <c r="H30" s="142" t="n">
        <f aca="false">IF(sub_notes_avg_int=1,AVERAGE(Bal_Sheet!I51,Bal_Sheet!J51)*sub_notes_cou_rate,Bal_Sheet!I51*sub_notes_cou_rate)</f>
        <v>2146.533481125</v>
      </c>
      <c r="I30" s="142" t="n">
        <f aca="false">IF(sub_notes_avg_int=1,AVERAGE(Bal_Sheet!J51,Bal_Sheet!K51)*sub_notes_cou_rate,Bal_Sheet!J51*sub_notes_cou_rate)</f>
        <v>96.594006650625</v>
      </c>
      <c r="J30" s="142" t="n">
        <f aca="false">IF(sub_notes_avg_int=1,AVERAGE(Bal_Sheet!K51,Bal_Sheet!L51)*sub_notes_cou_rate,Bal_Sheet!K51*sub_notes_cou_rate)</f>
        <v>0</v>
      </c>
      <c r="K30" s="142" t="n">
        <f aca="false">IF(sub_notes_avg_int=1,AVERAGE(Bal_Sheet!L51,Bal_Sheet!M51)*sub_notes_cou_rate,Bal_Sheet!L51*sub_notes_cou_rate)</f>
        <v>0</v>
      </c>
      <c r="L30" s="142" t="n">
        <f aca="false">IF(sub_notes_avg_int=1,AVERAGE(Bal_Sheet!M51,Bal_Sheet!N51)*sub_notes_cou_rate,Bal_Sheet!M51*sub_notes_cou_rate)</f>
        <v>0</v>
      </c>
      <c r="M30" s="142" t="n">
        <f aca="false">IF(sub_notes_avg_int=1,AVERAGE(Bal_Sheet!N51,Bal_Sheet!O51)*sub_notes_cou_rate,Bal_Sheet!N51*sub_notes_cou_rate)</f>
        <v>0</v>
      </c>
    </row>
    <row r="31" customFormat="false" ht="12.75" hidden="false" customHeight="false" outlineLevel="0" collapsed="false">
      <c r="A31" s="141" t="str">
        <f aca="false">Bal_Sheet!A52</f>
        <v>Mezzanine Debt</v>
      </c>
      <c r="C31" s="133"/>
      <c r="D31" s="142" t="n">
        <f aca="false">IF(mezzdebt_avg_int=1,AVERAGE(Bal_Sheet!E52,Bal_Sheet!F52)*mezzdebt_cou_rate,Bal_Sheet!E52*mezzdebt_cou_rate)</f>
        <v>3150</v>
      </c>
      <c r="E31" s="142" t="n">
        <f aca="false">IF(mezzdebt_avg_int=1,AVERAGE(Bal_Sheet!F52,Bal_Sheet!G52)*mezzdebt_cou_rate,Bal_Sheet!F52*mezzdebt_cou_rate)</f>
        <v>3291.75</v>
      </c>
      <c r="F31" s="142" t="n">
        <f aca="false">IF(mezzdebt_avg_int=1,AVERAGE(Bal_Sheet!G52,Bal_Sheet!H52)*mezzdebt_cou_rate,Bal_Sheet!G52*mezzdebt_cou_rate)</f>
        <v>3439.87875</v>
      </c>
      <c r="G31" s="142" t="n">
        <f aca="false">IF(mezzdebt_avg_int=1,AVERAGE(Bal_Sheet!H52,Bal_Sheet!I52)*mezzdebt_cou_rate,Bal_Sheet!H52*mezzdebt_cou_rate)</f>
        <v>3594.67329375</v>
      </c>
      <c r="H31" s="142" t="n">
        <f aca="false">IF(mezzdebt_avg_int=1,AVERAGE(Bal_Sheet!I52,Bal_Sheet!J52)*mezzdebt_cou_rate,Bal_Sheet!I52*mezzdebt_cou_rate)</f>
        <v>3756.43359196875</v>
      </c>
      <c r="I31" s="142" t="n">
        <f aca="false">IF(mezzdebt_avg_int=1,AVERAGE(Bal_Sheet!J52,Bal_Sheet!K52)*mezzdebt_cou_rate,Bal_Sheet!J52*mezzdebt_cou_rate)</f>
        <v>1640.42389179534</v>
      </c>
      <c r="J31" s="142" t="n">
        <f aca="false">IF(mezzdebt_avg_int=1,AVERAGE(Bal_Sheet!K52,Bal_Sheet!L52)*mezzdebt_cou_rate,Bal_Sheet!K52*mezzdebt_cou_rate)</f>
        <v>0</v>
      </c>
      <c r="K31" s="142" t="n">
        <f aca="false">IF(mezzdebt_avg_int=1,AVERAGE(Bal_Sheet!L52,Bal_Sheet!M52)*mezzdebt_cou_rate,Bal_Sheet!L52*mezzdebt_cou_rate)</f>
        <v>0</v>
      </c>
      <c r="L31" s="142" t="n">
        <f aca="false">IF(mezzdebt_avg_int=1,AVERAGE(Bal_Sheet!M52,Bal_Sheet!N52)*mezzdebt_cou_rate,Bal_Sheet!M52*mezzdebt_cou_rate)</f>
        <v>0</v>
      </c>
      <c r="M31" s="142" t="n">
        <f aca="false">IF(mezzdebt_avg_int=1,AVERAGE(Bal_Sheet!N52,Bal_Sheet!O52)*mezzdebt_cou_rate,Bal_Sheet!N52*mezzdebt_cou_rate)</f>
        <v>0</v>
      </c>
    </row>
    <row r="32" customFormat="false" ht="12.75" hidden="false" customHeight="false" outlineLevel="0" collapsed="false">
      <c r="A32" s="141" t="str">
        <f aca="false">Bal_Sheet!A53</f>
        <v>Seller Notes</v>
      </c>
      <c r="C32" s="133"/>
      <c r="D32" s="142" t="n">
        <f aca="false">IF(seller_notes_avg_int=1,AVERAGE(Bal_Sheet!E53,Bal_Sheet!F53)*seller_notes_cou_rate,Bal_Sheet!E53*seller_notes_cou_rate)</f>
        <v>1251.60462130937</v>
      </c>
      <c r="E32" s="142" t="n">
        <f aca="false">IF(seller_notes_avg_int=1,AVERAGE(Bal_Sheet!F53,Bal_Sheet!G53)*seller_notes_cou_rate,Bal_Sheet!F53*seller_notes_cou_rate)</f>
        <v>1126.5306727792</v>
      </c>
      <c r="F32" s="142" t="n">
        <f aca="false">IF(seller_notes_avg_int=1,AVERAGE(Bal_Sheet!G53,Bal_Sheet!H53)*seller_notes_cou_rate,Bal_Sheet!G53*seller_notes_cou_rate)</f>
        <v>994.713327794249</v>
      </c>
      <c r="G32" s="142" t="n">
        <f aca="false">IF(seller_notes_avg_int=1,AVERAGE(Bal_Sheet!H53,Bal_Sheet!I53)*seller_notes_cou_rate,Bal_Sheet!H53*seller_notes_cou_rate)</f>
        <v>855.789014273528</v>
      </c>
      <c r="H32" s="142" t="n">
        <f aca="false">IF(seller_notes_avg_int=1,AVERAGE(Bal_Sheet!I53,Bal_Sheet!J53)*seller_notes_cou_rate,Bal_Sheet!I53*seller_notes_cou_rate)</f>
        <v>709.37455804694</v>
      </c>
      <c r="I32" s="142" t="n">
        <f aca="false">IF(seller_notes_avg_int=1,AVERAGE(Bal_Sheet!J53,Bal_Sheet!K53)*seller_notes_cou_rate,Bal_Sheet!J53*seller_notes_cou_rate)</f>
        <v>317.122820097836</v>
      </c>
      <c r="J32" s="142" t="n">
        <f aca="false">IF(seller_notes_avg_int=1,AVERAGE(Bal_Sheet!K53,Bal_Sheet!L53)*seller_notes_cou_rate,Bal_Sheet!K53*seller_notes_cou_rate)</f>
        <v>0</v>
      </c>
      <c r="K32" s="142" t="n">
        <f aca="false">IF(seller_notes_avg_int=1,AVERAGE(Bal_Sheet!L53,Bal_Sheet!M53)*seller_notes_cou_rate,Bal_Sheet!L53*seller_notes_cou_rate)</f>
        <v>0</v>
      </c>
      <c r="L32" s="142" t="n">
        <f aca="false">IF(seller_notes_avg_int=1,AVERAGE(Bal_Sheet!M53,Bal_Sheet!N53)*seller_notes_cou_rate,Bal_Sheet!M53*seller_notes_cou_rate)</f>
        <v>0</v>
      </c>
      <c r="M32" s="142" t="n">
        <f aca="false">IF(seller_notes_avg_int=1,AVERAGE(Bal_Sheet!N53,Bal_Sheet!O53)*seller_notes_cou_rate,Bal_Sheet!N53*seller_notes_cou_rate)</f>
        <v>0</v>
      </c>
    </row>
    <row r="33" customFormat="false" ht="12.75" hidden="false" customHeight="false" outlineLevel="0" collapsed="false">
      <c r="A33" s="141"/>
      <c r="C33" s="133"/>
      <c r="D33" s="142"/>
      <c r="E33" s="142"/>
      <c r="F33" s="142"/>
      <c r="G33" s="142"/>
      <c r="H33" s="142"/>
      <c r="I33" s="142"/>
      <c r="J33" s="142"/>
      <c r="K33" s="142"/>
      <c r="L33" s="142"/>
      <c r="M33" s="142"/>
    </row>
    <row r="34" customFormat="false" ht="12.75" hidden="false" customHeight="false" outlineLevel="0" collapsed="false">
      <c r="A34" s="145" t="s">
        <v>121</v>
      </c>
      <c r="C34" s="133"/>
      <c r="D34" s="142" t="n">
        <f aca="false">SUM(D36:D37)</f>
        <v>-197.222222222222</v>
      </c>
      <c r="E34" s="142" t="n">
        <f aca="false">SUM(E36:E37)</f>
        <v>-297.222222222222</v>
      </c>
      <c r="F34" s="142" t="n">
        <f aca="false">SUM(F36:F37)</f>
        <v>352.777777777778</v>
      </c>
      <c r="G34" s="142" t="n">
        <f aca="false">SUM(G36:G37)</f>
        <v>-34.7222222222222</v>
      </c>
      <c r="H34" s="142" t="n">
        <f aca="false">SUM(H36:H37)</f>
        <v>-256.944444444445</v>
      </c>
      <c r="I34" s="142" t="n">
        <f aca="false">SUM(I36:I37)</f>
        <v>520.833333333334</v>
      </c>
      <c r="J34" s="142" t="n">
        <f aca="false">SUM(J36:J37)</f>
        <v>-1400</v>
      </c>
      <c r="K34" s="142" t="n">
        <f aca="false">SUM(K36:K37)</f>
        <v>-1500</v>
      </c>
      <c r="L34" s="142" t="n">
        <f aca="false">SUM(L36:L37)</f>
        <v>-1600</v>
      </c>
      <c r="M34" s="142" t="n">
        <f aca="false">SUM(M36:M37)</f>
        <v>-1700</v>
      </c>
    </row>
    <row r="35" customFormat="false" ht="12.75" hidden="false" customHeight="false" outlineLevel="0" collapsed="false">
      <c r="A35" s="141" t="s">
        <v>122</v>
      </c>
      <c r="C35" s="133"/>
      <c r="D35" s="142"/>
      <c r="E35" s="142"/>
      <c r="F35" s="142"/>
      <c r="G35" s="142"/>
      <c r="H35" s="142"/>
      <c r="I35" s="142"/>
      <c r="J35" s="142"/>
      <c r="K35" s="142"/>
      <c r="L35" s="142"/>
      <c r="M35" s="142"/>
    </row>
    <row r="36" customFormat="false" ht="12.75" hidden="false" customHeight="false" outlineLevel="0" collapsed="false">
      <c r="A36" s="146" t="s">
        <v>123</v>
      </c>
      <c r="C36" s="133"/>
      <c r="D36" s="142" t="n">
        <f aca="false">Depr_Amort!F45</f>
        <v>1052.77777777778</v>
      </c>
      <c r="E36" s="142" t="n">
        <f aca="false">Depr_Amort!G45</f>
        <v>1052.77777777778</v>
      </c>
      <c r="F36" s="142" t="n">
        <f aca="false">Depr_Amort!H45</f>
        <v>1802.77777777778</v>
      </c>
      <c r="G36" s="142" t="n">
        <f aca="false">Depr_Amort!I45</f>
        <v>1515.27777777778</v>
      </c>
      <c r="H36" s="142" t="n">
        <f aca="false">Depr_Amort!J45</f>
        <v>1393.05555555556</v>
      </c>
      <c r="I36" s="142" t="n">
        <f aca="false">Depr_Amort!K45</f>
        <v>2270.83333333333</v>
      </c>
      <c r="J36" s="142" t="n">
        <f aca="false">Depr_Amort!L45</f>
        <v>450</v>
      </c>
      <c r="K36" s="142" t="n">
        <f aca="false">Depr_Amort!M45</f>
        <v>450</v>
      </c>
      <c r="L36" s="142" t="n">
        <f aca="false">Depr_Amort!N45</f>
        <v>450</v>
      </c>
      <c r="M36" s="142" t="n">
        <f aca="false">Depr_Amort!O45</f>
        <v>450</v>
      </c>
    </row>
    <row r="37" customFormat="false" ht="12.75" hidden="false" customHeight="false" outlineLevel="0" collapsed="false">
      <c r="A37" s="141" t="s">
        <v>124</v>
      </c>
      <c r="C37" s="133"/>
      <c r="D37" s="142" t="n">
        <f aca="false">-Income_Tax!D11</f>
        <v>-1250</v>
      </c>
      <c r="E37" s="142" t="n">
        <f aca="false">-Income_Tax!E11</f>
        <v>-1350</v>
      </c>
      <c r="F37" s="142" t="n">
        <f aca="false">-Income_Tax!F11</f>
        <v>-1450</v>
      </c>
      <c r="G37" s="142" t="n">
        <f aca="false">-Income_Tax!G11</f>
        <v>-1550</v>
      </c>
      <c r="H37" s="142" t="n">
        <f aca="false">-Income_Tax!H11</f>
        <v>-1650</v>
      </c>
      <c r="I37" s="142" t="n">
        <f aca="false">-Income_Tax!I11</f>
        <v>-1750</v>
      </c>
      <c r="J37" s="142" t="n">
        <f aca="false">-Income_Tax!J11</f>
        <v>-1850</v>
      </c>
      <c r="K37" s="142" t="n">
        <f aca="false">-Income_Tax!K11</f>
        <v>-1950</v>
      </c>
      <c r="L37" s="142" t="n">
        <f aca="false">-Income_Tax!L11</f>
        <v>-2050</v>
      </c>
      <c r="M37" s="142" t="n">
        <f aca="false">-Income_Tax!M11</f>
        <v>-2150</v>
      </c>
      <c r="O37" s="125"/>
      <c r="P37" s="133"/>
    </row>
    <row r="38" customFormat="false" ht="12.75" hidden="false" customHeight="false" outlineLevel="0" collapsed="false">
      <c r="C38" s="133"/>
      <c r="D38" s="59"/>
      <c r="E38" s="59"/>
      <c r="F38" s="59"/>
      <c r="G38" s="59"/>
      <c r="H38" s="59"/>
      <c r="I38" s="59"/>
      <c r="J38" s="59"/>
      <c r="K38" s="59"/>
      <c r="L38" s="59"/>
      <c r="M38" s="59"/>
      <c r="P38" s="133"/>
    </row>
    <row r="39" customFormat="false" ht="12.75" hidden="false" customHeight="false" outlineLevel="0" collapsed="false">
      <c r="A39" s="0" t="s">
        <v>125</v>
      </c>
      <c r="C39" s="133"/>
      <c r="D39" s="59" t="n">
        <f aca="false">D22-D24-D34</f>
        <v>214211.891906468</v>
      </c>
      <c r="E39" s="59" t="n">
        <f aca="false">E22-E24-E34</f>
        <v>233238.30768738</v>
      </c>
      <c r="F39" s="59" t="n">
        <f aca="false">F22-F24-F34</f>
        <v>259559.13326165</v>
      </c>
      <c r="G39" s="59" t="n">
        <f aca="false">G22-G24-G34</f>
        <v>288654.603207806</v>
      </c>
      <c r="H39" s="59" t="n">
        <f aca="false">H22-H24-H34</f>
        <v>315807.37184384</v>
      </c>
      <c r="I39" s="59" t="n">
        <f aca="false">I22-I24-I34</f>
        <v>350447.089963322</v>
      </c>
      <c r="J39" s="59" t="n">
        <f aca="false">J22-J24-J34</f>
        <v>429310.457850878</v>
      </c>
      <c r="K39" s="59" t="n">
        <f aca="false">K22-K24-K34</f>
        <v>468774.333205387</v>
      </c>
      <c r="L39" s="59" t="n">
        <f aca="false">L22-L24-L34</f>
        <v>513098.645652754</v>
      </c>
      <c r="M39" s="59" t="n">
        <f aca="false">M22-M24-M34</f>
        <v>550799.803199937</v>
      </c>
      <c r="P39" s="133"/>
    </row>
    <row r="40" customFormat="false" ht="12.75" hidden="false" customHeight="false" outlineLevel="0" collapsed="false">
      <c r="C40" s="133"/>
      <c r="D40" s="59"/>
      <c r="E40" s="59"/>
      <c r="F40" s="59"/>
      <c r="G40" s="59"/>
      <c r="H40" s="59"/>
      <c r="I40" s="59"/>
      <c r="J40" s="59"/>
      <c r="K40" s="59"/>
      <c r="L40" s="59"/>
      <c r="M40" s="59"/>
      <c r="P40" s="147"/>
    </row>
    <row r="41" customFormat="false" ht="12.75" hidden="false" customHeight="false" outlineLevel="0" collapsed="false">
      <c r="A41" s="125" t="s">
        <v>126</v>
      </c>
      <c r="C41" s="133"/>
      <c r="D41" s="59" t="n">
        <f aca="false">Income_Tax!D28</f>
        <v>74974.1621672639</v>
      </c>
      <c r="E41" s="59" t="n">
        <f aca="false">Income_Tax!E28</f>
        <v>81633.407690583</v>
      </c>
      <c r="F41" s="59" t="n">
        <f aca="false">Income_Tax!F28</f>
        <v>90845.6966415774</v>
      </c>
      <c r="G41" s="59" t="n">
        <f aca="false">Income_Tax!G28</f>
        <v>101029.111122732</v>
      </c>
      <c r="H41" s="59" t="n">
        <f aca="false">Income_Tax!H28</f>
        <v>110532.580145344</v>
      </c>
      <c r="I41" s="59" t="n">
        <f aca="false">Income_Tax!I28</f>
        <v>122656.481487163</v>
      </c>
      <c r="J41" s="59" t="n">
        <f aca="false">Income_Tax!J28</f>
        <v>150258.660247807</v>
      </c>
      <c r="K41" s="59" t="n">
        <f aca="false">Income_Tax!K28</f>
        <v>164071.016621885</v>
      </c>
      <c r="L41" s="59" t="n">
        <f aca="false">Income_Tax!L28</f>
        <v>179584.525978464</v>
      </c>
      <c r="M41" s="59" t="n">
        <f aca="false">Income_Tax!M28</f>
        <v>192779.931119978</v>
      </c>
      <c r="P41" s="148"/>
    </row>
    <row r="42" customFormat="false" ht="12.75" hidden="false" customHeight="false" outlineLevel="0" collapsed="false">
      <c r="C42" s="133"/>
      <c r="D42" s="59"/>
      <c r="E42" s="59"/>
      <c r="F42" s="59"/>
      <c r="G42" s="59"/>
      <c r="H42" s="59"/>
      <c r="I42" s="59"/>
      <c r="J42" s="59"/>
      <c r="K42" s="59"/>
      <c r="L42" s="59"/>
      <c r="M42" s="59"/>
    </row>
    <row r="43" customFormat="false" ht="12.75" hidden="false" customHeight="false" outlineLevel="0" collapsed="false">
      <c r="A43" s="149" t="s">
        <v>127</v>
      </c>
      <c r="C43" s="133"/>
      <c r="D43" s="150" t="n">
        <f aca="false">D39-D41</f>
        <v>139237.729739204</v>
      </c>
      <c r="E43" s="150" t="n">
        <f aca="false">E39-E41</f>
        <v>151604.899996797</v>
      </c>
      <c r="F43" s="150" t="n">
        <f aca="false">F39-F41</f>
        <v>168713.436620072</v>
      </c>
      <c r="G43" s="150" t="n">
        <f aca="false">G39-G41</f>
        <v>187625.492085074</v>
      </c>
      <c r="H43" s="150" t="n">
        <f aca="false">H39-H41</f>
        <v>205274.791698496</v>
      </c>
      <c r="I43" s="150" t="n">
        <f aca="false">I39-I41</f>
        <v>227790.608476159</v>
      </c>
      <c r="J43" s="150" t="n">
        <f aca="false">J39-J41</f>
        <v>279051.797603071</v>
      </c>
      <c r="K43" s="150" t="n">
        <f aca="false">K39-K41</f>
        <v>304703.316583501</v>
      </c>
      <c r="L43" s="150" t="n">
        <f aca="false">L39-L41</f>
        <v>333514.11967429</v>
      </c>
      <c r="M43" s="150" t="n">
        <f aca="false">M39-M41</f>
        <v>358019.872079959</v>
      </c>
    </row>
    <row r="44" customFormat="false" ht="12.75" hidden="false" customHeight="false" outlineLevel="0" collapsed="false">
      <c r="A44" s="149"/>
      <c r="C44" s="133"/>
      <c r="D44" s="150"/>
      <c r="E44" s="150"/>
      <c r="F44" s="150"/>
      <c r="G44" s="150"/>
      <c r="H44" s="150"/>
      <c r="I44" s="150"/>
      <c r="J44" s="150"/>
      <c r="K44" s="150"/>
      <c r="L44" s="150"/>
      <c r="M44" s="150"/>
    </row>
    <row r="45" customFormat="false" ht="12.75" hidden="false" customHeight="false" outlineLevel="0" collapsed="false">
      <c r="A45" s="125" t="s">
        <v>128</v>
      </c>
      <c r="C45" s="133"/>
      <c r="D45" s="59" t="n">
        <f aca="false">SUM(D46:D47)</f>
        <v>6700</v>
      </c>
      <c r="E45" s="59" t="n">
        <f aca="false">SUM(E46:E47)</f>
        <v>7194</v>
      </c>
      <c r="F45" s="59" t="n">
        <f aca="false">SUM(F46:F47)</f>
        <v>7658.58</v>
      </c>
      <c r="G45" s="59" t="n">
        <f aca="false">SUM(G46:G47)</f>
        <v>8245.1806</v>
      </c>
      <c r="H45" s="59" t="n">
        <f aca="false">SUM(H46:H47)</f>
        <v>8955.343242</v>
      </c>
      <c r="I45" s="59" t="n">
        <f aca="false">SUM(I46:I47)</f>
        <v>9390.71726894</v>
      </c>
      <c r="J45" s="59" t="n">
        <f aca="false">SUM(J46:J47)</f>
        <v>9590.71726894</v>
      </c>
      <c r="K45" s="59" t="n">
        <f aca="false">SUM(K46:K47)</f>
        <v>9890.71726894</v>
      </c>
      <c r="L45" s="59" t="n">
        <f aca="false">SUM(L46:L47)</f>
        <v>9990.71726894</v>
      </c>
      <c r="M45" s="59" t="n">
        <f aca="false">SUM(M46:M47)</f>
        <v>10290.71726894</v>
      </c>
    </row>
    <row r="46" customFormat="false" ht="12.75" hidden="false" customHeight="false" outlineLevel="0" collapsed="false">
      <c r="A46" s="141" t="str">
        <f aca="false">Input!G64</f>
        <v>Preferred Stock Dividend</v>
      </c>
      <c r="C46" s="133"/>
      <c r="D46" s="142" t="n">
        <f aca="false">Bal_Sheet!E61*pref_stock_div</f>
        <v>4200</v>
      </c>
      <c r="E46" s="142" t="n">
        <f aca="false">Bal_Sheet!F61*pref_stock_div</f>
        <v>4494</v>
      </c>
      <c r="F46" s="142" t="n">
        <f aca="false">Bal_Sheet!G61*pref_stock_div</f>
        <v>4808.58</v>
      </c>
      <c r="G46" s="142" t="n">
        <f aca="false">Bal_Sheet!H61*pref_stock_div</f>
        <v>5145.1806</v>
      </c>
      <c r="H46" s="142" t="n">
        <f aca="false">Bal_Sheet!I61*pref_stock_div</f>
        <v>5505.343242</v>
      </c>
      <c r="I46" s="142" t="n">
        <f aca="false">Bal_Sheet!J61*pref_stock_div</f>
        <v>5890.71726894</v>
      </c>
      <c r="J46" s="142" t="n">
        <f aca="false">Bal_Sheet!K61*pref_stock_div</f>
        <v>5890.71726894</v>
      </c>
      <c r="K46" s="142" t="n">
        <f aca="false">Bal_Sheet!L61*pref_stock_div</f>
        <v>5890.71726894</v>
      </c>
      <c r="L46" s="142" t="n">
        <f aca="false">Bal_Sheet!M61*pref_stock_div</f>
        <v>5890.71726894</v>
      </c>
      <c r="M46" s="142" t="n">
        <f aca="false">Bal_Sheet!N61*pref_stock_div</f>
        <v>5890.71726894</v>
      </c>
    </row>
    <row r="47" customFormat="false" ht="12.75" hidden="false" customHeight="false" outlineLevel="0" collapsed="false">
      <c r="A47" s="141" t="s">
        <v>129</v>
      </c>
      <c r="C47" s="133"/>
      <c r="D47" s="151" t="n">
        <v>2500</v>
      </c>
      <c r="E47" s="151" t="n">
        <v>2700</v>
      </c>
      <c r="F47" s="151" t="n">
        <v>2850</v>
      </c>
      <c r="G47" s="151" t="n">
        <v>3100</v>
      </c>
      <c r="H47" s="151" t="n">
        <v>3450</v>
      </c>
      <c r="I47" s="151" t="n">
        <v>3500</v>
      </c>
      <c r="J47" s="151" t="n">
        <v>3700</v>
      </c>
      <c r="K47" s="151" t="n">
        <v>4000</v>
      </c>
      <c r="L47" s="151" t="n">
        <v>4100</v>
      </c>
      <c r="M47" s="151" t="n">
        <v>4400</v>
      </c>
    </row>
    <row r="48" customFormat="false" ht="12.75" hidden="false" customHeight="false" outlineLevel="0" collapsed="false">
      <c r="C48" s="133"/>
      <c r="D48" s="59"/>
      <c r="E48" s="59"/>
      <c r="F48" s="59"/>
      <c r="G48" s="59"/>
      <c r="H48" s="59"/>
      <c r="I48" s="59"/>
      <c r="J48" s="59"/>
      <c r="K48" s="59"/>
      <c r="L48" s="59"/>
      <c r="M48" s="59"/>
    </row>
    <row r="49" customFormat="false" ht="12.75" hidden="false" customHeight="false" outlineLevel="0" collapsed="false">
      <c r="A49" s="149" t="s">
        <v>130</v>
      </c>
      <c r="C49" s="133"/>
      <c r="D49" s="150" t="n">
        <f aca="false">D43-D45</f>
        <v>132537.729739204</v>
      </c>
      <c r="E49" s="150" t="n">
        <f aca="false">E43-E45</f>
        <v>144410.899996797</v>
      </c>
      <c r="F49" s="150" t="n">
        <f aca="false">F43-F45</f>
        <v>161054.856620072</v>
      </c>
      <c r="G49" s="150" t="n">
        <f aca="false">G43-G45</f>
        <v>179380.311485074</v>
      </c>
      <c r="H49" s="150" t="n">
        <f aca="false">H43-H45</f>
        <v>196319.448456496</v>
      </c>
      <c r="I49" s="150" t="n">
        <f aca="false">I43-I45</f>
        <v>218399.891207219</v>
      </c>
      <c r="J49" s="150" t="n">
        <f aca="false">J43-J45</f>
        <v>269461.080334131</v>
      </c>
      <c r="K49" s="150" t="n">
        <f aca="false">K43-K45</f>
        <v>294812.599314561</v>
      </c>
      <c r="L49" s="150" t="n">
        <f aca="false">L43-L45</f>
        <v>323523.40240535</v>
      </c>
      <c r="M49" s="150" t="n">
        <f aca="false">M43-M45</f>
        <v>347729.154811019</v>
      </c>
    </row>
    <row r="50" customFormat="false" ht="12.75" hidden="false" customHeight="false" outlineLevel="0" collapsed="false">
      <c r="C50" s="133"/>
      <c r="D50" s="59"/>
      <c r="E50" s="59"/>
      <c r="F50" s="59"/>
      <c r="G50" s="59"/>
      <c r="H50" s="59"/>
      <c r="I50" s="59"/>
      <c r="J50" s="59"/>
      <c r="K50" s="59"/>
      <c r="L50" s="59"/>
      <c r="M50" s="59"/>
    </row>
    <row r="51" customFormat="false" ht="12.75" hidden="false" customHeight="false" outlineLevel="0" collapsed="false">
      <c r="C51" s="133"/>
      <c r="D51" s="59"/>
      <c r="E51" s="59"/>
      <c r="F51" s="59"/>
      <c r="G51" s="59"/>
      <c r="H51" s="59"/>
      <c r="I51" s="59"/>
      <c r="J51" s="59"/>
      <c r="K51" s="59"/>
      <c r="L51" s="59"/>
      <c r="M51" s="59"/>
    </row>
    <row r="52" customFormat="false" ht="12.75" hidden="false" customHeight="false" outlineLevel="0" collapsed="false">
      <c r="C52" s="133"/>
      <c r="D52" s="59"/>
      <c r="E52" s="59"/>
      <c r="F52" s="59"/>
      <c r="G52" s="59"/>
      <c r="H52" s="59"/>
      <c r="I52" s="59"/>
      <c r="J52" s="59"/>
      <c r="K52" s="59"/>
      <c r="L52" s="59"/>
      <c r="M52" s="59"/>
    </row>
    <row r="53" customFormat="false" ht="12.75" hidden="false" customHeight="false" outlineLevel="0" collapsed="false">
      <c r="C53" s="133"/>
      <c r="D53" s="59"/>
      <c r="E53" s="59"/>
      <c r="F53" s="59"/>
      <c r="G53" s="59"/>
      <c r="H53" s="59"/>
      <c r="I53" s="59"/>
      <c r="J53" s="59"/>
      <c r="K53" s="59"/>
      <c r="L53" s="59"/>
      <c r="M53" s="59"/>
    </row>
    <row r="54" customFormat="false" ht="12.75" hidden="false" customHeight="false" outlineLevel="0" collapsed="false">
      <c r="C54" s="133"/>
      <c r="D54" s="59"/>
      <c r="E54" s="59"/>
      <c r="F54" s="59"/>
      <c r="G54" s="59"/>
      <c r="H54" s="59"/>
      <c r="I54" s="59"/>
      <c r="J54" s="59"/>
      <c r="K54" s="59"/>
      <c r="L54" s="59"/>
      <c r="M54" s="59"/>
    </row>
    <row r="55" customFormat="false" ht="12.75" hidden="false" customHeight="false" outlineLevel="0" collapsed="false">
      <c r="C55" s="133"/>
      <c r="D55" s="59"/>
      <c r="E55" s="59"/>
      <c r="F55" s="59"/>
      <c r="G55" s="59"/>
      <c r="H55" s="59"/>
      <c r="I55" s="59"/>
      <c r="J55" s="59"/>
      <c r="K55" s="59"/>
      <c r="L55" s="59"/>
      <c r="M55" s="59"/>
    </row>
    <row r="56" customFormat="false" ht="12.75" hidden="false" customHeight="false" outlineLevel="0" collapsed="false">
      <c r="C56" s="133"/>
      <c r="D56" s="59"/>
      <c r="E56" s="59"/>
      <c r="F56" s="59"/>
      <c r="G56" s="59"/>
      <c r="H56" s="59"/>
      <c r="I56" s="59"/>
      <c r="J56" s="59"/>
      <c r="K56" s="59"/>
      <c r="L56" s="59"/>
      <c r="M56" s="59"/>
    </row>
    <row r="57" customFormat="false" ht="12.75" hidden="false" customHeight="false" outlineLevel="0" collapsed="false">
      <c r="C57" s="133"/>
      <c r="D57" s="59"/>
      <c r="E57" s="59"/>
      <c r="F57" s="59"/>
      <c r="G57" s="59"/>
      <c r="H57" s="59"/>
      <c r="I57" s="59"/>
      <c r="J57" s="59"/>
      <c r="K57" s="59"/>
      <c r="L57" s="59"/>
      <c r="M57" s="59"/>
    </row>
    <row r="58" customFormat="false" ht="12.75" hidden="false" customHeight="false" outlineLevel="0" collapsed="false">
      <c r="C58" s="133"/>
      <c r="D58" s="59"/>
      <c r="E58" s="59"/>
      <c r="F58" s="59"/>
      <c r="G58" s="59"/>
      <c r="H58" s="59"/>
      <c r="I58" s="59"/>
      <c r="J58" s="59"/>
      <c r="K58" s="59"/>
      <c r="L58" s="59"/>
      <c r="M58" s="59"/>
    </row>
    <row r="59" customFormat="false" ht="12.75" hidden="false" customHeight="false" outlineLevel="0" collapsed="false">
      <c r="C59" s="133"/>
      <c r="D59" s="59"/>
      <c r="E59" s="59"/>
      <c r="F59" s="59"/>
      <c r="G59" s="59"/>
      <c r="H59" s="59"/>
      <c r="I59" s="59"/>
      <c r="J59" s="59"/>
      <c r="K59" s="59"/>
      <c r="L59" s="59"/>
      <c r="M59" s="59"/>
    </row>
    <row r="60" customFormat="false" ht="12.75" hidden="false" customHeight="false" outlineLevel="0" collapsed="false">
      <c r="C60" s="133"/>
      <c r="D60" s="59"/>
      <c r="E60" s="59"/>
      <c r="F60" s="59"/>
      <c r="G60" s="59"/>
      <c r="H60" s="59"/>
      <c r="I60" s="59"/>
      <c r="J60" s="59"/>
      <c r="K60" s="59"/>
      <c r="L60" s="59"/>
      <c r="M60" s="59"/>
    </row>
    <row r="61" customFormat="false" ht="12.75" hidden="false" customHeight="false" outlineLevel="0" collapsed="false">
      <c r="C61" s="133"/>
      <c r="D61" s="59"/>
      <c r="E61" s="59"/>
      <c r="F61" s="59"/>
      <c r="G61" s="59"/>
      <c r="H61" s="59"/>
      <c r="I61" s="59"/>
      <c r="J61" s="59"/>
      <c r="K61" s="59"/>
      <c r="L61" s="59"/>
      <c r="M61" s="59"/>
    </row>
    <row r="62" customFormat="false" ht="12.75" hidden="false" customHeight="false" outlineLevel="0" collapsed="false">
      <c r="C62" s="133"/>
      <c r="D62" s="59"/>
      <c r="E62" s="59"/>
      <c r="F62" s="59"/>
      <c r="G62" s="59"/>
      <c r="H62" s="59"/>
      <c r="I62" s="59"/>
      <c r="J62" s="59"/>
      <c r="K62" s="59"/>
      <c r="L62" s="59"/>
      <c r="M62" s="59"/>
    </row>
    <row r="63" customFormat="false" ht="12.75" hidden="false" customHeight="false" outlineLevel="0" collapsed="false">
      <c r="C63" s="133"/>
      <c r="D63" s="59"/>
      <c r="E63" s="59"/>
      <c r="F63" s="59"/>
      <c r="G63" s="59"/>
      <c r="H63" s="59"/>
      <c r="I63" s="59"/>
      <c r="J63" s="59"/>
      <c r="K63" s="59"/>
      <c r="L63" s="59"/>
      <c r="M63" s="59"/>
    </row>
    <row r="64" customFormat="false" ht="12.75" hidden="false" customHeight="false" outlineLevel="0" collapsed="false">
      <c r="C64" s="133"/>
      <c r="D64" s="59"/>
      <c r="E64" s="59"/>
      <c r="F64" s="59"/>
      <c r="G64" s="59"/>
      <c r="H64" s="59"/>
      <c r="I64" s="59"/>
      <c r="J64" s="59"/>
      <c r="K64" s="59"/>
      <c r="L64" s="59"/>
      <c r="M64" s="59"/>
    </row>
    <row r="65" customFormat="false" ht="12.75" hidden="false" customHeight="false" outlineLevel="0" collapsed="false">
      <c r="C65" s="133"/>
      <c r="D65" s="59"/>
      <c r="E65" s="59"/>
      <c r="F65" s="59"/>
      <c r="G65" s="59"/>
      <c r="H65" s="59"/>
      <c r="I65" s="59"/>
      <c r="J65" s="59"/>
      <c r="K65" s="59"/>
      <c r="L65" s="59"/>
      <c r="M65" s="59"/>
    </row>
    <row r="66" customFormat="false" ht="12.75" hidden="false" customHeight="false" outlineLevel="0" collapsed="false">
      <c r="C66" s="133"/>
      <c r="D66" s="59"/>
      <c r="E66" s="59"/>
      <c r="F66" s="59"/>
      <c r="G66" s="59"/>
      <c r="H66" s="59"/>
      <c r="I66" s="59"/>
      <c r="J66" s="59"/>
      <c r="K66" s="59"/>
      <c r="L66" s="59"/>
      <c r="M66" s="59"/>
    </row>
    <row r="67" customFormat="false" ht="12.75" hidden="false" customHeight="false" outlineLevel="0" collapsed="false">
      <c r="C67" s="133"/>
      <c r="D67" s="59"/>
      <c r="E67" s="59"/>
      <c r="F67" s="59"/>
      <c r="G67" s="59"/>
      <c r="H67" s="59"/>
      <c r="I67" s="59"/>
      <c r="J67" s="59"/>
      <c r="K67" s="59"/>
      <c r="L67" s="59"/>
      <c r="M67" s="59"/>
    </row>
    <row r="68" customFormat="false" ht="12.75" hidden="false" customHeight="false" outlineLevel="0" collapsed="false">
      <c r="C68" s="133"/>
      <c r="D68" s="59"/>
      <c r="E68" s="59"/>
      <c r="F68" s="59"/>
      <c r="G68" s="59"/>
      <c r="H68" s="59"/>
      <c r="I68" s="59"/>
      <c r="J68" s="59"/>
      <c r="K68" s="59"/>
      <c r="L68" s="59"/>
      <c r="M68" s="59"/>
    </row>
    <row r="69" customFormat="false" ht="12.75" hidden="false" customHeight="false" outlineLevel="0" collapsed="false">
      <c r="C69" s="133"/>
      <c r="D69" s="59"/>
      <c r="E69" s="59"/>
      <c r="F69" s="59"/>
      <c r="G69" s="59"/>
      <c r="H69" s="59"/>
      <c r="I69" s="59"/>
      <c r="J69" s="59"/>
      <c r="K69" s="59"/>
      <c r="L69" s="59"/>
      <c r="M69" s="59"/>
    </row>
    <row r="70" customFormat="false" ht="12.75" hidden="false" customHeight="false" outlineLevel="0" collapsed="false">
      <c r="C70" s="133"/>
      <c r="D70" s="59"/>
      <c r="E70" s="59"/>
      <c r="F70" s="59"/>
      <c r="G70" s="59"/>
      <c r="H70" s="59"/>
      <c r="I70" s="59"/>
      <c r="J70" s="59"/>
      <c r="K70" s="59"/>
      <c r="L70" s="59"/>
      <c r="M70" s="59"/>
    </row>
    <row r="71" customFormat="false" ht="12.75" hidden="false" customHeight="false" outlineLevel="0" collapsed="false">
      <c r="C71" s="133"/>
      <c r="D71" s="59"/>
      <c r="E71" s="59"/>
      <c r="F71" s="59"/>
      <c r="G71" s="59"/>
      <c r="H71" s="59"/>
      <c r="I71" s="59"/>
      <c r="J71" s="59"/>
      <c r="K71" s="59"/>
      <c r="L71" s="59"/>
      <c r="M71" s="59"/>
    </row>
    <row r="72" customFormat="false" ht="12.75" hidden="false" customHeight="false" outlineLevel="0" collapsed="false">
      <c r="C72" s="133"/>
      <c r="D72" s="59"/>
      <c r="E72" s="59"/>
      <c r="F72" s="59"/>
      <c r="G72" s="59"/>
      <c r="H72" s="59"/>
      <c r="I72" s="59"/>
      <c r="J72" s="59"/>
      <c r="K72" s="59"/>
      <c r="L72" s="59"/>
      <c r="M72" s="59"/>
    </row>
    <row r="73" customFormat="false" ht="12.75" hidden="false" customHeight="false" outlineLevel="0" collapsed="false">
      <c r="C73" s="133"/>
      <c r="D73" s="59"/>
      <c r="E73" s="59"/>
      <c r="F73" s="59"/>
      <c r="G73" s="59"/>
      <c r="H73" s="59"/>
      <c r="I73" s="59"/>
      <c r="J73" s="59"/>
      <c r="K73" s="59"/>
      <c r="L73" s="59"/>
      <c r="M73" s="59"/>
    </row>
    <row r="74" customFormat="false" ht="12.75" hidden="false" customHeight="false" outlineLevel="0" collapsed="false">
      <c r="C74" s="133"/>
      <c r="D74" s="59"/>
      <c r="E74" s="59"/>
      <c r="F74" s="59"/>
      <c r="G74" s="59"/>
      <c r="H74" s="59"/>
      <c r="I74" s="59"/>
      <c r="J74" s="59"/>
      <c r="K74" s="59"/>
      <c r="L74" s="59"/>
      <c r="M74" s="59"/>
    </row>
    <row r="75" customFormat="false" ht="12.75" hidden="false" customHeight="false" outlineLevel="0" collapsed="false">
      <c r="C75" s="133"/>
      <c r="D75" s="59"/>
      <c r="E75" s="59"/>
      <c r="F75" s="59"/>
      <c r="G75" s="59"/>
      <c r="H75" s="59"/>
      <c r="I75" s="59"/>
      <c r="J75" s="59"/>
      <c r="K75" s="59"/>
      <c r="L75" s="59"/>
      <c r="M75" s="59"/>
    </row>
    <row r="76" customFormat="false" ht="12.75" hidden="false" customHeight="false" outlineLevel="0" collapsed="false">
      <c r="C76" s="133"/>
      <c r="D76" s="59"/>
      <c r="E76" s="59"/>
      <c r="F76" s="59"/>
      <c r="G76" s="59"/>
      <c r="H76" s="59"/>
      <c r="I76" s="59"/>
      <c r="J76" s="59"/>
      <c r="K76" s="59"/>
      <c r="L76" s="59"/>
      <c r="M76" s="59"/>
    </row>
    <row r="77" customFormat="false" ht="12.75" hidden="false" customHeight="false" outlineLevel="0" collapsed="false">
      <c r="C77" s="133"/>
      <c r="D77" s="59"/>
      <c r="E77" s="59"/>
      <c r="F77" s="59"/>
      <c r="G77" s="59"/>
      <c r="H77" s="59"/>
      <c r="I77" s="59"/>
      <c r="J77" s="59"/>
      <c r="K77" s="59"/>
      <c r="L77" s="59"/>
      <c r="M77" s="59"/>
    </row>
    <row r="78" customFormat="false" ht="12.75" hidden="false" customHeight="false" outlineLevel="0" collapsed="false">
      <c r="C78" s="133"/>
      <c r="D78" s="59"/>
      <c r="E78" s="59"/>
      <c r="F78" s="59"/>
      <c r="G78" s="59"/>
      <c r="H78" s="59"/>
      <c r="I78" s="59"/>
      <c r="J78" s="59"/>
      <c r="K78" s="59"/>
      <c r="L78" s="59"/>
      <c r="M78" s="59"/>
    </row>
    <row r="79" customFormat="false" ht="12.75" hidden="false" customHeight="false" outlineLevel="0" collapsed="false">
      <c r="C79" s="133"/>
      <c r="D79" s="59"/>
      <c r="E79" s="59"/>
      <c r="F79" s="59"/>
      <c r="G79" s="59"/>
      <c r="H79" s="59"/>
      <c r="I79" s="59"/>
      <c r="J79" s="59"/>
      <c r="K79" s="59"/>
      <c r="L79" s="59"/>
      <c r="M79" s="59"/>
    </row>
    <row r="80" customFormat="false" ht="12.75" hidden="false" customHeight="false" outlineLevel="0" collapsed="false">
      <c r="C80" s="133"/>
      <c r="D80" s="59"/>
      <c r="E80" s="59"/>
      <c r="F80" s="59"/>
      <c r="G80" s="59"/>
      <c r="H80" s="59"/>
      <c r="I80" s="59"/>
      <c r="J80" s="59"/>
      <c r="K80" s="59"/>
      <c r="L80" s="59"/>
      <c r="M80" s="59"/>
    </row>
    <row r="81" customFormat="false" ht="12.75" hidden="false" customHeight="false" outlineLevel="0" collapsed="false">
      <c r="C81" s="133"/>
      <c r="D81" s="59"/>
      <c r="E81" s="59"/>
      <c r="F81" s="59"/>
      <c r="G81" s="59"/>
      <c r="H81" s="59"/>
      <c r="I81" s="59"/>
      <c r="J81" s="59"/>
      <c r="K81" s="59"/>
      <c r="L81" s="59"/>
      <c r="M81" s="59"/>
    </row>
    <row r="82" customFormat="false" ht="12.75" hidden="false" customHeight="false" outlineLevel="0" collapsed="false">
      <c r="C82" s="133"/>
      <c r="D82" s="59"/>
      <c r="E82" s="59"/>
      <c r="F82" s="59"/>
      <c r="G82" s="59"/>
      <c r="H82" s="59"/>
      <c r="I82" s="59"/>
      <c r="J82" s="59"/>
      <c r="K82" s="59"/>
      <c r="L82" s="59"/>
      <c r="M82" s="59"/>
    </row>
    <row r="83" customFormat="false" ht="12.75" hidden="false" customHeight="false" outlineLevel="0" collapsed="false">
      <c r="C83" s="133"/>
      <c r="D83" s="59"/>
      <c r="E83" s="59"/>
      <c r="F83" s="59"/>
      <c r="G83" s="59"/>
      <c r="H83" s="59"/>
      <c r="I83" s="59"/>
      <c r="J83" s="59"/>
      <c r="K83" s="59"/>
      <c r="L83" s="59"/>
      <c r="M83" s="59"/>
    </row>
    <row r="84" customFormat="false" ht="12.75" hidden="false" customHeight="false" outlineLevel="0" collapsed="false">
      <c r="C84" s="133"/>
      <c r="D84" s="59"/>
      <c r="E84" s="59"/>
      <c r="F84" s="59"/>
      <c r="G84" s="59"/>
      <c r="H84" s="59"/>
      <c r="I84" s="59"/>
      <c r="J84" s="59"/>
      <c r="K84" s="59"/>
      <c r="L84" s="59"/>
      <c r="M84" s="59"/>
    </row>
    <row r="85" customFormat="false" ht="12.75" hidden="false" customHeight="false" outlineLevel="0" collapsed="false">
      <c r="C85" s="133"/>
      <c r="D85" s="59"/>
      <c r="E85" s="59"/>
      <c r="F85" s="59"/>
      <c r="G85" s="59"/>
      <c r="H85" s="59"/>
      <c r="I85" s="59"/>
      <c r="J85" s="59"/>
      <c r="K85" s="59"/>
      <c r="L85" s="59"/>
      <c r="M85" s="59"/>
    </row>
    <row r="86" customFormat="false" ht="12.75" hidden="false" customHeight="false" outlineLevel="0" collapsed="false">
      <c r="C86" s="133"/>
      <c r="D86" s="59"/>
      <c r="E86" s="59"/>
      <c r="F86" s="59"/>
      <c r="G86" s="59"/>
      <c r="H86" s="59"/>
      <c r="I86" s="59"/>
      <c r="J86" s="59"/>
      <c r="K86" s="59"/>
      <c r="L86" s="59"/>
      <c r="M86" s="59"/>
    </row>
    <row r="87" customFormat="false" ht="12.75" hidden="false" customHeight="false" outlineLevel="0" collapsed="false">
      <c r="C87" s="133"/>
      <c r="D87" s="59"/>
      <c r="E87" s="59"/>
      <c r="F87" s="59"/>
      <c r="G87" s="59"/>
      <c r="H87" s="59"/>
      <c r="I87" s="59"/>
      <c r="J87" s="59"/>
      <c r="K87" s="59"/>
      <c r="L87" s="59"/>
      <c r="M87" s="59"/>
    </row>
    <row r="88" customFormat="false" ht="12.75" hidden="false" customHeight="false" outlineLevel="0" collapsed="false">
      <c r="C88" s="133"/>
      <c r="D88" s="59"/>
      <c r="E88" s="59"/>
      <c r="F88" s="59"/>
      <c r="G88" s="59"/>
      <c r="H88" s="59"/>
      <c r="I88" s="59"/>
      <c r="J88" s="59"/>
      <c r="K88" s="59"/>
      <c r="L88" s="59"/>
      <c r="M88" s="59"/>
    </row>
    <row r="89" customFormat="false" ht="12.75" hidden="false" customHeight="false" outlineLevel="0" collapsed="false">
      <c r="C89" s="133"/>
      <c r="D89" s="59"/>
      <c r="E89" s="59"/>
      <c r="F89" s="59"/>
      <c r="G89" s="59"/>
      <c r="H89" s="59"/>
      <c r="I89" s="59"/>
      <c r="J89" s="59"/>
      <c r="K89" s="59"/>
      <c r="L89" s="59"/>
      <c r="M89" s="59"/>
    </row>
    <row r="90" customFormat="false" ht="12.75" hidden="false" customHeight="false" outlineLevel="0" collapsed="false">
      <c r="C90" s="133"/>
      <c r="D90" s="59"/>
      <c r="E90" s="59"/>
      <c r="F90" s="59"/>
      <c r="G90" s="59"/>
      <c r="H90" s="59"/>
      <c r="I90" s="59"/>
      <c r="J90" s="59"/>
      <c r="K90" s="59"/>
      <c r="L90" s="59"/>
      <c r="M90" s="59"/>
    </row>
    <row r="91" customFormat="false" ht="12.75" hidden="false" customHeight="false" outlineLevel="0" collapsed="false">
      <c r="C91" s="133"/>
      <c r="D91" s="59"/>
      <c r="E91" s="59"/>
      <c r="F91" s="59"/>
      <c r="G91" s="59"/>
      <c r="H91" s="59"/>
      <c r="I91" s="59"/>
      <c r="J91" s="59"/>
      <c r="K91" s="59"/>
      <c r="L91" s="59"/>
      <c r="M91" s="59"/>
    </row>
    <row r="92" customFormat="false" ht="12.75" hidden="false" customHeight="false" outlineLevel="0" collapsed="false">
      <c r="C92" s="133"/>
      <c r="D92" s="59"/>
      <c r="E92" s="59"/>
      <c r="F92" s="59"/>
      <c r="G92" s="59"/>
      <c r="H92" s="59"/>
      <c r="I92" s="59"/>
      <c r="J92" s="59"/>
      <c r="K92" s="59"/>
      <c r="L92" s="59"/>
      <c r="M92" s="59"/>
    </row>
    <row r="93" customFormat="false" ht="12.75" hidden="false" customHeight="false" outlineLevel="0" collapsed="false">
      <c r="C93" s="133"/>
      <c r="D93" s="59"/>
      <c r="E93" s="59"/>
      <c r="F93" s="59"/>
      <c r="G93" s="59"/>
      <c r="H93" s="59"/>
      <c r="I93" s="59"/>
      <c r="J93" s="59"/>
      <c r="K93" s="59"/>
      <c r="L93" s="59"/>
      <c r="M93" s="59"/>
    </row>
    <row r="94" customFormat="false" ht="12.75" hidden="false" customHeight="false" outlineLevel="0" collapsed="false">
      <c r="C94" s="133"/>
      <c r="D94" s="59"/>
      <c r="E94" s="59"/>
      <c r="F94" s="59"/>
      <c r="G94" s="59"/>
      <c r="H94" s="59"/>
      <c r="I94" s="59"/>
      <c r="J94" s="59"/>
      <c r="K94" s="59"/>
      <c r="L94" s="59"/>
      <c r="M94" s="59"/>
    </row>
    <row r="95" customFormat="false" ht="12.75" hidden="false" customHeight="false" outlineLevel="0" collapsed="false">
      <c r="C95" s="133"/>
      <c r="D95" s="59"/>
      <c r="E95" s="59"/>
      <c r="F95" s="59"/>
      <c r="G95" s="59"/>
      <c r="H95" s="59"/>
      <c r="I95" s="59"/>
      <c r="J95" s="59"/>
      <c r="K95" s="59"/>
      <c r="L95" s="59"/>
      <c r="M95" s="59"/>
    </row>
    <row r="96" customFormat="false" ht="12.75" hidden="false" customHeight="false" outlineLevel="0" collapsed="false">
      <c r="C96" s="133"/>
      <c r="D96" s="59"/>
      <c r="E96" s="59"/>
      <c r="F96" s="59"/>
      <c r="G96" s="59"/>
      <c r="H96" s="59"/>
      <c r="I96" s="59"/>
      <c r="J96" s="59"/>
      <c r="K96" s="59"/>
      <c r="L96" s="59"/>
      <c r="M96" s="59"/>
    </row>
    <row r="97" customFormat="false" ht="12.75" hidden="false" customHeight="false" outlineLevel="0" collapsed="false">
      <c r="C97" s="133"/>
      <c r="D97" s="59"/>
      <c r="E97" s="59"/>
      <c r="F97" s="59"/>
      <c r="G97" s="59"/>
      <c r="H97" s="59"/>
      <c r="I97" s="59"/>
      <c r="J97" s="59"/>
      <c r="K97" s="59"/>
      <c r="L97" s="59"/>
      <c r="M97" s="59"/>
    </row>
    <row r="98" customFormat="false" ht="12.75" hidden="false" customHeight="false" outlineLevel="0" collapsed="false">
      <c r="C98" s="133"/>
      <c r="D98" s="59"/>
      <c r="E98" s="59"/>
      <c r="F98" s="59"/>
      <c r="G98" s="59"/>
      <c r="H98" s="59"/>
      <c r="I98" s="59"/>
      <c r="J98" s="59"/>
      <c r="K98" s="59"/>
      <c r="L98" s="59"/>
      <c r="M98" s="59"/>
    </row>
    <row r="99" customFormat="false" ht="12.75" hidden="false" customHeight="false" outlineLevel="0" collapsed="false">
      <c r="C99" s="133"/>
      <c r="D99" s="59"/>
      <c r="E99" s="59"/>
      <c r="F99" s="59"/>
      <c r="G99" s="59"/>
      <c r="H99" s="59"/>
      <c r="I99" s="59"/>
      <c r="J99" s="59"/>
      <c r="K99" s="59"/>
      <c r="L99" s="59"/>
      <c r="M99" s="59"/>
    </row>
    <row r="100" customFormat="false" ht="12.75" hidden="false" customHeight="false" outlineLevel="0" collapsed="false">
      <c r="C100" s="133"/>
      <c r="D100" s="59"/>
      <c r="E100" s="59"/>
      <c r="F100" s="59"/>
      <c r="G100" s="59"/>
      <c r="H100" s="59"/>
      <c r="I100" s="59"/>
      <c r="J100" s="59"/>
      <c r="K100" s="59"/>
      <c r="L100" s="59"/>
      <c r="M100" s="59"/>
    </row>
    <row r="101" customFormat="false" ht="12.75" hidden="false" customHeight="false" outlineLevel="0" collapsed="false">
      <c r="C101" s="133"/>
      <c r="D101" s="59"/>
      <c r="E101" s="59"/>
      <c r="F101" s="59"/>
      <c r="G101" s="59"/>
      <c r="H101" s="59"/>
      <c r="I101" s="59"/>
      <c r="J101" s="59"/>
      <c r="K101" s="59"/>
      <c r="L101" s="59"/>
      <c r="M101" s="59"/>
    </row>
    <row r="102" customFormat="false" ht="12.75" hidden="false" customHeight="false" outlineLevel="0" collapsed="false">
      <c r="C102" s="133"/>
      <c r="D102" s="59"/>
      <c r="E102" s="59"/>
      <c r="F102" s="59"/>
      <c r="G102" s="59"/>
      <c r="H102" s="59"/>
      <c r="I102" s="59"/>
      <c r="J102" s="59"/>
      <c r="K102" s="59"/>
      <c r="L102" s="59"/>
      <c r="M102" s="59"/>
    </row>
    <row r="103" customFormat="false" ht="12.75" hidden="false" customHeight="false" outlineLevel="0" collapsed="false">
      <c r="C103" s="133"/>
      <c r="D103" s="59"/>
      <c r="E103" s="59"/>
      <c r="F103" s="59"/>
      <c r="G103" s="59"/>
      <c r="H103" s="59"/>
      <c r="I103" s="59"/>
      <c r="J103" s="59"/>
      <c r="K103" s="59"/>
      <c r="L103" s="59"/>
      <c r="M103" s="59"/>
    </row>
    <row r="104" customFormat="false" ht="12.75" hidden="false" customHeight="false" outlineLevel="0" collapsed="false">
      <c r="C104" s="133"/>
      <c r="D104" s="59"/>
      <c r="E104" s="59"/>
      <c r="F104" s="59"/>
      <c r="G104" s="59"/>
      <c r="H104" s="59"/>
      <c r="I104" s="59"/>
      <c r="J104" s="59"/>
      <c r="K104" s="59"/>
      <c r="L104" s="59"/>
      <c r="M104" s="59"/>
    </row>
    <row r="105" customFormat="false" ht="12.75" hidden="false" customHeight="false" outlineLevel="0" collapsed="false">
      <c r="C105" s="133"/>
      <c r="D105" s="59"/>
      <c r="E105" s="59"/>
      <c r="F105" s="59"/>
      <c r="G105" s="59"/>
      <c r="H105" s="59"/>
      <c r="I105" s="59"/>
      <c r="J105" s="59"/>
      <c r="K105" s="59"/>
      <c r="L105" s="59"/>
      <c r="M105" s="59"/>
    </row>
    <row r="106" customFormat="false" ht="12.75" hidden="false" customHeight="false" outlineLevel="0" collapsed="false">
      <c r="C106" s="133"/>
      <c r="D106" s="59"/>
      <c r="E106" s="59"/>
      <c r="F106" s="59"/>
      <c r="G106" s="59"/>
      <c r="H106" s="59"/>
      <c r="I106" s="59"/>
      <c r="J106" s="59"/>
      <c r="K106" s="59"/>
      <c r="L106" s="59"/>
      <c r="M106" s="59"/>
    </row>
    <row r="107" customFormat="false" ht="12.75" hidden="false" customHeight="false" outlineLevel="0" collapsed="false">
      <c r="C107" s="133"/>
      <c r="D107" s="59"/>
      <c r="E107" s="59"/>
      <c r="F107" s="59"/>
      <c r="G107" s="59"/>
      <c r="H107" s="59"/>
      <c r="I107" s="59"/>
      <c r="J107" s="59"/>
      <c r="K107" s="59"/>
      <c r="L107" s="59"/>
      <c r="M107" s="59"/>
    </row>
    <row r="108" customFormat="false" ht="12.75" hidden="false" customHeight="false" outlineLevel="0" collapsed="false">
      <c r="C108" s="133"/>
      <c r="D108" s="59"/>
      <c r="E108" s="59"/>
      <c r="F108" s="59"/>
      <c r="G108" s="59"/>
      <c r="H108" s="59"/>
      <c r="I108" s="59"/>
      <c r="J108" s="59"/>
      <c r="K108" s="59"/>
      <c r="L108" s="59"/>
      <c r="M108" s="59"/>
    </row>
    <row r="109" customFormat="false" ht="12.75" hidden="false" customHeight="false" outlineLevel="0" collapsed="false">
      <c r="C109" s="133"/>
      <c r="D109" s="59"/>
      <c r="E109" s="59"/>
      <c r="F109" s="59"/>
      <c r="G109" s="59"/>
      <c r="H109" s="59"/>
      <c r="I109" s="59"/>
      <c r="J109" s="59"/>
      <c r="K109" s="59"/>
      <c r="L109" s="59"/>
      <c r="M109" s="59"/>
    </row>
    <row r="110" customFormat="false" ht="12.75" hidden="false" customHeight="false" outlineLevel="0" collapsed="false">
      <c r="C110" s="133"/>
      <c r="D110" s="59"/>
      <c r="E110" s="59"/>
      <c r="F110" s="59"/>
      <c r="G110" s="59"/>
      <c r="H110" s="59"/>
      <c r="I110" s="59"/>
      <c r="J110" s="59"/>
      <c r="K110" s="59"/>
      <c r="L110" s="59"/>
      <c r="M110" s="59"/>
    </row>
    <row r="111" customFormat="false" ht="12.75" hidden="false" customHeight="false" outlineLevel="0" collapsed="false">
      <c r="C111" s="133"/>
      <c r="D111" s="59"/>
      <c r="E111" s="59"/>
      <c r="F111" s="59"/>
      <c r="G111" s="59"/>
      <c r="H111" s="59"/>
      <c r="I111" s="59"/>
      <c r="J111" s="59"/>
      <c r="K111" s="59"/>
      <c r="L111" s="59"/>
      <c r="M111" s="59"/>
    </row>
    <row r="112" customFormat="false" ht="12.75" hidden="false" customHeight="false" outlineLevel="0" collapsed="false">
      <c r="C112" s="133"/>
      <c r="D112" s="59"/>
      <c r="E112" s="59"/>
      <c r="F112" s="59"/>
      <c r="G112" s="59"/>
      <c r="H112" s="59"/>
      <c r="I112" s="59"/>
      <c r="J112" s="59"/>
      <c r="K112" s="59"/>
      <c r="L112" s="59"/>
      <c r="M112" s="59"/>
    </row>
    <row r="113" customFormat="false" ht="12.75" hidden="false" customHeight="false" outlineLevel="0" collapsed="false">
      <c r="C113" s="133"/>
      <c r="D113" s="59"/>
      <c r="E113" s="59"/>
      <c r="F113" s="59"/>
      <c r="G113" s="59"/>
      <c r="H113" s="59"/>
      <c r="I113" s="59"/>
      <c r="J113" s="59"/>
      <c r="K113" s="59"/>
      <c r="L113" s="59"/>
      <c r="M113" s="59"/>
    </row>
    <row r="114" customFormat="false" ht="12.75" hidden="false" customHeight="false" outlineLevel="0" collapsed="false">
      <c r="C114" s="133"/>
      <c r="D114" s="59"/>
      <c r="E114" s="59"/>
      <c r="F114" s="59"/>
      <c r="G114" s="59"/>
      <c r="H114" s="59"/>
      <c r="I114" s="59"/>
      <c r="J114" s="59"/>
      <c r="K114" s="59"/>
      <c r="L114" s="59"/>
      <c r="M114" s="59"/>
    </row>
    <row r="115" customFormat="false" ht="12.75" hidden="false" customHeight="false" outlineLevel="0" collapsed="false">
      <c r="C115" s="133"/>
      <c r="D115" s="59"/>
      <c r="E115" s="59"/>
      <c r="F115" s="59"/>
      <c r="G115" s="59"/>
      <c r="H115" s="59"/>
      <c r="I115" s="59"/>
      <c r="J115" s="59"/>
      <c r="K115" s="59"/>
      <c r="L115" s="59"/>
      <c r="M115" s="59"/>
    </row>
    <row r="116" customFormat="false" ht="12.75" hidden="false" customHeight="false" outlineLevel="0" collapsed="false">
      <c r="C116" s="133"/>
      <c r="D116" s="59"/>
      <c r="E116" s="59"/>
      <c r="F116" s="59"/>
      <c r="G116" s="59"/>
      <c r="H116" s="59"/>
      <c r="I116" s="59"/>
      <c r="J116" s="59"/>
      <c r="K116" s="59"/>
      <c r="L116" s="59"/>
      <c r="M116" s="59"/>
    </row>
    <row r="117" customFormat="false" ht="12.75" hidden="false" customHeight="false" outlineLevel="0" collapsed="false">
      <c r="C117" s="133"/>
      <c r="D117" s="59"/>
      <c r="E117" s="59"/>
      <c r="F117" s="59"/>
      <c r="G117" s="59"/>
      <c r="H117" s="59"/>
      <c r="I117" s="59"/>
      <c r="J117" s="59"/>
      <c r="K117" s="59"/>
      <c r="L117" s="59"/>
      <c r="M117" s="59"/>
    </row>
    <row r="118" customFormat="false" ht="12.75" hidden="false" customHeight="false" outlineLevel="0" collapsed="false">
      <c r="C118" s="133"/>
      <c r="D118" s="59"/>
      <c r="E118" s="59"/>
      <c r="F118" s="59"/>
      <c r="G118" s="59"/>
      <c r="H118" s="59"/>
      <c r="I118" s="59"/>
      <c r="J118" s="59"/>
      <c r="K118" s="59"/>
      <c r="L118" s="59"/>
      <c r="M118" s="59"/>
    </row>
    <row r="119" customFormat="false" ht="12.75" hidden="false" customHeight="false" outlineLevel="0" collapsed="false">
      <c r="C119" s="133"/>
      <c r="D119" s="59"/>
      <c r="E119" s="59"/>
      <c r="F119" s="59"/>
      <c r="G119" s="59"/>
      <c r="H119" s="59"/>
      <c r="I119" s="59"/>
      <c r="J119" s="59"/>
      <c r="K119" s="59"/>
      <c r="L119" s="59"/>
      <c r="M119" s="59"/>
    </row>
    <row r="120" customFormat="false" ht="12.75" hidden="false" customHeight="false" outlineLevel="0" collapsed="false">
      <c r="C120" s="133"/>
      <c r="D120" s="59"/>
      <c r="E120" s="59"/>
      <c r="F120" s="59"/>
      <c r="G120" s="59"/>
      <c r="H120" s="59"/>
      <c r="I120" s="59"/>
      <c r="J120" s="59"/>
      <c r="K120" s="59"/>
      <c r="L120" s="59"/>
      <c r="M120" s="59"/>
    </row>
    <row r="121" customFormat="false" ht="12.75" hidden="false" customHeight="false" outlineLevel="0" collapsed="false">
      <c r="C121" s="133"/>
      <c r="D121" s="59"/>
      <c r="E121" s="59"/>
      <c r="F121" s="59"/>
      <c r="G121" s="59"/>
      <c r="H121" s="59"/>
      <c r="I121" s="59"/>
      <c r="J121" s="59"/>
      <c r="K121" s="59"/>
      <c r="L121" s="59"/>
      <c r="M121" s="59"/>
    </row>
    <row r="122" customFormat="false" ht="12.75" hidden="false" customHeight="false" outlineLevel="0" collapsed="false">
      <c r="C122" s="133"/>
      <c r="D122" s="59"/>
      <c r="E122" s="59"/>
      <c r="F122" s="59"/>
      <c r="G122" s="59"/>
      <c r="H122" s="59"/>
      <c r="I122" s="59"/>
      <c r="J122" s="59"/>
      <c r="K122" s="59"/>
      <c r="L122" s="59"/>
      <c r="M122" s="59"/>
    </row>
    <row r="123" customFormat="false" ht="12.75" hidden="false" customHeight="false" outlineLevel="0" collapsed="false">
      <c r="D123" s="59"/>
      <c r="E123" s="59"/>
      <c r="F123" s="59"/>
      <c r="G123" s="59"/>
      <c r="H123" s="59"/>
      <c r="I123" s="59"/>
      <c r="J123" s="59"/>
      <c r="K123" s="59"/>
      <c r="L123" s="59"/>
      <c r="M123" s="59"/>
    </row>
    <row r="124" customFormat="false" ht="12.75" hidden="false" customHeight="false" outlineLevel="0" collapsed="false">
      <c r="D124" s="59"/>
      <c r="E124" s="59"/>
      <c r="F124" s="59"/>
      <c r="G124" s="59"/>
      <c r="H124" s="59"/>
      <c r="I124" s="59"/>
      <c r="J124" s="59"/>
      <c r="K124" s="59"/>
      <c r="L124" s="59"/>
      <c r="M124" s="59"/>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X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G2" activeCellId="0" sqref="G2"/>
    </sheetView>
  </sheetViews>
  <sheetFormatPr defaultColWidth="9.05078125" defaultRowHeight="12.75" zeroHeight="false" outlineLevelRow="0" outlineLevelCol="0"/>
  <cols>
    <col collapsed="false" customWidth="true" hidden="false" outlineLevel="0" max="1" min="1" style="0" width="14.13"/>
    <col collapsed="false" customWidth="true" hidden="false" outlineLevel="0" max="2" min="2" style="0" width="12.99"/>
    <col collapsed="false" customWidth="true" hidden="false" outlineLevel="0" max="15" min="3" style="0" width="10.7"/>
    <col collapsed="false" customWidth="true" hidden="false" outlineLevel="0" max="20" min="16" style="0" width="10.28"/>
  </cols>
  <sheetData>
    <row r="2" customFormat="false" ht="15" hidden="false" customHeight="false" outlineLevel="0" collapsed="false">
      <c r="A2" s="122" t="s">
        <v>131</v>
      </c>
    </row>
    <row r="4" customFormat="false" ht="12.75" hidden="false" customHeight="false" outlineLevel="0" collapsed="false">
      <c r="A4" s="125" t="s">
        <v>112</v>
      </c>
      <c r="C4" s="152" t="s">
        <v>132</v>
      </c>
      <c r="D4" s="153" t="s">
        <v>133</v>
      </c>
      <c r="E4" s="154" t="s">
        <v>134</v>
      </c>
      <c r="F4" s="128" t="n">
        <f aca="false">year1</f>
        <v>2010</v>
      </c>
      <c r="G4" s="128" t="n">
        <f aca="false">F4+1</f>
        <v>2011</v>
      </c>
      <c r="H4" s="128" t="n">
        <f aca="false">G4+1</f>
        <v>2012</v>
      </c>
      <c r="I4" s="128" t="n">
        <f aca="false">H4+1</f>
        <v>2013</v>
      </c>
      <c r="J4" s="128" t="n">
        <f aca="false">I4+1</f>
        <v>2014</v>
      </c>
      <c r="K4" s="128" t="n">
        <f aca="false">J4+1</f>
        <v>2015</v>
      </c>
      <c r="L4" s="128" t="n">
        <f aca="false">K4+1</f>
        <v>2016</v>
      </c>
      <c r="M4" s="128" t="n">
        <f aca="false">L4+1</f>
        <v>2017</v>
      </c>
      <c r="N4" s="128" t="n">
        <f aca="false">M4+1</f>
        <v>2018</v>
      </c>
      <c r="O4" s="128" t="n">
        <f aca="false">N4+1</f>
        <v>2019</v>
      </c>
    </row>
    <row r="5" customFormat="false" ht="12.75" hidden="false" customHeight="false" outlineLevel="0" collapsed="false">
      <c r="A5" s="125" t="s">
        <v>113</v>
      </c>
      <c r="E5" s="155" t="n">
        <f aca="false">F5-1</f>
        <v>0</v>
      </c>
      <c r="F5" s="128" t="n">
        <v>1</v>
      </c>
      <c r="G5" s="128" t="n">
        <f aca="false">F5+1</f>
        <v>2</v>
      </c>
      <c r="H5" s="128" t="n">
        <f aca="false">G5+1</f>
        <v>3</v>
      </c>
      <c r="I5" s="128" t="n">
        <f aca="false">H5+1</f>
        <v>4</v>
      </c>
      <c r="J5" s="128" t="n">
        <f aca="false">I5+1</f>
        <v>5</v>
      </c>
      <c r="K5" s="128" t="n">
        <f aca="false">J5+1</f>
        <v>6</v>
      </c>
      <c r="L5" s="128" t="n">
        <f aca="false">K5+1</f>
        <v>7</v>
      </c>
      <c r="M5" s="128" t="n">
        <f aca="false">L5+1</f>
        <v>8</v>
      </c>
      <c r="N5" s="128" t="n">
        <f aca="false">M5+1</f>
        <v>9</v>
      </c>
      <c r="O5" s="128" t="n">
        <f aca="false">N5+1</f>
        <v>10</v>
      </c>
      <c r="P5" s="130"/>
      <c r="Q5" s="130"/>
      <c r="R5" s="130"/>
      <c r="S5" s="130"/>
      <c r="T5" s="130"/>
      <c r="U5" s="130"/>
      <c r="V5" s="130"/>
      <c r="W5" s="130"/>
      <c r="X5" s="130"/>
      <c r="Y5" s="130"/>
      <c r="Z5" s="130"/>
      <c r="AA5" s="130"/>
      <c r="AB5" s="130"/>
      <c r="AC5" s="130"/>
      <c r="AD5" s="130"/>
      <c r="AE5" s="130"/>
      <c r="AF5" s="130"/>
      <c r="AG5" s="130"/>
      <c r="AH5" s="130"/>
      <c r="AI5" s="130"/>
      <c r="AJ5" s="130"/>
      <c r="AK5" s="130"/>
      <c r="AL5" s="130"/>
      <c r="AM5" s="130"/>
      <c r="AN5" s="130"/>
      <c r="AO5" s="130"/>
      <c r="AP5" s="130"/>
      <c r="AQ5" s="130"/>
      <c r="AR5" s="130"/>
      <c r="AS5" s="130"/>
      <c r="AT5" s="130"/>
      <c r="AU5" s="130"/>
      <c r="AV5" s="130"/>
      <c r="AW5" s="130"/>
      <c r="AX5" s="130"/>
    </row>
    <row r="6" customFormat="false" ht="12.75" hidden="false" customHeight="false" outlineLevel="0" collapsed="false">
      <c r="A6" s="125"/>
      <c r="F6" s="134"/>
      <c r="G6" s="134"/>
      <c r="H6" s="134"/>
      <c r="I6" s="134"/>
      <c r="J6" s="134"/>
      <c r="K6" s="134"/>
      <c r="L6" s="134"/>
      <c r="M6" s="134"/>
      <c r="N6" s="134"/>
      <c r="O6" s="134"/>
      <c r="P6" s="130"/>
      <c r="Q6" s="130"/>
      <c r="R6" s="130"/>
      <c r="S6" s="130"/>
      <c r="T6" s="130"/>
      <c r="U6" s="130"/>
      <c r="V6" s="130"/>
      <c r="W6" s="130"/>
      <c r="X6" s="130"/>
      <c r="Y6" s="130"/>
      <c r="Z6" s="130"/>
      <c r="AA6" s="130"/>
      <c r="AB6" s="130"/>
      <c r="AC6" s="130"/>
      <c r="AD6" s="130"/>
      <c r="AE6" s="130"/>
      <c r="AF6" s="130"/>
      <c r="AG6" s="130"/>
      <c r="AH6" s="130"/>
      <c r="AI6" s="130"/>
      <c r="AJ6" s="130"/>
      <c r="AK6" s="130"/>
      <c r="AL6" s="130"/>
      <c r="AM6" s="130"/>
      <c r="AN6" s="130"/>
      <c r="AO6" s="130"/>
      <c r="AP6" s="130"/>
      <c r="AQ6" s="130"/>
      <c r="AR6" s="130"/>
      <c r="AS6" s="130"/>
      <c r="AT6" s="130"/>
      <c r="AU6" s="130"/>
      <c r="AV6" s="130"/>
      <c r="AW6" s="130"/>
      <c r="AX6" s="130"/>
    </row>
    <row r="7" customFormat="false" ht="12.75" hidden="false" customHeight="false" outlineLevel="0" collapsed="false">
      <c r="A7" s="149" t="s">
        <v>135</v>
      </c>
      <c r="E7" s="1"/>
      <c r="F7" s="156"/>
      <c r="G7" s="156"/>
      <c r="H7" s="156"/>
      <c r="I7" s="156"/>
      <c r="J7" s="156"/>
      <c r="K7" s="156"/>
      <c r="L7" s="156"/>
      <c r="M7" s="156"/>
      <c r="N7" s="156"/>
      <c r="O7" s="156"/>
      <c r="P7" s="130"/>
      <c r="Q7" s="130"/>
      <c r="R7" s="130"/>
      <c r="S7" s="130"/>
      <c r="T7" s="130"/>
      <c r="U7" s="130"/>
      <c r="V7" s="130"/>
      <c r="W7" s="130"/>
      <c r="X7" s="130"/>
      <c r="Y7" s="130"/>
      <c r="Z7" s="130"/>
      <c r="AA7" s="130"/>
      <c r="AB7" s="130"/>
      <c r="AC7" s="130"/>
      <c r="AD7" s="130"/>
      <c r="AE7" s="130"/>
      <c r="AF7" s="130"/>
      <c r="AG7" s="130"/>
      <c r="AH7" s="130"/>
      <c r="AI7" s="130"/>
      <c r="AJ7" s="130"/>
      <c r="AK7" s="130"/>
      <c r="AL7" s="130"/>
      <c r="AM7" s="130"/>
      <c r="AN7" s="130"/>
      <c r="AO7" s="130"/>
      <c r="AP7" s="130"/>
      <c r="AQ7" s="130"/>
      <c r="AR7" s="130"/>
      <c r="AS7" s="130"/>
      <c r="AT7" s="130"/>
      <c r="AU7" s="130"/>
      <c r="AV7" s="130"/>
      <c r="AW7" s="130"/>
      <c r="AX7" s="130"/>
    </row>
    <row r="8" customFormat="false" ht="12.75" hidden="false" customHeight="false" outlineLevel="0" collapsed="false">
      <c r="C8" s="133"/>
      <c r="D8" s="133"/>
      <c r="E8" s="59"/>
      <c r="F8" s="59"/>
      <c r="G8" s="59"/>
      <c r="H8" s="59"/>
      <c r="I8" s="59"/>
      <c r="J8" s="59"/>
      <c r="K8" s="59"/>
      <c r="L8" s="59"/>
      <c r="M8" s="59"/>
      <c r="N8" s="59"/>
      <c r="O8" s="59"/>
    </row>
    <row r="9" customFormat="false" ht="12.75" hidden="false" customHeight="false" outlineLevel="0" collapsed="false">
      <c r="A9" s="125" t="s">
        <v>136</v>
      </c>
      <c r="C9" s="133"/>
      <c r="D9" s="133"/>
      <c r="E9" s="59"/>
      <c r="F9" s="59"/>
      <c r="G9" s="59"/>
      <c r="H9" s="59"/>
      <c r="I9" s="59"/>
      <c r="J9" s="59"/>
      <c r="K9" s="59"/>
      <c r="L9" s="59"/>
      <c r="M9" s="59"/>
      <c r="N9" s="59"/>
      <c r="O9" s="59"/>
    </row>
    <row r="10" customFormat="false" ht="12.75" hidden="false" customHeight="false" outlineLevel="0" collapsed="false">
      <c r="A10" s="157" t="s">
        <v>137</v>
      </c>
      <c r="C10" s="151" t="n">
        <v>55000</v>
      </c>
      <c r="D10" s="59" t="n">
        <f aca="false">Input!C18-Input!C24</f>
        <v>22500</v>
      </c>
      <c r="E10" s="59" t="n">
        <f aca="false">SUM(C10:D10)</f>
        <v>77500</v>
      </c>
      <c r="F10" s="59" t="n">
        <f aca="false">Cash_Flow!D110</f>
        <v>50000</v>
      </c>
      <c r="G10" s="59" t="n">
        <f aca="false">Cash_Flow!E110</f>
        <v>50000</v>
      </c>
      <c r="H10" s="59" t="n">
        <f aca="false">Cash_Flow!F110</f>
        <v>50000</v>
      </c>
      <c r="I10" s="59" t="n">
        <f aca="false">Cash_Flow!G110</f>
        <v>50000</v>
      </c>
      <c r="J10" s="59" t="n">
        <f aca="false">Cash_Flow!H110</f>
        <v>50000</v>
      </c>
      <c r="K10" s="59" t="n">
        <f aca="false">Cash_Flow!I110</f>
        <v>50000</v>
      </c>
      <c r="L10" s="59" t="n">
        <f aca="false">Cash_Flow!J110</f>
        <v>50000</v>
      </c>
      <c r="M10" s="59" t="n">
        <f aca="false">Cash_Flow!K110</f>
        <v>134328.866027884</v>
      </c>
      <c r="N10" s="59" t="n">
        <f aca="false">Cash_Flow!L110</f>
        <v>263486.003485209</v>
      </c>
      <c r="O10" s="59" t="n">
        <f aca="false">Cash_Flow!M110</f>
        <v>352890.01909943</v>
      </c>
    </row>
    <row r="11" customFormat="false" ht="12.75" hidden="false" customHeight="false" outlineLevel="0" collapsed="false">
      <c r="A11" s="157" t="s">
        <v>41</v>
      </c>
      <c r="C11" s="151" t="n">
        <v>85000</v>
      </c>
      <c r="D11" s="59"/>
      <c r="E11" s="59" t="n">
        <f aca="false">SUM(C11:D11)</f>
        <v>85000</v>
      </c>
      <c r="F11" s="59" t="n">
        <f aca="false">Inc_St!D8*acc_recv*(1+acc_recv_ann_incr)^(F5-1)</f>
        <v>198000</v>
      </c>
      <c r="G11" s="59" t="n">
        <f aca="false">Inc_St!E8*acc_recv*(1+acc_recv_ann_incr)^(G5-1)</f>
        <v>228690</v>
      </c>
      <c r="H11" s="59" t="n">
        <f aca="false">Inc_St!F8*acc_recv*(1+acc_recv_ann_incr)^(H5-1)</f>
        <v>264136.95</v>
      </c>
      <c r="I11" s="59" t="n">
        <f aca="false">Inc_St!G8*acc_recv*(1+acc_recv_ann_incr)^(I5-1)</f>
        <v>305078.17725</v>
      </c>
      <c r="J11" s="59" t="n">
        <f aca="false">Inc_St!H8*acc_recv*(1+acc_recv_ann_incr)^(J5-1)</f>
        <v>352365.29472375</v>
      </c>
      <c r="K11" s="59" t="n">
        <f aca="false">Inc_St!I8*acc_recv*(1+acc_recv_ann_incr)^(K5-1)</f>
        <v>406981.915405932</v>
      </c>
      <c r="L11" s="59" t="n">
        <f aca="false">Inc_St!J8*acc_recv*(1+acc_recv_ann_incr)^(L5-1)</f>
        <v>470064.112293851</v>
      </c>
      <c r="M11" s="59" t="n">
        <f aca="false">Inc_St!K8*acc_recv*(1+acc_recv_ann_incr)^(M5-1)</f>
        <v>542924.049699398</v>
      </c>
      <c r="N11" s="59" t="n">
        <f aca="false">Inc_St!L8*acc_recv*(1+acc_recv_ann_incr)^(N5-1)</f>
        <v>627077.277402805</v>
      </c>
      <c r="O11" s="59" t="n">
        <f aca="false">Inc_St!M8*acc_recv*(1+acc_recv_ann_incr)^(O5-1)</f>
        <v>724274.25540024</v>
      </c>
    </row>
    <row r="12" customFormat="false" ht="12.75" hidden="false" customHeight="false" outlineLevel="0" collapsed="false">
      <c r="A12" s="157" t="s">
        <v>44</v>
      </c>
      <c r="C12" s="151" t="n">
        <v>95999</v>
      </c>
      <c r="D12" s="59"/>
      <c r="E12" s="59" t="n">
        <f aca="false">SUM(C12:D12)</f>
        <v>95999</v>
      </c>
      <c r="F12" s="59" t="n">
        <f aca="false">Inc_St!D10*inventories*(1+inventories_ann_incr)^(F5-1)</f>
        <v>99000</v>
      </c>
      <c r="G12" s="59" t="n">
        <f aca="false">Inc_St!E10*inventories*(1+inventories_ann_incr)^(G5-1)</f>
        <v>113539.14</v>
      </c>
      <c r="H12" s="59" t="n">
        <f aca="false">Inc_St!F10*inventories*(1+inventories_ann_incr)^(H5-1)</f>
        <v>130213.4981004</v>
      </c>
      <c r="I12" s="59" t="n">
        <f aca="false">Inc_St!G10*inventories*(1+inventories_ann_incr)^(I5-1)</f>
        <v>149336.652431425</v>
      </c>
      <c r="J12" s="59" t="n">
        <f aca="false">Inc_St!H10*inventories*(1+inventories_ann_incr)^(J5-1)</f>
        <v>171268.233207504</v>
      </c>
      <c r="K12" s="59" t="n">
        <f aca="false">Inc_St!I10*inventories*(1+inventories_ann_incr)^(K5-1)</f>
        <v>196420.685936358</v>
      </c>
      <c r="L12" s="59" t="n">
        <f aca="false">Inc_St!J10*inventories*(1+inventories_ann_incr)^(L5-1)</f>
        <v>225267.027872971</v>
      </c>
      <c r="M12" s="59" t="n">
        <f aca="false">Inc_St!K10*inventories*(1+inventories_ann_incr)^(M5-1)</f>
        <v>258349.743586396</v>
      </c>
      <c r="N12" s="59" t="n">
        <f aca="false">Inc_St!L10*inventories*(1+inventories_ann_incr)^(N5-1)</f>
        <v>296290.986929494</v>
      </c>
      <c r="O12" s="59" t="n">
        <f aca="false">Inc_St!M10*inventories*(1+inventories_ann_incr)^(O5-1)</f>
        <v>339804.28126996</v>
      </c>
    </row>
    <row r="13" customFormat="false" ht="12.75" hidden="false" customHeight="false" outlineLevel="0" collapsed="false">
      <c r="A13" s="157" t="s">
        <v>47</v>
      </c>
      <c r="C13" s="151" t="n">
        <v>22000</v>
      </c>
      <c r="D13" s="59"/>
      <c r="E13" s="59" t="n">
        <f aca="false">SUM(C13:D13)</f>
        <v>22000</v>
      </c>
      <c r="F13" s="59" t="n">
        <f aca="false">Inc_St!D8*prepaids*(1+prepaids_ann_incr)^(F5-1)</f>
        <v>49500</v>
      </c>
      <c r="G13" s="59" t="n">
        <f aca="false">Inc_St!E8*prepaids*(1+prepaids_ann_incr)^(G5-1)</f>
        <v>55539</v>
      </c>
      <c r="H13" s="59" t="n">
        <f aca="false">Inc_St!F8*prepaids*(1+prepaids_ann_incr)^(H5-1)</f>
        <v>62314.758</v>
      </c>
      <c r="I13" s="59" t="n">
        <f aca="false">Inc_St!G8*prepaids*(1+prepaids_ann_incr)^(I5-1)</f>
        <v>69917.158476</v>
      </c>
      <c r="J13" s="59" t="n">
        <f aca="false">Inc_St!H8*prepaids*(1+prepaids_ann_incr)^(J5-1)</f>
        <v>78447.051810072</v>
      </c>
      <c r="K13" s="59" t="n">
        <f aca="false">Inc_St!I8*prepaids*(1+prepaids_ann_incr)^(K5-1)</f>
        <v>88017.5921309008</v>
      </c>
      <c r="L13" s="59" t="n">
        <f aca="false">Inc_St!J8*prepaids*(1+prepaids_ann_incr)^(L5-1)</f>
        <v>98755.7383708707</v>
      </c>
      <c r="M13" s="59" t="n">
        <f aca="false">Inc_St!K8*prepaids*(1+prepaids_ann_incr)^(M5-1)</f>
        <v>110803.938452117</v>
      </c>
      <c r="N13" s="59" t="n">
        <f aca="false">Inc_St!L8*prepaids*(1+prepaids_ann_incr)^(N5-1)</f>
        <v>124322.018943275</v>
      </c>
      <c r="O13" s="59" t="n">
        <f aca="false">Inc_St!M8*prepaids*(1+prepaids_ann_incr)^(O5-1)</f>
        <v>139489.305254355</v>
      </c>
    </row>
    <row r="14" customFormat="false" ht="12.75" hidden="false" customHeight="false" outlineLevel="0" collapsed="false">
      <c r="A14" s="157" t="s">
        <v>53</v>
      </c>
      <c r="C14" s="151" t="n">
        <v>45000</v>
      </c>
      <c r="D14" s="59"/>
      <c r="E14" s="59" t="n">
        <f aca="false">SUM(C14:D14)</f>
        <v>45000</v>
      </c>
      <c r="F14" s="59" t="n">
        <f aca="false">Inc_St!D8*other_curr_assets*(1+other_curr_assets_ann_incr)^(F5-1)</f>
        <v>132000</v>
      </c>
      <c r="G14" s="59" t="n">
        <f aca="false">Inc_St!E8*other_curr_assets*(1+other_curr_assets_ann_incr)^(G5-1)</f>
        <v>148830</v>
      </c>
      <c r="H14" s="59" t="n">
        <f aca="false">Inc_St!F8*other_curr_assets*(1+other_curr_assets_ann_incr)^(H5-1)</f>
        <v>167805.825</v>
      </c>
      <c r="I14" s="59" t="n">
        <f aca="false">Inc_St!G8*other_curr_assets*(1+other_curr_assets_ann_incr)^(I5-1)</f>
        <v>189201.0676875</v>
      </c>
      <c r="J14" s="59" t="n">
        <f aca="false">Inc_St!H8*other_curr_assets*(1+other_curr_assets_ann_incr)^(J5-1)</f>
        <v>213324.203817656</v>
      </c>
      <c r="K14" s="59" t="n">
        <f aca="false">Inc_St!I8*other_curr_assets*(1+other_curr_assets_ann_incr)^(K5-1)</f>
        <v>240523.039804407</v>
      </c>
      <c r="L14" s="59" t="n">
        <f aca="false">Inc_St!J8*other_curr_assets*(1+other_curr_assets_ann_incr)^(L5-1)</f>
        <v>271189.727379469</v>
      </c>
      <c r="M14" s="59" t="n">
        <f aca="false">Inc_St!K8*other_curr_assets*(1+other_curr_assets_ann_incr)^(M5-1)</f>
        <v>305766.417620352</v>
      </c>
      <c r="N14" s="59" t="n">
        <f aca="false">Inc_St!L8*other_curr_assets*(1+other_curr_assets_ann_incr)^(N5-1)</f>
        <v>344751.635866947</v>
      </c>
      <c r="O14" s="59" t="n">
        <f aca="false">Inc_St!M8*other_curr_assets*(1+other_curr_assets_ann_incr)^(O5-1)</f>
        <v>388707.469439982</v>
      </c>
    </row>
    <row r="15" customFormat="false" ht="12.75" hidden="false" customHeight="false" outlineLevel="0" collapsed="false">
      <c r="A15" s="125"/>
      <c r="C15" s="59"/>
      <c r="D15" s="59"/>
      <c r="E15" s="59"/>
      <c r="F15" s="59"/>
      <c r="G15" s="59"/>
      <c r="H15" s="59"/>
      <c r="I15" s="59"/>
      <c r="J15" s="59"/>
      <c r="K15" s="59"/>
      <c r="L15" s="59"/>
      <c r="M15" s="59"/>
      <c r="N15" s="59"/>
      <c r="O15" s="59"/>
    </row>
    <row r="16" customFormat="false" ht="12.75" hidden="false" customHeight="false" outlineLevel="0" collapsed="false">
      <c r="A16" s="125" t="s">
        <v>138</v>
      </c>
      <c r="C16" s="59" t="n">
        <f aca="false">SUM(C10:C14)</f>
        <v>302999</v>
      </c>
      <c r="D16" s="59"/>
      <c r="E16" s="59" t="n">
        <f aca="false">SUM(E10:E14)</f>
        <v>325499</v>
      </c>
      <c r="F16" s="59" t="n">
        <f aca="false">SUM(F10:F14)</f>
        <v>528500</v>
      </c>
      <c r="G16" s="59" t="n">
        <f aca="false">SUM(G10:G14)</f>
        <v>596598.14</v>
      </c>
      <c r="H16" s="59" t="n">
        <f aca="false">SUM(H10:H14)</f>
        <v>674471.0311004</v>
      </c>
      <c r="I16" s="59" t="n">
        <f aca="false">SUM(I10:I14)</f>
        <v>763533.055844925</v>
      </c>
      <c r="J16" s="59" t="n">
        <f aca="false">SUM(J10:J14)</f>
        <v>865404.783558982</v>
      </c>
      <c r="K16" s="59" t="n">
        <f aca="false">SUM(K10:K14)</f>
        <v>981943.233277598</v>
      </c>
      <c r="L16" s="59" t="n">
        <f aca="false">SUM(L10:L14)</f>
        <v>1115276.60591716</v>
      </c>
      <c r="M16" s="59" t="n">
        <f aca="false">SUM(M10:M14)</f>
        <v>1352173.01538615</v>
      </c>
      <c r="N16" s="59" t="n">
        <f aca="false">SUM(N10:N14)</f>
        <v>1655927.92262773</v>
      </c>
      <c r="O16" s="59" t="n">
        <f aca="false">SUM(O10:O14)</f>
        <v>1945165.33046397</v>
      </c>
    </row>
    <row r="17" customFormat="false" ht="12.75" hidden="false" customHeight="false" outlineLevel="0" collapsed="false">
      <c r="C17" s="59"/>
      <c r="D17" s="59"/>
      <c r="E17" s="59"/>
      <c r="F17" s="59"/>
      <c r="G17" s="59"/>
      <c r="H17" s="59"/>
      <c r="I17" s="59"/>
      <c r="J17" s="59"/>
      <c r="K17" s="59"/>
      <c r="L17" s="59"/>
      <c r="M17" s="59"/>
      <c r="N17" s="59"/>
      <c r="O17" s="59"/>
    </row>
    <row r="18" customFormat="false" ht="12.75" hidden="false" customHeight="false" outlineLevel="0" collapsed="false">
      <c r="A18" s="125" t="s">
        <v>139</v>
      </c>
      <c r="C18" s="59"/>
      <c r="D18" s="59"/>
      <c r="E18" s="59"/>
      <c r="F18" s="59"/>
      <c r="G18" s="59"/>
      <c r="H18" s="59"/>
      <c r="I18" s="59"/>
      <c r="J18" s="59"/>
      <c r="K18" s="59"/>
      <c r="L18" s="59"/>
      <c r="M18" s="59"/>
      <c r="N18" s="59"/>
      <c r="O18" s="59"/>
    </row>
    <row r="19" customFormat="false" ht="12.75" hidden="false" customHeight="false" outlineLevel="0" collapsed="false">
      <c r="A19" s="145" t="s">
        <v>140</v>
      </c>
      <c r="C19" s="151" t="n">
        <v>20000</v>
      </c>
      <c r="D19" s="59" t="n">
        <f aca="false">-C19+Input!C53</f>
        <v>191478.5</v>
      </c>
      <c r="E19" s="59" t="n">
        <f aca="false">SUM(C19:D19)</f>
        <v>211478.5</v>
      </c>
      <c r="F19" s="59" t="n">
        <f aca="false">E19-Depr_Amort!F43</f>
        <v>211478.5</v>
      </c>
      <c r="G19" s="59" t="n">
        <f aca="false">F19-Depr_Amort!G43</f>
        <v>211478.5</v>
      </c>
      <c r="H19" s="59" t="n">
        <f aca="false">G19-Depr_Amort!H43</f>
        <v>211478.5</v>
      </c>
      <c r="I19" s="59" t="n">
        <f aca="false">H19-Depr_Amort!I43</f>
        <v>211478.5</v>
      </c>
      <c r="J19" s="59" t="n">
        <f aca="false">I19-Depr_Amort!J43</f>
        <v>211478.5</v>
      </c>
      <c r="K19" s="59" t="n">
        <f aca="false">J19-Depr_Amort!K43</f>
        <v>211478.5</v>
      </c>
      <c r="L19" s="59" t="n">
        <f aca="false">K19-Depr_Amort!L43</f>
        <v>211478.5</v>
      </c>
      <c r="M19" s="59" t="n">
        <f aca="false">L19-Depr_Amort!M43</f>
        <v>211478.5</v>
      </c>
      <c r="N19" s="59" t="n">
        <f aca="false">M19-Depr_Amort!N43</f>
        <v>211478.5</v>
      </c>
      <c r="O19" s="59" t="n">
        <f aca="false">N19-Depr_Amort!O43</f>
        <v>211478.5</v>
      </c>
    </row>
    <row r="20" customFormat="false" ht="12.75" hidden="false" customHeight="false" outlineLevel="0" collapsed="false">
      <c r="A20" s="145" t="s">
        <v>141</v>
      </c>
      <c r="C20" s="151" t="n">
        <v>950</v>
      </c>
      <c r="D20" s="59" t="n">
        <f aca="false">Input!C50</f>
        <v>1200</v>
      </c>
      <c r="E20" s="59" t="n">
        <f aca="false">SUM(C20:D20)</f>
        <v>2150</v>
      </c>
      <c r="F20" s="59" t="n">
        <f aca="false">E20-Depr_Amort!F42</f>
        <v>1970.83333333333</v>
      </c>
      <c r="G20" s="59" t="n">
        <f aca="false">F20-Depr_Amort!G42</f>
        <v>1791.66666666667</v>
      </c>
      <c r="H20" s="59" t="n">
        <f aca="false">G20-Depr_Amort!H42</f>
        <v>1612.5</v>
      </c>
      <c r="I20" s="59" t="n">
        <f aca="false">H20-Depr_Amort!I42</f>
        <v>1433.33333333333</v>
      </c>
      <c r="J20" s="59" t="n">
        <f aca="false">I20-Depr_Amort!J42</f>
        <v>1254.16666666667</v>
      </c>
      <c r="K20" s="59" t="n">
        <f aca="false">J20-Depr_Amort!K42</f>
        <v>1075</v>
      </c>
      <c r="L20" s="59" t="n">
        <f aca="false">K20-Depr_Amort!L42</f>
        <v>895.833333333333</v>
      </c>
      <c r="M20" s="59" t="n">
        <f aca="false">L20-Depr_Amort!M42</f>
        <v>716.666666666666</v>
      </c>
      <c r="N20" s="59" t="n">
        <f aca="false">M20-Depr_Amort!N42</f>
        <v>537.5</v>
      </c>
      <c r="O20" s="59" t="n">
        <f aca="false">N20-Depr_Amort!O42</f>
        <v>358.333333333333</v>
      </c>
    </row>
    <row r="21" customFormat="false" ht="12.75" hidden="false" customHeight="false" outlineLevel="0" collapsed="false">
      <c r="A21" s="145" t="str">
        <f aca="false">Input!A17</f>
        <v>Capitalized Financing Costs</v>
      </c>
      <c r="C21" s="59" t="n">
        <v>0</v>
      </c>
      <c r="D21" s="59" t="n">
        <f aca="false">Input!Q34</f>
        <v>10887.5</v>
      </c>
      <c r="E21" s="59" t="n">
        <f aca="false">SUM(C21:D21)</f>
        <v>10887.5</v>
      </c>
      <c r="F21" s="59" t="n">
        <f aca="false">E21-Depr_Amort!F45</f>
        <v>9834.72222222222</v>
      </c>
      <c r="G21" s="59" t="n">
        <f aca="false">F21-Depr_Amort!G45</f>
        <v>8781.94444444445</v>
      </c>
      <c r="H21" s="59" t="n">
        <f aca="false">G21-Depr_Amort!H45</f>
        <v>6979.16666666667</v>
      </c>
      <c r="I21" s="59" t="n">
        <f aca="false">H21-Depr_Amort!I45</f>
        <v>5463.88888888889</v>
      </c>
      <c r="J21" s="59" t="n">
        <f aca="false">I21-Depr_Amort!J45</f>
        <v>4070.83333333334</v>
      </c>
      <c r="K21" s="59" t="n">
        <f aca="false">J21-Depr_Amort!K45</f>
        <v>1800</v>
      </c>
      <c r="L21" s="59" t="n">
        <f aca="false">K21-Depr_Amort!L45</f>
        <v>1350</v>
      </c>
      <c r="M21" s="59" t="n">
        <f aca="false">L21-Depr_Amort!M45</f>
        <v>900.000000000001</v>
      </c>
      <c r="N21" s="59" t="n">
        <f aca="false">M21-Depr_Amort!N45</f>
        <v>450.000000000001</v>
      </c>
      <c r="O21" s="59" t="n">
        <f aca="false">N21-Depr_Amort!O45</f>
        <v>0</v>
      </c>
    </row>
    <row r="22" customFormat="false" ht="12.75" hidden="false" customHeight="false" outlineLevel="0" collapsed="false">
      <c r="A22" s="145" t="s">
        <v>142</v>
      </c>
      <c r="C22" s="151" t="n">
        <v>15000</v>
      </c>
      <c r="D22" s="59"/>
      <c r="E22" s="59" t="n">
        <f aca="false">SUM(C22:D22)</f>
        <v>15000</v>
      </c>
      <c r="F22" s="59" t="n">
        <f aca="false">Inc_St!D8*other_longterm_assets*(1+other_longterm_assets_ann_incr)^(F5-1)</f>
        <v>44000</v>
      </c>
      <c r="G22" s="59" t="n">
        <f aca="false">Inc_St!E8*other_longterm_assets*(1+other_longterm_assets_ann_incr)^(G5-1)</f>
        <v>48642</v>
      </c>
      <c r="H22" s="59" t="n">
        <f aca="false">Inc_St!F8*other_longterm_assets*(1+other_longterm_assets_ann_incr)^(H5-1)</f>
        <v>53773.731</v>
      </c>
      <c r="I22" s="59" t="n">
        <f aca="false">Inc_St!G8*other_longterm_assets*(1+other_longterm_assets_ann_incr)^(I5-1)</f>
        <v>59446.8596205</v>
      </c>
      <c r="J22" s="59" t="n">
        <f aca="false">Inc_St!H8*other_longterm_assets*(1+other_longterm_assets_ann_incr)^(J5-1)</f>
        <v>65718.5033104628</v>
      </c>
      <c r="K22" s="59" t="n">
        <f aca="false">Inc_St!I8*other_longterm_assets*(1+other_longterm_assets_ann_incr)^(K5-1)</f>
        <v>72651.8054097166</v>
      </c>
      <c r="L22" s="59" t="n">
        <f aca="false">Inc_St!J8*other_longterm_assets*(1+other_longterm_assets_ann_incr)^(L5-1)</f>
        <v>80316.5708804417</v>
      </c>
      <c r="M22" s="59" t="n">
        <f aca="false">Inc_St!K8*other_longterm_assets*(1+other_longterm_assets_ann_incr)^(M5-1)</f>
        <v>88789.9691083283</v>
      </c>
      <c r="N22" s="59" t="n">
        <f aca="false">Inc_St!L8*other_longterm_assets*(1+other_longterm_assets_ann_incr)^(N5-1)</f>
        <v>98157.3108492569</v>
      </c>
      <c r="O22" s="59" t="n">
        <f aca="false">Inc_St!M8*other_longterm_assets*(1+other_longterm_assets_ann_incr)^(O5-1)</f>
        <v>108512.907143854</v>
      </c>
    </row>
    <row r="23" customFormat="false" ht="12.75" hidden="false" customHeight="false" outlineLevel="0" collapsed="false">
      <c r="A23" s="125" t="s">
        <v>143</v>
      </c>
      <c r="C23" s="59"/>
      <c r="D23" s="59"/>
      <c r="E23" s="59"/>
      <c r="F23" s="59"/>
      <c r="G23" s="59"/>
      <c r="H23" s="59"/>
      <c r="I23" s="59"/>
      <c r="J23" s="59"/>
      <c r="K23" s="59"/>
      <c r="L23" s="59"/>
      <c r="M23" s="59"/>
      <c r="N23" s="59"/>
      <c r="O23" s="59"/>
    </row>
    <row r="24" customFormat="false" ht="12.75" hidden="false" customHeight="false" outlineLevel="0" collapsed="false">
      <c r="A24" s="157" t="s">
        <v>144</v>
      </c>
      <c r="C24" s="151" t="n">
        <v>500000</v>
      </c>
      <c r="D24" s="59" t="n">
        <f aca="false">Input!C49</f>
        <v>2450</v>
      </c>
      <c r="E24" s="59" t="n">
        <f aca="false">SUM(C24:D24)</f>
        <v>502450</v>
      </c>
      <c r="F24" s="59" t="n">
        <f aca="false">E24</f>
        <v>502450</v>
      </c>
      <c r="G24" s="59" t="n">
        <f aca="false">F24+F25</f>
        <v>612450</v>
      </c>
      <c r="H24" s="59" t="n">
        <f aca="false">G24+G25</f>
        <v>733450</v>
      </c>
      <c r="I24" s="59" t="n">
        <f aca="false">H24+H25</f>
        <v>866550</v>
      </c>
      <c r="J24" s="59" t="n">
        <f aca="false">I24+I25</f>
        <v>1012960</v>
      </c>
      <c r="K24" s="59" t="n">
        <f aca="false">J24+J25</f>
        <v>1174011</v>
      </c>
      <c r="L24" s="59" t="n">
        <f aca="false">K24+K25</f>
        <v>1351167.1</v>
      </c>
      <c r="M24" s="59" t="n">
        <f aca="false">L24+L25</f>
        <v>1546038.81</v>
      </c>
      <c r="N24" s="59" t="n">
        <f aca="false">M24+M25</f>
        <v>1760397.691</v>
      </c>
      <c r="O24" s="59" t="n">
        <f aca="false">N24+N25</f>
        <v>1996192.4601</v>
      </c>
    </row>
    <row r="25" customFormat="false" ht="12.75" hidden="false" customHeight="false" outlineLevel="0" collapsed="false">
      <c r="A25" s="157" t="s">
        <v>73</v>
      </c>
      <c r="C25" s="59" t="n">
        <v>0</v>
      </c>
      <c r="D25" s="59"/>
      <c r="E25" s="59" t="n">
        <f aca="false">SUM(C25:D25)</f>
        <v>0</v>
      </c>
      <c r="F25" s="59" t="n">
        <f aca="false">Depr_Amort!B24</f>
        <v>110000</v>
      </c>
      <c r="G25" s="59" t="n">
        <f aca="false">Depr_Amort!B25</f>
        <v>121000</v>
      </c>
      <c r="H25" s="59" t="n">
        <f aca="false">Depr_Amort!B26</f>
        <v>133100</v>
      </c>
      <c r="I25" s="59" t="n">
        <f aca="false">Depr_Amort!B27</f>
        <v>146410</v>
      </c>
      <c r="J25" s="59" t="n">
        <f aca="false">Depr_Amort!B28</f>
        <v>161051</v>
      </c>
      <c r="K25" s="59" t="n">
        <f aca="false">Depr_Amort!B29</f>
        <v>177156.1</v>
      </c>
      <c r="L25" s="59" t="n">
        <f aca="false">Depr_Amort!B30</f>
        <v>194871.71</v>
      </c>
      <c r="M25" s="59" t="n">
        <f aca="false">Depr_Amort!B31</f>
        <v>214358.881</v>
      </c>
      <c r="N25" s="59" t="n">
        <f aca="false">Depr_Amort!B32</f>
        <v>235794.7691</v>
      </c>
      <c r="O25" s="59" t="n">
        <f aca="false">Depr_Amort!B33</f>
        <v>259374.24601</v>
      </c>
    </row>
    <row r="26" customFormat="false" ht="12.75" hidden="false" customHeight="false" outlineLevel="0" collapsed="false">
      <c r="A26" s="157" t="s">
        <v>145</v>
      </c>
      <c r="C26" s="59" t="n">
        <v>0</v>
      </c>
      <c r="D26" s="59"/>
      <c r="E26" s="59" t="n">
        <f aca="false">SUM(C26:D26)</f>
        <v>0</v>
      </c>
      <c r="F26" s="59" t="n">
        <f aca="false">Depr_Amort!F39</f>
        <v>72745</v>
      </c>
      <c r="G26" s="59" t="n">
        <f aca="false">Depr_Amort!G39</f>
        <v>84845</v>
      </c>
      <c r="H26" s="59" t="n">
        <f aca="false">Depr_Amort!H39</f>
        <v>93718.3333333333</v>
      </c>
      <c r="I26" s="59" t="n">
        <f aca="false">Depr_Amort!I39</f>
        <v>104176.19047619</v>
      </c>
      <c r="J26" s="59" t="n">
        <f aca="false">Depr_Amort!J39</f>
        <v>117597.107142857</v>
      </c>
      <c r="K26" s="59" t="n">
        <f aca="false">Depr_Amort!K39</f>
        <v>128669.363392857</v>
      </c>
      <c r="L26" s="59" t="n">
        <f aca="false">Depr_Amort!L39</f>
        <v>101352.477392857</v>
      </c>
      <c r="M26" s="59" t="n">
        <f aca="false">Depr_Amort!M39</f>
        <v>115643.069459524</v>
      </c>
      <c r="N26" s="59" t="n">
        <f aca="false">Depr_Amort!N39</f>
        <v>127867.633551191</v>
      </c>
      <c r="O26" s="59" t="n">
        <f aca="false">Depr_Amort!O39</f>
        <v>149482.154052024</v>
      </c>
      <c r="P26" s="125"/>
    </row>
    <row r="27" customFormat="false" ht="12.75" hidden="false" customHeight="false" outlineLevel="0" collapsed="false">
      <c r="A27" s="157" t="s">
        <v>146</v>
      </c>
      <c r="C27" s="151" t="n">
        <v>25000</v>
      </c>
      <c r="D27" s="59"/>
      <c r="E27" s="59" t="n">
        <f aca="false">SUM(C27:D27)</f>
        <v>25000</v>
      </c>
      <c r="F27" s="59" t="n">
        <f aca="false">E27+F26</f>
        <v>97745</v>
      </c>
      <c r="G27" s="59" t="n">
        <f aca="false">F27+G26</f>
        <v>182590</v>
      </c>
      <c r="H27" s="59" t="n">
        <f aca="false">G27+H26</f>
        <v>276308.333333333</v>
      </c>
      <c r="I27" s="59" t="n">
        <f aca="false">H27+I26</f>
        <v>380484.523809524</v>
      </c>
      <c r="J27" s="59" t="n">
        <f aca="false">I27+J26</f>
        <v>498081.630952381</v>
      </c>
      <c r="K27" s="59" t="n">
        <f aca="false">J27+K26</f>
        <v>626750.994345238</v>
      </c>
      <c r="L27" s="59" t="n">
        <f aca="false">K27+L26</f>
        <v>728103.471738095</v>
      </c>
      <c r="M27" s="59" t="n">
        <f aca="false">L27+M26</f>
        <v>843746.541197619</v>
      </c>
      <c r="N27" s="59" t="n">
        <f aca="false">M27+N26</f>
        <v>971614.17474881</v>
      </c>
      <c r="O27" s="59" t="n">
        <f aca="false">N27+O26</f>
        <v>1121096.32880083</v>
      </c>
    </row>
    <row r="28" customFormat="false" ht="12.75" hidden="false" customHeight="false" outlineLevel="0" collapsed="false">
      <c r="A28" s="157" t="s">
        <v>147</v>
      </c>
      <c r="C28" s="59" t="n">
        <f aca="false">C24+C25-C27</f>
        <v>475000</v>
      </c>
      <c r="D28" s="59"/>
      <c r="E28" s="59" t="n">
        <f aca="false">E24+E25-E27</f>
        <v>477450</v>
      </c>
      <c r="F28" s="59" t="n">
        <f aca="false">F24+F25-F27</f>
        <v>514705</v>
      </c>
      <c r="G28" s="59" t="n">
        <f aca="false">G24+G25-G27</f>
        <v>550860</v>
      </c>
      <c r="H28" s="59" t="n">
        <f aca="false">H24+H25-H27</f>
        <v>590241.666666667</v>
      </c>
      <c r="I28" s="59" t="n">
        <f aca="false">I24+I25-I27</f>
        <v>632475.476190476</v>
      </c>
      <c r="J28" s="59" t="n">
        <f aca="false">J24+J25-J27</f>
        <v>675929.369047619</v>
      </c>
      <c r="K28" s="59" t="n">
        <f aca="false">K24+K25-K27</f>
        <v>724416.105654762</v>
      </c>
      <c r="L28" s="59" t="n">
        <f aca="false">L24+L25-L27</f>
        <v>817935.338261905</v>
      </c>
      <c r="M28" s="59" t="n">
        <f aca="false">M24+M25-M27</f>
        <v>916651.149802381</v>
      </c>
      <c r="N28" s="59" t="n">
        <f aca="false">N24+N25-N27</f>
        <v>1024578.28535119</v>
      </c>
      <c r="O28" s="59" t="n">
        <f aca="false">O24+O25-O27</f>
        <v>1134470.37730917</v>
      </c>
    </row>
    <row r="29" customFormat="false" ht="12.75" hidden="false" customHeight="false" outlineLevel="0" collapsed="false">
      <c r="C29" s="59"/>
      <c r="D29" s="59"/>
      <c r="E29" s="59"/>
      <c r="F29" s="59"/>
      <c r="G29" s="59"/>
      <c r="H29" s="59"/>
      <c r="I29" s="59"/>
      <c r="J29" s="59"/>
      <c r="K29" s="59"/>
      <c r="L29" s="59"/>
      <c r="M29" s="59"/>
      <c r="N29" s="59"/>
      <c r="O29" s="59"/>
    </row>
    <row r="30" customFormat="false" ht="12.75" hidden="false" customHeight="false" outlineLevel="0" collapsed="false">
      <c r="A30" s="125" t="s">
        <v>148</v>
      </c>
      <c r="C30" s="59" t="n">
        <f aca="false">SUM(C19,C20,C21,C22,C28)</f>
        <v>510950</v>
      </c>
      <c r="D30" s="59"/>
      <c r="E30" s="59" t="n">
        <f aca="false">SUM(E19,E20,E21,E22,E28)</f>
        <v>716966</v>
      </c>
      <c r="F30" s="59" t="n">
        <f aca="false">SUM(F19,F20,F21,F22,F28)</f>
        <v>781989.055555556</v>
      </c>
      <c r="G30" s="59" t="n">
        <f aca="false">SUM(G19,G20,G21,G22,G28)</f>
        <v>821554.111111111</v>
      </c>
      <c r="H30" s="59" t="n">
        <f aca="false">SUM(H19,H20,H21,H22,H28)</f>
        <v>864085.564333333</v>
      </c>
      <c r="I30" s="59" t="n">
        <f aca="false">SUM(I19,I20,I21,I22,I28)</f>
        <v>910298.058033199</v>
      </c>
      <c r="J30" s="59" t="n">
        <f aca="false">SUM(J19,J20,J21,J22,J28)</f>
        <v>958451.372358082</v>
      </c>
      <c r="K30" s="59" t="n">
        <f aca="false">SUM(K19,K20,K21,K22,K28)</f>
        <v>1011421.41106448</v>
      </c>
      <c r="L30" s="59" t="n">
        <f aca="false">SUM(L19,L20,L21,L22,L28)</f>
        <v>1111976.24247568</v>
      </c>
      <c r="M30" s="59" t="n">
        <f aca="false">SUM(M19,M20,M21,M22,M28)</f>
        <v>1218536.28557738</v>
      </c>
      <c r="N30" s="59" t="n">
        <f aca="false">SUM(N19,N20,N21,N22,N28)</f>
        <v>1335201.59620045</v>
      </c>
      <c r="O30" s="59" t="n">
        <f aca="false">SUM(O19,O20,O21,O22,O28)</f>
        <v>1454820.11778635</v>
      </c>
    </row>
    <row r="31" customFormat="false" ht="12.75" hidden="false" customHeight="false" outlineLevel="0" collapsed="false">
      <c r="C31" s="59"/>
      <c r="D31" s="59"/>
      <c r="E31" s="59"/>
      <c r="F31" s="59"/>
      <c r="G31" s="59"/>
      <c r="H31" s="59"/>
      <c r="I31" s="59"/>
      <c r="J31" s="59"/>
      <c r="K31" s="59"/>
      <c r="L31" s="59"/>
      <c r="M31" s="59"/>
      <c r="N31" s="59"/>
      <c r="O31" s="59"/>
    </row>
    <row r="32" customFormat="false" ht="12.75" hidden="false" customHeight="false" outlineLevel="0" collapsed="false">
      <c r="A32" s="149" t="s">
        <v>149</v>
      </c>
      <c r="C32" s="158" t="n">
        <f aca="false">SUM(C16,C30)</f>
        <v>813949</v>
      </c>
      <c r="D32" s="158" t="n">
        <f aca="false">SUM(D10:D31)</f>
        <v>228516</v>
      </c>
      <c r="E32" s="158" t="n">
        <f aca="false">SUM(E16,E30)</f>
        <v>1042465</v>
      </c>
      <c r="F32" s="158" t="n">
        <f aca="false">SUM(F16,F30)</f>
        <v>1310489.05555556</v>
      </c>
      <c r="G32" s="158" t="n">
        <f aca="false">SUM(G16,G30)</f>
        <v>1418152.25111111</v>
      </c>
      <c r="H32" s="158" t="n">
        <f aca="false">SUM(H16,H30)</f>
        <v>1538556.59543373</v>
      </c>
      <c r="I32" s="158" t="n">
        <f aca="false">SUM(I16,I30)</f>
        <v>1673831.11387812</v>
      </c>
      <c r="J32" s="158" t="n">
        <f aca="false">SUM(J16,J30)</f>
        <v>1823856.15591706</v>
      </c>
      <c r="K32" s="158" t="n">
        <f aca="false">SUM(K16,K30)</f>
        <v>1993364.64434208</v>
      </c>
      <c r="L32" s="158" t="n">
        <f aca="false">SUM(L16,L30)</f>
        <v>2227252.84839284</v>
      </c>
      <c r="M32" s="158" t="n">
        <f aca="false">SUM(M16,M30)</f>
        <v>2570709.30096352</v>
      </c>
      <c r="N32" s="158" t="n">
        <f aca="false">SUM(N16,N30)</f>
        <v>2991129.51882818</v>
      </c>
      <c r="O32" s="158" t="n">
        <f aca="false">SUM(O16,O30)</f>
        <v>3399985.44825032</v>
      </c>
    </row>
    <row r="33" customFormat="false" ht="12.75" hidden="false" customHeight="false" outlineLevel="0" collapsed="false">
      <c r="C33" s="59"/>
      <c r="D33" s="59"/>
      <c r="E33" s="59"/>
      <c r="F33" s="59"/>
      <c r="G33" s="59"/>
      <c r="H33" s="59"/>
      <c r="I33" s="59"/>
      <c r="J33" s="59"/>
      <c r="K33" s="59"/>
      <c r="L33" s="59"/>
      <c r="M33" s="59"/>
      <c r="N33" s="59"/>
      <c r="O33" s="59"/>
    </row>
    <row r="34" customFormat="false" ht="12.75" hidden="false" customHeight="false" outlineLevel="0" collapsed="false">
      <c r="A34" s="125"/>
      <c r="C34" s="59"/>
      <c r="D34" s="59"/>
      <c r="E34" s="59"/>
      <c r="F34" s="59"/>
      <c r="G34" s="59"/>
      <c r="H34" s="59"/>
      <c r="I34" s="59"/>
      <c r="J34" s="59"/>
      <c r="K34" s="59"/>
      <c r="L34" s="59"/>
      <c r="M34" s="59"/>
      <c r="N34" s="59"/>
      <c r="O34" s="59"/>
    </row>
    <row r="35" customFormat="false" ht="12.75" hidden="false" customHeight="false" outlineLevel="0" collapsed="false">
      <c r="A35" s="149" t="s">
        <v>150</v>
      </c>
      <c r="C35" s="59"/>
      <c r="D35" s="59"/>
      <c r="E35" s="59"/>
      <c r="F35" s="159"/>
      <c r="G35" s="159"/>
      <c r="H35" s="159"/>
      <c r="I35" s="159"/>
      <c r="J35" s="159"/>
      <c r="K35" s="159"/>
      <c r="L35" s="159"/>
      <c r="M35" s="159"/>
      <c r="N35" s="159"/>
      <c r="O35" s="159"/>
    </row>
    <row r="36" customFormat="false" ht="12.75" hidden="false" customHeight="false" outlineLevel="0" collapsed="false">
      <c r="C36" s="59"/>
      <c r="D36" s="59"/>
      <c r="E36" s="59"/>
      <c r="F36" s="59"/>
      <c r="G36" s="59"/>
      <c r="H36" s="59"/>
      <c r="I36" s="59"/>
      <c r="J36" s="59"/>
      <c r="K36" s="59"/>
      <c r="L36" s="59"/>
      <c r="M36" s="59"/>
      <c r="N36" s="59"/>
      <c r="O36" s="59"/>
    </row>
    <row r="37" customFormat="false" ht="12.75" hidden="false" customHeight="false" outlineLevel="0" collapsed="false">
      <c r="A37" s="125" t="s">
        <v>151</v>
      </c>
      <c r="C37" s="59"/>
      <c r="D37" s="59"/>
      <c r="E37" s="59"/>
      <c r="F37" s="59"/>
      <c r="G37" s="59"/>
      <c r="H37" s="59"/>
      <c r="I37" s="59"/>
      <c r="J37" s="59"/>
      <c r="K37" s="59"/>
      <c r="L37" s="59"/>
      <c r="M37" s="59"/>
      <c r="N37" s="59"/>
      <c r="O37" s="59"/>
    </row>
    <row r="38" customFormat="false" ht="12.75" hidden="false" customHeight="false" outlineLevel="0" collapsed="false">
      <c r="A38" s="157" t="s">
        <v>63</v>
      </c>
      <c r="C38" s="151" t="n">
        <v>51800</v>
      </c>
      <c r="D38" s="59"/>
      <c r="E38" s="59" t="n">
        <f aca="false">SUM(C38:D38)</f>
        <v>51800</v>
      </c>
      <c r="F38" s="59" t="n">
        <f aca="false">(Inc_St!D10+F12-E12)*acc_payable*(1+acc_payable_ann_incr)^(F5-1)</f>
        <v>74700.15</v>
      </c>
      <c r="G38" s="59" t="n">
        <f aca="false">(Inc_St!E10+G12-F12)*acc_payable*(1+acc_payable_ann_incr)^(G5-1)</f>
        <v>85741.25967</v>
      </c>
      <c r="H38" s="59" t="n">
        <f aca="false">(Inc_St!F10+H12-G12)*acc_payable*(1+acc_payable_ann_incr)^(H5-1)</f>
        <v>96542.2822110047</v>
      </c>
      <c r="I38" s="59" t="n">
        <f aca="false">(Inc_St!G10+I12-H12)*acc_payable*(1+acc_payable_ann_incr)^(I5-1)</f>
        <v>108708.320459818</v>
      </c>
      <c r="J38" s="59" t="n">
        <f aca="false">(Inc_St!H10+J12-I12)*acc_payable*(1+acc_payable_ann_incr)^(J5-1)</f>
        <v>122412.620750681</v>
      </c>
      <c r="K38" s="59" t="n">
        <f aca="false">(Inc_St!I10+K12-J12)*acc_payable*(1+acc_payable_ann_incr)^(K5-1)</f>
        <v>137850.541384689</v>
      </c>
      <c r="L38" s="59" t="n">
        <f aca="false">(Inc_St!J10+L12-K12)*acc_payable*(1+acc_payable_ann_incr)^(L5-1)</f>
        <v>155242.395507333</v>
      </c>
      <c r="M38" s="59" t="n">
        <f aca="false">(Inc_St!K10+M12-L12)*acc_payable*(1+acc_payable_ann_incr)^(M5-1)</f>
        <v>174836.662917397</v>
      </c>
      <c r="N38" s="59" t="n">
        <f aca="false">(Inc_St!L10+N12-M12)*acc_payable*(1+acc_payable_ann_incr)^(N5-1)</f>
        <v>196913.619250244</v>
      </c>
      <c r="O38" s="59" t="n">
        <f aca="false">(Inc_St!M10+O12-N12)*acc_payable*(1+acc_payable_ann_incr)^(O5-1)</f>
        <v>221789.437431747</v>
      </c>
    </row>
    <row r="39" customFormat="false" ht="12.75" hidden="false" customHeight="false" outlineLevel="0" collapsed="false">
      <c r="A39" s="157" t="s">
        <v>67</v>
      </c>
      <c r="C39" s="151" t="n">
        <v>24000</v>
      </c>
      <c r="D39" s="59"/>
      <c r="E39" s="59" t="n">
        <f aca="false">SUM(C39:D39)</f>
        <v>24000</v>
      </c>
      <c r="F39" s="59" t="n">
        <f aca="false">Inc_St!D8*acc_exp*(1+acc_exp_ann_incr)^(F5-1)</f>
        <v>66000</v>
      </c>
      <c r="G39" s="59" t="n">
        <f aca="false">Inc_St!E8*acc_exp*(1+acc_exp_ann_incr)^(G5-1)</f>
        <v>73689</v>
      </c>
      <c r="H39" s="59" t="n">
        <f aca="false">Inc_St!F8*acc_exp*(1+acc_exp_ann_incr)^(H5-1)</f>
        <v>82273.7685</v>
      </c>
      <c r="I39" s="59" t="n">
        <f aca="false">Inc_St!G8*acc_exp*(1+acc_exp_ann_incr)^(I5-1)</f>
        <v>91858.66253025</v>
      </c>
      <c r="J39" s="59" t="n">
        <f aca="false">Inc_St!H8*acc_exp*(1+acc_exp_ann_incr)^(J5-1)</f>
        <v>102560.196715024</v>
      </c>
      <c r="K39" s="59" t="n">
        <f aca="false">Inc_St!I8*acc_exp*(1+acc_exp_ann_incr)^(K5-1)</f>
        <v>114508.459632324</v>
      </c>
      <c r="L39" s="59" t="n">
        <f aca="false">Inc_St!J8*acc_exp*(1+acc_exp_ann_incr)^(L5-1)</f>
        <v>127848.69517949</v>
      </c>
      <c r="M39" s="59" t="n">
        <f aca="false">Inc_St!K8*acc_exp*(1+acc_exp_ann_incr)^(M5-1)</f>
        <v>142743.068167901</v>
      </c>
      <c r="N39" s="59" t="n">
        <f aca="false">Inc_St!L8*acc_exp*(1+acc_exp_ann_incr)^(N5-1)</f>
        <v>159372.635609461</v>
      </c>
      <c r="O39" s="59" t="n">
        <f aca="false">Inc_St!M8*acc_exp*(1+acc_exp_ann_incr)^(O5-1)</f>
        <v>177939.547657964</v>
      </c>
    </row>
    <row r="40" customFormat="false" ht="12.75" hidden="false" customHeight="false" outlineLevel="0" collapsed="false">
      <c r="A40" s="157" t="s">
        <v>70</v>
      </c>
      <c r="C40" s="151" t="n">
        <v>22000</v>
      </c>
      <c r="D40" s="59"/>
      <c r="E40" s="59" t="n">
        <f aca="false">SUM(C40:D40)</f>
        <v>22000</v>
      </c>
      <c r="F40" s="59" t="n">
        <f aca="false">Inc_St!D8*other_curr_liab*(1+other_curr_liab_ann_incr)^(F5-1)</f>
        <v>88000</v>
      </c>
      <c r="G40" s="59" t="n">
        <f aca="false">Inc_St!E8*other_curr_liab*(1+other_curr_liab_ann_incr)^(G5-1)</f>
        <v>97768</v>
      </c>
      <c r="H40" s="59" t="n">
        <f aca="false">Inc_St!F8*other_curr_liab*(1+other_curr_liab_ann_incr)^(H5-1)</f>
        <v>108620.248</v>
      </c>
      <c r="I40" s="59" t="n">
        <f aca="false">Inc_St!G8*other_curr_liab*(1+other_curr_liab_ann_incr)^(I5-1)</f>
        <v>120677.095528</v>
      </c>
      <c r="J40" s="59" t="n">
        <f aca="false">Inc_St!H8*other_curr_liab*(1+other_curr_liab_ann_incr)^(J5-1)</f>
        <v>134072.253131608</v>
      </c>
      <c r="K40" s="59" t="n">
        <f aca="false">Inc_St!I8*other_curr_liab*(1+other_curr_liab_ann_incr)^(K5-1)</f>
        <v>148954.273229217</v>
      </c>
      <c r="L40" s="59" t="n">
        <f aca="false">Inc_St!J8*other_curr_liab*(1+other_curr_liab_ann_incr)^(L5-1)</f>
        <v>165488.19755766</v>
      </c>
      <c r="M40" s="59" t="n">
        <f aca="false">Inc_St!K8*other_curr_liab*(1+other_curr_liab_ann_incr)^(M5-1)</f>
        <v>183857.38748656</v>
      </c>
      <c r="N40" s="59" t="n">
        <f aca="false">Inc_St!L8*other_curr_liab*(1+other_curr_liab_ann_incr)^(N5-1)</f>
        <v>204265.557497568</v>
      </c>
      <c r="O40" s="59" t="n">
        <f aca="false">Inc_St!M8*other_curr_liab*(1+other_curr_liab_ann_incr)^(O5-1)</f>
        <v>226939.034379798</v>
      </c>
    </row>
    <row r="41" customFormat="false" ht="12.75" hidden="false" customHeight="false" outlineLevel="0" collapsed="false">
      <c r="A41" s="125"/>
      <c r="C41" s="59"/>
      <c r="D41" s="59"/>
      <c r="E41" s="59"/>
      <c r="F41" s="59"/>
      <c r="G41" s="59"/>
      <c r="H41" s="59"/>
      <c r="I41" s="59"/>
      <c r="J41" s="59"/>
      <c r="K41" s="59"/>
      <c r="L41" s="59"/>
      <c r="M41" s="59"/>
      <c r="N41" s="59"/>
      <c r="O41" s="59"/>
      <c r="P41" s="59"/>
      <c r="Q41" s="59"/>
      <c r="R41" s="59"/>
      <c r="S41" s="59"/>
    </row>
    <row r="42" customFormat="false" ht="12.75" hidden="false" customHeight="false" outlineLevel="0" collapsed="false">
      <c r="A42" s="125" t="s">
        <v>152</v>
      </c>
      <c r="C42" s="59" t="n">
        <f aca="false">SUM(C38:C40)</f>
        <v>97800</v>
      </c>
      <c r="D42" s="59"/>
      <c r="E42" s="59" t="n">
        <f aca="false">SUM(E38:E40)</f>
        <v>97800</v>
      </c>
      <c r="F42" s="59" t="n">
        <f aca="false">SUM(F38:F40)</f>
        <v>228700.15</v>
      </c>
      <c r="G42" s="59" t="n">
        <f aca="false">SUM(G38:G40)</f>
        <v>257198.25967</v>
      </c>
      <c r="H42" s="59" t="n">
        <f aca="false">SUM(H38:H40)</f>
        <v>287436.298711005</v>
      </c>
      <c r="I42" s="59" t="n">
        <f aca="false">SUM(I38:I40)</f>
        <v>321244.078518068</v>
      </c>
      <c r="J42" s="59" t="n">
        <f aca="false">SUM(J38:J40)</f>
        <v>359045.070597313</v>
      </c>
      <c r="K42" s="59" t="n">
        <f aca="false">SUM(K38:K40)</f>
        <v>401313.27424623</v>
      </c>
      <c r="L42" s="59" t="n">
        <f aca="false">SUM(L38:L40)</f>
        <v>448579.288244483</v>
      </c>
      <c r="M42" s="59" t="n">
        <f aca="false">SUM(M38:M40)</f>
        <v>501437.118571857</v>
      </c>
      <c r="N42" s="59" t="n">
        <f aca="false">SUM(N38:N40)</f>
        <v>560551.812357273</v>
      </c>
      <c r="O42" s="59" t="n">
        <f aca="false">SUM(O38:O40)</f>
        <v>626668.019469509</v>
      </c>
    </row>
    <row r="43" customFormat="false" ht="12.75" hidden="false" customHeight="false" outlineLevel="0" collapsed="false">
      <c r="C43" s="59"/>
      <c r="D43" s="59"/>
      <c r="E43" s="59"/>
      <c r="F43" s="59"/>
      <c r="G43" s="59"/>
      <c r="H43" s="59"/>
      <c r="I43" s="59"/>
      <c r="J43" s="59"/>
      <c r="K43" s="59"/>
      <c r="L43" s="59"/>
      <c r="M43" s="59"/>
      <c r="N43" s="59"/>
      <c r="O43" s="59"/>
    </row>
    <row r="44" customFormat="false" ht="12.75" hidden="false" customHeight="false" outlineLevel="0" collapsed="false">
      <c r="A44" s="125" t="s">
        <v>153</v>
      </c>
      <c r="C44" s="151" t="n">
        <v>1400</v>
      </c>
      <c r="D44" s="59" t="n">
        <f aca="false">-C44-Input!C52</f>
        <v>-122.5</v>
      </c>
      <c r="E44" s="59" t="n">
        <f aca="false">SUM(C44:D44)</f>
        <v>1277.5</v>
      </c>
      <c r="F44" s="59" t="n">
        <f aca="false">E44+Income_Tax!D30</f>
        <v>5872.78999999999</v>
      </c>
      <c r="G44" s="59" t="n">
        <f aca="false">F44+Income_Tax!E30</f>
        <v>6119.32999999997</v>
      </c>
      <c r="H44" s="59" t="n">
        <f aca="false">G44+Income_Tax!F30</f>
        <v>6365.86999999997</v>
      </c>
      <c r="I44" s="59" t="n">
        <f aca="false">H44+Income_Tax!G30</f>
        <v>8645.88222222218</v>
      </c>
      <c r="J44" s="59" t="n">
        <f aca="false">I44+Income_Tax!H30</f>
        <v>20303.0361111111</v>
      </c>
      <c r="K44" s="59" t="n">
        <f aca="false">J44+Income_Tax!I30</f>
        <v>31977.69</v>
      </c>
      <c r="L44" s="59" t="n">
        <f aca="false">K44+Income_Tax!J30</f>
        <v>52836.9272222222</v>
      </c>
      <c r="M44" s="59" t="n">
        <f aca="false">L44+Income_Tax!K30</f>
        <v>106242.261396111</v>
      </c>
      <c r="N44" s="59" t="n">
        <f aca="false">M44+Income_Tax!L30</f>
        <v>144024.38307</v>
      </c>
      <c r="O44" s="59" t="n">
        <f aca="false">N44+Income_Tax!M30</f>
        <v>139034.950568889</v>
      </c>
    </row>
    <row r="45" customFormat="false" ht="12.75" hidden="false" customHeight="false" outlineLevel="0" collapsed="false">
      <c r="A45" s="125" t="s">
        <v>154</v>
      </c>
      <c r="C45" s="160"/>
      <c r="D45" s="59"/>
      <c r="E45" s="59"/>
      <c r="F45" s="59"/>
      <c r="G45" s="59"/>
      <c r="H45" s="59"/>
      <c r="I45" s="59"/>
      <c r="J45" s="59"/>
      <c r="K45" s="59"/>
      <c r="L45" s="59"/>
      <c r="M45" s="59"/>
      <c r="N45" s="59"/>
      <c r="O45" s="59"/>
    </row>
    <row r="46" customFormat="false" ht="12.75" hidden="false" customHeight="false" outlineLevel="0" collapsed="false">
      <c r="A46" s="157" t="s">
        <v>155</v>
      </c>
      <c r="C46" s="151" t="n">
        <v>250000</v>
      </c>
      <c r="D46" s="59" t="n">
        <f aca="false">-Input!C14</f>
        <v>-185000</v>
      </c>
      <c r="E46" s="59" t="n">
        <f aca="false">SUM(C46:D46)</f>
        <v>65000</v>
      </c>
      <c r="F46" s="59" t="n">
        <f aca="false">E46-Cash_Flow!D85-Cash_Flow!D100</f>
        <v>57777.7777777778</v>
      </c>
      <c r="G46" s="59" t="n">
        <f aca="false">F46-Cash_Flow!E85-Cash_Flow!E100</f>
        <v>0</v>
      </c>
      <c r="H46" s="59" t="n">
        <f aca="false">G46-Cash_Flow!F85-Cash_Flow!F100</f>
        <v>0</v>
      </c>
      <c r="I46" s="59" t="n">
        <f aca="false">H46-Cash_Flow!G85-Cash_Flow!G100</f>
        <v>0</v>
      </c>
      <c r="J46" s="59" t="n">
        <f aca="false">I46-Cash_Flow!H85-Cash_Flow!H100</f>
        <v>0</v>
      </c>
      <c r="K46" s="59" t="n">
        <f aca="false">J46-Cash_Flow!I85-Cash_Flow!I100</f>
        <v>0</v>
      </c>
      <c r="L46" s="59" t="n">
        <f aca="false">K46-Cash_Flow!J85-Cash_Flow!J100</f>
        <v>0</v>
      </c>
      <c r="M46" s="59" t="n">
        <f aca="false">L46-Cash_Flow!K85-Cash_Flow!K100</f>
        <v>0</v>
      </c>
      <c r="N46" s="59" t="n">
        <f aca="false">M46-Cash_Flow!L85-Cash_Flow!L100</f>
        <v>0</v>
      </c>
      <c r="O46" s="59" t="n">
        <f aca="false">N46-Cash_Flow!M85-Cash_Flow!M100</f>
        <v>0</v>
      </c>
    </row>
    <row r="47" customFormat="false" ht="12.75" hidden="false" customHeight="false" outlineLevel="0" collapsed="false">
      <c r="A47" s="157" t="str">
        <f aca="false">Input!A27</f>
        <v>Bank Revolver</v>
      </c>
      <c r="C47" s="59" t="n">
        <v>0</v>
      </c>
      <c r="D47" s="59" t="n">
        <f aca="false">Input!C27</f>
        <v>200887.5</v>
      </c>
      <c r="E47" s="59" t="n">
        <f aca="false">SUM(C47:D47)</f>
        <v>200887.5</v>
      </c>
      <c r="F47" s="59" t="n">
        <f aca="false">E47+Cash_Flow!D96-Cash_Flow!D107</f>
        <v>213470.431988693</v>
      </c>
      <c r="G47" s="59" t="n">
        <f aca="false">F47+Cash_Flow!E96-Cash_Flow!E107</f>
        <v>213470.431988693</v>
      </c>
      <c r="H47" s="59" t="n">
        <f aca="false">G47+Cash_Flow!F96-Cash_Flow!F107</f>
        <v>213470.431988693</v>
      </c>
      <c r="I47" s="59" t="n">
        <f aca="false">H47+Cash_Flow!G96-Cash_Flow!G107</f>
        <v>213470.431988693</v>
      </c>
      <c r="J47" s="59" t="n">
        <f aca="false">I47+Cash_Flow!H96-Cash_Flow!H107</f>
        <v>213470.431988693</v>
      </c>
      <c r="K47" s="59" t="n">
        <f aca="false">J47+Cash_Flow!I96-Cash_Flow!I107</f>
        <v>161317.438748984</v>
      </c>
      <c r="L47" s="59" t="n">
        <f aca="false">K47+Cash_Flow!J96-Cash_Flow!J107</f>
        <v>57619.311245144</v>
      </c>
      <c r="M47" s="59" t="n">
        <f aca="false">L47+Cash_Flow!K96-Cash_Flow!K107</f>
        <v>0</v>
      </c>
      <c r="N47" s="59" t="n">
        <f aca="false">M47+Cash_Flow!L96-Cash_Flow!L107</f>
        <v>0</v>
      </c>
      <c r="O47" s="59" t="n">
        <f aca="false">N47+Cash_Flow!M96-Cash_Flow!M107</f>
        <v>0</v>
      </c>
    </row>
    <row r="48" customFormat="false" ht="12.75" hidden="false" customHeight="false" outlineLevel="0" collapsed="false">
      <c r="A48" s="157" t="str">
        <f aca="false">Input!A28</f>
        <v>Term Loan "A"</v>
      </c>
      <c r="C48" s="59" t="n">
        <v>0</v>
      </c>
      <c r="D48" s="59" t="n">
        <f aca="false">Input!C28</f>
        <v>80000</v>
      </c>
      <c r="E48" s="59" t="n">
        <f aca="false">SUM(C48:D48)</f>
        <v>80000</v>
      </c>
      <c r="F48" s="59" t="n">
        <f aca="false">E48-Cash_Flow!D86-Cash_Flow!D101</f>
        <v>70000</v>
      </c>
      <c r="G48" s="59" t="n">
        <f aca="false">F48-Cash_Flow!E86-Cash_Flow!E101</f>
        <v>57263.5715651857</v>
      </c>
      <c r="H48" s="59" t="n">
        <f aca="false">G48-Cash_Flow!F86-Cash_Flow!F101</f>
        <v>0</v>
      </c>
      <c r="I48" s="59" t="n">
        <f aca="false">H48-Cash_Flow!G86-Cash_Flow!G101</f>
        <v>0</v>
      </c>
      <c r="J48" s="59" t="n">
        <f aca="false">I48-Cash_Flow!H86-Cash_Flow!H101</f>
        <v>0</v>
      </c>
      <c r="K48" s="59" t="n">
        <f aca="false">J48-Cash_Flow!I86-Cash_Flow!I101</f>
        <v>0</v>
      </c>
      <c r="L48" s="59" t="n">
        <f aca="false">K48-Cash_Flow!J86-Cash_Flow!J101</f>
        <v>0</v>
      </c>
      <c r="M48" s="59" t="n">
        <f aca="false">L48-Cash_Flow!K86-Cash_Flow!K101</f>
        <v>0</v>
      </c>
      <c r="N48" s="59" t="n">
        <f aca="false">M48-Cash_Flow!L86-Cash_Flow!L101</f>
        <v>0</v>
      </c>
      <c r="O48" s="59" t="n">
        <f aca="false">N48-Cash_Flow!M86-Cash_Flow!M101</f>
        <v>0</v>
      </c>
    </row>
    <row r="49" customFormat="false" ht="12.75" hidden="false" customHeight="false" outlineLevel="0" collapsed="false">
      <c r="A49" s="157" t="str">
        <f aca="false">Input!A29</f>
        <v>Term Loan "B"</v>
      </c>
      <c r="C49" s="59" t="n">
        <v>0</v>
      </c>
      <c r="D49" s="59" t="n">
        <f aca="false">Input!C29</f>
        <v>55000</v>
      </c>
      <c r="E49" s="59" t="n">
        <f aca="false">SUM(C49:D49)</f>
        <v>55000</v>
      </c>
      <c r="F49" s="59" t="n">
        <f aca="false">E49-Cash_Flow!D87-Cash_Flow!D102</f>
        <v>52800</v>
      </c>
      <c r="G49" s="59" t="n">
        <f aca="false">F49-Cash_Flow!E87-Cash_Flow!E102</f>
        <v>50600</v>
      </c>
      <c r="H49" s="59" t="n">
        <f aca="false">G49-Cash_Flow!F87-Cash_Flow!F102</f>
        <v>29091.0917203652</v>
      </c>
      <c r="I49" s="59" t="n">
        <f aca="false">H49-Cash_Flow!G87-Cash_Flow!G102</f>
        <v>0</v>
      </c>
      <c r="J49" s="59" t="n">
        <f aca="false">I49-Cash_Flow!H87-Cash_Flow!H102</f>
        <v>0</v>
      </c>
      <c r="K49" s="59" t="n">
        <f aca="false">J49-Cash_Flow!I87-Cash_Flow!I102</f>
        <v>0</v>
      </c>
      <c r="L49" s="59" t="n">
        <f aca="false">K49-Cash_Flow!J87-Cash_Flow!J102</f>
        <v>0</v>
      </c>
      <c r="M49" s="59" t="n">
        <f aca="false">L49-Cash_Flow!K87-Cash_Flow!K102</f>
        <v>0</v>
      </c>
      <c r="N49" s="59" t="n">
        <f aca="false">M49-Cash_Flow!L87-Cash_Flow!L102</f>
        <v>0</v>
      </c>
      <c r="O49" s="59" t="n">
        <f aca="false">N49-Cash_Flow!M87-Cash_Flow!M102</f>
        <v>0</v>
      </c>
    </row>
    <row r="50" customFormat="false" ht="12.75" hidden="false" customHeight="false" outlineLevel="0" collapsed="false">
      <c r="A50" s="157" t="str">
        <f aca="false">Input!A30</f>
        <v>Senior Notes</v>
      </c>
      <c r="C50" s="59" t="n">
        <v>0</v>
      </c>
      <c r="D50" s="59" t="n">
        <f aca="false">Input!C30</f>
        <v>65000</v>
      </c>
      <c r="E50" s="59" t="n">
        <f aca="false">SUM(C50:D50)</f>
        <v>65000</v>
      </c>
      <c r="F50" s="59" t="n">
        <f aca="false">E50-Cash_Flow!D88-Cash_Flow!D103</f>
        <v>65000</v>
      </c>
      <c r="G50" s="59" t="n">
        <f aca="false">F50-Cash_Flow!E88-Cash_Flow!E103</f>
        <v>65000</v>
      </c>
      <c r="H50" s="59" t="n">
        <f aca="false">G50-Cash_Flow!F88-Cash_Flow!F103</f>
        <v>65000</v>
      </c>
      <c r="I50" s="59" t="n">
        <f aca="false">H50-Cash_Flow!G88-Cash_Flow!G103</f>
        <v>5819.19328880083</v>
      </c>
      <c r="J50" s="59" t="n">
        <f aca="false">I50-Cash_Flow!H88-Cash_Flow!H103</f>
        <v>0</v>
      </c>
      <c r="K50" s="59" t="n">
        <f aca="false">J50-Cash_Flow!I88-Cash_Flow!I103</f>
        <v>0</v>
      </c>
      <c r="L50" s="59" t="n">
        <f aca="false">K50-Cash_Flow!J88-Cash_Flow!J103</f>
        <v>0</v>
      </c>
      <c r="M50" s="59" t="n">
        <f aca="false">L50-Cash_Flow!K88-Cash_Flow!K103</f>
        <v>0</v>
      </c>
      <c r="N50" s="59" t="n">
        <f aca="false">M50-Cash_Flow!L88-Cash_Flow!L103</f>
        <v>0</v>
      </c>
      <c r="O50" s="59" t="n">
        <f aca="false">N50-Cash_Flow!M88-Cash_Flow!M103</f>
        <v>0</v>
      </c>
    </row>
    <row r="51" customFormat="false" ht="12.75" hidden="false" customHeight="false" outlineLevel="0" collapsed="false">
      <c r="A51" s="157" t="str">
        <f aca="false">Input!A31</f>
        <v>Subordinated Notes</v>
      </c>
      <c r="C51" s="59" t="n">
        <v>0</v>
      </c>
      <c r="D51" s="59" t="n">
        <f aca="false">Input!C31</f>
        <v>40000</v>
      </c>
      <c r="E51" s="59" t="n">
        <f aca="false">SUM(C51:D51)</f>
        <v>40000</v>
      </c>
      <c r="F51" s="59" t="n">
        <f aca="false">E51+Cash_Flow!D15-Cash_Flow!D89-Cash_Flow!D104</f>
        <v>41800</v>
      </c>
      <c r="G51" s="59" t="n">
        <f aca="false">F51+Cash_Flow!E15-Cash_Flow!E89-Cash_Flow!E104</f>
        <v>43681</v>
      </c>
      <c r="H51" s="59" t="n">
        <f aca="false">G51+Cash_Flow!F15-Cash_Flow!F89-Cash_Flow!F104</f>
        <v>45646.645</v>
      </c>
      <c r="I51" s="59" t="n">
        <f aca="false">H51+Cash_Flow!G15-Cash_Flow!G89-Cash_Flow!G104</f>
        <v>47700.744025</v>
      </c>
      <c r="J51" s="59" t="n">
        <f aca="false">I51+Cash_Flow!H15-Cash_Flow!H89-Cash_Flow!H104</f>
        <v>2146.533481125</v>
      </c>
      <c r="K51" s="59" t="n">
        <f aca="false">J51+Cash_Flow!I15-Cash_Flow!I89-Cash_Flow!I104</f>
        <v>0</v>
      </c>
      <c r="L51" s="59" t="n">
        <f aca="false">K51+Cash_Flow!J15-Cash_Flow!J89-Cash_Flow!J104</f>
        <v>0</v>
      </c>
      <c r="M51" s="59" t="n">
        <f aca="false">L51+Cash_Flow!K15-Cash_Flow!K89-Cash_Flow!K104</f>
        <v>0</v>
      </c>
      <c r="N51" s="59" t="n">
        <f aca="false">M51+Cash_Flow!L15-Cash_Flow!L89-Cash_Flow!L104</f>
        <v>0</v>
      </c>
      <c r="O51" s="59" t="n">
        <f aca="false">N51+Cash_Flow!M15-Cash_Flow!M89-Cash_Flow!M104</f>
        <v>0</v>
      </c>
    </row>
    <row r="52" customFormat="false" ht="12.75" hidden="false" customHeight="false" outlineLevel="0" collapsed="false">
      <c r="A52" s="157" t="str">
        <f aca="false">Input!A32</f>
        <v>Mezzanine Debt</v>
      </c>
      <c r="C52" s="59" t="n">
        <v>0</v>
      </c>
      <c r="D52" s="59" t="n">
        <f aca="false">Input!C32</f>
        <v>70000</v>
      </c>
      <c r="E52" s="59" t="n">
        <f aca="false">SUM(C52:D52)</f>
        <v>70000</v>
      </c>
      <c r="F52" s="59" t="n">
        <f aca="false">E52+Cash_Flow!D16-Cash_Flow!D90-Cash_Flow!D105</f>
        <v>73150</v>
      </c>
      <c r="G52" s="59" t="n">
        <f aca="false">F52+Cash_Flow!E16-Cash_Flow!E90-Cash_Flow!E105</f>
        <v>76441.75</v>
      </c>
      <c r="H52" s="59" t="n">
        <f aca="false">G52+Cash_Flow!F16-Cash_Flow!F90-Cash_Flow!F105</f>
        <v>79881.62875</v>
      </c>
      <c r="I52" s="59" t="n">
        <f aca="false">H52+Cash_Flow!G16-Cash_Flow!G90-Cash_Flow!G105</f>
        <v>83476.30204375</v>
      </c>
      <c r="J52" s="59" t="n">
        <f aca="false">I52+Cash_Flow!H16-Cash_Flow!H90-Cash_Flow!H105</f>
        <v>36453.8642621187</v>
      </c>
      <c r="K52" s="59" t="n">
        <f aca="false">J52+Cash_Flow!I16-Cash_Flow!I90-Cash_Flow!I105</f>
        <v>0</v>
      </c>
      <c r="L52" s="59" t="n">
        <f aca="false">K52+Cash_Flow!J16-Cash_Flow!J90-Cash_Flow!J105</f>
        <v>0</v>
      </c>
      <c r="M52" s="59" t="n">
        <f aca="false">L52+Cash_Flow!K16-Cash_Flow!K90-Cash_Flow!K105</f>
        <v>0</v>
      </c>
      <c r="N52" s="59" t="n">
        <f aca="false">M52+Cash_Flow!L16-Cash_Flow!L90-Cash_Flow!L105</f>
        <v>0</v>
      </c>
      <c r="O52" s="59" t="n">
        <f aca="false">N52+Cash_Flow!M16-Cash_Flow!M90-Cash_Flow!M105</f>
        <v>0</v>
      </c>
    </row>
    <row r="53" customFormat="false" ht="12.75" hidden="false" customHeight="false" outlineLevel="0" collapsed="false">
      <c r="A53" s="157" t="str">
        <f aca="false">Input!A33</f>
        <v>Seller Notes</v>
      </c>
      <c r="C53" s="59" t="n">
        <v>0</v>
      </c>
      <c r="D53" s="59" t="n">
        <f aca="false">Input!C33</f>
        <v>25000</v>
      </c>
      <c r="E53" s="59" t="n">
        <f aca="false">SUM(C53:D53)</f>
        <v>25000</v>
      </c>
      <c r="F53" s="59" t="n">
        <f aca="false">E53+Cash_Flow!D17-Cash_Flow!D91-Cash_Flow!D106</f>
        <v>22680.1760498808</v>
      </c>
      <c r="G53" s="59" t="n">
        <f aca="false">F53+Cash_Flow!E17-Cash_Flow!E91-Cash_Flow!E106</f>
        <v>20235.2781512314</v>
      </c>
      <c r="H53" s="59" t="n">
        <f aca="false">G53+Cash_Flow!F17-Cash_Flow!F91-Cash_Flow!F106</f>
        <v>17658.5629075971</v>
      </c>
      <c r="I53" s="59" t="n">
        <f aca="false">H53+Cash_Flow!G17-Cash_Flow!G91-Cash_Flow!G106</f>
        <v>14942.9233504421</v>
      </c>
      <c r="J53" s="59" t="n">
        <f aca="false">I53+Cash_Flow!H17-Cash_Flow!H91-Cash_Flow!H106</f>
        <v>12080.8693370604</v>
      </c>
      <c r="K53" s="59" t="n">
        <f aca="false">J53+Cash_Flow!I17-Cash_Flow!I91-Cash_Flow!I106</f>
        <v>0</v>
      </c>
      <c r="L53" s="59" t="n">
        <f aca="false">K53+Cash_Flow!J17-Cash_Flow!J91-Cash_Flow!J106</f>
        <v>0</v>
      </c>
      <c r="M53" s="59" t="n">
        <f aca="false">L53+Cash_Flow!K17-Cash_Flow!K91-Cash_Flow!K106</f>
        <v>0</v>
      </c>
      <c r="N53" s="59" t="n">
        <f aca="false">M53+Cash_Flow!L17-Cash_Flow!L91-Cash_Flow!L106</f>
        <v>0</v>
      </c>
      <c r="O53" s="59" t="n">
        <f aca="false">N53+Cash_Flow!M17-Cash_Flow!M91-Cash_Flow!M106</f>
        <v>0</v>
      </c>
    </row>
    <row r="54" customFormat="false" ht="12.75" hidden="false" customHeight="false" outlineLevel="0" collapsed="false">
      <c r="A54" s="125" t="s">
        <v>156</v>
      </c>
      <c r="C54" s="59" t="n">
        <f aca="false">SUM(C46:C53)</f>
        <v>250000</v>
      </c>
      <c r="D54" s="59"/>
      <c r="E54" s="59" t="n">
        <f aca="false">SUM(E46:E53)</f>
        <v>600887.5</v>
      </c>
      <c r="F54" s="59" t="n">
        <f aca="false">SUM(F46:F53)</f>
        <v>596678.385816351</v>
      </c>
      <c r="G54" s="59" t="n">
        <f aca="false">SUM(G46:G53)</f>
        <v>526692.03170511</v>
      </c>
      <c r="H54" s="59" t="n">
        <f aca="false">SUM(H46:H53)</f>
        <v>450748.360366655</v>
      </c>
      <c r="I54" s="59" t="n">
        <f aca="false">SUM(I46:I53)</f>
        <v>365409.594696685</v>
      </c>
      <c r="J54" s="59" t="n">
        <f aca="false">SUM(J46:J53)</f>
        <v>264151.699068997</v>
      </c>
      <c r="K54" s="59" t="n">
        <f aca="false">SUM(K46:K53)</f>
        <v>161317.438748984</v>
      </c>
      <c r="L54" s="59" t="n">
        <f aca="false">SUM(L46:L53)</f>
        <v>57619.311245144</v>
      </c>
      <c r="M54" s="59" t="n">
        <f aca="false">SUM(M46:M53)</f>
        <v>0</v>
      </c>
      <c r="N54" s="59" t="n">
        <f aca="false">SUM(N46:N53)</f>
        <v>0</v>
      </c>
      <c r="O54" s="59" t="n">
        <f aca="false">SUM(O46:O53)</f>
        <v>0</v>
      </c>
    </row>
    <row r="55" customFormat="false" ht="12.75" hidden="false" customHeight="false" outlineLevel="0" collapsed="false">
      <c r="A55" s="125"/>
      <c r="C55" s="59"/>
      <c r="D55" s="59"/>
      <c r="E55" s="59"/>
      <c r="F55" s="59"/>
      <c r="G55" s="59"/>
      <c r="H55" s="59"/>
      <c r="I55" s="59"/>
      <c r="J55" s="59"/>
      <c r="K55" s="59"/>
      <c r="L55" s="59"/>
      <c r="M55" s="59"/>
      <c r="N55" s="59"/>
      <c r="O55" s="59"/>
    </row>
    <row r="56" customFormat="false" ht="12.75" hidden="false" customHeight="false" outlineLevel="0" collapsed="false">
      <c r="A56" s="125" t="s">
        <v>157</v>
      </c>
      <c r="C56" s="59" t="n">
        <f aca="false">SUM(C44,C54)</f>
        <v>251400</v>
      </c>
      <c r="D56" s="59"/>
      <c r="E56" s="59" t="n">
        <f aca="false">SUM(E44,E54)</f>
        <v>602165</v>
      </c>
      <c r="F56" s="59" t="n">
        <f aca="false">SUM(F44,F54)</f>
        <v>602551.175816351</v>
      </c>
      <c r="G56" s="59" t="n">
        <f aca="false">SUM(G44,G54)</f>
        <v>532811.36170511</v>
      </c>
      <c r="H56" s="59" t="n">
        <f aca="false">SUM(H44,H54)</f>
        <v>457114.230366655</v>
      </c>
      <c r="I56" s="59" t="n">
        <f aca="false">SUM(I44,I54)</f>
        <v>374055.476918908</v>
      </c>
      <c r="J56" s="59" t="n">
        <f aca="false">SUM(J44,J54)</f>
        <v>284454.735180108</v>
      </c>
      <c r="K56" s="59" t="n">
        <f aca="false">SUM(K44,K54)</f>
        <v>193295.128748984</v>
      </c>
      <c r="L56" s="59" t="n">
        <f aca="false">SUM(L44,L54)</f>
        <v>110456.238467366</v>
      </c>
      <c r="M56" s="59" t="n">
        <f aca="false">SUM(M44,M54)</f>
        <v>106242.261396111</v>
      </c>
      <c r="N56" s="59" t="n">
        <f aca="false">SUM(N44,N54)</f>
        <v>144024.38307</v>
      </c>
      <c r="O56" s="59" t="n">
        <f aca="false">SUM(O44,O54)</f>
        <v>139034.950568889</v>
      </c>
    </row>
    <row r="57" customFormat="false" ht="12.75" hidden="false" customHeight="false" outlineLevel="0" collapsed="false">
      <c r="C57" s="59"/>
      <c r="D57" s="59"/>
      <c r="E57" s="59"/>
      <c r="F57" s="59"/>
      <c r="G57" s="59"/>
      <c r="H57" s="59"/>
      <c r="I57" s="59"/>
      <c r="J57" s="59"/>
      <c r="K57" s="59"/>
      <c r="L57" s="59"/>
      <c r="M57" s="59"/>
      <c r="N57" s="59"/>
      <c r="O57" s="59"/>
    </row>
    <row r="58" customFormat="false" ht="12.75" hidden="false" customHeight="false" outlineLevel="0" collapsed="false">
      <c r="A58" s="125" t="s">
        <v>158</v>
      </c>
      <c r="C58" s="59" t="n">
        <f aca="false">SUM(C42,C56)</f>
        <v>349200</v>
      </c>
      <c r="D58" s="59"/>
      <c r="E58" s="59" t="n">
        <f aca="false">SUM(E42,E56)</f>
        <v>699965</v>
      </c>
      <c r="F58" s="59" t="n">
        <f aca="false">SUM(F42,F56)</f>
        <v>831251.325816351</v>
      </c>
      <c r="G58" s="59" t="n">
        <f aca="false">SUM(G42,G56)</f>
        <v>790009.62137511</v>
      </c>
      <c r="H58" s="59" t="n">
        <f aca="false">SUM(H42,H56)</f>
        <v>744550.52907766</v>
      </c>
      <c r="I58" s="59" t="n">
        <f aca="false">SUM(I42,I56)</f>
        <v>695299.555436976</v>
      </c>
      <c r="J58" s="59" t="n">
        <f aca="false">SUM(J42,J56)</f>
        <v>643499.805777421</v>
      </c>
      <c r="K58" s="59" t="n">
        <f aca="false">SUM(K42,K56)</f>
        <v>594608.402995214</v>
      </c>
      <c r="L58" s="59" t="n">
        <f aca="false">SUM(L42,L56)</f>
        <v>559035.526711849</v>
      </c>
      <c r="M58" s="59" t="n">
        <f aca="false">SUM(M42,M56)</f>
        <v>607679.379967968</v>
      </c>
      <c r="N58" s="59" t="n">
        <f aca="false">SUM(N42,N56)</f>
        <v>704576.195427273</v>
      </c>
      <c r="O58" s="59" t="n">
        <f aca="false">SUM(O42,O56)</f>
        <v>765702.970038398</v>
      </c>
    </row>
    <row r="59" customFormat="false" ht="12.75" hidden="false" customHeight="false" outlineLevel="0" collapsed="false">
      <c r="C59" s="59"/>
      <c r="D59" s="59"/>
      <c r="E59" s="59"/>
      <c r="F59" s="59"/>
      <c r="G59" s="59"/>
      <c r="H59" s="59"/>
      <c r="I59" s="59"/>
      <c r="J59" s="59"/>
      <c r="K59" s="59"/>
      <c r="L59" s="59"/>
      <c r="M59" s="59"/>
      <c r="N59" s="59"/>
      <c r="O59" s="59"/>
    </row>
    <row r="60" customFormat="false" ht="12.75" hidden="false" customHeight="false" outlineLevel="0" collapsed="false">
      <c r="A60" s="125" t="s">
        <v>159</v>
      </c>
      <c r="C60" s="59"/>
      <c r="D60" s="59"/>
      <c r="E60" s="59"/>
      <c r="F60" s="59"/>
      <c r="G60" s="59"/>
      <c r="H60" s="59"/>
      <c r="I60" s="59"/>
      <c r="J60" s="59"/>
      <c r="K60" s="59"/>
      <c r="L60" s="59"/>
      <c r="M60" s="59"/>
      <c r="N60" s="59"/>
      <c r="O60" s="59"/>
    </row>
    <row r="61" customFormat="false" ht="12.75" hidden="false" customHeight="false" outlineLevel="0" collapsed="false">
      <c r="A61" s="157" t="str">
        <f aca="false">Input!A35</f>
        <v>Preferred Stock</v>
      </c>
      <c r="C61" s="59" t="n">
        <v>0</v>
      </c>
      <c r="D61" s="59" t="n">
        <f aca="false">Input!C35</f>
        <v>60000</v>
      </c>
      <c r="E61" s="59" t="n">
        <f aca="false">SUM(C61:D61)</f>
        <v>60000</v>
      </c>
      <c r="F61" s="59" t="n">
        <f aca="false">E61+Cash_Flow!D18-Cash_Flow!D92</f>
        <v>64200</v>
      </c>
      <c r="G61" s="59" t="n">
        <f aca="false">F61+Cash_Flow!E18-Cash_Flow!E92</f>
        <v>68694</v>
      </c>
      <c r="H61" s="59" t="n">
        <f aca="false">G61+Cash_Flow!F18-Cash_Flow!F92</f>
        <v>73502.58</v>
      </c>
      <c r="I61" s="59" t="n">
        <f aca="false">H61+Cash_Flow!G18-Cash_Flow!G92</f>
        <v>78647.7606</v>
      </c>
      <c r="J61" s="59" t="n">
        <f aca="false">I61+Cash_Flow!H18-Cash_Flow!H92</f>
        <v>84153.103842</v>
      </c>
      <c r="K61" s="59" t="n">
        <f aca="false">J61+Cash_Flow!I18-Cash_Flow!I92</f>
        <v>84153.103842</v>
      </c>
      <c r="L61" s="59" t="n">
        <f aca="false">K61+Cash_Flow!J18-Cash_Flow!J92</f>
        <v>84153.103842</v>
      </c>
      <c r="M61" s="59" t="n">
        <f aca="false">L61+Cash_Flow!K18-Cash_Flow!K92</f>
        <v>84153.103842</v>
      </c>
      <c r="N61" s="59" t="n">
        <f aca="false">M61+Cash_Flow!L18-Cash_Flow!L92</f>
        <v>84153.103842</v>
      </c>
      <c r="O61" s="59" t="n">
        <f aca="false">N61+Cash_Flow!M18-Cash_Flow!M92</f>
        <v>84153.103842</v>
      </c>
    </row>
    <row r="62" customFormat="false" ht="12.75" hidden="false" customHeight="false" outlineLevel="0" collapsed="false">
      <c r="A62" s="157" t="s">
        <v>160</v>
      </c>
      <c r="C62" s="151" t="n">
        <v>440000</v>
      </c>
      <c r="D62" s="59" t="n">
        <f aca="false">-C62+SUM(Input!C37:C39)</f>
        <v>-155000</v>
      </c>
      <c r="E62" s="59" t="n">
        <f aca="false">SUM(C62:D62)</f>
        <v>285000</v>
      </c>
      <c r="F62" s="59" t="n">
        <f aca="false">E62</f>
        <v>285000</v>
      </c>
      <c r="G62" s="59" t="n">
        <f aca="false">F62</f>
        <v>285000</v>
      </c>
      <c r="H62" s="59" t="n">
        <f aca="false">G62</f>
        <v>285000</v>
      </c>
      <c r="I62" s="59" t="n">
        <f aca="false">H62</f>
        <v>285000</v>
      </c>
      <c r="J62" s="59" t="n">
        <f aca="false">I62</f>
        <v>285000</v>
      </c>
      <c r="K62" s="59" t="n">
        <f aca="false">J62</f>
        <v>285000</v>
      </c>
      <c r="L62" s="59" t="n">
        <f aca="false">K62</f>
        <v>285000</v>
      </c>
      <c r="M62" s="59" t="n">
        <f aca="false">L62</f>
        <v>285000</v>
      </c>
      <c r="N62" s="59" t="n">
        <f aca="false">M62</f>
        <v>285000</v>
      </c>
      <c r="O62" s="59" t="n">
        <f aca="false">N62</f>
        <v>285000</v>
      </c>
    </row>
    <row r="63" customFormat="false" ht="12.75" hidden="false" customHeight="false" outlineLevel="0" collapsed="false">
      <c r="A63" s="157" t="s">
        <v>161</v>
      </c>
      <c r="C63" s="151" t="n">
        <v>24749</v>
      </c>
      <c r="D63" s="59" t="n">
        <f aca="false">-C63-Input!C16-MIN(0,Input!C53)</f>
        <v>-27249</v>
      </c>
      <c r="E63" s="59" t="n">
        <f aca="false">SUM(C63:D63)</f>
        <v>-2500</v>
      </c>
      <c r="F63" s="59" t="n">
        <f aca="false">E63+Inc_St!D49</f>
        <v>130037.729739204</v>
      </c>
      <c r="G63" s="59" t="n">
        <f aca="false">F63+Inc_St!E49</f>
        <v>274448.629736001</v>
      </c>
      <c r="H63" s="59" t="n">
        <f aca="false">G63+Inc_St!F49</f>
        <v>435503.486356074</v>
      </c>
      <c r="I63" s="59" t="n">
        <f aca="false">H63+Inc_St!G49</f>
        <v>614883.797841147</v>
      </c>
      <c r="J63" s="59" t="n">
        <f aca="false">I63+Inc_St!H49</f>
        <v>811203.246297643</v>
      </c>
      <c r="K63" s="59" t="n">
        <f aca="false">J63+Inc_St!I49</f>
        <v>1029603.13750486</v>
      </c>
      <c r="L63" s="59" t="n">
        <f aca="false">K63+Inc_St!J49</f>
        <v>1299064.21783899</v>
      </c>
      <c r="M63" s="59" t="n">
        <f aca="false">L63+Inc_St!K49</f>
        <v>1593876.81715355</v>
      </c>
      <c r="N63" s="59" t="n">
        <f aca="false">M63+Inc_St!L49</f>
        <v>1917400.2195589</v>
      </c>
      <c r="O63" s="59" t="n">
        <f aca="false">N63+Inc_St!M49</f>
        <v>2265129.37436992</v>
      </c>
    </row>
    <row r="64" customFormat="false" ht="12.75" hidden="false" customHeight="false" outlineLevel="0" collapsed="false">
      <c r="C64" s="59"/>
      <c r="D64" s="59"/>
      <c r="E64" s="59"/>
      <c r="F64" s="59"/>
      <c r="G64" s="59"/>
      <c r="H64" s="59"/>
      <c r="I64" s="59"/>
      <c r="J64" s="59"/>
      <c r="K64" s="59"/>
      <c r="L64" s="59"/>
      <c r="M64" s="59"/>
      <c r="N64" s="59"/>
      <c r="O64" s="59"/>
    </row>
    <row r="65" customFormat="false" ht="12.75" hidden="false" customHeight="false" outlineLevel="0" collapsed="false">
      <c r="A65" s="125" t="s">
        <v>162</v>
      </c>
      <c r="C65" s="59" t="n">
        <f aca="false">SUM(C61:C63)</f>
        <v>464749</v>
      </c>
      <c r="D65" s="59"/>
      <c r="E65" s="59" t="n">
        <f aca="false">SUM(E61:E63)</f>
        <v>342500</v>
      </c>
      <c r="F65" s="59" t="n">
        <f aca="false">SUM(F61:F63)</f>
        <v>479237.729739204</v>
      </c>
      <c r="G65" s="59" t="n">
        <f aca="false">SUM(G61:G63)</f>
        <v>628142.629736001</v>
      </c>
      <c r="H65" s="59" t="n">
        <f aca="false">SUM(H61:H63)</f>
        <v>794006.066356074</v>
      </c>
      <c r="I65" s="59" t="n">
        <f aca="false">SUM(I61:I63)</f>
        <v>978531.558441147</v>
      </c>
      <c r="J65" s="59" t="n">
        <f aca="false">SUM(J61:J63)</f>
        <v>1180356.35013964</v>
      </c>
      <c r="K65" s="59" t="n">
        <f aca="false">SUM(K61:K63)</f>
        <v>1398756.24134686</v>
      </c>
      <c r="L65" s="59" t="n">
        <f aca="false">SUM(L61:L63)</f>
        <v>1668217.32168099</v>
      </c>
      <c r="M65" s="59" t="n">
        <f aca="false">SUM(M61:M63)</f>
        <v>1963029.92099555</v>
      </c>
      <c r="N65" s="59" t="n">
        <f aca="false">SUM(N61:N63)</f>
        <v>2286553.3234009</v>
      </c>
      <c r="O65" s="59" t="n">
        <f aca="false">SUM(O61:O63)</f>
        <v>2634282.47821192</v>
      </c>
    </row>
    <row r="66" customFormat="false" ht="12.75" hidden="false" customHeight="false" outlineLevel="0" collapsed="false">
      <c r="C66" s="59"/>
      <c r="D66" s="59"/>
      <c r="E66" s="59"/>
      <c r="F66" s="59"/>
      <c r="G66" s="59"/>
      <c r="H66" s="59"/>
      <c r="I66" s="59"/>
      <c r="J66" s="59"/>
      <c r="K66" s="59"/>
      <c r="L66" s="59"/>
      <c r="M66" s="59"/>
      <c r="N66" s="59"/>
      <c r="O66" s="59"/>
    </row>
    <row r="67" customFormat="false" ht="12.75" hidden="false" customHeight="false" outlineLevel="0" collapsed="false">
      <c r="A67" s="149" t="s">
        <v>163</v>
      </c>
      <c r="C67" s="158" t="n">
        <f aca="false">SUM(C58,C65)</f>
        <v>813949</v>
      </c>
      <c r="D67" s="158" t="n">
        <f aca="false">SUM(D38:D66)</f>
        <v>228516</v>
      </c>
      <c r="E67" s="158" t="n">
        <f aca="false">SUM(E58,E65)</f>
        <v>1042465</v>
      </c>
      <c r="F67" s="158" t="n">
        <f aca="false">SUM(F58,F65)</f>
        <v>1310489.05555556</v>
      </c>
      <c r="G67" s="158" t="n">
        <f aca="false">SUM(G58,G65)</f>
        <v>1418152.25111111</v>
      </c>
      <c r="H67" s="158" t="n">
        <f aca="false">SUM(H58,H65)</f>
        <v>1538556.59543373</v>
      </c>
      <c r="I67" s="158" t="n">
        <f aca="false">SUM(I58,I65)</f>
        <v>1673831.11387812</v>
      </c>
      <c r="J67" s="158" t="n">
        <f aca="false">SUM(J58,J65)</f>
        <v>1823856.15591706</v>
      </c>
      <c r="K67" s="158" t="n">
        <f aca="false">SUM(K58,K65)</f>
        <v>1993364.64434208</v>
      </c>
      <c r="L67" s="158" t="n">
        <f aca="false">SUM(L58,L65)</f>
        <v>2227252.84839284</v>
      </c>
      <c r="M67" s="158" t="n">
        <f aca="false">SUM(M58,M65)</f>
        <v>2570709.30096352</v>
      </c>
      <c r="N67" s="158" t="n">
        <f aca="false">SUM(N58,N65)</f>
        <v>2991129.51882818</v>
      </c>
      <c r="O67" s="158" t="n">
        <f aca="false">SUM(O58,O65)</f>
        <v>3399985.44825032</v>
      </c>
    </row>
    <row r="68" customFormat="false" ht="12.75" hidden="false" customHeight="false" outlineLevel="0" collapsed="false">
      <c r="C68" s="59"/>
      <c r="D68" s="59"/>
      <c r="E68" s="59"/>
      <c r="F68" s="59"/>
      <c r="G68" s="59"/>
      <c r="H68" s="59"/>
      <c r="I68" s="59"/>
      <c r="J68" s="59"/>
      <c r="K68" s="59"/>
      <c r="L68" s="59"/>
      <c r="M68" s="59"/>
      <c r="N68" s="59"/>
      <c r="O68" s="59"/>
    </row>
    <row r="69" customFormat="false" ht="12.75" hidden="false" customHeight="false" outlineLevel="0" collapsed="false">
      <c r="C69" s="59"/>
      <c r="D69" s="59"/>
      <c r="E69" s="59"/>
      <c r="F69" s="59"/>
      <c r="G69" s="59"/>
      <c r="H69" s="59"/>
      <c r="I69" s="59"/>
      <c r="J69" s="59"/>
      <c r="K69" s="59"/>
      <c r="L69" s="59"/>
      <c r="M69" s="59"/>
      <c r="N69" s="59"/>
      <c r="O69" s="59"/>
    </row>
    <row r="70" customFormat="false" ht="12.75" hidden="false" customHeight="false" outlineLevel="0" collapsed="false">
      <c r="A70" s="161" t="s">
        <v>164</v>
      </c>
      <c r="C70" s="59" t="n">
        <f aca="false">C32-C67</f>
        <v>0</v>
      </c>
      <c r="D70" s="59" t="n">
        <f aca="false">D32-D67</f>
        <v>0</v>
      </c>
      <c r="E70" s="59" t="n">
        <f aca="false">E32-E67</f>
        <v>0</v>
      </c>
      <c r="F70" s="59" t="n">
        <f aca="false">F32-F67</f>
        <v>0</v>
      </c>
      <c r="G70" s="59" t="n">
        <f aca="false">G32-G67</f>
        <v>0</v>
      </c>
      <c r="H70" s="59" t="n">
        <f aca="false">H32-H67</f>
        <v>0</v>
      </c>
      <c r="I70" s="59" t="n">
        <f aca="false">I32-I67</f>
        <v>0</v>
      </c>
      <c r="J70" s="59" t="n">
        <f aca="false">J32-J67</f>
        <v>0</v>
      </c>
      <c r="K70" s="59" t="n">
        <f aca="false">K32-K67</f>
        <v>0</v>
      </c>
      <c r="L70" s="59" t="n">
        <f aca="false">L32-L67</f>
        <v>0</v>
      </c>
      <c r="M70" s="59" t="n">
        <f aca="false">M32-M67</f>
        <v>0</v>
      </c>
      <c r="N70" s="59" t="n">
        <f aca="false">N32-N67</f>
        <v>0</v>
      </c>
      <c r="O70" s="59" t="n">
        <f aca="false">O32-O67</f>
        <v>0</v>
      </c>
    </row>
    <row r="71" customFormat="false" ht="12.75" hidden="false" customHeight="false" outlineLevel="0" collapsed="false">
      <c r="A71" s="125"/>
      <c r="C71" s="59"/>
      <c r="D71" s="59"/>
      <c r="E71" s="59"/>
      <c r="F71" s="59"/>
      <c r="G71" s="59"/>
      <c r="H71" s="59"/>
      <c r="I71" s="59"/>
      <c r="J71" s="59"/>
      <c r="K71" s="59"/>
      <c r="L71" s="59"/>
      <c r="M71" s="59"/>
      <c r="N71" s="59"/>
      <c r="O71" s="59"/>
    </row>
    <row r="72" customFormat="false" ht="12.75" hidden="false" customHeight="false" outlineLevel="0" collapsed="false">
      <c r="C72" s="59"/>
      <c r="D72" s="59"/>
      <c r="E72" s="59"/>
      <c r="F72" s="59"/>
      <c r="G72" s="59"/>
      <c r="H72" s="59"/>
      <c r="I72" s="59"/>
      <c r="J72" s="59"/>
      <c r="K72" s="59"/>
      <c r="L72" s="59"/>
      <c r="M72" s="59"/>
      <c r="N72" s="59"/>
      <c r="O72" s="59"/>
    </row>
    <row r="73" customFormat="false" ht="12.75" hidden="false" customHeight="false" outlineLevel="0" collapsed="false">
      <c r="C73" s="59"/>
      <c r="D73" s="59"/>
      <c r="E73" s="59"/>
      <c r="F73" s="59"/>
      <c r="G73" s="59"/>
      <c r="H73" s="59"/>
      <c r="I73" s="59"/>
      <c r="J73" s="59"/>
      <c r="K73" s="59"/>
      <c r="L73" s="59"/>
      <c r="M73" s="59"/>
      <c r="N73" s="59"/>
      <c r="O73" s="59"/>
    </row>
    <row r="74" customFormat="false" ht="12.75" hidden="false" customHeight="false" outlineLevel="0" collapsed="false">
      <c r="C74" s="1"/>
      <c r="D74" s="1"/>
      <c r="E74" s="59"/>
      <c r="F74" s="59"/>
      <c r="G74" s="59"/>
      <c r="H74" s="59"/>
      <c r="I74" s="59"/>
      <c r="J74" s="59"/>
      <c r="K74" s="59"/>
      <c r="L74" s="59"/>
      <c r="M74" s="59"/>
      <c r="N74" s="59"/>
      <c r="O74" s="59"/>
    </row>
    <row r="75" customFormat="false" ht="12.75" hidden="false" customHeight="false" outlineLevel="0" collapsed="false">
      <c r="C75" s="1"/>
      <c r="D75" s="1"/>
      <c r="E75" s="1"/>
      <c r="F75" s="59"/>
      <c r="G75" s="59"/>
      <c r="H75" s="59"/>
      <c r="I75" s="59"/>
      <c r="J75" s="59"/>
      <c r="K75" s="59"/>
      <c r="L75" s="59"/>
      <c r="M75" s="59"/>
      <c r="N75" s="59"/>
      <c r="O75" s="59"/>
    </row>
    <row r="76" customFormat="false" ht="12.75" hidden="false" customHeight="false" outlineLevel="0" collapsed="false">
      <c r="C76" s="1"/>
      <c r="D76" s="1"/>
      <c r="E76" s="1"/>
      <c r="F76" s="59"/>
      <c r="G76" s="59"/>
      <c r="H76" s="59"/>
      <c r="I76" s="59"/>
      <c r="J76" s="59"/>
      <c r="K76" s="59"/>
      <c r="L76" s="59"/>
      <c r="M76" s="59"/>
      <c r="N76" s="59"/>
      <c r="O76" s="59"/>
    </row>
    <row r="77" customFormat="false" ht="12.75" hidden="false" customHeight="false" outlineLevel="0" collapsed="false">
      <c r="C77" s="1"/>
      <c r="D77" s="1"/>
      <c r="E77" s="1"/>
      <c r="F77" s="59"/>
      <c r="G77" s="59"/>
      <c r="H77" s="59"/>
      <c r="I77" s="59"/>
      <c r="J77" s="59"/>
      <c r="K77" s="59"/>
      <c r="L77" s="59"/>
      <c r="M77" s="59"/>
      <c r="N77" s="59"/>
      <c r="O77" s="59"/>
    </row>
    <row r="78" customFormat="false" ht="12.75" hidden="false" customHeight="false" outlineLevel="0" collapsed="false">
      <c r="C78" s="1"/>
      <c r="D78" s="1"/>
      <c r="E78" s="1"/>
      <c r="F78" s="59"/>
      <c r="G78" s="59"/>
      <c r="H78" s="59"/>
      <c r="I78" s="59"/>
      <c r="J78" s="59"/>
      <c r="K78" s="59"/>
      <c r="L78" s="59"/>
      <c r="M78" s="59"/>
      <c r="N78" s="59"/>
      <c r="O78" s="59"/>
    </row>
    <row r="79" customFormat="false" ht="12.75" hidden="false" customHeight="false" outlineLevel="0" collapsed="false">
      <c r="C79" s="1"/>
      <c r="D79" s="1"/>
      <c r="E79" s="1"/>
      <c r="F79" s="59"/>
      <c r="G79" s="59"/>
      <c r="H79" s="59"/>
      <c r="I79" s="59"/>
      <c r="J79" s="59"/>
      <c r="K79" s="59"/>
      <c r="L79" s="59"/>
      <c r="M79" s="59"/>
      <c r="N79" s="59"/>
      <c r="O79" s="59"/>
    </row>
    <row r="80" customFormat="false" ht="12.75" hidden="false" customHeight="false" outlineLevel="0" collapsed="false">
      <c r="C80" s="1"/>
      <c r="D80" s="1"/>
      <c r="E80" s="1"/>
      <c r="F80" s="59"/>
      <c r="G80" s="59"/>
      <c r="H80" s="59"/>
      <c r="I80" s="59"/>
      <c r="J80" s="59"/>
      <c r="K80" s="59"/>
      <c r="L80" s="59"/>
      <c r="M80" s="59"/>
      <c r="N80" s="59"/>
      <c r="O80" s="59"/>
    </row>
    <row r="81" customFormat="false" ht="12.75" hidden="false" customHeight="false" outlineLevel="0" collapsed="false">
      <c r="C81" s="1"/>
      <c r="D81" s="1"/>
      <c r="E81" s="1"/>
      <c r="F81" s="59"/>
      <c r="G81" s="59"/>
      <c r="H81" s="59"/>
      <c r="I81" s="59"/>
      <c r="J81" s="59"/>
      <c r="K81" s="59"/>
      <c r="L81" s="59"/>
      <c r="M81" s="59"/>
      <c r="N81" s="59"/>
      <c r="O81" s="59"/>
    </row>
    <row r="82" customFormat="false" ht="12.75" hidden="false" customHeight="false" outlineLevel="0" collapsed="false">
      <c r="C82" s="1"/>
      <c r="D82" s="1"/>
      <c r="E82" s="1"/>
      <c r="F82" s="59"/>
      <c r="G82" s="59"/>
      <c r="H82" s="59"/>
      <c r="I82" s="59"/>
      <c r="J82" s="59"/>
      <c r="K82" s="59"/>
      <c r="L82" s="59"/>
      <c r="M82" s="59"/>
      <c r="N82" s="59"/>
      <c r="O82" s="59"/>
    </row>
    <row r="83" customFormat="false" ht="12.75" hidden="false" customHeight="false" outlineLevel="0" collapsed="false">
      <c r="C83" s="1"/>
      <c r="D83" s="1"/>
      <c r="E83" s="1"/>
      <c r="F83" s="59"/>
      <c r="G83" s="59"/>
      <c r="H83" s="59"/>
      <c r="I83" s="59"/>
      <c r="J83" s="59"/>
      <c r="K83" s="59"/>
      <c r="L83" s="59"/>
      <c r="M83" s="59"/>
      <c r="N83" s="59"/>
      <c r="O83" s="59"/>
    </row>
    <row r="84" customFormat="false" ht="12.75" hidden="false" customHeight="false" outlineLevel="0" collapsed="false">
      <c r="C84" s="1"/>
      <c r="D84" s="1"/>
      <c r="E84" s="1"/>
      <c r="F84" s="59"/>
      <c r="G84" s="59"/>
      <c r="H84" s="59"/>
      <c r="I84" s="59"/>
      <c r="J84" s="59"/>
      <c r="K84" s="59"/>
      <c r="L84" s="59"/>
      <c r="M84" s="59"/>
      <c r="N84" s="59"/>
      <c r="O84" s="59"/>
    </row>
    <row r="85" customFormat="false" ht="12.75" hidden="false" customHeight="false" outlineLevel="0" collapsed="false">
      <c r="C85" s="1"/>
      <c r="D85" s="1"/>
      <c r="E85" s="1"/>
      <c r="F85" s="59"/>
      <c r="G85" s="59"/>
      <c r="H85" s="59"/>
      <c r="I85" s="59"/>
      <c r="J85" s="59"/>
      <c r="K85" s="59"/>
      <c r="L85" s="59"/>
      <c r="M85" s="59"/>
      <c r="N85" s="59"/>
      <c r="O85" s="59"/>
    </row>
    <row r="86" customFormat="false" ht="12.75" hidden="false" customHeight="false" outlineLevel="0" collapsed="false">
      <c r="C86" s="1"/>
      <c r="D86" s="1"/>
      <c r="E86" s="1"/>
      <c r="F86" s="59"/>
      <c r="G86" s="59"/>
      <c r="H86" s="59"/>
      <c r="I86" s="59"/>
      <c r="J86" s="59"/>
      <c r="K86" s="59"/>
      <c r="L86" s="59"/>
      <c r="M86" s="59"/>
      <c r="N86" s="59"/>
      <c r="O86" s="59"/>
    </row>
    <row r="87" customFormat="false" ht="12.75" hidden="false" customHeight="false" outlineLevel="0" collapsed="false">
      <c r="C87" s="1"/>
      <c r="D87" s="1"/>
      <c r="E87" s="1"/>
      <c r="F87" s="59"/>
      <c r="G87" s="59"/>
      <c r="H87" s="59"/>
      <c r="I87" s="59"/>
      <c r="J87" s="59"/>
      <c r="K87" s="59"/>
      <c r="L87" s="59"/>
      <c r="M87" s="59"/>
      <c r="N87" s="59"/>
      <c r="O87" s="59"/>
    </row>
    <row r="88" customFormat="false" ht="12.75" hidden="false" customHeight="false" outlineLevel="0" collapsed="false">
      <c r="C88" s="1"/>
      <c r="D88" s="1"/>
      <c r="E88" s="1"/>
      <c r="F88" s="59"/>
      <c r="G88" s="59"/>
      <c r="H88" s="59"/>
      <c r="I88" s="59"/>
      <c r="J88" s="59"/>
      <c r="K88" s="59"/>
      <c r="L88" s="59"/>
      <c r="M88" s="59"/>
      <c r="N88" s="59"/>
      <c r="O88" s="59"/>
    </row>
    <row r="89" customFormat="false" ht="12.75" hidden="false" customHeight="false" outlineLevel="0" collapsed="false">
      <c r="C89" s="1"/>
      <c r="D89" s="1"/>
      <c r="E89" s="1"/>
      <c r="F89" s="59"/>
      <c r="G89" s="59"/>
      <c r="H89" s="59"/>
      <c r="I89" s="59"/>
      <c r="J89" s="59"/>
      <c r="K89" s="59"/>
      <c r="L89" s="59"/>
      <c r="M89" s="59"/>
      <c r="N89" s="59"/>
      <c r="O89" s="59"/>
    </row>
    <row r="90" customFormat="false" ht="12.75" hidden="false" customHeight="false" outlineLevel="0" collapsed="false">
      <c r="F90" s="59"/>
      <c r="G90" s="59"/>
      <c r="H90" s="59"/>
      <c r="I90" s="59"/>
      <c r="J90" s="59"/>
      <c r="K90" s="59"/>
      <c r="L90" s="59"/>
      <c r="M90" s="59"/>
      <c r="N90" s="59"/>
      <c r="O90" s="59"/>
    </row>
    <row r="91" customFormat="false" ht="12.75" hidden="false" customHeight="false" outlineLevel="0" collapsed="false">
      <c r="F91" s="59"/>
      <c r="G91" s="59"/>
      <c r="H91" s="59"/>
      <c r="I91" s="59"/>
      <c r="J91" s="59"/>
      <c r="K91" s="59"/>
      <c r="L91" s="59"/>
      <c r="M91" s="59"/>
      <c r="N91" s="59"/>
      <c r="O91" s="59"/>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X3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5" topLeftCell="D31" activePane="bottomRight" state="frozen"/>
      <selection pane="topLeft" activeCell="A1" activeCellId="0" sqref="A1"/>
      <selection pane="topRight" activeCell="D1" activeCellId="0" sqref="D1"/>
      <selection pane="bottomLeft" activeCell="A31" activeCellId="0" sqref="A31"/>
      <selection pane="bottomRight" activeCell="G2" activeCellId="0" sqref="G2"/>
    </sheetView>
  </sheetViews>
  <sheetFormatPr defaultColWidth="9.05078125" defaultRowHeight="12.75" zeroHeight="false" outlineLevelRow="0" outlineLevelCol="0"/>
  <cols>
    <col collapsed="false" customWidth="true" hidden="false" outlineLevel="0" max="1" min="1" style="0" width="23.99"/>
    <col collapsed="false" customWidth="true" hidden="false" outlineLevel="0" max="2" min="2" style="0" width="19.56"/>
    <col collapsed="false" customWidth="true" hidden="false" outlineLevel="0" max="3" min="3" style="0" width="3.28"/>
    <col collapsed="false" customWidth="true" hidden="false" outlineLevel="0" max="13" min="4" style="0" width="10.7"/>
    <col collapsed="false" customWidth="true" hidden="false" outlineLevel="0" max="20" min="14" style="0" width="10.28"/>
  </cols>
  <sheetData>
    <row r="2" customFormat="false" ht="15" hidden="false" customHeight="false" outlineLevel="0" collapsed="false">
      <c r="A2" s="122" t="s">
        <v>165</v>
      </c>
    </row>
    <row r="4" customFormat="false" ht="12.75" hidden="false" customHeight="false" outlineLevel="0" collapsed="false">
      <c r="A4" s="1" t="s">
        <v>112</v>
      </c>
      <c r="C4" s="126"/>
      <c r="D4" s="127" t="n">
        <f aca="false">year1</f>
        <v>2010</v>
      </c>
      <c r="E4" s="128" t="n">
        <f aca="false">D4+1</f>
        <v>2011</v>
      </c>
      <c r="F4" s="128" t="n">
        <f aca="false">E4+1</f>
        <v>2012</v>
      </c>
      <c r="G4" s="128" t="n">
        <f aca="false">F4+1</f>
        <v>2013</v>
      </c>
      <c r="H4" s="128" t="n">
        <f aca="false">G4+1</f>
        <v>2014</v>
      </c>
      <c r="I4" s="128" t="n">
        <f aca="false">H4+1</f>
        <v>2015</v>
      </c>
      <c r="J4" s="128" t="n">
        <f aca="false">I4+1</f>
        <v>2016</v>
      </c>
      <c r="K4" s="128" t="n">
        <f aca="false">J4+1</f>
        <v>2017</v>
      </c>
      <c r="L4" s="128" t="n">
        <f aca="false">K4+1</f>
        <v>2018</v>
      </c>
      <c r="M4" s="128" t="n">
        <f aca="false">L4+1</f>
        <v>2019</v>
      </c>
    </row>
    <row r="5" customFormat="false" ht="12.75" hidden="false" customHeight="false" outlineLevel="0" collapsed="false">
      <c r="A5" s="1" t="s">
        <v>113</v>
      </c>
      <c r="C5" s="126"/>
      <c r="D5" s="127" t="n">
        <v>1</v>
      </c>
      <c r="E5" s="128" t="n">
        <f aca="false">D5+1</f>
        <v>2</v>
      </c>
      <c r="F5" s="128" t="n">
        <f aca="false">E5+1</f>
        <v>3</v>
      </c>
      <c r="G5" s="128" t="n">
        <f aca="false">F5+1</f>
        <v>4</v>
      </c>
      <c r="H5" s="128" t="n">
        <f aca="false">G5+1</f>
        <v>5</v>
      </c>
      <c r="I5" s="128" t="n">
        <f aca="false">H5+1</f>
        <v>6</v>
      </c>
      <c r="J5" s="128" t="n">
        <f aca="false">I5+1</f>
        <v>7</v>
      </c>
      <c r="K5" s="128" t="n">
        <f aca="false">J5+1</f>
        <v>8</v>
      </c>
      <c r="L5" s="128" t="n">
        <f aca="false">K5+1</f>
        <v>9</v>
      </c>
      <c r="M5" s="128" t="n">
        <f aca="false">L5+1</f>
        <v>10</v>
      </c>
      <c r="N5" s="130"/>
      <c r="O5" s="130"/>
      <c r="P5" s="130"/>
      <c r="Q5" s="130"/>
      <c r="R5" s="130"/>
      <c r="S5" s="130"/>
      <c r="T5" s="130"/>
      <c r="U5" s="130"/>
      <c r="V5" s="130"/>
      <c r="W5" s="130"/>
      <c r="X5" s="130"/>
      <c r="Y5" s="130"/>
      <c r="Z5" s="130"/>
      <c r="AA5" s="130"/>
      <c r="AB5" s="130"/>
      <c r="AC5" s="130"/>
      <c r="AD5" s="130"/>
      <c r="AE5" s="130"/>
      <c r="AF5" s="130"/>
      <c r="AG5" s="130"/>
      <c r="AH5" s="130"/>
      <c r="AI5" s="130"/>
      <c r="AJ5" s="130"/>
      <c r="AK5" s="130"/>
      <c r="AL5" s="130"/>
      <c r="AM5" s="130"/>
      <c r="AN5" s="130"/>
      <c r="AO5" s="130"/>
      <c r="AP5" s="130"/>
      <c r="AQ5" s="130"/>
      <c r="AR5" s="130"/>
      <c r="AS5" s="130"/>
      <c r="AT5" s="130"/>
      <c r="AU5" s="130"/>
      <c r="AV5" s="130"/>
      <c r="AW5" s="130"/>
      <c r="AX5" s="130"/>
    </row>
    <row r="6" customFormat="false" ht="12.75" hidden="false" customHeight="false" outlineLevel="0" collapsed="false">
      <c r="A6" s="1"/>
      <c r="D6" s="162"/>
      <c r="E6" s="162"/>
      <c r="F6" s="162"/>
      <c r="G6" s="162"/>
      <c r="H6" s="162"/>
      <c r="I6" s="162"/>
      <c r="J6" s="162"/>
      <c r="K6" s="162"/>
      <c r="L6" s="162"/>
      <c r="M6" s="162"/>
      <c r="N6" s="130"/>
      <c r="O6" s="130"/>
      <c r="P6" s="130"/>
      <c r="Q6" s="130"/>
      <c r="R6" s="130"/>
      <c r="S6" s="130"/>
      <c r="T6" s="130"/>
      <c r="U6" s="130"/>
      <c r="V6" s="130"/>
      <c r="W6" s="130"/>
      <c r="X6" s="130"/>
      <c r="Y6" s="130"/>
      <c r="Z6" s="130"/>
      <c r="AA6" s="130"/>
      <c r="AB6" s="130"/>
      <c r="AC6" s="130"/>
      <c r="AD6" s="130"/>
      <c r="AE6" s="130"/>
      <c r="AF6" s="130"/>
      <c r="AG6" s="130"/>
      <c r="AH6" s="130"/>
      <c r="AI6" s="130"/>
      <c r="AJ6" s="130"/>
      <c r="AK6" s="130"/>
      <c r="AL6" s="130"/>
      <c r="AM6" s="130"/>
      <c r="AN6" s="130"/>
      <c r="AO6" s="130"/>
      <c r="AP6" s="130"/>
      <c r="AQ6" s="130"/>
      <c r="AR6" s="130"/>
      <c r="AS6" s="130"/>
      <c r="AT6" s="130"/>
      <c r="AU6" s="130"/>
      <c r="AV6" s="130"/>
      <c r="AW6" s="130"/>
      <c r="AX6" s="130"/>
    </row>
    <row r="7" customFormat="false" ht="12.75" hidden="false" customHeight="false" outlineLevel="0" collapsed="false">
      <c r="A7" s="163" t="s">
        <v>166</v>
      </c>
      <c r="C7" s="1"/>
      <c r="D7" s="156"/>
      <c r="E7" s="156"/>
      <c r="F7" s="156"/>
      <c r="G7" s="156"/>
      <c r="H7" s="156"/>
      <c r="I7" s="156"/>
      <c r="J7" s="156"/>
      <c r="K7" s="156"/>
      <c r="L7" s="156"/>
      <c r="M7" s="156"/>
      <c r="N7" s="156"/>
      <c r="O7" s="156"/>
      <c r="P7" s="130"/>
      <c r="Q7" s="130"/>
      <c r="R7" s="130"/>
      <c r="S7" s="130"/>
      <c r="T7" s="130"/>
      <c r="U7" s="130"/>
      <c r="V7" s="130"/>
      <c r="W7" s="130"/>
      <c r="X7" s="130"/>
      <c r="Y7" s="130"/>
      <c r="Z7" s="130"/>
      <c r="AA7" s="130"/>
      <c r="AB7" s="130"/>
      <c r="AC7" s="130"/>
      <c r="AD7" s="130"/>
      <c r="AE7" s="130"/>
      <c r="AF7" s="130"/>
      <c r="AG7" s="130"/>
      <c r="AH7" s="130"/>
      <c r="AI7" s="130"/>
      <c r="AJ7" s="130"/>
      <c r="AK7" s="130"/>
      <c r="AL7" s="130"/>
      <c r="AM7" s="130"/>
      <c r="AN7" s="130"/>
      <c r="AO7" s="130"/>
      <c r="AP7" s="130"/>
      <c r="AQ7" s="130"/>
      <c r="AR7" s="130"/>
      <c r="AS7" s="130"/>
      <c r="AT7" s="130"/>
      <c r="AU7" s="130"/>
      <c r="AV7" s="130"/>
      <c r="AW7" s="130"/>
      <c r="AX7" s="130"/>
    </row>
    <row r="8" customFormat="false" ht="12.75" hidden="false" customHeight="false" outlineLevel="0" collapsed="false">
      <c r="A8" s="1"/>
      <c r="C8" s="1"/>
      <c r="D8" s="156"/>
      <c r="E8" s="156"/>
      <c r="F8" s="156"/>
      <c r="G8" s="156"/>
      <c r="H8" s="156"/>
      <c r="I8" s="156"/>
      <c r="J8" s="156"/>
      <c r="K8" s="156"/>
      <c r="L8" s="156"/>
      <c r="M8" s="156"/>
      <c r="N8" s="156"/>
      <c r="O8" s="156"/>
      <c r="P8" s="130"/>
      <c r="Q8" s="130"/>
      <c r="R8" s="130"/>
      <c r="S8" s="130"/>
      <c r="T8" s="130"/>
      <c r="U8" s="130"/>
      <c r="V8" s="130"/>
      <c r="W8" s="130"/>
      <c r="X8" s="130"/>
      <c r="Y8" s="130"/>
      <c r="Z8" s="130"/>
      <c r="AA8" s="130"/>
      <c r="AB8" s="130"/>
      <c r="AC8" s="130"/>
      <c r="AD8" s="130"/>
      <c r="AE8" s="130"/>
      <c r="AF8" s="130"/>
      <c r="AG8" s="130"/>
      <c r="AH8" s="130"/>
      <c r="AI8" s="130"/>
      <c r="AJ8" s="130"/>
      <c r="AK8" s="130"/>
      <c r="AL8" s="130"/>
      <c r="AM8" s="130"/>
      <c r="AN8" s="130"/>
      <c r="AO8" s="130"/>
      <c r="AP8" s="130"/>
      <c r="AQ8" s="130"/>
      <c r="AR8" s="130"/>
      <c r="AS8" s="130"/>
      <c r="AT8" s="130"/>
      <c r="AU8" s="130"/>
      <c r="AV8" s="130"/>
      <c r="AW8" s="130"/>
      <c r="AX8" s="130"/>
    </row>
    <row r="9" customFormat="false" ht="12.75" hidden="false" customHeight="false" outlineLevel="0" collapsed="false">
      <c r="A9" s="1" t="str">
        <f aca="false">Inc_St!A49</f>
        <v>Net Income to Common Shareholders</v>
      </c>
      <c r="C9" s="59"/>
      <c r="D9" s="59" t="n">
        <f aca="false">Inc_St!D49</f>
        <v>132537.729739204</v>
      </c>
      <c r="E9" s="59" t="n">
        <f aca="false">Inc_St!E49</f>
        <v>144410.899996797</v>
      </c>
      <c r="F9" s="59" t="n">
        <f aca="false">Inc_St!F49</f>
        <v>161054.856620072</v>
      </c>
      <c r="G9" s="59" t="n">
        <f aca="false">Inc_St!G49</f>
        <v>179380.311485074</v>
      </c>
      <c r="H9" s="59" t="n">
        <f aca="false">Inc_St!H49</f>
        <v>196319.448456496</v>
      </c>
      <c r="I9" s="59" t="n">
        <f aca="false">Inc_St!I49</f>
        <v>218399.891207219</v>
      </c>
      <c r="J9" s="59" t="n">
        <f aca="false">Inc_St!J49</f>
        <v>269461.080334131</v>
      </c>
      <c r="K9" s="59" t="n">
        <f aca="false">Inc_St!K49</f>
        <v>294812.599314561</v>
      </c>
      <c r="L9" s="59" t="n">
        <f aca="false">Inc_St!L49</f>
        <v>323523.40240535</v>
      </c>
      <c r="M9" s="59" t="n">
        <f aca="false">Inc_St!M49</f>
        <v>347729.154811019</v>
      </c>
      <c r="N9" s="59"/>
      <c r="O9" s="59"/>
    </row>
    <row r="10" customFormat="false" ht="12.75" hidden="false" customHeight="false" outlineLevel="0" collapsed="false">
      <c r="A10" s="1"/>
      <c r="C10" s="59"/>
      <c r="D10" s="59"/>
      <c r="E10" s="59"/>
      <c r="F10" s="59"/>
      <c r="G10" s="59"/>
      <c r="H10" s="59"/>
      <c r="I10" s="59"/>
      <c r="J10" s="59"/>
      <c r="K10" s="59"/>
      <c r="L10" s="59"/>
      <c r="M10" s="59"/>
      <c r="N10" s="59"/>
      <c r="O10" s="59"/>
    </row>
    <row r="11" customFormat="false" ht="12.75" hidden="false" customHeight="false" outlineLevel="0" collapsed="false">
      <c r="A11" s="1" t="s">
        <v>167</v>
      </c>
      <c r="C11" s="59"/>
      <c r="D11" s="59"/>
      <c r="E11" s="59"/>
      <c r="F11" s="59"/>
      <c r="G11" s="59"/>
      <c r="H11" s="59"/>
      <c r="I11" s="59"/>
      <c r="J11" s="59"/>
      <c r="K11" s="59"/>
      <c r="L11" s="59"/>
      <c r="M11" s="59"/>
      <c r="N11" s="59"/>
      <c r="O11" s="59"/>
    </row>
    <row r="12" customFormat="false" ht="12.75" hidden="false" customHeight="false" outlineLevel="0" collapsed="false">
      <c r="A12" s="164" t="s">
        <v>168</v>
      </c>
      <c r="C12" s="59"/>
      <c r="D12" s="59" t="n">
        <f aca="false">Inc_St!D20</f>
        <v>72924.1666666667</v>
      </c>
      <c r="E12" s="59" t="n">
        <f aca="false">Inc_St!E20</f>
        <v>85024.1666666667</v>
      </c>
      <c r="F12" s="59" t="n">
        <f aca="false">Inc_St!F20</f>
        <v>93897.5</v>
      </c>
      <c r="G12" s="59" t="n">
        <f aca="false">Inc_St!G20</f>
        <v>104355.357142857</v>
      </c>
      <c r="H12" s="59" t="n">
        <f aca="false">Inc_St!H20</f>
        <v>117776.273809524</v>
      </c>
      <c r="I12" s="59" t="n">
        <f aca="false">Inc_St!I20</f>
        <v>128848.530059524</v>
      </c>
      <c r="J12" s="59" t="n">
        <f aca="false">Inc_St!J20</f>
        <v>101531.644059524</v>
      </c>
      <c r="K12" s="59" t="n">
        <f aca="false">Inc_St!K20</f>
        <v>115822.236126191</v>
      </c>
      <c r="L12" s="59" t="n">
        <f aca="false">Inc_St!L20</f>
        <v>128046.800217857</v>
      </c>
      <c r="M12" s="59" t="n">
        <f aca="false">Inc_St!M20</f>
        <v>149661.320718691</v>
      </c>
      <c r="N12" s="59"/>
      <c r="O12" s="59"/>
    </row>
    <row r="13" customFormat="false" ht="12.75" hidden="false" customHeight="false" outlineLevel="0" collapsed="false">
      <c r="A13" s="164" t="s">
        <v>169</v>
      </c>
      <c r="C13" s="59"/>
      <c r="D13" s="59" t="n">
        <f aca="false">Inc_St!D36</f>
        <v>1052.77777777778</v>
      </c>
      <c r="E13" s="59" t="n">
        <f aca="false">Inc_St!E36</f>
        <v>1052.77777777778</v>
      </c>
      <c r="F13" s="59" t="n">
        <f aca="false">Inc_St!F36</f>
        <v>1802.77777777778</v>
      </c>
      <c r="G13" s="59" t="n">
        <f aca="false">Inc_St!G36</f>
        <v>1515.27777777778</v>
      </c>
      <c r="H13" s="59" t="n">
        <f aca="false">Inc_St!H36</f>
        <v>1393.05555555556</v>
      </c>
      <c r="I13" s="59" t="n">
        <f aca="false">Inc_St!I36</f>
        <v>2270.83333333333</v>
      </c>
      <c r="J13" s="59" t="n">
        <f aca="false">Inc_St!J36</f>
        <v>450</v>
      </c>
      <c r="K13" s="59" t="n">
        <f aca="false">Inc_St!K36</f>
        <v>450</v>
      </c>
      <c r="L13" s="59" t="n">
        <f aca="false">Inc_St!L36</f>
        <v>450</v>
      </c>
      <c r="M13" s="59" t="n">
        <f aca="false">Inc_St!M36</f>
        <v>450</v>
      </c>
      <c r="N13" s="59"/>
      <c r="O13" s="59"/>
    </row>
    <row r="14" customFormat="false" ht="12.75" hidden="false" customHeight="false" outlineLevel="0" collapsed="false">
      <c r="A14" s="164" t="s">
        <v>170</v>
      </c>
      <c r="C14" s="59"/>
      <c r="D14" s="59" t="n">
        <f aca="false">Income_Tax!D30</f>
        <v>4595.28999999999</v>
      </c>
      <c r="E14" s="59" t="n">
        <f aca="false">Income_Tax!E30</f>
        <v>246.539999999979</v>
      </c>
      <c r="F14" s="59" t="n">
        <f aca="false">Income_Tax!F30</f>
        <v>246.539999999994</v>
      </c>
      <c r="G14" s="59" t="n">
        <f aca="false">Income_Tax!G30</f>
        <v>2280.01222222221</v>
      </c>
      <c r="H14" s="59" t="n">
        <f aca="false">Income_Tax!H30</f>
        <v>11657.1538888889</v>
      </c>
      <c r="I14" s="59" t="n">
        <f aca="false">Income_Tax!I30</f>
        <v>11674.6538888889</v>
      </c>
      <c r="J14" s="59" t="n">
        <f aca="false">Income_Tax!J30</f>
        <v>20859.2372222222</v>
      </c>
      <c r="K14" s="59" t="n">
        <f aca="false">Income_Tax!K30</f>
        <v>53405.3341738889</v>
      </c>
      <c r="L14" s="59" t="n">
        <f aca="false">Income_Tax!L30</f>
        <v>37782.1216738889</v>
      </c>
      <c r="M14" s="59" t="n">
        <f aca="false">Income_Tax!M30</f>
        <v>-4989.43250111109</v>
      </c>
      <c r="N14" s="59"/>
      <c r="O14" s="59"/>
    </row>
    <row r="15" customFormat="false" ht="12.75" hidden="false" customHeight="false" outlineLevel="0" collapsed="false">
      <c r="A15" s="164" t="str">
        <f aca="false">"Accrued Interest "&amp;Bal_Sheet!A51</f>
        <v>Accrued Interest Subordinated Notes</v>
      </c>
      <c r="C15" s="59"/>
      <c r="D15" s="165" t="n">
        <f aca="false">IF(sub_notes_years_PIK&gt;=D$5,Inc_St!D30,0)</f>
        <v>1800</v>
      </c>
      <c r="E15" s="59" t="n">
        <f aca="false">IF(sub_notes_years_PIK&gt;=E5,Inc_St!E30,0)</f>
        <v>1881</v>
      </c>
      <c r="F15" s="59" t="n">
        <f aca="false">IF(sub_notes_years_PIK&gt;=F5,Inc_St!F30,0)</f>
        <v>1965.645</v>
      </c>
      <c r="G15" s="59" t="n">
        <f aca="false">IF(sub_notes_years_PIK&gt;=G5,Inc_St!G30,0)</f>
        <v>2054.099025</v>
      </c>
      <c r="H15" s="59" t="n">
        <f aca="false">IF(sub_notes_years_PIK&gt;=H5,Inc_St!H30,0)</f>
        <v>2146.533481125</v>
      </c>
      <c r="I15" s="59" t="n">
        <f aca="false">IF(sub_notes_years_PIK&gt;=I5,Inc_St!I30,0)</f>
        <v>0</v>
      </c>
      <c r="J15" s="59" t="n">
        <f aca="false">IF(sub_notes_years_PIK&gt;=J5,Inc_St!J30,0)</f>
        <v>0</v>
      </c>
      <c r="K15" s="59" t="n">
        <f aca="false">IF(sub_notes_years_PIK&gt;=K5,Inc_St!K30,0)</f>
        <v>0</v>
      </c>
      <c r="L15" s="59" t="n">
        <f aca="false">IF(sub_notes_years_PIK&gt;=L5,Inc_St!L30,0)</f>
        <v>0</v>
      </c>
      <c r="M15" s="59" t="n">
        <f aca="false">IF(sub_notes_years_PIK&gt;=M5,Inc_St!M30,0)</f>
        <v>0</v>
      </c>
      <c r="N15" s="59"/>
      <c r="O15" s="59"/>
    </row>
    <row r="16" customFormat="false" ht="12.75" hidden="false" customHeight="false" outlineLevel="0" collapsed="false">
      <c r="A16" s="164" t="str">
        <f aca="false">"Accrued Interest "&amp;Bal_Sheet!A52</f>
        <v>Accrued Interest Mezzanine Debt</v>
      </c>
      <c r="C16" s="59"/>
      <c r="D16" s="165" t="n">
        <f aca="false">IF(mezzdebt_years_PIK&gt;=D$5,Inc_St!D31,0)</f>
        <v>3150</v>
      </c>
      <c r="E16" s="165" t="n">
        <f aca="false">IF(mezzdebt_years_PIK&gt;=E$5,Inc_St!E31,0)</f>
        <v>3291.75</v>
      </c>
      <c r="F16" s="165" t="n">
        <f aca="false">IF(mezzdebt_years_PIK&gt;=F$5,Inc_St!F31,0)</f>
        <v>3439.87875</v>
      </c>
      <c r="G16" s="165" t="n">
        <f aca="false">IF(mezzdebt_years_PIK&gt;=G$5,Inc_St!G31,0)</f>
        <v>3594.67329375</v>
      </c>
      <c r="H16" s="165" t="n">
        <f aca="false">IF(mezzdebt_years_PIK&gt;=H$5,Inc_St!H31,0)</f>
        <v>3756.43359196875</v>
      </c>
      <c r="I16" s="165" t="n">
        <f aca="false">IF(mezzdebt_years_PIK&gt;=I$5,Inc_St!I31,0)</f>
        <v>0</v>
      </c>
      <c r="J16" s="165" t="n">
        <f aca="false">IF(mezzdebt_years_PIK&gt;=J$5,Inc_St!J31,0)</f>
        <v>0</v>
      </c>
      <c r="K16" s="165" t="n">
        <f aca="false">IF(mezzdebt_years_PIK&gt;=K$5,Inc_St!K31,0)</f>
        <v>0</v>
      </c>
      <c r="L16" s="165" t="n">
        <f aca="false">IF(mezzdebt_years_PIK&gt;=L$5,Inc_St!L31,0)</f>
        <v>0</v>
      </c>
      <c r="M16" s="165" t="n">
        <f aca="false">IF(mezzdebt_years_PIK&gt;=M$5,Inc_St!M31,0)</f>
        <v>0</v>
      </c>
      <c r="N16" s="59"/>
      <c r="O16" s="59"/>
    </row>
    <row r="17" customFormat="false" ht="12.75" hidden="false" customHeight="false" outlineLevel="0" collapsed="false">
      <c r="A17" s="164" t="str">
        <f aca="false">"Accrued Interest "&amp;Bal_Sheet!A53</f>
        <v>Accrued Interest Seller Notes</v>
      </c>
      <c r="C17" s="59"/>
      <c r="D17" s="165" t="n">
        <f aca="false">IF(seller_notes_years_PIK&gt;=D$5,Inc_St!D32,0)</f>
        <v>1251.60462130937</v>
      </c>
      <c r="E17" s="165" t="n">
        <f aca="false">IF(seller_notes_years_PIK&gt;=E$5,Inc_St!E32,0)</f>
        <v>1126.5306727792</v>
      </c>
      <c r="F17" s="165" t="n">
        <f aca="false">IF(seller_notes_years_PIK&gt;=F$5,Inc_St!F32,0)</f>
        <v>994.713327794249</v>
      </c>
      <c r="G17" s="165" t="n">
        <f aca="false">IF(seller_notes_years_PIK&gt;=G$5,Inc_St!G32,0)</f>
        <v>855.789014273528</v>
      </c>
      <c r="H17" s="165" t="n">
        <f aca="false">IF(seller_notes_years_PIK&gt;=H$5,Inc_St!H32,0)</f>
        <v>709.37455804694</v>
      </c>
      <c r="I17" s="165" t="n">
        <f aca="false">IF(seller_notes_years_PIK&gt;=I$5,Inc_St!I32,0)</f>
        <v>0</v>
      </c>
      <c r="J17" s="165" t="n">
        <f aca="false">IF(seller_notes_years_PIK&gt;=J$5,Inc_St!J32,0)</f>
        <v>0</v>
      </c>
      <c r="K17" s="165" t="n">
        <f aca="false">IF(seller_notes_years_PIK&gt;=K$5,Inc_St!K32,0)</f>
        <v>0</v>
      </c>
      <c r="L17" s="165" t="n">
        <f aca="false">IF(seller_notes_years_PIK&gt;=L$5,Inc_St!L32,0)</f>
        <v>0</v>
      </c>
      <c r="M17" s="165" t="n">
        <f aca="false">IF(seller_notes_years_PIK&gt;=M$5,Inc_St!M32,0)</f>
        <v>0</v>
      </c>
      <c r="N17" s="59"/>
      <c r="O17" s="59"/>
    </row>
    <row r="18" customFormat="false" ht="12.75" hidden="false" customHeight="false" outlineLevel="0" collapsed="false">
      <c r="A18" s="164" t="str">
        <f aca="false">"Accrued Interest "&amp;Bal_Sheet!A61</f>
        <v>Accrued Interest Preferred Stock</v>
      </c>
      <c r="C18" s="59"/>
      <c r="D18" s="165" t="n">
        <f aca="false">IF(pref_stock_years_PIK&gt;=D$5,Inc_St!D46,0)</f>
        <v>4200</v>
      </c>
      <c r="E18" s="165" t="n">
        <f aca="false">IF(pref_stock_years_PIK&gt;=E$5,Inc_St!E46,0)</f>
        <v>4494</v>
      </c>
      <c r="F18" s="165" t="n">
        <f aca="false">IF(pref_stock_years_PIK&gt;=F$5,Inc_St!F46,0)</f>
        <v>4808.58</v>
      </c>
      <c r="G18" s="165" t="n">
        <f aca="false">IF(pref_stock_years_PIK&gt;=G$5,Inc_St!G46,0)</f>
        <v>5145.1806</v>
      </c>
      <c r="H18" s="165" t="n">
        <f aca="false">IF(pref_stock_years_PIK&gt;=H$5,Inc_St!H46,0)</f>
        <v>5505.343242</v>
      </c>
      <c r="I18" s="165" t="n">
        <f aca="false">IF(pref_stock_years_PIK&gt;=I$5,Inc_St!I46,0)</f>
        <v>0</v>
      </c>
      <c r="J18" s="165" t="n">
        <f aca="false">IF(pref_stock_years_PIK&gt;=J$5,Inc_St!J46,0)</f>
        <v>0</v>
      </c>
      <c r="K18" s="165" t="n">
        <f aca="false">IF(pref_stock_years_PIK&gt;=K$5,Inc_St!K46,0)</f>
        <v>0</v>
      </c>
      <c r="L18" s="165" t="n">
        <f aca="false">IF(pref_stock_years_PIK&gt;=L$5,Inc_St!L46,0)</f>
        <v>0</v>
      </c>
      <c r="M18" s="165" t="n">
        <f aca="false">IF(pref_stock_years_PIK&gt;=M$5,Inc_St!M46,0)</f>
        <v>0</v>
      </c>
      <c r="N18" s="59"/>
      <c r="O18" s="59"/>
    </row>
    <row r="19" customFormat="false" ht="12.75" hidden="false" customHeight="false" outlineLevel="0" collapsed="false">
      <c r="A19" s="1"/>
      <c r="C19" s="59"/>
      <c r="D19" s="166"/>
      <c r="E19" s="166"/>
      <c r="F19" s="166"/>
      <c r="G19" s="166"/>
      <c r="H19" s="166"/>
      <c r="I19" s="166"/>
      <c r="J19" s="166"/>
      <c r="K19" s="166"/>
      <c r="L19" s="166"/>
      <c r="M19" s="166"/>
      <c r="N19" s="59"/>
      <c r="O19" s="59"/>
    </row>
    <row r="20" customFormat="false" ht="12.75" hidden="false" customHeight="false" outlineLevel="0" collapsed="false">
      <c r="A20" s="1" t="s">
        <v>171</v>
      </c>
      <c r="C20" s="59"/>
      <c r="D20" s="59"/>
      <c r="E20" s="59"/>
      <c r="F20" s="59"/>
      <c r="G20" s="59"/>
      <c r="H20" s="59"/>
      <c r="I20" s="59"/>
      <c r="J20" s="59"/>
      <c r="K20" s="59"/>
      <c r="L20" s="59"/>
      <c r="M20" s="59"/>
      <c r="N20" s="59"/>
      <c r="O20" s="59"/>
    </row>
    <row r="21" customFormat="false" ht="12.75" hidden="false" customHeight="false" outlineLevel="0" collapsed="false">
      <c r="A21" s="164" t="s">
        <v>172</v>
      </c>
      <c r="C21" s="59"/>
      <c r="D21" s="59" t="n">
        <f aca="false">-(Bal_Sheet!F11-Bal_Sheet!E11)</f>
        <v>-113000</v>
      </c>
      <c r="E21" s="59" t="n">
        <f aca="false">-(Bal_Sheet!G11-Bal_Sheet!F11)</f>
        <v>-30690</v>
      </c>
      <c r="F21" s="59" t="n">
        <f aca="false">-(Bal_Sheet!H11-Bal_Sheet!G11)</f>
        <v>-35446.95</v>
      </c>
      <c r="G21" s="59" t="n">
        <f aca="false">-(Bal_Sheet!I11-Bal_Sheet!H11)</f>
        <v>-40941.2272500001</v>
      </c>
      <c r="H21" s="59" t="n">
        <f aca="false">-(Bal_Sheet!J11-Bal_Sheet!I11)</f>
        <v>-47287.11747375</v>
      </c>
      <c r="I21" s="59" t="n">
        <f aca="false">-(Bal_Sheet!K11-Bal_Sheet!J11)</f>
        <v>-54616.6206821813</v>
      </c>
      <c r="J21" s="59" t="n">
        <f aca="false">-(Bal_Sheet!L11-Bal_Sheet!K11)</f>
        <v>-63082.1968879195</v>
      </c>
      <c r="K21" s="59" t="n">
        <f aca="false">-(Bal_Sheet!M11-Bal_Sheet!L11)</f>
        <v>-72859.9374055471</v>
      </c>
      <c r="L21" s="59" t="n">
        <f aca="false">-(Bal_Sheet!N11-Bal_Sheet!M11)</f>
        <v>-84153.2277034068</v>
      </c>
      <c r="M21" s="59" t="n">
        <f aca="false">-(Bal_Sheet!O11-Bal_Sheet!N11)</f>
        <v>-97196.9779974348</v>
      </c>
      <c r="N21" s="59"/>
      <c r="O21" s="59"/>
    </row>
    <row r="22" customFormat="false" ht="12.75" hidden="false" customHeight="false" outlineLevel="0" collapsed="false">
      <c r="A22" s="164" t="s">
        <v>173</v>
      </c>
      <c r="C22" s="59"/>
      <c r="D22" s="59" t="n">
        <f aca="false">-(Bal_Sheet!F12-Bal_Sheet!E12)</f>
        <v>-3001</v>
      </c>
      <c r="E22" s="59" t="n">
        <f aca="false">-(Bal_Sheet!G12-Bal_Sheet!F12)</f>
        <v>-14539.14</v>
      </c>
      <c r="F22" s="59" t="n">
        <f aca="false">-(Bal_Sheet!H12-Bal_Sheet!G12)</f>
        <v>-16674.3581004</v>
      </c>
      <c r="G22" s="59" t="n">
        <f aca="false">-(Bal_Sheet!I12-Bal_Sheet!H12)</f>
        <v>-19123.1543310247</v>
      </c>
      <c r="H22" s="59" t="n">
        <f aca="false">-(Bal_Sheet!J12-Bal_Sheet!I12)</f>
        <v>-21931.5807760791</v>
      </c>
      <c r="I22" s="59" t="n">
        <f aca="false">-(Bal_Sheet!K12-Bal_Sheet!J12)</f>
        <v>-25152.452728854</v>
      </c>
      <c r="J22" s="59" t="n">
        <f aca="false">-(Bal_Sheet!L12-Bal_Sheet!K12)</f>
        <v>-28846.3419366136</v>
      </c>
      <c r="K22" s="59" t="n">
        <f aca="false">-(Bal_Sheet!M12-Bal_Sheet!L12)</f>
        <v>-33082.7157134246</v>
      </c>
      <c r="L22" s="59" t="n">
        <f aca="false">-(Bal_Sheet!N12-Bal_Sheet!M12)</f>
        <v>-37941.2433430982</v>
      </c>
      <c r="M22" s="59" t="n">
        <f aca="false">-(Bal_Sheet!O12-Bal_Sheet!N12)</f>
        <v>-43513.2943404656</v>
      </c>
      <c r="N22" s="59"/>
      <c r="O22" s="59"/>
    </row>
    <row r="23" customFormat="false" ht="12.75" hidden="false" customHeight="false" outlineLevel="0" collapsed="false">
      <c r="A23" s="164" t="s">
        <v>174</v>
      </c>
      <c r="C23" s="59"/>
      <c r="D23" s="59" t="n">
        <f aca="false">-(Bal_Sheet!F13-Bal_Sheet!E13)-(Bal_Sheet!F14-Bal_Sheet!E14)</f>
        <v>-114500</v>
      </c>
      <c r="E23" s="59" t="n">
        <f aca="false">-(Bal_Sheet!G13-Bal_Sheet!F13)-(Bal_Sheet!G14-Bal_Sheet!F14)</f>
        <v>-22869</v>
      </c>
      <c r="F23" s="59" t="n">
        <f aca="false">-(Bal_Sheet!H13-Bal_Sheet!G13)-(Bal_Sheet!H14-Bal_Sheet!G14)</f>
        <v>-25751.583</v>
      </c>
      <c r="G23" s="59" t="n">
        <f aca="false">-(Bal_Sheet!I13-Bal_Sheet!H13)-(Bal_Sheet!I14-Bal_Sheet!H14)</f>
        <v>-28997.6431635</v>
      </c>
      <c r="H23" s="59" t="n">
        <f aca="false">-(Bal_Sheet!J13-Bal_Sheet!I13)-(Bal_Sheet!J14-Bal_Sheet!I14)</f>
        <v>-32653.0294642282</v>
      </c>
      <c r="I23" s="59" t="n">
        <f aca="false">-(Bal_Sheet!K13-Bal_Sheet!J13)-(Bal_Sheet!K14-Bal_Sheet!J14)</f>
        <v>-36769.37630758</v>
      </c>
      <c r="J23" s="59" t="n">
        <f aca="false">-(Bal_Sheet!L13-Bal_Sheet!K13)-(Bal_Sheet!L14-Bal_Sheet!K14)</f>
        <v>-41404.8338150319</v>
      </c>
      <c r="K23" s="59" t="n">
        <f aca="false">-(Bal_Sheet!M13-Bal_Sheet!L13)-(Bal_Sheet!M14-Bal_Sheet!L14)</f>
        <v>-46624.8903221287</v>
      </c>
      <c r="L23" s="59" t="n">
        <f aca="false">-(Bal_Sheet!N13-Bal_Sheet!M13)-(Bal_Sheet!N14-Bal_Sheet!M14)</f>
        <v>-52503.2987377531</v>
      </c>
      <c r="M23" s="59" t="n">
        <f aca="false">-(Bal_Sheet!O13-Bal_Sheet!N13)-(Bal_Sheet!O14-Bal_Sheet!N14)</f>
        <v>-59123.1198841154</v>
      </c>
      <c r="N23" s="59"/>
      <c r="O23" s="59"/>
    </row>
    <row r="24" customFormat="false" ht="12.75" hidden="false" customHeight="false" outlineLevel="0" collapsed="false">
      <c r="A24" s="164" t="s">
        <v>175</v>
      </c>
      <c r="C24" s="59"/>
      <c r="D24" s="59" t="n">
        <f aca="false">Bal_Sheet!F38-Bal_Sheet!E38</f>
        <v>22900.15</v>
      </c>
      <c r="E24" s="59" t="n">
        <f aca="false">Bal_Sheet!G38-Bal_Sheet!F38</f>
        <v>11041.10967</v>
      </c>
      <c r="F24" s="59" t="n">
        <f aca="false">Bal_Sheet!H38-Bal_Sheet!G38</f>
        <v>10801.0225410047</v>
      </c>
      <c r="G24" s="59" t="n">
        <f aca="false">Bal_Sheet!I38-Bal_Sheet!H38</f>
        <v>12166.0382488136</v>
      </c>
      <c r="H24" s="59" t="n">
        <f aca="false">Bal_Sheet!J38-Bal_Sheet!I38</f>
        <v>13704.3002908626</v>
      </c>
      <c r="I24" s="59" t="n">
        <f aca="false">Bal_Sheet!K38-Bal_Sheet!J38</f>
        <v>15437.9206340079</v>
      </c>
      <c r="J24" s="59" t="n">
        <f aca="false">Bal_Sheet!L38-Bal_Sheet!K38</f>
        <v>17391.8541226445</v>
      </c>
      <c r="K24" s="59" t="n">
        <f aca="false">Bal_Sheet!M38-Bal_Sheet!L38</f>
        <v>19594.2674100634</v>
      </c>
      <c r="L24" s="59" t="n">
        <f aca="false">Bal_Sheet!N38-Bal_Sheet!M38</f>
        <v>22076.9563328471</v>
      </c>
      <c r="M24" s="59" t="n">
        <f aca="false">Bal_Sheet!O38-Bal_Sheet!N38</f>
        <v>24875.8181815031</v>
      </c>
      <c r="N24" s="59"/>
      <c r="O24" s="59"/>
    </row>
    <row r="25" customFormat="false" ht="12.75" hidden="false" customHeight="false" outlineLevel="0" collapsed="false">
      <c r="A25" s="164" t="s">
        <v>176</v>
      </c>
      <c r="C25" s="59"/>
      <c r="D25" s="59" t="n">
        <f aca="false">(Bal_Sheet!F39-Bal_Sheet!E39)+(Bal_Sheet!F40-Bal_Sheet!E40)</f>
        <v>108000</v>
      </c>
      <c r="E25" s="59" t="n">
        <f aca="false">(Bal_Sheet!G39-Bal_Sheet!F39)+(Bal_Sheet!G40-Bal_Sheet!F40)</f>
        <v>17457</v>
      </c>
      <c r="F25" s="59" t="n">
        <f aca="false">(Bal_Sheet!H39-Bal_Sheet!G39)+(Bal_Sheet!H40-Bal_Sheet!G40)</f>
        <v>19437.0165</v>
      </c>
      <c r="G25" s="59" t="n">
        <f aca="false">(Bal_Sheet!I39-Bal_Sheet!H39)+(Bal_Sheet!I40-Bal_Sheet!H40)</f>
        <v>21641.74155825</v>
      </c>
      <c r="H25" s="59" t="n">
        <f aca="false">(Bal_Sheet!J39-Bal_Sheet!I39)+(Bal_Sheet!J40-Bal_Sheet!I40)</f>
        <v>24096.6917883821</v>
      </c>
      <c r="I25" s="59" t="n">
        <f aca="false">(Bal_Sheet!K39-Bal_Sheet!J39)+(Bal_Sheet!K40-Bal_Sheet!J40)</f>
        <v>26830.2830149088</v>
      </c>
      <c r="J25" s="59" t="n">
        <f aca="false">(Bal_Sheet!L39-Bal_Sheet!K39)+(Bal_Sheet!L40-Bal_Sheet!K40)</f>
        <v>29874.1598756088</v>
      </c>
      <c r="K25" s="59" t="n">
        <f aca="false">(Bal_Sheet!M39-Bal_Sheet!L39)+(Bal_Sheet!M40-Bal_Sheet!L40)</f>
        <v>33263.5629173109</v>
      </c>
      <c r="L25" s="59" t="n">
        <f aca="false">(Bal_Sheet!N39-Bal_Sheet!M39)+(Bal_Sheet!N40-Bal_Sheet!M40)</f>
        <v>37037.7374525686</v>
      </c>
      <c r="M25" s="59" t="n">
        <f aca="false">(Bal_Sheet!O39-Bal_Sheet!N39)+(Bal_Sheet!O40-Bal_Sheet!N40)</f>
        <v>41240.3889307324</v>
      </c>
      <c r="N25" s="59"/>
      <c r="O25" s="59"/>
    </row>
    <row r="26" customFormat="false" ht="12.75" hidden="false" customHeight="false" outlineLevel="0" collapsed="false">
      <c r="A26" s="1"/>
      <c r="C26" s="59"/>
      <c r="D26" s="59"/>
      <c r="E26" s="59"/>
      <c r="F26" s="59"/>
      <c r="G26" s="59"/>
      <c r="H26" s="59"/>
      <c r="I26" s="59"/>
      <c r="J26" s="59"/>
      <c r="K26" s="59"/>
      <c r="L26" s="59"/>
      <c r="M26" s="59"/>
      <c r="N26" s="59"/>
      <c r="O26" s="59"/>
    </row>
    <row r="27" customFormat="false" ht="12.75" hidden="false" customHeight="false" outlineLevel="0" collapsed="false">
      <c r="A27" s="1" t="s">
        <v>177</v>
      </c>
      <c r="C27" s="59"/>
      <c r="D27" s="59" t="n">
        <f aca="false">SUM(D9:D26)</f>
        <v>121910.718804958</v>
      </c>
      <c r="E27" s="59" t="n">
        <f aca="false">SUM(E9:E26)</f>
        <v>201927.634784021</v>
      </c>
      <c r="F27" s="59" t="n">
        <f aca="false">SUM(F9:F26)</f>
        <v>220575.639416249</v>
      </c>
      <c r="G27" s="59" t="n">
        <f aca="false">SUM(G9:G26)</f>
        <v>243926.455623493</v>
      </c>
      <c r="H27" s="59" t="n">
        <f aca="false">SUM(H9:H26)</f>
        <v>275192.880948792</v>
      </c>
      <c r="I27" s="59" t="n">
        <f aca="false">SUM(I9:I26)</f>
        <v>286923.662419267</v>
      </c>
      <c r="J27" s="59" t="n">
        <f aca="false">SUM(J9:J26)</f>
        <v>306234.602974565</v>
      </c>
      <c r="K27" s="59" t="n">
        <f aca="false">SUM(K9:K26)</f>
        <v>364780.456500915</v>
      </c>
      <c r="L27" s="59" t="n">
        <f aca="false">SUM(L9:L26)</f>
        <v>374319.248298254</v>
      </c>
      <c r="M27" s="59" t="n">
        <f aca="false">SUM(M9:M26)</f>
        <v>359133.857918818</v>
      </c>
      <c r="N27" s="59"/>
      <c r="O27" s="59"/>
    </row>
    <row r="28" customFormat="false" ht="12.75" hidden="false" customHeight="false" outlineLevel="0" collapsed="false">
      <c r="A28" s="1"/>
      <c r="C28" s="59"/>
      <c r="D28" s="59"/>
      <c r="E28" s="59"/>
      <c r="F28" s="59"/>
      <c r="G28" s="59"/>
      <c r="H28" s="59"/>
      <c r="I28" s="59"/>
      <c r="J28" s="59"/>
      <c r="K28" s="59"/>
      <c r="L28" s="59"/>
      <c r="M28" s="59"/>
      <c r="N28" s="59"/>
      <c r="O28" s="59"/>
    </row>
    <row r="29" customFormat="false" ht="12.75" hidden="false" customHeight="false" outlineLevel="0" collapsed="false">
      <c r="A29" s="163" t="s">
        <v>178</v>
      </c>
      <c r="C29" s="59"/>
      <c r="D29" s="59"/>
      <c r="E29" s="59"/>
      <c r="F29" s="59"/>
      <c r="G29" s="59"/>
      <c r="H29" s="59"/>
      <c r="I29" s="59"/>
      <c r="J29" s="59"/>
      <c r="K29" s="59"/>
      <c r="L29" s="59"/>
      <c r="M29" s="59"/>
      <c r="N29" s="59"/>
      <c r="O29" s="59"/>
    </row>
    <row r="30" customFormat="false" ht="12.75" hidden="false" customHeight="false" outlineLevel="0" collapsed="false">
      <c r="A30" s="164" t="s">
        <v>179</v>
      </c>
      <c r="C30" s="59"/>
      <c r="D30" s="59" t="n">
        <f aca="false">-Bal_Sheet!F25</f>
        <v>-110000</v>
      </c>
      <c r="E30" s="59" t="n">
        <f aca="false">-Bal_Sheet!G25</f>
        <v>-121000</v>
      </c>
      <c r="F30" s="59" t="n">
        <f aca="false">-Bal_Sheet!H25</f>
        <v>-133100</v>
      </c>
      <c r="G30" s="59" t="n">
        <f aca="false">-Bal_Sheet!I25</f>
        <v>-146410</v>
      </c>
      <c r="H30" s="59" t="n">
        <f aca="false">-Bal_Sheet!J25</f>
        <v>-161051</v>
      </c>
      <c r="I30" s="59" t="n">
        <f aca="false">-Bal_Sheet!K25</f>
        <v>-177156.1</v>
      </c>
      <c r="J30" s="59" t="n">
        <f aca="false">-Bal_Sheet!L25</f>
        <v>-194871.71</v>
      </c>
      <c r="K30" s="59" t="n">
        <f aca="false">-Bal_Sheet!M25</f>
        <v>-214358.881</v>
      </c>
      <c r="L30" s="59" t="n">
        <f aca="false">-Bal_Sheet!N25</f>
        <v>-235794.7691</v>
      </c>
      <c r="M30" s="59" t="n">
        <f aca="false">-Bal_Sheet!O25</f>
        <v>-259374.24601</v>
      </c>
      <c r="N30" s="59"/>
      <c r="O30" s="59"/>
    </row>
    <row r="31" customFormat="false" ht="12.75" hidden="false" customHeight="false" outlineLevel="0" collapsed="false">
      <c r="A31" s="164" t="s">
        <v>180</v>
      </c>
      <c r="C31" s="59"/>
      <c r="D31" s="59" t="n">
        <f aca="false">-(Bal_Sheet!F22-Bal_Sheet!E22)</f>
        <v>-29000</v>
      </c>
      <c r="E31" s="59" t="n">
        <f aca="false">-(Bal_Sheet!G22-Bal_Sheet!F22)</f>
        <v>-4641.99999999999</v>
      </c>
      <c r="F31" s="59" t="n">
        <f aca="false">-(Bal_Sheet!H22-Bal_Sheet!G22)</f>
        <v>-5131.73099999999</v>
      </c>
      <c r="G31" s="59" t="n">
        <f aca="false">-(Bal_Sheet!I22-Bal_Sheet!H22)</f>
        <v>-5673.1286205</v>
      </c>
      <c r="H31" s="59" t="n">
        <f aca="false">-(Bal_Sheet!J22-Bal_Sheet!I22)</f>
        <v>-6271.64368996277</v>
      </c>
      <c r="I31" s="59" t="n">
        <f aca="false">-(Bal_Sheet!K22-Bal_Sheet!J22)</f>
        <v>-6933.30209925381</v>
      </c>
      <c r="J31" s="59" t="n">
        <f aca="false">-(Bal_Sheet!L22-Bal_Sheet!K22)</f>
        <v>-7664.76547072511</v>
      </c>
      <c r="K31" s="59" t="n">
        <f aca="false">-(Bal_Sheet!M22-Bal_Sheet!L22)</f>
        <v>-8473.3982278866</v>
      </c>
      <c r="L31" s="59" t="n">
        <f aca="false">-(Bal_Sheet!N22-Bal_Sheet!M22)</f>
        <v>-9367.34174092863</v>
      </c>
      <c r="M31" s="59" t="n">
        <f aca="false">-(Bal_Sheet!O22-Bal_Sheet!N22)</f>
        <v>-10355.5962945966</v>
      </c>
      <c r="N31" s="59"/>
      <c r="O31" s="59"/>
    </row>
    <row r="32" customFormat="false" ht="12.75" hidden="false" customHeight="false" outlineLevel="0" collapsed="false">
      <c r="A32" s="1"/>
      <c r="C32" s="59"/>
      <c r="D32" s="59"/>
      <c r="E32" s="59"/>
      <c r="F32" s="59"/>
      <c r="G32" s="59"/>
      <c r="H32" s="59"/>
      <c r="I32" s="59"/>
      <c r="J32" s="59"/>
      <c r="K32" s="59"/>
      <c r="L32" s="59"/>
      <c r="M32" s="59"/>
      <c r="N32" s="59"/>
      <c r="O32" s="59"/>
    </row>
    <row r="33" customFormat="false" ht="12.75" hidden="false" customHeight="false" outlineLevel="0" collapsed="false">
      <c r="A33" s="1" t="s">
        <v>181</v>
      </c>
      <c r="C33" s="59"/>
      <c r="D33" s="59" t="n">
        <f aca="false">SUM(D30:D32)</f>
        <v>-139000</v>
      </c>
      <c r="E33" s="59" t="n">
        <f aca="false">SUM(E30:E32)</f>
        <v>-125642</v>
      </c>
      <c r="F33" s="59" t="n">
        <f aca="false">SUM(F30:F32)</f>
        <v>-138231.731</v>
      </c>
      <c r="G33" s="59" t="n">
        <f aca="false">SUM(G30:G32)</f>
        <v>-152083.1286205</v>
      </c>
      <c r="H33" s="59" t="n">
        <f aca="false">SUM(H30:H32)</f>
        <v>-167322.643689963</v>
      </c>
      <c r="I33" s="59" t="n">
        <f aca="false">SUM(I30:I32)</f>
        <v>-184089.402099254</v>
      </c>
      <c r="J33" s="59" t="n">
        <f aca="false">SUM(J30:J32)</f>
        <v>-202536.475470725</v>
      </c>
      <c r="K33" s="59" t="n">
        <f aca="false">SUM(K30:K32)</f>
        <v>-222832.279227887</v>
      </c>
      <c r="L33" s="59" t="n">
        <f aca="false">SUM(L30:L32)</f>
        <v>-245162.110840929</v>
      </c>
      <c r="M33" s="59" t="n">
        <f aca="false">SUM(M30:M32)</f>
        <v>-269729.842304597</v>
      </c>
      <c r="N33" s="59"/>
      <c r="O33" s="59"/>
    </row>
    <row r="34" customFormat="false" ht="12.75" hidden="false" customHeight="false" outlineLevel="0" collapsed="false">
      <c r="A34" s="1"/>
      <c r="C34" s="59"/>
      <c r="D34" s="59"/>
      <c r="E34" s="59"/>
      <c r="F34" s="59"/>
      <c r="G34" s="59"/>
      <c r="H34" s="59"/>
      <c r="I34" s="59"/>
      <c r="J34" s="59"/>
      <c r="K34" s="59"/>
      <c r="L34" s="59"/>
      <c r="M34" s="59"/>
      <c r="N34" s="59"/>
      <c r="O34" s="59"/>
    </row>
    <row r="35" customFormat="false" ht="12.75" hidden="false" customHeight="false" outlineLevel="0" collapsed="false">
      <c r="A35" s="163" t="s">
        <v>182</v>
      </c>
      <c r="C35" s="59"/>
      <c r="D35" s="59"/>
      <c r="E35" s="59"/>
      <c r="F35" s="59"/>
      <c r="G35" s="59"/>
      <c r="H35" s="59"/>
      <c r="I35" s="59"/>
      <c r="J35" s="59"/>
      <c r="K35" s="59"/>
      <c r="L35" s="59"/>
      <c r="M35" s="59"/>
      <c r="N35" s="59"/>
      <c r="O35" s="59"/>
    </row>
    <row r="36" customFormat="false" ht="12.75" hidden="false" customHeight="false" outlineLevel="0" collapsed="false">
      <c r="A36" s="164" t="str">
        <f aca="false">"Increase (decrease) in "&amp;Bal_Sheet!A46</f>
        <v>Increase (decrease) in Existing Debt</v>
      </c>
      <c r="C36" s="59"/>
      <c r="D36" s="59" t="n">
        <f aca="false">-D85-D100</f>
        <v>-7222.22222222222</v>
      </c>
      <c r="E36" s="59" t="n">
        <f aca="false">-E85-E100</f>
        <v>-57777.7777777778</v>
      </c>
      <c r="F36" s="59" t="n">
        <f aca="false">-F85-F100</f>
        <v>-0</v>
      </c>
      <c r="G36" s="59" t="n">
        <f aca="false">-G85-G100</f>
        <v>-0</v>
      </c>
      <c r="H36" s="59" t="n">
        <f aca="false">-H85-H100</f>
        <v>-0</v>
      </c>
      <c r="I36" s="59" t="n">
        <f aca="false">-I85-I100</f>
        <v>-0</v>
      </c>
      <c r="J36" s="59" t="n">
        <f aca="false">-J85-J100</f>
        <v>-0</v>
      </c>
      <c r="K36" s="59" t="n">
        <f aca="false">-K85-K100</f>
        <v>-0</v>
      </c>
      <c r="L36" s="59" t="n">
        <f aca="false">-L85-L100</f>
        <v>-0</v>
      </c>
      <c r="M36" s="59" t="n">
        <f aca="false">-M85-M100</f>
        <v>-0</v>
      </c>
      <c r="N36" s="59"/>
      <c r="O36" s="59"/>
    </row>
    <row r="37" customFormat="false" ht="12.75" hidden="false" customHeight="false" outlineLevel="0" collapsed="false">
      <c r="A37" s="164" t="str">
        <f aca="false">"Increase (decrease) in "&amp;Bal_Sheet!A48</f>
        <v>Increase (decrease) in Term Loan "A"</v>
      </c>
      <c r="C37" s="59"/>
      <c r="D37" s="59" t="n">
        <f aca="false">-D86-D101</f>
        <v>-10000</v>
      </c>
      <c r="E37" s="59" t="n">
        <f aca="false">-E86-E101</f>
        <v>-12736.4284348143</v>
      </c>
      <c r="F37" s="59" t="n">
        <f aca="false">-F86-F101</f>
        <v>-57263.5715651857</v>
      </c>
      <c r="G37" s="59" t="n">
        <f aca="false">-G86-G101</f>
        <v>-0</v>
      </c>
      <c r="H37" s="59" t="n">
        <f aca="false">-H86-H101</f>
        <v>-0</v>
      </c>
      <c r="I37" s="59" t="n">
        <f aca="false">-I86-I101</f>
        <v>-0</v>
      </c>
      <c r="J37" s="59" t="n">
        <f aca="false">-J86-J101</f>
        <v>-0</v>
      </c>
      <c r="K37" s="59" t="n">
        <f aca="false">-K86-K101</f>
        <v>-0</v>
      </c>
      <c r="L37" s="59" t="n">
        <f aca="false">-L86-L101</f>
        <v>-0</v>
      </c>
      <c r="M37" s="59" t="n">
        <f aca="false">-M86-M101</f>
        <v>-0</v>
      </c>
      <c r="N37" s="59"/>
      <c r="O37" s="59"/>
    </row>
    <row r="38" customFormat="false" ht="12.75" hidden="false" customHeight="false" outlineLevel="0" collapsed="false">
      <c r="A38" s="164" t="str">
        <f aca="false">"Increase (decrease) in "&amp;Bal_Sheet!A49</f>
        <v>Increase (decrease) in Term Loan "B"</v>
      </c>
      <c r="C38" s="59"/>
      <c r="D38" s="59" t="n">
        <f aca="false">-D87-D102</f>
        <v>-2200</v>
      </c>
      <c r="E38" s="59" t="n">
        <f aca="false">-E87-E102</f>
        <v>-2200</v>
      </c>
      <c r="F38" s="59" t="n">
        <f aca="false">-F87-F102</f>
        <v>-21508.9082796348</v>
      </c>
      <c r="G38" s="59" t="n">
        <f aca="false">-G87-G102</f>
        <v>-29091.0917203652</v>
      </c>
      <c r="H38" s="59" t="n">
        <f aca="false">-H87-H102</f>
        <v>-0</v>
      </c>
      <c r="I38" s="59" t="n">
        <f aca="false">-I87-I102</f>
        <v>-0</v>
      </c>
      <c r="J38" s="59" t="n">
        <f aca="false">-J87-J102</f>
        <v>-0</v>
      </c>
      <c r="K38" s="59" t="n">
        <f aca="false">-K87-K102</f>
        <v>-0</v>
      </c>
      <c r="L38" s="59" t="n">
        <f aca="false">-L87-L102</f>
        <v>-0</v>
      </c>
      <c r="M38" s="59" t="n">
        <f aca="false">-M87-M102</f>
        <v>-0</v>
      </c>
      <c r="N38" s="59"/>
      <c r="O38" s="59"/>
    </row>
    <row r="39" customFormat="false" ht="12.75" hidden="false" customHeight="false" outlineLevel="0" collapsed="false">
      <c r="A39" s="164" t="str">
        <f aca="false">"Increase (decrease) in "&amp;Bal_Sheet!A50</f>
        <v>Increase (decrease) in Senior Notes</v>
      </c>
      <c r="C39" s="59"/>
      <c r="D39" s="59" t="n">
        <f aca="false">-D88-D103</f>
        <v>-0</v>
      </c>
      <c r="E39" s="59" t="n">
        <f aca="false">-E88-E103</f>
        <v>-0</v>
      </c>
      <c r="F39" s="59" t="n">
        <f aca="false">-F88-F103</f>
        <v>-0</v>
      </c>
      <c r="G39" s="59" t="n">
        <f aca="false">-G88-G103</f>
        <v>-59180.8067111992</v>
      </c>
      <c r="H39" s="59" t="n">
        <f aca="false">-H88-H103</f>
        <v>-5819.19328880083</v>
      </c>
      <c r="I39" s="59" t="n">
        <f aca="false">-I88-I103</f>
        <v>-0</v>
      </c>
      <c r="J39" s="59" t="n">
        <f aca="false">-J88-J103</f>
        <v>-0</v>
      </c>
      <c r="K39" s="59" t="n">
        <f aca="false">-K88-K103</f>
        <v>-0</v>
      </c>
      <c r="L39" s="59" t="n">
        <f aca="false">-L88-L103</f>
        <v>-0</v>
      </c>
      <c r="M39" s="59" t="n">
        <f aca="false">-M88-M103</f>
        <v>-0</v>
      </c>
      <c r="N39" s="59"/>
      <c r="O39" s="59"/>
    </row>
    <row r="40" customFormat="false" ht="12.75" hidden="false" customHeight="false" outlineLevel="0" collapsed="false">
      <c r="A40" s="164" t="str">
        <f aca="false">"Increase (decrease) in "&amp;Bal_Sheet!A51</f>
        <v>Increase (decrease) in Subordinated Notes</v>
      </c>
      <c r="C40" s="59"/>
      <c r="D40" s="59" t="n">
        <f aca="false">-D89-D104</f>
        <v>-0</v>
      </c>
      <c r="E40" s="59" t="n">
        <f aca="false">-E89-E104</f>
        <v>-0</v>
      </c>
      <c r="F40" s="59" t="n">
        <f aca="false">-F89-F104</f>
        <v>-0</v>
      </c>
      <c r="G40" s="59" t="n">
        <f aca="false">-G89-G104</f>
        <v>-0</v>
      </c>
      <c r="H40" s="59" t="n">
        <f aca="false">-H89-H104</f>
        <v>-47700.744025</v>
      </c>
      <c r="I40" s="59" t="n">
        <f aca="false">-I89-I104</f>
        <v>-2146.533481125</v>
      </c>
      <c r="J40" s="59" t="n">
        <f aca="false">-J89-J104</f>
        <v>-0</v>
      </c>
      <c r="K40" s="59" t="n">
        <f aca="false">-K89-K104</f>
        <v>-0</v>
      </c>
      <c r="L40" s="59" t="n">
        <f aca="false">-L89-L104</f>
        <v>-0</v>
      </c>
      <c r="M40" s="59" t="n">
        <f aca="false">-M89-M104</f>
        <v>-0</v>
      </c>
      <c r="N40" s="59"/>
      <c r="O40" s="59"/>
    </row>
    <row r="41" customFormat="false" ht="12.75" hidden="false" customHeight="false" outlineLevel="0" collapsed="false">
      <c r="A41" s="164" t="str">
        <f aca="false">"Increase (decrease) in "&amp;Bal_Sheet!A52</f>
        <v>Increase (decrease) in Mezzanine Debt</v>
      </c>
      <c r="C41" s="59"/>
      <c r="D41" s="59" t="n">
        <f aca="false">-D90-D105</f>
        <v>-0</v>
      </c>
      <c r="E41" s="59" t="n">
        <f aca="false">-E90-E105</f>
        <v>-0</v>
      </c>
      <c r="F41" s="59" t="n">
        <f aca="false">-F90-F105</f>
        <v>-0</v>
      </c>
      <c r="G41" s="59" t="n">
        <f aca="false">-G90-G105</f>
        <v>-0</v>
      </c>
      <c r="H41" s="59" t="n">
        <f aca="false">-H90-H105</f>
        <v>-50778.8713736001</v>
      </c>
      <c r="I41" s="59" t="n">
        <f aca="false">-I90-I105</f>
        <v>-36453.8642621187</v>
      </c>
      <c r="J41" s="59" t="n">
        <f aca="false">-J90-J105</f>
        <v>-0</v>
      </c>
      <c r="K41" s="59" t="n">
        <f aca="false">-K90-K105</f>
        <v>-0</v>
      </c>
      <c r="L41" s="59" t="n">
        <f aca="false">-L90-L105</f>
        <v>-0</v>
      </c>
      <c r="M41" s="59" t="n">
        <f aca="false">-M90-M105</f>
        <v>-0</v>
      </c>
      <c r="N41" s="59"/>
      <c r="O41" s="59"/>
    </row>
    <row r="42" customFormat="false" ht="12.75" hidden="false" customHeight="false" outlineLevel="0" collapsed="false">
      <c r="A42" s="164" t="str">
        <f aca="false">"Increase (decrease) in "&amp;Bal_Sheet!A53</f>
        <v>Increase (decrease) in Seller Notes</v>
      </c>
      <c r="C42" s="59"/>
      <c r="D42" s="59" t="n">
        <f aca="false">-D91-D106</f>
        <v>-3571.42857142857</v>
      </c>
      <c r="E42" s="59" t="n">
        <f aca="false">-E91-E106</f>
        <v>-3571.42857142857</v>
      </c>
      <c r="F42" s="59" t="n">
        <f aca="false">-F91-F106</f>
        <v>-3571.42857142857</v>
      </c>
      <c r="G42" s="59" t="n">
        <f aca="false">-G91-G106</f>
        <v>-3571.42857142857</v>
      </c>
      <c r="H42" s="59" t="n">
        <f aca="false">-H91-H106</f>
        <v>-3571.42857142857</v>
      </c>
      <c r="I42" s="59" t="n">
        <f aca="false">-I91-I106</f>
        <v>-12080.8693370604</v>
      </c>
      <c r="J42" s="59" t="n">
        <f aca="false">-J91-J106</f>
        <v>-0</v>
      </c>
      <c r="K42" s="59" t="n">
        <f aca="false">-K91-K106</f>
        <v>-0</v>
      </c>
      <c r="L42" s="59" t="n">
        <f aca="false">-L91-L106</f>
        <v>-0</v>
      </c>
      <c r="M42" s="59" t="n">
        <f aca="false">-M91-M106</f>
        <v>-0</v>
      </c>
      <c r="N42" s="59"/>
      <c r="O42" s="59"/>
    </row>
    <row r="43" customFormat="false" ht="12.75" hidden="false" customHeight="false" outlineLevel="0" collapsed="false">
      <c r="A43" s="164" t="str">
        <f aca="false">"Increase (decrease) in "&amp;Bal_Sheet!A61</f>
        <v>Increase (decrease) in Preferred Stock</v>
      </c>
      <c r="C43" s="59"/>
      <c r="D43" s="59" t="n">
        <f aca="false">-D92</f>
        <v>-0</v>
      </c>
      <c r="E43" s="59" t="n">
        <f aca="false">-E92</f>
        <v>-0</v>
      </c>
      <c r="F43" s="59" t="n">
        <f aca="false">-F92</f>
        <v>-0</v>
      </c>
      <c r="G43" s="59" t="n">
        <f aca="false">-G92</f>
        <v>-0</v>
      </c>
      <c r="H43" s="59" t="n">
        <f aca="false">-H92</f>
        <v>-0</v>
      </c>
      <c r="I43" s="59" t="n">
        <f aca="false">-I92</f>
        <v>-0</v>
      </c>
      <c r="J43" s="59" t="n">
        <f aca="false">-J92</f>
        <v>-0</v>
      </c>
      <c r="K43" s="59" t="n">
        <f aca="false">-K92</f>
        <v>-0</v>
      </c>
      <c r="L43" s="59" t="n">
        <f aca="false">-L92</f>
        <v>-0</v>
      </c>
      <c r="M43" s="59" t="n">
        <f aca="false">-M92</f>
        <v>-0</v>
      </c>
      <c r="N43" s="59"/>
      <c r="O43" s="59"/>
    </row>
    <row r="44" customFormat="false" ht="12.75" hidden="false" customHeight="false" outlineLevel="0" collapsed="false">
      <c r="A44" s="1"/>
      <c r="C44" s="59"/>
      <c r="D44" s="59"/>
      <c r="E44" s="59"/>
      <c r="F44" s="59"/>
      <c r="G44" s="59"/>
      <c r="H44" s="59"/>
      <c r="I44" s="59"/>
      <c r="J44" s="59"/>
      <c r="K44" s="59"/>
      <c r="L44" s="59"/>
      <c r="M44" s="59"/>
      <c r="N44" s="59"/>
      <c r="O44" s="59"/>
    </row>
    <row r="45" customFormat="false" ht="12.75" hidden="false" customHeight="false" outlineLevel="0" collapsed="false">
      <c r="A45" s="1" t="s">
        <v>183</v>
      </c>
      <c r="C45" s="59"/>
      <c r="D45" s="59" t="n">
        <f aca="false">SUM(D36:D44)</f>
        <v>-22993.6507936508</v>
      </c>
      <c r="E45" s="59" t="n">
        <f aca="false">SUM(E36:E44)</f>
        <v>-76285.6347840206</v>
      </c>
      <c r="F45" s="59" t="n">
        <f aca="false">SUM(F36:F44)</f>
        <v>-82343.9084162491</v>
      </c>
      <c r="G45" s="59" t="n">
        <f aca="false">SUM(G36:G44)</f>
        <v>-91843.327002993</v>
      </c>
      <c r="H45" s="59" t="n">
        <f aca="false">SUM(H36:H44)</f>
        <v>-107870.237258829</v>
      </c>
      <c r="I45" s="59" t="n">
        <f aca="false">SUM(I36:I44)</f>
        <v>-50681.2670803041</v>
      </c>
      <c r="J45" s="59" t="n">
        <f aca="false">SUM(J36:J44)</f>
        <v>0</v>
      </c>
      <c r="K45" s="59" t="n">
        <f aca="false">SUM(K36:K44)</f>
        <v>0</v>
      </c>
      <c r="L45" s="59" t="n">
        <f aca="false">SUM(L36:L44)</f>
        <v>0</v>
      </c>
      <c r="M45" s="59" t="n">
        <f aca="false">SUM(M36:M44)</f>
        <v>0</v>
      </c>
      <c r="N45" s="59"/>
      <c r="O45" s="59"/>
    </row>
    <row r="46" customFormat="false" ht="12.75" hidden="false" customHeight="false" outlineLevel="0" collapsed="false">
      <c r="A46" s="1"/>
      <c r="C46" s="59"/>
      <c r="D46" s="59"/>
      <c r="E46" s="59"/>
      <c r="F46" s="59"/>
      <c r="G46" s="59"/>
      <c r="H46" s="59"/>
      <c r="I46" s="59"/>
      <c r="J46" s="59"/>
      <c r="K46" s="59"/>
      <c r="L46" s="59"/>
      <c r="M46" s="59"/>
      <c r="N46" s="59"/>
      <c r="O46" s="59"/>
    </row>
    <row r="47" customFormat="false" ht="12.75" hidden="false" customHeight="false" outlineLevel="0" collapsed="false">
      <c r="A47" s="1" t="s">
        <v>184</v>
      </c>
      <c r="C47" s="59"/>
      <c r="D47" s="59" t="n">
        <f aca="false">D27+D33+D45</f>
        <v>-40082.9319886925</v>
      </c>
      <c r="E47" s="59" t="n">
        <f aca="false">E27+E33+E45</f>
        <v>0</v>
      </c>
      <c r="F47" s="59" t="n">
        <f aca="false">F27+F33+F45</f>
        <v>0</v>
      </c>
      <c r="G47" s="59" t="n">
        <f aca="false">G27+G33+G45</f>
        <v>0</v>
      </c>
      <c r="H47" s="59" t="n">
        <f aca="false">H27+H33+H45</f>
        <v>0</v>
      </c>
      <c r="I47" s="59" t="n">
        <f aca="false">I27+I33+I45</f>
        <v>52152.9932397085</v>
      </c>
      <c r="J47" s="59" t="n">
        <f aca="false">J27+J33+J45</f>
        <v>103698.12750384</v>
      </c>
      <c r="K47" s="59" t="n">
        <f aca="false">K27+K33+K45</f>
        <v>141948.177273028</v>
      </c>
      <c r="L47" s="59" t="n">
        <f aca="false">L27+L33+L45</f>
        <v>129157.137457325</v>
      </c>
      <c r="M47" s="59" t="n">
        <f aca="false">M27+M33+M45</f>
        <v>89404.0156142211</v>
      </c>
      <c r="N47" s="59"/>
      <c r="O47" s="59"/>
      <c r="P47" s="59"/>
      <c r="Q47" s="59"/>
      <c r="R47" s="59"/>
      <c r="S47" s="59"/>
    </row>
    <row r="48" customFormat="false" ht="12.75" hidden="false" customHeight="false" outlineLevel="0" collapsed="false">
      <c r="A48" s="1"/>
      <c r="C48" s="59"/>
      <c r="D48" s="59"/>
      <c r="E48" s="59"/>
      <c r="F48" s="59"/>
      <c r="G48" s="59"/>
      <c r="H48" s="59"/>
      <c r="I48" s="59"/>
      <c r="J48" s="59"/>
      <c r="K48" s="59"/>
      <c r="L48" s="59"/>
      <c r="M48" s="59"/>
      <c r="N48" s="59"/>
      <c r="O48" s="59"/>
    </row>
    <row r="49" customFormat="false" ht="12.75" hidden="false" customHeight="false" outlineLevel="0" collapsed="false">
      <c r="A49" s="163" t="s">
        <v>185</v>
      </c>
      <c r="C49" s="59"/>
      <c r="D49" s="59" t="n">
        <f aca="false">Bal_Sheet!E10</f>
        <v>77500</v>
      </c>
      <c r="E49" s="59" t="n">
        <f aca="false">D55</f>
        <v>50000</v>
      </c>
      <c r="F49" s="59" t="n">
        <f aca="false">E55</f>
        <v>50000</v>
      </c>
      <c r="G49" s="59" t="n">
        <f aca="false">F55</f>
        <v>50000</v>
      </c>
      <c r="H49" s="59" t="n">
        <f aca="false">G55</f>
        <v>50000</v>
      </c>
      <c r="I49" s="59" t="n">
        <f aca="false">H55</f>
        <v>50000</v>
      </c>
      <c r="J49" s="59" t="n">
        <f aca="false">I55</f>
        <v>50000</v>
      </c>
      <c r="K49" s="59" t="n">
        <f aca="false">J55</f>
        <v>50000</v>
      </c>
      <c r="L49" s="59" t="n">
        <f aca="false">K55</f>
        <v>134328.866027884</v>
      </c>
      <c r="M49" s="59" t="n">
        <f aca="false">L55</f>
        <v>263486.003485209</v>
      </c>
      <c r="N49" s="59"/>
      <c r="O49" s="59"/>
    </row>
    <row r="50" customFormat="false" ht="12.75" hidden="false" customHeight="false" outlineLevel="0" collapsed="false">
      <c r="A50" s="1"/>
      <c r="C50" s="59"/>
      <c r="D50" s="59"/>
      <c r="E50" s="59"/>
      <c r="F50" s="59"/>
      <c r="G50" s="59"/>
      <c r="H50" s="59"/>
      <c r="I50" s="59"/>
      <c r="J50" s="59"/>
      <c r="K50" s="59"/>
      <c r="L50" s="59"/>
      <c r="M50" s="59"/>
      <c r="N50" s="59"/>
      <c r="O50" s="59"/>
    </row>
    <row r="51" customFormat="false" ht="12.75" hidden="false" customHeight="false" outlineLevel="0" collapsed="false">
      <c r="A51" s="163" t="str">
        <f aca="false">"Cash available for "&amp;Bal_Sheet!A47</f>
        <v>Cash available for Bank Revolver</v>
      </c>
      <c r="C51" s="59"/>
      <c r="D51" s="59" t="n">
        <f aca="false">D47+D49</f>
        <v>37417.0680113075</v>
      </c>
      <c r="E51" s="59" t="n">
        <f aca="false">E47+E49</f>
        <v>50000</v>
      </c>
      <c r="F51" s="59" t="n">
        <f aca="false">F47+F49</f>
        <v>50000</v>
      </c>
      <c r="G51" s="59" t="n">
        <f aca="false">G47+G49</f>
        <v>50000</v>
      </c>
      <c r="H51" s="59" t="n">
        <f aca="false">H47+H49</f>
        <v>50000</v>
      </c>
      <c r="I51" s="59" t="n">
        <f aca="false">I47+I49</f>
        <v>102152.993239709</v>
      </c>
      <c r="J51" s="59" t="n">
        <f aca="false">J47+J49</f>
        <v>153698.12750384</v>
      </c>
      <c r="K51" s="59" t="n">
        <f aca="false">K47+K49</f>
        <v>191948.177273028</v>
      </c>
      <c r="L51" s="59" t="n">
        <f aca="false">L47+L49</f>
        <v>263486.003485209</v>
      </c>
      <c r="M51" s="59" t="n">
        <f aca="false">M47+M49</f>
        <v>352890.01909943</v>
      </c>
      <c r="N51" s="59"/>
      <c r="O51" s="59"/>
    </row>
    <row r="52" customFormat="false" ht="12.75" hidden="false" customHeight="false" outlineLevel="0" collapsed="false">
      <c r="A52" s="163"/>
      <c r="C52" s="59"/>
      <c r="D52" s="59"/>
      <c r="E52" s="59"/>
      <c r="F52" s="59"/>
      <c r="G52" s="59"/>
      <c r="H52" s="59"/>
      <c r="I52" s="59"/>
      <c r="J52" s="59"/>
      <c r="K52" s="59"/>
      <c r="L52" s="59"/>
      <c r="M52" s="59"/>
      <c r="N52" s="59"/>
      <c r="O52" s="59"/>
    </row>
    <row r="53" customFormat="false" ht="12.75" hidden="false" customHeight="false" outlineLevel="0" collapsed="false">
      <c r="A53" s="163" t="str">
        <f aca="false">"Added (retired) "&amp;Bal_Sheet!A47</f>
        <v>Added (retired) Bank Revolver</v>
      </c>
      <c r="C53" s="59"/>
      <c r="D53" s="59" t="n">
        <f aca="false">IF(cash_min=1,MIN(-MIN(Bal_Sheet!E47,D51-cash_min_amt),(revolver_limit-Bal_Sheet!E47)),MIN(-MIN(Bal_Sheet!E47,D51),(revolver_limit-Bal_Sheet!E47)))</f>
        <v>12582.9319886925</v>
      </c>
      <c r="E53" s="59" t="n">
        <f aca="false">IF(cash_min=1,MIN(-MIN(Bal_Sheet!F47,E51-cash_min_amt),(revolver_limit-Bal_Sheet!F47)),MIN(-MIN(Bal_Sheet!F47,E51),(revolver_limit-Bal_Sheet!F47)))</f>
        <v>-0</v>
      </c>
      <c r="F53" s="59" t="n">
        <f aca="false">IF(cash_min=1,MIN(-MIN(Bal_Sheet!G47,F51-cash_min_amt),(revolver_limit-Bal_Sheet!G47)),MIN(-MIN(Bal_Sheet!G47,F51),(revolver_limit-Bal_Sheet!G47)))</f>
        <v>-0</v>
      </c>
      <c r="G53" s="59" t="n">
        <f aca="false">IF(cash_min=1,MIN(-MIN(Bal_Sheet!H47,G51-cash_min_amt),(revolver_limit-Bal_Sheet!H47)),MIN(-MIN(Bal_Sheet!H47,G51),(revolver_limit-Bal_Sheet!H47)))</f>
        <v>-0</v>
      </c>
      <c r="H53" s="59" t="n">
        <f aca="false">IF(cash_min=1,MIN(-MIN(Bal_Sheet!I47,H51-cash_min_amt),(revolver_limit-Bal_Sheet!I47)),MIN(-MIN(Bal_Sheet!I47,H51),(revolver_limit-Bal_Sheet!I47)))</f>
        <v>-0</v>
      </c>
      <c r="I53" s="59" t="n">
        <f aca="false">IF(cash_min=1,MIN(-MIN(Bal_Sheet!J47,I51-cash_min_amt),(revolver_limit-Bal_Sheet!J47)),MIN(-MIN(Bal_Sheet!J47,I51),(revolver_limit-Bal_Sheet!J47)))</f>
        <v>-52152.9932397085</v>
      </c>
      <c r="J53" s="59" t="n">
        <f aca="false">IF(cash_min=1,MIN(-MIN(Bal_Sheet!K47,J51-cash_min_amt),(revolver_limit-Bal_Sheet!K47)),MIN(-MIN(Bal_Sheet!K47,J51),(revolver_limit-Bal_Sheet!K47)))</f>
        <v>-103698.12750384</v>
      </c>
      <c r="K53" s="59" t="n">
        <f aca="false">IF(cash_min=1,MIN(-MIN(Bal_Sheet!L47,K51-cash_min_amt),(revolver_limit-Bal_Sheet!L47)),MIN(-MIN(Bal_Sheet!L47,K51),(revolver_limit-Bal_Sheet!L47)))</f>
        <v>-57619.311245144</v>
      </c>
      <c r="L53" s="59" t="n">
        <f aca="false">IF(cash_min=1,MIN(-MIN(Bal_Sheet!M47,L51-cash_min_amt),(revolver_limit-Bal_Sheet!M47)),MIN(-MIN(Bal_Sheet!M47,L51),(revolver_limit-Bal_Sheet!M47)))</f>
        <v>-0</v>
      </c>
      <c r="M53" s="59" t="n">
        <f aca="false">IF(cash_min=1,MIN(-MIN(Bal_Sheet!N47,M51-cash_min_amt),(revolver_limit-Bal_Sheet!N47)),MIN(-MIN(Bal_Sheet!N47,M51),(revolver_limit-Bal_Sheet!N47)))</f>
        <v>-0</v>
      </c>
      <c r="N53" s="59"/>
      <c r="O53" s="59"/>
    </row>
    <row r="54" customFormat="false" ht="12.75" hidden="false" customHeight="false" outlineLevel="0" collapsed="false">
      <c r="A54" s="163"/>
      <c r="C54" s="59"/>
      <c r="D54" s="59"/>
      <c r="E54" s="59"/>
      <c r="F54" s="59"/>
      <c r="G54" s="59"/>
      <c r="H54" s="59"/>
      <c r="I54" s="59"/>
      <c r="J54" s="59"/>
      <c r="K54" s="59"/>
      <c r="L54" s="59"/>
      <c r="M54" s="59"/>
      <c r="N54" s="59"/>
      <c r="O54" s="59"/>
    </row>
    <row r="55" customFormat="false" ht="12.75" hidden="false" customHeight="false" outlineLevel="0" collapsed="false">
      <c r="A55" s="163" t="s">
        <v>186</v>
      </c>
      <c r="C55" s="59"/>
      <c r="D55" s="150" t="n">
        <f aca="false">D51+D53</f>
        <v>50000</v>
      </c>
      <c r="E55" s="150" t="n">
        <f aca="false">E51+E53</f>
        <v>50000</v>
      </c>
      <c r="F55" s="150" t="n">
        <f aca="false">F51+F53</f>
        <v>50000</v>
      </c>
      <c r="G55" s="150" t="n">
        <f aca="false">G51+G53</f>
        <v>50000</v>
      </c>
      <c r="H55" s="150" t="n">
        <f aca="false">H51+H53</f>
        <v>50000</v>
      </c>
      <c r="I55" s="150" t="n">
        <f aca="false">I51+I53</f>
        <v>50000</v>
      </c>
      <c r="J55" s="150" t="n">
        <f aca="false">J51+J53</f>
        <v>50000</v>
      </c>
      <c r="K55" s="150" t="n">
        <f aca="false">K51+K53</f>
        <v>134328.866027884</v>
      </c>
      <c r="L55" s="150" t="n">
        <f aca="false">L51+L53</f>
        <v>263486.003485209</v>
      </c>
      <c r="M55" s="150" t="n">
        <f aca="false">M51+M53</f>
        <v>352890.01909943</v>
      </c>
      <c r="N55" s="59"/>
      <c r="O55" s="59"/>
    </row>
    <row r="56" customFormat="false" ht="12.75" hidden="false" customHeight="false" outlineLevel="0" collapsed="false">
      <c r="A56" s="149"/>
      <c r="C56" s="59"/>
      <c r="D56" s="59"/>
      <c r="E56" s="59"/>
      <c r="F56" s="59"/>
      <c r="G56" s="59"/>
      <c r="H56" s="59"/>
      <c r="I56" s="59"/>
      <c r="J56" s="59"/>
      <c r="K56" s="59"/>
      <c r="L56" s="59"/>
      <c r="M56" s="59"/>
      <c r="N56" s="59"/>
      <c r="O56" s="59"/>
    </row>
    <row r="57" customFormat="false" ht="12.75" hidden="false" customHeight="false" outlineLevel="0" collapsed="false">
      <c r="A57" s="167"/>
      <c r="B57" s="167"/>
      <c r="C57" s="168"/>
      <c r="D57" s="168"/>
      <c r="E57" s="168"/>
      <c r="F57" s="168"/>
      <c r="G57" s="168"/>
      <c r="H57" s="168"/>
      <c r="I57" s="168"/>
      <c r="J57" s="168"/>
      <c r="K57" s="168"/>
      <c r="L57" s="168"/>
      <c r="M57" s="168"/>
      <c r="N57" s="59"/>
      <c r="O57" s="59"/>
    </row>
    <row r="58" customFormat="false" ht="12.75" hidden="false" customHeight="false" outlineLevel="0" collapsed="false">
      <c r="A58" s="169"/>
      <c r="B58" s="169"/>
      <c r="C58" s="170"/>
      <c r="D58" s="170"/>
      <c r="E58" s="170"/>
      <c r="F58" s="170"/>
      <c r="G58" s="170"/>
      <c r="H58" s="170"/>
      <c r="I58" s="170"/>
      <c r="J58" s="170"/>
      <c r="K58" s="170"/>
      <c r="L58" s="170"/>
      <c r="M58" s="170"/>
      <c r="N58" s="59"/>
      <c r="O58" s="59"/>
    </row>
    <row r="59" customFormat="false" ht="12.75" hidden="false" customHeight="false" outlineLevel="0" collapsed="false">
      <c r="A59" s="171" t="s">
        <v>187</v>
      </c>
      <c r="B59" s="169"/>
      <c r="C59" s="170"/>
      <c r="D59" s="170"/>
      <c r="E59" s="170"/>
      <c r="F59" s="170"/>
      <c r="G59" s="170"/>
      <c r="H59" s="170"/>
      <c r="I59" s="170"/>
      <c r="J59" s="170"/>
      <c r="K59" s="170"/>
      <c r="L59" s="170"/>
      <c r="M59" s="170"/>
      <c r="N59" s="59"/>
      <c r="O59" s="59"/>
    </row>
    <row r="60" customFormat="false" ht="12.75" hidden="false" customHeight="false" outlineLevel="0" collapsed="false">
      <c r="A60" s="125"/>
      <c r="C60" s="59"/>
      <c r="D60" s="59"/>
      <c r="E60" s="59"/>
      <c r="F60" s="59"/>
      <c r="G60" s="59"/>
      <c r="H60" s="59"/>
      <c r="I60" s="59"/>
      <c r="J60" s="59"/>
      <c r="K60" s="59"/>
      <c r="L60" s="59"/>
      <c r="M60" s="59"/>
      <c r="N60" s="59"/>
      <c r="O60" s="59"/>
    </row>
    <row r="61" customFormat="false" ht="12.75" hidden="false" customHeight="false" outlineLevel="0" collapsed="false">
      <c r="A61" s="163" t="s">
        <v>119</v>
      </c>
      <c r="B61" s="1"/>
      <c r="C61" s="1"/>
      <c r="D61" s="172" t="n">
        <f aca="false">Inc_St!D22</f>
        <v>246075.833333333</v>
      </c>
      <c r="E61" s="172" t="n">
        <f aca="false">Inc_St!E22</f>
        <v>263449.783333333</v>
      </c>
      <c r="F61" s="172" t="n">
        <f aca="false">Inc_St!F22</f>
        <v>286746.4286925</v>
      </c>
      <c r="G61" s="172" t="n">
        <f aca="false">Inc_St!G22</f>
        <v>311398.13253323</v>
      </c>
      <c r="H61" s="172" t="n">
        <f aca="false">Inc_St!H22</f>
        <v>336291.568087499</v>
      </c>
      <c r="I61" s="172" t="n">
        <f aca="false">Inc_St!I22</f>
        <v>367027.205214775</v>
      </c>
      <c r="J61" s="172" t="n">
        <f aca="false">Inc_St!J22</f>
        <v>439959.861803965</v>
      </c>
      <c r="K61" s="172" t="n">
        <f aca="false">Inc_St!K22</f>
        <v>475435.05737708</v>
      </c>
      <c r="L61" s="172" t="n">
        <f aca="false">Inc_St!L22</f>
        <v>517498.645652754</v>
      </c>
      <c r="M61" s="172" t="n">
        <f aca="false">Inc_St!M22</f>
        <v>555099.803199937</v>
      </c>
      <c r="N61" s="59"/>
      <c r="O61" s="59"/>
    </row>
    <row r="62" customFormat="false" ht="12.75" hidden="false" customHeight="false" outlineLevel="0" collapsed="false">
      <c r="A62" s="164" t="s">
        <v>188</v>
      </c>
      <c r="B62" s="1"/>
      <c r="C62" s="1"/>
      <c r="D62" s="173" t="n">
        <f aca="false">IF(goodwill_intang_deductible=1,0,Depr_Amort!F43+Depr_Amort!F42)</f>
        <v>0</v>
      </c>
      <c r="E62" s="173" t="n">
        <f aca="false">IF(goodwill_intang_deductible=1,0,Depr_Amort!G43+Depr_Amort!G42)</f>
        <v>0</v>
      </c>
      <c r="F62" s="173" t="n">
        <f aca="false">IF(goodwill_intang_deductible=1,0,Depr_Amort!H43+Depr_Amort!H42)</f>
        <v>0</v>
      </c>
      <c r="G62" s="173" t="n">
        <f aca="false">IF(goodwill_intang_deductible=1,0,Depr_Amort!I43+Depr_Amort!I42)</f>
        <v>0</v>
      </c>
      <c r="H62" s="173" t="n">
        <f aca="false">IF(goodwill_intang_deductible=1,0,Depr_Amort!J43+Depr_Amort!J42)</f>
        <v>0</v>
      </c>
      <c r="I62" s="173" t="n">
        <f aca="false">IF(goodwill_intang_deductible=1,0,Depr_Amort!K43+Depr_Amort!K42)</f>
        <v>0</v>
      </c>
      <c r="J62" s="173" t="n">
        <f aca="false">IF(goodwill_intang_deductible=1,0,Depr_Amort!L43+Depr_Amort!L42)</f>
        <v>0</v>
      </c>
      <c r="K62" s="173" t="n">
        <f aca="false">IF(goodwill_intang_deductible=1,0,Depr_Amort!M43+Depr_Amort!M42)</f>
        <v>0</v>
      </c>
      <c r="L62" s="173" t="n">
        <f aca="false">IF(goodwill_intang_deductible=1,0,Depr_Amort!N43+Depr_Amort!N42)</f>
        <v>0</v>
      </c>
      <c r="M62" s="173" t="n">
        <f aca="false">IF(goodwill_intang_deductible=1,0,Depr_Amort!O43+Depr_Amort!O42)</f>
        <v>0</v>
      </c>
      <c r="N62" s="59"/>
      <c r="O62" s="59"/>
    </row>
    <row r="63" customFormat="false" ht="12.75" hidden="false" customHeight="false" outlineLevel="0" collapsed="false">
      <c r="A63" s="174" t="s">
        <v>189</v>
      </c>
      <c r="B63" s="1"/>
      <c r="C63" s="1"/>
      <c r="D63" s="172" t="n">
        <f aca="false">SUM(D61:D62)</f>
        <v>246075.833333333</v>
      </c>
      <c r="E63" s="172" t="n">
        <f aca="false">SUM(E61:E62)</f>
        <v>263449.783333333</v>
      </c>
      <c r="F63" s="172" t="n">
        <f aca="false">SUM(F61:F62)</f>
        <v>286746.4286925</v>
      </c>
      <c r="G63" s="172" t="n">
        <f aca="false">SUM(G61:G62)</f>
        <v>311398.13253323</v>
      </c>
      <c r="H63" s="172" t="n">
        <f aca="false">SUM(H61:H62)</f>
        <v>336291.568087499</v>
      </c>
      <c r="I63" s="172" t="n">
        <f aca="false">SUM(I61:I62)</f>
        <v>367027.205214775</v>
      </c>
      <c r="J63" s="172" t="n">
        <f aca="false">SUM(J61:J62)</f>
        <v>439959.861803965</v>
      </c>
      <c r="K63" s="172" t="n">
        <f aca="false">SUM(K61:K62)</f>
        <v>475435.05737708</v>
      </c>
      <c r="L63" s="172" t="n">
        <f aca="false">SUM(L61:L62)</f>
        <v>517498.645652754</v>
      </c>
      <c r="M63" s="172" t="n">
        <f aca="false">SUM(M61:M62)</f>
        <v>555099.803199937</v>
      </c>
      <c r="N63" s="59"/>
      <c r="O63" s="59"/>
    </row>
    <row r="64" customFormat="false" ht="12.75" hidden="false" customHeight="false" outlineLevel="0" collapsed="false">
      <c r="A64" s="164" t="s">
        <v>190</v>
      </c>
      <c r="B64" s="1"/>
      <c r="C64" s="59"/>
      <c r="D64" s="168" t="n">
        <f aca="false">D63*tax_rate</f>
        <v>86126.5416666667</v>
      </c>
      <c r="E64" s="168" t="n">
        <f aca="false">E63*tax_rate</f>
        <v>92207.4241666666</v>
      </c>
      <c r="F64" s="168" t="n">
        <f aca="false">F63*tax_rate</f>
        <v>100361.250042375</v>
      </c>
      <c r="G64" s="168" t="n">
        <f aca="false">G63*tax_rate</f>
        <v>108989.34638663</v>
      </c>
      <c r="H64" s="168" t="n">
        <f aca="false">H63*tax_rate</f>
        <v>117702.048830625</v>
      </c>
      <c r="I64" s="168" t="n">
        <f aca="false">I63*tax_rate</f>
        <v>128459.521825171</v>
      </c>
      <c r="J64" s="168" t="n">
        <f aca="false">J63*tax_rate</f>
        <v>153985.951631388</v>
      </c>
      <c r="K64" s="168" t="n">
        <f aca="false">K63*tax_rate</f>
        <v>166402.270081978</v>
      </c>
      <c r="L64" s="168" t="n">
        <f aca="false">L63*tax_rate</f>
        <v>181124.525978464</v>
      </c>
      <c r="M64" s="168" t="n">
        <f aca="false">M63*tax_rate</f>
        <v>194284.931119978</v>
      </c>
      <c r="N64" s="59"/>
      <c r="O64" s="59"/>
    </row>
    <row r="65" customFormat="false" ht="12.75" hidden="false" customHeight="false" outlineLevel="0" collapsed="false">
      <c r="A65" s="174" t="s">
        <v>191</v>
      </c>
      <c r="B65" s="1"/>
      <c r="C65" s="59"/>
      <c r="D65" s="59" t="n">
        <f aca="false">D63-D64</f>
        <v>159949.291666667</v>
      </c>
      <c r="E65" s="59" t="n">
        <f aca="false">E63-E64</f>
        <v>171242.359166667</v>
      </c>
      <c r="F65" s="59" t="n">
        <f aca="false">F63-F64</f>
        <v>186385.178650125</v>
      </c>
      <c r="G65" s="59" t="n">
        <f aca="false">G63-G64</f>
        <v>202408.786146599</v>
      </c>
      <c r="H65" s="59" t="n">
        <f aca="false">H63-H64</f>
        <v>218589.519256874</v>
      </c>
      <c r="I65" s="59" t="n">
        <f aca="false">I63-I64</f>
        <v>238567.683389604</v>
      </c>
      <c r="J65" s="59" t="n">
        <f aca="false">J63-J64</f>
        <v>285973.910172577</v>
      </c>
      <c r="K65" s="59" t="n">
        <f aca="false">K63-K64</f>
        <v>309032.787295102</v>
      </c>
      <c r="L65" s="59" t="n">
        <f aca="false">L63-L64</f>
        <v>336374.11967429</v>
      </c>
      <c r="M65" s="59" t="n">
        <f aca="false">M63-M64</f>
        <v>360814.872079959</v>
      </c>
      <c r="N65" s="59"/>
      <c r="O65" s="59"/>
    </row>
    <row r="66" customFormat="false" ht="12.75" hidden="false" customHeight="false" outlineLevel="0" collapsed="false">
      <c r="A66" s="164" t="s">
        <v>192</v>
      </c>
      <c r="B66" s="1"/>
      <c r="C66" s="59"/>
      <c r="D66" s="59" t="n">
        <f aca="false">Depr_Amort!F39+IF(goodwill_intang_deductible=1,Depr_Amort!F43+Depr_Amort!F42,0)</f>
        <v>72924.1666666667</v>
      </c>
      <c r="E66" s="59" t="n">
        <f aca="false">Depr_Amort!G39+IF(goodwill_intang_deductible=1,Depr_Amort!G43+Depr_Amort!G42,0)</f>
        <v>85024.1666666667</v>
      </c>
      <c r="F66" s="59" t="n">
        <f aca="false">Depr_Amort!H39+IF(goodwill_intang_deductible=1,Depr_Amort!H43+Depr_Amort!H42,0)</f>
        <v>93897.5</v>
      </c>
      <c r="G66" s="59" t="n">
        <f aca="false">Depr_Amort!I39+IF(goodwill_intang_deductible=1,Depr_Amort!I43+Depr_Amort!I42,0)</f>
        <v>104355.357142857</v>
      </c>
      <c r="H66" s="59" t="n">
        <f aca="false">Depr_Amort!J39+IF(goodwill_intang_deductible=1,Depr_Amort!J43+Depr_Amort!J42,0)</f>
        <v>117776.273809524</v>
      </c>
      <c r="I66" s="59" t="n">
        <f aca="false">Depr_Amort!K39+IF(goodwill_intang_deductible=1,Depr_Amort!K43+Depr_Amort!K42,0)</f>
        <v>128848.530059524</v>
      </c>
      <c r="J66" s="59" t="n">
        <f aca="false">Depr_Amort!L39+IF(goodwill_intang_deductible=1,Depr_Amort!L43+Depr_Amort!L42,0)</f>
        <v>101531.644059524</v>
      </c>
      <c r="K66" s="59" t="n">
        <f aca="false">Depr_Amort!M39+IF(goodwill_intang_deductible=1,Depr_Amort!M43+Depr_Amort!M42,0)</f>
        <v>115822.236126191</v>
      </c>
      <c r="L66" s="59" t="n">
        <f aca="false">Depr_Amort!N39+IF(goodwill_intang_deductible=1,Depr_Amort!N43+Depr_Amort!N42,0)</f>
        <v>128046.800217857</v>
      </c>
      <c r="M66" s="59" t="n">
        <f aca="false">Depr_Amort!O39+IF(goodwill_intang_deductible=1,Depr_Amort!O43+Depr_Amort!O42,0)</f>
        <v>149661.320718691</v>
      </c>
      <c r="N66" s="59"/>
      <c r="O66" s="59"/>
    </row>
    <row r="67" customFormat="false" ht="12.75" hidden="false" customHeight="false" outlineLevel="0" collapsed="false">
      <c r="A67" s="164" t="s">
        <v>193</v>
      </c>
      <c r="B67" s="1"/>
      <c r="C67" s="59"/>
      <c r="D67" s="59" t="n">
        <f aca="false">Bal_Sheet!F25</f>
        <v>110000</v>
      </c>
      <c r="E67" s="59" t="n">
        <f aca="false">Bal_Sheet!G25</f>
        <v>121000</v>
      </c>
      <c r="F67" s="59" t="n">
        <f aca="false">Bal_Sheet!H25</f>
        <v>133100</v>
      </c>
      <c r="G67" s="59" t="n">
        <f aca="false">Bal_Sheet!I25</f>
        <v>146410</v>
      </c>
      <c r="H67" s="59" t="n">
        <f aca="false">Bal_Sheet!J25</f>
        <v>161051</v>
      </c>
      <c r="I67" s="59" t="n">
        <f aca="false">Bal_Sheet!K25</f>
        <v>177156.1</v>
      </c>
      <c r="J67" s="59" t="n">
        <f aca="false">Bal_Sheet!L25</f>
        <v>194871.71</v>
      </c>
      <c r="K67" s="59" t="n">
        <f aca="false">Bal_Sheet!M25</f>
        <v>214358.881</v>
      </c>
      <c r="L67" s="59" t="n">
        <f aca="false">Bal_Sheet!N25</f>
        <v>235794.7691</v>
      </c>
      <c r="M67" s="59" t="n">
        <f aca="false">Bal_Sheet!O25</f>
        <v>259374.24601</v>
      </c>
      <c r="N67" s="59"/>
      <c r="O67" s="59"/>
    </row>
    <row r="68" customFormat="false" ht="12.75" hidden="false" customHeight="false" outlineLevel="0" collapsed="false">
      <c r="A68" s="164" t="s">
        <v>194</v>
      </c>
      <c r="B68" s="1"/>
      <c r="C68" s="1"/>
      <c r="D68" s="59" t="n">
        <f aca="false">-SUM(Cash_Flow!D21:D25)</f>
        <v>99600.85</v>
      </c>
      <c r="E68" s="59" t="n">
        <f aca="false">-SUM(Cash_Flow!E21:E25)</f>
        <v>39600.03033</v>
      </c>
      <c r="F68" s="59" t="n">
        <f aca="false">-SUM(Cash_Flow!F21:F25)</f>
        <v>47634.8520593954</v>
      </c>
      <c r="G68" s="59" t="n">
        <f aca="false">-SUM(Cash_Flow!G21:G25)</f>
        <v>55254.2449374612</v>
      </c>
      <c r="H68" s="59" t="n">
        <f aca="false">-SUM(Cash_Flow!H21:H25)</f>
        <v>64070.7356348126</v>
      </c>
      <c r="I68" s="59" t="n">
        <f aca="false">-SUM(Cash_Flow!I21:I25)</f>
        <v>74270.2460696986</v>
      </c>
      <c r="J68" s="59" t="n">
        <f aca="false">-SUM(Cash_Flow!J21:J25)</f>
        <v>86067.3586413115</v>
      </c>
      <c r="K68" s="59" t="n">
        <f aca="false">-SUM(Cash_Flow!K21:K25)</f>
        <v>99709.713113726</v>
      </c>
      <c r="L68" s="59" t="n">
        <f aca="false">-SUM(Cash_Flow!L21:L25)</f>
        <v>115483.075998842</v>
      </c>
      <c r="M68" s="59" t="n">
        <f aca="false">-SUM(Cash_Flow!M21:M25)</f>
        <v>133717.18510978</v>
      </c>
      <c r="N68" s="59"/>
      <c r="O68" s="59"/>
    </row>
    <row r="69" customFormat="false" ht="12.75" hidden="false" customHeight="false" outlineLevel="0" collapsed="false">
      <c r="A69" s="164" t="s">
        <v>195</v>
      </c>
      <c r="B69" s="1"/>
      <c r="C69" s="1"/>
      <c r="D69" s="59" t="n">
        <f aca="false">-Income_Tax!D30</f>
        <v>-4595.28999999999</v>
      </c>
      <c r="E69" s="59" t="n">
        <f aca="false">-Income_Tax!E30</f>
        <v>-246.539999999979</v>
      </c>
      <c r="F69" s="59" t="n">
        <f aca="false">-Income_Tax!F30</f>
        <v>-246.539999999994</v>
      </c>
      <c r="G69" s="59" t="n">
        <f aca="false">-Income_Tax!G30</f>
        <v>-2280.01222222221</v>
      </c>
      <c r="H69" s="59" t="n">
        <f aca="false">-Income_Tax!H30</f>
        <v>-11657.1538888889</v>
      </c>
      <c r="I69" s="59" t="n">
        <f aca="false">-Income_Tax!I30</f>
        <v>-11674.6538888889</v>
      </c>
      <c r="J69" s="59" t="n">
        <f aca="false">-Income_Tax!J30</f>
        <v>-20859.2372222222</v>
      </c>
      <c r="K69" s="59" t="n">
        <f aca="false">-Income_Tax!K30</f>
        <v>-53405.3341738889</v>
      </c>
      <c r="L69" s="59" t="n">
        <f aca="false">-Income_Tax!L30</f>
        <v>-37782.1216738889</v>
      </c>
      <c r="M69" s="59" t="n">
        <f aca="false">-Income_Tax!M30</f>
        <v>4989.43250111109</v>
      </c>
      <c r="N69" s="59"/>
      <c r="O69" s="59"/>
    </row>
    <row r="70" customFormat="false" ht="12.75" hidden="false" customHeight="false" outlineLevel="0" collapsed="false">
      <c r="A70" s="149" t="s">
        <v>196</v>
      </c>
      <c r="B70" s="1"/>
      <c r="C70" s="1"/>
      <c r="D70" s="175" t="n">
        <f aca="false">D65+D66-D67-D68-D69</f>
        <v>27867.8983333333</v>
      </c>
      <c r="E70" s="175" t="n">
        <f aca="false">E65+E66-E67-E68-E69</f>
        <v>95913.0355033333</v>
      </c>
      <c r="F70" s="175" t="n">
        <f aca="false">F65+F66-F67-F68-F69</f>
        <v>99794.3665907296</v>
      </c>
      <c r="G70" s="175" t="n">
        <f aca="false">G65+G66-G67-G68-G69</f>
        <v>107379.910574217</v>
      </c>
      <c r="H70" s="175" t="n">
        <f aca="false">H65+H66-H67-H68-H69</f>
        <v>122901.211320474</v>
      </c>
      <c r="I70" s="175" t="n">
        <f aca="false">I65+I66-I67-I68-I69</f>
        <v>127664.521268318</v>
      </c>
      <c r="J70" s="175" t="n">
        <f aca="false">J65+J66-J67-J68-J69</f>
        <v>127425.722813012</v>
      </c>
      <c r="K70" s="175" t="n">
        <f aca="false">K65+K66-K67-K68-K69</f>
        <v>164191.763481455</v>
      </c>
      <c r="L70" s="175" t="n">
        <f aca="false">L65+L66-L67-L68-L69</f>
        <v>150925.196467194</v>
      </c>
      <c r="M70" s="175" t="n">
        <f aca="false">M65+M66-M67-M68-M69</f>
        <v>112395.329177758</v>
      </c>
      <c r="N70" s="59"/>
      <c r="O70" s="59"/>
    </row>
    <row r="71" customFormat="false" ht="12.75" hidden="false" customHeight="false" outlineLevel="0" collapsed="false">
      <c r="D71" s="176"/>
      <c r="E71" s="59"/>
      <c r="F71" s="59"/>
      <c r="G71" s="59"/>
      <c r="H71" s="59"/>
      <c r="I71" s="59"/>
      <c r="J71" s="59"/>
      <c r="K71" s="59"/>
      <c r="L71" s="59"/>
      <c r="M71" s="59"/>
      <c r="N71" s="59"/>
      <c r="O71" s="59"/>
    </row>
    <row r="72" customFormat="false" ht="12.75" hidden="false" customHeight="false" outlineLevel="0" collapsed="false">
      <c r="A72" s="167"/>
      <c r="B72" s="167"/>
      <c r="C72" s="167"/>
      <c r="D72" s="177"/>
      <c r="E72" s="168"/>
      <c r="F72" s="168"/>
      <c r="G72" s="168"/>
      <c r="H72" s="168"/>
      <c r="I72" s="168"/>
      <c r="J72" s="168"/>
      <c r="K72" s="168"/>
      <c r="L72" s="168"/>
      <c r="M72" s="168"/>
      <c r="N72" s="59"/>
      <c r="O72" s="59"/>
    </row>
    <row r="73" customFormat="false" ht="12.75" hidden="false" customHeight="false" outlineLevel="0" collapsed="false">
      <c r="A73" s="1"/>
      <c r="B73" s="1"/>
      <c r="C73" s="1"/>
      <c r="D73" s="165"/>
      <c r="E73" s="59"/>
      <c r="F73" s="59"/>
      <c r="G73" s="59"/>
      <c r="H73" s="59"/>
      <c r="I73" s="59"/>
      <c r="J73" s="59"/>
      <c r="K73" s="59"/>
      <c r="L73" s="59"/>
      <c r="M73" s="59"/>
      <c r="N73" s="59"/>
      <c r="O73" s="59"/>
    </row>
    <row r="74" customFormat="false" ht="12.75" hidden="false" customHeight="false" outlineLevel="0" collapsed="false">
      <c r="A74" s="171" t="s">
        <v>197</v>
      </c>
      <c r="B74" s="1"/>
      <c r="C74" s="1"/>
      <c r="D74" s="165"/>
      <c r="E74" s="59"/>
      <c r="F74" s="59"/>
      <c r="G74" s="59"/>
      <c r="H74" s="59"/>
      <c r="I74" s="59"/>
      <c r="J74" s="59"/>
      <c r="K74" s="59"/>
      <c r="L74" s="59"/>
      <c r="M74" s="59"/>
      <c r="N74" s="59"/>
      <c r="O74" s="59"/>
    </row>
    <row r="75" customFormat="false" ht="12.75" hidden="false" customHeight="false" outlineLevel="0" collapsed="false">
      <c r="A75" s="1"/>
      <c r="B75" s="1"/>
      <c r="C75" s="1"/>
      <c r="D75" s="165"/>
      <c r="E75" s="59"/>
      <c r="F75" s="59"/>
      <c r="G75" s="59"/>
      <c r="H75" s="59"/>
      <c r="I75" s="59"/>
      <c r="J75" s="59"/>
      <c r="K75" s="59"/>
      <c r="L75" s="59"/>
      <c r="M75" s="59"/>
      <c r="N75" s="59"/>
      <c r="O75" s="59"/>
    </row>
    <row r="76" customFormat="false" ht="12.75" hidden="false" customHeight="false" outlineLevel="0" collapsed="false">
      <c r="A76" s="163" t="s">
        <v>198</v>
      </c>
      <c r="B76" s="1"/>
      <c r="C76" s="59"/>
      <c r="D76" s="165"/>
      <c r="E76" s="59"/>
      <c r="F76" s="59"/>
      <c r="G76" s="59"/>
      <c r="H76" s="59"/>
      <c r="I76" s="59"/>
      <c r="J76" s="59"/>
      <c r="K76" s="59"/>
      <c r="L76" s="59"/>
      <c r="M76" s="59"/>
      <c r="N76" s="59"/>
      <c r="O76" s="59"/>
    </row>
    <row r="77" customFormat="false" ht="12.75" hidden="false" customHeight="false" outlineLevel="0" collapsed="false">
      <c r="A77" s="1" t="s">
        <v>185</v>
      </c>
      <c r="B77" s="1"/>
      <c r="C77" s="59"/>
      <c r="D77" s="59" t="n">
        <f aca="false">Bal_Sheet!E10</f>
        <v>77500</v>
      </c>
      <c r="E77" s="59" t="n">
        <f aca="false">D110</f>
        <v>50000</v>
      </c>
      <c r="F77" s="59" t="n">
        <f aca="false">E110</f>
        <v>50000</v>
      </c>
      <c r="G77" s="59" t="n">
        <f aca="false">F110</f>
        <v>50000</v>
      </c>
      <c r="H77" s="59" t="n">
        <f aca="false">G110</f>
        <v>50000</v>
      </c>
      <c r="I77" s="59" t="n">
        <f aca="false">H110</f>
        <v>50000</v>
      </c>
      <c r="J77" s="59" t="n">
        <f aca="false">I110</f>
        <v>50000</v>
      </c>
      <c r="K77" s="59" t="n">
        <f aca="false">J110</f>
        <v>50000</v>
      </c>
      <c r="L77" s="59" t="n">
        <f aca="false">K110</f>
        <v>134328.866027884</v>
      </c>
      <c r="M77" s="59" t="n">
        <f aca="false">L110</f>
        <v>263486.003485209</v>
      </c>
      <c r="N77" s="59"/>
      <c r="O77" s="59"/>
    </row>
    <row r="78" customFormat="false" ht="12.75" hidden="false" customHeight="false" outlineLevel="0" collapsed="false">
      <c r="A78" s="1" t="s">
        <v>177</v>
      </c>
      <c r="B78" s="1"/>
      <c r="C78" s="59"/>
      <c r="D78" s="59" t="n">
        <f aca="false">D27</f>
        <v>121910.718804958</v>
      </c>
      <c r="E78" s="59" t="n">
        <f aca="false">E27</f>
        <v>201927.634784021</v>
      </c>
      <c r="F78" s="59" t="n">
        <f aca="false">F27</f>
        <v>220575.639416249</v>
      </c>
      <c r="G78" s="59" t="n">
        <f aca="false">G27</f>
        <v>243926.455623493</v>
      </c>
      <c r="H78" s="59" t="n">
        <f aca="false">H27</f>
        <v>275192.880948792</v>
      </c>
      <c r="I78" s="59" t="n">
        <f aca="false">I27</f>
        <v>286923.662419267</v>
      </c>
      <c r="J78" s="59" t="n">
        <f aca="false">J27</f>
        <v>306234.602974565</v>
      </c>
      <c r="K78" s="59" t="n">
        <f aca="false">K27</f>
        <v>364780.456500915</v>
      </c>
      <c r="L78" s="59" t="n">
        <f aca="false">L27</f>
        <v>374319.248298254</v>
      </c>
      <c r="M78" s="59" t="n">
        <f aca="false">M27</f>
        <v>359133.857918818</v>
      </c>
      <c r="N78" s="59"/>
      <c r="O78" s="59"/>
    </row>
    <row r="79" customFormat="false" ht="12.75" hidden="false" customHeight="false" outlineLevel="0" collapsed="false">
      <c r="A79" s="1" t="s">
        <v>181</v>
      </c>
      <c r="B79" s="1"/>
      <c r="C79" s="59"/>
      <c r="D79" s="59" t="n">
        <f aca="false">D33</f>
        <v>-139000</v>
      </c>
      <c r="E79" s="59" t="n">
        <f aca="false">E33</f>
        <v>-125642</v>
      </c>
      <c r="F79" s="59" t="n">
        <f aca="false">F33</f>
        <v>-138231.731</v>
      </c>
      <c r="G79" s="59" t="n">
        <f aca="false">G33</f>
        <v>-152083.1286205</v>
      </c>
      <c r="H79" s="59" t="n">
        <f aca="false">H33</f>
        <v>-167322.643689963</v>
      </c>
      <c r="I79" s="59" t="n">
        <f aca="false">I33</f>
        <v>-184089.402099254</v>
      </c>
      <c r="J79" s="59" t="n">
        <f aca="false">J33</f>
        <v>-202536.475470725</v>
      </c>
      <c r="K79" s="59" t="n">
        <f aca="false">K33</f>
        <v>-222832.279227887</v>
      </c>
      <c r="L79" s="59" t="n">
        <f aca="false">L33</f>
        <v>-245162.110840929</v>
      </c>
      <c r="M79" s="59" t="n">
        <f aca="false">M33</f>
        <v>-269729.842304597</v>
      </c>
      <c r="N79" s="59"/>
      <c r="O79" s="59"/>
    </row>
    <row r="80" customFormat="false" ht="12.75" hidden="false" customHeight="false" outlineLevel="0" collapsed="false">
      <c r="A80" s="164" t="s">
        <v>199</v>
      </c>
      <c r="B80" s="1"/>
      <c r="C80" s="59"/>
      <c r="D80" s="59" t="n">
        <f aca="false">SUM(D77:D79)</f>
        <v>60410.7188049583</v>
      </c>
      <c r="E80" s="59" t="n">
        <f aca="false">SUM(E77:E79)</f>
        <v>126285.634784021</v>
      </c>
      <c r="F80" s="59" t="n">
        <f aca="false">SUM(F77:F79)</f>
        <v>132343.908416249</v>
      </c>
      <c r="G80" s="59" t="n">
        <f aca="false">SUM(G77:G79)</f>
        <v>141843.327002993</v>
      </c>
      <c r="H80" s="59" t="n">
        <f aca="false">SUM(H77:H79)</f>
        <v>157870.237258829</v>
      </c>
      <c r="I80" s="59" t="n">
        <f aca="false">SUM(I77:I79)</f>
        <v>152834.260320013</v>
      </c>
      <c r="J80" s="59" t="n">
        <f aca="false">SUM(J77:J79)</f>
        <v>153698.12750384</v>
      </c>
      <c r="K80" s="59" t="n">
        <f aca="false">SUM(K77:K79)</f>
        <v>191948.177273028</v>
      </c>
      <c r="L80" s="59" t="n">
        <f aca="false">SUM(L77:L79)</f>
        <v>263486.003485209</v>
      </c>
      <c r="M80" s="59" t="n">
        <f aca="false">SUM(M77:M79)</f>
        <v>352890.01909943</v>
      </c>
      <c r="N80" s="59"/>
      <c r="O80" s="59"/>
    </row>
    <row r="81" customFormat="false" ht="12.75" hidden="false" customHeight="false" outlineLevel="0" collapsed="false">
      <c r="A81" s="1" t="s">
        <v>200</v>
      </c>
      <c r="B81" s="1"/>
      <c r="C81" s="59"/>
      <c r="D81" s="59" t="n">
        <f aca="false">IF(cash_min=1,cash_min_amt,0)</f>
        <v>50000</v>
      </c>
      <c r="E81" s="59" t="n">
        <f aca="false">IF(cash_min=1,cash_min_amt,0)</f>
        <v>50000</v>
      </c>
      <c r="F81" s="59" t="n">
        <f aca="false">IF(cash_min=1,cash_min_amt,0)</f>
        <v>50000</v>
      </c>
      <c r="G81" s="59" t="n">
        <f aca="false">IF(cash_min=1,cash_min_amt,0)</f>
        <v>50000</v>
      </c>
      <c r="H81" s="59" t="n">
        <f aca="false">IF(cash_min=1,cash_min_amt,0)</f>
        <v>50000</v>
      </c>
      <c r="I81" s="59" t="n">
        <f aca="false">IF(cash_min=1,cash_min_amt,0)</f>
        <v>50000</v>
      </c>
      <c r="J81" s="59" t="n">
        <f aca="false">IF(cash_min=1,cash_min_amt,0)</f>
        <v>50000</v>
      </c>
      <c r="K81" s="59" t="n">
        <f aca="false">IF(cash_min=1,cash_min_amt,0)</f>
        <v>50000</v>
      </c>
      <c r="L81" s="59" t="n">
        <f aca="false">IF(cash_min=1,cash_min_amt,0)</f>
        <v>50000</v>
      </c>
      <c r="M81" s="59" t="n">
        <f aca="false">IF(cash_min=1,cash_min_amt,0)</f>
        <v>50000</v>
      </c>
      <c r="N81" s="59"/>
      <c r="O81" s="59"/>
    </row>
    <row r="82" customFormat="false" ht="12.75" hidden="false" customHeight="false" outlineLevel="0" collapsed="false">
      <c r="A82" s="164" t="str">
        <f aca="false">A76</f>
        <v>Cash Available for Debt Repayment</v>
      </c>
      <c r="B82" s="1"/>
      <c r="C82" s="59"/>
      <c r="D82" s="59" t="n">
        <f aca="false">D80-D81</f>
        <v>10410.7188049583</v>
      </c>
      <c r="E82" s="59" t="n">
        <f aca="false">E80-E81</f>
        <v>76285.6347840206</v>
      </c>
      <c r="F82" s="59" t="n">
        <f aca="false">F80-F81</f>
        <v>82343.908416249</v>
      </c>
      <c r="G82" s="59" t="n">
        <f aca="false">G80-G81</f>
        <v>91843.3270029931</v>
      </c>
      <c r="H82" s="59" t="n">
        <f aca="false">H80-H81</f>
        <v>107870.237258829</v>
      </c>
      <c r="I82" s="59" t="n">
        <f aca="false">I80-I81</f>
        <v>102834.260320013</v>
      </c>
      <c r="J82" s="59" t="n">
        <f aca="false">J80-J81</f>
        <v>103698.12750384</v>
      </c>
      <c r="K82" s="59" t="n">
        <f aca="false">K80-K81</f>
        <v>141948.177273028</v>
      </c>
      <c r="L82" s="59" t="n">
        <f aca="false">L80-L81</f>
        <v>213486.003485209</v>
      </c>
      <c r="M82" s="59" t="n">
        <f aca="false">M80-M81</f>
        <v>302890.01909943</v>
      </c>
      <c r="N82" s="59"/>
      <c r="O82" s="59"/>
    </row>
    <row r="83" customFormat="false" ht="12.75" hidden="false" customHeight="false" outlineLevel="0" collapsed="false">
      <c r="A83" s="1"/>
      <c r="B83" s="1"/>
      <c r="C83" s="59"/>
      <c r="D83" s="59"/>
      <c r="E83" s="59"/>
      <c r="F83" s="59"/>
      <c r="G83" s="59"/>
      <c r="H83" s="59"/>
      <c r="I83" s="59"/>
      <c r="J83" s="59"/>
      <c r="K83" s="59"/>
      <c r="L83" s="59"/>
      <c r="M83" s="59"/>
      <c r="N83" s="59"/>
      <c r="O83" s="59"/>
    </row>
    <row r="84" customFormat="false" ht="12.75" hidden="false" customHeight="false" outlineLevel="0" collapsed="false">
      <c r="A84" s="174" t="s">
        <v>201</v>
      </c>
      <c r="B84" s="1"/>
      <c r="C84" s="59"/>
      <c r="D84" s="59"/>
      <c r="E84" s="59"/>
      <c r="F84" s="59"/>
      <c r="G84" s="59"/>
      <c r="H84" s="59"/>
      <c r="I84" s="59"/>
      <c r="J84" s="59"/>
      <c r="K84" s="59"/>
      <c r="L84" s="59"/>
      <c r="M84" s="59"/>
      <c r="N84" s="59"/>
      <c r="O84" s="59"/>
    </row>
    <row r="85" customFormat="false" ht="12.75" hidden="false" customHeight="false" outlineLevel="0" collapsed="false">
      <c r="A85" s="164" t="str">
        <f aca="false">Bal_Sheet!A46</f>
        <v>Existing Debt</v>
      </c>
      <c r="B85" s="1"/>
      <c r="C85" s="1"/>
      <c r="D85" s="59" t="n">
        <f aca="false">IF(assumed_debt_maturity_year=D5,Bal_Sheet!E46,IF(assumed_debt_maturity_year&gt;D5,MIN(Bal_Sheet!E46,Input!$C$26*assumed_debt_ann_repay),0))</f>
        <v>7222.22222222222</v>
      </c>
      <c r="E85" s="59" t="n">
        <f aca="false">IF(assumed_debt_maturity_year=E5,Bal_Sheet!F46,IF(assumed_debt_maturity_year&gt;E5,MIN(Bal_Sheet!F46,Input!$C$26*assumed_debt_ann_repay),0))</f>
        <v>7222.22222222222</v>
      </c>
      <c r="F85" s="59" t="n">
        <f aca="false">IF(assumed_debt_maturity_year=F5,Bal_Sheet!G46,IF(assumed_debt_maturity_year&gt;F5,MIN(Bal_Sheet!G46,Input!$C$26*assumed_debt_ann_repay),0))</f>
        <v>0</v>
      </c>
      <c r="G85" s="59" t="n">
        <f aca="false">IF(assumed_debt_maturity_year=G5,Bal_Sheet!H46,IF(assumed_debt_maturity_year&gt;G5,MIN(Bal_Sheet!H46,Input!$C$26*assumed_debt_ann_repay),0))</f>
        <v>0</v>
      </c>
      <c r="H85" s="59" t="n">
        <f aca="false">IF(assumed_debt_maturity_year=H5,Bal_Sheet!I46,IF(assumed_debt_maturity_year&gt;H5,MIN(Bal_Sheet!I46,Input!$C$26*assumed_debt_ann_repay),0))</f>
        <v>0</v>
      </c>
      <c r="I85" s="59" t="n">
        <f aca="false">IF(assumed_debt_maturity_year=I5,Bal_Sheet!J46,IF(assumed_debt_maturity_year&gt;I5,MIN(Bal_Sheet!J46,Input!$C$26*assumed_debt_ann_repay),0))</f>
        <v>0</v>
      </c>
      <c r="J85" s="59" t="n">
        <f aca="false">IF(assumed_debt_maturity_year=J5,Bal_Sheet!K46,IF(assumed_debt_maturity_year&gt;J5,MIN(Bal_Sheet!K46,Input!$C$26*assumed_debt_ann_repay),0))</f>
        <v>0</v>
      </c>
      <c r="K85" s="59" t="n">
        <f aca="false">IF(assumed_debt_maturity_year=K5,Bal_Sheet!L46,IF(assumed_debt_maturity_year&gt;K5,MIN(Bal_Sheet!L46,Input!$C$26*assumed_debt_ann_repay),0))</f>
        <v>0</v>
      </c>
      <c r="L85" s="59" t="n">
        <f aca="false">IF(assumed_debt_maturity_year=L5,Bal_Sheet!M46,IF(assumed_debt_maturity_year&gt;L5,MIN(Bal_Sheet!M46,Input!$C$26*assumed_debt_ann_repay),0))</f>
        <v>0</v>
      </c>
      <c r="M85" s="59" t="n">
        <f aca="false">IF(assumed_debt_maturity_year=M5,Bal_Sheet!N46,IF(assumed_debt_maturity_year&gt;M5,MIN(Bal_Sheet!N46,Input!$C$26*assumed_debt_ann_repay),0))</f>
        <v>0</v>
      </c>
      <c r="N85" s="59"/>
      <c r="O85" s="59"/>
    </row>
    <row r="86" customFormat="false" ht="12.75" hidden="false" customHeight="false" outlineLevel="0" collapsed="false">
      <c r="A86" s="164" t="str">
        <f aca="false">Bal_Sheet!A48</f>
        <v>Term Loan "A"</v>
      </c>
      <c r="B86" s="1"/>
      <c r="C86" s="1"/>
      <c r="D86" s="59" t="n">
        <f aca="false">IF(termloanA_term_years=D5,Bal_Sheet!E48,IF(termloanA_term_years&gt;D5,MIN(Bal_Sheet!E48,Input!$C$28*termloanA_ann_repay),0))</f>
        <v>10000</v>
      </c>
      <c r="E86" s="59" t="n">
        <f aca="false">IF(termloanA_term_years=E5,Bal_Sheet!F48,IF(termloanA_term_years&gt;E5,MIN(Bal_Sheet!F48,Input!$C$28*termloanA_ann_repay),0))</f>
        <v>10000</v>
      </c>
      <c r="F86" s="59" t="n">
        <f aca="false">IF(termloanA_term_years=F5,Bal_Sheet!G48,IF(termloanA_term_years&gt;F5,MIN(Bal_Sheet!G48,Input!$C$28*termloanA_ann_repay),0))</f>
        <v>10000</v>
      </c>
      <c r="G86" s="59" t="n">
        <f aca="false">IF(termloanA_term_years=G5,Bal_Sheet!H48,IF(termloanA_term_years&gt;G5,MIN(Bal_Sheet!H48,Input!$C$28*termloanA_ann_repay),0))</f>
        <v>0</v>
      </c>
      <c r="H86" s="59" t="n">
        <f aca="false">IF(termloanA_term_years=H5,Bal_Sheet!I48,IF(termloanA_term_years&gt;H5,MIN(Bal_Sheet!I48,Input!$C$28*termloanA_ann_repay),0))</f>
        <v>0</v>
      </c>
      <c r="I86" s="59" t="n">
        <f aca="false">IF(termloanA_term_years=I5,Bal_Sheet!J48,IF(termloanA_term_years&gt;I5,MIN(Bal_Sheet!J48,Input!$C$28*termloanA_ann_repay),0))</f>
        <v>0</v>
      </c>
      <c r="J86" s="59" t="n">
        <f aca="false">IF(termloanA_term_years=J5,Bal_Sheet!K48,IF(termloanA_term_years&gt;J5,MIN(Bal_Sheet!K48,Input!$C$28*termloanA_ann_repay),0))</f>
        <v>0</v>
      </c>
      <c r="K86" s="59" t="n">
        <f aca="false">IF(termloanA_term_years=K5,Bal_Sheet!L48,IF(termloanA_term_years&gt;K5,MIN(Bal_Sheet!L48,Input!$C$28*termloanA_ann_repay),0))</f>
        <v>0</v>
      </c>
      <c r="L86" s="59" t="n">
        <f aca="false">IF(termloanA_term_years=L5,Bal_Sheet!M48,IF(termloanA_term_years&gt;L5,MIN(Bal_Sheet!M48,Input!$C$28*termloanA_ann_repay),0))</f>
        <v>0</v>
      </c>
      <c r="M86" s="59" t="n">
        <f aca="false">IF(termloanA_term_years=M5,Bal_Sheet!N48,IF(termloanA_term_years&gt;M5,MIN(Bal_Sheet!N48,Input!$C$28*termloanA_ann_repay),0))</f>
        <v>0</v>
      </c>
      <c r="N86" s="59"/>
      <c r="O86" s="59"/>
    </row>
    <row r="87" customFormat="false" ht="12.75" hidden="false" customHeight="false" outlineLevel="0" collapsed="false">
      <c r="A87" s="164" t="str">
        <f aca="false">Bal_Sheet!A49</f>
        <v>Term Loan "B"</v>
      </c>
      <c r="B87" s="1"/>
      <c r="C87" s="1"/>
      <c r="D87" s="59" t="n">
        <f aca="false">IF(termloanB_term_years=D5,MIN(Bal_Sheet!E49,Input!$C$29*termloanB_bulletyr_repayment),IF(termloanB_term_years&gt;D5,MIN(Bal_Sheet!E49,Input!$C$29*termloanB_ann_repay),0))</f>
        <v>2200</v>
      </c>
      <c r="E87" s="59" t="n">
        <f aca="false">IF(termloanB_term_years=E5,MIN(Bal_Sheet!F49,Input!$C$29*termloanB_bulletyr_repayment),IF(termloanB_term_years&gt;E5,MIN(Bal_Sheet!F49,Input!$C$29*termloanB_ann_repay),0))</f>
        <v>2200</v>
      </c>
      <c r="F87" s="59" t="n">
        <f aca="false">IF(termloanB_term_years=F5,MIN(Bal_Sheet!G49,Input!$C$29*termloanB_bulletyr_repayment),IF(termloanB_term_years&gt;F5,MIN(Bal_Sheet!G49,Input!$C$29*termloanB_ann_repay),0))</f>
        <v>2200</v>
      </c>
      <c r="G87" s="59" t="n">
        <f aca="false">IF(termloanB_term_years=G5,MIN(Bal_Sheet!H49,Input!$C$29*termloanB_bulletyr_repayment),IF(termloanB_term_years&gt;G5,MIN(Bal_Sheet!H49,Input!$C$29*termloanB_ann_repay),0))</f>
        <v>2200</v>
      </c>
      <c r="H87" s="59" t="n">
        <f aca="false">IF(termloanB_term_years=H5,MIN(Bal_Sheet!I49,Input!$C$29*termloanB_bulletyr_repayment),IF(termloanB_term_years&gt;H5,MIN(Bal_Sheet!I49,Input!$C$29*termloanB_ann_repay),0))</f>
        <v>0</v>
      </c>
      <c r="I87" s="59" t="n">
        <f aca="false">IF(termloanB_term_years=I5,MIN(Bal_Sheet!J49,Input!$C$29*termloanB_bulletyr_repayment),IF(termloanB_term_years&gt;I5,MIN(Bal_Sheet!J49,Input!$C$29*termloanB_ann_repay),0))</f>
        <v>0</v>
      </c>
      <c r="J87" s="59" t="n">
        <f aca="false">IF(termloanB_term_years=J5,MIN(Bal_Sheet!K49,Input!$C$29*termloanB_bulletyr_repayment),IF(termloanB_term_years&gt;J5,MIN(Bal_Sheet!K49,Input!$C$29*termloanB_ann_repay),0))</f>
        <v>0</v>
      </c>
      <c r="K87" s="59" t="n">
        <f aca="false">IF(termloanB_term_years=K5,MIN(Bal_Sheet!L49,Input!$C$29*termloanB_bulletyr_repayment),IF(termloanB_term_years&gt;K5,MIN(Bal_Sheet!L49,Input!$C$29*termloanB_ann_repay),0))</f>
        <v>0</v>
      </c>
      <c r="L87" s="59" t="n">
        <f aca="false">IF(termloanB_term_years=L5,MIN(Bal_Sheet!M49,Input!$C$29*termloanB_bulletyr_repayment),IF(termloanB_term_years&gt;L5,MIN(Bal_Sheet!M49,Input!$C$29*termloanB_ann_repay),0))</f>
        <v>0</v>
      </c>
      <c r="M87" s="59" t="n">
        <f aca="false">IF(termloanB_term_years=M5,MIN(Bal_Sheet!N49,Input!$C$29*termloanB_bulletyr_repayment),IF(termloanB_term_years&gt;M5,MIN(Bal_Sheet!N49,Input!$C$29*termloanB_ann_repay),0))</f>
        <v>0</v>
      </c>
      <c r="N87" s="59"/>
      <c r="O87" s="59"/>
    </row>
    <row r="88" customFormat="false" ht="12.75" hidden="false" customHeight="false" outlineLevel="0" collapsed="false">
      <c r="A88" s="164" t="str">
        <f aca="false">Bal_Sheet!A50</f>
        <v>Senior Notes</v>
      </c>
      <c r="B88" s="1"/>
      <c r="C88" s="1"/>
      <c r="D88" s="59" t="n">
        <f aca="false">IF(senior_notes_mat_yr=D5,Bal_Sheet!E50,0)</f>
        <v>0</v>
      </c>
      <c r="E88" s="59" t="n">
        <f aca="false">IF(senior_notes_mat_yr=E5,Bal_Sheet!F50,0)</f>
        <v>0</v>
      </c>
      <c r="F88" s="59" t="n">
        <f aca="false">IF(senior_notes_mat_yr=F5,Bal_Sheet!G50,0)</f>
        <v>0</v>
      </c>
      <c r="G88" s="59" t="n">
        <f aca="false">IF(senior_notes_mat_yr=G5,Bal_Sheet!H50,0)</f>
        <v>0</v>
      </c>
      <c r="H88" s="59" t="n">
        <f aca="false">IF(senior_notes_mat_yr=H5,Bal_Sheet!I50,0)</f>
        <v>0</v>
      </c>
      <c r="I88" s="59" t="n">
        <f aca="false">IF(senior_notes_mat_yr=I5,Bal_Sheet!J50,0)</f>
        <v>0</v>
      </c>
      <c r="J88" s="59" t="n">
        <f aca="false">IF(senior_notes_mat_yr=J5,Bal_Sheet!K50,0)</f>
        <v>0</v>
      </c>
      <c r="K88" s="59" t="n">
        <f aca="false">IF(senior_notes_mat_yr=K5,Bal_Sheet!L50,0)</f>
        <v>0</v>
      </c>
      <c r="L88" s="59" t="n">
        <f aca="false">IF(senior_notes_mat_yr=L5,Bal_Sheet!M50,0)</f>
        <v>0</v>
      </c>
      <c r="M88" s="59" t="n">
        <f aca="false">IF(senior_notes_mat_yr=M5,Bal_Sheet!N50,0)</f>
        <v>0</v>
      </c>
      <c r="N88" s="59"/>
      <c r="O88" s="59"/>
    </row>
    <row r="89" customFormat="false" ht="12.75" hidden="false" customHeight="false" outlineLevel="0" collapsed="false">
      <c r="A89" s="164" t="str">
        <f aca="false">Bal_Sheet!A51</f>
        <v>Subordinated Notes</v>
      </c>
      <c r="B89" s="1"/>
      <c r="C89" s="1"/>
      <c r="D89" s="59" t="n">
        <f aca="false">IF(sub_notes_mat_yr=D5,Bal_Sheet!E51,0)</f>
        <v>0</v>
      </c>
      <c r="E89" s="59" t="n">
        <f aca="false">IF(sub_notes_mat_yr=E5,Bal_Sheet!F51,0)</f>
        <v>0</v>
      </c>
      <c r="F89" s="59" t="n">
        <f aca="false">IF(sub_notes_mat_yr=F5,Bal_Sheet!G51,0)</f>
        <v>0</v>
      </c>
      <c r="G89" s="59" t="n">
        <f aca="false">IF(sub_notes_mat_yr=G5,Bal_Sheet!H51,0)</f>
        <v>0</v>
      </c>
      <c r="H89" s="59" t="n">
        <f aca="false">IF(sub_notes_mat_yr=H5,Bal_Sheet!I51,0)</f>
        <v>0</v>
      </c>
      <c r="I89" s="59" t="n">
        <f aca="false">IF(sub_notes_mat_yr=I5,Bal_Sheet!J51,0)</f>
        <v>0</v>
      </c>
      <c r="J89" s="59" t="n">
        <f aca="false">IF(sub_notes_mat_yr=J5,Bal_Sheet!K51,0)</f>
        <v>0</v>
      </c>
      <c r="K89" s="59" t="n">
        <f aca="false">IF(sub_notes_mat_yr=K5,Bal_Sheet!L51,0)</f>
        <v>0</v>
      </c>
      <c r="L89" s="59" t="n">
        <f aca="false">IF(sub_notes_mat_yr=L5,Bal_Sheet!M51,0)</f>
        <v>0</v>
      </c>
      <c r="M89" s="59" t="n">
        <f aca="false">IF(sub_notes_mat_yr=M5,Bal_Sheet!N51,0)</f>
        <v>0</v>
      </c>
      <c r="N89" s="59"/>
      <c r="O89" s="59"/>
    </row>
    <row r="90" customFormat="false" ht="12.75" hidden="false" customHeight="false" outlineLevel="0" collapsed="false">
      <c r="A90" s="164" t="str">
        <f aca="false">Bal_Sheet!A52</f>
        <v>Mezzanine Debt</v>
      </c>
      <c r="B90" s="1"/>
      <c r="C90" s="1"/>
      <c r="D90" s="59" t="n">
        <f aca="false">IF(mezzdebt_maturity_year=D5,Bal_Sheet!E52,0)</f>
        <v>0</v>
      </c>
      <c r="E90" s="59" t="n">
        <f aca="false">IF(mezzdebt_maturity_year=E5,Bal_Sheet!F52,0)</f>
        <v>0</v>
      </c>
      <c r="F90" s="59" t="n">
        <f aca="false">IF(mezzdebt_maturity_year=F5,Bal_Sheet!G52,0)</f>
        <v>0</v>
      </c>
      <c r="G90" s="59" t="n">
        <f aca="false">IF(mezzdebt_maturity_year=G5,Bal_Sheet!H52,0)</f>
        <v>0</v>
      </c>
      <c r="H90" s="59" t="n">
        <f aca="false">IF(mezzdebt_maturity_year=H5,Bal_Sheet!I52,0)</f>
        <v>0</v>
      </c>
      <c r="I90" s="59" t="n">
        <f aca="false">IF(mezzdebt_maturity_year=I5,Bal_Sheet!J52,0)</f>
        <v>0</v>
      </c>
      <c r="J90" s="59" t="n">
        <f aca="false">IF(mezzdebt_maturity_year=J5,Bal_Sheet!K52,0)</f>
        <v>0</v>
      </c>
      <c r="K90" s="59" t="n">
        <f aca="false">IF(mezzdebt_maturity_year=K5,Bal_Sheet!L52,0)</f>
        <v>0</v>
      </c>
      <c r="L90" s="59" t="n">
        <f aca="false">IF(mezzdebt_maturity_year=L5,Bal_Sheet!M52,0)</f>
        <v>0</v>
      </c>
      <c r="M90" s="59" t="n">
        <f aca="false">IF(mezzdebt_maturity_year=M5,Bal_Sheet!N52,0)</f>
        <v>0</v>
      </c>
      <c r="N90" s="59"/>
      <c r="O90" s="59"/>
    </row>
    <row r="91" customFormat="false" ht="12.75" hidden="false" customHeight="false" outlineLevel="0" collapsed="false">
      <c r="A91" s="164" t="str">
        <f aca="false">Bal_Sheet!A53</f>
        <v>Seller Notes</v>
      </c>
      <c r="B91" s="1"/>
      <c r="C91" s="1"/>
      <c r="D91" s="59" t="n">
        <f aca="false">IF(seller_notes_term_year=D5,Bal_Sheet!E53,IF(seller_notes_term_year&gt;D5,MIN(Bal_Sheet!E53,Input!$C$33*seller_notes_ann_repay),0))</f>
        <v>3571.42857142857</v>
      </c>
      <c r="E91" s="59" t="n">
        <f aca="false">IF(seller_notes_term_year=E5,Bal_Sheet!F53,IF(seller_notes_term_year&gt;E5,MIN(Bal_Sheet!F53,Input!$C$33*seller_notes_ann_repay),0))</f>
        <v>3571.42857142857</v>
      </c>
      <c r="F91" s="59" t="n">
        <f aca="false">IF(seller_notes_term_year=F5,Bal_Sheet!G53,IF(seller_notes_term_year&gt;F5,MIN(Bal_Sheet!G53,Input!$C$33*seller_notes_ann_repay),0))</f>
        <v>3571.42857142857</v>
      </c>
      <c r="G91" s="59" t="n">
        <f aca="false">IF(seller_notes_term_year=G5,Bal_Sheet!H53,IF(seller_notes_term_year&gt;G5,MIN(Bal_Sheet!H53,Input!$C$33*seller_notes_ann_repay),0))</f>
        <v>3571.42857142857</v>
      </c>
      <c r="H91" s="59" t="n">
        <f aca="false">IF(seller_notes_term_year=H5,Bal_Sheet!I53,IF(seller_notes_term_year&gt;H5,MIN(Bal_Sheet!I53,Input!$C$33*seller_notes_ann_repay),0))</f>
        <v>3571.42857142857</v>
      </c>
      <c r="I91" s="59" t="n">
        <f aca="false">IF(seller_notes_term_year=I5,Bal_Sheet!J53,IF(seller_notes_term_year&gt;I5,MIN(Bal_Sheet!J53,Input!$C$33*seller_notes_ann_repay),0))</f>
        <v>3571.42857142857</v>
      </c>
      <c r="J91" s="59" t="n">
        <f aca="false">IF(seller_notes_term_year=J5,Bal_Sheet!K53,IF(seller_notes_term_year&gt;J5,MIN(Bal_Sheet!K53,Input!$C$33*seller_notes_ann_repay),0))</f>
        <v>0</v>
      </c>
      <c r="K91" s="59" t="n">
        <f aca="false">IF(seller_notes_term_year=K5,Bal_Sheet!L53,IF(seller_notes_term_year&gt;K5,MIN(Bal_Sheet!L53,Input!$C$33*seller_notes_ann_repay),0))</f>
        <v>0</v>
      </c>
      <c r="L91" s="59" t="n">
        <f aca="false">IF(seller_notes_term_year=L5,Bal_Sheet!M53,IF(seller_notes_term_year&gt;L5,MIN(Bal_Sheet!M53,Input!$C$33*seller_notes_ann_repay),0))</f>
        <v>0</v>
      </c>
      <c r="M91" s="59" t="n">
        <f aca="false">IF(seller_notes_term_year=M5,Bal_Sheet!N53,IF(seller_notes_term_year&gt;M5,MIN(Bal_Sheet!N53,Input!$C$33*seller_notes_ann_repay),0))</f>
        <v>0</v>
      </c>
      <c r="N91" s="59"/>
      <c r="O91" s="59"/>
    </row>
    <row r="92" customFormat="false" ht="12.75" hidden="false" customHeight="false" outlineLevel="0" collapsed="false">
      <c r="A92" s="178" t="str">
        <f aca="false">Bal_Sheet!A61</f>
        <v>Preferred Stock</v>
      </c>
      <c r="B92" s="1"/>
      <c r="C92" s="1"/>
      <c r="D92" s="59" t="n">
        <f aca="false">IF(pref_stock_retired_year=D5,Bal_Sheet!E61,0)</f>
        <v>0</v>
      </c>
      <c r="E92" s="59" t="n">
        <f aca="false">IF(pref_stock_retired_year=E5,Bal_Sheet!F61,0)</f>
        <v>0</v>
      </c>
      <c r="F92" s="59" t="n">
        <f aca="false">IF(pref_stock_retired_year=F5,Bal_Sheet!G61,0)</f>
        <v>0</v>
      </c>
      <c r="G92" s="59" t="n">
        <f aca="false">IF(pref_stock_retired_year=G5,Bal_Sheet!H61,0)</f>
        <v>0</v>
      </c>
      <c r="H92" s="59" t="n">
        <f aca="false">IF(pref_stock_retired_year=H5,Bal_Sheet!I61,0)</f>
        <v>0</v>
      </c>
      <c r="I92" s="59" t="n">
        <f aca="false">IF(pref_stock_retired_year=I5,Bal_Sheet!J61,0)</f>
        <v>0</v>
      </c>
      <c r="J92" s="59" t="n">
        <f aca="false">IF(pref_stock_retired_year=J5,Bal_Sheet!K61,0)</f>
        <v>0</v>
      </c>
      <c r="K92" s="59" t="n">
        <f aca="false">IF(pref_stock_retired_year=K5,Bal_Sheet!L61,0)</f>
        <v>0</v>
      </c>
      <c r="L92" s="59" t="n">
        <f aca="false">IF(pref_stock_retired_year=L5,Bal_Sheet!M61,0)</f>
        <v>0</v>
      </c>
      <c r="M92" s="59" t="n">
        <f aca="false">IF(pref_stock_retired_year=M5,Bal_Sheet!N61,0)</f>
        <v>0</v>
      </c>
      <c r="N92" s="59"/>
      <c r="O92" s="59"/>
    </row>
    <row r="93" customFormat="false" ht="12.75" hidden="false" customHeight="false" outlineLevel="0" collapsed="false">
      <c r="A93" s="1" t="s">
        <v>199</v>
      </c>
      <c r="B93" s="1"/>
      <c r="C93" s="1"/>
      <c r="D93" s="59" t="n">
        <f aca="false">SUM(D85:D92)</f>
        <v>22993.6507936508</v>
      </c>
      <c r="E93" s="59" t="n">
        <f aca="false">SUM(E85:E92)</f>
        <v>22993.6507936508</v>
      </c>
      <c r="F93" s="59" t="n">
        <f aca="false">SUM(F85:F92)</f>
        <v>15771.4285714286</v>
      </c>
      <c r="G93" s="59" t="n">
        <f aca="false">SUM(G85:G92)</f>
        <v>5771.42857142857</v>
      </c>
      <c r="H93" s="59" t="n">
        <f aca="false">SUM(H85:H92)</f>
        <v>3571.42857142857</v>
      </c>
      <c r="I93" s="59" t="n">
        <f aca="false">SUM(I85:I92)</f>
        <v>3571.42857142857</v>
      </c>
      <c r="J93" s="59" t="n">
        <f aca="false">SUM(J85:J92)</f>
        <v>0</v>
      </c>
      <c r="K93" s="59" t="n">
        <f aca="false">SUM(K85:K92)</f>
        <v>0</v>
      </c>
      <c r="L93" s="59" t="n">
        <f aca="false">SUM(L85:L92)</f>
        <v>0</v>
      </c>
      <c r="M93" s="59" t="n">
        <f aca="false">SUM(M85:M92)</f>
        <v>0</v>
      </c>
      <c r="N93" s="59"/>
      <c r="O93" s="59"/>
    </row>
    <row r="94" customFormat="false" ht="12.75" hidden="false" customHeight="false" outlineLevel="0" collapsed="false">
      <c r="A94" s="1"/>
      <c r="B94" s="1"/>
      <c r="C94" s="1"/>
      <c r="D94" s="59"/>
      <c r="E94" s="59"/>
      <c r="F94" s="59"/>
      <c r="G94" s="59"/>
      <c r="H94" s="59"/>
      <c r="I94" s="59"/>
      <c r="J94" s="59"/>
      <c r="K94" s="59"/>
      <c r="L94" s="59"/>
      <c r="M94" s="59"/>
      <c r="N94" s="59"/>
      <c r="O94" s="59"/>
    </row>
    <row r="95" customFormat="false" ht="12.75" hidden="false" customHeight="false" outlineLevel="0" collapsed="false">
      <c r="A95" s="1" t="s">
        <v>202</v>
      </c>
      <c r="B95" s="1"/>
      <c r="C95" s="1"/>
      <c r="D95" s="59" t="n">
        <f aca="false">D82-D93</f>
        <v>-12582.9319886925</v>
      </c>
      <c r="E95" s="59" t="n">
        <f aca="false">E82-E93</f>
        <v>53291.9839903698</v>
      </c>
      <c r="F95" s="59" t="n">
        <f aca="false">F82-F93</f>
        <v>66572.4798448204</v>
      </c>
      <c r="G95" s="59" t="n">
        <f aca="false">G82-G93</f>
        <v>86071.8984315645</v>
      </c>
      <c r="H95" s="59" t="n">
        <f aca="false">H82-H93</f>
        <v>104298.808687401</v>
      </c>
      <c r="I95" s="59" t="n">
        <f aca="false">I82-I93</f>
        <v>99262.8317485841</v>
      </c>
      <c r="J95" s="59" t="n">
        <f aca="false">J82-J93</f>
        <v>103698.12750384</v>
      </c>
      <c r="K95" s="59" t="n">
        <f aca="false">K82-K93</f>
        <v>141948.177273028</v>
      </c>
      <c r="L95" s="59" t="n">
        <f aca="false">L82-L93</f>
        <v>213486.003485209</v>
      </c>
      <c r="M95" s="59" t="n">
        <f aca="false">M82-M93</f>
        <v>302890.01909943</v>
      </c>
      <c r="N95" s="59"/>
      <c r="O95" s="59"/>
    </row>
    <row r="96" customFormat="false" ht="12.75" hidden="false" customHeight="false" outlineLevel="0" collapsed="false">
      <c r="A96" s="179" t="s">
        <v>203</v>
      </c>
      <c r="B96" s="1"/>
      <c r="C96" s="1"/>
      <c r="D96" s="59" t="n">
        <f aca="false">MIN(revolver_limit-Bal_Sheet!E47,MAX(-D95,0))</f>
        <v>12582.9319886925</v>
      </c>
      <c r="E96" s="59" t="n">
        <f aca="false">MIN(revolver_limit-Bal_Sheet!F47,MAX(-E95,0))</f>
        <v>0</v>
      </c>
      <c r="F96" s="59" t="n">
        <f aca="false">MIN(revolver_limit-Bal_Sheet!G47,MAX(-F95,0))</f>
        <v>0</v>
      </c>
      <c r="G96" s="59" t="n">
        <f aca="false">MIN(revolver_limit-Bal_Sheet!H47,MAX(-G95,0))</f>
        <v>0</v>
      </c>
      <c r="H96" s="59" t="n">
        <f aca="false">MIN(revolver_limit-Bal_Sheet!I47,MAX(-H95,0))</f>
        <v>0</v>
      </c>
      <c r="I96" s="59" t="n">
        <f aca="false">MIN(revolver_limit-Bal_Sheet!J47,MAX(-I95,0))</f>
        <v>0</v>
      </c>
      <c r="J96" s="59" t="n">
        <f aca="false">MIN(revolver_limit-Bal_Sheet!K47,MAX(-J95,0))</f>
        <v>0</v>
      </c>
      <c r="K96" s="59" t="n">
        <f aca="false">MIN(revolver_limit-Bal_Sheet!L47,MAX(-K95,0))</f>
        <v>0</v>
      </c>
      <c r="L96" s="59" t="n">
        <f aca="false">MIN(revolver_limit-Bal_Sheet!M47,MAX(-L95,0))</f>
        <v>0</v>
      </c>
      <c r="M96" s="59" t="n">
        <f aca="false">MIN(revolver_limit-Bal_Sheet!N47,MAX(-M95,0))</f>
        <v>0</v>
      </c>
      <c r="N96" s="59"/>
      <c r="O96" s="59"/>
    </row>
    <row r="97" customFormat="false" ht="12.75" hidden="false" customHeight="false" outlineLevel="0" collapsed="false">
      <c r="A97" s="1" t="s">
        <v>204</v>
      </c>
      <c r="B97" s="1"/>
      <c r="C97" s="1"/>
      <c r="D97" s="59" t="n">
        <f aca="false">SUM(D95:D96)</f>
        <v>0</v>
      </c>
      <c r="E97" s="59" t="n">
        <f aca="false">SUM(E95:E96)</f>
        <v>53291.9839903698</v>
      </c>
      <c r="F97" s="59" t="n">
        <f aca="false">SUM(F95:F96)</f>
        <v>66572.4798448204</v>
      </c>
      <c r="G97" s="59" t="n">
        <f aca="false">SUM(G95:G96)</f>
        <v>86071.8984315645</v>
      </c>
      <c r="H97" s="59" t="n">
        <f aca="false">SUM(H95:H96)</f>
        <v>104298.808687401</v>
      </c>
      <c r="I97" s="59" t="n">
        <f aca="false">SUM(I95:I96)</f>
        <v>99262.8317485841</v>
      </c>
      <c r="J97" s="59" t="n">
        <f aca="false">SUM(J95:J96)</f>
        <v>103698.12750384</v>
      </c>
      <c r="K97" s="59" t="n">
        <f aca="false">SUM(K95:K96)</f>
        <v>141948.177273028</v>
      </c>
      <c r="L97" s="59" t="n">
        <f aca="false">SUM(L95:L96)</f>
        <v>213486.003485209</v>
      </c>
      <c r="M97" s="59" t="n">
        <f aca="false">SUM(M95:M96)</f>
        <v>302890.01909943</v>
      </c>
      <c r="N97" s="59"/>
      <c r="O97" s="59"/>
    </row>
    <row r="98" customFormat="false" ht="12.75" hidden="false" customHeight="false" outlineLevel="0" collapsed="false">
      <c r="A98" s="1"/>
      <c r="B98" s="1"/>
      <c r="C98" s="1"/>
      <c r="D98" s="59"/>
      <c r="E98" s="59"/>
      <c r="F98" s="59"/>
      <c r="G98" s="59"/>
      <c r="H98" s="59"/>
      <c r="I98" s="59"/>
      <c r="J98" s="59"/>
      <c r="K98" s="59"/>
      <c r="L98" s="59"/>
      <c r="M98" s="59"/>
      <c r="N98" s="59"/>
      <c r="O98" s="59"/>
    </row>
    <row r="99" customFormat="false" ht="12.75" hidden="false" customHeight="false" outlineLevel="0" collapsed="false">
      <c r="A99" s="174" t="s">
        <v>205</v>
      </c>
      <c r="B99" s="1"/>
      <c r="C99" s="1"/>
      <c r="D99" s="59"/>
      <c r="E99" s="59"/>
      <c r="F99" s="59"/>
      <c r="G99" s="59"/>
      <c r="H99" s="59"/>
      <c r="I99" s="59"/>
      <c r="J99" s="59"/>
      <c r="K99" s="59"/>
      <c r="L99" s="59"/>
      <c r="M99" s="59"/>
      <c r="N99" s="59"/>
      <c r="O99" s="59"/>
    </row>
    <row r="100" customFormat="false" ht="12.75" hidden="false" customHeight="false" outlineLevel="0" collapsed="false">
      <c r="A100" s="164" t="str">
        <f aca="false">Bal_Sheet!A46</f>
        <v>Existing Debt</v>
      </c>
      <c r="B100" s="1"/>
      <c r="C100" s="1"/>
      <c r="D100" s="59" t="n">
        <f aca="false">IF(AND(assumed_debt_prepay=1,D$5&lt;=assumed_debt_maturity_year),MIN(Bal_Sheet!E46-D85,MAX(D$97,0)),0)</f>
        <v>0</v>
      </c>
      <c r="E100" s="59" t="n">
        <f aca="false">IF(AND(assumed_debt_prepay=1,E$5&lt;=assumed_debt_maturity_year),MIN(Bal_Sheet!F46-E85,MAX(E$97,0)),0)</f>
        <v>50555.5555555556</v>
      </c>
      <c r="F100" s="59" t="n">
        <f aca="false">IF(AND(assumed_debt_prepay=1,F$5&lt;=assumed_debt_maturity_year),MIN(Bal_Sheet!G46-F85,MAX(F$97,0)),0)</f>
        <v>0</v>
      </c>
      <c r="G100" s="59" t="n">
        <f aca="false">IF(AND(assumed_debt_prepay=1,G$5&lt;=assumed_debt_maturity_year),MIN(Bal_Sheet!H46-G85,MAX(G$97,0)),0)</f>
        <v>0</v>
      </c>
      <c r="H100" s="59" t="n">
        <f aca="false">IF(AND(assumed_debt_prepay=1,H$5&lt;=assumed_debt_maturity_year),MIN(Bal_Sheet!I46-H85,MAX(H$97,0)),0)</f>
        <v>0</v>
      </c>
      <c r="I100" s="59" t="n">
        <f aca="false">IF(AND(assumed_debt_prepay=1,I$5&lt;=assumed_debt_maturity_year),MIN(Bal_Sheet!J46-I85,MAX(I$97,0)),0)</f>
        <v>0</v>
      </c>
      <c r="J100" s="59" t="n">
        <f aca="false">IF(AND(assumed_debt_prepay=1,J$5&lt;=assumed_debt_maturity_year),MIN(Bal_Sheet!K46-J85,MAX(J$97,0)),0)</f>
        <v>0</v>
      </c>
      <c r="K100" s="59" t="n">
        <f aca="false">IF(AND(assumed_debt_prepay=1,K$5&lt;=assumed_debt_maturity_year),MIN(Bal_Sheet!L46-K85,MAX(K$97,0)),0)</f>
        <v>0</v>
      </c>
      <c r="L100" s="59" t="n">
        <f aca="false">IF(AND(assumed_debt_prepay=1,L$5&lt;=assumed_debt_maturity_year),MIN(Bal_Sheet!M46-L85,MAX(L$97,0)),0)</f>
        <v>0</v>
      </c>
      <c r="M100" s="59" t="n">
        <f aca="false">IF(AND(assumed_debt_prepay=1,M$5&lt;=assumed_debt_maturity_year),MIN(Bal_Sheet!N46-M85,MAX(M$97,0)),0)</f>
        <v>0</v>
      </c>
      <c r="N100" s="59"/>
      <c r="O100" s="59"/>
    </row>
    <row r="101" customFormat="false" ht="12.75" hidden="false" customHeight="false" outlineLevel="0" collapsed="false">
      <c r="A101" s="164" t="str">
        <f aca="false">Bal_Sheet!A48</f>
        <v>Term Loan "A"</v>
      </c>
      <c r="B101" s="1"/>
      <c r="C101" s="1"/>
      <c r="D101" s="59" t="n">
        <f aca="false">IF(AND(termloanA_prepay=1,D$5&lt;=termloanA_term_years),MIN(Bal_Sheet!E48-D86,MAX(D$97-SUM(D$100:D100),0)),0)</f>
        <v>0</v>
      </c>
      <c r="E101" s="59" t="n">
        <f aca="false">IF(AND(termloanA_prepay=1,E$5&lt;=termloanA_term_years),MIN(Bal_Sheet!F48-E86,MAX(E$97-SUM(E$100:E100),0)),0)</f>
        <v>2736.42843481427</v>
      </c>
      <c r="F101" s="59" t="n">
        <f aca="false">IF(AND(termloanA_prepay=1,F$5&lt;=termloanA_term_years),MIN(Bal_Sheet!G48-F86,MAX(F$97-SUM(F$100:F100),0)),0)</f>
        <v>47263.5715651857</v>
      </c>
      <c r="G101" s="59" t="n">
        <f aca="false">IF(AND(termloanA_prepay=1,G$5&lt;=termloanA_term_years),MIN(Bal_Sheet!H48-G86,MAX(G$97-SUM(G$100:G100),0)),0)</f>
        <v>0</v>
      </c>
      <c r="H101" s="59" t="n">
        <f aca="false">IF(AND(termloanA_prepay=1,H$5&lt;=termloanA_term_years),MIN(Bal_Sheet!I48-H86,MAX(H$97-SUM(H$100:H100),0)),0)</f>
        <v>0</v>
      </c>
      <c r="I101" s="59" t="n">
        <f aca="false">IF(AND(termloanA_prepay=1,I$5&lt;=termloanA_term_years),MIN(Bal_Sheet!J48-I86,MAX(I$97-SUM(I$100:I100),0)),0)</f>
        <v>0</v>
      </c>
      <c r="J101" s="59" t="n">
        <f aca="false">IF(AND(termloanA_prepay=1,J$5&lt;=termloanA_term_years),MIN(Bal_Sheet!K48-J86,MAX(J$97-SUM(J$100:J100),0)),0)</f>
        <v>0</v>
      </c>
      <c r="K101" s="59" t="n">
        <f aca="false">IF(AND(termloanA_prepay=1,K$5&lt;=termloanA_term_years),MIN(Bal_Sheet!L48-K86,MAX(K$97-SUM(K$100:K100),0)),0)</f>
        <v>0</v>
      </c>
      <c r="L101" s="59" t="n">
        <f aca="false">IF(AND(termloanA_prepay=1,L$5&lt;=termloanA_term_years),MIN(Bal_Sheet!M48-L86,MAX(L$97-SUM(L$100:L100),0)),0)</f>
        <v>0</v>
      </c>
      <c r="M101" s="59" t="n">
        <f aca="false">IF(AND(termloanA_prepay=1,M$5&lt;=termloanA_term_years),MIN(Bal_Sheet!N48-M86,MAX(M$97-SUM(M$100:M100),0)),0)</f>
        <v>0</v>
      </c>
      <c r="N101" s="59"/>
      <c r="O101" s="59"/>
    </row>
    <row r="102" customFormat="false" ht="12.75" hidden="false" customHeight="false" outlineLevel="0" collapsed="false">
      <c r="A102" s="164" t="str">
        <f aca="false">Bal_Sheet!A49</f>
        <v>Term Loan "B"</v>
      </c>
      <c r="B102" s="1"/>
      <c r="C102" s="1"/>
      <c r="D102" s="59" t="n">
        <f aca="false">IF(AND(termloanB_prepay=1,D$5&lt;=termloanB_term_years),MIN(Bal_Sheet!E49-D87,MAX(D$97-SUM(D$100:D101),0)),0)</f>
        <v>0</v>
      </c>
      <c r="E102" s="59" t="n">
        <f aca="false">IF(AND(termloanB_prepay=1,E$5&lt;=termloanB_term_years),MIN(Bal_Sheet!F49-E87,MAX(E$97-SUM(E$100:E101),0)),0)</f>
        <v>0</v>
      </c>
      <c r="F102" s="59" t="n">
        <f aca="false">IF(AND(termloanB_prepay=1,F$5&lt;=termloanB_term_years),MIN(Bal_Sheet!G49-F87,MAX(F$97-SUM(F$100:F101),0)),0)</f>
        <v>19308.9082796348</v>
      </c>
      <c r="G102" s="59" t="n">
        <f aca="false">IF(AND(termloanB_prepay=1,G$5&lt;=termloanB_term_years),MIN(Bal_Sheet!H49-G87,MAX(G$97-SUM(G$100:G101),0)),0)</f>
        <v>26891.0917203652</v>
      </c>
      <c r="H102" s="59" t="n">
        <f aca="false">IF(AND(termloanB_prepay=1,H$5&lt;=termloanB_term_years),MIN(Bal_Sheet!I49-H87,MAX(H$97-SUM(H$100:H101),0)),0)</f>
        <v>0</v>
      </c>
      <c r="I102" s="59" t="n">
        <f aca="false">IF(AND(termloanB_prepay=1,I$5&lt;=termloanB_term_years),MIN(Bal_Sheet!J49-I87,MAX(I$97-SUM(I$100:I101),0)),0)</f>
        <v>0</v>
      </c>
      <c r="J102" s="59" t="n">
        <f aca="false">IF(AND(termloanB_prepay=1,J$5&lt;=termloanB_term_years),MIN(Bal_Sheet!K49-J87,MAX(J$97-SUM(J$100:J101),0)),0)</f>
        <v>0</v>
      </c>
      <c r="K102" s="59" t="n">
        <f aca="false">IF(AND(termloanB_prepay=1,K$5&lt;=termloanB_term_years),MIN(Bal_Sheet!L49-K87,MAX(K$97-SUM(K$100:K101),0)),0)</f>
        <v>0</v>
      </c>
      <c r="L102" s="59" t="n">
        <f aca="false">IF(AND(termloanB_prepay=1,L$5&lt;=termloanB_term_years),MIN(Bal_Sheet!M49-L87,MAX(L$97-SUM(L$100:L101),0)),0)</f>
        <v>0</v>
      </c>
      <c r="M102" s="59" t="n">
        <f aca="false">IF(AND(termloanB_prepay=1,M$5&lt;=termloanB_term_years),MIN(Bal_Sheet!N49-M87,MAX(M$97-SUM(M$100:M101),0)),0)</f>
        <v>0</v>
      </c>
      <c r="N102" s="59"/>
      <c r="O102" s="59"/>
    </row>
    <row r="103" customFormat="false" ht="12.75" hidden="false" customHeight="false" outlineLevel="0" collapsed="false">
      <c r="A103" s="164" t="str">
        <f aca="false">Bal_Sheet!A50</f>
        <v>Senior Notes</v>
      </c>
      <c r="B103" s="1"/>
      <c r="C103" s="1"/>
      <c r="D103" s="59" t="n">
        <f aca="false">IF(AND(senior_notes_prepay=1,D$5&lt;=senior_notes_mat_yr),MIN(Bal_Sheet!E50-D88,MAX(D$97-SUM(D$100:D102),0)),0)</f>
        <v>0</v>
      </c>
      <c r="E103" s="59" t="n">
        <f aca="false">IF(AND(senior_notes_prepay=1,E$5&lt;=senior_notes_mat_yr),MIN(Bal_Sheet!F50-E88,MAX(E$97-SUM(E$100:E102),0)),0)</f>
        <v>0</v>
      </c>
      <c r="F103" s="59" t="n">
        <f aca="false">IF(AND(senior_notes_prepay=1,F$5&lt;=senior_notes_mat_yr),MIN(Bal_Sheet!G50-F88,MAX(F$97-SUM(F$100:F102),0)),0)</f>
        <v>0</v>
      </c>
      <c r="G103" s="59" t="n">
        <f aca="false">IF(AND(senior_notes_prepay=1,G$5&lt;=senior_notes_mat_yr),MIN(Bal_Sheet!H50-G88,MAX(G$97-SUM(G$100:G102),0)),0)</f>
        <v>59180.8067111992</v>
      </c>
      <c r="H103" s="59" t="n">
        <f aca="false">IF(AND(senior_notes_prepay=1,H$5&lt;=senior_notes_mat_yr),MIN(Bal_Sheet!I50-H88,MAX(H$97-SUM(H$100:H102),0)),0)</f>
        <v>5819.19328880083</v>
      </c>
      <c r="I103" s="59" t="n">
        <f aca="false">IF(AND(senior_notes_prepay=1,I$5&lt;=senior_notes_mat_yr),MIN(Bal_Sheet!J50-I88,MAX(I$97-SUM(I$100:I102),0)),0)</f>
        <v>0</v>
      </c>
      <c r="J103" s="59" t="n">
        <f aca="false">IF(AND(senior_notes_prepay=1,J$5&lt;=senior_notes_mat_yr),MIN(Bal_Sheet!K50-J88,MAX(J$97-SUM(J$100:J102),0)),0)</f>
        <v>0</v>
      </c>
      <c r="K103" s="59" t="n">
        <f aca="false">IF(AND(senior_notes_prepay=1,K$5&lt;=senior_notes_mat_yr),MIN(Bal_Sheet!L50-K88,MAX(K$97-SUM(K$100:K102),0)),0)</f>
        <v>0</v>
      </c>
      <c r="L103" s="59" t="n">
        <f aca="false">IF(AND(senior_notes_prepay=1,L$5&lt;=senior_notes_mat_yr),MIN(Bal_Sheet!M50-L88,MAX(L$97-SUM(L$100:L102),0)),0)</f>
        <v>0</v>
      </c>
      <c r="M103" s="59" t="n">
        <f aca="false">IF(AND(senior_notes_prepay=1,M$5&lt;=senior_notes_mat_yr),MIN(Bal_Sheet!N50-M88,MAX(M$97-SUM(M$100:M102),0)),0)</f>
        <v>0</v>
      </c>
      <c r="N103" s="59"/>
      <c r="O103" s="59"/>
    </row>
    <row r="104" customFormat="false" ht="12.75" hidden="false" customHeight="false" outlineLevel="0" collapsed="false">
      <c r="A104" s="164" t="str">
        <f aca="false">Bal_Sheet!A51</f>
        <v>Subordinated Notes</v>
      </c>
      <c r="B104" s="1"/>
      <c r="C104" s="1"/>
      <c r="D104" s="59" t="n">
        <f aca="false">IF(AND(sub_notes_prepay=1,D$5&lt;=sub_notes_mat_yr),MIN(Bal_Sheet!E51-D89,MAX(D$97-SUM(D$100:D103),0)),0)</f>
        <v>0</v>
      </c>
      <c r="E104" s="59" t="n">
        <f aca="false">IF(AND(sub_notes_prepay=1,E$5&lt;=sub_notes_mat_yr),MIN(Bal_Sheet!F51-E89,MAX(E$97-SUM(E$100:E103),0)),0)</f>
        <v>0</v>
      </c>
      <c r="F104" s="59" t="n">
        <f aca="false">IF(AND(sub_notes_prepay=1,F$5&lt;=sub_notes_mat_yr),MIN(Bal_Sheet!G51-F89,MAX(F$97-SUM(F$100:F103),0)),0)</f>
        <v>0</v>
      </c>
      <c r="G104" s="59" t="n">
        <f aca="false">IF(AND(sub_notes_prepay=1,G$5&lt;=sub_notes_mat_yr),MIN(Bal_Sheet!H51-G89,MAX(G$97-SUM(G$100:G103),0)),0)</f>
        <v>0</v>
      </c>
      <c r="H104" s="59" t="n">
        <f aca="false">IF(AND(sub_notes_prepay=1,H$5&lt;=sub_notes_mat_yr),MIN(Bal_Sheet!I51-H89,MAX(H$97-SUM(H$100:H103),0)),0)</f>
        <v>47700.744025</v>
      </c>
      <c r="I104" s="59" t="n">
        <f aca="false">IF(AND(sub_notes_prepay=1,I$5&lt;=sub_notes_mat_yr),MIN(Bal_Sheet!J51-I89,MAX(I$97-SUM(I$100:I103),0)),0)</f>
        <v>2146.533481125</v>
      </c>
      <c r="J104" s="59" t="n">
        <f aca="false">IF(AND(sub_notes_prepay=1,J$5&lt;=sub_notes_mat_yr),MIN(Bal_Sheet!K51-J89,MAX(J$97-SUM(J$100:J103),0)),0)</f>
        <v>0</v>
      </c>
      <c r="K104" s="59" t="n">
        <f aca="false">IF(AND(sub_notes_prepay=1,K$5&lt;=sub_notes_mat_yr),MIN(Bal_Sheet!L51-K89,MAX(K$97-SUM(K$100:K103),0)),0)</f>
        <v>0</v>
      </c>
      <c r="L104" s="59" t="n">
        <f aca="false">IF(AND(sub_notes_prepay=1,L$5&lt;=sub_notes_mat_yr),MIN(Bal_Sheet!M51-L89,MAX(L$97-SUM(L$100:L103),0)),0)</f>
        <v>0</v>
      </c>
      <c r="M104" s="59" t="n">
        <f aca="false">IF(AND(sub_notes_prepay=1,M$5&lt;=sub_notes_mat_yr),MIN(Bal_Sheet!N51-M89,MAX(M$97-SUM(M$100:M103),0)),0)</f>
        <v>0</v>
      </c>
      <c r="N104" s="59"/>
      <c r="O104" s="59"/>
    </row>
    <row r="105" customFormat="false" ht="12.75" hidden="false" customHeight="false" outlineLevel="0" collapsed="false">
      <c r="A105" s="164" t="str">
        <f aca="false">Bal_Sheet!A52</f>
        <v>Mezzanine Debt</v>
      </c>
      <c r="B105" s="1"/>
      <c r="C105" s="1"/>
      <c r="D105" s="59" t="n">
        <f aca="false">IF(AND(mezzdebt_prepay=1,D$5&lt;=mezzdebt_maturity_year),MIN(Bal_Sheet!E52-D90,MAX(D$97-SUM(D$100:D104),0)),0)</f>
        <v>0</v>
      </c>
      <c r="E105" s="59" t="n">
        <f aca="false">IF(AND(mezzdebt_prepay=1,E$5&lt;=mezzdebt_maturity_year),MIN(Bal_Sheet!F52-E90,MAX(E$97-SUM(E$100:E104),0)),0)</f>
        <v>0</v>
      </c>
      <c r="F105" s="59" t="n">
        <f aca="false">IF(AND(mezzdebt_prepay=1,F$5&lt;=mezzdebt_maturity_year),MIN(Bal_Sheet!G52-F90,MAX(F$97-SUM(F$100:F104),0)),0)</f>
        <v>0</v>
      </c>
      <c r="G105" s="59" t="n">
        <f aca="false">IF(AND(mezzdebt_prepay=1,G$5&lt;=mezzdebt_maturity_year),MIN(Bal_Sheet!H52-G90,MAX(G$97-SUM(G$100:G104),0)),0)</f>
        <v>0</v>
      </c>
      <c r="H105" s="59" t="n">
        <f aca="false">IF(AND(mezzdebt_prepay=1,H$5&lt;=mezzdebt_maturity_year),MIN(Bal_Sheet!I52-H90,MAX(H$97-SUM(H$100:H104),0)),0)</f>
        <v>50778.8713736001</v>
      </c>
      <c r="I105" s="59" t="n">
        <f aca="false">IF(AND(mezzdebt_prepay=1,I$5&lt;=mezzdebt_maturity_year),MIN(Bal_Sheet!J52-I90,MAX(I$97-SUM(I$100:I104),0)),0)</f>
        <v>36453.8642621187</v>
      </c>
      <c r="J105" s="59" t="n">
        <f aca="false">IF(AND(mezzdebt_prepay=1,J$5&lt;=mezzdebt_maturity_year),MIN(Bal_Sheet!K52-J90,MAX(J$97-SUM(J$100:J104),0)),0)</f>
        <v>0</v>
      </c>
      <c r="K105" s="59" t="n">
        <f aca="false">IF(AND(mezzdebt_prepay=1,K$5&lt;=mezzdebt_maturity_year),MIN(Bal_Sheet!L52-K90,MAX(K$97-SUM(K$100:K104),0)),0)</f>
        <v>0</v>
      </c>
      <c r="L105" s="59" t="n">
        <f aca="false">IF(AND(mezzdebt_prepay=1,L$5&lt;=mezzdebt_maturity_year),MIN(Bal_Sheet!M52-L90,MAX(L$97-SUM(L$100:L104),0)),0)</f>
        <v>0</v>
      </c>
      <c r="M105" s="59" t="n">
        <f aca="false">IF(AND(mezzdebt_prepay=1,M$5&lt;=mezzdebt_maturity_year),MIN(Bal_Sheet!N52-M90,MAX(M$97-SUM(M$100:M104),0)),0)</f>
        <v>0</v>
      </c>
      <c r="N105" s="59"/>
      <c r="O105" s="59"/>
    </row>
    <row r="106" customFormat="false" ht="12.75" hidden="false" customHeight="false" outlineLevel="0" collapsed="false">
      <c r="A106" s="164" t="str">
        <f aca="false">Bal_Sheet!A53</f>
        <v>Seller Notes</v>
      </c>
      <c r="B106" s="1"/>
      <c r="C106" s="1"/>
      <c r="D106" s="59" t="n">
        <f aca="false">IF(AND(seller_notes_prepay=1,D$5&lt;=seller_notes_term_year),MIN(Bal_Sheet!E53-D91,MAX(D$97-SUM(D$100:D105),0)),0)</f>
        <v>0</v>
      </c>
      <c r="E106" s="59" t="n">
        <f aca="false">IF(AND(seller_notes_prepay=1,E$5&lt;=seller_notes_term_year),MIN(Bal_Sheet!F53-E91,MAX(E$97-SUM(E$100:E105),0)),0)</f>
        <v>0</v>
      </c>
      <c r="F106" s="59" t="n">
        <f aca="false">IF(AND(seller_notes_prepay=1,F$5&lt;=seller_notes_term_year),MIN(Bal_Sheet!G53-F91,MAX(F$97-SUM(F$100:F105),0)),0)</f>
        <v>0</v>
      </c>
      <c r="G106" s="59" t="n">
        <f aca="false">IF(AND(seller_notes_prepay=1,G$5&lt;=seller_notes_term_year),MIN(Bal_Sheet!H53-G91,MAX(G$97-SUM(G$100:G105),0)),0)</f>
        <v>0</v>
      </c>
      <c r="H106" s="59" t="n">
        <f aca="false">IF(AND(seller_notes_prepay=1,H$5&lt;=seller_notes_term_year),MIN(Bal_Sheet!I53-H91,MAX(H$97-SUM(H$100:H105),0)),0)</f>
        <v>0</v>
      </c>
      <c r="I106" s="59" t="n">
        <f aca="false">IF(AND(seller_notes_prepay=1,I$5&lt;=seller_notes_term_year),MIN(Bal_Sheet!J53-I91,MAX(I$97-SUM(I$100:I105),0)),0)</f>
        <v>8509.44076563186</v>
      </c>
      <c r="J106" s="59" t="n">
        <f aca="false">IF(AND(seller_notes_prepay=1,J$5&lt;=seller_notes_term_year),MIN(Bal_Sheet!K53-J91,MAX(J$97-SUM(J$100:J105),0)),0)</f>
        <v>0</v>
      </c>
      <c r="K106" s="59" t="n">
        <f aca="false">IF(AND(seller_notes_prepay=1,K$5&lt;=seller_notes_term_year),MIN(Bal_Sheet!L53-K91,MAX(K$97-SUM(K$100:K105),0)),0)</f>
        <v>0</v>
      </c>
      <c r="L106" s="59" t="n">
        <f aca="false">IF(AND(seller_notes_prepay=1,L$5&lt;=seller_notes_term_year),MIN(Bal_Sheet!M53-L91,MAX(L$97-SUM(L$100:L105),0)),0)</f>
        <v>0</v>
      </c>
      <c r="M106" s="59" t="n">
        <f aca="false">IF(AND(seller_notes_prepay=1,M$5&lt;=seller_notes_term_year),MIN(Bal_Sheet!N53-M91,MAX(M$97-SUM(M$100:M105),0)),0)</f>
        <v>0</v>
      </c>
      <c r="N106" s="59"/>
      <c r="O106" s="59"/>
    </row>
    <row r="107" customFormat="false" ht="12.75" hidden="false" customHeight="false" outlineLevel="0" collapsed="false">
      <c r="A107" s="164" t="str">
        <f aca="false">Bal_Sheet!A47</f>
        <v>Bank Revolver</v>
      </c>
      <c r="B107" s="1"/>
      <c r="C107" s="1"/>
      <c r="D107" s="59" t="n">
        <f aca="false">MIN(Bal_Sheet!E47+D96,MAX(D$97-SUM(D$100:D106),0))</f>
        <v>0</v>
      </c>
      <c r="E107" s="59" t="n">
        <f aca="false">MIN(Bal_Sheet!F47+E96,MAX(E$97-SUM(E$100:E106),0))</f>
        <v>0</v>
      </c>
      <c r="F107" s="59" t="n">
        <f aca="false">MIN(Bal_Sheet!G47+F96,MAX(F$97-SUM(F$100:F106),0))</f>
        <v>0</v>
      </c>
      <c r="G107" s="59" t="n">
        <f aca="false">MIN(Bal_Sheet!H47+G96,MAX(G$97-SUM(G$100:G106),0))</f>
        <v>0</v>
      </c>
      <c r="H107" s="59" t="n">
        <f aca="false">MIN(Bal_Sheet!I47+H96,MAX(H$97-SUM(H$100:H106),0))</f>
        <v>0</v>
      </c>
      <c r="I107" s="59" t="n">
        <f aca="false">MIN(Bal_Sheet!J47+I96,MAX(I$97-SUM(I$100:I106),0))</f>
        <v>52152.9932397085</v>
      </c>
      <c r="J107" s="59" t="n">
        <f aca="false">MIN(Bal_Sheet!K47+J96,MAX(J$97-SUM(J$100:J106),0))</f>
        <v>103698.12750384</v>
      </c>
      <c r="K107" s="59" t="n">
        <f aca="false">MIN(Bal_Sheet!L47+K96,MAX(K$97-SUM(K$100:K106),0))</f>
        <v>57619.311245144</v>
      </c>
      <c r="L107" s="59" t="n">
        <f aca="false">MIN(Bal_Sheet!M47+L96,MAX(L$97-SUM(L$100:L106),0))</f>
        <v>0</v>
      </c>
      <c r="M107" s="59" t="n">
        <f aca="false">MIN(Bal_Sheet!N47+M96,MAX(M$97-SUM(M$100:M106),0))</f>
        <v>0</v>
      </c>
      <c r="N107" s="59"/>
      <c r="O107" s="59"/>
    </row>
    <row r="108" customFormat="false" ht="12.75" hidden="false" customHeight="false" outlineLevel="0" collapsed="false">
      <c r="A108" s="1" t="s">
        <v>199</v>
      </c>
      <c r="B108" s="1"/>
      <c r="C108" s="1"/>
      <c r="D108" s="59" t="n">
        <f aca="false">SUM(D100:D107)</f>
        <v>0</v>
      </c>
      <c r="E108" s="59" t="n">
        <f aca="false">SUM(E100:E107)</f>
        <v>53291.9839903698</v>
      </c>
      <c r="F108" s="59" t="n">
        <f aca="false">SUM(F100:F107)</f>
        <v>66572.4798448205</v>
      </c>
      <c r="G108" s="59" t="n">
        <f aca="false">SUM(G100:G107)</f>
        <v>86071.8984315644</v>
      </c>
      <c r="H108" s="59" t="n">
        <f aca="false">SUM(H100:H107)</f>
        <v>104298.808687401</v>
      </c>
      <c r="I108" s="59" t="n">
        <f aca="false">SUM(I100:I107)</f>
        <v>99262.8317485841</v>
      </c>
      <c r="J108" s="59" t="n">
        <f aca="false">SUM(J100:J107)</f>
        <v>103698.12750384</v>
      </c>
      <c r="K108" s="59" t="n">
        <f aca="false">SUM(K100:K107)</f>
        <v>57619.311245144</v>
      </c>
      <c r="L108" s="59" t="n">
        <f aca="false">SUM(L100:L107)</f>
        <v>0</v>
      </c>
      <c r="M108" s="59" t="n">
        <f aca="false">SUM(M100:M107)</f>
        <v>0</v>
      </c>
      <c r="N108" s="1"/>
    </row>
    <row r="109" customFormat="false" ht="12.75" hidden="false" customHeight="false" outlineLevel="0" collapsed="false">
      <c r="A109" s="1"/>
      <c r="B109" s="1"/>
      <c r="C109" s="1"/>
      <c r="D109" s="59"/>
      <c r="E109" s="59"/>
      <c r="F109" s="59"/>
      <c r="G109" s="59"/>
      <c r="H109" s="59"/>
      <c r="I109" s="59"/>
      <c r="J109" s="59"/>
      <c r="K109" s="59"/>
      <c r="L109" s="59"/>
      <c r="M109" s="59"/>
      <c r="N109" s="1"/>
    </row>
    <row r="110" customFormat="false" ht="12.75" hidden="false" customHeight="false" outlineLevel="0" collapsed="false">
      <c r="A110" s="163" t="s">
        <v>186</v>
      </c>
      <c r="B110" s="1"/>
      <c r="C110" s="1"/>
      <c r="D110" s="150" t="n">
        <f aca="false">D97-D108+IF(cash_min=1,cash_min_amt,0)</f>
        <v>50000</v>
      </c>
      <c r="E110" s="150" t="n">
        <f aca="false">E97-E108+IF(cash_min=1,cash_min_amt,0)</f>
        <v>50000</v>
      </c>
      <c r="F110" s="150" t="n">
        <f aca="false">F97-F108+IF(cash_min=1,cash_min_amt,0)</f>
        <v>50000</v>
      </c>
      <c r="G110" s="150" t="n">
        <f aca="false">G97-G108+IF(cash_min=1,cash_min_amt,0)</f>
        <v>50000</v>
      </c>
      <c r="H110" s="150" t="n">
        <f aca="false">H97-H108+IF(cash_min=1,cash_min_amt,0)</f>
        <v>50000</v>
      </c>
      <c r="I110" s="150" t="n">
        <f aca="false">I97-I108+IF(cash_min=1,cash_min_amt,0)</f>
        <v>50000</v>
      </c>
      <c r="J110" s="150" t="n">
        <f aca="false">J97-J108+IF(cash_min=1,cash_min_amt,0)</f>
        <v>50000</v>
      </c>
      <c r="K110" s="150" t="n">
        <f aca="false">K97-K108+IF(cash_min=1,cash_min_amt,0)</f>
        <v>134328.866027884</v>
      </c>
      <c r="L110" s="150" t="n">
        <f aca="false">L97-L108+IF(cash_min=1,cash_min_amt,0)</f>
        <v>263486.003485209</v>
      </c>
      <c r="M110" s="150" t="n">
        <f aca="false">M97-M108+IF(cash_min=1,cash_min_amt,0)</f>
        <v>352890.01909943</v>
      </c>
      <c r="N110" s="1"/>
    </row>
    <row r="111" customFormat="false" ht="12.75" hidden="false" customHeight="false" outlineLevel="0" collapsed="false">
      <c r="A111" s="1"/>
      <c r="B111" s="1"/>
      <c r="C111" s="1"/>
      <c r="D111" s="59"/>
      <c r="E111" s="59"/>
      <c r="F111" s="59"/>
      <c r="G111" s="59"/>
      <c r="H111" s="59"/>
      <c r="I111" s="59"/>
      <c r="J111" s="59"/>
      <c r="K111" s="59"/>
      <c r="L111" s="59"/>
      <c r="M111" s="59"/>
      <c r="N111" s="1"/>
    </row>
    <row r="112" customFormat="false" ht="12.75" hidden="false" customHeight="false" outlineLevel="0" collapsed="false">
      <c r="A112" s="1"/>
      <c r="B112" s="1"/>
      <c r="C112" s="1"/>
      <c r="D112" s="59"/>
      <c r="E112" s="59"/>
      <c r="F112" s="59"/>
      <c r="G112" s="59"/>
      <c r="H112" s="59"/>
      <c r="I112" s="59"/>
      <c r="J112" s="59"/>
      <c r="K112" s="59"/>
      <c r="L112" s="59"/>
      <c r="M112" s="59"/>
      <c r="N112" s="1"/>
    </row>
    <row r="113" customFormat="false" ht="12.75" hidden="false" customHeight="false" outlineLevel="0" collapsed="false">
      <c r="A113" s="180" t="s">
        <v>206</v>
      </c>
      <c r="B113" s="1"/>
      <c r="C113" s="1"/>
      <c r="D113" s="59" t="n">
        <f aca="false">D55-D110</f>
        <v>0</v>
      </c>
      <c r="E113" s="59" t="n">
        <f aca="false">E55-E110</f>
        <v>0</v>
      </c>
      <c r="F113" s="59" t="n">
        <f aca="false">F55-F110</f>
        <v>0</v>
      </c>
      <c r="G113" s="59" t="n">
        <f aca="false">G55-G110</f>
        <v>0</v>
      </c>
      <c r="H113" s="59" t="n">
        <f aca="false">H55-H110</f>
        <v>0</v>
      </c>
      <c r="I113" s="59" t="n">
        <f aca="false">I55-I110</f>
        <v>0</v>
      </c>
      <c r="J113" s="59" t="n">
        <f aca="false">J55-J110</f>
        <v>0</v>
      </c>
      <c r="K113" s="59" t="n">
        <f aca="false">K55-K110</f>
        <v>0</v>
      </c>
      <c r="L113" s="59" t="n">
        <f aca="false">L55-L110</f>
        <v>0</v>
      </c>
      <c r="M113" s="59" t="n">
        <f aca="false">M55-M110</f>
        <v>0</v>
      </c>
      <c r="N113" s="1"/>
    </row>
    <row r="114" customFormat="false" ht="12.75" hidden="false" customHeight="false" outlineLevel="0" collapsed="false">
      <c r="A114" s="1"/>
      <c r="B114" s="1"/>
      <c r="C114" s="1"/>
      <c r="D114" s="59"/>
      <c r="E114" s="59"/>
      <c r="F114" s="59"/>
      <c r="G114" s="59"/>
      <c r="H114" s="59"/>
      <c r="I114" s="59"/>
      <c r="J114" s="59"/>
      <c r="K114" s="59"/>
      <c r="L114" s="59"/>
      <c r="M114" s="59"/>
      <c r="N114" s="1"/>
    </row>
    <row r="115" customFormat="false" ht="12.75" hidden="false" customHeight="false" outlineLevel="0" collapsed="false">
      <c r="A115" s="181"/>
      <c r="B115" s="181"/>
      <c r="C115" s="181"/>
      <c r="D115" s="168"/>
      <c r="E115" s="168"/>
      <c r="F115" s="168"/>
      <c r="G115" s="168"/>
      <c r="H115" s="168"/>
      <c r="I115" s="168"/>
      <c r="J115" s="168"/>
      <c r="K115" s="168"/>
      <c r="L115" s="168"/>
      <c r="M115" s="168"/>
      <c r="N115" s="1"/>
    </row>
    <row r="116" customFormat="false" ht="12.75" hidden="false" customHeight="false" outlineLevel="0" collapsed="false">
      <c r="A116" s="1"/>
      <c r="B116" s="1"/>
      <c r="C116" s="1"/>
      <c r="D116" s="59"/>
      <c r="E116" s="59"/>
      <c r="F116" s="59"/>
      <c r="G116" s="59"/>
      <c r="H116" s="59"/>
      <c r="I116" s="59"/>
      <c r="J116" s="59"/>
      <c r="K116" s="59"/>
      <c r="L116" s="59"/>
      <c r="M116" s="59"/>
      <c r="N116" s="1"/>
    </row>
    <row r="117" customFormat="false" ht="12.75" hidden="false" customHeight="false" outlineLevel="0" collapsed="false">
      <c r="A117" s="1"/>
      <c r="B117" s="1"/>
      <c r="C117" s="1"/>
      <c r="D117" s="59"/>
      <c r="E117" s="59"/>
      <c r="F117" s="59"/>
      <c r="G117" s="59"/>
      <c r="H117" s="59"/>
      <c r="I117" s="59"/>
      <c r="J117" s="59"/>
      <c r="K117" s="59"/>
      <c r="L117" s="59"/>
      <c r="M117" s="59"/>
      <c r="N117" s="1"/>
    </row>
    <row r="118" customFormat="false" ht="12.75" hidden="false" customHeight="false" outlineLevel="0" collapsed="false">
      <c r="A118" s="1"/>
      <c r="B118" s="1"/>
      <c r="C118" s="1"/>
      <c r="D118" s="59"/>
      <c r="E118" s="59"/>
      <c r="F118" s="59"/>
      <c r="G118" s="59"/>
      <c r="H118" s="59"/>
      <c r="I118" s="59"/>
      <c r="J118" s="59"/>
      <c r="K118" s="59"/>
      <c r="L118" s="59"/>
      <c r="M118" s="59"/>
      <c r="N118" s="1"/>
    </row>
    <row r="119" customFormat="false" ht="12.75" hidden="false" customHeight="false" outlineLevel="0" collapsed="false">
      <c r="A119" s="1"/>
      <c r="B119" s="1"/>
      <c r="C119" s="1"/>
      <c r="D119" s="59"/>
      <c r="E119" s="59"/>
      <c r="F119" s="59"/>
      <c r="G119" s="59"/>
      <c r="H119" s="59"/>
      <c r="I119" s="59"/>
      <c r="J119" s="59"/>
      <c r="K119" s="59"/>
      <c r="L119" s="59"/>
      <c r="M119" s="59"/>
      <c r="N119" s="1"/>
    </row>
    <row r="120" customFormat="false" ht="12.75" hidden="false" customHeight="false" outlineLevel="0" collapsed="false">
      <c r="A120" s="1"/>
      <c r="B120" s="1"/>
      <c r="C120" s="1"/>
      <c r="D120" s="59"/>
      <c r="E120" s="59"/>
      <c r="F120" s="59"/>
      <c r="G120" s="59"/>
      <c r="H120" s="59"/>
      <c r="I120" s="59"/>
      <c r="J120" s="59"/>
      <c r="K120" s="59"/>
      <c r="L120" s="59"/>
      <c r="M120" s="59"/>
      <c r="N120" s="1"/>
    </row>
    <row r="121" customFormat="false" ht="12.75" hidden="false" customHeight="false" outlineLevel="0" collapsed="false">
      <c r="A121" s="1"/>
      <c r="B121" s="1"/>
      <c r="C121" s="1"/>
      <c r="D121" s="59"/>
      <c r="E121" s="59"/>
      <c r="F121" s="59"/>
      <c r="G121" s="59"/>
      <c r="H121" s="59"/>
      <c r="I121" s="59"/>
      <c r="J121" s="59"/>
      <c r="K121" s="59"/>
      <c r="L121" s="59"/>
      <c r="M121" s="59"/>
      <c r="N121" s="1"/>
    </row>
    <row r="122" customFormat="false" ht="12.75" hidden="false" customHeight="false" outlineLevel="0" collapsed="false">
      <c r="A122" s="1"/>
      <c r="B122" s="1"/>
      <c r="C122" s="1"/>
      <c r="D122" s="59"/>
      <c r="E122" s="59"/>
      <c r="F122" s="59"/>
      <c r="G122" s="59"/>
      <c r="H122" s="59"/>
      <c r="I122" s="59"/>
      <c r="J122" s="59"/>
      <c r="K122" s="59"/>
      <c r="L122" s="59"/>
      <c r="M122" s="59"/>
      <c r="N122" s="1"/>
    </row>
    <row r="123" customFormat="false" ht="12.75" hidden="false" customHeight="false" outlineLevel="0" collapsed="false">
      <c r="A123" s="1"/>
      <c r="B123" s="1"/>
      <c r="C123" s="1"/>
      <c r="D123" s="59"/>
      <c r="E123" s="59"/>
      <c r="F123" s="59"/>
      <c r="G123" s="59"/>
      <c r="H123" s="59"/>
      <c r="I123" s="59"/>
      <c r="J123" s="59"/>
      <c r="K123" s="59"/>
      <c r="L123" s="59"/>
      <c r="M123" s="59"/>
      <c r="N123" s="1"/>
    </row>
    <row r="124" customFormat="false" ht="12.75" hidden="false" customHeight="false" outlineLevel="0" collapsed="false">
      <c r="A124" s="1"/>
      <c r="B124" s="1"/>
      <c r="C124" s="1"/>
      <c r="D124" s="59"/>
      <c r="E124" s="59"/>
      <c r="F124" s="59"/>
      <c r="G124" s="59"/>
      <c r="H124" s="59"/>
      <c r="I124" s="59"/>
      <c r="J124" s="59"/>
      <c r="K124" s="59"/>
      <c r="L124" s="59"/>
      <c r="M124" s="59"/>
      <c r="N124" s="1"/>
    </row>
    <row r="125" customFormat="false" ht="12.75" hidden="false" customHeight="false" outlineLevel="0" collapsed="false">
      <c r="A125" s="1"/>
      <c r="B125" s="1"/>
      <c r="C125" s="1"/>
      <c r="D125" s="59"/>
      <c r="E125" s="59"/>
      <c r="F125" s="59"/>
      <c r="G125" s="59"/>
      <c r="H125" s="59"/>
      <c r="I125" s="59"/>
      <c r="J125" s="59"/>
      <c r="K125" s="59"/>
      <c r="L125" s="59"/>
      <c r="M125" s="59"/>
      <c r="N125" s="1"/>
    </row>
    <row r="126" customFormat="false" ht="12.75" hidden="false" customHeight="false" outlineLevel="0" collapsed="false">
      <c r="A126" s="1"/>
      <c r="B126" s="1"/>
      <c r="C126" s="1"/>
      <c r="D126" s="59"/>
      <c r="E126" s="59"/>
      <c r="F126" s="59"/>
      <c r="G126" s="59"/>
      <c r="H126" s="59"/>
      <c r="I126" s="59"/>
      <c r="J126" s="59"/>
      <c r="K126" s="59"/>
      <c r="L126" s="59"/>
      <c r="M126" s="59"/>
      <c r="N126" s="1"/>
    </row>
    <row r="127" customFormat="false" ht="12.75" hidden="false" customHeight="false" outlineLevel="0" collapsed="false">
      <c r="A127" s="1"/>
      <c r="B127" s="1"/>
      <c r="C127" s="1"/>
      <c r="D127" s="59"/>
      <c r="E127" s="59"/>
      <c r="F127" s="59"/>
      <c r="G127" s="59"/>
      <c r="H127" s="59"/>
      <c r="I127" s="59"/>
      <c r="J127" s="59"/>
      <c r="K127" s="59"/>
      <c r="L127" s="59"/>
      <c r="M127" s="59"/>
      <c r="N127" s="1"/>
    </row>
    <row r="128" customFormat="false" ht="12.75" hidden="false" customHeight="false" outlineLevel="0" collapsed="false">
      <c r="A128" s="1"/>
      <c r="B128" s="1"/>
      <c r="C128" s="1"/>
      <c r="D128" s="59"/>
      <c r="E128" s="59"/>
      <c r="F128" s="59"/>
      <c r="G128" s="59"/>
      <c r="H128" s="59"/>
      <c r="I128" s="59"/>
      <c r="J128" s="59"/>
      <c r="K128" s="59"/>
      <c r="L128" s="59"/>
      <c r="M128" s="59"/>
      <c r="N128" s="1"/>
    </row>
    <row r="129" customFormat="false" ht="12.75" hidden="false" customHeight="false" outlineLevel="0" collapsed="false">
      <c r="A129" s="1"/>
      <c r="B129" s="1"/>
      <c r="C129" s="1"/>
      <c r="D129" s="59"/>
      <c r="E129" s="59"/>
      <c r="F129" s="59"/>
      <c r="G129" s="59"/>
      <c r="H129" s="59"/>
      <c r="I129" s="59"/>
      <c r="J129" s="59"/>
      <c r="K129" s="59"/>
      <c r="L129" s="59"/>
      <c r="M129" s="59"/>
      <c r="N129" s="1"/>
    </row>
    <row r="130" customFormat="false" ht="12.75" hidden="false" customHeight="false" outlineLevel="0" collapsed="false">
      <c r="A130" s="1"/>
      <c r="B130" s="1"/>
      <c r="C130" s="1"/>
      <c r="D130" s="59"/>
      <c r="E130" s="59"/>
      <c r="F130" s="59"/>
      <c r="G130" s="59"/>
      <c r="H130" s="59"/>
      <c r="I130" s="59"/>
      <c r="J130" s="59"/>
      <c r="K130" s="59"/>
      <c r="L130" s="59"/>
      <c r="M130" s="59"/>
      <c r="N130" s="1"/>
    </row>
    <row r="131" customFormat="false" ht="12.75" hidden="false" customHeight="false" outlineLevel="0" collapsed="false">
      <c r="A131" s="1"/>
      <c r="B131" s="1"/>
      <c r="C131" s="1"/>
      <c r="D131" s="59"/>
      <c r="E131" s="59"/>
      <c r="F131" s="59"/>
      <c r="G131" s="59"/>
      <c r="H131" s="59"/>
      <c r="I131" s="59"/>
      <c r="J131" s="59"/>
      <c r="K131" s="59"/>
      <c r="L131" s="59"/>
      <c r="M131" s="59"/>
      <c r="N131" s="1"/>
    </row>
    <row r="132" customFormat="false" ht="12.75" hidden="false" customHeight="false" outlineLevel="0" collapsed="false">
      <c r="A132" s="1"/>
      <c r="B132" s="1"/>
      <c r="C132" s="1"/>
      <c r="D132" s="59"/>
      <c r="E132" s="59"/>
      <c r="F132" s="59"/>
      <c r="G132" s="59"/>
      <c r="H132" s="59"/>
      <c r="I132" s="59"/>
      <c r="J132" s="59"/>
      <c r="K132" s="59"/>
      <c r="L132" s="59"/>
      <c r="M132" s="59"/>
      <c r="N132" s="1"/>
    </row>
    <row r="133" customFormat="false" ht="12.75" hidden="false" customHeight="false" outlineLevel="0" collapsed="false">
      <c r="A133" s="1"/>
      <c r="B133" s="1"/>
      <c r="C133" s="1"/>
      <c r="D133" s="59"/>
      <c r="E133" s="59"/>
      <c r="F133" s="59"/>
      <c r="G133" s="59"/>
      <c r="H133" s="59"/>
      <c r="I133" s="59"/>
      <c r="J133" s="59"/>
      <c r="K133" s="59"/>
      <c r="L133" s="59"/>
      <c r="M133" s="59"/>
      <c r="N133" s="1"/>
    </row>
    <row r="134" customFormat="false" ht="12.75" hidden="false" customHeight="false" outlineLevel="0" collapsed="false">
      <c r="A134" s="1"/>
      <c r="B134" s="1"/>
      <c r="C134" s="1"/>
      <c r="D134" s="59"/>
      <c r="E134" s="59"/>
      <c r="F134" s="59"/>
      <c r="G134" s="59"/>
      <c r="H134" s="59"/>
      <c r="I134" s="59"/>
      <c r="J134" s="59"/>
      <c r="K134" s="59"/>
      <c r="L134" s="59"/>
      <c r="M134" s="59"/>
      <c r="N134" s="1"/>
    </row>
    <row r="135" customFormat="false" ht="12.75" hidden="false" customHeight="false" outlineLevel="0" collapsed="false">
      <c r="A135" s="1"/>
      <c r="B135" s="1"/>
      <c r="C135" s="1"/>
      <c r="D135" s="59"/>
      <c r="E135" s="59"/>
      <c r="F135" s="59"/>
      <c r="G135" s="59"/>
      <c r="H135" s="59"/>
      <c r="I135" s="59"/>
      <c r="J135" s="59"/>
      <c r="K135" s="59"/>
      <c r="L135" s="59"/>
      <c r="M135" s="59"/>
      <c r="N135" s="1"/>
    </row>
    <row r="136" customFormat="false" ht="12.75" hidden="false" customHeight="false" outlineLevel="0" collapsed="false">
      <c r="A136" s="1"/>
      <c r="B136" s="1"/>
      <c r="C136" s="1"/>
      <c r="D136" s="59"/>
      <c r="E136" s="59"/>
      <c r="F136" s="59"/>
      <c r="G136" s="59"/>
      <c r="H136" s="59"/>
      <c r="I136" s="59"/>
      <c r="J136" s="59"/>
      <c r="K136" s="59"/>
      <c r="L136" s="59"/>
      <c r="M136" s="59"/>
      <c r="N136" s="1"/>
    </row>
    <row r="137" customFormat="false" ht="12.75" hidden="false" customHeight="false" outlineLevel="0" collapsed="false">
      <c r="A137" s="1"/>
      <c r="B137" s="1"/>
      <c r="C137" s="1"/>
      <c r="D137" s="59"/>
      <c r="E137" s="59"/>
      <c r="F137" s="59"/>
      <c r="G137" s="59"/>
      <c r="H137" s="59"/>
      <c r="I137" s="59"/>
      <c r="J137" s="59"/>
      <c r="K137" s="59"/>
      <c r="L137" s="59"/>
      <c r="M137" s="59"/>
      <c r="N137" s="1"/>
    </row>
    <row r="138" customFormat="false" ht="12.75" hidden="false" customHeight="false" outlineLevel="0" collapsed="false">
      <c r="A138" s="1"/>
      <c r="B138" s="1"/>
      <c r="C138" s="1"/>
      <c r="D138" s="59"/>
      <c r="E138" s="59"/>
      <c r="F138" s="59"/>
      <c r="G138" s="59"/>
      <c r="H138" s="59"/>
      <c r="I138" s="59"/>
      <c r="J138" s="59"/>
      <c r="K138" s="59"/>
      <c r="L138" s="59"/>
      <c r="M138" s="59"/>
      <c r="N138" s="1"/>
    </row>
    <row r="139" customFormat="false" ht="12.75" hidden="false" customHeight="false" outlineLevel="0" collapsed="false">
      <c r="A139" s="1"/>
      <c r="B139" s="1"/>
      <c r="C139" s="1"/>
      <c r="D139" s="59"/>
      <c r="E139" s="59"/>
      <c r="F139" s="59"/>
      <c r="G139" s="59"/>
      <c r="H139" s="59"/>
      <c r="I139" s="59"/>
      <c r="J139" s="59"/>
      <c r="K139" s="59"/>
      <c r="L139" s="59"/>
      <c r="M139" s="59"/>
      <c r="N139" s="1"/>
    </row>
    <row r="140" customFormat="false" ht="12.75" hidden="false" customHeight="false" outlineLevel="0" collapsed="false">
      <c r="A140" s="1"/>
      <c r="B140" s="1"/>
      <c r="C140" s="1"/>
      <c r="D140" s="59"/>
      <c r="E140" s="59"/>
      <c r="F140" s="59"/>
      <c r="G140" s="59"/>
      <c r="H140" s="59"/>
      <c r="I140" s="59"/>
      <c r="J140" s="59"/>
      <c r="K140" s="59"/>
      <c r="L140" s="59"/>
      <c r="M140" s="59"/>
      <c r="N140" s="1"/>
    </row>
    <row r="141" customFormat="false" ht="12.75" hidden="false" customHeight="false" outlineLevel="0" collapsed="false">
      <c r="A141" s="1"/>
      <c r="B141" s="1"/>
      <c r="C141" s="1"/>
      <c r="D141" s="1"/>
      <c r="E141" s="1"/>
      <c r="F141" s="1"/>
      <c r="G141" s="1"/>
      <c r="H141" s="1"/>
      <c r="I141" s="1"/>
      <c r="J141" s="1"/>
      <c r="K141" s="1"/>
      <c r="L141" s="1"/>
      <c r="M141" s="1"/>
      <c r="N141" s="1"/>
    </row>
    <row r="142" customFormat="false" ht="12.75" hidden="false" customHeight="false" outlineLevel="0" collapsed="false">
      <c r="A142" s="1"/>
      <c r="B142" s="1"/>
      <c r="C142" s="1"/>
      <c r="D142" s="1"/>
      <c r="E142" s="1"/>
      <c r="F142" s="1"/>
      <c r="G142" s="1"/>
      <c r="H142" s="1"/>
      <c r="I142" s="1"/>
      <c r="J142" s="1"/>
      <c r="K142" s="1"/>
      <c r="L142" s="1"/>
      <c r="M142" s="1"/>
      <c r="N142" s="1"/>
    </row>
    <row r="143" customFormat="false" ht="12.75" hidden="false" customHeight="false" outlineLevel="0" collapsed="false">
      <c r="A143" s="1"/>
      <c r="B143" s="1"/>
      <c r="C143" s="1"/>
      <c r="D143" s="1"/>
      <c r="E143" s="1"/>
      <c r="F143" s="1"/>
      <c r="G143" s="1"/>
      <c r="H143" s="1"/>
      <c r="I143" s="1"/>
      <c r="J143" s="1"/>
      <c r="K143" s="1"/>
      <c r="L143" s="1"/>
      <c r="M143" s="1"/>
      <c r="N143" s="1"/>
    </row>
    <row r="144" customFormat="false" ht="12.75" hidden="false" customHeight="false" outlineLevel="0" collapsed="false">
      <c r="A144" s="1"/>
      <c r="B144" s="1"/>
      <c r="C144" s="1"/>
      <c r="D144" s="1"/>
      <c r="E144" s="1"/>
      <c r="F144" s="1"/>
      <c r="G144" s="1"/>
      <c r="H144" s="1"/>
      <c r="I144" s="1"/>
      <c r="J144" s="1"/>
      <c r="K144" s="1"/>
      <c r="L144" s="1"/>
      <c r="M144" s="1"/>
      <c r="N144" s="1"/>
    </row>
    <row r="145" customFormat="false" ht="12.75" hidden="false" customHeight="false" outlineLevel="0" collapsed="false">
      <c r="A145" s="1"/>
      <c r="B145" s="1"/>
      <c r="C145" s="1"/>
      <c r="D145" s="1"/>
      <c r="E145" s="1"/>
      <c r="F145" s="1"/>
      <c r="G145" s="1"/>
      <c r="H145" s="1"/>
      <c r="I145" s="1"/>
      <c r="J145" s="1"/>
      <c r="K145" s="1"/>
      <c r="L145" s="1"/>
      <c r="M145" s="1"/>
      <c r="N145" s="1"/>
    </row>
    <row r="146" customFormat="false" ht="12.75" hidden="false" customHeight="false" outlineLevel="0" collapsed="false">
      <c r="A146" s="1"/>
      <c r="B146" s="1"/>
      <c r="C146" s="1"/>
      <c r="D146" s="1"/>
      <c r="E146" s="1"/>
      <c r="F146" s="1"/>
      <c r="G146" s="1"/>
      <c r="H146" s="1"/>
      <c r="I146" s="1"/>
      <c r="J146" s="1"/>
      <c r="K146" s="1"/>
      <c r="L146" s="1"/>
      <c r="M146" s="1"/>
      <c r="N146" s="1"/>
    </row>
    <row r="147" customFormat="false" ht="12.75" hidden="false" customHeight="false" outlineLevel="0" collapsed="false">
      <c r="A147" s="1"/>
      <c r="B147" s="1"/>
      <c r="C147" s="1"/>
      <c r="D147" s="1"/>
      <c r="E147" s="1"/>
      <c r="F147" s="1"/>
      <c r="G147" s="1"/>
      <c r="H147" s="1"/>
      <c r="I147" s="1"/>
      <c r="J147" s="1"/>
      <c r="K147" s="1"/>
      <c r="L147" s="1"/>
      <c r="M147" s="1"/>
      <c r="N147" s="1"/>
    </row>
    <row r="148" customFormat="false" ht="12.75" hidden="false" customHeight="false" outlineLevel="0" collapsed="false">
      <c r="A148" s="1"/>
      <c r="B148" s="1"/>
      <c r="C148" s="1"/>
      <c r="D148" s="1"/>
      <c r="E148" s="1"/>
      <c r="F148" s="1"/>
      <c r="G148" s="1"/>
      <c r="H148" s="1"/>
      <c r="I148" s="1"/>
      <c r="J148" s="1"/>
      <c r="K148" s="1"/>
      <c r="L148" s="1"/>
      <c r="M148" s="1"/>
      <c r="N148" s="1"/>
    </row>
    <row r="149" customFormat="false" ht="12.75" hidden="false" customHeight="false" outlineLevel="0" collapsed="false">
      <c r="A149" s="1"/>
      <c r="B149" s="1"/>
      <c r="C149" s="1"/>
      <c r="D149" s="1"/>
      <c r="E149" s="1"/>
      <c r="F149" s="1"/>
      <c r="G149" s="1"/>
      <c r="H149" s="1"/>
      <c r="I149" s="1"/>
      <c r="J149" s="1"/>
      <c r="K149" s="1"/>
      <c r="L149" s="1"/>
      <c r="M149" s="1"/>
      <c r="N149" s="1"/>
    </row>
    <row r="150" customFormat="false" ht="12.75" hidden="false" customHeight="false" outlineLevel="0" collapsed="false">
      <c r="A150" s="1"/>
      <c r="B150" s="1"/>
      <c r="C150" s="1"/>
      <c r="D150" s="1"/>
      <c r="E150" s="1"/>
      <c r="F150" s="1"/>
      <c r="G150" s="1"/>
      <c r="H150" s="1"/>
      <c r="I150" s="1"/>
      <c r="J150" s="1"/>
      <c r="K150" s="1"/>
      <c r="L150" s="1"/>
      <c r="M150" s="1"/>
      <c r="N150" s="1"/>
    </row>
    <row r="151" customFormat="false" ht="12.75" hidden="false" customHeight="false" outlineLevel="0" collapsed="false">
      <c r="A151" s="1"/>
      <c r="B151" s="1"/>
      <c r="C151" s="1"/>
      <c r="D151" s="1"/>
      <c r="E151" s="1"/>
      <c r="F151" s="1"/>
      <c r="G151" s="1"/>
      <c r="H151" s="1"/>
      <c r="I151" s="1"/>
      <c r="J151" s="1"/>
      <c r="K151" s="1"/>
      <c r="L151" s="1"/>
      <c r="M151" s="1"/>
      <c r="N151" s="1"/>
    </row>
    <row r="152" customFormat="false" ht="12.75" hidden="false" customHeight="false" outlineLevel="0" collapsed="false">
      <c r="A152" s="1"/>
      <c r="B152" s="1"/>
      <c r="C152" s="1"/>
      <c r="D152" s="1"/>
      <c r="E152" s="1"/>
      <c r="F152" s="1"/>
      <c r="G152" s="1"/>
      <c r="H152" s="1"/>
      <c r="I152" s="1"/>
      <c r="J152" s="1"/>
      <c r="K152" s="1"/>
      <c r="L152" s="1"/>
      <c r="M152" s="1"/>
      <c r="N152" s="1"/>
    </row>
    <row r="153" customFormat="false" ht="12.75" hidden="false" customHeight="false" outlineLevel="0" collapsed="false">
      <c r="A153" s="1"/>
      <c r="B153" s="1"/>
      <c r="C153" s="1"/>
      <c r="D153" s="1"/>
      <c r="E153" s="1"/>
      <c r="F153" s="1"/>
      <c r="G153" s="1"/>
      <c r="H153" s="1"/>
      <c r="I153" s="1"/>
      <c r="J153" s="1"/>
      <c r="K153" s="1"/>
      <c r="L153" s="1"/>
      <c r="M153" s="1"/>
      <c r="N153" s="1"/>
    </row>
    <row r="154" customFormat="false" ht="12.75" hidden="false" customHeight="false" outlineLevel="0" collapsed="false">
      <c r="A154" s="1"/>
      <c r="B154" s="1"/>
      <c r="C154" s="1"/>
      <c r="D154" s="1"/>
      <c r="E154" s="1"/>
      <c r="F154" s="1"/>
      <c r="G154" s="1"/>
      <c r="H154" s="1"/>
      <c r="I154" s="1"/>
      <c r="J154" s="1"/>
      <c r="K154" s="1"/>
      <c r="L154" s="1"/>
      <c r="M154" s="1"/>
      <c r="N154" s="1"/>
    </row>
    <row r="155" customFormat="false" ht="12.75" hidden="false" customHeight="false" outlineLevel="0" collapsed="false">
      <c r="A155" s="1"/>
      <c r="B155" s="1"/>
      <c r="C155" s="1"/>
      <c r="D155" s="1"/>
      <c r="E155" s="1"/>
      <c r="F155" s="1"/>
      <c r="G155" s="1"/>
      <c r="H155" s="1"/>
      <c r="I155" s="1"/>
      <c r="J155" s="1"/>
      <c r="K155" s="1"/>
      <c r="L155" s="1"/>
      <c r="M155" s="1"/>
      <c r="N155" s="1"/>
    </row>
    <row r="156" customFormat="false" ht="12.75" hidden="false" customHeight="false" outlineLevel="0" collapsed="false">
      <c r="A156" s="1"/>
      <c r="B156" s="1"/>
      <c r="C156" s="1"/>
      <c r="D156" s="1"/>
      <c r="E156" s="1"/>
      <c r="F156" s="1"/>
      <c r="G156" s="1"/>
      <c r="H156" s="1"/>
      <c r="I156" s="1"/>
      <c r="J156" s="1"/>
      <c r="K156" s="1"/>
      <c r="L156" s="1"/>
      <c r="M156" s="1"/>
      <c r="N156" s="1"/>
    </row>
    <row r="157" customFormat="false" ht="12.75" hidden="false" customHeight="false" outlineLevel="0" collapsed="false">
      <c r="A157" s="1"/>
      <c r="B157" s="1"/>
      <c r="C157" s="1"/>
      <c r="D157" s="1"/>
      <c r="E157" s="1"/>
      <c r="F157" s="1"/>
      <c r="G157" s="1"/>
      <c r="H157" s="1"/>
      <c r="I157" s="1"/>
      <c r="J157" s="1"/>
      <c r="K157" s="1"/>
      <c r="L157" s="1"/>
      <c r="M157" s="1"/>
      <c r="N157" s="1"/>
    </row>
    <row r="158" customFormat="false" ht="12.75" hidden="false" customHeight="false" outlineLevel="0" collapsed="false">
      <c r="A158" s="1"/>
      <c r="B158" s="1"/>
      <c r="C158" s="1"/>
      <c r="D158" s="1"/>
      <c r="E158" s="1"/>
      <c r="F158" s="1"/>
      <c r="G158" s="1"/>
      <c r="H158" s="1"/>
      <c r="I158" s="1"/>
      <c r="J158" s="1"/>
      <c r="K158" s="1"/>
      <c r="L158" s="1"/>
      <c r="M158" s="1"/>
      <c r="N158" s="1"/>
    </row>
    <row r="159" customFormat="false" ht="12.75" hidden="false" customHeight="false" outlineLevel="0" collapsed="false">
      <c r="A159" s="1"/>
      <c r="B159" s="1"/>
      <c r="C159" s="1"/>
      <c r="D159" s="1"/>
      <c r="E159" s="1"/>
      <c r="F159" s="1"/>
      <c r="G159" s="1"/>
      <c r="H159" s="1"/>
      <c r="I159" s="1"/>
      <c r="J159" s="1"/>
      <c r="K159" s="1"/>
      <c r="L159" s="1"/>
      <c r="M159" s="1"/>
      <c r="N159" s="1"/>
    </row>
    <row r="160" customFormat="false" ht="12.75" hidden="false" customHeight="false" outlineLevel="0" collapsed="false">
      <c r="A160" s="1"/>
      <c r="B160" s="1"/>
      <c r="C160" s="1"/>
      <c r="D160" s="1"/>
      <c r="E160" s="1"/>
      <c r="F160" s="1"/>
      <c r="G160" s="1"/>
      <c r="H160" s="1"/>
      <c r="I160" s="1"/>
      <c r="J160" s="1"/>
      <c r="K160" s="1"/>
      <c r="L160" s="1"/>
      <c r="M160" s="1"/>
      <c r="N160" s="1"/>
    </row>
    <row r="161" customFormat="false" ht="12.75" hidden="false" customHeight="false" outlineLevel="0" collapsed="false">
      <c r="A161" s="1"/>
      <c r="B161" s="1"/>
      <c r="C161" s="1"/>
      <c r="D161" s="1"/>
      <c r="E161" s="1"/>
      <c r="F161" s="1"/>
      <c r="G161" s="1"/>
      <c r="H161" s="1"/>
      <c r="I161" s="1"/>
      <c r="J161" s="1"/>
      <c r="K161" s="1"/>
      <c r="L161" s="1"/>
      <c r="M161" s="1"/>
      <c r="N161" s="1"/>
    </row>
    <row r="162" customFormat="false" ht="12.75" hidden="false" customHeight="false" outlineLevel="0" collapsed="false">
      <c r="A162" s="1"/>
      <c r="B162" s="1"/>
      <c r="C162" s="1"/>
      <c r="D162" s="1"/>
      <c r="E162" s="1"/>
      <c r="F162" s="1"/>
      <c r="G162" s="1"/>
      <c r="H162" s="1"/>
      <c r="I162" s="1"/>
      <c r="J162" s="1"/>
      <c r="K162" s="1"/>
      <c r="L162" s="1"/>
      <c r="M162" s="1"/>
      <c r="N162" s="1"/>
    </row>
    <row r="163" customFormat="false" ht="12.75" hidden="false" customHeight="false" outlineLevel="0" collapsed="false">
      <c r="A163" s="1"/>
      <c r="B163" s="1"/>
      <c r="C163" s="1"/>
      <c r="D163" s="1"/>
      <c r="E163" s="1"/>
      <c r="F163" s="1"/>
      <c r="G163" s="1"/>
      <c r="H163" s="1"/>
      <c r="I163" s="1"/>
      <c r="J163" s="1"/>
      <c r="K163" s="1"/>
      <c r="L163" s="1"/>
      <c r="M163" s="1"/>
      <c r="N163" s="1"/>
    </row>
    <row r="164" customFormat="false" ht="12.75" hidden="false" customHeight="false" outlineLevel="0" collapsed="false">
      <c r="A164" s="1"/>
      <c r="B164" s="1"/>
      <c r="C164" s="1"/>
      <c r="D164" s="1"/>
      <c r="E164" s="1"/>
      <c r="F164" s="1"/>
      <c r="G164" s="1"/>
      <c r="H164" s="1"/>
      <c r="I164" s="1"/>
      <c r="J164" s="1"/>
      <c r="K164" s="1"/>
      <c r="L164" s="1"/>
      <c r="M164" s="1"/>
      <c r="N164" s="1"/>
    </row>
    <row r="165" customFormat="false" ht="12.75" hidden="false" customHeight="false" outlineLevel="0" collapsed="false">
      <c r="A165" s="1"/>
      <c r="B165" s="1"/>
      <c r="C165" s="1"/>
      <c r="D165" s="1"/>
      <c r="E165" s="1"/>
      <c r="F165" s="1"/>
      <c r="G165" s="1"/>
      <c r="H165" s="1"/>
      <c r="I165" s="1"/>
      <c r="J165" s="1"/>
      <c r="K165" s="1"/>
      <c r="L165" s="1"/>
      <c r="M165" s="1"/>
      <c r="N165" s="1"/>
    </row>
    <row r="166" customFormat="false" ht="12.75" hidden="false" customHeight="false" outlineLevel="0" collapsed="false">
      <c r="A166" s="1"/>
      <c r="B166" s="1"/>
      <c r="C166" s="1"/>
      <c r="D166" s="1"/>
      <c r="E166" s="1"/>
      <c r="F166" s="1"/>
      <c r="G166" s="1"/>
      <c r="H166" s="1"/>
      <c r="I166" s="1"/>
      <c r="J166" s="1"/>
      <c r="K166" s="1"/>
      <c r="L166" s="1"/>
      <c r="M166" s="1"/>
      <c r="N166" s="1"/>
    </row>
    <row r="167" customFormat="false" ht="12.75" hidden="false" customHeight="false" outlineLevel="0" collapsed="false">
      <c r="A167" s="1"/>
      <c r="B167" s="1"/>
      <c r="C167" s="1"/>
      <c r="D167" s="1"/>
      <c r="E167" s="1"/>
      <c r="F167" s="1"/>
      <c r="G167" s="1"/>
      <c r="H167" s="1"/>
      <c r="I167" s="1"/>
      <c r="J167" s="1"/>
      <c r="K167" s="1"/>
      <c r="L167" s="1"/>
      <c r="M167" s="1"/>
      <c r="N167" s="1"/>
    </row>
    <row r="168" customFormat="false" ht="12.75" hidden="false" customHeight="false" outlineLevel="0" collapsed="false">
      <c r="A168" s="1"/>
      <c r="B168" s="1"/>
      <c r="C168" s="1"/>
      <c r="D168" s="1"/>
      <c r="E168" s="1"/>
      <c r="F168" s="1"/>
      <c r="G168" s="1"/>
      <c r="H168" s="1"/>
      <c r="I168" s="1"/>
      <c r="J168" s="1"/>
      <c r="K168" s="1"/>
      <c r="L168" s="1"/>
      <c r="M168" s="1"/>
      <c r="N168" s="1"/>
    </row>
    <row r="169" customFormat="false" ht="12.75" hidden="false" customHeight="false" outlineLevel="0" collapsed="false">
      <c r="A169" s="1"/>
      <c r="B169" s="1"/>
      <c r="C169" s="1"/>
      <c r="D169" s="1"/>
      <c r="E169" s="1"/>
      <c r="F169" s="1"/>
      <c r="G169" s="1"/>
      <c r="H169" s="1"/>
      <c r="I169" s="1"/>
      <c r="J169" s="1"/>
      <c r="K169" s="1"/>
      <c r="L169" s="1"/>
      <c r="M169" s="1"/>
      <c r="N169" s="1"/>
    </row>
    <row r="170" customFormat="false" ht="12.75" hidden="false" customHeight="false" outlineLevel="0" collapsed="false">
      <c r="A170" s="1"/>
      <c r="B170" s="1"/>
      <c r="C170" s="1"/>
      <c r="D170" s="1"/>
      <c r="E170" s="1"/>
      <c r="F170" s="1"/>
      <c r="G170" s="1"/>
      <c r="H170" s="1"/>
      <c r="I170" s="1"/>
      <c r="J170" s="1"/>
      <c r="K170" s="1"/>
      <c r="L170" s="1"/>
      <c r="M170" s="1"/>
      <c r="N170" s="1"/>
    </row>
    <row r="171" customFormat="false" ht="12.75" hidden="false" customHeight="false" outlineLevel="0" collapsed="false">
      <c r="A171" s="1"/>
      <c r="B171" s="1"/>
      <c r="C171" s="1"/>
      <c r="D171" s="1"/>
      <c r="E171" s="1"/>
      <c r="F171" s="1"/>
      <c r="G171" s="1"/>
      <c r="H171" s="1"/>
      <c r="I171" s="1"/>
      <c r="J171" s="1"/>
      <c r="K171" s="1"/>
      <c r="L171" s="1"/>
      <c r="M171" s="1"/>
      <c r="N171" s="1"/>
    </row>
    <row r="172" customFormat="false" ht="12.75" hidden="false" customHeight="false" outlineLevel="0" collapsed="false">
      <c r="A172" s="1"/>
      <c r="B172" s="1"/>
      <c r="C172" s="1"/>
      <c r="D172" s="1"/>
      <c r="E172" s="1"/>
      <c r="F172" s="1"/>
      <c r="G172" s="1"/>
      <c r="H172" s="1"/>
      <c r="I172" s="1"/>
      <c r="J172" s="1"/>
      <c r="K172" s="1"/>
      <c r="L172" s="1"/>
      <c r="M172" s="1"/>
      <c r="N172" s="1"/>
    </row>
    <row r="173" customFormat="false" ht="12.75" hidden="false" customHeight="false" outlineLevel="0" collapsed="false">
      <c r="A173" s="1"/>
      <c r="B173" s="1"/>
      <c r="C173" s="1"/>
      <c r="D173" s="1"/>
      <c r="E173" s="1"/>
      <c r="F173" s="1"/>
      <c r="G173" s="1"/>
      <c r="H173" s="1"/>
      <c r="I173" s="1"/>
      <c r="J173" s="1"/>
      <c r="K173" s="1"/>
      <c r="L173" s="1"/>
      <c r="M173" s="1"/>
      <c r="N173" s="1"/>
    </row>
    <row r="174" customFormat="false" ht="12.75" hidden="false" customHeight="false" outlineLevel="0" collapsed="false">
      <c r="A174" s="1"/>
      <c r="B174" s="1"/>
      <c r="C174" s="1"/>
      <c r="D174" s="1"/>
      <c r="E174" s="1"/>
      <c r="F174" s="1"/>
      <c r="G174" s="1"/>
      <c r="H174" s="1"/>
      <c r="I174" s="1"/>
      <c r="J174" s="1"/>
      <c r="K174" s="1"/>
      <c r="L174" s="1"/>
      <c r="M174" s="1"/>
      <c r="N174" s="1"/>
    </row>
    <row r="175" customFormat="false" ht="12.75" hidden="false" customHeight="false" outlineLevel="0" collapsed="false">
      <c r="A175" s="1"/>
      <c r="B175" s="1"/>
      <c r="C175" s="1"/>
      <c r="D175" s="1"/>
      <c r="E175" s="1"/>
      <c r="F175" s="1"/>
      <c r="G175" s="1"/>
      <c r="H175" s="1"/>
      <c r="I175" s="1"/>
      <c r="J175" s="1"/>
      <c r="K175" s="1"/>
      <c r="L175" s="1"/>
      <c r="M175" s="1"/>
      <c r="N175" s="1"/>
    </row>
    <row r="176" customFormat="false" ht="12.75" hidden="false" customHeight="false" outlineLevel="0" collapsed="false">
      <c r="A176" s="1"/>
      <c r="B176" s="1"/>
      <c r="C176" s="1"/>
      <c r="D176" s="1"/>
      <c r="E176" s="1"/>
      <c r="F176" s="1"/>
      <c r="G176" s="1"/>
      <c r="H176" s="1"/>
      <c r="I176" s="1"/>
      <c r="J176" s="1"/>
      <c r="K176" s="1"/>
      <c r="L176" s="1"/>
      <c r="M176" s="1"/>
      <c r="N176" s="1"/>
    </row>
    <row r="177" customFormat="false" ht="12.75" hidden="false" customHeight="false" outlineLevel="0" collapsed="false">
      <c r="A177" s="1"/>
      <c r="B177" s="1"/>
      <c r="C177" s="1"/>
      <c r="D177" s="1"/>
      <c r="E177" s="1"/>
      <c r="F177" s="1"/>
      <c r="G177" s="1"/>
      <c r="H177" s="1"/>
      <c r="I177" s="1"/>
      <c r="J177" s="1"/>
      <c r="K177" s="1"/>
      <c r="L177" s="1"/>
      <c r="M177" s="1"/>
      <c r="N177" s="1"/>
    </row>
    <row r="178" customFormat="false" ht="12.75" hidden="false" customHeight="false" outlineLevel="0" collapsed="false">
      <c r="A178" s="1"/>
      <c r="B178" s="1"/>
      <c r="C178" s="1"/>
      <c r="D178" s="1"/>
      <c r="E178" s="1"/>
      <c r="F178" s="1"/>
      <c r="G178" s="1"/>
      <c r="H178" s="1"/>
      <c r="I178" s="1"/>
      <c r="J178" s="1"/>
      <c r="K178" s="1"/>
      <c r="L178" s="1"/>
      <c r="M178" s="1"/>
      <c r="N178" s="1"/>
    </row>
    <row r="179" customFormat="false" ht="12.75" hidden="false" customHeight="false" outlineLevel="0" collapsed="false">
      <c r="A179" s="1"/>
      <c r="B179" s="1"/>
      <c r="C179" s="1"/>
      <c r="D179" s="1"/>
      <c r="E179" s="1"/>
      <c r="F179" s="1"/>
      <c r="G179" s="1"/>
      <c r="H179" s="1"/>
      <c r="I179" s="1"/>
      <c r="J179" s="1"/>
      <c r="K179" s="1"/>
      <c r="L179" s="1"/>
      <c r="M179" s="1"/>
      <c r="N179" s="1"/>
    </row>
    <row r="180" customFormat="false" ht="12.75" hidden="false" customHeight="false" outlineLevel="0" collapsed="false">
      <c r="A180" s="1"/>
      <c r="B180" s="1"/>
      <c r="C180" s="1"/>
      <c r="D180" s="1"/>
      <c r="E180" s="1"/>
      <c r="F180" s="1"/>
      <c r="G180" s="1"/>
      <c r="H180" s="1"/>
      <c r="I180" s="1"/>
      <c r="J180" s="1"/>
      <c r="K180" s="1"/>
      <c r="L180" s="1"/>
      <c r="M180" s="1"/>
      <c r="N180" s="1"/>
    </row>
    <row r="181" customFormat="false" ht="12.75" hidden="false" customHeight="false" outlineLevel="0" collapsed="false">
      <c r="A181" s="1"/>
      <c r="B181" s="1"/>
      <c r="C181" s="1"/>
      <c r="D181" s="1"/>
      <c r="E181" s="1"/>
      <c r="F181" s="1"/>
      <c r="G181" s="1"/>
      <c r="H181" s="1"/>
      <c r="I181" s="1"/>
      <c r="J181" s="1"/>
      <c r="K181" s="1"/>
      <c r="L181" s="1"/>
      <c r="M181" s="1"/>
      <c r="N181" s="1"/>
    </row>
    <row r="182" customFormat="false" ht="12.75" hidden="false" customHeight="false" outlineLevel="0" collapsed="false">
      <c r="A182" s="1"/>
      <c r="B182" s="1"/>
      <c r="C182" s="1"/>
      <c r="D182" s="1"/>
      <c r="E182" s="1"/>
      <c r="F182" s="1"/>
      <c r="G182" s="1"/>
      <c r="H182" s="1"/>
      <c r="I182" s="1"/>
      <c r="J182" s="1"/>
      <c r="K182" s="1"/>
      <c r="L182" s="1"/>
      <c r="M182" s="1"/>
      <c r="N182" s="1"/>
    </row>
    <row r="183" customFormat="false" ht="12.75" hidden="false" customHeight="false" outlineLevel="0" collapsed="false">
      <c r="A183" s="1"/>
      <c r="B183" s="1"/>
      <c r="C183" s="1"/>
      <c r="D183" s="1"/>
      <c r="E183" s="1"/>
      <c r="F183" s="1"/>
      <c r="G183" s="1"/>
      <c r="H183" s="1"/>
      <c r="I183" s="1"/>
      <c r="J183" s="1"/>
      <c r="K183" s="1"/>
      <c r="L183" s="1"/>
      <c r="M183" s="1"/>
      <c r="N183" s="1"/>
    </row>
    <row r="184" customFormat="false" ht="12.75" hidden="false" customHeight="false" outlineLevel="0" collapsed="false">
      <c r="A184" s="1"/>
      <c r="B184" s="1"/>
      <c r="C184" s="1"/>
      <c r="D184" s="1"/>
      <c r="E184" s="1"/>
      <c r="F184" s="1"/>
      <c r="G184" s="1"/>
      <c r="H184" s="1"/>
      <c r="I184" s="1"/>
      <c r="J184" s="1"/>
      <c r="K184" s="1"/>
      <c r="L184" s="1"/>
      <c r="M184" s="1"/>
      <c r="N184" s="1"/>
    </row>
    <row r="185" customFormat="false" ht="12.75" hidden="false" customHeight="false" outlineLevel="0" collapsed="false">
      <c r="A185" s="1"/>
      <c r="B185" s="1"/>
      <c r="C185" s="1"/>
      <c r="D185" s="1"/>
      <c r="E185" s="1"/>
      <c r="F185" s="1"/>
      <c r="G185" s="1"/>
      <c r="H185" s="1"/>
      <c r="I185" s="1"/>
      <c r="J185" s="1"/>
      <c r="K185" s="1"/>
      <c r="L185" s="1"/>
      <c r="M185" s="1"/>
      <c r="N185" s="1"/>
    </row>
    <row r="186" customFormat="false" ht="12.75" hidden="false" customHeight="false" outlineLevel="0" collapsed="false">
      <c r="A186" s="1"/>
      <c r="B186" s="1"/>
      <c r="C186" s="1"/>
      <c r="D186" s="1"/>
      <c r="E186" s="1"/>
      <c r="F186" s="1"/>
      <c r="G186" s="1"/>
      <c r="H186" s="1"/>
      <c r="I186" s="1"/>
      <c r="J186" s="1"/>
      <c r="K186" s="1"/>
      <c r="L186" s="1"/>
      <c r="M186" s="1"/>
      <c r="N186" s="1"/>
    </row>
    <row r="187" customFormat="false" ht="12.75" hidden="false" customHeight="false" outlineLevel="0" collapsed="false">
      <c r="A187" s="1"/>
      <c r="B187" s="1"/>
      <c r="C187" s="1"/>
      <c r="D187" s="1"/>
      <c r="E187" s="1"/>
      <c r="F187" s="1"/>
      <c r="G187" s="1"/>
      <c r="H187" s="1"/>
      <c r="I187" s="1"/>
      <c r="J187" s="1"/>
      <c r="K187" s="1"/>
      <c r="L187" s="1"/>
      <c r="M187" s="1"/>
      <c r="N187" s="1"/>
    </row>
    <row r="188" customFormat="false" ht="12.75" hidden="false" customHeight="false" outlineLevel="0" collapsed="false">
      <c r="A188" s="1"/>
      <c r="B188" s="1"/>
      <c r="C188" s="1"/>
      <c r="D188" s="1"/>
      <c r="E188" s="1"/>
      <c r="F188" s="1"/>
      <c r="G188" s="1"/>
      <c r="H188" s="1"/>
      <c r="I188" s="1"/>
      <c r="J188" s="1"/>
      <c r="K188" s="1"/>
      <c r="L188" s="1"/>
      <c r="M188" s="1"/>
      <c r="N188" s="1"/>
    </row>
    <row r="189" customFormat="false" ht="12.75" hidden="false" customHeight="false" outlineLevel="0" collapsed="false">
      <c r="A189" s="1"/>
      <c r="B189" s="1"/>
      <c r="C189" s="1"/>
      <c r="D189" s="1"/>
      <c r="E189" s="1"/>
      <c r="F189" s="1"/>
      <c r="G189" s="1"/>
      <c r="H189" s="1"/>
      <c r="I189" s="1"/>
      <c r="J189" s="1"/>
      <c r="K189" s="1"/>
      <c r="L189" s="1"/>
      <c r="M189" s="1"/>
      <c r="N189" s="1"/>
    </row>
    <row r="190" customFormat="false" ht="12.75" hidden="false" customHeight="false" outlineLevel="0" collapsed="false">
      <c r="A190" s="1"/>
      <c r="B190" s="1"/>
      <c r="C190" s="1"/>
      <c r="D190" s="1"/>
      <c r="E190" s="1"/>
      <c r="F190" s="1"/>
      <c r="G190" s="1"/>
      <c r="H190" s="1"/>
      <c r="I190" s="1"/>
      <c r="J190" s="1"/>
      <c r="K190" s="1"/>
      <c r="L190" s="1"/>
      <c r="M190" s="1"/>
      <c r="N190" s="1"/>
    </row>
    <row r="191" customFormat="false" ht="12.75" hidden="false" customHeight="false" outlineLevel="0" collapsed="false">
      <c r="A191" s="1"/>
      <c r="B191" s="1"/>
      <c r="C191" s="1"/>
      <c r="D191" s="1"/>
      <c r="E191" s="1"/>
      <c r="F191" s="1"/>
      <c r="G191" s="1"/>
      <c r="H191" s="1"/>
      <c r="I191" s="1"/>
      <c r="J191" s="1"/>
      <c r="K191" s="1"/>
      <c r="L191" s="1"/>
      <c r="M191" s="1"/>
      <c r="N191" s="1"/>
    </row>
    <row r="192" customFormat="false" ht="12.75" hidden="false" customHeight="false" outlineLevel="0" collapsed="false">
      <c r="A192" s="1"/>
      <c r="B192" s="1"/>
      <c r="C192" s="1"/>
      <c r="D192" s="1"/>
      <c r="E192" s="1"/>
      <c r="F192" s="1"/>
      <c r="G192" s="1"/>
      <c r="H192" s="1"/>
      <c r="I192" s="1"/>
      <c r="J192" s="1"/>
      <c r="K192" s="1"/>
      <c r="L192" s="1"/>
      <c r="M192" s="1"/>
      <c r="N192" s="1"/>
    </row>
    <row r="193" customFormat="false" ht="12.75" hidden="false" customHeight="false" outlineLevel="0" collapsed="false">
      <c r="A193" s="1"/>
      <c r="B193" s="1"/>
      <c r="C193" s="1"/>
      <c r="D193" s="1"/>
      <c r="E193" s="1"/>
      <c r="F193" s="1"/>
      <c r="G193" s="1"/>
      <c r="H193" s="1"/>
      <c r="I193" s="1"/>
      <c r="J193" s="1"/>
      <c r="K193" s="1"/>
      <c r="L193" s="1"/>
      <c r="M193" s="1"/>
      <c r="N193" s="1"/>
    </row>
    <row r="194" customFormat="false" ht="12.75" hidden="false" customHeight="false" outlineLevel="0" collapsed="false">
      <c r="A194" s="1"/>
      <c r="B194" s="1"/>
      <c r="C194" s="1"/>
      <c r="D194" s="1"/>
      <c r="E194" s="1"/>
      <c r="F194" s="1"/>
      <c r="G194" s="1"/>
      <c r="H194" s="1"/>
      <c r="I194" s="1"/>
      <c r="J194" s="1"/>
      <c r="K194" s="1"/>
      <c r="L194" s="1"/>
      <c r="M194" s="1"/>
      <c r="N194" s="1"/>
    </row>
    <row r="195" customFormat="false" ht="12.75" hidden="false" customHeight="false" outlineLevel="0" collapsed="false">
      <c r="A195" s="1"/>
      <c r="B195" s="1"/>
      <c r="C195" s="1"/>
      <c r="D195" s="1"/>
      <c r="E195" s="1"/>
      <c r="F195" s="1"/>
      <c r="G195" s="1"/>
      <c r="H195" s="1"/>
      <c r="I195" s="1"/>
      <c r="J195" s="1"/>
      <c r="K195" s="1"/>
      <c r="L195" s="1"/>
      <c r="M195" s="1"/>
      <c r="N195" s="1"/>
    </row>
    <row r="196" customFormat="false" ht="12.75" hidden="false" customHeight="false" outlineLevel="0" collapsed="false">
      <c r="A196" s="1"/>
      <c r="B196" s="1"/>
      <c r="C196" s="1"/>
      <c r="D196" s="1"/>
      <c r="E196" s="1"/>
      <c r="F196" s="1"/>
      <c r="G196" s="1"/>
      <c r="H196" s="1"/>
      <c r="I196" s="1"/>
      <c r="J196" s="1"/>
      <c r="K196" s="1"/>
      <c r="L196" s="1"/>
      <c r="M196" s="1"/>
      <c r="N196" s="1"/>
    </row>
    <row r="197" customFormat="false" ht="12.75" hidden="false" customHeight="false" outlineLevel="0" collapsed="false">
      <c r="A197" s="1"/>
      <c r="B197" s="1"/>
      <c r="C197" s="1"/>
      <c r="D197" s="1"/>
      <c r="E197" s="1"/>
      <c r="F197" s="1"/>
      <c r="G197" s="1"/>
      <c r="H197" s="1"/>
      <c r="I197" s="1"/>
      <c r="J197" s="1"/>
      <c r="K197" s="1"/>
      <c r="L197" s="1"/>
      <c r="M197" s="1"/>
      <c r="N197" s="1"/>
    </row>
    <row r="198" customFormat="false" ht="12.75" hidden="false" customHeight="false" outlineLevel="0" collapsed="false">
      <c r="A198" s="1"/>
      <c r="B198" s="1"/>
      <c r="C198" s="1"/>
      <c r="D198" s="1"/>
      <c r="E198" s="1"/>
      <c r="F198" s="1"/>
      <c r="G198" s="1"/>
      <c r="H198" s="1"/>
      <c r="I198" s="1"/>
      <c r="J198" s="1"/>
      <c r="K198" s="1"/>
      <c r="L198" s="1"/>
      <c r="M198" s="1"/>
      <c r="N198" s="1"/>
    </row>
    <row r="199" customFormat="false" ht="12.75" hidden="false" customHeight="false" outlineLevel="0" collapsed="false">
      <c r="A199" s="1"/>
      <c r="B199" s="1"/>
      <c r="C199" s="1"/>
      <c r="D199" s="1"/>
      <c r="E199" s="1"/>
      <c r="F199" s="1"/>
      <c r="G199" s="1"/>
      <c r="H199" s="1"/>
      <c r="I199" s="1"/>
      <c r="J199" s="1"/>
      <c r="K199" s="1"/>
      <c r="L199" s="1"/>
      <c r="M199" s="1"/>
      <c r="N199" s="1"/>
    </row>
    <row r="200" customFormat="false" ht="12.75" hidden="false" customHeight="false" outlineLevel="0" collapsed="false">
      <c r="A200" s="1"/>
      <c r="B200" s="1"/>
      <c r="C200" s="1"/>
      <c r="D200" s="1"/>
      <c r="E200" s="1"/>
      <c r="F200" s="1"/>
      <c r="G200" s="1"/>
      <c r="H200" s="1"/>
      <c r="I200" s="1"/>
      <c r="J200" s="1"/>
      <c r="K200" s="1"/>
      <c r="L200" s="1"/>
      <c r="M200" s="1"/>
      <c r="N200" s="1"/>
    </row>
    <row r="201" customFormat="false" ht="12.75" hidden="false" customHeight="false" outlineLevel="0" collapsed="false">
      <c r="A201" s="1"/>
      <c r="B201" s="1"/>
      <c r="C201" s="1"/>
      <c r="D201" s="1"/>
      <c r="E201" s="1"/>
      <c r="F201" s="1"/>
      <c r="G201" s="1"/>
      <c r="H201" s="1"/>
      <c r="I201" s="1"/>
      <c r="J201" s="1"/>
      <c r="K201" s="1"/>
      <c r="L201" s="1"/>
      <c r="M201" s="1"/>
      <c r="N201" s="1"/>
    </row>
    <row r="202" customFormat="false" ht="12.75" hidden="false" customHeight="false" outlineLevel="0" collapsed="false">
      <c r="A202" s="1"/>
      <c r="B202" s="1"/>
      <c r="C202" s="1"/>
      <c r="D202" s="1"/>
      <c r="E202" s="1"/>
      <c r="F202" s="1"/>
      <c r="G202" s="1"/>
      <c r="H202" s="1"/>
      <c r="I202" s="1"/>
      <c r="J202" s="1"/>
      <c r="K202" s="1"/>
      <c r="L202" s="1"/>
      <c r="M202" s="1"/>
      <c r="N202" s="1"/>
    </row>
    <row r="203" customFormat="false" ht="12.75" hidden="false" customHeight="false" outlineLevel="0" collapsed="false">
      <c r="A203" s="1"/>
      <c r="B203" s="1"/>
      <c r="C203" s="1"/>
      <c r="D203" s="1"/>
      <c r="E203" s="1"/>
      <c r="F203" s="1"/>
      <c r="G203" s="1"/>
      <c r="H203" s="1"/>
      <c r="I203" s="1"/>
      <c r="J203" s="1"/>
      <c r="K203" s="1"/>
      <c r="L203" s="1"/>
      <c r="M203" s="1"/>
      <c r="N203" s="1"/>
    </row>
    <row r="204" customFormat="false" ht="12.75" hidden="false" customHeight="false" outlineLevel="0" collapsed="false">
      <c r="A204" s="1"/>
      <c r="B204" s="1"/>
      <c r="C204" s="1"/>
      <c r="D204" s="1"/>
      <c r="E204" s="1"/>
      <c r="F204" s="1"/>
      <c r="G204" s="1"/>
      <c r="H204" s="1"/>
      <c r="I204" s="1"/>
      <c r="J204" s="1"/>
      <c r="K204" s="1"/>
      <c r="L204" s="1"/>
      <c r="M204" s="1"/>
      <c r="N204" s="1"/>
    </row>
    <row r="205" customFormat="false" ht="12.75" hidden="false" customHeight="false" outlineLevel="0" collapsed="false">
      <c r="A205" s="1"/>
      <c r="B205" s="1"/>
      <c r="C205" s="1"/>
      <c r="D205" s="1"/>
      <c r="E205" s="1"/>
      <c r="F205" s="1"/>
      <c r="G205" s="1"/>
      <c r="H205" s="1"/>
      <c r="I205" s="1"/>
      <c r="J205" s="1"/>
      <c r="K205" s="1"/>
      <c r="L205" s="1"/>
      <c r="M205" s="1"/>
      <c r="N205" s="1"/>
    </row>
    <row r="206" customFormat="false" ht="12.75" hidden="false" customHeight="false" outlineLevel="0" collapsed="false">
      <c r="A206" s="1"/>
      <c r="B206" s="1"/>
      <c r="C206" s="1"/>
      <c r="D206" s="1"/>
      <c r="E206" s="1"/>
      <c r="F206" s="1"/>
      <c r="G206" s="1"/>
      <c r="H206" s="1"/>
      <c r="I206" s="1"/>
      <c r="J206" s="1"/>
      <c r="K206" s="1"/>
      <c r="L206" s="1"/>
      <c r="M206" s="1"/>
      <c r="N206" s="1"/>
    </row>
    <row r="207" customFormat="false" ht="12.75" hidden="false" customHeight="false" outlineLevel="0" collapsed="false">
      <c r="A207" s="1"/>
      <c r="B207" s="1"/>
      <c r="C207" s="1"/>
      <c r="D207" s="1"/>
      <c r="E207" s="1"/>
      <c r="F207" s="1"/>
      <c r="G207" s="1"/>
      <c r="H207" s="1"/>
      <c r="I207" s="1"/>
      <c r="J207" s="1"/>
      <c r="K207" s="1"/>
      <c r="L207" s="1"/>
      <c r="M207" s="1"/>
      <c r="N207" s="1"/>
    </row>
    <row r="208" customFormat="false" ht="12.75" hidden="false" customHeight="false" outlineLevel="0" collapsed="false">
      <c r="A208" s="1"/>
      <c r="B208" s="1"/>
      <c r="C208" s="1"/>
      <c r="D208" s="1"/>
      <c r="E208" s="1"/>
      <c r="F208" s="1"/>
      <c r="G208" s="1"/>
      <c r="H208" s="1"/>
      <c r="I208" s="1"/>
      <c r="J208" s="1"/>
      <c r="K208" s="1"/>
      <c r="L208" s="1"/>
      <c r="M208" s="1"/>
      <c r="N208" s="1"/>
    </row>
    <row r="209" customFormat="false" ht="12.75" hidden="false" customHeight="false" outlineLevel="0" collapsed="false">
      <c r="A209" s="1"/>
      <c r="B209" s="1"/>
      <c r="C209" s="1"/>
      <c r="D209" s="1"/>
      <c r="E209" s="1"/>
      <c r="F209" s="1"/>
      <c r="G209" s="1"/>
      <c r="H209" s="1"/>
      <c r="I209" s="1"/>
      <c r="J209" s="1"/>
      <c r="K209" s="1"/>
      <c r="L209" s="1"/>
      <c r="M209" s="1"/>
      <c r="N209" s="1"/>
    </row>
    <row r="210" customFormat="false" ht="12.75" hidden="false" customHeight="false" outlineLevel="0" collapsed="false">
      <c r="A210" s="1"/>
      <c r="B210" s="1"/>
      <c r="C210" s="1"/>
      <c r="D210" s="1"/>
      <c r="E210" s="1"/>
      <c r="F210" s="1"/>
      <c r="G210" s="1"/>
      <c r="H210" s="1"/>
      <c r="I210" s="1"/>
      <c r="J210" s="1"/>
      <c r="K210" s="1"/>
      <c r="L210" s="1"/>
      <c r="M210" s="1"/>
      <c r="N210" s="1"/>
    </row>
    <row r="211" customFormat="false" ht="12.75" hidden="false" customHeight="false" outlineLevel="0" collapsed="false">
      <c r="A211" s="1"/>
      <c r="B211" s="1"/>
      <c r="C211" s="1"/>
      <c r="D211" s="1"/>
      <c r="E211" s="1"/>
      <c r="F211" s="1"/>
      <c r="G211" s="1"/>
      <c r="H211" s="1"/>
      <c r="I211" s="1"/>
      <c r="J211" s="1"/>
      <c r="K211" s="1"/>
      <c r="L211" s="1"/>
      <c r="M211" s="1"/>
      <c r="N211" s="1"/>
    </row>
    <row r="212" customFormat="false" ht="12.75" hidden="false" customHeight="false" outlineLevel="0" collapsed="false">
      <c r="A212" s="1"/>
      <c r="B212" s="1"/>
      <c r="C212" s="1"/>
      <c r="D212" s="1"/>
      <c r="E212" s="1"/>
      <c r="F212" s="1"/>
      <c r="G212" s="1"/>
      <c r="H212" s="1"/>
      <c r="I212" s="1"/>
      <c r="J212" s="1"/>
      <c r="K212" s="1"/>
      <c r="L212" s="1"/>
      <c r="M212" s="1"/>
      <c r="N212" s="1"/>
    </row>
    <row r="213" customFormat="false" ht="12.75" hidden="false" customHeight="false" outlineLevel="0" collapsed="false">
      <c r="A213" s="1"/>
      <c r="B213" s="1"/>
      <c r="C213" s="1"/>
      <c r="D213" s="1"/>
      <c r="E213" s="1"/>
      <c r="F213" s="1"/>
      <c r="G213" s="1"/>
      <c r="H213" s="1"/>
      <c r="I213" s="1"/>
      <c r="J213" s="1"/>
      <c r="K213" s="1"/>
      <c r="L213" s="1"/>
      <c r="M213" s="1"/>
      <c r="N213" s="1"/>
    </row>
    <row r="214" customFormat="false" ht="12.75" hidden="false" customHeight="false" outlineLevel="0" collapsed="false">
      <c r="A214" s="1"/>
      <c r="B214" s="1"/>
      <c r="C214" s="1"/>
      <c r="D214" s="1"/>
      <c r="E214" s="1"/>
      <c r="F214" s="1"/>
      <c r="G214" s="1"/>
      <c r="H214" s="1"/>
      <c r="I214" s="1"/>
      <c r="J214" s="1"/>
      <c r="K214" s="1"/>
      <c r="L214" s="1"/>
      <c r="M214" s="1"/>
      <c r="N214" s="1"/>
    </row>
    <row r="215" customFormat="false" ht="12.75" hidden="false" customHeight="false" outlineLevel="0" collapsed="false">
      <c r="A215" s="1"/>
      <c r="B215" s="1"/>
      <c r="C215" s="1"/>
      <c r="D215" s="1"/>
      <c r="E215" s="1"/>
      <c r="F215" s="1"/>
      <c r="G215" s="1"/>
      <c r="H215" s="1"/>
      <c r="I215" s="1"/>
      <c r="J215" s="1"/>
      <c r="K215" s="1"/>
      <c r="L215" s="1"/>
      <c r="M215" s="1"/>
      <c r="N215" s="1"/>
    </row>
    <row r="216" customFormat="false" ht="12.75" hidden="false" customHeight="false" outlineLevel="0" collapsed="false">
      <c r="A216" s="1"/>
      <c r="B216" s="1"/>
      <c r="C216" s="1"/>
      <c r="D216" s="1"/>
      <c r="E216" s="1"/>
      <c r="F216" s="1"/>
      <c r="G216" s="1"/>
      <c r="H216" s="1"/>
      <c r="I216" s="1"/>
      <c r="J216" s="1"/>
      <c r="K216" s="1"/>
      <c r="L216" s="1"/>
      <c r="M216" s="1"/>
      <c r="N216" s="1"/>
    </row>
    <row r="217" customFormat="false" ht="12.75" hidden="false" customHeight="false" outlineLevel="0" collapsed="false">
      <c r="A217" s="1"/>
      <c r="B217" s="1"/>
      <c r="C217" s="1"/>
      <c r="D217" s="1"/>
      <c r="E217" s="1"/>
      <c r="F217" s="1"/>
      <c r="G217" s="1"/>
      <c r="H217" s="1"/>
      <c r="I217" s="1"/>
      <c r="J217" s="1"/>
      <c r="K217" s="1"/>
      <c r="L217" s="1"/>
      <c r="M217" s="1"/>
      <c r="N217" s="1"/>
    </row>
    <row r="218" customFormat="false" ht="12.75" hidden="false" customHeight="false" outlineLevel="0" collapsed="false">
      <c r="A218" s="1"/>
      <c r="B218" s="1"/>
      <c r="C218" s="1"/>
      <c r="D218" s="1"/>
      <c r="E218" s="1"/>
      <c r="F218" s="1"/>
      <c r="G218" s="1"/>
      <c r="H218" s="1"/>
      <c r="I218" s="1"/>
      <c r="J218" s="1"/>
      <c r="K218" s="1"/>
      <c r="L218" s="1"/>
      <c r="M218" s="1"/>
      <c r="N218" s="1"/>
    </row>
    <row r="219" customFormat="false" ht="12.75" hidden="false" customHeight="false" outlineLevel="0" collapsed="false">
      <c r="A219" s="1"/>
      <c r="B219" s="1"/>
      <c r="C219" s="1"/>
      <c r="D219" s="1"/>
      <c r="E219" s="1"/>
      <c r="F219" s="1"/>
      <c r="G219" s="1"/>
      <c r="H219" s="1"/>
      <c r="I219" s="1"/>
      <c r="J219" s="1"/>
      <c r="K219" s="1"/>
      <c r="L219" s="1"/>
      <c r="M219" s="1"/>
      <c r="N219" s="1"/>
    </row>
    <row r="220" customFormat="false" ht="12.75" hidden="false" customHeight="false" outlineLevel="0" collapsed="false">
      <c r="A220" s="1"/>
      <c r="B220" s="1"/>
      <c r="C220" s="1"/>
      <c r="D220" s="1"/>
      <c r="E220" s="1"/>
      <c r="F220" s="1"/>
      <c r="G220" s="1"/>
      <c r="H220" s="1"/>
      <c r="I220" s="1"/>
      <c r="J220" s="1"/>
      <c r="K220" s="1"/>
      <c r="L220" s="1"/>
      <c r="M220" s="1"/>
      <c r="N220" s="1"/>
    </row>
    <row r="221" customFormat="false" ht="12.75" hidden="false" customHeight="false" outlineLevel="0" collapsed="false">
      <c r="A221" s="1"/>
      <c r="B221" s="1"/>
      <c r="C221" s="1"/>
      <c r="D221" s="1"/>
      <c r="E221" s="1"/>
      <c r="F221" s="1"/>
      <c r="G221" s="1"/>
      <c r="H221" s="1"/>
      <c r="I221" s="1"/>
      <c r="J221" s="1"/>
      <c r="K221" s="1"/>
      <c r="L221" s="1"/>
      <c r="M221" s="1"/>
      <c r="N221" s="1"/>
    </row>
    <row r="222" customFormat="false" ht="12.75" hidden="false" customHeight="false" outlineLevel="0" collapsed="false">
      <c r="A222" s="1"/>
      <c r="B222" s="1"/>
      <c r="C222" s="1"/>
      <c r="D222" s="1"/>
      <c r="E222" s="1"/>
      <c r="F222" s="1"/>
      <c r="G222" s="1"/>
      <c r="H222" s="1"/>
      <c r="I222" s="1"/>
      <c r="J222" s="1"/>
      <c r="K222" s="1"/>
      <c r="L222" s="1"/>
      <c r="M222" s="1"/>
      <c r="N222" s="1"/>
    </row>
    <row r="223" customFormat="false" ht="12.75" hidden="false" customHeight="false" outlineLevel="0" collapsed="false">
      <c r="A223" s="1"/>
      <c r="B223" s="1"/>
      <c r="C223" s="1"/>
      <c r="D223" s="1"/>
      <c r="E223" s="1"/>
      <c r="F223" s="1"/>
      <c r="G223" s="1"/>
      <c r="H223" s="1"/>
      <c r="I223" s="1"/>
      <c r="J223" s="1"/>
      <c r="K223" s="1"/>
      <c r="L223" s="1"/>
      <c r="M223" s="1"/>
      <c r="N223" s="1"/>
    </row>
    <row r="224" customFormat="false" ht="12.75" hidden="false" customHeight="false" outlineLevel="0" collapsed="false">
      <c r="A224" s="1"/>
      <c r="B224" s="1"/>
      <c r="C224" s="1"/>
      <c r="D224" s="1"/>
      <c r="E224" s="1"/>
      <c r="F224" s="1"/>
      <c r="G224" s="1"/>
      <c r="H224" s="1"/>
      <c r="I224" s="1"/>
      <c r="J224" s="1"/>
      <c r="K224" s="1"/>
      <c r="L224" s="1"/>
      <c r="M224" s="1"/>
      <c r="N224" s="1"/>
    </row>
    <row r="225" customFormat="false" ht="12.75" hidden="false" customHeight="false" outlineLevel="0" collapsed="false">
      <c r="A225" s="1"/>
      <c r="B225" s="1"/>
      <c r="C225" s="1"/>
      <c r="D225" s="1"/>
      <c r="E225" s="1"/>
      <c r="F225" s="1"/>
      <c r="G225" s="1"/>
      <c r="H225" s="1"/>
      <c r="I225" s="1"/>
      <c r="J225" s="1"/>
      <c r="K225" s="1"/>
      <c r="L225" s="1"/>
      <c r="M225" s="1"/>
      <c r="N225" s="1"/>
    </row>
    <row r="226" customFormat="false" ht="12.75" hidden="false" customHeight="false" outlineLevel="0" collapsed="false">
      <c r="A226" s="1"/>
      <c r="B226" s="1"/>
      <c r="C226" s="1"/>
      <c r="D226" s="1"/>
      <c r="E226" s="1"/>
      <c r="F226" s="1"/>
      <c r="G226" s="1"/>
      <c r="H226" s="1"/>
      <c r="I226" s="1"/>
      <c r="J226" s="1"/>
      <c r="K226" s="1"/>
      <c r="L226" s="1"/>
      <c r="M226" s="1"/>
      <c r="N226" s="1"/>
    </row>
    <row r="227" customFormat="false" ht="12.75" hidden="false" customHeight="false" outlineLevel="0" collapsed="false">
      <c r="A227" s="1"/>
      <c r="B227" s="1"/>
      <c r="C227" s="1"/>
      <c r="D227" s="1"/>
      <c r="E227" s="1"/>
      <c r="F227" s="1"/>
      <c r="G227" s="1"/>
      <c r="H227" s="1"/>
      <c r="I227" s="1"/>
      <c r="J227" s="1"/>
      <c r="K227" s="1"/>
      <c r="L227" s="1"/>
      <c r="M227" s="1"/>
      <c r="N227" s="1"/>
    </row>
    <row r="228" customFormat="false" ht="12.75" hidden="false" customHeight="false" outlineLevel="0" collapsed="false">
      <c r="A228" s="1"/>
      <c r="B228" s="1"/>
      <c r="C228" s="1"/>
      <c r="D228" s="1"/>
      <c r="E228" s="1"/>
      <c r="F228" s="1"/>
      <c r="G228" s="1"/>
      <c r="H228" s="1"/>
      <c r="I228" s="1"/>
      <c r="J228" s="1"/>
      <c r="K228" s="1"/>
      <c r="L228" s="1"/>
      <c r="M228" s="1"/>
      <c r="N228" s="1"/>
    </row>
    <row r="229" customFormat="false" ht="12.75" hidden="false" customHeight="false" outlineLevel="0" collapsed="false">
      <c r="A229" s="1"/>
      <c r="B229" s="1"/>
      <c r="C229" s="1"/>
      <c r="D229" s="1"/>
      <c r="E229" s="1"/>
      <c r="F229" s="1"/>
      <c r="G229" s="1"/>
      <c r="H229" s="1"/>
      <c r="I229" s="1"/>
      <c r="J229" s="1"/>
      <c r="K229" s="1"/>
      <c r="L229" s="1"/>
      <c r="M229" s="1"/>
      <c r="N229" s="1"/>
    </row>
    <row r="230" customFormat="false" ht="12.75" hidden="false" customHeight="false" outlineLevel="0" collapsed="false">
      <c r="A230" s="1"/>
      <c r="B230" s="1"/>
      <c r="C230" s="1"/>
      <c r="D230" s="1"/>
      <c r="E230" s="1"/>
      <c r="F230" s="1"/>
      <c r="G230" s="1"/>
      <c r="H230" s="1"/>
      <c r="I230" s="1"/>
      <c r="J230" s="1"/>
      <c r="K230" s="1"/>
      <c r="L230" s="1"/>
      <c r="M230" s="1"/>
      <c r="N230" s="1"/>
    </row>
    <row r="231" customFormat="false" ht="12.75" hidden="false" customHeight="false" outlineLevel="0" collapsed="false">
      <c r="A231" s="1"/>
      <c r="B231" s="1"/>
      <c r="C231" s="1"/>
      <c r="D231" s="1"/>
      <c r="E231" s="1"/>
      <c r="F231" s="1"/>
      <c r="G231" s="1"/>
      <c r="H231" s="1"/>
      <c r="I231" s="1"/>
      <c r="J231" s="1"/>
      <c r="K231" s="1"/>
      <c r="L231" s="1"/>
      <c r="M231" s="1"/>
      <c r="N231" s="1"/>
    </row>
    <row r="232" customFormat="false" ht="12.75" hidden="false" customHeight="false" outlineLevel="0" collapsed="false">
      <c r="A232" s="1"/>
      <c r="B232" s="1"/>
      <c r="C232" s="1"/>
      <c r="D232" s="1"/>
      <c r="E232" s="1"/>
      <c r="F232" s="1"/>
      <c r="G232" s="1"/>
      <c r="H232" s="1"/>
      <c r="I232" s="1"/>
      <c r="J232" s="1"/>
      <c r="K232" s="1"/>
      <c r="L232" s="1"/>
      <c r="M232" s="1"/>
      <c r="N232" s="1"/>
    </row>
    <row r="233" customFormat="false" ht="12.75" hidden="false" customHeight="false" outlineLevel="0" collapsed="false">
      <c r="A233" s="1"/>
      <c r="B233" s="1"/>
      <c r="C233" s="1"/>
      <c r="D233" s="1"/>
      <c r="E233" s="1"/>
      <c r="F233" s="1"/>
      <c r="G233" s="1"/>
      <c r="H233" s="1"/>
      <c r="I233" s="1"/>
      <c r="J233" s="1"/>
      <c r="K233" s="1"/>
      <c r="L233" s="1"/>
      <c r="M233" s="1"/>
      <c r="N233" s="1"/>
    </row>
    <row r="234" customFormat="false" ht="12.75" hidden="false" customHeight="false" outlineLevel="0" collapsed="false">
      <c r="A234" s="1"/>
      <c r="B234" s="1"/>
      <c r="C234" s="1"/>
      <c r="D234" s="1"/>
      <c r="E234" s="1"/>
      <c r="F234" s="1"/>
      <c r="G234" s="1"/>
      <c r="H234" s="1"/>
      <c r="I234" s="1"/>
      <c r="J234" s="1"/>
      <c r="K234" s="1"/>
      <c r="L234" s="1"/>
      <c r="M234" s="1"/>
      <c r="N234" s="1"/>
    </row>
    <row r="235" customFormat="false" ht="12.75" hidden="false" customHeight="false" outlineLevel="0" collapsed="false">
      <c r="A235" s="1"/>
      <c r="B235" s="1"/>
      <c r="C235" s="1"/>
      <c r="D235" s="1"/>
      <c r="E235" s="1"/>
      <c r="F235" s="1"/>
      <c r="G235" s="1"/>
      <c r="H235" s="1"/>
      <c r="I235" s="1"/>
      <c r="J235" s="1"/>
      <c r="K235" s="1"/>
      <c r="L235" s="1"/>
      <c r="M235" s="1"/>
      <c r="N235" s="1"/>
    </row>
    <row r="236" customFormat="false" ht="12.75" hidden="false" customHeight="false" outlineLevel="0" collapsed="false">
      <c r="A236" s="1"/>
      <c r="B236" s="1"/>
      <c r="C236" s="1"/>
      <c r="D236" s="1"/>
      <c r="E236" s="1"/>
      <c r="F236" s="1"/>
      <c r="G236" s="1"/>
      <c r="H236" s="1"/>
      <c r="I236" s="1"/>
      <c r="J236" s="1"/>
      <c r="K236" s="1"/>
      <c r="L236" s="1"/>
      <c r="M236" s="1"/>
      <c r="N236" s="1"/>
    </row>
    <row r="237" customFormat="false" ht="12.75" hidden="false" customHeight="false" outlineLevel="0" collapsed="false">
      <c r="A237" s="1"/>
      <c r="B237" s="1"/>
      <c r="C237" s="1"/>
      <c r="D237" s="1"/>
      <c r="E237" s="1"/>
      <c r="F237" s="1"/>
      <c r="G237" s="1"/>
      <c r="H237" s="1"/>
      <c r="I237" s="1"/>
      <c r="J237" s="1"/>
      <c r="K237" s="1"/>
      <c r="L237" s="1"/>
      <c r="M237" s="1"/>
      <c r="N237" s="1"/>
    </row>
    <row r="238" customFormat="false" ht="12.75" hidden="false" customHeight="false" outlineLevel="0" collapsed="false">
      <c r="A238" s="1"/>
      <c r="B238" s="1"/>
      <c r="C238" s="1"/>
      <c r="D238" s="1"/>
      <c r="E238" s="1"/>
      <c r="F238" s="1"/>
      <c r="G238" s="1"/>
      <c r="H238" s="1"/>
      <c r="I238" s="1"/>
      <c r="J238" s="1"/>
      <c r="K238" s="1"/>
      <c r="L238" s="1"/>
      <c r="M238" s="1"/>
      <c r="N238" s="1"/>
    </row>
    <row r="239" customFormat="false" ht="12.75" hidden="false" customHeight="false" outlineLevel="0" collapsed="false">
      <c r="A239" s="1"/>
      <c r="B239" s="1"/>
      <c r="C239" s="1"/>
      <c r="D239" s="1"/>
      <c r="E239" s="1"/>
      <c r="F239" s="1"/>
      <c r="G239" s="1"/>
      <c r="H239" s="1"/>
      <c r="I239" s="1"/>
      <c r="J239" s="1"/>
      <c r="K239" s="1"/>
      <c r="L239" s="1"/>
      <c r="M239" s="1"/>
      <c r="N239" s="1"/>
    </row>
    <row r="240" customFormat="false" ht="12.75" hidden="false" customHeight="false" outlineLevel="0" collapsed="false">
      <c r="A240" s="1"/>
      <c r="B240" s="1"/>
      <c r="C240" s="1"/>
      <c r="D240" s="1"/>
      <c r="E240" s="1"/>
      <c r="F240" s="1"/>
      <c r="G240" s="1"/>
      <c r="H240" s="1"/>
      <c r="I240" s="1"/>
      <c r="J240" s="1"/>
      <c r="K240" s="1"/>
      <c r="L240" s="1"/>
      <c r="M240" s="1"/>
      <c r="N240" s="1"/>
    </row>
    <row r="241" customFormat="false" ht="12.75" hidden="false" customHeight="false" outlineLevel="0" collapsed="false">
      <c r="A241" s="1"/>
      <c r="B241" s="1"/>
      <c r="C241" s="1"/>
      <c r="D241" s="1"/>
      <c r="E241" s="1"/>
      <c r="F241" s="1"/>
      <c r="G241" s="1"/>
      <c r="H241" s="1"/>
      <c r="I241" s="1"/>
      <c r="J241" s="1"/>
      <c r="K241" s="1"/>
      <c r="L241" s="1"/>
      <c r="M241" s="1"/>
      <c r="N241" s="1"/>
    </row>
    <row r="242" customFormat="false" ht="12.75" hidden="false" customHeight="false" outlineLevel="0" collapsed="false">
      <c r="A242" s="1"/>
      <c r="B242" s="1"/>
      <c r="C242" s="1"/>
      <c r="D242" s="1"/>
      <c r="E242" s="1"/>
      <c r="F242" s="1"/>
      <c r="G242" s="1"/>
      <c r="H242" s="1"/>
      <c r="I242" s="1"/>
      <c r="J242" s="1"/>
      <c r="K242" s="1"/>
      <c r="L242" s="1"/>
      <c r="M242" s="1"/>
      <c r="N242" s="1"/>
    </row>
    <row r="243" customFormat="false" ht="12.75" hidden="false" customHeight="false" outlineLevel="0" collapsed="false">
      <c r="A243" s="1"/>
      <c r="B243" s="1"/>
      <c r="C243" s="1"/>
      <c r="D243" s="1"/>
      <c r="E243" s="1"/>
      <c r="F243" s="1"/>
      <c r="G243" s="1"/>
      <c r="H243" s="1"/>
      <c r="I243" s="1"/>
      <c r="J243" s="1"/>
      <c r="K243" s="1"/>
      <c r="L243" s="1"/>
      <c r="M243" s="1"/>
      <c r="N243" s="1"/>
    </row>
    <row r="244" customFormat="false" ht="12.75" hidden="false" customHeight="false" outlineLevel="0" collapsed="false">
      <c r="A244" s="1"/>
      <c r="B244" s="1"/>
      <c r="C244" s="1"/>
      <c r="D244" s="1"/>
      <c r="E244" s="1"/>
      <c r="F244" s="1"/>
      <c r="G244" s="1"/>
      <c r="H244" s="1"/>
      <c r="I244" s="1"/>
      <c r="J244" s="1"/>
      <c r="K244" s="1"/>
      <c r="L244" s="1"/>
      <c r="M244" s="1"/>
      <c r="N244" s="1"/>
    </row>
    <row r="245" customFormat="false" ht="12.75" hidden="false" customHeight="false" outlineLevel="0" collapsed="false">
      <c r="A245" s="1"/>
      <c r="B245" s="1"/>
      <c r="C245" s="1"/>
      <c r="D245" s="1"/>
      <c r="E245" s="1"/>
      <c r="F245" s="1"/>
      <c r="G245" s="1"/>
      <c r="H245" s="1"/>
      <c r="I245" s="1"/>
      <c r="J245" s="1"/>
      <c r="K245" s="1"/>
      <c r="L245" s="1"/>
      <c r="M245" s="1"/>
      <c r="N245" s="1"/>
    </row>
    <row r="246" customFormat="false" ht="12.75" hidden="false" customHeight="false" outlineLevel="0" collapsed="false">
      <c r="A246" s="1"/>
      <c r="B246" s="1"/>
      <c r="C246" s="1"/>
      <c r="D246" s="1"/>
      <c r="E246" s="1"/>
      <c r="F246" s="1"/>
      <c r="G246" s="1"/>
      <c r="H246" s="1"/>
      <c r="I246" s="1"/>
      <c r="J246" s="1"/>
      <c r="K246" s="1"/>
      <c r="L246" s="1"/>
      <c r="M246" s="1"/>
      <c r="N246" s="1"/>
    </row>
    <row r="247" customFormat="false" ht="12.75" hidden="false" customHeight="false" outlineLevel="0" collapsed="false">
      <c r="A247" s="1"/>
      <c r="B247" s="1"/>
      <c r="C247" s="1"/>
      <c r="D247" s="1"/>
      <c r="E247" s="1"/>
      <c r="F247" s="1"/>
      <c r="G247" s="1"/>
      <c r="H247" s="1"/>
      <c r="I247" s="1"/>
      <c r="J247" s="1"/>
      <c r="K247" s="1"/>
      <c r="L247" s="1"/>
      <c r="M247" s="1"/>
      <c r="N247" s="1"/>
    </row>
    <row r="248" customFormat="false" ht="12.75" hidden="false" customHeight="false" outlineLevel="0" collapsed="false">
      <c r="A248" s="1"/>
      <c r="B248" s="1"/>
      <c r="C248" s="1"/>
      <c r="D248" s="1"/>
      <c r="E248" s="1"/>
      <c r="F248" s="1"/>
      <c r="G248" s="1"/>
      <c r="H248" s="1"/>
      <c r="I248" s="1"/>
      <c r="J248" s="1"/>
      <c r="K248" s="1"/>
      <c r="L248" s="1"/>
      <c r="M248" s="1"/>
      <c r="N248" s="1"/>
    </row>
    <row r="249" customFormat="false" ht="12.75" hidden="false" customHeight="false" outlineLevel="0" collapsed="false">
      <c r="A249" s="1"/>
      <c r="B249" s="1"/>
      <c r="C249" s="1"/>
      <c r="D249" s="1"/>
      <c r="E249" s="1"/>
      <c r="F249" s="1"/>
      <c r="G249" s="1"/>
      <c r="H249" s="1"/>
      <c r="I249" s="1"/>
      <c r="J249" s="1"/>
      <c r="K249" s="1"/>
      <c r="L249" s="1"/>
      <c r="M249" s="1"/>
      <c r="N249" s="1"/>
    </row>
    <row r="250" customFormat="false" ht="12.75" hidden="false" customHeight="false" outlineLevel="0" collapsed="false">
      <c r="A250" s="1"/>
      <c r="B250" s="1"/>
      <c r="C250" s="1"/>
      <c r="D250" s="1"/>
      <c r="E250" s="1"/>
      <c r="F250" s="1"/>
      <c r="G250" s="1"/>
      <c r="H250" s="1"/>
      <c r="I250" s="1"/>
      <c r="J250" s="1"/>
      <c r="K250" s="1"/>
      <c r="L250" s="1"/>
      <c r="M250" s="1"/>
      <c r="N250" s="1"/>
    </row>
    <row r="251" customFormat="false" ht="12.75" hidden="false" customHeight="false" outlineLevel="0" collapsed="false">
      <c r="A251" s="1"/>
      <c r="B251" s="1"/>
      <c r="C251" s="1"/>
      <c r="D251" s="1"/>
      <c r="E251" s="1"/>
      <c r="F251" s="1"/>
      <c r="G251" s="1"/>
      <c r="H251" s="1"/>
      <c r="I251" s="1"/>
      <c r="J251" s="1"/>
      <c r="K251" s="1"/>
      <c r="L251" s="1"/>
      <c r="M251" s="1"/>
      <c r="N251" s="1"/>
    </row>
    <row r="252" customFormat="false" ht="12.75" hidden="false" customHeight="false" outlineLevel="0" collapsed="false">
      <c r="A252" s="1"/>
      <c r="B252" s="1"/>
      <c r="C252" s="1"/>
      <c r="D252" s="1"/>
      <c r="E252" s="1"/>
      <c r="F252" s="1"/>
      <c r="G252" s="1"/>
      <c r="H252" s="1"/>
      <c r="I252" s="1"/>
      <c r="J252" s="1"/>
      <c r="K252" s="1"/>
      <c r="L252" s="1"/>
      <c r="M252" s="1"/>
      <c r="N252" s="1"/>
    </row>
    <row r="253" customFormat="false" ht="12.75" hidden="false" customHeight="false" outlineLevel="0" collapsed="false">
      <c r="A253" s="1"/>
      <c r="B253" s="1"/>
      <c r="C253" s="1"/>
      <c r="D253" s="1"/>
      <c r="E253" s="1"/>
      <c r="F253" s="1"/>
      <c r="G253" s="1"/>
      <c r="H253" s="1"/>
      <c r="I253" s="1"/>
      <c r="J253" s="1"/>
      <c r="K253" s="1"/>
      <c r="L253" s="1"/>
      <c r="M253" s="1"/>
      <c r="N253" s="1"/>
    </row>
    <row r="254" customFormat="false" ht="12.75" hidden="false" customHeight="false" outlineLevel="0" collapsed="false">
      <c r="A254" s="1"/>
      <c r="B254" s="1"/>
      <c r="C254" s="1"/>
      <c r="D254" s="1"/>
      <c r="E254" s="1"/>
      <c r="F254" s="1"/>
      <c r="G254" s="1"/>
      <c r="H254" s="1"/>
      <c r="I254" s="1"/>
      <c r="J254" s="1"/>
      <c r="K254" s="1"/>
      <c r="L254" s="1"/>
      <c r="M254" s="1"/>
      <c r="N254" s="1"/>
    </row>
    <row r="255" customFormat="false" ht="12.75" hidden="false" customHeight="false" outlineLevel="0" collapsed="false">
      <c r="A255" s="1"/>
      <c r="B255" s="1"/>
      <c r="C255" s="1"/>
      <c r="D255" s="1"/>
      <c r="E255" s="1"/>
      <c r="F255" s="1"/>
      <c r="G255" s="1"/>
      <c r="H255" s="1"/>
      <c r="I255" s="1"/>
      <c r="J255" s="1"/>
      <c r="K255" s="1"/>
      <c r="L255" s="1"/>
      <c r="M255" s="1"/>
      <c r="N255" s="1"/>
    </row>
    <row r="256" customFormat="false" ht="12.75" hidden="false" customHeight="false" outlineLevel="0" collapsed="false">
      <c r="A256" s="1"/>
      <c r="B256" s="1"/>
      <c r="C256" s="1"/>
      <c r="D256" s="1"/>
      <c r="E256" s="1"/>
      <c r="F256" s="1"/>
      <c r="G256" s="1"/>
      <c r="H256" s="1"/>
      <c r="I256" s="1"/>
      <c r="J256" s="1"/>
      <c r="K256" s="1"/>
      <c r="L256" s="1"/>
      <c r="M256" s="1"/>
      <c r="N256" s="1"/>
    </row>
    <row r="257" customFormat="false" ht="12.75" hidden="false" customHeight="false" outlineLevel="0" collapsed="false">
      <c r="A257" s="1"/>
      <c r="B257" s="1"/>
      <c r="C257" s="1"/>
      <c r="D257" s="1"/>
      <c r="E257" s="1"/>
      <c r="F257" s="1"/>
      <c r="G257" s="1"/>
      <c r="H257" s="1"/>
      <c r="I257" s="1"/>
      <c r="J257" s="1"/>
      <c r="K257" s="1"/>
      <c r="L257" s="1"/>
      <c r="M257" s="1"/>
      <c r="N257" s="1"/>
    </row>
    <row r="258" customFormat="false" ht="12.75" hidden="false" customHeight="false" outlineLevel="0" collapsed="false">
      <c r="A258" s="1"/>
      <c r="B258" s="1"/>
      <c r="C258" s="1"/>
      <c r="D258" s="1"/>
      <c r="E258" s="1"/>
      <c r="F258" s="1"/>
      <c r="G258" s="1"/>
      <c r="H258" s="1"/>
      <c r="I258" s="1"/>
      <c r="J258" s="1"/>
      <c r="K258" s="1"/>
      <c r="L258" s="1"/>
      <c r="M258" s="1"/>
      <c r="N258" s="1"/>
    </row>
    <row r="259" customFormat="false" ht="12.75" hidden="false" customHeight="false" outlineLevel="0" collapsed="false">
      <c r="A259" s="1"/>
      <c r="B259" s="1"/>
      <c r="C259" s="1"/>
      <c r="D259" s="1"/>
      <c r="E259" s="1"/>
      <c r="F259" s="1"/>
      <c r="G259" s="1"/>
      <c r="H259" s="1"/>
      <c r="I259" s="1"/>
      <c r="J259" s="1"/>
      <c r="K259" s="1"/>
      <c r="L259" s="1"/>
      <c r="M259" s="1"/>
      <c r="N259" s="1"/>
    </row>
    <row r="260" customFormat="false" ht="12.75" hidden="false" customHeight="false" outlineLevel="0" collapsed="false">
      <c r="A260" s="1"/>
      <c r="B260" s="1"/>
      <c r="C260" s="1"/>
      <c r="D260" s="1"/>
      <c r="E260" s="1"/>
      <c r="F260" s="1"/>
      <c r="G260" s="1"/>
      <c r="H260" s="1"/>
      <c r="I260" s="1"/>
      <c r="J260" s="1"/>
      <c r="K260" s="1"/>
      <c r="L260" s="1"/>
      <c r="M260" s="1"/>
      <c r="N260" s="1"/>
    </row>
    <row r="261" customFormat="false" ht="12.75" hidden="false" customHeight="false" outlineLevel="0" collapsed="false">
      <c r="A261" s="1"/>
      <c r="B261" s="1"/>
      <c r="C261" s="1"/>
      <c r="D261" s="1"/>
      <c r="E261" s="1"/>
      <c r="F261" s="1"/>
      <c r="G261" s="1"/>
      <c r="H261" s="1"/>
      <c r="I261" s="1"/>
      <c r="J261" s="1"/>
      <c r="K261" s="1"/>
      <c r="L261" s="1"/>
      <c r="M261" s="1"/>
      <c r="N261" s="1"/>
    </row>
    <row r="262" customFormat="false" ht="12.75" hidden="false" customHeight="false" outlineLevel="0" collapsed="false">
      <c r="A262" s="1"/>
      <c r="B262" s="1"/>
      <c r="C262" s="1"/>
      <c r="D262" s="1"/>
      <c r="E262" s="1"/>
      <c r="F262" s="1"/>
      <c r="G262" s="1"/>
      <c r="H262" s="1"/>
      <c r="I262" s="1"/>
      <c r="J262" s="1"/>
      <c r="K262" s="1"/>
      <c r="L262" s="1"/>
      <c r="M262" s="1"/>
      <c r="N262" s="1"/>
    </row>
    <row r="263" customFormat="false" ht="12.75" hidden="false" customHeight="false" outlineLevel="0" collapsed="false">
      <c r="A263" s="1"/>
      <c r="B263" s="1"/>
      <c r="C263" s="1"/>
      <c r="D263" s="1"/>
      <c r="E263" s="1"/>
      <c r="F263" s="1"/>
      <c r="G263" s="1"/>
      <c r="H263" s="1"/>
      <c r="I263" s="1"/>
      <c r="J263" s="1"/>
      <c r="K263" s="1"/>
      <c r="L263" s="1"/>
      <c r="M263" s="1"/>
      <c r="N263" s="1"/>
    </row>
    <row r="264" customFormat="false" ht="12.75" hidden="false" customHeight="false" outlineLevel="0" collapsed="false">
      <c r="A264" s="1"/>
      <c r="B264" s="1"/>
      <c r="C264" s="1"/>
      <c r="D264" s="1"/>
      <c r="E264" s="1"/>
      <c r="F264" s="1"/>
      <c r="G264" s="1"/>
      <c r="H264" s="1"/>
      <c r="I264" s="1"/>
      <c r="J264" s="1"/>
      <c r="K264" s="1"/>
      <c r="L264" s="1"/>
      <c r="M264" s="1"/>
      <c r="N264" s="1"/>
    </row>
    <row r="265" customFormat="false" ht="12.75" hidden="false" customHeight="false" outlineLevel="0" collapsed="false">
      <c r="A265" s="1"/>
      <c r="B265" s="1"/>
      <c r="C265" s="1"/>
      <c r="D265" s="1"/>
      <c r="E265" s="1"/>
      <c r="F265" s="1"/>
      <c r="G265" s="1"/>
      <c r="H265" s="1"/>
      <c r="I265" s="1"/>
      <c r="J265" s="1"/>
      <c r="K265" s="1"/>
      <c r="L265" s="1"/>
      <c r="M265" s="1"/>
      <c r="N265" s="1"/>
    </row>
    <row r="266" customFormat="false" ht="12.75" hidden="false" customHeight="false" outlineLevel="0" collapsed="false">
      <c r="A266" s="1"/>
      <c r="B266" s="1"/>
      <c r="C266" s="1"/>
      <c r="D266" s="1"/>
      <c r="E266" s="1"/>
      <c r="F266" s="1"/>
      <c r="G266" s="1"/>
      <c r="H266" s="1"/>
      <c r="I266" s="1"/>
      <c r="J266" s="1"/>
      <c r="K266" s="1"/>
      <c r="L266" s="1"/>
      <c r="M266" s="1"/>
      <c r="N266" s="1"/>
    </row>
    <row r="267" customFormat="false" ht="12.75" hidden="false" customHeight="false" outlineLevel="0" collapsed="false">
      <c r="A267" s="1"/>
      <c r="B267" s="1"/>
      <c r="C267" s="1"/>
      <c r="D267" s="1"/>
      <c r="E267" s="1"/>
      <c r="F267" s="1"/>
      <c r="G267" s="1"/>
      <c r="H267" s="1"/>
      <c r="I267" s="1"/>
      <c r="J267" s="1"/>
      <c r="K267" s="1"/>
      <c r="L267" s="1"/>
      <c r="M267" s="1"/>
      <c r="N267" s="1"/>
    </row>
    <row r="268" customFormat="false" ht="12.75" hidden="false" customHeight="false" outlineLevel="0" collapsed="false">
      <c r="A268" s="1"/>
      <c r="B268" s="1"/>
      <c r="C268" s="1"/>
      <c r="D268" s="1"/>
      <c r="E268" s="1"/>
      <c r="F268" s="1"/>
      <c r="G268" s="1"/>
      <c r="H268" s="1"/>
      <c r="I268" s="1"/>
      <c r="J268" s="1"/>
      <c r="K268" s="1"/>
      <c r="L268" s="1"/>
      <c r="M268" s="1"/>
      <c r="N268" s="1"/>
    </row>
    <row r="269" customFormat="false" ht="12.75" hidden="false" customHeight="false" outlineLevel="0" collapsed="false">
      <c r="A269" s="1"/>
      <c r="B269" s="1"/>
      <c r="C269" s="1"/>
      <c r="D269" s="1"/>
      <c r="E269" s="1"/>
      <c r="F269" s="1"/>
      <c r="G269" s="1"/>
      <c r="H269" s="1"/>
      <c r="I269" s="1"/>
      <c r="J269" s="1"/>
      <c r="K269" s="1"/>
      <c r="L269" s="1"/>
      <c r="M269" s="1"/>
      <c r="N269" s="1"/>
    </row>
    <row r="270" customFormat="false" ht="12.75" hidden="false" customHeight="false" outlineLevel="0" collapsed="false">
      <c r="A270" s="1"/>
      <c r="B270" s="1"/>
      <c r="C270" s="1"/>
      <c r="D270" s="1"/>
      <c r="E270" s="1"/>
      <c r="F270" s="1"/>
      <c r="G270" s="1"/>
      <c r="H270" s="1"/>
      <c r="I270" s="1"/>
      <c r="J270" s="1"/>
      <c r="K270" s="1"/>
      <c r="L270" s="1"/>
      <c r="M270" s="1"/>
      <c r="N270" s="1"/>
    </row>
    <row r="271" customFormat="false" ht="12.75" hidden="false" customHeight="false" outlineLevel="0" collapsed="false">
      <c r="A271" s="1"/>
      <c r="B271" s="1"/>
      <c r="C271" s="1"/>
      <c r="D271" s="1"/>
      <c r="E271" s="1"/>
      <c r="F271" s="1"/>
      <c r="G271" s="1"/>
      <c r="H271" s="1"/>
      <c r="I271" s="1"/>
      <c r="J271" s="1"/>
      <c r="K271" s="1"/>
      <c r="L271" s="1"/>
      <c r="M271" s="1"/>
      <c r="N271" s="1"/>
    </row>
    <row r="272" customFormat="false" ht="12.75" hidden="false" customHeight="false" outlineLevel="0" collapsed="false">
      <c r="A272" s="1"/>
      <c r="B272" s="1"/>
      <c r="C272" s="1"/>
      <c r="D272" s="1"/>
      <c r="E272" s="1"/>
      <c r="F272" s="1"/>
      <c r="G272" s="1"/>
      <c r="H272" s="1"/>
      <c r="I272" s="1"/>
      <c r="J272" s="1"/>
      <c r="K272" s="1"/>
      <c r="L272" s="1"/>
      <c r="M272" s="1"/>
      <c r="N272" s="1"/>
    </row>
    <row r="273" customFormat="false" ht="12.75" hidden="false" customHeight="false" outlineLevel="0" collapsed="false">
      <c r="A273" s="1"/>
      <c r="B273" s="1"/>
      <c r="C273" s="1"/>
      <c r="D273" s="1"/>
      <c r="E273" s="1"/>
      <c r="F273" s="1"/>
      <c r="G273" s="1"/>
      <c r="H273" s="1"/>
      <c r="I273" s="1"/>
      <c r="J273" s="1"/>
      <c r="K273" s="1"/>
      <c r="L273" s="1"/>
      <c r="M273" s="1"/>
      <c r="N273" s="1"/>
    </row>
    <row r="274" customFormat="false" ht="12.75" hidden="false" customHeight="false" outlineLevel="0" collapsed="false">
      <c r="A274" s="1"/>
      <c r="B274" s="1"/>
      <c r="C274" s="1"/>
      <c r="D274" s="1"/>
      <c r="E274" s="1"/>
      <c r="F274" s="1"/>
      <c r="G274" s="1"/>
      <c r="H274" s="1"/>
      <c r="I274" s="1"/>
      <c r="J274" s="1"/>
      <c r="K274" s="1"/>
      <c r="L274" s="1"/>
      <c r="M274" s="1"/>
      <c r="N274" s="1"/>
    </row>
    <row r="275" customFormat="false" ht="12.75" hidden="false" customHeight="false" outlineLevel="0" collapsed="false">
      <c r="A275" s="1"/>
      <c r="B275" s="1"/>
      <c r="C275" s="1"/>
      <c r="D275" s="1"/>
      <c r="E275" s="1"/>
      <c r="F275" s="1"/>
      <c r="G275" s="1"/>
      <c r="H275" s="1"/>
      <c r="I275" s="1"/>
      <c r="J275" s="1"/>
      <c r="K275" s="1"/>
      <c r="L275" s="1"/>
      <c r="M275" s="1"/>
      <c r="N275" s="1"/>
    </row>
    <row r="276" customFormat="false" ht="12.75" hidden="false" customHeight="false" outlineLevel="0" collapsed="false">
      <c r="A276" s="1"/>
      <c r="B276" s="1"/>
      <c r="C276" s="1"/>
      <c r="D276" s="1"/>
      <c r="E276" s="1"/>
      <c r="F276" s="1"/>
      <c r="G276" s="1"/>
      <c r="H276" s="1"/>
      <c r="I276" s="1"/>
      <c r="J276" s="1"/>
      <c r="K276" s="1"/>
      <c r="L276" s="1"/>
      <c r="M276" s="1"/>
      <c r="N276" s="1"/>
    </row>
    <row r="277" customFormat="false" ht="12.75" hidden="false" customHeight="false" outlineLevel="0" collapsed="false">
      <c r="A277" s="1"/>
      <c r="B277" s="1"/>
      <c r="C277" s="1"/>
      <c r="D277" s="1"/>
      <c r="E277" s="1"/>
      <c r="F277" s="1"/>
      <c r="G277" s="1"/>
      <c r="H277" s="1"/>
      <c r="I277" s="1"/>
      <c r="J277" s="1"/>
      <c r="K277" s="1"/>
      <c r="L277" s="1"/>
      <c r="M277" s="1"/>
      <c r="N277" s="1"/>
    </row>
    <row r="278" customFormat="false" ht="12.75" hidden="false" customHeight="false" outlineLevel="0" collapsed="false">
      <c r="A278" s="1"/>
      <c r="B278" s="1"/>
      <c r="C278" s="1"/>
      <c r="D278" s="1"/>
      <c r="E278" s="1"/>
      <c r="F278" s="1"/>
      <c r="G278" s="1"/>
      <c r="H278" s="1"/>
      <c r="I278" s="1"/>
      <c r="J278" s="1"/>
      <c r="K278" s="1"/>
      <c r="L278" s="1"/>
      <c r="M278" s="1"/>
      <c r="N278" s="1"/>
    </row>
    <row r="279" customFormat="false" ht="12.75" hidden="false" customHeight="false" outlineLevel="0" collapsed="false">
      <c r="A279" s="1"/>
      <c r="B279" s="1"/>
      <c r="C279" s="1"/>
      <c r="D279" s="1"/>
      <c r="E279" s="1"/>
      <c r="F279" s="1"/>
      <c r="G279" s="1"/>
      <c r="H279" s="1"/>
      <c r="I279" s="1"/>
      <c r="J279" s="1"/>
      <c r="K279" s="1"/>
      <c r="L279" s="1"/>
      <c r="M279" s="1"/>
      <c r="N279" s="1"/>
    </row>
    <row r="280" customFormat="false" ht="12.75" hidden="false" customHeight="false" outlineLevel="0" collapsed="false">
      <c r="A280" s="1"/>
      <c r="B280" s="1"/>
      <c r="C280" s="1"/>
      <c r="D280" s="1"/>
      <c r="E280" s="1"/>
      <c r="F280" s="1"/>
      <c r="G280" s="1"/>
      <c r="H280" s="1"/>
      <c r="I280" s="1"/>
      <c r="J280" s="1"/>
      <c r="K280" s="1"/>
      <c r="L280" s="1"/>
      <c r="M280" s="1"/>
      <c r="N280" s="1"/>
    </row>
    <row r="281" customFormat="false" ht="12.75" hidden="false" customHeight="false" outlineLevel="0" collapsed="false">
      <c r="A281" s="1"/>
      <c r="B281" s="1"/>
      <c r="C281" s="1"/>
      <c r="D281" s="1"/>
      <c r="E281" s="1"/>
      <c r="F281" s="1"/>
      <c r="G281" s="1"/>
      <c r="H281" s="1"/>
      <c r="I281" s="1"/>
      <c r="J281" s="1"/>
      <c r="K281" s="1"/>
      <c r="L281" s="1"/>
      <c r="M281" s="1"/>
      <c r="N281" s="1"/>
    </row>
    <row r="282" customFormat="false" ht="12.75" hidden="false" customHeight="false" outlineLevel="0" collapsed="false">
      <c r="A282" s="1"/>
      <c r="B282" s="1"/>
      <c r="C282" s="1"/>
      <c r="D282" s="1"/>
      <c r="E282" s="1"/>
      <c r="F282" s="1"/>
      <c r="G282" s="1"/>
      <c r="H282" s="1"/>
      <c r="I282" s="1"/>
      <c r="J282" s="1"/>
      <c r="K282" s="1"/>
      <c r="L282" s="1"/>
      <c r="M282" s="1"/>
      <c r="N282" s="1"/>
    </row>
    <row r="283" customFormat="false" ht="12.75" hidden="false" customHeight="false" outlineLevel="0" collapsed="false">
      <c r="A283" s="1"/>
      <c r="B283" s="1"/>
      <c r="C283" s="1"/>
      <c r="D283" s="1"/>
      <c r="E283" s="1"/>
      <c r="F283" s="1"/>
      <c r="G283" s="1"/>
      <c r="H283" s="1"/>
      <c r="I283" s="1"/>
      <c r="J283" s="1"/>
      <c r="K283" s="1"/>
      <c r="L283" s="1"/>
      <c r="M283" s="1"/>
      <c r="N283" s="1"/>
    </row>
    <row r="284" customFormat="false" ht="12.75" hidden="false" customHeight="false" outlineLevel="0" collapsed="false">
      <c r="A284" s="1"/>
      <c r="B284" s="1"/>
      <c r="C284" s="1"/>
      <c r="D284" s="1"/>
      <c r="E284" s="1"/>
      <c r="F284" s="1"/>
      <c r="G284" s="1"/>
      <c r="H284" s="1"/>
      <c r="I284" s="1"/>
      <c r="J284" s="1"/>
      <c r="K284" s="1"/>
      <c r="L284" s="1"/>
      <c r="M284" s="1"/>
      <c r="N284" s="1"/>
    </row>
    <row r="285" customFormat="false" ht="12.75" hidden="false" customHeight="false" outlineLevel="0" collapsed="false">
      <c r="A285" s="1"/>
      <c r="B285" s="1"/>
      <c r="C285" s="1"/>
      <c r="D285" s="1"/>
      <c r="E285" s="1"/>
      <c r="F285" s="1"/>
      <c r="G285" s="1"/>
      <c r="H285" s="1"/>
      <c r="I285" s="1"/>
      <c r="J285" s="1"/>
      <c r="K285" s="1"/>
      <c r="L285" s="1"/>
      <c r="M285" s="1"/>
      <c r="N285" s="1"/>
    </row>
    <row r="286" customFormat="false" ht="12.75" hidden="false" customHeight="false" outlineLevel="0" collapsed="false">
      <c r="A286" s="1"/>
      <c r="B286" s="1"/>
      <c r="C286" s="1"/>
      <c r="D286" s="1"/>
      <c r="E286" s="1"/>
      <c r="F286" s="1"/>
      <c r="G286" s="1"/>
      <c r="H286" s="1"/>
      <c r="I286" s="1"/>
      <c r="J286" s="1"/>
      <c r="K286" s="1"/>
      <c r="L286" s="1"/>
      <c r="M286" s="1"/>
      <c r="N286" s="1"/>
    </row>
    <row r="287" customFormat="false" ht="12.75" hidden="false" customHeight="false" outlineLevel="0" collapsed="false">
      <c r="A287" s="1"/>
      <c r="B287" s="1"/>
      <c r="C287" s="1"/>
      <c r="D287" s="1"/>
      <c r="E287" s="1"/>
      <c r="F287" s="1"/>
      <c r="G287" s="1"/>
      <c r="H287" s="1"/>
      <c r="I287" s="1"/>
      <c r="J287" s="1"/>
      <c r="K287" s="1"/>
      <c r="L287" s="1"/>
      <c r="M287" s="1"/>
      <c r="N287" s="1"/>
    </row>
    <row r="288" customFormat="false" ht="12.75" hidden="false" customHeight="false" outlineLevel="0" collapsed="false">
      <c r="A288" s="1"/>
      <c r="B288" s="1"/>
      <c r="C288" s="1"/>
      <c r="D288" s="1"/>
      <c r="E288" s="1"/>
      <c r="F288" s="1"/>
      <c r="G288" s="1"/>
      <c r="H288" s="1"/>
      <c r="I288" s="1"/>
      <c r="J288" s="1"/>
      <c r="K288" s="1"/>
      <c r="L288" s="1"/>
      <c r="M288" s="1"/>
      <c r="N288" s="1"/>
    </row>
    <row r="289" customFormat="false" ht="12.75" hidden="false" customHeight="false" outlineLevel="0" collapsed="false">
      <c r="A289" s="1"/>
      <c r="B289" s="1"/>
      <c r="C289" s="1"/>
      <c r="D289" s="1"/>
      <c r="E289" s="1"/>
      <c r="F289" s="1"/>
      <c r="G289" s="1"/>
      <c r="H289" s="1"/>
      <c r="I289" s="1"/>
      <c r="J289" s="1"/>
      <c r="K289" s="1"/>
      <c r="L289" s="1"/>
      <c r="M289" s="1"/>
      <c r="N289" s="1"/>
    </row>
    <row r="290" customFormat="false" ht="12.75" hidden="false" customHeight="false" outlineLevel="0" collapsed="false">
      <c r="A290" s="1"/>
      <c r="B290" s="1"/>
      <c r="C290" s="1"/>
      <c r="D290" s="1"/>
      <c r="E290" s="1"/>
      <c r="F290" s="1"/>
      <c r="G290" s="1"/>
      <c r="H290" s="1"/>
      <c r="I290" s="1"/>
      <c r="J290" s="1"/>
      <c r="K290" s="1"/>
      <c r="L290" s="1"/>
      <c r="M290" s="1"/>
      <c r="N290" s="1"/>
    </row>
    <row r="291" customFormat="false" ht="12.75" hidden="false" customHeight="false" outlineLevel="0" collapsed="false">
      <c r="A291" s="1"/>
      <c r="B291" s="1"/>
      <c r="C291" s="1"/>
      <c r="D291" s="1"/>
      <c r="E291" s="1"/>
      <c r="F291" s="1"/>
      <c r="G291" s="1"/>
      <c r="H291" s="1"/>
      <c r="I291" s="1"/>
      <c r="J291" s="1"/>
      <c r="K291" s="1"/>
      <c r="L291" s="1"/>
      <c r="M291" s="1"/>
      <c r="N291" s="1"/>
    </row>
    <row r="292" customFormat="false" ht="12.75" hidden="false" customHeight="false" outlineLevel="0" collapsed="false">
      <c r="A292" s="1"/>
      <c r="B292" s="1"/>
      <c r="C292" s="1"/>
      <c r="D292" s="1"/>
      <c r="E292" s="1"/>
      <c r="F292" s="1"/>
      <c r="G292" s="1"/>
      <c r="H292" s="1"/>
      <c r="I292" s="1"/>
      <c r="J292" s="1"/>
      <c r="K292" s="1"/>
      <c r="L292" s="1"/>
      <c r="M292" s="1"/>
      <c r="N292" s="1"/>
    </row>
    <row r="293" customFormat="false" ht="12.75" hidden="false" customHeight="false" outlineLevel="0" collapsed="false">
      <c r="A293" s="1"/>
      <c r="B293" s="1"/>
      <c r="C293" s="1"/>
      <c r="D293" s="1"/>
      <c r="E293" s="1"/>
      <c r="F293" s="1"/>
      <c r="G293" s="1"/>
      <c r="H293" s="1"/>
      <c r="I293" s="1"/>
      <c r="J293" s="1"/>
      <c r="K293" s="1"/>
      <c r="L293" s="1"/>
      <c r="M293" s="1"/>
      <c r="N293" s="1"/>
    </row>
    <row r="294" customFormat="false" ht="12.75" hidden="false" customHeight="false" outlineLevel="0" collapsed="false">
      <c r="A294" s="1"/>
      <c r="B294" s="1"/>
      <c r="C294" s="1"/>
      <c r="D294" s="1"/>
      <c r="E294" s="1"/>
      <c r="F294" s="1"/>
      <c r="G294" s="1"/>
      <c r="H294" s="1"/>
      <c r="I294" s="1"/>
      <c r="J294" s="1"/>
      <c r="K294" s="1"/>
      <c r="L294" s="1"/>
      <c r="M294" s="1"/>
      <c r="N294" s="1"/>
    </row>
    <row r="295" customFormat="false" ht="12.75" hidden="false" customHeight="false" outlineLevel="0" collapsed="false">
      <c r="A295" s="1"/>
      <c r="B295" s="1"/>
      <c r="C295" s="1"/>
      <c r="D295" s="1"/>
      <c r="E295" s="1"/>
      <c r="F295" s="1"/>
      <c r="G295" s="1"/>
      <c r="H295" s="1"/>
      <c r="I295" s="1"/>
      <c r="J295" s="1"/>
      <c r="K295" s="1"/>
      <c r="L295" s="1"/>
      <c r="M295" s="1"/>
      <c r="N295" s="1"/>
    </row>
    <row r="296" customFormat="false" ht="12.75" hidden="false" customHeight="false" outlineLevel="0" collapsed="false">
      <c r="A296" s="1"/>
      <c r="B296" s="1"/>
      <c r="C296" s="1"/>
      <c r="D296" s="1"/>
      <c r="E296" s="1"/>
      <c r="F296" s="1"/>
      <c r="G296" s="1"/>
      <c r="H296" s="1"/>
      <c r="I296" s="1"/>
      <c r="J296" s="1"/>
      <c r="K296" s="1"/>
      <c r="L296" s="1"/>
      <c r="M296" s="1"/>
      <c r="N296" s="1"/>
    </row>
    <row r="297" customFormat="false" ht="12.75" hidden="false" customHeight="false" outlineLevel="0" collapsed="false">
      <c r="A297" s="1"/>
      <c r="B297" s="1"/>
      <c r="C297" s="1"/>
      <c r="D297" s="1"/>
      <c r="E297" s="1"/>
      <c r="F297" s="1"/>
      <c r="G297" s="1"/>
      <c r="H297" s="1"/>
      <c r="I297" s="1"/>
      <c r="J297" s="1"/>
      <c r="K297" s="1"/>
      <c r="L297" s="1"/>
      <c r="M297" s="1"/>
      <c r="N297" s="1"/>
    </row>
    <row r="298" customFormat="false" ht="12.75" hidden="false" customHeight="false" outlineLevel="0" collapsed="false">
      <c r="A298" s="1"/>
      <c r="B298" s="1"/>
      <c r="C298" s="1"/>
      <c r="D298" s="1"/>
      <c r="E298" s="1"/>
      <c r="F298" s="1"/>
      <c r="G298" s="1"/>
      <c r="H298" s="1"/>
      <c r="I298" s="1"/>
      <c r="J298" s="1"/>
      <c r="K298" s="1"/>
      <c r="L298" s="1"/>
      <c r="M298" s="1"/>
      <c r="N298" s="1"/>
    </row>
    <row r="299" customFormat="false" ht="12.75" hidden="false" customHeight="false" outlineLevel="0" collapsed="false">
      <c r="A299" s="1"/>
      <c r="B299" s="1"/>
      <c r="C299" s="1"/>
      <c r="D299" s="1"/>
      <c r="E299" s="1"/>
      <c r="F299" s="1"/>
      <c r="G299" s="1"/>
      <c r="H299" s="1"/>
      <c r="I299" s="1"/>
      <c r="J299" s="1"/>
      <c r="K299" s="1"/>
      <c r="L299" s="1"/>
      <c r="M299" s="1"/>
      <c r="N299" s="1"/>
    </row>
    <row r="300" customFormat="false" ht="12.75" hidden="false" customHeight="false" outlineLevel="0" collapsed="false">
      <c r="A300" s="1"/>
      <c r="B300" s="1"/>
      <c r="C300" s="1"/>
      <c r="D300" s="1"/>
      <c r="E300" s="1"/>
      <c r="F300" s="1"/>
      <c r="G300" s="1"/>
      <c r="H300" s="1"/>
      <c r="I300" s="1"/>
      <c r="J300" s="1"/>
      <c r="K300" s="1"/>
      <c r="L300" s="1"/>
      <c r="M300" s="1"/>
      <c r="N300" s="1"/>
    </row>
    <row r="301" customFormat="false" ht="12.75" hidden="false" customHeight="false" outlineLevel="0" collapsed="false">
      <c r="A301" s="1"/>
      <c r="B301" s="1"/>
      <c r="C301" s="1"/>
      <c r="D301" s="1"/>
      <c r="E301" s="1"/>
      <c r="F301" s="1"/>
      <c r="G301" s="1"/>
      <c r="H301" s="1"/>
      <c r="I301" s="1"/>
      <c r="J301" s="1"/>
      <c r="K301" s="1"/>
      <c r="L301" s="1"/>
      <c r="M301" s="1"/>
      <c r="N301" s="1"/>
    </row>
    <row r="302" customFormat="false" ht="12.75" hidden="false" customHeight="false" outlineLevel="0" collapsed="false">
      <c r="A302" s="1"/>
      <c r="B302" s="1"/>
      <c r="C302" s="1"/>
      <c r="D302" s="1"/>
      <c r="E302" s="1"/>
      <c r="F302" s="1"/>
      <c r="G302" s="1"/>
      <c r="H302" s="1"/>
      <c r="I302" s="1"/>
      <c r="J302" s="1"/>
      <c r="K302" s="1"/>
      <c r="L302" s="1"/>
      <c r="M302" s="1"/>
      <c r="N302" s="1"/>
    </row>
    <row r="303" customFormat="false" ht="12.75" hidden="false" customHeight="false" outlineLevel="0" collapsed="false">
      <c r="A303" s="1"/>
      <c r="B303" s="1"/>
      <c r="C303" s="1"/>
      <c r="D303" s="1"/>
      <c r="E303" s="1"/>
      <c r="F303" s="1"/>
      <c r="G303" s="1"/>
      <c r="H303" s="1"/>
      <c r="I303" s="1"/>
      <c r="J303" s="1"/>
      <c r="K303" s="1"/>
      <c r="L303" s="1"/>
      <c r="M303" s="1"/>
      <c r="N303" s="1"/>
    </row>
    <row r="304" customFormat="false" ht="12.75" hidden="false" customHeight="false" outlineLevel="0" collapsed="false">
      <c r="A304" s="1"/>
      <c r="B304" s="1"/>
      <c r="C304" s="1"/>
      <c r="D304" s="1"/>
      <c r="E304" s="1"/>
      <c r="F304" s="1"/>
      <c r="G304" s="1"/>
      <c r="H304" s="1"/>
      <c r="I304" s="1"/>
      <c r="J304" s="1"/>
      <c r="K304" s="1"/>
      <c r="L304" s="1"/>
      <c r="M304" s="1"/>
      <c r="N304" s="1"/>
    </row>
    <row r="305" customFormat="false" ht="12.75" hidden="false" customHeight="false" outlineLevel="0" collapsed="false">
      <c r="A305" s="1"/>
      <c r="B305" s="1"/>
      <c r="C305" s="1"/>
      <c r="D305" s="1"/>
      <c r="E305" s="1"/>
      <c r="F305" s="1"/>
      <c r="G305" s="1"/>
      <c r="H305" s="1"/>
      <c r="I305" s="1"/>
      <c r="J305" s="1"/>
      <c r="K305" s="1"/>
      <c r="L305" s="1"/>
      <c r="M305" s="1"/>
      <c r="N305" s="1"/>
    </row>
    <row r="306" customFormat="false" ht="12.75" hidden="false" customHeight="false" outlineLevel="0" collapsed="false">
      <c r="A306" s="1"/>
      <c r="B306" s="1"/>
      <c r="C306" s="1"/>
      <c r="D306" s="1"/>
      <c r="E306" s="1"/>
      <c r="F306" s="1"/>
      <c r="G306" s="1"/>
      <c r="H306" s="1"/>
      <c r="I306" s="1"/>
      <c r="J306" s="1"/>
      <c r="K306" s="1"/>
      <c r="L306" s="1"/>
      <c r="M306" s="1"/>
      <c r="N306" s="1"/>
    </row>
    <row r="307" customFormat="false" ht="12.75" hidden="false" customHeight="false" outlineLevel="0" collapsed="false">
      <c r="A307" s="1"/>
      <c r="B307" s="1"/>
      <c r="C307" s="1"/>
      <c r="D307" s="1"/>
      <c r="E307" s="1"/>
      <c r="F307" s="1"/>
      <c r="G307" s="1"/>
      <c r="H307" s="1"/>
      <c r="I307" s="1"/>
      <c r="J307" s="1"/>
      <c r="K307" s="1"/>
      <c r="L307" s="1"/>
      <c r="M307" s="1"/>
      <c r="N307" s="1"/>
    </row>
    <row r="308" customFormat="false" ht="12.75" hidden="false" customHeight="false" outlineLevel="0" collapsed="false">
      <c r="A308" s="1"/>
      <c r="B308" s="1"/>
      <c r="C308" s="1"/>
      <c r="D308" s="1"/>
      <c r="E308" s="1"/>
      <c r="F308" s="1"/>
      <c r="G308" s="1"/>
      <c r="H308" s="1"/>
      <c r="I308" s="1"/>
      <c r="J308" s="1"/>
      <c r="K308" s="1"/>
      <c r="L308" s="1"/>
      <c r="M308" s="1"/>
      <c r="N308" s="1"/>
    </row>
    <row r="309" customFormat="false" ht="12.75" hidden="false" customHeight="false" outlineLevel="0" collapsed="false">
      <c r="A309" s="1"/>
      <c r="B309" s="1"/>
      <c r="C309" s="1"/>
      <c r="D309" s="1"/>
      <c r="E309" s="1"/>
      <c r="F309" s="1"/>
      <c r="G309" s="1"/>
      <c r="H309" s="1"/>
      <c r="I309" s="1"/>
      <c r="J309" s="1"/>
      <c r="K309" s="1"/>
      <c r="L309" s="1"/>
      <c r="M309" s="1"/>
      <c r="N309" s="1"/>
    </row>
    <row r="310" customFormat="false" ht="12.75" hidden="false" customHeight="false" outlineLevel="0" collapsed="false">
      <c r="A310" s="1"/>
      <c r="B310" s="1"/>
      <c r="C310" s="1"/>
      <c r="D310" s="1"/>
      <c r="E310" s="1"/>
      <c r="F310" s="1"/>
      <c r="G310" s="1"/>
      <c r="H310" s="1"/>
      <c r="I310" s="1"/>
      <c r="J310" s="1"/>
      <c r="K310" s="1"/>
      <c r="L310" s="1"/>
      <c r="M310" s="1"/>
      <c r="N310" s="1"/>
    </row>
    <row r="311" customFormat="false" ht="12.75" hidden="false" customHeight="false" outlineLevel="0" collapsed="false">
      <c r="A311" s="1"/>
      <c r="B311" s="1"/>
      <c r="C311" s="1"/>
      <c r="D311" s="1"/>
      <c r="E311" s="1"/>
      <c r="F311" s="1"/>
      <c r="G311" s="1"/>
      <c r="H311" s="1"/>
      <c r="I311" s="1"/>
      <c r="J311" s="1"/>
      <c r="K311" s="1"/>
      <c r="L311" s="1"/>
      <c r="M311" s="1"/>
      <c r="N311" s="1"/>
    </row>
    <row r="312" customFormat="false" ht="12.75" hidden="false" customHeight="false" outlineLevel="0" collapsed="false">
      <c r="A312" s="1"/>
      <c r="B312" s="1"/>
      <c r="C312" s="1"/>
      <c r="D312" s="1"/>
      <c r="E312" s="1"/>
      <c r="F312" s="1"/>
      <c r="G312" s="1"/>
      <c r="H312" s="1"/>
      <c r="I312" s="1"/>
      <c r="J312" s="1"/>
      <c r="K312" s="1"/>
      <c r="L312" s="1"/>
      <c r="M312" s="1"/>
      <c r="N312" s="1"/>
    </row>
    <row r="313" customFormat="false" ht="12.75" hidden="false" customHeight="false" outlineLevel="0" collapsed="false">
      <c r="A313" s="1"/>
      <c r="B313" s="1"/>
      <c r="C313" s="1"/>
      <c r="D313" s="1"/>
      <c r="E313" s="1"/>
      <c r="F313" s="1"/>
      <c r="G313" s="1"/>
      <c r="H313" s="1"/>
      <c r="I313" s="1"/>
      <c r="J313" s="1"/>
      <c r="K313" s="1"/>
      <c r="L313" s="1"/>
      <c r="M313" s="1"/>
      <c r="N313" s="1"/>
    </row>
    <row r="314" customFormat="false" ht="12.75" hidden="false" customHeight="false" outlineLevel="0" collapsed="false">
      <c r="A314" s="1"/>
      <c r="B314" s="1"/>
      <c r="C314" s="1"/>
      <c r="D314" s="1"/>
      <c r="E314" s="1"/>
      <c r="F314" s="1"/>
      <c r="G314" s="1"/>
      <c r="H314" s="1"/>
      <c r="I314" s="1"/>
      <c r="J314" s="1"/>
      <c r="K314" s="1"/>
      <c r="L314" s="1"/>
      <c r="M314" s="1"/>
      <c r="N314" s="1"/>
    </row>
    <row r="315" customFormat="false" ht="12.75" hidden="false" customHeight="false" outlineLevel="0" collapsed="false">
      <c r="A315" s="1"/>
      <c r="B315" s="1"/>
      <c r="C315" s="1"/>
      <c r="D315" s="1"/>
      <c r="E315" s="1"/>
      <c r="F315" s="1"/>
      <c r="G315" s="1"/>
      <c r="H315" s="1"/>
      <c r="I315" s="1"/>
      <c r="J315" s="1"/>
      <c r="K315" s="1"/>
      <c r="L315" s="1"/>
      <c r="M315" s="1"/>
      <c r="N315" s="1"/>
    </row>
    <row r="316" customFormat="false" ht="12.75" hidden="false" customHeight="false" outlineLevel="0" collapsed="false">
      <c r="A316" s="1"/>
      <c r="B316" s="1"/>
      <c r="C316" s="1"/>
      <c r="D316" s="1"/>
      <c r="E316" s="1"/>
      <c r="F316" s="1"/>
      <c r="G316" s="1"/>
      <c r="H316" s="1"/>
      <c r="I316" s="1"/>
      <c r="J316" s="1"/>
      <c r="K316" s="1"/>
      <c r="L316" s="1"/>
      <c r="M316" s="1"/>
      <c r="N316" s="1"/>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Z8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2" topLeftCell="F13" activePane="bottomRight" state="frozen"/>
      <selection pane="topLeft" activeCell="A1" activeCellId="0" sqref="A1"/>
      <selection pane="topRight" activeCell="F1" activeCellId="0" sqref="F1"/>
      <selection pane="bottomLeft" activeCell="A13" activeCellId="0" sqref="A13"/>
      <selection pane="bottomRight" activeCell="D2" activeCellId="0" sqref="D2"/>
    </sheetView>
  </sheetViews>
  <sheetFormatPr defaultColWidth="9.13671875" defaultRowHeight="12" zeroHeight="false" outlineLevelRow="1" outlineLevelCol="0"/>
  <cols>
    <col collapsed="false" customWidth="true" hidden="false" outlineLevel="0" max="1" min="1" style="1" width="13.85"/>
    <col collapsed="false" customWidth="true" hidden="false" outlineLevel="0" max="2" min="2" style="1" width="12.56"/>
    <col collapsed="false" customWidth="true" hidden="false" outlineLevel="0" max="3" min="3" style="1" width="10.56"/>
    <col collapsed="false" customWidth="true" hidden="false" outlineLevel="0" max="4" min="4" style="1" width="12.13"/>
    <col collapsed="false" customWidth="true" hidden="false" outlineLevel="0" max="5" min="5" style="1" width="3.28"/>
    <col collapsed="false" customWidth="true" hidden="false" outlineLevel="0" max="15" min="6" style="1" width="10.7"/>
    <col collapsed="false" customWidth="true" hidden="false" outlineLevel="0" max="22" min="16" style="1" width="10.28"/>
    <col collapsed="false" customWidth="false" hidden="false" outlineLevel="0" max="257" min="23" style="1" width="9.13"/>
  </cols>
  <sheetData>
    <row r="2" customFormat="false" ht="15" hidden="false" customHeight="false" outlineLevel="0" collapsed="false">
      <c r="A2" s="122" t="s">
        <v>207</v>
      </c>
      <c r="B2" s="122"/>
      <c r="C2" s="122"/>
    </row>
    <row r="3" customFormat="false" ht="12.75" hidden="false" customHeight="true" outlineLevel="0" collapsed="false">
      <c r="A3" s="182"/>
      <c r="B3" s="182"/>
      <c r="C3" s="182"/>
    </row>
    <row r="4" customFormat="false" ht="12.75" hidden="false" customHeight="true" outlineLevel="0" collapsed="false">
      <c r="A4" s="183" t="s">
        <v>208</v>
      </c>
      <c r="B4" s="182"/>
      <c r="C4" s="182"/>
      <c r="F4" s="22" t="str">
        <f aca="false">Bal_Sheet!A24</f>
        <v>Gross PP&amp;E</v>
      </c>
      <c r="G4" s="23"/>
      <c r="H4" s="40" t="n">
        <f aca="false">Bal_Sheet!C24</f>
        <v>500000</v>
      </c>
      <c r="J4" s="54" t="s">
        <v>209</v>
      </c>
      <c r="K4" s="54"/>
      <c r="L4" s="54"/>
      <c r="N4" s="54" t="s">
        <v>210</v>
      </c>
      <c r="O4" s="54"/>
      <c r="P4" s="54"/>
    </row>
    <row r="5" customFormat="false" ht="12.75" hidden="false" customHeight="true" outlineLevel="0" collapsed="false">
      <c r="A5" s="182"/>
      <c r="B5" s="182"/>
      <c r="C5" s="182"/>
      <c r="F5" s="22" t="s">
        <v>211</v>
      </c>
      <c r="G5" s="23"/>
      <c r="H5" s="40" t="n">
        <f aca="false">Input!C49</f>
        <v>2450</v>
      </c>
      <c r="J5" s="184" t="n">
        <v>0</v>
      </c>
      <c r="K5" s="43" t="s">
        <v>212</v>
      </c>
      <c r="L5" s="20"/>
      <c r="N5" s="185" t="s">
        <v>213</v>
      </c>
      <c r="O5" s="185"/>
      <c r="P5" s="185"/>
    </row>
    <row r="6" customFormat="false" ht="12.75" hidden="false" customHeight="true" outlineLevel="0" collapsed="false">
      <c r="A6" s="182"/>
      <c r="B6" s="182"/>
      <c r="C6" s="182"/>
      <c r="F6" s="22" t="s">
        <v>214</v>
      </c>
      <c r="G6" s="23"/>
      <c r="H6" s="40" t="n">
        <f aca="false">SUM(H4:H5)</f>
        <v>502450</v>
      </c>
      <c r="N6" s="184" t="n">
        <v>1</v>
      </c>
      <c r="O6" s="186" t="str">
        <f aca="false">IF(N6=1,"Tax Deductible","Not Deductible")</f>
        <v>Tax Deductible</v>
      </c>
      <c r="P6" s="186"/>
    </row>
    <row r="7" customFormat="false" ht="12.75" hidden="false" customHeight="true" outlineLevel="0" collapsed="false">
      <c r="A7" s="182"/>
      <c r="B7" s="182"/>
      <c r="C7" s="182"/>
      <c r="F7" s="22" t="s">
        <v>146</v>
      </c>
      <c r="G7" s="23"/>
      <c r="H7" s="187" t="n">
        <f aca="false">Bal_Sheet!C27</f>
        <v>25000</v>
      </c>
      <c r="J7" s="54" t="s">
        <v>215</v>
      </c>
      <c r="K7" s="54"/>
      <c r="L7" s="54"/>
    </row>
    <row r="8" customFormat="false" ht="12.75" hidden="false" customHeight="true" outlineLevel="0" collapsed="false">
      <c r="A8" s="182"/>
      <c r="B8" s="182"/>
      <c r="C8" s="182"/>
      <c r="F8" s="22" t="s">
        <v>147</v>
      </c>
      <c r="G8" s="23"/>
      <c r="H8" s="40" t="n">
        <f aca="false">H6-H7</f>
        <v>477450</v>
      </c>
      <c r="J8" s="184" t="n">
        <v>1</v>
      </c>
      <c r="K8" s="43" t="s">
        <v>216</v>
      </c>
      <c r="L8" s="20"/>
    </row>
    <row r="9" customFormat="false" ht="12.75" hidden="false" customHeight="true" outlineLevel="0" collapsed="false">
      <c r="A9" s="182"/>
      <c r="B9" s="182"/>
      <c r="C9" s="182"/>
      <c r="H9" s="188"/>
      <c r="J9" s="189"/>
      <c r="K9" s="77"/>
      <c r="L9" s="77"/>
    </row>
    <row r="10" customFormat="false" ht="12.75" hidden="false" customHeight="true" outlineLevel="0" collapsed="false">
      <c r="J10" s="121"/>
      <c r="K10" s="121"/>
      <c r="L10" s="121"/>
    </row>
    <row r="11" customFormat="false" ht="12" hidden="false" customHeight="false" outlineLevel="0" collapsed="false">
      <c r="A11" s="1" t="s">
        <v>112</v>
      </c>
      <c r="E11" s="190"/>
      <c r="F11" s="191" t="n">
        <f aca="false">year1</f>
        <v>2010</v>
      </c>
      <c r="G11" s="186" t="n">
        <f aca="false">F11+1</f>
        <v>2011</v>
      </c>
      <c r="H11" s="186" t="n">
        <f aca="false">G11+1</f>
        <v>2012</v>
      </c>
      <c r="I11" s="186" t="n">
        <f aca="false">H11+1</f>
        <v>2013</v>
      </c>
      <c r="J11" s="186" t="n">
        <f aca="false">I11+1</f>
        <v>2014</v>
      </c>
      <c r="K11" s="186" t="n">
        <f aca="false">J11+1</f>
        <v>2015</v>
      </c>
      <c r="L11" s="186" t="n">
        <f aca="false">K11+1</f>
        <v>2016</v>
      </c>
      <c r="M11" s="186" t="n">
        <f aca="false">L11+1</f>
        <v>2017</v>
      </c>
      <c r="N11" s="186" t="n">
        <f aca="false">M11+1</f>
        <v>2018</v>
      </c>
      <c r="O11" s="186" t="n">
        <f aca="false">N11+1</f>
        <v>2019</v>
      </c>
    </row>
    <row r="12" customFormat="false" ht="12" hidden="false" customHeight="false" outlineLevel="0" collapsed="false">
      <c r="A12" s="1" t="s">
        <v>113</v>
      </c>
      <c r="E12" s="190"/>
      <c r="F12" s="191" t="n">
        <v>1</v>
      </c>
      <c r="G12" s="186" t="n">
        <f aca="false">F12+1</f>
        <v>2</v>
      </c>
      <c r="H12" s="186" t="n">
        <f aca="false">G12+1</f>
        <v>3</v>
      </c>
      <c r="I12" s="186" t="n">
        <f aca="false">H12+1</f>
        <v>4</v>
      </c>
      <c r="J12" s="186" t="n">
        <f aca="false">I12+1</f>
        <v>5</v>
      </c>
      <c r="K12" s="186" t="n">
        <f aca="false">J12+1</f>
        <v>6</v>
      </c>
      <c r="L12" s="186" t="n">
        <f aca="false">K12+1</f>
        <v>7</v>
      </c>
      <c r="M12" s="186" t="n">
        <f aca="false">L12+1</f>
        <v>8</v>
      </c>
      <c r="N12" s="186" t="n">
        <f aca="false">M12+1</f>
        <v>9</v>
      </c>
      <c r="O12" s="186" t="n">
        <f aca="false">N12+1</f>
        <v>10</v>
      </c>
      <c r="P12" s="192"/>
      <c r="Q12" s="192"/>
      <c r="R12" s="192"/>
      <c r="S12" s="192"/>
      <c r="T12" s="192"/>
      <c r="U12" s="192"/>
      <c r="V12" s="192"/>
      <c r="W12" s="192"/>
      <c r="X12" s="192"/>
      <c r="Y12" s="192"/>
      <c r="Z12" s="192"/>
      <c r="AA12" s="192"/>
      <c r="AB12" s="192"/>
      <c r="AC12" s="192"/>
      <c r="AD12" s="192"/>
      <c r="AE12" s="192"/>
      <c r="AF12" s="192"/>
      <c r="AG12" s="192"/>
      <c r="AH12" s="192"/>
      <c r="AI12" s="192"/>
      <c r="AJ12" s="192"/>
      <c r="AK12" s="192"/>
      <c r="AL12" s="192"/>
      <c r="AM12" s="192"/>
      <c r="AN12" s="192"/>
      <c r="AO12" s="192"/>
      <c r="AP12" s="192"/>
      <c r="AQ12" s="192"/>
      <c r="AR12" s="192"/>
      <c r="AS12" s="192"/>
      <c r="AT12" s="192"/>
      <c r="AU12" s="192"/>
      <c r="AV12" s="192"/>
      <c r="AW12" s="192"/>
      <c r="AX12" s="192"/>
      <c r="AY12" s="192"/>
      <c r="AZ12" s="192"/>
    </row>
    <row r="13" customFormat="false" ht="12" hidden="false" customHeight="false" outlineLevel="0" collapsed="false">
      <c r="F13" s="193"/>
      <c r="G13" s="193"/>
      <c r="H13" s="193"/>
      <c r="I13" s="193"/>
      <c r="J13" s="193"/>
      <c r="K13" s="193"/>
      <c r="L13" s="193"/>
      <c r="M13" s="193"/>
      <c r="N13" s="193"/>
      <c r="O13" s="193"/>
      <c r="P13" s="192"/>
      <c r="Q13" s="192"/>
      <c r="R13" s="192"/>
      <c r="S13" s="192"/>
      <c r="T13" s="192"/>
      <c r="U13" s="192"/>
      <c r="V13" s="192"/>
      <c r="W13" s="192"/>
      <c r="X13" s="192"/>
      <c r="Y13" s="192"/>
      <c r="Z13" s="192"/>
      <c r="AA13" s="192"/>
      <c r="AB13" s="192"/>
      <c r="AC13" s="192"/>
      <c r="AD13" s="192"/>
      <c r="AE13" s="192"/>
      <c r="AF13" s="192"/>
      <c r="AG13" s="192"/>
      <c r="AH13" s="192"/>
      <c r="AI13" s="192"/>
      <c r="AJ13" s="192"/>
      <c r="AK13" s="192"/>
      <c r="AL13" s="192"/>
      <c r="AM13" s="192"/>
      <c r="AN13" s="192"/>
      <c r="AO13" s="192"/>
      <c r="AP13" s="192"/>
      <c r="AQ13" s="192"/>
      <c r="AR13" s="192"/>
      <c r="AS13" s="192"/>
      <c r="AT13" s="192"/>
      <c r="AU13" s="192"/>
      <c r="AV13" s="192"/>
      <c r="AW13" s="192"/>
      <c r="AX13" s="192"/>
      <c r="AY13" s="192"/>
      <c r="AZ13" s="192"/>
    </row>
    <row r="14" customFormat="false" ht="12" hidden="false" customHeight="false" outlineLevel="0" collapsed="false">
      <c r="A14" s="163" t="s">
        <v>217</v>
      </c>
      <c r="B14" s="163"/>
      <c r="C14" s="163"/>
      <c r="F14" s="156"/>
      <c r="G14" s="156"/>
      <c r="H14" s="156"/>
      <c r="I14" s="156"/>
      <c r="J14" s="156"/>
      <c r="K14" s="156"/>
      <c r="L14" s="156"/>
      <c r="M14" s="156"/>
      <c r="N14" s="156"/>
      <c r="O14" s="156"/>
      <c r="P14" s="156"/>
      <c r="Q14" s="156"/>
      <c r="R14" s="192"/>
      <c r="S14" s="192"/>
      <c r="T14" s="192"/>
      <c r="U14" s="192"/>
      <c r="V14" s="192"/>
      <c r="W14" s="192"/>
      <c r="X14" s="192"/>
      <c r="Y14" s="192"/>
      <c r="Z14" s="192"/>
      <c r="AA14" s="192"/>
      <c r="AB14" s="192"/>
      <c r="AC14" s="192"/>
      <c r="AD14" s="192"/>
      <c r="AE14" s="192"/>
      <c r="AF14" s="192"/>
      <c r="AG14" s="192"/>
      <c r="AH14" s="192"/>
      <c r="AI14" s="192"/>
      <c r="AJ14" s="192"/>
      <c r="AK14" s="192"/>
      <c r="AL14" s="192"/>
      <c r="AM14" s="192"/>
      <c r="AN14" s="192"/>
      <c r="AO14" s="192"/>
      <c r="AP14" s="192"/>
      <c r="AQ14" s="192"/>
      <c r="AR14" s="192"/>
      <c r="AS14" s="192"/>
      <c r="AT14" s="192"/>
      <c r="AU14" s="192"/>
      <c r="AV14" s="192"/>
      <c r="AW14" s="192"/>
      <c r="AX14" s="192"/>
      <c r="AY14" s="192"/>
      <c r="AZ14" s="192"/>
    </row>
    <row r="15" customFormat="false" ht="12" hidden="false" customHeight="false" outlineLevel="0" collapsed="false">
      <c r="A15" s="179"/>
      <c r="B15" s="194" t="s">
        <v>218</v>
      </c>
      <c r="C15" s="195" t="s">
        <v>219</v>
      </c>
      <c r="D15" s="194" t="s">
        <v>220</v>
      </c>
      <c r="F15" s="156"/>
      <c r="G15" s="156"/>
      <c r="H15" s="156"/>
      <c r="I15" s="156"/>
      <c r="J15" s="156"/>
      <c r="K15" s="156"/>
      <c r="L15" s="156"/>
      <c r="M15" s="156"/>
      <c r="N15" s="156"/>
      <c r="O15" s="156"/>
      <c r="P15" s="156"/>
      <c r="Q15" s="156"/>
      <c r="R15" s="192"/>
      <c r="S15" s="192"/>
      <c r="T15" s="192"/>
      <c r="U15" s="192"/>
      <c r="V15" s="192"/>
      <c r="W15" s="192"/>
      <c r="X15" s="192"/>
      <c r="Y15" s="192"/>
      <c r="Z15" s="192"/>
      <c r="AA15" s="192"/>
      <c r="AB15" s="192"/>
      <c r="AC15" s="192"/>
      <c r="AD15" s="192"/>
      <c r="AE15" s="192"/>
      <c r="AF15" s="192"/>
      <c r="AG15" s="192"/>
      <c r="AH15" s="192"/>
      <c r="AI15" s="192"/>
      <c r="AJ15" s="192"/>
      <c r="AK15" s="192"/>
      <c r="AL15" s="192"/>
      <c r="AM15" s="192"/>
      <c r="AN15" s="192"/>
      <c r="AO15" s="192"/>
      <c r="AP15" s="192"/>
      <c r="AQ15" s="192"/>
      <c r="AR15" s="192"/>
      <c r="AS15" s="192"/>
      <c r="AT15" s="192"/>
      <c r="AU15" s="192"/>
      <c r="AV15" s="192"/>
      <c r="AW15" s="192"/>
      <c r="AX15" s="192"/>
      <c r="AY15" s="192"/>
      <c r="AZ15" s="192"/>
    </row>
    <row r="16" customFormat="false" ht="12" hidden="false" customHeight="false" outlineLevel="0" collapsed="false">
      <c r="A16" s="179" t="s">
        <v>221</v>
      </c>
      <c r="B16" s="196" t="n">
        <v>90000</v>
      </c>
      <c r="C16" s="197" t="n">
        <v>12</v>
      </c>
      <c r="D16" s="196" t="n">
        <v>900</v>
      </c>
      <c r="E16" s="59"/>
      <c r="F16" s="59" t="n">
        <f aca="false">IF(F$12&gt;$C16,0,IF($J$5=1,SYD($B16,$D16,$C16,F$12),SLN($B16,$D16,$C16)))</f>
        <v>7425</v>
      </c>
      <c r="G16" s="59" t="n">
        <f aca="false">IF(G$12&gt;$C16,0,IF($J$5=1,SYD($B16,$D16,$C16,G$12),SLN($B16,$D16,$C16)))</f>
        <v>7425</v>
      </c>
      <c r="H16" s="59" t="n">
        <f aca="false">IF(H$12&gt;$C16,0,IF($J$5=1,SYD($B16,$D16,$C16,H$12),SLN($B16,$D16,$C16)))</f>
        <v>7425</v>
      </c>
      <c r="I16" s="59" t="n">
        <f aca="false">IF(I$12&gt;$C16,0,IF($J$5=1,SYD($B16,$D16,$C16,I$12),SLN($B16,$D16,$C16)))</f>
        <v>7425</v>
      </c>
      <c r="J16" s="59" t="n">
        <f aca="false">IF(J$12&gt;$C16,0,IF($J$5=1,SYD($B16,$D16,$C16,J$12),SLN($B16,$D16,$C16)))</f>
        <v>7425</v>
      </c>
      <c r="K16" s="59" t="n">
        <f aca="false">IF(K$12&gt;$C16,0,IF($J$5=1,SYD($B16,$D16,$C16,K$12),SLN($B16,$D16,$C16)))</f>
        <v>7425</v>
      </c>
      <c r="L16" s="59" t="n">
        <f aca="false">IF(L$12&gt;$C16,0,IF($J$5=1,SYD($B16,$D16,$C16,L$12),SLN($B16,$D16,$C16)))</f>
        <v>7425</v>
      </c>
      <c r="M16" s="59" t="n">
        <f aca="false">IF(M$12&gt;$C16,0,IF($J$5=1,SYD($B16,$D16,$C16,M$12),SLN($B16,$D16,$C16)))</f>
        <v>7425</v>
      </c>
      <c r="N16" s="59" t="n">
        <f aca="false">IF(N$12&gt;$C16,0,IF($J$5=1,SYD($B16,$D16,$C16,N$12),SLN($B16,$D16,$C16)))</f>
        <v>7425</v>
      </c>
      <c r="O16" s="59" t="n">
        <f aca="false">IF(O$12&gt;$C16,0,IF($J$5=1,SYD($B16,$D16,$C16,O$12),SLN($B16,$D16,$C16)))</f>
        <v>7425</v>
      </c>
      <c r="P16" s="59"/>
      <c r="Q16" s="59"/>
    </row>
    <row r="17" customFormat="false" ht="12" hidden="false" customHeight="false" outlineLevel="0" collapsed="false">
      <c r="A17" s="179" t="s">
        <v>222</v>
      </c>
      <c r="B17" s="197" t="n">
        <v>85000</v>
      </c>
      <c r="C17" s="197" t="n">
        <v>10</v>
      </c>
      <c r="D17" s="197" t="n">
        <v>800</v>
      </c>
      <c r="E17" s="59"/>
      <c r="F17" s="59" t="n">
        <f aca="false">IF(F$12&gt;$C17,0,IF($J$5=1,SYD($B17,$D17,$C17,F$12),SLN($B17,$D17,$C17)))</f>
        <v>8420</v>
      </c>
      <c r="G17" s="59" t="n">
        <f aca="false">IF(G$12&gt;$C17,0,IF($J$5=1,SYD($B17,$D17,$C17,G$12),SLN($B17,$D17,$C17)))</f>
        <v>8420</v>
      </c>
      <c r="H17" s="59" t="n">
        <f aca="false">IF(H$12&gt;$C17,0,IF($J$5=1,SYD($B17,$D17,$C17,H$12),SLN($B17,$D17,$C17)))</f>
        <v>8420</v>
      </c>
      <c r="I17" s="59" t="n">
        <f aca="false">IF(I$12&gt;$C17,0,IF($J$5=1,SYD($B17,$D17,$C17,I$12),SLN($B17,$D17,$C17)))</f>
        <v>8420</v>
      </c>
      <c r="J17" s="59" t="n">
        <f aca="false">IF(J$12&gt;$C17,0,IF($J$5=1,SYD($B17,$D17,$C17,J$12),SLN($B17,$D17,$C17)))</f>
        <v>8420</v>
      </c>
      <c r="K17" s="59" t="n">
        <f aca="false">IF(K$12&gt;$C17,0,IF($J$5=1,SYD($B17,$D17,$C17,K$12),SLN($B17,$D17,$C17)))</f>
        <v>8420</v>
      </c>
      <c r="L17" s="59" t="n">
        <f aca="false">IF(L$12&gt;$C17,0,IF($J$5=1,SYD($B17,$D17,$C17,L$12),SLN($B17,$D17,$C17)))</f>
        <v>8420</v>
      </c>
      <c r="M17" s="59" t="n">
        <f aca="false">IF(M$12&gt;$C17,0,IF($J$5=1,SYD($B17,$D17,$C17,M$12),SLN($B17,$D17,$C17)))</f>
        <v>8420</v>
      </c>
      <c r="N17" s="59" t="n">
        <f aca="false">IF(N$12&gt;$C17,0,IF($J$5=1,SYD($B17,$D17,$C17,N$12),SLN($B17,$D17,$C17)))</f>
        <v>8420</v>
      </c>
      <c r="O17" s="59" t="n">
        <f aca="false">IF(O$12&gt;$C17,0,IF($J$5=1,SYD($B17,$D17,$C17,O$12),SLN($B17,$D17,$C17)))</f>
        <v>8420</v>
      </c>
      <c r="P17" s="59"/>
      <c r="Q17" s="59"/>
    </row>
    <row r="18" customFormat="false" ht="12" hidden="false" customHeight="false" outlineLevel="0" collapsed="false">
      <c r="A18" s="179" t="s">
        <v>223</v>
      </c>
      <c r="B18" s="197" t="n">
        <v>60000</v>
      </c>
      <c r="C18" s="197" t="n">
        <v>8</v>
      </c>
      <c r="D18" s="197" t="n">
        <v>600</v>
      </c>
      <c r="E18" s="59"/>
      <c r="F18" s="59" t="n">
        <f aca="false">IF(F$12&gt;$C18,0,IF($J$5=1,SYD($B18,$D18,$C18,F$12),SLN($B18,$D18,$C18)))</f>
        <v>7425</v>
      </c>
      <c r="G18" s="59" t="n">
        <f aca="false">IF(G$12&gt;$C18,0,IF($J$5=1,SYD($B18,$D18,$C18,G$12),SLN($B18,$D18,$C18)))</f>
        <v>7425</v>
      </c>
      <c r="H18" s="59" t="n">
        <f aca="false">IF(H$12&gt;$C18,0,IF($J$5=1,SYD($B18,$D18,$C18,H$12),SLN($B18,$D18,$C18)))</f>
        <v>7425</v>
      </c>
      <c r="I18" s="59" t="n">
        <f aca="false">IF(I$12&gt;$C18,0,IF($J$5=1,SYD($B18,$D18,$C18,I$12),SLN($B18,$D18,$C18)))</f>
        <v>7425</v>
      </c>
      <c r="J18" s="59" t="n">
        <f aca="false">IF(J$12&gt;$C18,0,IF($J$5=1,SYD($B18,$D18,$C18,J$12),SLN($B18,$D18,$C18)))</f>
        <v>7425</v>
      </c>
      <c r="K18" s="59" t="n">
        <f aca="false">IF(K$12&gt;$C18,0,IF($J$5=1,SYD($B18,$D18,$C18,K$12),SLN($B18,$D18,$C18)))</f>
        <v>7425</v>
      </c>
      <c r="L18" s="59" t="n">
        <f aca="false">IF(L$12&gt;$C18,0,IF($J$5=1,SYD($B18,$D18,$C18,L$12),SLN($B18,$D18,$C18)))</f>
        <v>7425</v>
      </c>
      <c r="M18" s="59" t="n">
        <f aca="false">IF(M$12&gt;$C18,0,IF($J$5=1,SYD($B18,$D18,$C18,M$12),SLN($B18,$D18,$C18)))</f>
        <v>7425</v>
      </c>
      <c r="N18" s="59" t="n">
        <f aca="false">IF(N$12&gt;$C18,0,IF($J$5=1,SYD($B18,$D18,$C18,N$12),SLN($B18,$D18,$C18)))</f>
        <v>0</v>
      </c>
      <c r="O18" s="59" t="n">
        <f aca="false">IF(O$12&gt;$C18,0,IF($J$5=1,SYD($B18,$D18,$C18,O$12),SLN($B18,$D18,$C18)))</f>
        <v>0</v>
      </c>
      <c r="P18" s="59"/>
      <c r="Q18" s="59"/>
    </row>
    <row r="19" customFormat="false" ht="12" hidden="false" customHeight="false" outlineLevel="0" collapsed="false">
      <c r="A19" s="179" t="s">
        <v>224</v>
      </c>
      <c r="B19" s="156" t="n">
        <f aca="false">H8-SUM(B16:B18)</f>
        <v>242450</v>
      </c>
      <c r="C19" s="197" t="n">
        <v>6</v>
      </c>
      <c r="D19" s="197" t="n">
        <v>600</v>
      </c>
      <c r="E19" s="59"/>
      <c r="F19" s="59" t="n">
        <f aca="false">IF(F$12&gt;$C19,0,IF($J$5=1,SYD($B19,$D19,$C19,F$12),SLN($B19,$D19,$C19)))</f>
        <v>40308.3333333333</v>
      </c>
      <c r="G19" s="59" t="n">
        <f aca="false">IF(G$12&gt;$C19,0,IF($J$5=1,SYD($B19,$D19,$C19,G$12),SLN($B19,$D19,$C19)))</f>
        <v>40308.3333333333</v>
      </c>
      <c r="H19" s="59" t="n">
        <f aca="false">IF(H$12&gt;$C19,0,IF($J$5=1,SYD($B19,$D19,$C19,H$12),SLN($B19,$D19,$C19)))</f>
        <v>40308.3333333333</v>
      </c>
      <c r="I19" s="59" t="n">
        <f aca="false">IF(I$12&gt;$C19,0,IF($J$5=1,SYD($B19,$D19,$C19,I$12),SLN($B19,$D19,$C19)))</f>
        <v>40308.3333333333</v>
      </c>
      <c r="J19" s="59" t="n">
        <f aca="false">IF(J$12&gt;$C19,0,IF($J$5=1,SYD($B19,$D19,$C19,J$12),SLN($B19,$D19,$C19)))</f>
        <v>40308.3333333333</v>
      </c>
      <c r="K19" s="59" t="n">
        <f aca="false">IF(K$12&gt;$C19,0,IF($J$5=1,SYD($B19,$D19,$C19,K$12),SLN($B19,$D19,$C19)))</f>
        <v>40308.3333333333</v>
      </c>
      <c r="L19" s="59" t="n">
        <f aca="false">IF(L$12&gt;$C19,0,IF($J$5=1,SYD($B19,$D19,$C19,L$12),SLN($B19,$D19,$C19)))</f>
        <v>0</v>
      </c>
      <c r="M19" s="59" t="n">
        <f aca="false">IF(M$12&gt;$C19,0,IF($J$5=1,SYD($B19,$D19,$C19,M$12),SLN($B19,$D19,$C19)))</f>
        <v>0</v>
      </c>
      <c r="N19" s="59" t="n">
        <f aca="false">IF(N$12&gt;$C19,0,IF($J$5=1,SYD($B19,$D19,$C19,N$12),SLN($B19,$D19,$C19)))</f>
        <v>0</v>
      </c>
      <c r="O19" s="59" t="n">
        <f aca="false">IF(O$12&gt;$C19,0,IF($J$5=1,SYD($B19,$D19,$C19,O$12),SLN($B19,$D19,$C19)))</f>
        <v>0</v>
      </c>
      <c r="P19" s="59"/>
      <c r="Q19" s="59"/>
    </row>
    <row r="20" customFormat="false" ht="12" hidden="false" customHeight="false" outlineLevel="0" collapsed="false">
      <c r="A20" s="179"/>
      <c r="B20" s="198" t="n">
        <f aca="false">SUM(B16:B19)</f>
        <v>477450</v>
      </c>
      <c r="C20" s="156"/>
      <c r="D20" s="198" t="n">
        <f aca="false">SUM(D16:D19)</f>
        <v>2900</v>
      </c>
      <c r="E20" s="156"/>
      <c r="F20" s="199" t="n">
        <f aca="false">SUM(F16:F19)</f>
        <v>63578.3333333333</v>
      </c>
      <c r="G20" s="199" t="n">
        <f aca="false">SUM(G16:G19)</f>
        <v>63578.3333333333</v>
      </c>
      <c r="H20" s="199" t="n">
        <f aca="false">SUM(H16:H19)</f>
        <v>63578.3333333333</v>
      </c>
      <c r="I20" s="199" t="n">
        <f aca="false">SUM(I16:I19)</f>
        <v>63578.3333333333</v>
      </c>
      <c r="J20" s="199" t="n">
        <f aca="false">SUM(J16:J19)</f>
        <v>63578.3333333333</v>
      </c>
      <c r="K20" s="199" t="n">
        <f aca="false">SUM(K16:K19)</f>
        <v>63578.3333333333</v>
      </c>
      <c r="L20" s="199" t="n">
        <f aca="false">SUM(L16:L19)</f>
        <v>23270</v>
      </c>
      <c r="M20" s="199" t="n">
        <f aca="false">SUM(M16:M19)</f>
        <v>23270</v>
      </c>
      <c r="N20" s="199" t="n">
        <f aca="false">SUM(N16:N19)</f>
        <v>15845</v>
      </c>
      <c r="O20" s="199" t="n">
        <f aca="false">SUM(O16:O19)</f>
        <v>15845</v>
      </c>
      <c r="P20" s="59"/>
      <c r="Q20" s="59"/>
    </row>
    <row r="21" customFormat="false" ht="12" hidden="false" customHeight="false" outlineLevel="0" collapsed="false">
      <c r="A21" s="179"/>
      <c r="B21" s="200"/>
      <c r="C21" s="200"/>
      <c r="D21" s="59"/>
      <c r="E21" s="59"/>
      <c r="F21" s="59"/>
      <c r="G21" s="59"/>
      <c r="H21" s="59"/>
      <c r="I21" s="59"/>
      <c r="J21" s="59"/>
      <c r="K21" s="59"/>
      <c r="L21" s="59"/>
      <c r="M21" s="59"/>
      <c r="N21" s="59"/>
      <c r="O21" s="59"/>
      <c r="P21" s="59"/>
      <c r="Q21" s="59"/>
    </row>
    <row r="22" customFormat="false" ht="12" hidden="false" customHeight="false" outlineLevel="0" collapsed="false">
      <c r="A22" s="201" t="s">
        <v>73</v>
      </c>
      <c r="B22" s="200"/>
      <c r="C22" s="200"/>
      <c r="D22" s="59"/>
      <c r="E22" s="59"/>
      <c r="F22" s="59"/>
      <c r="G22" s="59"/>
      <c r="H22" s="59"/>
      <c r="I22" s="59"/>
      <c r="J22" s="59"/>
      <c r="K22" s="59"/>
      <c r="L22" s="59"/>
      <c r="M22" s="59"/>
      <c r="N22" s="59"/>
      <c r="O22" s="59"/>
      <c r="P22" s="59"/>
      <c r="Q22" s="59"/>
    </row>
    <row r="23" customFormat="false" ht="12" hidden="false" customHeight="false" outlineLevel="0" collapsed="false">
      <c r="A23" s="194" t="s">
        <v>112</v>
      </c>
      <c r="B23" s="202" t="s">
        <v>73</v>
      </c>
      <c r="C23" s="202" t="s">
        <v>225</v>
      </c>
      <c r="D23" s="202" t="s">
        <v>220</v>
      </c>
      <c r="E23" s="59"/>
      <c r="F23" s="59"/>
      <c r="G23" s="59"/>
      <c r="H23" s="59"/>
      <c r="I23" s="59"/>
      <c r="J23" s="59"/>
      <c r="K23" s="59"/>
      <c r="L23" s="59"/>
      <c r="M23" s="59"/>
      <c r="N23" s="59"/>
      <c r="O23" s="59"/>
      <c r="P23" s="59"/>
      <c r="Q23" s="59"/>
    </row>
    <row r="24" customFormat="false" ht="12" hidden="false" customHeight="false" outlineLevel="0" collapsed="false">
      <c r="A24" s="192" t="n">
        <f aca="false">F12</f>
        <v>1</v>
      </c>
      <c r="B24" s="203" t="n">
        <f aca="false">IF(capex_interval="",0,IF(capex_start_year="",0,IF($A24&lt;capex_start_year,0,IF(MOD($A24-capex_start_year,capex_interval)=0,Inc_St!$D$8*capex,0))))</f>
        <v>110000</v>
      </c>
      <c r="C24" s="197" t="n">
        <v>12</v>
      </c>
      <c r="D24" s="196"/>
      <c r="E24" s="59"/>
      <c r="F24" s="59" t="n">
        <f aca="false">IF($A24&gt;F$12,0,IF(F$12&gt;$C24+$A24-1,0,IF($J$5=1,SYD($B24,$D24,$C24,F$12),SLN($B24,$D24,$C24))))</f>
        <v>9166.66666666667</v>
      </c>
      <c r="G24" s="59" t="n">
        <f aca="false">IF($A24&gt;G$12,0,IF(G$12&gt;$C24+$A24-1,0,IF($J$5=1,SYD($B24,$D24,$C24,G$12),SLN($B24,$D24,$C24))))</f>
        <v>9166.66666666667</v>
      </c>
      <c r="H24" s="59" t="n">
        <f aca="false">IF($A24&gt;H$12,0,IF(H$12&gt;$C24+$A24-1,0,IF($J$5=1,SYD($B24,$D24,$C24,H$12),SLN($B24,$D24,$C24))))</f>
        <v>9166.66666666667</v>
      </c>
      <c r="I24" s="59" t="n">
        <f aca="false">IF($A24&gt;I$12,0,IF(I$12&gt;$C24+$A24-1,0,IF($J$5=1,SYD($B24,$D24,$C24,I$12),SLN($B24,$D24,$C24))))</f>
        <v>9166.66666666667</v>
      </c>
      <c r="J24" s="59" t="n">
        <f aca="false">IF($A24&gt;J$12,0,IF(J$12&gt;$C24+$A24-1,0,IF($J$5=1,SYD($B24,$D24,$C24,J$12),SLN($B24,$D24,$C24))))</f>
        <v>9166.66666666667</v>
      </c>
      <c r="K24" s="59" t="n">
        <f aca="false">IF($A24&gt;K$12,0,IF(K$12&gt;$C24+$A24-1,0,IF($J$5=1,SYD($B24,$D24,$C24,K$12),SLN($B24,$D24,$C24))))</f>
        <v>9166.66666666667</v>
      </c>
      <c r="L24" s="59" t="n">
        <f aca="false">IF($A24&gt;L$12,0,IF(L$12&gt;$C24+$A24-1,0,IF($J$5=1,SYD($B24,$D24,$C24,L$12),SLN($B24,$D24,$C24))))</f>
        <v>9166.66666666667</v>
      </c>
      <c r="M24" s="59" t="n">
        <f aca="false">IF($A24&gt;M$12,0,IF(M$12&gt;$C24+$A24-1,0,IF($J$5=1,SYD($B24,$D24,$C24,M$12),SLN($B24,$D24,$C24))))</f>
        <v>9166.66666666667</v>
      </c>
      <c r="N24" s="59" t="n">
        <f aca="false">IF($A24&gt;N$12,0,IF(N$12&gt;$C24+$A24-1,0,IF($J$5=1,SYD($B24,$D24,$C24,N$12),SLN($B24,$D24,$C24))))</f>
        <v>9166.66666666667</v>
      </c>
      <c r="O24" s="59" t="n">
        <f aca="false">IF($A24&gt;O$12,0,IF(O$12&gt;$C24+$A24-1,0,IF($J$5=1,SYD($B24,$D24,$C24,O$12),SLN($B24,$D24,$C24))))</f>
        <v>9166.66666666667</v>
      </c>
      <c r="P24" s="59"/>
      <c r="Q24" s="59"/>
    </row>
    <row r="25" customFormat="false" ht="12" hidden="false" customHeight="false" outlineLevel="0" collapsed="false">
      <c r="A25" s="192" t="n">
        <f aca="false">G12</f>
        <v>2</v>
      </c>
      <c r="B25" s="156" t="n">
        <f aca="false">IF(capex_interval="",0,IF(capex_start_year="",0,IF($A25&lt;capex_start_year,0,IF(MOD($A25-capex_start_year,capex_interval)=0,Inc_St!$E$8*capex,0))))</f>
        <v>121000</v>
      </c>
      <c r="C25" s="197" t="n">
        <v>10</v>
      </c>
      <c r="D25" s="197"/>
      <c r="E25" s="59"/>
      <c r="F25" s="59" t="n">
        <f aca="false">IF($A25&gt;F$12,0,IF(F$12&gt;$C25+$A25-1,0,IF($J$5=1,SYD($B25,$D25,$C25,F$12),SLN($B25,$D25,$C25))))</f>
        <v>0</v>
      </c>
      <c r="G25" s="59" t="n">
        <f aca="false">IF($A25&gt;G$12,0,IF(G$12&gt;$C25+$A25-1,0,IF($J$5=1,SYD($B25,$D25,$C25,G$12),SLN($B25,$D25,$C25))))</f>
        <v>12100</v>
      </c>
      <c r="H25" s="59" t="n">
        <f aca="false">IF($A25&gt;H$12,0,IF(H$12&gt;$C25+$A25-1,0,IF($J$5=1,SYD($B25,$D25,$C25,H$12),SLN($B25,$D25,$C25))))</f>
        <v>12100</v>
      </c>
      <c r="I25" s="59" t="n">
        <f aca="false">IF($A25&gt;I$12,0,IF(I$12&gt;$C25+$A25-1,0,IF($J$5=1,SYD($B25,$D25,$C25,I$12),SLN($B25,$D25,$C25))))</f>
        <v>12100</v>
      </c>
      <c r="J25" s="59" t="n">
        <f aca="false">IF($A25&gt;J$12,0,IF(J$12&gt;$C25+$A25-1,0,IF($J$5=1,SYD($B25,$D25,$C25,J$12),SLN($B25,$D25,$C25))))</f>
        <v>12100</v>
      </c>
      <c r="K25" s="59" t="n">
        <f aca="false">IF($A25&gt;K$12,0,IF(K$12&gt;$C25+$A25-1,0,IF($J$5=1,SYD($B25,$D25,$C25,K$12),SLN($B25,$D25,$C25))))</f>
        <v>12100</v>
      </c>
      <c r="L25" s="59" t="n">
        <f aca="false">IF($A25&gt;L$12,0,IF(L$12&gt;$C25+$A25-1,0,IF($J$5=1,SYD($B25,$D25,$C25,L$12),SLN($B25,$D25,$C25))))</f>
        <v>12100</v>
      </c>
      <c r="M25" s="59" t="n">
        <f aca="false">IF($A25&gt;M$12,0,IF(M$12&gt;$C25+$A25-1,0,IF($J$5=1,SYD($B25,$D25,$C25,M$12),SLN($B25,$D25,$C25))))</f>
        <v>12100</v>
      </c>
      <c r="N25" s="59" t="n">
        <f aca="false">IF($A25&gt;N$12,0,IF(N$12&gt;$C25+$A25-1,0,IF($J$5=1,SYD($B25,$D25,$C25,N$12),SLN($B25,$D25,$C25))))</f>
        <v>12100</v>
      </c>
      <c r="O25" s="59" t="n">
        <f aca="false">IF($A25&gt;O$12,0,IF(O$12&gt;$C25+$A25-1,0,IF($J$5=1,SYD($B25,$D25,$C25,O$12),SLN($B25,$D25,$C25))))</f>
        <v>12100</v>
      </c>
      <c r="P25" s="59"/>
      <c r="Q25" s="59"/>
    </row>
    <row r="26" customFormat="false" ht="12" hidden="false" customHeight="false" outlineLevel="0" collapsed="false">
      <c r="A26" s="192" t="n">
        <f aca="false">H12</f>
        <v>3</v>
      </c>
      <c r="B26" s="156" t="n">
        <f aca="false">IF(capex_interval="",0,IF(capex_start_year="",0,IF($A26&lt;capex_start_year,0,IF(MOD($A26-capex_start_year,capex_interval)=0,Inc_St!$F$8*capex,0))))</f>
        <v>133100</v>
      </c>
      <c r="C26" s="197" t="n">
        <v>15</v>
      </c>
      <c r="D26" s="197"/>
      <c r="E26" s="59"/>
      <c r="F26" s="59" t="n">
        <f aca="false">IF($A26&gt;F$12,0,IF(F$12&gt;$C26+$A26-1,0,IF($J$5=1,SYD($B26,$D26,$C26,F$12),SLN($B26,$D26,$C26))))</f>
        <v>0</v>
      </c>
      <c r="G26" s="59" t="n">
        <f aca="false">IF($A26&gt;G$12,0,IF(G$12&gt;$C26+$A26-1,0,IF($J$5=1,SYD($B26,$D26,$C26,G$12),SLN($B26,$D26,$C26))))</f>
        <v>0</v>
      </c>
      <c r="H26" s="59" t="n">
        <f aca="false">IF($A26&gt;H$12,0,IF(H$12&gt;$C26+$A26-1,0,IF($J$5=1,SYD($B26,$D26,$C26,H$12),SLN($B26,$D26,$C26))))</f>
        <v>8873.33333333333</v>
      </c>
      <c r="I26" s="59" t="n">
        <f aca="false">IF($A26&gt;I$12,0,IF(I$12&gt;$C26+$A26-1,0,IF($J$5=1,SYD($B26,$D26,$C26,I$12),SLN($B26,$D26,$C26))))</f>
        <v>8873.33333333333</v>
      </c>
      <c r="J26" s="59" t="n">
        <f aca="false">IF($A26&gt;J$12,0,IF(J$12&gt;$C26+$A26-1,0,IF($J$5=1,SYD($B26,$D26,$C26,J$12),SLN($B26,$D26,$C26))))</f>
        <v>8873.33333333333</v>
      </c>
      <c r="K26" s="59" t="n">
        <f aca="false">IF($A26&gt;K$12,0,IF(K$12&gt;$C26+$A26-1,0,IF($J$5=1,SYD($B26,$D26,$C26,K$12),SLN($B26,$D26,$C26))))</f>
        <v>8873.33333333333</v>
      </c>
      <c r="L26" s="59" t="n">
        <f aca="false">IF($A26&gt;L$12,0,IF(L$12&gt;$C26+$A26-1,0,IF($J$5=1,SYD($B26,$D26,$C26,L$12),SLN($B26,$D26,$C26))))</f>
        <v>8873.33333333333</v>
      </c>
      <c r="M26" s="59" t="n">
        <f aca="false">IF($A26&gt;M$12,0,IF(M$12&gt;$C26+$A26-1,0,IF($J$5=1,SYD($B26,$D26,$C26,M$12),SLN($B26,$D26,$C26))))</f>
        <v>8873.33333333333</v>
      </c>
      <c r="N26" s="59" t="n">
        <f aca="false">IF($A26&gt;N$12,0,IF(N$12&gt;$C26+$A26-1,0,IF($J$5=1,SYD($B26,$D26,$C26,N$12),SLN($B26,$D26,$C26))))</f>
        <v>8873.33333333333</v>
      </c>
      <c r="O26" s="59" t="n">
        <f aca="false">IF($A26&gt;O$12,0,IF(O$12&gt;$C26+$A26-1,0,IF($J$5=1,SYD($B26,$D26,$C26,O$12),SLN($B26,$D26,$C26))))</f>
        <v>8873.33333333333</v>
      </c>
      <c r="P26" s="59"/>
      <c r="Q26" s="59"/>
    </row>
    <row r="27" customFormat="false" ht="12" hidden="false" customHeight="false" outlineLevel="0" collapsed="false">
      <c r="A27" s="192" t="n">
        <f aca="false">I12</f>
        <v>4</v>
      </c>
      <c r="B27" s="156" t="n">
        <f aca="false">IF(capex_interval="",0,IF(capex_start_year="",0,IF($A27&lt;capex_start_year,0,IF(MOD($A27-capex_start_year,capex_interval)=0,Inc_St!$G$8*capex,0))))</f>
        <v>146410</v>
      </c>
      <c r="C27" s="197" t="n">
        <v>14</v>
      </c>
      <c r="D27" s="197"/>
      <c r="E27" s="59"/>
      <c r="F27" s="59" t="n">
        <f aca="false">IF($A27&gt;F$12,0,IF(F$12&gt;$C27+$A27-1,0,IF($J$5=1,SYD($B27,$D27,$C27,F$12),SLN($B27,$D27,$C27))))</f>
        <v>0</v>
      </c>
      <c r="G27" s="59" t="n">
        <f aca="false">IF($A27&gt;G$12,0,IF(G$12&gt;$C27+$A27-1,0,IF($J$5=1,SYD($B27,$D27,$C27,G$12),SLN($B27,$D27,$C27))))</f>
        <v>0</v>
      </c>
      <c r="H27" s="59" t="n">
        <f aca="false">IF($A27&gt;H$12,0,IF(H$12&gt;$C27+$A27-1,0,IF($J$5=1,SYD($B27,$D27,$C27,H$12),SLN($B27,$D27,$C27))))</f>
        <v>0</v>
      </c>
      <c r="I27" s="59" t="n">
        <f aca="false">IF($A27&gt;I$12,0,IF(I$12&gt;$C27+$A27-1,0,IF($J$5=1,SYD($B27,$D27,$C27,I$12),SLN($B27,$D27,$C27))))</f>
        <v>10457.8571428571</v>
      </c>
      <c r="J27" s="59" t="n">
        <f aca="false">IF($A27&gt;J$12,0,IF(J$12&gt;$C27+$A27-1,0,IF($J$5=1,SYD($B27,$D27,$C27,J$12),SLN($B27,$D27,$C27))))</f>
        <v>10457.8571428571</v>
      </c>
      <c r="K27" s="59" t="n">
        <f aca="false">IF($A27&gt;K$12,0,IF(K$12&gt;$C27+$A27-1,0,IF($J$5=1,SYD($B27,$D27,$C27,K$12),SLN($B27,$D27,$C27))))</f>
        <v>10457.8571428571</v>
      </c>
      <c r="L27" s="59" t="n">
        <f aca="false">IF($A27&gt;L$12,0,IF(L$12&gt;$C27+$A27-1,0,IF($J$5=1,SYD($B27,$D27,$C27,L$12),SLN($B27,$D27,$C27))))</f>
        <v>10457.8571428571</v>
      </c>
      <c r="M27" s="59" t="n">
        <f aca="false">IF($A27&gt;M$12,0,IF(M$12&gt;$C27+$A27-1,0,IF($J$5=1,SYD($B27,$D27,$C27,M$12),SLN($B27,$D27,$C27))))</f>
        <v>10457.8571428571</v>
      </c>
      <c r="N27" s="59" t="n">
        <f aca="false">IF($A27&gt;N$12,0,IF(N$12&gt;$C27+$A27-1,0,IF($J$5=1,SYD($B27,$D27,$C27,N$12),SLN($B27,$D27,$C27))))</f>
        <v>10457.8571428571</v>
      </c>
      <c r="O27" s="59" t="n">
        <f aca="false">IF($A27&gt;O$12,0,IF(O$12&gt;$C27+$A27-1,0,IF($J$5=1,SYD($B27,$D27,$C27,O$12),SLN($B27,$D27,$C27))))</f>
        <v>10457.8571428571</v>
      </c>
      <c r="P27" s="59"/>
      <c r="Q27" s="59"/>
    </row>
    <row r="28" customFormat="false" ht="12" hidden="false" customHeight="false" outlineLevel="0" collapsed="false">
      <c r="A28" s="192" t="n">
        <f aca="false">J12</f>
        <v>5</v>
      </c>
      <c r="B28" s="156" t="n">
        <f aca="false">IF(capex_interval="",0,IF(capex_start_year="",0,IF($A28&lt;capex_start_year,0,IF(MOD($A28-capex_start_year,capex_interval)=0,Inc_St!$H$8*capex,0))))</f>
        <v>161051</v>
      </c>
      <c r="C28" s="197" t="n">
        <v>12</v>
      </c>
      <c r="D28" s="197"/>
      <c r="E28" s="59"/>
      <c r="F28" s="59" t="n">
        <f aca="false">IF($A28&gt;F$12,0,IF(F$12&gt;$C28+$A28-1,0,IF($J$5=1,SYD($B28,$D28,$C28,F$12),SLN($B28,$D28,$C28))))</f>
        <v>0</v>
      </c>
      <c r="G28" s="59" t="n">
        <f aca="false">IF($A28&gt;G$12,0,IF(G$12&gt;$C28+$A28-1,0,IF($J$5=1,SYD($B28,$D28,$C28,G$12),SLN($B28,$D28,$C28))))</f>
        <v>0</v>
      </c>
      <c r="H28" s="59" t="n">
        <f aca="false">IF($A28&gt;H$12,0,IF(H$12&gt;$C28+$A28-1,0,IF($J$5=1,SYD($B28,$D28,$C28,H$12),SLN($B28,$D28,$C28))))</f>
        <v>0</v>
      </c>
      <c r="I28" s="59" t="n">
        <f aca="false">IF($A28&gt;I$12,0,IF(I$12&gt;$C28+$A28-1,0,IF($J$5=1,SYD($B28,$D28,$C28,I$12),SLN($B28,$D28,$C28))))</f>
        <v>0</v>
      </c>
      <c r="J28" s="59" t="n">
        <f aca="false">IF($A28&gt;J$12,0,IF(J$12&gt;$C28+$A28-1,0,IF($J$5=1,SYD($B28,$D28,$C28,J$12),SLN($B28,$D28,$C28))))</f>
        <v>13420.9166666667</v>
      </c>
      <c r="K28" s="59" t="n">
        <f aca="false">IF($A28&gt;K$12,0,IF(K$12&gt;$C28+$A28-1,0,IF($J$5=1,SYD($B28,$D28,$C28,K$12),SLN($B28,$D28,$C28))))</f>
        <v>13420.9166666667</v>
      </c>
      <c r="L28" s="59" t="n">
        <f aca="false">IF($A28&gt;L$12,0,IF(L$12&gt;$C28+$A28-1,0,IF($J$5=1,SYD($B28,$D28,$C28,L$12),SLN($B28,$D28,$C28))))</f>
        <v>13420.9166666667</v>
      </c>
      <c r="M28" s="59" t="n">
        <f aca="false">IF($A28&gt;M$12,0,IF(M$12&gt;$C28+$A28-1,0,IF($J$5=1,SYD($B28,$D28,$C28,M$12),SLN($B28,$D28,$C28))))</f>
        <v>13420.9166666667</v>
      </c>
      <c r="N28" s="59" t="n">
        <f aca="false">IF($A28&gt;N$12,0,IF(N$12&gt;$C28+$A28-1,0,IF($J$5=1,SYD($B28,$D28,$C28,N$12),SLN($B28,$D28,$C28))))</f>
        <v>13420.9166666667</v>
      </c>
      <c r="O28" s="59" t="n">
        <f aca="false">IF($A28&gt;O$12,0,IF(O$12&gt;$C28+$A28-1,0,IF($J$5=1,SYD($B28,$D28,$C28,O$12),SLN($B28,$D28,$C28))))</f>
        <v>13420.9166666667</v>
      </c>
      <c r="P28" s="59"/>
      <c r="Q28" s="59"/>
    </row>
    <row r="29" customFormat="false" ht="12" hidden="false" customHeight="false" outlineLevel="0" collapsed="false">
      <c r="A29" s="192" t="n">
        <f aca="false">K12</f>
        <v>6</v>
      </c>
      <c r="B29" s="156" t="n">
        <f aca="false">IF(capex_interval="",0,IF(capex_start_year="",0,IF($A29&lt;capex_start_year,0,IF(MOD($A29-capex_start_year,capex_interval)=0,Inc_St!$I$8*capex,0))))</f>
        <v>177156.1</v>
      </c>
      <c r="C29" s="197" t="n">
        <v>16</v>
      </c>
      <c r="D29" s="197"/>
      <c r="E29" s="59"/>
      <c r="F29" s="59" t="n">
        <f aca="false">IF($A29&gt;F$12,0,IF(F$12&gt;$C29+$A29-1,0,IF($J$5=1,SYD($B29,$D29,$C29,F$12),SLN($B29,$D29,$C29))))</f>
        <v>0</v>
      </c>
      <c r="G29" s="59" t="n">
        <f aca="false">IF($A29&gt;G$12,0,IF(G$12&gt;$C29+$A29-1,0,IF($J$5=1,SYD($B29,$D29,$C29,G$12),SLN($B29,$D29,$C29))))</f>
        <v>0</v>
      </c>
      <c r="H29" s="59" t="n">
        <f aca="false">IF($A29&gt;H$12,0,IF(H$12&gt;$C29+$A29-1,0,IF($J$5=1,SYD($B29,$D29,$C29,H$12),SLN($B29,$D29,$C29))))</f>
        <v>0</v>
      </c>
      <c r="I29" s="59" t="n">
        <f aca="false">IF($A29&gt;I$12,0,IF(I$12&gt;$C29+$A29-1,0,IF($J$5=1,SYD($B29,$D29,$C29,I$12),SLN($B29,$D29,$C29))))</f>
        <v>0</v>
      </c>
      <c r="J29" s="59" t="n">
        <f aca="false">IF($A29&gt;J$12,0,IF(J$12&gt;$C29+$A29-1,0,IF($J$5=1,SYD($B29,$D29,$C29,J$12),SLN($B29,$D29,$C29))))</f>
        <v>0</v>
      </c>
      <c r="K29" s="59" t="n">
        <f aca="false">IF($A29&gt;K$12,0,IF(K$12&gt;$C29+$A29-1,0,IF($J$5=1,SYD($B29,$D29,$C29,K$12),SLN($B29,$D29,$C29))))</f>
        <v>11072.25625</v>
      </c>
      <c r="L29" s="59" t="n">
        <f aca="false">IF($A29&gt;L$12,0,IF(L$12&gt;$C29+$A29-1,0,IF($J$5=1,SYD($B29,$D29,$C29,L$12),SLN($B29,$D29,$C29))))</f>
        <v>11072.25625</v>
      </c>
      <c r="M29" s="59" t="n">
        <f aca="false">IF($A29&gt;M$12,0,IF(M$12&gt;$C29+$A29-1,0,IF($J$5=1,SYD($B29,$D29,$C29,M$12),SLN($B29,$D29,$C29))))</f>
        <v>11072.25625</v>
      </c>
      <c r="N29" s="59" t="n">
        <f aca="false">IF($A29&gt;N$12,0,IF(N$12&gt;$C29+$A29-1,0,IF($J$5=1,SYD($B29,$D29,$C29,N$12),SLN($B29,$D29,$C29))))</f>
        <v>11072.25625</v>
      </c>
      <c r="O29" s="59" t="n">
        <f aca="false">IF($A29&gt;O$12,0,IF(O$12&gt;$C29+$A29-1,0,IF($J$5=1,SYD($B29,$D29,$C29,O$12),SLN($B29,$D29,$C29))))</f>
        <v>11072.25625</v>
      </c>
      <c r="P29" s="59"/>
      <c r="Q29" s="59"/>
    </row>
    <row r="30" customFormat="false" ht="12" hidden="false" customHeight="false" outlineLevel="0" collapsed="false">
      <c r="A30" s="192" t="n">
        <f aca="false">L12</f>
        <v>7</v>
      </c>
      <c r="B30" s="156" t="n">
        <f aca="false">IF(capex_interval="",0,IF(capex_start_year="",0,IF($A30&lt;capex_start_year,0,IF(MOD($A30-capex_start_year,capex_interval)=0,Inc_St!$J$8*capex,0))))</f>
        <v>194871.71</v>
      </c>
      <c r="C30" s="197" t="n">
        <v>15</v>
      </c>
      <c r="D30" s="197"/>
      <c r="E30" s="59"/>
      <c r="F30" s="59" t="n">
        <f aca="false">IF($A30&gt;F$12,0,IF(F$12&gt;$C30+$A30-1,0,IF($J$5=1,SYD($B30,$D30,$C30,F$12),SLN($B30,$D30,$C30))))</f>
        <v>0</v>
      </c>
      <c r="G30" s="59" t="n">
        <f aca="false">IF($A30&gt;G$12,0,IF(G$12&gt;$C30+$A30-1,0,IF($J$5=1,SYD($B30,$D30,$C30,G$12),SLN($B30,$D30,$C30))))</f>
        <v>0</v>
      </c>
      <c r="H30" s="59" t="n">
        <f aca="false">IF($A30&gt;H$12,0,IF(H$12&gt;$C30+$A30-1,0,IF($J$5=1,SYD($B30,$D30,$C30,H$12),SLN($B30,$D30,$C30))))</f>
        <v>0</v>
      </c>
      <c r="I30" s="59" t="n">
        <f aca="false">IF($A30&gt;I$12,0,IF(I$12&gt;$C30+$A30-1,0,IF($J$5=1,SYD($B30,$D30,$C30,I$12),SLN($B30,$D30,$C30))))</f>
        <v>0</v>
      </c>
      <c r="J30" s="59" t="n">
        <f aca="false">IF($A30&gt;J$12,0,IF(J$12&gt;$C30+$A30-1,0,IF($J$5=1,SYD($B30,$D30,$C30,J$12),SLN($B30,$D30,$C30))))</f>
        <v>0</v>
      </c>
      <c r="K30" s="59" t="n">
        <f aca="false">IF($A30&gt;K$12,0,IF(K$12&gt;$C30+$A30-1,0,IF($J$5=1,SYD($B30,$D30,$C30,K$12),SLN($B30,$D30,$C30))))</f>
        <v>0</v>
      </c>
      <c r="L30" s="59" t="n">
        <f aca="false">IF($A30&gt;L$12,0,IF(L$12&gt;$C30+$A30-1,0,IF($J$5=1,SYD($B30,$D30,$C30,L$12),SLN($B30,$D30,$C30))))</f>
        <v>12991.4473333333</v>
      </c>
      <c r="M30" s="59" t="n">
        <f aca="false">IF($A30&gt;M$12,0,IF(M$12&gt;$C30+$A30-1,0,IF($J$5=1,SYD($B30,$D30,$C30,M$12),SLN($B30,$D30,$C30))))</f>
        <v>12991.4473333333</v>
      </c>
      <c r="N30" s="59" t="n">
        <f aca="false">IF($A30&gt;N$12,0,IF(N$12&gt;$C30+$A30-1,0,IF($J$5=1,SYD($B30,$D30,$C30,N$12),SLN($B30,$D30,$C30))))</f>
        <v>12991.4473333333</v>
      </c>
      <c r="O30" s="59" t="n">
        <f aca="false">IF($A30&gt;O$12,0,IF(O$12&gt;$C30+$A30-1,0,IF($J$5=1,SYD($B30,$D30,$C30,O$12),SLN($B30,$D30,$C30))))</f>
        <v>12991.4473333333</v>
      </c>
      <c r="P30" s="59"/>
      <c r="Q30" s="59"/>
    </row>
    <row r="31" customFormat="false" ht="12" hidden="false" customHeight="false" outlineLevel="0" collapsed="false">
      <c r="A31" s="192" t="n">
        <f aca="false">M12</f>
        <v>8</v>
      </c>
      <c r="B31" s="156" t="n">
        <f aca="false">IF(capex_interval="",0,IF(capex_start_year="",0,IF($A31&lt;capex_start_year,0,IF(MOD($A31-capex_start_year,capex_interval)=0,Inc_St!$K$8*capex,0))))</f>
        <v>214358.881</v>
      </c>
      <c r="C31" s="197" t="n">
        <v>15</v>
      </c>
      <c r="D31" s="197"/>
      <c r="E31" s="59"/>
      <c r="F31" s="59" t="n">
        <f aca="false">IF($A31&gt;F$12,0,IF(F$12&gt;$C31+$A31-1,0,IF($J$5=1,SYD($B31,$D31,$C31,F$12),SLN($B31,$D31,$C31))))</f>
        <v>0</v>
      </c>
      <c r="G31" s="59" t="n">
        <f aca="false">IF($A31&gt;G$12,0,IF(G$12&gt;$C31+$A31-1,0,IF($J$5=1,SYD($B31,$D31,$C31,G$12),SLN($B31,$D31,$C31))))</f>
        <v>0</v>
      </c>
      <c r="H31" s="59" t="n">
        <f aca="false">IF($A31&gt;H$12,0,IF(H$12&gt;$C31+$A31-1,0,IF($J$5=1,SYD($B31,$D31,$C31,H$12),SLN($B31,$D31,$C31))))</f>
        <v>0</v>
      </c>
      <c r="I31" s="59" t="n">
        <f aca="false">IF($A31&gt;I$12,0,IF(I$12&gt;$C31+$A31-1,0,IF($J$5=1,SYD($B31,$D31,$C31,I$12),SLN($B31,$D31,$C31))))</f>
        <v>0</v>
      </c>
      <c r="J31" s="59" t="n">
        <f aca="false">IF($A31&gt;J$12,0,IF(J$12&gt;$C31+$A31-1,0,IF($J$5=1,SYD($B31,$D31,$C31,J$12),SLN($B31,$D31,$C31))))</f>
        <v>0</v>
      </c>
      <c r="K31" s="59" t="n">
        <f aca="false">IF($A31&gt;K$12,0,IF(K$12&gt;$C31+$A31-1,0,IF($J$5=1,SYD($B31,$D31,$C31,K$12),SLN($B31,$D31,$C31))))</f>
        <v>0</v>
      </c>
      <c r="L31" s="59" t="n">
        <f aca="false">IF($A31&gt;L$12,0,IF(L$12&gt;$C31+$A31-1,0,IF($J$5=1,SYD($B31,$D31,$C31,L$12),SLN($B31,$D31,$C31))))</f>
        <v>0</v>
      </c>
      <c r="M31" s="59" t="n">
        <f aca="false">IF($A31&gt;M$12,0,IF(M$12&gt;$C31+$A31-1,0,IF($J$5=1,SYD($B31,$D31,$C31,M$12),SLN($B31,$D31,$C31))))</f>
        <v>14290.5920666667</v>
      </c>
      <c r="N31" s="59" t="n">
        <f aca="false">IF($A31&gt;N$12,0,IF(N$12&gt;$C31+$A31-1,0,IF($J$5=1,SYD($B31,$D31,$C31,N$12),SLN($B31,$D31,$C31))))</f>
        <v>14290.5920666667</v>
      </c>
      <c r="O31" s="59" t="n">
        <f aca="false">IF($A31&gt;O$12,0,IF(O$12&gt;$C31+$A31-1,0,IF($J$5=1,SYD($B31,$D31,$C31,O$12),SLN($B31,$D31,$C31))))</f>
        <v>14290.5920666667</v>
      </c>
      <c r="P31" s="59"/>
      <c r="Q31" s="59"/>
    </row>
    <row r="32" customFormat="false" ht="12" hidden="false" customHeight="false" outlineLevel="0" collapsed="false">
      <c r="A32" s="192" t="n">
        <f aca="false">N12</f>
        <v>9</v>
      </c>
      <c r="B32" s="156" t="n">
        <f aca="false">IF(capex_interval="",0,IF(capex_start_year="",0,IF($A32&lt;capex_start_year,0,IF(MOD($A32-capex_start_year,capex_interval)=0,Inc_St!$L$8*capex,0))))</f>
        <v>235794.7691</v>
      </c>
      <c r="C32" s="197" t="n">
        <v>12</v>
      </c>
      <c r="D32" s="197"/>
      <c r="E32" s="59"/>
      <c r="F32" s="59" t="n">
        <f aca="false">IF($A32&gt;F$12,0,IF(F$12&gt;$C32+$A32-1,0,IF($J$5=1,SYD($B32,$D32,$C32,F$12),SLN($B32,$D32,$C32))))</f>
        <v>0</v>
      </c>
      <c r="G32" s="59" t="n">
        <f aca="false">IF($A32&gt;G$12,0,IF(G$12&gt;$C32+$A32-1,0,IF($J$5=1,SYD($B32,$D32,$C32,G$12),SLN($B32,$D32,$C32))))</f>
        <v>0</v>
      </c>
      <c r="H32" s="59" t="n">
        <f aca="false">IF($A32&gt;H$12,0,IF(H$12&gt;$C32+$A32-1,0,IF($J$5=1,SYD($B32,$D32,$C32,H$12),SLN($B32,$D32,$C32))))</f>
        <v>0</v>
      </c>
      <c r="I32" s="59" t="n">
        <f aca="false">IF($A32&gt;I$12,0,IF(I$12&gt;$C32+$A32-1,0,IF($J$5=1,SYD($B32,$D32,$C32,I$12),SLN($B32,$D32,$C32))))</f>
        <v>0</v>
      </c>
      <c r="J32" s="59" t="n">
        <f aca="false">IF($A32&gt;J$12,0,IF(J$12&gt;$C32+$A32-1,0,IF($J$5=1,SYD($B32,$D32,$C32,J$12),SLN($B32,$D32,$C32))))</f>
        <v>0</v>
      </c>
      <c r="K32" s="59" t="n">
        <f aca="false">IF($A32&gt;K$12,0,IF(K$12&gt;$C32+$A32-1,0,IF($J$5=1,SYD($B32,$D32,$C32,K$12),SLN($B32,$D32,$C32))))</f>
        <v>0</v>
      </c>
      <c r="L32" s="59" t="n">
        <f aca="false">IF($A32&gt;L$12,0,IF(L$12&gt;$C32+$A32-1,0,IF($J$5=1,SYD($B32,$D32,$C32,L$12),SLN($B32,$D32,$C32))))</f>
        <v>0</v>
      </c>
      <c r="M32" s="59" t="n">
        <f aca="false">IF($A32&gt;M$12,0,IF(M$12&gt;$C32+$A32-1,0,IF($J$5=1,SYD($B32,$D32,$C32,M$12),SLN($B32,$D32,$C32))))</f>
        <v>0</v>
      </c>
      <c r="N32" s="59" t="n">
        <f aca="false">IF($A32&gt;N$12,0,IF(N$12&gt;$C32+$A32-1,0,IF($J$5=1,SYD($B32,$D32,$C32,N$12),SLN($B32,$D32,$C32))))</f>
        <v>19649.5640916667</v>
      </c>
      <c r="O32" s="59" t="n">
        <f aca="false">IF($A32&gt;O$12,0,IF(O$12&gt;$C32+$A32-1,0,IF($J$5=1,SYD($B32,$D32,$C32,O$12),SLN($B32,$D32,$C32))))</f>
        <v>19649.5640916667</v>
      </c>
      <c r="P32" s="59"/>
      <c r="Q32" s="59"/>
    </row>
    <row r="33" customFormat="false" ht="12" hidden="false" customHeight="false" outlineLevel="0" collapsed="false">
      <c r="A33" s="192" t="n">
        <f aca="false">O12</f>
        <v>10</v>
      </c>
      <c r="B33" s="156" t="n">
        <f aca="false">IF(capex_interval="",0,IF(capex_start_year="",0,IF($A33&lt;capex_start_year,0,IF(MOD($A33-capex_start_year,capex_interval)=0,Inc_St!$M$8*capex,0))))</f>
        <v>259374.24601</v>
      </c>
      <c r="C33" s="197" t="n">
        <v>12</v>
      </c>
      <c r="D33" s="197"/>
      <c r="E33" s="59"/>
      <c r="F33" s="59" t="n">
        <f aca="false">IF($A33&gt;F$12,0,IF(F$12&gt;$C33+$A33-1,0,IF($J$5=1,SYD($B33,$D33,$C33,F$12),SLN($B33,$D33,$C33))))</f>
        <v>0</v>
      </c>
      <c r="G33" s="59" t="n">
        <f aca="false">IF($A33&gt;G$12,0,IF(G$12&gt;$C33+$A33-1,0,IF($J$5=1,SYD($B33,$D33,$C33,G$12),SLN($B33,$D33,$C33))))</f>
        <v>0</v>
      </c>
      <c r="H33" s="59" t="n">
        <f aca="false">IF($A33&gt;H$12,0,IF(H$12&gt;$C33+$A33-1,0,IF($J$5=1,SYD($B33,$D33,$C33,H$12),SLN($B33,$D33,$C33))))</f>
        <v>0</v>
      </c>
      <c r="I33" s="59" t="n">
        <f aca="false">IF($A33&gt;I$12,0,IF(I$12&gt;$C33+$A33-1,0,IF($J$5=1,SYD($B33,$D33,$C33,I$12),SLN($B33,$D33,$C33))))</f>
        <v>0</v>
      </c>
      <c r="J33" s="59" t="n">
        <f aca="false">IF($A33&gt;J$12,0,IF(J$12&gt;$C33+$A33-1,0,IF($J$5=1,SYD($B33,$D33,$C33,J$12),SLN($B33,$D33,$C33))))</f>
        <v>0</v>
      </c>
      <c r="K33" s="59" t="n">
        <f aca="false">IF($A33&gt;K$12,0,IF(K$12&gt;$C33+$A33-1,0,IF($J$5=1,SYD($B33,$D33,$C33,K$12),SLN($B33,$D33,$C33))))</f>
        <v>0</v>
      </c>
      <c r="L33" s="59" t="n">
        <f aca="false">IF($A33&gt;L$12,0,IF(L$12&gt;$C33+$A33-1,0,IF($J$5=1,SYD($B33,$D33,$C33,L$12),SLN($B33,$D33,$C33))))</f>
        <v>0</v>
      </c>
      <c r="M33" s="59" t="n">
        <f aca="false">IF($A33&gt;M$12,0,IF(M$12&gt;$C33+$A33-1,0,IF($J$5=1,SYD($B33,$D33,$C33,M$12),SLN($B33,$D33,$C33))))</f>
        <v>0</v>
      </c>
      <c r="N33" s="59" t="n">
        <f aca="false">IF($A33&gt;N$12,0,IF(N$12&gt;$C33+$A33-1,0,IF($J$5=1,SYD($B33,$D33,$C33,N$12),SLN($B33,$D33,$C33))))</f>
        <v>0</v>
      </c>
      <c r="O33" s="59" t="n">
        <f aca="false">IF($A33&gt;O$12,0,IF(O$12&gt;$C33+$A33-1,0,IF($J$5=1,SYD($B33,$D33,$C33,O$12),SLN($B33,$D33,$C33))))</f>
        <v>21614.5205008334</v>
      </c>
      <c r="P33" s="59"/>
      <c r="Q33" s="59"/>
    </row>
    <row r="34" customFormat="false" ht="12" hidden="false" customHeight="false" outlineLevel="0" collapsed="false">
      <c r="A34" s="179"/>
      <c r="B34" s="198" t="n">
        <f aca="false">SUM(B24:B33)</f>
        <v>1753116.70611</v>
      </c>
      <c r="C34" s="200"/>
      <c r="D34" s="198" t="n">
        <f aca="false">SUM(D24:D33)</f>
        <v>0</v>
      </c>
      <c r="E34" s="59"/>
      <c r="F34" s="158" t="n">
        <f aca="false">SUM(F24:F33)</f>
        <v>9166.66666666667</v>
      </c>
      <c r="G34" s="158" t="n">
        <f aca="false">SUM(G24:G33)</f>
        <v>21266.6666666667</v>
      </c>
      <c r="H34" s="158" t="n">
        <f aca="false">SUM(H24:H33)</f>
        <v>30140</v>
      </c>
      <c r="I34" s="158" t="n">
        <f aca="false">SUM(I24:I33)</f>
        <v>40597.8571428571</v>
      </c>
      <c r="J34" s="158" t="n">
        <f aca="false">SUM(J24:J33)</f>
        <v>54018.7738095238</v>
      </c>
      <c r="K34" s="158" t="n">
        <f aca="false">SUM(K24:K33)</f>
        <v>65091.0300595238</v>
      </c>
      <c r="L34" s="158" t="n">
        <f aca="false">SUM(L24:L33)</f>
        <v>78082.4773928572</v>
      </c>
      <c r="M34" s="158" t="n">
        <f aca="false">SUM(M24:M33)</f>
        <v>92373.0694595239</v>
      </c>
      <c r="N34" s="158" t="n">
        <f aca="false">SUM(N24:N33)</f>
        <v>112022.633551191</v>
      </c>
      <c r="O34" s="158" t="n">
        <f aca="false">SUM(O24:O33)</f>
        <v>133637.154052024</v>
      </c>
      <c r="P34" s="59"/>
      <c r="Q34" s="59"/>
    </row>
    <row r="35" customFormat="false" ht="12" hidden="false" customHeight="false" outlineLevel="0" collapsed="false">
      <c r="A35" s="179"/>
      <c r="B35" s="200"/>
      <c r="C35" s="200"/>
      <c r="D35" s="59"/>
      <c r="E35" s="59"/>
      <c r="F35" s="59"/>
      <c r="G35" s="59"/>
      <c r="H35" s="59"/>
      <c r="I35" s="59"/>
      <c r="J35" s="59"/>
      <c r="K35" s="59"/>
      <c r="L35" s="59"/>
      <c r="M35" s="59"/>
      <c r="N35" s="59"/>
      <c r="O35" s="59"/>
      <c r="P35" s="59"/>
      <c r="Q35" s="59"/>
    </row>
    <row r="36" customFormat="false" ht="12" hidden="false" customHeight="false" outlineLevel="0" collapsed="false">
      <c r="A36" s="201" t="s">
        <v>226</v>
      </c>
      <c r="B36" s="200"/>
      <c r="C36" s="200"/>
      <c r="D36" s="59"/>
      <c r="E36" s="59"/>
      <c r="F36" s="59" t="n">
        <f aca="false">SUM(F20,F34)</f>
        <v>72745</v>
      </c>
      <c r="G36" s="59" t="n">
        <f aca="false">SUM(G20,G34)</f>
        <v>84845</v>
      </c>
      <c r="H36" s="59" t="n">
        <f aca="false">SUM(H20,H34)</f>
        <v>93718.3333333333</v>
      </c>
      <c r="I36" s="59" t="n">
        <f aca="false">SUM(I20,I34)</f>
        <v>104176.19047619</v>
      </c>
      <c r="J36" s="59" t="n">
        <f aca="false">SUM(J20,J34)</f>
        <v>117597.107142857</v>
      </c>
      <c r="K36" s="59" t="n">
        <f aca="false">SUM(K20,K34)</f>
        <v>128669.363392857</v>
      </c>
      <c r="L36" s="59" t="n">
        <f aca="false">SUM(L20,L34)</f>
        <v>101352.477392857</v>
      </c>
      <c r="M36" s="59" t="n">
        <f aca="false">SUM(M20,M34)</f>
        <v>115643.069459524</v>
      </c>
      <c r="N36" s="59" t="n">
        <f aca="false">SUM(N20,N34)</f>
        <v>127867.633551191</v>
      </c>
      <c r="O36" s="59" t="n">
        <f aca="false">SUM(O20,O34)</f>
        <v>149482.154052024</v>
      </c>
      <c r="P36" s="59"/>
      <c r="Q36" s="59"/>
    </row>
    <row r="37" customFormat="false" ht="12" hidden="false" customHeight="false" outlineLevel="0" collapsed="false">
      <c r="A37" s="201" t="s">
        <v>227</v>
      </c>
      <c r="B37" s="204"/>
      <c r="C37" s="204"/>
      <c r="D37" s="59"/>
      <c r="E37" s="59"/>
      <c r="F37" s="151" t="n">
        <v>40000</v>
      </c>
      <c r="G37" s="151" t="n">
        <v>40000</v>
      </c>
      <c r="H37" s="151" t="n">
        <v>40000</v>
      </c>
      <c r="I37" s="151" t="n">
        <v>40000</v>
      </c>
      <c r="J37" s="151" t="n">
        <v>40000</v>
      </c>
      <c r="K37" s="151" t="n">
        <v>40000</v>
      </c>
      <c r="L37" s="151" t="n">
        <v>40000</v>
      </c>
      <c r="M37" s="151" t="n">
        <v>40000</v>
      </c>
      <c r="N37" s="151" t="n">
        <v>40000</v>
      </c>
      <c r="O37" s="151" t="n">
        <v>40000</v>
      </c>
      <c r="P37" s="59"/>
      <c r="Q37" s="59"/>
    </row>
    <row r="38" customFormat="false" ht="12" hidden="false" customHeight="false" outlineLevel="0" collapsed="false">
      <c r="A38" s="164"/>
      <c r="B38" s="204"/>
      <c r="C38" s="204"/>
      <c r="D38" s="59"/>
      <c r="E38" s="59"/>
      <c r="F38" s="59"/>
      <c r="G38" s="59"/>
      <c r="H38" s="59"/>
      <c r="I38" s="59"/>
      <c r="J38" s="59"/>
      <c r="K38" s="59"/>
      <c r="L38" s="59"/>
      <c r="M38" s="59"/>
      <c r="N38" s="59"/>
      <c r="O38" s="59"/>
      <c r="P38" s="59"/>
      <c r="Q38" s="59"/>
    </row>
    <row r="39" customFormat="false" ht="12" hidden="false" customHeight="false" outlineLevel="0" collapsed="false">
      <c r="A39" s="201" t="s">
        <v>228</v>
      </c>
      <c r="B39" s="204"/>
      <c r="C39" s="204"/>
      <c r="D39" s="59"/>
      <c r="E39" s="59"/>
      <c r="F39" s="59" t="n">
        <f aca="false">IF($J$8=1,F36,F37)</f>
        <v>72745</v>
      </c>
      <c r="G39" s="59" t="n">
        <f aca="false">IF($J$8=1,G36,G37)</f>
        <v>84845</v>
      </c>
      <c r="H39" s="59" t="n">
        <f aca="false">IF($J$8=1,H36,H37)</f>
        <v>93718.3333333333</v>
      </c>
      <c r="I39" s="59" t="n">
        <f aca="false">IF($J$8=1,I36,I37)</f>
        <v>104176.19047619</v>
      </c>
      <c r="J39" s="59" t="n">
        <f aca="false">IF($J$8=1,J36,J37)</f>
        <v>117597.107142857</v>
      </c>
      <c r="K39" s="59" t="n">
        <f aca="false">IF($J$8=1,K36,K37)</f>
        <v>128669.363392857</v>
      </c>
      <c r="L39" s="59" t="n">
        <f aca="false">IF($J$8=1,L36,L37)</f>
        <v>101352.477392857</v>
      </c>
      <c r="M39" s="59" t="n">
        <f aca="false">IF($J$8=1,M36,M37)</f>
        <v>115643.069459524</v>
      </c>
      <c r="N39" s="59" t="n">
        <f aca="false">IF($J$8=1,N36,N37)</f>
        <v>127867.633551191</v>
      </c>
      <c r="O39" s="59" t="n">
        <f aca="false">IF($J$8=1,O36,O37)</f>
        <v>149482.154052024</v>
      </c>
      <c r="P39" s="59"/>
      <c r="Q39" s="59"/>
    </row>
    <row r="40" customFormat="false" ht="12" hidden="false" customHeight="false" outlineLevel="0" collapsed="false">
      <c r="A40" s="164"/>
      <c r="B40" s="204"/>
      <c r="C40" s="204"/>
      <c r="D40" s="59"/>
      <c r="E40" s="59"/>
      <c r="F40" s="59"/>
      <c r="G40" s="59"/>
      <c r="H40" s="59"/>
      <c r="I40" s="59"/>
      <c r="J40" s="59"/>
      <c r="K40" s="59"/>
      <c r="L40" s="59"/>
      <c r="M40" s="59"/>
      <c r="N40" s="59"/>
      <c r="O40" s="59"/>
      <c r="P40" s="59"/>
      <c r="Q40" s="59"/>
    </row>
    <row r="41" customFormat="false" ht="12" hidden="false" customHeight="false" outlineLevel="0" collapsed="false">
      <c r="A41" s="179"/>
      <c r="B41" s="200"/>
      <c r="C41" s="200"/>
      <c r="D41" s="202" t="s">
        <v>56</v>
      </c>
      <c r="E41" s="59"/>
      <c r="F41" s="59"/>
      <c r="G41" s="59"/>
      <c r="H41" s="59"/>
      <c r="I41" s="59"/>
      <c r="J41" s="59"/>
      <c r="K41" s="59"/>
      <c r="L41" s="59"/>
      <c r="M41" s="59"/>
      <c r="N41" s="59"/>
      <c r="O41" s="59"/>
      <c r="P41" s="59"/>
      <c r="Q41" s="59"/>
    </row>
    <row r="42" customFormat="false" ht="12" hidden="false" customHeight="false" outlineLevel="0" collapsed="false">
      <c r="A42" s="201" t="s">
        <v>229</v>
      </c>
      <c r="B42" s="200"/>
      <c r="C42" s="200"/>
      <c r="D42" s="197" t="n">
        <v>12</v>
      </c>
      <c r="E42" s="59"/>
      <c r="F42" s="59" t="n">
        <f aca="false">IF(F$12&gt;$D$42,0,Bal_Sheet!$E$20/$D$42)</f>
        <v>179.166666666667</v>
      </c>
      <c r="G42" s="59" t="n">
        <f aca="false">IF(G$12&gt;$D$42,0,Bal_Sheet!$E$20/$D$42)</f>
        <v>179.166666666667</v>
      </c>
      <c r="H42" s="59" t="n">
        <f aca="false">IF(H$12&gt;$D$42,0,Bal_Sheet!$E$20/$D$42)</f>
        <v>179.166666666667</v>
      </c>
      <c r="I42" s="59" t="n">
        <f aca="false">IF(I$12&gt;$D$42,0,Bal_Sheet!$E$20/$D$42)</f>
        <v>179.166666666667</v>
      </c>
      <c r="J42" s="59" t="n">
        <f aca="false">IF(J$12&gt;$D$42,0,Bal_Sheet!$E$20/$D$42)</f>
        <v>179.166666666667</v>
      </c>
      <c r="K42" s="59" t="n">
        <f aca="false">IF(K$12&gt;$D$42,0,Bal_Sheet!$E$20/$D$42)</f>
        <v>179.166666666667</v>
      </c>
      <c r="L42" s="59" t="n">
        <f aca="false">IF(L$12&gt;$D$42,0,Bal_Sheet!$E$20/$D$42)</f>
        <v>179.166666666667</v>
      </c>
      <c r="M42" s="59" t="n">
        <f aca="false">IF(M$12&gt;$D$42,0,Bal_Sheet!$E$20/$D$42)</f>
        <v>179.166666666667</v>
      </c>
      <c r="N42" s="59" t="n">
        <f aca="false">IF(N$12&gt;$D$42,0,Bal_Sheet!$E$20/$D$42)</f>
        <v>179.166666666667</v>
      </c>
      <c r="O42" s="59" t="n">
        <f aca="false">IF(O$12&gt;$D$42,0,Bal_Sheet!$E$20/$D$42)</f>
        <v>179.166666666667</v>
      </c>
      <c r="P42" s="59"/>
      <c r="Q42" s="59"/>
    </row>
    <row r="43" customFormat="false" ht="12" hidden="false" customHeight="false" outlineLevel="0" collapsed="false">
      <c r="A43" s="201" t="s">
        <v>230</v>
      </c>
      <c r="B43" s="200"/>
      <c r="C43" s="200"/>
      <c r="D43" s="59"/>
      <c r="E43" s="59"/>
      <c r="F43" s="151" t="n">
        <v>0</v>
      </c>
      <c r="G43" s="151" t="n">
        <v>0</v>
      </c>
      <c r="H43" s="151" t="n">
        <v>0</v>
      </c>
      <c r="I43" s="151" t="n">
        <v>0</v>
      </c>
      <c r="J43" s="151" t="n">
        <v>0</v>
      </c>
      <c r="K43" s="151" t="n">
        <v>0</v>
      </c>
      <c r="L43" s="151" t="n">
        <v>0</v>
      </c>
      <c r="M43" s="151" t="n">
        <v>0</v>
      </c>
      <c r="N43" s="151" t="n">
        <v>0</v>
      </c>
      <c r="O43" s="151" t="n">
        <v>0</v>
      </c>
      <c r="P43" s="59"/>
      <c r="Q43" s="59"/>
    </row>
    <row r="44" customFormat="false" ht="12" hidden="false" customHeight="false" outlineLevel="0" collapsed="false">
      <c r="A44" s="179"/>
      <c r="B44" s="200"/>
      <c r="C44" s="200"/>
      <c r="D44" s="202" t="s">
        <v>231</v>
      </c>
      <c r="E44" s="59"/>
      <c r="F44" s="59"/>
      <c r="G44" s="59"/>
      <c r="H44" s="59"/>
      <c r="I44" s="59"/>
      <c r="J44" s="59"/>
      <c r="K44" s="59"/>
      <c r="L44" s="59"/>
      <c r="M44" s="59"/>
      <c r="N44" s="59"/>
      <c r="O44" s="59"/>
      <c r="P44" s="59"/>
      <c r="Q44" s="59"/>
      <c r="R44" s="59"/>
      <c r="S44" s="59"/>
      <c r="T44" s="59"/>
      <c r="U44" s="59"/>
    </row>
    <row r="45" customFormat="false" ht="12" hidden="false" customHeight="false" outlineLevel="0" collapsed="false">
      <c r="A45" s="201" t="s">
        <v>169</v>
      </c>
      <c r="B45" s="200"/>
      <c r="C45" s="200"/>
      <c r="D45" s="156" t="n">
        <f aca="false">Input!Q34</f>
        <v>10887.5</v>
      </c>
      <c r="E45" s="59"/>
      <c r="F45" s="59" t="n">
        <f aca="false">SUM(F46:F52)</f>
        <v>1052.77777777778</v>
      </c>
      <c r="G45" s="59" t="n">
        <f aca="false">SUM(G46:G52)</f>
        <v>1052.77777777778</v>
      </c>
      <c r="H45" s="59" t="n">
        <f aca="false">SUM(H46:H52)</f>
        <v>1802.77777777778</v>
      </c>
      <c r="I45" s="59" t="n">
        <f aca="false">SUM(I46:I52)</f>
        <v>1515.27777777778</v>
      </c>
      <c r="J45" s="59" t="n">
        <f aca="false">SUM(J46:J52)</f>
        <v>1393.05555555556</v>
      </c>
      <c r="K45" s="59" t="n">
        <f aca="false">SUM(K46:K52)</f>
        <v>2270.83333333333</v>
      </c>
      <c r="L45" s="59" t="n">
        <f aca="false">SUM(L46:L52)</f>
        <v>450</v>
      </c>
      <c r="M45" s="59" t="n">
        <f aca="false">SUM(M46:M52)</f>
        <v>450</v>
      </c>
      <c r="N45" s="59" t="n">
        <f aca="false">SUM(N46:N52)</f>
        <v>450</v>
      </c>
      <c r="O45" s="59" t="n">
        <f aca="false">SUM(O46:O52)</f>
        <v>450</v>
      </c>
      <c r="P45" s="59"/>
      <c r="Q45" s="59"/>
    </row>
    <row r="46" customFormat="false" ht="12" hidden="false" customHeight="false" outlineLevel="1" collapsed="false">
      <c r="A46" s="205" t="str">
        <f aca="false">Input!A27</f>
        <v>Bank Revolver</v>
      </c>
      <c r="B46" s="206"/>
      <c r="C46" s="206"/>
      <c r="D46" s="142"/>
      <c r="E46" s="142"/>
      <c r="F46" s="142" t="n">
        <f aca="false">IF(F$12&gt;Input!$S$27,0,Input!$R$27)</f>
        <v>450</v>
      </c>
      <c r="G46" s="142" t="n">
        <f aca="false">IF(G$12&gt;Input!$S$27,0,Input!$R$27)</f>
        <v>450</v>
      </c>
      <c r="H46" s="142" t="n">
        <f aca="false">IF(H$12&gt;Input!$S$27,0,Input!$R$27)</f>
        <v>450</v>
      </c>
      <c r="I46" s="142" t="n">
        <f aca="false">IF(I$12&gt;Input!$S$27,0,Input!$R$27)</f>
        <v>450</v>
      </c>
      <c r="J46" s="142" t="n">
        <f aca="false">IF(J$12&gt;Input!$S$27,0,Input!$R$27)</f>
        <v>450</v>
      </c>
      <c r="K46" s="142" t="n">
        <f aca="false">IF(K$12&gt;Input!$S$27,0,Input!$R$27)</f>
        <v>450</v>
      </c>
      <c r="L46" s="142" t="n">
        <f aca="false">IF(L$12&gt;Input!$S$27,0,Input!$R$27)</f>
        <v>450</v>
      </c>
      <c r="M46" s="142" t="n">
        <f aca="false">IF(M$12&gt;Input!$S$27,0,Input!$R$27)</f>
        <v>450</v>
      </c>
      <c r="N46" s="142" t="n">
        <f aca="false">IF(N$12&gt;Input!$S$27,0,Input!$R$27)</f>
        <v>450</v>
      </c>
      <c r="O46" s="142" t="n">
        <f aca="false">IF(O$12&gt;Input!$S$27,0,Input!$R$27)</f>
        <v>450</v>
      </c>
      <c r="P46" s="59"/>
      <c r="Q46" s="59"/>
    </row>
    <row r="47" customFormat="false" ht="12" hidden="false" customHeight="false" outlineLevel="1" collapsed="false">
      <c r="A47" s="205" t="str">
        <f aca="false">Input!A28</f>
        <v>Term Loan "A"</v>
      </c>
      <c r="B47" s="206"/>
      <c r="C47" s="206"/>
      <c r="D47" s="142"/>
      <c r="E47" s="142"/>
      <c r="F47" s="142" t="n">
        <f aca="false">IF(AND(ROUND(Bal_Sheet!F48,2)=0,ROUND(Bal_Sheet!E48,2)&gt;0),Input!$Q28-SUM($E47:E47),(MIN(Input!$Q28-SUM($E47:E47),Input!$R28)))</f>
        <v>150</v>
      </c>
      <c r="G47" s="142" t="n">
        <f aca="false">IF(AND(ROUND(Bal_Sheet!G48,2)=0,ROUND(Bal_Sheet!F48,2)&gt;0),Input!$Q28-SUM($E47:F47),(MIN(Input!$Q28-SUM($E47:F47),Input!$R28)))</f>
        <v>150</v>
      </c>
      <c r="H47" s="142" t="n">
        <f aca="false">IF(AND(ROUND(Bal_Sheet!H48,2)=0,ROUND(Bal_Sheet!G48,2)&gt;0),Input!$Q28-SUM($E47:G47),(MIN(Input!$Q28-SUM($E47:G47),Input!$R28)))</f>
        <v>900</v>
      </c>
      <c r="I47" s="142" t="n">
        <f aca="false">IF(AND(ROUND(Bal_Sheet!I48,2)=0,ROUND(Bal_Sheet!H48,2)&gt;0),Input!$Q28-SUM($E47:H47),(MIN(Input!$Q28-SUM($E47:H47),Input!$R28)))</f>
        <v>0</v>
      </c>
      <c r="J47" s="142" t="n">
        <f aca="false">IF(AND(ROUND(Bal_Sheet!J48,2)=0,ROUND(Bal_Sheet!I48,2)&gt;0),Input!$Q28-SUM($E47:I47),(MIN(Input!$Q28-SUM($E47:I47),Input!$R28)))</f>
        <v>0</v>
      </c>
      <c r="K47" s="142" t="n">
        <f aca="false">IF(AND(ROUND(Bal_Sheet!K48,2)=0,ROUND(Bal_Sheet!J48,2)&gt;0),Input!$Q28-SUM($E47:J47),(MIN(Input!$Q28-SUM($E47:J47),Input!$R28)))</f>
        <v>0</v>
      </c>
      <c r="L47" s="142" t="n">
        <f aca="false">IF(AND(ROUND(Bal_Sheet!L48,2)=0,ROUND(Bal_Sheet!K48,2)&gt;0),Input!$Q28-SUM($E47:K47),(MIN(Input!$Q28-SUM($E47:K47),Input!$R28)))</f>
        <v>0</v>
      </c>
      <c r="M47" s="142" t="n">
        <f aca="false">IF(AND(ROUND(Bal_Sheet!M48,2)=0,ROUND(Bal_Sheet!L48,2)&gt;0),Input!$Q28-SUM($E47:L47),(MIN(Input!$Q28-SUM($E47:L47),Input!$R28)))</f>
        <v>0</v>
      </c>
      <c r="N47" s="142" t="n">
        <f aca="false">IF(AND(ROUND(Bal_Sheet!N48,2)=0,ROUND(Bal_Sheet!M48,2)&gt;0),Input!$Q28-SUM($E47:M47),(MIN(Input!$Q28-SUM($E47:M47),Input!$R28)))</f>
        <v>0</v>
      </c>
      <c r="O47" s="142" t="n">
        <f aca="false">IF(AND(ROUND(Bal_Sheet!O48,2)=0,ROUND(Bal_Sheet!N48,2)&gt;0),Input!$Q28-SUM($E47:N47),(MIN(Input!$Q28-SUM($E47:N47),Input!$R28)))</f>
        <v>0</v>
      </c>
      <c r="P47" s="59"/>
      <c r="Q47" s="59"/>
    </row>
    <row r="48" customFormat="false" ht="12" hidden="false" customHeight="false" outlineLevel="1" collapsed="false">
      <c r="A48" s="205" t="str">
        <f aca="false">Input!A29</f>
        <v>Term Loan "B"</v>
      </c>
      <c r="B48" s="206"/>
      <c r="C48" s="206"/>
      <c r="D48" s="142"/>
      <c r="E48" s="142"/>
      <c r="F48" s="142" t="n">
        <f aca="false">IF(AND(ROUND(Bal_Sheet!F49,2)=0,ROUND(Bal_Sheet!E49,2)&gt;0),Input!$Q29-SUM($E48:E48),(MIN(Input!$Q29-SUM($E48:E48),Input!$R29)))</f>
        <v>87.5</v>
      </c>
      <c r="G48" s="142" t="n">
        <f aca="false">IF(AND(ROUND(Bal_Sheet!G49,2)=0,ROUND(Bal_Sheet!F49,2)&gt;0),Input!$Q29-SUM($E48:F48),(MIN(Input!$Q29-SUM($E48:F48),Input!$R29)))</f>
        <v>87.5</v>
      </c>
      <c r="H48" s="142" t="n">
        <f aca="false">IF(AND(ROUND(Bal_Sheet!H49,2)=0,ROUND(Bal_Sheet!G49,2)&gt;0),Input!$Q29-SUM($E48:G48),(MIN(Input!$Q29-SUM($E48:G48),Input!$R29)))</f>
        <v>87.5</v>
      </c>
      <c r="I48" s="142" t="n">
        <f aca="false">IF(AND(ROUND(Bal_Sheet!I49,2)=0,ROUND(Bal_Sheet!H49,2)&gt;0),Input!$Q29-SUM($E48:H48),(MIN(Input!$Q29-SUM($E48:H48),Input!$R29)))</f>
        <v>700</v>
      </c>
      <c r="J48" s="142" t="n">
        <f aca="false">IF(AND(ROUND(Bal_Sheet!J49,2)=0,ROUND(Bal_Sheet!I49,2)&gt;0),Input!$Q29-SUM($E48:I48),(MIN(Input!$Q29-SUM($E48:I48),Input!$R29)))</f>
        <v>0</v>
      </c>
      <c r="K48" s="142" t="n">
        <f aca="false">IF(AND(ROUND(Bal_Sheet!K49,2)=0,ROUND(Bal_Sheet!J49,2)&gt;0),Input!$Q29-SUM($E48:J48),(MIN(Input!$Q29-SUM($E48:J48),Input!$R29)))</f>
        <v>0</v>
      </c>
      <c r="L48" s="142" t="n">
        <f aca="false">IF(AND(ROUND(Bal_Sheet!L49,2)=0,ROUND(Bal_Sheet!K49,2)&gt;0),Input!$Q29-SUM($E48:K48),(MIN(Input!$Q29-SUM($E48:K48),Input!$R29)))</f>
        <v>0</v>
      </c>
      <c r="M48" s="142" t="n">
        <f aca="false">IF(AND(ROUND(Bal_Sheet!M49,2)=0,ROUND(Bal_Sheet!L49,2)&gt;0),Input!$Q29-SUM($E48:L48),(MIN(Input!$Q29-SUM($E48:L48),Input!$R29)))</f>
        <v>0</v>
      </c>
      <c r="N48" s="142" t="n">
        <f aca="false">IF(AND(ROUND(Bal_Sheet!N49,2)=0,ROUND(Bal_Sheet!M49,2)&gt;0),Input!$Q29-SUM($E48:M48),(MIN(Input!$Q29-SUM($E48:M48),Input!$R29)))</f>
        <v>0</v>
      </c>
      <c r="O48" s="142" t="n">
        <f aca="false">IF(AND(ROUND(Bal_Sheet!O49,2)=0,ROUND(Bal_Sheet!N49,2)&gt;0),Input!$Q29-SUM($E48:N48),(MIN(Input!$Q29-SUM($E48:N48),Input!$R29)))</f>
        <v>0</v>
      </c>
      <c r="P48" s="59"/>
      <c r="Q48" s="59"/>
    </row>
    <row r="49" customFormat="false" ht="12" hidden="false" customHeight="false" outlineLevel="1" collapsed="false">
      <c r="A49" s="205" t="str">
        <f aca="false">Input!A30</f>
        <v>Senior Notes</v>
      </c>
      <c r="B49" s="206"/>
      <c r="C49" s="206"/>
      <c r="D49" s="142"/>
      <c r="E49" s="142"/>
      <c r="F49" s="142" t="n">
        <f aca="false">IF(AND(ROUND(Bal_Sheet!F50,2)=0,ROUND(Bal_Sheet!E50,2)&gt;0),Input!$Q30-SUM($E49:E49),(MIN(Input!$Q30-SUM($E49:E49),Input!$R30)))</f>
        <v>144.444444444444</v>
      </c>
      <c r="G49" s="142" t="n">
        <f aca="false">IF(AND(ROUND(Bal_Sheet!G50,2)=0,ROUND(Bal_Sheet!F50,2)&gt;0),Input!$Q30-SUM($E49:F49),(MIN(Input!$Q30-SUM($E49:F49),Input!$R30)))</f>
        <v>144.444444444444</v>
      </c>
      <c r="H49" s="142" t="n">
        <f aca="false">IF(AND(ROUND(Bal_Sheet!H50,2)=0,ROUND(Bal_Sheet!G50,2)&gt;0),Input!$Q30-SUM($E49:G49),(MIN(Input!$Q30-SUM($E49:G49),Input!$R30)))</f>
        <v>144.444444444444</v>
      </c>
      <c r="I49" s="142" t="n">
        <f aca="false">IF(AND(ROUND(Bal_Sheet!I50,2)=0,ROUND(Bal_Sheet!H50,2)&gt;0),Input!$Q30-SUM($E49:H49),(MIN(Input!$Q30-SUM($E49:H49),Input!$R30)))</f>
        <v>144.444444444444</v>
      </c>
      <c r="J49" s="142" t="n">
        <f aca="false">IF(AND(ROUND(Bal_Sheet!J50,2)=0,ROUND(Bal_Sheet!I50,2)&gt;0),Input!$Q30-SUM($E49:I49),(MIN(Input!$Q30-SUM($E49:I49),Input!$R30)))</f>
        <v>722.222222222222</v>
      </c>
      <c r="K49" s="142" t="n">
        <f aca="false">IF(AND(ROUND(Bal_Sheet!K50,2)=0,ROUND(Bal_Sheet!J50,2)&gt;0),Input!$Q30-SUM($E49:J49),(MIN(Input!$Q30-SUM($E49:J49),Input!$R30)))</f>
        <v>0</v>
      </c>
      <c r="L49" s="142" t="n">
        <f aca="false">IF(AND(ROUND(Bal_Sheet!L50,2)=0,ROUND(Bal_Sheet!K50,2)&gt;0),Input!$Q30-SUM($E49:K49),(MIN(Input!$Q30-SUM($E49:K49),Input!$R30)))</f>
        <v>0</v>
      </c>
      <c r="M49" s="142" t="n">
        <f aca="false">IF(AND(ROUND(Bal_Sheet!M50,2)=0,ROUND(Bal_Sheet!L50,2)&gt;0),Input!$Q30-SUM($E49:L49),(MIN(Input!$Q30-SUM($E49:L49),Input!$R30)))</f>
        <v>0</v>
      </c>
      <c r="N49" s="142" t="n">
        <f aca="false">IF(AND(ROUND(Bal_Sheet!N50,2)=0,ROUND(Bal_Sheet!M50,2)&gt;0),Input!$Q30-SUM($E49:M49),(MIN(Input!$Q30-SUM($E49:M49),Input!$R30)))</f>
        <v>0</v>
      </c>
      <c r="O49" s="142" t="n">
        <f aca="false">IF(AND(ROUND(Bal_Sheet!O50,2)=0,ROUND(Bal_Sheet!N50,2)&gt;0),Input!$Q30-SUM($E49:N49),(MIN(Input!$Q30-SUM($E49:N49),Input!$R30)))</f>
        <v>0</v>
      </c>
      <c r="P49" s="59"/>
      <c r="Q49" s="59"/>
    </row>
    <row r="50" customFormat="false" ht="12" hidden="false" customHeight="false" outlineLevel="1" collapsed="false">
      <c r="A50" s="205" t="str">
        <f aca="false">Input!A31</f>
        <v>Subordinated Notes</v>
      </c>
      <c r="B50" s="206"/>
      <c r="C50" s="206"/>
      <c r="D50" s="142"/>
      <c r="E50" s="142"/>
      <c r="F50" s="142" t="n">
        <f aca="false">IF(AND(ROUND(Bal_Sheet!F51,2)=0,ROUND(Bal_Sheet!E51,2)&gt;0),Input!$Q31-SUM($E50:E50),(MIN(Input!$Q31-SUM($E50:E50),Input!$R31)))</f>
        <v>83.3333333333333</v>
      </c>
      <c r="G50" s="142" t="n">
        <f aca="false">IF(AND(ROUND(Bal_Sheet!G51,2)=0,ROUND(Bal_Sheet!F51,2)&gt;0),Input!$Q31-SUM($E50:F50),(MIN(Input!$Q31-SUM($E50:F50),Input!$R31)))</f>
        <v>83.3333333333333</v>
      </c>
      <c r="H50" s="142" t="n">
        <f aca="false">IF(AND(ROUND(Bal_Sheet!H51,2)=0,ROUND(Bal_Sheet!G51,2)&gt;0),Input!$Q31-SUM($E50:G50),(MIN(Input!$Q31-SUM($E50:G50),Input!$R31)))</f>
        <v>83.3333333333333</v>
      </c>
      <c r="I50" s="142" t="n">
        <f aca="false">IF(AND(ROUND(Bal_Sheet!I51,2)=0,ROUND(Bal_Sheet!H51,2)&gt;0),Input!$Q31-SUM($E50:H50),(MIN(Input!$Q31-SUM($E50:H50),Input!$R31)))</f>
        <v>83.3333333333333</v>
      </c>
      <c r="J50" s="142" t="n">
        <f aca="false">IF(AND(ROUND(Bal_Sheet!J51,2)=0,ROUND(Bal_Sheet!I51,2)&gt;0),Input!$Q31-SUM($E50:I50),(MIN(Input!$Q31-SUM($E50:I50),Input!$R31)))</f>
        <v>83.3333333333333</v>
      </c>
      <c r="K50" s="142" t="n">
        <f aca="false">IF(AND(ROUND(Bal_Sheet!K51,2)=0,ROUND(Bal_Sheet!J51,2)&gt;0),Input!$Q31-SUM($E50:J50),(MIN(Input!$Q31-SUM($E50:J50),Input!$R31)))</f>
        <v>583.333333333333</v>
      </c>
      <c r="L50" s="142" t="n">
        <f aca="false">IF(AND(ROUND(Bal_Sheet!L51,2)=0,ROUND(Bal_Sheet!K51,2)&gt;0),Input!$Q31-SUM($E50:K50),(MIN(Input!$Q31-SUM($E50:K50),Input!$R31)))</f>
        <v>0</v>
      </c>
      <c r="M50" s="142" t="n">
        <f aca="false">IF(AND(ROUND(Bal_Sheet!M51,2)=0,ROUND(Bal_Sheet!L51,2)&gt;0),Input!$Q31-SUM($E50:L50),(MIN(Input!$Q31-SUM($E50:L50),Input!$R31)))</f>
        <v>0</v>
      </c>
      <c r="N50" s="142" t="n">
        <f aca="false">IF(AND(ROUND(Bal_Sheet!N51,2)=0,ROUND(Bal_Sheet!M51,2)&gt;0),Input!$Q31-SUM($E50:M50),(MIN(Input!$Q31-SUM($E50:M50),Input!$R31)))</f>
        <v>0</v>
      </c>
      <c r="O50" s="142" t="n">
        <f aca="false">IF(AND(ROUND(Bal_Sheet!O51,2)=0,ROUND(Bal_Sheet!N51,2)&gt;0),Input!$Q31-SUM($E50:N50),(MIN(Input!$Q31-SUM($E50:N50),Input!$R31)))</f>
        <v>0</v>
      </c>
      <c r="P50" s="59"/>
      <c r="Q50" s="59"/>
    </row>
    <row r="51" customFormat="false" ht="12" hidden="false" customHeight="false" outlineLevel="1" collapsed="false">
      <c r="A51" s="205" t="str">
        <f aca="false">Input!A32</f>
        <v>Mezzanine Debt</v>
      </c>
      <c r="B51" s="206"/>
      <c r="C51" s="206"/>
      <c r="D51" s="142"/>
      <c r="E51" s="142"/>
      <c r="F51" s="142" t="n">
        <f aca="false">IF(AND(ROUND(Bal_Sheet!F52,2)=0,ROUND(Bal_Sheet!E52,2)&gt;0),Input!$Q32-SUM($E51:E51),(MIN(Input!$Q32-SUM($E51:E51),Input!$R32)))</f>
        <v>137.5</v>
      </c>
      <c r="G51" s="142" t="n">
        <f aca="false">IF(AND(ROUND(Bal_Sheet!G52,2)=0,ROUND(Bal_Sheet!F52,2)&gt;0),Input!$Q32-SUM($E51:F51),(MIN(Input!$Q32-SUM($E51:F51),Input!$R32)))</f>
        <v>137.5</v>
      </c>
      <c r="H51" s="142" t="n">
        <f aca="false">IF(AND(ROUND(Bal_Sheet!H52,2)=0,ROUND(Bal_Sheet!G52,2)&gt;0),Input!$Q32-SUM($E51:G51),(MIN(Input!$Q32-SUM($E51:G51),Input!$R32)))</f>
        <v>137.5</v>
      </c>
      <c r="I51" s="142" t="n">
        <f aca="false">IF(AND(ROUND(Bal_Sheet!I52,2)=0,ROUND(Bal_Sheet!H52,2)&gt;0),Input!$Q32-SUM($E51:H51),(MIN(Input!$Q32-SUM($E51:H51),Input!$R32)))</f>
        <v>137.5</v>
      </c>
      <c r="J51" s="142" t="n">
        <f aca="false">IF(AND(ROUND(Bal_Sheet!J52,2)=0,ROUND(Bal_Sheet!I52,2)&gt;0),Input!$Q32-SUM($E51:I51),(MIN(Input!$Q32-SUM($E51:I51),Input!$R32)))</f>
        <v>137.5</v>
      </c>
      <c r="K51" s="142" t="n">
        <f aca="false">IF(AND(ROUND(Bal_Sheet!K52,2)=0,ROUND(Bal_Sheet!J52,2)&gt;0),Input!$Q32-SUM($E51:J51),(MIN(Input!$Q32-SUM($E51:J51),Input!$R32)))</f>
        <v>1237.5</v>
      </c>
      <c r="L51" s="142" t="n">
        <f aca="false">IF(AND(ROUND(Bal_Sheet!L52,2)=0,ROUND(Bal_Sheet!K52,2)&gt;0),Input!$Q32-SUM($E51:K51),(MIN(Input!$Q32-SUM($E51:K51),Input!$R32)))</f>
        <v>0</v>
      </c>
      <c r="M51" s="142" t="n">
        <f aca="false">IF(AND(ROUND(Bal_Sheet!M52,2)=0,ROUND(Bal_Sheet!L52,2)&gt;0),Input!$Q32-SUM($E51:L51),(MIN(Input!$Q32-SUM($E51:L51),Input!$R32)))</f>
        <v>0</v>
      </c>
      <c r="N51" s="142" t="n">
        <f aca="false">IF(AND(ROUND(Bal_Sheet!N52,2)=0,ROUND(Bal_Sheet!M52,2)&gt;0),Input!$Q32-SUM($E51:M51),(MIN(Input!$Q32-SUM($E51:M51),Input!$R32)))</f>
        <v>0</v>
      </c>
      <c r="O51" s="142" t="n">
        <f aca="false">IF(AND(ROUND(Bal_Sheet!O52,2)=0,ROUND(Bal_Sheet!N52,2)&gt;0),Input!$Q32-SUM($E51:N51),(MIN(Input!$Q32-SUM($E51:N51),Input!$R32)))</f>
        <v>0</v>
      </c>
      <c r="P51" s="59"/>
      <c r="Q51" s="59"/>
    </row>
    <row r="52" customFormat="false" ht="12" hidden="false" customHeight="false" outlineLevel="1" collapsed="false">
      <c r="A52" s="205" t="str">
        <f aca="false">Input!A33</f>
        <v>Seller Notes</v>
      </c>
      <c r="B52" s="206"/>
      <c r="C52" s="206"/>
      <c r="D52" s="142"/>
      <c r="E52" s="142"/>
      <c r="F52" s="142" t="n">
        <f aca="false">IF(AND(ROUND(Bal_Sheet!F53,2)=0,ROUND(Bal_Sheet!E53,2)&gt;0),Input!$Q33-SUM($E52:E52),(MIN(Input!$Q33-SUM($E52:E52),Input!$R33)))</f>
        <v>0</v>
      </c>
      <c r="G52" s="142" t="n">
        <f aca="false">IF(AND(ROUND(Bal_Sheet!G53,2)=0,ROUND(Bal_Sheet!F53,2)&gt;0),Input!$Q33-SUM($E52:F52),(MIN(Input!$Q33-SUM($E52:F52),Input!$R33)))</f>
        <v>0</v>
      </c>
      <c r="H52" s="142" t="n">
        <f aca="false">IF(AND(ROUND(Bal_Sheet!H53,2)=0,ROUND(Bal_Sheet!G53,2)&gt;0),Input!$Q33-SUM($E52:G52),(MIN(Input!$Q33-SUM($E52:G52),Input!$R33)))</f>
        <v>0</v>
      </c>
      <c r="I52" s="142" t="n">
        <f aca="false">IF(AND(ROUND(Bal_Sheet!I53,2)=0,ROUND(Bal_Sheet!H53,2)&gt;0),Input!$Q33-SUM($E52:H52),(MIN(Input!$Q33-SUM($E52:H52),Input!$R33)))</f>
        <v>0</v>
      </c>
      <c r="J52" s="142" t="n">
        <f aca="false">IF(AND(ROUND(Bal_Sheet!J53,2)=0,ROUND(Bal_Sheet!I53,2)&gt;0),Input!$Q33-SUM($E52:I52),(MIN(Input!$Q33-SUM($E52:I52),Input!$R33)))</f>
        <v>0</v>
      </c>
      <c r="K52" s="142" t="n">
        <f aca="false">IF(AND(ROUND(Bal_Sheet!K53,2)=0,ROUND(Bal_Sheet!J53,2)&gt;0),Input!$Q33-SUM($E52:J52),(MIN(Input!$Q33-SUM($E52:J52),Input!$R33)))</f>
        <v>0</v>
      </c>
      <c r="L52" s="142" t="n">
        <f aca="false">IF(AND(ROUND(Bal_Sheet!L53,2)=0,ROUND(Bal_Sheet!K53,2)&gt;0),Input!$Q33-SUM($E52:K52),(MIN(Input!$Q33-SUM($E52:K52),Input!$R33)))</f>
        <v>0</v>
      </c>
      <c r="M52" s="142" t="n">
        <f aca="false">IF(AND(ROUND(Bal_Sheet!M53,2)=0,ROUND(Bal_Sheet!L53,2)&gt;0),Input!$Q33-SUM($E52:L52),(MIN(Input!$Q33-SUM($E52:L52),Input!$R33)))</f>
        <v>0</v>
      </c>
      <c r="N52" s="142" t="n">
        <f aca="false">IF(AND(ROUND(Bal_Sheet!N53,2)=0,ROUND(Bal_Sheet!M53,2)&gt;0),Input!$Q33-SUM($E52:M52),(MIN(Input!$Q33-SUM($E52:M52),Input!$R33)))</f>
        <v>0</v>
      </c>
      <c r="O52" s="142" t="n">
        <f aca="false">IF(AND(ROUND(Bal_Sheet!O53,2)=0,ROUND(Bal_Sheet!N53,2)&gt;0),Input!$Q33-SUM($E52:N52),(MIN(Input!$Q33-SUM($E52:N52),Input!$R33)))</f>
        <v>0</v>
      </c>
      <c r="P52" s="59"/>
      <c r="Q52" s="59"/>
    </row>
    <row r="53" customFormat="false" ht="12" hidden="false" customHeight="false" outlineLevel="0" collapsed="false">
      <c r="A53" s="179"/>
      <c r="B53" s="200"/>
      <c r="C53" s="200"/>
      <c r="D53" s="59"/>
      <c r="E53" s="59"/>
      <c r="F53" s="59"/>
      <c r="G53" s="59"/>
      <c r="H53" s="59"/>
      <c r="I53" s="59"/>
      <c r="J53" s="59"/>
      <c r="K53" s="59"/>
      <c r="L53" s="59"/>
      <c r="M53" s="59"/>
      <c r="N53" s="59"/>
      <c r="O53" s="59"/>
      <c r="P53" s="59"/>
      <c r="Q53" s="59"/>
    </row>
    <row r="54" customFormat="false" ht="12" hidden="false" customHeight="false" outlineLevel="0" collapsed="false">
      <c r="A54" s="179"/>
      <c r="B54" s="200"/>
      <c r="C54" s="200"/>
      <c r="D54" s="59"/>
      <c r="E54" s="59"/>
      <c r="F54" s="59"/>
      <c r="G54" s="59"/>
      <c r="H54" s="59"/>
      <c r="I54" s="59"/>
      <c r="J54" s="59"/>
      <c r="K54" s="59"/>
      <c r="L54" s="59"/>
      <c r="M54" s="59"/>
      <c r="N54" s="59"/>
      <c r="O54" s="59"/>
      <c r="P54" s="59"/>
      <c r="Q54" s="59"/>
    </row>
    <row r="55" customFormat="false" ht="12" hidden="false" customHeight="false" outlineLevel="0" collapsed="false">
      <c r="A55" s="207"/>
      <c r="B55" s="208"/>
      <c r="C55" s="208"/>
      <c r="D55" s="168"/>
      <c r="E55" s="168"/>
      <c r="F55" s="168"/>
      <c r="G55" s="168"/>
      <c r="H55" s="168"/>
      <c r="I55" s="168"/>
      <c r="J55" s="168"/>
      <c r="K55" s="168"/>
      <c r="L55" s="168"/>
      <c r="M55" s="168"/>
      <c r="N55" s="168"/>
      <c r="O55" s="168"/>
      <c r="P55" s="59"/>
      <c r="Q55" s="59"/>
    </row>
    <row r="56" customFormat="false" ht="12" hidden="false" customHeight="false" outlineLevel="0" collapsed="false">
      <c r="A56" s="179"/>
      <c r="B56" s="200"/>
      <c r="C56" s="200"/>
      <c r="D56" s="59"/>
      <c r="E56" s="59"/>
      <c r="F56" s="59"/>
      <c r="G56" s="59"/>
      <c r="H56" s="59"/>
      <c r="I56" s="59"/>
      <c r="J56" s="59"/>
      <c r="K56" s="59"/>
      <c r="L56" s="59"/>
      <c r="M56" s="59"/>
      <c r="N56" s="59"/>
      <c r="O56" s="59"/>
      <c r="P56" s="59"/>
      <c r="Q56" s="59"/>
    </row>
    <row r="57" customFormat="false" ht="12" hidden="false" customHeight="false" outlineLevel="0" collapsed="false">
      <c r="A57" s="179"/>
      <c r="B57" s="200"/>
      <c r="C57" s="200"/>
      <c r="D57" s="59"/>
      <c r="E57" s="59"/>
      <c r="F57" s="59"/>
      <c r="G57" s="59"/>
      <c r="H57" s="59"/>
      <c r="I57" s="59"/>
      <c r="J57" s="59"/>
      <c r="K57" s="59"/>
      <c r="L57" s="59"/>
      <c r="M57" s="59"/>
      <c r="N57" s="59"/>
      <c r="O57" s="59"/>
      <c r="P57" s="59"/>
      <c r="Q57" s="59"/>
    </row>
    <row r="58" customFormat="false" ht="12.75" hidden="false" customHeight="false" outlineLevel="0" collapsed="false">
      <c r="A58" s="183" t="s">
        <v>232</v>
      </c>
      <c r="B58" s="182"/>
      <c r="C58" s="182"/>
      <c r="F58" s="22" t="s">
        <v>233</v>
      </c>
      <c r="G58" s="23"/>
      <c r="H58" s="45" t="n">
        <v>415000</v>
      </c>
      <c r="J58" s="54" t="s">
        <v>209</v>
      </c>
      <c r="K58" s="54"/>
      <c r="L58" s="54"/>
      <c r="P58" s="59"/>
      <c r="Q58" s="59"/>
    </row>
    <row r="59" customFormat="false" ht="12" hidden="false" customHeight="false" outlineLevel="0" collapsed="false">
      <c r="A59" s="182"/>
      <c r="B59" s="182"/>
      <c r="C59" s="182"/>
      <c r="F59" s="77"/>
      <c r="G59" s="77"/>
      <c r="H59" s="209"/>
      <c r="J59" s="184" t="n">
        <v>0</v>
      </c>
      <c r="K59" s="43" t="s">
        <v>212</v>
      </c>
      <c r="L59" s="20"/>
      <c r="P59" s="59"/>
      <c r="Q59" s="59"/>
    </row>
    <row r="60" customFormat="false" ht="12" hidden="false" customHeight="false" outlineLevel="0" collapsed="false">
      <c r="A60" s="182"/>
      <c r="B60" s="182"/>
      <c r="C60" s="182"/>
      <c r="F60" s="77"/>
      <c r="G60" s="77"/>
      <c r="H60" s="209"/>
      <c r="P60" s="59"/>
      <c r="Q60" s="59"/>
    </row>
    <row r="61" customFormat="false" ht="12" hidden="false" customHeight="false" outlineLevel="0" collapsed="false">
      <c r="F61" s="193"/>
      <c r="G61" s="193"/>
      <c r="H61" s="193"/>
      <c r="I61" s="193"/>
      <c r="J61" s="193"/>
      <c r="K61" s="193"/>
      <c r="L61" s="193"/>
      <c r="M61" s="193"/>
      <c r="N61" s="193"/>
      <c r="O61" s="193"/>
      <c r="P61" s="59"/>
      <c r="Q61" s="59"/>
    </row>
    <row r="62" customFormat="false" ht="12" hidden="false" customHeight="false" outlineLevel="0" collapsed="false">
      <c r="A62" s="163" t="s">
        <v>234</v>
      </c>
      <c r="B62" s="163"/>
      <c r="C62" s="163"/>
      <c r="F62" s="156"/>
      <c r="G62" s="156"/>
      <c r="H62" s="156"/>
      <c r="I62" s="156"/>
      <c r="J62" s="156"/>
      <c r="K62" s="156"/>
      <c r="L62" s="156"/>
      <c r="M62" s="156"/>
      <c r="N62" s="156"/>
      <c r="O62" s="156"/>
      <c r="P62" s="59"/>
      <c r="Q62" s="59"/>
    </row>
    <row r="63" customFormat="false" ht="12" hidden="false" customHeight="false" outlineLevel="0" collapsed="false">
      <c r="A63" s="179"/>
      <c r="B63" s="194" t="s">
        <v>218</v>
      </c>
      <c r="C63" s="195" t="s">
        <v>219</v>
      </c>
      <c r="D63" s="194" t="s">
        <v>220</v>
      </c>
      <c r="F63" s="156"/>
      <c r="G63" s="156"/>
      <c r="H63" s="156"/>
      <c r="I63" s="156"/>
      <c r="J63" s="156"/>
      <c r="K63" s="156"/>
      <c r="L63" s="156"/>
      <c r="M63" s="156"/>
      <c r="N63" s="156"/>
      <c r="O63" s="156"/>
      <c r="P63" s="59"/>
      <c r="Q63" s="59"/>
    </row>
    <row r="64" customFormat="false" ht="12" hidden="false" customHeight="false" outlineLevel="0" collapsed="false">
      <c r="A64" s="179" t="s">
        <v>221</v>
      </c>
      <c r="B64" s="196" t="n">
        <v>130000</v>
      </c>
      <c r="C64" s="197" t="n">
        <v>12</v>
      </c>
      <c r="D64" s="196" t="n">
        <v>900</v>
      </c>
      <c r="E64" s="59"/>
      <c r="F64" s="59" t="n">
        <f aca="false">IF(F$12&gt;$C64,0,IF($J$5=1,SYD($B64,$D64,$C64,F$12),SLN($B64,$D64,$C64)))</f>
        <v>10758.3333333333</v>
      </c>
      <c r="G64" s="59" t="n">
        <f aca="false">IF(G$12&gt;$C64,0,IF($J$5=1,SYD($B64,$D64,$C64,G$12),SLN($B64,$D64,$C64)))</f>
        <v>10758.3333333333</v>
      </c>
      <c r="H64" s="59" t="n">
        <f aca="false">IF(H$12&gt;$C64,0,IF($J$5=1,SYD($B64,$D64,$C64,H$12),SLN($B64,$D64,$C64)))</f>
        <v>10758.3333333333</v>
      </c>
      <c r="I64" s="59" t="n">
        <f aca="false">IF(I$12&gt;$C64,0,IF($J$5=1,SYD($B64,$D64,$C64,I$12),SLN($B64,$D64,$C64)))</f>
        <v>10758.3333333333</v>
      </c>
      <c r="J64" s="59" t="n">
        <f aca="false">IF(J$12&gt;$C64,0,IF($J$5=1,SYD($B64,$D64,$C64,J$12),SLN($B64,$D64,$C64)))</f>
        <v>10758.3333333333</v>
      </c>
      <c r="K64" s="59" t="n">
        <f aca="false">IF(K$12&gt;$C64,0,IF($J$5=1,SYD($B64,$D64,$C64,K$12),SLN($B64,$D64,$C64)))</f>
        <v>10758.3333333333</v>
      </c>
      <c r="L64" s="59" t="n">
        <f aca="false">IF(L$12&gt;$C64,0,IF($J$5=1,SYD($B64,$D64,$C64,L$12),SLN($B64,$D64,$C64)))</f>
        <v>10758.3333333333</v>
      </c>
      <c r="M64" s="59" t="n">
        <f aca="false">IF(M$12&gt;$C64,0,IF($J$5=1,SYD($B64,$D64,$C64,M$12),SLN($B64,$D64,$C64)))</f>
        <v>10758.3333333333</v>
      </c>
      <c r="N64" s="59" t="n">
        <f aca="false">IF(N$12&gt;$C64,0,IF($J$5=1,SYD($B64,$D64,$C64,N$12),SLN($B64,$D64,$C64)))</f>
        <v>10758.3333333333</v>
      </c>
      <c r="O64" s="59" t="n">
        <f aca="false">IF(O$12&gt;$C64,0,IF($J$5=1,SYD($B64,$D64,$C64,O$12),SLN($B64,$D64,$C64)))</f>
        <v>10758.3333333333</v>
      </c>
      <c r="P64" s="59"/>
      <c r="Q64" s="59"/>
    </row>
    <row r="65" customFormat="false" ht="12" hidden="false" customHeight="false" outlineLevel="0" collapsed="false">
      <c r="A65" s="179" t="s">
        <v>222</v>
      </c>
      <c r="B65" s="197" t="n">
        <v>105000</v>
      </c>
      <c r="C65" s="197" t="n">
        <v>10</v>
      </c>
      <c r="D65" s="197" t="n">
        <v>800</v>
      </c>
      <c r="E65" s="59"/>
      <c r="F65" s="59" t="n">
        <f aca="false">IF(F$12&gt;$C65,0,IF($J$5=1,SYD($B65,$D65,$C65,F$12),SLN($B65,$D65,$C65)))</f>
        <v>10420</v>
      </c>
      <c r="G65" s="59" t="n">
        <f aca="false">IF(G$12&gt;$C65,0,IF($J$5=1,SYD($B65,$D65,$C65,G$12),SLN($B65,$D65,$C65)))</f>
        <v>10420</v>
      </c>
      <c r="H65" s="59" t="n">
        <f aca="false">IF(H$12&gt;$C65,0,IF($J$5=1,SYD($B65,$D65,$C65,H$12),SLN($B65,$D65,$C65)))</f>
        <v>10420</v>
      </c>
      <c r="I65" s="59" t="n">
        <f aca="false">IF(I$12&gt;$C65,0,IF($J$5=1,SYD($B65,$D65,$C65,I$12),SLN($B65,$D65,$C65)))</f>
        <v>10420</v>
      </c>
      <c r="J65" s="59" t="n">
        <f aca="false">IF(J$12&gt;$C65,0,IF($J$5=1,SYD($B65,$D65,$C65,J$12),SLN($B65,$D65,$C65)))</f>
        <v>10420</v>
      </c>
      <c r="K65" s="59" t="n">
        <f aca="false">IF(K$12&gt;$C65,0,IF($J$5=1,SYD($B65,$D65,$C65,K$12),SLN($B65,$D65,$C65)))</f>
        <v>10420</v>
      </c>
      <c r="L65" s="59" t="n">
        <f aca="false">IF(L$12&gt;$C65,0,IF($J$5=1,SYD($B65,$D65,$C65,L$12),SLN($B65,$D65,$C65)))</f>
        <v>10420</v>
      </c>
      <c r="M65" s="59" t="n">
        <f aca="false">IF(M$12&gt;$C65,0,IF($J$5=1,SYD($B65,$D65,$C65,M$12),SLN($B65,$D65,$C65)))</f>
        <v>10420</v>
      </c>
      <c r="N65" s="59" t="n">
        <f aca="false">IF(N$12&gt;$C65,0,IF($J$5=1,SYD($B65,$D65,$C65,N$12),SLN($B65,$D65,$C65)))</f>
        <v>10420</v>
      </c>
      <c r="O65" s="59" t="n">
        <f aca="false">IF(O$12&gt;$C65,0,IF($J$5=1,SYD($B65,$D65,$C65,O$12),SLN($B65,$D65,$C65)))</f>
        <v>10420</v>
      </c>
      <c r="P65" s="59"/>
      <c r="Q65" s="59"/>
    </row>
    <row r="66" customFormat="false" ht="12" hidden="false" customHeight="false" outlineLevel="0" collapsed="false">
      <c r="A66" s="179" t="s">
        <v>223</v>
      </c>
      <c r="B66" s="197" t="n">
        <v>95000</v>
      </c>
      <c r="C66" s="197" t="n">
        <v>8</v>
      </c>
      <c r="D66" s="197" t="n">
        <v>600</v>
      </c>
      <c r="E66" s="59"/>
      <c r="F66" s="59" t="n">
        <f aca="false">IF(F$12&gt;$C66,0,IF($J$5=1,SYD($B66,$D66,$C66,F$12),SLN($B66,$D66,$C66)))</f>
        <v>11800</v>
      </c>
      <c r="G66" s="59" t="n">
        <f aca="false">IF(G$12&gt;$C66,0,IF($J$5=1,SYD($B66,$D66,$C66,G$12),SLN($B66,$D66,$C66)))</f>
        <v>11800</v>
      </c>
      <c r="H66" s="59" t="n">
        <f aca="false">IF(H$12&gt;$C66,0,IF($J$5=1,SYD($B66,$D66,$C66,H$12),SLN($B66,$D66,$C66)))</f>
        <v>11800</v>
      </c>
      <c r="I66" s="59" t="n">
        <f aca="false">IF(I$12&gt;$C66,0,IF($J$5=1,SYD($B66,$D66,$C66,I$12),SLN($B66,$D66,$C66)))</f>
        <v>11800</v>
      </c>
      <c r="J66" s="59" t="n">
        <f aca="false">IF(J$12&gt;$C66,0,IF($J$5=1,SYD($B66,$D66,$C66,J$12),SLN($B66,$D66,$C66)))</f>
        <v>11800</v>
      </c>
      <c r="K66" s="59" t="n">
        <f aca="false">IF(K$12&gt;$C66,0,IF($J$5=1,SYD($B66,$D66,$C66,K$12),SLN($B66,$D66,$C66)))</f>
        <v>11800</v>
      </c>
      <c r="L66" s="59" t="n">
        <f aca="false">IF(L$12&gt;$C66,0,IF($J$5=1,SYD($B66,$D66,$C66,L$12),SLN($B66,$D66,$C66)))</f>
        <v>11800</v>
      </c>
      <c r="M66" s="59" t="n">
        <f aca="false">IF(M$12&gt;$C66,0,IF($J$5=1,SYD($B66,$D66,$C66,M$12),SLN($B66,$D66,$C66)))</f>
        <v>11800</v>
      </c>
      <c r="N66" s="59" t="n">
        <f aca="false">IF(N$12&gt;$C66,0,IF($J$5=1,SYD($B66,$D66,$C66,N$12),SLN($B66,$D66,$C66)))</f>
        <v>0</v>
      </c>
      <c r="O66" s="59" t="n">
        <f aca="false">IF(O$12&gt;$C66,0,IF($J$5=1,SYD($B66,$D66,$C66,O$12),SLN($B66,$D66,$C66)))</f>
        <v>0</v>
      </c>
      <c r="P66" s="59"/>
      <c r="Q66" s="59"/>
    </row>
    <row r="67" customFormat="false" ht="12" hidden="false" customHeight="false" outlineLevel="0" collapsed="false">
      <c r="A67" s="179" t="s">
        <v>224</v>
      </c>
      <c r="B67" s="156" t="n">
        <f aca="false">H58-SUM(B64:B66)</f>
        <v>85000</v>
      </c>
      <c r="C67" s="197" t="n">
        <v>6</v>
      </c>
      <c r="D67" s="197" t="n">
        <v>600</v>
      </c>
      <c r="E67" s="59"/>
      <c r="F67" s="59" t="n">
        <f aca="false">IF(F$12&gt;$C67,0,IF($J$5=1,SYD($B67,$D67,$C67,F$12),SLN($B67,$D67,$C67)))</f>
        <v>14066.6666666667</v>
      </c>
      <c r="G67" s="59" t="n">
        <f aca="false">IF(G$12&gt;$C67,0,IF($J$5=1,SYD($B67,$D67,$C67,G$12),SLN($B67,$D67,$C67)))</f>
        <v>14066.6666666667</v>
      </c>
      <c r="H67" s="59" t="n">
        <f aca="false">IF(H$12&gt;$C67,0,IF($J$5=1,SYD($B67,$D67,$C67,H$12),SLN($B67,$D67,$C67)))</f>
        <v>14066.6666666667</v>
      </c>
      <c r="I67" s="59" t="n">
        <f aca="false">IF(I$12&gt;$C67,0,IF($J$5=1,SYD($B67,$D67,$C67,I$12),SLN($B67,$D67,$C67)))</f>
        <v>14066.6666666667</v>
      </c>
      <c r="J67" s="59" t="n">
        <f aca="false">IF(J$12&gt;$C67,0,IF($J$5=1,SYD($B67,$D67,$C67,J$12),SLN($B67,$D67,$C67)))</f>
        <v>14066.6666666667</v>
      </c>
      <c r="K67" s="59" t="n">
        <f aca="false">IF(K$12&gt;$C67,0,IF($J$5=1,SYD($B67,$D67,$C67,K$12),SLN($B67,$D67,$C67)))</f>
        <v>14066.6666666667</v>
      </c>
      <c r="L67" s="59" t="n">
        <f aca="false">IF(L$12&gt;$C67,0,IF($J$5=1,SYD($B67,$D67,$C67,L$12),SLN($B67,$D67,$C67)))</f>
        <v>0</v>
      </c>
      <c r="M67" s="59" t="n">
        <f aca="false">IF(M$12&gt;$C67,0,IF($J$5=1,SYD($B67,$D67,$C67,M$12),SLN($B67,$D67,$C67)))</f>
        <v>0</v>
      </c>
      <c r="N67" s="59" t="n">
        <f aca="false">IF(N$12&gt;$C67,0,IF($J$5=1,SYD($B67,$D67,$C67,N$12),SLN($B67,$D67,$C67)))</f>
        <v>0</v>
      </c>
      <c r="O67" s="59" t="n">
        <f aca="false">IF(O$12&gt;$C67,0,IF($J$5=1,SYD($B67,$D67,$C67,O$12),SLN($B67,$D67,$C67)))</f>
        <v>0</v>
      </c>
      <c r="P67" s="59"/>
      <c r="Q67" s="59"/>
    </row>
    <row r="68" customFormat="false" ht="12" hidden="false" customHeight="false" outlineLevel="0" collapsed="false">
      <c r="A68" s="179"/>
      <c r="B68" s="198" t="n">
        <f aca="false">SUM(B64:B67)</f>
        <v>415000</v>
      </c>
      <c r="C68" s="156"/>
      <c r="D68" s="198" t="n">
        <f aca="false">SUM(D64:D67)</f>
        <v>2900</v>
      </c>
      <c r="E68" s="156"/>
      <c r="F68" s="199" t="n">
        <f aca="false">SUM(F64:F67)</f>
        <v>47045</v>
      </c>
      <c r="G68" s="199" t="n">
        <f aca="false">SUM(G64:G67)</f>
        <v>47045</v>
      </c>
      <c r="H68" s="199" t="n">
        <f aca="false">SUM(H64:H67)</f>
        <v>47045</v>
      </c>
      <c r="I68" s="199" t="n">
        <f aca="false">SUM(I64:I67)</f>
        <v>47045</v>
      </c>
      <c r="J68" s="199" t="n">
        <f aca="false">SUM(J64:J67)</f>
        <v>47045</v>
      </c>
      <c r="K68" s="199" t="n">
        <f aca="false">SUM(K64:K67)</f>
        <v>47045</v>
      </c>
      <c r="L68" s="199" t="n">
        <f aca="false">SUM(L64:L67)</f>
        <v>32978.3333333333</v>
      </c>
      <c r="M68" s="199" t="n">
        <f aca="false">SUM(M64:M67)</f>
        <v>32978.3333333333</v>
      </c>
      <c r="N68" s="199" t="n">
        <f aca="false">SUM(N64:N67)</f>
        <v>21178.3333333333</v>
      </c>
      <c r="O68" s="199" t="n">
        <f aca="false">SUM(O64:O67)</f>
        <v>21178.3333333333</v>
      </c>
      <c r="P68" s="59"/>
      <c r="Q68" s="59"/>
    </row>
    <row r="69" customFormat="false" ht="12" hidden="false" customHeight="false" outlineLevel="0" collapsed="false">
      <c r="A69" s="179"/>
      <c r="B69" s="200"/>
      <c r="C69" s="200"/>
      <c r="D69" s="59"/>
      <c r="E69" s="59"/>
      <c r="F69" s="59"/>
      <c r="G69" s="59"/>
      <c r="H69" s="59"/>
      <c r="I69" s="59"/>
      <c r="J69" s="59"/>
      <c r="K69" s="59"/>
      <c r="L69" s="59"/>
      <c r="M69" s="59"/>
      <c r="N69" s="59"/>
      <c r="O69" s="59"/>
      <c r="P69" s="59"/>
      <c r="Q69" s="59"/>
    </row>
    <row r="70" customFormat="false" ht="12" hidden="false" customHeight="false" outlineLevel="0" collapsed="false">
      <c r="A70" s="201" t="s">
        <v>73</v>
      </c>
      <c r="B70" s="200"/>
      <c r="C70" s="200"/>
      <c r="D70" s="59"/>
      <c r="E70" s="59"/>
      <c r="F70" s="59"/>
      <c r="G70" s="59"/>
      <c r="H70" s="59"/>
      <c r="I70" s="59"/>
      <c r="J70" s="59"/>
      <c r="K70" s="59"/>
      <c r="L70" s="59"/>
      <c r="M70" s="59"/>
      <c r="N70" s="59"/>
      <c r="O70" s="59"/>
      <c r="P70" s="59"/>
      <c r="Q70" s="59"/>
    </row>
    <row r="71" customFormat="false" ht="12" hidden="false" customHeight="false" outlineLevel="0" collapsed="false">
      <c r="A71" s="194" t="s">
        <v>112</v>
      </c>
      <c r="B71" s="202" t="s">
        <v>73</v>
      </c>
      <c r="C71" s="202" t="s">
        <v>225</v>
      </c>
      <c r="D71" s="202" t="s">
        <v>220</v>
      </c>
      <c r="E71" s="59"/>
      <c r="F71" s="59"/>
      <c r="G71" s="59"/>
      <c r="H71" s="59"/>
      <c r="I71" s="59"/>
      <c r="J71" s="59"/>
      <c r="K71" s="59"/>
      <c r="L71" s="59"/>
      <c r="M71" s="59"/>
      <c r="N71" s="59"/>
      <c r="O71" s="59"/>
      <c r="P71" s="59"/>
      <c r="Q71" s="59"/>
    </row>
    <row r="72" customFormat="false" ht="12" hidden="false" customHeight="false" outlineLevel="0" collapsed="false">
      <c r="A72" s="192" t="n">
        <f aca="false">F12</f>
        <v>1</v>
      </c>
      <c r="B72" s="203" t="n">
        <f aca="false">IF(capex_interval="",0,IF(capex_start_year="",0,IF($A72&lt;capex_start_year,0,IF(MOD($A72-capex_start_year,capex_interval)=0,Inc_St!$D$8*capex,0))))</f>
        <v>110000</v>
      </c>
      <c r="C72" s="197" t="n">
        <v>12</v>
      </c>
      <c r="D72" s="196"/>
      <c r="E72" s="59"/>
      <c r="F72" s="59" t="n">
        <f aca="false">IF($A72&gt;F$12,0,IF(F$12&gt;$C72+$A72-1,0,IF($J$5=1,SYD($B72,$D72,$C72,F$12),SLN($B72,$D72,$C72))))</f>
        <v>9166.66666666667</v>
      </c>
      <c r="G72" s="59" t="n">
        <f aca="false">IF($A72&gt;G$12,0,IF(G$12&gt;$C72+$A72-1,0,IF($J$5=1,SYD($B72,$D72,$C72,G$12),SLN($B72,$D72,$C72))))</f>
        <v>9166.66666666667</v>
      </c>
      <c r="H72" s="59" t="n">
        <f aca="false">IF($A72&gt;H$12,0,IF(H$12&gt;$C72+$A72-1,0,IF($J$5=1,SYD($B72,$D72,$C72,H$12),SLN($B72,$D72,$C72))))</f>
        <v>9166.66666666667</v>
      </c>
      <c r="I72" s="59" t="n">
        <f aca="false">IF($A72&gt;I$12,0,IF(I$12&gt;$C72+$A72-1,0,IF($J$5=1,SYD($B72,$D72,$C72,I$12),SLN($B72,$D72,$C72))))</f>
        <v>9166.66666666667</v>
      </c>
      <c r="J72" s="59" t="n">
        <f aca="false">IF($A72&gt;J$12,0,IF(J$12&gt;$C72+$A72-1,0,IF($J$5=1,SYD($B72,$D72,$C72,J$12),SLN($B72,$D72,$C72))))</f>
        <v>9166.66666666667</v>
      </c>
      <c r="K72" s="59" t="n">
        <f aca="false">IF($A72&gt;K$12,0,IF(K$12&gt;$C72+$A72-1,0,IF($J$5=1,SYD($B72,$D72,$C72,K$12),SLN($B72,$D72,$C72))))</f>
        <v>9166.66666666667</v>
      </c>
      <c r="L72" s="59" t="n">
        <f aca="false">IF($A72&gt;L$12,0,IF(L$12&gt;$C72+$A72-1,0,IF($J$5=1,SYD($B72,$D72,$C72,L$12),SLN($B72,$D72,$C72))))</f>
        <v>9166.66666666667</v>
      </c>
      <c r="M72" s="59" t="n">
        <f aca="false">IF($A72&gt;M$12,0,IF(M$12&gt;$C72+$A72-1,0,IF($J$5=1,SYD($B72,$D72,$C72,M$12),SLN($B72,$D72,$C72))))</f>
        <v>9166.66666666667</v>
      </c>
      <c r="N72" s="59" t="n">
        <f aca="false">IF($A72&gt;N$12,0,IF(N$12&gt;$C72+$A72-1,0,IF($J$5=1,SYD($B72,$D72,$C72,N$12),SLN($B72,$D72,$C72))))</f>
        <v>9166.66666666667</v>
      </c>
      <c r="O72" s="59" t="n">
        <f aca="false">IF($A72&gt;O$12,0,IF(O$12&gt;$C72+$A72-1,0,IF($J$5=1,SYD($B72,$D72,$C72,O$12),SLN($B72,$D72,$C72))))</f>
        <v>9166.66666666667</v>
      </c>
    </row>
    <row r="73" customFormat="false" ht="12" hidden="false" customHeight="false" outlineLevel="0" collapsed="false">
      <c r="A73" s="192" t="n">
        <f aca="false">G12</f>
        <v>2</v>
      </c>
      <c r="B73" s="156" t="n">
        <f aca="false">IF(capex_interval="",0,IF(capex_start_year="",0,IF($A73&lt;capex_start_year,0,IF(MOD($A73-capex_start_year,capex_interval)=0,Inc_St!$E$8*capex,0))))</f>
        <v>121000</v>
      </c>
      <c r="C73" s="197" t="n">
        <v>8</v>
      </c>
      <c r="D73" s="197"/>
      <c r="E73" s="59"/>
      <c r="F73" s="59" t="n">
        <f aca="false">IF($A73&gt;F$12,0,IF(F$12&gt;$C73+$A73-1,0,IF($J$5=1,SYD($B73,$D73,$C73,F$12),SLN($B73,$D73,$C73))))</f>
        <v>0</v>
      </c>
      <c r="G73" s="59" t="n">
        <f aca="false">IF($A73&gt;G$12,0,IF(G$12&gt;$C73+$A73-1,0,IF($J$5=1,SYD($B73,$D73,$C73,G$12),SLN($B73,$D73,$C73))))</f>
        <v>15125</v>
      </c>
      <c r="H73" s="59" t="n">
        <f aca="false">IF($A73&gt;H$12,0,IF(H$12&gt;$C73+$A73-1,0,IF($J$5=1,SYD($B73,$D73,$C73,H$12),SLN($B73,$D73,$C73))))</f>
        <v>15125</v>
      </c>
      <c r="I73" s="59" t="n">
        <f aca="false">IF($A73&gt;I$12,0,IF(I$12&gt;$C73+$A73-1,0,IF($J$5=1,SYD($B73,$D73,$C73,I$12),SLN($B73,$D73,$C73))))</f>
        <v>15125</v>
      </c>
      <c r="J73" s="59" t="n">
        <f aca="false">IF($A73&gt;J$12,0,IF(J$12&gt;$C73+$A73-1,0,IF($J$5=1,SYD($B73,$D73,$C73,J$12),SLN($B73,$D73,$C73))))</f>
        <v>15125</v>
      </c>
      <c r="K73" s="59" t="n">
        <f aca="false">IF($A73&gt;K$12,0,IF(K$12&gt;$C73+$A73-1,0,IF($J$5=1,SYD($B73,$D73,$C73,K$12),SLN($B73,$D73,$C73))))</f>
        <v>15125</v>
      </c>
      <c r="L73" s="59" t="n">
        <f aca="false">IF($A73&gt;L$12,0,IF(L$12&gt;$C73+$A73-1,0,IF($J$5=1,SYD($B73,$D73,$C73,L$12),SLN($B73,$D73,$C73))))</f>
        <v>15125</v>
      </c>
      <c r="M73" s="59" t="n">
        <f aca="false">IF($A73&gt;M$12,0,IF(M$12&gt;$C73+$A73-1,0,IF($J$5=1,SYD($B73,$D73,$C73,M$12),SLN($B73,$D73,$C73))))</f>
        <v>15125</v>
      </c>
      <c r="N73" s="59" t="n">
        <f aca="false">IF($A73&gt;N$12,0,IF(N$12&gt;$C73+$A73-1,0,IF($J$5=1,SYD($B73,$D73,$C73,N$12),SLN($B73,$D73,$C73))))</f>
        <v>15125</v>
      </c>
      <c r="O73" s="59" t="n">
        <f aca="false">IF($A73&gt;O$12,0,IF(O$12&gt;$C73+$A73-1,0,IF($J$5=1,SYD($B73,$D73,$C73,O$12),SLN($B73,$D73,$C73))))</f>
        <v>0</v>
      </c>
    </row>
    <row r="74" customFormat="false" ht="12" hidden="false" customHeight="false" outlineLevel="0" collapsed="false">
      <c r="A74" s="192" t="n">
        <f aca="false">H12</f>
        <v>3</v>
      </c>
      <c r="B74" s="156" t="n">
        <f aca="false">IF(capex_interval="",0,IF(capex_start_year="",0,IF($A74&lt;capex_start_year,0,IF(MOD($A74-capex_start_year,capex_interval)=0,Inc_St!$F$8*capex,0))))</f>
        <v>133100</v>
      </c>
      <c r="C74" s="197" t="n">
        <v>15</v>
      </c>
      <c r="D74" s="197"/>
      <c r="E74" s="59"/>
      <c r="F74" s="59" t="n">
        <f aca="false">IF($A74&gt;F$12,0,IF(F$12&gt;$C74+$A74-1,0,IF($J$5=1,SYD($B74,$D74,$C74,F$12),SLN($B74,$D74,$C74))))</f>
        <v>0</v>
      </c>
      <c r="G74" s="59" t="n">
        <f aca="false">IF($A74&gt;G$12,0,IF(G$12&gt;$C74+$A74-1,0,IF($J$5=1,SYD($B74,$D74,$C74,G$12),SLN($B74,$D74,$C74))))</f>
        <v>0</v>
      </c>
      <c r="H74" s="59" t="n">
        <f aca="false">IF($A74&gt;H$12,0,IF(H$12&gt;$C74+$A74-1,0,IF($J$5=1,SYD($B74,$D74,$C74,H$12),SLN($B74,$D74,$C74))))</f>
        <v>8873.33333333333</v>
      </c>
      <c r="I74" s="59" t="n">
        <f aca="false">IF($A74&gt;I$12,0,IF(I$12&gt;$C74+$A74-1,0,IF($J$5=1,SYD($B74,$D74,$C74,I$12),SLN($B74,$D74,$C74))))</f>
        <v>8873.33333333333</v>
      </c>
      <c r="J74" s="59" t="n">
        <f aca="false">IF($A74&gt;J$12,0,IF(J$12&gt;$C74+$A74-1,0,IF($J$5=1,SYD($B74,$D74,$C74,J$12),SLN($B74,$D74,$C74))))</f>
        <v>8873.33333333333</v>
      </c>
      <c r="K74" s="59" t="n">
        <f aca="false">IF($A74&gt;K$12,0,IF(K$12&gt;$C74+$A74-1,0,IF($J$5=1,SYD($B74,$D74,$C74,K$12),SLN($B74,$D74,$C74))))</f>
        <v>8873.33333333333</v>
      </c>
      <c r="L74" s="59" t="n">
        <f aca="false">IF($A74&gt;L$12,0,IF(L$12&gt;$C74+$A74-1,0,IF($J$5=1,SYD($B74,$D74,$C74,L$12),SLN($B74,$D74,$C74))))</f>
        <v>8873.33333333333</v>
      </c>
      <c r="M74" s="59" t="n">
        <f aca="false">IF($A74&gt;M$12,0,IF(M$12&gt;$C74+$A74-1,0,IF($J$5=1,SYD($B74,$D74,$C74,M$12),SLN($B74,$D74,$C74))))</f>
        <v>8873.33333333333</v>
      </c>
      <c r="N74" s="59" t="n">
        <f aca="false">IF($A74&gt;N$12,0,IF(N$12&gt;$C74+$A74-1,0,IF($J$5=1,SYD($B74,$D74,$C74,N$12),SLN($B74,$D74,$C74))))</f>
        <v>8873.33333333333</v>
      </c>
      <c r="O74" s="59" t="n">
        <f aca="false">IF($A74&gt;O$12,0,IF(O$12&gt;$C74+$A74-1,0,IF($J$5=1,SYD($B74,$D74,$C74,O$12),SLN($B74,$D74,$C74))))</f>
        <v>8873.33333333333</v>
      </c>
    </row>
    <row r="75" customFormat="false" ht="12" hidden="false" customHeight="false" outlineLevel="0" collapsed="false">
      <c r="A75" s="192" t="n">
        <f aca="false">I12</f>
        <v>4</v>
      </c>
      <c r="B75" s="156" t="n">
        <f aca="false">IF(capex_interval="",0,IF(capex_start_year="",0,IF($A75&lt;capex_start_year,0,IF(MOD($A75-capex_start_year,capex_interval)=0,Inc_St!$G$8*capex,0))))</f>
        <v>146410</v>
      </c>
      <c r="C75" s="197" t="n">
        <v>9</v>
      </c>
      <c r="D75" s="197"/>
      <c r="E75" s="59"/>
      <c r="F75" s="59" t="n">
        <f aca="false">IF($A75&gt;F$12,0,IF(F$12&gt;$C75+$A75-1,0,IF($J$5=1,SYD($B75,$D75,$C75,F$12),SLN($B75,$D75,$C75))))</f>
        <v>0</v>
      </c>
      <c r="G75" s="59" t="n">
        <f aca="false">IF($A75&gt;G$12,0,IF(G$12&gt;$C75+$A75-1,0,IF($J$5=1,SYD($B75,$D75,$C75,G$12),SLN($B75,$D75,$C75))))</f>
        <v>0</v>
      </c>
      <c r="H75" s="59" t="n">
        <f aca="false">IF($A75&gt;H$12,0,IF(H$12&gt;$C75+$A75-1,0,IF($J$5=1,SYD($B75,$D75,$C75,H$12),SLN($B75,$D75,$C75))))</f>
        <v>0</v>
      </c>
      <c r="I75" s="59" t="n">
        <f aca="false">IF($A75&gt;I$12,0,IF(I$12&gt;$C75+$A75-1,0,IF($J$5=1,SYD($B75,$D75,$C75,I$12),SLN($B75,$D75,$C75))))</f>
        <v>16267.7777777778</v>
      </c>
      <c r="J75" s="59" t="n">
        <f aca="false">IF($A75&gt;J$12,0,IF(J$12&gt;$C75+$A75-1,0,IF($J$5=1,SYD($B75,$D75,$C75,J$12),SLN($B75,$D75,$C75))))</f>
        <v>16267.7777777778</v>
      </c>
      <c r="K75" s="59" t="n">
        <f aca="false">IF($A75&gt;K$12,0,IF(K$12&gt;$C75+$A75-1,0,IF($J$5=1,SYD($B75,$D75,$C75,K$12),SLN($B75,$D75,$C75))))</f>
        <v>16267.7777777778</v>
      </c>
      <c r="L75" s="59" t="n">
        <f aca="false">IF($A75&gt;L$12,0,IF(L$12&gt;$C75+$A75-1,0,IF($J$5=1,SYD($B75,$D75,$C75,L$12),SLN($B75,$D75,$C75))))</f>
        <v>16267.7777777778</v>
      </c>
      <c r="M75" s="59" t="n">
        <f aca="false">IF($A75&gt;M$12,0,IF(M$12&gt;$C75+$A75-1,0,IF($J$5=1,SYD($B75,$D75,$C75,M$12),SLN($B75,$D75,$C75))))</f>
        <v>16267.7777777778</v>
      </c>
      <c r="N75" s="59" t="n">
        <f aca="false">IF($A75&gt;N$12,0,IF(N$12&gt;$C75+$A75-1,0,IF($J$5=1,SYD($B75,$D75,$C75,N$12),SLN($B75,$D75,$C75))))</f>
        <v>16267.7777777778</v>
      </c>
      <c r="O75" s="59" t="n">
        <f aca="false">IF($A75&gt;O$12,0,IF(O$12&gt;$C75+$A75-1,0,IF($J$5=1,SYD($B75,$D75,$C75,O$12),SLN($B75,$D75,$C75))))</f>
        <v>16267.7777777778</v>
      </c>
    </row>
    <row r="76" customFormat="false" ht="12" hidden="false" customHeight="false" outlineLevel="0" collapsed="false">
      <c r="A76" s="192" t="n">
        <f aca="false">J12</f>
        <v>5</v>
      </c>
      <c r="B76" s="156" t="n">
        <f aca="false">IF(capex_interval="",0,IF(capex_start_year="",0,IF($A76&lt;capex_start_year,0,IF(MOD($A76-capex_start_year,capex_interval)=0,Inc_St!$H$8*capex,0))))</f>
        <v>161051</v>
      </c>
      <c r="C76" s="197" t="n">
        <v>4</v>
      </c>
      <c r="D76" s="197"/>
      <c r="E76" s="59"/>
      <c r="F76" s="59" t="n">
        <f aca="false">IF($A76&gt;F$12,0,IF(F$12&gt;$C76+$A76-1,0,IF($J$5=1,SYD($B76,$D76,$C76,F$12),SLN($B76,$D76,$C76))))</f>
        <v>0</v>
      </c>
      <c r="G76" s="59" t="n">
        <f aca="false">IF($A76&gt;G$12,0,IF(G$12&gt;$C76+$A76-1,0,IF($J$5=1,SYD($B76,$D76,$C76,G$12),SLN($B76,$D76,$C76))))</f>
        <v>0</v>
      </c>
      <c r="H76" s="59" t="n">
        <f aca="false">IF($A76&gt;H$12,0,IF(H$12&gt;$C76+$A76-1,0,IF($J$5=1,SYD($B76,$D76,$C76,H$12),SLN($B76,$D76,$C76))))</f>
        <v>0</v>
      </c>
      <c r="I76" s="59" t="n">
        <f aca="false">IF($A76&gt;I$12,0,IF(I$12&gt;$C76+$A76-1,0,IF($J$5=1,SYD($B76,$D76,$C76,I$12),SLN($B76,$D76,$C76))))</f>
        <v>0</v>
      </c>
      <c r="J76" s="59" t="n">
        <f aca="false">IF($A76&gt;J$12,0,IF(J$12&gt;$C76+$A76-1,0,IF($J$5=1,SYD($B76,$D76,$C76,J$12),SLN($B76,$D76,$C76))))</f>
        <v>40262.75</v>
      </c>
      <c r="K76" s="59" t="n">
        <f aca="false">IF($A76&gt;K$12,0,IF(K$12&gt;$C76+$A76-1,0,IF($J$5=1,SYD($B76,$D76,$C76,K$12),SLN($B76,$D76,$C76))))</f>
        <v>40262.75</v>
      </c>
      <c r="L76" s="59" t="n">
        <f aca="false">IF($A76&gt;L$12,0,IF(L$12&gt;$C76+$A76-1,0,IF($J$5=1,SYD($B76,$D76,$C76,L$12),SLN($B76,$D76,$C76))))</f>
        <v>40262.75</v>
      </c>
      <c r="M76" s="59" t="n">
        <f aca="false">IF($A76&gt;M$12,0,IF(M$12&gt;$C76+$A76-1,0,IF($J$5=1,SYD($B76,$D76,$C76,M$12),SLN($B76,$D76,$C76))))</f>
        <v>40262.75</v>
      </c>
      <c r="N76" s="59" t="n">
        <f aca="false">IF($A76&gt;N$12,0,IF(N$12&gt;$C76+$A76-1,0,IF($J$5=1,SYD($B76,$D76,$C76,N$12),SLN($B76,$D76,$C76))))</f>
        <v>0</v>
      </c>
      <c r="O76" s="59" t="n">
        <f aca="false">IF($A76&gt;O$12,0,IF(O$12&gt;$C76+$A76-1,0,IF($J$5=1,SYD($B76,$D76,$C76,O$12),SLN($B76,$D76,$C76))))</f>
        <v>0</v>
      </c>
    </row>
    <row r="77" customFormat="false" ht="12" hidden="false" customHeight="false" outlineLevel="0" collapsed="false">
      <c r="A77" s="192" t="n">
        <f aca="false">K12</f>
        <v>6</v>
      </c>
      <c r="B77" s="156" t="n">
        <f aca="false">IF(capex_interval="",0,IF(capex_start_year="",0,IF($A77&lt;capex_start_year,0,IF(MOD($A77-capex_start_year,capex_interval)=0,Inc_St!$I$8*capex,0))))</f>
        <v>177156.1</v>
      </c>
      <c r="C77" s="197" t="n">
        <v>16</v>
      </c>
      <c r="D77" s="197"/>
      <c r="E77" s="59"/>
      <c r="F77" s="59" t="n">
        <f aca="false">IF($A77&gt;F$12,0,IF(F$12&gt;$C77+$A77-1,0,IF($J$5=1,SYD($B77,$D77,$C77,F$12),SLN($B77,$D77,$C77))))</f>
        <v>0</v>
      </c>
      <c r="G77" s="59" t="n">
        <f aca="false">IF($A77&gt;G$12,0,IF(G$12&gt;$C77+$A77-1,0,IF($J$5=1,SYD($B77,$D77,$C77,G$12),SLN($B77,$D77,$C77))))</f>
        <v>0</v>
      </c>
      <c r="H77" s="59" t="n">
        <f aca="false">IF($A77&gt;H$12,0,IF(H$12&gt;$C77+$A77-1,0,IF($J$5=1,SYD($B77,$D77,$C77,H$12),SLN($B77,$D77,$C77))))</f>
        <v>0</v>
      </c>
      <c r="I77" s="59" t="n">
        <f aca="false">IF($A77&gt;I$12,0,IF(I$12&gt;$C77+$A77-1,0,IF($J$5=1,SYD($B77,$D77,$C77,I$12),SLN($B77,$D77,$C77))))</f>
        <v>0</v>
      </c>
      <c r="J77" s="59" t="n">
        <f aca="false">IF($A77&gt;J$12,0,IF(J$12&gt;$C77+$A77-1,0,IF($J$5=1,SYD($B77,$D77,$C77,J$12),SLN($B77,$D77,$C77))))</f>
        <v>0</v>
      </c>
      <c r="K77" s="59" t="n">
        <f aca="false">IF($A77&gt;K$12,0,IF(K$12&gt;$C77+$A77-1,0,IF($J$5=1,SYD($B77,$D77,$C77,K$12),SLN($B77,$D77,$C77))))</f>
        <v>11072.25625</v>
      </c>
      <c r="L77" s="59" t="n">
        <f aca="false">IF($A77&gt;L$12,0,IF(L$12&gt;$C77+$A77-1,0,IF($J$5=1,SYD($B77,$D77,$C77,L$12),SLN($B77,$D77,$C77))))</f>
        <v>11072.25625</v>
      </c>
      <c r="M77" s="59" t="n">
        <f aca="false">IF($A77&gt;M$12,0,IF(M$12&gt;$C77+$A77-1,0,IF($J$5=1,SYD($B77,$D77,$C77,M$12),SLN($B77,$D77,$C77))))</f>
        <v>11072.25625</v>
      </c>
      <c r="N77" s="59" t="n">
        <f aca="false">IF($A77&gt;N$12,0,IF(N$12&gt;$C77+$A77-1,0,IF($J$5=1,SYD($B77,$D77,$C77,N$12),SLN($B77,$D77,$C77))))</f>
        <v>11072.25625</v>
      </c>
      <c r="O77" s="59" t="n">
        <f aca="false">IF($A77&gt;O$12,0,IF(O$12&gt;$C77+$A77-1,0,IF($J$5=1,SYD($B77,$D77,$C77,O$12),SLN($B77,$D77,$C77))))</f>
        <v>11072.25625</v>
      </c>
    </row>
    <row r="78" customFormat="false" ht="12" hidden="false" customHeight="false" outlineLevel="0" collapsed="false">
      <c r="A78" s="192" t="n">
        <f aca="false">L12</f>
        <v>7</v>
      </c>
      <c r="B78" s="156" t="n">
        <f aca="false">IF(capex_interval="",0,IF(capex_start_year="",0,IF($A78&lt;capex_start_year,0,IF(MOD($A78-capex_start_year,capex_interval)=0,Inc_St!$J$8*capex,0))))</f>
        <v>194871.71</v>
      </c>
      <c r="C78" s="197" t="n">
        <v>15</v>
      </c>
      <c r="D78" s="197"/>
      <c r="E78" s="59"/>
      <c r="F78" s="59" t="n">
        <f aca="false">IF($A78&gt;F$12,0,IF(F$12&gt;$C78+$A78-1,0,IF($J$5=1,SYD($B78,$D78,$C78,F$12),SLN($B78,$D78,$C78))))</f>
        <v>0</v>
      </c>
      <c r="G78" s="59" t="n">
        <f aca="false">IF($A78&gt;G$12,0,IF(G$12&gt;$C78+$A78-1,0,IF($J$5=1,SYD($B78,$D78,$C78,G$12),SLN($B78,$D78,$C78))))</f>
        <v>0</v>
      </c>
      <c r="H78" s="59" t="n">
        <f aca="false">IF($A78&gt;H$12,0,IF(H$12&gt;$C78+$A78-1,0,IF($J$5=1,SYD($B78,$D78,$C78,H$12),SLN($B78,$D78,$C78))))</f>
        <v>0</v>
      </c>
      <c r="I78" s="59" t="n">
        <f aca="false">IF($A78&gt;I$12,0,IF(I$12&gt;$C78+$A78-1,0,IF($J$5=1,SYD($B78,$D78,$C78,I$12),SLN($B78,$D78,$C78))))</f>
        <v>0</v>
      </c>
      <c r="J78" s="59" t="n">
        <f aca="false">IF($A78&gt;J$12,0,IF(J$12&gt;$C78+$A78-1,0,IF($J$5=1,SYD($B78,$D78,$C78,J$12),SLN($B78,$D78,$C78))))</f>
        <v>0</v>
      </c>
      <c r="K78" s="59" t="n">
        <f aca="false">IF($A78&gt;K$12,0,IF(K$12&gt;$C78+$A78-1,0,IF($J$5=1,SYD($B78,$D78,$C78,K$12),SLN($B78,$D78,$C78))))</f>
        <v>0</v>
      </c>
      <c r="L78" s="59" t="n">
        <f aca="false">IF($A78&gt;L$12,0,IF(L$12&gt;$C78+$A78-1,0,IF($J$5=1,SYD($B78,$D78,$C78,L$12),SLN($B78,$D78,$C78))))</f>
        <v>12991.4473333333</v>
      </c>
      <c r="M78" s="59" t="n">
        <f aca="false">IF($A78&gt;M$12,0,IF(M$12&gt;$C78+$A78-1,0,IF($J$5=1,SYD($B78,$D78,$C78,M$12),SLN($B78,$D78,$C78))))</f>
        <v>12991.4473333333</v>
      </c>
      <c r="N78" s="59" t="n">
        <f aca="false">IF($A78&gt;N$12,0,IF(N$12&gt;$C78+$A78-1,0,IF($J$5=1,SYD($B78,$D78,$C78,N$12),SLN($B78,$D78,$C78))))</f>
        <v>12991.4473333333</v>
      </c>
      <c r="O78" s="59" t="n">
        <f aca="false">IF($A78&gt;O$12,0,IF(O$12&gt;$C78+$A78-1,0,IF($J$5=1,SYD($B78,$D78,$C78,O$12),SLN($B78,$D78,$C78))))</f>
        <v>12991.4473333333</v>
      </c>
    </row>
    <row r="79" customFormat="false" ht="12" hidden="false" customHeight="false" outlineLevel="0" collapsed="false">
      <c r="A79" s="192" t="n">
        <f aca="false">M12</f>
        <v>8</v>
      </c>
      <c r="B79" s="156" t="n">
        <f aca="false">IF(capex_interval="",0,IF(capex_start_year="",0,IF($A79&lt;capex_start_year,0,IF(MOD($A79-capex_start_year,capex_interval)=0,Inc_St!$K$8*capex,0))))</f>
        <v>214358.881</v>
      </c>
      <c r="C79" s="197" t="n">
        <v>2</v>
      </c>
      <c r="D79" s="197"/>
      <c r="E79" s="59"/>
      <c r="F79" s="59" t="n">
        <f aca="false">IF($A79&gt;F$12,0,IF(F$12&gt;$C79+$A79-1,0,IF($J$5=1,SYD($B79,$D79,$C79,F$12),SLN($B79,$D79,$C79))))</f>
        <v>0</v>
      </c>
      <c r="G79" s="59" t="n">
        <f aca="false">IF($A79&gt;G$12,0,IF(G$12&gt;$C79+$A79-1,0,IF($J$5=1,SYD($B79,$D79,$C79,G$12),SLN($B79,$D79,$C79))))</f>
        <v>0</v>
      </c>
      <c r="H79" s="59" t="n">
        <f aca="false">IF($A79&gt;H$12,0,IF(H$12&gt;$C79+$A79-1,0,IF($J$5=1,SYD($B79,$D79,$C79,H$12),SLN($B79,$D79,$C79))))</f>
        <v>0</v>
      </c>
      <c r="I79" s="59" t="n">
        <f aca="false">IF($A79&gt;I$12,0,IF(I$12&gt;$C79+$A79-1,0,IF($J$5=1,SYD($B79,$D79,$C79,I$12),SLN($B79,$D79,$C79))))</f>
        <v>0</v>
      </c>
      <c r="J79" s="59" t="n">
        <f aca="false">IF($A79&gt;J$12,0,IF(J$12&gt;$C79+$A79-1,0,IF($J$5=1,SYD($B79,$D79,$C79,J$12),SLN($B79,$D79,$C79))))</f>
        <v>0</v>
      </c>
      <c r="K79" s="59" t="n">
        <f aca="false">IF($A79&gt;K$12,0,IF(K$12&gt;$C79+$A79-1,0,IF($J$5=1,SYD($B79,$D79,$C79,K$12),SLN($B79,$D79,$C79))))</f>
        <v>0</v>
      </c>
      <c r="L79" s="59" t="n">
        <f aca="false">IF($A79&gt;L$12,0,IF(L$12&gt;$C79+$A79-1,0,IF($J$5=1,SYD($B79,$D79,$C79,L$12),SLN($B79,$D79,$C79))))</f>
        <v>0</v>
      </c>
      <c r="M79" s="59" t="n">
        <f aca="false">IF($A79&gt;M$12,0,IF(M$12&gt;$C79+$A79-1,0,IF($J$5=1,SYD($B79,$D79,$C79,M$12),SLN($B79,$D79,$C79))))</f>
        <v>107179.4405</v>
      </c>
      <c r="N79" s="59" t="n">
        <f aca="false">IF($A79&gt;N$12,0,IF(N$12&gt;$C79+$A79-1,0,IF($J$5=1,SYD($B79,$D79,$C79,N$12),SLN($B79,$D79,$C79))))</f>
        <v>107179.4405</v>
      </c>
      <c r="O79" s="59" t="n">
        <f aca="false">IF($A79&gt;O$12,0,IF(O$12&gt;$C79+$A79-1,0,IF($J$5=1,SYD($B79,$D79,$C79,O$12),SLN($B79,$D79,$C79))))</f>
        <v>0</v>
      </c>
    </row>
    <row r="80" customFormat="false" ht="12" hidden="false" customHeight="false" outlineLevel="0" collapsed="false">
      <c r="A80" s="192" t="n">
        <f aca="false">N12</f>
        <v>9</v>
      </c>
      <c r="B80" s="156" t="n">
        <f aca="false">IF(capex_interval="",0,IF(capex_start_year="",0,IF($A80&lt;capex_start_year,0,IF(MOD($A80-capex_start_year,capex_interval)=0,Inc_St!$L$8*capex,0))))</f>
        <v>235794.7691</v>
      </c>
      <c r="C80" s="197" t="n">
        <v>12</v>
      </c>
      <c r="D80" s="197"/>
      <c r="E80" s="59"/>
      <c r="F80" s="59" t="n">
        <f aca="false">IF($A80&gt;F$12,0,IF(F$12&gt;$C80+$A80-1,0,IF($J$5=1,SYD($B80,$D80,$C80,F$12),SLN($B80,$D80,$C80))))</f>
        <v>0</v>
      </c>
      <c r="G80" s="59" t="n">
        <f aca="false">IF($A80&gt;G$12,0,IF(G$12&gt;$C80+$A80-1,0,IF($J$5=1,SYD($B80,$D80,$C80,G$12),SLN($B80,$D80,$C80))))</f>
        <v>0</v>
      </c>
      <c r="H80" s="59" t="n">
        <f aca="false">IF($A80&gt;H$12,0,IF(H$12&gt;$C80+$A80-1,0,IF($J$5=1,SYD($B80,$D80,$C80,H$12),SLN($B80,$D80,$C80))))</f>
        <v>0</v>
      </c>
      <c r="I80" s="59" t="n">
        <f aca="false">IF($A80&gt;I$12,0,IF(I$12&gt;$C80+$A80-1,0,IF($J$5=1,SYD($B80,$D80,$C80,I$12),SLN($B80,$D80,$C80))))</f>
        <v>0</v>
      </c>
      <c r="J80" s="59" t="n">
        <f aca="false">IF($A80&gt;J$12,0,IF(J$12&gt;$C80+$A80-1,0,IF($J$5=1,SYD($B80,$D80,$C80,J$12),SLN($B80,$D80,$C80))))</f>
        <v>0</v>
      </c>
      <c r="K80" s="59" t="n">
        <f aca="false">IF($A80&gt;K$12,0,IF(K$12&gt;$C80+$A80-1,0,IF($J$5=1,SYD($B80,$D80,$C80,K$12),SLN($B80,$D80,$C80))))</f>
        <v>0</v>
      </c>
      <c r="L80" s="59" t="n">
        <f aca="false">IF($A80&gt;L$12,0,IF(L$12&gt;$C80+$A80-1,0,IF($J$5=1,SYD($B80,$D80,$C80,L$12),SLN($B80,$D80,$C80))))</f>
        <v>0</v>
      </c>
      <c r="M80" s="59" t="n">
        <f aca="false">IF($A80&gt;M$12,0,IF(M$12&gt;$C80+$A80-1,0,IF($J$5=1,SYD($B80,$D80,$C80,M$12),SLN($B80,$D80,$C80))))</f>
        <v>0</v>
      </c>
      <c r="N80" s="59" t="n">
        <f aca="false">IF($A80&gt;N$12,0,IF(N$12&gt;$C80+$A80-1,0,IF($J$5=1,SYD($B80,$D80,$C80,N$12),SLN($B80,$D80,$C80))))</f>
        <v>19649.5640916667</v>
      </c>
      <c r="O80" s="59" t="n">
        <f aca="false">IF($A80&gt;O$12,0,IF(O$12&gt;$C80+$A80-1,0,IF($J$5=1,SYD($B80,$D80,$C80,O$12),SLN($B80,$D80,$C80))))</f>
        <v>19649.5640916667</v>
      </c>
    </row>
    <row r="81" customFormat="false" ht="12" hidden="false" customHeight="false" outlineLevel="0" collapsed="false">
      <c r="A81" s="192" t="n">
        <f aca="false">O12</f>
        <v>10</v>
      </c>
      <c r="B81" s="156" t="n">
        <f aca="false">IF(capex_interval="",0,IF(capex_start_year="",0,IF($A81&lt;capex_start_year,0,IF(MOD($A81-capex_start_year,capex_interval)=0,Inc_St!$M$8*capex,0))))</f>
        <v>259374.24601</v>
      </c>
      <c r="C81" s="197" t="n">
        <v>12</v>
      </c>
      <c r="D81" s="197"/>
      <c r="E81" s="59"/>
      <c r="F81" s="59" t="n">
        <f aca="false">IF($A81&gt;F$12,0,IF(F$12&gt;$C81+$A81-1,0,IF($J$5=1,SYD($B81,$D81,$C81,F$12),SLN($B81,$D81,$C81))))</f>
        <v>0</v>
      </c>
      <c r="G81" s="59" t="n">
        <f aca="false">IF($A81&gt;G$12,0,IF(G$12&gt;$C81+$A81-1,0,IF($J$5=1,SYD($B81,$D81,$C81,G$12),SLN($B81,$D81,$C81))))</f>
        <v>0</v>
      </c>
      <c r="H81" s="59" t="n">
        <f aca="false">IF($A81&gt;H$12,0,IF(H$12&gt;$C81+$A81-1,0,IF($J$5=1,SYD($B81,$D81,$C81,H$12),SLN($B81,$D81,$C81))))</f>
        <v>0</v>
      </c>
      <c r="I81" s="59" t="n">
        <f aca="false">IF($A81&gt;I$12,0,IF(I$12&gt;$C81+$A81-1,0,IF($J$5=1,SYD($B81,$D81,$C81,I$12),SLN($B81,$D81,$C81))))</f>
        <v>0</v>
      </c>
      <c r="J81" s="59" t="n">
        <f aca="false">IF($A81&gt;J$12,0,IF(J$12&gt;$C81+$A81-1,0,IF($J$5=1,SYD($B81,$D81,$C81,J$12),SLN($B81,$D81,$C81))))</f>
        <v>0</v>
      </c>
      <c r="K81" s="59" t="n">
        <f aca="false">IF($A81&gt;K$12,0,IF(K$12&gt;$C81+$A81-1,0,IF($J$5=1,SYD($B81,$D81,$C81,K$12),SLN($B81,$D81,$C81))))</f>
        <v>0</v>
      </c>
      <c r="L81" s="59" t="n">
        <f aca="false">IF($A81&gt;L$12,0,IF(L$12&gt;$C81+$A81-1,0,IF($J$5=1,SYD($B81,$D81,$C81,L$12),SLN($B81,$D81,$C81))))</f>
        <v>0</v>
      </c>
      <c r="M81" s="59" t="n">
        <f aca="false">IF($A81&gt;M$12,0,IF(M$12&gt;$C81+$A81-1,0,IF($J$5=1,SYD($B81,$D81,$C81,M$12),SLN($B81,$D81,$C81))))</f>
        <v>0</v>
      </c>
      <c r="N81" s="59" t="n">
        <f aca="false">IF($A81&gt;N$12,0,IF(N$12&gt;$C81+$A81-1,0,IF($J$5=1,SYD($B81,$D81,$C81,N$12),SLN($B81,$D81,$C81))))</f>
        <v>0</v>
      </c>
      <c r="O81" s="59" t="n">
        <f aca="false">IF($A81&gt;O$12,0,IF(O$12&gt;$C81+$A81-1,0,IF($J$5=1,SYD($B81,$D81,$C81,O$12),SLN($B81,$D81,$C81))))</f>
        <v>21614.5205008334</v>
      </c>
    </row>
    <row r="82" customFormat="false" ht="12" hidden="false" customHeight="false" outlineLevel="0" collapsed="false">
      <c r="A82" s="179"/>
      <c r="B82" s="198" t="n">
        <f aca="false">SUM(B72:B81)</f>
        <v>1753116.70611</v>
      </c>
      <c r="C82" s="200"/>
      <c r="D82" s="198" t="n">
        <f aca="false">SUM(D72:D81)</f>
        <v>0</v>
      </c>
      <c r="E82" s="59"/>
      <c r="F82" s="158" t="n">
        <f aca="false">SUM(F72:F81)</f>
        <v>9166.66666666667</v>
      </c>
      <c r="G82" s="158" t="n">
        <f aca="false">SUM(G72:G81)</f>
        <v>24291.6666666667</v>
      </c>
      <c r="H82" s="158" t="n">
        <f aca="false">SUM(H72:H81)</f>
        <v>33165</v>
      </c>
      <c r="I82" s="158" t="n">
        <f aca="false">SUM(I72:I81)</f>
        <v>49432.7777777778</v>
      </c>
      <c r="J82" s="158" t="n">
        <f aca="false">SUM(J72:J81)</f>
        <v>89695.5277777778</v>
      </c>
      <c r="K82" s="158" t="n">
        <f aca="false">SUM(K72:K81)</f>
        <v>100767.784027778</v>
      </c>
      <c r="L82" s="158" t="n">
        <f aca="false">SUM(L72:L81)</f>
        <v>113759.231361111</v>
      </c>
      <c r="M82" s="158" t="n">
        <f aca="false">SUM(M72:M81)</f>
        <v>220938.671861111</v>
      </c>
      <c r="N82" s="158" t="n">
        <f aca="false">SUM(N72:N81)</f>
        <v>200325.485952778</v>
      </c>
      <c r="O82" s="158" t="n">
        <f aca="false">SUM(O72:O81)</f>
        <v>99635.5659536112</v>
      </c>
    </row>
    <row r="83" customFormat="false" ht="12" hidden="false" customHeight="false" outlineLevel="0" collapsed="false">
      <c r="A83" s="179"/>
      <c r="B83" s="200"/>
      <c r="C83" s="200"/>
      <c r="D83" s="59"/>
      <c r="E83" s="59"/>
      <c r="F83" s="59"/>
      <c r="G83" s="59"/>
      <c r="H83" s="59"/>
      <c r="I83" s="59"/>
      <c r="J83" s="59"/>
      <c r="K83" s="59"/>
      <c r="L83" s="59"/>
      <c r="M83" s="59"/>
      <c r="N83" s="59"/>
      <c r="O83" s="59"/>
    </row>
    <row r="84" customFormat="false" ht="12" hidden="false" customHeight="false" outlineLevel="0" collapsed="false">
      <c r="A84" s="201" t="s">
        <v>235</v>
      </c>
      <c r="B84" s="200"/>
      <c r="C84" s="200"/>
      <c r="D84" s="59"/>
      <c r="E84" s="59"/>
      <c r="F84" s="59" t="n">
        <f aca="false">SUM(F68,F82)</f>
        <v>56211.6666666667</v>
      </c>
      <c r="G84" s="59" t="n">
        <f aca="false">SUM(G68,G82)</f>
        <v>71336.6666666667</v>
      </c>
      <c r="H84" s="59" t="n">
        <f aca="false">SUM(H68,H82)</f>
        <v>80210</v>
      </c>
      <c r="I84" s="59" t="n">
        <f aca="false">SUM(I68,I82)</f>
        <v>96477.7777777778</v>
      </c>
      <c r="J84" s="59" t="n">
        <f aca="false">SUM(J68,J82)</f>
        <v>136740.527777778</v>
      </c>
      <c r="K84" s="59" t="n">
        <f aca="false">SUM(K68,K82)</f>
        <v>147812.784027778</v>
      </c>
      <c r="L84" s="59" t="n">
        <f aca="false">SUM(L68,L82)</f>
        <v>146737.564694444</v>
      </c>
      <c r="M84" s="59" t="n">
        <f aca="false">SUM(M68,M82)</f>
        <v>253917.005194445</v>
      </c>
      <c r="N84" s="59" t="n">
        <f aca="false">SUM(N68,N82)</f>
        <v>221503.819286111</v>
      </c>
      <c r="O84" s="59" t="n">
        <f aca="false">SUM(O68,O82)</f>
        <v>120813.899286945</v>
      </c>
    </row>
    <row r="85" customFormat="false" ht="12" hidden="false" customHeight="false" outlineLevel="0" collapsed="false">
      <c r="A85" s="164"/>
      <c r="B85" s="204"/>
      <c r="C85" s="204"/>
      <c r="D85" s="59"/>
      <c r="E85" s="59"/>
      <c r="F85" s="59"/>
      <c r="G85" s="59"/>
      <c r="H85" s="59"/>
      <c r="I85" s="59"/>
      <c r="J85" s="59"/>
      <c r="K85" s="59"/>
      <c r="L85" s="59"/>
      <c r="M85" s="59"/>
      <c r="N85" s="59"/>
      <c r="O85" s="59"/>
    </row>
    <row r="86" customFormat="false" ht="12" hidden="false" customHeight="false" outlineLevel="0" collapsed="false">
      <c r="A86" s="179"/>
      <c r="B86" s="200"/>
      <c r="C86" s="200"/>
      <c r="D86" s="202" t="s">
        <v>56</v>
      </c>
      <c r="E86" s="59"/>
      <c r="F86" s="59"/>
      <c r="G86" s="59"/>
      <c r="H86" s="59"/>
      <c r="I86" s="59"/>
      <c r="J86" s="59"/>
      <c r="K86" s="59"/>
      <c r="L86" s="59"/>
      <c r="M86" s="59"/>
      <c r="N86" s="59"/>
      <c r="O86" s="59"/>
    </row>
    <row r="87" customFormat="false" ht="12" hidden="false" customHeight="false" outlineLevel="0" collapsed="false">
      <c r="A87" s="201" t="s">
        <v>229</v>
      </c>
      <c r="B87" s="200"/>
      <c r="C87" s="200"/>
      <c r="D87" s="197" t="n">
        <v>15</v>
      </c>
      <c r="E87" s="59"/>
      <c r="F87" s="59" t="n">
        <f aca="false">IF(F$12&gt;$D$87,0,Bal_Sheet!$E$20/$D$87)</f>
        <v>143.333333333333</v>
      </c>
      <c r="G87" s="59" t="n">
        <f aca="false">IF(G$12&gt;$D$87,0,Bal_Sheet!$E$20/$D$87)</f>
        <v>143.333333333333</v>
      </c>
      <c r="H87" s="59" t="n">
        <f aca="false">IF(H$12&gt;$D$87,0,Bal_Sheet!$E$20/$D$87)</f>
        <v>143.333333333333</v>
      </c>
      <c r="I87" s="59" t="n">
        <f aca="false">IF(I$12&gt;$D$87,0,Bal_Sheet!$E$20/$D$87)</f>
        <v>143.333333333333</v>
      </c>
      <c r="J87" s="59" t="n">
        <f aca="false">IF(J$12&gt;$D$87,0,Bal_Sheet!$E$20/$D$87)</f>
        <v>143.333333333333</v>
      </c>
      <c r="K87" s="59" t="n">
        <f aca="false">IF(K$12&gt;$D$87,0,Bal_Sheet!$E$20/$D$87)</f>
        <v>143.333333333333</v>
      </c>
      <c r="L87" s="59" t="n">
        <f aca="false">IF(L$12&gt;$D$87,0,Bal_Sheet!$E$20/$D$87)</f>
        <v>143.333333333333</v>
      </c>
      <c r="M87" s="59" t="n">
        <f aca="false">IF(M$12&gt;$D$87,0,Bal_Sheet!$E$20/$D$87)</f>
        <v>143.333333333333</v>
      </c>
      <c r="N87" s="59" t="n">
        <f aca="false">IF(N$12&gt;$D$87,0,Bal_Sheet!$E$20/$D$87)</f>
        <v>143.333333333333</v>
      </c>
      <c r="O87" s="59" t="n">
        <f aca="false">IF(O$12&gt;$D$87,0,Bal_Sheet!$E$20/$D$87)</f>
        <v>143.333333333333</v>
      </c>
    </row>
    <row r="88" customFormat="false" ht="12" hidden="false" customHeight="false" outlineLevel="0" collapsed="false">
      <c r="A88" s="201" t="s">
        <v>236</v>
      </c>
      <c r="B88" s="200"/>
      <c r="C88" s="200"/>
      <c r="D88" s="197" t="n">
        <v>15</v>
      </c>
      <c r="E88" s="59"/>
      <c r="F88" s="165" t="n">
        <f aca="false">IF(F$12&gt;$D$88,0,Bal_Sheet!$E$19/$D$88)</f>
        <v>14098.5666666667</v>
      </c>
      <c r="G88" s="165" t="n">
        <f aca="false">IF(G$12&gt;$D$88,0,Bal_Sheet!$E$19/$D$88)</f>
        <v>14098.5666666667</v>
      </c>
      <c r="H88" s="165" t="n">
        <f aca="false">IF(H$12&gt;$D$88,0,Bal_Sheet!$E$19/$D$88)</f>
        <v>14098.5666666667</v>
      </c>
      <c r="I88" s="165" t="n">
        <f aca="false">IF(I$12&gt;$D$88,0,Bal_Sheet!$E$19/$D$88)</f>
        <v>14098.5666666667</v>
      </c>
      <c r="J88" s="165" t="n">
        <f aca="false">IF(J$12&gt;$D$88,0,Bal_Sheet!$E$19/$D$88)</f>
        <v>14098.5666666667</v>
      </c>
      <c r="K88" s="165" t="n">
        <f aca="false">IF(K$12&gt;$D$88,0,Bal_Sheet!$E$19/$D$88)</f>
        <v>14098.5666666667</v>
      </c>
      <c r="L88" s="165" t="n">
        <f aca="false">IF(L$12&gt;$D$88,0,Bal_Sheet!$E$19/$D$88)</f>
        <v>14098.5666666667</v>
      </c>
      <c r="M88" s="165" t="n">
        <f aca="false">IF(M$12&gt;$D$88,0,Bal_Sheet!$E$19/$D$88)</f>
        <v>14098.5666666667</v>
      </c>
      <c r="N88" s="165" t="n">
        <f aca="false">IF(N$12&gt;$D$88,0,Bal_Sheet!$E$19/$D$88)</f>
        <v>14098.5666666667</v>
      </c>
      <c r="O88" s="165" t="n">
        <f aca="false">IF(O$12&gt;$D$88,0,Bal_Sheet!$E$19/$D$88)</f>
        <v>14098.5666666667</v>
      </c>
    </row>
  </sheetData>
  <mergeCells count="6">
    <mergeCell ref="J4:L4"/>
    <mergeCell ref="N4:P4"/>
    <mergeCell ref="N5:P5"/>
    <mergeCell ref="O6:P6"/>
    <mergeCell ref="J7:L7"/>
    <mergeCell ref="J58:L58"/>
  </mergeCells>
  <dataValidations count="1">
    <dataValidation allowBlank="true" errorStyle="stop" operator="between" showDropDown="false" showErrorMessage="true" showInputMessage="false" sqref="J5 N6 J8 J59" type="list">
      <formula1>"0,1"</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O8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O16" activeCellId="0" sqref="O16"/>
    </sheetView>
  </sheetViews>
  <sheetFormatPr defaultColWidth="9.05078125" defaultRowHeight="12.75" zeroHeight="false" outlineLevelRow="0" outlineLevelCol="0"/>
  <cols>
    <col collapsed="false" customWidth="true" hidden="false" outlineLevel="0" max="1" min="1" style="0" width="15.99"/>
    <col collapsed="false" customWidth="true" hidden="false" outlineLevel="0" max="2" min="2" style="0" width="15.7"/>
    <col collapsed="false" customWidth="true" hidden="false" outlineLevel="0" max="3" min="3" style="0" width="2.85"/>
    <col collapsed="false" customWidth="true" hidden="false" outlineLevel="0" max="13" min="4" style="0" width="10.7"/>
  </cols>
  <sheetData>
    <row r="2" customFormat="false" ht="15" hidden="false" customHeight="false" outlineLevel="0" collapsed="false">
      <c r="A2" s="122" t="s">
        <v>237</v>
      </c>
    </row>
    <row r="3" customFormat="false" ht="12.75" hidden="false" customHeight="false" outlineLevel="0" collapsed="false">
      <c r="D3" s="124"/>
      <c r="E3" s="124"/>
      <c r="F3" s="124"/>
      <c r="G3" s="124"/>
      <c r="H3" s="124"/>
      <c r="I3" s="124"/>
      <c r="J3" s="124"/>
      <c r="K3" s="124"/>
      <c r="L3" s="124"/>
      <c r="M3" s="124"/>
    </row>
    <row r="4" customFormat="false" ht="12.75" hidden="false" customHeight="false" outlineLevel="0" collapsed="false">
      <c r="A4" s="125" t="s">
        <v>112</v>
      </c>
      <c r="C4" s="126"/>
      <c r="D4" s="127" t="n">
        <f aca="false">year1</f>
        <v>2010</v>
      </c>
      <c r="E4" s="128" t="n">
        <f aca="false">D4+1</f>
        <v>2011</v>
      </c>
      <c r="F4" s="128" t="n">
        <f aca="false">E4+1</f>
        <v>2012</v>
      </c>
      <c r="G4" s="128" t="n">
        <f aca="false">F4+1</f>
        <v>2013</v>
      </c>
      <c r="H4" s="128" t="n">
        <f aca="false">G4+1</f>
        <v>2014</v>
      </c>
      <c r="I4" s="128" t="n">
        <f aca="false">H4+1</f>
        <v>2015</v>
      </c>
      <c r="J4" s="128" t="n">
        <f aca="false">I4+1</f>
        <v>2016</v>
      </c>
      <c r="K4" s="128" t="n">
        <f aca="false">J4+1</f>
        <v>2017</v>
      </c>
      <c r="L4" s="128" t="n">
        <f aca="false">K4+1</f>
        <v>2018</v>
      </c>
      <c r="M4" s="128" t="n">
        <f aca="false">L4+1</f>
        <v>2019</v>
      </c>
    </row>
    <row r="5" customFormat="false" ht="12.75" hidden="false" customHeight="false" outlineLevel="0" collapsed="false">
      <c r="A5" s="125" t="s">
        <v>113</v>
      </c>
      <c r="C5" s="126"/>
      <c r="D5" s="127" t="n">
        <v>1</v>
      </c>
      <c r="E5" s="128" t="n">
        <f aca="false">D5+1</f>
        <v>2</v>
      </c>
      <c r="F5" s="128" t="n">
        <f aca="false">E5+1</f>
        <v>3</v>
      </c>
      <c r="G5" s="128" t="n">
        <f aca="false">F5+1</f>
        <v>4</v>
      </c>
      <c r="H5" s="128" t="n">
        <f aca="false">G5+1</f>
        <v>5</v>
      </c>
      <c r="I5" s="128" t="n">
        <f aca="false">H5+1</f>
        <v>6</v>
      </c>
      <c r="J5" s="128" t="n">
        <f aca="false">I5+1</f>
        <v>7</v>
      </c>
      <c r="K5" s="128" t="n">
        <f aca="false">J5+1</f>
        <v>8</v>
      </c>
      <c r="L5" s="128" t="n">
        <f aca="false">K5+1</f>
        <v>9</v>
      </c>
      <c r="M5" s="128" t="n">
        <f aca="false">L5+1</f>
        <v>10</v>
      </c>
      <c r="N5" s="130"/>
      <c r="O5" s="130"/>
      <c r="P5" s="130"/>
      <c r="Q5" s="130"/>
      <c r="R5" s="130"/>
      <c r="S5" s="130"/>
      <c r="T5" s="130"/>
      <c r="U5" s="130"/>
      <c r="V5" s="130"/>
      <c r="W5" s="130"/>
      <c r="X5" s="130"/>
      <c r="Y5" s="130"/>
      <c r="Z5" s="130"/>
      <c r="AA5" s="130"/>
      <c r="AB5" s="130"/>
      <c r="AC5" s="130"/>
      <c r="AD5" s="130"/>
      <c r="AE5" s="130"/>
      <c r="AF5" s="130"/>
      <c r="AG5" s="130"/>
      <c r="AH5" s="130"/>
      <c r="AI5" s="130"/>
      <c r="AJ5" s="130"/>
      <c r="AK5" s="130"/>
      <c r="AL5" s="130"/>
      <c r="AM5" s="130"/>
      <c r="AN5" s="130"/>
      <c r="AO5" s="130"/>
    </row>
    <row r="6" customFormat="false" ht="12.75" hidden="false" customHeight="false" outlineLevel="0" collapsed="false">
      <c r="C6" s="133"/>
      <c r="D6" s="210"/>
      <c r="E6" s="210"/>
      <c r="F6" s="210"/>
      <c r="G6" s="210"/>
      <c r="H6" s="210"/>
      <c r="I6" s="210"/>
      <c r="J6" s="210"/>
      <c r="K6" s="210"/>
      <c r="L6" s="210"/>
      <c r="M6" s="210"/>
      <c r="N6" s="133"/>
      <c r="O6" s="133"/>
    </row>
    <row r="7" customFormat="false" ht="12.75" hidden="false" customHeight="false" outlineLevel="0" collapsed="false">
      <c r="C7" s="133"/>
      <c r="D7" s="210"/>
      <c r="E7" s="210"/>
      <c r="F7" s="210"/>
      <c r="G7" s="210"/>
      <c r="H7" s="210"/>
      <c r="I7" s="210"/>
      <c r="J7" s="210"/>
      <c r="K7" s="210"/>
      <c r="L7" s="210"/>
      <c r="M7" s="210"/>
      <c r="N7" s="133"/>
      <c r="O7" s="133"/>
    </row>
    <row r="8" customFormat="false" ht="12.75" hidden="false" customHeight="false" outlineLevel="0" collapsed="false">
      <c r="A8" s="125" t="s">
        <v>238</v>
      </c>
      <c r="C8" s="133"/>
      <c r="D8" s="59" t="n">
        <f aca="false">Inc_St!D39</f>
        <v>214211.891906468</v>
      </c>
      <c r="E8" s="59" t="n">
        <f aca="false">Inc_St!E39</f>
        <v>233238.30768738</v>
      </c>
      <c r="F8" s="59" t="n">
        <f aca="false">Inc_St!F39</f>
        <v>259559.13326165</v>
      </c>
      <c r="G8" s="59" t="n">
        <f aca="false">Inc_St!G39</f>
        <v>288654.603207806</v>
      </c>
      <c r="H8" s="59" t="n">
        <f aca="false">Inc_St!H39</f>
        <v>315807.37184384</v>
      </c>
      <c r="I8" s="59" t="n">
        <f aca="false">Inc_St!I39</f>
        <v>350447.089963322</v>
      </c>
      <c r="J8" s="59" t="n">
        <f aca="false">Inc_St!J39</f>
        <v>429310.457850878</v>
      </c>
      <c r="K8" s="59" t="n">
        <f aca="false">Inc_St!K39</f>
        <v>468774.333205387</v>
      </c>
      <c r="L8" s="59" t="n">
        <f aca="false">Inc_St!L39</f>
        <v>513098.645652754</v>
      </c>
      <c r="M8" s="59" t="n">
        <f aca="false">Inc_St!M39</f>
        <v>550799.803199937</v>
      </c>
      <c r="N8" s="133"/>
      <c r="O8" s="133"/>
    </row>
    <row r="9" customFormat="false" ht="12.75" hidden="false" customHeight="false" outlineLevel="0" collapsed="false">
      <c r="C9" s="133"/>
      <c r="D9" s="59"/>
      <c r="E9" s="59"/>
      <c r="F9" s="59"/>
      <c r="G9" s="59"/>
      <c r="H9" s="59"/>
      <c r="I9" s="59"/>
      <c r="J9" s="59"/>
      <c r="K9" s="59"/>
      <c r="L9" s="59"/>
      <c r="M9" s="59"/>
      <c r="N9" s="133"/>
      <c r="O9" s="133"/>
    </row>
    <row r="10" customFormat="false" ht="12.75" hidden="false" customHeight="false" outlineLevel="0" collapsed="false">
      <c r="A10" s="125" t="s">
        <v>239</v>
      </c>
      <c r="C10" s="133"/>
      <c r="D10" s="59" t="n">
        <f aca="false">Depr_Amort!F39</f>
        <v>72745</v>
      </c>
      <c r="E10" s="59" t="n">
        <f aca="false">Depr_Amort!G39</f>
        <v>84845</v>
      </c>
      <c r="F10" s="59" t="n">
        <f aca="false">Depr_Amort!H39</f>
        <v>93718.3333333333</v>
      </c>
      <c r="G10" s="59" t="n">
        <f aca="false">Depr_Amort!I39</f>
        <v>104176.19047619</v>
      </c>
      <c r="H10" s="59" t="n">
        <f aca="false">Depr_Amort!J39</f>
        <v>117597.107142857</v>
      </c>
      <c r="I10" s="59" t="n">
        <f aca="false">Depr_Amort!K39</f>
        <v>128669.363392857</v>
      </c>
      <c r="J10" s="59" t="n">
        <f aca="false">Depr_Amort!L39</f>
        <v>101352.477392857</v>
      </c>
      <c r="K10" s="59" t="n">
        <f aca="false">Depr_Amort!M39</f>
        <v>115643.069459524</v>
      </c>
      <c r="L10" s="59" t="n">
        <f aca="false">Depr_Amort!N39</f>
        <v>127867.633551191</v>
      </c>
      <c r="M10" s="59" t="n">
        <f aca="false">Depr_Amort!O39</f>
        <v>149482.154052024</v>
      </c>
      <c r="N10" s="133"/>
      <c r="O10" s="133"/>
    </row>
    <row r="11" customFormat="false" ht="12.75" hidden="false" customHeight="false" outlineLevel="0" collapsed="false">
      <c r="A11" s="125" t="s">
        <v>240</v>
      </c>
      <c r="C11" s="133"/>
      <c r="D11" s="59" t="n">
        <f aca="false">D48</f>
        <v>1250</v>
      </c>
      <c r="E11" s="59" t="n">
        <f aca="false">E48</f>
        <v>1350</v>
      </c>
      <c r="F11" s="59" t="n">
        <f aca="false">F48</f>
        <v>1450</v>
      </c>
      <c r="G11" s="59" t="n">
        <f aca="false">G48</f>
        <v>1550</v>
      </c>
      <c r="H11" s="59" t="n">
        <f aca="false">H48</f>
        <v>1650</v>
      </c>
      <c r="I11" s="59" t="n">
        <f aca="false">I48</f>
        <v>1750</v>
      </c>
      <c r="J11" s="59" t="n">
        <f aca="false">J48</f>
        <v>1850</v>
      </c>
      <c r="K11" s="59" t="n">
        <f aca="false">K48</f>
        <v>1950</v>
      </c>
      <c r="L11" s="59" t="n">
        <f aca="false">L48</f>
        <v>2050</v>
      </c>
      <c r="M11" s="59" t="n">
        <f aca="false">M48</f>
        <v>2150</v>
      </c>
      <c r="N11" s="133"/>
      <c r="O11" s="133"/>
    </row>
    <row r="12" customFormat="false" ht="12.75" hidden="false" customHeight="false" outlineLevel="0" collapsed="false">
      <c r="A12" s="125" t="s">
        <v>241</v>
      </c>
      <c r="C12" s="133"/>
      <c r="D12" s="59" t="n">
        <f aca="false">Depr_Amort!F43</f>
        <v>0</v>
      </c>
      <c r="E12" s="59" t="n">
        <f aca="false">Depr_Amort!G43</f>
        <v>0</v>
      </c>
      <c r="F12" s="59" t="n">
        <f aca="false">Depr_Amort!H43</f>
        <v>0</v>
      </c>
      <c r="G12" s="59" t="n">
        <f aca="false">Depr_Amort!I43</f>
        <v>0</v>
      </c>
      <c r="H12" s="59" t="n">
        <f aca="false">Depr_Amort!J43</f>
        <v>0</v>
      </c>
      <c r="I12" s="59" t="n">
        <f aca="false">Depr_Amort!K43</f>
        <v>0</v>
      </c>
      <c r="J12" s="59" t="n">
        <f aca="false">Depr_Amort!L43</f>
        <v>0</v>
      </c>
      <c r="K12" s="59" t="n">
        <f aca="false">Depr_Amort!M43</f>
        <v>0</v>
      </c>
      <c r="L12" s="59" t="n">
        <f aca="false">Depr_Amort!N43</f>
        <v>0</v>
      </c>
      <c r="M12" s="59" t="n">
        <f aca="false">Depr_Amort!O43</f>
        <v>0</v>
      </c>
      <c r="N12" s="133"/>
      <c r="O12" s="133"/>
    </row>
    <row r="13" customFormat="false" ht="12.75" hidden="false" customHeight="false" outlineLevel="0" collapsed="false">
      <c r="A13" s="125" t="s">
        <v>242</v>
      </c>
      <c r="C13" s="133"/>
      <c r="D13" s="59" t="n">
        <f aca="false">Depr_Amort!F42</f>
        <v>179.166666666667</v>
      </c>
      <c r="E13" s="59" t="n">
        <f aca="false">Depr_Amort!G42</f>
        <v>179.166666666667</v>
      </c>
      <c r="F13" s="59" t="n">
        <f aca="false">Depr_Amort!H42</f>
        <v>179.166666666667</v>
      </c>
      <c r="G13" s="59" t="n">
        <f aca="false">Depr_Amort!I42</f>
        <v>179.166666666667</v>
      </c>
      <c r="H13" s="59" t="n">
        <f aca="false">Depr_Amort!J42</f>
        <v>179.166666666667</v>
      </c>
      <c r="I13" s="59" t="n">
        <f aca="false">Depr_Amort!K42</f>
        <v>179.166666666667</v>
      </c>
      <c r="J13" s="59" t="n">
        <f aca="false">Depr_Amort!L42</f>
        <v>179.166666666667</v>
      </c>
      <c r="K13" s="59" t="n">
        <f aca="false">Depr_Amort!M42</f>
        <v>179.166666666667</v>
      </c>
      <c r="L13" s="59" t="n">
        <f aca="false">Depr_Amort!N42</f>
        <v>179.166666666667</v>
      </c>
      <c r="M13" s="59" t="n">
        <f aca="false">Depr_Amort!O42</f>
        <v>179.166666666667</v>
      </c>
      <c r="N13" s="133"/>
      <c r="O13" s="133"/>
    </row>
    <row r="14" customFormat="false" ht="12.75" hidden="false" customHeight="false" outlineLevel="0" collapsed="false">
      <c r="A14" s="125" t="s">
        <v>243</v>
      </c>
      <c r="C14" s="133"/>
      <c r="D14" s="151" t="n">
        <v>0</v>
      </c>
      <c r="E14" s="151" t="n">
        <v>0</v>
      </c>
      <c r="F14" s="151" t="n">
        <v>0</v>
      </c>
      <c r="G14" s="151" t="n">
        <v>0</v>
      </c>
      <c r="H14" s="151" t="n">
        <v>0</v>
      </c>
      <c r="I14" s="151" t="n">
        <v>0</v>
      </c>
      <c r="J14" s="151" t="n">
        <v>0</v>
      </c>
      <c r="K14" s="151" t="n">
        <v>0</v>
      </c>
      <c r="L14" s="151" t="n">
        <v>0</v>
      </c>
      <c r="M14" s="151" t="n">
        <v>0</v>
      </c>
      <c r="N14" s="133"/>
      <c r="O14" s="133"/>
    </row>
    <row r="15" customFormat="false" ht="12.75" hidden="false" customHeight="false" outlineLevel="0" collapsed="false">
      <c r="A15" s="125"/>
      <c r="C15" s="133"/>
      <c r="D15" s="59"/>
      <c r="E15" s="59"/>
      <c r="F15" s="59"/>
      <c r="G15" s="59"/>
      <c r="H15" s="59"/>
      <c r="I15" s="59"/>
      <c r="J15" s="59"/>
      <c r="K15" s="59"/>
      <c r="L15" s="59"/>
      <c r="M15" s="59"/>
      <c r="N15" s="133"/>
      <c r="O15" s="133"/>
    </row>
    <row r="16" customFormat="false" ht="12.75" hidden="false" customHeight="false" outlineLevel="0" collapsed="false">
      <c r="A16" s="125" t="s">
        <v>244</v>
      </c>
      <c r="C16" s="133"/>
      <c r="D16" s="59" t="n">
        <f aca="false">Depr_Amort!F84</f>
        <v>56211.6666666667</v>
      </c>
      <c r="E16" s="59" t="n">
        <f aca="false">Depr_Amort!G84</f>
        <v>71336.6666666667</v>
      </c>
      <c r="F16" s="59" t="n">
        <f aca="false">Depr_Amort!H84</f>
        <v>80210</v>
      </c>
      <c r="G16" s="59" t="n">
        <f aca="false">Depr_Amort!I84</f>
        <v>96477.7777777778</v>
      </c>
      <c r="H16" s="59" t="n">
        <f aca="false">Depr_Amort!J84</f>
        <v>136740.527777778</v>
      </c>
      <c r="I16" s="59" t="n">
        <f aca="false">Depr_Amort!K84</f>
        <v>147812.784027778</v>
      </c>
      <c r="J16" s="59" t="n">
        <f aca="false">Depr_Amort!L84</f>
        <v>146737.564694444</v>
      </c>
      <c r="K16" s="59" t="n">
        <f aca="false">Depr_Amort!M84</f>
        <v>253917.005194445</v>
      </c>
      <c r="L16" s="59" t="n">
        <f aca="false">Depr_Amort!N84</f>
        <v>221503.819286111</v>
      </c>
      <c r="M16" s="59" t="n">
        <f aca="false">Depr_Amort!O84</f>
        <v>120813.899286945</v>
      </c>
      <c r="N16" s="133"/>
      <c r="O16" s="133"/>
    </row>
    <row r="17" customFormat="false" ht="12.75" hidden="false" customHeight="false" outlineLevel="0" collapsed="false">
      <c r="A17" s="125" t="s">
        <v>245</v>
      </c>
      <c r="C17" s="133"/>
      <c r="D17" s="59" t="n">
        <f aca="false">D49</f>
        <v>1350</v>
      </c>
      <c r="E17" s="59" t="n">
        <f aca="false">E49</f>
        <v>1500</v>
      </c>
      <c r="F17" s="59" t="n">
        <f aca="false">F49</f>
        <v>1600</v>
      </c>
      <c r="G17" s="59" t="n">
        <f aca="false">G49</f>
        <v>1700</v>
      </c>
      <c r="H17" s="59" t="n">
        <f aca="false">H49</f>
        <v>1750</v>
      </c>
      <c r="I17" s="59" t="n">
        <f aca="false">I49</f>
        <v>1900</v>
      </c>
      <c r="J17" s="59" t="n">
        <f aca="false">J49</f>
        <v>2000</v>
      </c>
      <c r="K17" s="59" t="n">
        <f aca="false">K49</f>
        <v>2200</v>
      </c>
      <c r="L17" s="59" t="n">
        <f aca="false">L49</f>
        <v>2300</v>
      </c>
      <c r="M17" s="59" t="n">
        <f aca="false">M49</f>
        <v>2500</v>
      </c>
      <c r="N17" s="133"/>
      <c r="O17" s="133"/>
    </row>
    <row r="18" customFormat="false" ht="12.75" hidden="false" customHeight="false" outlineLevel="0" collapsed="false">
      <c r="A18" s="125" t="s">
        <v>246</v>
      </c>
      <c r="C18" s="133"/>
      <c r="D18" s="59" t="n">
        <f aca="false">IF(goodwill_intang_deductible=1,Depr_Amort!F88,0)</f>
        <v>14098.5666666667</v>
      </c>
      <c r="E18" s="59" t="n">
        <f aca="false">IF(goodwill_intang_deductible=1,Depr_Amort!G88,0)</f>
        <v>14098.5666666667</v>
      </c>
      <c r="F18" s="59" t="n">
        <f aca="false">IF(goodwill_intang_deductible=1,Depr_Amort!H88,0)</f>
        <v>14098.5666666667</v>
      </c>
      <c r="G18" s="59" t="n">
        <f aca="false">IF(goodwill_intang_deductible=1,Depr_Amort!I88,0)</f>
        <v>14098.5666666667</v>
      </c>
      <c r="H18" s="59" t="n">
        <f aca="false">IF(goodwill_intang_deductible=1,Depr_Amort!J88,0)</f>
        <v>14098.5666666667</v>
      </c>
      <c r="I18" s="59" t="n">
        <f aca="false">IF(goodwill_intang_deductible=1,Depr_Amort!K88,0)</f>
        <v>14098.5666666667</v>
      </c>
      <c r="J18" s="59" t="n">
        <f aca="false">IF(goodwill_intang_deductible=1,Depr_Amort!L88,0)</f>
        <v>14098.5666666667</v>
      </c>
      <c r="K18" s="59" t="n">
        <f aca="false">IF(goodwill_intang_deductible=1,Depr_Amort!M88,0)</f>
        <v>14098.5666666667</v>
      </c>
      <c r="L18" s="59" t="n">
        <f aca="false">IF(goodwill_intang_deductible=1,Depr_Amort!N88,0)</f>
        <v>14098.5666666667</v>
      </c>
      <c r="M18" s="59" t="n">
        <f aca="false">IF(goodwill_intang_deductible=1,Depr_Amort!O88,0)</f>
        <v>14098.5666666667</v>
      </c>
      <c r="N18" s="133"/>
      <c r="O18" s="133"/>
    </row>
    <row r="19" customFormat="false" ht="12.75" hidden="false" customHeight="false" outlineLevel="0" collapsed="false">
      <c r="A19" s="125" t="s">
        <v>247</v>
      </c>
      <c r="C19" s="133"/>
      <c r="D19" s="59" t="n">
        <f aca="false">IF(goodwill_intang_deductible=1,Depr_Amort!F87,0)</f>
        <v>143.333333333333</v>
      </c>
      <c r="E19" s="59" t="n">
        <f aca="false">IF(goodwill_intang_deductible=1,Depr_Amort!G87,0)</f>
        <v>143.333333333333</v>
      </c>
      <c r="F19" s="59" t="n">
        <f aca="false">IF(goodwill_intang_deductible=1,Depr_Amort!H87,0)</f>
        <v>143.333333333333</v>
      </c>
      <c r="G19" s="59" t="n">
        <f aca="false">IF(goodwill_intang_deductible=1,Depr_Amort!I87,0)</f>
        <v>143.333333333333</v>
      </c>
      <c r="H19" s="59" t="n">
        <f aca="false">IF(goodwill_intang_deductible=1,Depr_Amort!J87,0)</f>
        <v>143.333333333333</v>
      </c>
      <c r="I19" s="59" t="n">
        <f aca="false">IF(goodwill_intang_deductible=1,Depr_Amort!K87,0)</f>
        <v>143.333333333333</v>
      </c>
      <c r="J19" s="59" t="n">
        <f aca="false">IF(goodwill_intang_deductible=1,Depr_Amort!L87,0)</f>
        <v>143.333333333333</v>
      </c>
      <c r="K19" s="59" t="n">
        <f aca="false">IF(goodwill_intang_deductible=1,Depr_Amort!M87,0)</f>
        <v>143.333333333333</v>
      </c>
      <c r="L19" s="59" t="n">
        <f aca="false">IF(goodwill_intang_deductible=1,Depr_Amort!N87,0)</f>
        <v>143.333333333333</v>
      </c>
      <c r="M19" s="59" t="n">
        <f aca="false">IF(goodwill_intang_deductible=1,Depr_Amort!O87,0)</f>
        <v>143.333333333333</v>
      </c>
      <c r="N19" s="133"/>
      <c r="O19" s="133"/>
    </row>
    <row r="20" customFormat="false" ht="12.75" hidden="false" customHeight="false" outlineLevel="0" collapsed="false">
      <c r="C20" s="133"/>
      <c r="D20" s="59"/>
      <c r="E20" s="59"/>
      <c r="F20" s="59"/>
      <c r="G20" s="59"/>
      <c r="H20" s="59"/>
      <c r="I20" s="59"/>
      <c r="J20" s="59"/>
      <c r="K20" s="59"/>
      <c r="L20" s="59"/>
      <c r="M20" s="59"/>
      <c r="N20" s="133"/>
      <c r="O20" s="133"/>
    </row>
    <row r="21" customFormat="false" ht="12.75" hidden="false" customHeight="false" outlineLevel="0" collapsed="false">
      <c r="A21" s="125" t="s">
        <v>248</v>
      </c>
      <c r="C21" s="133"/>
      <c r="D21" s="59" t="n">
        <f aca="false">D8+SUM(D10:D14)-SUM(D16:D19)</f>
        <v>216582.491906468</v>
      </c>
      <c r="E21" s="59" t="n">
        <f aca="false">E8+SUM(E10:E14)-SUM(E16:E19)</f>
        <v>232533.90768738</v>
      </c>
      <c r="F21" s="59" t="n">
        <f aca="false">F8+SUM(F10:F14)-SUM(F16:F19)</f>
        <v>258854.73326165</v>
      </c>
      <c r="G21" s="59" t="n">
        <f aca="false">G8+SUM(G10:G14)-SUM(G16:G19)</f>
        <v>282140.282572885</v>
      </c>
      <c r="H21" s="59" t="n">
        <f aca="false">H8+SUM(H10:H14)-SUM(H16:H19)</f>
        <v>282501.217875586</v>
      </c>
      <c r="I21" s="59" t="n">
        <f aca="false">I8+SUM(I10:I14)-SUM(I16:I19)</f>
        <v>317090.935995068</v>
      </c>
      <c r="J21" s="59" t="n">
        <f aca="false">J8+SUM(J10:J14)-SUM(J16:J19)</f>
        <v>369712.637215957</v>
      </c>
      <c r="K21" s="59" t="n">
        <f aca="false">K8+SUM(K10:K14)-SUM(K16:K19)</f>
        <v>316187.664137133</v>
      </c>
      <c r="L21" s="59" t="n">
        <f aca="false">L8+SUM(L10:L14)-SUM(L16:L19)</f>
        <v>405149.7265845</v>
      </c>
      <c r="M21" s="59" t="n">
        <f aca="false">M8+SUM(M10:M14)-SUM(M16:M19)</f>
        <v>565055.324631683</v>
      </c>
      <c r="N21" s="133"/>
      <c r="O21" s="133"/>
    </row>
    <row r="22" customFormat="false" ht="12.75" hidden="false" customHeight="false" outlineLevel="0" collapsed="false">
      <c r="C22" s="133"/>
      <c r="D22" s="59"/>
      <c r="E22" s="59"/>
      <c r="F22" s="59"/>
      <c r="G22" s="59"/>
      <c r="H22" s="59"/>
      <c r="I22" s="59"/>
      <c r="J22" s="59"/>
      <c r="K22" s="59"/>
      <c r="L22" s="59"/>
      <c r="M22" s="59"/>
      <c r="N22" s="133"/>
      <c r="O22" s="133"/>
    </row>
    <row r="23" customFormat="false" ht="12.75" hidden="false" customHeight="false" outlineLevel="0" collapsed="false">
      <c r="A23" s="125" t="s">
        <v>249</v>
      </c>
      <c r="C23" s="133"/>
      <c r="D23" s="59" t="n">
        <f aca="false">MIN(MAX(0,D21),D33)</f>
        <v>15500</v>
      </c>
      <c r="E23" s="59" t="n">
        <f aca="false">MIN(MAX(0,E21),E33)</f>
        <v>0</v>
      </c>
      <c r="F23" s="59" t="n">
        <f aca="false">MIN(MAX(0,F21),F33)</f>
        <v>0</v>
      </c>
      <c r="G23" s="59" t="n">
        <f aca="false">MIN(MAX(0,G21),G33)</f>
        <v>0</v>
      </c>
      <c r="H23" s="59" t="n">
        <f aca="false">MIN(MAX(0,H21),H33)</f>
        <v>0</v>
      </c>
      <c r="I23" s="59" t="n">
        <f aca="false">MIN(MAX(0,I21),I33)</f>
        <v>0</v>
      </c>
      <c r="J23" s="59" t="n">
        <f aca="false">MIN(MAX(0,J21),J33)</f>
        <v>0</v>
      </c>
      <c r="K23" s="59" t="n">
        <f aca="false">MIN(MAX(0,K21),K33)</f>
        <v>0</v>
      </c>
      <c r="L23" s="59" t="n">
        <f aca="false">MIN(MAX(0,L21),L33)</f>
        <v>0</v>
      </c>
      <c r="M23" s="59" t="n">
        <f aca="false">MIN(MAX(0,M21),M33)</f>
        <v>0</v>
      </c>
      <c r="N23" s="133"/>
      <c r="O23" s="133"/>
    </row>
    <row r="24" customFormat="false" ht="12.75" hidden="false" customHeight="false" outlineLevel="0" collapsed="false">
      <c r="C24" s="133"/>
      <c r="D24" s="59"/>
      <c r="E24" s="59"/>
      <c r="F24" s="59"/>
      <c r="G24" s="59"/>
      <c r="H24" s="59"/>
      <c r="I24" s="59"/>
      <c r="J24" s="59"/>
      <c r="K24" s="59"/>
      <c r="L24" s="59"/>
      <c r="M24" s="59"/>
      <c r="N24" s="133"/>
      <c r="O24" s="133"/>
    </row>
    <row r="25" customFormat="false" ht="12.75" hidden="false" customHeight="false" outlineLevel="0" collapsed="false">
      <c r="A25" s="125" t="s">
        <v>250</v>
      </c>
      <c r="C25" s="133"/>
      <c r="D25" s="59" t="n">
        <f aca="false">D21-D23</f>
        <v>201082.491906468</v>
      </c>
      <c r="E25" s="59" t="n">
        <f aca="false">E21-E23</f>
        <v>232533.90768738</v>
      </c>
      <c r="F25" s="59" t="n">
        <f aca="false">F21-F23</f>
        <v>258854.73326165</v>
      </c>
      <c r="G25" s="59" t="n">
        <f aca="false">G21-G23</f>
        <v>282140.282572885</v>
      </c>
      <c r="H25" s="59" t="n">
        <f aca="false">H21-H23</f>
        <v>282501.217875586</v>
      </c>
      <c r="I25" s="59" t="n">
        <f aca="false">I21-I23</f>
        <v>317090.935995068</v>
      </c>
      <c r="J25" s="59" t="n">
        <f aca="false">J21-J23</f>
        <v>369712.637215957</v>
      </c>
      <c r="K25" s="59" t="n">
        <f aca="false">K21-K23</f>
        <v>316187.664137133</v>
      </c>
      <c r="L25" s="59" t="n">
        <f aca="false">L21-L23</f>
        <v>405149.7265845</v>
      </c>
      <c r="M25" s="59" t="n">
        <f aca="false">M21-M23</f>
        <v>565055.324631683</v>
      </c>
      <c r="N25" s="133"/>
      <c r="O25" s="133"/>
    </row>
    <row r="26" customFormat="false" ht="12.75" hidden="false" customHeight="false" outlineLevel="0" collapsed="false">
      <c r="A26" s="125" t="s">
        <v>251</v>
      </c>
      <c r="C26" s="133"/>
      <c r="D26" s="59" t="n">
        <f aca="false">MAX(0,D25)*tax_rate</f>
        <v>70378.8721672639</v>
      </c>
      <c r="E26" s="59" t="n">
        <f aca="false">MAX(0,E25)*tax_rate</f>
        <v>81386.867690583</v>
      </c>
      <c r="F26" s="59" t="n">
        <f aca="false">MAX(0,F25)*tax_rate</f>
        <v>90599.1566415774</v>
      </c>
      <c r="G26" s="59" t="n">
        <f aca="false">MAX(0,G25)*tax_rate</f>
        <v>98749.0989005098</v>
      </c>
      <c r="H26" s="59" t="n">
        <f aca="false">MAX(0,H25)*tax_rate</f>
        <v>98875.4262564549</v>
      </c>
      <c r="I26" s="59" t="n">
        <f aca="false">MAX(0,I25)*tax_rate</f>
        <v>110981.827598274</v>
      </c>
      <c r="J26" s="59" t="n">
        <f aca="false">MAX(0,J25)*tax_rate</f>
        <v>129399.423025585</v>
      </c>
      <c r="K26" s="59" t="n">
        <f aca="false">MAX(0,K25)*tax_rate</f>
        <v>110665.682447996</v>
      </c>
      <c r="L26" s="59" t="n">
        <f aca="false">MAX(0,L25)*tax_rate</f>
        <v>141802.404304575</v>
      </c>
      <c r="M26" s="59" t="n">
        <f aca="false">MAX(0,M25)*tax_rate</f>
        <v>197769.363621089</v>
      </c>
      <c r="N26" s="133"/>
      <c r="O26" s="133"/>
    </row>
    <row r="27" customFormat="false" ht="12.75" hidden="false" customHeight="false" outlineLevel="0" collapsed="false">
      <c r="A27" s="125"/>
      <c r="C27" s="133"/>
      <c r="D27" s="59"/>
      <c r="E27" s="59"/>
      <c r="F27" s="59"/>
      <c r="G27" s="59"/>
      <c r="H27" s="59"/>
      <c r="I27" s="59"/>
      <c r="J27" s="59"/>
      <c r="K27" s="59"/>
      <c r="L27" s="59"/>
      <c r="M27" s="59"/>
      <c r="N27" s="133"/>
      <c r="O27" s="133"/>
    </row>
    <row r="28" customFormat="false" ht="12.75" hidden="false" customHeight="false" outlineLevel="0" collapsed="false">
      <c r="A28" s="125" t="s">
        <v>252</v>
      </c>
      <c r="C28" s="133"/>
      <c r="D28" s="59" t="n">
        <f aca="false">D8*tax_rate+IF(goodwill_intang_deductible=0,D12+D13,0)*tax_rate</f>
        <v>74974.1621672639</v>
      </c>
      <c r="E28" s="59" t="n">
        <f aca="false">E8*tax_rate+IF(goodwill_intang_deductible=0,E12+E13,0)*tax_rate</f>
        <v>81633.407690583</v>
      </c>
      <c r="F28" s="59" t="n">
        <f aca="false">F8*tax_rate+IF(goodwill_intang_deductible=0,F12+F13,0)*tax_rate</f>
        <v>90845.6966415774</v>
      </c>
      <c r="G28" s="59" t="n">
        <f aca="false">G8*tax_rate+IF(goodwill_intang_deductible=0,G12+G13,0)*tax_rate</f>
        <v>101029.111122732</v>
      </c>
      <c r="H28" s="59" t="n">
        <f aca="false">H8*tax_rate+IF(goodwill_intang_deductible=0,H12+H13,0)*tax_rate</f>
        <v>110532.580145344</v>
      </c>
      <c r="I28" s="59" t="n">
        <f aca="false">I8*tax_rate+IF(goodwill_intang_deductible=0,I12+I13,0)*tax_rate</f>
        <v>122656.481487163</v>
      </c>
      <c r="J28" s="59" t="n">
        <f aca="false">J8*tax_rate+IF(goodwill_intang_deductible=0,J12+J13,0)*tax_rate</f>
        <v>150258.660247807</v>
      </c>
      <c r="K28" s="59" t="n">
        <f aca="false">K8*tax_rate+IF(goodwill_intang_deductible=0,K12+K13,0)*tax_rate</f>
        <v>164071.016621885</v>
      </c>
      <c r="L28" s="59" t="n">
        <f aca="false">L8*tax_rate+IF(goodwill_intang_deductible=0,L12+L13,0)*tax_rate</f>
        <v>179584.525978464</v>
      </c>
      <c r="M28" s="59" t="n">
        <f aca="false">M8*tax_rate+IF(goodwill_intang_deductible=0,M12+M13,0)*tax_rate</f>
        <v>192779.931119978</v>
      </c>
      <c r="N28" s="133"/>
      <c r="O28" s="133"/>
    </row>
    <row r="29" customFormat="false" ht="12.75" hidden="false" customHeight="false" outlineLevel="0" collapsed="false">
      <c r="A29" s="125" t="s">
        <v>253</v>
      </c>
      <c r="C29" s="133"/>
      <c r="D29" s="59"/>
      <c r="E29" s="59"/>
      <c r="F29" s="59"/>
      <c r="G29" s="59"/>
      <c r="H29" s="59"/>
      <c r="I29" s="59"/>
      <c r="J29" s="59"/>
      <c r="K29" s="59"/>
      <c r="L29" s="59"/>
      <c r="M29" s="59"/>
      <c r="N29" s="133"/>
      <c r="O29" s="133"/>
    </row>
    <row r="30" customFormat="false" ht="12.75" hidden="false" customHeight="false" outlineLevel="0" collapsed="false">
      <c r="A30" s="157" t="s">
        <v>254</v>
      </c>
      <c r="C30" s="133"/>
      <c r="D30" s="59" t="n">
        <f aca="false">D28-D26</f>
        <v>4595.28999999999</v>
      </c>
      <c r="E30" s="59" t="n">
        <f aca="false">E28-E26</f>
        <v>246.539999999979</v>
      </c>
      <c r="F30" s="59" t="n">
        <f aca="false">F28-F26</f>
        <v>246.539999999994</v>
      </c>
      <c r="G30" s="59" t="n">
        <f aca="false">G28-G26</f>
        <v>2280.01222222221</v>
      </c>
      <c r="H30" s="59" t="n">
        <f aca="false">H28-H26</f>
        <v>11657.1538888889</v>
      </c>
      <c r="I30" s="59" t="n">
        <f aca="false">I28-I26</f>
        <v>11674.6538888889</v>
      </c>
      <c r="J30" s="59" t="n">
        <f aca="false">J28-J26</f>
        <v>20859.2372222222</v>
      </c>
      <c r="K30" s="59" t="n">
        <f aca="false">K28-K26</f>
        <v>53405.3341738889</v>
      </c>
      <c r="L30" s="59" t="n">
        <f aca="false">L28-L26</f>
        <v>37782.1216738889</v>
      </c>
      <c r="M30" s="59" t="n">
        <f aca="false">M28-M26</f>
        <v>-4989.43250111109</v>
      </c>
      <c r="N30" s="133"/>
      <c r="O30" s="133"/>
    </row>
    <row r="31" customFormat="false" ht="12.75" hidden="false" customHeight="false" outlineLevel="0" collapsed="false">
      <c r="C31" s="133"/>
      <c r="D31" s="59"/>
      <c r="E31" s="59"/>
      <c r="F31" s="59"/>
      <c r="G31" s="59"/>
      <c r="H31" s="59"/>
      <c r="I31" s="59"/>
      <c r="J31" s="59"/>
      <c r="K31" s="59"/>
      <c r="L31" s="59"/>
      <c r="M31" s="59"/>
      <c r="N31" s="133"/>
      <c r="O31" s="133"/>
    </row>
    <row r="32" customFormat="false" ht="12.75" hidden="false" customHeight="false" outlineLevel="0" collapsed="false">
      <c r="C32" s="133"/>
      <c r="D32" s="59"/>
      <c r="E32" s="59"/>
      <c r="F32" s="59"/>
      <c r="G32" s="59"/>
      <c r="H32" s="59"/>
      <c r="I32" s="59"/>
      <c r="J32" s="59"/>
      <c r="K32" s="59"/>
      <c r="L32" s="59"/>
      <c r="M32" s="59"/>
      <c r="N32" s="133"/>
      <c r="O32" s="133"/>
    </row>
    <row r="33" customFormat="false" ht="12.75" hidden="false" customHeight="false" outlineLevel="0" collapsed="false">
      <c r="A33" s="125" t="s">
        <v>255</v>
      </c>
      <c r="C33" s="133"/>
      <c r="D33" s="151" t="n">
        <v>15500</v>
      </c>
      <c r="E33" s="59" t="n">
        <f aca="false">D36</f>
        <v>0</v>
      </c>
      <c r="F33" s="59" t="n">
        <f aca="false">E36</f>
        <v>0</v>
      </c>
      <c r="G33" s="59" t="n">
        <f aca="false">F36</f>
        <v>0</v>
      </c>
      <c r="H33" s="59" t="n">
        <f aca="false">G36</f>
        <v>0</v>
      </c>
      <c r="I33" s="59" t="n">
        <f aca="false">H36</f>
        <v>0</v>
      </c>
      <c r="J33" s="59" t="n">
        <f aca="false">I36</f>
        <v>0</v>
      </c>
      <c r="K33" s="59" t="n">
        <f aca="false">J36</f>
        <v>0</v>
      </c>
      <c r="L33" s="59" t="n">
        <f aca="false">K36</f>
        <v>0</v>
      </c>
      <c r="M33" s="59" t="n">
        <f aca="false">L36</f>
        <v>0</v>
      </c>
      <c r="N33" s="133"/>
      <c r="O33" s="133"/>
    </row>
    <row r="34" customFormat="false" ht="12.75" hidden="false" customHeight="false" outlineLevel="0" collapsed="false">
      <c r="A34" s="125" t="s">
        <v>256</v>
      </c>
      <c r="C34" s="133"/>
      <c r="D34" s="59" t="n">
        <f aca="false">MIN(0,D21)</f>
        <v>0</v>
      </c>
      <c r="E34" s="59" t="n">
        <f aca="false">MIN(0,E21)</f>
        <v>0</v>
      </c>
      <c r="F34" s="59" t="n">
        <f aca="false">MIN(0,F21)</f>
        <v>0</v>
      </c>
      <c r="G34" s="59" t="n">
        <f aca="false">MIN(0,G21)</f>
        <v>0</v>
      </c>
      <c r="H34" s="59" t="n">
        <f aca="false">MIN(0,H21)</f>
        <v>0</v>
      </c>
      <c r="I34" s="59" t="n">
        <f aca="false">MIN(0,I21)</f>
        <v>0</v>
      </c>
      <c r="J34" s="59" t="n">
        <f aca="false">MIN(0,J21)</f>
        <v>0</v>
      </c>
      <c r="K34" s="59" t="n">
        <f aca="false">MIN(0,K21)</f>
        <v>0</v>
      </c>
      <c r="L34" s="59" t="n">
        <f aca="false">MIN(0,L21)</f>
        <v>0</v>
      </c>
      <c r="M34" s="59" t="n">
        <f aca="false">MIN(0,M21)</f>
        <v>0</v>
      </c>
      <c r="N34" s="133"/>
      <c r="O34" s="133"/>
    </row>
    <row r="35" customFormat="false" ht="12.75" hidden="false" customHeight="false" outlineLevel="0" collapsed="false">
      <c r="A35" s="125" t="s">
        <v>257</v>
      </c>
      <c r="C35" s="133"/>
      <c r="D35" s="59" t="n">
        <f aca="false">D23</f>
        <v>15500</v>
      </c>
      <c r="E35" s="59" t="n">
        <f aca="false">E23</f>
        <v>0</v>
      </c>
      <c r="F35" s="59" t="n">
        <f aca="false">F23</f>
        <v>0</v>
      </c>
      <c r="G35" s="59" t="n">
        <f aca="false">G23</f>
        <v>0</v>
      </c>
      <c r="H35" s="59" t="n">
        <f aca="false">H23</f>
        <v>0</v>
      </c>
      <c r="I35" s="59" t="n">
        <f aca="false">I23</f>
        <v>0</v>
      </c>
      <c r="J35" s="59" t="n">
        <f aca="false">J23</f>
        <v>0</v>
      </c>
      <c r="K35" s="59" t="n">
        <f aca="false">K23</f>
        <v>0</v>
      </c>
      <c r="L35" s="59" t="n">
        <f aca="false">L23</f>
        <v>0</v>
      </c>
      <c r="M35" s="59" t="n">
        <f aca="false">M23</f>
        <v>0</v>
      </c>
      <c r="N35" s="133"/>
      <c r="O35" s="133"/>
    </row>
    <row r="36" customFormat="false" ht="12.75" hidden="false" customHeight="false" outlineLevel="0" collapsed="false">
      <c r="A36" s="125" t="s">
        <v>258</v>
      </c>
      <c r="C36" s="133"/>
      <c r="D36" s="59" t="n">
        <f aca="false">D33+D34-D35</f>
        <v>0</v>
      </c>
      <c r="E36" s="59" t="n">
        <f aca="false">E33+E34-E35</f>
        <v>0</v>
      </c>
      <c r="F36" s="59" t="n">
        <f aca="false">F33+F34-F35</f>
        <v>0</v>
      </c>
      <c r="G36" s="59" t="n">
        <f aca="false">G33+G34-G35</f>
        <v>0</v>
      </c>
      <c r="H36" s="59" t="n">
        <f aca="false">H33+H34-H35</f>
        <v>0</v>
      </c>
      <c r="I36" s="59" t="n">
        <f aca="false">I33+I34-I35</f>
        <v>0</v>
      </c>
      <c r="J36" s="59" t="n">
        <f aca="false">J33+J34-J35</f>
        <v>0</v>
      </c>
      <c r="K36" s="59" t="n">
        <f aca="false">K33+K34-K35</f>
        <v>0</v>
      </c>
      <c r="L36" s="59" t="n">
        <f aca="false">L33+L34-L35</f>
        <v>0</v>
      </c>
      <c r="M36" s="59" t="n">
        <f aca="false">M33+M34-M35</f>
        <v>0</v>
      </c>
      <c r="N36" s="133"/>
      <c r="O36" s="133"/>
    </row>
    <row r="37" customFormat="false" ht="12.75" hidden="false" customHeight="false" outlineLevel="0" collapsed="false">
      <c r="A37" s="125"/>
      <c r="C37" s="133"/>
      <c r="D37" s="59"/>
      <c r="E37" s="59"/>
      <c r="F37" s="59"/>
      <c r="G37" s="59"/>
      <c r="H37" s="59"/>
      <c r="I37" s="59"/>
      <c r="J37" s="59"/>
      <c r="K37" s="59"/>
      <c r="L37" s="59"/>
      <c r="M37" s="59"/>
      <c r="N37" s="133"/>
      <c r="O37" s="133"/>
    </row>
    <row r="38" customFormat="false" ht="12.75" hidden="false" customHeight="false" outlineLevel="0" collapsed="false">
      <c r="A38" s="125"/>
      <c r="C38" s="133"/>
      <c r="D38" s="59"/>
      <c r="E38" s="59"/>
      <c r="F38" s="59"/>
      <c r="G38" s="59"/>
      <c r="H38" s="59"/>
      <c r="I38" s="59"/>
      <c r="J38" s="59"/>
      <c r="K38" s="59"/>
      <c r="L38" s="59"/>
      <c r="M38" s="59"/>
      <c r="N38" s="133"/>
      <c r="O38" s="133"/>
    </row>
    <row r="39" customFormat="false" ht="12.75" hidden="false" customHeight="false" outlineLevel="0" collapsed="false">
      <c r="C39" s="133"/>
      <c r="D39" s="59"/>
      <c r="E39" s="59"/>
      <c r="F39" s="59"/>
      <c r="G39" s="59"/>
      <c r="H39" s="59"/>
      <c r="I39" s="59"/>
      <c r="J39" s="59"/>
      <c r="K39" s="59"/>
      <c r="L39" s="59"/>
      <c r="M39" s="59"/>
      <c r="N39" s="133"/>
      <c r="O39" s="133"/>
    </row>
    <row r="40" customFormat="false" ht="12.75" hidden="false" customHeight="false" outlineLevel="0" collapsed="false">
      <c r="C40" s="133"/>
      <c r="D40" s="59"/>
      <c r="E40" s="59"/>
      <c r="F40" s="59"/>
      <c r="G40" s="59"/>
      <c r="H40" s="59"/>
      <c r="I40" s="59"/>
      <c r="J40" s="59"/>
      <c r="K40" s="59"/>
      <c r="L40" s="59"/>
      <c r="M40" s="59"/>
      <c r="N40" s="133"/>
      <c r="O40" s="133"/>
    </row>
    <row r="41" customFormat="false" ht="12.75" hidden="false" customHeight="false" outlineLevel="0" collapsed="false">
      <c r="A41" s="211" t="s">
        <v>259</v>
      </c>
      <c r="C41" s="133"/>
      <c r="D41" s="59"/>
      <c r="E41" s="59"/>
      <c r="F41" s="59"/>
      <c r="G41" s="59"/>
      <c r="H41" s="59"/>
      <c r="I41" s="59"/>
      <c r="J41" s="59"/>
      <c r="K41" s="59"/>
      <c r="L41" s="59"/>
      <c r="M41" s="59"/>
      <c r="N41" s="133"/>
      <c r="O41" s="133"/>
    </row>
    <row r="42" customFormat="false" ht="12.75" hidden="false" customHeight="false" outlineLevel="0" collapsed="false">
      <c r="C42" s="133"/>
      <c r="D42" s="59"/>
      <c r="E42" s="59"/>
      <c r="F42" s="59"/>
      <c r="G42" s="59"/>
      <c r="H42" s="59"/>
      <c r="I42" s="59"/>
      <c r="J42" s="59"/>
      <c r="K42" s="59"/>
      <c r="L42" s="59"/>
      <c r="M42" s="59"/>
      <c r="N42" s="133"/>
      <c r="O42" s="133"/>
    </row>
    <row r="43" customFormat="false" ht="12.75" hidden="false" customHeight="false" outlineLevel="0" collapsed="false">
      <c r="A43" s="125" t="s">
        <v>260</v>
      </c>
      <c r="C43" s="133"/>
      <c r="D43" s="151" t="n">
        <v>4000</v>
      </c>
      <c r="E43" s="151" t="n">
        <v>4500</v>
      </c>
      <c r="F43" s="151" t="n">
        <v>5000</v>
      </c>
      <c r="G43" s="151" t="n">
        <v>5500</v>
      </c>
      <c r="H43" s="151" t="n">
        <v>6000</v>
      </c>
      <c r="I43" s="151" t="n">
        <v>6500</v>
      </c>
      <c r="J43" s="151" t="n">
        <v>7000</v>
      </c>
      <c r="K43" s="151" t="n">
        <v>7500</v>
      </c>
      <c r="L43" s="151" t="n">
        <v>8000</v>
      </c>
      <c r="M43" s="151" t="n">
        <v>8500</v>
      </c>
      <c r="N43" s="133"/>
      <c r="O43" s="133"/>
    </row>
    <row r="44" customFormat="false" ht="12.75" hidden="false" customHeight="false" outlineLevel="0" collapsed="false">
      <c r="C44" s="133"/>
      <c r="D44" s="59"/>
      <c r="E44" s="59"/>
      <c r="F44" s="59"/>
      <c r="G44" s="59"/>
      <c r="H44" s="59"/>
      <c r="I44" s="59"/>
      <c r="J44" s="59"/>
      <c r="K44" s="59"/>
      <c r="L44" s="59"/>
      <c r="M44" s="59"/>
      <c r="N44" s="133"/>
      <c r="O44" s="133"/>
    </row>
    <row r="45" customFormat="false" ht="12.75" hidden="false" customHeight="false" outlineLevel="0" collapsed="false">
      <c r="A45" s="125" t="s">
        <v>261</v>
      </c>
      <c r="C45" s="133"/>
      <c r="D45" s="59" t="n">
        <f aca="false">SUM(D53:D54)</f>
        <v>2750</v>
      </c>
      <c r="E45" s="59" t="n">
        <f aca="false">SUM(E53:E54)</f>
        <v>3150</v>
      </c>
      <c r="F45" s="59" t="n">
        <f aca="false">SUM(F53:F54)</f>
        <v>3550</v>
      </c>
      <c r="G45" s="59" t="n">
        <f aca="false">SUM(G53:G54)</f>
        <v>3950</v>
      </c>
      <c r="H45" s="59" t="n">
        <f aca="false">SUM(H53:H54)</f>
        <v>4350</v>
      </c>
      <c r="I45" s="59" t="n">
        <f aca="false">SUM(I53:I54)</f>
        <v>4750</v>
      </c>
      <c r="J45" s="59" t="n">
        <f aca="false">SUM(J53:J54)</f>
        <v>5150</v>
      </c>
      <c r="K45" s="59" t="n">
        <f aca="false">SUM(K53:K54)</f>
        <v>5550</v>
      </c>
      <c r="L45" s="59" t="n">
        <f aca="false">SUM(L53:L54)</f>
        <v>5950</v>
      </c>
      <c r="M45" s="59" t="n">
        <f aca="false">SUM(M53:M54)</f>
        <v>6350</v>
      </c>
      <c r="N45" s="133"/>
      <c r="O45" s="133"/>
    </row>
    <row r="46" customFormat="false" ht="12.75" hidden="false" customHeight="false" outlineLevel="0" collapsed="false">
      <c r="A46" s="125" t="s">
        <v>262</v>
      </c>
      <c r="C46" s="133"/>
      <c r="D46" s="151" t="n">
        <v>2650</v>
      </c>
      <c r="E46" s="151" t="n">
        <v>3000</v>
      </c>
      <c r="F46" s="151" t="n">
        <v>3400</v>
      </c>
      <c r="G46" s="151" t="n">
        <v>3800</v>
      </c>
      <c r="H46" s="151" t="n">
        <v>4250</v>
      </c>
      <c r="I46" s="151" t="n">
        <v>4600</v>
      </c>
      <c r="J46" s="151" t="n">
        <v>5000</v>
      </c>
      <c r="K46" s="151" t="n">
        <v>5300</v>
      </c>
      <c r="L46" s="151" t="n">
        <v>5700</v>
      </c>
      <c r="M46" s="151" t="n">
        <v>6000</v>
      </c>
      <c r="N46" s="133"/>
      <c r="O46" s="133"/>
    </row>
    <row r="47" customFormat="false" ht="12.75" hidden="false" customHeight="false" outlineLevel="0" collapsed="false">
      <c r="C47" s="133"/>
      <c r="D47" s="59"/>
      <c r="E47" s="59"/>
      <c r="F47" s="59"/>
      <c r="G47" s="59"/>
      <c r="H47" s="59"/>
      <c r="I47" s="59"/>
      <c r="J47" s="59"/>
      <c r="K47" s="59"/>
      <c r="L47" s="59"/>
      <c r="M47" s="59"/>
      <c r="N47" s="133"/>
      <c r="O47" s="133"/>
    </row>
    <row r="48" customFormat="false" ht="12.75" hidden="false" customHeight="false" outlineLevel="0" collapsed="false">
      <c r="A48" s="125" t="s">
        <v>263</v>
      </c>
      <c r="C48" s="133"/>
      <c r="D48" s="59" t="n">
        <f aca="false">D43-D45</f>
        <v>1250</v>
      </c>
      <c r="E48" s="59" t="n">
        <f aca="false">E43-E45</f>
        <v>1350</v>
      </c>
      <c r="F48" s="59" t="n">
        <f aca="false">F43-F45</f>
        <v>1450</v>
      </c>
      <c r="G48" s="59" t="n">
        <f aca="false">G43-G45</f>
        <v>1550</v>
      </c>
      <c r="H48" s="59" t="n">
        <f aca="false">H43-H45</f>
        <v>1650</v>
      </c>
      <c r="I48" s="59" t="n">
        <f aca="false">I43-I45</f>
        <v>1750</v>
      </c>
      <c r="J48" s="59" t="n">
        <f aca="false">J43-J45</f>
        <v>1850</v>
      </c>
      <c r="K48" s="59" t="n">
        <f aca="false">K43-K45</f>
        <v>1950</v>
      </c>
      <c r="L48" s="59" t="n">
        <f aca="false">L43-L45</f>
        <v>2050</v>
      </c>
      <c r="M48" s="59" t="n">
        <f aca="false">M43-M45</f>
        <v>2150</v>
      </c>
      <c r="N48" s="133"/>
      <c r="O48" s="133"/>
    </row>
    <row r="49" customFormat="false" ht="12.75" hidden="false" customHeight="false" outlineLevel="0" collapsed="false">
      <c r="A49" s="125" t="s">
        <v>264</v>
      </c>
      <c r="C49" s="133"/>
      <c r="D49" s="59" t="n">
        <f aca="false">D43-D46</f>
        <v>1350</v>
      </c>
      <c r="E49" s="59" t="n">
        <f aca="false">E43-E46</f>
        <v>1500</v>
      </c>
      <c r="F49" s="59" t="n">
        <f aca="false">F43-F46</f>
        <v>1600</v>
      </c>
      <c r="G49" s="59" t="n">
        <f aca="false">G43-G46</f>
        <v>1700</v>
      </c>
      <c r="H49" s="59" t="n">
        <f aca="false">H43-H46</f>
        <v>1750</v>
      </c>
      <c r="I49" s="59" t="n">
        <f aca="false">I43-I46</f>
        <v>1900</v>
      </c>
      <c r="J49" s="59" t="n">
        <f aca="false">J43-J46</f>
        <v>2000</v>
      </c>
      <c r="K49" s="59" t="n">
        <f aca="false">K43-K46</f>
        <v>2200</v>
      </c>
      <c r="L49" s="59" t="n">
        <f aca="false">L43-L46</f>
        <v>2300</v>
      </c>
      <c r="M49" s="59" t="n">
        <f aca="false">M43-M46</f>
        <v>2500</v>
      </c>
      <c r="N49" s="133"/>
      <c r="O49" s="133"/>
    </row>
    <row r="50" customFormat="false" ht="12.75" hidden="false" customHeight="false" outlineLevel="0" collapsed="false">
      <c r="C50" s="133"/>
      <c r="D50" s="59"/>
      <c r="E50" s="59"/>
      <c r="F50" s="59"/>
      <c r="G50" s="59"/>
      <c r="H50" s="59"/>
      <c r="I50" s="59"/>
      <c r="J50" s="59"/>
      <c r="K50" s="59"/>
      <c r="L50" s="59"/>
      <c r="M50" s="59"/>
      <c r="N50" s="133"/>
      <c r="O50" s="133"/>
    </row>
    <row r="51" customFormat="false" ht="8.1" hidden="false" customHeight="true" outlineLevel="0" collapsed="false">
      <c r="C51" s="133"/>
      <c r="D51" s="59"/>
      <c r="E51" s="59"/>
      <c r="F51" s="59"/>
      <c r="G51" s="59"/>
      <c r="H51" s="59"/>
      <c r="I51" s="59"/>
      <c r="J51" s="59"/>
      <c r="K51" s="59"/>
      <c r="L51" s="59"/>
      <c r="M51" s="59"/>
      <c r="N51" s="133"/>
      <c r="O51" s="133"/>
    </row>
    <row r="52" customFormat="false" ht="12.75" hidden="false" customHeight="false" outlineLevel="0" collapsed="false">
      <c r="A52" s="212" t="s">
        <v>265</v>
      </c>
      <c r="C52" s="133"/>
      <c r="D52" s="59"/>
      <c r="E52" s="59"/>
      <c r="F52" s="59"/>
      <c r="G52" s="59"/>
      <c r="H52" s="59"/>
      <c r="I52" s="59"/>
      <c r="J52" s="59"/>
      <c r="K52" s="59"/>
      <c r="L52" s="59"/>
      <c r="M52" s="59"/>
      <c r="N52" s="133"/>
      <c r="O52" s="133"/>
    </row>
    <row r="53" customFormat="false" ht="12.75" hidden="false" customHeight="false" outlineLevel="0" collapsed="false">
      <c r="A53" s="125" t="str">
        <f aca="false">Bal_Sheet!A23</f>
        <v>PP&amp;E:</v>
      </c>
      <c r="C53" s="133"/>
      <c r="D53" s="151" t="n">
        <v>1500</v>
      </c>
      <c r="E53" s="151" t="n">
        <v>1700</v>
      </c>
      <c r="F53" s="151" t="n">
        <v>1900</v>
      </c>
      <c r="G53" s="151" t="n">
        <v>2100</v>
      </c>
      <c r="H53" s="151" t="n">
        <v>2300</v>
      </c>
      <c r="I53" s="151" t="n">
        <v>2500</v>
      </c>
      <c r="J53" s="151" t="n">
        <v>2700</v>
      </c>
      <c r="K53" s="151" t="n">
        <v>2900</v>
      </c>
      <c r="L53" s="151" t="n">
        <v>3100</v>
      </c>
      <c r="M53" s="151" t="n">
        <v>3300</v>
      </c>
      <c r="N53" s="133"/>
      <c r="O53" s="133"/>
    </row>
    <row r="54" customFormat="false" ht="12.75" hidden="false" customHeight="false" outlineLevel="0" collapsed="false">
      <c r="A54" s="125" t="str">
        <f aca="false">Bal_Sheet!A22</f>
        <v>Other Long-Term Assets</v>
      </c>
      <c r="C54" s="133"/>
      <c r="D54" s="151" t="n">
        <v>1250</v>
      </c>
      <c r="E54" s="151" t="n">
        <v>1450</v>
      </c>
      <c r="F54" s="151" t="n">
        <v>1650</v>
      </c>
      <c r="G54" s="151" t="n">
        <v>1850</v>
      </c>
      <c r="H54" s="151" t="n">
        <v>2050</v>
      </c>
      <c r="I54" s="151" t="n">
        <v>2250</v>
      </c>
      <c r="J54" s="151" t="n">
        <v>2450</v>
      </c>
      <c r="K54" s="151" t="n">
        <v>2650</v>
      </c>
      <c r="L54" s="151" t="n">
        <v>2850</v>
      </c>
      <c r="M54" s="151" t="n">
        <v>3050</v>
      </c>
      <c r="N54" s="133"/>
      <c r="O54" s="133"/>
    </row>
    <row r="55" customFormat="false" ht="12.75" hidden="false" customHeight="false" outlineLevel="0" collapsed="false">
      <c r="C55" s="133"/>
      <c r="D55" s="59"/>
      <c r="E55" s="59"/>
      <c r="F55" s="59"/>
      <c r="G55" s="59"/>
      <c r="H55" s="59"/>
      <c r="I55" s="59"/>
      <c r="J55" s="59"/>
      <c r="K55" s="59"/>
      <c r="L55" s="59"/>
      <c r="M55" s="59"/>
      <c r="N55" s="133"/>
      <c r="O55" s="133"/>
    </row>
    <row r="56" customFormat="false" ht="12.75" hidden="false" customHeight="false" outlineLevel="0" collapsed="false">
      <c r="C56" s="133"/>
      <c r="D56" s="59"/>
      <c r="E56" s="59"/>
      <c r="F56" s="59"/>
      <c r="G56" s="59"/>
      <c r="H56" s="59"/>
      <c r="I56" s="59"/>
      <c r="J56" s="59"/>
      <c r="K56" s="59"/>
      <c r="L56" s="59"/>
      <c r="M56" s="59"/>
      <c r="N56" s="133"/>
      <c r="O56" s="133"/>
    </row>
    <row r="57" customFormat="false" ht="12.75" hidden="false" customHeight="false" outlineLevel="0" collapsed="false">
      <c r="C57" s="133"/>
      <c r="D57" s="59"/>
      <c r="E57" s="59"/>
      <c r="F57" s="59"/>
      <c r="G57" s="59"/>
      <c r="H57" s="59"/>
      <c r="I57" s="59"/>
      <c r="J57" s="59"/>
      <c r="K57" s="59"/>
      <c r="L57" s="59"/>
      <c r="M57" s="59"/>
      <c r="N57" s="133"/>
      <c r="O57" s="133"/>
    </row>
    <row r="58" customFormat="false" ht="12.75" hidden="false" customHeight="false" outlineLevel="0" collapsed="false">
      <c r="C58" s="133"/>
      <c r="D58" s="59"/>
      <c r="E58" s="59"/>
      <c r="F58" s="59"/>
      <c r="G58" s="59"/>
      <c r="H58" s="59"/>
      <c r="I58" s="59"/>
      <c r="J58" s="59"/>
      <c r="K58" s="59"/>
      <c r="L58" s="59"/>
      <c r="M58" s="59"/>
      <c r="N58" s="133"/>
      <c r="O58" s="133"/>
    </row>
    <row r="59" customFormat="false" ht="12.75" hidden="false" customHeight="false" outlineLevel="0" collapsed="false">
      <c r="C59" s="133"/>
      <c r="D59" s="59"/>
      <c r="E59" s="59"/>
      <c r="F59" s="59"/>
      <c r="G59" s="59"/>
      <c r="H59" s="59"/>
      <c r="I59" s="59"/>
      <c r="J59" s="59"/>
      <c r="K59" s="59"/>
      <c r="L59" s="59"/>
      <c r="M59" s="59"/>
      <c r="N59" s="133"/>
      <c r="O59" s="133"/>
    </row>
    <row r="60" customFormat="false" ht="12.75" hidden="false" customHeight="false" outlineLevel="0" collapsed="false">
      <c r="C60" s="133"/>
      <c r="D60" s="59"/>
      <c r="E60" s="59"/>
      <c r="F60" s="59"/>
      <c r="G60" s="59"/>
      <c r="H60" s="59"/>
      <c r="I60" s="59"/>
      <c r="J60" s="59"/>
      <c r="K60" s="59"/>
      <c r="L60" s="59"/>
      <c r="M60" s="59"/>
      <c r="N60" s="133"/>
      <c r="O60" s="133"/>
    </row>
    <row r="61" customFormat="false" ht="12.75" hidden="false" customHeight="false" outlineLevel="0" collapsed="false">
      <c r="C61" s="133"/>
      <c r="D61" s="59"/>
      <c r="E61" s="59"/>
      <c r="F61" s="59"/>
      <c r="G61" s="59"/>
      <c r="H61" s="59"/>
      <c r="I61" s="59"/>
      <c r="J61" s="59"/>
      <c r="K61" s="59"/>
      <c r="L61" s="59"/>
      <c r="M61" s="59"/>
      <c r="N61" s="133"/>
      <c r="O61" s="133"/>
    </row>
    <row r="62" customFormat="false" ht="12.75" hidden="false" customHeight="false" outlineLevel="0" collapsed="false">
      <c r="C62" s="133"/>
      <c r="D62" s="59"/>
      <c r="E62" s="59"/>
      <c r="F62" s="59"/>
      <c r="G62" s="59"/>
      <c r="H62" s="59"/>
      <c r="I62" s="59"/>
      <c r="J62" s="59"/>
      <c r="K62" s="59"/>
      <c r="L62" s="59"/>
      <c r="M62" s="59"/>
      <c r="N62" s="133"/>
      <c r="O62" s="133"/>
    </row>
    <row r="63" customFormat="false" ht="12.75" hidden="false" customHeight="false" outlineLevel="0" collapsed="false">
      <c r="C63" s="133"/>
      <c r="D63" s="59"/>
      <c r="E63" s="59"/>
      <c r="F63" s="59"/>
      <c r="G63" s="59"/>
      <c r="H63" s="59"/>
      <c r="I63" s="59"/>
      <c r="J63" s="59"/>
      <c r="K63" s="59"/>
      <c r="L63" s="59"/>
      <c r="M63" s="59"/>
      <c r="N63" s="133"/>
      <c r="O63" s="133"/>
    </row>
    <row r="64" customFormat="false" ht="12.75" hidden="false" customHeight="false" outlineLevel="0" collapsed="false">
      <c r="C64" s="133"/>
      <c r="D64" s="59"/>
      <c r="E64" s="59"/>
      <c r="F64" s="59"/>
      <c r="G64" s="59"/>
      <c r="H64" s="59"/>
      <c r="I64" s="59"/>
      <c r="J64" s="59"/>
      <c r="K64" s="59"/>
      <c r="L64" s="59"/>
      <c r="M64" s="59"/>
      <c r="N64" s="133"/>
      <c r="O64" s="133"/>
    </row>
    <row r="65" customFormat="false" ht="12.75" hidden="false" customHeight="false" outlineLevel="0" collapsed="false">
      <c r="C65" s="133"/>
      <c r="D65" s="59"/>
      <c r="E65" s="59"/>
      <c r="F65" s="59"/>
      <c r="G65" s="59"/>
      <c r="H65" s="59"/>
      <c r="I65" s="59"/>
      <c r="J65" s="59"/>
      <c r="K65" s="59"/>
      <c r="L65" s="59"/>
      <c r="M65" s="59"/>
      <c r="N65" s="133"/>
      <c r="O65" s="133"/>
    </row>
    <row r="66" customFormat="false" ht="12.75" hidden="false" customHeight="false" outlineLevel="0" collapsed="false">
      <c r="C66" s="133"/>
      <c r="D66" s="59"/>
      <c r="E66" s="59"/>
      <c r="F66" s="59"/>
      <c r="G66" s="59"/>
      <c r="H66" s="59"/>
      <c r="I66" s="59"/>
      <c r="J66" s="59"/>
      <c r="K66" s="59"/>
      <c r="L66" s="59"/>
      <c r="M66" s="59"/>
      <c r="N66" s="133"/>
      <c r="O66" s="133"/>
    </row>
    <row r="67" customFormat="false" ht="12.75" hidden="false" customHeight="false" outlineLevel="0" collapsed="false">
      <c r="C67" s="133"/>
      <c r="D67" s="59"/>
      <c r="E67" s="59"/>
      <c r="F67" s="59"/>
      <c r="G67" s="59"/>
      <c r="H67" s="59"/>
      <c r="I67" s="59"/>
      <c r="J67" s="59"/>
      <c r="K67" s="59"/>
      <c r="L67" s="59"/>
      <c r="M67" s="59"/>
      <c r="N67" s="133"/>
      <c r="O67" s="133"/>
    </row>
    <row r="68" customFormat="false" ht="12.75" hidden="false" customHeight="false" outlineLevel="0" collapsed="false">
      <c r="C68" s="133"/>
      <c r="D68" s="59"/>
      <c r="E68" s="59"/>
      <c r="F68" s="59"/>
      <c r="G68" s="59"/>
      <c r="H68" s="59"/>
      <c r="I68" s="59"/>
      <c r="J68" s="59"/>
      <c r="K68" s="59"/>
      <c r="L68" s="59"/>
      <c r="M68" s="59"/>
      <c r="N68" s="133"/>
      <c r="O68" s="133"/>
    </row>
    <row r="69" customFormat="false" ht="12.75" hidden="false" customHeight="false" outlineLevel="0" collapsed="false">
      <c r="C69" s="133"/>
      <c r="D69" s="59"/>
      <c r="E69" s="59"/>
      <c r="F69" s="59"/>
      <c r="G69" s="59"/>
      <c r="H69" s="59"/>
      <c r="I69" s="59"/>
      <c r="J69" s="59"/>
      <c r="K69" s="59"/>
      <c r="L69" s="59"/>
      <c r="M69" s="59"/>
      <c r="N69" s="133"/>
      <c r="O69" s="133"/>
    </row>
    <row r="70" customFormat="false" ht="12.75" hidden="false" customHeight="false" outlineLevel="0" collapsed="false">
      <c r="C70" s="133"/>
      <c r="D70" s="59"/>
      <c r="E70" s="59"/>
      <c r="F70" s="59"/>
      <c r="G70" s="59"/>
      <c r="H70" s="59"/>
      <c r="I70" s="59"/>
      <c r="J70" s="59"/>
      <c r="K70" s="59"/>
      <c r="L70" s="59"/>
      <c r="M70" s="59"/>
      <c r="N70" s="133"/>
      <c r="O70" s="133"/>
    </row>
    <row r="71" customFormat="false" ht="12.75" hidden="false" customHeight="false" outlineLevel="0" collapsed="false">
      <c r="C71" s="133"/>
      <c r="D71" s="59"/>
      <c r="E71" s="59"/>
      <c r="F71" s="59"/>
      <c r="G71" s="59"/>
      <c r="H71" s="59"/>
      <c r="I71" s="59"/>
      <c r="J71" s="59"/>
      <c r="K71" s="59"/>
      <c r="L71" s="59"/>
      <c r="M71" s="59"/>
      <c r="N71" s="133"/>
      <c r="O71" s="133"/>
    </row>
    <row r="72" customFormat="false" ht="12.75" hidden="false" customHeight="false" outlineLevel="0" collapsed="false">
      <c r="C72" s="133"/>
      <c r="D72" s="59"/>
      <c r="E72" s="59"/>
      <c r="F72" s="59"/>
      <c r="G72" s="59"/>
      <c r="H72" s="59"/>
      <c r="I72" s="59"/>
      <c r="J72" s="59"/>
      <c r="K72" s="59"/>
      <c r="L72" s="59"/>
      <c r="M72" s="59"/>
      <c r="N72" s="133"/>
      <c r="O72" s="133"/>
    </row>
    <row r="73" customFormat="false" ht="12.75" hidden="false" customHeight="false" outlineLevel="0" collapsed="false">
      <c r="C73" s="133"/>
      <c r="D73" s="59"/>
      <c r="E73" s="59"/>
      <c r="F73" s="59"/>
      <c r="G73" s="59"/>
      <c r="H73" s="59"/>
      <c r="I73" s="59"/>
      <c r="J73" s="59"/>
      <c r="K73" s="59"/>
      <c r="L73" s="59"/>
      <c r="M73" s="59"/>
      <c r="N73" s="133"/>
      <c r="O73" s="133"/>
    </row>
    <row r="74" customFormat="false" ht="12.75" hidden="false" customHeight="false" outlineLevel="0" collapsed="false">
      <c r="C74" s="133"/>
      <c r="D74" s="59"/>
      <c r="E74" s="59"/>
      <c r="F74" s="59"/>
      <c r="G74" s="59"/>
      <c r="H74" s="59"/>
      <c r="I74" s="59"/>
      <c r="J74" s="59"/>
      <c r="K74" s="59"/>
      <c r="L74" s="59"/>
      <c r="M74" s="59"/>
      <c r="N74" s="133"/>
      <c r="O74" s="133"/>
    </row>
    <row r="75" customFormat="false" ht="12.75" hidden="false" customHeight="false" outlineLevel="0" collapsed="false">
      <c r="C75" s="133"/>
      <c r="D75" s="59"/>
      <c r="E75" s="59"/>
      <c r="F75" s="59"/>
      <c r="G75" s="59"/>
      <c r="H75" s="59"/>
      <c r="I75" s="59"/>
      <c r="J75" s="59"/>
      <c r="K75" s="59"/>
      <c r="L75" s="59"/>
      <c r="M75" s="59"/>
      <c r="N75" s="133"/>
      <c r="O75" s="133"/>
    </row>
    <row r="76" customFormat="false" ht="12.75" hidden="false" customHeight="false" outlineLevel="0" collapsed="false">
      <c r="C76" s="133"/>
      <c r="D76" s="59"/>
      <c r="E76" s="59"/>
      <c r="F76" s="59"/>
      <c r="G76" s="59"/>
      <c r="H76" s="59"/>
      <c r="I76" s="59"/>
      <c r="J76" s="59"/>
      <c r="K76" s="59"/>
      <c r="L76" s="59"/>
      <c r="M76" s="59"/>
      <c r="N76" s="133"/>
      <c r="O76" s="133"/>
    </row>
    <row r="77" customFormat="false" ht="12.75" hidden="false" customHeight="false" outlineLevel="0" collapsed="false">
      <c r="C77" s="133"/>
      <c r="D77" s="59"/>
      <c r="E77" s="59"/>
      <c r="F77" s="59"/>
      <c r="G77" s="59"/>
      <c r="H77" s="59"/>
      <c r="I77" s="59"/>
      <c r="J77" s="59"/>
      <c r="K77" s="59"/>
      <c r="L77" s="59"/>
      <c r="M77" s="59"/>
      <c r="N77" s="133"/>
      <c r="O77" s="133"/>
    </row>
    <row r="78" customFormat="false" ht="12.75" hidden="false" customHeight="false" outlineLevel="0" collapsed="false">
      <c r="C78" s="133"/>
      <c r="D78" s="59"/>
      <c r="E78" s="59"/>
      <c r="F78" s="59"/>
      <c r="G78" s="59"/>
      <c r="H78" s="59"/>
      <c r="I78" s="59"/>
      <c r="J78" s="59"/>
      <c r="K78" s="59"/>
      <c r="L78" s="59"/>
      <c r="M78" s="59"/>
      <c r="N78" s="133"/>
      <c r="O78" s="133"/>
    </row>
    <row r="79" customFormat="false" ht="12.75" hidden="false" customHeight="false" outlineLevel="0" collapsed="false">
      <c r="C79" s="133"/>
      <c r="D79" s="59"/>
      <c r="E79" s="59"/>
      <c r="F79" s="59"/>
      <c r="G79" s="59"/>
      <c r="H79" s="59"/>
      <c r="I79" s="59"/>
      <c r="J79" s="59"/>
      <c r="K79" s="59"/>
      <c r="L79" s="59"/>
      <c r="M79" s="59"/>
      <c r="N79" s="133"/>
      <c r="O79" s="133"/>
    </row>
    <row r="80" customFormat="false" ht="12.75" hidden="false" customHeight="false" outlineLevel="0" collapsed="false">
      <c r="C80" s="133"/>
      <c r="D80" s="59"/>
      <c r="E80" s="59"/>
      <c r="F80" s="59"/>
      <c r="G80" s="59"/>
      <c r="H80" s="59"/>
      <c r="I80" s="59"/>
      <c r="J80" s="59"/>
      <c r="K80" s="59"/>
      <c r="L80" s="59"/>
      <c r="M80" s="59"/>
      <c r="N80" s="133"/>
      <c r="O80" s="133"/>
    </row>
    <row r="81" customFormat="false" ht="12.75" hidden="false" customHeight="false" outlineLevel="0" collapsed="false">
      <c r="C81" s="133"/>
      <c r="D81" s="59"/>
      <c r="E81" s="59"/>
      <c r="F81" s="59"/>
      <c r="G81" s="59"/>
      <c r="H81" s="59"/>
      <c r="I81" s="59"/>
      <c r="J81" s="59"/>
      <c r="K81" s="59"/>
      <c r="L81" s="59"/>
      <c r="M81" s="59"/>
      <c r="N81" s="133"/>
      <c r="O81" s="133"/>
    </row>
    <row r="82" customFormat="false" ht="12.75" hidden="false" customHeight="false" outlineLevel="0" collapsed="false">
      <c r="C82" s="133"/>
      <c r="D82" s="59"/>
      <c r="E82" s="59"/>
      <c r="F82" s="59"/>
      <c r="G82" s="59"/>
      <c r="H82" s="59"/>
      <c r="I82" s="59"/>
      <c r="J82" s="59"/>
      <c r="K82" s="59"/>
      <c r="L82" s="59"/>
      <c r="M82" s="59"/>
      <c r="N82" s="133"/>
      <c r="O82" s="133"/>
    </row>
    <row r="83" customFormat="false" ht="12.75" hidden="false" customHeight="false" outlineLevel="0" collapsed="false">
      <c r="C83" s="133"/>
      <c r="D83" s="59"/>
      <c r="E83" s="59"/>
      <c r="F83" s="59"/>
      <c r="G83" s="59"/>
      <c r="H83" s="59"/>
      <c r="I83" s="59"/>
      <c r="J83" s="59"/>
      <c r="K83" s="59"/>
      <c r="L83" s="59"/>
      <c r="M83" s="59"/>
      <c r="N83" s="133"/>
      <c r="O83" s="133"/>
    </row>
    <row r="84" customFormat="false" ht="12.75" hidden="false" customHeight="false" outlineLevel="0" collapsed="false">
      <c r="C84" s="133"/>
      <c r="D84" s="59"/>
      <c r="E84" s="59"/>
      <c r="F84" s="59"/>
      <c r="G84" s="59"/>
      <c r="H84" s="59"/>
      <c r="I84" s="59"/>
      <c r="J84" s="59"/>
      <c r="K84" s="59"/>
      <c r="L84" s="59"/>
      <c r="M84" s="59"/>
      <c r="N84" s="133"/>
      <c r="O84" s="133"/>
    </row>
    <row r="85" customFormat="false" ht="12.75" hidden="false" customHeight="false" outlineLevel="0" collapsed="false">
      <c r="C85" s="133"/>
      <c r="D85" s="59"/>
      <c r="E85" s="59"/>
      <c r="F85" s="59"/>
      <c r="G85" s="59"/>
      <c r="H85" s="59"/>
      <c r="I85" s="59"/>
      <c r="J85" s="59"/>
      <c r="K85" s="59"/>
      <c r="L85" s="59"/>
      <c r="M85" s="59"/>
      <c r="N85" s="133"/>
      <c r="O85" s="133"/>
    </row>
    <row r="86" customFormat="false" ht="12.75" hidden="false" customHeight="false" outlineLevel="0" collapsed="false">
      <c r="C86" s="133"/>
      <c r="D86" s="59"/>
      <c r="E86" s="59"/>
      <c r="F86" s="59"/>
      <c r="G86" s="59"/>
      <c r="H86" s="59"/>
      <c r="I86" s="59"/>
      <c r="J86" s="59"/>
      <c r="K86" s="59"/>
      <c r="L86" s="59"/>
      <c r="M86" s="59"/>
      <c r="N86" s="133"/>
      <c r="O86" s="133"/>
    </row>
    <row r="87" customFormat="false" ht="12.75" hidden="false" customHeight="false" outlineLevel="0" collapsed="false">
      <c r="C87" s="133"/>
      <c r="D87" s="59"/>
      <c r="E87" s="59"/>
      <c r="F87" s="59"/>
      <c r="G87" s="59"/>
      <c r="H87" s="59"/>
      <c r="I87" s="59"/>
      <c r="J87" s="59"/>
      <c r="K87" s="59"/>
      <c r="L87" s="59"/>
      <c r="M87" s="59"/>
      <c r="N87" s="133"/>
      <c r="O87" s="133"/>
    </row>
    <row r="88" customFormat="false" ht="12.75" hidden="false" customHeight="false" outlineLevel="0" collapsed="false">
      <c r="D88" s="59"/>
      <c r="E88" s="59"/>
      <c r="F88" s="59"/>
      <c r="G88" s="59"/>
      <c r="H88" s="59"/>
      <c r="I88" s="59"/>
      <c r="J88" s="59"/>
      <c r="K88" s="59"/>
      <c r="L88" s="59"/>
      <c r="M88" s="59"/>
      <c r="N88" s="133"/>
      <c r="O88" s="133"/>
    </row>
    <row r="89" customFormat="false" ht="12.75" hidden="false" customHeight="false" outlineLevel="0" collapsed="false">
      <c r="D89" s="59"/>
      <c r="E89" s="59"/>
      <c r="F89" s="59"/>
      <c r="G89" s="59"/>
      <c r="H89" s="59"/>
      <c r="I89" s="59"/>
      <c r="J89" s="59"/>
      <c r="K89" s="59"/>
      <c r="L89" s="59"/>
      <c r="M89" s="59"/>
      <c r="N89" s="133"/>
      <c r="O89" s="133"/>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N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3" activeCellId="0" sqref="F3"/>
    </sheetView>
  </sheetViews>
  <sheetFormatPr defaultColWidth="9.13671875" defaultRowHeight="12" zeroHeight="false" outlineLevelRow="0" outlineLevelCol="0"/>
  <cols>
    <col collapsed="false" customWidth="false" hidden="false" outlineLevel="0" max="2" min="1" style="1" width="9.13"/>
    <col collapsed="false" customWidth="true" hidden="false" outlineLevel="0" max="3" min="3" style="1" width="9.56"/>
    <col collapsed="false" customWidth="true" hidden="false" outlineLevel="0" max="4" min="4" style="1" width="11.56"/>
    <col collapsed="false" customWidth="true" hidden="false" outlineLevel="0" max="5" min="5" style="1" width="8.7"/>
    <col collapsed="false" customWidth="false" hidden="false" outlineLevel="0" max="8" min="6" style="1" width="9.13"/>
    <col collapsed="false" customWidth="true" hidden="false" outlineLevel="0" max="10" min="9" style="1" width="10.42"/>
    <col collapsed="false" customWidth="true" hidden="false" outlineLevel="0" max="11" min="11" style="1" width="9.85"/>
    <col collapsed="false" customWidth="true" hidden="false" outlineLevel="0" max="12" min="12" style="1" width="9.7"/>
    <col collapsed="false" customWidth="false" hidden="false" outlineLevel="0" max="257" min="13" style="1" width="9.13"/>
  </cols>
  <sheetData>
    <row r="2" customFormat="false" ht="15" hidden="false" customHeight="false" outlineLevel="0" collapsed="false">
      <c r="A2" s="122" t="s">
        <v>266</v>
      </c>
    </row>
    <row r="5" customFormat="false" ht="12" hidden="false" customHeight="false" outlineLevel="0" collapsed="false">
      <c r="A5" s="43" t="s">
        <v>267</v>
      </c>
      <c r="B5" s="213"/>
      <c r="C5" s="213"/>
      <c r="D5" s="20"/>
      <c r="E5" s="214" t="n">
        <v>0.05</v>
      </c>
      <c r="G5" s="77"/>
      <c r="H5" s="54" t="s">
        <v>268</v>
      </c>
      <c r="I5" s="54"/>
      <c r="J5" s="54"/>
      <c r="K5" s="77"/>
      <c r="L5" s="215" t="s">
        <v>269</v>
      </c>
      <c r="N5" s="59"/>
    </row>
    <row r="6" customFormat="false" ht="12" hidden="false" customHeight="false" outlineLevel="0" collapsed="false">
      <c r="A6" s="43" t="s">
        <v>270</v>
      </c>
      <c r="B6" s="213"/>
      <c r="C6" s="213"/>
      <c r="D6" s="20"/>
      <c r="E6" s="214" t="n">
        <v>0.045</v>
      </c>
      <c r="H6" s="216" t="s">
        <v>271</v>
      </c>
      <c r="I6" s="216"/>
      <c r="J6" s="216"/>
      <c r="L6" s="217" t="s">
        <v>268</v>
      </c>
    </row>
    <row r="7" customFormat="false" ht="12" hidden="false" customHeight="false" outlineLevel="0" collapsed="false">
      <c r="A7" s="43" t="s">
        <v>272</v>
      </c>
      <c r="B7" s="213"/>
      <c r="C7" s="213"/>
      <c r="D7" s="20"/>
      <c r="E7" s="218" t="n">
        <v>1.2</v>
      </c>
      <c r="H7" s="219" t="n">
        <v>1</v>
      </c>
      <c r="I7" s="220" t="str">
        <f aca="false">IF(H7=0,"Manual","Computed")</f>
        <v>Computed</v>
      </c>
      <c r="J7" s="220"/>
      <c r="L7" s="221" t="n">
        <v>0.085</v>
      </c>
    </row>
    <row r="10" customFormat="false" ht="12" hidden="false" customHeight="false" outlineLevel="0" collapsed="false">
      <c r="A10" s="222" t="s">
        <v>273</v>
      </c>
      <c r="B10" s="223"/>
      <c r="C10" s="32"/>
      <c r="D10" s="54" t="s">
        <v>274</v>
      </c>
      <c r="E10" s="54" t="s">
        <v>275</v>
      </c>
      <c r="F10" s="54" t="s">
        <v>276</v>
      </c>
      <c r="H10" s="54" t="s">
        <v>277</v>
      </c>
      <c r="I10" s="54"/>
      <c r="J10" s="54"/>
      <c r="K10" s="54"/>
      <c r="L10" s="54"/>
    </row>
    <row r="11" customFormat="false" ht="12" hidden="false" customHeight="false" outlineLevel="0" collapsed="false">
      <c r="A11" s="224" t="str">
        <f aca="false">Bal_Sheet!A46</f>
        <v>Existing Debt</v>
      </c>
      <c r="B11" s="223"/>
      <c r="C11" s="223"/>
      <c r="D11" s="225" t="n">
        <f aca="false">Bal_Sheet!E46</f>
        <v>65000</v>
      </c>
      <c r="E11" s="226" t="n">
        <f aca="false">assumed_debt_cou_rate</f>
        <v>0.0425</v>
      </c>
      <c r="F11" s="226" t="n">
        <f aca="false">IF($D$20=0,0,E11*(D11/$D$20))</f>
        <v>0.00459736639553993</v>
      </c>
      <c r="H11" s="37"/>
      <c r="I11" s="227"/>
      <c r="J11" s="54" t="s">
        <v>278</v>
      </c>
      <c r="K11" s="54" t="s">
        <v>279</v>
      </c>
      <c r="L11" s="54" t="s">
        <v>280</v>
      </c>
    </row>
    <row r="12" customFormat="false" ht="12" hidden="false" customHeight="false" outlineLevel="0" collapsed="false">
      <c r="A12" s="224" t="str">
        <f aca="false">Bal_Sheet!A47</f>
        <v>Bank Revolver</v>
      </c>
      <c r="B12" s="223"/>
      <c r="C12" s="223"/>
      <c r="D12" s="225" t="n">
        <f aca="false">Bal_Sheet!E47</f>
        <v>200887.5</v>
      </c>
      <c r="E12" s="226" t="n">
        <f aca="false">bank_revolver_cou_rate</f>
        <v>0.0475</v>
      </c>
      <c r="F12" s="226" t="n">
        <f aca="false">IF($D$20=0,0,E12*(D12/$D$20))</f>
        <v>0.0158801044288656</v>
      </c>
      <c r="H12" s="22" t="s">
        <v>281</v>
      </c>
      <c r="I12" s="23"/>
      <c r="J12" s="228" t="n">
        <f aca="false">IF($D$20+$D$25+$D$28=0,0,D20/($D$20+$D$25+$D$28))</f>
        <v>0.636946641756436</v>
      </c>
      <c r="K12" s="228" t="n">
        <f aca="false">F21</f>
        <v>0.0309561299952154</v>
      </c>
      <c r="L12" s="228" t="n">
        <f aca="false">J12*K12</f>
        <v>0.0197174030422281</v>
      </c>
    </row>
    <row r="13" customFormat="false" ht="12" hidden="false" customHeight="false" outlineLevel="0" collapsed="false">
      <c r="A13" s="229" t="str">
        <f aca="false">Bal_Sheet!A48</f>
        <v>Term Loan "A"</v>
      </c>
      <c r="B13" s="230"/>
      <c r="C13" s="230"/>
      <c r="D13" s="225" t="n">
        <f aca="false">Bal_Sheet!E48</f>
        <v>80000</v>
      </c>
      <c r="E13" s="226" t="n">
        <f aca="false">termloanA_cou_rate</f>
        <v>0.055</v>
      </c>
      <c r="F13" s="226" t="n">
        <f aca="false">IF($D$20=0,0,E13*(D13/$D$20))</f>
        <v>0.00732250213226269</v>
      </c>
      <c r="H13" s="22" t="s">
        <v>282</v>
      </c>
      <c r="I13" s="23"/>
      <c r="J13" s="228" t="n">
        <f aca="false">IF($D$20+$D$25+$D$28=0,0,D25/($D$20+$D$25+$D$28))</f>
        <v>0.0636005883054418</v>
      </c>
      <c r="K13" s="228" t="n">
        <f aca="false">E25</f>
        <v>0.07</v>
      </c>
      <c r="L13" s="228" t="n">
        <f aca="false">J13*K13</f>
        <v>0.00445204118138093</v>
      </c>
    </row>
    <row r="14" customFormat="false" ht="12" hidden="false" customHeight="false" outlineLevel="0" collapsed="false">
      <c r="A14" s="229" t="str">
        <f aca="false">Bal_Sheet!A49</f>
        <v>Term Loan "B"</v>
      </c>
      <c r="B14" s="230"/>
      <c r="C14" s="230"/>
      <c r="D14" s="225" t="n">
        <f aca="false">Bal_Sheet!E49</f>
        <v>55000</v>
      </c>
      <c r="E14" s="226" t="n">
        <f aca="false">termloanB_cou_rate</f>
        <v>0.0525</v>
      </c>
      <c r="F14" s="226" t="n">
        <f aca="false">IF($D$20=0,0,E14*(D14/$D$20))</f>
        <v>0.00480539202429739</v>
      </c>
      <c r="H14" s="22" t="s">
        <v>283</v>
      </c>
      <c r="I14" s="23"/>
      <c r="J14" s="228" t="n">
        <f aca="false">IF($D$20+$D$25+$D$28=0,0,D28/($D$20+$D$25+$D$28))</f>
        <v>0.299452769938122</v>
      </c>
      <c r="K14" s="228" t="n">
        <f aca="false">E28</f>
        <v>0.160264631365153</v>
      </c>
      <c r="L14" s="228" t="n">
        <f aca="false">J14*K14</f>
        <v>0.0479916877854071</v>
      </c>
    </row>
    <row r="15" customFormat="false" ht="12" hidden="false" customHeight="false" outlineLevel="0" collapsed="false">
      <c r="A15" s="229" t="str">
        <f aca="false">Bal_Sheet!A50</f>
        <v>Senior Notes</v>
      </c>
      <c r="B15" s="230"/>
      <c r="C15" s="230"/>
      <c r="D15" s="225" t="n">
        <f aca="false">Bal_Sheet!E50</f>
        <v>65000</v>
      </c>
      <c r="E15" s="226" t="n">
        <f aca="false">senior_notes_cou_rate</f>
        <v>0.0425</v>
      </c>
      <c r="F15" s="226" t="n">
        <f aca="false">IF($D$20=0,0,E15*(D15/$D$20))</f>
        <v>0.00459736639553993</v>
      </c>
      <c r="H15" s="231"/>
      <c r="I15" s="6"/>
      <c r="J15" s="73"/>
      <c r="K15" s="73"/>
      <c r="L15" s="232"/>
    </row>
    <row r="16" customFormat="false" ht="12" hidden="false" customHeight="false" outlineLevel="0" collapsed="false">
      <c r="A16" s="229" t="str">
        <f aca="false">Bal_Sheet!A51</f>
        <v>Subordinated Notes</v>
      </c>
      <c r="B16" s="230"/>
      <c r="C16" s="230"/>
      <c r="D16" s="225" t="n">
        <f aca="false">Bal_Sheet!E51</f>
        <v>40000</v>
      </c>
      <c r="E16" s="226" t="n">
        <f aca="false">sub_notes_cou_rate</f>
        <v>0.045</v>
      </c>
      <c r="F16" s="226" t="n">
        <f aca="false">IF($D$20=0,0,E16*(D16/$D$20))</f>
        <v>0.00299556905410747</v>
      </c>
      <c r="H16" s="233" t="s">
        <v>268</v>
      </c>
      <c r="I16" s="230"/>
      <c r="J16" s="234"/>
      <c r="K16" s="35"/>
      <c r="L16" s="235" t="n">
        <f aca="false">SUM(L12:L14)</f>
        <v>0.0721611320090162</v>
      </c>
    </row>
    <row r="17" customFormat="false" ht="12" hidden="false" customHeight="false" outlineLevel="0" collapsed="false">
      <c r="A17" s="229" t="str">
        <f aca="false">Bal_Sheet!A52</f>
        <v>Mezzanine Debt</v>
      </c>
      <c r="B17" s="230"/>
      <c r="C17" s="230"/>
      <c r="D17" s="225" t="n">
        <f aca="false">Bal_Sheet!E52</f>
        <v>70000</v>
      </c>
      <c r="E17" s="226" t="n">
        <f aca="false">mezzdebt_cou_rate</f>
        <v>0.045</v>
      </c>
      <c r="F17" s="226" t="n">
        <f aca="false">IF($D$20=0,0,E17*(D17/$D$20))</f>
        <v>0.00524224584468807</v>
      </c>
    </row>
    <row r="18" customFormat="false" ht="12" hidden="false" customHeight="false" outlineLevel="0" collapsed="false">
      <c r="A18" s="229" t="str">
        <f aca="false">Bal_Sheet!A53</f>
        <v>Seller Notes</v>
      </c>
      <c r="B18" s="230"/>
      <c r="C18" s="230"/>
      <c r="D18" s="236" t="n">
        <f aca="false">Bal_Sheet!E53</f>
        <v>25000</v>
      </c>
      <c r="E18" s="237" t="n">
        <f aca="false">seller_notes_cou_rate</f>
        <v>0.0525</v>
      </c>
      <c r="F18" s="237" t="n">
        <f aca="false">IF($D$20=0,0,E18*(D18/$D$20))</f>
        <v>0.00218426910195336</v>
      </c>
      <c r="J18" s="238"/>
      <c r="K18" s="238"/>
      <c r="L18" s="239"/>
    </row>
    <row r="19" customFormat="false" ht="12" hidden="false" customHeight="false" outlineLevel="0" collapsed="false">
      <c r="A19" s="231"/>
      <c r="B19" s="6"/>
      <c r="C19" s="6"/>
      <c r="D19" s="43"/>
      <c r="E19" s="213"/>
      <c r="F19" s="20"/>
      <c r="L19" s="239"/>
    </row>
    <row r="20" customFormat="false" ht="12" hidden="false" customHeight="false" outlineLevel="0" collapsed="false">
      <c r="A20" s="233" t="s">
        <v>284</v>
      </c>
      <c r="B20" s="230"/>
      <c r="C20" s="23"/>
      <c r="D20" s="240" t="n">
        <f aca="false">SUM(D11:D19)</f>
        <v>600887.5</v>
      </c>
      <c r="E20" s="241"/>
      <c r="F20" s="241" t="n">
        <f aca="false">SUM(F11:F19)</f>
        <v>0.0476248153772545</v>
      </c>
      <c r="L20" s="239"/>
    </row>
    <row r="21" customFormat="false" ht="12" hidden="false" customHeight="false" outlineLevel="0" collapsed="false">
      <c r="A21" s="231"/>
      <c r="B21" s="6"/>
      <c r="C21" s="6"/>
      <c r="D21" s="30"/>
      <c r="E21" s="242" t="s">
        <v>285</v>
      </c>
      <c r="F21" s="243" t="n">
        <f aca="false">F20*(1-tax_rate)</f>
        <v>0.0309561299952154</v>
      </c>
      <c r="L21" s="239"/>
    </row>
    <row r="22" customFormat="false" ht="12" hidden="false" customHeight="false" outlineLevel="0" collapsed="false">
      <c r="A22" s="231"/>
      <c r="B22" s="6"/>
      <c r="C22" s="6"/>
      <c r="D22" s="30"/>
      <c r="E22" s="73"/>
      <c r="F22" s="232"/>
      <c r="L22" s="239"/>
    </row>
    <row r="23" customFormat="false" ht="12" hidden="false" customHeight="false" outlineLevel="0" collapsed="false">
      <c r="A23" s="231"/>
      <c r="B23" s="6"/>
      <c r="C23" s="6"/>
      <c r="D23" s="30"/>
      <c r="E23" s="73"/>
      <c r="F23" s="232"/>
      <c r="L23" s="239"/>
    </row>
    <row r="24" customFormat="false" ht="12" hidden="false" customHeight="false" outlineLevel="0" collapsed="false">
      <c r="A24" s="233" t="s">
        <v>286</v>
      </c>
      <c r="B24" s="230"/>
      <c r="C24" s="230"/>
      <c r="D24" s="244"/>
      <c r="E24" s="73"/>
      <c r="F24" s="245"/>
      <c r="L24" s="239"/>
    </row>
    <row r="25" customFormat="false" ht="12" hidden="false" customHeight="false" outlineLevel="0" collapsed="false">
      <c r="A25" s="229" t="str">
        <f aca="false">Bal_Sheet!A61</f>
        <v>Preferred Stock</v>
      </c>
      <c r="B25" s="230"/>
      <c r="C25" s="23"/>
      <c r="D25" s="225" t="n">
        <f aca="false">Bal_Sheet!E61</f>
        <v>60000</v>
      </c>
      <c r="E25" s="243" t="n">
        <f aca="false">pref_stock_div</f>
        <v>0.07</v>
      </c>
      <c r="F25" s="245"/>
      <c r="L25" s="239"/>
    </row>
    <row r="26" customFormat="false" ht="12" hidden="false" customHeight="false" outlineLevel="0" collapsed="false">
      <c r="A26" s="231"/>
      <c r="B26" s="6"/>
      <c r="C26" s="6"/>
      <c r="D26" s="30"/>
      <c r="E26" s="73"/>
      <c r="F26" s="245"/>
      <c r="L26" s="239"/>
    </row>
    <row r="27" customFormat="false" ht="12" hidden="false" customHeight="false" outlineLevel="0" collapsed="false">
      <c r="A27" s="233" t="s">
        <v>287</v>
      </c>
      <c r="B27" s="230"/>
      <c r="C27" s="23"/>
      <c r="D27" s="30"/>
      <c r="E27" s="6"/>
      <c r="F27" s="245"/>
      <c r="L27" s="239"/>
    </row>
    <row r="28" customFormat="false" ht="12" hidden="false" customHeight="false" outlineLevel="0" collapsed="false">
      <c r="A28" s="229" t="s">
        <v>288</v>
      </c>
      <c r="B28" s="230"/>
      <c r="C28" s="23"/>
      <c r="D28" s="225" t="n">
        <f aca="false">Bal_Sheet!E62+Bal_Sheet!E63</f>
        <v>282500</v>
      </c>
      <c r="E28" s="243" t="n">
        <f aca="false">E5+E6*D54</f>
        <v>0.160264631365153</v>
      </c>
      <c r="F28" s="85"/>
      <c r="L28" s="239"/>
    </row>
    <row r="29" customFormat="false" ht="12" hidden="false" customHeight="false" outlineLevel="0" collapsed="false">
      <c r="E29" s="159"/>
      <c r="L29" s="159"/>
    </row>
    <row r="30" customFormat="false" ht="12" hidden="false" customHeight="false" outlineLevel="0" collapsed="false">
      <c r="E30" s="159"/>
      <c r="L30" s="159"/>
    </row>
    <row r="31" customFormat="false" ht="12" hidden="false" customHeight="false" outlineLevel="0" collapsed="false">
      <c r="E31" s="159"/>
      <c r="L31" s="159"/>
    </row>
    <row r="32" customFormat="false" ht="12" hidden="false" customHeight="false" outlineLevel="0" collapsed="false">
      <c r="A32" s="54" t="s">
        <v>289</v>
      </c>
      <c r="B32" s="54"/>
      <c r="C32" s="54"/>
      <c r="D32" s="54"/>
      <c r="L32" s="159"/>
    </row>
    <row r="33" customFormat="false" ht="12" hidden="false" customHeight="false" outlineLevel="0" collapsed="false">
      <c r="A33" s="246"/>
      <c r="B33" s="6"/>
      <c r="C33" s="6"/>
      <c r="D33" s="245"/>
      <c r="L33" s="159"/>
    </row>
    <row r="34" customFormat="false" ht="12" hidden="false" customHeight="false" outlineLevel="0" collapsed="false">
      <c r="A34" s="247" t="s">
        <v>272</v>
      </c>
      <c r="B34" s="230"/>
      <c r="C34" s="23"/>
      <c r="D34" s="248" t="n">
        <f aca="false">E7</f>
        <v>1.2</v>
      </c>
      <c r="L34" s="159"/>
    </row>
    <row r="35" customFormat="false" ht="12" hidden="false" customHeight="false" outlineLevel="0" collapsed="false">
      <c r="A35" s="249"/>
      <c r="B35" s="6"/>
      <c r="C35" s="6"/>
      <c r="D35" s="232"/>
      <c r="L35" s="159"/>
    </row>
    <row r="36" customFormat="false" ht="12" hidden="false" customHeight="false" outlineLevel="0" collapsed="false">
      <c r="A36" s="250" t="s">
        <v>290</v>
      </c>
      <c r="B36" s="223"/>
      <c r="C36" s="32"/>
      <c r="D36" s="251"/>
    </row>
    <row r="37" customFormat="false" ht="12" hidden="false" customHeight="false" outlineLevel="0" collapsed="false">
      <c r="A37" s="252" t="s">
        <v>291</v>
      </c>
      <c r="B37" s="253"/>
      <c r="C37" s="254"/>
      <c r="D37" s="255" t="n">
        <f aca="false">Bal_Sheet!C54</f>
        <v>250000</v>
      </c>
    </row>
    <row r="38" customFormat="false" ht="12" hidden="false" customHeight="false" outlineLevel="0" collapsed="false">
      <c r="A38" s="252" t="s">
        <v>292</v>
      </c>
      <c r="B38" s="253"/>
      <c r="C38" s="254"/>
      <c r="D38" s="255" t="n">
        <f aca="false">Input!C8*no_shares_outs</f>
        <v>600000</v>
      </c>
    </row>
    <row r="39" customFormat="false" ht="12" hidden="false" customHeight="false" outlineLevel="0" collapsed="false">
      <c r="A39" s="252" t="s">
        <v>71</v>
      </c>
      <c r="B39" s="253"/>
      <c r="C39" s="254"/>
      <c r="D39" s="255" t="n">
        <v>0</v>
      </c>
    </row>
    <row r="40" customFormat="false" ht="12" hidden="false" customHeight="false" outlineLevel="0" collapsed="false">
      <c r="A40" s="252" t="s">
        <v>293</v>
      </c>
      <c r="B40" s="253"/>
      <c r="C40" s="254"/>
      <c r="D40" s="256" t="n">
        <f aca="false">D37/D38</f>
        <v>0.416666666666667</v>
      </c>
    </row>
    <row r="41" customFormat="false" ht="12" hidden="false" customHeight="false" outlineLevel="0" collapsed="false">
      <c r="A41" s="257" t="s">
        <v>294</v>
      </c>
      <c r="B41" s="258"/>
      <c r="C41" s="259"/>
      <c r="D41" s="256" t="n">
        <f aca="false">D39/D38</f>
        <v>0</v>
      </c>
    </row>
    <row r="42" customFormat="false" ht="12" hidden="false" customHeight="false" outlineLevel="0" collapsed="false">
      <c r="A42" s="249"/>
      <c r="B42" s="6"/>
      <c r="C42" s="6"/>
      <c r="D42" s="232"/>
    </row>
    <row r="43" customFormat="false" ht="12" hidden="false" customHeight="false" outlineLevel="0" collapsed="false">
      <c r="A43" s="31" t="s">
        <v>295</v>
      </c>
      <c r="B43" s="223"/>
      <c r="C43" s="32"/>
      <c r="D43" s="245"/>
    </row>
    <row r="44" customFormat="false" ht="12" hidden="false" customHeight="false" outlineLevel="0" collapsed="false">
      <c r="A44" s="252" t="str">
        <f aca="false">A37</f>
        <v>Debt</v>
      </c>
      <c r="B44" s="253"/>
      <c r="C44" s="254"/>
      <c r="D44" s="255" t="n">
        <f aca="false">Bal_Sheet!E54</f>
        <v>600887.5</v>
      </c>
    </row>
    <row r="45" customFormat="false" ht="12" hidden="false" customHeight="false" outlineLevel="0" collapsed="false">
      <c r="A45" s="252" t="str">
        <f aca="false">A38</f>
        <v>Equity</v>
      </c>
      <c r="B45" s="253"/>
      <c r="C45" s="254"/>
      <c r="D45" s="255" t="n">
        <f aca="false">SUM(Bal_Sheet!E62:E63)</f>
        <v>282500</v>
      </c>
    </row>
    <row r="46" customFormat="false" ht="12" hidden="false" customHeight="false" outlineLevel="0" collapsed="false">
      <c r="A46" s="252" t="str">
        <f aca="false">A39</f>
        <v>Preferred Stock</v>
      </c>
      <c r="B46" s="253"/>
      <c r="C46" s="254"/>
      <c r="D46" s="255" t="n">
        <f aca="false">Bal_Sheet!E61</f>
        <v>60000</v>
      </c>
    </row>
    <row r="47" customFormat="false" ht="12" hidden="false" customHeight="false" outlineLevel="0" collapsed="false">
      <c r="A47" s="252" t="str">
        <f aca="false">A40</f>
        <v>Debt/Equity Ratio</v>
      </c>
      <c r="B47" s="253"/>
      <c r="C47" s="254"/>
      <c r="D47" s="256" t="n">
        <f aca="false">D44/D45</f>
        <v>2.12703539823009</v>
      </c>
    </row>
    <row r="48" customFormat="false" ht="12" hidden="false" customHeight="false" outlineLevel="0" collapsed="false">
      <c r="A48" s="257" t="str">
        <f aca="false">A41</f>
        <v>Preferred Stock/Equity Ratio</v>
      </c>
      <c r="B48" s="258"/>
      <c r="C48" s="259"/>
      <c r="D48" s="256" t="n">
        <f aca="false">D46/D45</f>
        <v>0.212389380530973</v>
      </c>
    </row>
    <row r="49" customFormat="false" ht="12" hidden="false" customHeight="false" outlineLevel="0" collapsed="false">
      <c r="A49" s="249"/>
      <c r="B49" s="6"/>
      <c r="C49" s="6"/>
      <c r="D49" s="232"/>
    </row>
    <row r="50" customFormat="false" ht="12" hidden="false" customHeight="false" outlineLevel="0" collapsed="false">
      <c r="A50" s="22" t="str">
        <f aca="false">Input!L45</f>
        <v>Tax Rate          </v>
      </c>
      <c r="B50" s="230"/>
      <c r="C50" s="23"/>
      <c r="D50" s="226" t="n">
        <f aca="false">tax_rate</f>
        <v>0.35</v>
      </c>
    </row>
    <row r="51" customFormat="false" ht="12" hidden="false" customHeight="false" outlineLevel="0" collapsed="false">
      <c r="A51" s="231"/>
      <c r="B51" s="6"/>
      <c r="C51" s="6"/>
      <c r="D51" s="245"/>
    </row>
    <row r="52" customFormat="false" ht="12" hidden="false" customHeight="false" outlineLevel="0" collapsed="false">
      <c r="A52" s="233" t="s">
        <v>296</v>
      </c>
      <c r="B52" s="260"/>
      <c r="C52" s="261"/>
      <c r="D52" s="262" t="n">
        <f aca="false">D34/(1+(1-D50)*D40+D41)</f>
        <v>0.944262295081967</v>
      </c>
    </row>
    <row r="53" customFormat="false" ht="12" hidden="false" customHeight="false" outlineLevel="0" collapsed="false">
      <c r="A53" s="231"/>
      <c r="B53" s="6"/>
      <c r="C53" s="6"/>
      <c r="D53" s="263"/>
    </row>
    <row r="54" customFormat="false" ht="12" hidden="false" customHeight="false" outlineLevel="0" collapsed="false">
      <c r="A54" s="233" t="s">
        <v>297</v>
      </c>
      <c r="B54" s="260"/>
      <c r="C54" s="261"/>
      <c r="D54" s="262" t="n">
        <f aca="false">D52*(1+(1-D50)*D47+D48)</f>
        <v>2.45032514144785</v>
      </c>
    </row>
    <row r="55" customFormat="false" ht="12" hidden="false" customHeight="false" outlineLevel="0" collapsed="false">
      <c r="D55" s="159"/>
    </row>
    <row r="56" customFormat="false" ht="12" hidden="false" customHeight="false" outlineLevel="0" collapsed="false">
      <c r="D56" s="159"/>
    </row>
    <row r="65" customFormat="false" ht="12.75" hidden="false" customHeight="false" outlineLevel="0" collapsed="false">
      <c r="A65" s="264"/>
    </row>
  </sheetData>
  <mergeCells count="5">
    <mergeCell ref="H5:J5"/>
    <mergeCell ref="H6:J6"/>
    <mergeCell ref="I7:J7"/>
    <mergeCell ref="H10:L10"/>
    <mergeCell ref="A32:D32"/>
  </mergeCells>
  <dataValidations count="1">
    <dataValidation allowBlank="true" errorStyle="stop" operator="between" showDropDown="false" showErrorMessage="true" showInputMessage="false" sqref="H7" type="list">
      <formula1>"0,1"</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AW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4" activeCellId="0" sqref="E4"/>
    </sheetView>
  </sheetViews>
  <sheetFormatPr defaultColWidth="9.13671875" defaultRowHeight="12" zeroHeight="false" outlineLevelRow="0" outlineLevelCol="0"/>
  <cols>
    <col collapsed="false" customWidth="true" hidden="false" outlineLevel="0" max="1" min="1" style="1" width="3.99"/>
    <col collapsed="false" customWidth="true" hidden="false" outlineLevel="0" max="5" min="2" style="1" width="10.7"/>
    <col collapsed="false" customWidth="true" hidden="false" outlineLevel="0" max="6" min="6" style="1" width="11.28"/>
    <col collapsed="false" customWidth="true" hidden="false" outlineLevel="0" max="7" min="7" style="1" width="9.99"/>
    <col collapsed="false" customWidth="true" hidden="false" outlineLevel="0" max="9" min="8" style="1" width="10.7"/>
    <col collapsed="false" customWidth="true" hidden="false" outlineLevel="0" max="10" min="10" style="1" width="11.13"/>
    <col collapsed="false" customWidth="true" hidden="false" outlineLevel="0" max="11" min="11" style="1" width="11.42"/>
    <col collapsed="false" customWidth="true" hidden="false" outlineLevel="0" max="12" min="12" style="1" width="10.7"/>
    <col collapsed="false" customWidth="true" hidden="false" outlineLevel="0" max="19" min="13" style="1" width="10.28"/>
    <col collapsed="false" customWidth="false" hidden="false" outlineLevel="0" max="257" min="20" style="1" width="9.13"/>
  </cols>
  <sheetData>
    <row r="2" customFormat="false" ht="15" hidden="false" customHeight="false" outlineLevel="0" collapsed="false">
      <c r="B2" s="122" t="s">
        <v>298</v>
      </c>
      <c r="C2" s="265"/>
      <c r="D2" s="265"/>
    </row>
    <row r="4" customFormat="false" ht="12" hidden="false" customHeight="false" outlineLevel="0" collapsed="false">
      <c r="C4" s="193"/>
      <c r="D4" s="193"/>
      <c r="E4" s="193"/>
      <c r="F4" s="193"/>
      <c r="G4" s="193"/>
      <c r="H4" s="193"/>
      <c r="I4" s="193"/>
      <c r="J4" s="193"/>
      <c r="K4" s="193"/>
      <c r="L4" s="193"/>
      <c r="M4" s="192"/>
      <c r="Q4" s="192"/>
      <c r="R4" s="192"/>
      <c r="S4" s="192"/>
      <c r="T4" s="192"/>
      <c r="U4" s="192"/>
      <c r="V4" s="192"/>
      <c r="W4" s="192"/>
      <c r="X4" s="192"/>
      <c r="Y4" s="192"/>
      <c r="Z4" s="192"/>
      <c r="AA4" s="192"/>
      <c r="AB4" s="192"/>
      <c r="AC4" s="192"/>
      <c r="AD4" s="192"/>
      <c r="AE4" s="192"/>
      <c r="AF4" s="192"/>
      <c r="AG4" s="192"/>
      <c r="AH4" s="192"/>
      <c r="AI4" s="192"/>
      <c r="AJ4" s="192"/>
      <c r="AK4" s="192"/>
      <c r="AL4" s="192"/>
      <c r="AM4" s="192"/>
      <c r="AN4" s="192"/>
      <c r="AO4" s="192"/>
      <c r="AP4" s="192"/>
      <c r="AQ4" s="192"/>
      <c r="AR4" s="192"/>
      <c r="AS4" s="192"/>
      <c r="AT4" s="192"/>
      <c r="AU4" s="192"/>
      <c r="AV4" s="192"/>
      <c r="AW4" s="192"/>
    </row>
    <row r="5" customFormat="false" ht="12.75" hidden="false" customHeight="true" outlineLevel="0" collapsed="false">
      <c r="B5" s="54" t="s">
        <v>299</v>
      </c>
      <c r="C5" s="54"/>
      <c r="D5" s="54"/>
      <c r="E5" s="266"/>
      <c r="F5" s="266"/>
      <c r="G5" s="266"/>
      <c r="M5" s="192"/>
      <c r="Q5" s="192"/>
      <c r="R5" s="192"/>
      <c r="S5" s="192"/>
      <c r="T5" s="192"/>
      <c r="U5" s="192"/>
      <c r="V5" s="192"/>
      <c r="W5" s="192"/>
      <c r="X5" s="192"/>
      <c r="Y5" s="192"/>
      <c r="Z5" s="192"/>
      <c r="AA5" s="192"/>
      <c r="AB5" s="192"/>
      <c r="AC5" s="192"/>
      <c r="AD5" s="192"/>
      <c r="AE5" s="192"/>
      <c r="AF5" s="192"/>
      <c r="AG5" s="192"/>
      <c r="AH5" s="192"/>
      <c r="AI5" s="192"/>
      <c r="AJ5" s="192"/>
      <c r="AK5" s="192"/>
      <c r="AL5" s="192"/>
      <c r="AM5" s="192"/>
      <c r="AN5" s="192"/>
      <c r="AO5" s="192"/>
      <c r="AP5" s="192"/>
      <c r="AQ5" s="192"/>
      <c r="AR5" s="192"/>
      <c r="AS5" s="192"/>
      <c r="AT5" s="192"/>
      <c r="AU5" s="192"/>
      <c r="AV5" s="192"/>
      <c r="AW5" s="192"/>
    </row>
    <row r="6" customFormat="false" ht="12.75" hidden="false" customHeight="false" outlineLevel="0" collapsed="false">
      <c r="B6" s="267"/>
      <c r="C6" s="268"/>
      <c r="D6" s="269"/>
      <c r="M6" s="192"/>
      <c r="Q6" s="192"/>
      <c r="R6" s="192"/>
      <c r="S6" s="192"/>
      <c r="T6" s="192"/>
      <c r="U6" s="192"/>
      <c r="V6" s="192"/>
      <c r="W6" s="192"/>
      <c r="X6" s="192"/>
      <c r="Y6" s="192"/>
      <c r="Z6" s="192"/>
      <c r="AA6" s="192"/>
      <c r="AB6" s="192"/>
      <c r="AC6" s="192"/>
      <c r="AD6" s="192"/>
      <c r="AE6" s="192"/>
      <c r="AF6" s="192"/>
      <c r="AG6" s="192"/>
      <c r="AH6" s="192"/>
      <c r="AI6" s="192"/>
      <c r="AJ6" s="192"/>
      <c r="AK6" s="192"/>
      <c r="AL6" s="192"/>
      <c r="AM6" s="192"/>
      <c r="AN6" s="192"/>
      <c r="AO6" s="192"/>
      <c r="AP6" s="192"/>
      <c r="AQ6" s="192"/>
      <c r="AR6" s="192"/>
      <c r="AS6" s="192"/>
      <c r="AT6" s="192"/>
      <c r="AU6" s="192"/>
      <c r="AV6" s="192"/>
      <c r="AW6" s="192"/>
    </row>
    <row r="7" customFormat="false" ht="12" hidden="false" customHeight="false" outlineLevel="0" collapsed="false">
      <c r="B7" s="107" t="str">
        <f aca="false">"NPV of FCFF @ "&amp;TEXT(B30,"0.00%")</f>
        <v>NPV of FCFF @ 6.00%</v>
      </c>
      <c r="C7" s="108"/>
      <c r="D7" s="270" t="n">
        <f aca="false">NPV(B30,Cash_Flow!$D$70:$M$70)</f>
        <v>802189.019805206</v>
      </c>
      <c r="M7" s="59"/>
      <c r="N7" s="59"/>
    </row>
    <row r="8" customFormat="false" ht="12" hidden="false" customHeight="false" outlineLevel="0" collapsed="false">
      <c r="B8" s="107" t="str">
        <f aca="false">"NPV of FCFF @ "&amp;TEXT(B31,"0.00%")</f>
        <v>NPV of FCFF @ 7.00%</v>
      </c>
      <c r="C8" s="108"/>
      <c r="D8" s="225" t="n">
        <f aca="false">NPV(B31,Cash_Flow!$D$70:$M$70)</f>
        <v>760040.430114372</v>
      </c>
      <c r="M8" s="59"/>
      <c r="N8" s="59"/>
    </row>
    <row r="9" customFormat="false" ht="12" hidden="false" customHeight="false" outlineLevel="0" collapsed="false">
      <c r="B9" s="107" t="str">
        <f aca="false">"NPV of FCFF @ "&amp;TEXT(B32,"0.00%")</f>
        <v>NPV of FCFF @ 8.00%</v>
      </c>
      <c r="C9" s="108"/>
      <c r="D9" s="225" t="n">
        <f aca="false">NPV(B32,Cash_Flow!$D$70:$M$70)</f>
        <v>720896.151350501</v>
      </c>
      <c r="M9" s="59"/>
      <c r="N9" s="59"/>
    </row>
    <row r="10" customFormat="false" ht="12" hidden="false" customHeight="false" outlineLevel="0" collapsed="false">
      <c r="M10" s="59"/>
      <c r="N10" s="59"/>
    </row>
    <row r="11" customFormat="false" ht="12" hidden="false" customHeight="false" outlineLevel="0" collapsed="false">
      <c r="M11" s="59"/>
      <c r="N11" s="59"/>
    </row>
    <row r="12" customFormat="false" ht="12" hidden="false" customHeight="false" outlineLevel="0" collapsed="false">
      <c r="B12" s="54" t="s">
        <v>300</v>
      </c>
      <c r="C12" s="54"/>
      <c r="D12" s="54"/>
      <c r="H12" s="54" t="s">
        <v>301</v>
      </c>
      <c r="I12" s="54"/>
      <c r="J12" s="54"/>
      <c r="K12" s="54"/>
      <c r="L12" s="54"/>
    </row>
    <row r="13" customFormat="false" ht="12.75" hidden="false" customHeight="false" outlineLevel="0" collapsed="false">
      <c r="B13" s="267"/>
      <c r="C13" s="268"/>
      <c r="D13" s="269"/>
      <c r="H13" s="103"/>
      <c r="I13" s="271"/>
      <c r="J13" s="272" t="n">
        <f aca="false">C29</f>
        <v>4</v>
      </c>
      <c r="K13" s="272" t="n">
        <f aca="false">D29</f>
        <v>6</v>
      </c>
      <c r="L13" s="272" t="n">
        <f aca="false">E29</f>
        <v>8</v>
      </c>
    </row>
    <row r="14" customFormat="false" ht="12" hidden="false" customHeight="false" outlineLevel="0" collapsed="false">
      <c r="B14" s="107" t="str">
        <f aca="false">"Terminal Value @ "&amp;TEXT(C29,"0.0x")</f>
        <v>Terminal Value @ 4.0x</v>
      </c>
      <c r="C14" s="108"/>
      <c r="D14" s="270" t="n">
        <f aca="false">(Cash_Flow!$M$61+Cash_Flow!$M$62+Cash_Flow!$M$66)*C29</f>
        <v>2819044.49567451</v>
      </c>
      <c r="H14" s="107" t="str">
        <f aca="false">"Terminal Value @ "&amp;TEXT(B30,"0.00%")</f>
        <v>Terminal Value @ 6.00%</v>
      </c>
      <c r="I14" s="108"/>
      <c r="J14" s="225" t="n">
        <f aca="false">$D$14/(1+B30)^Cash_Flow!$M$5</f>
        <v>1574139.72227596</v>
      </c>
      <c r="K14" s="225" t="n">
        <f aca="false">$D$15/(1+B30)^Cash_Flow!$M$5</f>
        <v>2361209.58341394</v>
      </c>
      <c r="L14" s="225" t="n">
        <f aca="false">$D$16/(1+B30)^Cash_Flow!$M$5</f>
        <v>3148279.44455192</v>
      </c>
    </row>
    <row r="15" customFormat="false" ht="12" hidden="false" customHeight="false" outlineLevel="0" collapsed="false">
      <c r="B15" s="107" t="str">
        <f aca="false">"Terminal Value @ "&amp;TEXT(D29,"0.0x")</f>
        <v>Terminal Value @ 6.0x</v>
      </c>
      <c r="C15" s="108"/>
      <c r="D15" s="270" t="n">
        <f aca="false">(Cash_Flow!$M$61+Cash_Flow!$M$62+Cash_Flow!$M$66)*D29</f>
        <v>4228566.74351176</v>
      </c>
      <c r="H15" s="107" t="str">
        <f aca="false">"Terminal Value @ "&amp;TEXT(B31,"0.00%")</f>
        <v>Terminal Value @ 7.00%</v>
      </c>
      <c r="I15" s="108"/>
      <c r="J15" s="225" t="n">
        <f aca="false">$D$14/(1+B31)^Cash_Flow!$M$5</f>
        <v>1433059.27387241</v>
      </c>
      <c r="K15" s="225" t="n">
        <f aca="false">$D$15/(1+B31)^Cash_Flow!$M$5</f>
        <v>2149588.91080861</v>
      </c>
      <c r="L15" s="225" t="n">
        <f aca="false">$D$16/(1+B31)^Cash_Flow!$M$5</f>
        <v>2866118.54774482</v>
      </c>
    </row>
    <row r="16" customFormat="false" ht="12" hidden="false" customHeight="false" outlineLevel="0" collapsed="false">
      <c r="B16" s="107" t="str">
        <f aca="false">"Terminal Value @ "&amp;TEXT(E29,"0.0x")</f>
        <v>Terminal Value @ 8.0x</v>
      </c>
      <c r="C16" s="108"/>
      <c r="D16" s="270" t="n">
        <f aca="false">(Cash_Flow!$M$61+Cash_Flow!$M$62+Cash_Flow!$M$66)*E29</f>
        <v>5638088.99134902</v>
      </c>
      <c r="H16" s="107" t="str">
        <f aca="false">"Terminal Value @ "&amp;TEXT(B32,"0.00%")</f>
        <v>Terminal Value @ 8.00%</v>
      </c>
      <c r="I16" s="108"/>
      <c r="J16" s="225" t="n">
        <f aca="false">$D$14/(1+B32)^Cash_Flow!$M$5</f>
        <v>1305763.0530174</v>
      </c>
      <c r="K16" s="225" t="n">
        <f aca="false">$D$15/(1+B32)^Cash_Flow!$M$5</f>
        <v>1958644.57952611</v>
      </c>
      <c r="L16" s="225" t="n">
        <f aca="false">$D$16/(1+B32)^Cash_Flow!$M$5</f>
        <v>2611526.10603481</v>
      </c>
    </row>
    <row r="17" customFormat="false" ht="12" hidden="false" customHeight="false" outlineLevel="0" collapsed="false">
      <c r="B17" s="59"/>
      <c r="C17" s="59"/>
      <c r="D17" s="59"/>
      <c r="E17" s="59"/>
      <c r="F17" s="59"/>
      <c r="G17" s="59"/>
      <c r="H17" s="59"/>
      <c r="I17" s="59"/>
      <c r="J17" s="59"/>
      <c r="K17" s="59"/>
      <c r="L17" s="59"/>
    </row>
    <row r="18" customFormat="false" ht="12" hidden="false" customHeight="false" outlineLevel="0" collapsed="false">
      <c r="B18" s="59"/>
      <c r="C18" s="59"/>
      <c r="D18" s="59"/>
      <c r="E18" s="59"/>
      <c r="F18" s="59"/>
      <c r="G18" s="59"/>
      <c r="H18" s="59"/>
      <c r="I18" s="59"/>
      <c r="J18" s="59"/>
      <c r="K18" s="59"/>
      <c r="L18" s="59"/>
    </row>
    <row r="19" customFormat="false" ht="12" hidden="false" customHeight="false" outlineLevel="0" collapsed="false">
      <c r="B19" s="54" t="s">
        <v>302</v>
      </c>
      <c r="C19" s="54"/>
      <c r="D19" s="54"/>
      <c r="E19" s="54"/>
      <c r="F19" s="54"/>
      <c r="H19" s="54" t="s">
        <v>303</v>
      </c>
      <c r="I19" s="54"/>
      <c r="J19" s="54"/>
      <c r="K19" s="54"/>
      <c r="L19" s="54"/>
    </row>
    <row r="20" customFormat="false" ht="12" hidden="false" customHeight="false" outlineLevel="0" collapsed="false">
      <c r="B20" s="103"/>
      <c r="C20" s="271"/>
      <c r="D20" s="273" t="n">
        <f aca="false">H29</f>
        <v>0.025</v>
      </c>
      <c r="E20" s="273" t="n">
        <f aca="false">I29</f>
        <v>0.03</v>
      </c>
      <c r="F20" s="273" t="n">
        <f aca="false">J29</f>
        <v>0.035</v>
      </c>
      <c r="H20" s="103"/>
      <c r="I20" s="271"/>
      <c r="J20" s="273" t="n">
        <f aca="false">H29</f>
        <v>0.025</v>
      </c>
      <c r="K20" s="273" t="n">
        <f aca="false">I29</f>
        <v>0.03</v>
      </c>
      <c r="L20" s="273" t="n">
        <f aca="false">J29</f>
        <v>0.035</v>
      </c>
    </row>
    <row r="21" customFormat="false" ht="12" hidden="false" customHeight="false" outlineLevel="0" collapsed="false">
      <c r="B21" s="107" t="str">
        <f aca="false">"Terminal Value @ "&amp;TEXT(G30,"0.00%")</f>
        <v>Terminal Value @ 6.00%</v>
      </c>
      <c r="C21" s="108"/>
      <c r="D21" s="225" t="n">
        <f aca="false">(Cash_Flow!$M$70*(1+D$20))/($G30-D$20)</f>
        <v>3291577.49734862</v>
      </c>
      <c r="E21" s="225" t="n">
        <f aca="false">(Cash_Flow!$M$70*(1+E$20))/($G30-E$20)</f>
        <v>3858906.30176968</v>
      </c>
      <c r="F21" s="225" t="n">
        <f aca="false">(Cash_Flow!$M$70*(1+F$20))/($G30-F$20)</f>
        <v>4653166.62795917</v>
      </c>
      <c r="H21" s="107" t="str">
        <f aca="false">"Terminal Value @ "&amp;TEXT(G30,"0.00%")</f>
        <v>Terminal Value @ 6.00%</v>
      </c>
      <c r="I21" s="108"/>
      <c r="J21" s="225" t="n">
        <f aca="false">D21/(1+$G30)^Cash_Flow!$M$5</f>
        <v>1837999.6823308</v>
      </c>
      <c r="K21" s="225" t="n">
        <f aca="false">E21/(1+$G30)^Cash_Flow!$M$5</f>
        <v>2154793.12351302</v>
      </c>
      <c r="L21" s="225" t="n">
        <f aca="false">F21/(1+$G30)^Cash_Flow!$M$5</f>
        <v>2598303.94116813</v>
      </c>
    </row>
    <row r="22" customFormat="false" ht="12" hidden="false" customHeight="false" outlineLevel="0" collapsed="false">
      <c r="B22" s="107" t="str">
        <f aca="false">"Terminal Value @ "&amp;TEXT(G31,"0.00%")</f>
        <v>Terminal Value @ 7.00%</v>
      </c>
      <c r="C22" s="108"/>
      <c r="D22" s="225" t="n">
        <f aca="false">(Cash_Flow!$M$70*(1+D$20))/($G31-D$20)</f>
        <v>2560115.83127115</v>
      </c>
      <c r="E22" s="225" t="n">
        <f aca="false">(Cash_Flow!$M$70*(1+E$20))/($G31-E$20)</f>
        <v>2894179.72632726</v>
      </c>
      <c r="F22" s="225" t="n">
        <f aca="false">(Cash_Flow!$M$70*(1+F$20))/($G31-F$20)</f>
        <v>3323690.44854226</v>
      </c>
      <c r="H22" s="107" t="str">
        <f aca="false">"Terminal Value @ "&amp;TEXT(G31,"0.00%")</f>
        <v>Terminal Value @ 7.00%</v>
      </c>
      <c r="I22" s="108"/>
      <c r="J22" s="225" t="n">
        <f aca="false">D22/(1+$G31)^Cash_Flow!$M$5</f>
        <v>1301433.07060957</v>
      </c>
      <c r="K22" s="225" t="n">
        <f aca="false">E22/(1+$G31)^Cash_Flow!$M$5</f>
        <v>1471254.21518911</v>
      </c>
      <c r="L22" s="225" t="n">
        <f aca="false">F22/(1+$G31)^Cash_Flow!$M$5</f>
        <v>1689595.68679138</v>
      </c>
    </row>
    <row r="23" customFormat="false" ht="12" hidden="false" customHeight="false" outlineLevel="0" collapsed="false">
      <c r="B23" s="107" t="str">
        <f aca="false">"Terminal Value @ "&amp;TEXT(G32,"0.00%")</f>
        <v>Terminal Value @ 8.00%</v>
      </c>
      <c r="C23" s="108"/>
      <c r="D23" s="225" t="n">
        <f aca="false">(Cash_Flow!$M$70*(1+D$20))/($G32-D$20)</f>
        <v>2094640.22558548</v>
      </c>
      <c r="E23" s="225" t="n">
        <f aca="false">(Cash_Flow!$M$70*(1+E$20))/($G32-E$20)</f>
        <v>2315343.78106181</v>
      </c>
      <c r="F23" s="225" t="n">
        <f aca="false">(Cash_Flow!$M$70*(1+F$20))/($G32-F$20)</f>
        <v>2585092.57108843</v>
      </c>
      <c r="H23" s="107" t="str">
        <f aca="false">"Terminal Value @ "&amp;TEXT(G32,"0.00%")</f>
        <v>Terminal Value @ 8.00%</v>
      </c>
      <c r="I23" s="108"/>
      <c r="J23" s="225" t="n">
        <f aca="false">D23/(1+$G32)^Cash_Flow!$M$5</f>
        <v>970223.712371429</v>
      </c>
      <c r="K23" s="225" t="n">
        <f aca="false">E23/(1+$G32)^Cash_Flow!$M$5</f>
        <v>1072452.1620652</v>
      </c>
      <c r="L23" s="225" t="n">
        <f aca="false">F23/(1+$G32)^Cash_Flow!$M$5</f>
        <v>1197398.04502425</v>
      </c>
    </row>
    <row r="24" customFormat="false" ht="12" hidden="false" customHeight="false" outlineLevel="0" collapsed="false">
      <c r="C24" s="59"/>
      <c r="D24" s="59"/>
      <c r="E24" s="59"/>
      <c r="F24" s="59"/>
      <c r="G24" s="59"/>
      <c r="H24" s="59"/>
      <c r="I24" s="59"/>
      <c r="J24" s="59"/>
      <c r="K24" s="59"/>
      <c r="L24" s="59"/>
      <c r="M24" s="59"/>
      <c r="N24" s="59"/>
    </row>
    <row r="25" customFormat="false" ht="12" hidden="false" customHeight="false" outlineLevel="0" collapsed="false">
      <c r="D25" s="59"/>
      <c r="E25" s="59"/>
      <c r="F25" s="59"/>
      <c r="G25" s="59"/>
      <c r="H25" s="59"/>
      <c r="I25" s="59"/>
      <c r="J25" s="59"/>
      <c r="K25" s="59"/>
      <c r="L25" s="59"/>
      <c r="M25" s="59"/>
      <c r="N25" s="59"/>
    </row>
    <row r="26" customFormat="false" ht="12" hidden="false" customHeight="false" outlineLevel="0" collapsed="false">
      <c r="D26" s="59"/>
      <c r="E26" s="59"/>
      <c r="F26" s="59"/>
      <c r="G26" s="59"/>
      <c r="H26" s="59"/>
      <c r="I26" s="59"/>
      <c r="J26" s="59"/>
      <c r="K26" s="59"/>
      <c r="L26" s="59"/>
      <c r="M26" s="59"/>
      <c r="N26" s="59"/>
    </row>
    <row r="27" customFormat="false" ht="12" hidden="false" customHeight="false" outlineLevel="0" collapsed="false">
      <c r="B27" s="274" t="s">
        <v>304</v>
      </c>
      <c r="C27" s="274"/>
      <c r="D27" s="274"/>
      <c r="E27" s="274"/>
      <c r="F27" s="274"/>
      <c r="G27" s="274"/>
      <c r="H27" s="274"/>
      <c r="I27" s="274"/>
      <c r="J27" s="274"/>
      <c r="K27" s="59"/>
      <c r="L27" s="275" t="s">
        <v>305</v>
      </c>
      <c r="M27" s="275"/>
      <c r="N27" s="275"/>
      <c r="O27" s="275"/>
      <c r="P27" s="275"/>
    </row>
    <row r="28" customFormat="false" ht="12" hidden="false" customHeight="false" outlineLevel="0" collapsed="false">
      <c r="B28" s="60"/>
      <c r="C28" s="276" t="s">
        <v>306</v>
      </c>
      <c r="D28" s="276"/>
      <c r="E28" s="276"/>
      <c r="F28" s="277"/>
      <c r="G28" s="90"/>
      <c r="H28" s="278" t="s">
        <v>307</v>
      </c>
      <c r="I28" s="278"/>
      <c r="J28" s="278"/>
      <c r="K28" s="59"/>
      <c r="L28" s="279"/>
      <c r="M28" s="268"/>
      <c r="N28" s="268"/>
      <c r="O28" s="227"/>
      <c r="P28" s="38"/>
    </row>
    <row r="29" customFormat="false" ht="12" hidden="false" customHeight="false" outlineLevel="0" collapsed="false">
      <c r="B29" s="60"/>
      <c r="C29" s="280" t="n">
        <f aca="false">D29-ebitda_multiple_range</f>
        <v>4</v>
      </c>
      <c r="D29" s="280" t="n">
        <f aca="false">ebitda_multiple</f>
        <v>6</v>
      </c>
      <c r="E29" s="281" t="n">
        <f aca="false">D29+ebitda_multiple_range</f>
        <v>8</v>
      </c>
      <c r="F29" s="282"/>
      <c r="G29" s="90"/>
      <c r="H29" s="283" t="n">
        <f aca="false">I29-perpetuity_growth_range</f>
        <v>0.025</v>
      </c>
      <c r="I29" s="283" t="n">
        <f aca="false">perpetuity_growth_rate</f>
        <v>0.03</v>
      </c>
      <c r="J29" s="283" t="n">
        <f aca="false">I29+perpetuity_growth_range</f>
        <v>0.035</v>
      </c>
      <c r="K29" s="59"/>
      <c r="L29" s="284"/>
      <c r="M29" s="30"/>
      <c r="N29" s="278" t="str">
        <f aca="false">C28</f>
        <v>EBITDA Multiple Method</v>
      </c>
      <c r="O29" s="278"/>
      <c r="P29" s="278"/>
    </row>
    <row r="30" customFormat="false" ht="12" hidden="false" customHeight="false" outlineLevel="0" collapsed="false">
      <c r="B30" s="283" t="n">
        <f aca="false">B31-discount_rate_range</f>
        <v>0.06</v>
      </c>
      <c r="C30" s="255" t="n">
        <f aca="false">$D7+J14</f>
        <v>2376328.74208116</v>
      </c>
      <c r="D30" s="255" t="n">
        <f aca="false">$D7+K14</f>
        <v>3163398.60321914</v>
      </c>
      <c r="E30" s="255" t="n">
        <f aca="false">$D7+L14</f>
        <v>3950468.46435712</v>
      </c>
      <c r="F30" s="282"/>
      <c r="G30" s="285" t="n">
        <f aca="false">G31-discount_rate_range</f>
        <v>0.06</v>
      </c>
      <c r="H30" s="255" t="n">
        <f aca="false">$D7+J21</f>
        <v>2640188.70213601</v>
      </c>
      <c r="I30" s="255" t="n">
        <f aca="false">$D7+K21</f>
        <v>2956982.14331823</v>
      </c>
      <c r="J30" s="255" t="n">
        <f aca="false">$D7+L21</f>
        <v>3400492.96097334</v>
      </c>
      <c r="K30" s="59"/>
      <c r="L30" s="286" t="s">
        <v>308</v>
      </c>
      <c r="M30" s="287"/>
      <c r="N30" s="280" t="n">
        <f aca="false">C29</f>
        <v>4</v>
      </c>
      <c r="O30" s="280" t="n">
        <f aca="false">D29</f>
        <v>6</v>
      </c>
      <c r="P30" s="280" t="n">
        <f aca="false">E29</f>
        <v>8</v>
      </c>
    </row>
    <row r="31" customFormat="false" ht="12" hidden="false" customHeight="false" outlineLevel="0" collapsed="false">
      <c r="B31" s="283" t="n">
        <f aca="false">WACC</f>
        <v>0.07</v>
      </c>
      <c r="C31" s="255" t="n">
        <f aca="false">$D8+J15</f>
        <v>2193099.70398678</v>
      </c>
      <c r="D31" s="255" t="n">
        <f aca="false">$D8+K15</f>
        <v>2909629.34092298</v>
      </c>
      <c r="E31" s="255" t="n">
        <f aca="false">$D8+L15</f>
        <v>3626158.97785919</v>
      </c>
      <c r="F31" s="282"/>
      <c r="G31" s="285" t="n">
        <f aca="false">B31</f>
        <v>0.07</v>
      </c>
      <c r="H31" s="255" t="n">
        <f aca="false">$D8+J22</f>
        <v>2061473.50072394</v>
      </c>
      <c r="I31" s="255" t="n">
        <f aca="false">$D8+K22</f>
        <v>2231294.64530349</v>
      </c>
      <c r="J31" s="255" t="n">
        <f aca="false">$D8+L22</f>
        <v>2449636.11690575</v>
      </c>
      <c r="K31" s="59"/>
      <c r="L31" s="288" t="str">
        <f aca="false">"@ "&amp;TEXT(B30,"0.00%")</f>
        <v>@ 6.00%</v>
      </c>
      <c r="M31" s="108"/>
      <c r="N31" s="289" t="n">
        <f aca="false">$D7/C30</f>
        <v>0.337574934645893</v>
      </c>
      <c r="O31" s="289" t="n">
        <f aca="false">$D7/D30</f>
        <v>0.253584552698759</v>
      </c>
      <c r="P31" s="289" t="n">
        <f aca="false">$D7/E30</f>
        <v>0.203061744965923</v>
      </c>
    </row>
    <row r="32" customFormat="false" ht="12" hidden="false" customHeight="false" outlineLevel="0" collapsed="false">
      <c r="B32" s="283" t="n">
        <f aca="false">B31+discount_rate_range</f>
        <v>0.08</v>
      </c>
      <c r="C32" s="255" t="n">
        <f aca="false">$D9+J16</f>
        <v>2026659.20436791</v>
      </c>
      <c r="D32" s="255" t="n">
        <f aca="false">$D9+K16</f>
        <v>2679540.73087661</v>
      </c>
      <c r="E32" s="255" t="n">
        <f aca="false">$D9+L16</f>
        <v>3332422.25738531</v>
      </c>
      <c r="F32" s="290"/>
      <c r="G32" s="285" t="n">
        <f aca="false">G31+discount_rate_range</f>
        <v>0.08</v>
      </c>
      <c r="H32" s="255" t="n">
        <f aca="false">$D9+J23</f>
        <v>1691119.86372193</v>
      </c>
      <c r="I32" s="255" t="n">
        <f aca="false">$D9+K23</f>
        <v>1793348.3134157</v>
      </c>
      <c r="J32" s="255" t="n">
        <f aca="false">$D9+L23</f>
        <v>1918294.19637475</v>
      </c>
      <c r="K32" s="59"/>
      <c r="L32" s="288" t="str">
        <f aca="false">"@ "&amp;TEXT(B31,"0.00%")</f>
        <v>@ 7.00%</v>
      </c>
      <c r="M32" s="108"/>
      <c r="N32" s="289" t="n">
        <f aca="false">$D8/C31</f>
        <v>0.346559907300482</v>
      </c>
      <c r="O32" s="289" t="n">
        <f aca="false">$D8/D31</f>
        <v>0.261215550525509</v>
      </c>
      <c r="P32" s="289" t="n">
        <f aca="false">$D8/E31</f>
        <v>0.209599312869367</v>
      </c>
    </row>
    <row r="33" customFormat="false" ht="12" hidden="false" customHeight="false" outlineLevel="0" collapsed="false">
      <c r="D33" s="59"/>
      <c r="E33" s="59"/>
      <c r="F33" s="59"/>
      <c r="G33" s="59"/>
      <c r="H33" s="59"/>
      <c r="I33" s="59"/>
      <c r="J33" s="59"/>
      <c r="K33" s="59"/>
      <c r="L33" s="288" t="str">
        <f aca="false">"@ "&amp;TEXT(B32,"0.00%")</f>
        <v>@ 8.00%</v>
      </c>
      <c r="M33" s="108"/>
      <c r="N33" s="289" t="n">
        <f aca="false">$D9/C32</f>
        <v>0.355706647568969</v>
      </c>
      <c r="O33" s="289" t="n">
        <f aca="false">$D9/D32</f>
        <v>0.269037205907544</v>
      </c>
      <c r="P33" s="289" t="n">
        <f aca="false">$D9/E32</f>
        <v>0.216327972769013</v>
      </c>
    </row>
    <row r="34" customFormat="false" ht="12" hidden="false" customHeight="false" outlineLevel="0" collapsed="false">
      <c r="B34" s="59"/>
      <c r="C34" s="59"/>
      <c r="D34" s="59"/>
      <c r="E34" s="59"/>
      <c r="F34" s="59"/>
      <c r="G34" s="59"/>
      <c r="H34" s="59"/>
      <c r="I34" s="59"/>
      <c r="J34" s="59"/>
      <c r="K34" s="59"/>
      <c r="L34" s="286" t="s">
        <v>309</v>
      </c>
      <c r="M34" s="287"/>
      <c r="N34" s="30"/>
      <c r="O34" s="6"/>
      <c r="P34" s="245"/>
    </row>
    <row r="35" customFormat="false" ht="12" hidden="false" customHeight="false" outlineLevel="0" collapsed="false">
      <c r="B35" s="274" t="s">
        <v>310</v>
      </c>
      <c r="C35" s="274"/>
      <c r="D35" s="274"/>
      <c r="E35" s="274"/>
      <c r="F35" s="274"/>
      <c r="G35" s="274"/>
      <c r="H35" s="274"/>
      <c r="I35" s="274"/>
      <c r="J35" s="274"/>
      <c r="K35" s="59"/>
      <c r="L35" s="288" t="str">
        <f aca="false">"@ "&amp;TEXT(B30,"0.00%")</f>
        <v>@ 6.00%</v>
      </c>
      <c r="M35" s="108"/>
      <c r="N35" s="289" t="n">
        <f aca="false">J14/C30</f>
        <v>0.662425065354107</v>
      </c>
      <c r="O35" s="289" t="n">
        <f aca="false">K14/D30</f>
        <v>0.746415447301241</v>
      </c>
      <c r="P35" s="289" t="n">
        <f aca="false">L14/E30</f>
        <v>0.796938255034077</v>
      </c>
    </row>
    <row r="36" customFormat="false" ht="12" hidden="false" customHeight="false" outlineLevel="0" collapsed="false">
      <c r="B36" s="60"/>
      <c r="C36" s="276" t="s">
        <v>306</v>
      </c>
      <c r="D36" s="276"/>
      <c r="E36" s="276"/>
      <c r="F36" s="277"/>
      <c r="G36" s="90"/>
      <c r="H36" s="278" t="s">
        <v>307</v>
      </c>
      <c r="I36" s="278"/>
      <c r="J36" s="278"/>
      <c r="K36" s="59"/>
      <c r="L36" s="288" t="str">
        <f aca="false">"@ "&amp;TEXT(B31,"0.00%")</f>
        <v>@ 7.00%</v>
      </c>
      <c r="M36" s="108"/>
      <c r="N36" s="289" t="n">
        <f aca="false">J15/C31</f>
        <v>0.653440092699518</v>
      </c>
      <c r="O36" s="289" t="n">
        <f aca="false">K15/D31</f>
        <v>0.738784449474491</v>
      </c>
      <c r="P36" s="289" t="n">
        <f aca="false">L15/E31</f>
        <v>0.790400687130633</v>
      </c>
    </row>
    <row r="37" customFormat="false" ht="12" hidden="false" customHeight="false" outlineLevel="0" collapsed="false">
      <c r="B37" s="60"/>
      <c r="C37" s="280" t="n">
        <f aca="false">D37-ebitda_multiple_range</f>
        <v>4</v>
      </c>
      <c r="D37" s="280" t="n">
        <f aca="false">D29</f>
        <v>6</v>
      </c>
      <c r="E37" s="281" t="n">
        <f aca="false">D37+ebitda_multiple_range</f>
        <v>8</v>
      </c>
      <c r="F37" s="282"/>
      <c r="G37" s="90"/>
      <c r="H37" s="283" t="n">
        <f aca="false">I37-perpetuity_growth_range</f>
        <v>0.025</v>
      </c>
      <c r="I37" s="283" t="n">
        <f aca="false">I29</f>
        <v>0.03</v>
      </c>
      <c r="J37" s="283" t="n">
        <f aca="false">I37+perpetuity_growth_range</f>
        <v>0.035</v>
      </c>
      <c r="K37" s="59"/>
      <c r="L37" s="288" t="str">
        <f aca="false">"@ "&amp;TEXT(B32,"0.00%")</f>
        <v>@ 8.00%</v>
      </c>
      <c r="M37" s="108"/>
      <c r="N37" s="289" t="n">
        <f aca="false">J16/C32</f>
        <v>0.644293352431031</v>
      </c>
      <c r="O37" s="289" t="n">
        <f aca="false">K16/D32</f>
        <v>0.730962794092456</v>
      </c>
      <c r="P37" s="289" t="n">
        <f aca="false">L16/E32</f>
        <v>0.783672027230987</v>
      </c>
    </row>
    <row r="38" customFormat="false" ht="12" hidden="false" customHeight="false" outlineLevel="0" collapsed="false">
      <c r="B38" s="283" t="n">
        <f aca="false">B39-discount_rate_range</f>
        <v>0.06</v>
      </c>
      <c r="C38" s="255" t="n">
        <f aca="false">C30-Input!$N$56</f>
        <v>1792941.24208116</v>
      </c>
      <c r="D38" s="255" t="n">
        <f aca="false">D30-Input!$N$56</f>
        <v>2580011.10321914</v>
      </c>
      <c r="E38" s="255" t="n">
        <f aca="false">E30-Input!$N$56</f>
        <v>3367080.96435712</v>
      </c>
      <c r="F38" s="282"/>
      <c r="G38" s="285" t="n">
        <f aca="false">G39-discount_rate_range</f>
        <v>0.06</v>
      </c>
      <c r="H38" s="255" t="n">
        <f aca="false">H30-Input!$N$56</f>
        <v>2056801.20213601</v>
      </c>
      <c r="I38" s="255" t="n">
        <f aca="false">I30-Input!$N$56</f>
        <v>2373594.64331823</v>
      </c>
      <c r="J38" s="255" t="n">
        <f aca="false">J30-Input!$N$56</f>
        <v>2817105.46097334</v>
      </c>
      <c r="K38" s="59"/>
      <c r="L38" s="284"/>
      <c r="M38" s="30"/>
      <c r="N38" s="30"/>
      <c r="O38" s="6"/>
      <c r="P38" s="245"/>
    </row>
    <row r="39" customFormat="false" ht="12" hidden="false" customHeight="false" outlineLevel="0" collapsed="false">
      <c r="B39" s="283" t="n">
        <f aca="false">B31</f>
        <v>0.07</v>
      </c>
      <c r="C39" s="255" t="n">
        <f aca="false">C31-Input!$N$56</f>
        <v>1609712.20398678</v>
      </c>
      <c r="D39" s="255" t="n">
        <f aca="false">D31-Input!$N$56</f>
        <v>2326241.84092298</v>
      </c>
      <c r="E39" s="255" t="n">
        <f aca="false">E31-Input!$N$56</f>
        <v>3042771.47785919</v>
      </c>
      <c r="F39" s="282"/>
      <c r="G39" s="285" t="n">
        <f aca="false">B31</f>
        <v>0.07</v>
      </c>
      <c r="H39" s="255" t="n">
        <f aca="false">H31-Input!$N$56</f>
        <v>1478086.00072394</v>
      </c>
      <c r="I39" s="255" t="n">
        <f aca="false">I31-Input!$N$56</f>
        <v>1647907.14530349</v>
      </c>
      <c r="J39" s="255" t="n">
        <f aca="false">J31-Input!$N$56</f>
        <v>1866248.61690575</v>
      </c>
      <c r="K39" s="59"/>
      <c r="L39" s="284"/>
      <c r="M39" s="30"/>
      <c r="N39" s="278" t="str">
        <f aca="false">H28</f>
        <v>Perpetuity Growth Method</v>
      </c>
      <c r="O39" s="278"/>
      <c r="P39" s="278"/>
    </row>
    <row r="40" customFormat="false" ht="12" hidden="false" customHeight="false" outlineLevel="0" collapsed="false">
      <c r="B40" s="283" t="n">
        <f aca="false">B39+discount_rate_range</f>
        <v>0.08</v>
      </c>
      <c r="C40" s="255" t="n">
        <f aca="false">C32-Input!$N$56</f>
        <v>1443271.70436791</v>
      </c>
      <c r="D40" s="255" t="n">
        <f aca="false">D32-Input!$N$56</f>
        <v>2096153.23087661</v>
      </c>
      <c r="E40" s="255" t="n">
        <f aca="false">E32-Input!$N$56</f>
        <v>2749034.75738531</v>
      </c>
      <c r="F40" s="290"/>
      <c r="G40" s="285" t="n">
        <f aca="false">G39+discount_rate_range</f>
        <v>0.08</v>
      </c>
      <c r="H40" s="255" t="n">
        <f aca="false">H32-Input!$N$56</f>
        <v>1107732.36372193</v>
      </c>
      <c r="I40" s="255" t="n">
        <f aca="false">I32-Input!$N$56</f>
        <v>1209960.8134157</v>
      </c>
      <c r="J40" s="255" t="n">
        <f aca="false">J32-Input!$N$56</f>
        <v>1334906.69637475</v>
      </c>
      <c r="K40" s="59"/>
      <c r="L40" s="286" t="s">
        <v>308</v>
      </c>
      <c r="M40" s="287"/>
      <c r="N40" s="283" t="n">
        <f aca="false">H29</f>
        <v>0.025</v>
      </c>
      <c r="O40" s="283" t="n">
        <f aca="false">I29</f>
        <v>0.03</v>
      </c>
      <c r="P40" s="283" t="n">
        <f aca="false">J29</f>
        <v>0.035</v>
      </c>
    </row>
    <row r="41" customFormat="false" ht="12" hidden="false" customHeight="false" outlineLevel="0" collapsed="false">
      <c r="C41" s="59"/>
      <c r="D41" s="59"/>
      <c r="E41" s="59"/>
      <c r="F41" s="59"/>
      <c r="G41" s="59"/>
      <c r="H41" s="59"/>
      <c r="I41" s="59"/>
      <c r="J41" s="59"/>
      <c r="K41" s="59"/>
      <c r="L41" s="288" t="str">
        <f aca="false">"@ "&amp;TEXT(B30,"0.00%")</f>
        <v>@ 6.00%</v>
      </c>
      <c r="M41" s="108"/>
      <c r="N41" s="289" t="n">
        <f aca="false">$D7/H30</f>
        <v>0.303837759458711</v>
      </c>
      <c r="O41" s="289" t="n">
        <f aca="false">$D7/I30</f>
        <v>0.271286392992897</v>
      </c>
      <c r="P41" s="289" t="n">
        <f aca="false">$D7/J30</f>
        <v>0.235903743666504</v>
      </c>
    </row>
    <row r="42" customFormat="false" ht="12" hidden="false" customHeight="false" outlineLevel="0" collapsed="false">
      <c r="C42" s="59"/>
      <c r="D42" s="59"/>
      <c r="E42" s="59"/>
      <c r="F42" s="59"/>
      <c r="G42" s="59"/>
      <c r="H42" s="59"/>
      <c r="I42" s="59"/>
      <c r="J42" s="59"/>
      <c r="K42" s="59"/>
      <c r="L42" s="288" t="str">
        <f aca="false">"@ "&amp;TEXT(B31,"0.00%")</f>
        <v>@ 7.00%</v>
      </c>
      <c r="M42" s="108"/>
      <c r="N42" s="289" t="n">
        <f aca="false">$D8/H31</f>
        <v>0.368687945708477</v>
      </c>
      <c r="O42" s="289" t="n">
        <f aca="false">$D8/I31</f>
        <v>0.340627550787223</v>
      </c>
      <c r="P42" s="289" t="n">
        <f aca="false">$D8/J31</f>
        <v>0.310266665677029</v>
      </c>
    </row>
    <row r="43" customFormat="false" ht="12" hidden="false" customHeight="false" outlineLevel="0" collapsed="false">
      <c r="B43" s="274" t="s">
        <v>311</v>
      </c>
      <c r="C43" s="274"/>
      <c r="D43" s="274"/>
      <c r="E43" s="274"/>
      <c r="F43" s="274"/>
      <c r="G43" s="274"/>
      <c r="H43" s="274"/>
      <c r="I43" s="274"/>
      <c r="J43" s="274"/>
      <c r="K43" s="59"/>
      <c r="L43" s="288" t="str">
        <f aca="false">"@ "&amp;TEXT(B32,"0.00%")</f>
        <v>@ 8.00%</v>
      </c>
      <c r="M43" s="108"/>
      <c r="N43" s="289" t="n">
        <f aca="false">$D9/H32</f>
        <v>0.426283297130639</v>
      </c>
      <c r="O43" s="289" t="n">
        <f aca="false">$D9/I32</f>
        <v>0.401983343646972</v>
      </c>
      <c r="P43" s="289" t="n">
        <f aca="false">$D9/J32</f>
        <v>0.375800621569346</v>
      </c>
    </row>
    <row r="44" customFormat="false" ht="12" hidden="false" customHeight="false" outlineLevel="0" collapsed="false">
      <c r="B44" s="60"/>
      <c r="C44" s="276" t="s">
        <v>306</v>
      </c>
      <c r="D44" s="276"/>
      <c r="E44" s="276"/>
      <c r="F44" s="277"/>
      <c r="G44" s="90"/>
      <c r="H44" s="278" t="s">
        <v>307</v>
      </c>
      <c r="I44" s="278"/>
      <c r="J44" s="278"/>
      <c r="K44" s="59"/>
      <c r="L44" s="286" t="s">
        <v>309</v>
      </c>
      <c r="M44" s="287"/>
      <c r="N44" s="30"/>
      <c r="O44" s="6"/>
      <c r="P44" s="245"/>
    </row>
    <row r="45" customFormat="false" ht="12" hidden="false" customHeight="false" outlineLevel="0" collapsed="false">
      <c r="B45" s="60"/>
      <c r="C45" s="280" t="n">
        <f aca="false">D45-ebitda_multiple_range</f>
        <v>4</v>
      </c>
      <c r="D45" s="280" t="n">
        <f aca="false">D29</f>
        <v>6</v>
      </c>
      <c r="E45" s="281" t="n">
        <f aca="false">D45+ebitda_multiple_range</f>
        <v>8</v>
      </c>
      <c r="F45" s="282"/>
      <c r="G45" s="90"/>
      <c r="H45" s="283" t="n">
        <f aca="false">I45-perpetuity_growth_range</f>
        <v>0.025</v>
      </c>
      <c r="I45" s="283" t="n">
        <f aca="false">I29</f>
        <v>0.03</v>
      </c>
      <c r="J45" s="283" t="n">
        <f aca="false">I45+perpetuity_growth_range</f>
        <v>0.035</v>
      </c>
      <c r="K45" s="59"/>
      <c r="L45" s="288" t="str">
        <f aca="false">"@ "&amp;TEXT(B30,"0.00%")</f>
        <v>@ 6.00%</v>
      </c>
      <c r="M45" s="108"/>
      <c r="N45" s="289" t="n">
        <f aca="false">J21/H30</f>
        <v>0.696162240541289</v>
      </c>
      <c r="O45" s="289" t="n">
        <f aca="false">K21/I30</f>
        <v>0.728713607007103</v>
      </c>
      <c r="P45" s="289" t="n">
        <f aca="false">L21/J30</f>
        <v>0.764096256333496</v>
      </c>
    </row>
    <row r="46" customFormat="false" ht="12" hidden="false" customHeight="false" outlineLevel="0" collapsed="false">
      <c r="B46" s="283" t="n">
        <f aca="false">B47-discount_rate_range</f>
        <v>0.06</v>
      </c>
      <c r="C46" s="291" t="n">
        <f aca="false">IF(no_shares_outs=0,0,C38/no_shares_outs)</f>
        <v>17.9294124208116</v>
      </c>
      <c r="D46" s="291" t="n">
        <f aca="false">IF(no_shares_outs=0,0,D38/no_shares_outs)</f>
        <v>25.8001110321914</v>
      </c>
      <c r="E46" s="291" t="n">
        <f aca="false">IF(no_shares_outs=0,0,E38/no_shares_outs)</f>
        <v>33.6708096435712</v>
      </c>
      <c r="F46" s="282"/>
      <c r="G46" s="285" t="n">
        <f aca="false">G47-discount_rate_range</f>
        <v>0.06</v>
      </c>
      <c r="H46" s="291" t="n">
        <f aca="false">IF(no_shares_outs=0,0,H38/no_shares_outs)</f>
        <v>20.5680120213601</v>
      </c>
      <c r="I46" s="291" t="n">
        <f aca="false">IF(no_shares_outs=0,0,I38/no_shares_outs)</f>
        <v>23.7359464331823</v>
      </c>
      <c r="J46" s="291" t="n">
        <f aca="false">IF(no_shares_outs=0,0,J38/no_shares_outs)</f>
        <v>28.1710546097334</v>
      </c>
      <c r="K46" s="59"/>
      <c r="L46" s="288" t="str">
        <f aca="false">"@ "&amp;TEXT(B31,"0.00%")</f>
        <v>@ 7.00%</v>
      </c>
      <c r="M46" s="108"/>
      <c r="N46" s="289" t="n">
        <f aca="false">J22/H31</f>
        <v>0.631312054291524</v>
      </c>
      <c r="O46" s="289" t="n">
        <f aca="false">K22/I31</f>
        <v>0.659372449212777</v>
      </c>
      <c r="P46" s="289" t="n">
        <f aca="false">L22/J31</f>
        <v>0.689733334322971</v>
      </c>
    </row>
    <row r="47" customFormat="false" ht="12" hidden="false" customHeight="false" outlineLevel="0" collapsed="false">
      <c r="B47" s="283" t="n">
        <f aca="false">B31</f>
        <v>0.07</v>
      </c>
      <c r="C47" s="291" t="n">
        <f aca="false">IF(no_shares_outs=0,0,C39/no_shares_outs)</f>
        <v>16.0971220398678</v>
      </c>
      <c r="D47" s="291" t="n">
        <f aca="false">IF(no_shares_outs=0,0,D39/no_shares_outs)</f>
        <v>23.2624184092298</v>
      </c>
      <c r="E47" s="291" t="n">
        <f aca="false">IF(no_shares_outs=0,0,E39/no_shares_outs)</f>
        <v>30.4277147785919</v>
      </c>
      <c r="F47" s="282"/>
      <c r="G47" s="285" t="n">
        <f aca="false">B31</f>
        <v>0.07</v>
      </c>
      <c r="H47" s="291" t="n">
        <f aca="false">IF(no_shares_outs=0,0,H39/no_shares_outs)</f>
        <v>14.7808600072394</v>
      </c>
      <c r="I47" s="291" t="n">
        <f aca="false">IF(no_shares_outs=0,0,I39/no_shares_outs)</f>
        <v>16.4790714530348</v>
      </c>
      <c r="J47" s="291" t="n">
        <f aca="false">IF(no_shares_outs=0,0,J39/no_shares_outs)</f>
        <v>18.6624861690575</v>
      </c>
      <c r="K47" s="59"/>
      <c r="L47" s="288" t="str">
        <f aca="false">"@ "&amp;TEXT(B32,"0.00%")</f>
        <v>@ 8.00%</v>
      </c>
      <c r="M47" s="108"/>
      <c r="N47" s="289" t="n">
        <f aca="false">J23/H32</f>
        <v>0.573716702869361</v>
      </c>
      <c r="O47" s="289" t="n">
        <f aca="false">K23/I32</f>
        <v>0.598016656353028</v>
      </c>
      <c r="P47" s="289" t="n">
        <f aca="false">L23/J32</f>
        <v>0.624199378430654</v>
      </c>
    </row>
    <row r="48" customFormat="false" ht="12" hidden="false" customHeight="false" outlineLevel="0" collapsed="false">
      <c r="B48" s="283" t="n">
        <f aca="false">B47+discount_rate_range</f>
        <v>0.08</v>
      </c>
      <c r="C48" s="291" t="n">
        <f aca="false">IF(no_shares_outs=0,0,C40/no_shares_outs)</f>
        <v>14.4327170436791</v>
      </c>
      <c r="D48" s="291" t="n">
        <f aca="false">IF(no_shares_outs=0,0,D40/no_shares_outs)</f>
        <v>20.9615323087661</v>
      </c>
      <c r="E48" s="291" t="n">
        <f aca="false">IF(no_shares_outs=0,0,E40/no_shares_outs)</f>
        <v>27.4903475738531</v>
      </c>
      <c r="F48" s="290"/>
      <c r="G48" s="285" t="n">
        <f aca="false">G47+discount_rate_range</f>
        <v>0.08</v>
      </c>
      <c r="H48" s="291" t="n">
        <f aca="false">IF(no_shares_outs=0,0,H40/no_shares_outs)</f>
        <v>11.0773236372193</v>
      </c>
      <c r="I48" s="291" t="n">
        <f aca="false">IF(no_shares_outs=0,0,I40/no_shares_outs)</f>
        <v>12.099608134157</v>
      </c>
      <c r="J48" s="291" t="n">
        <f aca="false">IF(no_shares_outs=0,0,J40/no_shares_outs)</f>
        <v>13.3490669637475</v>
      </c>
      <c r="K48" s="59"/>
      <c r="L48" s="59"/>
      <c r="M48" s="59"/>
      <c r="N48" s="59"/>
    </row>
    <row r="49" customFormat="false" ht="12" hidden="false" customHeight="false" outlineLevel="0" collapsed="false">
      <c r="C49" s="59"/>
      <c r="D49" s="59"/>
      <c r="E49" s="59"/>
      <c r="F49" s="59"/>
      <c r="G49" s="59"/>
      <c r="H49" s="59"/>
      <c r="I49" s="59"/>
      <c r="J49" s="59"/>
      <c r="K49" s="59"/>
      <c r="L49" s="59"/>
      <c r="M49" s="59"/>
      <c r="N49" s="59"/>
    </row>
    <row r="50" customFormat="false" ht="12" hidden="false" customHeight="false" outlineLevel="0" collapsed="false">
      <c r="C50" s="59"/>
      <c r="D50" s="59"/>
      <c r="E50" s="59"/>
      <c r="F50" s="59"/>
      <c r="G50" s="59"/>
      <c r="H50" s="59"/>
      <c r="I50" s="59"/>
      <c r="J50" s="59"/>
      <c r="K50" s="59"/>
      <c r="L50" s="59"/>
      <c r="M50" s="59"/>
      <c r="N50" s="59"/>
    </row>
    <row r="51" customFormat="false" ht="12" hidden="false" customHeight="false" outlineLevel="0" collapsed="false">
      <c r="C51" s="59"/>
      <c r="D51" s="59"/>
      <c r="E51" s="59"/>
      <c r="F51" s="59"/>
      <c r="G51" s="59"/>
      <c r="H51" s="59"/>
      <c r="I51" s="59"/>
      <c r="J51" s="59"/>
      <c r="K51" s="59"/>
      <c r="L51" s="59"/>
      <c r="M51" s="59"/>
      <c r="N51" s="59"/>
    </row>
    <row r="52" customFormat="false" ht="12" hidden="false" customHeight="false" outlineLevel="0" collapsed="false">
      <c r="C52" s="59"/>
      <c r="D52" s="59"/>
      <c r="E52" s="59"/>
      <c r="F52" s="59"/>
      <c r="G52" s="59"/>
      <c r="H52" s="59"/>
      <c r="I52" s="59"/>
      <c r="J52" s="59"/>
      <c r="K52" s="59"/>
      <c r="L52" s="59"/>
      <c r="M52" s="59"/>
      <c r="N52" s="59"/>
    </row>
    <row r="53" customFormat="false" ht="12" hidden="false" customHeight="false" outlineLevel="0" collapsed="false">
      <c r="C53" s="59"/>
      <c r="D53" s="59"/>
      <c r="E53" s="59"/>
      <c r="F53" s="59"/>
      <c r="G53" s="59"/>
      <c r="H53" s="59"/>
      <c r="I53" s="59"/>
      <c r="J53" s="59"/>
      <c r="K53" s="59"/>
      <c r="L53" s="59"/>
      <c r="M53" s="59"/>
      <c r="N53" s="59"/>
    </row>
  </sheetData>
  <mergeCells count="17">
    <mergeCell ref="B5:D5"/>
    <mergeCell ref="B12:D12"/>
    <mergeCell ref="H12:L12"/>
    <mergeCell ref="B19:F19"/>
    <mergeCell ref="H19:L19"/>
    <mergeCell ref="B27:J27"/>
    <mergeCell ref="L27:P27"/>
    <mergeCell ref="C28:E28"/>
    <mergeCell ref="H28:J28"/>
    <mergeCell ref="N29:P29"/>
    <mergeCell ref="B35:J35"/>
    <mergeCell ref="C36:E36"/>
    <mergeCell ref="H36:J36"/>
    <mergeCell ref="N39:P39"/>
    <mergeCell ref="B43:J43"/>
    <mergeCell ref="C44:E44"/>
    <mergeCell ref="H44:J44"/>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V1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 activeCellId="0" sqref="D3"/>
    </sheetView>
  </sheetViews>
  <sheetFormatPr defaultColWidth="9.13671875" defaultRowHeight="12" zeroHeight="false" outlineLevelRow="0" outlineLevelCol="0"/>
  <cols>
    <col collapsed="false" customWidth="true" hidden="false" outlineLevel="0" max="1" min="1" style="1" width="23.85"/>
    <col collapsed="false" customWidth="true" hidden="false" outlineLevel="0" max="2" min="2" style="1" width="9.7"/>
    <col collapsed="false" customWidth="true" hidden="false" outlineLevel="0" max="13" min="3" style="1" width="10.7"/>
    <col collapsed="false" customWidth="true" hidden="false" outlineLevel="0" max="18" min="14" style="1" width="10.28"/>
    <col collapsed="false" customWidth="false" hidden="false" outlineLevel="0" max="257" min="19" style="1" width="9.13"/>
  </cols>
  <sheetData>
    <row r="2" customFormat="false" ht="15" hidden="false" customHeight="false" outlineLevel="0" collapsed="false">
      <c r="A2" s="122" t="s">
        <v>312</v>
      </c>
    </row>
    <row r="4" customFormat="false" ht="12" hidden="false" customHeight="false" outlineLevel="0" collapsed="false">
      <c r="A4" s="66" t="s">
        <v>313</v>
      </c>
      <c r="B4" s="219" t="n">
        <v>2018</v>
      </c>
      <c r="C4" s="54" t="n">
        <f aca="false">IF(exit_year&gt;0,HLOOKUP(exit_year,Inc_St!D4:M5,2,FALSE()),0)</f>
        <v>9</v>
      </c>
    </row>
    <row r="6" customFormat="false" ht="12" hidden="false" customHeight="false" outlineLevel="0" collapsed="false">
      <c r="A6" s="292" t="s">
        <v>314</v>
      </c>
      <c r="B6" s="293"/>
      <c r="C6" s="294" t="s">
        <v>315</v>
      </c>
      <c r="D6" s="294" t="s">
        <v>316</v>
      </c>
      <c r="E6" s="294" t="s">
        <v>317</v>
      </c>
      <c r="F6" s="294" t="s">
        <v>318</v>
      </c>
      <c r="G6" s="295" t="s">
        <v>319</v>
      </c>
      <c r="I6" s="296" t="s">
        <v>320</v>
      </c>
      <c r="J6" s="297"/>
      <c r="K6" s="298"/>
      <c r="L6" s="299"/>
    </row>
    <row r="7" customFormat="false" ht="12" hidden="false" customHeight="false" outlineLevel="0" collapsed="false">
      <c r="A7" s="231"/>
      <c r="B7" s="6"/>
      <c r="C7" s="6"/>
      <c r="D7" s="6"/>
      <c r="E7" s="6"/>
      <c r="F7" s="6"/>
      <c r="G7" s="300"/>
      <c r="I7" s="231"/>
      <c r="J7" s="6"/>
      <c r="K7" s="6"/>
      <c r="L7" s="245"/>
    </row>
    <row r="8" customFormat="false" ht="12" hidden="false" customHeight="false" outlineLevel="0" collapsed="false">
      <c r="A8" s="22" t="str">
        <f aca="false">Input!A37</f>
        <v>Common - Sponsor Equity</v>
      </c>
      <c r="B8" s="23"/>
      <c r="C8" s="255" t="n">
        <f aca="false">Input!C37</f>
        <v>220000</v>
      </c>
      <c r="D8" s="226" t="n">
        <f aca="false">C8/SUM($C$8:$C$10)</f>
        <v>0.771929824561404</v>
      </c>
      <c r="E8" s="226" t="n">
        <v>0</v>
      </c>
      <c r="F8" s="226" t="n">
        <f aca="false">D8*(1-$E$16)</f>
        <v>0.632982456140351</v>
      </c>
      <c r="G8" s="225" t="n">
        <f aca="false">F8*$L$16</f>
        <v>2565228.23054732</v>
      </c>
      <c r="I8" s="22" t="s">
        <v>321</v>
      </c>
      <c r="J8" s="230"/>
      <c r="K8" s="23"/>
      <c r="L8" s="301" t="n">
        <f aca="false">ebitda_multiple</f>
        <v>6</v>
      </c>
    </row>
    <row r="9" customFormat="false" ht="12" hidden="false" customHeight="false" outlineLevel="0" collapsed="false">
      <c r="A9" s="22" t="str">
        <f aca="false">Input!A38</f>
        <v>Management Equity</v>
      </c>
      <c r="B9" s="23"/>
      <c r="C9" s="225" t="n">
        <f aca="false">Input!C38</f>
        <v>40000</v>
      </c>
      <c r="D9" s="226" t="n">
        <f aca="false">C9/SUM($C$8:$C$10)</f>
        <v>0.140350877192982</v>
      </c>
      <c r="E9" s="226" t="n">
        <v>0</v>
      </c>
      <c r="F9" s="226" t="n">
        <f aca="false">D9*(1-$E$16)</f>
        <v>0.115087719298246</v>
      </c>
      <c r="G9" s="225" t="n">
        <f aca="false">F9*$L$16</f>
        <v>466405.132826785</v>
      </c>
      <c r="I9" s="22" t="s">
        <v>322</v>
      </c>
      <c r="J9" s="230"/>
      <c r="K9" s="23"/>
      <c r="L9" s="225" t="n">
        <f aca="true">IF($C$4&gt;0,OFFSET(Inc_St!C18,0,$C$4,1,1),0)</f>
        <v>645545.445870612</v>
      </c>
    </row>
    <row r="10" customFormat="false" ht="12" hidden="false" customHeight="false" outlineLevel="0" collapsed="false">
      <c r="A10" s="22" t="str">
        <f aca="false">Input!A39</f>
        <v>New Equity</v>
      </c>
      <c r="B10" s="23"/>
      <c r="C10" s="225" t="n">
        <f aca="false">Input!C39</f>
        <v>25000</v>
      </c>
      <c r="D10" s="226" t="n">
        <f aca="false">C10/SUM($C$8:$C$10)</f>
        <v>0.087719298245614</v>
      </c>
      <c r="E10" s="214" t="n">
        <v>0.02</v>
      </c>
      <c r="F10" s="226" t="n">
        <f aca="false">D10*(1-$E$16)+E10</f>
        <v>0.0919298245614035</v>
      </c>
      <c r="G10" s="225" t="n">
        <f aca="false">F10*$L$16</f>
        <v>372555.319514078</v>
      </c>
      <c r="I10" s="233" t="s">
        <v>323</v>
      </c>
      <c r="J10" s="230"/>
      <c r="K10" s="23"/>
      <c r="L10" s="302" t="n">
        <f aca="false">L8*L9</f>
        <v>3873272.67522367</v>
      </c>
    </row>
    <row r="11" customFormat="false" ht="12" hidden="false" customHeight="false" outlineLevel="0" collapsed="false">
      <c r="A11" s="22" t="str">
        <f aca="false">Input!A31</f>
        <v>Subordinated Notes</v>
      </c>
      <c r="B11" s="23"/>
      <c r="C11" s="225" t="n">
        <f aca="false">Input!C31</f>
        <v>40000</v>
      </c>
      <c r="D11" s="228" t="s">
        <v>324</v>
      </c>
      <c r="E11" s="214" t="n">
        <v>0.03</v>
      </c>
      <c r="F11" s="226" t="n">
        <f aca="false">E11</f>
        <v>0.03</v>
      </c>
      <c r="G11" s="225" t="n">
        <f aca="false">F11*$L$16</f>
        <v>121578.167246006</v>
      </c>
      <c r="I11" s="231"/>
      <c r="J11" s="6"/>
      <c r="K11" s="6"/>
      <c r="L11" s="300"/>
    </row>
    <row r="12" customFormat="false" ht="12" hidden="false" customHeight="false" outlineLevel="0" collapsed="false">
      <c r="A12" s="22" t="str">
        <f aca="false">Input!A32</f>
        <v>Mezzanine Debt</v>
      </c>
      <c r="B12" s="23"/>
      <c r="C12" s="225" t="n">
        <f aca="false">Input!C32</f>
        <v>70000</v>
      </c>
      <c r="D12" s="228" t="s">
        <v>324</v>
      </c>
      <c r="E12" s="214" t="n">
        <v>0.05</v>
      </c>
      <c r="F12" s="226" t="n">
        <f aca="false">E12</f>
        <v>0.05</v>
      </c>
      <c r="G12" s="225" t="n">
        <f aca="false">F12*$L$16</f>
        <v>202630.278743344</v>
      </c>
      <c r="I12" s="22" t="s">
        <v>325</v>
      </c>
      <c r="J12" s="230"/>
      <c r="K12" s="23"/>
      <c r="L12" s="225" t="n">
        <f aca="true">IF($C$4&gt;0,OFFSET(Bal_Sheet!$E54,0,$C$4,1,1),0)</f>
        <v>0</v>
      </c>
    </row>
    <row r="13" customFormat="false" ht="12" hidden="false" customHeight="false" outlineLevel="0" collapsed="false">
      <c r="A13" s="22" t="str">
        <f aca="false">Input!A35</f>
        <v>Preferred Stock</v>
      </c>
      <c r="B13" s="23"/>
      <c r="C13" s="225" t="n">
        <f aca="false">Input!C35</f>
        <v>60000</v>
      </c>
      <c r="D13" s="228" t="s">
        <v>324</v>
      </c>
      <c r="E13" s="214" t="n">
        <v>0.04</v>
      </c>
      <c r="F13" s="226" t="n">
        <f aca="false">E13</f>
        <v>0.04</v>
      </c>
      <c r="G13" s="225" t="n">
        <f aca="false">F13*$L$16</f>
        <v>162104.222994675</v>
      </c>
      <c r="I13" s="22" t="s">
        <v>326</v>
      </c>
      <c r="J13" s="230"/>
      <c r="K13" s="23"/>
      <c r="L13" s="225" t="n">
        <f aca="true">IF($C$4&gt;0,OFFSET(Bal_Sheet!$E61,0,$C$4,1,1),0)</f>
        <v>84153.103842</v>
      </c>
    </row>
    <row r="14" customFormat="false" ht="12" hidden="false" customHeight="false" outlineLevel="0" collapsed="false">
      <c r="A14" s="22" t="s">
        <v>327</v>
      </c>
      <c r="B14" s="23"/>
      <c r="C14" s="303" t="s">
        <v>324</v>
      </c>
      <c r="D14" s="228" t="s">
        <v>324</v>
      </c>
      <c r="E14" s="214" t="n">
        <v>0.04</v>
      </c>
      <c r="F14" s="226" t="n">
        <f aca="false">E14</f>
        <v>0.04</v>
      </c>
      <c r="G14" s="225" t="n">
        <f aca="false">F14*$L$16</f>
        <v>162104.222994675</v>
      </c>
      <c r="I14" s="22" t="s">
        <v>328</v>
      </c>
      <c r="J14" s="230"/>
      <c r="K14" s="23"/>
      <c r="L14" s="225" t="n">
        <f aca="true">IF($C$4&gt;0,OFFSET(Bal_Sheet!$E10,0,$C$4,1,1),0)</f>
        <v>263486.003485209</v>
      </c>
    </row>
    <row r="15" customFormat="false" ht="12" hidden="false" customHeight="false" outlineLevel="0" collapsed="false">
      <c r="A15" s="231"/>
      <c r="B15" s="6"/>
      <c r="C15" s="30"/>
      <c r="D15" s="6"/>
      <c r="E15" s="73"/>
      <c r="F15" s="73"/>
      <c r="G15" s="300"/>
      <c r="I15" s="231"/>
      <c r="J15" s="6"/>
      <c r="K15" s="6"/>
      <c r="L15" s="300"/>
    </row>
    <row r="16" customFormat="false" ht="12" hidden="false" customHeight="false" outlineLevel="0" collapsed="false">
      <c r="A16" s="22" t="s">
        <v>80</v>
      </c>
      <c r="B16" s="23"/>
      <c r="C16" s="225" t="n">
        <f aca="false">SUM(C8:C15)</f>
        <v>455000</v>
      </c>
      <c r="D16" s="226" t="n">
        <f aca="false">SUM(D8:D15)</f>
        <v>1</v>
      </c>
      <c r="E16" s="226" t="n">
        <f aca="false">SUM(E8:E15)</f>
        <v>0.18</v>
      </c>
      <c r="F16" s="226" t="n">
        <f aca="false">SUM(F8:F15)</f>
        <v>1</v>
      </c>
      <c r="G16" s="225" t="n">
        <f aca="false">SUM(G8:G15)</f>
        <v>4052605.57486688</v>
      </c>
      <c r="I16" s="233" t="s">
        <v>329</v>
      </c>
      <c r="J16" s="230"/>
      <c r="K16" s="23"/>
      <c r="L16" s="225" t="n">
        <f aca="false">SUM(L10,-L12,-L13,L14)</f>
        <v>4052605.57486688</v>
      </c>
    </row>
    <row r="17" customFormat="false" ht="12" hidden="false" customHeight="false" outlineLevel="0" collapsed="false">
      <c r="C17" s="59"/>
      <c r="G17" s="59"/>
      <c r="M17" s="304"/>
    </row>
    <row r="18" customFormat="false" ht="12" hidden="false" customHeight="false" outlineLevel="0" collapsed="false">
      <c r="C18" s="59"/>
      <c r="G18" s="59"/>
    </row>
    <row r="19" customFormat="false" ht="12" hidden="false" customHeight="false" outlineLevel="0" collapsed="false">
      <c r="C19" s="59"/>
      <c r="G19" s="59"/>
    </row>
    <row r="20" customFormat="false" ht="12.75" hidden="false" customHeight="false" outlineLevel="0" collapsed="false">
      <c r="C20" s="59"/>
      <c r="G20" s="59"/>
    </row>
    <row r="21" customFormat="false" ht="12" hidden="false" customHeight="false" outlineLevel="0" collapsed="false">
      <c r="A21" s="305" t="s">
        <v>330</v>
      </c>
      <c r="B21" s="306"/>
      <c r="C21" s="307" t="s">
        <v>134</v>
      </c>
      <c r="D21" s="308" t="n">
        <f aca="false">year1</f>
        <v>2010</v>
      </c>
      <c r="E21" s="308" t="n">
        <f aca="false">D21+1</f>
        <v>2011</v>
      </c>
      <c r="F21" s="308" t="n">
        <f aca="false">E21+1</f>
        <v>2012</v>
      </c>
      <c r="G21" s="308" t="n">
        <f aca="false">F21+1</f>
        <v>2013</v>
      </c>
      <c r="H21" s="308" t="n">
        <f aca="false">G21+1</f>
        <v>2014</v>
      </c>
      <c r="I21" s="308" t="n">
        <f aca="false">H21+1</f>
        <v>2015</v>
      </c>
      <c r="J21" s="308" t="n">
        <f aca="false">I21+1</f>
        <v>2016</v>
      </c>
      <c r="K21" s="308" t="n">
        <f aca="false">J21+1</f>
        <v>2017</v>
      </c>
      <c r="L21" s="308" t="n">
        <f aca="false">K21+1</f>
        <v>2018</v>
      </c>
      <c r="M21" s="309" t="n">
        <f aca="false">L21+1</f>
        <v>2019</v>
      </c>
    </row>
    <row r="22" customFormat="false" ht="12" hidden="false" customHeight="false" outlineLevel="0" collapsed="false">
      <c r="A22" s="8"/>
      <c r="B22" s="6"/>
      <c r="C22" s="310" t="n">
        <f aca="false">D22-1</f>
        <v>0</v>
      </c>
      <c r="D22" s="186" t="n">
        <v>1</v>
      </c>
      <c r="E22" s="186" t="n">
        <f aca="false">D22+1</f>
        <v>2</v>
      </c>
      <c r="F22" s="186" t="n">
        <f aca="false">E22+1</f>
        <v>3</v>
      </c>
      <c r="G22" s="186" t="n">
        <f aca="false">F22+1</f>
        <v>4</v>
      </c>
      <c r="H22" s="186" t="n">
        <f aca="false">G22+1</f>
        <v>5</v>
      </c>
      <c r="I22" s="186" t="n">
        <f aca="false">H22+1</f>
        <v>6</v>
      </c>
      <c r="J22" s="186" t="n">
        <f aca="false">I22+1</f>
        <v>7</v>
      </c>
      <c r="K22" s="186" t="n">
        <f aca="false">J22+1</f>
        <v>8</v>
      </c>
      <c r="L22" s="186" t="n">
        <f aca="false">K22+1</f>
        <v>9</v>
      </c>
      <c r="M22" s="311" t="n">
        <f aca="false">L22+1</f>
        <v>10</v>
      </c>
      <c r="N22" s="192"/>
      <c r="O22" s="192"/>
      <c r="P22" s="192"/>
      <c r="Q22" s="192"/>
      <c r="R22" s="192"/>
      <c r="S22" s="192"/>
      <c r="T22" s="192"/>
      <c r="U22" s="192"/>
      <c r="V22" s="192"/>
      <c r="W22" s="192"/>
      <c r="X22" s="192"/>
      <c r="Y22" s="192"/>
      <c r="Z22" s="192"/>
      <c r="AA22" s="192"/>
      <c r="AB22" s="192"/>
      <c r="AC22" s="192"/>
      <c r="AD22" s="192"/>
      <c r="AE22" s="192"/>
      <c r="AF22" s="192"/>
      <c r="AG22" s="192"/>
      <c r="AH22" s="192"/>
      <c r="AI22" s="192"/>
      <c r="AJ22" s="192"/>
      <c r="AK22" s="192"/>
      <c r="AL22" s="192"/>
      <c r="AM22" s="192"/>
      <c r="AN22" s="192"/>
      <c r="AO22" s="192"/>
      <c r="AP22" s="192"/>
      <c r="AQ22" s="192"/>
      <c r="AR22" s="192"/>
      <c r="AS22" s="192"/>
      <c r="AT22" s="192"/>
      <c r="AU22" s="192"/>
      <c r="AV22" s="192"/>
    </row>
    <row r="23" customFormat="false" ht="12" hidden="false" customHeight="false" outlineLevel="0" collapsed="false">
      <c r="A23" s="8"/>
      <c r="B23" s="6"/>
      <c r="C23" s="6"/>
      <c r="D23" s="312"/>
      <c r="E23" s="312"/>
      <c r="F23" s="312"/>
      <c r="G23" s="312"/>
      <c r="H23" s="312"/>
      <c r="I23" s="312"/>
      <c r="J23" s="312"/>
      <c r="K23" s="312"/>
      <c r="L23" s="312"/>
      <c r="M23" s="313"/>
      <c r="N23" s="192"/>
      <c r="O23" s="192"/>
      <c r="P23" s="192"/>
      <c r="Q23" s="192"/>
      <c r="R23" s="192"/>
      <c r="S23" s="192"/>
      <c r="T23" s="192"/>
      <c r="U23" s="192"/>
      <c r="V23" s="192"/>
      <c r="W23" s="192"/>
      <c r="X23" s="192"/>
      <c r="Y23" s="192"/>
      <c r="Z23" s="192"/>
      <c r="AA23" s="192"/>
      <c r="AB23" s="192"/>
      <c r="AC23" s="192"/>
      <c r="AD23" s="192"/>
      <c r="AE23" s="192"/>
      <c r="AF23" s="192"/>
      <c r="AG23" s="192"/>
      <c r="AH23" s="192"/>
      <c r="AI23" s="192"/>
      <c r="AJ23" s="192"/>
      <c r="AK23" s="192"/>
      <c r="AL23" s="192"/>
      <c r="AM23" s="192"/>
      <c r="AN23" s="192"/>
      <c r="AO23" s="192"/>
      <c r="AP23" s="192"/>
      <c r="AQ23" s="192"/>
      <c r="AR23" s="192"/>
      <c r="AS23" s="192"/>
      <c r="AT23" s="192"/>
      <c r="AU23" s="192"/>
      <c r="AV23" s="192"/>
    </row>
    <row r="24" customFormat="false" ht="12" hidden="false" customHeight="false" outlineLevel="0" collapsed="false">
      <c r="A24" s="314" t="str">
        <f aca="false">A11</f>
        <v>Subordinated Notes</v>
      </c>
      <c r="B24" s="227"/>
      <c r="C24" s="268"/>
      <c r="D24" s="268"/>
      <c r="E24" s="268"/>
      <c r="F24" s="268"/>
      <c r="G24" s="268"/>
      <c r="H24" s="268"/>
      <c r="I24" s="268"/>
      <c r="J24" s="268"/>
      <c r="K24" s="268"/>
      <c r="L24" s="268"/>
      <c r="M24" s="315"/>
      <c r="N24" s="59"/>
    </row>
    <row r="25" customFormat="false" ht="12" hidden="false" customHeight="false" outlineLevel="0" collapsed="false">
      <c r="A25" s="316" t="s">
        <v>331</v>
      </c>
      <c r="B25" s="6"/>
      <c r="C25" s="225" t="n">
        <f aca="false">-Bal_Sheet!E51</f>
        <v>-40000</v>
      </c>
      <c r="D25" s="225"/>
      <c r="E25" s="225"/>
      <c r="F25" s="225"/>
      <c r="G25" s="225"/>
      <c r="H25" s="225"/>
      <c r="I25" s="225"/>
      <c r="J25" s="225"/>
      <c r="K25" s="225"/>
      <c r="L25" s="225"/>
      <c r="M25" s="317"/>
      <c r="N25" s="59"/>
    </row>
    <row r="26" customFormat="false" ht="12" hidden="false" customHeight="false" outlineLevel="0" collapsed="false">
      <c r="A26" s="316" t="s">
        <v>332</v>
      </c>
      <c r="B26" s="6"/>
      <c r="C26" s="225"/>
      <c r="D26" s="225" t="n">
        <f aca="false">IF($C$4&gt;=D$22,Inc_St!D$30-Cash_Flow!D$15,0)</f>
        <v>0</v>
      </c>
      <c r="E26" s="225" t="n">
        <f aca="false">IF($C$4&gt;=E$22,Inc_St!E$30-Cash_Flow!E$15,0)</f>
        <v>0</v>
      </c>
      <c r="F26" s="225" t="n">
        <f aca="false">IF($C$4&gt;=F$22,Inc_St!F$30-Cash_Flow!F$15,0)</f>
        <v>0</v>
      </c>
      <c r="G26" s="225" t="n">
        <f aca="false">IF($C$4&gt;=G$22,Inc_St!G$30-Cash_Flow!G$15,0)</f>
        <v>0</v>
      </c>
      <c r="H26" s="225" t="n">
        <f aca="false">IF($C$4&gt;=H$22,Inc_St!H$30-Cash_Flow!H$15,0)</f>
        <v>0</v>
      </c>
      <c r="I26" s="225" t="n">
        <f aca="false">IF($C$4&gt;=I$22,Inc_St!I$30-Cash_Flow!I$15,0)</f>
        <v>96.594006650625</v>
      </c>
      <c r="J26" s="225" t="n">
        <f aca="false">IF($C$4&gt;=J$22,Inc_St!J$30-Cash_Flow!J$15,0)</f>
        <v>0</v>
      </c>
      <c r="K26" s="225" t="n">
        <f aca="false">IF($C$4&gt;=K$22,Inc_St!K$30-Cash_Flow!K$15,0)</f>
        <v>0</v>
      </c>
      <c r="L26" s="225" t="n">
        <f aca="false">IF($C$4&gt;=L$22,Inc_St!L$30-Cash_Flow!L$15,0)</f>
        <v>0</v>
      </c>
      <c r="M26" s="317" t="n">
        <f aca="false">IF($C$4&gt;=M$22,Inc_St!M$30-Cash_Flow!M$15,0)</f>
        <v>0</v>
      </c>
      <c r="N26" s="59"/>
    </row>
    <row r="27" customFormat="false" ht="12" hidden="false" customHeight="false" outlineLevel="0" collapsed="false">
      <c r="A27" s="316" t="s">
        <v>333</v>
      </c>
      <c r="B27" s="6"/>
      <c r="C27" s="225"/>
      <c r="D27" s="225" t="n">
        <f aca="false">IF($C$4&gt;=D$22,SUM(Cash_Flow!D$89,Cash_Flow!D$104),0)</f>
        <v>0</v>
      </c>
      <c r="E27" s="225" t="n">
        <f aca="false">IF($C$4&gt;=E$22,SUM(Cash_Flow!E$89,Cash_Flow!E$104),0)</f>
        <v>0</v>
      </c>
      <c r="F27" s="225" t="n">
        <f aca="false">IF($C$4&gt;=F$22,SUM(Cash_Flow!F$89,Cash_Flow!F$104),0)</f>
        <v>0</v>
      </c>
      <c r="G27" s="225" t="n">
        <f aca="false">IF($C$4&gt;=G$22,SUM(Cash_Flow!G$89,Cash_Flow!G$104),0)</f>
        <v>0</v>
      </c>
      <c r="H27" s="225" t="n">
        <f aca="false">IF($C$4&gt;=H$22,SUM(Cash_Flow!H$89,Cash_Flow!H$104),0)</f>
        <v>47700.744025</v>
      </c>
      <c r="I27" s="225" t="n">
        <f aca="false">IF($C$4&gt;=I$22,SUM(Cash_Flow!I$89,Cash_Flow!I$104),0)</f>
        <v>2146.533481125</v>
      </c>
      <c r="J27" s="225" t="n">
        <f aca="false">IF($C$4&gt;=J$22,SUM(Cash_Flow!J$89,Cash_Flow!J$104),0)</f>
        <v>0</v>
      </c>
      <c r="K27" s="225" t="n">
        <f aca="false">IF($C$4&gt;=K$22,SUM(Cash_Flow!K$89,Cash_Flow!K$104),0)</f>
        <v>0</v>
      </c>
      <c r="L27" s="225" t="n">
        <f aca="false">IF($C$4&gt;=L$22,SUM(Cash_Flow!L$89,Cash_Flow!L$104),0)</f>
        <v>0</v>
      </c>
      <c r="M27" s="317" t="n">
        <f aca="false">IF($C$4&gt;=M$22,SUM(Cash_Flow!M$89,Cash_Flow!M$104),0)</f>
        <v>0</v>
      </c>
      <c r="N27" s="59"/>
    </row>
    <row r="28" customFormat="false" ht="12" hidden="false" customHeight="false" outlineLevel="0" collapsed="false">
      <c r="A28" s="316" t="s">
        <v>334</v>
      </c>
      <c r="B28" s="6"/>
      <c r="C28" s="225"/>
      <c r="D28" s="225" t="n">
        <f aca="false">IF($C$4=D$22,Bal_Sheet!F$51,0)</f>
        <v>0</v>
      </c>
      <c r="E28" s="225" t="n">
        <f aca="false">IF($C$4=E$22,Bal_Sheet!G$51,0)</f>
        <v>0</v>
      </c>
      <c r="F28" s="225" t="n">
        <f aca="false">IF($C$4=F$22,Bal_Sheet!H$51,0)</f>
        <v>0</v>
      </c>
      <c r="G28" s="225" t="n">
        <f aca="false">IF($C$4=G$22,Bal_Sheet!I$51,0)</f>
        <v>0</v>
      </c>
      <c r="H28" s="225" t="n">
        <f aca="false">IF($C$4=H$22,Bal_Sheet!J$51,0)</f>
        <v>0</v>
      </c>
      <c r="I28" s="225" t="n">
        <f aca="false">IF($C$4=I$22,Bal_Sheet!K$51,0)</f>
        <v>0</v>
      </c>
      <c r="J28" s="225" t="n">
        <f aca="false">IF($C$4=J$22,Bal_Sheet!L$51,0)</f>
        <v>0</v>
      </c>
      <c r="K28" s="225" t="n">
        <f aca="false">IF($C$4=K$22,Bal_Sheet!M$51,0)</f>
        <v>0</v>
      </c>
      <c r="L28" s="225" t="n">
        <f aca="false">IF($C$4=L$22,Bal_Sheet!N$51,0)</f>
        <v>0</v>
      </c>
      <c r="M28" s="317" t="n">
        <f aca="false">IF($C$4=M$22,Bal_Sheet!O$51,0)</f>
        <v>0</v>
      </c>
      <c r="N28" s="59"/>
    </row>
    <row r="29" customFormat="false" ht="12" hidden="false" customHeight="false" outlineLevel="0" collapsed="false">
      <c r="A29" s="316" t="s">
        <v>335</v>
      </c>
      <c r="B29" s="6"/>
      <c r="C29" s="225"/>
      <c r="D29" s="225" t="n">
        <f aca="false">IF($C$4=D$22,$G$11,0)</f>
        <v>0</v>
      </c>
      <c r="E29" s="225" t="n">
        <f aca="false">IF($C$4=E$22,$G$11,0)</f>
        <v>0</v>
      </c>
      <c r="F29" s="225" t="n">
        <f aca="false">IF($C$4=F$22,$G$11,0)</f>
        <v>0</v>
      </c>
      <c r="G29" s="225" t="n">
        <f aca="false">IF($C$4=G$22,$G$11,0)</f>
        <v>0</v>
      </c>
      <c r="H29" s="225" t="n">
        <f aca="false">IF($C$4=H$22,$G$11,0)</f>
        <v>0</v>
      </c>
      <c r="I29" s="225" t="n">
        <f aca="false">IF($C$4=I$22,$G$11,0)</f>
        <v>0</v>
      </c>
      <c r="J29" s="225" t="n">
        <f aca="false">IF($C$4=J$22,$G$11,0)</f>
        <v>0</v>
      </c>
      <c r="K29" s="225" t="n">
        <f aca="false">IF($C$4=K$22,$G$11,0)</f>
        <v>0</v>
      </c>
      <c r="L29" s="225" t="n">
        <f aca="false">IF($C$4=L$22,$G$11,0)</f>
        <v>121578.167246006</v>
      </c>
      <c r="M29" s="317" t="n">
        <f aca="false">IF($C$4=M$22,$G$11,0)</f>
        <v>0</v>
      </c>
      <c r="N29" s="59"/>
    </row>
    <row r="30" customFormat="false" ht="12" hidden="false" customHeight="false" outlineLevel="0" collapsed="false">
      <c r="A30" s="314" t="s">
        <v>336</v>
      </c>
      <c r="B30" s="318" t="n">
        <f aca="false">IF($C$4&gt;0,IRR($C30:$M30,),0)</f>
        <v>0.214073835495213</v>
      </c>
      <c r="C30" s="225" t="n">
        <f aca="false">C25</f>
        <v>-40000</v>
      </c>
      <c r="D30" s="225" t="n">
        <f aca="false">SUM(D26:D29)</f>
        <v>0</v>
      </c>
      <c r="E30" s="225" t="n">
        <f aca="false">SUM(E26:E29)</f>
        <v>0</v>
      </c>
      <c r="F30" s="225" t="n">
        <f aca="false">SUM(F26:F29)</f>
        <v>0</v>
      </c>
      <c r="G30" s="225" t="n">
        <f aca="false">SUM(G26:G29)</f>
        <v>0</v>
      </c>
      <c r="H30" s="225" t="n">
        <f aca="false">SUM(H26:H29)</f>
        <v>47700.744025</v>
      </c>
      <c r="I30" s="225" t="n">
        <f aca="false">SUM(I26:I29)</f>
        <v>2243.12748777562</v>
      </c>
      <c r="J30" s="225" t="n">
        <f aca="false">SUM(J26:J29)</f>
        <v>0</v>
      </c>
      <c r="K30" s="225" t="n">
        <f aca="false">SUM(K26:K29)</f>
        <v>0</v>
      </c>
      <c r="L30" s="225" t="n">
        <f aca="false">SUM(L26:L29)</f>
        <v>121578.167246006</v>
      </c>
      <c r="M30" s="317" t="n">
        <f aca="false">SUM(M26:M29)</f>
        <v>0</v>
      </c>
      <c r="N30" s="59"/>
    </row>
    <row r="31" customFormat="false" ht="12" hidden="false" customHeight="false" outlineLevel="0" collapsed="false">
      <c r="A31" s="109"/>
      <c r="B31" s="319"/>
      <c r="C31" s="30"/>
      <c r="D31" s="30"/>
      <c r="E31" s="30"/>
      <c r="F31" s="30"/>
      <c r="G31" s="30"/>
      <c r="H31" s="30"/>
      <c r="I31" s="30"/>
      <c r="J31" s="30"/>
      <c r="K31" s="30"/>
      <c r="L31" s="30"/>
      <c r="M31" s="83"/>
      <c r="N31" s="59"/>
    </row>
    <row r="32" customFormat="false" ht="12" hidden="false" customHeight="false" outlineLevel="0" collapsed="false">
      <c r="A32" s="109"/>
      <c r="B32" s="319"/>
      <c r="C32" s="30"/>
      <c r="D32" s="30"/>
      <c r="E32" s="30"/>
      <c r="F32" s="30"/>
      <c r="G32" s="30"/>
      <c r="H32" s="30"/>
      <c r="I32" s="30"/>
      <c r="J32" s="30"/>
      <c r="K32" s="30"/>
      <c r="L32" s="30"/>
      <c r="M32" s="83"/>
      <c r="N32" s="59"/>
    </row>
    <row r="33" customFormat="false" ht="12" hidden="false" customHeight="false" outlineLevel="0" collapsed="false">
      <c r="A33" s="314" t="str">
        <f aca="false">A12</f>
        <v>Mezzanine Debt</v>
      </c>
      <c r="B33" s="227"/>
      <c r="C33" s="268"/>
      <c r="D33" s="268"/>
      <c r="E33" s="268"/>
      <c r="F33" s="268"/>
      <c r="G33" s="268"/>
      <c r="H33" s="268"/>
      <c r="I33" s="268"/>
      <c r="J33" s="268"/>
      <c r="K33" s="268"/>
      <c r="L33" s="268"/>
      <c r="M33" s="315"/>
      <c r="N33" s="59"/>
    </row>
    <row r="34" customFormat="false" ht="12" hidden="false" customHeight="false" outlineLevel="0" collapsed="false">
      <c r="A34" s="316" t="s">
        <v>331</v>
      </c>
      <c r="B34" s="6"/>
      <c r="C34" s="225" t="n">
        <f aca="false">-Bal_Sheet!E52</f>
        <v>-70000</v>
      </c>
      <c r="D34" s="225"/>
      <c r="E34" s="225"/>
      <c r="F34" s="225"/>
      <c r="G34" s="225"/>
      <c r="H34" s="225"/>
      <c r="I34" s="225"/>
      <c r="J34" s="225"/>
      <c r="K34" s="225"/>
      <c r="L34" s="225"/>
      <c r="M34" s="317"/>
      <c r="N34" s="59"/>
    </row>
    <row r="35" customFormat="false" ht="12" hidden="false" customHeight="false" outlineLevel="0" collapsed="false">
      <c r="A35" s="316" t="s">
        <v>332</v>
      </c>
      <c r="B35" s="6"/>
      <c r="C35" s="225"/>
      <c r="D35" s="225" t="n">
        <f aca="false">IF($C$4&gt;=D$22,Inc_St!D$31-Cash_Flow!D$16,0)</f>
        <v>0</v>
      </c>
      <c r="E35" s="225" t="n">
        <f aca="false">IF($C$4&gt;=E$22,Inc_St!E$31-Cash_Flow!E$16,0)</f>
        <v>0</v>
      </c>
      <c r="F35" s="225" t="n">
        <f aca="false">IF($C$4&gt;=F$22,Inc_St!F$31-Cash_Flow!F$16,0)</f>
        <v>0</v>
      </c>
      <c r="G35" s="225" t="n">
        <f aca="false">IF($C$4&gt;=G$22,Inc_St!G$31-Cash_Flow!G$16,0)</f>
        <v>0</v>
      </c>
      <c r="H35" s="225" t="n">
        <f aca="false">IF($C$4&gt;=H$22,Inc_St!H$31-Cash_Flow!H$16,0)</f>
        <v>0</v>
      </c>
      <c r="I35" s="225" t="n">
        <f aca="false">IF($C$4&gt;=I$22,Inc_St!I$31-Cash_Flow!I$16,0)</f>
        <v>1640.42389179534</v>
      </c>
      <c r="J35" s="225" t="n">
        <f aca="false">IF($C$4&gt;=J$22,Inc_St!J$31-Cash_Flow!J$16,0)</f>
        <v>0</v>
      </c>
      <c r="K35" s="225" t="n">
        <f aca="false">IF($C$4&gt;=K$22,Inc_St!K$31-Cash_Flow!K$16,0)</f>
        <v>0</v>
      </c>
      <c r="L35" s="225" t="n">
        <f aca="false">IF($C$4&gt;=L$22,Inc_St!L$31-Cash_Flow!L$16,0)</f>
        <v>0</v>
      </c>
      <c r="M35" s="317" t="n">
        <f aca="false">IF($C$4&gt;=M$22,Inc_St!M$31-Cash_Flow!M$16,0)</f>
        <v>0</v>
      </c>
      <c r="N35" s="59"/>
    </row>
    <row r="36" customFormat="false" ht="12" hidden="false" customHeight="false" outlineLevel="0" collapsed="false">
      <c r="A36" s="316" t="s">
        <v>333</v>
      </c>
      <c r="B36" s="6"/>
      <c r="C36" s="225"/>
      <c r="D36" s="225" t="n">
        <f aca="false">IF($C$4&gt;=D$22,SUM(Cash_Flow!D$90,Cash_Flow!D$105),0)</f>
        <v>0</v>
      </c>
      <c r="E36" s="225" t="n">
        <f aca="false">IF($C$4&gt;=E$22,SUM(Cash_Flow!E$90,Cash_Flow!E$105),0)</f>
        <v>0</v>
      </c>
      <c r="F36" s="225" t="n">
        <f aca="false">IF($C$4&gt;=F$22,SUM(Cash_Flow!F$90,Cash_Flow!F$105),0)</f>
        <v>0</v>
      </c>
      <c r="G36" s="225" t="n">
        <f aca="false">IF($C$4&gt;=G$22,SUM(Cash_Flow!G$90,Cash_Flow!G$105),0)</f>
        <v>0</v>
      </c>
      <c r="H36" s="225" t="n">
        <f aca="false">IF($C$4&gt;=H$22,SUM(Cash_Flow!H$90,Cash_Flow!H$105),0)</f>
        <v>50778.8713736001</v>
      </c>
      <c r="I36" s="225" t="n">
        <f aca="false">IF($C$4&gt;=I$22,SUM(Cash_Flow!I$90,Cash_Flow!I$105),0)</f>
        <v>36453.8642621187</v>
      </c>
      <c r="J36" s="225" t="n">
        <f aca="false">IF($C$4&gt;=J$22,SUM(Cash_Flow!J$90,Cash_Flow!J$105),0)</f>
        <v>0</v>
      </c>
      <c r="K36" s="225" t="n">
        <f aca="false">IF($C$4&gt;=K$22,SUM(Cash_Flow!K$90,Cash_Flow!K$105),0)</f>
        <v>0</v>
      </c>
      <c r="L36" s="225" t="n">
        <f aca="false">IF($C$4&gt;=L$22,SUM(Cash_Flow!L$90,Cash_Flow!L$105),0)</f>
        <v>0</v>
      </c>
      <c r="M36" s="317" t="n">
        <f aca="false">IF($C$4&gt;=M$22,SUM(Cash_Flow!M$90,Cash_Flow!M$105),0)</f>
        <v>0</v>
      </c>
      <c r="N36" s="59"/>
    </row>
    <row r="37" customFormat="false" ht="12" hidden="false" customHeight="false" outlineLevel="0" collapsed="false">
      <c r="A37" s="316" t="s">
        <v>334</v>
      </c>
      <c r="B37" s="6"/>
      <c r="C37" s="225"/>
      <c r="D37" s="225" t="n">
        <f aca="false">IF($C$4=D$22,Bal_Sheet!F$52,0)</f>
        <v>0</v>
      </c>
      <c r="E37" s="225" t="n">
        <f aca="false">IF($C$4=E$22,Bal_Sheet!G$52,0)</f>
        <v>0</v>
      </c>
      <c r="F37" s="225" t="n">
        <f aca="false">IF($C$4=F$22,Bal_Sheet!H$52,0)</f>
        <v>0</v>
      </c>
      <c r="G37" s="225" t="n">
        <f aca="false">IF($C$4=G$22,Bal_Sheet!I$52,0)</f>
        <v>0</v>
      </c>
      <c r="H37" s="225" t="n">
        <f aca="false">IF($C$4=H$22,Bal_Sheet!J$52,0)</f>
        <v>0</v>
      </c>
      <c r="I37" s="225" t="n">
        <f aca="false">IF($C$4=I$22,Bal_Sheet!K$52,0)</f>
        <v>0</v>
      </c>
      <c r="J37" s="225" t="n">
        <f aca="false">IF($C$4=J$22,Bal_Sheet!L$52,0)</f>
        <v>0</v>
      </c>
      <c r="K37" s="225" t="n">
        <f aca="false">IF($C$4=K$22,Bal_Sheet!M$52,0)</f>
        <v>0</v>
      </c>
      <c r="L37" s="225" t="n">
        <f aca="false">IF($C$4=L$22,Bal_Sheet!N$52,0)</f>
        <v>0</v>
      </c>
      <c r="M37" s="317" t="n">
        <f aca="false">IF($C$4=M$22,Bal_Sheet!O$52,0)</f>
        <v>0</v>
      </c>
      <c r="N37" s="59"/>
    </row>
    <row r="38" customFormat="false" ht="12" hidden="false" customHeight="false" outlineLevel="0" collapsed="false">
      <c r="A38" s="316" t="s">
        <v>335</v>
      </c>
      <c r="B38" s="6"/>
      <c r="C38" s="225"/>
      <c r="D38" s="225" t="n">
        <f aca="false">IF($C$4=D$22,$G$12,0)</f>
        <v>0</v>
      </c>
      <c r="E38" s="225" t="n">
        <f aca="false">IF($C$4=E$22,$G$12,0)</f>
        <v>0</v>
      </c>
      <c r="F38" s="225" t="n">
        <f aca="false">IF($C$4=F$22,$G$12,0)</f>
        <v>0</v>
      </c>
      <c r="G38" s="225" t="n">
        <f aca="false">IF($C$4=G$22,$G$12,0)</f>
        <v>0</v>
      </c>
      <c r="H38" s="225" t="n">
        <f aca="false">IF($C$4=H$22,$G$12,0)</f>
        <v>0</v>
      </c>
      <c r="I38" s="225" t="n">
        <f aca="false">IF($C$4=I$22,$G$12,0)</f>
        <v>0</v>
      </c>
      <c r="J38" s="225" t="n">
        <f aca="false">IF($C$4=J$22,$G$12,0)</f>
        <v>0</v>
      </c>
      <c r="K38" s="225" t="n">
        <f aca="false">IF($C$4=K$22,$G$12,0)</f>
        <v>0</v>
      </c>
      <c r="L38" s="225" t="n">
        <f aca="false">IF($C$4=L$22,$G$12,0)</f>
        <v>202630.278743344</v>
      </c>
      <c r="M38" s="317" t="n">
        <f aca="false">IF($C$4=M$22,$G$12,0)</f>
        <v>0</v>
      </c>
      <c r="N38" s="59"/>
    </row>
    <row r="39" customFormat="false" ht="12" hidden="false" customHeight="false" outlineLevel="0" collapsed="false">
      <c r="A39" s="314" t="s">
        <v>336</v>
      </c>
      <c r="B39" s="320" t="n">
        <f aca="false">IF($C$4&gt;0,IRR($C39:$M39,),0)</f>
        <v>0.205607344736912</v>
      </c>
      <c r="C39" s="225" t="n">
        <f aca="false">C34</f>
        <v>-70000</v>
      </c>
      <c r="D39" s="225" t="n">
        <f aca="false">SUM(D35:D38)</f>
        <v>0</v>
      </c>
      <c r="E39" s="225" t="n">
        <f aca="false">SUM(E35:E38)</f>
        <v>0</v>
      </c>
      <c r="F39" s="225" t="n">
        <f aca="false">SUM(F35:F38)</f>
        <v>0</v>
      </c>
      <c r="G39" s="225" t="n">
        <f aca="false">SUM(G35:G38)</f>
        <v>0</v>
      </c>
      <c r="H39" s="225" t="n">
        <f aca="false">SUM(H35:H38)</f>
        <v>50778.8713736001</v>
      </c>
      <c r="I39" s="225" t="n">
        <f aca="false">SUM(I35:I38)</f>
        <v>38094.288153914</v>
      </c>
      <c r="J39" s="225" t="n">
        <f aca="false">SUM(J35:J38)</f>
        <v>0</v>
      </c>
      <c r="K39" s="225" t="n">
        <f aca="false">SUM(K35:K38)</f>
        <v>0</v>
      </c>
      <c r="L39" s="225" t="n">
        <f aca="false">SUM(L35:L38)</f>
        <v>202630.278743344</v>
      </c>
      <c r="M39" s="317" t="n">
        <f aca="false">SUM(M35:M38)</f>
        <v>0</v>
      </c>
      <c r="N39" s="59"/>
    </row>
    <row r="40" customFormat="false" ht="12" hidden="false" customHeight="false" outlineLevel="0" collapsed="false">
      <c r="A40" s="8"/>
      <c r="B40" s="6"/>
      <c r="C40" s="30"/>
      <c r="D40" s="30"/>
      <c r="E40" s="30"/>
      <c r="F40" s="30"/>
      <c r="G40" s="30"/>
      <c r="H40" s="30"/>
      <c r="I40" s="30"/>
      <c r="J40" s="30"/>
      <c r="K40" s="30"/>
      <c r="L40" s="30"/>
      <c r="M40" s="83"/>
      <c r="N40" s="59"/>
    </row>
    <row r="41" customFormat="false" ht="12" hidden="false" customHeight="false" outlineLevel="0" collapsed="false">
      <c r="A41" s="8"/>
      <c r="B41" s="6"/>
      <c r="C41" s="30"/>
      <c r="D41" s="30"/>
      <c r="E41" s="30"/>
      <c r="F41" s="30"/>
      <c r="G41" s="30"/>
      <c r="H41" s="30"/>
      <c r="I41" s="30"/>
      <c r="J41" s="30"/>
      <c r="K41" s="30"/>
      <c r="L41" s="30"/>
      <c r="M41" s="83"/>
      <c r="N41" s="59"/>
    </row>
    <row r="42" customFormat="false" ht="12" hidden="false" customHeight="false" outlineLevel="0" collapsed="false">
      <c r="A42" s="314" t="str">
        <f aca="false">A13</f>
        <v>Preferred Stock</v>
      </c>
      <c r="B42" s="227"/>
      <c r="C42" s="268"/>
      <c r="D42" s="268"/>
      <c r="E42" s="268"/>
      <c r="F42" s="268"/>
      <c r="G42" s="268"/>
      <c r="H42" s="268"/>
      <c r="I42" s="268"/>
      <c r="J42" s="268"/>
      <c r="K42" s="268"/>
      <c r="L42" s="268"/>
      <c r="M42" s="315"/>
      <c r="N42" s="59"/>
    </row>
    <row r="43" customFormat="false" ht="12" hidden="false" customHeight="false" outlineLevel="0" collapsed="false">
      <c r="A43" s="316" t="s">
        <v>331</v>
      </c>
      <c r="B43" s="6"/>
      <c r="C43" s="225" t="n">
        <f aca="false">-Bal_Sheet!E61</f>
        <v>-60000</v>
      </c>
      <c r="D43" s="225"/>
      <c r="E43" s="225"/>
      <c r="F43" s="225"/>
      <c r="G43" s="225"/>
      <c r="H43" s="225"/>
      <c r="I43" s="225"/>
      <c r="J43" s="225"/>
      <c r="K43" s="225"/>
      <c r="L43" s="225"/>
      <c r="M43" s="317"/>
      <c r="N43" s="59"/>
    </row>
    <row r="44" customFormat="false" ht="12" hidden="false" customHeight="false" outlineLevel="0" collapsed="false">
      <c r="A44" s="316" t="s">
        <v>337</v>
      </c>
      <c r="B44" s="6"/>
      <c r="C44" s="225"/>
      <c r="D44" s="225" t="n">
        <f aca="false">IF($C$4&gt;=D$22,Inc_St!D$46-Cash_Flow!D$18,0)</f>
        <v>0</v>
      </c>
      <c r="E44" s="225" t="n">
        <f aca="false">IF($C$4&gt;=E$22,Inc_St!E$46-Cash_Flow!E$18,0)</f>
        <v>0</v>
      </c>
      <c r="F44" s="225" t="n">
        <f aca="false">IF($C$4&gt;=F$22,Inc_St!F$46-Cash_Flow!F$18,0)</f>
        <v>0</v>
      </c>
      <c r="G44" s="225" t="n">
        <f aca="false">IF($C$4&gt;=G$22,Inc_St!G$46-Cash_Flow!G$18,0)</f>
        <v>0</v>
      </c>
      <c r="H44" s="225" t="n">
        <f aca="false">IF($C$4&gt;=H$22,Inc_St!H$46-Cash_Flow!H$18,0)</f>
        <v>0</v>
      </c>
      <c r="I44" s="225" t="n">
        <f aca="false">IF($C$4&gt;=I$22,Inc_St!I$46-Cash_Flow!I$18,0)</f>
        <v>5890.71726894</v>
      </c>
      <c r="J44" s="225" t="n">
        <f aca="false">IF($C$4&gt;=J$22,Inc_St!J$46-Cash_Flow!J$18,0)</f>
        <v>5890.71726894</v>
      </c>
      <c r="K44" s="225" t="n">
        <f aca="false">IF($C$4&gt;=K$22,Inc_St!K$46-Cash_Flow!K$18,0)</f>
        <v>5890.71726894</v>
      </c>
      <c r="L44" s="225" t="n">
        <f aca="false">IF($C$4&gt;=L$22,Inc_St!L$46-Cash_Flow!L$18,0)</f>
        <v>5890.71726894</v>
      </c>
      <c r="M44" s="317" t="n">
        <f aca="false">IF($C$4&gt;=M$22,Inc_St!M$46-Cash_Flow!M$18,0)</f>
        <v>0</v>
      </c>
      <c r="N44" s="59"/>
    </row>
    <row r="45" customFormat="false" ht="12" hidden="false" customHeight="false" outlineLevel="0" collapsed="false">
      <c r="A45" s="316" t="s">
        <v>333</v>
      </c>
      <c r="B45" s="6"/>
      <c r="C45" s="225"/>
      <c r="D45" s="225" t="n">
        <f aca="false">IF($C$4&gt;=D$22,Cash_Flow!D$92,0)</f>
        <v>0</v>
      </c>
      <c r="E45" s="225" t="n">
        <f aca="false">IF($C$4&gt;=E$22,Cash_Flow!E$92,0)</f>
        <v>0</v>
      </c>
      <c r="F45" s="225" t="n">
        <f aca="false">IF($C$4&gt;=F$22,Cash_Flow!F$92,0)</f>
        <v>0</v>
      </c>
      <c r="G45" s="225" t="n">
        <f aca="false">IF($C$4&gt;=G$22,Cash_Flow!G$92,0)</f>
        <v>0</v>
      </c>
      <c r="H45" s="225" t="n">
        <f aca="false">IF($C$4&gt;=H$22,Cash_Flow!H$92,0)</f>
        <v>0</v>
      </c>
      <c r="I45" s="225" t="n">
        <f aca="false">IF($C$4&gt;=I$22,Cash_Flow!I$92,0)</f>
        <v>0</v>
      </c>
      <c r="J45" s="225" t="n">
        <f aca="false">IF($C$4&gt;=J$22,Cash_Flow!J$92,0)</f>
        <v>0</v>
      </c>
      <c r="K45" s="225" t="n">
        <f aca="false">IF($C$4&gt;=K$22,Cash_Flow!K$92,0)</f>
        <v>0</v>
      </c>
      <c r="L45" s="225" t="n">
        <f aca="false">IF($C$4&gt;=L$22,Cash_Flow!L$92,0)</f>
        <v>0</v>
      </c>
      <c r="M45" s="317" t="n">
        <f aca="false">IF($C$4&gt;=M$22,Cash_Flow!M$92,0)</f>
        <v>0</v>
      </c>
      <c r="N45" s="59"/>
    </row>
    <row r="46" customFormat="false" ht="12" hidden="false" customHeight="false" outlineLevel="0" collapsed="false">
      <c r="A46" s="316" t="s">
        <v>334</v>
      </c>
      <c r="B46" s="6"/>
      <c r="C46" s="225"/>
      <c r="D46" s="225" t="n">
        <f aca="false">IF($C$4=D$22,Bal_Sheet!F$61,0)</f>
        <v>0</v>
      </c>
      <c r="E46" s="225" t="n">
        <f aca="false">IF($C$4=E$22,Bal_Sheet!G$61,0)</f>
        <v>0</v>
      </c>
      <c r="F46" s="225" t="n">
        <f aca="false">IF($C$4=F$22,Bal_Sheet!H$61,0)</f>
        <v>0</v>
      </c>
      <c r="G46" s="225" t="n">
        <f aca="false">IF($C$4=G$22,Bal_Sheet!I$61,0)</f>
        <v>0</v>
      </c>
      <c r="H46" s="225" t="n">
        <f aca="false">IF($C$4=H$22,Bal_Sheet!J$61,0)</f>
        <v>0</v>
      </c>
      <c r="I46" s="225" t="n">
        <f aca="false">IF($C$4=I$22,Bal_Sheet!K$61,0)</f>
        <v>0</v>
      </c>
      <c r="J46" s="225" t="n">
        <f aca="false">IF($C$4=J$22,Bal_Sheet!L$61,0)</f>
        <v>0</v>
      </c>
      <c r="K46" s="225" t="n">
        <f aca="false">IF($C$4=K$22,Bal_Sheet!M$61,0)</f>
        <v>0</v>
      </c>
      <c r="L46" s="225" t="n">
        <f aca="false">IF($C$4=L$22,Bal_Sheet!N$61,0)</f>
        <v>84153.103842</v>
      </c>
      <c r="M46" s="317" t="n">
        <f aca="false">IF($C$4=M$22,Bal_Sheet!O$61,0)</f>
        <v>0</v>
      </c>
      <c r="N46" s="59"/>
    </row>
    <row r="47" customFormat="false" ht="12" hidden="false" customHeight="false" outlineLevel="0" collapsed="false">
      <c r="A47" s="316" t="s">
        <v>335</v>
      </c>
      <c r="B47" s="6"/>
      <c r="C47" s="225"/>
      <c r="D47" s="225" t="n">
        <f aca="false">IF($C$4=D$22,$G$13,0)</f>
        <v>0</v>
      </c>
      <c r="E47" s="225" t="n">
        <f aca="false">IF($C$4=E$22,$G$13,0)</f>
        <v>0</v>
      </c>
      <c r="F47" s="225" t="n">
        <f aca="false">IF($C$4=F$22,$G$13,0)</f>
        <v>0</v>
      </c>
      <c r="G47" s="225" t="n">
        <f aca="false">IF($C$4=G$22,$G$13,0)</f>
        <v>0</v>
      </c>
      <c r="H47" s="225" t="n">
        <f aca="false">IF($C$4=H$22,$G$13,0)</f>
        <v>0</v>
      </c>
      <c r="I47" s="225" t="n">
        <f aca="false">IF($C$4=I$22,$G$13,0)</f>
        <v>0</v>
      </c>
      <c r="J47" s="225" t="n">
        <f aca="false">IF($C$4=J$22,$G$13,0)</f>
        <v>0</v>
      </c>
      <c r="K47" s="225" t="n">
        <f aca="false">IF($C$4=K$22,$G$13,0)</f>
        <v>0</v>
      </c>
      <c r="L47" s="225" t="n">
        <f aca="false">IF($C$4=L$22,$G$13,0)</f>
        <v>162104.222994675</v>
      </c>
      <c r="M47" s="317" t="n">
        <f aca="false">IF($C$4=M$22,$G$13,0)</f>
        <v>0</v>
      </c>
      <c r="N47" s="59"/>
    </row>
    <row r="48" customFormat="false" ht="12" hidden="false" customHeight="false" outlineLevel="0" collapsed="false">
      <c r="A48" s="314" t="s">
        <v>336</v>
      </c>
      <c r="B48" s="320" t="n">
        <f aca="false">IF($C$4&gt;0,IRR($C48:$M48,),0)</f>
        <v>0.185365850318877</v>
      </c>
      <c r="C48" s="225" t="n">
        <f aca="false">C43</f>
        <v>-60000</v>
      </c>
      <c r="D48" s="225" t="n">
        <f aca="false">SUM(D44:D47)</f>
        <v>0</v>
      </c>
      <c r="E48" s="225" t="n">
        <f aca="false">SUM(E44:E47)</f>
        <v>0</v>
      </c>
      <c r="F48" s="225" t="n">
        <f aca="false">SUM(F44:F47)</f>
        <v>0</v>
      </c>
      <c r="G48" s="225" t="n">
        <f aca="false">SUM(G44:G47)</f>
        <v>0</v>
      </c>
      <c r="H48" s="225" t="n">
        <f aca="false">SUM(H44:H47)</f>
        <v>0</v>
      </c>
      <c r="I48" s="225" t="n">
        <f aca="false">SUM(I44:I47)</f>
        <v>5890.71726894</v>
      </c>
      <c r="J48" s="225" t="n">
        <f aca="false">SUM(J44:J47)</f>
        <v>5890.71726894</v>
      </c>
      <c r="K48" s="225" t="n">
        <f aca="false">SUM(K44:K47)</f>
        <v>5890.71726894</v>
      </c>
      <c r="L48" s="225" t="n">
        <f aca="false">SUM(L44:L47)</f>
        <v>252148.044105615</v>
      </c>
      <c r="M48" s="317" t="n">
        <f aca="false">SUM(M44:M47)</f>
        <v>0</v>
      </c>
      <c r="N48" s="59"/>
    </row>
    <row r="49" customFormat="false" ht="12" hidden="false" customHeight="false" outlineLevel="0" collapsed="false">
      <c r="A49" s="8"/>
      <c r="B49" s="6"/>
      <c r="C49" s="30"/>
      <c r="D49" s="30"/>
      <c r="E49" s="30"/>
      <c r="F49" s="30"/>
      <c r="G49" s="30"/>
      <c r="H49" s="30"/>
      <c r="I49" s="30"/>
      <c r="J49" s="30"/>
      <c r="K49" s="30"/>
      <c r="L49" s="30"/>
      <c r="M49" s="83"/>
      <c r="N49" s="59"/>
    </row>
    <row r="50" customFormat="false" ht="12" hidden="false" customHeight="false" outlineLevel="0" collapsed="false">
      <c r="A50" s="8"/>
      <c r="B50" s="6"/>
      <c r="C50" s="30"/>
      <c r="D50" s="30"/>
      <c r="E50" s="30"/>
      <c r="F50" s="30"/>
      <c r="G50" s="30"/>
      <c r="H50" s="30"/>
      <c r="I50" s="30"/>
      <c r="J50" s="30"/>
      <c r="K50" s="30"/>
      <c r="L50" s="30"/>
      <c r="M50" s="83"/>
      <c r="N50" s="59"/>
    </row>
    <row r="51" customFormat="false" ht="12" hidden="false" customHeight="false" outlineLevel="0" collapsed="false">
      <c r="A51" s="314" t="str">
        <f aca="false">A8</f>
        <v>Common - Sponsor Equity</v>
      </c>
      <c r="B51" s="227"/>
      <c r="C51" s="268"/>
      <c r="D51" s="268"/>
      <c r="E51" s="268"/>
      <c r="F51" s="268"/>
      <c r="G51" s="268"/>
      <c r="H51" s="268"/>
      <c r="I51" s="268"/>
      <c r="J51" s="268"/>
      <c r="K51" s="268"/>
      <c r="L51" s="268"/>
      <c r="M51" s="315"/>
      <c r="N51" s="59"/>
    </row>
    <row r="52" customFormat="false" ht="12" hidden="false" customHeight="false" outlineLevel="0" collapsed="false">
      <c r="A52" s="316" t="s">
        <v>331</v>
      </c>
      <c r="B52" s="6"/>
      <c r="C52" s="225" t="n">
        <f aca="false">-Input!C37</f>
        <v>-220000</v>
      </c>
      <c r="D52" s="225"/>
      <c r="E52" s="225"/>
      <c r="F52" s="225"/>
      <c r="G52" s="225"/>
      <c r="H52" s="225"/>
      <c r="I52" s="225"/>
      <c r="J52" s="225"/>
      <c r="K52" s="225"/>
      <c r="L52" s="225"/>
      <c r="M52" s="317"/>
      <c r="N52" s="59"/>
    </row>
    <row r="53" customFormat="false" ht="12" hidden="false" customHeight="false" outlineLevel="0" collapsed="false">
      <c r="A53" s="316" t="s">
        <v>337</v>
      </c>
      <c r="B53" s="6"/>
      <c r="C53" s="225"/>
      <c r="D53" s="270" t="n">
        <f aca="false">IF($C$4&gt;=D$22,Inc_St!D$47*$D$8,0)</f>
        <v>1929.82456140351</v>
      </c>
      <c r="E53" s="270" t="n">
        <f aca="false">IF($C$4&gt;=E$22,Inc_St!E$47*$D$8,0)</f>
        <v>2084.21052631579</v>
      </c>
      <c r="F53" s="270" t="n">
        <f aca="false">IF($C$4&gt;=F$22,Inc_St!F$47*$D$8,0)</f>
        <v>2200</v>
      </c>
      <c r="G53" s="270" t="n">
        <f aca="false">IF($C$4&gt;=G$22,Inc_St!G$47*$D$8,0)</f>
        <v>2392.98245614035</v>
      </c>
      <c r="H53" s="270" t="n">
        <f aca="false">IF($C$4&gt;=H$22,Inc_St!H$47*$D$8,0)</f>
        <v>2663.15789473684</v>
      </c>
      <c r="I53" s="270" t="n">
        <f aca="false">IF($C$4&gt;=I$22,Inc_St!I$47*$D$8,0)</f>
        <v>2701.75438596491</v>
      </c>
      <c r="J53" s="270" t="n">
        <f aca="false">IF($C$4&gt;=J$22,Inc_St!J$47*$D$8,0)</f>
        <v>2856.14035087719</v>
      </c>
      <c r="K53" s="270" t="n">
        <f aca="false">IF($C$4&gt;=K$22,Inc_St!K$47*$D$8,0)</f>
        <v>3087.71929824561</v>
      </c>
      <c r="L53" s="270" t="n">
        <f aca="false">IF($C$4&gt;=L$22,Inc_St!L$47*$D$8,0)</f>
        <v>3164.91228070175</v>
      </c>
      <c r="M53" s="321" t="n">
        <f aca="false">IF($C$4&gt;=M$22,Inc_St!M$47*$D$8,0)</f>
        <v>0</v>
      </c>
      <c r="N53" s="59"/>
    </row>
    <row r="54" customFormat="false" ht="12" hidden="false" customHeight="false" outlineLevel="0" collapsed="false">
      <c r="A54" s="316" t="s">
        <v>335</v>
      </c>
      <c r="B54" s="6"/>
      <c r="C54" s="225"/>
      <c r="D54" s="225" t="n">
        <f aca="false">IF($C$4=D$22,$G$8,0)</f>
        <v>0</v>
      </c>
      <c r="E54" s="225" t="n">
        <f aca="false">IF($C$4=E$22,$G$8,0)</f>
        <v>0</v>
      </c>
      <c r="F54" s="225" t="n">
        <f aca="false">IF($C$4=F$22,$G$8,0)</f>
        <v>0</v>
      </c>
      <c r="G54" s="225" t="n">
        <f aca="false">IF($C$4=G$22,$G$8,0)</f>
        <v>0</v>
      </c>
      <c r="H54" s="225" t="n">
        <f aca="false">IF($C$4=H$22,$G$8,0)</f>
        <v>0</v>
      </c>
      <c r="I54" s="225" t="n">
        <f aca="false">IF($C$4=I$22,$G$8,0)</f>
        <v>0</v>
      </c>
      <c r="J54" s="225" t="n">
        <f aca="false">IF($C$4=J$22,$G$8,0)</f>
        <v>0</v>
      </c>
      <c r="K54" s="225" t="n">
        <f aca="false">IF($C$4=K$22,$G$8,0)</f>
        <v>0</v>
      </c>
      <c r="L54" s="225" t="n">
        <f aca="false">IF($C$4=L$22,$G$8,0)</f>
        <v>2565228.23054732</v>
      </c>
      <c r="M54" s="317" t="n">
        <f aca="false">IF($C$4=M$22,$G$8,0)</f>
        <v>0</v>
      </c>
      <c r="N54" s="59"/>
    </row>
    <row r="55" customFormat="false" ht="12" hidden="false" customHeight="false" outlineLevel="0" collapsed="false">
      <c r="A55" s="314" t="s">
        <v>336</v>
      </c>
      <c r="B55" s="320" t="n">
        <f aca="false">IF($C$4&gt;0,IRR($C55:$M55,),0)</f>
        <v>0.318243713507807</v>
      </c>
      <c r="C55" s="225" t="n">
        <f aca="false">C52</f>
        <v>-220000</v>
      </c>
      <c r="D55" s="225" t="n">
        <f aca="false">SUM(D53:D54)</f>
        <v>1929.82456140351</v>
      </c>
      <c r="E55" s="225" t="n">
        <f aca="false">SUM(E53:E54)</f>
        <v>2084.21052631579</v>
      </c>
      <c r="F55" s="225" t="n">
        <f aca="false">SUM(F53:F54)</f>
        <v>2200</v>
      </c>
      <c r="G55" s="225" t="n">
        <f aca="false">SUM(G53:G54)</f>
        <v>2392.98245614035</v>
      </c>
      <c r="H55" s="225" t="n">
        <f aca="false">SUM(H53:H54)</f>
        <v>2663.15789473684</v>
      </c>
      <c r="I55" s="225" t="n">
        <f aca="false">SUM(I53:I54)</f>
        <v>2701.75438596491</v>
      </c>
      <c r="J55" s="225" t="n">
        <f aca="false">SUM(J53:J54)</f>
        <v>2856.14035087719</v>
      </c>
      <c r="K55" s="225" t="n">
        <f aca="false">SUM(K53:K54)</f>
        <v>3087.71929824561</v>
      </c>
      <c r="L55" s="225" t="n">
        <f aca="false">SUM(L53:L54)</f>
        <v>2568393.14282802</v>
      </c>
      <c r="M55" s="317" t="n">
        <f aca="false">SUM(M53:M54)</f>
        <v>0</v>
      </c>
      <c r="N55" s="59"/>
    </row>
    <row r="56" customFormat="false" ht="12" hidden="false" customHeight="false" outlineLevel="0" collapsed="false">
      <c r="A56" s="8"/>
      <c r="B56" s="6"/>
      <c r="C56" s="30"/>
      <c r="D56" s="30"/>
      <c r="E56" s="30"/>
      <c r="F56" s="30"/>
      <c r="G56" s="30"/>
      <c r="H56" s="30"/>
      <c r="I56" s="30"/>
      <c r="J56" s="30"/>
      <c r="K56" s="30"/>
      <c r="L56" s="30"/>
      <c r="M56" s="83"/>
      <c r="N56" s="59"/>
    </row>
    <row r="57" customFormat="false" ht="12" hidden="false" customHeight="false" outlineLevel="0" collapsed="false">
      <c r="A57" s="8"/>
      <c r="B57" s="6"/>
      <c r="C57" s="30"/>
      <c r="D57" s="30"/>
      <c r="E57" s="30"/>
      <c r="F57" s="30"/>
      <c r="G57" s="30"/>
      <c r="H57" s="30"/>
      <c r="I57" s="30"/>
      <c r="J57" s="30"/>
      <c r="K57" s="30"/>
      <c r="L57" s="30"/>
      <c r="M57" s="83"/>
      <c r="N57" s="59"/>
    </row>
    <row r="58" customFormat="false" ht="12" hidden="false" customHeight="false" outlineLevel="0" collapsed="false">
      <c r="A58" s="314" t="str">
        <f aca="false">A9</f>
        <v>Management Equity</v>
      </c>
      <c r="B58" s="227"/>
      <c r="C58" s="268"/>
      <c r="D58" s="268"/>
      <c r="E58" s="268"/>
      <c r="F58" s="268"/>
      <c r="G58" s="268"/>
      <c r="H58" s="268"/>
      <c r="I58" s="268"/>
      <c r="J58" s="268"/>
      <c r="K58" s="268"/>
      <c r="L58" s="268"/>
      <c r="M58" s="315"/>
      <c r="N58" s="59"/>
    </row>
    <row r="59" customFormat="false" ht="12" hidden="false" customHeight="false" outlineLevel="0" collapsed="false">
      <c r="A59" s="316" t="s">
        <v>331</v>
      </c>
      <c r="B59" s="6"/>
      <c r="C59" s="225" t="n">
        <f aca="false">-Input!C38</f>
        <v>-40000</v>
      </c>
      <c r="D59" s="225"/>
      <c r="E59" s="225"/>
      <c r="F59" s="225"/>
      <c r="G59" s="225"/>
      <c r="H59" s="225"/>
      <c r="I59" s="225"/>
      <c r="J59" s="225"/>
      <c r="K59" s="225"/>
      <c r="L59" s="225"/>
      <c r="M59" s="317"/>
      <c r="N59" s="59"/>
    </row>
    <row r="60" customFormat="false" ht="12" hidden="false" customHeight="false" outlineLevel="0" collapsed="false">
      <c r="A60" s="316" t="s">
        <v>337</v>
      </c>
      <c r="B60" s="6"/>
      <c r="C60" s="225"/>
      <c r="D60" s="270" t="n">
        <f aca="false">IF($C$4&gt;=D$22,Inc_St!D$47*$D$9,0)</f>
        <v>350.877192982456</v>
      </c>
      <c r="E60" s="270" t="n">
        <f aca="false">IF($C$4&gt;=E$22,Inc_St!E$47*$D$9,0)</f>
        <v>378.947368421053</v>
      </c>
      <c r="F60" s="270" t="n">
        <f aca="false">IF($C$4&gt;=F$22,Inc_St!F$47*$D$9,0)</f>
        <v>400</v>
      </c>
      <c r="G60" s="270" t="n">
        <f aca="false">IF($C$4&gt;=G$22,Inc_St!G$47*$D$9,0)</f>
        <v>435.087719298246</v>
      </c>
      <c r="H60" s="270" t="n">
        <f aca="false">IF($C$4&gt;=H$22,Inc_St!H$47*$D$9,0)</f>
        <v>484.210526315789</v>
      </c>
      <c r="I60" s="270" t="n">
        <f aca="false">IF($C$4&gt;=I$22,Inc_St!I$47*$D$9,0)</f>
        <v>491.228070175439</v>
      </c>
      <c r="J60" s="270" t="n">
        <f aca="false">IF($C$4&gt;=J$22,Inc_St!J$47*$D$9,0)</f>
        <v>519.298245614035</v>
      </c>
      <c r="K60" s="270" t="n">
        <f aca="false">IF($C$4&gt;=K$22,Inc_St!K$47*$D$9,0)</f>
        <v>561.40350877193</v>
      </c>
      <c r="L60" s="270" t="n">
        <f aca="false">IF($C$4&gt;=L$22,Inc_St!L$47*$D$9,0)</f>
        <v>575.438596491228</v>
      </c>
      <c r="M60" s="321" t="n">
        <f aca="false">IF($C$4&gt;=M$22,Inc_St!M$47*$D$9,0)</f>
        <v>0</v>
      </c>
      <c r="N60" s="59"/>
    </row>
    <row r="61" customFormat="false" ht="12" hidden="false" customHeight="false" outlineLevel="0" collapsed="false">
      <c r="A61" s="316" t="s">
        <v>335</v>
      </c>
      <c r="B61" s="6"/>
      <c r="C61" s="225"/>
      <c r="D61" s="225" t="n">
        <f aca="false">IF($C$4=D$22,SUM($G$9,$G$14),0)</f>
        <v>0</v>
      </c>
      <c r="E61" s="225" t="n">
        <f aca="false">IF($C$4=E$22,SUM($G$9,$G$14),0)</f>
        <v>0</v>
      </c>
      <c r="F61" s="225" t="n">
        <f aca="false">IF($C$4=F$22,SUM($G$9,$G$14),0)</f>
        <v>0</v>
      </c>
      <c r="G61" s="225" t="n">
        <f aca="false">IF($C$4=G$22,SUM($G$9,$G$14),0)</f>
        <v>0</v>
      </c>
      <c r="H61" s="225" t="n">
        <f aca="false">IF($C$4=H$22,SUM($G$9,$G$14),0)</f>
        <v>0</v>
      </c>
      <c r="I61" s="225" t="n">
        <f aca="false">IF($C$4=I$22,SUM($G$9,$G$14),0)</f>
        <v>0</v>
      </c>
      <c r="J61" s="225" t="n">
        <f aca="false">IF($C$4=J$22,SUM($G$9,$G$14),0)</f>
        <v>0</v>
      </c>
      <c r="K61" s="225" t="n">
        <f aca="false">IF($C$4=K$22,SUM($G$9,$G$14),0)</f>
        <v>0</v>
      </c>
      <c r="L61" s="225" t="n">
        <f aca="false">IF($C$4=L$22,SUM($G$9,$G$14),0)</f>
        <v>628509.35582146</v>
      </c>
      <c r="M61" s="317" t="n">
        <f aca="false">IF($C$4=M$22,SUM($G$9,$G$14),0)</f>
        <v>0</v>
      </c>
      <c r="N61" s="59"/>
    </row>
    <row r="62" customFormat="false" ht="12" hidden="false" customHeight="false" outlineLevel="0" collapsed="false">
      <c r="A62" s="314" t="s">
        <v>336</v>
      </c>
      <c r="B62" s="320" t="n">
        <f aca="false">IF($C$4&gt;0,IRR($C62:$M62,),0)</f>
        <v>0.362148385902039</v>
      </c>
      <c r="C62" s="225" t="n">
        <f aca="false">C59</f>
        <v>-40000</v>
      </c>
      <c r="D62" s="225" t="n">
        <f aca="false">SUM(D60:D61)</f>
        <v>350.877192982456</v>
      </c>
      <c r="E62" s="225" t="n">
        <f aca="false">SUM(E60:E61)</f>
        <v>378.947368421053</v>
      </c>
      <c r="F62" s="225" t="n">
        <f aca="false">SUM(F60:F61)</f>
        <v>400</v>
      </c>
      <c r="G62" s="225" t="n">
        <f aca="false">SUM(G60:G61)</f>
        <v>435.087719298246</v>
      </c>
      <c r="H62" s="225" t="n">
        <f aca="false">SUM(H60:H61)</f>
        <v>484.210526315789</v>
      </c>
      <c r="I62" s="225" t="n">
        <f aca="false">SUM(I60:I61)</f>
        <v>491.228070175439</v>
      </c>
      <c r="J62" s="225" t="n">
        <f aca="false">SUM(J60:J61)</f>
        <v>519.298245614035</v>
      </c>
      <c r="K62" s="225" t="n">
        <f aca="false">SUM(K60:K61)</f>
        <v>561.40350877193</v>
      </c>
      <c r="L62" s="225" t="n">
        <f aca="false">SUM(L60:L61)</f>
        <v>629084.794417951</v>
      </c>
      <c r="M62" s="317" t="n">
        <f aca="false">SUM(M60:M61)</f>
        <v>0</v>
      </c>
      <c r="N62" s="59"/>
    </row>
    <row r="63" customFormat="false" ht="12" hidden="false" customHeight="false" outlineLevel="0" collapsed="false">
      <c r="A63" s="8"/>
      <c r="B63" s="6"/>
      <c r="C63" s="30"/>
      <c r="D63" s="30"/>
      <c r="E63" s="30"/>
      <c r="F63" s="30"/>
      <c r="G63" s="30"/>
      <c r="H63" s="30"/>
      <c r="I63" s="30"/>
      <c r="J63" s="30"/>
      <c r="K63" s="30"/>
      <c r="L63" s="30"/>
      <c r="M63" s="83"/>
      <c r="N63" s="59"/>
    </row>
    <row r="64" customFormat="false" ht="12" hidden="false" customHeight="false" outlineLevel="0" collapsed="false">
      <c r="A64" s="8"/>
      <c r="B64" s="6"/>
      <c r="C64" s="30"/>
      <c r="D64" s="30"/>
      <c r="E64" s="30"/>
      <c r="F64" s="30"/>
      <c r="G64" s="30"/>
      <c r="H64" s="30"/>
      <c r="I64" s="30"/>
      <c r="J64" s="30"/>
      <c r="K64" s="30"/>
      <c r="L64" s="30"/>
      <c r="M64" s="83"/>
      <c r="N64" s="59"/>
    </row>
    <row r="65" customFormat="false" ht="12" hidden="false" customHeight="false" outlineLevel="0" collapsed="false">
      <c r="A65" s="314" t="str">
        <f aca="false">A10</f>
        <v>New Equity</v>
      </c>
      <c r="B65" s="227"/>
      <c r="C65" s="268"/>
      <c r="D65" s="268"/>
      <c r="E65" s="268"/>
      <c r="F65" s="268"/>
      <c r="G65" s="268"/>
      <c r="H65" s="268"/>
      <c r="I65" s="268"/>
      <c r="J65" s="268"/>
      <c r="K65" s="268"/>
      <c r="L65" s="268"/>
      <c r="M65" s="315"/>
      <c r="N65" s="59"/>
    </row>
    <row r="66" customFormat="false" ht="12" hidden="false" customHeight="false" outlineLevel="0" collapsed="false">
      <c r="A66" s="316" t="s">
        <v>331</v>
      </c>
      <c r="B66" s="6"/>
      <c r="C66" s="225" t="n">
        <f aca="false">-Input!C39</f>
        <v>-25000</v>
      </c>
      <c r="D66" s="225"/>
      <c r="E66" s="225"/>
      <c r="F66" s="225"/>
      <c r="G66" s="225"/>
      <c r="H66" s="225"/>
      <c r="I66" s="225"/>
      <c r="J66" s="225"/>
      <c r="K66" s="225"/>
      <c r="L66" s="225"/>
      <c r="M66" s="317"/>
      <c r="N66" s="59"/>
    </row>
    <row r="67" customFormat="false" ht="12" hidden="false" customHeight="false" outlineLevel="0" collapsed="false">
      <c r="A67" s="316" t="s">
        <v>337</v>
      </c>
      <c r="B67" s="6"/>
      <c r="C67" s="225"/>
      <c r="D67" s="270" t="n">
        <f aca="false">IF($C$4&gt;=D$22,Inc_St!D$47*$D$10,0)</f>
        <v>219.298245614035</v>
      </c>
      <c r="E67" s="270" t="n">
        <f aca="false">IF($C$4&gt;=E$22,Inc_St!E$47*$D$10,0)</f>
        <v>236.842105263158</v>
      </c>
      <c r="F67" s="270" t="n">
        <f aca="false">IF($C$4&gt;=F$22,Inc_St!F$47*$D$10,0)</f>
        <v>250</v>
      </c>
      <c r="G67" s="270" t="n">
        <f aca="false">IF($C$4&gt;=G$22,Inc_St!G$47*$D$10,0)</f>
        <v>271.929824561404</v>
      </c>
      <c r="H67" s="270" t="n">
        <f aca="false">IF($C$4&gt;=H$22,Inc_St!H$47*$D$10,0)</f>
        <v>302.631578947368</v>
      </c>
      <c r="I67" s="270" t="n">
        <f aca="false">IF($C$4&gt;=I$22,Inc_St!I$47*$D$10,0)</f>
        <v>307.017543859649</v>
      </c>
      <c r="J67" s="270" t="n">
        <f aca="false">IF($C$4&gt;=J$22,Inc_St!J$47*$D$10,0)</f>
        <v>324.561403508772</v>
      </c>
      <c r="K67" s="270" t="n">
        <f aca="false">IF($C$4&gt;=K$22,Inc_St!K$47*$D$10,0)</f>
        <v>350.877192982456</v>
      </c>
      <c r="L67" s="270" t="n">
        <f aca="false">IF($C$4&gt;=L$22,Inc_St!L$47*$D$10,0)</f>
        <v>359.649122807018</v>
      </c>
      <c r="M67" s="321" t="n">
        <f aca="false">IF($C$4&gt;=M$22,Inc_St!M$47*$D$10,0)</f>
        <v>0</v>
      </c>
      <c r="N67" s="59"/>
    </row>
    <row r="68" customFormat="false" ht="12" hidden="false" customHeight="false" outlineLevel="0" collapsed="false">
      <c r="A68" s="316" t="s">
        <v>335</v>
      </c>
      <c r="B68" s="6"/>
      <c r="C68" s="225"/>
      <c r="D68" s="225" t="n">
        <f aca="false">IF($C$4=D$22,$G$10,0)</f>
        <v>0</v>
      </c>
      <c r="E68" s="225" t="n">
        <f aca="false">IF($C$4=E$22,$G$10,0)</f>
        <v>0</v>
      </c>
      <c r="F68" s="225" t="n">
        <f aca="false">IF($C$4=F$22,$G$10,0)</f>
        <v>0</v>
      </c>
      <c r="G68" s="225" t="n">
        <f aca="false">IF($C$4=G$22,$G$10,0)</f>
        <v>0</v>
      </c>
      <c r="H68" s="225" t="n">
        <f aca="false">IF($C$4=H$22,$G$10,0)</f>
        <v>0</v>
      </c>
      <c r="I68" s="225" t="n">
        <f aca="false">IF($C$4=I$22,$G$10,0)</f>
        <v>0</v>
      </c>
      <c r="J68" s="225" t="n">
        <f aca="false">IF($C$4=J$22,$G$10,0)</f>
        <v>0</v>
      </c>
      <c r="K68" s="225" t="n">
        <f aca="false">IF($C$4=K$22,$G$10,0)</f>
        <v>0</v>
      </c>
      <c r="L68" s="225" t="n">
        <f aca="false">IF($C$4=L$22,$G$10,0)</f>
        <v>372555.319514078</v>
      </c>
      <c r="M68" s="317" t="n">
        <f aca="false">IF($C$4=M$22,$G$10,0)</f>
        <v>0</v>
      </c>
      <c r="N68" s="59"/>
    </row>
    <row r="69" customFormat="false" ht="12.75" hidden="false" customHeight="false" outlineLevel="0" collapsed="false">
      <c r="A69" s="322" t="s">
        <v>336</v>
      </c>
      <c r="B69" s="323" t="n">
        <f aca="false">IF($C$4&gt;0,IRR($C69:$M69,),0)</f>
        <v>0.354241623972215</v>
      </c>
      <c r="C69" s="324" t="n">
        <f aca="false">C66</f>
        <v>-25000</v>
      </c>
      <c r="D69" s="324" t="n">
        <f aca="false">SUM(D67:D68)</f>
        <v>219.298245614035</v>
      </c>
      <c r="E69" s="324" t="n">
        <f aca="false">SUM(E67:E68)</f>
        <v>236.842105263158</v>
      </c>
      <c r="F69" s="324" t="n">
        <f aca="false">SUM(F67:F68)</f>
        <v>250</v>
      </c>
      <c r="G69" s="324" t="n">
        <f aca="false">SUM(G67:G68)</f>
        <v>271.929824561404</v>
      </c>
      <c r="H69" s="324" t="n">
        <f aca="false">SUM(H67:H68)</f>
        <v>302.631578947368</v>
      </c>
      <c r="I69" s="324" t="n">
        <f aca="false">SUM(I67:I68)</f>
        <v>307.017543859649</v>
      </c>
      <c r="J69" s="324" t="n">
        <f aca="false">SUM(J67:J68)</f>
        <v>324.561403508772</v>
      </c>
      <c r="K69" s="324" t="n">
        <f aca="false">SUM(K67:K68)</f>
        <v>350.877192982456</v>
      </c>
      <c r="L69" s="324" t="n">
        <f aca="false">SUM(L67:L68)</f>
        <v>372914.968636885</v>
      </c>
      <c r="M69" s="325" t="n">
        <f aca="false">SUM(M67:M68)</f>
        <v>0</v>
      </c>
      <c r="N69" s="59"/>
    </row>
    <row r="70" customFormat="false" ht="12" hidden="false" customHeight="false" outlineLevel="0" collapsed="false">
      <c r="C70" s="59"/>
      <c r="D70" s="59"/>
      <c r="E70" s="59"/>
      <c r="F70" s="59"/>
      <c r="G70" s="59"/>
      <c r="H70" s="59"/>
      <c r="I70" s="59"/>
      <c r="J70" s="59"/>
      <c r="K70" s="59"/>
      <c r="L70" s="59"/>
      <c r="M70" s="59"/>
      <c r="N70" s="59"/>
    </row>
    <row r="71" customFormat="false" ht="12" hidden="false" customHeight="false" outlineLevel="0" collapsed="false">
      <c r="C71" s="59"/>
      <c r="D71" s="59"/>
      <c r="E71" s="59"/>
      <c r="F71" s="59"/>
      <c r="G71" s="59"/>
      <c r="H71" s="59"/>
      <c r="I71" s="59"/>
      <c r="J71" s="59"/>
      <c r="K71" s="59"/>
      <c r="L71" s="59"/>
      <c r="M71" s="59"/>
      <c r="N71" s="59"/>
    </row>
    <row r="72" customFormat="false" ht="12" hidden="false" customHeight="false" outlineLevel="0" collapsed="false">
      <c r="C72" s="59"/>
      <c r="D72" s="59"/>
      <c r="E72" s="59"/>
      <c r="F72" s="59"/>
      <c r="G72" s="59"/>
      <c r="H72" s="59"/>
      <c r="I72" s="59"/>
      <c r="J72" s="59"/>
      <c r="K72" s="59"/>
      <c r="L72" s="59"/>
      <c r="M72" s="59"/>
      <c r="N72" s="59"/>
    </row>
    <row r="73" customFormat="false" ht="12" hidden="false" customHeight="false" outlineLevel="0" collapsed="false">
      <c r="C73" s="59"/>
      <c r="D73" s="59"/>
      <c r="E73" s="59"/>
      <c r="F73" s="59"/>
      <c r="G73" s="59"/>
      <c r="H73" s="59"/>
      <c r="I73" s="59"/>
      <c r="J73" s="59"/>
      <c r="K73" s="59"/>
      <c r="L73" s="59"/>
      <c r="M73" s="59"/>
      <c r="N73" s="59"/>
    </row>
    <row r="74" customFormat="false" ht="12" hidden="false" customHeight="false" outlineLevel="0" collapsed="false">
      <c r="C74" s="59"/>
      <c r="D74" s="59"/>
      <c r="E74" s="59"/>
      <c r="F74" s="59"/>
      <c r="G74" s="59"/>
      <c r="H74" s="59"/>
      <c r="I74" s="59"/>
      <c r="J74" s="59"/>
      <c r="K74" s="59"/>
      <c r="L74" s="59"/>
      <c r="M74" s="59"/>
      <c r="N74" s="59"/>
    </row>
    <row r="75" customFormat="false" ht="12" hidden="false" customHeight="false" outlineLevel="0" collapsed="false">
      <c r="C75" s="59"/>
      <c r="D75" s="59"/>
      <c r="E75" s="59"/>
      <c r="F75" s="59"/>
      <c r="G75" s="59"/>
      <c r="H75" s="59"/>
      <c r="I75" s="59"/>
      <c r="J75" s="59"/>
      <c r="K75" s="59"/>
      <c r="L75" s="59"/>
      <c r="M75" s="59"/>
      <c r="N75" s="59"/>
    </row>
    <row r="76" customFormat="false" ht="12" hidden="false" customHeight="false" outlineLevel="0" collapsed="false">
      <c r="C76" s="59"/>
      <c r="D76" s="59"/>
      <c r="E76" s="59"/>
      <c r="F76" s="59"/>
      <c r="G76" s="59"/>
      <c r="H76" s="59"/>
      <c r="I76" s="59"/>
      <c r="J76" s="59"/>
      <c r="K76" s="59"/>
      <c r="L76" s="59"/>
      <c r="M76" s="59"/>
      <c r="N76" s="59"/>
    </row>
    <row r="77" customFormat="false" ht="12" hidden="false" customHeight="false" outlineLevel="0" collapsed="false">
      <c r="C77" s="59"/>
      <c r="D77" s="59"/>
      <c r="E77" s="59"/>
      <c r="F77" s="59"/>
      <c r="G77" s="59"/>
      <c r="H77" s="59"/>
      <c r="I77" s="59"/>
      <c r="J77" s="59"/>
      <c r="K77" s="59"/>
      <c r="L77" s="59"/>
      <c r="M77" s="59"/>
      <c r="N77" s="59"/>
    </row>
    <row r="78" customFormat="false" ht="12" hidden="false" customHeight="false" outlineLevel="0" collapsed="false">
      <c r="C78" s="59"/>
      <c r="D78" s="59"/>
      <c r="E78" s="59"/>
      <c r="F78" s="59"/>
      <c r="G78" s="59"/>
      <c r="H78" s="59"/>
      <c r="I78" s="59"/>
      <c r="J78" s="59"/>
      <c r="K78" s="59"/>
      <c r="L78" s="59"/>
      <c r="M78" s="59"/>
      <c r="N78" s="59"/>
    </row>
    <row r="79" customFormat="false" ht="12" hidden="false" customHeight="false" outlineLevel="0" collapsed="false">
      <c r="C79" s="59"/>
      <c r="D79" s="59"/>
      <c r="E79" s="59"/>
      <c r="F79" s="59"/>
      <c r="G79" s="59"/>
      <c r="H79" s="59"/>
      <c r="I79" s="59"/>
      <c r="J79" s="59"/>
      <c r="K79" s="59"/>
      <c r="L79" s="59"/>
      <c r="M79" s="59"/>
      <c r="N79" s="59"/>
    </row>
    <row r="80" customFormat="false" ht="12" hidden="false" customHeight="false" outlineLevel="0" collapsed="false">
      <c r="C80" s="59"/>
      <c r="D80" s="59"/>
      <c r="E80" s="59"/>
      <c r="F80" s="59"/>
      <c r="G80" s="59"/>
      <c r="H80" s="59"/>
      <c r="I80" s="59"/>
      <c r="J80" s="59"/>
      <c r="K80" s="59"/>
      <c r="L80" s="59"/>
      <c r="M80" s="59"/>
      <c r="N80" s="59"/>
    </row>
    <row r="81" customFormat="false" ht="12" hidden="false" customHeight="false" outlineLevel="0" collapsed="false">
      <c r="C81" s="59"/>
      <c r="D81" s="59"/>
      <c r="E81" s="59"/>
      <c r="F81" s="59"/>
      <c r="G81" s="59"/>
      <c r="H81" s="59"/>
      <c r="I81" s="59"/>
      <c r="J81" s="59"/>
      <c r="K81" s="59"/>
      <c r="L81" s="59"/>
      <c r="M81" s="59"/>
      <c r="N81" s="59"/>
    </row>
    <row r="82" customFormat="false" ht="12" hidden="false" customHeight="false" outlineLevel="0" collapsed="false">
      <c r="C82" s="59"/>
      <c r="D82" s="59"/>
      <c r="E82" s="59"/>
      <c r="F82" s="59"/>
      <c r="G82" s="59"/>
      <c r="H82" s="59"/>
      <c r="I82" s="59"/>
      <c r="J82" s="59"/>
      <c r="K82" s="59"/>
      <c r="L82" s="59"/>
      <c r="M82" s="59"/>
      <c r="N82" s="59"/>
    </row>
    <row r="83" customFormat="false" ht="12" hidden="false" customHeight="false" outlineLevel="0" collapsed="false">
      <c r="C83" s="59"/>
      <c r="D83" s="59"/>
      <c r="E83" s="59"/>
      <c r="F83" s="59"/>
      <c r="G83" s="59"/>
      <c r="H83" s="59"/>
      <c r="I83" s="59"/>
      <c r="J83" s="59"/>
      <c r="K83" s="59"/>
      <c r="L83" s="59"/>
      <c r="M83" s="59"/>
      <c r="N83" s="59"/>
    </row>
    <row r="84" customFormat="false" ht="12" hidden="false" customHeight="false" outlineLevel="0" collapsed="false">
      <c r="C84" s="59"/>
      <c r="D84" s="59"/>
      <c r="E84" s="59"/>
      <c r="F84" s="59"/>
      <c r="G84" s="59"/>
      <c r="H84" s="59"/>
      <c r="I84" s="59"/>
      <c r="J84" s="59"/>
      <c r="K84" s="59"/>
      <c r="L84" s="59"/>
      <c r="M84" s="59"/>
      <c r="N84" s="59"/>
    </row>
    <row r="85" customFormat="false" ht="12" hidden="false" customHeight="false" outlineLevel="0" collapsed="false">
      <c r="C85" s="59"/>
      <c r="D85" s="59"/>
      <c r="E85" s="59"/>
      <c r="F85" s="59"/>
      <c r="G85" s="59"/>
      <c r="H85" s="59"/>
      <c r="I85" s="59"/>
      <c r="J85" s="59"/>
      <c r="K85" s="59"/>
      <c r="L85" s="59"/>
      <c r="M85" s="59"/>
      <c r="N85" s="59"/>
    </row>
    <row r="86" customFormat="false" ht="12" hidden="false" customHeight="false" outlineLevel="0" collapsed="false">
      <c r="C86" s="59"/>
      <c r="D86" s="59"/>
      <c r="E86" s="59"/>
      <c r="F86" s="59"/>
      <c r="G86" s="59"/>
      <c r="H86" s="59"/>
      <c r="I86" s="59"/>
      <c r="J86" s="59"/>
      <c r="K86" s="59"/>
      <c r="L86" s="59"/>
      <c r="M86" s="59"/>
      <c r="N86" s="59"/>
    </row>
    <row r="87" customFormat="false" ht="12" hidden="false" customHeight="false" outlineLevel="0" collapsed="false">
      <c r="C87" s="59"/>
      <c r="D87" s="59"/>
      <c r="E87" s="59"/>
      <c r="F87" s="59"/>
      <c r="G87" s="59"/>
      <c r="H87" s="59"/>
      <c r="I87" s="59"/>
      <c r="J87" s="59"/>
      <c r="K87" s="59"/>
      <c r="L87" s="59"/>
      <c r="M87" s="59"/>
      <c r="N87" s="59"/>
    </row>
    <row r="88" customFormat="false" ht="12" hidden="false" customHeight="false" outlineLevel="0" collapsed="false">
      <c r="C88" s="59"/>
      <c r="D88" s="59"/>
      <c r="E88" s="59"/>
      <c r="F88" s="59"/>
      <c r="G88" s="59"/>
      <c r="H88" s="59"/>
      <c r="I88" s="59"/>
      <c r="J88" s="59"/>
      <c r="K88" s="59"/>
      <c r="L88" s="59"/>
      <c r="M88" s="59"/>
      <c r="N88" s="59"/>
    </row>
    <row r="89" customFormat="false" ht="12" hidden="false" customHeight="false" outlineLevel="0" collapsed="false">
      <c r="C89" s="59"/>
      <c r="D89" s="59"/>
      <c r="E89" s="59"/>
      <c r="F89" s="59"/>
      <c r="G89" s="59"/>
      <c r="H89" s="59"/>
      <c r="I89" s="59"/>
      <c r="J89" s="59"/>
      <c r="K89" s="59"/>
      <c r="L89" s="59"/>
      <c r="M89" s="59"/>
      <c r="N89" s="59"/>
    </row>
    <row r="90" customFormat="false" ht="12" hidden="false" customHeight="false" outlineLevel="0" collapsed="false">
      <c r="C90" s="59"/>
      <c r="D90" s="59"/>
      <c r="E90" s="59"/>
      <c r="F90" s="59"/>
      <c r="G90" s="59"/>
      <c r="H90" s="59"/>
      <c r="I90" s="59"/>
      <c r="J90" s="59"/>
      <c r="K90" s="59"/>
      <c r="L90" s="59"/>
      <c r="M90" s="59"/>
      <c r="N90" s="59"/>
    </row>
    <row r="91" customFormat="false" ht="12" hidden="false" customHeight="false" outlineLevel="0" collapsed="false">
      <c r="C91" s="59"/>
      <c r="D91" s="59"/>
      <c r="E91" s="59"/>
      <c r="F91" s="59"/>
      <c r="G91" s="59"/>
      <c r="H91" s="59"/>
      <c r="I91" s="59"/>
      <c r="J91" s="59"/>
      <c r="K91" s="59"/>
      <c r="L91" s="59"/>
      <c r="M91" s="59"/>
      <c r="N91" s="59"/>
    </row>
    <row r="92" customFormat="false" ht="12" hidden="false" customHeight="false" outlineLevel="0" collapsed="false">
      <c r="C92" s="59"/>
      <c r="D92" s="59"/>
      <c r="E92" s="59"/>
      <c r="F92" s="59"/>
      <c r="G92" s="59"/>
      <c r="H92" s="59"/>
      <c r="I92" s="59"/>
      <c r="J92" s="59"/>
      <c r="K92" s="59"/>
      <c r="L92" s="59"/>
      <c r="M92" s="59"/>
      <c r="N92" s="59"/>
    </row>
    <row r="93" customFormat="false" ht="12" hidden="false" customHeight="false" outlineLevel="0" collapsed="false">
      <c r="C93" s="59"/>
      <c r="D93" s="59"/>
      <c r="E93" s="59"/>
      <c r="F93" s="59"/>
      <c r="G93" s="59"/>
      <c r="H93" s="59"/>
      <c r="I93" s="59"/>
      <c r="J93" s="59"/>
      <c r="K93" s="59"/>
      <c r="L93" s="59"/>
      <c r="M93" s="59"/>
      <c r="N93" s="59"/>
    </row>
    <row r="94" customFormat="false" ht="12" hidden="false" customHeight="false" outlineLevel="0" collapsed="false">
      <c r="C94" s="59"/>
      <c r="D94" s="59"/>
      <c r="E94" s="59"/>
      <c r="F94" s="59"/>
      <c r="G94" s="59"/>
      <c r="H94" s="59"/>
      <c r="I94" s="59"/>
      <c r="J94" s="59"/>
      <c r="K94" s="59"/>
      <c r="L94" s="59"/>
      <c r="M94" s="59"/>
      <c r="N94" s="59"/>
    </row>
    <row r="95" customFormat="false" ht="12" hidden="false" customHeight="false" outlineLevel="0" collapsed="false">
      <c r="C95" s="59"/>
      <c r="D95" s="59"/>
      <c r="E95" s="59"/>
      <c r="F95" s="59"/>
      <c r="G95" s="59"/>
      <c r="H95" s="59"/>
      <c r="I95" s="59"/>
      <c r="J95" s="59"/>
      <c r="K95" s="59"/>
      <c r="L95" s="59"/>
      <c r="M95" s="59"/>
      <c r="N95" s="59"/>
    </row>
    <row r="96" customFormat="false" ht="12" hidden="false" customHeight="false" outlineLevel="0" collapsed="false">
      <c r="C96" s="59"/>
      <c r="D96" s="59"/>
      <c r="E96" s="59"/>
      <c r="F96" s="59"/>
      <c r="G96" s="59"/>
      <c r="H96" s="59"/>
      <c r="I96" s="59"/>
      <c r="J96" s="59"/>
      <c r="K96" s="59"/>
      <c r="L96" s="59"/>
      <c r="M96" s="59"/>
      <c r="N96" s="59"/>
    </row>
    <row r="97" customFormat="false" ht="12" hidden="false" customHeight="false" outlineLevel="0" collapsed="false">
      <c r="C97" s="59"/>
      <c r="D97" s="59"/>
      <c r="E97" s="59"/>
      <c r="F97" s="59"/>
      <c r="G97" s="59"/>
      <c r="H97" s="59"/>
      <c r="I97" s="59"/>
      <c r="J97" s="59"/>
      <c r="K97" s="59"/>
      <c r="L97" s="59"/>
      <c r="M97" s="59"/>
      <c r="N97" s="59"/>
    </row>
    <row r="98" customFormat="false" ht="12" hidden="false" customHeight="false" outlineLevel="0" collapsed="false">
      <c r="C98" s="59"/>
      <c r="D98" s="59"/>
      <c r="E98" s="59"/>
      <c r="F98" s="59"/>
      <c r="G98" s="59"/>
      <c r="H98" s="59"/>
      <c r="I98" s="59"/>
      <c r="J98" s="59"/>
      <c r="K98" s="59"/>
      <c r="L98" s="59"/>
      <c r="M98" s="59"/>
      <c r="N98" s="59"/>
    </row>
    <row r="99" customFormat="false" ht="12" hidden="false" customHeight="false" outlineLevel="0" collapsed="false">
      <c r="C99" s="59"/>
      <c r="D99" s="59"/>
      <c r="E99" s="59"/>
      <c r="F99" s="59"/>
      <c r="G99" s="59"/>
      <c r="H99" s="59"/>
      <c r="I99" s="59"/>
      <c r="J99" s="59"/>
      <c r="K99" s="59"/>
      <c r="L99" s="59"/>
      <c r="M99" s="59"/>
      <c r="N99" s="59"/>
    </row>
    <row r="100" customFormat="false" ht="12" hidden="false" customHeight="false" outlineLevel="0" collapsed="false">
      <c r="C100" s="59"/>
      <c r="D100" s="59"/>
      <c r="E100" s="59"/>
      <c r="F100" s="59"/>
      <c r="G100" s="59"/>
      <c r="H100" s="59"/>
      <c r="I100" s="59"/>
      <c r="J100" s="59"/>
      <c r="K100" s="59"/>
      <c r="L100" s="59"/>
      <c r="M100" s="59"/>
      <c r="N100" s="59"/>
    </row>
    <row r="101" customFormat="false" ht="12" hidden="false" customHeight="false" outlineLevel="0" collapsed="false">
      <c r="C101" s="59"/>
      <c r="D101" s="59"/>
      <c r="E101" s="59"/>
      <c r="F101" s="59"/>
      <c r="G101" s="59"/>
      <c r="H101" s="59"/>
      <c r="I101" s="59"/>
      <c r="J101" s="59"/>
      <c r="K101" s="59"/>
      <c r="L101" s="59"/>
      <c r="M101" s="59"/>
      <c r="N101" s="59"/>
    </row>
    <row r="102" customFormat="false" ht="12" hidden="false" customHeight="false" outlineLevel="0" collapsed="false">
      <c r="C102" s="59"/>
      <c r="D102" s="59"/>
      <c r="E102" s="59"/>
      <c r="F102" s="59"/>
      <c r="G102" s="59"/>
      <c r="H102" s="59"/>
      <c r="I102" s="59"/>
      <c r="J102" s="59"/>
      <c r="K102" s="59"/>
      <c r="L102" s="59"/>
      <c r="M102" s="59"/>
      <c r="N102" s="59"/>
    </row>
    <row r="103" customFormat="false" ht="12" hidden="false" customHeight="false" outlineLevel="0" collapsed="false">
      <c r="C103" s="59"/>
      <c r="D103" s="59"/>
      <c r="E103" s="59"/>
      <c r="F103" s="59"/>
      <c r="G103" s="59"/>
      <c r="H103" s="59"/>
      <c r="I103" s="59"/>
      <c r="J103" s="59"/>
      <c r="K103" s="59"/>
      <c r="L103" s="59"/>
      <c r="M103" s="59"/>
      <c r="N103" s="59"/>
    </row>
  </sheetData>
  <dataValidations count="1">
    <dataValidation allowBlank="true" errorStyle="stop" operator="between" showDropDown="false" showErrorMessage="true" showInputMessage="false" sqref="B4" type="list">
      <formula1>$D$21:$M$21</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O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2" activeCellId="0" sqref="H2"/>
    </sheetView>
  </sheetViews>
  <sheetFormatPr defaultColWidth="9.13671875" defaultRowHeight="12" zeroHeight="false" outlineLevelRow="0" outlineLevelCol="0"/>
  <cols>
    <col collapsed="false" customWidth="true" hidden="false" outlineLevel="0" max="1" min="1" style="1" width="15.99"/>
    <col collapsed="false" customWidth="true" hidden="false" outlineLevel="0" max="2" min="2" style="1" width="15.7"/>
    <col collapsed="false" customWidth="true" hidden="false" outlineLevel="0" max="3" min="3" style="1" width="2.85"/>
    <col collapsed="false" customWidth="true" hidden="false" outlineLevel="0" max="13" min="4" style="1" width="10.7"/>
    <col collapsed="false" customWidth="false" hidden="false" outlineLevel="0" max="257" min="14" style="1" width="9.13"/>
  </cols>
  <sheetData>
    <row r="2" customFormat="false" ht="15" hidden="false" customHeight="false" outlineLevel="0" collapsed="false">
      <c r="A2" s="122" t="s">
        <v>338</v>
      </c>
      <c r="D2" s="304"/>
      <c r="E2" s="304"/>
      <c r="F2" s="304"/>
      <c r="G2" s="304"/>
      <c r="H2" s="304"/>
      <c r="I2" s="304"/>
      <c r="J2" s="304"/>
      <c r="K2" s="304"/>
      <c r="L2" s="304"/>
      <c r="M2" s="304"/>
    </row>
    <row r="3" customFormat="false" ht="12" hidden="false" customHeight="false" outlineLevel="0" collapsed="false">
      <c r="D3" s="159"/>
      <c r="E3" s="159"/>
      <c r="F3" s="159"/>
      <c r="G3" s="159"/>
      <c r="H3" s="159"/>
      <c r="I3" s="159"/>
      <c r="J3" s="159"/>
      <c r="K3" s="159"/>
      <c r="L3" s="159"/>
      <c r="M3" s="159"/>
    </row>
    <row r="4" customFormat="false" ht="12" hidden="false" customHeight="false" outlineLevel="0" collapsed="false">
      <c r="A4" s="1" t="s">
        <v>112</v>
      </c>
      <c r="C4" s="190"/>
      <c r="D4" s="191" t="n">
        <f aca="false">year1</f>
        <v>2010</v>
      </c>
      <c r="E4" s="186" t="n">
        <f aca="false">D4+1</f>
        <v>2011</v>
      </c>
      <c r="F4" s="186" t="n">
        <f aca="false">E4+1</f>
        <v>2012</v>
      </c>
      <c r="G4" s="186" t="n">
        <f aca="false">F4+1</f>
        <v>2013</v>
      </c>
      <c r="H4" s="186" t="n">
        <f aca="false">G4+1</f>
        <v>2014</v>
      </c>
      <c r="I4" s="186" t="n">
        <f aca="false">H4+1</f>
        <v>2015</v>
      </c>
      <c r="J4" s="186" t="n">
        <f aca="false">I4+1</f>
        <v>2016</v>
      </c>
      <c r="K4" s="186" t="n">
        <f aca="false">J4+1</f>
        <v>2017</v>
      </c>
      <c r="L4" s="186" t="n">
        <f aca="false">K4+1</f>
        <v>2018</v>
      </c>
      <c r="M4" s="186" t="n">
        <f aca="false">L4+1</f>
        <v>2019</v>
      </c>
      <c r="P4" s="304"/>
    </row>
    <row r="5" customFormat="false" ht="12" hidden="false" customHeight="false" outlineLevel="0" collapsed="false">
      <c r="A5" s="1" t="s">
        <v>113</v>
      </c>
      <c r="C5" s="190"/>
      <c r="D5" s="191" t="n">
        <v>1</v>
      </c>
      <c r="E5" s="186" t="n">
        <f aca="false">D5+1</f>
        <v>2</v>
      </c>
      <c r="F5" s="186" t="n">
        <f aca="false">E5+1</f>
        <v>3</v>
      </c>
      <c r="G5" s="186" t="n">
        <f aca="false">F5+1</f>
        <v>4</v>
      </c>
      <c r="H5" s="186" t="n">
        <f aca="false">G5+1</f>
        <v>5</v>
      </c>
      <c r="I5" s="186" t="n">
        <f aca="false">H5+1</f>
        <v>6</v>
      </c>
      <c r="J5" s="186" t="n">
        <f aca="false">I5+1</f>
        <v>7</v>
      </c>
      <c r="K5" s="186" t="n">
        <f aca="false">J5+1</f>
        <v>8</v>
      </c>
      <c r="L5" s="186" t="n">
        <f aca="false">K5+1</f>
        <v>9</v>
      </c>
      <c r="M5" s="186" t="n">
        <f aca="false">L5+1</f>
        <v>10</v>
      </c>
      <c r="N5" s="192"/>
      <c r="O5" s="192"/>
      <c r="P5" s="326"/>
      <c r="Q5" s="192"/>
      <c r="R5" s="192"/>
      <c r="S5" s="192"/>
      <c r="T5" s="192"/>
      <c r="U5" s="192"/>
      <c r="V5" s="192"/>
      <c r="W5" s="192"/>
      <c r="X5" s="192"/>
      <c r="Y5" s="192"/>
      <c r="Z5" s="192"/>
      <c r="AA5" s="192"/>
      <c r="AB5" s="192"/>
      <c r="AC5" s="192"/>
      <c r="AD5" s="192"/>
      <c r="AE5" s="192"/>
      <c r="AF5" s="192"/>
      <c r="AG5" s="192"/>
      <c r="AH5" s="192"/>
      <c r="AI5" s="192"/>
      <c r="AJ5" s="192"/>
      <c r="AK5" s="192"/>
      <c r="AL5" s="192"/>
      <c r="AM5" s="192"/>
      <c r="AN5" s="192"/>
      <c r="AO5" s="192"/>
    </row>
    <row r="6" customFormat="false" ht="12" hidden="false" customHeight="false" outlineLevel="0" collapsed="false">
      <c r="C6" s="59"/>
      <c r="D6" s="327"/>
      <c r="E6" s="327"/>
      <c r="F6" s="327"/>
      <c r="G6" s="327"/>
      <c r="H6" s="327"/>
      <c r="I6" s="327"/>
      <c r="J6" s="327"/>
      <c r="K6" s="327"/>
      <c r="L6" s="327"/>
      <c r="M6" s="327"/>
      <c r="N6" s="159"/>
      <c r="P6" s="328"/>
    </row>
    <row r="7" customFormat="false" ht="12" hidden="false" customHeight="false" outlineLevel="0" collapsed="false">
      <c r="C7" s="59"/>
      <c r="D7" s="327"/>
      <c r="E7" s="327"/>
      <c r="F7" s="327"/>
      <c r="G7" s="327"/>
      <c r="H7" s="327"/>
      <c r="I7" s="327"/>
      <c r="J7" s="327"/>
      <c r="K7" s="327"/>
      <c r="L7" s="327"/>
      <c r="M7" s="327"/>
      <c r="N7" s="159"/>
      <c r="P7" s="328"/>
    </row>
    <row r="8" customFormat="false" ht="12" hidden="false" customHeight="false" outlineLevel="0" collapsed="false">
      <c r="A8" s="163" t="s">
        <v>339</v>
      </c>
      <c r="C8" s="59"/>
      <c r="D8" s="159"/>
      <c r="E8" s="159"/>
      <c r="F8" s="159"/>
      <c r="G8" s="159"/>
      <c r="H8" s="159"/>
      <c r="I8" s="159"/>
      <c r="J8" s="159"/>
      <c r="K8" s="159"/>
      <c r="L8" s="159"/>
      <c r="M8" s="159"/>
      <c r="N8" s="159"/>
    </row>
    <row r="9" customFormat="false" ht="12" hidden="false" customHeight="false" outlineLevel="0" collapsed="false">
      <c r="A9" s="164" t="s">
        <v>340</v>
      </c>
      <c r="C9" s="59"/>
      <c r="D9" s="329" t="n">
        <f aca="false">IF(Bal_Sheet!F32&gt;0,(Bal_Sheet!F42+Bal_Sheet!F56+Bal_Sheet!F61)/Bal_Sheet!F32,"N/A")</f>
        <v>0.683295539188416</v>
      </c>
      <c r="E9" s="329" t="n">
        <f aca="false">IF(Bal_Sheet!G32&gt;0,(Bal_Sheet!G42+Bal_Sheet!G56+Bal_Sheet!G61)/Bal_Sheet!G32,"N/A")</f>
        <v>0.605508767272571</v>
      </c>
      <c r="F9" s="329" t="n">
        <f aca="false">IF(Bal_Sheet!H32&gt;0,(Bal_Sheet!H42+Bal_Sheet!H56+Bal_Sheet!H61)/Bal_Sheet!H32,"N/A")</f>
        <v>0.531701668632503</v>
      </c>
      <c r="G9" s="329" t="n">
        <f aca="false">IF(Bal_Sheet!I32&gt;0,(Bal_Sheet!I42+Bal_Sheet!I56+Bal_Sheet!I61)/Bal_Sheet!I32,"N/A")</f>
        <v>0.462380768059572</v>
      </c>
      <c r="H9" s="329" t="n">
        <f aca="false">IF(Bal_Sheet!J32&gt;0,(Bal_Sheet!J42+Bal_Sheet!J56+Bal_Sheet!J61)/Bal_Sheet!J32,"N/A")</f>
        <v>0.398963979291199</v>
      </c>
      <c r="I9" s="329" t="n">
        <f aca="false">IF(Bal_Sheet!K32&gt;0,(Bal_Sheet!K42+Bal_Sheet!K56+Bal_Sheet!K61)/Bal_Sheet!K32,"N/A")</f>
        <v>0.340510457413698</v>
      </c>
      <c r="J9" s="329" t="n">
        <f aca="false">IF(Bal_Sheet!L32&gt;0,(Bal_Sheet!L42+Bal_Sheet!L56+Bal_Sheet!L61)/Bal_Sheet!L32,"N/A")</f>
        <v>0.288781146252868</v>
      </c>
      <c r="K9" s="329" t="n">
        <f aca="false">IF(Bal_Sheet!M32&gt;0,(Bal_Sheet!M42+Bal_Sheet!M56+Bal_Sheet!M61)/Bal_Sheet!M32,"N/A")</f>
        <v>0.269121243522426</v>
      </c>
      <c r="L9" s="329" t="n">
        <f aca="false">IF(Bal_Sheet!N32&gt;0,(Bal_Sheet!N42+Bal_Sheet!N56+Bal_Sheet!N61)/Bal_Sheet!N32,"N/A")</f>
        <v>0.263689450525122</v>
      </c>
      <c r="M9" s="329" t="n">
        <f aca="false">IF(Bal_Sheet!O32&gt;0,(Bal_Sheet!O42+Bal_Sheet!O56+Bal_Sheet!O61)/Bal_Sheet!O32,"N/A")</f>
        <v>0.24995873859335</v>
      </c>
      <c r="N9" s="159"/>
    </row>
    <row r="10" customFormat="false" ht="12" hidden="false" customHeight="false" outlineLevel="0" collapsed="false">
      <c r="A10" s="164" t="s">
        <v>341</v>
      </c>
      <c r="C10" s="59"/>
      <c r="D10" s="329" t="n">
        <f aca="false">IF(Bal_Sheet!F54+Bal_Sheet!F65&gt;0,(Bal_Sheet!F54+Bal_Sheet!F61)/(Bal_Sheet!F54+Bal_Sheet!F65),"N/A")</f>
        <v>0.61424712973567</v>
      </c>
      <c r="E10" s="329" t="n">
        <f aca="false">IF(Bal_Sheet!G54+Bal_Sheet!G65&gt;0,(Bal_Sheet!G54+Bal_Sheet!G61)/(Bal_Sheet!G54+Bal_Sheet!G65),"N/A")</f>
        <v>0.515559544222661</v>
      </c>
      <c r="F10" s="329" t="n">
        <f aca="false">IF(Bal_Sheet!H54+Bal_Sheet!H65&gt;0,(Bal_Sheet!H54+Bal_Sheet!H61)/(Bal_Sheet!H54+Bal_Sheet!H65),"N/A")</f>
        <v>0.421168167079299</v>
      </c>
      <c r="G10" s="329" t="n">
        <f aca="false">IF(Bal_Sheet!I54+Bal_Sheet!I65&gt;0,(Bal_Sheet!I54+Bal_Sheet!I61)/(Bal_Sheet!I54+Bal_Sheet!I65),"N/A")</f>
        <v>0.330414285074834</v>
      </c>
      <c r="H10" s="329" t="n">
        <f aca="false">IF(Bal_Sheet!J54+Bal_Sheet!J65&gt;0,(Bal_Sheet!J54+Bal_Sheet!J61)/(Bal_Sheet!J54+Bal_Sheet!J65),"N/A")</f>
        <v>0.241123476675545</v>
      </c>
      <c r="I10" s="329" t="n">
        <f aca="false">IF(Bal_Sheet!K54+Bal_Sheet!K65&gt;0,(Bal_Sheet!K54+Bal_Sheet!K61)/(Bal_Sheet!K54+Bal_Sheet!K65),"N/A")</f>
        <v>0.157345480359558</v>
      </c>
      <c r="J10" s="329" t="n">
        <f aca="false">IF(Bal_Sheet!L54+Bal_Sheet!L65&gt;0,(Bal_Sheet!L54+Bal_Sheet!L61)/(Bal_Sheet!L54+Bal_Sheet!L65),"N/A")</f>
        <v>0.0821470655926282</v>
      </c>
      <c r="K10" s="329" t="n">
        <f aca="false">IF(Bal_Sheet!M54+Bal_Sheet!M65&gt;0,(Bal_Sheet!M54+Bal_Sheet!M61)/(Bal_Sheet!M54+Bal_Sheet!M65),"N/A")</f>
        <v>0.0428689868360853</v>
      </c>
      <c r="L10" s="329" t="n">
        <f aca="false">IF(Bal_Sheet!N54+Bal_Sheet!N65&gt;0,(Bal_Sheet!N54+Bal_Sheet!N61)/(Bal_Sheet!N54+Bal_Sheet!N65),"N/A")</f>
        <v>0.0368034731492004</v>
      </c>
      <c r="M10" s="329" t="n">
        <f aca="false">IF(Bal_Sheet!O54+Bal_Sheet!O65&gt;0,(Bal_Sheet!O54+Bal_Sheet!O61)/(Bal_Sheet!O54+Bal_Sheet!O65),"N/A")</f>
        <v>0.0319453606581785</v>
      </c>
      <c r="N10" s="159"/>
    </row>
    <row r="11" customFormat="false" ht="12" hidden="false" customHeight="false" outlineLevel="0" collapsed="false">
      <c r="A11" s="164" t="s">
        <v>342</v>
      </c>
      <c r="C11" s="59"/>
      <c r="D11" s="329" t="n">
        <f aca="false">IF(Bal_Sheet!F62+Bal_Sheet!F63&gt;0,(Bal_Sheet!F54+Bal_Sheet!F61)/(Bal_Sheet!F62+Bal_Sheet!F63),"N/A")</f>
        <v>1.59233327107785</v>
      </c>
      <c r="E11" s="329" t="n">
        <f aca="false">IF(Bal_Sheet!G62+Bal_Sheet!G63&gt;0,(Bal_Sheet!G54+Bal_Sheet!G61)/(Bal_Sheet!G62+Bal_Sheet!G63),"N/A")</f>
        <v>1.06423717935652</v>
      </c>
      <c r="F11" s="329" t="n">
        <f aca="false">IF(Bal_Sheet!H62+Bal_Sheet!H63&gt;0,(Bal_Sheet!H54+Bal_Sheet!H61)/(Bal_Sheet!H62+Bal_Sheet!H63),"N/A")</f>
        <v>0.727617492897973</v>
      </c>
      <c r="G11" s="329" t="n">
        <f aca="false">IF(Bal_Sheet!I62+Bal_Sheet!I63&gt;0,(Bal_Sheet!I54+Bal_Sheet!I61)/(Bal_Sheet!I62+Bal_Sheet!I63),"N/A")</f>
        <v>0.493460773893246</v>
      </c>
      <c r="H11" s="329" t="n">
        <f aca="false">IF(Bal_Sheet!J62+Bal_Sheet!J63&gt;0,(Bal_Sheet!J54+Bal_Sheet!J61)/(Bal_Sheet!J62+Bal_Sheet!J63),"N/A")</f>
        <v>0.317737430615512</v>
      </c>
      <c r="I11" s="329" t="n">
        <f aca="false">IF(Bal_Sheet!K62+Bal_Sheet!K63&gt;0,(Bal_Sheet!K54+Bal_Sheet!K61)/(Bal_Sheet!K62+Bal_Sheet!K63),"N/A")</f>
        <v>0.186725967394914</v>
      </c>
      <c r="J11" s="329" t="n">
        <f aca="false">IF(Bal_Sheet!L62+Bal_Sheet!L63&gt;0,(Bal_Sheet!L54+Bal_Sheet!L61)/(Bal_Sheet!L62+Bal_Sheet!L63),"N/A")</f>
        <v>0.0894991588665214</v>
      </c>
      <c r="K11" s="329" t="n">
        <f aca="false">IF(Bal_Sheet!M62+Bal_Sheet!M63&gt;0,(Bal_Sheet!M54+Bal_Sheet!M61)/(Bal_Sheet!M62+Bal_Sheet!M63),"N/A")</f>
        <v>0.0447890479427436</v>
      </c>
      <c r="L11" s="329" t="n">
        <f aca="false">IF(Bal_Sheet!N62+Bal_Sheet!N63&gt;0,(Bal_Sheet!N54+Bal_Sheet!N61)/(Bal_Sheet!N62+Bal_Sheet!N63),"N/A")</f>
        <v>0.0382097236890279</v>
      </c>
      <c r="M11" s="329" t="n">
        <f aca="false">IF(Bal_Sheet!O62+Bal_Sheet!O63&gt;0,(Bal_Sheet!O54+Bal_Sheet!O61)/(Bal_Sheet!O62+Bal_Sheet!O63),"N/A")</f>
        <v>0.0329995429595772</v>
      </c>
      <c r="N11" s="159"/>
    </row>
    <row r="12" customFormat="false" ht="12" hidden="false" customHeight="false" outlineLevel="0" collapsed="false">
      <c r="C12" s="59"/>
      <c r="D12" s="329"/>
      <c r="E12" s="329"/>
      <c r="F12" s="329"/>
      <c r="G12" s="329"/>
      <c r="H12" s="329"/>
      <c r="I12" s="329"/>
      <c r="J12" s="329"/>
      <c r="K12" s="329"/>
      <c r="L12" s="329"/>
      <c r="M12" s="329"/>
      <c r="N12" s="329"/>
    </row>
    <row r="13" customFormat="false" ht="12" hidden="false" customHeight="false" outlineLevel="0" collapsed="false">
      <c r="C13" s="59"/>
      <c r="D13" s="329"/>
      <c r="E13" s="329"/>
      <c r="F13" s="329"/>
      <c r="G13" s="329"/>
      <c r="H13" s="329"/>
      <c r="I13" s="329"/>
      <c r="J13" s="329"/>
      <c r="K13" s="329"/>
      <c r="L13" s="329"/>
      <c r="M13" s="329"/>
      <c r="N13" s="329"/>
    </row>
    <row r="14" customFormat="false" ht="12" hidden="false" customHeight="false" outlineLevel="0" collapsed="false">
      <c r="A14" s="163" t="s">
        <v>343</v>
      </c>
      <c r="C14" s="59"/>
      <c r="D14" s="329"/>
      <c r="E14" s="329"/>
      <c r="F14" s="329"/>
      <c r="G14" s="329"/>
      <c r="H14" s="329"/>
      <c r="I14" s="329"/>
      <c r="J14" s="329"/>
      <c r="K14" s="329"/>
      <c r="L14" s="329"/>
      <c r="M14" s="329"/>
      <c r="N14" s="329"/>
    </row>
    <row r="15" customFormat="false" ht="12" hidden="false" customHeight="false" outlineLevel="0" collapsed="false">
      <c r="A15" s="164" t="s">
        <v>344</v>
      </c>
      <c r="C15" s="59"/>
      <c r="D15" s="329" t="n">
        <f aca="false">IF(Inc_St!D18&lt;&gt;0,(Bal_Sheet!F54+Bal_Sheet!F61)/Inc_St!D18,"N/A")</f>
        <v>2.0717190777942</v>
      </c>
      <c r="E15" s="329" t="n">
        <f aca="false">IF(Inc_St!E18&lt;&gt;0,(Bal_Sheet!G54+Bal_Sheet!G61)/Inc_St!E18,"N/A")</f>
        <v>1.70855248062333</v>
      </c>
      <c r="F15" s="329" t="n">
        <f aca="false">IF(Inc_St!F18&lt;&gt;0,(Bal_Sheet!H54+Bal_Sheet!H61)/Inc_St!F18,"N/A")</f>
        <v>1.37727387946904</v>
      </c>
      <c r="G15" s="329" t="n">
        <f aca="false">IF(Inc_St!G18&lt;&gt;0,(Bal_Sheet!I54+Bal_Sheet!I61)/Inc_St!G18,"N/A")</f>
        <v>1.06807847997295</v>
      </c>
      <c r="H15" s="329" t="n">
        <f aca="false">IF(Inc_St!H18&lt;&gt;0,(Bal_Sheet!J54+Bal_Sheet!J61)/Inc_St!H18,"N/A")</f>
        <v>0.767076570443384</v>
      </c>
      <c r="I15" s="329" t="n">
        <f aca="false">IF(Inc_St!I18&lt;&gt;0,(Bal_Sheet!K54+Bal_Sheet!K61)/Inc_St!I18,"N/A")</f>
        <v>0.495024307763717</v>
      </c>
      <c r="J15" s="329" t="n">
        <f aca="false">IF(Inc_St!J18&lt;&gt;0,(Bal_Sheet!L54+Bal_Sheet!L61)/Inc_St!J18,"N/A")</f>
        <v>0.261818354585391</v>
      </c>
      <c r="K15" s="329" t="n">
        <f aca="false">IF(Inc_St!K18&lt;&gt;0,(Bal_Sheet!M54+Bal_Sheet!M61)/Inc_St!K18,"N/A")</f>
        <v>0.142329075288666</v>
      </c>
      <c r="L15" s="329" t="n">
        <f aca="false">IF(Inc_St!L18&lt;&gt;0,(Bal_Sheet!N54+Bal_Sheet!N61)/Inc_St!L18,"N/A")</f>
        <v>0.130359689438297</v>
      </c>
      <c r="M15" s="329" t="n">
        <f aca="false">IF(Inc_St!M18&lt;&gt;0,(Bal_Sheet!O54+Bal_Sheet!O61)/Inc_St!M18,"N/A")</f>
        <v>0.119406563424058</v>
      </c>
      <c r="N15" s="329"/>
    </row>
    <row r="16" customFormat="false" ht="12" hidden="false" customHeight="false" outlineLevel="0" collapsed="false">
      <c r="A16" s="164" t="s">
        <v>345</v>
      </c>
      <c r="C16" s="59"/>
      <c r="D16" s="329" t="n">
        <f aca="false">IF(Inc_St!D18+Cash_Flow!D30&lt;&gt;0,(Bal_Sheet!F54+Bal_Sheet!F61)/(Inc_St!D18+Cash_Flow!D30),"N/A")</f>
        <v>3.16209753979115</v>
      </c>
      <c r="E16" s="329" t="n">
        <f aca="false">IF(Inc_St!E18+Cash_Flow!E30&lt;&gt;0,(Bal_Sheet!G54+Bal_Sheet!G61)/(Inc_St!E18+Cash_Flow!E30),"N/A")</f>
        <v>2.61738116256877</v>
      </c>
      <c r="F16" s="329" t="n">
        <f aca="false">IF(Inc_St!F18+Cash_Flow!F30&lt;&gt;0,(Bal_Sheet!H54+Bal_Sheet!H61)/(Inc_St!F18+Cash_Flow!F30),"N/A")</f>
        <v>2.11780972830031</v>
      </c>
      <c r="G16" s="329" t="n">
        <f aca="false">IF(Inc_St!G18+Cash_Flow!G30&lt;&gt;0,(Bal_Sheet!I54+Bal_Sheet!I61)/(Inc_St!G18+Cash_Flow!G30),"N/A")</f>
        <v>1.64866563446813</v>
      </c>
      <c r="H16" s="329" t="n">
        <f aca="false">IF(Inc_St!H18+Cash_Flow!H30&lt;&gt;0,(Bal_Sheet!J54+Bal_Sheet!J61)/(Inc_St!H18+Cash_Flow!H30),"N/A")</f>
        <v>1.18868526688102</v>
      </c>
      <c r="I16" s="329" t="n">
        <f aca="false">IF(Inc_St!I18+Cash_Flow!I30&lt;&gt;0,(Bal_Sheet!K54+Bal_Sheet!K61)/(Inc_St!I18+Cash_Flow!I30),"N/A")</f>
        <v>0.770177031546003</v>
      </c>
      <c r="J16" s="329" t="n">
        <f aca="false">IF(Inc_St!J18+Cash_Flow!J30&lt;&gt;0,(Bal_Sheet!L54+Bal_Sheet!L61)/(Inc_St!J18+Cash_Flow!J30),"N/A")</f>
        <v>0.409014190127153</v>
      </c>
      <c r="K16" s="329" t="n">
        <f aca="false">IF(Inc_St!K18+Cash_Flow!K30&lt;&gt;0,(Bal_Sheet!M54+Bal_Sheet!M61)/(Inc_St!K18+Cash_Flow!K30),"N/A")</f>
        <v>0.223277947187612</v>
      </c>
      <c r="L16" s="329" t="n">
        <f aca="false">IF(Inc_St!L18+Cash_Flow!L30&lt;&gt;0,(Bal_Sheet!N54+Bal_Sheet!N61)/(Inc_St!L18+Cash_Flow!L30),"N/A")</f>
        <v>0.20537636326861</v>
      </c>
      <c r="M16" s="329" t="n">
        <f aca="false">IF(Inc_St!M18+Cash_Flow!M30&lt;&gt;0,(Bal_Sheet!O54+Bal_Sheet!O61)/(Inc_St!M18+Cash_Flow!M30),"N/A")</f>
        <v>0.188943832914773</v>
      </c>
      <c r="N16" s="329"/>
    </row>
    <row r="17" customFormat="false" ht="12" hidden="false" customHeight="false" outlineLevel="0" collapsed="false">
      <c r="A17" s="164" t="s">
        <v>346</v>
      </c>
      <c r="C17" s="59"/>
      <c r="D17" s="329" t="n">
        <f aca="false">IF(Inc_St!D18&lt;&gt;0,(Bal_Sheet!F54+Bal_Sheet!F61-Bal_Sheet!F10)/Inc_St!D18,"N/A")</f>
        <v>1.91497926588198</v>
      </c>
      <c r="E17" s="329" t="n">
        <f aca="false">IF(Inc_St!E18&lt;&gt;0,(Bal_Sheet!G54+Bal_Sheet!G61-Bal_Sheet!G10)/Inc_St!E18,"N/A")</f>
        <v>1.56506973248678</v>
      </c>
      <c r="F17" s="329" t="n">
        <f aca="false">IF(Inc_St!F18&lt;&gt;0,(Bal_Sheet!H54+Bal_Sheet!H61-Bal_Sheet!H10)/Inc_St!F18,"N/A")</f>
        <v>1.24591752191002</v>
      </c>
      <c r="G17" s="329" t="n">
        <f aca="false">IF(Inc_St!G18&lt;&gt;0,(Bal_Sheet!I54+Bal_Sheet!I61-Bal_Sheet!I10)/Inc_St!G18,"N/A")</f>
        <v>0.947814907347369</v>
      </c>
      <c r="H17" s="329" t="n">
        <f aca="false">IF(Inc_St!H18&lt;&gt;0,(Bal_Sheet!J54+Bal_Sheet!J61-Bal_Sheet!J10)/Inc_St!H18,"N/A")</f>
        <v>0.656960866606909</v>
      </c>
      <c r="I17" s="329" t="n">
        <f aca="false">IF(Inc_St!I18&lt;&gt;0,(Bal_Sheet!K54+Bal_Sheet!K61-Bal_Sheet!K10)/Inc_St!I18,"N/A")</f>
        <v>0.394192594406455</v>
      </c>
      <c r="J17" s="329" t="n">
        <f aca="false">IF(Inc_St!J18&lt;&gt;0,(Bal_Sheet!L54+Bal_Sheet!L61-Bal_Sheet!L10)/Inc_St!J18,"N/A")</f>
        <v>0.169480802733552</v>
      </c>
      <c r="K17" s="329" t="n">
        <f aca="false">IF(Inc_St!K18&lt;&gt;0,(Bal_Sheet!M54+Bal_Sheet!M61-Bal_Sheet!M10)/Inc_St!K18,"N/A")</f>
        <v>-0.0848628215452306</v>
      </c>
      <c r="L17" s="329" t="n">
        <f aca="false">IF(Inc_St!L18&lt;&gt;0,(Bal_Sheet!N54+Bal_Sheet!N61-Bal_Sheet!N10)/Inc_St!L18,"N/A")</f>
        <v>-0.277800580563856</v>
      </c>
      <c r="M17" s="329" t="n">
        <f aca="false">IF(Inc_St!M18&lt;&gt;0,(Bal_Sheet!O54+Bal_Sheet!O61-Bal_Sheet!O10)/Inc_St!M18,"N/A")</f>
        <v>-0.381316315751348</v>
      </c>
      <c r="N17" s="329"/>
    </row>
    <row r="18" customFormat="false" ht="12" hidden="false" customHeight="false" outlineLevel="0" collapsed="false">
      <c r="A18" s="164" t="s">
        <v>347</v>
      </c>
      <c r="C18" s="59"/>
      <c r="D18" s="329" t="n">
        <f aca="false">IF(Inc_St!D18&lt;&gt;0,SUM(Bal_Sheet!F46:F50)/Inc_St!D18,"N/A")</f>
        <v>1.43902260114881</v>
      </c>
      <c r="E18" s="329" t="n">
        <f aca="false">IF(Inc_St!E18&lt;&gt;0,SUM(Bal_Sheet!G46:G50)/Inc_St!E18,"N/A")</f>
        <v>1.10864529057015</v>
      </c>
      <c r="F18" s="329" t="n">
        <f aca="false">IF(Inc_St!F18&lt;&gt;0,SUM(Bal_Sheet!H46:H50)/Inc_St!F18,"N/A")</f>
        <v>0.808003229594445</v>
      </c>
      <c r="G18" s="329" t="n">
        <f aca="false">IF(Inc_St!G18&lt;&gt;0,SUM(Bal_Sheet!I46:I50)/Inc_St!G18,"N/A")</f>
        <v>0.527451075511938</v>
      </c>
      <c r="H18" s="329" t="n">
        <f aca="false">IF(Inc_St!H18&lt;&gt;0,SUM(Bal_Sheet!J46:J50)/Inc_St!H18,"N/A")</f>
        <v>0.470128937334226</v>
      </c>
      <c r="I18" s="329" t="n">
        <f aca="false">IF(Inc_St!I18&lt;&gt;0,SUM(Bal_Sheet!K46:K50)/Inc_St!I18,"N/A")</f>
        <v>0.325318274869307</v>
      </c>
      <c r="J18" s="329" t="n">
        <f aca="false">IF(Inc_St!J18&lt;&gt;0,SUM(Bal_Sheet!L46:L50)/Inc_St!J18,"N/A")</f>
        <v>0.106408522795314</v>
      </c>
      <c r="K18" s="329" t="n">
        <f aca="false">IF(Inc_St!K18&lt;&gt;0,SUM(Bal_Sheet!M46:M50)/Inc_St!K18,"N/A")</f>
        <v>0</v>
      </c>
      <c r="L18" s="329" t="n">
        <f aca="false">IF(Inc_St!L18&lt;&gt;0,SUM(Bal_Sheet!N46:N50)/Inc_St!L18,"N/A")</f>
        <v>0</v>
      </c>
      <c r="M18" s="329" t="n">
        <f aca="false">IF(Inc_St!M18&lt;&gt;0,SUM(Bal_Sheet!O46:O50)/Inc_St!M18,"N/A")</f>
        <v>0</v>
      </c>
      <c r="N18" s="329"/>
    </row>
    <row r="19" customFormat="false" ht="12" hidden="false" customHeight="false" outlineLevel="0" collapsed="false">
      <c r="C19" s="59"/>
      <c r="D19" s="329"/>
      <c r="E19" s="329"/>
      <c r="F19" s="329"/>
      <c r="G19" s="329"/>
      <c r="H19" s="329"/>
      <c r="I19" s="329"/>
      <c r="J19" s="329"/>
      <c r="K19" s="329"/>
      <c r="L19" s="329"/>
      <c r="M19" s="329"/>
      <c r="N19" s="329"/>
    </row>
    <row r="20" customFormat="false" ht="12" hidden="false" customHeight="false" outlineLevel="0" collapsed="false">
      <c r="C20" s="59"/>
      <c r="D20" s="329"/>
      <c r="E20" s="329"/>
      <c r="F20" s="329"/>
      <c r="G20" s="329"/>
      <c r="H20" s="329"/>
      <c r="I20" s="329"/>
      <c r="J20" s="329"/>
      <c r="K20" s="329"/>
      <c r="L20" s="329"/>
      <c r="M20" s="329"/>
      <c r="N20" s="329"/>
    </row>
    <row r="21" customFormat="false" ht="12" hidden="false" customHeight="false" outlineLevel="0" collapsed="false">
      <c r="A21" s="163" t="s">
        <v>348</v>
      </c>
      <c r="C21" s="59"/>
      <c r="D21" s="329"/>
      <c r="E21" s="329"/>
      <c r="F21" s="329"/>
      <c r="G21" s="329"/>
      <c r="H21" s="329"/>
      <c r="I21" s="329"/>
      <c r="J21" s="329"/>
      <c r="K21" s="329"/>
      <c r="L21" s="329"/>
      <c r="M21" s="329"/>
      <c r="N21" s="329"/>
    </row>
    <row r="22" customFormat="false" ht="12" hidden="false" customHeight="false" outlineLevel="0" collapsed="false">
      <c r="A22" s="164" t="s">
        <v>349</v>
      </c>
      <c r="C22" s="59"/>
      <c r="D22" s="329" t="n">
        <f aca="false">IF(Inc_St!D24+Inc_St!D46&gt;0,Inc_St!D18/(Inc_St!D24+Inc_St!D46),"N/A")</f>
        <v>8.79729076228999</v>
      </c>
      <c r="E22" s="329" t="n">
        <f aca="false">IF(Inc_St!E24+Inc_St!E46&gt;0,Inc_St!E18/(Inc_St!E24+Inc_St!E46),"N/A")</f>
        <v>9.95563117198553</v>
      </c>
      <c r="F22" s="329" t="n">
        <f aca="false">IF(Inc_St!F24+Inc_St!F46&gt;0,Inc_St!F18/(Inc_St!F24+Inc_St!F46),"N/A")</f>
        <v>12.0292878044303</v>
      </c>
      <c r="G22" s="329" t="n">
        <f aca="false">IF(Inc_St!G24+Inc_St!G46&gt;0,Inc_St!G18/(Inc_St!G24+Inc_St!G46),"N/A")</f>
        <v>14.8890540202141</v>
      </c>
      <c r="H22" s="329" t="n">
        <f aca="false">IF(Inc_St!H24+Inc_St!H46&gt;0,Inc_St!H18/(Inc_St!H24+Inc_St!H46),"N/A")</f>
        <v>17.3001398246805</v>
      </c>
      <c r="I22" s="329" t="n">
        <f aca="false">IF(Inc_St!I24+Inc_St!I46&gt;0,Inc_St!I18/(Inc_St!I24+Inc_St!I46),"N/A")</f>
        <v>22.5911505074967</v>
      </c>
      <c r="J22" s="329" t="n">
        <f aca="false">IF(Inc_St!J24+Inc_St!J46&gt;0,Inc_St!J18/(Inc_St!J24+Inc_St!J46),"N/A")</f>
        <v>30.183269062789</v>
      </c>
      <c r="K22" s="329" t="n">
        <f aca="false">IF(Inc_St!K24+Inc_St!K46&gt;0,Inc_St!K18/(Inc_St!K24+Inc_St!K46),"N/A")</f>
        <v>42.0780527037971</v>
      </c>
      <c r="L22" s="329" t="n">
        <f aca="false">IF(Inc_St!L24+Inc_St!L46&gt;0,Inc_St!L18/(Inc_St!L24+Inc_St!L46),"N/A")</f>
        <v>54.2898658903324</v>
      </c>
      <c r="M22" s="329" t="n">
        <f aca="false">IF(Inc_St!M24+Inc_St!M46&gt;0,Inc_St!M18/(Inc_St!M24+Inc_St!M46),"N/A")</f>
        <v>59.2698579891012</v>
      </c>
      <c r="N22" s="329"/>
    </row>
    <row r="23" customFormat="false" ht="12" hidden="false" customHeight="false" outlineLevel="0" collapsed="false">
      <c r="A23" s="164" t="s">
        <v>350</v>
      </c>
      <c r="C23" s="59"/>
      <c r="D23" s="329" t="n">
        <f aca="false">IF(SUM(Inc_St!D25:D29)&gt;0,Inc_St!D18/SUM(Inc_St!D25:D29),"N/A")</f>
        <v>12.3358638736777</v>
      </c>
      <c r="E23" s="329" t="n">
        <f aca="false">IF(SUM(Inc_St!E25:E29)&gt;0,Inc_St!E18/SUM(Inc_St!E25:E29),"N/A")</f>
        <v>14.3941486565924</v>
      </c>
      <c r="F23" s="329" t="n">
        <f aca="false">IF(SUM(Inc_St!F25:F29)&gt;0,Inc_St!F18/SUM(Inc_St!F25:F29),"N/A")</f>
        <v>18.6277137230371</v>
      </c>
      <c r="G23" s="329" t="n">
        <f aca="false">IF(SUM(Inc_St!G25:G29)&gt;0,Inc_St!G18/SUM(Inc_St!G25:G29),"N/A")</f>
        <v>25.5475853474534</v>
      </c>
      <c r="H23" s="329" t="n">
        <f aca="false">IF(SUM(Inc_St!H25:H29)&gt;0,Inc_St!H18/SUM(Inc_St!H25:H29),"N/A")</f>
        <v>32.1377521236136</v>
      </c>
      <c r="I23" s="329" t="n">
        <f aca="false">IF(SUM(Inc_St!I25:I29)&gt;0,Inc_St!I18/SUM(Inc_St!I25:I29),"N/A")</f>
        <v>35.4066930285081</v>
      </c>
      <c r="J23" s="329" t="n">
        <f aca="false">IF(SUM(Inc_St!J25:J29)&gt;0,Inc_St!J18/SUM(Inc_St!J25:J29),"N/A")</f>
        <v>44.9392773262254</v>
      </c>
      <c r="K23" s="329" t="n">
        <f aca="false">IF(SUM(Inc_St!K25:K29)&gt;0,Inc_St!K18/SUM(Inc_St!K25:K29),"N/A")</f>
        <v>72.4515718291477</v>
      </c>
      <c r="L23" s="329" t="n">
        <f aca="false">IF(SUM(Inc_St!L25:L29)&gt;0,Inc_St!L18/SUM(Inc_St!L25:L29),"N/A")</f>
        <v>107.590907645102</v>
      </c>
      <c r="M23" s="329" t="n">
        <f aca="false">IF(SUM(Inc_St!M25:M29)&gt;0,Inc_St!M18/SUM(Inc_St!M25:M29),"N/A")</f>
        <v>117.460187319771</v>
      </c>
      <c r="N23" s="329"/>
    </row>
    <row r="24" customFormat="false" ht="12" hidden="false" customHeight="false" outlineLevel="0" collapsed="false">
      <c r="A24" s="164" t="s">
        <v>351</v>
      </c>
      <c r="C24" s="59"/>
      <c r="D24" s="329" t="n">
        <f aca="false">IF(Inc_St!D24+Inc_St!D46-SUM(Cash_Flow!D15:D18)&gt;0,Inc_St!D18/(Inc_St!D24+Inc_St!D46-SUM(Cash_Flow!D15:D18)),"N/A")</f>
        <v>12.3358638736777</v>
      </c>
      <c r="E24" s="329" t="n">
        <f aca="false">IF(Inc_St!E24+Inc_St!E46-SUM(Cash_Flow!E15:E18)&gt;0,Inc_St!E18/(Inc_St!E24+Inc_St!E46-SUM(Cash_Flow!E15:E18)),"N/A")</f>
        <v>14.3941486565924</v>
      </c>
      <c r="F24" s="329" t="n">
        <f aca="false">IF(Inc_St!F24+Inc_St!F46-SUM(Cash_Flow!F15:F18)&gt;0,Inc_St!F18/(Inc_St!F24+Inc_St!F46-SUM(Cash_Flow!F15:F18)),"N/A")</f>
        <v>18.6277137230371</v>
      </c>
      <c r="G24" s="329" t="n">
        <f aca="false">IF(Inc_St!G24+Inc_St!G46-SUM(Cash_Flow!G15:G18)&gt;0,Inc_St!G18/(Inc_St!G24+Inc_St!G46-SUM(Cash_Flow!G15:G18)),"N/A")</f>
        <v>25.5475853474534</v>
      </c>
      <c r="H24" s="329" t="n">
        <f aca="false">IF(Inc_St!H24+Inc_St!H46-SUM(Cash_Flow!H15:H18)&gt;0,Inc_St!H18/(Inc_St!H24+Inc_St!H46-SUM(Cash_Flow!H15:H18)),"N/A")</f>
        <v>32.1377521236136</v>
      </c>
      <c r="I24" s="329" t="n">
        <f aca="false">IF(Inc_St!I24+Inc_St!I46-SUM(Cash_Flow!I15:I18)&gt;0,Inc_St!I18/(Inc_St!I24+Inc_St!I46-SUM(Cash_Flow!I15:I18)),"N/A")</f>
        <v>22.5911505074967</v>
      </c>
      <c r="J24" s="329" t="n">
        <f aca="false">IF(Inc_St!J24+Inc_St!J46-SUM(Cash_Flow!J15:J18)&gt;0,Inc_St!J18/(Inc_St!J24+Inc_St!J46-SUM(Cash_Flow!J15:J18)),"N/A")</f>
        <v>30.183269062789</v>
      </c>
      <c r="K24" s="329" t="n">
        <f aca="false">IF(Inc_St!K24+Inc_St!K46-SUM(Cash_Flow!K15:K18)&gt;0,Inc_St!K18/(Inc_St!K24+Inc_St!K46-SUM(Cash_Flow!K15:K18)),"N/A")</f>
        <v>42.0780527037971</v>
      </c>
      <c r="L24" s="329" t="n">
        <f aca="false">IF(Inc_St!L24+Inc_St!L46-SUM(Cash_Flow!L15:L18)&gt;0,Inc_St!L18/(Inc_St!L24+Inc_St!L46-SUM(Cash_Flow!L15:L18)),"N/A")</f>
        <v>54.2898658903324</v>
      </c>
      <c r="M24" s="329" t="n">
        <f aca="false">IF(Inc_St!M24+Inc_St!M46-SUM(Cash_Flow!M15:M18)&gt;0,Inc_St!M18/(Inc_St!M24+Inc_St!M46-SUM(Cash_Flow!M15:M18)),"N/A")</f>
        <v>59.2698579891012</v>
      </c>
      <c r="N24" s="329"/>
    </row>
    <row r="25" customFormat="false" ht="12" hidden="false" customHeight="false" outlineLevel="0" collapsed="false">
      <c r="A25" s="164"/>
      <c r="C25" s="59"/>
      <c r="D25" s="329"/>
      <c r="E25" s="329"/>
      <c r="F25" s="329"/>
      <c r="G25" s="329"/>
      <c r="H25" s="329"/>
      <c r="I25" s="329"/>
      <c r="J25" s="329"/>
      <c r="K25" s="329"/>
      <c r="L25" s="329"/>
      <c r="M25" s="329"/>
      <c r="N25" s="329"/>
    </row>
    <row r="26" customFormat="false" ht="12" hidden="false" customHeight="false" outlineLevel="0" collapsed="false">
      <c r="A26" s="164" t="s">
        <v>352</v>
      </c>
      <c r="C26" s="59"/>
      <c r="D26" s="329" t="n">
        <f aca="false">IF(Inc_St!D24+Inc_St!D46&gt;0,(Inc_St!D18+Cash_Flow!D30)/(Inc_St!D24+Inc_St!D46),"N/A")</f>
        <v>5.76374222356931</v>
      </c>
      <c r="E26" s="329" t="n">
        <f aca="false">IF(Inc_St!E24+Inc_St!E46&gt;0,(Inc_St!E18+Cash_Flow!E30)/(Inc_St!E24+Inc_St!E46),"N/A")</f>
        <v>6.49875477760871</v>
      </c>
      <c r="F26" s="329" t="n">
        <f aca="false">IF(Inc_St!F24+Inc_St!F46&gt;0,(Inc_St!F18+Cash_Flow!F30)/(Inc_St!F24+Inc_St!F46),"N/A")</f>
        <v>7.8229992337196</v>
      </c>
      <c r="G26" s="329" t="n">
        <f aca="false">IF(Inc_St!G24+Inc_St!G46&gt;0,(Inc_St!G18+Cash_Flow!G30)/(Inc_St!G24+Inc_St!G46),"N/A")</f>
        <v>9.64578738931245</v>
      </c>
      <c r="H26" s="329" t="n">
        <f aca="false">IF(Inc_St!H24+Inc_St!H46&gt;0,(Inc_St!H18+Cash_Flow!H30)/(Inc_St!H24+Inc_St!H46),"N/A")</f>
        <v>11.1640417313553</v>
      </c>
      <c r="I26" s="329" t="n">
        <f aca="false">IF(Inc_St!I24+Inc_St!I46&gt;0,(Inc_St!I18+Cash_Flow!I30)/(Inc_St!I24+Inc_St!I46),"N/A")</f>
        <v>14.5202572700865</v>
      </c>
      <c r="J26" s="329" t="n">
        <f aca="false">IF(Inc_St!J24+Inc_St!J46&gt;0,(Inc_St!J18+Cash_Flow!J30)/(Inc_St!J24+Inc_St!J46),"N/A")</f>
        <v>19.3209283021961</v>
      </c>
      <c r="K26" s="329" t="n">
        <f aca="false">IF(Inc_St!K24+Inc_St!K46&gt;0,(Inc_St!K18+Cash_Flow!K30)/(Inc_St!K24+Inc_St!K46),"N/A")</f>
        <v>26.8227579423548</v>
      </c>
      <c r="L26" s="329" t="n">
        <f aca="false">IF(Inc_St!L24+Inc_St!L46&gt;0,(Inc_St!L18+Cash_Flow!L30)/(Inc_St!L24+Inc_St!L46),"N/A")</f>
        <v>34.4597106720324</v>
      </c>
      <c r="M26" s="329" t="n">
        <f aca="false">IF(Inc_St!M24+Inc_St!M46&gt;0,(Inc_St!M18+Cash_Flow!M30)/(Inc_St!M24+Inc_St!M46),"N/A")</f>
        <v>37.4566872489712</v>
      </c>
      <c r="N26" s="329"/>
    </row>
    <row r="27" customFormat="false" ht="12" hidden="false" customHeight="false" outlineLevel="0" collapsed="false">
      <c r="A27" s="164" t="s">
        <v>353</v>
      </c>
      <c r="C27" s="59"/>
      <c r="D27" s="329" t="n">
        <f aca="false">IF(SUM(Inc_St!D25:D29)&gt;0,(Inc_St!D18+Cash_Flow!D30)/SUM(Inc_St!D25:D29),"N/A")</f>
        <v>8.08211771034056</v>
      </c>
      <c r="E27" s="329" t="n">
        <f aca="false">IF(SUM(Inc_St!E25:E29)&gt;0,(Inc_St!E18+Cash_Flow!E30)/SUM(Inc_St!E25:E29),"N/A")</f>
        <v>9.39609360126423</v>
      </c>
      <c r="F27" s="329" t="n">
        <f aca="false">IF(SUM(Inc_St!F25:F29)&gt;0,(Inc_St!F18+Cash_Flow!F30)/SUM(Inc_St!F25:F29),"N/A")</f>
        <v>12.1141494451233</v>
      </c>
      <c r="G27" s="329" t="n">
        <f aca="false">IF(SUM(Inc_St!G25:G29)&gt;0,(Inc_St!G18+Cash_Flow!G30)/SUM(Inc_St!G25:G29),"N/A")</f>
        <v>16.5508551609315</v>
      </c>
      <c r="H27" s="329" t="n">
        <f aca="false">IF(SUM(Inc_St!H25:H29)&gt;0,(Inc_St!H18+Cash_Flow!H30)/SUM(Inc_St!H25:H29),"N/A")</f>
        <v>20.7389772276942</v>
      </c>
      <c r="I27" s="329" t="n">
        <f aca="false">IF(SUM(Inc_St!I25:I29)&gt;0,(Inc_St!I18+Cash_Flow!I30)/SUM(Inc_St!I25:I29),"N/A")</f>
        <v>22.7573310923811</v>
      </c>
      <c r="J27" s="329" t="n">
        <f aca="false">IF(SUM(Inc_St!J25:J29)&gt;0,(Inc_St!J18+Cash_Flow!J30)/SUM(Inc_St!J25:J29),"N/A")</f>
        <v>28.7665512097542</v>
      </c>
      <c r="K27" s="329" t="n">
        <f aca="false">IF(SUM(Inc_St!K25:K29)&gt;0,(Inc_St!K18+Cash_Flow!K30)/SUM(Inc_St!K25:K29),"N/A")</f>
        <v>46.1844322358814</v>
      </c>
      <c r="L27" s="329" t="n">
        <f aca="false">IF(SUM(Inc_St!L25:L29)&gt;0,(Inc_St!L18+Cash_Flow!L30)/SUM(Inc_St!L25:L29),"N/A")</f>
        <v>68.2917794617686</v>
      </c>
      <c r="M27" s="329" t="n">
        <f aca="false">IF(SUM(Inc_St!M25:M29)&gt;0,(Inc_St!M18+Cash_Flow!M30)/SUM(Inc_St!M25:M29),"N/A")</f>
        <v>74.2311463181045</v>
      </c>
      <c r="N27" s="329"/>
    </row>
    <row r="28" customFormat="false" ht="12" hidden="false" customHeight="false" outlineLevel="0" collapsed="false">
      <c r="A28" s="164" t="s">
        <v>354</v>
      </c>
      <c r="C28" s="59"/>
      <c r="D28" s="329" t="n">
        <f aca="false">IF(Inc_St!D24+Inc_St!D46-SUM(Cash_Flow!D15:D18)&gt;0,(Inc_St!D18+Cash_Flow!D30)/(Inc_St!D24+Inc_St!D46-SUM(Cash_Flow!D15:D18)),"N/A")</f>
        <v>8.08211771034057</v>
      </c>
      <c r="E28" s="329" t="n">
        <f aca="false">IF(Inc_St!E24+Inc_St!E46-SUM(Cash_Flow!E15:E18)&gt;0,(Inc_St!E18+Cash_Flow!E30)/(Inc_St!E24+Inc_St!E46-SUM(Cash_Flow!E15:E18)),"N/A")</f>
        <v>9.39609360126423</v>
      </c>
      <c r="F28" s="329" t="n">
        <f aca="false">IF(Inc_St!F24+Inc_St!F46-SUM(Cash_Flow!F15:F18)&gt;0,(Inc_St!F18+Cash_Flow!F30)/(Inc_St!F24+Inc_St!F46-SUM(Cash_Flow!F15:F18)),"N/A")</f>
        <v>12.1141494451233</v>
      </c>
      <c r="G28" s="329" t="n">
        <f aca="false">IF(Inc_St!G24+Inc_St!G46-SUM(Cash_Flow!G15:G18)&gt;0,(Inc_St!G18+Cash_Flow!G30)/(Inc_St!G24+Inc_St!G46-SUM(Cash_Flow!G15:G18)),"N/A")</f>
        <v>16.5508551609315</v>
      </c>
      <c r="H28" s="329" t="n">
        <f aca="false">IF(Inc_St!H24+Inc_St!H46-SUM(Cash_Flow!H15:H18)&gt;0,(Inc_St!H18+Cash_Flow!H30)/(Inc_St!H24+Inc_St!H46-SUM(Cash_Flow!H15:H18)),"N/A")</f>
        <v>20.7389772276942</v>
      </c>
      <c r="I28" s="329" t="n">
        <f aca="false">IF(Inc_St!I24+Inc_St!I46-SUM(Cash_Flow!I15:I18)&gt;0,(Inc_St!I18+Cash_Flow!I30)/(Inc_St!I24+Inc_St!I46-SUM(Cash_Flow!I15:I18)),"N/A")</f>
        <v>14.5202572700865</v>
      </c>
      <c r="J28" s="329" t="n">
        <f aca="false">IF(Inc_St!J24+Inc_St!J46-SUM(Cash_Flow!J15:J18)&gt;0,(Inc_St!J18+Cash_Flow!J30)/(Inc_St!J24+Inc_St!J46-SUM(Cash_Flow!J15:J18)),"N/A")</f>
        <v>19.3209283021961</v>
      </c>
      <c r="K28" s="329" t="n">
        <f aca="false">IF(Inc_St!K24+Inc_St!K46-SUM(Cash_Flow!K15:K18)&gt;0,(Inc_St!K18+Cash_Flow!K30)/(Inc_St!K24+Inc_St!K46-SUM(Cash_Flow!K15:K18)),"N/A")</f>
        <v>26.8227579423548</v>
      </c>
      <c r="L28" s="329" t="n">
        <f aca="false">IF(Inc_St!L24+Inc_St!L46-SUM(Cash_Flow!L15:L18)&gt;0,(Inc_St!L18+Cash_Flow!L30)/(Inc_St!L24+Inc_St!L46-SUM(Cash_Flow!L15:L18)),"N/A")</f>
        <v>34.4597106720324</v>
      </c>
      <c r="M28" s="329" t="n">
        <f aca="false">IF(Inc_St!M24+Inc_St!M46-SUM(Cash_Flow!M15:M18)&gt;0,(Inc_St!M18+Cash_Flow!M30)/(Inc_St!M24+Inc_St!M46-SUM(Cash_Flow!M15:M18)),"N/A")</f>
        <v>37.4566872489712</v>
      </c>
      <c r="N28" s="329"/>
    </row>
    <row r="29" customFormat="false" ht="12" hidden="false" customHeight="false" outlineLevel="0" collapsed="false">
      <c r="A29" s="164"/>
      <c r="C29" s="59"/>
      <c r="D29" s="329"/>
      <c r="E29" s="329"/>
      <c r="F29" s="329"/>
      <c r="G29" s="329"/>
      <c r="H29" s="329"/>
      <c r="I29" s="329"/>
      <c r="J29" s="329"/>
      <c r="K29" s="329"/>
      <c r="L29" s="329"/>
      <c r="M29" s="329"/>
      <c r="N29" s="329"/>
    </row>
    <row r="30" customFormat="false" ht="12" hidden="false" customHeight="false" outlineLevel="0" collapsed="false">
      <c r="A30" s="164" t="s">
        <v>355</v>
      </c>
      <c r="C30" s="59"/>
      <c r="D30" s="329" t="n">
        <f aca="false">IF(Inc_St!D24+Inc_St!D46&gt;0,Inc_St!D22/(Inc_St!D24+Inc_St!D46),"N/A")</f>
        <v>6.78620895111644</v>
      </c>
      <c r="E30" s="329" t="n">
        <f aca="false">IF(Inc_St!E24+Inc_St!E46&gt;0,Inc_St!E22/(Inc_St!E24+Inc_St!E46),"N/A")</f>
        <v>7.52655650503048</v>
      </c>
      <c r="F30" s="329" t="n">
        <f aca="false">IF(Inc_St!F24+Inc_St!F46&gt;0,Inc_St!F22/(Inc_St!F24+Inc_St!F46),"N/A")</f>
        <v>9.06189500902602</v>
      </c>
      <c r="G30" s="329" t="n">
        <f aca="false">IF(Inc_St!G24+Inc_St!G46&gt;0,Inc_St!G22/(Inc_St!G24+Inc_St!G46),"N/A")</f>
        <v>11.151857367916</v>
      </c>
      <c r="H30" s="329" t="n">
        <f aca="false">IF(Inc_St!H24+Inc_St!H46&gt;0,Inc_St!H22/(Inc_St!H24+Inc_St!H46),"N/A")</f>
        <v>12.812823576029</v>
      </c>
      <c r="I30" s="329" t="n">
        <f aca="false">IF(Inc_St!I24+Inc_St!I46&gt;0,Inc_St!I22/(Inc_St!I24+Inc_St!I46),"N/A")</f>
        <v>16.7210578044645</v>
      </c>
      <c r="J30" s="329" t="n">
        <f aca="false">IF(Inc_St!J24+Inc_St!J46&gt;0,Inc_St!J22/(Inc_St!J24+Inc_St!J46),"N/A")</f>
        <v>24.5237953723402</v>
      </c>
      <c r="K30" s="329" t="n">
        <f aca="false">IF(Inc_St!K24+Inc_St!K46&gt;0,Inc_St!K22/(Inc_St!K24+Inc_St!K46),"N/A")</f>
        <v>33.8353228304573</v>
      </c>
      <c r="L30" s="329" t="n">
        <f aca="false">IF(Inc_St!L24+Inc_St!L46&gt;0,Inc_St!L22/(Inc_St!L24+Inc_St!L46),"N/A")</f>
        <v>43.5212303806536</v>
      </c>
      <c r="M30" s="329" t="n">
        <f aca="false">IF(Inc_St!M24+Inc_St!M46&gt;0,Inc_St!M22/(Inc_St!M24+Inc_St!M46),"N/A")</f>
        <v>46.6834582510783</v>
      </c>
      <c r="N30" s="329"/>
    </row>
    <row r="31" customFormat="false" ht="12" hidden="false" customHeight="false" outlineLevel="0" collapsed="false">
      <c r="A31" s="164"/>
      <c r="C31" s="59"/>
      <c r="D31" s="329"/>
      <c r="E31" s="329"/>
      <c r="F31" s="329"/>
      <c r="G31" s="329"/>
      <c r="H31" s="329"/>
      <c r="I31" s="329"/>
      <c r="J31" s="329"/>
      <c r="K31" s="329"/>
      <c r="L31" s="329"/>
      <c r="M31" s="329"/>
      <c r="N31" s="329"/>
    </row>
    <row r="32" customFormat="false" ht="12" hidden="false" customHeight="false" outlineLevel="0" collapsed="false">
      <c r="A32" s="164"/>
      <c r="C32" s="59"/>
      <c r="D32" s="329"/>
      <c r="E32" s="329"/>
      <c r="F32" s="329"/>
      <c r="G32" s="329"/>
      <c r="H32" s="329"/>
      <c r="I32" s="329"/>
      <c r="J32" s="329"/>
      <c r="K32" s="329"/>
      <c r="L32" s="329"/>
      <c r="M32" s="329"/>
      <c r="N32" s="329"/>
    </row>
    <row r="33" customFormat="false" ht="12" hidden="false" customHeight="false" outlineLevel="0" collapsed="false">
      <c r="A33" s="201" t="s">
        <v>356</v>
      </c>
      <c r="C33" s="59"/>
      <c r="D33" s="329"/>
      <c r="E33" s="329"/>
      <c r="F33" s="329"/>
      <c r="G33" s="329"/>
      <c r="H33" s="329"/>
      <c r="I33" s="329"/>
      <c r="J33" s="329"/>
      <c r="K33" s="329"/>
      <c r="L33" s="329"/>
      <c r="M33" s="329"/>
      <c r="N33" s="329"/>
    </row>
    <row r="34" customFormat="false" ht="12" hidden="false" customHeight="false" outlineLevel="0" collapsed="false">
      <c r="A34" s="164" t="s">
        <v>357</v>
      </c>
      <c r="C34" s="59"/>
      <c r="D34" s="329" t="n">
        <f aca="false">IF(OR(Bal_Sheet!F32&gt;0,Bal_Sheet!E32&gt;0),Inc_St!D8/AVERAGE(Bal_Sheet!F32,Bal_Sheet!E32),0)</f>
        <v>0.934994882201624</v>
      </c>
      <c r="E34" s="329" t="n">
        <f aca="false">IF(OR(Bal_Sheet!G32&gt;0,Bal_Sheet!F32&gt;0),Inc_St!E8/AVERAGE(Bal_Sheet!G32,Bal_Sheet!F32),0)</f>
        <v>0.886888281756716</v>
      </c>
      <c r="F34" s="329" t="n">
        <f aca="false">IF(OR(Bal_Sheet!H32&gt;0,Bal_Sheet!G32&gt;0),Inc_St!F8/AVERAGE(Bal_Sheet!H32,Bal_Sheet!G32),0)</f>
        <v>0.900325374651198</v>
      </c>
      <c r="G34" s="329" t="n">
        <f aca="false">IF(OR(Bal_Sheet!I32&gt;0,Bal_Sheet!H32&gt;0),Inc_St!G8/AVERAGE(Bal_Sheet!I32,Bal_Sheet!H32),0)</f>
        <v>0.911533807551289</v>
      </c>
      <c r="H34" s="329" t="n">
        <f aca="false">IF(OR(Bal_Sheet!J32&gt;0,Bal_Sheet!I32&gt;0),Inc_St!H8/AVERAGE(Bal_Sheet!J32,Bal_Sheet!I32),0)</f>
        <v>0.920899940888258</v>
      </c>
      <c r="I34" s="329" t="n">
        <f aca="false">IF(OR(Bal_Sheet!K32&gt;0,Bal_Sheet!J32&gt;0),Inc_St!I8/AVERAGE(Bal_Sheet!K32,Bal_Sheet!J32),0)</f>
        <v>0.928194145793052</v>
      </c>
      <c r="J34" s="329" t="n">
        <f aca="false">IF(OR(Bal_Sheet!L32&gt;0,Bal_Sheet!K32&gt;0),Inc_St!J8/AVERAGE(Bal_Sheet!L32,Bal_Sheet!K32),0)</f>
        <v>0.923427485837979</v>
      </c>
      <c r="K34" s="329" t="n">
        <f aca="false">IF(OR(Bal_Sheet!M32&gt;0,Bal_Sheet!L32&gt;0),Inc_St!K8/AVERAGE(Bal_Sheet!M32,Bal_Sheet!L32),0)</f>
        <v>0.893541359132047</v>
      </c>
      <c r="L34" s="329" t="n">
        <f aca="false">IF(OR(Bal_Sheet!N32&gt;0,Bal_Sheet!M32&gt;0),Inc_St!L8/AVERAGE(Bal_Sheet!N32,Bal_Sheet!M32),0)</f>
        <v>0.847902201915413</v>
      </c>
      <c r="M34" s="329" t="n">
        <f aca="false">IF(OR(Bal_Sheet!O32&gt;0,Bal_Sheet!N32&gt;0),Inc_St!M8/AVERAGE(Bal_Sheet!O32,Bal_Sheet!N32),0)</f>
        <v>0.811671351074334</v>
      </c>
      <c r="N34" s="329"/>
    </row>
    <row r="35" customFormat="false" ht="12" hidden="false" customHeight="false" outlineLevel="0" collapsed="false">
      <c r="A35" s="164" t="s">
        <v>358</v>
      </c>
      <c r="C35" s="59"/>
      <c r="D35" s="329" t="n">
        <f aca="false">IF(OR(Bal_Sheet!F28&gt;0,Bal_Sheet!E28&gt;0),Inc_St!D8/AVERAGE(Bal_Sheet!F28,Bal_Sheet!E28),0)</f>
        <v>2.21739546744208</v>
      </c>
      <c r="E35" s="329" t="n">
        <f aca="false">IF(OR(Bal_Sheet!G28&gt;0,Bal_Sheet!F28&gt;0),Inc_St!E8/AVERAGE(Bal_Sheet!G28,Bal_Sheet!F28),0)</f>
        <v>2.27109561594084</v>
      </c>
      <c r="F35" s="329" t="n">
        <f aca="false">IF(OR(Bal_Sheet!H28&gt;0,Bal_Sheet!G28&gt;0),Inc_St!F8/AVERAGE(Bal_Sheet!H28,Bal_Sheet!G28),0)</f>
        <v>2.33283332919503</v>
      </c>
      <c r="G35" s="329" t="n">
        <f aca="false">IF(OR(Bal_Sheet!I28&gt;0,Bal_Sheet!H28&gt;0),Inc_St!G8/AVERAGE(Bal_Sheet!I28,Bal_Sheet!H28),0)</f>
        <v>2.39483024925751</v>
      </c>
      <c r="H35" s="329" t="n">
        <f aca="false">IF(OR(Bal_Sheet!J28&gt;0,Bal_Sheet!I28&gt;0),Inc_St!H8/AVERAGE(Bal_Sheet!J28,Bal_Sheet!I28),0)</f>
        <v>2.46179155612486</v>
      </c>
      <c r="I35" s="329" t="n">
        <f aca="false">IF(OR(Bal_Sheet!K28&gt;0,Bal_Sheet!J28&gt;0),Inc_St!I8/AVERAGE(Bal_Sheet!K28,Bal_Sheet!J28),0)</f>
        <v>2.53017706273734</v>
      </c>
      <c r="J35" s="329" t="n">
        <f aca="false">IF(OR(Bal_Sheet!L28&gt;0,Bal_Sheet!K28&gt;0),Inc_St!J8/AVERAGE(Bal_Sheet!L28,Bal_Sheet!K28),0)</f>
        <v>2.52694300989067</v>
      </c>
      <c r="K35" s="329" t="n">
        <f aca="false">IF(OR(Bal_Sheet!M28&gt;0,Bal_Sheet!L28&gt;0),Inc_St!K8/AVERAGE(Bal_Sheet!M28,Bal_Sheet!L28),0)</f>
        <v>2.47158481257645</v>
      </c>
      <c r="L35" s="329" t="n">
        <f aca="false">IF(OR(Bal_Sheet!N28&gt;0,Bal_Sheet!M28&gt;0),Inc_St!L8/AVERAGE(Bal_Sheet!N28,Bal_Sheet!M28),0)</f>
        <v>2.42933436748909</v>
      </c>
      <c r="M35" s="329" t="n">
        <f aca="false">IF(OR(Bal_Sheet!O28&gt;0,Bal_Sheet!N28&gt;0),Inc_St!M8/AVERAGE(Bal_Sheet!O28,Bal_Sheet!N28),0)</f>
        <v>2.40267160713647</v>
      </c>
      <c r="N35" s="329"/>
    </row>
    <row r="36" customFormat="false" ht="12" hidden="false" customHeight="false" outlineLevel="0" collapsed="false">
      <c r="C36" s="59"/>
      <c r="D36" s="329"/>
      <c r="E36" s="329"/>
      <c r="F36" s="329"/>
      <c r="G36" s="329"/>
      <c r="H36" s="329"/>
      <c r="I36" s="329"/>
      <c r="J36" s="329"/>
      <c r="K36" s="329"/>
      <c r="L36" s="329"/>
      <c r="M36" s="329"/>
      <c r="N36" s="329"/>
    </row>
    <row r="37" customFormat="false" ht="12" hidden="false" customHeight="false" outlineLevel="0" collapsed="false">
      <c r="C37" s="59"/>
      <c r="D37" s="329"/>
      <c r="E37" s="329"/>
      <c r="F37" s="329"/>
      <c r="G37" s="329"/>
      <c r="H37" s="329"/>
      <c r="I37" s="329"/>
      <c r="J37" s="329"/>
      <c r="K37" s="329"/>
      <c r="L37" s="329"/>
      <c r="M37" s="329"/>
      <c r="N37" s="329"/>
    </row>
    <row r="38" customFormat="false" ht="12" hidden="false" customHeight="false" outlineLevel="0" collapsed="false">
      <c r="A38" s="163" t="s">
        <v>359</v>
      </c>
      <c r="C38" s="59"/>
      <c r="D38" s="329"/>
      <c r="E38" s="329"/>
      <c r="F38" s="329"/>
      <c r="G38" s="329"/>
      <c r="H38" s="329"/>
      <c r="I38" s="329"/>
      <c r="J38" s="329"/>
      <c r="K38" s="329"/>
      <c r="L38" s="329"/>
      <c r="M38" s="329"/>
      <c r="N38" s="329"/>
    </row>
    <row r="39" customFormat="false" ht="12" hidden="false" customHeight="false" outlineLevel="0" collapsed="false">
      <c r="A39" s="164" t="s">
        <v>360</v>
      </c>
      <c r="C39" s="59"/>
      <c r="D39" s="329" t="n">
        <f aca="false">IF(OR(Bal_Sheet!F12&gt;0,Bal_Sheet!E12&gt;0),Inc_St!D10/AVERAGE(Bal_Sheet!F12,Bal_Sheet!E12),"N/A")</f>
        <v>5.07694911255955</v>
      </c>
      <c r="E39" s="329" t="n">
        <f aca="false">IF(OR(Bal_Sheet!G12&gt;0,Bal_Sheet!F12&gt;0),Inc_St!E10/AVERAGE(Bal_Sheet!G12,Bal_Sheet!F12),"N/A")</f>
        <v>5.13657155100938</v>
      </c>
      <c r="F39" s="329" t="n">
        <f aca="false">IF(OR(Bal_Sheet!H12&gt;0,Bal_Sheet!G12&gt;0),Inc_St!F10/AVERAGE(Bal_Sheet!H12,Bal_Sheet!G12),"N/A")</f>
        <v>4.93901110673979</v>
      </c>
      <c r="G39" s="329" t="n">
        <f aca="false">IF(OR(Bal_Sheet!I12&gt;0,Bal_Sheet!H12&gt;0),Inc_St!G10/AVERAGE(Bal_Sheet!I12,Bal_Sheet!H12),"N/A")</f>
        <v>4.74904914109595</v>
      </c>
      <c r="H39" s="329" t="n">
        <f aca="false">IF(OR(Bal_Sheet!J12&gt;0,Bal_Sheet!I12&gt;0),Inc_St!H10/AVERAGE(Bal_Sheet!J12,Bal_Sheet!I12),"N/A")</f>
        <v>4.56639340489995</v>
      </c>
      <c r="I39" s="329" t="n">
        <f aca="false">IF(OR(Bal_Sheet!K12&gt;0,Bal_Sheet!J12&gt;0),Inc_St!I10/AVERAGE(Bal_Sheet!K12,Bal_Sheet!J12),"N/A")</f>
        <v>4.39076288932688</v>
      </c>
      <c r="J39" s="329" t="n">
        <f aca="false">IF(OR(Bal_Sheet!L12&gt;0,Bal_Sheet!K12&gt;0),Inc_St!J10/AVERAGE(Bal_Sheet!L12,Bal_Sheet!K12),"N/A")</f>
        <v>4.22188739358354</v>
      </c>
      <c r="K39" s="329" t="n">
        <f aca="false">IF(OR(Bal_Sheet!M12&gt;0,Bal_Sheet!L12&gt;0),Inc_St!K10/AVERAGE(Bal_Sheet!M12,Bal_Sheet!L12),"N/A")</f>
        <v>4.05950710921494</v>
      </c>
      <c r="L39" s="329" t="n">
        <f aca="false">IF(OR(Bal_Sheet!N12&gt;0,Bal_Sheet!M12&gt;0),Inc_St!L10/AVERAGE(Bal_Sheet!N12,Bal_Sheet!M12),"N/A")</f>
        <v>3.90337222039898</v>
      </c>
      <c r="M39" s="329" t="n">
        <f aca="false">IF(OR(Bal_Sheet!O12&gt;0,Bal_Sheet!N12&gt;0),Inc_St!M10/AVERAGE(Bal_Sheet!O12,Bal_Sheet!N12),"N/A")</f>
        <v>3.7532425196144</v>
      </c>
      <c r="N39" s="329"/>
    </row>
    <row r="40" customFormat="false" ht="12" hidden="false" customHeight="false" outlineLevel="0" collapsed="false">
      <c r="A40" s="164" t="s">
        <v>361</v>
      </c>
      <c r="C40" s="59"/>
      <c r="D40" s="329" t="n">
        <f aca="false">IF(OR(Bal_Sheet!F11&gt;0,Bal_Sheet!E11&gt;0),Inc_St!D8/AVERAGE(Bal_Sheet!F11,Bal_Sheet!E11),"N/A")</f>
        <v>7.77385159010601</v>
      </c>
      <c r="E40" s="329" t="n">
        <f aca="false">IF(OR(Bal_Sheet!G11&gt;0,Bal_Sheet!F11&gt;0),Inc_St!E8/AVERAGE(Bal_Sheet!G11,Bal_Sheet!F11),"N/A")</f>
        <v>5.67156483629802</v>
      </c>
      <c r="F40" s="329" t="n">
        <f aca="false">IF(OR(Bal_Sheet!H11&gt;0,Bal_Sheet!G11&gt;0),Inc_St!F8/AVERAGE(Bal_Sheet!H11,Bal_Sheet!G11),"N/A")</f>
        <v>5.40149032028382</v>
      </c>
      <c r="G40" s="329" t="n">
        <f aca="false">IF(OR(Bal_Sheet!I11&gt;0,Bal_Sheet!H11&gt;0),Inc_St!G8/AVERAGE(Bal_Sheet!I11,Bal_Sheet!H11),"N/A")</f>
        <v>5.1442764955084</v>
      </c>
      <c r="H40" s="329" t="n">
        <f aca="false">IF(OR(Bal_Sheet!J11&gt;0,Bal_Sheet!I11&gt;0),Inc_St!H8/AVERAGE(Bal_Sheet!J11,Bal_Sheet!I11),"N/A")</f>
        <v>4.89931094810324</v>
      </c>
      <c r="I40" s="329" t="n">
        <f aca="false">IF(OR(Bal_Sheet!K11&gt;0,Bal_Sheet!J11&gt;0),Inc_St!I8/AVERAGE(Bal_Sheet!K11,Bal_Sheet!J11),"N/A")</f>
        <v>4.66601042676499</v>
      </c>
      <c r="J40" s="329" t="n">
        <f aca="false">IF(OR(Bal_Sheet!L11&gt;0,Bal_Sheet!K11&gt;0),Inc_St!J8/AVERAGE(Bal_Sheet!L11,Bal_Sheet!K11),"N/A")</f>
        <v>4.4438194540619</v>
      </c>
      <c r="K40" s="329" t="n">
        <f aca="false">IF(OR(Bal_Sheet!M11&gt;0,Bal_Sheet!L11&gt;0),Inc_St!K8/AVERAGE(Bal_Sheet!M11,Bal_Sheet!L11),"N/A")</f>
        <v>4.23220900386847</v>
      </c>
      <c r="L40" s="329" t="n">
        <f aca="false">IF(OR(Bal_Sheet!N11&gt;0,Bal_Sheet!M11&gt;0),Inc_St!L8/AVERAGE(Bal_Sheet!N11,Bal_Sheet!M11),"N/A")</f>
        <v>4.0306752417795</v>
      </c>
      <c r="M40" s="329" t="n">
        <f aca="false">IF(OR(Bal_Sheet!O11&gt;0,Bal_Sheet!N11&gt;0),Inc_St!M8/AVERAGE(Bal_Sheet!O11,Bal_Sheet!N11),"N/A")</f>
        <v>3.83873832550428</v>
      </c>
      <c r="N40" s="329"/>
    </row>
    <row r="41" customFormat="false" ht="12" hidden="false" customHeight="false" outlineLevel="0" collapsed="false">
      <c r="A41" s="164" t="s">
        <v>362</v>
      </c>
      <c r="C41" s="59"/>
      <c r="D41" s="329" t="n">
        <f aca="false">IF(OR(Bal_Sheet!F38&gt;0,Bal_Sheet!E38&gt;0),(Inc_St!D10+Bal_Sheet!F12-Bal_Sheet!E12)/AVERAGE(Bal_Sheet!F38,Bal_Sheet!E38),"N/A")</f>
        <v>7.87352426064317</v>
      </c>
      <c r="E41" s="329" t="n">
        <f aca="false">IF(OR(Bal_Sheet!G38&gt;0,Bal_Sheet!F38&gt;0),(Inc_St!E10+Bal_Sheet!G12-Bal_Sheet!F12)/AVERAGE(Bal_Sheet!G38,Bal_Sheet!F38),"N/A")</f>
        <v>6.98573256309136</v>
      </c>
      <c r="F41" s="329" t="n">
        <f aca="false">IF(OR(Bal_Sheet!H38&gt;0,Bal_Sheet!G38&gt;0),(Inc_St!F10+Bal_Sheet!H12-Bal_Sheet!G12)/AVERAGE(Bal_Sheet!H38,Bal_Sheet!G38),"N/A")</f>
        <v>6.78747894795394</v>
      </c>
      <c r="G41" s="329" t="n">
        <f aca="false">IF(OR(Bal_Sheet!I38&gt;0,Bal_Sheet!H38&gt;0),(Inc_St!G10+Bal_Sheet!I12-Bal_Sheet!H12)/AVERAGE(Bal_Sheet!I38,Bal_Sheet!H38),"N/A")</f>
        <v>6.65451741999983</v>
      </c>
      <c r="H41" s="329" t="n">
        <f aca="false">IF(OR(Bal_Sheet!J38&gt;0,Bal_Sheet!I38&gt;0),(Inc_St!H10+Bal_Sheet!J12-Bal_Sheet!I12)/AVERAGE(Bal_Sheet!J38,Bal_Sheet!I38),"N/A")</f>
        <v>6.52416517955911</v>
      </c>
      <c r="I41" s="329" t="n">
        <f aca="false">IF(OR(Bal_Sheet!K38&gt;0,Bal_Sheet!J38&gt;0),(Inc_St!I10+Bal_Sheet!K12-Bal_Sheet!J12)/AVERAGE(Bal_Sheet!K38,Bal_Sheet!J38),"N/A")</f>
        <v>6.3963710914471</v>
      </c>
      <c r="J41" s="329" t="n">
        <f aca="false">IF(OR(Bal_Sheet!L38&gt;0,Bal_Sheet!K38&gt;0),(Inc_St!J10+Bal_Sheet!L12-Bal_Sheet!K12)/AVERAGE(Bal_Sheet!L38,Bal_Sheet!K38),"N/A")</f>
        <v>6.27108502280639</v>
      </c>
      <c r="K41" s="329" t="n">
        <f aca="false">IF(OR(Bal_Sheet!M38&gt;0,Bal_Sheet!L38&gt;0),(Inc_St!K10+Bal_Sheet!M12-Bal_Sheet!L12)/AVERAGE(Bal_Sheet!M38,Bal_Sheet!L38),"N/A")</f>
        <v>6.14825782340417</v>
      </c>
      <c r="L41" s="329" t="n">
        <f aca="false">IF(OR(Bal_Sheet!N38&gt;0,Bal_Sheet!M38&gt;0),(Inc_St!L10+Bal_Sheet!N12-Bal_Sheet!M12)/AVERAGE(Bal_Sheet!N38,Bal_Sheet!M38),"N/A")</f>
        <v>6.02784130631327</v>
      </c>
      <c r="M41" s="329" t="n">
        <f aca="false">IF(OR(Bal_Sheet!O38&gt;0,Bal_Sheet!N38&gt;0),(Inc_St!M10+Bal_Sheet!O12-Bal_Sheet!N12)/AVERAGE(Bal_Sheet!O38,Bal_Sheet!N38),"N/A")</f>
        <v>5.90978822896919</v>
      </c>
      <c r="N41" s="329"/>
    </row>
    <row r="42" customFormat="false" ht="12" hidden="false" customHeight="false" outlineLevel="0" collapsed="false">
      <c r="A42" s="164" t="s">
        <v>363</v>
      </c>
      <c r="C42" s="59"/>
      <c r="D42" s="330" t="n">
        <f aca="false">IF(OR(D39="N/A",D39=0),"N/A",365/D39)</f>
        <v>71.8935707070707</v>
      </c>
      <c r="E42" s="330" t="n">
        <f aca="false">IF(OR(E39="N/A",E39=0),"N/A",365/E39)</f>
        <v>71.0590705055543</v>
      </c>
      <c r="F42" s="330" t="n">
        <f aca="false">IF(OR(F39="N/A",F39=0),"N/A",365/F39)</f>
        <v>73.9014333257765</v>
      </c>
      <c r="G42" s="330" t="n">
        <f aca="false">IF(OR(G39="N/A",G39=0),"N/A",365/G39)</f>
        <v>76.8574906588075</v>
      </c>
      <c r="H42" s="330" t="n">
        <f aca="false">IF(OR(H39="N/A",H39=0),"N/A",365/H39)</f>
        <v>79.9317902851599</v>
      </c>
      <c r="I42" s="330" t="n">
        <f aca="false">IF(OR(I39="N/A",I39=0),"N/A",365/I39)</f>
        <v>83.1290618965663</v>
      </c>
      <c r="J42" s="330" t="n">
        <f aca="false">IF(OR(J39="N/A",J39=0),"N/A",365/J39)</f>
        <v>86.4542243724289</v>
      </c>
      <c r="K42" s="330" t="n">
        <f aca="false">IF(OR(K39="N/A",K39=0),"N/A",365/K39)</f>
        <v>89.9123933473261</v>
      </c>
      <c r="L42" s="330" t="n">
        <f aca="false">IF(OR(L39="N/A",L39=0),"N/A",365/L39)</f>
        <v>93.5088890812191</v>
      </c>
      <c r="M42" s="330" t="n">
        <f aca="false">IF(OR(M39="N/A",M39=0),"N/A",365/M39)</f>
        <v>97.2492446444679</v>
      </c>
      <c r="N42" s="329"/>
    </row>
    <row r="43" customFormat="false" ht="12" hidden="false" customHeight="false" outlineLevel="0" collapsed="false">
      <c r="A43" s="164" t="s">
        <v>364</v>
      </c>
      <c r="D43" s="330" t="n">
        <f aca="false">IF(OR(D40="N/A",D40=0),"N/A",365/D40)</f>
        <v>46.9522727272727</v>
      </c>
      <c r="E43" s="330" t="n">
        <f aca="false">IF(OR(E40="N/A",E40=0),"N/A",365/E40)</f>
        <v>64.3561363636364</v>
      </c>
      <c r="F43" s="330" t="n">
        <f aca="false">IF(OR(F40="N/A",F40=0),"N/A",365/F40)</f>
        <v>67.5739431818182</v>
      </c>
      <c r="G43" s="330" t="n">
        <f aca="false">IF(OR(G40="N/A",G40=0),"N/A",365/G40)</f>
        <v>70.9526403409091</v>
      </c>
      <c r="H43" s="330" t="n">
        <f aca="false">IF(OR(H40="N/A",H40=0),"N/A",365/H40)</f>
        <v>74.5002723579546</v>
      </c>
      <c r="I43" s="330" t="n">
        <f aca="false">IF(OR(I40="N/A",I40=0),"N/A",365/I40)</f>
        <v>78.2252859758523</v>
      </c>
      <c r="J43" s="330" t="n">
        <f aca="false">IF(OR(J40="N/A",J40=0),"N/A",365/J40)</f>
        <v>82.1365502746449</v>
      </c>
      <c r="K43" s="330" t="n">
        <f aca="false">IF(OR(K40="N/A",K40=0),"N/A",365/K40)</f>
        <v>86.2433777883772</v>
      </c>
      <c r="L43" s="330" t="n">
        <f aca="false">IF(OR(L40="N/A",L40=0),"N/A",365/L40)</f>
        <v>90.555546677796</v>
      </c>
      <c r="M43" s="330" t="n">
        <f aca="false">IF(OR(M40="N/A",M40=0),"N/A",365/M40)</f>
        <v>95.0833240116858</v>
      </c>
      <c r="N43" s="329"/>
    </row>
    <row r="44" customFormat="false" ht="12" hidden="false" customHeight="false" outlineLevel="0" collapsed="false">
      <c r="A44" s="164" t="s">
        <v>365</v>
      </c>
      <c r="D44" s="330" t="n">
        <f aca="false">IF(OR(D41="N/A",D41=0),"N/A",365/D41)</f>
        <v>46.3578936086474</v>
      </c>
      <c r="E44" s="330" t="n">
        <f aca="false">IF(OR(E41="N/A",E41=0),"N/A",365/E41)</f>
        <v>52.249352047694</v>
      </c>
      <c r="F44" s="330" t="n">
        <f aca="false">IF(OR(F41="N/A",F41=0),"N/A",365/F41)</f>
        <v>53.7754890731599</v>
      </c>
      <c r="G44" s="330" t="n">
        <f aca="false">IF(OR(G41="N/A",G41=0),"N/A",365/G41)</f>
        <v>54.849957850138</v>
      </c>
      <c r="H44" s="330" t="n">
        <f aca="false">IF(OR(H41="N/A",H41=0),"N/A",365/H41)</f>
        <v>55.9458551330956</v>
      </c>
      <c r="I44" s="330" t="n">
        <f aca="false">IF(OR(I41="N/A",I41=0),"N/A",365/I41)</f>
        <v>57.0636060324986</v>
      </c>
      <c r="J44" s="330" t="n">
        <f aca="false">IF(OR(J41="N/A",J41=0),"N/A",365/J41)</f>
        <v>58.203643974302</v>
      </c>
      <c r="K44" s="330" t="n">
        <f aca="false">IF(OR(K41="N/A",K41=0),"N/A",365/K41)</f>
        <v>59.3664108571665</v>
      </c>
      <c r="L44" s="330" t="n">
        <f aca="false">IF(OR(L41="N/A",L41=0),"N/A",365/L41)</f>
        <v>60.5523572124761</v>
      </c>
      <c r="M44" s="330" t="n">
        <f aca="false">IF(OR(M41="N/A",M41=0),"N/A",365/M41)</f>
        <v>61.7619423672081</v>
      </c>
      <c r="N44" s="329"/>
    </row>
    <row r="45" customFormat="false" ht="12" hidden="false" customHeight="false" outlineLevel="0" collapsed="false">
      <c r="C45" s="59"/>
      <c r="D45" s="329"/>
      <c r="E45" s="329"/>
      <c r="F45" s="329"/>
      <c r="G45" s="329"/>
      <c r="H45" s="329"/>
      <c r="I45" s="329"/>
      <c r="J45" s="329"/>
      <c r="K45" s="329"/>
      <c r="L45" s="329"/>
      <c r="M45" s="329"/>
      <c r="N45" s="329"/>
    </row>
    <row r="46" customFormat="false" ht="12" hidden="false" customHeight="false" outlineLevel="0" collapsed="false">
      <c r="C46" s="59"/>
      <c r="D46" s="329"/>
      <c r="E46" s="329"/>
      <c r="F46" s="329"/>
      <c r="G46" s="329"/>
      <c r="H46" s="329"/>
      <c r="I46" s="329"/>
      <c r="J46" s="329"/>
      <c r="K46" s="329"/>
      <c r="L46" s="329"/>
      <c r="M46" s="329"/>
      <c r="N46" s="329"/>
    </row>
    <row r="47" customFormat="false" ht="12" hidden="false" customHeight="false" outlineLevel="0" collapsed="false">
      <c r="A47" s="163" t="s">
        <v>366</v>
      </c>
      <c r="C47" s="59"/>
      <c r="D47" s="329"/>
      <c r="E47" s="329"/>
      <c r="F47" s="329"/>
      <c r="G47" s="329"/>
      <c r="H47" s="329"/>
      <c r="I47" s="329"/>
      <c r="J47" s="329"/>
      <c r="K47" s="329"/>
      <c r="L47" s="329"/>
      <c r="M47" s="329"/>
      <c r="N47" s="329"/>
    </row>
    <row r="48" customFormat="false" ht="12" hidden="false" customHeight="false" outlineLevel="0" collapsed="false">
      <c r="A48" s="164" t="s">
        <v>367</v>
      </c>
      <c r="C48" s="59"/>
      <c r="D48" s="329" t="n">
        <f aca="false">IF(Bal_Sheet!F42&gt;0,Bal_Sheet!F16/Bal_Sheet!F42,"N/A")</f>
        <v>2.31088611004409</v>
      </c>
      <c r="E48" s="329" t="n">
        <f aca="false">IF(Bal_Sheet!G42&gt;0,Bal_Sheet!G16/Bal_Sheet!G42,"N/A")</f>
        <v>2.31960410916259</v>
      </c>
      <c r="F48" s="329" t="n">
        <f aca="false">IF(Bal_Sheet!H42&gt;0,Bal_Sheet!H16/Bal_Sheet!H42,"N/A")</f>
        <v>2.34650610978862</v>
      </c>
      <c r="G48" s="329" t="n">
        <f aca="false">IF(Bal_Sheet!I42&gt;0,Bal_Sheet!I16/Bal_Sheet!I42,"N/A")</f>
        <v>2.37680040474888</v>
      </c>
      <c r="H48" s="329" t="n">
        <f aca="false">IF(Bal_Sheet!J42&gt;0,Bal_Sheet!J16/Bal_Sheet!J42,"N/A")</f>
        <v>2.41029568270992</v>
      </c>
      <c r="I48" s="329" t="n">
        <f aca="false">IF(Bal_Sheet!K42&gt;0,Bal_Sheet!K16/Bal_Sheet!K42,"N/A")</f>
        <v>2.44682470352355</v>
      </c>
      <c r="J48" s="329" t="n">
        <f aca="false">IF(Bal_Sheet!L42&gt;0,Bal_Sheet!L16/Bal_Sheet!L42,"N/A")</f>
        <v>2.48624186435759</v>
      </c>
      <c r="K48" s="329" t="n">
        <f aca="false">IF(Bal_Sheet!M42&gt;0,Bal_Sheet!M16/Bal_Sheet!M42,"N/A")</f>
        <v>2.69659537618051</v>
      </c>
      <c r="L48" s="329" t="n">
        <f aca="false">IF(Bal_Sheet!N42&gt;0,Bal_Sheet!N16/Bal_Sheet!N42,"N/A")</f>
        <v>2.95410323563865</v>
      </c>
      <c r="M48" s="329" t="n">
        <f aca="false">IF(Bal_Sheet!O42&gt;0,Bal_Sheet!O16/Bal_Sheet!O42,"N/A")</f>
        <v>3.10398052881429</v>
      </c>
      <c r="N48" s="329"/>
    </row>
    <row r="49" customFormat="false" ht="12" hidden="false" customHeight="false" outlineLevel="0" collapsed="false">
      <c r="A49" s="164" t="s">
        <v>368</v>
      </c>
      <c r="C49" s="59"/>
      <c r="D49" s="329" t="n">
        <f aca="false">IF(Bal_Sheet!F42&gt;0,(Bal_Sheet!F10+Bal_Sheet!F11)/Bal_Sheet!F42,"N/A")</f>
        <v>1.08438931937736</v>
      </c>
      <c r="E49" s="329" t="n">
        <f aca="false">IF(Bal_Sheet!G42&gt;0,(Bal_Sheet!G10+Bal_Sheet!G11)/Bal_Sheet!G42,"N/A")</f>
        <v>1.08356098660067</v>
      </c>
      <c r="F49" s="329" t="n">
        <f aca="false">IF(Bal_Sheet!H42&gt;0,(Bal_Sheet!H10+Bal_Sheet!H11)/Bal_Sheet!H42,"N/A")</f>
        <v>1.09289241271452</v>
      </c>
      <c r="G49" s="329" t="n">
        <f aca="false">IF(Bal_Sheet!I42&gt;0,(Bal_Sheet!I10+Bal_Sheet!I11)/Bal_Sheet!I42,"N/A")</f>
        <v>1.10532209305775</v>
      </c>
      <c r="H49" s="329" t="n">
        <f aca="false">IF(Bal_Sheet!J42&gt;0,(Bal_Sheet!J10+Bal_Sheet!J11)/Bal_Sheet!J42,"N/A")</f>
        <v>1.1206540004974</v>
      </c>
      <c r="I49" s="329" t="n">
        <f aca="false">IF(Bal_Sheet!K42&gt;0,(Bal_Sheet!K10+Bal_Sheet!K11)/Bal_Sheet!K42,"N/A")</f>
        <v>1.13871617195883</v>
      </c>
      <c r="J49" s="329" t="n">
        <f aca="false">IF(Bal_Sheet!L42&gt;0,(Bal_Sheet!L10+Bal_Sheet!L11)/Bal_Sheet!L42,"N/A")</f>
        <v>1.15935828051519</v>
      </c>
      <c r="K49" s="329" t="n">
        <f aca="false">IF(Bal_Sheet!M42&gt;0,(Bal_Sheet!M10+Bal_Sheet!M11)/Bal_Sheet!M42,"N/A")</f>
        <v>1.3506238183088</v>
      </c>
      <c r="L49" s="329" t="n">
        <f aca="false">IF(Bal_Sheet!N42&gt;0,(Bal_Sheet!N10+Bal_Sheet!N11)/Bal_Sheet!N42,"N/A")</f>
        <v>1.58872607537018</v>
      </c>
      <c r="M49" s="329" t="n">
        <f aca="false">IF(Bal_Sheet!O42&gt;0,(Bal_Sheet!O10+Bal_Sheet!O11)/Bal_Sheet!O42,"N/A")</f>
        <v>1.71887545085118</v>
      </c>
      <c r="N49" s="329"/>
    </row>
    <row r="50" customFormat="false" ht="12" hidden="false" customHeight="false" outlineLevel="0" collapsed="false">
      <c r="C50" s="59"/>
      <c r="D50" s="329"/>
      <c r="E50" s="329"/>
      <c r="F50" s="329"/>
      <c r="G50" s="329"/>
      <c r="H50" s="329"/>
      <c r="I50" s="329"/>
      <c r="J50" s="329"/>
      <c r="K50" s="329"/>
      <c r="L50" s="329"/>
      <c r="M50" s="329"/>
      <c r="N50" s="329"/>
    </row>
    <row r="51" customFormat="false" ht="12" hidden="false" customHeight="false" outlineLevel="0" collapsed="false">
      <c r="C51" s="59"/>
      <c r="D51" s="159"/>
      <c r="E51" s="159"/>
      <c r="F51" s="159"/>
      <c r="G51" s="159"/>
      <c r="H51" s="159"/>
      <c r="I51" s="159"/>
      <c r="J51" s="159"/>
      <c r="K51" s="159"/>
      <c r="L51" s="159"/>
      <c r="M51" s="159"/>
      <c r="N51" s="159"/>
    </row>
    <row r="52" customFormat="false" ht="12" hidden="false" customHeight="false" outlineLevel="0" collapsed="false">
      <c r="A52" s="163" t="s">
        <v>369</v>
      </c>
      <c r="C52" s="59"/>
      <c r="D52" s="159"/>
      <c r="E52" s="159"/>
      <c r="F52" s="159"/>
      <c r="G52" s="159"/>
      <c r="H52" s="159"/>
      <c r="I52" s="159"/>
      <c r="J52" s="159"/>
      <c r="K52" s="159"/>
      <c r="L52" s="159"/>
      <c r="M52" s="159"/>
      <c r="N52" s="159"/>
    </row>
    <row r="53" customFormat="false" ht="12" hidden="false" customHeight="false" outlineLevel="0" collapsed="false">
      <c r="A53" s="164" t="s">
        <v>370</v>
      </c>
      <c r="C53" s="59"/>
      <c r="D53" s="331" t="n">
        <f aca="false">IF(AND(Bal_Sheet!F62+Bal_Sheet!F63&gt;0,Bal_Sheet!E62+Bal_Sheet!E63&gt;0),(Inc_St!D43-Inc_St!D46)/AVERAGE((Bal_Sheet!F62+Bal_Sheet!F63),(Bal_Sheet!E62+Bal_Sheet!E63)),"N/A")</f>
        <v>0.387184015951918</v>
      </c>
      <c r="E53" s="331" t="n">
        <f aca="false">IF(AND(Bal_Sheet!G62+Bal_Sheet!G63&gt;0,Bal_Sheet!F62+Bal_Sheet!F63&gt;0),(Inc_St!E43-Inc_St!E46)/AVERAGE((Bal_Sheet!G62+Bal_Sheet!G63),(Bal_Sheet!F62+Bal_Sheet!F63)),"N/A")</f>
        <v>0.301925006063751</v>
      </c>
      <c r="F53" s="331" t="n">
        <f aca="false">IF(AND(Bal_Sheet!H62+Bal_Sheet!H63&gt;0,Bal_Sheet!G62+Bal_Sheet!G63&gt;0),(Inc_St!F43-Inc_St!F46)/AVERAGE((Bal_Sheet!H62+Bal_Sheet!H63),(Bal_Sheet!G62+Bal_Sheet!G63)),"N/A")</f>
        <v>0.256110919399865</v>
      </c>
      <c r="G53" s="331" t="n">
        <f aca="false">IF(AND(Bal_Sheet!I62+Bal_Sheet!I63&gt;0,Bal_Sheet!H62+Bal_Sheet!H63&gt;0),(Inc_St!G43-Inc_St!G46)/AVERAGE((Bal_Sheet!I62+Bal_Sheet!I63),(Bal_Sheet!H62+Bal_Sheet!H63)),"N/A")</f>
        <v>0.225230490592845</v>
      </c>
      <c r="H53" s="331" t="n">
        <f aca="false">IF(AND(Bal_Sheet!J62+Bal_Sheet!J63&gt;0,Bal_Sheet!I62+Bal_Sheet!I63&gt;0),(Inc_St!H43-Inc_St!H46)/AVERAGE((Bal_Sheet!J62+Bal_Sheet!J63),(Bal_Sheet!I62+Bal_Sheet!I63)),"N/A")</f>
        <v>0.200161059151292</v>
      </c>
      <c r="I53" s="331" t="n">
        <f aca="false">IF(AND(Bal_Sheet!K62+Bal_Sheet!K63&gt;0,Bal_Sheet!J62+Bal_Sheet!J63&gt;0),(Inc_St!I43-Inc_St!I46)/AVERAGE((Bal_Sheet!K62+Bal_Sheet!K63),(Bal_Sheet!J62+Bal_Sheet!J63)),"N/A")</f>
        <v>0.184087691735096</v>
      </c>
      <c r="J53" s="331" t="n">
        <f aca="false">IF(AND(Bal_Sheet!L62+Bal_Sheet!L63&gt;0,Bal_Sheet!K62+Bal_Sheet!K63&gt;0),(Inc_St!J43-Inc_St!J46)/AVERAGE((Bal_Sheet!L62+Bal_Sheet!L63),(Bal_Sheet!K62+Bal_Sheet!K63)),"N/A")</f>
        <v>0.188473561707964</v>
      </c>
      <c r="K53" s="331" t="n">
        <f aca="false">IF(AND(Bal_Sheet!M62+Bal_Sheet!M63&gt;0,Bal_Sheet!L62+Bal_Sheet!L63&gt;0),(Inc_St!K43-Inc_St!K46)/AVERAGE((Bal_Sheet!M62+Bal_Sheet!M63),(Bal_Sheet!L62+Bal_Sheet!L63)),"N/A")</f>
        <v>0.172577353350866</v>
      </c>
      <c r="L53" s="331" t="n">
        <f aca="false">IF(AND(Bal_Sheet!N62+Bal_Sheet!N63&gt;0,Bal_Sheet!M62+Bal_Sheet!M63&gt;0),(Inc_St!L43-Inc_St!L46)/AVERAGE((Bal_Sheet!N62+Bal_Sheet!N63),(Bal_Sheet!M62+Bal_Sheet!M63)),"N/A")</f>
        <v>0.160549455211331</v>
      </c>
      <c r="M53" s="331" t="n">
        <f aca="false">IF(AND(Bal_Sheet!O62+Bal_Sheet!O63&gt;0,Bal_Sheet!N62+Bal_Sheet!N63&gt;0),(Inc_St!M43-Inc_St!M46)/AVERAGE((Bal_Sheet!O62+Bal_Sheet!O63),(Bal_Sheet!N62+Bal_Sheet!N63)),"N/A")</f>
        <v>0.148185991418486</v>
      </c>
      <c r="N53" s="159"/>
    </row>
    <row r="54" customFormat="false" ht="12" hidden="false" customHeight="false" outlineLevel="0" collapsed="false">
      <c r="A54" s="164" t="s">
        <v>371</v>
      </c>
      <c r="C54" s="59"/>
      <c r="D54" s="331" t="n">
        <f aca="false">IF(AND(Bal_Sheet!F32&gt;0,Bal_Sheet!E32&gt;0),(Inc_St!D43-Inc_St!D46+Inc_St!D24*(1-tax_rate))/AVERAGE(Bal_Sheet!F32,Bal_Sheet!E32),"N/A")</f>
        <v>0.132495137967585</v>
      </c>
      <c r="E54" s="331" t="n">
        <f aca="false">IF(AND(Bal_Sheet!G32&gt;0,Bal_Sheet!F32&gt;0),(Inc_St!E43-Inc_St!E46+Inc_St!E24*(1-tax_rate))/AVERAGE(Bal_Sheet!G32,Bal_Sheet!F32),"N/A")</f>
        <v>0.122362403004921</v>
      </c>
      <c r="F54" s="331" t="n">
        <f aca="false">IF(AND(Bal_Sheet!H32&gt;0,Bal_Sheet!G32&gt;0),(Inc_St!F43-Inc_St!F46+Inc_St!F24*(1-tax_rate))/AVERAGE(Bal_Sheet!H32,Bal_Sheet!G32),"N/A")</f>
        <v>0.12266834680492</v>
      </c>
      <c r="G54" s="331" t="n">
        <f aca="false">IF(AND(Bal_Sheet!I32&gt;0,Bal_Sheet!H32&gt;0),(Inc_St!G43-Inc_St!G46+Inc_St!G24*(1-tax_rate))/AVERAGE(Bal_Sheet!I32,Bal_Sheet!H32),"N/A")</f>
        <v>0.122828371195148</v>
      </c>
      <c r="H54" s="331" t="n">
        <f aca="false">IF(AND(Bal_Sheet!J32&gt;0,Bal_Sheet!I32&gt;0),(Inc_St!H43-Inc_St!H46+Inc_St!H24*(1-tax_rate))/AVERAGE(Bal_Sheet!J32,Bal_Sheet!I32),"N/A")</f>
        <v>0.12193839726343</v>
      </c>
      <c r="I54" s="331" t="n">
        <f aca="false">IF(AND(Bal_Sheet!K32&gt;0,Bal_Sheet!J32&gt;0),(Inc_St!I43-Inc_St!I46+Inc_St!I24*(1-tax_rate))/AVERAGE(Bal_Sheet!K32,Bal_Sheet!J32),"N/A")</f>
        <v>0.121731718761579</v>
      </c>
      <c r="J54" s="331" t="n">
        <f aca="false">IF(AND(Bal_Sheet!L32&gt;0,Bal_Sheet!K32&gt;0),(Inc_St!J43-Inc_St!J46+Inc_St!J24*(1-tax_rate))/AVERAGE(Bal_Sheet!L32,Bal_Sheet!K32),"N/A")</f>
        <v>0.133152645738364</v>
      </c>
      <c r="K54" s="331" t="n">
        <f aca="false">IF(AND(Bal_Sheet!M32&gt;0,Bal_Sheet!L32&gt;0),(Inc_St!K43-Inc_St!K46+Inc_St!K24*(1-tax_rate))/AVERAGE(Bal_Sheet!M32,Bal_Sheet!L32),"N/A")</f>
        <v>0.126769266017223</v>
      </c>
      <c r="L54" s="331" t="n">
        <f aca="false">IF(AND(Bal_Sheet!N32&gt;0,Bal_Sheet!M32&gt;0),(Inc_St!L43-Inc_St!L46+Inc_St!L24*(1-tax_rate))/AVERAGE(Bal_Sheet!N32,Bal_Sheet!M32),"N/A")</f>
        <v>0.119213595771827</v>
      </c>
      <c r="M54" s="331" t="n">
        <f aca="false">IF(AND(Bal_Sheet!O32&gt;0,Bal_Sheet!N32&gt;0),(Inc_St!M43-Inc_St!M46+Inc_St!M24*(1-tax_rate))/AVERAGE(Bal_Sheet!O32,Bal_Sheet!N32),"N/A")</f>
        <v>0.111413785120428</v>
      </c>
      <c r="N54" s="159"/>
    </row>
    <row r="55" customFormat="false" ht="12" hidden="false" customHeight="false" outlineLevel="0" collapsed="false">
      <c r="C55" s="59"/>
      <c r="D55" s="159"/>
      <c r="E55" s="159"/>
      <c r="F55" s="159"/>
      <c r="G55" s="159"/>
      <c r="H55" s="159"/>
      <c r="I55" s="159"/>
      <c r="J55" s="159"/>
      <c r="K55" s="159"/>
      <c r="L55" s="159"/>
      <c r="M55" s="159"/>
      <c r="N55" s="159"/>
    </row>
    <row r="56" customFormat="false" ht="12" hidden="false" customHeight="false" outlineLevel="0" collapsed="false">
      <c r="C56" s="59"/>
      <c r="D56" s="159"/>
      <c r="E56" s="159"/>
      <c r="F56" s="159"/>
      <c r="G56" s="159"/>
      <c r="H56" s="159"/>
      <c r="I56" s="159"/>
      <c r="J56" s="159"/>
      <c r="K56" s="159"/>
      <c r="L56" s="159"/>
      <c r="M56" s="159"/>
      <c r="N56" s="159"/>
    </row>
    <row r="57" customFormat="false" ht="12" hidden="false" customHeight="false" outlineLevel="0" collapsed="false">
      <c r="A57" s="163" t="s">
        <v>372</v>
      </c>
      <c r="C57" s="59"/>
      <c r="D57" s="159"/>
      <c r="E57" s="159"/>
      <c r="F57" s="159"/>
      <c r="G57" s="159"/>
      <c r="H57" s="159"/>
      <c r="I57" s="159"/>
      <c r="J57" s="159"/>
      <c r="K57" s="159"/>
      <c r="L57" s="159"/>
      <c r="M57" s="159"/>
      <c r="N57" s="159"/>
    </row>
    <row r="58" customFormat="false" ht="12" hidden="false" customHeight="false" outlineLevel="0" collapsed="false">
      <c r="A58" s="164" t="s">
        <v>373</v>
      </c>
      <c r="C58" s="59"/>
      <c r="D58" s="331" t="s">
        <v>324</v>
      </c>
      <c r="E58" s="331" t="n">
        <f aca="false">IF(Inc_St!D8&gt;0,(Inc_St!E8-Inc_St!D8)/Inc_St!D8,"N/A")</f>
        <v>0.1</v>
      </c>
      <c r="F58" s="331" t="n">
        <f aca="false">IF(Inc_St!E8&gt;0,(Inc_St!F8-Inc_St!E8)/Inc_St!E8,"N/A")</f>
        <v>0.1</v>
      </c>
      <c r="G58" s="331" t="n">
        <f aca="false">IF(Inc_St!F8&gt;0,(Inc_St!G8-Inc_St!F8)/Inc_St!F8,"N/A")</f>
        <v>0.1</v>
      </c>
      <c r="H58" s="331" t="n">
        <f aca="false">IF(Inc_St!G8&gt;0,(Inc_St!H8-Inc_St!G8)/Inc_St!G8,"N/A")</f>
        <v>0.1</v>
      </c>
      <c r="I58" s="331" t="n">
        <f aca="false">IF(Inc_St!H8&gt;0,(Inc_St!I8-Inc_St!H8)/Inc_St!H8,"N/A")</f>
        <v>0.1</v>
      </c>
      <c r="J58" s="331" t="n">
        <f aca="false">IF(Inc_St!I8&gt;0,(Inc_St!J8-Inc_St!I8)/Inc_St!I8,"N/A")</f>
        <v>0.1</v>
      </c>
      <c r="K58" s="331" t="n">
        <f aca="false">IF(Inc_St!J8&gt;0,(Inc_St!K8-Inc_St!J8)/Inc_St!J8,"N/A")</f>
        <v>0.1</v>
      </c>
      <c r="L58" s="331" t="n">
        <f aca="false">IF(Inc_St!K8&gt;0,(Inc_St!L8-Inc_St!K8)/Inc_St!K8,"N/A")</f>
        <v>0.1</v>
      </c>
      <c r="M58" s="331" t="n">
        <f aca="false">IF(Inc_St!L8&gt;0,(Inc_St!M8-Inc_St!L8)/Inc_St!L8,"N/A")</f>
        <v>0.1</v>
      </c>
      <c r="N58" s="159"/>
    </row>
    <row r="59" customFormat="false" ht="12" hidden="false" customHeight="false" outlineLevel="0" collapsed="false">
      <c r="A59" s="164" t="s">
        <v>115</v>
      </c>
      <c r="C59" s="59"/>
      <c r="D59" s="331" t="n">
        <f aca="false">IF(Inc_St!D8&gt;0,Inc_St!D12/Inc_St!D8,"N/A")</f>
        <v>0.55</v>
      </c>
      <c r="E59" s="331" t="n">
        <f aca="false">IF(Inc_St!E8&gt;0,Inc_St!E12/Inc_St!E8,"N/A")</f>
        <v>0.548875</v>
      </c>
      <c r="F59" s="331" t="n">
        <f aca="false">IF(Inc_St!F8&gt;0,Inc_St!F12/Inc_St!F8,"N/A")</f>
        <v>0.5477471875</v>
      </c>
      <c r="G59" s="331" t="n">
        <f aca="false">IF(Inc_St!G8&gt;0,Inc_St!G12/Inc_St!G8,"N/A")</f>
        <v>0.54661655546875</v>
      </c>
      <c r="H59" s="331" t="n">
        <f aca="false">IF(Inc_St!H8&gt;0,Inc_St!H12/Inc_St!H8,"N/A")</f>
        <v>0.545483096857422</v>
      </c>
      <c r="I59" s="331" t="n">
        <f aca="false">IF(Inc_St!I8&gt;0,Inc_St!I12/Inc_St!I8,"N/A")</f>
        <v>0.544346804599566</v>
      </c>
      <c r="J59" s="331" t="n">
        <f aca="false">IF(Inc_St!J8&gt;0,Inc_St!J12/Inc_St!J8,"N/A")</f>
        <v>0.543207671611065</v>
      </c>
      <c r="K59" s="331" t="n">
        <f aca="false">IF(Inc_St!K8&gt;0,Inc_St!K12/Inc_St!K8,"N/A")</f>
        <v>0.542065690790092</v>
      </c>
      <c r="L59" s="331" t="n">
        <f aca="false">IF(Inc_St!L8&gt;0,Inc_St!L12/Inc_St!L8,"N/A")</f>
        <v>0.540920855017067</v>
      </c>
      <c r="M59" s="331" t="n">
        <f aca="false">IF(Inc_St!M8&gt;0,Inc_St!M12/Inc_St!M8,"N/A")</f>
        <v>0.53977315715461</v>
      </c>
      <c r="N59" s="159"/>
    </row>
    <row r="60" customFormat="false" ht="12" hidden="false" customHeight="false" outlineLevel="0" collapsed="false">
      <c r="A60" s="164" t="s">
        <v>374</v>
      </c>
      <c r="C60" s="59"/>
      <c r="D60" s="331" t="n">
        <f aca="false">IF(Inc_St!D8&gt;0,Inc_St!D18/Inc_St!D8,"N/A")</f>
        <v>0.29</v>
      </c>
      <c r="E60" s="331" t="n">
        <f aca="false">IF(Inc_St!E8&gt;0,Inc_St!E18/Inc_St!E8,"N/A")</f>
        <v>0.287995</v>
      </c>
      <c r="F60" s="331" t="n">
        <f aca="false">IF(Inc_St!F8&gt;0,Inc_St!F18/Inc_St!F8,"N/A")</f>
        <v>0.2859834175</v>
      </c>
      <c r="G60" s="331" t="n">
        <f aca="false">IF(Inc_St!G8&gt;0,Inc_St!G18/Inc_St!G8,"N/A")</f>
        <v>0.28396522756375</v>
      </c>
      <c r="H60" s="331" t="n">
        <f aca="false">IF(Inc_St!H8&gt;0,Inc_St!H18/Inc_St!H8,"N/A")</f>
        <v>0.281940405149314</v>
      </c>
      <c r="I60" s="331" t="n">
        <f aca="false">IF(Inc_St!I8&gt;0,Inc_St!I18/Inc_St!I8,"N/A")</f>
        <v>0.27990892510859</v>
      </c>
      <c r="J60" s="331" t="n">
        <f aca="false">IF(Inc_St!J8&gt;0,Inc_St!J18/Inc_St!J8,"N/A")</f>
        <v>0.277870762186819</v>
      </c>
      <c r="K60" s="331" t="n">
        <f aca="false">IF(Inc_St!K8&gt;0,Inc_St!K18/Inc_St!K8,"N/A")</f>
        <v>0.275825891022108</v>
      </c>
      <c r="L60" s="331" t="n">
        <f aca="false">IF(Inc_St!L8&gt;0,Inc_St!L18/Inc_St!L8,"N/A")</f>
        <v>0.27377428614493</v>
      </c>
      <c r="M60" s="331" t="n">
        <f aca="false">IF(Inc_St!M8&gt;0,Inc_St!M18/Inc_St!M8,"N/A")</f>
        <v>0.271715921977641</v>
      </c>
      <c r="N60" s="159"/>
    </row>
    <row r="61" customFormat="false" ht="12" hidden="false" customHeight="false" outlineLevel="0" collapsed="false">
      <c r="A61" s="164" t="s">
        <v>375</v>
      </c>
      <c r="C61" s="59"/>
      <c r="D61" s="331" t="n">
        <f aca="false">IF(Inc_St!D8&gt;0,Inc_St!D22/Inc_St!D8,"N/A")</f>
        <v>0.223705303030303</v>
      </c>
      <c r="E61" s="331" t="n">
        <f aca="false">IF(Inc_St!E8&gt;0,Inc_St!E22/Inc_St!E8,"N/A")</f>
        <v>0.217727093663912</v>
      </c>
      <c r="F61" s="331" t="n">
        <f aca="false">IF(Inc_St!F8&gt;0,Inc_St!F22/Inc_St!F8,"N/A")</f>
        <v>0.215436835982344</v>
      </c>
      <c r="G61" s="331" t="n">
        <f aca="false">IF(Inc_St!G8&gt;0,Inc_St!G22/Inc_St!G8,"N/A")</f>
        <v>0.212689114495751</v>
      </c>
      <c r="H61" s="331" t="n">
        <f aca="false">IF(Inc_St!H8&gt;0,Inc_St!H22/Inc_St!H8,"N/A")</f>
        <v>0.208810605390528</v>
      </c>
      <c r="I61" s="331" t="n">
        <f aca="false">IF(Inc_St!I8&gt;0,Inc_St!I22/Inc_St!I8,"N/A")</f>
        <v>0.207177288964238</v>
      </c>
      <c r="J61" s="331" t="n">
        <f aca="false">IF(Inc_St!J8&gt;0,Inc_St!J22/Inc_St!J8,"N/A")</f>
        <v>0.225768974780364</v>
      </c>
      <c r="K61" s="331" t="n">
        <f aca="false">IF(Inc_St!K8&gt;0,Inc_St!K22/Inc_St!K8,"N/A")</f>
        <v>0.221793963076846</v>
      </c>
      <c r="L61" s="331" t="n">
        <f aca="false">IF(Inc_St!L8&gt;0,Inc_St!L22/Inc_St!L8,"N/A")</f>
        <v>0.219469943132319</v>
      </c>
      <c r="M61" s="331" t="n">
        <f aca="false">IF(Inc_St!M8&gt;0,Inc_St!M22/Inc_St!M8,"N/A")</f>
        <v>0.214015004087389</v>
      </c>
      <c r="N61" s="159"/>
    </row>
    <row r="62" customFormat="false" ht="12" hidden="false" customHeight="false" outlineLevel="0" collapsed="false">
      <c r="A62" s="164" t="s">
        <v>376</v>
      </c>
      <c r="C62" s="59"/>
      <c r="D62" s="331" t="n">
        <f aca="false">IF(Inc_St!D8&gt;0,Inc_St!D39/Inc_St!D8,"N/A")</f>
        <v>0.194738083551335</v>
      </c>
      <c r="E62" s="331" t="n">
        <f aca="false">IF(Inc_St!E8&gt;0,Inc_St!E39/Inc_St!E8,"N/A")</f>
        <v>0.192758931973041</v>
      </c>
      <c r="F62" s="331" t="n">
        <f aca="false">IF(Inc_St!F8&gt;0,Inc_St!F39/Inc_St!F8,"N/A")</f>
        <v>0.195010618528663</v>
      </c>
      <c r="G62" s="331" t="n">
        <f aca="false">IF(Inc_St!G8&gt;0,Inc_St!G39/Inc_St!G8,"N/A")</f>
        <v>0.197154977943997</v>
      </c>
      <c r="H62" s="331" t="n">
        <f aca="false">IF(Inc_St!H8&gt;0,Inc_St!H39/Inc_St!H8,"N/A")</f>
        <v>0.196091531157111</v>
      </c>
      <c r="I62" s="331" t="n">
        <f aca="false">IF(Inc_St!I8&gt;0,Inc_St!I39/Inc_St!I8,"N/A")</f>
        <v>0.197818246147506</v>
      </c>
      <c r="J62" s="331" t="n">
        <f aca="false">IF(Inc_St!J8&gt;0,Inc_St!J39/Inc_St!J8,"N/A")</f>
        <v>0.22030414668752</v>
      </c>
      <c r="K62" s="331" t="n">
        <f aca="false">IF(Inc_St!K8&gt;0,Inc_St!K39/Inc_St!K8,"N/A")</f>
        <v>0.218686686093209</v>
      </c>
      <c r="L62" s="331" t="n">
        <f aca="false">IF(Inc_St!L8&gt;0,Inc_St!L39/Inc_St!L8,"N/A")</f>
        <v>0.217603913611481</v>
      </c>
      <c r="M62" s="331" t="n">
        <f aca="false">IF(Inc_St!M8&gt;0,Inc_St!M39/Inc_St!M8,"N/A")</f>
        <v>0.212357167942842</v>
      </c>
      <c r="N62" s="159"/>
    </row>
    <row r="63" customFormat="false" ht="12" hidden="false" customHeight="false" outlineLevel="0" collapsed="false">
      <c r="C63" s="59"/>
      <c r="D63" s="159"/>
      <c r="E63" s="159"/>
      <c r="F63" s="159"/>
      <c r="G63" s="159"/>
      <c r="H63" s="159"/>
      <c r="I63" s="159"/>
      <c r="J63" s="159"/>
      <c r="K63" s="159"/>
      <c r="L63" s="159"/>
      <c r="M63" s="159"/>
      <c r="N63" s="159"/>
    </row>
    <row r="64" customFormat="false" ht="12" hidden="false" customHeight="false" outlineLevel="0" collapsed="false">
      <c r="C64" s="59"/>
      <c r="D64" s="159"/>
      <c r="E64" s="159"/>
      <c r="F64" s="159"/>
      <c r="G64" s="159"/>
      <c r="H64" s="159"/>
      <c r="I64" s="159"/>
      <c r="J64" s="159"/>
      <c r="K64" s="159"/>
      <c r="L64" s="159"/>
      <c r="M64" s="159"/>
      <c r="N64" s="159"/>
    </row>
    <row r="65" customFormat="false" ht="12" hidden="false" customHeight="false" outlineLevel="0" collapsed="false">
      <c r="C65" s="59"/>
      <c r="D65" s="159"/>
      <c r="E65" s="159"/>
      <c r="F65" s="159"/>
      <c r="G65" s="159"/>
      <c r="H65" s="159"/>
      <c r="I65" s="159"/>
      <c r="J65" s="159"/>
      <c r="K65" s="159"/>
      <c r="L65" s="159"/>
      <c r="M65" s="159"/>
      <c r="N65" s="159"/>
    </row>
    <row r="66" customFormat="false" ht="12" hidden="false" customHeight="false" outlineLevel="0" collapsed="false">
      <c r="C66" s="59"/>
      <c r="D66" s="159"/>
      <c r="E66" s="159"/>
      <c r="F66" s="159"/>
      <c r="G66" s="159"/>
      <c r="H66" s="159"/>
      <c r="I66" s="159"/>
      <c r="J66" s="159"/>
      <c r="K66" s="159"/>
      <c r="L66" s="159"/>
      <c r="M66" s="159"/>
      <c r="N66" s="159"/>
    </row>
    <row r="67" customFormat="false" ht="12" hidden="false" customHeight="false" outlineLevel="0" collapsed="false">
      <c r="C67" s="59"/>
      <c r="D67" s="159"/>
      <c r="E67" s="159"/>
      <c r="F67" s="159"/>
      <c r="G67" s="159"/>
      <c r="H67" s="159"/>
      <c r="I67" s="159"/>
      <c r="J67" s="159"/>
      <c r="K67" s="159"/>
      <c r="L67" s="159"/>
      <c r="M67" s="159"/>
      <c r="N67" s="159"/>
    </row>
    <row r="68" customFormat="false" ht="12" hidden="false" customHeight="false" outlineLevel="0" collapsed="false">
      <c r="C68" s="59"/>
      <c r="D68" s="159"/>
      <c r="E68" s="159"/>
      <c r="F68" s="159"/>
      <c r="G68" s="159"/>
      <c r="H68" s="159"/>
      <c r="I68" s="159"/>
      <c r="J68" s="159"/>
      <c r="K68" s="159"/>
      <c r="L68" s="159"/>
      <c r="M68" s="159"/>
      <c r="N68" s="159"/>
    </row>
    <row r="69" customFormat="false" ht="12" hidden="false" customHeight="false" outlineLevel="0" collapsed="false">
      <c r="C69" s="59"/>
      <c r="D69" s="59"/>
      <c r="E69" s="59"/>
      <c r="F69" s="59"/>
      <c r="G69" s="59"/>
      <c r="H69" s="59"/>
      <c r="I69" s="59"/>
      <c r="J69" s="59"/>
      <c r="K69" s="59"/>
      <c r="L69" s="59"/>
      <c r="M69" s="59"/>
    </row>
    <row r="70" customFormat="false" ht="12" hidden="false" customHeight="false" outlineLevel="0" collapsed="false">
      <c r="C70" s="59"/>
      <c r="D70" s="59"/>
      <c r="E70" s="59"/>
      <c r="F70" s="59"/>
      <c r="G70" s="59"/>
      <c r="H70" s="59"/>
      <c r="I70" s="59"/>
      <c r="J70" s="59"/>
      <c r="K70" s="59"/>
      <c r="L70" s="59"/>
      <c r="M70" s="59"/>
    </row>
    <row r="71" customFormat="false" ht="12" hidden="false" customHeight="false" outlineLevel="0" collapsed="false">
      <c r="C71" s="59"/>
      <c r="D71" s="59"/>
      <c r="E71" s="59"/>
      <c r="F71" s="59"/>
      <c r="G71" s="59"/>
      <c r="H71" s="59"/>
      <c r="I71" s="59"/>
      <c r="J71" s="59"/>
      <c r="K71" s="59"/>
      <c r="L71" s="59"/>
      <c r="M71" s="59"/>
    </row>
    <row r="72" customFormat="false" ht="12" hidden="false" customHeight="false" outlineLevel="0" collapsed="false">
      <c r="C72" s="59"/>
      <c r="D72" s="59"/>
      <c r="E72" s="59"/>
      <c r="F72" s="59"/>
      <c r="G72" s="59"/>
      <c r="H72" s="59"/>
      <c r="I72" s="59"/>
      <c r="J72" s="59"/>
      <c r="K72" s="59"/>
      <c r="L72" s="59"/>
      <c r="M72" s="59"/>
    </row>
    <row r="73" customFormat="false" ht="12" hidden="false" customHeight="false" outlineLevel="0" collapsed="false">
      <c r="C73" s="59"/>
      <c r="D73" s="59"/>
      <c r="E73" s="59"/>
      <c r="F73" s="59"/>
      <c r="G73" s="59"/>
      <c r="H73" s="59"/>
      <c r="I73" s="59"/>
      <c r="J73" s="59"/>
      <c r="K73" s="59"/>
      <c r="L73" s="59"/>
      <c r="M73" s="59"/>
    </row>
    <row r="74" customFormat="false" ht="12" hidden="false" customHeight="false" outlineLevel="0" collapsed="false">
      <c r="C74" s="59"/>
      <c r="D74" s="59"/>
      <c r="E74" s="59"/>
      <c r="F74" s="59"/>
      <c r="G74" s="59"/>
      <c r="H74" s="59"/>
      <c r="I74" s="59"/>
      <c r="J74" s="59"/>
      <c r="K74" s="59"/>
      <c r="L74" s="59"/>
      <c r="M74" s="59"/>
    </row>
    <row r="75" customFormat="false" ht="12" hidden="false" customHeight="false" outlineLevel="0" collapsed="false">
      <c r="C75" s="59"/>
      <c r="D75" s="59"/>
      <c r="E75" s="59"/>
      <c r="F75" s="59"/>
      <c r="G75" s="59"/>
      <c r="H75" s="59"/>
      <c r="I75" s="59"/>
      <c r="J75" s="59"/>
      <c r="K75" s="59"/>
      <c r="L75" s="59"/>
      <c r="M75" s="59"/>
    </row>
    <row r="76" customFormat="false" ht="12" hidden="false" customHeight="false" outlineLevel="0" collapsed="false">
      <c r="C76" s="59"/>
      <c r="D76" s="59"/>
      <c r="E76" s="59"/>
      <c r="F76" s="59"/>
      <c r="G76" s="59"/>
      <c r="H76" s="59"/>
      <c r="I76" s="59"/>
      <c r="J76" s="59"/>
      <c r="K76" s="59"/>
      <c r="L76" s="59"/>
      <c r="M76" s="59"/>
    </row>
    <row r="77" customFormat="false" ht="12" hidden="false" customHeight="false" outlineLevel="0" collapsed="false">
      <c r="C77" s="59"/>
      <c r="D77" s="59"/>
      <c r="E77" s="59"/>
      <c r="F77" s="59"/>
      <c r="G77" s="59"/>
      <c r="H77" s="59"/>
      <c r="I77" s="59"/>
      <c r="J77" s="59"/>
      <c r="K77" s="59"/>
      <c r="L77" s="59"/>
      <c r="M77" s="59"/>
    </row>
    <row r="78" customFormat="false" ht="12" hidden="false" customHeight="false" outlineLevel="0" collapsed="false">
      <c r="C78" s="59"/>
      <c r="D78" s="59"/>
      <c r="E78" s="59"/>
      <c r="F78" s="59"/>
      <c r="G78" s="59"/>
      <c r="H78" s="59"/>
      <c r="I78" s="59"/>
      <c r="J78" s="59"/>
      <c r="K78" s="59"/>
      <c r="L78" s="59"/>
      <c r="M78" s="59"/>
    </row>
    <row r="79" customFormat="false" ht="12" hidden="false" customHeight="false" outlineLevel="0" collapsed="false">
      <c r="C79" s="59"/>
      <c r="D79" s="59"/>
      <c r="E79" s="59"/>
      <c r="F79" s="59"/>
      <c r="G79" s="59"/>
      <c r="H79" s="59"/>
      <c r="I79" s="59"/>
      <c r="J79" s="59"/>
      <c r="K79" s="59"/>
      <c r="L79" s="59"/>
      <c r="M79" s="59"/>
    </row>
    <row r="80" customFormat="false" ht="12" hidden="false" customHeight="false" outlineLevel="0" collapsed="false">
      <c r="C80" s="59"/>
      <c r="D80" s="59"/>
      <c r="E80" s="59"/>
      <c r="F80" s="59"/>
      <c r="G80" s="59"/>
      <c r="H80" s="59"/>
      <c r="I80" s="59"/>
      <c r="J80" s="59"/>
      <c r="K80" s="59"/>
      <c r="L80" s="59"/>
      <c r="M80" s="59"/>
    </row>
    <row r="81" customFormat="false" ht="12" hidden="false" customHeight="false" outlineLevel="0" collapsed="false">
      <c r="C81" s="59"/>
      <c r="D81" s="59"/>
      <c r="E81" s="59"/>
      <c r="F81" s="59"/>
      <c r="G81" s="59"/>
      <c r="H81" s="59"/>
      <c r="I81" s="59"/>
      <c r="J81" s="59"/>
      <c r="K81" s="59"/>
      <c r="L81" s="59"/>
      <c r="M81" s="59"/>
    </row>
    <row r="82" customFormat="false" ht="12" hidden="false" customHeight="false" outlineLevel="0" collapsed="false">
      <c r="C82" s="59"/>
      <c r="D82" s="59"/>
      <c r="E82" s="59"/>
      <c r="F82" s="59"/>
      <c r="G82" s="59"/>
      <c r="H82" s="59"/>
      <c r="I82" s="59"/>
      <c r="J82" s="59"/>
      <c r="K82" s="59"/>
      <c r="L82" s="59"/>
      <c r="M82" s="59"/>
    </row>
    <row r="83" customFormat="false" ht="12" hidden="false" customHeight="false" outlineLevel="0" collapsed="false">
      <c r="C83" s="59"/>
      <c r="D83" s="59"/>
      <c r="E83" s="59"/>
      <c r="F83" s="59"/>
      <c r="G83" s="59"/>
      <c r="H83" s="59"/>
      <c r="I83" s="59"/>
      <c r="J83" s="59"/>
      <c r="K83" s="59"/>
      <c r="L83" s="59"/>
      <c r="M83" s="59"/>
    </row>
    <row r="84" customFormat="false" ht="12" hidden="false" customHeight="false" outlineLevel="0" collapsed="false">
      <c r="C84" s="59"/>
      <c r="D84" s="59"/>
      <c r="E84" s="59"/>
      <c r="F84" s="59"/>
      <c r="G84" s="59"/>
      <c r="H84" s="59"/>
      <c r="I84" s="59"/>
      <c r="J84" s="59"/>
      <c r="K84" s="59"/>
      <c r="L84" s="59"/>
      <c r="M84" s="59"/>
    </row>
    <row r="85" customFormat="false" ht="12" hidden="false" customHeight="false" outlineLevel="0" collapsed="false">
      <c r="C85" s="59"/>
      <c r="D85" s="59"/>
      <c r="E85" s="59"/>
      <c r="F85" s="59"/>
      <c r="G85" s="59"/>
      <c r="H85" s="59"/>
      <c r="I85" s="59"/>
      <c r="J85" s="59"/>
      <c r="K85" s="59"/>
      <c r="L85" s="59"/>
      <c r="M85" s="59"/>
    </row>
    <row r="86" customFormat="false" ht="12" hidden="false" customHeight="false" outlineLevel="0" collapsed="false">
      <c r="C86" s="59"/>
      <c r="D86" s="59"/>
      <c r="E86" s="59"/>
      <c r="F86" s="59"/>
      <c r="G86" s="59"/>
      <c r="H86" s="59"/>
      <c r="I86" s="59"/>
      <c r="J86" s="59"/>
      <c r="K86" s="59"/>
      <c r="L86" s="59"/>
      <c r="M86" s="59"/>
    </row>
    <row r="87" customFormat="false" ht="12" hidden="false" customHeight="false" outlineLevel="0" collapsed="false">
      <c r="C87" s="59"/>
      <c r="D87" s="59"/>
      <c r="E87" s="59"/>
      <c r="F87" s="59"/>
      <c r="G87" s="59"/>
      <c r="H87" s="59"/>
      <c r="I87" s="59"/>
      <c r="J87" s="59"/>
      <c r="K87" s="59"/>
      <c r="L87" s="59"/>
      <c r="M87" s="59"/>
    </row>
    <row r="88" customFormat="false" ht="12" hidden="false" customHeight="false" outlineLevel="0" collapsed="false">
      <c r="C88" s="59"/>
      <c r="D88" s="59"/>
      <c r="E88" s="59"/>
      <c r="F88" s="59"/>
      <c r="G88" s="59"/>
      <c r="H88" s="59"/>
      <c r="I88" s="59"/>
      <c r="J88" s="59"/>
      <c r="K88" s="59"/>
      <c r="L88" s="59"/>
      <c r="M88" s="59"/>
    </row>
    <row r="89" customFormat="false" ht="12" hidden="false" customHeight="false" outlineLevel="0" collapsed="false">
      <c r="C89" s="59"/>
      <c r="D89" s="59"/>
      <c r="E89" s="59"/>
      <c r="F89" s="59"/>
      <c r="G89" s="59"/>
      <c r="H89" s="59"/>
      <c r="I89" s="59"/>
      <c r="J89" s="59"/>
      <c r="K89" s="59"/>
      <c r="L89" s="59"/>
      <c r="M89" s="59"/>
    </row>
    <row r="90" customFormat="false" ht="12" hidden="false" customHeight="false" outlineLevel="0" collapsed="false">
      <c r="C90" s="59"/>
      <c r="D90" s="59"/>
      <c r="E90" s="59"/>
      <c r="F90" s="59"/>
      <c r="G90" s="59"/>
      <c r="H90" s="59"/>
      <c r="I90" s="59"/>
      <c r="J90" s="59"/>
      <c r="K90" s="59"/>
      <c r="L90" s="59"/>
      <c r="M90" s="59"/>
    </row>
    <row r="91" customFormat="false" ht="12" hidden="false" customHeight="false" outlineLevel="0" collapsed="false">
      <c r="D91" s="59"/>
      <c r="E91" s="59"/>
      <c r="F91" s="59"/>
      <c r="G91" s="59"/>
      <c r="H91" s="59"/>
      <c r="I91" s="59"/>
      <c r="J91" s="59"/>
      <c r="K91" s="59"/>
      <c r="L91" s="59"/>
      <c r="M91" s="59"/>
    </row>
    <row r="92" customFormat="false" ht="12" hidden="false" customHeight="false" outlineLevel="0" collapsed="false">
      <c r="D92" s="59"/>
      <c r="E92" s="59"/>
      <c r="F92" s="59"/>
      <c r="G92" s="59"/>
      <c r="H92" s="59"/>
      <c r="I92" s="59"/>
      <c r="J92" s="59"/>
      <c r="K92" s="59"/>
      <c r="L92" s="59"/>
      <c r="M92" s="59"/>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2009-11-02T17:42:06Z</dcterms:created>
  <dc:description/>
  <dc:language>en-US</dc:language>
  <dcterms:modified xsi:type="dcterms:W3CDTF">2011-02-10T13:19:59Z</dcterms:modified>
  <cp:revision>0</cp:revision>
  <dc:subject/>
  <dc:title/>
</cp:coreProperties>
</file>