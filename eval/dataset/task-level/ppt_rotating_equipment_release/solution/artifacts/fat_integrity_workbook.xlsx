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Rules" sheetId="2" state="visible" r:id="rId2"/>
    <sheet xmlns:r="http://schemas.openxmlformats.org/officeDocument/2006/relationships" name="2_FAT_Raw" sheetId="3" state="visible" r:id="rId3"/>
    <sheet xmlns:r="http://schemas.openxmlformats.org/officeDocument/2006/relationships" name="3_Overall_Eval" sheetId="4" state="visible" r:id="rId4"/>
    <sheet xmlns:r="http://schemas.openxmlformats.org/officeDocument/2006/relationships" name="4_Spectral_Eval" sheetId="5" state="visible" r:id="rId5"/>
    <sheet xmlns:r="http://schemas.openxmlformats.org/officeDocument/2006/relationships" name="5_Transient" sheetId="6" state="visible" r:id="rId6"/>
    <sheet xmlns:r="http://schemas.openxmlformats.org/officeDocument/2006/relationships" name="6_Coverage_Check" sheetId="7" state="visible" r:id="rId7"/>
    <sheet xmlns:r="http://schemas.openxmlformats.org/officeDocument/2006/relationships" name="7_Sister_Baseline" sheetId="8" state="visible" r:id="rId8"/>
    <sheet xmlns:r="http://schemas.openxmlformats.org/officeDocument/2006/relationships" name="8_Sensitivity" sheetId="9" state="visible" r:id="rId9"/>
    <sheet xmlns:r="http://schemas.openxmlformats.org/officeDocument/2006/relationships" name="9_Thresholds" sheetId="10" state="visible" r:id="rId10"/>
    <sheet xmlns:r="http://schemas.openxmlformats.org/officeDocument/2006/relationships" name="10_Exceptions" sheetId="11" state="visible" r:id="rId11"/>
    <sheet xmlns:r="http://schemas.openxmlformats.org/officeDocument/2006/relationships" name="11_Disposition" sheetId="12" state="visible" r:id="rId12"/>
    <sheet xmlns:r="http://schemas.openxmlformats.org/officeDocument/2006/relationships" name="12_Machine_Classification" sheetId="13" state="visible" r:id="rId13"/>
    <sheet xmlns:r="http://schemas.openxmlformats.org/officeDocument/2006/relationships" name="13_Measurement_Controls" sheetId="14" state="visible" r:id="rId14"/>
    <sheet xmlns:r="http://schemas.openxmlformats.org/officeDocument/2006/relationships" name="14_Coverage_Gap" sheetId="15" state="visible" r:id="rId15"/>
    <sheet xmlns:r="http://schemas.openxmlformats.org/officeDocument/2006/relationships" name="15_Unit_Conversion" sheetId="16" state="visible" r:id="rId16"/>
    <sheet xmlns:r="http://schemas.openxmlformats.org/officeDocument/2006/relationships" name="16_Paired_Reconciliation" sheetId="17" state="visible" r:id="rId17"/>
    <sheet xmlns:r="http://schemas.openxmlformats.org/officeDocument/2006/relationships" name="17_Surveillance_Own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FF1F3864"/>
      <sz val="14"/>
    </font>
    <font>
      <i val="1"/>
      <color rgb="FF595959"/>
      <sz val="9"/>
    </font>
    <font>
      <sz val="10"/>
    </font>
    <font>
      <b val="1"/>
      <sz val="10"/>
    </font>
    <font>
      <b val="1"/>
      <color rgb="FFFFFFFF"/>
      <sz val="10"/>
    </font>
    <font>
      <b val="1"/>
      <color rgb="FF1F3864"/>
      <sz val="13"/>
    </font>
    <font>
      <b val="1"/>
      <color rgb="FF9C0006"/>
      <sz val="13"/>
    </font>
    <font>
      <b val="1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pivotButton="0" quotePrefix="0" xfId="0"/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165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0" borderId="0" pivotButton="0" quotePrefix="0" xfId="0"/>
    <xf numFmtId="0" fontId="7" fillId="4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9" fillId="7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FAT INTEGRITY WORKBOOK — P-7402A (PWRI-220) RELEASE DECISION</t>
        </is>
      </c>
    </row>
    <row r="2">
      <c r="A2" s="2" t="inlineStr">
        <is>
          <t>Prepared by Rotating Equipment Reliability Lead | 2026-08-25 | Companion to rotating_equipment_release_board.pptx</t>
        </is>
      </c>
    </row>
    <row r="4">
      <c r="A4" s="3" t="inlineStr"/>
    </row>
    <row r="5">
      <c r="A5" s="4" t="inlineStr">
        <is>
          <t>PURPOSE</t>
        </is>
      </c>
    </row>
    <row r="6">
      <c r="A6" s="3" t="inlineStr">
        <is>
          <t>Determine whether pump P-7402A can be released for offshore commissioning after impeller work and the repeat FAT (2026-05-15).</t>
        </is>
      </c>
    </row>
    <row r="7">
      <c r="A7" s="3" t="inlineStr">
        <is>
          <t>This workbook is the auditable calculation basis. Every derived number (margins, pass/fail, counts, thresholds) is a live</t>
        </is>
      </c>
    </row>
    <row r="8">
      <c r="A8" s="3" t="inlineStr">
        <is>
          <t>formula. Input cells (blue) are literal transcriptions of the supplied source files; grey cells are computed.</t>
        </is>
      </c>
    </row>
    <row r="9">
      <c r="A9" s="3" t="inlineStr"/>
    </row>
    <row r="10">
      <c r="A10" s="3" t="inlineStr">
        <is>
          <t>DISPOSITION (computed on sheet 11_Disposition): CONDITIONAL RELEASE — release for offshore commissioning under a</t>
        </is>
      </c>
    </row>
    <row r="11">
      <c r="A11" s="3" t="inlineStr">
        <is>
          <t>restricted operating envelope, subject to closure actions C-01..C-12. NOT released for unrestricted service.</t>
        </is>
      </c>
    </row>
    <row r="12">
      <c r="A12" s="3" t="inlineStr"/>
    </row>
    <row r="13">
      <c r="A13" s="4" t="inlineStr">
        <is>
          <t>SOURCE FILES (read-only, /home/user/task/materials/)</t>
        </is>
      </c>
    </row>
    <row r="14">
      <c r="A14" s="3" t="inlineStr">
        <is>
          <t xml:space="preserve">  fat_retest_measurements.csv ........... FAT overall vibration, original (2026-05-12) and retest (2026-05-15) runs</t>
        </is>
      </c>
    </row>
    <row r="15">
      <c r="A15" s="3" t="inlineStr">
        <is>
          <t xml:space="preserve">  fat_spectral_events.csv ............... discrete-frequency events (1X, 2X, BPF, harmonics)</t>
        </is>
      </c>
    </row>
    <row r="16">
      <c r="A16" s="3" t="inlineStr">
        <is>
          <t xml:space="preserve">  fat_runup_coastdown.csv ............... transient run-up / coast-down at PMP_DE_H</t>
        </is>
      </c>
    </row>
    <row r="17">
      <c r="A17" s="3" t="inlineStr">
        <is>
          <t xml:space="preserve">  vibration_acceptance_rule_matrix.csv .. governing acceptance rules VR-000..VR-012</t>
        </is>
      </c>
    </row>
    <row r="18">
      <c r="A18" s="3" t="inlineStr">
        <is>
          <t xml:space="preserve">  equipment_evidence_ledger.csv ......... evidence claims ME-001..ME-024 with verification states</t>
        </is>
      </c>
    </row>
    <row r="19">
      <c r="A19" s="3" t="inlineStr">
        <is>
          <t xml:space="preserve">  sister_pump_field_baseline_P7402B.csv . sister-pump field baseline, trend and CMMS history</t>
        </is>
      </c>
    </row>
    <row r="20">
      <c r="A20" s="3" t="inlineStr">
        <is>
          <t xml:space="preserve">  pump_specification_P7402A.xlsx ........ datasheet, Test Requirements sheet, performance curve</t>
        </is>
      </c>
    </row>
    <row r="21">
      <c r="A21" s="3" t="inlineStr"/>
    </row>
    <row r="22">
      <c r="A22" s="4" t="inlineStr">
        <is>
          <t>SHEET MAP</t>
        </is>
      </c>
    </row>
    <row r="23">
      <c r="A23" s="3" t="inlineStr">
        <is>
          <t xml:space="preserve">  1_Rules .............. acceptance criteria input layer (current vs superseded limit retained side-by-side)</t>
        </is>
      </c>
    </row>
    <row r="24">
      <c r="A24" s="3" t="inlineStr">
        <is>
          <t xml:space="preserve">  2_FAT_Raw ............ raw overall measurements (values only) + source-row locators</t>
        </is>
      </c>
    </row>
    <row r="25">
      <c r="A25" s="3" t="inlineStr">
        <is>
          <t xml:space="preserve">  3_Overall_Eval ....... per-row margin and PASS/FAIL vs current limit (formulas)</t>
        </is>
      </c>
    </row>
    <row r="26">
      <c r="A26" s="3" t="inlineStr">
        <is>
          <t xml:space="preserve">  4_Spectral_Eval ...... discrete-frequency check vs 2.5 mm/s peak (formulas) + attribution caveat</t>
        </is>
      </c>
    </row>
    <row r="27">
      <c r="A27" s="3" t="inlineStr">
        <is>
          <t xml:space="preserve">  5_Transient .......... run-up/coast-down peak check (formulas)</t>
        </is>
      </c>
    </row>
    <row r="28">
      <c r="A28" s="3" t="inlineStr">
        <is>
          <t xml:space="preserve">  6_Coverage_Check ..... required test matrix coverage; missing retest rows (formulas)</t>
        </is>
      </c>
    </row>
    <row r="29">
      <c r="A29" s="3" t="inlineStr">
        <is>
          <t xml:space="preserve">  7_Sister_Baseline .... sister-pump field evidence (values + locators)</t>
        </is>
      </c>
    </row>
    <row r="30">
      <c r="A30" s="3" t="inlineStr">
        <is>
          <t xml:space="preserve">  8_Sensitivity ........ rule-version dispute and measurement-uncertainty sensitivity (formulas)</t>
        </is>
      </c>
    </row>
    <row r="31">
      <c r="A31" s="3" t="inlineStr">
        <is>
          <t xml:space="preserve">  9_Thresholds ......... derived commissioning alarm/trip scenarios (editable multipliers, formulas)</t>
        </is>
      </c>
    </row>
    <row r="32">
      <c r="A32" s="3" t="inlineStr">
        <is>
          <t xml:space="preserve">  10_Exceptions ........ unresolved evidence register and closure actions C-01..C-12</t>
        </is>
      </c>
    </row>
    <row r="33">
      <c r="A33" s="3" t="inlineStr">
        <is>
          <t xml:space="preserve">  11_Disposition ....... computed verdict and conditions (formulas)</t>
        </is>
      </c>
    </row>
    <row r="34">
      <c r="A34" s="3" t="inlineStr"/>
    </row>
    <row r="35">
      <c r="A35" s="4" t="inlineStr">
        <is>
          <t>STATED ASSUMPTIONS / UNRESOLVED BOUNDARIES (not fabricated — closure required)</t>
        </is>
      </c>
    </row>
    <row r="36">
      <c r="A36" s="3" t="inlineStr">
        <is>
          <t xml:space="preserve">  A1. Acceptance limit: current extract VR-001 = 3.8 mm/s RMS (effective 2026-01-01). Superseded extract VR-000 = 4.2</t>
        </is>
      </c>
    </row>
    <row r="37">
      <c r="A37" s="3" t="inlineStr">
        <is>
          <t xml:space="preserve">      retained for sensitivity only; withdrawal notice dated 2025-12-31 (vibration_acceptance_rule_matrix.csv row 2).</t>
        </is>
      </c>
    </row>
    <row r="38">
      <c r="A38" s="3" t="inlineStr">
        <is>
          <t xml:space="preserve">  A2. Spectral file has no original/retest phase tag and uses different point naming (PNDE_/MDE_ vs PMP_NDE_/DRV_).</t>
        </is>
      </c>
    </row>
    <row r="39">
      <c r="A39" s="3" t="inlineStr">
        <is>
          <t xml:space="preserve">      Discrete exceedances are therefore treated as evidence claims pending attribution (action C-06).</t>
        </is>
      </c>
    </row>
    <row r="40">
      <c r="A40" s="3" t="inlineStr">
        <is>
          <t xml:space="preserve">  A3. No 4-hour mechanical-run duration record is supplied (VR-004); compliance unverified (action C-05).</t>
        </is>
      </c>
    </row>
    <row r="41">
      <c r="A41" s="3" t="inlineStr">
        <is>
          <t xml:space="preserve">  A4. POR/AOR not stated on the datasheet (VR-008 = "case-specific"). Provisional envelope 80-105% BEP is assumed,</t>
        </is>
      </c>
    </row>
    <row r="42">
      <c r="A42" s="3" t="inlineStr">
        <is>
          <t xml:space="preserve">      anchored to sister-pump duty (~95% BEP); engineering confirmation required (action C-07).</t>
        </is>
      </c>
    </row>
    <row r="43">
      <c r="A43" s="3" t="inlineStr">
        <is>
          <t xml:space="preserve">  A5. Ledger claims marked contradicted (runout ME-007, baseplate ME-003) or field-verification-required</t>
        </is>
      </c>
    </row>
    <row r="44">
      <c r="A44" s="3" t="inlineStr">
        <is>
          <t xml:space="preserve">      (alignment ME-004) are NOT accepted as facts (actions C-02..C-04).</t>
        </is>
      </c>
    </row>
    <row r="45">
      <c r="A45" s="3" t="inlineStr">
        <is>
          <t xml:space="preserve">  A6. Alarm/trip values in 9_Thresholds are derived scenarios (editable), anchored to the sister-pump alarm event</t>
        </is>
      </c>
    </row>
    <row r="46">
      <c r="A46" s="3" t="inlineStr">
        <is>
          <t xml:space="preserve">      (2.35 mm/s, 2026-05-22) — recommendations, not approved protection settings.</t>
        </is>
      </c>
    </row>
    <row r="47">
      <c r="A47" s="3" t="inlineStr">
        <is>
          <t xml:space="preserve">  A7. Sister-pump file header says "Identical to P-2401A" — presumed typo for P-7402A; treated as claim, not fact.</t>
        </is>
      </c>
    </row>
    <row r="48">
      <c r="A48" s="3" t="inlineStr">
        <is>
          <t xml:space="preserve">  A8. Retest covered pump points fully but driver points only at 100% and partially at 110%; original 2026-05-12</t>
        </is>
      </c>
    </row>
    <row r="49">
      <c r="A49" s="3" t="inlineStr">
        <is>
          <t xml:space="preserve">      driver results passed at 60/80/90% BEP, so the gap is recorded as a deviation, not a failure (C-01).</t>
        </is>
      </c>
    </row>
    <row r="50">
      <c r="A50" s="3" t="inlineStr"/>
    </row>
    <row r="51">
      <c r="A51" s="3" t="inlineStr">
        <is>
          <t>COLOR LEGEND:  blue = literal input from source | grey = formula | red = FAIL / open | green = PASS / closed | amber = caveat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2" customWidth="1" min="4" max="4"/>
    <col width="12" customWidth="1" min="5" max="5"/>
    <col width="34" customWidth="1" min="6" max="6"/>
    <col width="32" customWidth="1" min="7" max="7"/>
    <col width="26" customWidth="1" min="8" max="8"/>
    <col width="14" customWidth="1" min="9" max="9"/>
  </cols>
  <sheetData>
    <row r="1">
      <c r="A1" s="1" t="inlineStr">
        <is>
          <t>ACCEPTANCE RULES — INPUT LAYER</t>
        </is>
      </c>
    </row>
    <row r="2">
      <c r="A2" s="2" t="inlineStr">
        <is>
          <t>Source: vibration_acceptance_rule_matrix.csv rows 2-14; pump_specification_P7402A.xlsx "Test Requirements" sheet</t>
        </is>
      </c>
    </row>
    <row r="4">
      <c r="A4" s="5" t="inlineStr">
        <is>
          <t>Rule ID</t>
        </is>
      </c>
      <c r="B4" s="5" t="inlineStr">
        <is>
          <t>Domain</t>
        </is>
      </c>
      <c r="C4" s="5" t="inlineStr">
        <is>
          <t>Requirement</t>
        </is>
      </c>
      <c r="D4" s="5" t="inlineStr">
        <is>
          <t>Limit value</t>
        </is>
      </c>
      <c r="E4" s="5" t="inlineStr">
        <is>
          <t>Unit</t>
        </is>
      </c>
      <c r="F4" s="5" t="inlineStr">
        <is>
          <t>Scope text</t>
        </is>
      </c>
      <c r="G4" s="5" t="inlineStr">
        <is>
          <t>Authority locator</t>
        </is>
      </c>
      <c r="H4" s="5" t="inlineStr">
        <is>
          <t>Record status</t>
        </is>
      </c>
      <c r="I4" s="5" t="inlineStr">
        <is>
          <t>Source row</t>
        </is>
      </c>
    </row>
    <row r="5">
      <c r="A5" s="6" t="inlineStr">
        <is>
          <t>VR-000</t>
        </is>
      </c>
      <c r="B5" s="6" t="inlineStr">
        <is>
          <t>overall housing vibration</t>
        </is>
      </c>
      <c r="C5" s="6" t="inlineStr">
        <is>
          <t>RMS velocity</t>
        </is>
      </c>
      <c r="D5" s="7" t="n">
        <v>4.2</v>
      </c>
      <c r="E5" s="6" t="inlineStr">
        <is>
          <t>mm/s RMS</t>
        </is>
      </c>
      <c r="F5" s="6" t="inlineStr">
        <is>
          <t>contract FAT equipment covered by cited clause</t>
        </is>
      </c>
      <c r="G5" s="6" t="inlineStr">
        <is>
          <t>API 610 Table 8 / Test Requirements sheet</t>
        </is>
      </c>
      <c r="H5" s="8" t="inlineStr">
        <is>
          <t>SUPERSEDED extract; withdrawal notice 2025-12-31</t>
        </is>
      </c>
      <c r="I5" s="6" t="inlineStr">
        <is>
          <t>rule matrix row 2</t>
        </is>
      </c>
    </row>
    <row r="6">
      <c r="A6" s="6" t="inlineStr">
        <is>
          <t>VR-001</t>
        </is>
      </c>
      <c r="B6" s="6" t="inlineStr">
        <is>
          <t>overall housing vibration</t>
        </is>
      </c>
      <c r="C6" s="6" t="inlineStr">
        <is>
          <t>RMS velocity</t>
        </is>
      </c>
      <c r="D6" s="7" t="n">
        <v>3.8</v>
      </c>
      <c r="E6" s="6" t="inlineStr">
        <is>
          <t>mm/s RMS</t>
        </is>
      </c>
      <c r="F6" s="6" t="inlineStr">
        <is>
          <t>contract FAT equipment covered by cited clause</t>
        </is>
      </c>
      <c r="G6" s="6" t="inlineStr">
        <is>
          <t>API 610 Table 8 / Test Requirements sheet</t>
        </is>
      </c>
      <c r="H6" s="6" t="inlineStr">
        <is>
          <t>CURRENT reference extract, effective 2026-01-01</t>
        </is>
      </c>
      <c r="I6" s="6" t="inlineStr">
        <is>
          <t>rule matrix row 3</t>
        </is>
      </c>
    </row>
    <row r="7">
      <c r="A7" s="6" t="inlineStr">
        <is>
          <t>VR-002</t>
        </is>
      </c>
      <c r="B7" s="6" t="inlineStr">
        <is>
          <t>discrete component</t>
        </is>
      </c>
      <c r="C7" s="6" t="inlineStr">
        <is>
          <t>peak velocity</t>
        </is>
      </c>
      <c r="D7" s="7" t="n">
        <v>2.5</v>
      </c>
      <c r="E7" s="6" t="inlineStr">
        <is>
          <t>mm/s peak</t>
        </is>
      </c>
      <c r="F7" s="6" t="inlineStr">
        <is>
          <t>each observed frequency component</t>
        </is>
      </c>
      <c r="G7" s="6" t="inlineStr">
        <is>
          <t>API 610 Table 8 / Test Requirements sheet</t>
        </is>
      </c>
      <c r="H7" s="6" t="inlineStr">
        <is>
          <t>reference extract</t>
        </is>
      </c>
      <c r="I7" s="6" t="inlineStr">
        <is>
          <t>rule matrix row 4</t>
        </is>
      </c>
    </row>
    <row r="8">
      <c r="A8" s="6" t="inlineStr">
        <is>
          <t>VR-003</t>
        </is>
      </c>
      <c r="B8" s="6" t="inlineStr">
        <is>
          <t>FAT coverage</t>
        </is>
      </c>
      <c r="C8" s="6" t="inlineStr">
        <is>
          <t>test matrix</t>
        </is>
      </c>
      <c r="D8" s="7" t="inlineStr">
        <is>
          <t>60|90|100|110</t>
        </is>
      </c>
      <c r="E8" s="6" t="inlineStr">
        <is>
          <t>% BEP</t>
        </is>
      </c>
      <c r="F8" s="6" t="inlineStr">
        <is>
          <t>all specified measurement locations</t>
        </is>
      </c>
      <c r="G8" s="6" t="inlineStr">
        <is>
          <t>purchase specification FAT matrix</t>
        </is>
      </c>
      <c r="H8" s="6" t="inlineStr">
        <is>
          <t>contract record</t>
        </is>
      </c>
      <c r="I8" s="6" t="inlineStr">
        <is>
          <t>rule matrix row 5</t>
        </is>
      </c>
    </row>
    <row r="9">
      <c r="A9" s="6" t="inlineStr">
        <is>
          <t>VR-004</t>
        </is>
      </c>
      <c r="B9" s="6" t="inlineStr">
        <is>
          <t>mechanical run</t>
        </is>
      </c>
      <c r="C9" s="6" t="inlineStr">
        <is>
          <t>elapsed time</t>
        </is>
      </c>
      <c r="D9" s="7" t="n">
        <v>4</v>
      </c>
      <c r="E9" s="6" t="inlineStr">
        <is>
          <t>hours minimum</t>
        </is>
      </c>
      <c r="F9" s="6" t="inlineStr">
        <is>
          <t>stable operating run</t>
        </is>
      </c>
      <c r="G9" s="6" t="inlineStr">
        <is>
          <t>API 610 mechanical run clause</t>
        </is>
      </c>
      <c r="H9" s="8" t="inlineStr">
        <is>
          <t>reference extract — no duration record supplied</t>
        </is>
      </c>
      <c r="I9" s="6" t="inlineStr">
        <is>
          <t>rule matrix row 6</t>
        </is>
      </c>
    </row>
    <row r="10">
      <c r="A10" s="6" t="inlineStr">
        <is>
          <t>VR-005</t>
        </is>
      </c>
      <c r="B10" s="6" t="inlineStr">
        <is>
          <t>bearing temperature</t>
        </is>
      </c>
      <c r="C10" s="6" t="inlineStr">
        <is>
          <t>temperature</t>
        </is>
      </c>
      <c r="D10" s="7" t="n">
        <v>82</v>
      </c>
      <c r="E10" s="6" t="inlineStr">
        <is>
          <t>deg C (or ambient+45)</t>
        </is>
      </c>
      <c r="F10" s="6" t="inlineStr">
        <is>
          <t>each bearing</t>
        </is>
      </c>
      <c r="G10" s="6" t="inlineStr">
        <is>
          <t>Test Requirements sheet</t>
        </is>
      </c>
      <c r="H10" s="6" t="inlineStr">
        <is>
          <t>reference extract</t>
        </is>
      </c>
      <c r="I10" s="6" t="inlineStr">
        <is>
          <t>rule matrix row 7</t>
        </is>
      </c>
    </row>
    <row r="11">
      <c r="A11" s="6" t="inlineStr">
        <is>
          <t>VR-006</t>
        </is>
      </c>
      <c r="B11" s="6" t="inlineStr">
        <is>
          <t>shaft runout</t>
        </is>
      </c>
      <c r="C11" s="6" t="inlineStr">
        <is>
          <t>TIR</t>
        </is>
      </c>
      <c r="D11" s="7" t="n">
        <v>0.025</v>
      </c>
      <c r="E11" s="6" t="inlineStr">
        <is>
          <t>mm</t>
        </is>
      </c>
      <c r="F11" s="6" t="inlineStr">
        <is>
          <t>shaft acceptance</t>
        </is>
      </c>
      <c r="G11" s="6" t="inlineStr">
        <is>
          <t>Test Requirements sheet</t>
        </is>
      </c>
      <c r="H11" s="6" t="inlineStr">
        <is>
          <t>reference extract</t>
        </is>
      </c>
      <c r="I11" s="6" t="inlineStr">
        <is>
          <t>rule matrix row 8</t>
        </is>
      </c>
    </row>
    <row r="12">
      <c r="A12" s="6" t="inlineStr">
        <is>
          <t>VR-007</t>
        </is>
      </c>
      <c r="B12" s="6" t="inlineStr">
        <is>
          <t>instrument calibration</t>
        </is>
      </c>
      <c r="C12" s="6" t="inlineStr">
        <is>
          <t>certificate validity</t>
        </is>
      </c>
      <c r="D12" s="7" t="inlineStr">
        <is>
          <t>current</t>
        </is>
      </c>
      <c r="E12" s="6" t="inlineStr">
        <is>
          <t>status</t>
        </is>
      </c>
      <c r="F12" s="6" t="inlineStr">
        <is>
          <t>all FAT channels</t>
        </is>
      </c>
      <c r="G12" s="6" t="inlineStr">
        <is>
          <t>FAT quality plan</t>
        </is>
      </c>
      <c r="H12" s="6" t="inlineStr">
        <is>
          <t>reference extract — cert valid-through 2026-05-31</t>
        </is>
      </c>
      <c r="I12" s="6" t="inlineStr">
        <is>
          <t>rule matrix row 9</t>
        </is>
      </c>
    </row>
    <row r="13">
      <c r="A13" s="6" t="inlineStr">
        <is>
          <t>VR-008</t>
        </is>
      </c>
      <c r="B13" s="6" t="inlineStr">
        <is>
          <t>POR/AOR</t>
        </is>
      </c>
      <c r="C13" s="6" t="inlineStr">
        <is>
          <t>operating region</t>
        </is>
      </c>
      <c r="D13" s="7" t="inlineStr">
        <is>
          <t>case-specific</t>
        </is>
      </c>
      <c r="E13" s="6" t="inlineStr">
        <is>
          <t>% BEP</t>
        </is>
      </c>
      <c r="F13" s="6" t="inlineStr">
        <is>
          <t>normal and transient duty</t>
        </is>
      </c>
      <c r="G13" s="6" t="inlineStr">
        <is>
          <t>pump datasheet/performance curve</t>
        </is>
      </c>
      <c r="H13" s="8" t="inlineStr">
        <is>
          <t>reference extract — AOR NOT stated on datasheet</t>
        </is>
      </c>
      <c r="I13" s="6" t="inlineStr">
        <is>
          <t>rule matrix row 10</t>
        </is>
      </c>
    </row>
    <row r="14">
      <c r="A14" s="6" t="inlineStr">
        <is>
          <t>VR-009</t>
        </is>
      </c>
      <c r="B14" s="6" t="inlineStr">
        <is>
          <t>alarm</t>
        </is>
      </c>
      <c r="C14" s="6" t="inlineStr">
        <is>
          <t>RMS trend threshold</t>
        </is>
      </c>
      <c r="D14" s="7" t="inlineStr">
        <is>
          <t>derived</t>
        </is>
      </c>
      <c r="E14" s="6" t="inlineStr">
        <is>
          <t>mm/s RMS</t>
        </is>
      </c>
      <c r="F14" s="6" t="inlineStr">
        <is>
          <t>commissioning surveillance</t>
        </is>
      </c>
      <c r="G14" s="6" t="inlineStr">
        <is>
          <t>supplied standards matrix</t>
        </is>
      </c>
      <c r="H14" s="6" t="inlineStr">
        <is>
          <t>reference extract</t>
        </is>
      </c>
      <c r="I14" s="6" t="inlineStr">
        <is>
          <t>rule matrix row 11</t>
        </is>
      </c>
    </row>
    <row r="15">
      <c r="A15" s="6" t="inlineStr">
        <is>
          <t>VR-010</t>
        </is>
      </c>
      <c r="B15" s="6" t="inlineStr">
        <is>
          <t>trip</t>
        </is>
      </c>
      <c r="C15" s="6" t="inlineStr">
        <is>
          <t>RMS protection threshold</t>
        </is>
      </c>
      <c r="D15" s="7" t="inlineStr">
        <is>
          <t>derived</t>
        </is>
      </c>
      <c r="E15" s="6" t="inlineStr">
        <is>
          <t>mm/s RMS</t>
        </is>
      </c>
      <c r="F15" s="6" t="inlineStr">
        <is>
          <t>machine protection</t>
        </is>
      </c>
      <c r="G15" s="6" t="inlineStr">
        <is>
          <t>supplied standards matrix</t>
        </is>
      </c>
      <c r="H15" s="6" t="inlineStr">
        <is>
          <t>reference extract</t>
        </is>
      </c>
      <c r="I15" s="6" t="inlineStr">
        <is>
          <t>rule matrix row 12</t>
        </is>
      </c>
    </row>
    <row r="16">
      <c r="A16" s="6" t="inlineStr">
        <is>
          <t>VR-011</t>
        </is>
      </c>
      <c r="B16" s="6" t="inlineStr">
        <is>
          <t>missing retest</t>
        </is>
      </c>
      <c r="C16" s="6" t="inlineStr">
        <is>
          <t>evidence closure</t>
        </is>
      </c>
      <c r="D16" s="7" t="inlineStr">
        <is>
          <t>required</t>
        </is>
      </c>
      <c r="E16" s="6" t="inlineStr">
        <is>
          <t>status</t>
        </is>
      </c>
      <c r="F16" s="6" t="inlineStr">
        <is>
          <t>PMP_NDE_A at 60% BEP</t>
        </is>
      </c>
      <c r="G16" s="6" t="inlineStr">
        <is>
          <t>FAT test matrix</t>
        </is>
      </c>
      <c r="H16" s="8" t="inlineStr">
        <is>
          <t>reference extract — RETEST ROW MISSING</t>
        </is>
      </c>
      <c r="I16" s="6" t="inlineStr">
        <is>
          <t>rule matrix row 13</t>
        </is>
      </c>
    </row>
    <row r="17">
      <c r="A17" s="6" t="inlineStr">
        <is>
          <t>VR-012</t>
        </is>
      </c>
      <c r="B17" s="6" t="inlineStr">
        <is>
          <t>field comparison</t>
        </is>
      </c>
      <c r="C17" s="6" t="inlineStr">
        <is>
          <t>matched state</t>
        </is>
      </c>
      <c r="D17" s="7" t="inlineStr">
        <is>
          <t>same condition</t>
        </is>
      </c>
      <c r="E17" s="6" t="inlineStr">
        <is>
          <t>status</t>
        </is>
      </c>
      <c r="F17" s="6" t="inlineStr">
        <is>
          <t>sister pump trend</t>
        </is>
      </c>
      <c r="G17" s="6" t="inlineStr">
        <is>
          <t>P-7402B field file</t>
        </is>
      </c>
      <c r="H17" s="6" t="inlineStr">
        <is>
          <t>reference extract</t>
        </is>
      </c>
      <c r="I17" s="6" t="inlineStr">
        <is>
          <t>rule matrix row 14</t>
        </is>
      </c>
    </row>
    <row r="20">
      <c r="A20" s="4" t="inlineStr">
        <is>
          <t>KEY FORMULA REFERENCES</t>
        </is>
      </c>
    </row>
    <row r="21">
      <c r="A21" s="3" t="inlineStr">
        <is>
          <t>Current overall limit (mm/s RMS)</t>
        </is>
      </c>
      <c r="C21" s="9">
        <f>D6</f>
        <v/>
      </c>
    </row>
    <row r="22">
      <c r="A22" s="3" t="inlineStr">
        <is>
          <t>Superseded overall limit (mm/s RMS)</t>
        </is>
      </c>
      <c r="C22" s="9">
        <f>D5</f>
        <v/>
      </c>
    </row>
    <row r="23">
      <c r="A23" s="3" t="inlineStr">
        <is>
          <t>Discrete-frequency limit (mm/s peak)</t>
        </is>
      </c>
      <c r="C23" s="9">
        <f>D7</f>
        <v/>
      </c>
    </row>
    <row r="24">
      <c r="A24" s="3" t="inlineStr">
        <is>
          <t>Bearing temp limit (deg C)</t>
        </is>
      </c>
      <c r="C24" s="9">
        <f>D10</f>
        <v/>
      </c>
    </row>
    <row r="25">
      <c r="A25" s="3" t="inlineStr">
        <is>
          <t>Runout limit (mm TIR)</t>
        </is>
      </c>
      <c r="C25" s="9">
        <f>D11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4" customWidth="1" min="7" max="7"/>
    <col width="13" customWidth="1" min="8" max="8"/>
    <col width="11" customWidth="1" min="9" max="9"/>
    <col width="10" customWidth="1" min="10" max="10"/>
    <col width="10" customWidth="1" min="11" max="11"/>
    <col width="30" customWidth="1" min="12" max="12"/>
  </cols>
  <sheetData>
    <row r="1">
      <c r="A1" s="1" t="inlineStr">
        <is>
          <t>FAT OVERALL MEASUREMENTS — RAW INPUT</t>
        </is>
      </c>
    </row>
    <row r="2">
      <c r="A2" s="2" t="inlineStr">
        <is>
          <t>Source: fat_retest_measurements.csv rows 2-93 (verbatim values; blue cells = source transcription)</t>
        </is>
      </c>
    </row>
    <row r="4">
      <c r="A4" s="5" t="inlineStr">
        <is>
          <t>Measurement ID</t>
        </is>
      </c>
      <c r="B4" s="5" t="inlineStr">
        <is>
          <t>Phase</t>
        </is>
      </c>
      <c r="C4" s="5" t="inlineStr">
        <is>
          <t>Test date</t>
        </is>
      </c>
      <c r="D4" s="5" t="inlineStr">
        <is>
          <t>Point</t>
        </is>
      </c>
      <c r="E4" s="5" t="inlineStr">
        <is>
          <t>Direction</t>
        </is>
      </c>
      <c r="F4" s="5" t="inlineStr">
        <is>
          <t>Flow %BEP</t>
        </is>
      </c>
      <c r="G4" s="5" t="inlineStr">
        <is>
          <t>Overall RMS (mm/s)</t>
        </is>
      </c>
      <c r="H4" s="5" t="inlineStr">
        <is>
          <t>Peak vel (mm/s)</t>
        </is>
      </c>
      <c r="I4" s="5" t="inlineStr">
        <is>
          <t>Displ (µm)</t>
        </is>
      </c>
      <c r="J4" s="5" t="inlineStr">
        <is>
          <t>Accel (g)</t>
        </is>
      </c>
      <c r="K4" s="5" t="inlineStr">
        <is>
          <t>Temp (°C)</t>
        </is>
      </c>
      <c r="L4" s="5" t="inlineStr">
        <is>
          <t>Source locator</t>
        </is>
      </c>
    </row>
    <row r="5">
      <c r="A5" s="7" t="inlineStr">
        <is>
          <t>VIB-0001</t>
        </is>
      </c>
      <c r="B5" s="7" t="inlineStr">
        <is>
          <t>original</t>
        </is>
      </c>
      <c r="C5" s="7" t="inlineStr">
        <is>
          <t>2026-05-12</t>
        </is>
      </c>
      <c r="D5" s="7" t="inlineStr">
        <is>
          <t>DRV_DE_H</t>
        </is>
      </c>
      <c r="E5" s="7" t="inlineStr">
        <is>
          <t>Horizontal</t>
        </is>
      </c>
      <c r="F5" s="7" t="inlineStr">
        <is>
          <t>100</t>
        </is>
      </c>
      <c r="G5" s="7" t="n">
        <v>2.349</v>
      </c>
      <c r="H5" s="7" t="n">
        <v>3.326</v>
      </c>
      <c r="I5" s="7" t="n">
        <v>18.71</v>
      </c>
      <c r="J5" s="7" t="n">
        <v>0.427</v>
      </c>
      <c r="K5" s="7" t="n">
        <v>52.7</v>
      </c>
      <c r="L5" s="6" t="inlineStr">
        <is>
          <t>fat_retest_measurements.csv row 2</t>
        </is>
      </c>
    </row>
    <row r="6">
      <c r="A6" s="7" t="inlineStr">
        <is>
          <t>VIB-0002</t>
        </is>
      </c>
      <c r="B6" s="7" t="inlineStr">
        <is>
          <t>original</t>
        </is>
      </c>
      <c r="C6" s="7" t="inlineStr">
        <is>
          <t>2026-05-12</t>
        </is>
      </c>
      <c r="D6" s="7" t="inlineStr">
        <is>
          <t>DRV_DE_V</t>
        </is>
      </c>
      <c r="E6" s="7" t="inlineStr">
        <is>
          <t>Vertical</t>
        </is>
      </c>
      <c r="F6" s="7" t="inlineStr">
        <is>
          <t>100</t>
        </is>
      </c>
      <c r="G6" s="7" t="n">
        <v>1.913</v>
      </c>
      <c r="H6" s="7" t="n">
        <v>2.711</v>
      </c>
      <c r="I6" s="7" t="n">
        <v>15.24</v>
      </c>
      <c r="J6" s="7" t="n">
        <v>0.358</v>
      </c>
      <c r="K6" s="7" t="n">
        <v>52.5</v>
      </c>
      <c r="L6" s="6" t="inlineStr">
        <is>
          <t>fat_retest_measurements.csv row 3</t>
        </is>
      </c>
    </row>
    <row r="7">
      <c r="A7" s="7" t="inlineStr">
        <is>
          <t>VIB-0003</t>
        </is>
      </c>
      <c r="B7" s="7" t="inlineStr">
        <is>
          <t>original</t>
        </is>
      </c>
      <c r="C7" s="7" t="inlineStr">
        <is>
          <t>2026-05-12</t>
        </is>
      </c>
      <c r="D7" s="7" t="inlineStr">
        <is>
          <t>DRV_DE_A</t>
        </is>
      </c>
      <c r="E7" s="7" t="inlineStr">
        <is>
          <t>Axial</t>
        </is>
      </c>
      <c r="F7" s="7" t="inlineStr">
        <is>
          <t>100</t>
        </is>
      </c>
      <c r="G7" s="7" t="n">
        <v>4.013</v>
      </c>
      <c r="H7" s="7" t="n">
        <v>5.68</v>
      </c>
      <c r="I7" s="7" t="n">
        <v>32</v>
      </c>
      <c r="J7" s="7" t="n">
        <v>0.731</v>
      </c>
      <c r="K7" s="7" t="n">
        <v>53</v>
      </c>
      <c r="L7" s="6" t="inlineStr">
        <is>
          <t>fat_retest_measurements.csv row 4</t>
        </is>
      </c>
    </row>
    <row r="8">
      <c r="A8" s="7" t="inlineStr">
        <is>
          <t>VIB-0004</t>
        </is>
      </c>
      <c r="B8" s="7" t="inlineStr">
        <is>
          <t>original</t>
        </is>
      </c>
      <c r="C8" s="7" t="inlineStr">
        <is>
          <t>2026-05-12</t>
        </is>
      </c>
      <c r="D8" s="7" t="inlineStr">
        <is>
          <t>DRV_NDE_H</t>
        </is>
      </c>
      <c r="E8" s="7" t="inlineStr">
        <is>
          <t>Horizontal</t>
        </is>
      </c>
      <c r="F8" s="7" t="inlineStr">
        <is>
          <t>100</t>
        </is>
      </c>
      <c r="G8" s="7" t="n">
        <v>2.018</v>
      </c>
      <c r="H8" s="7" t="n">
        <v>2.857</v>
      </c>
      <c r="I8" s="7" t="n">
        <v>16.04</v>
      </c>
      <c r="J8" s="7" t="n">
        <v>0.383</v>
      </c>
      <c r="K8" s="7" t="n">
        <v>50.6</v>
      </c>
      <c r="L8" s="6" t="inlineStr">
        <is>
          <t>fat_retest_measurements.csv row 5</t>
        </is>
      </c>
    </row>
    <row r="9">
      <c r="A9" s="7" t="inlineStr">
        <is>
          <t>VIB-0005</t>
        </is>
      </c>
      <c r="B9" s="7" t="inlineStr">
        <is>
          <t>original</t>
        </is>
      </c>
      <c r="C9" s="7" t="inlineStr">
        <is>
          <t>2026-05-12</t>
        </is>
      </c>
      <c r="D9" s="7" t="inlineStr">
        <is>
          <t>DRV_NDE_V</t>
        </is>
      </c>
      <c r="E9" s="7" t="inlineStr">
        <is>
          <t>Vertical</t>
        </is>
      </c>
      <c r="F9" s="7" t="inlineStr">
        <is>
          <t>100</t>
        </is>
      </c>
      <c r="G9" s="7" t="n">
        <v>1.686</v>
      </c>
      <c r="H9" s="7" t="n">
        <v>2.384</v>
      </c>
      <c r="I9" s="7" t="n">
        <v>13.43</v>
      </c>
      <c r="J9" s="7" t="n">
        <v>0.323</v>
      </c>
      <c r="K9" s="7" t="n">
        <v>50.3</v>
      </c>
      <c r="L9" s="6" t="inlineStr">
        <is>
          <t>fat_retest_measurements.csv row 6</t>
        </is>
      </c>
    </row>
    <row r="10">
      <c r="A10" s="7" t="inlineStr">
        <is>
          <t>VIB-0006</t>
        </is>
      </c>
      <c r="B10" s="7" t="inlineStr">
        <is>
          <t>original</t>
        </is>
      </c>
      <c r="C10" s="7" t="inlineStr">
        <is>
          <t>2026-05-12</t>
        </is>
      </c>
      <c r="D10" s="7" t="inlineStr">
        <is>
          <t>DRV_NDE_A</t>
        </is>
      </c>
      <c r="E10" s="7" t="inlineStr">
        <is>
          <t>Axial</t>
        </is>
      </c>
      <c r="F10" s="7" t="inlineStr">
        <is>
          <t>100</t>
        </is>
      </c>
      <c r="G10" s="7" t="n">
        <v>1.864</v>
      </c>
      <c r="H10" s="7" t="n">
        <v>2.638</v>
      </c>
      <c r="I10" s="7" t="n">
        <v>14.87</v>
      </c>
      <c r="J10" s="7" t="n">
        <v>0.356</v>
      </c>
      <c r="K10" s="7" t="n">
        <v>50.8</v>
      </c>
      <c r="L10" s="6" t="inlineStr">
        <is>
          <t>fat_retest_measurements.csv row 7</t>
        </is>
      </c>
    </row>
    <row r="11">
      <c r="A11" s="7" t="inlineStr">
        <is>
          <t>VIB-0007</t>
        </is>
      </c>
      <c r="B11" s="7" t="inlineStr">
        <is>
          <t>original</t>
        </is>
      </c>
      <c r="C11" s="7" t="inlineStr">
        <is>
          <t>2026-05-12</t>
        </is>
      </c>
      <c r="D11" s="7" t="inlineStr">
        <is>
          <t>PMP_DE_H</t>
        </is>
      </c>
      <c r="E11" s="7" t="inlineStr">
        <is>
          <t>Horizontal</t>
        </is>
      </c>
      <c r="F11" s="7" t="inlineStr">
        <is>
          <t>100</t>
        </is>
      </c>
      <c r="G11" s="7" t="n">
        <v>3.001</v>
      </c>
      <c r="H11" s="7" t="n">
        <v>4.244</v>
      </c>
      <c r="I11" s="7" t="n">
        <v>23.9</v>
      </c>
      <c r="J11" s="7" t="n">
        <v>0.548</v>
      </c>
      <c r="K11" s="7" t="n">
        <v>56.9</v>
      </c>
      <c r="L11" s="6" t="inlineStr">
        <is>
          <t>fat_retest_measurements.csv row 8</t>
        </is>
      </c>
    </row>
    <row r="12">
      <c r="A12" s="7" t="inlineStr">
        <is>
          <t>VIB-0008</t>
        </is>
      </c>
      <c r="B12" s="7" t="inlineStr">
        <is>
          <t>original</t>
        </is>
      </c>
      <c r="C12" s="7" t="inlineStr">
        <is>
          <t>2026-05-12</t>
        </is>
      </c>
      <c r="D12" s="7" t="inlineStr">
        <is>
          <t>PMP_DE_V</t>
        </is>
      </c>
      <c r="E12" s="7" t="inlineStr">
        <is>
          <t>Vertical</t>
        </is>
      </c>
      <c r="F12" s="7" t="inlineStr">
        <is>
          <t>100</t>
        </is>
      </c>
      <c r="G12" s="7" t="n">
        <v>2.176</v>
      </c>
      <c r="H12" s="7" t="n">
        <v>3.082</v>
      </c>
      <c r="I12" s="7" t="n">
        <v>17.39</v>
      </c>
      <c r="J12" s="7" t="n">
        <v>0.417</v>
      </c>
      <c r="K12" s="7" t="n">
        <v>56.6</v>
      </c>
      <c r="L12" s="6" t="inlineStr">
        <is>
          <t>fat_retest_measurements.csv row 9</t>
        </is>
      </c>
    </row>
    <row r="13">
      <c r="A13" s="7" t="inlineStr">
        <is>
          <t>VIB-0009</t>
        </is>
      </c>
      <c r="B13" s="7" t="inlineStr">
        <is>
          <t>original</t>
        </is>
      </c>
      <c r="C13" s="7" t="inlineStr">
        <is>
          <t>2026-05-12</t>
        </is>
      </c>
      <c r="D13" s="7" t="inlineStr">
        <is>
          <t>PMP_DE_A</t>
        </is>
      </c>
      <c r="E13" s="7" t="inlineStr">
        <is>
          <t>Axial</t>
        </is>
      </c>
      <c r="F13" s="7" t="inlineStr">
        <is>
          <t>100</t>
        </is>
      </c>
      <c r="G13" s="7" t="n">
        <v>2.005</v>
      </c>
      <c r="H13" s="7" t="n">
        <v>2.834</v>
      </c>
      <c r="I13" s="7" t="n">
        <v>15.96</v>
      </c>
      <c r="J13" s="7" t="n">
        <v>0.389</v>
      </c>
      <c r="K13" s="7" t="n">
        <v>57.2</v>
      </c>
      <c r="L13" s="6" t="inlineStr">
        <is>
          <t>fat_retest_measurements.csv row 10</t>
        </is>
      </c>
    </row>
    <row r="14">
      <c r="A14" s="7" t="inlineStr">
        <is>
          <t>VIB-0010</t>
        </is>
      </c>
      <c r="B14" s="7" t="inlineStr">
        <is>
          <t>original</t>
        </is>
      </c>
      <c r="C14" s="7" t="inlineStr">
        <is>
          <t>2026-05-12</t>
        </is>
      </c>
      <c r="D14" s="7" t="inlineStr">
        <is>
          <t>PMP_NDE_H</t>
        </is>
      </c>
      <c r="E14" s="7" t="inlineStr">
        <is>
          <t>Horizontal</t>
        </is>
      </c>
      <c r="F14" s="7" t="inlineStr">
        <is>
          <t>100</t>
        </is>
      </c>
      <c r="G14" s="7" t="n">
        <v>2.49</v>
      </c>
      <c r="H14" s="7" t="n">
        <v>3.529</v>
      </c>
      <c r="I14" s="7" t="n">
        <v>19.86</v>
      </c>
      <c r="J14" s="7" t="n">
        <v>0.473</v>
      </c>
      <c r="K14" s="7" t="n">
        <v>55.3</v>
      </c>
      <c r="L14" s="6" t="inlineStr">
        <is>
          <t>fat_retest_measurements.csv row 11</t>
        </is>
      </c>
    </row>
    <row r="15">
      <c r="A15" s="7" t="inlineStr">
        <is>
          <t>VIB-0011</t>
        </is>
      </c>
      <c r="B15" s="7" t="inlineStr">
        <is>
          <t>original</t>
        </is>
      </c>
      <c r="C15" s="7" t="inlineStr">
        <is>
          <t>2026-05-12</t>
        </is>
      </c>
      <c r="D15" s="7" t="inlineStr">
        <is>
          <t>PMP_NDE_V</t>
        </is>
      </c>
      <c r="E15" s="7" t="inlineStr">
        <is>
          <t>Vertical</t>
        </is>
      </c>
      <c r="F15" s="7" t="inlineStr">
        <is>
          <t>100</t>
        </is>
      </c>
      <c r="G15" s="7" t="n">
        <v>2.049</v>
      </c>
      <c r="H15" s="7" t="n">
        <v>2.898</v>
      </c>
      <c r="I15" s="7" t="n">
        <v>16.35</v>
      </c>
      <c r="J15" s="7" t="n">
        <v>0.393</v>
      </c>
      <c r="K15" s="7" t="n">
        <v>55</v>
      </c>
      <c r="L15" s="6" t="inlineStr">
        <is>
          <t>fat_retest_measurements.csv row 12</t>
        </is>
      </c>
    </row>
    <row r="16">
      <c r="A16" s="7" t="inlineStr">
        <is>
          <t>VIB-0012</t>
        </is>
      </c>
      <c r="B16" s="7" t="inlineStr">
        <is>
          <t>original</t>
        </is>
      </c>
      <c r="C16" s="7" t="inlineStr">
        <is>
          <t>2026-05-12</t>
        </is>
      </c>
      <c r="D16" s="7" t="inlineStr">
        <is>
          <t>PMP_NDE_A</t>
        </is>
      </c>
      <c r="E16" s="7" t="inlineStr">
        <is>
          <t>Axial</t>
        </is>
      </c>
      <c r="F16" s="7" t="inlineStr">
        <is>
          <t>100</t>
        </is>
      </c>
      <c r="G16" s="7" t="n">
        <v>1.801</v>
      </c>
      <c r="H16" s="7" t="n">
        <v>2.55</v>
      </c>
      <c r="I16" s="7" t="n">
        <v>14.37</v>
      </c>
      <c r="J16" s="7" t="n">
        <v>0.344</v>
      </c>
      <c r="K16" s="7" t="n">
        <v>55.4</v>
      </c>
      <c r="L16" s="6" t="inlineStr">
        <is>
          <t>fat_retest_measurements.csv row 13</t>
        </is>
      </c>
    </row>
    <row r="17">
      <c r="A17" s="7" t="inlineStr">
        <is>
          <t>VIB-0013</t>
        </is>
      </c>
      <c r="B17" s="7" t="inlineStr">
        <is>
          <t>original</t>
        </is>
      </c>
      <c r="C17" s="7" t="inlineStr">
        <is>
          <t>2026-05-12</t>
        </is>
      </c>
      <c r="D17" s="7" t="inlineStr">
        <is>
          <t>DRV_DE_H</t>
        </is>
      </c>
      <c r="E17" s="7" t="inlineStr">
        <is>
          <t>Horizontal</t>
        </is>
      </c>
      <c r="F17" s="7" t="inlineStr">
        <is>
          <t>110</t>
        </is>
      </c>
      <c r="G17" s="7" t="n">
        <v>3.015</v>
      </c>
      <c r="H17" s="7" t="n">
        <v>4.272</v>
      </c>
      <c r="I17" s="7" t="n">
        <v>24.08</v>
      </c>
      <c r="J17" s="7" t="n">
        <v>0.576</v>
      </c>
      <c r="K17" s="7" t="n">
        <v>55.8</v>
      </c>
      <c r="L17" s="6" t="inlineStr">
        <is>
          <t>fat_retest_measurements.csv row 14</t>
        </is>
      </c>
    </row>
    <row r="18">
      <c r="A18" s="7" t="inlineStr">
        <is>
          <t>VIB-0014</t>
        </is>
      </c>
      <c r="B18" s="7" t="inlineStr">
        <is>
          <t>original</t>
        </is>
      </c>
      <c r="C18" s="7" t="inlineStr">
        <is>
          <t>2026-05-12</t>
        </is>
      </c>
      <c r="D18" s="7" t="inlineStr">
        <is>
          <t>DRV_DE_V</t>
        </is>
      </c>
      <c r="E18" s="7" t="inlineStr">
        <is>
          <t>Vertical</t>
        </is>
      </c>
      <c r="F18" s="7" t="inlineStr">
        <is>
          <t>110</t>
        </is>
      </c>
      <c r="G18" s="7" t="n">
        <v>2.464</v>
      </c>
      <c r="H18" s="7" t="n">
        <v>3.485</v>
      </c>
      <c r="I18" s="7" t="n">
        <v>19.69</v>
      </c>
      <c r="J18" s="7" t="n">
        <v>0.474</v>
      </c>
      <c r="K18" s="7" t="n">
        <v>55.5</v>
      </c>
      <c r="L18" s="6" t="inlineStr">
        <is>
          <t>fat_retest_measurements.csv row 15</t>
        </is>
      </c>
    </row>
    <row r="19">
      <c r="A19" s="7" t="inlineStr">
        <is>
          <t>VIB-0015</t>
        </is>
      </c>
      <c r="B19" s="7" t="inlineStr">
        <is>
          <t>original</t>
        </is>
      </c>
      <c r="C19" s="7" t="inlineStr">
        <is>
          <t>2026-05-12</t>
        </is>
      </c>
      <c r="D19" s="7" t="inlineStr">
        <is>
          <t>DRV_DE_A</t>
        </is>
      </c>
      <c r="E19" s="7" t="inlineStr">
        <is>
          <t>Axial</t>
        </is>
      </c>
      <c r="F19" s="7" t="inlineStr">
        <is>
          <t>110</t>
        </is>
      </c>
      <c r="G19" s="7" t="n">
        <v>3.204</v>
      </c>
      <c r="H19" s="7" t="n">
        <v>4.536</v>
      </c>
      <c r="I19" s="7" t="n">
        <v>25.53</v>
      </c>
      <c r="J19" s="7" t="n">
        <v>0.62</v>
      </c>
      <c r="K19" s="7" t="n">
        <v>56.1</v>
      </c>
      <c r="L19" s="6" t="inlineStr">
        <is>
          <t>fat_retest_measurements.csv row 16</t>
        </is>
      </c>
    </row>
    <row r="20">
      <c r="A20" s="7" t="inlineStr">
        <is>
          <t>VIB-0016</t>
        </is>
      </c>
      <c r="B20" s="7" t="inlineStr">
        <is>
          <t>original</t>
        </is>
      </c>
      <c r="C20" s="7" t="inlineStr">
        <is>
          <t>2026-05-12</t>
        </is>
      </c>
      <c r="D20" s="7" t="inlineStr">
        <is>
          <t>DRV_NDE_H</t>
        </is>
      </c>
      <c r="E20" s="7" t="inlineStr">
        <is>
          <t>Horizontal</t>
        </is>
      </c>
      <c r="F20" s="7" t="inlineStr">
        <is>
          <t>110</t>
        </is>
      </c>
      <c r="G20" s="7" t="n">
        <v>2.465</v>
      </c>
      <c r="H20" s="7" t="n">
        <v>3.488</v>
      </c>
      <c r="I20" s="7" t="n">
        <v>19.64</v>
      </c>
      <c r="J20" s="7" t="n">
        <v>0.471</v>
      </c>
      <c r="K20" s="7" t="n">
        <v>53.2</v>
      </c>
      <c r="L20" s="6" t="inlineStr">
        <is>
          <t>fat_retest_measurements.csv row 17</t>
        </is>
      </c>
    </row>
    <row r="21">
      <c r="A21" s="7" t="inlineStr">
        <is>
          <t>VIB-0017</t>
        </is>
      </c>
      <c r="B21" s="7" t="inlineStr">
        <is>
          <t>original</t>
        </is>
      </c>
      <c r="C21" s="7" t="inlineStr">
        <is>
          <t>2026-05-12</t>
        </is>
      </c>
      <c r="D21" s="7" t="inlineStr">
        <is>
          <t>DRV_NDE_V</t>
        </is>
      </c>
      <c r="E21" s="7" t="inlineStr">
        <is>
          <t>Vertical</t>
        </is>
      </c>
      <c r="F21" s="7" t="inlineStr">
        <is>
          <t>110</t>
        </is>
      </c>
      <c r="G21" s="7" t="n">
        <v>2.289</v>
      </c>
      <c r="H21" s="7" t="n">
        <v>2.984</v>
      </c>
      <c r="I21" s="7" t="n">
        <v>16.77</v>
      </c>
      <c r="J21" s="7" t="n">
        <v>0.401</v>
      </c>
      <c r="K21" s="7" t="n">
        <v>52.9</v>
      </c>
      <c r="L21" s="6" t="inlineStr">
        <is>
          <t>fat_retest_measurements.csv row 18</t>
        </is>
      </c>
    </row>
    <row r="22">
      <c r="A22" s="7" t="inlineStr">
        <is>
          <t>VIB-0018</t>
        </is>
      </c>
      <c r="B22" s="7" t="inlineStr">
        <is>
          <t>original</t>
        </is>
      </c>
      <c r="C22" s="7" t="inlineStr">
        <is>
          <t>2026-05-12</t>
        </is>
      </c>
      <c r="D22" s="7" t="inlineStr">
        <is>
          <t>DRV_NDE_A</t>
        </is>
      </c>
      <c r="E22" s="7" t="inlineStr">
        <is>
          <t>Axial</t>
        </is>
      </c>
      <c r="F22" s="7" t="inlineStr">
        <is>
          <t>110</t>
        </is>
      </c>
      <c r="G22" s="7" t="n">
        <v>2.194</v>
      </c>
      <c r="H22" s="7" t="n">
        <v>3.105</v>
      </c>
      <c r="I22" s="7" t="n">
        <v>17.49</v>
      </c>
      <c r="J22" s="7" t="n">
        <v>0.424</v>
      </c>
      <c r="K22" s="7" t="n">
        <v>53.4</v>
      </c>
      <c r="L22" s="6" t="inlineStr">
        <is>
          <t>fat_retest_measurements.csv row 19</t>
        </is>
      </c>
    </row>
    <row r="23">
      <c r="A23" s="7" t="inlineStr">
        <is>
          <t>VIB-0019</t>
        </is>
      </c>
      <c r="B23" s="7" t="inlineStr">
        <is>
          <t>original</t>
        </is>
      </c>
      <c r="C23" s="7" t="inlineStr">
        <is>
          <t>2026-05-12</t>
        </is>
      </c>
      <c r="D23" s="7" t="inlineStr">
        <is>
          <t>PMP_DE_H</t>
        </is>
      </c>
      <c r="E23" s="7" t="inlineStr">
        <is>
          <t>Horizontal</t>
        </is>
      </c>
      <c r="F23" s="7" t="inlineStr">
        <is>
          <t>110</t>
        </is>
      </c>
      <c r="G23" s="7" t="n">
        <v>5.413</v>
      </c>
      <c r="H23" s="7" t="n">
        <v>7.651</v>
      </c>
      <c r="I23" s="7" t="n">
        <v>43.2</v>
      </c>
      <c r="J23" s="7" t="n">
        <v>1.031</v>
      </c>
      <c r="K23" s="7" t="n">
        <v>61.3</v>
      </c>
      <c r="L23" s="6" t="inlineStr">
        <is>
          <t>fat_retest_measurements.csv row 20</t>
        </is>
      </c>
    </row>
    <row r="24">
      <c r="A24" s="7" t="inlineStr">
        <is>
          <t>VIB-0020</t>
        </is>
      </c>
      <c r="B24" s="7" t="inlineStr">
        <is>
          <t>original</t>
        </is>
      </c>
      <c r="C24" s="7" t="inlineStr">
        <is>
          <t>2026-05-12</t>
        </is>
      </c>
      <c r="D24" s="7" t="inlineStr">
        <is>
          <t>PMP_DE_V</t>
        </is>
      </c>
      <c r="E24" s="7" t="inlineStr">
        <is>
          <t>Vertical</t>
        </is>
      </c>
      <c r="F24" s="7" t="inlineStr">
        <is>
          <t>110</t>
        </is>
      </c>
      <c r="G24" s="7" t="n">
        <v>3.633</v>
      </c>
      <c r="H24" s="7" t="n">
        <v>5.141</v>
      </c>
      <c r="I24" s="7" t="n">
        <v>29</v>
      </c>
      <c r="J24" s="7" t="n">
        <v>0.6909999999999999</v>
      </c>
      <c r="K24" s="7" t="n">
        <v>60.9</v>
      </c>
      <c r="L24" s="6" t="inlineStr">
        <is>
          <t>fat_retest_measurements.csv row 21</t>
        </is>
      </c>
    </row>
    <row r="25">
      <c r="A25" s="7" t="inlineStr">
        <is>
          <t>VIB-0021</t>
        </is>
      </c>
      <c r="B25" s="7" t="inlineStr">
        <is>
          <t>original</t>
        </is>
      </c>
      <c r="C25" s="7" t="inlineStr">
        <is>
          <t>2026-05-12</t>
        </is>
      </c>
      <c r="D25" s="7" t="inlineStr">
        <is>
          <t>PMP_DE_A</t>
        </is>
      </c>
      <c r="E25" s="7" t="inlineStr">
        <is>
          <t>Axial</t>
        </is>
      </c>
      <c r="F25" s="7" t="inlineStr">
        <is>
          <t>110</t>
        </is>
      </c>
      <c r="G25" s="7" t="n">
        <v>2.822</v>
      </c>
      <c r="H25" s="7" t="n">
        <v>3.991</v>
      </c>
      <c r="I25" s="7" t="n">
        <v>22.53</v>
      </c>
      <c r="J25" s="7" t="n">
        <v>0.537</v>
      </c>
      <c r="K25" s="7" t="n">
        <v>61.6</v>
      </c>
      <c r="L25" s="6" t="inlineStr">
        <is>
          <t>fat_retest_measurements.csv row 22</t>
        </is>
      </c>
    </row>
    <row r="26">
      <c r="A26" s="7" t="inlineStr">
        <is>
          <t>VIB-0022</t>
        </is>
      </c>
      <c r="B26" s="7" t="inlineStr">
        <is>
          <t>original</t>
        </is>
      </c>
      <c r="C26" s="7" t="inlineStr">
        <is>
          <t>2026-05-12</t>
        </is>
      </c>
      <c r="D26" s="7" t="inlineStr">
        <is>
          <t>PMP_NDE_H</t>
        </is>
      </c>
      <c r="E26" s="7" t="inlineStr">
        <is>
          <t>Horizontal</t>
        </is>
      </c>
      <c r="F26" s="7" t="inlineStr">
        <is>
          <t>110</t>
        </is>
      </c>
      <c r="G26" s="7" t="n">
        <v>3.875</v>
      </c>
      <c r="H26" s="7" t="n">
        <v>5.482</v>
      </c>
      <c r="I26" s="7" t="n">
        <v>30.92</v>
      </c>
      <c r="J26" s="7" t="n">
        <v>0.742</v>
      </c>
      <c r="K26" s="7" t="n">
        <v>58.7</v>
      </c>
      <c r="L26" s="6" t="inlineStr">
        <is>
          <t>fat_retest_measurements.csv row 23</t>
        </is>
      </c>
    </row>
    <row r="27">
      <c r="A27" s="7" t="inlineStr">
        <is>
          <t>VIB-0023</t>
        </is>
      </c>
      <c r="B27" s="7" t="inlineStr">
        <is>
          <t>original</t>
        </is>
      </c>
      <c r="C27" s="7" t="inlineStr">
        <is>
          <t>2026-05-12</t>
        </is>
      </c>
      <c r="D27" s="7" t="inlineStr">
        <is>
          <t>PMP_NDE_V</t>
        </is>
      </c>
      <c r="E27" s="7" t="inlineStr">
        <is>
          <t>Vertical</t>
        </is>
      </c>
      <c r="F27" s="7" t="inlineStr">
        <is>
          <t>110</t>
        </is>
      </c>
      <c r="G27" s="7" t="n">
        <v>2.997</v>
      </c>
      <c r="H27" s="7" t="n">
        <v>4.245</v>
      </c>
      <c r="I27" s="7" t="n">
        <v>23.94</v>
      </c>
      <c r="J27" s="7" t="n">
        <v>0.573</v>
      </c>
      <c r="K27" s="7" t="n">
        <v>58.4</v>
      </c>
      <c r="L27" s="6" t="inlineStr">
        <is>
          <t>fat_retest_measurements.csv row 24</t>
        </is>
      </c>
    </row>
    <row r="28">
      <c r="A28" s="7" t="inlineStr">
        <is>
          <t>VIB-0024</t>
        </is>
      </c>
      <c r="B28" s="7" t="inlineStr">
        <is>
          <t>original</t>
        </is>
      </c>
      <c r="C28" s="7" t="inlineStr">
        <is>
          <t>2026-05-12</t>
        </is>
      </c>
      <c r="D28" s="7" t="inlineStr">
        <is>
          <t>PMP_NDE_A</t>
        </is>
      </c>
      <c r="E28" s="7" t="inlineStr">
        <is>
          <t>Axial</t>
        </is>
      </c>
      <c r="F28" s="7" t="inlineStr">
        <is>
          <t>110</t>
        </is>
      </c>
      <c r="G28" s="7" t="n">
        <v>2.315</v>
      </c>
      <c r="H28" s="7" t="n">
        <v>3.272</v>
      </c>
      <c r="I28" s="7" t="n">
        <v>18.42</v>
      </c>
      <c r="J28" s="7" t="n">
        <v>0.442</v>
      </c>
      <c r="K28" s="7" t="n">
        <v>59</v>
      </c>
      <c r="L28" s="6" t="inlineStr">
        <is>
          <t>fat_retest_measurements.csv row 25</t>
        </is>
      </c>
    </row>
    <row r="29">
      <c r="A29" s="7" t="inlineStr">
        <is>
          <t>VIB-0025</t>
        </is>
      </c>
      <c r="B29" s="7" t="inlineStr">
        <is>
          <t>original</t>
        </is>
      </c>
      <c r="C29" s="7" t="inlineStr">
        <is>
          <t>2026-05-12</t>
        </is>
      </c>
      <c r="D29" s="7" t="inlineStr">
        <is>
          <t>DRV_DE_H</t>
        </is>
      </c>
      <c r="E29" s="7" t="inlineStr">
        <is>
          <t>Horizontal</t>
        </is>
      </c>
      <c r="F29" s="7" t="inlineStr">
        <is>
          <t>90_BEP</t>
        </is>
      </c>
      <c r="G29" s="7" t="n">
        <v>1.904</v>
      </c>
      <c r="H29" s="7" t="n">
        <v>2.691</v>
      </c>
      <c r="I29" s="7" t="n">
        <v>15.21</v>
      </c>
      <c r="J29" s="7" t="n">
        <v>0.362</v>
      </c>
      <c r="K29" s="7" t="n">
        <v>51.6</v>
      </c>
      <c r="L29" s="6" t="inlineStr">
        <is>
          <t>fat_retest_measurements.csv row 26</t>
        </is>
      </c>
    </row>
    <row r="30">
      <c r="A30" s="7" t="inlineStr">
        <is>
          <t>VIB-0026</t>
        </is>
      </c>
      <c r="B30" s="7" t="inlineStr">
        <is>
          <t>original</t>
        </is>
      </c>
      <c r="C30" s="7" t="inlineStr">
        <is>
          <t>2026-05-12</t>
        </is>
      </c>
      <c r="D30" s="7" t="inlineStr">
        <is>
          <t>DRV_DE_V</t>
        </is>
      </c>
      <c r="E30" s="7" t="inlineStr">
        <is>
          <t>Vertical</t>
        </is>
      </c>
      <c r="F30" s="7" t="inlineStr">
        <is>
          <t>90_BEP</t>
        </is>
      </c>
      <c r="G30" s="7" t="n">
        <v>1.582</v>
      </c>
      <c r="H30" s="7" t="n">
        <v>2.238</v>
      </c>
      <c r="I30" s="7" t="n">
        <v>12.6</v>
      </c>
      <c r="J30" s="7" t="n">
        <v>0.302</v>
      </c>
      <c r="K30" s="7" t="n">
        <v>51.3</v>
      </c>
      <c r="L30" s="6" t="inlineStr">
        <is>
          <t>fat_retest_measurements.csv row 27</t>
        </is>
      </c>
    </row>
    <row r="31">
      <c r="A31" s="7" t="inlineStr">
        <is>
          <t>VIB-0027</t>
        </is>
      </c>
      <c r="B31" s="7" t="inlineStr">
        <is>
          <t>original</t>
        </is>
      </c>
      <c r="C31" s="7" t="inlineStr">
        <is>
          <t>2026-05-12</t>
        </is>
      </c>
      <c r="D31" s="7" t="inlineStr">
        <is>
          <t>DRV_DE_A</t>
        </is>
      </c>
      <c r="E31" s="7" t="inlineStr">
        <is>
          <t>Axial</t>
        </is>
      </c>
      <c r="F31" s="7" t="inlineStr">
        <is>
          <t>90_BEP</t>
        </is>
      </c>
      <c r="G31" s="7" t="n">
        <v>1.759</v>
      </c>
      <c r="H31" s="7" t="n">
        <v>2.492</v>
      </c>
      <c r="I31" s="7" t="n">
        <v>14.03</v>
      </c>
      <c r="J31" s="7" t="n">
        <v>0.335</v>
      </c>
      <c r="K31" s="7" t="n">
        <v>51.8</v>
      </c>
      <c r="L31" s="6" t="inlineStr">
        <is>
          <t>fat_retest_measurements.csv row 28</t>
        </is>
      </c>
    </row>
    <row r="32">
      <c r="A32" s="7" t="inlineStr">
        <is>
          <t>VIB-0028</t>
        </is>
      </c>
      <c r="B32" s="7" t="inlineStr">
        <is>
          <t>original</t>
        </is>
      </c>
      <c r="C32" s="7" t="inlineStr">
        <is>
          <t>2026-05-12</t>
        </is>
      </c>
      <c r="D32" s="7" t="inlineStr">
        <is>
          <t>DRV_NDE_H</t>
        </is>
      </c>
      <c r="E32" s="7" t="inlineStr">
        <is>
          <t>Horizontal</t>
        </is>
      </c>
      <c r="F32" s="7" t="inlineStr">
        <is>
          <t>90_BEP</t>
        </is>
      </c>
      <c r="G32" s="7" t="n">
        <v>1.695</v>
      </c>
      <c r="H32" s="7" t="n">
        <v>2.401</v>
      </c>
      <c r="I32" s="7" t="n">
        <v>13.48</v>
      </c>
      <c r="J32" s="7" t="n">
        <v>0.326</v>
      </c>
      <c r="K32" s="7" t="n">
        <v>49.4</v>
      </c>
      <c r="L32" s="6" t="inlineStr">
        <is>
          <t>fat_retest_measurements.csv row 29</t>
        </is>
      </c>
    </row>
    <row r="33">
      <c r="A33" s="7" t="inlineStr">
        <is>
          <t>VIB-0029</t>
        </is>
      </c>
      <c r="B33" s="7" t="inlineStr">
        <is>
          <t>original</t>
        </is>
      </c>
      <c r="C33" s="7" t="inlineStr">
        <is>
          <t>2026-05-12</t>
        </is>
      </c>
      <c r="D33" s="7" t="inlineStr">
        <is>
          <t>DRV_NDE_V</t>
        </is>
      </c>
      <c r="E33" s="7" t="inlineStr">
        <is>
          <t>Vertical</t>
        </is>
      </c>
      <c r="F33" s="7" t="inlineStr">
        <is>
          <t>90_BEP</t>
        </is>
      </c>
      <c r="G33" s="7" t="n">
        <v>1.403</v>
      </c>
      <c r="H33" s="7" t="n">
        <v>1.983</v>
      </c>
      <c r="I33" s="7" t="n">
        <v>11.19</v>
      </c>
      <c r="J33" s="7" t="n">
        <v>0.264</v>
      </c>
      <c r="K33" s="7" t="n">
        <v>49.1</v>
      </c>
      <c r="L33" s="6" t="inlineStr">
        <is>
          <t>fat_retest_measurements.csv row 30</t>
        </is>
      </c>
    </row>
    <row r="34">
      <c r="A34" s="7" t="inlineStr">
        <is>
          <t>VIB-0030</t>
        </is>
      </c>
      <c r="B34" s="7" t="inlineStr">
        <is>
          <t>original</t>
        </is>
      </c>
      <c r="C34" s="7" t="inlineStr">
        <is>
          <t>2026-05-12</t>
        </is>
      </c>
      <c r="D34" s="7" t="inlineStr">
        <is>
          <t>DRV_NDE_A</t>
        </is>
      </c>
      <c r="E34" s="7" t="inlineStr">
        <is>
          <t>Axial</t>
        </is>
      </c>
      <c r="F34" s="7" t="inlineStr">
        <is>
          <t>90_BEP</t>
        </is>
      </c>
      <c r="G34" s="7" t="n">
        <v>1.483</v>
      </c>
      <c r="H34" s="7" t="n">
        <v>2.097</v>
      </c>
      <c r="I34" s="7" t="n">
        <v>11.87</v>
      </c>
      <c r="J34" s="7" t="n">
        <v>0.286</v>
      </c>
      <c r="K34" s="7" t="n">
        <v>49.6</v>
      </c>
      <c r="L34" s="6" t="inlineStr">
        <is>
          <t>fat_retest_measurements.csv row 31</t>
        </is>
      </c>
    </row>
    <row r="35">
      <c r="A35" s="7" t="inlineStr">
        <is>
          <t>VIB-0031</t>
        </is>
      </c>
      <c r="B35" s="7" t="inlineStr">
        <is>
          <t>original</t>
        </is>
      </c>
      <c r="C35" s="7" t="inlineStr">
        <is>
          <t>2026-05-12</t>
        </is>
      </c>
      <c r="D35" s="7" t="inlineStr">
        <is>
          <t>PMP_DE_H</t>
        </is>
      </c>
      <c r="E35" s="7" t="inlineStr">
        <is>
          <t>Horizontal</t>
        </is>
      </c>
      <c r="F35" s="7" t="inlineStr">
        <is>
          <t>90_BEP</t>
        </is>
      </c>
      <c r="G35" s="7" t="n">
        <v>2.181</v>
      </c>
      <c r="H35" s="7" t="n">
        <v>3.087</v>
      </c>
      <c r="I35" s="7" t="n">
        <v>17.39</v>
      </c>
      <c r="J35" s="7" t="n">
        <v>0.412</v>
      </c>
      <c r="K35" s="7" t="n">
        <v>54.8</v>
      </c>
      <c r="L35" s="6" t="inlineStr">
        <is>
          <t>fat_retest_measurements.csv row 32</t>
        </is>
      </c>
    </row>
    <row r="36">
      <c r="A36" s="7" t="inlineStr">
        <is>
          <t>VIB-0032</t>
        </is>
      </c>
      <c r="B36" s="7" t="inlineStr">
        <is>
          <t>original</t>
        </is>
      </c>
      <c r="C36" s="7" t="inlineStr">
        <is>
          <t>2026-05-12</t>
        </is>
      </c>
      <c r="D36" s="7" t="inlineStr">
        <is>
          <t>PMP_DE_V</t>
        </is>
      </c>
      <c r="E36" s="7" t="inlineStr">
        <is>
          <t>Vertical</t>
        </is>
      </c>
      <c r="F36" s="7" t="inlineStr">
        <is>
          <t>90_BEP</t>
        </is>
      </c>
      <c r="G36" s="7" t="n">
        <v>1.822</v>
      </c>
      <c r="H36" s="7" t="n">
        <v>2.577</v>
      </c>
      <c r="I36" s="7" t="n">
        <v>14.49</v>
      </c>
      <c r="J36" s="7" t="n">
        <v>0.352</v>
      </c>
      <c r="K36" s="7" t="n">
        <v>54.5</v>
      </c>
      <c r="L36" s="6" t="inlineStr">
        <is>
          <t>fat_retest_measurements.csv row 33</t>
        </is>
      </c>
    </row>
    <row r="37">
      <c r="A37" s="7" t="inlineStr">
        <is>
          <t>VIB-0033</t>
        </is>
      </c>
      <c r="B37" s="7" t="inlineStr">
        <is>
          <t>original</t>
        </is>
      </c>
      <c r="C37" s="7" t="inlineStr">
        <is>
          <t>2026-05-12</t>
        </is>
      </c>
      <c r="D37" s="7" t="inlineStr">
        <is>
          <t>PMP_DE_A</t>
        </is>
      </c>
      <c r="E37" s="7" t="inlineStr">
        <is>
          <t>Axial</t>
        </is>
      </c>
      <c r="F37" s="7" t="inlineStr">
        <is>
          <t>90_BEP</t>
        </is>
      </c>
      <c r="G37" s="7" t="n">
        <v>1.593</v>
      </c>
      <c r="H37" s="7" t="n">
        <v>2.259</v>
      </c>
      <c r="I37" s="7" t="n">
        <v>12.7</v>
      </c>
      <c r="J37" s="7" t="n">
        <v>0.302</v>
      </c>
      <c r="K37" s="7" t="n">
        <v>55.1</v>
      </c>
      <c r="L37" s="6" t="inlineStr">
        <is>
          <t>fat_retest_measurements.csv row 34</t>
        </is>
      </c>
    </row>
    <row r="38">
      <c r="A38" s="7" t="inlineStr">
        <is>
          <t>VIB-0034</t>
        </is>
      </c>
      <c r="B38" s="7" t="inlineStr">
        <is>
          <t>original</t>
        </is>
      </c>
      <c r="C38" s="7" t="inlineStr">
        <is>
          <t>2026-05-12</t>
        </is>
      </c>
      <c r="D38" s="7" t="inlineStr">
        <is>
          <t>PMP_NDE_H</t>
        </is>
      </c>
      <c r="E38" s="7" t="inlineStr">
        <is>
          <t>Horizontal</t>
        </is>
      </c>
      <c r="F38" s="7" t="inlineStr">
        <is>
          <t>90_BEP</t>
        </is>
      </c>
      <c r="G38" s="7" t="n">
        <v>1.979</v>
      </c>
      <c r="H38" s="7" t="n">
        <v>2.795</v>
      </c>
      <c r="I38" s="7" t="n">
        <v>15.81</v>
      </c>
      <c r="J38" s="7" t="n">
        <v>0.377</v>
      </c>
      <c r="K38" s="7" t="n">
        <v>53.2</v>
      </c>
      <c r="L38" s="6" t="inlineStr">
        <is>
          <t>fat_retest_measurements.csv row 35</t>
        </is>
      </c>
    </row>
    <row r="39">
      <c r="A39" s="7" t="inlineStr">
        <is>
          <t>VIB-0035</t>
        </is>
      </c>
      <c r="B39" s="7" t="inlineStr">
        <is>
          <t>original</t>
        </is>
      </c>
      <c r="C39" s="7" t="inlineStr">
        <is>
          <t>2026-05-12</t>
        </is>
      </c>
      <c r="D39" s="7" t="inlineStr">
        <is>
          <t>PMP_NDE_V</t>
        </is>
      </c>
      <c r="E39" s="7" t="inlineStr">
        <is>
          <t>Vertical</t>
        </is>
      </c>
      <c r="F39" s="7" t="inlineStr">
        <is>
          <t>90_BEP</t>
        </is>
      </c>
      <c r="G39" s="7" t="n">
        <v>1.632</v>
      </c>
      <c r="H39" s="7" t="n">
        <v>2.306</v>
      </c>
      <c r="I39" s="7" t="n">
        <v>13.06</v>
      </c>
      <c r="J39" s="7" t="n">
        <v>0.316</v>
      </c>
      <c r="K39" s="7" t="n">
        <v>52.9</v>
      </c>
      <c r="L39" s="6" t="inlineStr">
        <is>
          <t>fat_retest_measurements.csv row 36</t>
        </is>
      </c>
    </row>
    <row r="40">
      <c r="A40" s="7" t="inlineStr">
        <is>
          <t>VIB-0036</t>
        </is>
      </c>
      <c r="B40" s="7" t="inlineStr">
        <is>
          <t>original</t>
        </is>
      </c>
      <c r="C40" s="7" t="inlineStr">
        <is>
          <t>2026-05-12</t>
        </is>
      </c>
      <c r="D40" s="7" t="inlineStr">
        <is>
          <t>PMP_NDE_A</t>
        </is>
      </c>
      <c r="E40" s="7" t="inlineStr">
        <is>
          <t>Axial</t>
        </is>
      </c>
      <c r="F40" s="7" t="inlineStr">
        <is>
          <t>90_BEP</t>
        </is>
      </c>
      <c r="G40" s="7" t="n">
        <v>1.444</v>
      </c>
      <c r="H40" s="7" t="n">
        <v>2.044</v>
      </c>
      <c r="I40" s="7" t="n">
        <v>11.49</v>
      </c>
      <c r="J40" s="7" t="n">
        <v>0.275</v>
      </c>
      <c r="K40" s="7" t="n">
        <v>53.4</v>
      </c>
      <c r="L40" s="6" t="inlineStr">
        <is>
          <t>fat_retest_measurements.csv row 37</t>
        </is>
      </c>
    </row>
    <row r="41">
      <c r="A41" s="7" t="inlineStr">
        <is>
          <t>VIB-0037</t>
        </is>
      </c>
      <c r="B41" s="7" t="inlineStr">
        <is>
          <t>original</t>
        </is>
      </c>
      <c r="C41" s="7" t="inlineStr">
        <is>
          <t>2026-05-12</t>
        </is>
      </c>
      <c r="D41" s="7" t="inlineStr">
        <is>
          <t>DRV_DE_H</t>
        </is>
      </c>
      <c r="E41" s="7" t="inlineStr">
        <is>
          <t>Horizontal</t>
        </is>
      </c>
      <c r="F41" s="7" t="inlineStr">
        <is>
          <t>80</t>
        </is>
      </c>
      <c r="G41" s="7" t="n">
        <v>2.128</v>
      </c>
      <c r="H41" s="7" t="n">
        <v>3.008</v>
      </c>
      <c r="I41" s="7" t="n">
        <v>16.98</v>
      </c>
      <c r="J41" s="7" t="n">
        <v>0.409</v>
      </c>
      <c r="K41" s="7" t="n">
        <v>51</v>
      </c>
      <c r="L41" s="6" t="inlineStr">
        <is>
          <t>fat_retest_measurements.csv row 38</t>
        </is>
      </c>
    </row>
    <row r="42">
      <c r="A42" s="7" t="inlineStr">
        <is>
          <t>VIB-0038</t>
        </is>
      </c>
      <c r="B42" s="7" t="inlineStr">
        <is>
          <t>original</t>
        </is>
      </c>
      <c r="C42" s="7" t="inlineStr">
        <is>
          <t>2026-05-12</t>
        </is>
      </c>
      <c r="D42" s="7" t="inlineStr">
        <is>
          <t>DRV_DE_V</t>
        </is>
      </c>
      <c r="E42" s="7" t="inlineStr">
        <is>
          <t>Vertical</t>
        </is>
      </c>
      <c r="F42" s="7" t="inlineStr">
        <is>
          <t>80</t>
        </is>
      </c>
      <c r="G42" s="7" t="n">
        <v>1.76</v>
      </c>
      <c r="H42" s="7" t="n">
        <v>2.49</v>
      </c>
      <c r="I42" s="7" t="n">
        <v>13.99</v>
      </c>
      <c r="J42" s="7" t="n">
        <v>0.34</v>
      </c>
      <c r="K42" s="7" t="n">
        <v>50.7</v>
      </c>
      <c r="L42" s="6" t="inlineStr">
        <is>
          <t>fat_retest_measurements.csv row 39</t>
        </is>
      </c>
    </row>
    <row r="43">
      <c r="A43" s="7" t="inlineStr">
        <is>
          <t>VIB-0039</t>
        </is>
      </c>
      <c r="B43" s="7" t="inlineStr">
        <is>
          <t>original</t>
        </is>
      </c>
      <c r="C43" s="7" t="inlineStr">
        <is>
          <t>2026-05-12</t>
        </is>
      </c>
      <c r="D43" s="7" t="inlineStr">
        <is>
          <t>DRV_DE_A</t>
        </is>
      </c>
      <c r="E43" s="7" t="inlineStr">
        <is>
          <t>Axial</t>
        </is>
      </c>
      <c r="F43" s="7" t="inlineStr">
        <is>
          <t>80</t>
        </is>
      </c>
      <c r="G43" s="7" t="n">
        <v>2.318</v>
      </c>
      <c r="H43" s="7" t="n">
        <v>3.281</v>
      </c>
      <c r="I43" s="7" t="n">
        <v>18.53</v>
      </c>
      <c r="J43" s="7" t="n">
        <v>0.445</v>
      </c>
      <c r="K43" s="7" t="n">
        <v>51.3</v>
      </c>
      <c r="L43" s="6" t="inlineStr">
        <is>
          <t>fat_retest_measurements.csv row 40</t>
        </is>
      </c>
    </row>
    <row r="44">
      <c r="A44" s="7" t="inlineStr">
        <is>
          <t>VIB-0040</t>
        </is>
      </c>
      <c r="B44" s="7" t="inlineStr">
        <is>
          <t>original</t>
        </is>
      </c>
      <c r="C44" s="7" t="inlineStr">
        <is>
          <t>2026-05-12</t>
        </is>
      </c>
      <c r="D44" s="7" t="inlineStr">
        <is>
          <t>DRV_NDE_H</t>
        </is>
      </c>
      <c r="E44" s="7" t="inlineStr">
        <is>
          <t>Horizontal</t>
        </is>
      </c>
      <c r="F44" s="7" t="inlineStr">
        <is>
          <t>80</t>
        </is>
      </c>
      <c r="G44" s="7" t="n">
        <v>1.895</v>
      </c>
      <c r="H44" s="7" t="n">
        <v>2.686</v>
      </c>
      <c r="I44" s="7" t="n">
        <v>15.09</v>
      </c>
      <c r="J44" s="7" t="n">
        <v>0.364</v>
      </c>
      <c r="K44" s="7" t="n">
        <v>48.8</v>
      </c>
      <c r="L44" s="6" t="inlineStr">
        <is>
          <t>fat_retest_measurements.csv row 41</t>
        </is>
      </c>
    </row>
    <row r="45">
      <c r="A45" s="7" t="inlineStr">
        <is>
          <t>VIB-0041</t>
        </is>
      </c>
      <c r="B45" s="7" t="inlineStr">
        <is>
          <t>original</t>
        </is>
      </c>
      <c r="C45" s="7" t="inlineStr">
        <is>
          <t>2026-05-12</t>
        </is>
      </c>
      <c r="D45" s="7" t="inlineStr">
        <is>
          <t>DRV_NDE_V</t>
        </is>
      </c>
      <c r="E45" s="7" t="inlineStr">
        <is>
          <t>Vertical</t>
        </is>
      </c>
      <c r="F45" s="7" t="inlineStr">
        <is>
          <t>80</t>
        </is>
      </c>
      <c r="G45" s="7" t="n">
        <v>1.612</v>
      </c>
      <c r="H45" s="7" t="n">
        <v>2.282</v>
      </c>
      <c r="I45" s="7" t="n">
        <v>12.88</v>
      </c>
      <c r="J45" s="7" t="n">
        <v>0.304</v>
      </c>
      <c r="K45" s="7" t="n">
        <v>48.5</v>
      </c>
      <c r="L45" s="6" t="inlineStr">
        <is>
          <t>fat_retest_measurements.csv row 42</t>
        </is>
      </c>
    </row>
    <row r="46">
      <c r="A46" s="7" t="inlineStr">
        <is>
          <t>VIB-0042</t>
        </is>
      </c>
      <c r="B46" s="7" t="inlineStr">
        <is>
          <t>original</t>
        </is>
      </c>
      <c r="C46" s="7" t="inlineStr">
        <is>
          <t>2026-05-12</t>
        </is>
      </c>
      <c r="D46" s="7" t="inlineStr">
        <is>
          <t>DRV_NDE_A</t>
        </is>
      </c>
      <c r="E46" s="7" t="inlineStr">
        <is>
          <t>Axial</t>
        </is>
      </c>
      <c r="F46" s="7" t="inlineStr">
        <is>
          <t>80</t>
        </is>
      </c>
      <c r="G46" s="7" t="n">
        <v>1.716</v>
      </c>
      <c r="H46" s="7" t="n">
        <v>2.432</v>
      </c>
      <c r="I46" s="7" t="n">
        <v>13.69</v>
      </c>
      <c r="J46" s="7" t="n">
        <v>0.326</v>
      </c>
      <c r="K46" s="7" t="n">
        <v>49</v>
      </c>
      <c r="L46" s="6" t="inlineStr">
        <is>
          <t>fat_retest_measurements.csv row 43</t>
        </is>
      </c>
    </row>
    <row r="47">
      <c r="A47" s="7" t="inlineStr">
        <is>
          <t>VIB-0043</t>
        </is>
      </c>
      <c r="B47" s="7" t="inlineStr">
        <is>
          <t>original</t>
        </is>
      </c>
      <c r="C47" s="7" t="inlineStr">
        <is>
          <t>2026-05-12</t>
        </is>
      </c>
      <c r="D47" s="7" t="inlineStr">
        <is>
          <t>PMP_DE_H</t>
        </is>
      </c>
      <c r="E47" s="7" t="inlineStr">
        <is>
          <t>Horizontal</t>
        </is>
      </c>
      <c r="F47" s="7" t="inlineStr">
        <is>
          <t>80</t>
        </is>
      </c>
      <c r="G47" s="7" t="n">
        <v>2.604</v>
      </c>
      <c r="H47" s="7" t="n">
        <v>3.682</v>
      </c>
      <c r="I47" s="7" t="n">
        <v>20.75</v>
      </c>
      <c r="J47" s="7" t="n">
        <v>0.498</v>
      </c>
      <c r="K47" s="7" t="n">
        <v>55.6</v>
      </c>
      <c r="L47" s="6" t="inlineStr">
        <is>
          <t>fat_retest_measurements.csv row 44</t>
        </is>
      </c>
    </row>
    <row r="48">
      <c r="A48" s="7" t="inlineStr">
        <is>
          <t>VIB-0044</t>
        </is>
      </c>
      <c r="B48" s="7" t="inlineStr">
        <is>
          <t>original</t>
        </is>
      </c>
      <c r="C48" s="7" t="inlineStr">
        <is>
          <t>2026-05-12</t>
        </is>
      </c>
      <c r="D48" s="7" t="inlineStr">
        <is>
          <t>PMP_DE_V</t>
        </is>
      </c>
      <c r="E48" s="7" t="inlineStr">
        <is>
          <t>Vertical</t>
        </is>
      </c>
      <c r="F48" s="7" t="inlineStr">
        <is>
          <t>80</t>
        </is>
      </c>
      <c r="G48" s="7" t="n">
        <v>2.077</v>
      </c>
      <c r="H48" s="7" t="n">
        <v>2.936</v>
      </c>
      <c r="I48" s="7" t="n">
        <v>16.57</v>
      </c>
      <c r="J48" s="7" t="n">
        <v>0.399</v>
      </c>
      <c r="K48" s="7" t="n">
        <v>55.3</v>
      </c>
      <c r="L48" s="6" t="inlineStr">
        <is>
          <t>fat_retest_measurements.csv row 45</t>
        </is>
      </c>
    </row>
    <row r="49">
      <c r="A49" s="7" t="inlineStr">
        <is>
          <t>VIB-0045</t>
        </is>
      </c>
      <c r="B49" s="7" t="inlineStr">
        <is>
          <t>original</t>
        </is>
      </c>
      <c r="C49" s="7" t="inlineStr">
        <is>
          <t>2026-05-12</t>
        </is>
      </c>
      <c r="D49" s="7" t="inlineStr">
        <is>
          <t>PMP_DE_A</t>
        </is>
      </c>
      <c r="E49" s="7" t="inlineStr">
        <is>
          <t>Axial</t>
        </is>
      </c>
      <c r="F49" s="7" t="inlineStr">
        <is>
          <t>80</t>
        </is>
      </c>
      <c r="G49" s="7" t="n">
        <v>1.832</v>
      </c>
      <c r="H49" s="7" t="n">
        <v>2.593</v>
      </c>
      <c r="I49" s="7" t="n">
        <v>14.61</v>
      </c>
      <c r="J49" s="7" t="n">
        <v>0.35</v>
      </c>
      <c r="K49" s="7" t="n">
        <v>55.9</v>
      </c>
      <c r="L49" s="6" t="inlineStr">
        <is>
          <t>fat_retest_measurements.csv row 46</t>
        </is>
      </c>
    </row>
    <row r="50">
      <c r="A50" s="7" t="inlineStr">
        <is>
          <t>VIB-0046</t>
        </is>
      </c>
      <c r="B50" s="7" t="inlineStr">
        <is>
          <t>original</t>
        </is>
      </c>
      <c r="C50" s="7" t="inlineStr">
        <is>
          <t>2026-05-12</t>
        </is>
      </c>
      <c r="D50" s="7" t="inlineStr">
        <is>
          <t>PMP_NDE_H</t>
        </is>
      </c>
      <c r="E50" s="7" t="inlineStr">
        <is>
          <t>Horizontal</t>
        </is>
      </c>
      <c r="F50" s="7" t="inlineStr">
        <is>
          <t>80</t>
        </is>
      </c>
      <c r="G50" s="7" t="n">
        <v>2.391</v>
      </c>
      <c r="H50" s="7" t="n">
        <v>3.384</v>
      </c>
      <c r="I50" s="7" t="n">
        <v>19.04</v>
      </c>
      <c r="J50" s="7" t="n">
        <v>0.455</v>
      </c>
      <c r="K50" s="7" t="n">
        <v>53.8</v>
      </c>
      <c r="L50" s="6" t="inlineStr">
        <is>
          <t>fat_retest_measurements.csv row 47</t>
        </is>
      </c>
    </row>
    <row r="51">
      <c r="A51" s="7" t="inlineStr">
        <is>
          <t>VIB-0047</t>
        </is>
      </c>
      <c r="B51" s="7" t="inlineStr">
        <is>
          <t>original</t>
        </is>
      </c>
      <c r="C51" s="7" t="inlineStr">
        <is>
          <t>2026-05-12</t>
        </is>
      </c>
      <c r="D51" s="7" t="inlineStr">
        <is>
          <t>PMP_NDE_V</t>
        </is>
      </c>
      <c r="E51" s="7" t="inlineStr">
        <is>
          <t>Vertical</t>
        </is>
      </c>
      <c r="F51" s="7" t="inlineStr">
        <is>
          <t>80</t>
        </is>
      </c>
      <c r="G51" s="7" t="n">
        <v>1.967</v>
      </c>
      <c r="H51" s="7" t="n">
        <v>2.779</v>
      </c>
      <c r="I51" s="7" t="n">
        <v>15.72</v>
      </c>
      <c r="J51" s="7" t="n">
        <v>0.375</v>
      </c>
      <c r="K51" s="7" t="n">
        <v>53.5</v>
      </c>
      <c r="L51" s="6" t="inlineStr">
        <is>
          <t>fat_retest_measurements.csv row 48</t>
        </is>
      </c>
    </row>
    <row r="52">
      <c r="A52" s="7" t="inlineStr">
        <is>
          <t>VIB-0048</t>
        </is>
      </c>
      <c r="B52" s="7" t="inlineStr">
        <is>
          <t>original</t>
        </is>
      </c>
      <c r="C52" s="7" t="inlineStr">
        <is>
          <t>2026-05-12</t>
        </is>
      </c>
      <c r="D52" s="7" t="inlineStr">
        <is>
          <t>PMP_NDE_A</t>
        </is>
      </c>
      <c r="E52" s="7" t="inlineStr">
        <is>
          <t>Axial</t>
        </is>
      </c>
      <c r="F52" s="7" t="inlineStr">
        <is>
          <t>80</t>
        </is>
      </c>
      <c r="G52" s="7" t="n">
        <v>1.748</v>
      </c>
      <c r="H52" s="7" t="n">
        <v>2.471</v>
      </c>
      <c r="I52" s="7" t="n">
        <v>13.93</v>
      </c>
      <c r="J52" s="7" t="n">
        <v>0.335</v>
      </c>
      <c r="K52" s="7" t="n">
        <v>54</v>
      </c>
      <c r="L52" s="6" t="inlineStr">
        <is>
          <t>fat_retest_measurements.csv row 49</t>
        </is>
      </c>
    </row>
    <row r="53">
      <c r="A53" s="7" t="inlineStr">
        <is>
          <t>VIB-0049</t>
        </is>
      </c>
      <c r="B53" s="7" t="inlineStr">
        <is>
          <t>original</t>
        </is>
      </c>
      <c r="C53" s="7" t="inlineStr">
        <is>
          <t>2026-05-12</t>
        </is>
      </c>
      <c r="D53" s="7" t="inlineStr">
        <is>
          <t>DRV_DE_H</t>
        </is>
      </c>
      <c r="E53" s="7" t="inlineStr">
        <is>
          <t>Horizontal</t>
        </is>
      </c>
      <c r="F53" s="7" t="inlineStr">
        <is>
          <t>60</t>
        </is>
      </c>
      <c r="G53" s="7" t="n">
        <v>2.664</v>
      </c>
      <c r="H53" s="7" t="n">
        <v>3.77</v>
      </c>
      <c r="I53" s="7" t="n">
        <v>21.27</v>
      </c>
      <c r="J53" s="7" t="n">
        <v>0.505</v>
      </c>
      <c r="K53" s="7" t="n">
        <v>49.3</v>
      </c>
      <c r="L53" s="6" t="inlineStr">
        <is>
          <t>fat_retest_measurements.csv row 50</t>
        </is>
      </c>
    </row>
    <row r="54">
      <c r="A54" s="7" t="inlineStr">
        <is>
          <t>VIB-0050</t>
        </is>
      </c>
      <c r="B54" s="7" t="inlineStr">
        <is>
          <t>original</t>
        </is>
      </c>
      <c r="C54" s="7" t="inlineStr">
        <is>
          <t>2026-05-12</t>
        </is>
      </c>
      <c r="D54" s="7" t="inlineStr">
        <is>
          <t>DRV_DE_V</t>
        </is>
      </c>
      <c r="E54" s="7" t="inlineStr">
        <is>
          <t>Vertical</t>
        </is>
      </c>
      <c r="F54" s="7" t="inlineStr">
        <is>
          <t>60</t>
        </is>
      </c>
      <c r="G54" s="7" t="n">
        <v>2.146</v>
      </c>
      <c r="H54" s="7" t="n">
        <v>3.041</v>
      </c>
      <c r="I54" s="7" t="n">
        <v>17.09</v>
      </c>
      <c r="J54" s="7" t="n">
        <v>0.407</v>
      </c>
      <c r="K54" s="7" t="n">
        <v>49</v>
      </c>
      <c r="L54" s="6" t="inlineStr">
        <is>
          <t>fat_retest_measurements.csv row 51</t>
        </is>
      </c>
    </row>
    <row r="55">
      <c r="A55" s="7" t="inlineStr">
        <is>
          <t>VIB-0051</t>
        </is>
      </c>
      <c r="B55" s="7" t="inlineStr">
        <is>
          <t>original</t>
        </is>
      </c>
      <c r="C55" s="7" t="inlineStr">
        <is>
          <t>2026-05-12</t>
        </is>
      </c>
      <c r="D55" s="7" t="inlineStr">
        <is>
          <t>DRV_DE_A</t>
        </is>
      </c>
      <c r="E55" s="7" t="inlineStr">
        <is>
          <t>Axial</t>
        </is>
      </c>
      <c r="F55" s="7" t="inlineStr">
        <is>
          <t>60</t>
        </is>
      </c>
      <c r="G55" s="7" t="n">
        <v>2.936</v>
      </c>
      <c r="H55" s="7" t="n">
        <v>4.153</v>
      </c>
      <c r="I55" s="7" t="n">
        <v>23.43</v>
      </c>
      <c r="J55" s="7" t="n">
        <v>0.5629999999999999</v>
      </c>
      <c r="K55" s="7" t="n">
        <v>49.6</v>
      </c>
      <c r="L55" s="6" t="inlineStr">
        <is>
          <t>fat_retest_measurements.csv row 52</t>
        </is>
      </c>
    </row>
    <row r="56">
      <c r="A56" s="7" t="inlineStr">
        <is>
          <t>VIB-0052</t>
        </is>
      </c>
      <c r="B56" s="7" t="inlineStr">
        <is>
          <t>original</t>
        </is>
      </c>
      <c r="C56" s="7" t="inlineStr">
        <is>
          <t>2026-05-12</t>
        </is>
      </c>
      <c r="D56" s="7" t="inlineStr">
        <is>
          <t>DRV_NDE_H</t>
        </is>
      </c>
      <c r="E56" s="7" t="inlineStr">
        <is>
          <t>Horizontal</t>
        </is>
      </c>
      <c r="F56" s="7" t="inlineStr">
        <is>
          <t>60</t>
        </is>
      </c>
      <c r="G56" s="7" t="n">
        <v>2.254</v>
      </c>
      <c r="H56" s="7" t="n">
        <v>3.19</v>
      </c>
      <c r="I56" s="7" t="n">
        <v>18.01</v>
      </c>
      <c r="J56" s="7" t="n">
        <v>0.432</v>
      </c>
      <c r="K56" s="7" t="n">
        <v>47.2</v>
      </c>
      <c r="L56" s="6" t="inlineStr">
        <is>
          <t>fat_retest_measurements.csv row 53</t>
        </is>
      </c>
    </row>
    <row r="57">
      <c r="A57" s="7" t="inlineStr">
        <is>
          <t>VIB-0053</t>
        </is>
      </c>
      <c r="B57" s="7" t="inlineStr">
        <is>
          <t>original</t>
        </is>
      </c>
      <c r="C57" s="7" t="inlineStr">
        <is>
          <t>2026-05-12</t>
        </is>
      </c>
      <c r="D57" s="7" t="inlineStr">
        <is>
          <t>DRV_NDE_V</t>
        </is>
      </c>
      <c r="E57" s="7" t="inlineStr">
        <is>
          <t>Vertical</t>
        </is>
      </c>
      <c r="F57" s="7" t="inlineStr">
        <is>
          <t>60</t>
        </is>
      </c>
      <c r="G57" s="7" t="n">
        <v>1.946</v>
      </c>
      <c r="H57" s="7" t="n">
        <v>2.753</v>
      </c>
      <c r="I57" s="7" t="n">
        <v>15.52</v>
      </c>
      <c r="J57" s="7" t="n">
        <v>0.373</v>
      </c>
      <c r="K57" s="7" t="n">
        <v>46.9</v>
      </c>
      <c r="L57" s="6" t="inlineStr">
        <is>
          <t>fat_retest_measurements.csv row 54</t>
        </is>
      </c>
    </row>
    <row r="58">
      <c r="A58" s="7" t="inlineStr">
        <is>
          <t>VIB-0054</t>
        </is>
      </c>
      <c r="B58" s="7" t="inlineStr">
        <is>
          <t>original</t>
        </is>
      </c>
      <c r="C58" s="7" t="inlineStr">
        <is>
          <t>2026-05-12</t>
        </is>
      </c>
      <c r="D58" s="7" t="inlineStr">
        <is>
          <t>DRV_NDE_A</t>
        </is>
      </c>
      <c r="E58" s="7" t="inlineStr">
        <is>
          <t>Axial</t>
        </is>
      </c>
      <c r="F58" s="7" t="inlineStr">
        <is>
          <t>60</t>
        </is>
      </c>
      <c r="G58" s="7" t="n">
        <v>2.124</v>
      </c>
      <c r="H58" s="7" t="n">
        <v>3.008</v>
      </c>
      <c r="I58" s="7" t="n">
        <v>16.97</v>
      </c>
      <c r="J58" s="7" t="n">
        <v>0.406</v>
      </c>
      <c r="K58" s="7" t="n">
        <v>47.4</v>
      </c>
      <c r="L58" s="6" t="inlineStr">
        <is>
          <t>fat_retest_measurements.csv row 55</t>
        </is>
      </c>
    </row>
    <row r="59">
      <c r="A59" s="7" t="inlineStr">
        <is>
          <t>VIB-0055</t>
        </is>
      </c>
      <c r="B59" s="7" t="inlineStr">
        <is>
          <t>original</t>
        </is>
      </c>
      <c r="C59" s="7" t="inlineStr">
        <is>
          <t>2026-05-12</t>
        </is>
      </c>
      <c r="D59" s="7" t="inlineStr">
        <is>
          <t>PMP_DE_H</t>
        </is>
      </c>
      <c r="E59" s="7" t="inlineStr">
        <is>
          <t>Horizontal</t>
        </is>
      </c>
      <c r="F59" s="7" t="inlineStr">
        <is>
          <t>60</t>
        </is>
      </c>
      <c r="G59" s="7" t="n">
        <v>3.895</v>
      </c>
      <c r="H59" s="7" t="n">
        <v>5.507</v>
      </c>
      <c r="I59" s="7" t="n">
        <v>31.1</v>
      </c>
      <c r="J59" s="7" t="n">
        <v>0.743</v>
      </c>
      <c r="K59" s="7" t="n">
        <v>54.1</v>
      </c>
      <c r="L59" s="6" t="inlineStr">
        <is>
          <t>fat_retest_measurements.csv row 56</t>
        </is>
      </c>
    </row>
    <row r="60">
      <c r="A60" s="7" t="inlineStr">
        <is>
          <t>VIB-0056</t>
        </is>
      </c>
      <c r="B60" s="7" t="inlineStr">
        <is>
          <t>original</t>
        </is>
      </c>
      <c r="C60" s="7" t="inlineStr">
        <is>
          <t>2026-05-12</t>
        </is>
      </c>
      <c r="D60" s="7" t="inlineStr">
        <is>
          <t>PMP_DE_V</t>
        </is>
      </c>
      <c r="E60" s="7" t="inlineStr">
        <is>
          <t>Vertical</t>
        </is>
      </c>
      <c r="F60" s="7" t="inlineStr">
        <is>
          <t>60</t>
        </is>
      </c>
      <c r="G60" s="7" t="n">
        <v>3.106</v>
      </c>
      <c r="H60" s="7" t="n">
        <v>4.391</v>
      </c>
      <c r="I60" s="7" t="n">
        <v>24.75</v>
      </c>
      <c r="J60" s="7" t="n">
        <v>0.59</v>
      </c>
      <c r="K60" s="7" t="n">
        <v>53.8</v>
      </c>
      <c r="L60" s="6" t="inlineStr">
        <is>
          <t>fat_retest_measurements.csv row 57</t>
        </is>
      </c>
    </row>
    <row r="61">
      <c r="A61" s="7" t="inlineStr">
        <is>
          <t>VIB-0057</t>
        </is>
      </c>
      <c r="B61" s="7" t="inlineStr">
        <is>
          <t>original</t>
        </is>
      </c>
      <c r="C61" s="7" t="inlineStr">
        <is>
          <t>2026-05-12</t>
        </is>
      </c>
      <c r="D61" s="7" t="inlineStr">
        <is>
          <t>PMP_DE_A</t>
        </is>
      </c>
      <c r="E61" s="7" t="inlineStr">
        <is>
          <t>Axial</t>
        </is>
      </c>
      <c r="F61" s="7" t="inlineStr">
        <is>
          <t>60</t>
        </is>
      </c>
      <c r="G61" s="7" t="n">
        <v>2.522</v>
      </c>
      <c r="H61" s="7" t="n">
        <v>3.57</v>
      </c>
      <c r="I61" s="7" t="n">
        <v>20.14</v>
      </c>
      <c r="J61" s="7" t="n">
        <v>0.478</v>
      </c>
      <c r="K61" s="7" t="n">
        <v>54.4</v>
      </c>
      <c r="L61" s="6" t="inlineStr">
        <is>
          <t>fat_retest_measurements.csv row 58</t>
        </is>
      </c>
    </row>
    <row r="62">
      <c r="A62" s="7" t="inlineStr">
        <is>
          <t>VIB-0058</t>
        </is>
      </c>
      <c r="B62" s="7" t="inlineStr">
        <is>
          <t>original</t>
        </is>
      </c>
      <c r="C62" s="7" t="inlineStr">
        <is>
          <t>2026-05-12</t>
        </is>
      </c>
      <c r="D62" s="7" t="inlineStr">
        <is>
          <t>PMP_NDE_H</t>
        </is>
      </c>
      <c r="E62" s="7" t="inlineStr">
        <is>
          <t>Horizontal</t>
        </is>
      </c>
      <c r="F62" s="7" t="inlineStr">
        <is>
          <t>60</t>
        </is>
      </c>
      <c r="G62" s="7" t="n">
        <v>4.91</v>
      </c>
      <c r="H62" s="7" t="n">
        <v>6.946</v>
      </c>
      <c r="I62" s="7" t="n">
        <v>39.18</v>
      </c>
      <c r="J62" s="7" t="n">
        <v>0.931</v>
      </c>
      <c r="K62" s="7" t="n">
        <v>52.3</v>
      </c>
      <c r="L62" s="6" t="inlineStr">
        <is>
          <t>fat_retest_measurements.csv row 59</t>
        </is>
      </c>
    </row>
    <row r="63">
      <c r="A63" s="7" t="inlineStr">
        <is>
          <t>VIB-0059</t>
        </is>
      </c>
      <c r="B63" s="7" t="inlineStr">
        <is>
          <t>original</t>
        </is>
      </c>
      <c r="C63" s="7" t="inlineStr">
        <is>
          <t>2026-05-12</t>
        </is>
      </c>
      <c r="D63" s="7" t="inlineStr">
        <is>
          <t>PMP_NDE_V</t>
        </is>
      </c>
      <c r="E63" s="7" t="inlineStr">
        <is>
          <t>Vertical</t>
        </is>
      </c>
      <c r="F63" s="7" t="inlineStr">
        <is>
          <t>60</t>
        </is>
      </c>
      <c r="G63" s="7" t="n">
        <v>5.659</v>
      </c>
      <c r="H63" s="7" t="n">
        <v>8.006</v>
      </c>
      <c r="I63" s="7" t="n">
        <v>45.17</v>
      </c>
      <c r="J63" s="7" t="n">
        <v>1.08</v>
      </c>
      <c r="K63" s="7" t="n">
        <v>52</v>
      </c>
      <c r="L63" s="6" t="inlineStr">
        <is>
          <t>fat_retest_measurements.csv row 60</t>
        </is>
      </c>
    </row>
    <row r="64">
      <c r="A64" s="7" t="inlineStr">
        <is>
          <t>VIB-0060</t>
        </is>
      </c>
      <c r="B64" s="7" t="inlineStr">
        <is>
          <t>original</t>
        </is>
      </c>
      <c r="C64" s="7" t="inlineStr">
        <is>
          <t>2026-05-12</t>
        </is>
      </c>
      <c r="D64" s="7" t="inlineStr">
        <is>
          <t>PMP_NDE_A</t>
        </is>
      </c>
      <c r="E64" s="7" t="inlineStr">
        <is>
          <t>Axial</t>
        </is>
      </c>
      <c r="F64" s="7" t="inlineStr">
        <is>
          <t>60</t>
        </is>
      </c>
      <c r="G64" s="7" t="n">
        <v>3.767</v>
      </c>
      <c r="H64" s="7" t="n">
        <v>5.33</v>
      </c>
      <c r="I64" s="7" t="n">
        <v>30.01</v>
      </c>
      <c r="J64" s="7" t="n">
        <v>0.714</v>
      </c>
      <c r="K64" s="7" t="n">
        <v>52.6</v>
      </c>
      <c r="L64" s="6" t="inlineStr">
        <is>
          <t>fat_retest_measurements.csv row 61</t>
        </is>
      </c>
    </row>
    <row r="65">
      <c r="A65" s="7" t="inlineStr">
        <is>
          <t>VIB-0061</t>
        </is>
      </c>
      <c r="B65" s="7" t="inlineStr">
        <is>
          <t>retest</t>
        </is>
      </c>
      <c r="C65" s="7" t="inlineStr">
        <is>
          <t>2026-05-15</t>
        </is>
      </c>
      <c r="D65" s="7" t="inlineStr">
        <is>
          <t>PMP_DE_H</t>
        </is>
      </c>
      <c r="E65" s="7" t="inlineStr">
        <is>
          <t>Horizontal</t>
        </is>
      </c>
      <c r="F65" s="7" t="inlineStr">
        <is>
          <t>100</t>
        </is>
      </c>
      <c r="G65" s="7" t="n">
        <v>2.623</v>
      </c>
      <c r="H65" s="7" t="n">
        <v>3.716</v>
      </c>
      <c r="I65" s="7" t="n">
        <v>20.92</v>
      </c>
      <c r="J65" s="7" t="n">
        <v>0.5</v>
      </c>
      <c r="K65" s="7" t="n">
        <v>56.3</v>
      </c>
      <c r="L65" s="6" t="inlineStr">
        <is>
          <t>fat_retest_measurements.csv row 62</t>
        </is>
      </c>
    </row>
    <row r="66">
      <c r="A66" s="7" t="inlineStr">
        <is>
          <t>VIB-0062</t>
        </is>
      </c>
      <c r="B66" s="7" t="inlineStr">
        <is>
          <t>retest</t>
        </is>
      </c>
      <c r="C66" s="7" t="inlineStr">
        <is>
          <t>2026-05-15</t>
        </is>
      </c>
      <c r="D66" s="7" t="inlineStr">
        <is>
          <t>PMP_DE_V</t>
        </is>
      </c>
      <c r="E66" s="7" t="inlineStr">
        <is>
          <t>Vertical</t>
        </is>
      </c>
      <c r="F66" s="7" t="inlineStr">
        <is>
          <t>100</t>
        </is>
      </c>
      <c r="G66" s="7" t="n">
        <v>2.042</v>
      </c>
      <c r="H66" s="7" t="n">
        <v>2.89</v>
      </c>
      <c r="I66" s="7" t="n">
        <v>16.23</v>
      </c>
      <c r="J66" s="7" t="n">
        <v>0.387</v>
      </c>
      <c r="K66" s="7" t="n">
        <v>56</v>
      </c>
      <c r="L66" s="6" t="inlineStr">
        <is>
          <t>fat_retest_measurements.csv row 63</t>
        </is>
      </c>
    </row>
    <row r="67">
      <c r="A67" s="7" t="inlineStr">
        <is>
          <t>VIB-0063</t>
        </is>
      </c>
      <c r="B67" s="7" t="inlineStr">
        <is>
          <t>retest</t>
        </is>
      </c>
      <c r="C67" s="7" t="inlineStr">
        <is>
          <t>2026-05-15</t>
        </is>
      </c>
      <c r="D67" s="7" t="inlineStr">
        <is>
          <t>PMP_DE_A</t>
        </is>
      </c>
      <c r="E67" s="7" t="inlineStr">
        <is>
          <t>Axial</t>
        </is>
      </c>
      <c r="F67" s="7" t="inlineStr">
        <is>
          <t>100</t>
        </is>
      </c>
      <c r="G67" s="7" t="n">
        <v>1.916</v>
      </c>
      <c r="H67" s="7" t="n">
        <v>2.717</v>
      </c>
      <c r="I67" s="7" t="n">
        <v>15.27</v>
      </c>
      <c r="J67" s="7" t="n">
        <v>0.369</v>
      </c>
      <c r="K67" s="7" t="n">
        <v>56.6</v>
      </c>
      <c r="L67" s="6" t="inlineStr">
        <is>
          <t>fat_retest_measurements.csv row 64</t>
        </is>
      </c>
    </row>
    <row r="68">
      <c r="A68" s="7" t="inlineStr">
        <is>
          <t>VIB-0064</t>
        </is>
      </c>
      <c r="B68" s="7" t="inlineStr">
        <is>
          <t>retest</t>
        </is>
      </c>
      <c r="C68" s="7" t="inlineStr">
        <is>
          <t>2026-05-15</t>
        </is>
      </c>
      <c r="D68" s="7" t="inlineStr">
        <is>
          <t>PMP_NDE_H</t>
        </is>
      </c>
      <c r="E68" s="7" t="inlineStr">
        <is>
          <t>Horizontal</t>
        </is>
      </c>
      <c r="F68" s="7" t="inlineStr">
        <is>
          <t>100</t>
        </is>
      </c>
      <c r="G68" s="7" t="n">
        <v>2.217</v>
      </c>
      <c r="H68" s="7" t="n">
        <v>3.132</v>
      </c>
      <c r="I68" s="7" t="n">
        <v>17.7</v>
      </c>
      <c r="J68" s="7" t="n">
        <v>0.427</v>
      </c>
      <c r="K68" s="7" t="n">
        <v>54.7</v>
      </c>
      <c r="L68" s="6" t="inlineStr">
        <is>
          <t>fat_retest_measurements.csv row 65</t>
        </is>
      </c>
    </row>
    <row r="69">
      <c r="A69" s="7" t="inlineStr">
        <is>
          <t>VIB-0065</t>
        </is>
      </c>
      <c r="B69" s="7" t="inlineStr">
        <is>
          <t>retest</t>
        </is>
      </c>
      <c r="C69" s="7" t="inlineStr">
        <is>
          <t>2026-05-15</t>
        </is>
      </c>
      <c r="D69" s="7" t="inlineStr">
        <is>
          <t>PMP_NDE_V</t>
        </is>
      </c>
      <c r="E69" s="7" t="inlineStr">
        <is>
          <t>Vertical</t>
        </is>
      </c>
      <c r="F69" s="7" t="inlineStr">
        <is>
          <t>100</t>
        </is>
      </c>
      <c r="G69" s="7" t="n">
        <v>1.831</v>
      </c>
      <c r="H69" s="7" t="n">
        <v>2.588</v>
      </c>
      <c r="I69" s="7" t="n">
        <v>14.63</v>
      </c>
      <c r="J69" s="7" t="n">
        <v>0.348</v>
      </c>
      <c r="K69" s="7" t="n">
        <v>54.4</v>
      </c>
      <c r="L69" s="6" t="inlineStr">
        <is>
          <t>fat_retest_measurements.csv row 66</t>
        </is>
      </c>
    </row>
    <row r="70">
      <c r="A70" s="7" t="inlineStr">
        <is>
          <t>VIB-0066</t>
        </is>
      </c>
      <c r="B70" s="7" t="inlineStr">
        <is>
          <t>retest</t>
        </is>
      </c>
      <c r="C70" s="7" t="inlineStr">
        <is>
          <t>2026-05-15</t>
        </is>
      </c>
      <c r="D70" s="7" t="inlineStr">
        <is>
          <t>PMP_NDE_A</t>
        </is>
      </c>
      <c r="E70" s="7" t="inlineStr">
        <is>
          <t>Axial</t>
        </is>
      </c>
      <c r="F70" s="7" t="inlineStr">
        <is>
          <t>100</t>
        </is>
      </c>
      <c r="G70" s="7" t="n">
        <v>1.626</v>
      </c>
      <c r="H70" s="7" t="n">
        <v>2.305</v>
      </c>
      <c r="I70" s="7" t="n">
        <v>12.97</v>
      </c>
      <c r="J70" s="7" t="n">
        <v>0.309</v>
      </c>
      <c r="K70" s="7" t="n">
        <v>54.9</v>
      </c>
      <c r="L70" s="6" t="inlineStr">
        <is>
          <t>fat_retest_measurements.csv row 67</t>
        </is>
      </c>
    </row>
    <row r="71">
      <c r="A71" s="7" t="inlineStr">
        <is>
          <t>VIB-0067</t>
        </is>
      </c>
      <c r="B71" s="7" t="inlineStr">
        <is>
          <t>retest</t>
        </is>
      </c>
      <c r="C71" s="7" t="inlineStr">
        <is>
          <t>2026-05-15</t>
        </is>
      </c>
      <c r="D71" s="7" t="inlineStr">
        <is>
          <t>DRV_DE_H</t>
        </is>
      </c>
      <c r="E71" s="7" t="inlineStr">
        <is>
          <t>Horizontal</t>
        </is>
      </c>
      <c r="F71" s="7" t="inlineStr">
        <is>
          <t>100</t>
        </is>
      </c>
      <c r="G71" s="7" t="n">
        <v>2.225</v>
      </c>
      <c r="H71" s="7" t="n">
        <v>3.146</v>
      </c>
      <c r="I71" s="7" t="n">
        <v>17.7</v>
      </c>
      <c r="J71" s="7" t="n">
        <v>0.424</v>
      </c>
      <c r="K71" s="7" t="n">
        <v>52.1</v>
      </c>
      <c r="L71" s="6" t="inlineStr">
        <is>
          <t>fat_retest_measurements.csv row 68</t>
        </is>
      </c>
    </row>
    <row r="72">
      <c r="A72" s="7" t="inlineStr">
        <is>
          <t>VIB-0068</t>
        </is>
      </c>
      <c r="B72" s="7" t="inlineStr">
        <is>
          <t>retest</t>
        </is>
      </c>
      <c r="C72" s="7" t="inlineStr">
        <is>
          <t>2026-05-15</t>
        </is>
      </c>
      <c r="D72" s="7" t="inlineStr">
        <is>
          <t>DRV_DE_V</t>
        </is>
      </c>
      <c r="E72" s="7" t="inlineStr">
        <is>
          <t>Vertical</t>
        </is>
      </c>
      <c r="F72" s="7" t="inlineStr">
        <is>
          <t>100</t>
        </is>
      </c>
      <c r="G72" s="7" t="n">
        <v>1.811</v>
      </c>
      <c r="H72" s="7" t="n">
        <v>2.561</v>
      </c>
      <c r="I72" s="7" t="n">
        <v>14.47</v>
      </c>
      <c r="J72" s="7" t="n">
        <v>0.344</v>
      </c>
      <c r="K72" s="7" t="n">
        <v>51.8</v>
      </c>
      <c r="L72" s="6" t="inlineStr">
        <is>
          <t>fat_retest_measurements.csv row 69</t>
        </is>
      </c>
    </row>
    <row r="73">
      <c r="A73" s="7" t="inlineStr">
        <is>
          <t>VIB-0069</t>
        </is>
      </c>
      <c r="B73" s="7" t="inlineStr">
        <is>
          <t>retest</t>
        </is>
      </c>
      <c r="C73" s="7" t="inlineStr">
        <is>
          <t>2026-05-15</t>
        </is>
      </c>
      <c r="D73" s="7" t="inlineStr">
        <is>
          <t>DRV_DE_A</t>
        </is>
      </c>
      <c r="E73" s="7" t="inlineStr">
        <is>
          <t>Axial</t>
        </is>
      </c>
      <c r="F73" s="7" t="inlineStr">
        <is>
          <t>100</t>
        </is>
      </c>
      <c r="G73" s="7" t="n">
        <v>2.806</v>
      </c>
      <c r="H73" s="7" t="n">
        <v>3.968</v>
      </c>
      <c r="I73" s="7" t="n">
        <v>22.41</v>
      </c>
      <c r="J73" s="7" t="n">
        <v>0.534</v>
      </c>
      <c r="K73" s="7" t="n">
        <v>52.4</v>
      </c>
      <c r="L73" s="6" t="inlineStr">
        <is>
          <t>fat_retest_measurements.csv row 70</t>
        </is>
      </c>
    </row>
    <row r="74">
      <c r="A74" s="7" t="inlineStr">
        <is>
          <t>VIB-0070</t>
        </is>
      </c>
      <c r="B74" s="7" t="inlineStr">
        <is>
          <t>retest</t>
        </is>
      </c>
      <c r="C74" s="7" t="inlineStr">
        <is>
          <t>2026-05-15</t>
        </is>
      </c>
      <c r="D74" s="7" t="inlineStr">
        <is>
          <t>DRV_NDE_H</t>
        </is>
      </c>
      <c r="E74" s="7" t="inlineStr">
        <is>
          <t>Horizontal</t>
        </is>
      </c>
      <c r="F74" s="7" t="inlineStr">
        <is>
          <t>100</t>
        </is>
      </c>
      <c r="G74" s="7" t="n">
        <v>1.916</v>
      </c>
      <c r="H74" s="7" t="n">
        <v>2.717</v>
      </c>
      <c r="I74" s="7" t="n">
        <v>15.27</v>
      </c>
      <c r="J74" s="7" t="n">
        <v>0.369</v>
      </c>
      <c r="K74" s="7" t="n">
        <v>50</v>
      </c>
      <c r="L74" s="6" t="inlineStr">
        <is>
          <t>fat_retest_measurements.csv row 71</t>
        </is>
      </c>
    </row>
    <row r="75">
      <c r="A75" s="7" t="inlineStr">
        <is>
          <t>VIB-0071</t>
        </is>
      </c>
      <c r="B75" s="7" t="inlineStr">
        <is>
          <t>retest</t>
        </is>
      </c>
      <c r="C75" s="7" t="inlineStr">
        <is>
          <t>2026-05-15</t>
        </is>
      </c>
      <c r="D75" s="7" t="inlineStr">
        <is>
          <t>DRV_NDE_V</t>
        </is>
      </c>
      <c r="E75" s="7" t="inlineStr">
        <is>
          <t>Vertical</t>
        </is>
      </c>
      <c r="F75" s="7" t="inlineStr">
        <is>
          <t>100</t>
        </is>
      </c>
      <c r="G75" s="7" t="n">
        <v>1.536</v>
      </c>
      <c r="H75" s="7" t="n">
        <v>2.176</v>
      </c>
      <c r="I75" s="7" t="n">
        <v>12.2</v>
      </c>
      <c r="J75" s="7" t="n">
        <v>0.295</v>
      </c>
      <c r="K75" s="7" t="n">
        <v>49.7</v>
      </c>
      <c r="L75" s="6" t="inlineStr">
        <is>
          <t>fat_retest_measurements.csv row 72</t>
        </is>
      </c>
    </row>
    <row r="76">
      <c r="A76" s="7" t="inlineStr">
        <is>
          <t>VIB-0072</t>
        </is>
      </c>
      <c r="B76" s="7" t="inlineStr">
        <is>
          <t>retest</t>
        </is>
      </c>
      <c r="C76" s="7" t="inlineStr">
        <is>
          <t>2026-05-15</t>
        </is>
      </c>
      <c r="D76" s="7" t="inlineStr">
        <is>
          <t>DRV_NDE_A</t>
        </is>
      </c>
      <c r="E76" s="7" t="inlineStr">
        <is>
          <t>Axial</t>
        </is>
      </c>
      <c r="F76" s="7" t="inlineStr">
        <is>
          <t>100</t>
        </is>
      </c>
      <c r="G76" s="7" t="n">
        <v>1.688</v>
      </c>
      <c r="H76" s="7" t="n">
        <v>2.384</v>
      </c>
      <c r="I76" s="7" t="n">
        <v>13.5</v>
      </c>
      <c r="J76" s="7" t="n">
        <v>0.327</v>
      </c>
      <c r="K76" s="7" t="n">
        <v>50.2</v>
      </c>
      <c r="L76" s="6" t="inlineStr">
        <is>
          <t>fat_retest_measurements.csv row 73</t>
        </is>
      </c>
    </row>
    <row r="77">
      <c r="A77" s="7" t="inlineStr">
        <is>
          <t>VIB-0073</t>
        </is>
      </c>
      <c r="B77" s="7" t="inlineStr">
        <is>
          <t>retest</t>
        </is>
      </c>
      <c r="C77" s="7" t="inlineStr">
        <is>
          <t>2026-05-15</t>
        </is>
      </c>
      <c r="D77" s="7" t="inlineStr">
        <is>
          <t>PMP_DE_H</t>
        </is>
      </c>
      <c r="E77" s="7" t="inlineStr">
        <is>
          <t>Horizontal</t>
        </is>
      </c>
      <c r="F77" s="7" t="inlineStr">
        <is>
          <t>110</t>
        </is>
      </c>
      <c r="G77" s="7" t="n">
        <v>3.89</v>
      </c>
      <c r="H77" s="7" t="n">
        <v>5.505</v>
      </c>
      <c r="I77" s="7" t="n">
        <v>30.97</v>
      </c>
      <c r="J77" s="7" t="n">
        <v>0.741</v>
      </c>
      <c r="K77" s="7" t="n">
        <v>59.9</v>
      </c>
      <c r="L77" s="6" t="inlineStr">
        <is>
          <t>fat_retest_measurements.csv row 74</t>
        </is>
      </c>
    </row>
    <row r="78">
      <c r="A78" s="7" t="inlineStr">
        <is>
          <t>VIB-0074</t>
        </is>
      </c>
      <c r="B78" s="7" t="inlineStr">
        <is>
          <t>retest</t>
        </is>
      </c>
      <c r="C78" s="7" t="inlineStr">
        <is>
          <t>2026-05-15</t>
        </is>
      </c>
      <c r="D78" s="7" t="inlineStr">
        <is>
          <t>PMP_DE_V</t>
        </is>
      </c>
      <c r="E78" s="7" t="inlineStr">
        <is>
          <t>Vertical</t>
        </is>
      </c>
      <c r="F78" s="7" t="inlineStr">
        <is>
          <t>110</t>
        </is>
      </c>
      <c r="G78" s="7" t="n">
        <v>2.743</v>
      </c>
      <c r="H78" s="7" t="n">
        <v>3.881</v>
      </c>
      <c r="I78" s="7" t="n">
        <v>21.84</v>
      </c>
      <c r="J78" s="7" t="n">
        <v>0.517</v>
      </c>
      <c r="K78" s="7" t="n">
        <v>59.6</v>
      </c>
      <c r="L78" s="6" t="inlineStr">
        <is>
          <t>fat_retest_measurements.csv row 75</t>
        </is>
      </c>
    </row>
    <row r="79">
      <c r="A79" s="7" t="inlineStr">
        <is>
          <t>VIB-0075</t>
        </is>
      </c>
      <c r="B79" s="7" t="inlineStr">
        <is>
          <t>retest</t>
        </is>
      </c>
      <c r="C79" s="7" t="inlineStr">
        <is>
          <t>2026-05-15</t>
        </is>
      </c>
      <c r="D79" s="7" t="inlineStr">
        <is>
          <t>PMP_DE_A</t>
        </is>
      </c>
      <c r="E79" s="7" t="inlineStr">
        <is>
          <t>Axial</t>
        </is>
      </c>
      <c r="F79" s="7" t="inlineStr">
        <is>
          <t>110</t>
        </is>
      </c>
      <c r="G79" s="7" t="n">
        <v>2.207</v>
      </c>
      <c r="H79" s="7" t="n">
        <v>3.123</v>
      </c>
      <c r="I79" s="7" t="n">
        <v>17.59</v>
      </c>
      <c r="J79" s="7" t="n">
        <v>0.427</v>
      </c>
      <c r="K79" s="7" t="n">
        <v>60.2</v>
      </c>
      <c r="L79" s="6" t="inlineStr">
        <is>
          <t>fat_retest_measurements.csv row 76</t>
        </is>
      </c>
    </row>
    <row r="80">
      <c r="A80" s="7" t="inlineStr">
        <is>
          <t>VIB-0076</t>
        </is>
      </c>
      <c r="B80" s="7" t="inlineStr">
        <is>
          <t>retest</t>
        </is>
      </c>
      <c r="C80" s="7" t="inlineStr">
        <is>
          <t>2026-05-15</t>
        </is>
      </c>
      <c r="D80" s="7" t="inlineStr">
        <is>
          <t>PMP_NDE_H</t>
        </is>
      </c>
      <c r="E80" s="7" t="inlineStr">
        <is>
          <t>Horizontal</t>
        </is>
      </c>
      <c r="F80" s="7" t="inlineStr">
        <is>
          <t>110</t>
        </is>
      </c>
      <c r="G80" s="7" t="n">
        <v>3.089</v>
      </c>
      <c r="H80" s="7" t="n">
        <v>4.366</v>
      </c>
      <c r="I80" s="7" t="n">
        <v>24.6</v>
      </c>
      <c r="J80" s="7" t="n">
        <v>0.586</v>
      </c>
      <c r="K80" s="7" t="n">
        <v>57.6</v>
      </c>
      <c r="L80" s="6" t="inlineStr">
        <is>
          <t>fat_retest_measurements.csv row 77</t>
        </is>
      </c>
    </row>
    <row r="81">
      <c r="A81" s="7" t="inlineStr">
        <is>
          <t>VIB-0077</t>
        </is>
      </c>
      <c r="B81" s="7" t="inlineStr">
        <is>
          <t>retest</t>
        </is>
      </c>
      <c r="C81" s="7" t="inlineStr">
        <is>
          <t>2026-05-15</t>
        </is>
      </c>
      <c r="D81" s="7" t="inlineStr">
        <is>
          <t>PMP_NDE_V</t>
        </is>
      </c>
      <c r="E81" s="7" t="inlineStr">
        <is>
          <t>Vertical</t>
        </is>
      </c>
      <c r="F81" s="7" t="inlineStr">
        <is>
          <t>110</t>
        </is>
      </c>
      <c r="G81" s="7" t="n">
        <v>2.432</v>
      </c>
      <c r="H81" s="7" t="n">
        <v>3.443</v>
      </c>
      <c r="I81" s="7" t="n">
        <v>19.38</v>
      </c>
      <c r="J81" s="7" t="n">
        <v>0.463</v>
      </c>
      <c r="K81" s="7" t="n">
        <v>57.3</v>
      </c>
      <c r="L81" s="6" t="inlineStr">
        <is>
          <t>fat_retest_measurements.csv row 78</t>
        </is>
      </c>
    </row>
    <row r="82">
      <c r="A82" s="7" t="inlineStr">
        <is>
          <t>VIB-0078</t>
        </is>
      </c>
      <c r="B82" s="7" t="inlineStr">
        <is>
          <t>retest</t>
        </is>
      </c>
      <c r="C82" s="7" t="inlineStr">
        <is>
          <t>2026-05-15</t>
        </is>
      </c>
      <c r="D82" s="7" t="inlineStr">
        <is>
          <t>PMP_NDE_A</t>
        </is>
      </c>
      <c r="E82" s="7" t="inlineStr">
        <is>
          <t>Axial</t>
        </is>
      </c>
      <c r="F82" s="7" t="inlineStr">
        <is>
          <t>110</t>
        </is>
      </c>
      <c r="G82" s="7" t="n">
        <v>1.953</v>
      </c>
      <c r="H82" s="7" t="n">
        <v>2.766</v>
      </c>
      <c r="I82" s="7" t="n">
        <v>15.56</v>
      </c>
      <c r="J82" s="7" t="n">
        <v>0.376</v>
      </c>
      <c r="K82" s="7" t="n">
        <v>57.8</v>
      </c>
      <c r="L82" s="6" t="inlineStr">
        <is>
          <t>fat_retest_measurements.csv row 79</t>
        </is>
      </c>
    </row>
    <row r="83">
      <c r="A83" s="7" t="inlineStr">
        <is>
          <t>VIB-0079</t>
        </is>
      </c>
      <c r="B83" s="7" t="inlineStr">
        <is>
          <t>retest</t>
        </is>
      </c>
      <c r="C83" s="7" t="inlineStr">
        <is>
          <t>2026-05-15</t>
        </is>
      </c>
      <c r="D83" s="7" t="inlineStr">
        <is>
          <t>DRV_DE_H</t>
        </is>
      </c>
      <c r="E83" s="7" t="inlineStr">
        <is>
          <t>Horizontal</t>
        </is>
      </c>
      <c r="F83" s="7" t="inlineStr">
        <is>
          <t>110</t>
        </is>
      </c>
      <c r="G83" s="7" t="n">
        <v>2.639</v>
      </c>
      <c r="H83" s="7" t="n">
        <v>3.734</v>
      </c>
      <c r="I83" s="7" t="n">
        <v>21.07</v>
      </c>
      <c r="J83" s="7" t="n">
        <v>0.501</v>
      </c>
      <c r="K83" s="7" t="n">
        <v>55.3</v>
      </c>
      <c r="L83" s="6" t="inlineStr">
        <is>
          <t>fat_retest_measurements.csv row 80</t>
        </is>
      </c>
    </row>
    <row r="84">
      <c r="A84" s="7" t="inlineStr">
        <is>
          <t>VIB-0080</t>
        </is>
      </c>
      <c r="B84" s="7" t="inlineStr">
        <is>
          <t>retest</t>
        </is>
      </c>
      <c r="C84" s="7" t="inlineStr">
        <is>
          <t>2026-05-15</t>
        </is>
      </c>
      <c r="D84" s="7" t="inlineStr">
        <is>
          <t>DRV_DE_V</t>
        </is>
      </c>
      <c r="E84" s="7" t="inlineStr">
        <is>
          <t>Vertical</t>
        </is>
      </c>
      <c r="F84" s="7" t="inlineStr">
        <is>
          <t>110</t>
        </is>
      </c>
      <c r="G84" s="7" t="n">
        <v>2.181</v>
      </c>
      <c r="H84" s="7" t="n">
        <v>3.087</v>
      </c>
      <c r="I84" s="7" t="n">
        <v>17.39</v>
      </c>
      <c r="J84" s="7" t="n">
        <v>0.412</v>
      </c>
      <c r="K84" s="7" t="n">
        <v>55</v>
      </c>
      <c r="L84" s="6" t="inlineStr">
        <is>
          <t>fat_retest_measurements.csv row 81</t>
        </is>
      </c>
    </row>
    <row r="85">
      <c r="A85" s="7" t="inlineStr">
        <is>
          <t>VIB-0081</t>
        </is>
      </c>
      <c r="B85" s="7" t="inlineStr">
        <is>
          <t>retest</t>
        </is>
      </c>
      <c r="C85" s="7" t="inlineStr">
        <is>
          <t>2026-05-15</t>
        </is>
      </c>
      <c r="D85" s="7" t="inlineStr">
        <is>
          <t>DRV_DE_A</t>
        </is>
      </c>
      <c r="E85" s="7" t="inlineStr">
        <is>
          <t>Axial</t>
        </is>
      </c>
      <c r="F85" s="7" t="inlineStr">
        <is>
          <t>110</t>
        </is>
      </c>
      <c r="G85" s="7" t="n">
        <v>2.95</v>
      </c>
      <c r="H85" s="7" t="n">
        <v>4.171</v>
      </c>
      <c r="I85" s="7" t="n">
        <v>23.49</v>
      </c>
      <c r="J85" s="7" t="n">
        <v>0.5590000000000001</v>
      </c>
      <c r="K85" s="7" t="n">
        <v>55.6</v>
      </c>
      <c r="L85" s="6" t="inlineStr">
        <is>
          <t>fat_retest_measurements.csv row 82</t>
        </is>
      </c>
    </row>
    <row r="86">
      <c r="A86" s="7" t="inlineStr">
        <is>
          <t>VIB-0082</t>
        </is>
      </c>
      <c r="B86" s="7" t="inlineStr">
        <is>
          <t>retest</t>
        </is>
      </c>
      <c r="C86" s="7" t="inlineStr">
        <is>
          <t>2026-05-15</t>
        </is>
      </c>
      <c r="D86" s="7" t="inlineStr">
        <is>
          <t>PMP_DE_H</t>
        </is>
      </c>
      <c r="E86" s="7" t="inlineStr">
        <is>
          <t>Horizontal</t>
        </is>
      </c>
      <c r="F86" s="7" t="inlineStr">
        <is>
          <t>90_BEP</t>
        </is>
      </c>
      <c r="G86" s="7" t="n">
        <v>1.999</v>
      </c>
      <c r="H86" s="7" t="n">
        <v>2.832</v>
      </c>
      <c r="I86" s="7" t="n">
        <v>15.93</v>
      </c>
      <c r="J86" s="7" t="n">
        <v>0.385</v>
      </c>
      <c r="K86" s="7" t="n">
        <v>54.3</v>
      </c>
      <c r="L86" s="6" t="inlineStr">
        <is>
          <t>fat_retest_measurements.csv row 83</t>
        </is>
      </c>
    </row>
    <row r="87">
      <c r="A87" s="7" t="inlineStr">
        <is>
          <t>VIB-0083</t>
        </is>
      </c>
      <c r="B87" s="7" t="inlineStr">
        <is>
          <t>retest</t>
        </is>
      </c>
      <c r="C87" s="7" t="inlineStr">
        <is>
          <t>2026-05-15</t>
        </is>
      </c>
      <c r="D87" s="7" t="inlineStr">
        <is>
          <t>PMP_DE_V</t>
        </is>
      </c>
      <c r="E87" s="7" t="inlineStr">
        <is>
          <t>Vertical</t>
        </is>
      </c>
      <c r="F87" s="7" t="inlineStr">
        <is>
          <t>90_BEP</t>
        </is>
      </c>
      <c r="G87" s="7" t="n">
        <v>1.654</v>
      </c>
      <c r="H87" s="7" t="n">
        <v>2.345</v>
      </c>
      <c r="I87" s="7" t="n">
        <v>13.19</v>
      </c>
      <c r="J87" s="7" t="n">
        <v>0.314</v>
      </c>
      <c r="K87" s="7" t="n">
        <v>54</v>
      </c>
      <c r="L87" s="6" t="inlineStr">
        <is>
          <t>fat_retest_measurements.csv row 84</t>
        </is>
      </c>
    </row>
    <row r="88">
      <c r="A88" s="7" t="inlineStr">
        <is>
          <t>VIB-0084</t>
        </is>
      </c>
      <c r="B88" s="7" t="inlineStr">
        <is>
          <t>retest</t>
        </is>
      </c>
      <c r="C88" s="7" t="inlineStr">
        <is>
          <t>2026-05-15</t>
        </is>
      </c>
      <c r="D88" s="7" t="inlineStr">
        <is>
          <t>PMP_DE_A</t>
        </is>
      </c>
      <c r="E88" s="7" t="inlineStr">
        <is>
          <t>Axial</t>
        </is>
      </c>
      <c r="F88" s="7" t="inlineStr">
        <is>
          <t>90_BEP</t>
        </is>
      </c>
      <c r="G88" s="7" t="n">
        <v>1.495</v>
      </c>
      <c r="H88" s="7" t="n">
        <v>2.117</v>
      </c>
      <c r="I88" s="7" t="n">
        <v>11.9</v>
      </c>
      <c r="J88" s="7" t="n">
        <v>0.284</v>
      </c>
      <c r="K88" s="7" t="n">
        <v>54.6</v>
      </c>
      <c r="L88" s="6" t="inlineStr">
        <is>
          <t>fat_retest_measurements.csv row 85</t>
        </is>
      </c>
    </row>
    <row r="89">
      <c r="A89" s="7" t="inlineStr">
        <is>
          <t>VIB-0085</t>
        </is>
      </c>
      <c r="B89" s="7" t="inlineStr">
        <is>
          <t>retest</t>
        </is>
      </c>
      <c r="C89" s="7" t="inlineStr">
        <is>
          <t>2026-05-15</t>
        </is>
      </c>
      <c r="D89" s="7" t="inlineStr">
        <is>
          <t>PMP_NDE_H</t>
        </is>
      </c>
      <c r="E89" s="7" t="inlineStr">
        <is>
          <t>Horizontal</t>
        </is>
      </c>
      <c r="F89" s="7" t="inlineStr">
        <is>
          <t>90_BEP</t>
        </is>
      </c>
      <c r="G89" s="7" t="n">
        <v>1.739</v>
      </c>
      <c r="H89" s="7" t="n">
        <v>2.461</v>
      </c>
      <c r="I89" s="7" t="n">
        <v>13.83</v>
      </c>
      <c r="J89" s="7" t="n">
        <v>0.336</v>
      </c>
      <c r="K89" s="7" t="n">
        <v>52.7</v>
      </c>
      <c r="L89" s="6" t="inlineStr">
        <is>
          <t>fat_retest_measurements.csv row 86</t>
        </is>
      </c>
    </row>
    <row r="90">
      <c r="A90" s="7" t="inlineStr">
        <is>
          <t>VIB-0086</t>
        </is>
      </c>
      <c r="B90" s="7" t="inlineStr">
        <is>
          <t>retest</t>
        </is>
      </c>
      <c r="C90" s="7" t="inlineStr">
        <is>
          <t>2026-05-15</t>
        </is>
      </c>
      <c r="D90" s="7" t="inlineStr">
        <is>
          <t>PMP_NDE_V</t>
        </is>
      </c>
      <c r="E90" s="7" t="inlineStr">
        <is>
          <t>Vertical</t>
        </is>
      </c>
      <c r="F90" s="7" t="inlineStr">
        <is>
          <t>90_BEP</t>
        </is>
      </c>
      <c r="G90" s="7" t="n">
        <v>1.453</v>
      </c>
      <c r="H90" s="7" t="n">
        <v>2.056</v>
      </c>
      <c r="I90" s="7" t="n">
        <v>11.56</v>
      </c>
      <c r="J90" s="7" t="n">
        <v>0.276</v>
      </c>
      <c r="K90" s="7" t="n">
        <v>52.4</v>
      </c>
      <c r="L90" s="6" t="inlineStr">
        <is>
          <t>fat_retest_measurements.csv row 87</t>
        </is>
      </c>
    </row>
    <row r="91">
      <c r="A91" s="7" t="inlineStr">
        <is>
          <t>VIB-0087</t>
        </is>
      </c>
      <c r="B91" s="7" t="inlineStr">
        <is>
          <t>retest</t>
        </is>
      </c>
      <c r="C91" s="7" t="inlineStr">
        <is>
          <t>2026-05-15</t>
        </is>
      </c>
      <c r="D91" s="7" t="inlineStr">
        <is>
          <t>PMP_NDE_A</t>
        </is>
      </c>
      <c r="E91" s="7" t="inlineStr">
        <is>
          <t>Axial</t>
        </is>
      </c>
      <c r="F91" s="7" t="inlineStr">
        <is>
          <t>90_BEP</t>
        </is>
      </c>
      <c r="G91" s="7" t="n">
        <v>1.317</v>
      </c>
      <c r="H91" s="7" t="n">
        <v>1.862</v>
      </c>
      <c r="I91" s="7" t="n">
        <v>10.5</v>
      </c>
      <c r="J91" s="7" t="n">
        <v>0.257</v>
      </c>
      <c r="K91" s="7" t="n">
        <v>52.9</v>
      </c>
      <c r="L91" s="6" t="inlineStr">
        <is>
          <t>fat_retest_measurements.csv row 88</t>
        </is>
      </c>
    </row>
    <row r="92">
      <c r="A92" s="7" t="inlineStr">
        <is>
          <t>VIB-0088</t>
        </is>
      </c>
      <c r="B92" s="7" t="inlineStr">
        <is>
          <t>retest</t>
        </is>
      </c>
      <c r="C92" s="7" t="inlineStr">
        <is>
          <t>2026-05-15</t>
        </is>
      </c>
      <c r="D92" s="7" t="inlineStr">
        <is>
          <t>PMP_DE_H</t>
        </is>
      </c>
      <c r="E92" s="7" t="inlineStr">
        <is>
          <t>Horizontal</t>
        </is>
      </c>
      <c r="F92" s="7" t="inlineStr">
        <is>
          <t>60</t>
        </is>
      </c>
      <c r="G92" s="7" t="n">
        <v>3.395</v>
      </c>
      <c r="H92" s="7" t="n">
        <v>4.802</v>
      </c>
      <c r="I92" s="7" t="n">
        <v>27.12</v>
      </c>
      <c r="J92" s="7" t="n">
        <v>0.652</v>
      </c>
      <c r="K92" s="7" t="n">
        <v>53.4</v>
      </c>
      <c r="L92" s="6" t="inlineStr">
        <is>
          <t>fat_retest_measurements.csv row 89</t>
        </is>
      </c>
    </row>
    <row r="93">
      <c r="A93" s="7" t="inlineStr">
        <is>
          <t>VIB-0089</t>
        </is>
      </c>
      <c r="B93" s="7" t="inlineStr">
        <is>
          <t>retest</t>
        </is>
      </c>
      <c r="C93" s="7" t="inlineStr">
        <is>
          <t>2026-05-15</t>
        </is>
      </c>
      <c r="D93" s="7" t="inlineStr">
        <is>
          <t>PMP_DE_V</t>
        </is>
      </c>
      <c r="E93" s="7" t="inlineStr">
        <is>
          <t>Vertical</t>
        </is>
      </c>
      <c r="F93" s="7" t="inlineStr">
        <is>
          <t>60</t>
        </is>
      </c>
      <c r="G93" s="7" t="n">
        <v>2.717</v>
      </c>
      <c r="H93" s="7" t="n">
        <v>3.841</v>
      </c>
      <c r="I93" s="7" t="n">
        <v>21.65</v>
      </c>
      <c r="J93" s="7" t="n">
        <v>0.52</v>
      </c>
      <c r="K93" s="7" t="n">
        <v>53.1</v>
      </c>
      <c r="L93" s="6" t="inlineStr">
        <is>
          <t>fat_retest_measurements.csv row 90</t>
        </is>
      </c>
    </row>
    <row r="94">
      <c r="A94" s="7" t="inlineStr">
        <is>
          <t>VIB-0090</t>
        </is>
      </c>
      <c r="B94" s="7" t="inlineStr">
        <is>
          <t>retest</t>
        </is>
      </c>
      <c r="C94" s="7" t="inlineStr">
        <is>
          <t>2026-05-15</t>
        </is>
      </c>
      <c r="D94" s="7" t="inlineStr">
        <is>
          <t>PMP_DE_A</t>
        </is>
      </c>
      <c r="E94" s="7" t="inlineStr">
        <is>
          <t>Axial</t>
        </is>
      </c>
      <c r="F94" s="7" t="inlineStr">
        <is>
          <t>60</t>
        </is>
      </c>
      <c r="G94" s="7" t="n">
        <v>2.282</v>
      </c>
      <c r="H94" s="7" t="n">
        <v>3.225</v>
      </c>
      <c r="I94" s="7" t="n">
        <v>18.22</v>
      </c>
      <c r="J94" s="7" t="n">
        <v>0.44</v>
      </c>
      <c r="K94" s="7" t="n">
        <v>53.7</v>
      </c>
      <c r="L94" s="6" t="inlineStr">
        <is>
          <t>fat_retest_measurements.csv row 91</t>
        </is>
      </c>
    </row>
    <row r="95">
      <c r="A95" s="7" t="inlineStr">
        <is>
          <t>VIB-0091</t>
        </is>
      </c>
      <c r="B95" s="7" t="inlineStr">
        <is>
          <t>retest</t>
        </is>
      </c>
      <c r="C95" s="7" t="inlineStr">
        <is>
          <t>2026-05-15</t>
        </is>
      </c>
      <c r="D95" s="7" t="inlineStr">
        <is>
          <t>PMP_NDE_H</t>
        </is>
      </c>
      <c r="E95" s="7" t="inlineStr">
        <is>
          <t>Horizontal</t>
        </is>
      </c>
      <c r="F95" s="7" t="inlineStr">
        <is>
          <t>60</t>
        </is>
      </c>
      <c r="G95" s="7" t="n">
        <v>4.159</v>
      </c>
      <c r="H95" s="7" t="n">
        <v>5.886</v>
      </c>
      <c r="I95" s="7" t="n">
        <v>33.17</v>
      </c>
      <c r="J95" s="7" t="n">
        <v>0.79</v>
      </c>
      <c r="K95" s="7" t="n">
        <v>51.6</v>
      </c>
      <c r="L95" s="6" t="inlineStr">
        <is>
          <t>fat_retest_measurements.csv row 92</t>
        </is>
      </c>
    </row>
    <row r="96">
      <c r="A96" s="7" t="inlineStr">
        <is>
          <t>VIB-0092</t>
        </is>
      </c>
      <c r="B96" s="7" t="inlineStr">
        <is>
          <t>retest</t>
        </is>
      </c>
      <c r="C96" s="7" t="inlineStr">
        <is>
          <t>2026-05-15</t>
        </is>
      </c>
      <c r="D96" s="7" t="inlineStr">
        <is>
          <t>PMP_NDE_V</t>
        </is>
      </c>
      <c r="E96" s="7" t="inlineStr">
        <is>
          <t>Vertical</t>
        </is>
      </c>
      <c r="F96" s="7" t="inlineStr">
        <is>
          <t>60</t>
        </is>
      </c>
      <c r="G96" s="7" t="n">
        <v>4.495</v>
      </c>
      <c r="H96" s="7" t="n">
        <v>6.356</v>
      </c>
      <c r="I96" s="7" t="n">
        <v>35.8</v>
      </c>
      <c r="J96" s="7" t="n">
        <v>0.854</v>
      </c>
      <c r="K96" s="7" t="n">
        <v>51.3</v>
      </c>
      <c r="L96" s="6" t="inlineStr">
        <is>
          <t>fat_retest_measurements.csv row 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OVERALL VIBRATION EVALUATION vs CURRENT LIMIT (VR-001 = 3.8 mm/s RMS)</t>
        </is>
      </c>
    </row>
    <row r="2">
      <c r="A2" s="2" t="inlineStr">
        <is>
          <t>All margins/verdicts are formulas referencing 2_FAT_Raw and 1_Rules. Verdict colours via conditional formatting.</t>
        </is>
      </c>
    </row>
    <row r="4">
      <c r="A4" s="5" t="inlineStr">
        <is>
          <t>Measurement ID</t>
        </is>
      </c>
      <c r="B4" s="5" t="inlineStr">
        <is>
          <t>Phase</t>
        </is>
      </c>
      <c r="C4" s="5" t="inlineStr">
        <is>
          <t>Point / Dir</t>
        </is>
      </c>
      <c r="D4" s="5" t="inlineStr">
        <is>
          <t>Flow %BEP</t>
        </is>
      </c>
      <c r="E4" s="5" t="inlineStr">
        <is>
          <t>Overall RMS</t>
        </is>
      </c>
      <c r="F4" s="5" t="inlineStr">
        <is>
          <t>Limit</t>
        </is>
      </c>
      <c r="G4" s="5" t="inlineStr">
        <is>
          <t>Margin (mm/s)</t>
        </is>
      </c>
      <c r="H4" s="5" t="inlineStr">
        <is>
          <t>Margin %</t>
        </is>
      </c>
      <c r="I4" s="5" t="inlineStr">
        <is>
          <t>Verdict</t>
        </is>
      </c>
      <c r="J4" s="5" t="inlineStr">
        <is>
          <t>Envelope-flag value (retest 90/100)</t>
        </is>
      </c>
    </row>
    <row r="5">
      <c r="A5" s="10">
        <f>'2_FAT_Raw'!A5</f>
        <v/>
      </c>
      <c r="B5" s="10">
        <f>'2_FAT_Raw'!B5</f>
        <v/>
      </c>
      <c r="C5" s="10">
        <f>'2_FAT_Raw'!D5&amp;" "&amp;'2_FAT_Raw'!E5</f>
        <v/>
      </c>
      <c r="D5" s="10">
        <f>'2_FAT_Raw'!F5</f>
        <v/>
      </c>
      <c r="E5" s="11">
        <f>'2_FAT_Raw'!G5</f>
        <v/>
      </c>
      <c r="F5" s="10">
        <f>'1_Rules'!$D$6</f>
        <v/>
      </c>
      <c r="G5" s="11">
        <f>F5-E5</f>
        <v/>
      </c>
      <c r="H5" s="12">
        <f>G5/F5</f>
        <v/>
      </c>
      <c r="I5" s="10">
        <f>IF(E5&gt;F5,"FAIL","PASS")</f>
        <v/>
      </c>
      <c r="J5" s="10">
        <f>IF(AND(B5="retest",OR(D5="90_BEP",D5="100")),E5,"")</f>
        <v/>
      </c>
    </row>
    <row r="6">
      <c r="A6" s="10">
        <f>'2_FAT_Raw'!A6</f>
        <v/>
      </c>
      <c r="B6" s="10">
        <f>'2_FAT_Raw'!B6</f>
        <v/>
      </c>
      <c r="C6" s="10">
        <f>'2_FAT_Raw'!D6&amp;" "&amp;'2_FAT_Raw'!E6</f>
        <v/>
      </c>
      <c r="D6" s="10">
        <f>'2_FAT_Raw'!F6</f>
        <v/>
      </c>
      <c r="E6" s="11">
        <f>'2_FAT_Raw'!G6</f>
        <v/>
      </c>
      <c r="F6" s="10">
        <f>'1_Rules'!$D$6</f>
        <v/>
      </c>
      <c r="G6" s="11">
        <f>F6-E6</f>
        <v/>
      </c>
      <c r="H6" s="12">
        <f>G6/F6</f>
        <v/>
      </c>
      <c r="I6" s="10">
        <f>IF(E6&gt;F6,"FAIL","PASS")</f>
        <v/>
      </c>
      <c r="J6" s="10">
        <f>IF(AND(B6="retest",OR(D6="90_BEP",D6="100")),E6,"")</f>
        <v/>
      </c>
    </row>
    <row r="7">
      <c r="A7" s="10">
        <f>'2_FAT_Raw'!A7</f>
        <v/>
      </c>
      <c r="B7" s="10">
        <f>'2_FAT_Raw'!B7</f>
        <v/>
      </c>
      <c r="C7" s="10">
        <f>'2_FAT_Raw'!D7&amp;" "&amp;'2_FAT_Raw'!E7</f>
        <v/>
      </c>
      <c r="D7" s="10">
        <f>'2_FAT_Raw'!F7</f>
        <v/>
      </c>
      <c r="E7" s="11">
        <f>'2_FAT_Raw'!G7</f>
        <v/>
      </c>
      <c r="F7" s="10">
        <f>'1_Rules'!$D$6</f>
        <v/>
      </c>
      <c r="G7" s="11">
        <f>F7-E7</f>
        <v/>
      </c>
      <c r="H7" s="12">
        <f>G7/F7</f>
        <v/>
      </c>
      <c r="I7" s="10">
        <f>IF(E7&gt;F7,"FAIL","PASS")</f>
        <v/>
      </c>
      <c r="J7" s="10">
        <f>IF(AND(B7="retest",OR(D7="90_BEP",D7="100")),E7,"")</f>
        <v/>
      </c>
    </row>
    <row r="8">
      <c r="A8" s="10">
        <f>'2_FAT_Raw'!A8</f>
        <v/>
      </c>
      <c r="B8" s="10">
        <f>'2_FAT_Raw'!B8</f>
        <v/>
      </c>
      <c r="C8" s="10">
        <f>'2_FAT_Raw'!D8&amp;" "&amp;'2_FAT_Raw'!E8</f>
        <v/>
      </c>
      <c r="D8" s="10">
        <f>'2_FAT_Raw'!F8</f>
        <v/>
      </c>
      <c r="E8" s="11">
        <f>'2_FAT_Raw'!G8</f>
        <v/>
      </c>
      <c r="F8" s="10">
        <f>'1_Rules'!$D$6</f>
        <v/>
      </c>
      <c r="G8" s="11">
        <f>F8-E8</f>
        <v/>
      </c>
      <c r="H8" s="12">
        <f>G8/F8</f>
        <v/>
      </c>
      <c r="I8" s="10">
        <f>IF(E8&gt;F8,"FAIL","PASS")</f>
        <v/>
      </c>
      <c r="J8" s="10">
        <f>IF(AND(B8="retest",OR(D8="90_BEP",D8="100")),E8,"")</f>
        <v/>
      </c>
    </row>
    <row r="9">
      <c r="A9" s="10">
        <f>'2_FAT_Raw'!A9</f>
        <v/>
      </c>
      <c r="B9" s="10">
        <f>'2_FAT_Raw'!B9</f>
        <v/>
      </c>
      <c r="C9" s="10">
        <f>'2_FAT_Raw'!D9&amp;" "&amp;'2_FAT_Raw'!E9</f>
        <v/>
      </c>
      <c r="D9" s="10">
        <f>'2_FAT_Raw'!F9</f>
        <v/>
      </c>
      <c r="E9" s="11">
        <f>'2_FAT_Raw'!G9</f>
        <v/>
      </c>
      <c r="F9" s="10">
        <f>'1_Rules'!$D$6</f>
        <v/>
      </c>
      <c r="G9" s="11">
        <f>F9-E9</f>
        <v/>
      </c>
      <c r="H9" s="12">
        <f>G9/F9</f>
        <v/>
      </c>
      <c r="I9" s="10">
        <f>IF(E9&gt;F9,"FAIL","PASS")</f>
        <v/>
      </c>
      <c r="J9" s="10">
        <f>IF(AND(B9="retest",OR(D9="90_BEP",D9="100")),E9,"")</f>
        <v/>
      </c>
    </row>
    <row r="10">
      <c r="A10" s="10">
        <f>'2_FAT_Raw'!A10</f>
        <v/>
      </c>
      <c r="B10" s="10">
        <f>'2_FAT_Raw'!B10</f>
        <v/>
      </c>
      <c r="C10" s="10">
        <f>'2_FAT_Raw'!D10&amp;" "&amp;'2_FAT_Raw'!E10</f>
        <v/>
      </c>
      <c r="D10" s="10">
        <f>'2_FAT_Raw'!F10</f>
        <v/>
      </c>
      <c r="E10" s="11">
        <f>'2_FAT_Raw'!G10</f>
        <v/>
      </c>
      <c r="F10" s="10">
        <f>'1_Rules'!$D$6</f>
        <v/>
      </c>
      <c r="G10" s="11">
        <f>F10-E10</f>
        <v/>
      </c>
      <c r="H10" s="12">
        <f>G10/F10</f>
        <v/>
      </c>
      <c r="I10" s="10">
        <f>IF(E10&gt;F10,"FAIL","PASS")</f>
        <v/>
      </c>
      <c r="J10" s="10">
        <f>IF(AND(B10="retest",OR(D10="90_BEP",D10="100")),E10,"")</f>
        <v/>
      </c>
    </row>
    <row r="11">
      <c r="A11" s="10">
        <f>'2_FAT_Raw'!A11</f>
        <v/>
      </c>
      <c r="B11" s="10">
        <f>'2_FAT_Raw'!B11</f>
        <v/>
      </c>
      <c r="C11" s="10">
        <f>'2_FAT_Raw'!D11&amp;" "&amp;'2_FAT_Raw'!E11</f>
        <v/>
      </c>
      <c r="D11" s="10">
        <f>'2_FAT_Raw'!F11</f>
        <v/>
      </c>
      <c r="E11" s="11">
        <f>'2_FAT_Raw'!G11</f>
        <v/>
      </c>
      <c r="F11" s="10">
        <f>'1_Rules'!$D$6</f>
        <v/>
      </c>
      <c r="G11" s="11">
        <f>F11-E11</f>
        <v/>
      </c>
      <c r="H11" s="12">
        <f>G11/F11</f>
        <v/>
      </c>
      <c r="I11" s="10">
        <f>IF(E11&gt;F11,"FAIL","PASS")</f>
        <v/>
      </c>
      <c r="J11" s="10">
        <f>IF(AND(B11="retest",OR(D11="90_BEP",D11="100")),E11,"")</f>
        <v/>
      </c>
    </row>
    <row r="12">
      <c r="A12" s="10">
        <f>'2_FAT_Raw'!A12</f>
        <v/>
      </c>
      <c r="B12" s="10">
        <f>'2_FAT_Raw'!B12</f>
        <v/>
      </c>
      <c r="C12" s="10">
        <f>'2_FAT_Raw'!D12&amp;" "&amp;'2_FAT_Raw'!E12</f>
        <v/>
      </c>
      <c r="D12" s="10">
        <f>'2_FAT_Raw'!F12</f>
        <v/>
      </c>
      <c r="E12" s="11">
        <f>'2_FAT_Raw'!G12</f>
        <v/>
      </c>
      <c r="F12" s="10">
        <f>'1_Rules'!$D$6</f>
        <v/>
      </c>
      <c r="G12" s="11">
        <f>F12-E12</f>
        <v/>
      </c>
      <c r="H12" s="12">
        <f>G12/F12</f>
        <v/>
      </c>
      <c r="I12" s="10">
        <f>IF(E12&gt;F12,"FAIL","PASS")</f>
        <v/>
      </c>
      <c r="J12" s="10">
        <f>IF(AND(B12="retest",OR(D12="90_BEP",D12="100")),E12,"")</f>
        <v/>
      </c>
    </row>
    <row r="13">
      <c r="A13" s="10">
        <f>'2_FAT_Raw'!A13</f>
        <v/>
      </c>
      <c r="B13" s="10">
        <f>'2_FAT_Raw'!B13</f>
        <v/>
      </c>
      <c r="C13" s="10">
        <f>'2_FAT_Raw'!D13&amp;" "&amp;'2_FAT_Raw'!E13</f>
        <v/>
      </c>
      <c r="D13" s="10">
        <f>'2_FAT_Raw'!F13</f>
        <v/>
      </c>
      <c r="E13" s="11">
        <f>'2_FAT_Raw'!G13</f>
        <v/>
      </c>
      <c r="F13" s="10">
        <f>'1_Rules'!$D$6</f>
        <v/>
      </c>
      <c r="G13" s="11">
        <f>F13-E13</f>
        <v/>
      </c>
      <c r="H13" s="12">
        <f>G13/F13</f>
        <v/>
      </c>
      <c r="I13" s="10">
        <f>IF(E13&gt;F13,"FAIL","PASS")</f>
        <v/>
      </c>
      <c r="J13" s="10">
        <f>IF(AND(B13="retest",OR(D13="90_BEP",D13="100")),E13,"")</f>
        <v/>
      </c>
    </row>
    <row r="14">
      <c r="A14" s="10">
        <f>'2_FAT_Raw'!A14</f>
        <v/>
      </c>
      <c r="B14" s="10">
        <f>'2_FAT_Raw'!B14</f>
        <v/>
      </c>
      <c r="C14" s="10">
        <f>'2_FAT_Raw'!D14&amp;" "&amp;'2_FAT_Raw'!E14</f>
        <v/>
      </c>
      <c r="D14" s="10">
        <f>'2_FAT_Raw'!F14</f>
        <v/>
      </c>
      <c r="E14" s="11">
        <f>'2_FAT_Raw'!G14</f>
        <v/>
      </c>
      <c r="F14" s="10">
        <f>'1_Rules'!$D$6</f>
        <v/>
      </c>
      <c r="G14" s="11">
        <f>F14-E14</f>
        <v/>
      </c>
      <c r="H14" s="12">
        <f>G14/F14</f>
        <v/>
      </c>
      <c r="I14" s="10">
        <f>IF(E14&gt;F14,"FAIL","PASS")</f>
        <v/>
      </c>
      <c r="J14" s="10">
        <f>IF(AND(B14="retest",OR(D14="90_BEP",D14="100")),E14,"")</f>
        <v/>
      </c>
    </row>
    <row r="15">
      <c r="A15" s="10">
        <f>'2_FAT_Raw'!A15</f>
        <v/>
      </c>
      <c r="B15" s="10">
        <f>'2_FAT_Raw'!B15</f>
        <v/>
      </c>
      <c r="C15" s="10">
        <f>'2_FAT_Raw'!D15&amp;" "&amp;'2_FAT_Raw'!E15</f>
        <v/>
      </c>
      <c r="D15" s="10">
        <f>'2_FAT_Raw'!F15</f>
        <v/>
      </c>
      <c r="E15" s="11">
        <f>'2_FAT_Raw'!G15</f>
        <v/>
      </c>
      <c r="F15" s="10">
        <f>'1_Rules'!$D$6</f>
        <v/>
      </c>
      <c r="G15" s="11">
        <f>F15-E15</f>
        <v/>
      </c>
      <c r="H15" s="12">
        <f>G15/F15</f>
        <v/>
      </c>
      <c r="I15" s="10">
        <f>IF(E15&gt;F15,"FAIL","PASS")</f>
        <v/>
      </c>
      <c r="J15" s="10">
        <f>IF(AND(B15="retest",OR(D15="90_BEP",D15="100")),E15,"")</f>
        <v/>
      </c>
    </row>
    <row r="16">
      <c r="A16" s="10">
        <f>'2_FAT_Raw'!A16</f>
        <v/>
      </c>
      <c r="B16" s="10">
        <f>'2_FAT_Raw'!B16</f>
        <v/>
      </c>
      <c r="C16" s="10">
        <f>'2_FAT_Raw'!D16&amp;" "&amp;'2_FAT_Raw'!E16</f>
        <v/>
      </c>
      <c r="D16" s="10">
        <f>'2_FAT_Raw'!F16</f>
        <v/>
      </c>
      <c r="E16" s="11">
        <f>'2_FAT_Raw'!G16</f>
        <v/>
      </c>
      <c r="F16" s="10">
        <f>'1_Rules'!$D$6</f>
        <v/>
      </c>
      <c r="G16" s="11">
        <f>F16-E16</f>
        <v/>
      </c>
      <c r="H16" s="12">
        <f>G16/F16</f>
        <v/>
      </c>
      <c r="I16" s="10">
        <f>IF(E16&gt;F16,"FAIL","PASS")</f>
        <v/>
      </c>
      <c r="J16" s="10">
        <f>IF(AND(B16="retest",OR(D16="90_BEP",D16="100")),E16,"")</f>
        <v/>
      </c>
    </row>
    <row r="17">
      <c r="A17" s="10">
        <f>'2_FAT_Raw'!A17</f>
        <v/>
      </c>
      <c r="B17" s="10">
        <f>'2_FAT_Raw'!B17</f>
        <v/>
      </c>
      <c r="C17" s="10">
        <f>'2_FAT_Raw'!D17&amp;" "&amp;'2_FAT_Raw'!E17</f>
        <v/>
      </c>
      <c r="D17" s="10">
        <f>'2_FAT_Raw'!F17</f>
        <v/>
      </c>
      <c r="E17" s="11">
        <f>'2_FAT_Raw'!G17</f>
        <v/>
      </c>
      <c r="F17" s="10">
        <f>'1_Rules'!$D$6</f>
        <v/>
      </c>
      <c r="G17" s="11">
        <f>F17-E17</f>
        <v/>
      </c>
      <c r="H17" s="12">
        <f>G17/F17</f>
        <v/>
      </c>
      <c r="I17" s="10">
        <f>IF(E17&gt;F17,"FAIL","PASS")</f>
        <v/>
      </c>
      <c r="J17" s="10">
        <f>IF(AND(B17="retest",OR(D17="90_BEP",D17="100")),E17,"")</f>
        <v/>
      </c>
    </row>
    <row r="18">
      <c r="A18" s="10">
        <f>'2_FAT_Raw'!A18</f>
        <v/>
      </c>
      <c r="B18" s="10">
        <f>'2_FAT_Raw'!B18</f>
        <v/>
      </c>
      <c r="C18" s="10">
        <f>'2_FAT_Raw'!D18&amp;" "&amp;'2_FAT_Raw'!E18</f>
        <v/>
      </c>
      <c r="D18" s="10">
        <f>'2_FAT_Raw'!F18</f>
        <v/>
      </c>
      <c r="E18" s="11">
        <f>'2_FAT_Raw'!G18</f>
        <v/>
      </c>
      <c r="F18" s="10">
        <f>'1_Rules'!$D$6</f>
        <v/>
      </c>
      <c r="G18" s="11">
        <f>F18-E18</f>
        <v/>
      </c>
      <c r="H18" s="12">
        <f>G18/F18</f>
        <v/>
      </c>
      <c r="I18" s="10">
        <f>IF(E18&gt;F18,"FAIL","PASS")</f>
        <v/>
      </c>
      <c r="J18" s="10">
        <f>IF(AND(B18="retest",OR(D18="90_BEP",D18="100")),E18,"")</f>
        <v/>
      </c>
    </row>
    <row r="19">
      <c r="A19" s="10">
        <f>'2_FAT_Raw'!A19</f>
        <v/>
      </c>
      <c r="B19" s="10">
        <f>'2_FAT_Raw'!B19</f>
        <v/>
      </c>
      <c r="C19" s="10">
        <f>'2_FAT_Raw'!D19&amp;" "&amp;'2_FAT_Raw'!E19</f>
        <v/>
      </c>
      <c r="D19" s="10">
        <f>'2_FAT_Raw'!F19</f>
        <v/>
      </c>
      <c r="E19" s="11">
        <f>'2_FAT_Raw'!G19</f>
        <v/>
      </c>
      <c r="F19" s="10">
        <f>'1_Rules'!$D$6</f>
        <v/>
      </c>
      <c r="G19" s="11">
        <f>F19-E19</f>
        <v/>
      </c>
      <c r="H19" s="12">
        <f>G19/F19</f>
        <v/>
      </c>
      <c r="I19" s="10">
        <f>IF(E19&gt;F19,"FAIL","PASS")</f>
        <v/>
      </c>
      <c r="J19" s="10">
        <f>IF(AND(B19="retest",OR(D19="90_BEP",D19="100")),E19,"")</f>
        <v/>
      </c>
    </row>
    <row r="20">
      <c r="A20" s="10">
        <f>'2_FAT_Raw'!A20</f>
        <v/>
      </c>
      <c r="B20" s="10">
        <f>'2_FAT_Raw'!B20</f>
        <v/>
      </c>
      <c r="C20" s="10">
        <f>'2_FAT_Raw'!D20&amp;" "&amp;'2_FAT_Raw'!E20</f>
        <v/>
      </c>
      <c r="D20" s="10">
        <f>'2_FAT_Raw'!F20</f>
        <v/>
      </c>
      <c r="E20" s="11">
        <f>'2_FAT_Raw'!G20</f>
        <v/>
      </c>
      <c r="F20" s="10">
        <f>'1_Rules'!$D$6</f>
        <v/>
      </c>
      <c r="G20" s="11">
        <f>F20-E20</f>
        <v/>
      </c>
      <c r="H20" s="12">
        <f>G20/F20</f>
        <v/>
      </c>
      <c r="I20" s="10">
        <f>IF(E20&gt;F20,"FAIL","PASS")</f>
        <v/>
      </c>
      <c r="J20" s="10">
        <f>IF(AND(B20="retest",OR(D20="90_BEP",D20="100")),E20,"")</f>
        <v/>
      </c>
    </row>
    <row r="21">
      <c r="A21" s="10">
        <f>'2_FAT_Raw'!A21</f>
        <v/>
      </c>
      <c r="B21" s="10">
        <f>'2_FAT_Raw'!B21</f>
        <v/>
      </c>
      <c r="C21" s="10">
        <f>'2_FAT_Raw'!D21&amp;" "&amp;'2_FAT_Raw'!E21</f>
        <v/>
      </c>
      <c r="D21" s="10">
        <f>'2_FAT_Raw'!F21</f>
        <v/>
      </c>
      <c r="E21" s="11">
        <f>'2_FAT_Raw'!G21</f>
        <v/>
      </c>
      <c r="F21" s="10">
        <f>'1_Rules'!$D$6</f>
        <v/>
      </c>
      <c r="G21" s="11">
        <f>F21-E21</f>
        <v/>
      </c>
      <c r="H21" s="12">
        <f>G21/F21</f>
        <v/>
      </c>
      <c r="I21" s="10">
        <f>IF(E21&gt;F21,"FAIL","PASS")</f>
        <v/>
      </c>
      <c r="J21" s="10">
        <f>IF(AND(B21="retest",OR(D21="90_BEP",D21="100")),E21,"")</f>
        <v/>
      </c>
    </row>
    <row r="22">
      <c r="A22" s="10">
        <f>'2_FAT_Raw'!A22</f>
        <v/>
      </c>
      <c r="B22" s="10">
        <f>'2_FAT_Raw'!B22</f>
        <v/>
      </c>
      <c r="C22" s="10">
        <f>'2_FAT_Raw'!D22&amp;" "&amp;'2_FAT_Raw'!E22</f>
        <v/>
      </c>
      <c r="D22" s="10">
        <f>'2_FAT_Raw'!F22</f>
        <v/>
      </c>
      <c r="E22" s="11">
        <f>'2_FAT_Raw'!G22</f>
        <v/>
      </c>
      <c r="F22" s="10">
        <f>'1_Rules'!$D$6</f>
        <v/>
      </c>
      <c r="G22" s="11">
        <f>F22-E22</f>
        <v/>
      </c>
      <c r="H22" s="12">
        <f>G22/F22</f>
        <v/>
      </c>
      <c r="I22" s="10">
        <f>IF(E22&gt;F22,"FAIL","PASS")</f>
        <v/>
      </c>
      <c r="J22" s="10">
        <f>IF(AND(B22="retest",OR(D22="90_BEP",D22="100")),E22,"")</f>
        <v/>
      </c>
    </row>
    <row r="23">
      <c r="A23" s="10">
        <f>'2_FAT_Raw'!A23</f>
        <v/>
      </c>
      <c r="B23" s="10">
        <f>'2_FAT_Raw'!B23</f>
        <v/>
      </c>
      <c r="C23" s="10">
        <f>'2_FAT_Raw'!D23&amp;" "&amp;'2_FAT_Raw'!E23</f>
        <v/>
      </c>
      <c r="D23" s="10">
        <f>'2_FAT_Raw'!F23</f>
        <v/>
      </c>
      <c r="E23" s="11">
        <f>'2_FAT_Raw'!G23</f>
        <v/>
      </c>
      <c r="F23" s="10">
        <f>'1_Rules'!$D$6</f>
        <v/>
      </c>
      <c r="G23" s="11">
        <f>F23-E23</f>
        <v/>
      </c>
      <c r="H23" s="12">
        <f>G23/F23</f>
        <v/>
      </c>
      <c r="I23" s="10">
        <f>IF(E23&gt;F23,"FAIL","PASS")</f>
        <v/>
      </c>
      <c r="J23" s="10">
        <f>IF(AND(B23="retest",OR(D23="90_BEP",D23="100")),E23,"")</f>
        <v/>
      </c>
    </row>
    <row r="24">
      <c r="A24" s="10">
        <f>'2_FAT_Raw'!A24</f>
        <v/>
      </c>
      <c r="B24" s="10">
        <f>'2_FAT_Raw'!B24</f>
        <v/>
      </c>
      <c r="C24" s="10">
        <f>'2_FAT_Raw'!D24&amp;" "&amp;'2_FAT_Raw'!E24</f>
        <v/>
      </c>
      <c r="D24" s="10">
        <f>'2_FAT_Raw'!F24</f>
        <v/>
      </c>
      <c r="E24" s="11">
        <f>'2_FAT_Raw'!G24</f>
        <v/>
      </c>
      <c r="F24" s="10">
        <f>'1_Rules'!$D$6</f>
        <v/>
      </c>
      <c r="G24" s="11">
        <f>F24-E24</f>
        <v/>
      </c>
      <c r="H24" s="12">
        <f>G24/F24</f>
        <v/>
      </c>
      <c r="I24" s="10">
        <f>IF(E24&gt;F24,"FAIL","PASS")</f>
        <v/>
      </c>
      <c r="J24" s="10">
        <f>IF(AND(B24="retest",OR(D24="90_BEP",D24="100")),E24,"")</f>
        <v/>
      </c>
    </row>
    <row r="25">
      <c r="A25" s="10">
        <f>'2_FAT_Raw'!A25</f>
        <v/>
      </c>
      <c r="B25" s="10">
        <f>'2_FAT_Raw'!B25</f>
        <v/>
      </c>
      <c r="C25" s="10">
        <f>'2_FAT_Raw'!D25&amp;" "&amp;'2_FAT_Raw'!E25</f>
        <v/>
      </c>
      <c r="D25" s="10">
        <f>'2_FAT_Raw'!F25</f>
        <v/>
      </c>
      <c r="E25" s="11">
        <f>'2_FAT_Raw'!G25</f>
        <v/>
      </c>
      <c r="F25" s="10">
        <f>'1_Rules'!$D$6</f>
        <v/>
      </c>
      <c r="G25" s="11">
        <f>F25-E25</f>
        <v/>
      </c>
      <c r="H25" s="12">
        <f>G25/F25</f>
        <v/>
      </c>
      <c r="I25" s="10">
        <f>IF(E25&gt;F25,"FAIL","PASS")</f>
        <v/>
      </c>
      <c r="J25" s="10">
        <f>IF(AND(B25="retest",OR(D25="90_BEP",D25="100")),E25,"")</f>
        <v/>
      </c>
    </row>
    <row r="26">
      <c r="A26" s="10">
        <f>'2_FAT_Raw'!A26</f>
        <v/>
      </c>
      <c r="B26" s="10">
        <f>'2_FAT_Raw'!B26</f>
        <v/>
      </c>
      <c r="C26" s="10">
        <f>'2_FAT_Raw'!D26&amp;" "&amp;'2_FAT_Raw'!E26</f>
        <v/>
      </c>
      <c r="D26" s="10">
        <f>'2_FAT_Raw'!F26</f>
        <v/>
      </c>
      <c r="E26" s="11">
        <f>'2_FAT_Raw'!G26</f>
        <v/>
      </c>
      <c r="F26" s="10">
        <f>'1_Rules'!$D$6</f>
        <v/>
      </c>
      <c r="G26" s="11">
        <f>F26-E26</f>
        <v/>
      </c>
      <c r="H26" s="12">
        <f>G26/F26</f>
        <v/>
      </c>
      <c r="I26" s="10">
        <f>IF(E26&gt;F26,"FAIL","PASS")</f>
        <v/>
      </c>
      <c r="J26" s="10">
        <f>IF(AND(B26="retest",OR(D26="90_BEP",D26="100")),E26,"")</f>
        <v/>
      </c>
    </row>
    <row r="27">
      <c r="A27" s="10">
        <f>'2_FAT_Raw'!A27</f>
        <v/>
      </c>
      <c r="B27" s="10">
        <f>'2_FAT_Raw'!B27</f>
        <v/>
      </c>
      <c r="C27" s="10">
        <f>'2_FAT_Raw'!D27&amp;" "&amp;'2_FAT_Raw'!E27</f>
        <v/>
      </c>
      <c r="D27" s="10">
        <f>'2_FAT_Raw'!F27</f>
        <v/>
      </c>
      <c r="E27" s="11">
        <f>'2_FAT_Raw'!G27</f>
        <v/>
      </c>
      <c r="F27" s="10">
        <f>'1_Rules'!$D$6</f>
        <v/>
      </c>
      <c r="G27" s="11">
        <f>F27-E27</f>
        <v/>
      </c>
      <c r="H27" s="12">
        <f>G27/F27</f>
        <v/>
      </c>
      <c r="I27" s="10">
        <f>IF(E27&gt;F27,"FAIL","PASS")</f>
        <v/>
      </c>
      <c r="J27" s="10">
        <f>IF(AND(B27="retest",OR(D27="90_BEP",D27="100")),E27,"")</f>
        <v/>
      </c>
    </row>
    <row r="28">
      <c r="A28" s="10">
        <f>'2_FAT_Raw'!A28</f>
        <v/>
      </c>
      <c r="B28" s="10">
        <f>'2_FAT_Raw'!B28</f>
        <v/>
      </c>
      <c r="C28" s="10">
        <f>'2_FAT_Raw'!D28&amp;" "&amp;'2_FAT_Raw'!E28</f>
        <v/>
      </c>
      <c r="D28" s="10">
        <f>'2_FAT_Raw'!F28</f>
        <v/>
      </c>
      <c r="E28" s="11">
        <f>'2_FAT_Raw'!G28</f>
        <v/>
      </c>
      <c r="F28" s="10">
        <f>'1_Rules'!$D$6</f>
        <v/>
      </c>
      <c r="G28" s="11">
        <f>F28-E28</f>
        <v/>
      </c>
      <c r="H28" s="12">
        <f>G28/F28</f>
        <v/>
      </c>
      <c r="I28" s="10">
        <f>IF(E28&gt;F28,"FAIL","PASS")</f>
        <v/>
      </c>
      <c r="J28" s="10">
        <f>IF(AND(B28="retest",OR(D28="90_BEP",D28="100")),E28,"")</f>
        <v/>
      </c>
    </row>
    <row r="29">
      <c r="A29" s="10">
        <f>'2_FAT_Raw'!A29</f>
        <v/>
      </c>
      <c r="B29" s="10">
        <f>'2_FAT_Raw'!B29</f>
        <v/>
      </c>
      <c r="C29" s="10">
        <f>'2_FAT_Raw'!D29&amp;" "&amp;'2_FAT_Raw'!E29</f>
        <v/>
      </c>
      <c r="D29" s="10">
        <f>'2_FAT_Raw'!F29</f>
        <v/>
      </c>
      <c r="E29" s="11">
        <f>'2_FAT_Raw'!G29</f>
        <v/>
      </c>
      <c r="F29" s="10">
        <f>'1_Rules'!$D$6</f>
        <v/>
      </c>
      <c r="G29" s="11">
        <f>F29-E29</f>
        <v/>
      </c>
      <c r="H29" s="12">
        <f>G29/F29</f>
        <v/>
      </c>
      <c r="I29" s="10">
        <f>IF(E29&gt;F29,"FAIL","PASS")</f>
        <v/>
      </c>
      <c r="J29" s="10">
        <f>IF(AND(B29="retest",OR(D29="90_BEP",D29="100")),E29,"")</f>
        <v/>
      </c>
    </row>
    <row r="30">
      <c r="A30" s="10">
        <f>'2_FAT_Raw'!A30</f>
        <v/>
      </c>
      <c r="B30" s="10">
        <f>'2_FAT_Raw'!B30</f>
        <v/>
      </c>
      <c r="C30" s="10">
        <f>'2_FAT_Raw'!D30&amp;" "&amp;'2_FAT_Raw'!E30</f>
        <v/>
      </c>
      <c r="D30" s="10">
        <f>'2_FAT_Raw'!F30</f>
        <v/>
      </c>
      <c r="E30" s="11">
        <f>'2_FAT_Raw'!G30</f>
        <v/>
      </c>
      <c r="F30" s="10">
        <f>'1_Rules'!$D$6</f>
        <v/>
      </c>
      <c r="G30" s="11">
        <f>F30-E30</f>
        <v/>
      </c>
      <c r="H30" s="12">
        <f>G30/F30</f>
        <v/>
      </c>
      <c r="I30" s="10">
        <f>IF(E30&gt;F30,"FAIL","PASS")</f>
        <v/>
      </c>
      <c r="J30" s="10">
        <f>IF(AND(B30="retest",OR(D30="90_BEP",D30="100")),E30,"")</f>
        <v/>
      </c>
    </row>
    <row r="31">
      <c r="A31" s="10">
        <f>'2_FAT_Raw'!A31</f>
        <v/>
      </c>
      <c r="B31" s="10">
        <f>'2_FAT_Raw'!B31</f>
        <v/>
      </c>
      <c r="C31" s="10">
        <f>'2_FAT_Raw'!D31&amp;" "&amp;'2_FAT_Raw'!E31</f>
        <v/>
      </c>
      <c r="D31" s="10">
        <f>'2_FAT_Raw'!F31</f>
        <v/>
      </c>
      <c r="E31" s="11">
        <f>'2_FAT_Raw'!G31</f>
        <v/>
      </c>
      <c r="F31" s="10">
        <f>'1_Rules'!$D$6</f>
        <v/>
      </c>
      <c r="G31" s="11">
        <f>F31-E31</f>
        <v/>
      </c>
      <c r="H31" s="12">
        <f>G31/F31</f>
        <v/>
      </c>
      <c r="I31" s="10">
        <f>IF(E31&gt;F31,"FAIL","PASS")</f>
        <v/>
      </c>
      <c r="J31" s="10">
        <f>IF(AND(B31="retest",OR(D31="90_BEP",D31="100")),E31,"")</f>
        <v/>
      </c>
    </row>
    <row r="32">
      <c r="A32" s="10">
        <f>'2_FAT_Raw'!A32</f>
        <v/>
      </c>
      <c r="B32" s="10">
        <f>'2_FAT_Raw'!B32</f>
        <v/>
      </c>
      <c r="C32" s="10">
        <f>'2_FAT_Raw'!D32&amp;" "&amp;'2_FAT_Raw'!E32</f>
        <v/>
      </c>
      <c r="D32" s="10">
        <f>'2_FAT_Raw'!F32</f>
        <v/>
      </c>
      <c r="E32" s="11">
        <f>'2_FAT_Raw'!G32</f>
        <v/>
      </c>
      <c r="F32" s="10">
        <f>'1_Rules'!$D$6</f>
        <v/>
      </c>
      <c r="G32" s="11">
        <f>F32-E32</f>
        <v/>
      </c>
      <c r="H32" s="12">
        <f>G32/F32</f>
        <v/>
      </c>
      <c r="I32" s="10">
        <f>IF(E32&gt;F32,"FAIL","PASS")</f>
        <v/>
      </c>
      <c r="J32" s="10">
        <f>IF(AND(B32="retest",OR(D32="90_BEP",D32="100")),E32,"")</f>
        <v/>
      </c>
    </row>
    <row r="33">
      <c r="A33" s="10">
        <f>'2_FAT_Raw'!A33</f>
        <v/>
      </c>
      <c r="B33" s="10">
        <f>'2_FAT_Raw'!B33</f>
        <v/>
      </c>
      <c r="C33" s="10">
        <f>'2_FAT_Raw'!D33&amp;" "&amp;'2_FAT_Raw'!E33</f>
        <v/>
      </c>
      <c r="D33" s="10">
        <f>'2_FAT_Raw'!F33</f>
        <v/>
      </c>
      <c r="E33" s="11">
        <f>'2_FAT_Raw'!G33</f>
        <v/>
      </c>
      <c r="F33" s="10">
        <f>'1_Rules'!$D$6</f>
        <v/>
      </c>
      <c r="G33" s="11">
        <f>F33-E33</f>
        <v/>
      </c>
      <c r="H33" s="12">
        <f>G33/F33</f>
        <v/>
      </c>
      <c r="I33" s="10">
        <f>IF(E33&gt;F33,"FAIL","PASS")</f>
        <v/>
      </c>
      <c r="J33" s="10">
        <f>IF(AND(B33="retest",OR(D33="90_BEP",D33="100")),E33,"")</f>
        <v/>
      </c>
    </row>
    <row r="34">
      <c r="A34" s="10">
        <f>'2_FAT_Raw'!A34</f>
        <v/>
      </c>
      <c r="B34" s="10">
        <f>'2_FAT_Raw'!B34</f>
        <v/>
      </c>
      <c r="C34" s="10">
        <f>'2_FAT_Raw'!D34&amp;" "&amp;'2_FAT_Raw'!E34</f>
        <v/>
      </c>
      <c r="D34" s="10">
        <f>'2_FAT_Raw'!F34</f>
        <v/>
      </c>
      <c r="E34" s="11">
        <f>'2_FAT_Raw'!G34</f>
        <v/>
      </c>
      <c r="F34" s="10">
        <f>'1_Rules'!$D$6</f>
        <v/>
      </c>
      <c r="G34" s="11">
        <f>F34-E34</f>
        <v/>
      </c>
      <c r="H34" s="12">
        <f>G34/F34</f>
        <v/>
      </c>
      <c r="I34" s="10">
        <f>IF(E34&gt;F34,"FAIL","PASS")</f>
        <v/>
      </c>
      <c r="J34" s="10">
        <f>IF(AND(B34="retest",OR(D34="90_BEP",D34="100")),E34,"")</f>
        <v/>
      </c>
    </row>
    <row r="35">
      <c r="A35" s="10">
        <f>'2_FAT_Raw'!A35</f>
        <v/>
      </c>
      <c r="B35" s="10">
        <f>'2_FAT_Raw'!B35</f>
        <v/>
      </c>
      <c r="C35" s="10">
        <f>'2_FAT_Raw'!D35&amp;" "&amp;'2_FAT_Raw'!E35</f>
        <v/>
      </c>
      <c r="D35" s="10">
        <f>'2_FAT_Raw'!F35</f>
        <v/>
      </c>
      <c r="E35" s="11">
        <f>'2_FAT_Raw'!G35</f>
        <v/>
      </c>
      <c r="F35" s="10">
        <f>'1_Rules'!$D$6</f>
        <v/>
      </c>
      <c r="G35" s="11">
        <f>F35-E35</f>
        <v/>
      </c>
      <c r="H35" s="12">
        <f>G35/F35</f>
        <v/>
      </c>
      <c r="I35" s="10">
        <f>IF(E35&gt;F35,"FAIL","PASS")</f>
        <v/>
      </c>
      <c r="J35" s="10">
        <f>IF(AND(B35="retest",OR(D35="90_BEP",D35="100")),E35,"")</f>
        <v/>
      </c>
    </row>
    <row r="36">
      <c r="A36" s="10">
        <f>'2_FAT_Raw'!A36</f>
        <v/>
      </c>
      <c r="B36" s="10">
        <f>'2_FAT_Raw'!B36</f>
        <v/>
      </c>
      <c r="C36" s="10">
        <f>'2_FAT_Raw'!D36&amp;" "&amp;'2_FAT_Raw'!E36</f>
        <v/>
      </c>
      <c r="D36" s="10">
        <f>'2_FAT_Raw'!F36</f>
        <v/>
      </c>
      <c r="E36" s="11">
        <f>'2_FAT_Raw'!G36</f>
        <v/>
      </c>
      <c r="F36" s="10">
        <f>'1_Rules'!$D$6</f>
        <v/>
      </c>
      <c r="G36" s="11">
        <f>F36-E36</f>
        <v/>
      </c>
      <c r="H36" s="12">
        <f>G36/F36</f>
        <v/>
      </c>
      <c r="I36" s="10">
        <f>IF(E36&gt;F36,"FAIL","PASS")</f>
        <v/>
      </c>
      <c r="J36" s="10">
        <f>IF(AND(B36="retest",OR(D36="90_BEP",D36="100")),E36,"")</f>
        <v/>
      </c>
    </row>
    <row r="37">
      <c r="A37" s="10">
        <f>'2_FAT_Raw'!A37</f>
        <v/>
      </c>
      <c r="B37" s="10">
        <f>'2_FAT_Raw'!B37</f>
        <v/>
      </c>
      <c r="C37" s="10">
        <f>'2_FAT_Raw'!D37&amp;" "&amp;'2_FAT_Raw'!E37</f>
        <v/>
      </c>
      <c r="D37" s="10">
        <f>'2_FAT_Raw'!F37</f>
        <v/>
      </c>
      <c r="E37" s="11">
        <f>'2_FAT_Raw'!G37</f>
        <v/>
      </c>
      <c r="F37" s="10">
        <f>'1_Rules'!$D$6</f>
        <v/>
      </c>
      <c r="G37" s="11">
        <f>F37-E37</f>
        <v/>
      </c>
      <c r="H37" s="12">
        <f>G37/F37</f>
        <v/>
      </c>
      <c r="I37" s="10">
        <f>IF(E37&gt;F37,"FAIL","PASS")</f>
        <v/>
      </c>
      <c r="J37" s="10">
        <f>IF(AND(B37="retest",OR(D37="90_BEP",D37="100")),E37,"")</f>
        <v/>
      </c>
    </row>
    <row r="38">
      <c r="A38" s="10">
        <f>'2_FAT_Raw'!A38</f>
        <v/>
      </c>
      <c r="B38" s="10">
        <f>'2_FAT_Raw'!B38</f>
        <v/>
      </c>
      <c r="C38" s="10">
        <f>'2_FAT_Raw'!D38&amp;" "&amp;'2_FAT_Raw'!E38</f>
        <v/>
      </c>
      <c r="D38" s="10">
        <f>'2_FAT_Raw'!F38</f>
        <v/>
      </c>
      <c r="E38" s="11">
        <f>'2_FAT_Raw'!G38</f>
        <v/>
      </c>
      <c r="F38" s="10">
        <f>'1_Rules'!$D$6</f>
        <v/>
      </c>
      <c r="G38" s="11">
        <f>F38-E38</f>
        <v/>
      </c>
      <c r="H38" s="12">
        <f>G38/F38</f>
        <v/>
      </c>
      <c r="I38" s="10">
        <f>IF(E38&gt;F38,"FAIL","PASS")</f>
        <v/>
      </c>
      <c r="J38" s="10">
        <f>IF(AND(B38="retest",OR(D38="90_BEP",D38="100")),E38,"")</f>
        <v/>
      </c>
    </row>
    <row r="39">
      <c r="A39" s="10">
        <f>'2_FAT_Raw'!A39</f>
        <v/>
      </c>
      <c r="B39" s="10">
        <f>'2_FAT_Raw'!B39</f>
        <v/>
      </c>
      <c r="C39" s="10">
        <f>'2_FAT_Raw'!D39&amp;" "&amp;'2_FAT_Raw'!E39</f>
        <v/>
      </c>
      <c r="D39" s="10">
        <f>'2_FAT_Raw'!F39</f>
        <v/>
      </c>
      <c r="E39" s="11">
        <f>'2_FAT_Raw'!G39</f>
        <v/>
      </c>
      <c r="F39" s="10">
        <f>'1_Rules'!$D$6</f>
        <v/>
      </c>
      <c r="G39" s="11">
        <f>F39-E39</f>
        <v/>
      </c>
      <c r="H39" s="12">
        <f>G39/F39</f>
        <v/>
      </c>
      <c r="I39" s="10">
        <f>IF(E39&gt;F39,"FAIL","PASS")</f>
        <v/>
      </c>
      <c r="J39" s="10">
        <f>IF(AND(B39="retest",OR(D39="90_BEP",D39="100")),E39,"")</f>
        <v/>
      </c>
    </row>
    <row r="40">
      <c r="A40" s="10">
        <f>'2_FAT_Raw'!A40</f>
        <v/>
      </c>
      <c r="B40" s="10">
        <f>'2_FAT_Raw'!B40</f>
        <v/>
      </c>
      <c r="C40" s="10">
        <f>'2_FAT_Raw'!D40&amp;" "&amp;'2_FAT_Raw'!E40</f>
        <v/>
      </c>
      <c r="D40" s="10">
        <f>'2_FAT_Raw'!F40</f>
        <v/>
      </c>
      <c r="E40" s="11">
        <f>'2_FAT_Raw'!G40</f>
        <v/>
      </c>
      <c r="F40" s="10">
        <f>'1_Rules'!$D$6</f>
        <v/>
      </c>
      <c r="G40" s="11">
        <f>F40-E40</f>
        <v/>
      </c>
      <c r="H40" s="12">
        <f>G40/F40</f>
        <v/>
      </c>
      <c r="I40" s="10">
        <f>IF(E40&gt;F40,"FAIL","PASS")</f>
        <v/>
      </c>
      <c r="J40" s="10">
        <f>IF(AND(B40="retest",OR(D40="90_BEP",D40="100")),E40,"")</f>
        <v/>
      </c>
    </row>
    <row r="41">
      <c r="A41" s="10">
        <f>'2_FAT_Raw'!A41</f>
        <v/>
      </c>
      <c r="B41" s="10">
        <f>'2_FAT_Raw'!B41</f>
        <v/>
      </c>
      <c r="C41" s="10">
        <f>'2_FAT_Raw'!D41&amp;" "&amp;'2_FAT_Raw'!E41</f>
        <v/>
      </c>
      <c r="D41" s="10">
        <f>'2_FAT_Raw'!F41</f>
        <v/>
      </c>
      <c r="E41" s="11">
        <f>'2_FAT_Raw'!G41</f>
        <v/>
      </c>
      <c r="F41" s="10">
        <f>'1_Rules'!$D$6</f>
        <v/>
      </c>
      <c r="G41" s="11">
        <f>F41-E41</f>
        <v/>
      </c>
      <c r="H41" s="12">
        <f>G41/F41</f>
        <v/>
      </c>
      <c r="I41" s="10">
        <f>IF(E41&gt;F41,"FAIL","PASS")</f>
        <v/>
      </c>
      <c r="J41" s="10">
        <f>IF(AND(B41="retest",OR(D41="90_BEP",D41="100")),E41,"")</f>
        <v/>
      </c>
    </row>
    <row r="42">
      <c r="A42" s="10">
        <f>'2_FAT_Raw'!A42</f>
        <v/>
      </c>
      <c r="B42" s="10">
        <f>'2_FAT_Raw'!B42</f>
        <v/>
      </c>
      <c r="C42" s="10">
        <f>'2_FAT_Raw'!D42&amp;" "&amp;'2_FAT_Raw'!E42</f>
        <v/>
      </c>
      <c r="D42" s="10">
        <f>'2_FAT_Raw'!F42</f>
        <v/>
      </c>
      <c r="E42" s="11">
        <f>'2_FAT_Raw'!G42</f>
        <v/>
      </c>
      <c r="F42" s="10">
        <f>'1_Rules'!$D$6</f>
        <v/>
      </c>
      <c r="G42" s="11">
        <f>F42-E42</f>
        <v/>
      </c>
      <c r="H42" s="12">
        <f>G42/F42</f>
        <v/>
      </c>
      <c r="I42" s="10">
        <f>IF(E42&gt;F42,"FAIL","PASS")</f>
        <v/>
      </c>
      <c r="J42" s="10">
        <f>IF(AND(B42="retest",OR(D42="90_BEP",D42="100")),E42,"")</f>
        <v/>
      </c>
    </row>
    <row r="43">
      <c r="A43" s="10">
        <f>'2_FAT_Raw'!A43</f>
        <v/>
      </c>
      <c r="B43" s="10">
        <f>'2_FAT_Raw'!B43</f>
        <v/>
      </c>
      <c r="C43" s="10">
        <f>'2_FAT_Raw'!D43&amp;" "&amp;'2_FAT_Raw'!E43</f>
        <v/>
      </c>
      <c r="D43" s="10">
        <f>'2_FAT_Raw'!F43</f>
        <v/>
      </c>
      <c r="E43" s="11">
        <f>'2_FAT_Raw'!G43</f>
        <v/>
      </c>
      <c r="F43" s="10">
        <f>'1_Rules'!$D$6</f>
        <v/>
      </c>
      <c r="G43" s="11">
        <f>F43-E43</f>
        <v/>
      </c>
      <c r="H43" s="12">
        <f>G43/F43</f>
        <v/>
      </c>
      <c r="I43" s="10">
        <f>IF(E43&gt;F43,"FAIL","PASS")</f>
        <v/>
      </c>
      <c r="J43" s="10">
        <f>IF(AND(B43="retest",OR(D43="90_BEP",D43="100")),E43,"")</f>
        <v/>
      </c>
    </row>
    <row r="44">
      <c r="A44" s="10">
        <f>'2_FAT_Raw'!A44</f>
        <v/>
      </c>
      <c r="B44" s="10">
        <f>'2_FAT_Raw'!B44</f>
        <v/>
      </c>
      <c r="C44" s="10">
        <f>'2_FAT_Raw'!D44&amp;" "&amp;'2_FAT_Raw'!E44</f>
        <v/>
      </c>
      <c r="D44" s="10">
        <f>'2_FAT_Raw'!F44</f>
        <v/>
      </c>
      <c r="E44" s="11">
        <f>'2_FAT_Raw'!G44</f>
        <v/>
      </c>
      <c r="F44" s="10">
        <f>'1_Rules'!$D$6</f>
        <v/>
      </c>
      <c r="G44" s="11">
        <f>F44-E44</f>
        <v/>
      </c>
      <c r="H44" s="12">
        <f>G44/F44</f>
        <v/>
      </c>
      <c r="I44" s="10">
        <f>IF(E44&gt;F44,"FAIL","PASS")</f>
        <v/>
      </c>
      <c r="J44" s="10">
        <f>IF(AND(B44="retest",OR(D44="90_BEP",D44="100")),E44,"")</f>
        <v/>
      </c>
    </row>
    <row r="45">
      <c r="A45" s="10">
        <f>'2_FAT_Raw'!A45</f>
        <v/>
      </c>
      <c r="B45" s="10">
        <f>'2_FAT_Raw'!B45</f>
        <v/>
      </c>
      <c r="C45" s="10">
        <f>'2_FAT_Raw'!D45&amp;" "&amp;'2_FAT_Raw'!E45</f>
        <v/>
      </c>
      <c r="D45" s="10">
        <f>'2_FAT_Raw'!F45</f>
        <v/>
      </c>
      <c r="E45" s="11">
        <f>'2_FAT_Raw'!G45</f>
        <v/>
      </c>
      <c r="F45" s="10">
        <f>'1_Rules'!$D$6</f>
        <v/>
      </c>
      <c r="G45" s="11">
        <f>F45-E45</f>
        <v/>
      </c>
      <c r="H45" s="12">
        <f>G45/F45</f>
        <v/>
      </c>
      <c r="I45" s="10">
        <f>IF(E45&gt;F45,"FAIL","PASS")</f>
        <v/>
      </c>
      <c r="J45" s="10">
        <f>IF(AND(B45="retest",OR(D45="90_BEP",D45="100")),E45,"")</f>
        <v/>
      </c>
    </row>
    <row r="46">
      <c r="A46" s="10">
        <f>'2_FAT_Raw'!A46</f>
        <v/>
      </c>
      <c r="B46" s="10">
        <f>'2_FAT_Raw'!B46</f>
        <v/>
      </c>
      <c r="C46" s="10">
        <f>'2_FAT_Raw'!D46&amp;" "&amp;'2_FAT_Raw'!E46</f>
        <v/>
      </c>
      <c r="D46" s="10">
        <f>'2_FAT_Raw'!F46</f>
        <v/>
      </c>
      <c r="E46" s="11">
        <f>'2_FAT_Raw'!G46</f>
        <v/>
      </c>
      <c r="F46" s="10">
        <f>'1_Rules'!$D$6</f>
        <v/>
      </c>
      <c r="G46" s="11">
        <f>F46-E46</f>
        <v/>
      </c>
      <c r="H46" s="12">
        <f>G46/F46</f>
        <v/>
      </c>
      <c r="I46" s="10">
        <f>IF(E46&gt;F46,"FAIL","PASS")</f>
        <v/>
      </c>
      <c r="J46" s="10">
        <f>IF(AND(B46="retest",OR(D46="90_BEP",D46="100")),E46,"")</f>
        <v/>
      </c>
    </row>
    <row r="47">
      <c r="A47" s="10">
        <f>'2_FAT_Raw'!A47</f>
        <v/>
      </c>
      <c r="B47" s="10">
        <f>'2_FAT_Raw'!B47</f>
        <v/>
      </c>
      <c r="C47" s="10">
        <f>'2_FAT_Raw'!D47&amp;" "&amp;'2_FAT_Raw'!E47</f>
        <v/>
      </c>
      <c r="D47" s="10">
        <f>'2_FAT_Raw'!F47</f>
        <v/>
      </c>
      <c r="E47" s="11">
        <f>'2_FAT_Raw'!G47</f>
        <v/>
      </c>
      <c r="F47" s="10">
        <f>'1_Rules'!$D$6</f>
        <v/>
      </c>
      <c r="G47" s="11">
        <f>F47-E47</f>
        <v/>
      </c>
      <c r="H47" s="12">
        <f>G47/F47</f>
        <v/>
      </c>
      <c r="I47" s="10">
        <f>IF(E47&gt;F47,"FAIL","PASS")</f>
        <v/>
      </c>
      <c r="J47" s="10">
        <f>IF(AND(B47="retest",OR(D47="90_BEP",D47="100")),E47,"")</f>
        <v/>
      </c>
    </row>
    <row r="48">
      <c r="A48" s="10">
        <f>'2_FAT_Raw'!A48</f>
        <v/>
      </c>
      <c r="B48" s="10">
        <f>'2_FAT_Raw'!B48</f>
        <v/>
      </c>
      <c r="C48" s="10">
        <f>'2_FAT_Raw'!D48&amp;" "&amp;'2_FAT_Raw'!E48</f>
        <v/>
      </c>
      <c r="D48" s="10">
        <f>'2_FAT_Raw'!F48</f>
        <v/>
      </c>
      <c r="E48" s="11">
        <f>'2_FAT_Raw'!G48</f>
        <v/>
      </c>
      <c r="F48" s="10">
        <f>'1_Rules'!$D$6</f>
        <v/>
      </c>
      <c r="G48" s="11">
        <f>F48-E48</f>
        <v/>
      </c>
      <c r="H48" s="12">
        <f>G48/F48</f>
        <v/>
      </c>
      <c r="I48" s="10">
        <f>IF(E48&gt;F48,"FAIL","PASS")</f>
        <v/>
      </c>
      <c r="J48" s="10">
        <f>IF(AND(B48="retest",OR(D48="90_BEP",D48="100")),E48,"")</f>
        <v/>
      </c>
    </row>
    <row r="49">
      <c r="A49" s="10">
        <f>'2_FAT_Raw'!A49</f>
        <v/>
      </c>
      <c r="B49" s="10">
        <f>'2_FAT_Raw'!B49</f>
        <v/>
      </c>
      <c r="C49" s="10">
        <f>'2_FAT_Raw'!D49&amp;" "&amp;'2_FAT_Raw'!E49</f>
        <v/>
      </c>
      <c r="D49" s="10">
        <f>'2_FAT_Raw'!F49</f>
        <v/>
      </c>
      <c r="E49" s="11">
        <f>'2_FAT_Raw'!G49</f>
        <v/>
      </c>
      <c r="F49" s="10">
        <f>'1_Rules'!$D$6</f>
        <v/>
      </c>
      <c r="G49" s="11">
        <f>F49-E49</f>
        <v/>
      </c>
      <c r="H49" s="12">
        <f>G49/F49</f>
        <v/>
      </c>
      <c r="I49" s="10">
        <f>IF(E49&gt;F49,"FAIL","PASS")</f>
        <v/>
      </c>
      <c r="J49" s="10">
        <f>IF(AND(B49="retest",OR(D49="90_BEP",D49="100")),E49,"")</f>
        <v/>
      </c>
    </row>
    <row r="50">
      <c r="A50" s="10">
        <f>'2_FAT_Raw'!A50</f>
        <v/>
      </c>
      <c r="B50" s="10">
        <f>'2_FAT_Raw'!B50</f>
        <v/>
      </c>
      <c r="C50" s="10">
        <f>'2_FAT_Raw'!D50&amp;" "&amp;'2_FAT_Raw'!E50</f>
        <v/>
      </c>
      <c r="D50" s="10">
        <f>'2_FAT_Raw'!F50</f>
        <v/>
      </c>
      <c r="E50" s="11">
        <f>'2_FAT_Raw'!G50</f>
        <v/>
      </c>
      <c r="F50" s="10">
        <f>'1_Rules'!$D$6</f>
        <v/>
      </c>
      <c r="G50" s="11">
        <f>F50-E50</f>
        <v/>
      </c>
      <c r="H50" s="12">
        <f>G50/F50</f>
        <v/>
      </c>
      <c r="I50" s="10">
        <f>IF(E50&gt;F50,"FAIL","PASS")</f>
        <v/>
      </c>
      <c r="J50" s="10">
        <f>IF(AND(B50="retest",OR(D50="90_BEP",D50="100")),E50,"")</f>
        <v/>
      </c>
    </row>
    <row r="51">
      <c r="A51" s="10">
        <f>'2_FAT_Raw'!A51</f>
        <v/>
      </c>
      <c r="B51" s="10">
        <f>'2_FAT_Raw'!B51</f>
        <v/>
      </c>
      <c r="C51" s="10">
        <f>'2_FAT_Raw'!D51&amp;" "&amp;'2_FAT_Raw'!E51</f>
        <v/>
      </c>
      <c r="D51" s="10">
        <f>'2_FAT_Raw'!F51</f>
        <v/>
      </c>
      <c r="E51" s="11">
        <f>'2_FAT_Raw'!G51</f>
        <v/>
      </c>
      <c r="F51" s="10">
        <f>'1_Rules'!$D$6</f>
        <v/>
      </c>
      <c r="G51" s="11">
        <f>F51-E51</f>
        <v/>
      </c>
      <c r="H51" s="12">
        <f>G51/F51</f>
        <v/>
      </c>
      <c r="I51" s="10">
        <f>IF(E51&gt;F51,"FAIL","PASS")</f>
        <v/>
      </c>
      <c r="J51" s="10">
        <f>IF(AND(B51="retest",OR(D51="90_BEP",D51="100")),E51,"")</f>
        <v/>
      </c>
    </row>
    <row r="52">
      <c r="A52" s="10">
        <f>'2_FAT_Raw'!A52</f>
        <v/>
      </c>
      <c r="B52" s="10">
        <f>'2_FAT_Raw'!B52</f>
        <v/>
      </c>
      <c r="C52" s="10">
        <f>'2_FAT_Raw'!D52&amp;" "&amp;'2_FAT_Raw'!E52</f>
        <v/>
      </c>
      <c r="D52" s="10">
        <f>'2_FAT_Raw'!F52</f>
        <v/>
      </c>
      <c r="E52" s="11">
        <f>'2_FAT_Raw'!G52</f>
        <v/>
      </c>
      <c r="F52" s="10">
        <f>'1_Rules'!$D$6</f>
        <v/>
      </c>
      <c r="G52" s="11">
        <f>F52-E52</f>
        <v/>
      </c>
      <c r="H52" s="12">
        <f>G52/F52</f>
        <v/>
      </c>
      <c r="I52" s="10">
        <f>IF(E52&gt;F52,"FAIL","PASS")</f>
        <v/>
      </c>
      <c r="J52" s="10">
        <f>IF(AND(B52="retest",OR(D52="90_BEP",D52="100")),E52,"")</f>
        <v/>
      </c>
    </row>
    <row r="53">
      <c r="A53" s="10">
        <f>'2_FAT_Raw'!A53</f>
        <v/>
      </c>
      <c r="B53" s="10">
        <f>'2_FAT_Raw'!B53</f>
        <v/>
      </c>
      <c r="C53" s="10">
        <f>'2_FAT_Raw'!D53&amp;" "&amp;'2_FAT_Raw'!E53</f>
        <v/>
      </c>
      <c r="D53" s="10">
        <f>'2_FAT_Raw'!F53</f>
        <v/>
      </c>
      <c r="E53" s="11">
        <f>'2_FAT_Raw'!G53</f>
        <v/>
      </c>
      <c r="F53" s="10">
        <f>'1_Rules'!$D$6</f>
        <v/>
      </c>
      <c r="G53" s="11">
        <f>F53-E53</f>
        <v/>
      </c>
      <c r="H53" s="12">
        <f>G53/F53</f>
        <v/>
      </c>
      <c r="I53" s="10">
        <f>IF(E53&gt;F53,"FAIL","PASS")</f>
        <v/>
      </c>
      <c r="J53" s="10">
        <f>IF(AND(B53="retest",OR(D53="90_BEP",D53="100")),E53,"")</f>
        <v/>
      </c>
    </row>
    <row r="54">
      <c r="A54" s="10">
        <f>'2_FAT_Raw'!A54</f>
        <v/>
      </c>
      <c r="B54" s="10">
        <f>'2_FAT_Raw'!B54</f>
        <v/>
      </c>
      <c r="C54" s="10">
        <f>'2_FAT_Raw'!D54&amp;" "&amp;'2_FAT_Raw'!E54</f>
        <v/>
      </c>
      <c r="D54" s="10">
        <f>'2_FAT_Raw'!F54</f>
        <v/>
      </c>
      <c r="E54" s="11">
        <f>'2_FAT_Raw'!G54</f>
        <v/>
      </c>
      <c r="F54" s="10">
        <f>'1_Rules'!$D$6</f>
        <v/>
      </c>
      <c r="G54" s="11">
        <f>F54-E54</f>
        <v/>
      </c>
      <c r="H54" s="12">
        <f>G54/F54</f>
        <v/>
      </c>
      <c r="I54" s="10">
        <f>IF(E54&gt;F54,"FAIL","PASS")</f>
        <v/>
      </c>
      <c r="J54" s="10">
        <f>IF(AND(B54="retest",OR(D54="90_BEP",D54="100")),E54,"")</f>
        <v/>
      </c>
    </row>
    <row r="55">
      <c r="A55" s="10">
        <f>'2_FAT_Raw'!A55</f>
        <v/>
      </c>
      <c r="B55" s="10">
        <f>'2_FAT_Raw'!B55</f>
        <v/>
      </c>
      <c r="C55" s="10">
        <f>'2_FAT_Raw'!D55&amp;" "&amp;'2_FAT_Raw'!E55</f>
        <v/>
      </c>
      <c r="D55" s="10">
        <f>'2_FAT_Raw'!F55</f>
        <v/>
      </c>
      <c r="E55" s="11">
        <f>'2_FAT_Raw'!G55</f>
        <v/>
      </c>
      <c r="F55" s="10">
        <f>'1_Rules'!$D$6</f>
        <v/>
      </c>
      <c r="G55" s="11">
        <f>F55-E55</f>
        <v/>
      </c>
      <c r="H55" s="12">
        <f>G55/F55</f>
        <v/>
      </c>
      <c r="I55" s="10">
        <f>IF(E55&gt;F55,"FAIL","PASS")</f>
        <v/>
      </c>
      <c r="J55" s="10">
        <f>IF(AND(B55="retest",OR(D55="90_BEP",D55="100")),E55,"")</f>
        <v/>
      </c>
    </row>
    <row r="56">
      <c r="A56" s="10">
        <f>'2_FAT_Raw'!A56</f>
        <v/>
      </c>
      <c r="B56" s="10">
        <f>'2_FAT_Raw'!B56</f>
        <v/>
      </c>
      <c r="C56" s="10">
        <f>'2_FAT_Raw'!D56&amp;" "&amp;'2_FAT_Raw'!E56</f>
        <v/>
      </c>
      <c r="D56" s="10">
        <f>'2_FAT_Raw'!F56</f>
        <v/>
      </c>
      <c r="E56" s="11">
        <f>'2_FAT_Raw'!G56</f>
        <v/>
      </c>
      <c r="F56" s="10">
        <f>'1_Rules'!$D$6</f>
        <v/>
      </c>
      <c r="G56" s="11">
        <f>F56-E56</f>
        <v/>
      </c>
      <c r="H56" s="12">
        <f>G56/F56</f>
        <v/>
      </c>
      <c r="I56" s="10">
        <f>IF(E56&gt;F56,"FAIL","PASS")</f>
        <v/>
      </c>
      <c r="J56" s="10">
        <f>IF(AND(B56="retest",OR(D56="90_BEP",D56="100")),E56,"")</f>
        <v/>
      </c>
    </row>
    <row r="57">
      <c r="A57" s="10">
        <f>'2_FAT_Raw'!A57</f>
        <v/>
      </c>
      <c r="B57" s="10">
        <f>'2_FAT_Raw'!B57</f>
        <v/>
      </c>
      <c r="C57" s="10">
        <f>'2_FAT_Raw'!D57&amp;" "&amp;'2_FAT_Raw'!E57</f>
        <v/>
      </c>
      <c r="D57" s="10">
        <f>'2_FAT_Raw'!F57</f>
        <v/>
      </c>
      <c r="E57" s="11">
        <f>'2_FAT_Raw'!G57</f>
        <v/>
      </c>
      <c r="F57" s="10">
        <f>'1_Rules'!$D$6</f>
        <v/>
      </c>
      <c r="G57" s="11">
        <f>F57-E57</f>
        <v/>
      </c>
      <c r="H57" s="12">
        <f>G57/F57</f>
        <v/>
      </c>
      <c r="I57" s="10">
        <f>IF(E57&gt;F57,"FAIL","PASS")</f>
        <v/>
      </c>
      <c r="J57" s="10">
        <f>IF(AND(B57="retest",OR(D57="90_BEP",D57="100")),E57,"")</f>
        <v/>
      </c>
    </row>
    <row r="58">
      <c r="A58" s="10">
        <f>'2_FAT_Raw'!A58</f>
        <v/>
      </c>
      <c r="B58" s="10">
        <f>'2_FAT_Raw'!B58</f>
        <v/>
      </c>
      <c r="C58" s="10">
        <f>'2_FAT_Raw'!D58&amp;" "&amp;'2_FAT_Raw'!E58</f>
        <v/>
      </c>
      <c r="D58" s="10">
        <f>'2_FAT_Raw'!F58</f>
        <v/>
      </c>
      <c r="E58" s="11">
        <f>'2_FAT_Raw'!G58</f>
        <v/>
      </c>
      <c r="F58" s="10">
        <f>'1_Rules'!$D$6</f>
        <v/>
      </c>
      <c r="G58" s="11">
        <f>F58-E58</f>
        <v/>
      </c>
      <c r="H58" s="12">
        <f>G58/F58</f>
        <v/>
      </c>
      <c r="I58" s="10">
        <f>IF(E58&gt;F58,"FAIL","PASS")</f>
        <v/>
      </c>
      <c r="J58" s="10">
        <f>IF(AND(B58="retest",OR(D58="90_BEP",D58="100")),E58,"")</f>
        <v/>
      </c>
    </row>
    <row r="59">
      <c r="A59" s="10">
        <f>'2_FAT_Raw'!A59</f>
        <v/>
      </c>
      <c r="B59" s="10">
        <f>'2_FAT_Raw'!B59</f>
        <v/>
      </c>
      <c r="C59" s="10">
        <f>'2_FAT_Raw'!D59&amp;" "&amp;'2_FAT_Raw'!E59</f>
        <v/>
      </c>
      <c r="D59" s="10">
        <f>'2_FAT_Raw'!F59</f>
        <v/>
      </c>
      <c r="E59" s="11">
        <f>'2_FAT_Raw'!G59</f>
        <v/>
      </c>
      <c r="F59" s="10">
        <f>'1_Rules'!$D$6</f>
        <v/>
      </c>
      <c r="G59" s="11">
        <f>F59-E59</f>
        <v/>
      </c>
      <c r="H59" s="12">
        <f>G59/F59</f>
        <v/>
      </c>
      <c r="I59" s="10">
        <f>IF(E59&gt;F59,"FAIL","PASS")</f>
        <v/>
      </c>
      <c r="J59" s="10">
        <f>IF(AND(B59="retest",OR(D59="90_BEP",D59="100")),E59,"")</f>
        <v/>
      </c>
    </row>
    <row r="60">
      <c r="A60" s="10">
        <f>'2_FAT_Raw'!A60</f>
        <v/>
      </c>
      <c r="B60" s="10">
        <f>'2_FAT_Raw'!B60</f>
        <v/>
      </c>
      <c r="C60" s="10">
        <f>'2_FAT_Raw'!D60&amp;" "&amp;'2_FAT_Raw'!E60</f>
        <v/>
      </c>
      <c r="D60" s="10">
        <f>'2_FAT_Raw'!F60</f>
        <v/>
      </c>
      <c r="E60" s="11">
        <f>'2_FAT_Raw'!G60</f>
        <v/>
      </c>
      <c r="F60" s="10">
        <f>'1_Rules'!$D$6</f>
        <v/>
      </c>
      <c r="G60" s="11">
        <f>F60-E60</f>
        <v/>
      </c>
      <c r="H60" s="12">
        <f>G60/F60</f>
        <v/>
      </c>
      <c r="I60" s="10">
        <f>IF(E60&gt;F60,"FAIL","PASS")</f>
        <v/>
      </c>
      <c r="J60" s="10">
        <f>IF(AND(B60="retest",OR(D60="90_BEP",D60="100")),E60,"")</f>
        <v/>
      </c>
    </row>
    <row r="61">
      <c r="A61" s="10">
        <f>'2_FAT_Raw'!A61</f>
        <v/>
      </c>
      <c r="B61" s="10">
        <f>'2_FAT_Raw'!B61</f>
        <v/>
      </c>
      <c r="C61" s="10">
        <f>'2_FAT_Raw'!D61&amp;" "&amp;'2_FAT_Raw'!E61</f>
        <v/>
      </c>
      <c r="D61" s="10">
        <f>'2_FAT_Raw'!F61</f>
        <v/>
      </c>
      <c r="E61" s="11">
        <f>'2_FAT_Raw'!G61</f>
        <v/>
      </c>
      <c r="F61" s="10">
        <f>'1_Rules'!$D$6</f>
        <v/>
      </c>
      <c r="G61" s="11">
        <f>F61-E61</f>
        <v/>
      </c>
      <c r="H61" s="12">
        <f>G61/F61</f>
        <v/>
      </c>
      <c r="I61" s="10">
        <f>IF(E61&gt;F61,"FAIL","PASS")</f>
        <v/>
      </c>
      <c r="J61" s="10">
        <f>IF(AND(B61="retest",OR(D61="90_BEP",D61="100")),E61,"")</f>
        <v/>
      </c>
    </row>
    <row r="62">
      <c r="A62" s="10">
        <f>'2_FAT_Raw'!A62</f>
        <v/>
      </c>
      <c r="B62" s="10">
        <f>'2_FAT_Raw'!B62</f>
        <v/>
      </c>
      <c r="C62" s="10">
        <f>'2_FAT_Raw'!D62&amp;" "&amp;'2_FAT_Raw'!E62</f>
        <v/>
      </c>
      <c r="D62" s="10">
        <f>'2_FAT_Raw'!F62</f>
        <v/>
      </c>
      <c r="E62" s="11">
        <f>'2_FAT_Raw'!G62</f>
        <v/>
      </c>
      <c r="F62" s="10">
        <f>'1_Rules'!$D$6</f>
        <v/>
      </c>
      <c r="G62" s="11">
        <f>F62-E62</f>
        <v/>
      </c>
      <c r="H62" s="12">
        <f>G62/F62</f>
        <v/>
      </c>
      <c r="I62" s="10">
        <f>IF(E62&gt;F62,"FAIL","PASS")</f>
        <v/>
      </c>
      <c r="J62" s="10">
        <f>IF(AND(B62="retest",OR(D62="90_BEP",D62="100")),E62,"")</f>
        <v/>
      </c>
    </row>
    <row r="63">
      <c r="A63" s="10">
        <f>'2_FAT_Raw'!A63</f>
        <v/>
      </c>
      <c r="B63" s="10">
        <f>'2_FAT_Raw'!B63</f>
        <v/>
      </c>
      <c r="C63" s="10">
        <f>'2_FAT_Raw'!D63&amp;" "&amp;'2_FAT_Raw'!E63</f>
        <v/>
      </c>
      <c r="D63" s="10">
        <f>'2_FAT_Raw'!F63</f>
        <v/>
      </c>
      <c r="E63" s="11">
        <f>'2_FAT_Raw'!G63</f>
        <v/>
      </c>
      <c r="F63" s="10">
        <f>'1_Rules'!$D$6</f>
        <v/>
      </c>
      <c r="G63" s="11">
        <f>F63-E63</f>
        <v/>
      </c>
      <c r="H63" s="12">
        <f>G63/F63</f>
        <v/>
      </c>
      <c r="I63" s="10">
        <f>IF(E63&gt;F63,"FAIL","PASS")</f>
        <v/>
      </c>
      <c r="J63" s="10">
        <f>IF(AND(B63="retest",OR(D63="90_BEP",D63="100")),E63,"")</f>
        <v/>
      </c>
    </row>
    <row r="64">
      <c r="A64" s="10">
        <f>'2_FAT_Raw'!A64</f>
        <v/>
      </c>
      <c r="B64" s="10">
        <f>'2_FAT_Raw'!B64</f>
        <v/>
      </c>
      <c r="C64" s="10">
        <f>'2_FAT_Raw'!D64&amp;" "&amp;'2_FAT_Raw'!E64</f>
        <v/>
      </c>
      <c r="D64" s="10">
        <f>'2_FAT_Raw'!F64</f>
        <v/>
      </c>
      <c r="E64" s="11">
        <f>'2_FAT_Raw'!G64</f>
        <v/>
      </c>
      <c r="F64" s="10">
        <f>'1_Rules'!$D$6</f>
        <v/>
      </c>
      <c r="G64" s="11">
        <f>F64-E64</f>
        <v/>
      </c>
      <c r="H64" s="12">
        <f>G64/F64</f>
        <v/>
      </c>
      <c r="I64" s="10">
        <f>IF(E64&gt;F64,"FAIL","PASS")</f>
        <v/>
      </c>
      <c r="J64" s="10">
        <f>IF(AND(B64="retest",OR(D64="90_BEP",D64="100")),E64,"")</f>
        <v/>
      </c>
    </row>
    <row r="65">
      <c r="A65" s="10">
        <f>'2_FAT_Raw'!A65</f>
        <v/>
      </c>
      <c r="B65" s="10">
        <f>'2_FAT_Raw'!B65</f>
        <v/>
      </c>
      <c r="C65" s="10">
        <f>'2_FAT_Raw'!D65&amp;" "&amp;'2_FAT_Raw'!E65</f>
        <v/>
      </c>
      <c r="D65" s="10">
        <f>'2_FAT_Raw'!F65</f>
        <v/>
      </c>
      <c r="E65" s="11">
        <f>'2_FAT_Raw'!G65</f>
        <v/>
      </c>
      <c r="F65" s="10">
        <f>'1_Rules'!$D$6</f>
        <v/>
      </c>
      <c r="G65" s="11">
        <f>F65-E65</f>
        <v/>
      </c>
      <c r="H65" s="12">
        <f>G65/F65</f>
        <v/>
      </c>
      <c r="I65" s="10">
        <f>IF(E65&gt;F65,"FAIL","PASS")</f>
        <v/>
      </c>
      <c r="J65" s="10">
        <f>IF(AND(B65="retest",OR(D65="90_BEP",D65="100")),E65,"")</f>
        <v/>
      </c>
    </row>
    <row r="66">
      <c r="A66" s="10">
        <f>'2_FAT_Raw'!A66</f>
        <v/>
      </c>
      <c r="B66" s="10">
        <f>'2_FAT_Raw'!B66</f>
        <v/>
      </c>
      <c r="C66" s="10">
        <f>'2_FAT_Raw'!D66&amp;" "&amp;'2_FAT_Raw'!E66</f>
        <v/>
      </c>
      <c r="D66" s="10">
        <f>'2_FAT_Raw'!F66</f>
        <v/>
      </c>
      <c r="E66" s="11">
        <f>'2_FAT_Raw'!G66</f>
        <v/>
      </c>
      <c r="F66" s="10">
        <f>'1_Rules'!$D$6</f>
        <v/>
      </c>
      <c r="G66" s="11">
        <f>F66-E66</f>
        <v/>
      </c>
      <c r="H66" s="12">
        <f>G66/F66</f>
        <v/>
      </c>
      <c r="I66" s="10">
        <f>IF(E66&gt;F66,"FAIL","PASS")</f>
        <v/>
      </c>
      <c r="J66" s="10">
        <f>IF(AND(B66="retest",OR(D66="90_BEP",D66="100")),E66,"")</f>
        <v/>
      </c>
    </row>
    <row r="67">
      <c r="A67" s="10">
        <f>'2_FAT_Raw'!A67</f>
        <v/>
      </c>
      <c r="B67" s="10">
        <f>'2_FAT_Raw'!B67</f>
        <v/>
      </c>
      <c r="C67" s="10">
        <f>'2_FAT_Raw'!D67&amp;" "&amp;'2_FAT_Raw'!E67</f>
        <v/>
      </c>
      <c r="D67" s="10">
        <f>'2_FAT_Raw'!F67</f>
        <v/>
      </c>
      <c r="E67" s="11">
        <f>'2_FAT_Raw'!G67</f>
        <v/>
      </c>
      <c r="F67" s="10">
        <f>'1_Rules'!$D$6</f>
        <v/>
      </c>
      <c r="G67" s="11">
        <f>F67-E67</f>
        <v/>
      </c>
      <c r="H67" s="12">
        <f>G67/F67</f>
        <v/>
      </c>
      <c r="I67" s="10">
        <f>IF(E67&gt;F67,"FAIL","PASS")</f>
        <v/>
      </c>
      <c r="J67" s="10">
        <f>IF(AND(B67="retest",OR(D67="90_BEP",D67="100")),E67,"")</f>
        <v/>
      </c>
    </row>
    <row r="68">
      <c r="A68" s="10">
        <f>'2_FAT_Raw'!A68</f>
        <v/>
      </c>
      <c r="B68" s="10">
        <f>'2_FAT_Raw'!B68</f>
        <v/>
      </c>
      <c r="C68" s="10">
        <f>'2_FAT_Raw'!D68&amp;" "&amp;'2_FAT_Raw'!E68</f>
        <v/>
      </c>
      <c r="D68" s="10">
        <f>'2_FAT_Raw'!F68</f>
        <v/>
      </c>
      <c r="E68" s="11">
        <f>'2_FAT_Raw'!G68</f>
        <v/>
      </c>
      <c r="F68" s="10">
        <f>'1_Rules'!$D$6</f>
        <v/>
      </c>
      <c r="G68" s="11">
        <f>F68-E68</f>
        <v/>
      </c>
      <c r="H68" s="12">
        <f>G68/F68</f>
        <v/>
      </c>
      <c r="I68" s="10">
        <f>IF(E68&gt;F68,"FAIL","PASS")</f>
        <v/>
      </c>
      <c r="J68" s="10">
        <f>IF(AND(B68="retest",OR(D68="90_BEP",D68="100")),E68,"")</f>
        <v/>
      </c>
    </row>
    <row r="69">
      <c r="A69" s="10">
        <f>'2_FAT_Raw'!A69</f>
        <v/>
      </c>
      <c r="B69" s="10">
        <f>'2_FAT_Raw'!B69</f>
        <v/>
      </c>
      <c r="C69" s="10">
        <f>'2_FAT_Raw'!D69&amp;" "&amp;'2_FAT_Raw'!E69</f>
        <v/>
      </c>
      <c r="D69" s="10">
        <f>'2_FAT_Raw'!F69</f>
        <v/>
      </c>
      <c r="E69" s="11">
        <f>'2_FAT_Raw'!G69</f>
        <v/>
      </c>
      <c r="F69" s="10">
        <f>'1_Rules'!$D$6</f>
        <v/>
      </c>
      <c r="G69" s="11">
        <f>F69-E69</f>
        <v/>
      </c>
      <c r="H69" s="12">
        <f>G69/F69</f>
        <v/>
      </c>
      <c r="I69" s="10">
        <f>IF(E69&gt;F69,"FAIL","PASS")</f>
        <v/>
      </c>
      <c r="J69" s="10">
        <f>IF(AND(B69="retest",OR(D69="90_BEP",D69="100")),E69,"")</f>
        <v/>
      </c>
    </row>
    <row r="70">
      <c r="A70" s="10">
        <f>'2_FAT_Raw'!A70</f>
        <v/>
      </c>
      <c r="B70" s="10">
        <f>'2_FAT_Raw'!B70</f>
        <v/>
      </c>
      <c r="C70" s="10">
        <f>'2_FAT_Raw'!D70&amp;" "&amp;'2_FAT_Raw'!E70</f>
        <v/>
      </c>
      <c r="D70" s="10">
        <f>'2_FAT_Raw'!F70</f>
        <v/>
      </c>
      <c r="E70" s="11">
        <f>'2_FAT_Raw'!G70</f>
        <v/>
      </c>
      <c r="F70" s="10">
        <f>'1_Rules'!$D$6</f>
        <v/>
      </c>
      <c r="G70" s="11">
        <f>F70-E70</f>
        <v/>
      </c>
      <c r="H70" s="12">
        <f>G70/F70</f>
        <v/>
      </c>
      <c r="I70" s="10">
        <f>IF(E70&gt;F70,"FAIL","PASS")</f>
        <v/>
      </c>
      <c r="J70" s="10">
        <f>IF(AND(B70="retest",OR(D70="90_BEP",D70="100")),E70,"")</f>
        <v/>
      </c>
    </row>
    <row r="71">
      <c r="A71" s="10">
        <f>'2_FAT_Raw'!A71</f>
        <v/>
      </c>
      <c r="B71" s="10">
        <f>'2_FAT_Raw'!B71</f>
        <v/>
      </c>
      <c r="C71" s="10">
        <f>'2_FAT_Raw'!D71&amp;" "&amp;'2_FAT_Raw'!E71</f>
        <v/>
      </c>
      <c r="D71" s="10">
        <f>'2_FAT_Raw'!F71</f>
        <v/>
      </c>
      <c r="E71" s="11">
        <f>'2_FAT_Raw'!G71</f>
        <v/>
      </c>
      <c r="F71" s="10">
        <f>'1_Rules'!$D$6</f>
        <v/>
      </c>
      <c r="G71" s="11">
        <f>F71-E71</f>
        <v/>
      </c>
      <c r="H71" s="12">
        <f>G71/F71</f>
        <v/>
      </c>
      <c r="I71" s="10">
        <f>IF(E71&gt;F71,"FAIL","PASS")</f>
        <v/>
      </c>
      <c r="J71" s="10">
        <f>IF(AND(B71="retest",OR(D71="90_BEP",D71="100")),E71,"")</f>
        <v/>
      </c>
    </row>
    <row r="72">
      <c r="A72" s="10">
        <f>'2_FAT_Raw'!A72</f>
        <v/>
      </c>
      <c r="B72" s="10">
        <f>'2_FAT_Raw'!B72</f>
        <v/>
      </c>
      <c r="C72" s="10">
        <f>'2_FAT_Raw'!D72&amp;" "&amp;'2_FAT_Raw'!E72</f>
        <v/>
      </c>
      <c r="D72" s="10">
        <f>'2_FAT_Raw'!F72</f>
        <v/>
      </c>
      <c r="E72" s="11">
        <f>'2_FAT_Raw'!G72</f>
        <v/>
      </c>
      <c r="F72" s="10">
        <f>'1_Rules'!$D$6</f>
        <v/>
      </c>
      <c r="G72" s="11">
        <f>F72-E72</f>
        <v/>
      </c>
      <c r="H72" s="12">
        <f>G72/F72</f>
        <v/>
      </c>
      <c r="I72" s="10">
        <f>IF(E72&gt;F72,"FAIL","PASS")</f>
        <v/>
      </c>
      <c r="J72" s="10">
        <f>IF(AND(B72="retest",OR(D72="90_BEP",D72="100")),E72,"")</f>
        <v/>
      </c>
    </row>
    <row r="73">
      <c r="A73" s="10">
        <f>'2_FAT_Raw'!A73</f>
        <v/>
      </c>
      <c r="B73" s="10">
        <f>'2_FAT_Raw'!B73</f>
        <v/>
      </c>
      <c r="C73" s="10">
        <f>'2_FAT_Raw'!D73&amp;" "&amp;'2_FAT_Raw'!E73</f>
        <v/>
      </c>
      <c r="D73" s="10">
        <f>'2_FAT_Raw'!F73</f>
        <v/>
      </c>
      <c r="E73" s="11">
        <f>'2_FAT_Raw'!G73</f>
        <v/>
      </c>
      <c r="F73" s="10">
        <f>'1_Rules'!$D$6</f>
        <v/>
      </c>
      <c r="G73" s="11">
        <f>F73-E73</f>
        <v/>
      </c>
      <c r="H73" s="12">
        <f>G73/F73</f>
        <v/>
      </c>
      <c r="I73" s="10">
        <f>IF(E73&gt;F73,"FAIL","PASS")</f>
        <v/>
      </c>
      <c r="J73" s="10">
        <f>IF(AND(B73="retest",OR(D73="90_BEP",D73="100")),E73,"")</f>
        <v/>
      </c>
    </row>
    <row r="74">
      <c r="A74" s="10">
        <f>'2_FAT_Raw'!A74</f>
        <v/>
      </c>
      <c r="B74" s="10">
        <f>'2_FAT_Raw'!B74</f>
        <v/>
      </c>
      <c r="C74" s="10">
        <f>'2_FAT_Raw'!D74&amp;" "&amp;'2_FAT_Raw'!E74</f>
        <v/>
      </c>
      <c r="D74" s="10">
        <f>'2_FAT_Raw'!F74</f>
        <v/>
      </c>
      <c r="E74" s="11">
        <f>'2_FAT_Raw'!G74</f>
        <v/>
      </c>
      <c r="F74" s="10">
        <f>'1_Rules'!$D$6</f>
        <v/>
      </c>
      <c r="G74" s="11">
        <f>F74-E74</f>
        <v/>
      </c>
      <c r="H74" s="12">
        <f>G74/F74</f>
        <v/>
      </c>
      <c r="I74" s="10">
        <f>IF(E74&gt;F74,"FAIL","PASS")</f>
        <v/>
      </c>
      <c r="J74" s="10">
        <f>IF(AND(B74="retest",OR(D74="90_BEP",D74="100")),E74,"")</f>
        <v/>
      </c>
    </row>
    <row r="75">
      <c r="A75" s="10">
        <f>'2_FAT_Raw'!A75</f>
        <v/>
      </c>
      <c r="B75" s="10">
        <f>'2_FAT_Raw'!B75</f>
        <v/>
      </c>
      <c r="C75" s="10">
        <f>'2_FAT_Raw'!D75&amp;" "&amp;'2_FAT_Raw'!E75</f>
        <v/>
      </c>
      <c r="D75" s="10">
        <f>'2_FAT_Raw'!F75</f>
        <v/>
      </c>
      <c r="E75" s="11">
        <f>'2_FAT_Raw'!G75</f>
        <v/>
      </c>
      <c r="F75" s="10">
        <f>'1_Rules'!$D$6</f>
        <v/>
      </c>
      <c r="G75" s="11">
        <f>F75-E75</f>
        <v/>
      </c>
      <c r="H75" s="12">
        <f>G75/F75</f>
        <v/>
      </c>
      <c r="I75" s="10">
        <f>IF(E75&gt;F75,"FAIL","PASS")</f>
        <v/>
      </c>
      <c r="J75" s="10">
        <f>IF(AND(B75="retest",OR(D75="90_BEP",D75="100")),E75,"")</f>
        <v/>
      </c>
    </row>
    <row r="76">
      <c r="A76" s="10">
        <f>'2_FAT_Raw'!A76</f>
        <v/>
      </c>
      <c r="B76" s="10">
        <f>'2_FAT_Raw'!B76</f>
        <v/>
      </c>
      <c r="C76" s="10">
        <f>'2_FAT_Raw'!D76&amp;" "&amp;'2_FAT_Raw'!E76</f>
        <v/>
      </c>
      <c r="D76" s="10">
        <f>'2_FAT_Raw'!F76</f>
        <v/>
      </c>
      <c r="E76" s="11">
        <f>'2_FAT_Raw'!G76</f>
        <v/>
      </c>
      <c r="F76" s="10">
        <f>'1_Rules'!$D$6</f>
        <v/>
      </c>
      <c r="G76" s="11">
        <f>F76-E76</f>
        <v/>
      </c>
      <c r="H76" s="12">
        <f>G76/F76</f>
        <v/>
      </c>
      <c r="I76" s="10">
        <f>IF(E76&gt;F76,"FAIL","PASS")</f>
        <v/>
      </c>
      <c r="J76" s="10">
        <f>IF(AND(B76="retest",OR(D76="90_BEP",D76="100")),E76,"")</f>
        <v/>
      </c>
    </row>
    <row r="77">
      <c r="A77" s="10">
        <f>'2_FAT_Raw'!A77</f>
        <v/>
      </c>
      <c r="B77" s="10">
        <f>'2_FAT_Raw'!B77</f>
        <v/>
      </c>
      <c r="C77" s="10">
        <f>'2_FAT_Raw'!D77&amp;" "&amp;'2_FAT_Raw'!E77</f>
        <v/>
      </c>
      <c r="D77" s="10">
        <f>'2_FAT_Raw'!F77</f>
        <v/>
      </c>
      <c r="E77" s="11">
        <f>'2_FAT_Raw'!G77</f>
        <v/>
      </c>
      <c r="F77" s="10">
        <f>'1_Rules'!$D$6</f>
        <v/>
      </c>
      <c r="G77" s="11">
        <f>F77-E77</f>
        <v/>
      </c>
      <c r="H77" s="12">
        <f>G77/F77</f>
        <v/>
      </c>
      <c r="I77" s="10">
        <f>IF(E77&gt;F77,"FAIL","PASS")</f>
        <v/>
      </c>
      <c r="J77" s="10">
        <f>IF(AND(B77="retest",OR(D77="90_BEP",D77="100")),E77,"")</f>
        <v/>
      </c>
    </row>
    <row r="78">
      <c r="A78" s="10">
        <f>'2_FAT_Raw'!A78</f>
        <v/>
      </c>
      <c r="B78" s="10">
        <f>'2_FAT_Raw'!B78</f>
        <v/>
      </c>
      <c r="C78" s="10">
        <f>'2_FAT_Raw'!D78&amp;" "&amp;'2_FAT_Raw'!E78</f>
        <v/>
      </c>
      <c r="D78" s="10">
        <f>'2_FAT_Raw'!F78</f>
        <v/>
      </c>
      <c r="E78" s="11">
        <f>'2_FAT_Raw'!G78</f>
        <v/>
      </c>
      <c r="F78" s="10">
        <f>'1_Rules'!$D$6</f>
        <v/>
      </c>
      <c r="G78" s="11">
        <f>F78-E78</f>
        <v/>
      </c>
      <c r="H78" s="12">
        <f>G78/F78</f>
        <v/>
      </c>
      <c r="I78" s="10">
        <f>IF(E78&gt;F78,"FAIL","PASS")</f>
        <v/>
      </c>
      <c r="J78" s="10">
        <f>IF(AND(B78="retest",OR(D78="90_BEP",D78="100")),E78,"")</f>
        <v/>
      </c>
    </row>
    <row r="79">
      <c r="A79" s="10">
        <f>'2_FAT_Raw'!A79</f>
        <v/>
      </c>
      <c r="B79" s="10">
        <f>'2_FAT_Raw'!B79</f>
        <v/>
      </c>
      <c r="C79" s="10">
        <f>'2_FAT_Raw'!D79&amp;" "&amp;'2_FAT_Raw'!E79</f>
        <v/>
      </c>
      <c r="D79" s="10">
        <f>'2_FAT_Raw'!F79</f>
        <v/>
      </c>
      <c r="E79" s="11">
        <f>'2_FAT_Raw'!G79</f>
        <v/>
      </c>
      <c r="F79" s="10">
        <f>'1_Rules'!$D$6</f>
        <v/>
      </c>
      <c r="G79" s="11">
        <f>F79-E79</f>
        <v/>
      </c>
      <c r="H79" s="12">
        <f>G79/F79</f>
        <v/>
      </c>
      <c r="I79" s="10">
        <f>IF(E79&gt;F79,"FAIL","PASS")</f>
        <v/>
      </c>
      <c r="J79" s="10">
        <f>IF(AND(B79="retest",OR(D79="90_BEP",D79="100")),E79,"")</f>
        <v/>
      </c>
    </row>
    <row r="80">
      <c r="A80" s="10">
        <f>'2_FAT_Raw'!A80</f>
        <v/>
      </c>
      <c r="B80" s="10">
        <f>'2_FAT_Raw'!B80</f>
        <v/>
      </c>
      <c r="C80" s="10">
        <f>'2_FAT_Raw'!D80&amp;" "&amp;'2_FAT_Raw'!E80</f>
        <v/>
      </c>
      <c r="D80" s="10">
        <f>'2_FAT_Raw'!F80</f>
        <v/>
      </c>
      <c r="E80" s="11">
        <f>'2_FAT_Raw'!G80</f>
        <v/>
      </c>
      <c r="F80" s="10">
        <f>'1_Rules'!$D$6</f>
        <v/>
      </c>
      <c r="G80" s="11">
        <f>F80-E80</f>
        <v/>
      </c>
      <c r="H80" s="12">
        <f>G80/F80</f>
        <v/>
      </c>
      <c r="I80" s="10">
        <f>IF(E80&gt;F80,"FAIL","PASS")</f>
        <v/>
      </c>
      <c r="J80" s="10">
        <f>IF(AND(B80="retest",OR(D80="90_BEP",D80="100")),E80,"")</f>
        <v/>
      </c>
    </row>
    <row r="81">
      <c r="A81" s="10">
        <f>'2_FAT_Raw'!A81</f>
        <v/>
      </c>
      <c r="B81" s="10">
        <f>'2_FAT_Raw'!B81</f>
        <v/>
      </c>
      <c r="C81" s="10">
        <f>'2_FAT_Raw'!D81&amp;" "&amp;'2_FAT_Raw'!E81</f>
        <v/>
      </c>
      <c r="D81" s="10">
        <f>'2_FAT_Raw'!F81</f>
        <v/>
      </c>
      <c r="E81" s="11">
        <f>'2_FAT_Raw'!G81</f>
        <v/>
      </c>
      <c r="F81" s="10">
        <f>'1_Rules'!$D$6</f>
        <v/>
      </c>
      <c r="G81" s="11">
        <f>F81-E81</f>
        <v/>
      </c>
      <c r="H81" s="12">
        <f>G81/F81</f>
        <v/>
      </c>
      <c r="I81" s="10">
        <f>IF(E81&gt;F81,"FAIL","PASS")</f>
        <v/>
      </c>
      <c r="J81" s="10">
        <f>IF(AND(B81="retest",OR(D81="90_BEP",D81="100")),E81,"")</f>
        <v/>
      </c>
    </row>
    <row r="82">
      <c r="A82" s="10">
        <f>'2_FAT_Raw'!A82</f>
        <v/>
      </c>
      <c r="B82" s="10">
        <f>'2_FAT_Raw'!B82</f>
        <v/>
      </c>
      <c r="C82" s="10">
        <f>'2_FAT_Raw'!D82&amp;" "&amp;'2_FAT_Raw'!E82</f>
        <v/>
      </c>
      <c r="D82" s="10">
        <f>'2_FAT_Raw'!F82</f>
        <v/>
      </c>
      <c r="E82" s="11">
        <f>'2_FAT_Raw'!G82</f>
        <v/>
      </c>
      <c r="F82" s="10">
        <f>'1_Rules'!$D$6</f>
        <v/>
      </c>
      <c r="G82" s="11">
        <f>F82-E82</f>
        <v/>
      </c>
      <c r="H82" s="12">
        <f>G82/F82</f>
        <v/>
      </c>
      <c r="I82" s="10">
        <f>IF(E82&gt;F82,"FAIL","PASS")</f>
        <v/>
      </c>
      <c r="J82" s="10">
        <f>IF(AND(B82="retest",OR(D82="90_BEP",D82="100")),E82,"")</f>
        <v/>
      </c>
    </row>
    <row r="83">
      <c r="A83" s="10">
        <f>'2_FAT_Raw'!A83</f>
        <v/>
      </c>
      <c r="B83" s="10">
        <f>'2_FAT_Raw'!B83</f>
        <v/>
      </c>
      <c r="C83" s="10">
        <f>'2_FAT_Raw'!D83&amp;" "&amp;'2_FAT_Raw'!E83</f>
        <v/>
      </c>
      <c r="D83" s="10">
        <f>'2_FAT_Raw'!F83</f>
        <v/>
      </c>
      <c r="E83" s="11">
        <f>'2_FAT_Raw'!G83</f>
        <v/>
      </c>
      <c r="F83" s="10">
        <f>'1_Rules'!$D$6</f>
        <v/>
      </c>
      <c r="G83" s="11">
        <f>F83-E83</f>
        <v/>
      </c>
      <c r="H83" s="12">
        <f>G83/F83</f>
        <v/>
      </c>
      <c r="I83" s="10">
        <f>IF(E83&gt;F83,"FAIL","PASS")</f>
        <v/>
      </c>
      <c r="J83" s="10">
        <f>IF(AND(B83="retest",OR(D83="90_BEP",D83="100")),E83,"")</f>
        <v/>
      </c>
    </row>
    <row r="84">
      <c r="A84" s="10">
        <f>'2_FAT_Raw'!A84</f>
        <v/>
      </c>
      <c r="B84" s="10">
        <f>'2_FAT_Raw'!B84</f>
        <v/>
      </c>
      <c r="C84" s="10">
        <f>'2_FAT_Raw'!D84&amp;" "&amp;'2_FAT_Raw'!E84</f>
        <v/>
      </c>
      <c r="D84" s="10">
        <f>'2_FAT_Raw'!F84</f>
        <v/>
      </c>
      <c r="E84" s="11">
        <f>'2_FAT_Raw'!G84</f>
        <v/>
      </c>
      <c r="F84" s="10">
        <f>'1_Rules'!$D$6</f>
        <v/>
      </c>
      <c r="G84" s="11">
        <f>F84-E84</f>
        <v/>
      </c>
      <c r="H84" s="12">
        <f>G84/F84</f>
        <v/>
      </c>
      <c r="I84" s="10">
        <f>IF(E84&gt;F84,"FAIL","PASS")</f>
        <v/>
      </c>
      <c r="J84" s="10">
        <f>IF(AND(B84="retest",OR(D84="90_BEP",D84="100")),E84,"")</f>
        <v/>
      </c>
    </row>
    <row r="85">
      <c r="A85" s="10">
        <f>'2_FAT_Raw'!A85</f>
        <v/>
      </c>
      <c r="B85" s="10">
        <f>'2_FAT_Raw'!B85</f>
        <v/>
      </c>
      <c r="C85" s="10">
        <f>'2_FAT_Raw'!D85&amp;" "&amp;'2_FAT_Raw'!E85</f>
        <v/>
      </c>
      <c r="D85" s="10">
        <f>'2_FAT_Raw'!F85</f>
        <v/>
      </c>
      <c r="E85" s="11">
        <f>'2_FAT_Raw'!G85</f>
        <v/>
      </c>
      <c r="F85" s="10">
        <f>'1_Rules'!$D$6</f>
        <v/>
      </c>
      <c r="G85" s="11">
        <f>F85-E85</f>
        <v/>
      </c>
      <c r="H85" s="12">
        <f>G85/F85</f>
        <v/>
      </c>
      <c r="I85" s="10">
        <f>IF(E85&gt;F85,"FAIL","PASS")</f>
        <v/>
      </c>
      <c r="J85" s="10">
        <f>IF(AND(B85="retest",OR(D85="90_BEP",D85="100")),E85,"")</f>
        <v/>
      </c>
    </row>
    <row r="86">
      <c r="A86" s="10">
        <f>'2_FAT_Raw'!A86</f>
        <v/>
      </c>
      <c r="B86" s="10">
        <f>'2_FAT_Raw'!B86</f>
        <v/>
      </c>
      <c r="C86" s="10">
        <f>'2_FAT_Raw'!D86&amp;" "&amp;'2_FAT_Raw'!E86</f>
        <v/>
      </c>
      <c r="D86" s="10">
        <f>'2_FAT_Raw'!F86</f>
        <v/>
      </c>
      <c r="E86" s="11">
        <f>'2_FAT_Raw'!G86</f>
        <v/>
      </c>
      <c r="F86" s="10">
        <f>'1_Rules'!$D$6</f>
        <v/>
      </c>
      <c r="G86" s="11">
        <f>F86-E86</f>
        <v/>
      </c>
      <c r="H86" s="12">
        <f>G86/F86</f>
        <v/>
      </c>
      <c r="I86" s="10">
        <f>IF(E86&gt;F86,"FAIL","PASS")</f>
        <v/>
      </c>
      <c r="J86" s="10">
        <f>IF(AND(B86="retest",OR(D86="90_BEP",D86="100")),E86,"")</f>
        <v/>
      </c>
    </row>
    <row r="87">
      <c r="A87" s="10">
        <f>'2_FAT_Raw'!A87</f>
        <v/>
      </c>
      <c r="B87" s="10">
        <f>'2_FAT_Raw'!B87</f>
        <v/>
      </c>
      <c r="C87" s="10">
        <f>'2_FAT_Raw'!D87&amp;" "&amp;'2_FAT_Raw'!E87</f>
        <v/>
      </c>
      <c r="D87" s="10">
        <f>'2_FAT_Raw'!F87</f>
        <v/>
      </c>
      <c r="E87" s="11">
        <f>'2_FAT_Raw'!G87</f>
        <v/>
      </c>
      <c r="F87" s="10">
        <f>'1_Rules'!$D$6</f>
        <v/>
      </c>
      <c r="G87" s="11">
        <f>F87-E87</f>
        <v/>
      </c>
      <c r="H87" s="12">
        <f>G87/F87</f>
        <v/>
      </c>
      <c r="I87" s="10">
        <f>IF(E87&gt;F87,"FAIL","PASS")</f>
        <v/>
      </c>
      <c r="J87" s="10">
        <f>IF(AND(B87="retest",OR(D87="90_BEP",D87="100")),E87,"")</f>
        <v/>
      </c>
    </row>
    <row r="88">
      <c r="A88" s="10">
        <f>'2_FAT_Raw'!A88</f>
        <v/>
      </c>
      <c r="B88" s="10">
        <f>'2_FAT_Raw'!B88</f>
        <v/>
      </c>
      <c r="C88" s="10">
        <f>'2_FAT_Raw'!D88&amp;" "&amp;'2_FAT_Raw'!E88</f>
        <v/>
      </c>
      <c r="D88" s="10">
        <f>'2_FAT_Raw'!F88</f>
        <v/>
      </c>
      <c r="E88" s="11">
        <f>'2_FAT_Raw'!G88</f>
        <v/>
      </c>
      <c r="F88" s="10">
        <f>'1_Rules'!$D$6</f>
        <v/>
      </c>
      <c r="G88" s="11">
        <f>F88-E88</f>
        <v/>
      </c>
      <c r="H88" s="12">
        <f>G88/F88</f>
        <v/>
      </c>
      <c r="I88" s="10">
        <f>IF(E88&gt;F88,"FAIL","PASS")</f>
        <v/>
      </c>
      <c r="J88" s="10">
        <f>IF(AND(B88="retest",OR(D88="90_BEP",D88="100")),E88,"")</f>
        <v/>
      </c>
    </row>
    <row r="89">
      <c r="A89" s="10">
        <f>'2_FAT_Raw'!A89</f>
        <v/>
      </c>
      <c r="B89" s="10">
        <f>'2_FAT_Raw'!B89</f>
        <v/>
      </c>
      <c r="C89" s="10">
        <f>'2_FAT_Raw'!D89&amp;" "&amp;'2_FAT_Raw'!E89</f>
        <v/>
      </c>
      <c r="D89" s="10">
        <f>'2_FAT_Raw'!F89</f>
        <v/>
      </c>
      <c r="E89" s="11">
        <f>'2_FAT_Raw'!G89</f>
        <v/>
      </c>
      <c r="F89" s="10">
        <f>'1_Rules'!$D$6</f>
        <v/>
      </c>
      <c r="G89" s="11">
        <f>F89-E89</f>
        <v/>
      </c>
      <c r="H89" s="12">
        <f>G89/F89</f>
        <v/>
      </c>
      <c r="I89" s="10">
        <f>IF(E89&gt;F89,"FAIL","PASS")</f>
        <v/>
      </c>
      <c r="J89" s="10">
        <f>IF(AND(B89="retest",OR(D89="90_BEP",D89="100")),E89,"")</f>
        <v/>
      </c>
    </row>
    <row r="90">
      <c r="A90" s="10">
        <f>'2_FAT_Raw'!A90</f>
        <v/>
      </c>
      <c r="B90" s="10">
        <f>'2_FAT_Raw'!B90</f>
        <v/>
      </c>
      <c r="C90" s="10">
        <f>'2_FAT_Raw'!D90&amp;" "&amp;'2_FAT_Raw'!E90</f>
        <v/>
      </c>
      <c r="D90" s="10">
        <f>'2_FAT_Raw'!F90</f>
        <v/>
      </c>
      <c r="E90" s="11">
        <f>'2_FAT_Raw'!G90</f>
        <v/>
      </c>
      <c r="F90" s="10">
        <f>'1_Rules'!$D$6</f>
        <v/>
      </c>
      <c r="G90" s="11">
        <f>F90-E90</f>
        <v/>
      </c>
      <c r="H90" s="12">
        <f>G90/F90</f>
        <v/>
      </c>
      <c r="I90" s="10">
        <f>IF(E90&gt;F90,"FAIL","PASS")</f>
        <v/>
      </c>
      <c r="J90" s="10">
        <f>IF(AND(B90="retest",OR(D90="90_BEP",D90="100")),E90,"")</f>
        <v/>
      </c>
    </row>
    <row r="91">
      <c r="A91" s="10">
        <f>'2_FAT_Raw'!A91</f>
        <v/>
      </c>
      <c r="B91" s="10">
        <f>'2_FAT_Raw'!B91</f>
        <v/>
      </c>
      <c r="C91" s="10">
        <f>'2_FAT_Raw'!D91&amp;" "&amp;'2_FAT_Raw'!E91</f>
        <v/>
      </c>
      <c r="D91" s="10">
        <f>'2_FAT_Raw'!F91</f>
        <v/>
      </c>
      <c r="E91" s="11">
        <f>'2_FAT_Raw'!G91</f>
        <v/>
      </c>
      <c r="F91" s="10">
        <f>'1_Rules'!$D$6</f>
        <v/>
      </c>
      <c r="G91" s="11">
        <f>F91-E91</f>
        <v/>
      </c>
      <c r="H91" s="12">
        <f>G91/F91</f>
        <v/>
      </c>
      <c r="I91" s="10">
        <f>IF(E91&gt;F91,"FAIL","PASS")</f>
        <v/>
      </c>
      <c r="J91" s="10">
        <f>IF(AND(B91="retest",OR(D91="90_BEP",D91="100")),E91,"")</f>
        <v/>
      </c>
    </row>
    <row r="92">
      <c r="A92" s="10">
        <f>'2_FAT_Raw'!A92</f>
        <v/>
      </c>
      <c r="B92" s="10">
        <f>'2_FAT_Raw'!B92</f>
        <v/>
      </c>
      <c r="C92" s="10">
        <f>'2_FAT_Raw'!D92&amp;" "&amp;'2_FAT_Raw'!E92</f>
        <v/>
      </c>
      <c r="D92" s="10">
        <f>'2_FAT_Raw'!F92</f>
        <v/>
      </c>
      <c r="E92" s="11">
        <f>'2_FAT_Raw'!G92</f>
        <v/>
      </c>
      <c r="F92" s="10">
        <f>'1_Rules'!$D$6</f>
        <v/>
      </c>
      <c r="G92" s="11">
        <f>F92-E92</f>
        <v/>
      </c>
      <c r="H92" s="12">
        <f>G92/F92</f>
        <v/>
      </c>
      <c r="I92" s="10">
        <f>IF(E92&gt;F92,"FAIL","PASS")</f>
        <v/>
      </c>
      <c r="J92" s="10">
        <f>IF(AND(B92="retest",OR(D92="90_BEP",D92="100")),E92,"")</f>
        <v/>
      </c>
    </row>
    <row r="93">
      <c r="A93" s="10">
        <f>'2_FAT_Raw'!A93</f>
        <v/>
      </c>
      <c r="B93" s="10">
        <f>'2_FAT_Raw'!B93</f>
        <v/>
      </c>
      <c r="C93" s="10">
        <f>'2_FAT_Raw'!D93&amp;" "&amp;'2_FAT_Raw'!E93</f>
        <v/>
      </c>
      <c r="D93" s="10">
        <f>'2_FAT_Raw'!F93</f>
        <v/>
      </c>
      <c r="E93" s="11">
        <f>'2_FAT_Raw'!G93</f>
        <v/>
      </c>
      <c r="F93" s="10">
        <f>'1_Rules'!$D$6</f>
        <v/>
      </c>
      <c r="G93" s="11">
        <f>F93-E93</f>
        <v/>
      </c>
      <c r="H93" s="12">
        <f>G93/F93</f>
        <v/>
      </c>
      <c r="I93" s="10">
        <f>IF(E93&gt;F93,"FAIL","PASS")</f>
        <v/>
      </c>
      <c r="J93" s="10">
        <f>IF(AND(B93="retest",OR(D93="90_BEP",D93="100")),E93,"")</f>
        <v/>
      </c>
    </row>
    <row r="94">
      <c r="A94" s="10">
        <f>'2_FAT_Raw'!A94</f>
        <v/>
      </c>
      <c r="B94" s="10">
        <f>'2_FAT_Raw'!B94</f>
        <v/>
      </c>
      <c r="C94" s="10">
        <f>'2_FAT_Raw'!D94&amp;" "&amp;'2_FAT_Raw'!E94</f>
        <v/>
      </c>
      <c r="D94" s="10">
        <f>'2_FAT_Raw'!F94</f>
        <v/>
      </c>
      <c r="E94" s="11">
        <f>'2_FAT_Raw'!G94</f>
        <v/>
      </c>
      <c r="F94" s="10">
        <f>'1_Rules'!$D$6</f>
        <v/>
      </c>
      <c r="G94" s="11">
        <f>F94-E94</f>
        <v/>
      </c>
      <c r="H94" s="12">
        <f>G94/F94</f>
        <v/>
      </c>
      <c r="I94" s="10">
        <f>IF(E94&gt;F94,"FAIL","PASS")</f>
        <v/>
      </c>
      <c r="J94" s="10">
        <f>IF(AND(B94="retest",OR(D94="90_BEP",D94="100")),E94,"")</f>
        <v/>
      </c>
    </row>
    <row r="95">
      <c r="A95" s="10">
        <f>'2_FAT_Raw'!A95</f>
        <v/>
      </c>
      <c r="B95" s="10">
        <f>'2_FAT_Raw'!B95</f>
        <v/>
      </c>
      <c r="C95" s="10">
        <f>'2_FAT_Raw'!D95&amp;" "&amp;'2_FAT_Raw'!E95</f>
        <v/>
      </c>
      <c r="D95" s="10">
        <f>'2_FAT_Raw'!F95</f>
        <v/>
      </c>
      <c r="E95" s="11">
        <f>'2_FAT_Raw'!G95</f>
        <v/>
      </c>
      <c r="F95" s="10">
        <f>'1_Rules'!$D$6</f>
        <v/>
      </c>
      <c r="G95" s="11">
        <f>F95-E95</f>
        <v/>
      </c>
      <c r="H95" s="12">
        <f>G95/F95</f>
        <v/>
      </c>
      <c r="I95" s="10">
        <f>IF(E95&gt;F95,"FAIL","PASS")</f>
        <v/>
      </c>
      <c r="J95" s="10">
        <f>IF(AND(B95="retest",OR(D95="90_BEP",D95="100")),E95,"")</f>
        <v/>
      </c>
    </row>
    <row r="96">
      <c r="A96" s="10">
        <f>'2_FAT_Raw'!A96</f>
        <v/>
      </c>
      <c r="B96" s="10">
        <f>'2_FAT_Raw'!B96</f>
        <v/>
      </c>
      <c r="C96" s="10">
        <f>'2_FAT_Raw'!D96&amp;" "&amp;'2_FAT_Raw'!E96</f>
        <v/>
      </c>
      <c r="D96" s="10">
        <f>'2_FAT_Raw'!F96</f>
        <v/>
      </c>
      <c r="E96" s="11">
        <f>'2_FAT_Raw'!G96</f>
        <v/>
      </c>
      <c r="F96" s="10">
        <f>'1_Rules'!$D$6</f>
        <v/>
      </c>
      <c r="G96" s="11">
        <f>F96-E96</f>
        <v/>
      </c>
      <c r="H96" s="12">
        <f>G96/F96</f>
        <v/>
      </c>
      <c r="I96" s="10">
        <f>IF(E96&gt;F96,"FAIL","PASS")</f>
        <v/>
      </c>
      <c r="J96" s="10">
        <f>IF(AND(B96="retest",OR(D96="90_BEP",D96="100")),E96,"")</f>
        <v/>
      </c>
    </row>
    <row r="98">
      <c r="A98" s="13" t="inlineStr">
        <is>
          <t>SUMMARY (formulas)</t>
        </is>
      </c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</row>
    <row r="99">
      <c r="A99" s="13" t="inlineStr">
        <is>
          <t>Retest points evaluated</t>
        </is>
      </c>
      <c r="B99" s="14">
        <f>COUNTIF(B5:B96,"retest")</f>
        <v/>
      </c>
    </row>
    <row r="100">
      <c r="A100" s="6" t="inlineStr">
        <is>
          <t>Retest PASS</t>
        </is>
      </c>
      <c r="B100" s="14">
        <f>COUNTIFS(B5:B96,"retest",I5:I96,"PASS")</f>
        <v/>
      </c>
    </row>
    <row r="101">
      <c r="A101" s="6" t="inlineStr">
        <is>
          <t>Retest FAIL</t>
        </is>
      </c>
      <c r="B101" s="14">
        <f>COUNTIFS(B5:B96,"retest",I5:I96,"FAIL")</f>
        <v/>
      </c>
    </row>
    <row r="102">
      <c r="A102" s="6" t="inlineStr">
        <is>
          <t>Original FAIL</t>
        </is>
      </c>
      <c r="B102" s="14">
        <f>COUNTIFS(B5:B96,"original",I5:I96,"FAIL")</f>
        <v/>
      </c>
    </row>
    <row r="103">
      <c r="A103" s="6" t="inlineStr">
        <is>
          <t>Retest worst value (mm/s)</t>
        </is>
      </c>
      <c r="B103" s="14">
        <f>MAX(E65:E96)</f>
        <v/>
      </c>
    </row>
    <row r="104">
      <c r="A104" s="6" t="inlineStr">
        <is>
          <t>Best retest margin below limit (mm/s)</t>
        </is>
      </c>
      <c r="B104" s="14">
        <f>MAX(G65:G96)</f>
        <v/>
      </c>
    </row>
  </sheetData>
  <conditionalFormatting sqref="I5:I96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0" customWidth="1" min="4" max="4"/>
    <col width="15" customWidth="1" min="5" max="5"/>
    <col width="11" customWidth="1" min="6" max="6"/>
    <col width="9" customWidth="1" min="7" max="7"/>
    <col width="10" customWidth="1" min="8" max="8"/>
    <col width="16" customWidth="1" min="9" max="9"/>
    <col width="52" customWidth="1" min="10" max="10"/>
    <col width="24" customWidth="1" min="11" max="11"/>
  </cols>
  <sheetData>
    <row r="1">
      <c r="A1" s="1" t="inlineStr">
        <is>
          <t>DISCRETE-FREQUENCY CHECK vs VR-002 (2.5 mm/s peak)</t>
        </is>
      </c>
    </row>
    <row r="2">
      <c r="A2" s="2" t="inlineStr">
        <is>
          <t>CAVEAT A2: source file carries no original/retest phase tag and point naming differs from FAT sheet — verdicts are provisional claims.</t>
        </is>
      </c>
    </row>
    <row r="4">
      <c r="A4" s="5" t="inlineStr">
        <is>
          <t>Event ID</t>
        </is>
      </c>
      <c r="B4" s="5" t="inlineStr">
        <is>
          <t>Point</t>
        </is>
      </c>
      <c r="C4" s="5" t="inlineStr">
        <is>
          <t>Flow</t>
        </is>
      </c>
      <c r="D4" s="5" t="inlineStr">
        <is>
          <t>Freq (Hz)</t>
        </is>
      </c>
      <c r="E4" s="5" t="inlineStr">
        <is>
          <t>Amplitude (mm/s)</t>
        </is>
      </c>
      <c r="F4" s="5" t="inlineStr">
        <is>
          <t>Order</t>
        </is>
      </c>
      <c r="G4" s="5" t="inlineStr">
        <is>
          <t>Limit</t>
        </is>
      </c>
      <c r="H4" s="5" t="inlineStr">
        <is>
          <t>Margin</t>
        </is>
      </c>
      <c r="I4" s="5" t="inlineStr">
        <is>
          <t>Provisional verdict</t>
        </is>
      </c>
      <c r="J4" s="5" t="inlineStr">
        <is>
          <t>Technician annotation</t>
        </is>
      </c>
      <c r="K4" s="5" t="inlineStr">
        <is>
          <t>Source row</t>
        </is>
      </c>
    </row>
    <row r="5">
      <c r="A5" s="7" t="inlineStr">
        <is>
          <t>SP-001</t>
        </is>
      </c>
      <c r="B5" s="7" t="inlineStr">
        <is>
          <t>PMP_DE_H</t>
        </is>
      </c>
      <c r="C5" s="7" t="inlineStr">
        <is>
          <t>100</t>
        </is>
      </c>
      <c r="D5" s="7" t="n">
        <v>49.663</v>
      </c>
      <c r="E5" s="7" t="n">
        <v>1.997</v>
      </c>
      <c r="F5" s="7" t="inlineStr">
        <is>
          <t>1X</t>
        </is>
      </c>
      <c r="G5" s="10">
        <f>'1_Rules'!$D$7</f>
        <v/>
      </c>
      <c r="H5" s="10">
        <f>G5-E5</f>
        <v/>
      </c>
      <c r="I5" s="10">
        <f>IF(E5&gt;G5,"EXCEEDS","within")</f>
        <v/>
      </c>
      <c r="J5" s="6" t="inlineStr">
        <is>
          <t>Shaft rotational speed - observed</t>
        </is>
      </c>
      <c r="K5" s="6" t="inlineStr">
        <is>
          <t>fat_spectral_events.csv row 2</t>
        </is>
      </c>
    </row>
    <row r="6">
      <c r="A6" s="7" t="inlineStr">
        <is>
          <t>SP-002</t>
        </is>
      </c>
      <c r="B6" s="7" t="inlineStr">
        <is>
          <t>PMP_DE_H</t>
        </is>
      </c>
      <c r="C6" s="7" t="inlineStr">
        <is>
          <t>100</t>
        </is>
      </c>
      <c r="D6" s="7" t="n">
        <v>99.337</v>
      </c>
      <c r="E6" s="7" t="n">
        <v>0.874</v>
      </c>
      <c r="F6" s="7" t="inlineStr">
        <is>
          <t>2X</t>
        </is>
      </c>
      <c r="G6" s="10">
        <f>'1_Rules'!$D$7</f>
        <v/>
      </c>
      <c r="H6" s="10">
        <f>G6-E6</f>
        <v/>
      </c>
      <c r="I6" s="10">
        <f>IF(E6&gt;G6,"EXCEEDS","within")</f>
        <v/>
      </c>
      <c r="J6" s="6" t="inlineStr">
        <is>
          <t>Misalignment indicator - observed</t>
        </is>
      </c>
      <c r="K6" s="6" t="inlineStr">
        <is>
          <t>fat_spectral_events.csv row 3</t>
        </is>
      </c>
    </row>
    <row r="7">
      <c r="A7" s="7" t="inlineStr">
        <is>
          <t>SP-003</t>
        </is>
      </c>
      <c r="B7" s="7" t="inlineStr">
        <is>
          <t>PMP_DE_H</t>
        </is>
      </c>
      <c r="C7" s="7" t="inlineStr">
        <is>
          <t>100</t>
        </is>
      </c>
      <c r="D7" s="7" t="n">
        <v>148.99</v>
      </c>
      <c r="E7" s="7" t="n">
        <v>0.218</v>
      </c>
      <c r="F7" s="7" t="inlineStr">
        <is>
          <t>3X</t>
        </is>
      </c>
      <c r="G7" s="10">
        <f>'1_Rules'!$D$7</f>
        <v/>
      </c>
      <c r="H7" s="10">
        <f>G7-E7</f>
        <v/>
      </c>
      <c r="I7" s="10">
        <f>IF(E7&gt;G7,"EXCEEDS","within")</f>
        <v/>
      </c>
      <c r="J7" s="6" t="inlineStr">
        <is>
          <t>observed harmonic</t>
        </is>
      </c>
      <c r="K7" s="6" t="inlineStr">
        <is>
          <t>fat_spectral_events.csv row 4</t>
        </is>
      </c>
    </row>
    <row r="8">
      <c r="A8" s="7" t="inlineStr">
        <is>
          <t>SP-004</t>
        </is>
      </c>
      <c r="B8" s="7" t="inlineStr">
        <is>
          <t>PMP_DE_H</t>
        </is>
      </c>
      <c r="C8" s="7" t="inlineStr">
        <is>
          <t>100</t>
        </is>
      </c>
      <c r="D8" s="7" t="n">
        <v>298</v>
      </c>
      <c r="E8" s="7" t="n">
        <v>0.707</v>
      </c>
      <c r="F8" s="7" t="inlineStr">
        <is>
          <t>BPF (6X)</t>
        </is>
      </c>
      <c r="G8" s="10">
        <f>'1_Rules'!$D$7</f>
        <v/>
      </c>
      <c r="H8" s="10">
        <f>G8-E8</f>
        <v/>
      </c>
      <c r="I8" s="10">
        <f>IF(E8&gt;G8,"EXCEEDS","within")</f>
        <v/>
      </c>
      <c r="J8" s="6" t="inlineStr">
        <is>
          <t>Blade pass frequency - observed</t>
        </is>
      </c>
      <c r="K8" s="6" t="inlineStr">
        <is>
          <t>fat_spectral_events.csv row 5</t>
        </is>
      </c>
    </row>
    <row r="9">
      <c r="A9" s="7" t="inlineStr">
        <is>
          <t>SP-005</t>
        </is>
      </c>
      <c r="B9" s="7" t="inlineStr">
        <is>
          <t>PMP_DE_H</t>
        </is>
      </c>
      <c r="C9" s="7" t="inlineStr">
        <is>
          <t>100</t>
        </is>
      </c>
      <c r="D9" s="7" t="n">
        <v>347.663</v>
      </c>
      <c r="E9" s="7" t="n">
        <v>0.125</v>
      </c>
      <c r="F9" s="7" t="inlineStr">
        <is>
          <t>BPF+1X</t>
        </is>
      </c>
      <c r="G9" s="10">
        <f>'1_Rules'!$D$7</f>
        <v/>
      </c>
      <c r="H9" s="10">
        <f>G9-E9</f>
        <v/>
      </c>
      <c r="I9" s="10">
        <f>IF(E9&gt;G9,"EXCEEDS","within")</f>
        <v/>
      </c>
      <c r="J9" s="6" t="inlineStr">
        <is>
          <t>BPF sideband</t>
        </is>
      </c>
      <c r="K9" s="6" t="inlineStr">
        <is>
          <t>fat_spectral_events.csv row 6</t>
        </is>
      </c>
    </row>
    <row r="10">
      <c r="A10" s="7" t="inlineStr">
        <is>
          <t>SP-006</t>
        </is>
      </c>
      <c r="B10" s="7" t="inlineStr">
        <is>
          <t>PMP_DE_H</t>
        </is>
      </c>
      <c r="C10" s="7" t="inlineStr">
        <is>
          <t>100</t>
        </is>
      </c>
      <c r="D10" s="7" t="n">
        <v>248.337</v>
      </c>
      <c r="E10" s="7" t="n">
        <v>0.094</v>
      </c>
      <c r="F10" s="7" t="inlineStr">
        <is>
          <t>BPF-1X</t>
        </is>
      </c>
      <c r="G10" s="10">
        <f>'1_Rules'!$D$7</f>
        <v/>
      </c>
      <c r="H10" s="10">
        <f>G10-E10</f>
        <v/>
      </c>
      <c r="I10" s="10">
        <f>IF(E10&gt;G10,"EXCEEDS","within")</f>
        <v/>
      </c>
      <c r="J10" s="6" t="inlineStr">
        <is>
          <t>BPF sideband</t>
        </is>
      </c>
      <c r="K10" s="6" t="inlineStr">
        <is>
          <t>fat_spectral_events.csv row 7</t>
        </is>
      </c>
    </row>
    <row r="11">
      <c r="A11" s="7" t="inlineStr">
        <is>
          <t>SP-007</t>
        </is>
      </c>
      <c r="B11" s="7" t="inlineStr">
        <is>
          <t>PMP_DE_H</t>
        </is>
      </c>
      <c r="C11" s="7" t="inlineStr">
        <is>
          <t>100</t>
        </is>
      </c>
      <c r="D11" s="7" t="n">
        <v>596</v>
      </c>
      <c r="E11" s="7" t="n">
        <v>0.156</v>
      </c>
      <c r="F11" s="7" t="inlineStr">
        <is>
          <t>2xBPF</t>
        </is>
      </c>
      <c r="G11" s="10">
        <f>'1_Rules'!$D$7</f>
        <v/>
      </c>
      <c r="H11" s="10">
        <f>G11-E11</f>
        <v/>
      </c>
      <c r="I11" s="10">
        <f>IF(E11&gt;G11,"EXCEEDS","within")</f>
        <v/>
      </c>
      <c r="J11" s="6" t="inlineStr">
        <is>
          <t>Second harmonic of BPF</t>
        </is>
      </c>
      <c r="K11" s="6" t="inlineStr">
        <is>
          <t>fat_spectral_events.csv row 8</t>
        </is>
      </c>
    </row>
    <row r="12">
      <c r="A12" s="7" t="inlineStr">
        <is>
          <t>SP-008</t>
        </is>
      </c>
      <c r="B12" s="7" t="inlineStr">
        <is>
          <t>PMP_DE_H</t>
        </is>
      </c>
      <c r="C12" s="7" t="inlineStr">
        <is>
          <t>110</t>
        </is>
      </c>
      <c r="D12" s="7" t="n">
        <v>49.663</v>
      </c>
      <c r="E12" s="7" t="n">
        <v>2.85</v>
      </c>
      <c r="F12" s="7" t="inlineStr">
        <is>
          <t>1X</t>
        </is>
      </c>
      <c r="G12" s="10">
        <f>'1_Rules'!$D$7</f>
        <v/>
      </c>
      <c r="H12" s="10">
        <f>G12-E12</f>
        <v/>
      </c>
      <c r="I12" s="10">
        <f>IF(E12&gt;G12,"EXCEEDS","within")</f>
        <v/>
      </c>
      <c r="J12" s="6" t="inlineStr">
        <is>
          <t>observed - high flow hydraulic loads</t>
        </is>
      </c>
      <c r="K12" s="6" t="inlineStr">
        <is>
          <t>fat_spectral_events.csv row 9</t>
        </is>
      </c>
    </row>
    <row r="13">
      <c r="A13" s="7" t="inlineStr">
        <is>
          <t>SP-009</t>
        </is>
      </c>
      <c r="B13" s="7" t="inlineStr">
        <is>
          <t>PMP_DE_H</t>
        </is>
      </c>
      <c r="C13" s="7" t="inlineStr">
        <is>
          <t>110</t>
        </is>
      </c>
      <c r="D13" s="7" t="n">
        <v>99.337</v>
      </c>
      <c r="E13" s="7" t="n">
        <v>1.695</v>
      </c>
      <c r="F13" s="7" t="inlineStr">
        <is>
          <t>2X</t>
        </is>
      </c>
      <c r="G13" s="10">
        <f>'1_Rules'!$D$7</f>
        <v/>
      </c>
      <c r="H13" s="10">
        <f>G13-E13</f>
        <v/>
      </c>
      <c r="I13" s="10">
        <f>IF(E13&gt;G13,"EXCEEDS","within")</f>
        <v/>
      </c>
      <c r="J13" s="6" t="inlineStr">
        <is>
          <t>observed 2X suggests increased radial load</t>
        </is>
      </c>
      <c r="K13" s="6" t="inlineStr">
        <is>
          <t>fat_spectral_events.csv row 10</t>
        </is>
      </c>
    </row>
    <row r="14">
      <c r="A14" s="7" t="inlineStr">
        <is>
          <t>SP-010</t>
        </is>
      </c>
      <c r="B14" s="7" t="inlineStr">
        <is>
          <t>PMP_DE_H</t>
        </is>
      </c>
      <c r="C14" s="7" t="inlineStr">
        <is>
          <t>110</t>
        </is>
      </c>
      <c r="D14" s="7" t="n">
        <v>148.99</v>
      </c>
      <c r="E14" s="7" t="n">
        <v>0.499</v>
      </c>
      <c r="F14" s="7" t="inlineStr">
        <is>
          <t>3X</t>
        </is>
      </c>
      <c r="G14" s="10">
        <f>'1_Rules'!$D$7</f>
        <v/>
      </c>
      <c r="H14" s="10">
        <f>G14-E14</f>
        <v/>
      </c>
      <c r="I14" s="10">
        <f>IF(E14&gt;G14,"EXCEEDS","within")</f>
        <v/>
      </c>
      <c r="J14" s="6" t="inlineStr">
        <is>
          <t>observed harmonic</t>
        </is>
      </c>
      <c r="K14" s="6" t="inlineStr">
        <is>
          <t>fat_spectral_events.csv row 11</t>
        </is>
      </c>
    </row>
    <row r="15">
      <c r="A15" s="7" t="inlineStr">
        <is>
          <t>SP-011</t>
        </is>
      </c>
      <c r="B15" s="7" t="inlineStr">
        <is>
          <t>PMP_DE_H</t>
        </is>
      </c>
      <c r="C15" s="7" t="inlineStr">
        <is>
          <t>110</t>
        </is>
      </c>
      <c r="D15" s="7" t="n">
        <v>298</v>
      </c>
      <c r="E15" s="7" t="n">
        <v>2.964</v>
      </c>
      <c r="F15" s="7" t="inlineStr">
        <is>
          <t>BPF (6X)</t>
        </is>
      </c>
      <c r="G15" s="10">
        <f>'1_Rules'!$D$7</f>
        <v/>
      </c>
      <c r="H15" s="10">
        <f>G15-E15</f>
        <v/>
      </c>
      <c r="I15" s="10">
        <f>IF(E15&gt;G15,"EXCEEDS","within")</f>
        <v/>
      </c>
      <c r="J15" s="6" t="inlineStr">
        <is>
          <t>observed - high flow cavitation/turbulence at volute</t>
        </is>
      </c>
      <c r="K15" s="6" t="inlineStr">
        <is>
          <t>fat_spectral_events.csv row 12</t>
        </is>
      </c>
    </row>
    <row r="16">
      <c r="A16" s="7" t="inlineStr">
        <is>
          <t>SP-012</t>
        </is>
      </c>
      <c r="B16" s="7" t="inlineStr">
        <is>
          <t>PMP_DE_H</t>
        </is>
      </c>
      <c r="C16" s="7" t="inlineStr">
        <is>
          <t>110</t>
        </is>
      </c>
      <c r="D16" s="7" t="n">
        <v>347.663</v>
      </c>
      <c r="E16" s="7" t="n">
        <v>0.749</v>
      </c>
      <c r="F16" s="7" t="inlineStr">
        <is>
          <t>BPF+1X</t>
        </is>
      </c>
      <c r="G16" s="10">
        <f>'1_Rules'!$D$7</f>
        <v/>
      </c>
      <c r="H16" s="10">
        <f>G16-E16</f>
        <v/>
      </c>
      <c r="I16" s="10">
        <f>IF(E16&gt;G16,"EXCEEDS","within")</f>
        <v/>
      </c>
      <c r="J16" s="6" t="inlineStr">
        <is>
          <t>observed sideband - modulated BPF</t>
        </is>
      </c>
      <c r="K16" s="6" t="inlineStr">
        <is>
          <t>fat_spectral_events.csv row 13</t>
        </is>
      </c>
    </row>
    <row r="17">
      <c r="A17" s="7" t="inlineStr">
        <is>
          <t>SP-013</t>
        </is>
      </c>
      <c r="B17" s="7" t="inlineStr">
        <is>
          <t>PMP_DE_H</t>
        </is>
      </c>
      <c r="C17" s="7" t="inlineStr">
        <is>
          <t>110</t>
        </is>
      </c>
      <c r="D17" s="7" t="n">
        <v>248.337</v>
      </c>
      <c r="E17" s="7" t="n">
        <v>0.676</v>
      </c>
      <c r="F17" s="7" t="inlineStr">
        <is>
          <t>BPF-1X</t>
        </is>
      </c>
      <c r="G17" s="10">
        <f>'1_Rules'!$D$7</f>
        <v/>
      </c>
      <c r="H17" s="10">
        <f>G17-E17</f>
        <v/>
      </c>
      <c r="I17" s="10">
        <f>IF(E17&gt;G17,"EXCEEDS","within")</f>
        <v/>
      </c>
      <c r="J17" s="6" t="inlineStr">
        <is>
          <t>observed sideband - modulated BPF</t>
        </is>
      </c>
      <c r="K17" s="6" t="inlineStr">
        <is>
          <t>fat_spectral_events.csv row 14</t>
        </is>
      </c>
    </row>
    <row r="18">
      <c r="A18" s="7" t="inlineStr">
        <is>
          <t>SP-014</t>
        </is>
      </c>
      <c r="B18" s="7" t="inlineStr">
        <is>
          <t>PMP_DE_H</t>
        </is>
      </c>
      <c r="C18" s="7" t="inlineStr">
        <is>
          <t>110</t>
        </is>
      </c>
      <c r="D18" s="7" t="n">
        <v>596</v>
      </c>
      <c r="E18" s="7" t="n">
        <v>0.946</v>
      </c>
      <c r="F18" s="7" t="inlineStr">
        <is>
          <t>2xBPF</t>
        </is>
      </c>
      <c r="G18" s="10">
        <f>'1_Rules'!$D$7</f>
        <v/>
      </c>
      <c r="H18" s="10">
        <f>G18-E18</f>
        <v/>
      </c>
      <c r="I18" s="10">
        <f>IF(E18&gt;G18,"EXCEEDS","within")</f>
        <v/>
      </c>
      <c r="J18" s="6" t="inlineStr">
        <is>
          <t>observed second harmonic of BPF</t>
        </is>
      </c>
      <c r="K18" s="6" t="inlineStr">
        <is>
          <t>fat_spectral_events.csv row 15</t>
        </is>
      </c>
    </row>
    <row r="19">
      <c r="A19" s="7" t="inlineStr">
        <is>
          <t>SP-015</t>
        </is>
      </c>
      <c r="B19" s="7" t="inlineStr">
        <is>
          <t>PMP_DE_H</t>
        </is>
      </c>
      <c r="C19" s="7" t="inlineStr">
        <is>
          <t>110</t>
        </is>
      </c>
      <c r="D19" s="7" t="n">
        <v>198.663</v>
      </c>
      <c r="E19" s="7" t="n">
        <v>0.291</v>
      </c>
      <c r="F19" s="7" t="inlineStr">
        <is>
          <t>4X</t>
        </is>
      </c>
      <c r="G19" s="10">
        <f>'1_Rules'!$D$7</f>
        <v/>
      </c>
      <c r="H19" s="10">
        <f>G19-E19</f>
        <v/>
      </c>
      <c r="I19" s="10">
        <f>IF(E19&gt;G19,"EXCEEDS","within")</f>
        <v/>
      </c>
      <c r="J19" s="6" t="inlineStr">
        <is>
          <t>observed harmonic</t>
        </is>
      </c>
      <c r="K19" s="6" t="inlineStr">
        <is>
          <t>fat_spectral_events.csv row 16</t>
        </is>
      </c>
    </row>
    <row r="20">
      <c r="A20" s="7" t="inlineStr">
        <is>
          <t>SP-016</t>
        </is>
      </c>
      <c r="B20" s="7" t="inlineStr">
        <is>
          <t>PMP_DE_H</t>
        </is>
      </c>
      <c r="C20" s="7" t="inlineStr">
        <is>
          <t>90_BEP</t>
        </is>
      </c>
      <c r="D20" s="7" t="n">
        <v>49.663</v>
      </c>
      <c r="E20" s="7" t="n">
        <v>1.508</v>
      </c>
      <c r="F20" s="7" t="inlineStr">
        <is>
          <t>1X</t>
        </is>
      </c>
      <c r="G20" s="10">
        <f>'1_Rules'!$D$7</f>
        <v/>
      </c>
      <c r="H20" s="10">
        <f>G20-E20</f>
        <v/>
      </c>
      <c r="I20" s="10">
        <f>IF(E20&gt;G20,"EXCEEDS","within")</f>
        <v/>
      </c>
      <c r="J20" s="6" t="inlineStr">
        <is>
          <t>Lowest 1X at BEP - balanced hydraulic load</t>
        </is>
      </c>
      <c r="K20" s="6" t="inlineStr">
        <is>
          <t>fat_spectral_events.csv row 17</t>
        </is>
      </c>
    </row>
    <row r="21">
      <c r="A21" s="7" t="inlineStr">
        <is>
          <t>SP-017</t>
        </is>
      </c>
      <c r="B21" s="7" t="inlineStr">
        <is>
          <t>PMP_DE_H</t>
        </is>
      </c>
      <c r="C21" s="7" t="inlineStr">
        <is>
          <t>90_BEP</t>
        </is>
      </c>
      <c r="D21" s="7" t="n">
        <v>99.337</v>
      </c>
      <c r="E21" s="7" t="n">
        <v>0.541</v>
      </c>
      <c r="F21" s="7" t="inlineStr">
        <is>
          <t>2X</t>
        </is>
      </c>
      <c r="G21" s="10">
        <f>'1_Rules'!$D$7</f>
        <v/>
      </c>
      <c r="H21" s="10">
        <f>G21-E21</f>
        <v/>
      </c>
      <c r="I21" s="10">
        <f>IF(E21&gt;G21,"EXCEEDS","within")</f>
        <v/>
      </c>
      <c r="J21" s="6" t="inlineStr">
        <is>
          <t>Low 2X - good alignment indication</t>
        </is>
      </c>
      <c r="K21" s="6" t="inlineStr">
        <is>
          <t>fat_spectral_events.csv row 18</t>
        </is>
      </c>
    </row>
    <row r="22">
      <c r="A22" s="7" t="inlineStr">
        <is>
          <t>SP-018</t>
        </is>
      </c>
      <c r="B22" s="7" t="inlineStr">
        <is>
          <t>PMP_DE_H</t>
        </is>
      </c>
      <c r="C22" s="7" t="inlineStr">
        <is>
          <t>90_BEP</t>
        </is>
      </c>
      <c r="D22" s="7" t="n">
        <v>298</v>
      </c>
      <c r="E22" s="7" t="n">
        <v>0.426</v>
      </c>
      <c r="F22" s="7" t="inlineStr">
        <is>
          <t>BPF (6X)</t>
        </is>
      </c>
      <c r="G22" s="10">
        <f>'1_Rules'!$D$7</f>
        <v/>
      </c>
      <c r="H22" s="10">
        <f>G22-E22</f>
        <v/>
      </c>
      <c r="I22" s="10">
        <f>IF(E22&gt;G22,"EXCEEDS","within")</f>
        <v/>
      </c>
      <c r="J22" s="6" t="inlineStr">
        <is>
          <t>Minimum BPF at BEP - optimal impeller/volute interaction</t>
        </is>
      </c>
      <c r="K22" s="6" t="inlineStr">
        <is>
          <t>fat_spectral_events.csv row 19</t>
        </is>
      </c>
    </row>
    <row r="23">
      <c r="A23" s="7" t="inlineStr">
        <is>
          <t>SP-019</t>
        </is>
      </c>
      <c r="B23" s="7" t="inlineStr">
        <is>
          <t>PMP_DE_H</t>
        </is>
      </c>
      <c r="C23" s="7" t="inlineStr">
        <is>
          <t>90_BEP</t>
        </is>
      </c>
      <c r="D23" s="7" t="n">
        <v>347.663</v>
      </c>
      <c r="E23" s="7" t="n">
        <v>0.062</v>
      </c>
      <c r="F23" s="7" t="inlineStr">
        <is>
          <t>BPF+1X</t>
        </is>
      </c>
      <c r="G23" s="10">
        <f>'1_Rules'!$D$7</f>
        <v/>
      </c>
      <c r="H23" s="10">
        <f>G23-E23</f>
        <v/>
      </c>
      <c r="I23" s="10">
        <f>IF(E23&gt;G23,"EXCEEDS","within")</f>
        <v/>
      </c>
      <c r="J23" s="6" t="inlineStr">
        <is>
          <t>Minimal sideband</t>
        </is>
      </c>
      <c r="K23" s="6" t="inlineStr">
        <is>
          <t>fat_spectral_events.csv row 20</t>
        </is>
      </c>
    </row>
    <row r="24">
      <c r="A24" s="7" t="inlineStr">
        <is>
          <t>SP-020</t>
        </is>
      </c>
      <c r="B24" s="7" t="inlineStr">
        <is>
          <t>PMP_DE_H</t>
        </is>
      </c>
      <c r="C24" s="7" t="inlineStr">
        <is>
          <t>90_BEP</t>
        </is>
      </c>
      <c r="D24" s="7" t="n">
        <v>248.337</v>
      </c>
      <c r="E24" s="7" t="n">
        <v>0.052</v>
      </c>
      <c r="F24" s="7" t="inlineStr">
        <is>
          <t>BPF-1X</t>
        </is>
      </c>
      <c r="G24" s="10">
        <f>'1_Rules'!$D$7</f>
        <v/>
      </c>
      <c r="H24" s="10">
        <f>G24-E24</f>
        <v/>
      </c>
      <c r="I24" s="10">
        <f>IF(E24&gt;G24,"EXCEEDS","within")</f>
        <v/>
      </c>
      <c r="J24" s="6" t="inlineStr">
        <is>
          <t>Minimal sideband</t>
        </is>
      </c>
      <c r="K24" s="6" t="inlineStr">
        <is>
          <t>fat_spectral_events.csv row 21</t>
        </is>
      </c>
    </row>
    <row r="25">
      <c r="A25" s="7" t="inlineStr">
        <is>
          <t>SP-021</t>
        </is>
      </c>
      <c r="B25" s="7" t="inlineStr">
        <is>
          <t>PMP_DE_H</t>
        </is>
      </c>
      <c r="C25" s="7" t="inlineStr">
        <is>
          <t>90_BEP</t>
        </is>
      </c>
      <c r="D25" s="7" t="n">
        <v>596</v>
      </c>
      <c r="E25" s="7" t="n">
        <v>0.083</v>
      </c>
      <c r="F25" s="7" t="inlineStr">
        <is>
          <t>2xBPF</t>
        </is>
      </c>
      <c r="G25" s="10">
        <f>'1_Rules'!$D$7</f>
        <v/>
      </c>
      <c r="H25" s="10">
        <f>G25-E25</f>
        <v/>
      </c>
      <c r="I25" s="10">
        <f>IF(E25&gt;G25,"EXCEEDS","within")</f>
        <v/>
      </c>
      <c r="J25" s="6" t="inlineStr">
        <is>
          <t>observed</t>
        </is>
      </c>
      <c r="K25" s="6" t="inlineStr">
        <is>
          <t>fat_spectral_events.csv row 22</t>
        </is>
      </c>
    </row>
    <row r="26">
      <c r="A26" s="7" t="inlineStr">
        <is>
          <t>SP-022</t>
        </is>
      </c>
      <c r="B26" s="7" t="inlineStr">
        <is>
          <t>PMP_DE_H</t>
        </is>
      </c>
      <c r="C26" s="7" t="inlineStr">
        <is>
          <t>60</t>
        </is>
      </c>
      <c r="D26" s="7" t="n">
        <v>49.663</v>
      </c>
      <c r="E26" s="7" t="n">
        <v>2.579</v>
      </c>
      <c r="F26" s="7" t="inlineStr">
        <is>
          <t>1X</t>
        </is>
      </c>
      <c r="G26" s="10">
        <f>'1_Rules'!$D$7</f>
        <v/>
      </c>
      <c r="H26" s="10">
        <f>G26-E26</f>
        <v/>
      </c>
      <c r="I26" s="10">
        <f>IF(E26&gt;G26,"EXCEEDS","within")</f>
        <v/>
      </c>
      <c r="J26" s="6" t="inlineStr">
        <is>
          <t>observed - hydraulic instability at low flow</t>
        </is>
      </c>
      <c r="K26" s="6" t="inlineStr">
        <is>
          <t>fat_spectral_events.csv row 23</t>
        </is>
      </c>
    </row>
    <row r="27">
      <c r="A27" s="7" t="inlineStr">
        <is>
          <t>SP-023</t>
        </is>
      </c>
      <c r="B27" s="7" t="inlineStr">
        <is>
          <t>PMP_DE_H</t>
        </is>
      </c>
      <c r="C27" s="7" t="inlineStr">
        <is>
          <t>60</t>
        </is>
      </c>
      <c r="D27" s="7" t="n">
        <v>99.337</v>
      </c>
      <c r="E27" s="7" t="n">
        <v>1.258</v>
      </c>
      <c r="F27" s="7" t="inlineStr">
        <is>
          <t>2X</t>
        </is>
      </c>
      <c r="G27" s="10">
        <f>'1_Rules'!$D$7</f>
        <v/>
      </c>
      <c r="H27" s="10">
        <f>G27-E27</f>
        <v/>
      </c>
      <c r="I27" s="10">
        <f>IF(E27&gt;G27,"EXCEEDS","within")</f>
        <v/>
      </c>
      <c r="J27" s="6" t="inlineStr">
        <is>
          <t>observed - possible shaft deflection from radial thrust</t>
        </is>
      </c>
      <c r="K27" s="6" t="inlineStr">
        <is>
          <t>fat_spectral_events.csv row 24</t>
        </is>
      </c>
    </row>
    <row r="28">
      <c r="A28" s="7" t="inlineStr">
        <is>
          <t>SP-024</t>
        </is>
      </c>
      <c r="B28" s="7" t="inlineStr">
        <is>
          <t>PMP_DE_H</t>
        </is>
      </c>
      <c r="C28" s="7" t="inlineStr">
        <is>
          <t>60</t>
        </is>
      </c>
      <c r="D28" s="7" t="n">
        <v>298</v>
      </c>
      <c r="E28" s="7" t="n">
        <v>1.591</v>
      </c>
      <c r="F28" s="7" t="inlineStr">
        <is>
          <t>BPF (6X)</t>
        </is>
      </c>
      <c r="G28" s="10">
        <f>'1_Rules'!$D$7</f>
        <v/>
      </c>
      <c r="H28" s="10">
        <f>G28-E28</f>
        <v/>
      </c>
      <c r="I28" s="10">
        <f>IF(E28&gt;G28,"EXCEEDS","within")</f>
        <v/>
      </c>
      <c r="J28" s="6" t="inlineStr">
        <is>
          <t>observed BPF - recirculation effects</t>
        </is>
      </c>
      <c r="K28" s="6" t="inlineStr">
        <is>
          <t>fat_spectral_events.csv row 25</t>
        </is>
      </c>
    </row>
    <row r="29">
      <c r="A29" s="7" t="inlineStr">
        <is>
          <t>SP-025</t>
        </is>
      </c>
      <c r="B29" s="7" t="inlineStr">
        <is>
          <t>PMP_DE_H</t>
        </is>
      </c>
      <c r="C29" s="7" t="inlineStr">
        <is>
          <t>60</t>
        </is>
      </c>
      <c r="D29" s="7" t="n">
        <v>347.663</v>
      </c>
      <c r="E29" s="7" t="n">
        <v>0.395</v>
      </c>
      <c r="F29" s="7" t="inlineStr">
        <is>
          <t>BPF+1X</t>
        </is>
      </c>
      <c r="G29" s="10">
        <f>'1_Rules'!$D$7</f>
        <v/>
      </c>
      <c r="H29" s="10">
        <f>G29-E29</f>
        <v/>
      </c>
      <c r="I29" s="10">
        <f>IF(E29&gt;G29,"EXCEEDS","within")</f>
        <v/>
      </c>
      <c r="J29" s="6" t="inlineStr">
        <is>
          <t>Modulated sideband</t>
        </is>
      </c>
      <c r="K29" s="6" t="inlineStr">
        <is>
          <t>fat_spectral_events.csv row 26</t>
        </is>
      </c>
    </row>
    <row r="30">
      <c r="A30" s="7" t="inlineStr">
        <is>
          <t>SP-026</t>
        </is>
      </c>
      <c r="B30" s="7" t="inlineStr">
        <is>
          <t>PMP_DE_H</t>
        </is>
      </c>
      <c r="C30" s="7" t="inlineStr">
        <is>
          <t>60</t>
        </is>
      </c>
      <c r="D30" s="7" t="n">
        <v>248.337</v>
      </c>
      <c r="E30" s="7" t="n">
        <v>0.354</v>
      </c>
      <c r="F30" s="7" t="inlineStr">
        <is>
          <t>BPF-1X</t>
        </is>
      </c>
      <c r="G30" s="10">
        <f>'1_Rules'!$D$7</f>
        <v/>
      </c>
      <c r="H30" s="10">
        <f>G30-E30</f>
        <v/>
      </c>
      <c r="I30" s="10">
        <f>IF(E30&gt;G30,"EXCEEDS","within")</f>
        <v/>
      </c>
      <c r="J30" s="6" t="inlineStr">
        <is>
          <t>Modulated sideband</t>
        </is>
      </c>
      <c r="K30" s="6" t="inlineStr">
        <is>
          <t>fat_spectral_events.csv row 27</t>
        </is>
      </c>
    </row>
    <row r="31">
      <c r="A31" s="7" t="inlineStr">
        <is>
          <t>SP-027</t>
        </is>
      </c>
      <c r="B31" s="7" t="inlineStr">
        <is>
          <t>PMP_DE_H</t>
        </is>
      </c>
      <c r="C31" s="7" t="inlineStr">
        <is>
          <t>60</t>
        </is>
      </c>
      <c r="D31" s="7" t="n">
        <v>596</v>
      </c>
      <c r="E31" s="7" t="n">
        <v>0.426</v>
      </c>
      <c r="F31" s="7" t="inlineStr">
        <is>
          <t>2xBPF</t>
        </is>
      </c>
      <c r="G31" s="10">
        <f>'1_Rules'!$D$7</f>
        <v/>
      </c>
      <c r="H31" s="10">
        <f>G31-E31</f>
        <v/>
      </c>
      <c r="I31" s="10">
        <f>IF(E31&gt;G31,"EXCEEDS","within")</f>
        <v/>
      </c>
      <c r="J31" s="6" t="inlineStr">
        <is>
          <t>observed</t>
        </is>
      </c>
      <c r="K31" s="6" t="inlineStr">
        <is>
          <t>fat_spectral_events.csv row 28</t>
        </is>
      </c>
    </row>
    <row r="32">
      <c r="A32" s="7" t="inlineStr">
        <is>
          <t>SP-028</t>
        </is>
      </c>
      <c r="B32" s="7" t="inlineStr">
        <is>
          <t>PNDE_H</t>
        </is>
      </c>
      <c r="C32" s="7" t="inlineStr">
        <is>
          <t>100</t>
        </is>
      </c>
      <c r="D32" s="7" t="n">
        <v>49.663</v>
      </c>
      <c r="E32" s="7" t="n">
        <v>1.747</v>
      </c>
      <c r="F32" s="7" t="inlineStr">
        <is>
          <t>1X</t>
        </is>
      </c>
      <c r="G32" s="10">
        <f>'1_Rules'!$D$7</f>
        <v/>
      </c>
      <c r="H32" s="10">
        <f>G32-E32</f>
        <v/>
      </c>
      <c r="I32" s="10">
        <f>IF(E32&gt;G32,"EXCEEDS","within")</f>
        <v/>
      </c>
      <c r="J32" s="6" t="inlineStr">
        <is>
          <t>observed shaft speed component</t>
        </is>
      </c>
      <c r="K32" s="6" t="inlineStr">
        <is>
          <t>fat_spectral_events.csv row 29</t>
        </is>
      </c>
    </row>
    <row r="33">
      <c r="A33" s="7" t="inlineStr">
        <is>
          <t>SP-029</t>
        </is>
      </c>
      <c r="B33" s="7" t="inlineStr">
        <is>
          <t>PNDE_H</t>
        </is>
      </c>
      <c r="C33" s="7" t="inlineStr">
        <is>
          <t>100</t>
        </is>
      </c>
      <c r="D33" s="7" t="n">
        <v>99.337</v>
      </c>
      <c r="E33" s="7" t="n">
        <v>0.738</v>
      </c>
      <c r="F33" s="7" t="inlineStr">
        <is>
          <t>2X</t>
        </is>
      </c>
      <c r="G33" s="10">
        <f>'1_Rules'!$D$7</f>
        <v/>
      </c>
      <c r="H33" s="10">
        <f>G33-E33</f>
        <v/>
      </c>
      <c r="I33" s="10">
        <f>IF(E33&gt;G33,"EXCEEDS","within")</f>
        <v/>
      </c>
      <c r="J33" s="6" t="inlineStr">
        <is>
          <t>observed</t>
        </is>
      </c>
      <c r="K33" s="6" t="inlineStr">
        <is>
          <t>fat_spectral_events.csv row 30</t>
        </is>
      </c>
    </row>
    <row r="34">
      <c r="A34" s="7" t="inlineStr">
        <is>
          <t>SP-030</t>
        </is>
      </c>
      <c r="B34" s="7" t="inlineStr">
        <is>
          <t>PNDE_H</t>
        </is>
      </c>
      <c r="C34" s="7" t="inlineStr">
        <is>
          <t>100</t>
        </is>
      </c>
      <c r="D34" s="7" t="n">
        <v>298</v>
      </c>
      <c r="E34" s="7" t="n">
        <v>0.541</v>
      </c>
      <c r="F34" s="7" t="inlineStr">
        <is>
          <t>BPF (6X)</t>
        </is>
      </c>
      <c r="G34" s="10">
        <f>'1_Rules'!$D$7</f>
        <v/>
      </c>
      <c r="H34" s="10">
        <f>G34-E34</f>
        <v/>
      </c>
      <c r="I34" s="10">
        <f>IF(E34&gt;G34,"EXCEEDS","within")</f>
        <v/>
      </c>
      <c r="J34" s="6" t="inlineStr">
        <is>
          <t>observed</t>
        </is>
      </c>
      <c r="K34" s="6" t="inlineStr">
        <is>
          <t>fat_spectral_events.csv row 31</t>
        </is>
      </c>
    </row>
    <row r="35">
      <c r="A35" s="7" t="inlineStr">
        <is>
          <t>SP-031</t>
        </is>
      </c>
      <c r="B35" s="7" t="inlineStr">
        <is>
          <t>PNDE_H</t>
        </is>
      </c>
      <c r="C35" s="7" t="inlineStr">
        <is>
          <t>100</t>
        </is>
      </c>
      <c r="D35" s="7" t="n">
        <v>596</v>
      </c>
      <c r="E35" s="7" t="n">
        <v>0.114</v>
      </c>
      <c r="F35" s="7" t="inlineStr">
        <is>
          <t>2xBPF</t>
        </is>
      </c>
      <c r="G35" s="10">
        <f>'1_Rules'!$D$7</f>
        <v/>
      </c>
      <c r="H35" s="10">
        <f>G35-E35</f>
        <v/>
      </c>
      <c r="I35" s="10">
        <f>IF(E35&gt;G35,"EXCEEDS","within")</f>
        <v/>
      </c>
      <c r="J35" s="6" t="inlineStr">
        <is>
          <t>observed</t>
        </is>
      </c>
      <c r="K35" s="6" t="inlineStr">
        <is>
          <t>fat_spectral_events.csv row 32</t>
        </is>
      </c>
    </row>
    <row r="36">
      <c r="A36" s="7" t="inlineStr">
        <is>
          <t>SP-032</t>
        </is>
      </c>
      <c r="B36" s="7" t="inlineStr">
        <is>
          <t>PNDE_H</t>
        </is>
      </c>
      <c r="C36" s="7" t="inlineStr">
        <is>
          <t>110</t>
        </is>
      </c>
      <c r="D36" s="7" t="n">
        <v>49.663</v>
      </c>
      <c r="E36" s="7" t="n">
        <v>2.236</v>
      </c>
      <c r="F36" s="7" t="inlineStr">
        <is>
          <t>1X</t>
        </is>
      </c>
      <c r="G36" s="10">
        <f>'1_Rules'!$D$7</f>
        <v/>
      </c>
      <c r="H36" s="10">
        <f>G36-E36</f>
        <v/>
      </c>
      <c r="I36" s="10">
        <f>IF(E36&gt;G36,"EXCEEDS","within")</f>
        <v/>
      </c>
      <c r="J36" s="6" t="inlineStr">
        <is>
          <t>observed</t>
        </is>
      </c>
      <c r="K36" s="6" t="inlineStr">
        <is>
          <t>fat_spectral_events.csv row 33</t>
        </is>
      </c>
    </row>
    <row r="37">
      <c r="A37" s="7" t="inlineStr">
        <is>
          <t>SP-033</t>
        </is>
      </c>
      <c r="B37" s="7" t="inlineStr">
        <is>
          <t>PNDE_H</t>
        </is>
      </c>
      <c r="C37" s="7" t="inlineStr">
        <is>
          <t>110</t>
        </is>
      </c>
      <c r="D37" s="7" t="n">
        <v>99.337</v>
      </c>
      <c r="E37" s="7" t="n">
        <v>1.331</v>
      </c>
      <c r="F37" s="7" t="inlineStr">
        <is>
          <t>2X</t>
        </is>
      </c>
      <c r="G37" s="10">
        <f>'1_Rules'!$D$7</f>
        <v/>
      </c>
      <c r="H37" s="10">
        <f>G37-E37</f>
        <v/>
      </c>
      <c r="I37" s="10">
        <f>IF(E37&gt;G37,"EXCEEDS","within")</f>
        <v/>
      </c>
      <c r="J37" s="6" t="inlineStr">
        <is>
          <t>observed - increased bearing load at high flow</t>
        </is>
      </c>
      <c r="K37" s="6" t="inlineStr">
        <is>
          <t>fat_spectral_events.csv row 34</t>
        </is>
      </c>
    </row>
    <row r="38">
      <c r="A38" s="7" t="inlineStr">
        <is>
          <t>SP-034</t>
        </is>
      </c>
      <c r="B38" s="7" t="inlineStr">
        <is>
          <t>PNDE_H</t>
        </is>
      </c>
      <c r="C38" s="7" t="inlineStr">
        <is>
          <t>110</t>
        </is>
      </c>
      <c r="D38" s="7" t="n">
        <v>298</v>
      </c>
      <c r="E38" s="7" t="n">
        <v>1.997</v>
      </c>
      <c r="F38" s="7" t="inlineStr">
        <is>
          <t>BPF (6X)</t>
        </is>
      </c>
      <c r="G38" s="10">
        <f>'1_Rules'!$D$7</f>
        <v/>
      </c>
      <c r="H38" s="10">
        <f>G38-E38</f>
        <v/>
      </c>
      <c r="I38" s="10">
        <f>IF(E38&gt;G38,"EXCEEDS","within")</f>
        <v/>
      </c>
      <c r="J38" s="6" t="inlineStr">
        <is>
          <t>observed - hydraulic excitation transmitted to NDE bearing</t>
        </is>
      </c>
      <c r="K38" s="6" t="inlineStr">
        <is>
          <t>fat_spectral_events.csv row 35</t>
        </is>
      </c>
    </row>
    <row r="39">
      <c r="A39" s="7" t="inlineStr">
        <is>
          <t>SP-035</t>
        </is>
      </c>
      <c r="B39" s="7" t="inlineStr">
        <is>
          <t>PNDE_H</t>
        </is>
      </c>
      <c r="C39" s="7" t="inlineStr">
        <is>
          <t>110</t>
        </is>
      </c>
      <c r="D39" s="7" t="n">
        <v>347.663</v>
      </c>
      <c r="E39" s="7" t="n">
        <v>0.541</v>
      </c>
      <c r="F39" s="7" t="inlineStr">
        <is>
          <t>BPF+1X</t>
        </is>
      </c>
      <c r="G39" s="10">
        <f>'1_Rules'!$D$7</f>
        <v/>
      </c>
      <c r="H39" s="10">
        <f>G39-E39</f>
        <v/>
      </c>
      <c r="I39" s="10">
        <f>IF(E39&gt;G39,"EXCEEDS","within")</f>
        <v/>
      </c>
      <c r="J39" s="6" t="inlineStr">
        <is>
          <t>Sideband activity</t>
        </is>
      </c>
      <c r="K39" s="6" t="inlineStr">
        <is>
          <t>fat_spectral_events.csv row 36</t>
        </is>
      </c>
    </row>
    <row r="40">
      <c r="A40" s="7" t="inlineStr">
        <is>
          <t>SP-036</t>
        </is>
      </c>
      <c r="B40" s="7" t="inlineStr">
        <is>
          <t>PNDE_H</t>
        </is>
      </c>
      <c r="C40" s="7" t="inlineStr">
        <is>
          <t>110</t>
        </is>
      </c>
      <c r="D40" s="7" t="n">
        <v>248.337</v>
      </c>
      <c r="E40" s="7" t="n">
        <v>0.489</v>
      </c>
      <c r="F40" s="7" t="inlineStr">
        <is>
          <t>BPF-1X</t>
        </is>
      </c>
      <c r="G40" s="10">
        <f>'1_Rules'!$D$7</f>
        <v/>
      </c>
      <c r="H40" s="10">
        <f>G40-E40</f>
        <v/>
      </c>
      <c r="I40" s="10">
        <f>IF(E40&gt;G40,"EXCEEDS","within")</f>
        <v/>
      </c>
      <c r="J40" s="6" t="inlineStr">
        <is>
          <t>Sideband activity</t>
        </is>
      </c>
      <c r="K40" s="6" t="inlineStr">
        <is>
          <t>fat_spectral_events.csv row 37</t>
        </is>
      </c>
    </row>
    <row r="41">
      <c r="A41" s="7" t="inlineStr">
        <is>
          <t>SP-037</t>
        </is>
      </c>
      <c r="B41" s="7" t="inlineStr">
        <is>
          <t>PNDE_H</t>
        </is>
      </c>
      <c r="C41" s="7" t="inlineStr">
        <is>
          <t>110</t>
        </is>
      </c>
      <c r="D41" s="7" t="n">
        <v>596</v>
      </c>
      <c r="E41" s="7" t="n">
        <v>0.395</v>
      </c>
      <c r="F41" s="7" t="inlineStr">
        <is>
          <t>2xBPF</t>
        </is>
      </c>
      <c r="G41" s="10">
        <f>'1_Rules'!$D$7</f>
        <v/>
      </c>
      <c r="H41" s="10">
        <f>G41-E41</f>
        <v/>
      </c>
      <c r="I41" s="10">
        <f>IF(E41&gt;G41,"EXCEEDS","within")</f>
        <v/>
      </c>
      <c r="J41" s="6" t="inlineStr">
        <is>
          <t>observed</t>
        </is>
      </c>
      <c r="K41" s="6" t="inlineStr">
        <is>
          <t>fat_spectral_events.csv row 38</t>
        </is>
      </c>
    </row>
    <row r="42">
      <c r="A42" s="7" t="inlineStr">
        <is>
          <t>SP-038</t>
        </is>
      </c>
      <c r="B42" s="7" t="inlineStr">
        <is>
          <t>PNDE_H</t>
        </is>
      </c>
      <c r="C42" s="7" t="inlineStr">
        <is>
          <t>90_BEP</t>
        </is>
      </c>
      <c r="D42" s="7" t="n">
        <v>49.663</v>
      </c>
      <c r="E42" s="7" t="n">
        <v>1.362</v>
      </c>
      <c r="F42" s="7" t="inlineStr">
        <is>
          <t>1X</t>
        </is>
      </c>
      <c r="G42" s="10">
        <f>'1_Rules'!$D$7</f>
        <v/>
      </c>
      <c r="H42" s="10">
        <f>G42-E42</f>
        <v/>
      </c>
      <c r="I42" s="10">
        <f>IF(E42&gt;G42,"EXCEEDS","within")</f>
        <v/>
      </c>
      <c r="J42" s="6" t="inlineStr">
        <is>
          <t>Minimum at BEP</t>
        </is>
      </c>
      <c r="K42" s="6" t="inlineStr">
        <is>
          <t>fat_spectral_events.csv row 39</t>
        </is>
      </c>
    </row>
    <row r="43">
      <c r="A43" s="7" t="inlineStr">
        <is>
          <t>SP-039</t>
        </is>
      </c>
      <c r="B43" s="7" t="inlineStr">
        <is>
          <t>PNDE_H</t>
        </is>
      </c>
      <c r="C43" s="7" t="inlineStr">
        <is>
          <t>90_BEP</t>
        </is>
      </c>
      <c r="D43" s="7" t="n">
        <v>99.337</v>
      </c>
      <c r="E43" s="7" t="n">
        <v>0.447</v>
      </c>
      <c r="F43" s="7" t="inlineStr">
        <is>
          <t>2X</t>
        </is>
      </c>
      <c r="G43" s="10">
        <f>'1_Rules'!$D$7</f>
        <v/>
      </c>
      <c r="H43" s="10">
        <f>G43-E43</f>
        <v/>
      </c>
      <c r="I43" s="10">
        <f>IF(E43&gt;G43,"EXCEEDS","within")</f>
        <v/>
      </c>
      <c r="J43" s="6" t="inlineStr">
        <is>
          <t>Low</t>
        </is>
      </c>
      <c r="K43" s="6" t="inlineStr">
        <is>
          <t>fat_spectral_events.csv row 40</t>
        </is>
      </c>
    </row>
    <row r="44">
      <c r="A44" s="7" t="inlineStr">
        <is>
          <t>SP-040</t>
        </is>
      </c>
      <c r="B44" s="7" t="inlineStr">
        <is>
          <t>PNDE_H</t>
        </is>
      </c>
      <c r="C44" s="7" t="inlineStr">
        <is>
          <t>90_BEP</t>
        </is>
      </c>
      <c r="D44" s="7" t="n">
        <v>298</v>
      </c>
      <c r="E44" s="7" t="n">
        <v>0.333</v>
      </c>
      <c r="F44" s="7" t="inlineStr">
        <is>
          <t>BPF (6X)</t>
        </is>
      </c>
      <c r="G44" s="10">
        <f>'1_Rules'!$D$7</f>
        <v/>
      </c>
      <c r="H44" s="10">
        <f>G44-E44</f>
        <v/>
      </c>
      <c r="I44" s="10">
        <f>IF(E44&gt;G44,"EXCEEDS","within")</f>
        <v/>
      </c>
      <c r="J44" s="6" t="inlineStr">
        <is>
          <t>Minimum at BEP</t>
        </is>
      </c>
      <c r="K44" s="6" t="inlineStr">
        <is>
          <t>fat_spectral_events.csv row 41</t>
        </is>
      </c>
    </row>
    <row r="45">
      <c r="A45" s="7" t="inlineStr">
        <is>
          <t>SP-041</t>
        </is>
      </c>
      <c r="B45" s="7" t="inlineStr">
        <is>
          <t>PNDE_H</t>
        </is>
      </c>
      <c r="C45" s="7" t="inlineStr">
        <is>
          <t>90_BEP</t>
        </is>
      </c>
      <c r="D45" s="7" t="n">
        <v>596</v>
      </c>
      <c r="E45" s="7" t="n">
        <v>0.062</v>
      </c>
      <c r="F45" s="7" t="inlineStr">
        <is>
          <t>2xBPF</t>
        </is>
      </c>
      <c r="G45" s="10">
        <f>'1_Rules'!$D$7</f>
        <v/>
      </c>
      <c r="H45" s="10">
        <f>G45-E45</f>
        <v/>
      </c>
      <c r="I45" s="10">
        <f>IF(E45&gt;G45,"EXCEEDS","within")</f>
        <v/>
      </c>
      <c r="J45" s="6" t="inlineStr">
        <is>
          <t>observed</t>
        </is>
      </c>
      <c r="K45" s="6" t="inlineStr">
        <is>
          <t>fat_spectral_events.csv row 42</t>
        </is>
      </c>
    </row>
    <row r="46">
      <c r="A46" s="7" t="inlineStr">
        <is>
          <t>SP-042</t>
        </is>
      </c>
      <c r="B46" s="7" t="inlineStr">
        <is>
          <t>PNDE_H</t>
        </is>
      </c>
      <c r="C46" s="7" t="inlineStr">
        <is>
          <t>60</t>
        </is>
      </c>
      <c r="D46" s="7" t="n">
        <v>49.663</v>
      </c>
      <c r="E46" s="7" t="n">
        <v>2.964</v>
      </c>
      <c r="F46" s="7" t="inlineStr">
        <is>
          <t>1X</t>
        </is>
      </c>
      <c r="G46" s="10">
        <f>'1_Rules'!$D$7</f>
        <v/>
      </c>
      <c r="H46" s="10">
        <f>G46-E46</f>
        <v/>
      </c>
      <c r="I46" s="10">
        <f>IF(E46&gt;G46,"EXCEEDS","within")</f>
        <v/>
      </c>
      <c r="J46" s="6" t="inlineStr">
        <is>
          <t>High - significant radial thrust at low flow</t>
        </is>
      </c>
      <c r="K46" s="6" t="inlineStr">
        <is>
          <t>fat_spectral_events.csv row 43</t>
        </is>
      </c>
    </row>
    <row r="47">
      <c r="A47" s="7" t="inlineStr">
        <is>
          <t>SP-043</t>
        </is>
      </c>
      <c r="B47" s="7" t="inlineStr">
        <is>
          <t>PNDE_H</t>
        </is>
      </c>
      <c r="C47" s="7" t="inlineStr">
        <is>
          <t>60</t>
        </is>
      </c>
      <c r="D47" s="7" t="n">
        <v>99.337</v>
      </c>
      <c r="E47" s="7" t="n">
        <v>1.529</v>
      </c>
      <c r="F47" s="7" t="inlineStr">
        <is>
          <t>2X</t>
        </is>
      </c>
      <c r="G47" s="10">
        <f>'1_Rules'!$D$7</f>
        <v/>
      </c>
      <c r="H47" s="10">
        <f>G47-E47</f>
        <v/>
      </c>
      <c r="I47" s="10">
        <f>IF(E47&gt;G47,"EXCEEDS","within")</f>
        <v/>
      </c>
      <c r="J47" s="6" t="inlineStr">
        <is>
          <t>High - shaft deflection response</t>
        </is>
      </c>
      <c r="K47" s="6" t="inlineStr">
        <is>
          <t>fat_spectral_events.csv row 44</t>
        </is>
      </c>
    </row>
    <row r="48">
      <c r="A48" s="7" t="inlineStr">
        <is>
          <t>SP-044</t>
        </is>
      </c>
      <c r="B48" s="7" t="inlineStr">
        <is>
          <t>PNDE_H</t>
        </is>
      </c>
      <c r="C48" s="7" t="inlineStr">
        <is>
          <t>60</t>
        </is>
      </c>
      <c r="D48" s="7" t="n">
        <v>298</v>
      </c>
      <c r="E48" s="7" t="n">
        <v>1.227</v>
      </c>
      <c r="F48" s="7" t="inlineStr">
        <is>
          <t>BPF (6X)</t>
        </is>
      </c>
      <c r="G48" s="10">
        <f>'1_Rules'!$D$7</f>
        <v/>
      </c>
      <c r="H48" s="10">
        <f>G48-E48</f>
        <v/>
      </c>
      <c r="I48" s="10">
        <f>IF(E48&gt;G48,"EXCEEDS","within")</f>
        <v/>
      </c>
      <c r="J48" s="6" t="inlineStr">
        <is>
          <t>observed</t>
        </is>
      </c>
      <c r="K48" s="6" t="inlineStr">
        <is>
          <t>fat_spectral_events.csv row 45</t>
        </is>
      </c>
    </row>
    <row r="49">
      <c r="A49" s="7" t="inlineStr">
        <is>
          <t>SP-045</t>
        </is>
      </c>
      <c r="B49" s="7" t="inlineStr">
        <is>
          <t>PNDE_H</t>
        </is>
      </c>
      <c r="C49" s="7" t="inlineStr">
        <is>
          <t>60</t>
        </is>
      </c>
      <c r="D49" s="7" t="n">
        <v>596</v>
      </c>
      <c r="E49" s="7" t="n">
        <v>0.302</v>
      </c>
      <c r="F49" s="7" t="inlineStr">
        <is>
          <t>2xBPF</t>
        </is>
      </c>
      <c r="G49" s="10">
        <f>'1_Rules'!$D$7</f>
        <v/>
      </c>
      <c r="H49" s="10">
        <f>G49-E49</f>
        <v/>
      </c>
      <c r="I49" s="10">
        <f>IF(E49&gt;G49,"EXCEEDS","within")</f>
        <v/>
      </c>
      <c r="J49" s="6" t="inlineStr">
        <is>
          <t>observed</t>
        </is>
      </c>
      <c r="K49" s="6" t="inlineStr">
        <is>
          <t>fat_spectral_events.csv row 46</t>
        </is>
      </c>
    </row>
    <row r="50">
      <c r="A50" s="7" t="inlineStr">
        <is>
          <t>SP-046</t>
        </is>
      </c>
      <c r="B50" s="7" t="inlineStr">
        <is>
          <t>PNDE_H</t>
        </is>
      </c>
      <c r="C50" s="7" t="inlineStr">
        <is>
          <t>60</t>
        </is>
      </c>
      <c r="D50" s="7" t="n">
        <v>347.663</v>
      </c>
      <c r="E50" s="7" t="n">
        <v>0.322</v>
      </c>
      <c r="F50" s="7" t="inlineStr">
        <is>
          <t>BPF+1X</t>
        </is>
      </c>
      <c r="G50" s="10">
        <f>'1_Rules'!$D$7</f>
        <v/>
      </c>
      <c r="H50" s="10">
        <f>G50-E50</f>
        <v/>
      </c>
      <c r="I50" s="10">
        <f>IF(E50&gt;G50,"EXCEEDS","within")</f>
        <v/>
      </c>
      <c r="J50" s="6" t="inlineStr">
        <is>
          <t>Modulated</t>
        </is>
      </c>
      <c r="K50" s="6" t="inlineStr">
        <is>
          <t>fat_spectral_events.csv row 47</t>
        </is>
      </c>
    </row>
    <row r="51">
      <c r="A51" s="7" t="inlineStr">
        <is>
          <t>SP-047</t>
        </is>
      </c>
      <c r="B51" s="7" t="inlineStr">
        <is>
          <t>MDE_H</t>
        </is>
      </c>
      <c r="C51" s="7" t="inlineStr">
        <is>
          <t>100</t>
        </is>
      </c>
      <c r="D51" s="7" t="n">
        <v>49.663</v>
      </c>
      <c r="E51" s="7" t="n">
        <v>1.643</v>
      </c>
      <c r="F51" s="7" t="inlineStr">
        <is>
          <t>1X</t>
        </is>
      </c>
      <c r="G51" s="10">
        <f>'1_Rules'!$D$7</f>
        <v/>
      </c>
      <c r="H51" s="10">
        <f>G51-E51</f>
        <v/>
      </c>
      <c r="I51" s="10">
        <f>IF(E51&gt;G51,"EXCEEDS","within")</f>
        <v/>
      </c>
      <c r="J51" s="6" t="inlineStr">
        <is>
          <t>observed</t>
        </is>
      </c>
      <c r="K51" s="6" t="inlineStr">
        <is>
          <t>fat_spectral_events.csv row 48</t>
        </is>
      </c>
    </row>
    <row r="52">
      <c r="A52" s="7" t="inlineStr">
        <is>
          <t>SP-048</t>
        </is>
      </c>
      <c r="B52" s="7" t="inlineStr">
        <is>
          <t>MDE_H</t>
        </is>
      </c>
      <c r="C52" s="7" t="inlineStr">
        <is>
          <t>100</t>
        </is>
      </c>
      <c r="D52" s="7" t="n">
        <v>99.337</v>
      </c>
      <c r="E52" s="7" t="n">
        <v>0.645</v>
      </c>
      <c r="F52" s="7" t="inlineStr">
        <is>
          <t>2X</t>
        </is>
      </c>
      <c r="G52" s="10">
        <f>'1_Rules'!$D$7</f>
        <v/>
      </c>
      <c r="H52" s="10">
        <f>G52-E52</f>
        <v/>
      </c>
      <c r="I52" s="10">
        <f>IF(E52&gt;G52,"EXCEEDS","within")</f>
        <v/>
      </c>
      <c r="J52" s="6" t="inlineStr">
        <is>
          <t>observed coupling/alignment</t>
        </is>
      </c>
      <c r="K52" s="6" t="inlineStr">
        <is>
          <t>fat_spectral_events.csv row 49</t>
        </is>
      </c>
    </row>
    <row r="53">
      <c r="A53" s="7" t="inlineStr">
        <is>
          <t>SP-049</t>
        </is>
      </c>
      <c r="B53" s="7" t="inlineStr">
        <is>
          <t>MDE_H</t>
        </is>
      </c>
      <c r="C53" s="7" t="inlineStr">
        <is>
          <t>100</t>
        </is>
      </c>
      <c r="D53" s="7" t="n">
        <v>298</v>
      </c>
      <c r="E53" s="7" t="n">
        <v>0.25</v>
      </c>
      <c r="F53" s="7" t="inlineStr">
        <is>
          <t>BPF (6X)</t>
        </is>
      </c>
      <c r="G53" s="10">
        <f>'1_Rules'!$D$7</f>
        <v/>
      </c>
      <c r="H53" s="10">
        <f>G53-E53</f>
        <v/>
      </c>
      <c r="I53" s="10">
        <f>IF(E53&gt;G53,"EXCEEDS","within")</f>
        <v/>
      </c>
      <c r="J53" s="6" t="inlineStr">
        <is>
          <t>Transmitted from pump - low</t>
        </is>
      </c>
      <c r="K53" s="6" t="inlineStr">
        <is>
          <t>fat_spectral_events.csv row 50</t>
        </is>
      </c>
    </row>
    <row r="54">
      <c r="A54" s="7" t="inlineStr">
        <is>
          <t>SP-050</t>
        </is>
      </c>
      <c r="B54" s="7" t="inlineStr">
        <is>
          <t>MDE_H</t>
        </is>
      </c>
      <c r="C54" s="7" t="inlineStr">
        <is>
          <t>110</t>
        </is>
      </c>
      <c r="D54" s="7" t="n">
        <v>49.663</v>
      </c>
      <c r="E54" s="7" t="n">
        <v>2.028</v>
      </c>
      <c r="F54" s="7" t="inlineStr">
        <is>
          <t>1X</t>
        </is>
      </c>
      <c r="G54" s="10">
        <f>'1_Rules'!$D$7</f>
        <v/>
      </c>
      <c r="H54" s="10">
        <f>G54-E54</f>
        <v/>
      </c>
      <c r="I54" s="10">
        <f>IF(E54&gt;G54,"EXCEEDS","within")</f>
        <v/>
      </c>
      <c r="J54" s="6" t="inlineStr">
        <is>
          <t>observed from increased torque load</t>
        </is>
      </c>
      <c r="K54" s="6" t="inlineStr">
        <is>
          <t>fat_spectral_events.csv row 51</t>
        </is>
      </c>
    </row>
    <row r="55">
      <c r="A55" s="7" t="inlineStr">
        <is>
          <t>SP-051</t>
        </is>
      </c>
      <c r="B55" s="7" t="inlineStr">
        <is>
          <t>MDE_H</t>
        </is>
      </c>
      <c r="C55" s="7" t="inlineStr">
        <is>
          <t>110</t>
        </is>
      </c>
      <c r="D55" s="7" t="n">
        <v>99.337</v>
      </c>
      <c r="E55" s="7" t="n">
        <v>0.946</v>
      </c>
      <c r="F55" s="7" t="inlineStr">
        <is>
          <t>2X</t>
        </is>
      </c>
      <c r="G55" s="10">
        <f>'1_Rules'!$D$7</f>
        <v/>
      </c>
      <c r="H55" s="10">
        <f>G55-E55</f>
        <v/>
      </c>
      <c r="I55" s="10">
        <f>IF(E55&gt;G55,"EXCEEDS","within")</f>
        <v/>
      </c>
      <c r="J55" s="6" t="inlineStr">
        <is>
          <t>Coupling response to increased load</t>
        </is>
      </c>
      <c r="K55" s="6" t="inlineStr">
        <is>
          <t>fat_spectral_events.csv row 52</t>
        </is>
      </c>
    </row>
    <row r="56">
      <c r="A56" s="7" t="inlineStr">
        <is>
          <t>SP-052</t>
        </is>
      </c>
      <c r="B56" s="7" t="inlineStr">
        <is>
          <t>MDE_H</t>
        </is>
      </c>
      <c r="C56" s="7" t="inlineStr">
        <is>
          <t>110</t>
        </is>
      </c>
      <c r="D56" s="7" t="n">
        <v>298</v>
      </c>
      <c r="E56" s="7" t="n">
        <v>0.489</v>
      </c>
      <c r="F56" s="7" t="inlineStr">
        <is>
          <t>BPF (6X)</t>
        </is>
      </c>
      <c r="G56" s="10">
        <f>'1_Rules'!$D$7</f>
        <v/>
      </c>
      <c r="H56" s="10">
        <f>G56-E56</f>
        <v/>
      </c>
      <c r="I56" s="10">
        <f>IF(E56&gt;G56,"EXCEEDS","within")</f>
        <v/>
      </c>
      <c r="J56" s="6" t="inlineStr">
        <is>
          <t>Transmitted hydraulic excitation</t>
        </is>
      </c>
      <c r="K56" s="6" t="inlineStr">
        <is>
          <t>fat_spectral_events.csv row 53</t>
        </is>
      </c>
    </row>
    <row r="57">
      <c r="A57" s="7" t="inlineStr">
        <is>
          <t>SP-053</t>
        </is>
      </c>
      <c r="B57" s="7" t="inlineStr">
        <is>
          <t>MDE_H</t>
        </is>
      </c>
      <c r="C57" s="7" t="inlineStr">
        <is>
          <t>90_BEP</t>
        </is>
      </c>
      <c r="D57" s="7" t="n">
        <v>49.663</v>
      </c>
      <c r="E57" s="7" t="n">
        <v>1.331</v>
      </c>
      <c r="F57" s="7" t="inlineStr">
        <is>
          <t>1X</t>
        </is>
      </c>
      <c r="G57" s="10">
        <f>'1_Rules'!$D$7</f>
        <v/>
      </c>
      <c r="H57" s="10">
        <f>G57-E57</f>
        <v/>
      </c>
      <c r="I57" s="10">
        <f>IF(E57&gt;G57,"EXCEEDS","within")</f>
        <v/>
      </c>
      <c r="J57" s="6" t="inlineStr">
        <is>
          <t>Minimum at BEP</t>
        </is>
      </c>
      <c r="K57" s="6" t="inlineStr">
        <is>
          <t>fat_spectral_events.csv row 54</t>
        </is>
      </c>
    </row>
    <row r="58">
      <c r="A58" s="7" t="inlineStr">
        <is>
          <t>SP-054</t>
        </is>
      </c>
      <c r="B58" s="7" t="inlineStr">
        <is>
          <t>MDE_H</t>
        </is>
      </c>
      <c r="C58" s="7" t="inlineStr">
        <is>
          <t>90_BEP</t>
        </is>
      </c>
      <c r="D58" s="7" t="n">
        <v>99.337</v>
      </c>
      <c r="E58" s="7" t="n">
        <v>0.426</v>
      </c>
      <c r="F58" s="7" t="inlineStr">
        <is>
          <t>2X</t>
        </is>
      </c>
      <c r="G58" s="10">
        <f>'1_Rules'!$D$7</f>
        <v/>
      </c>
      <c r="H58" s="10">
        <f>G58-E58</f>
        <v/>
      </c>
      <c r="I58" s="10">
        <f>IF(E58&gt;G58,"EXCEEDS","within")</f>
        <v/>
      </c>
      <c r="J58" s="6" t="inlineStr">
        <is>
          <t>Good</t>
        </is>
      </c>
      <c r="K58" s="6" t="inlineStr">
        <is>
          <t>fat_spectral_events.csv row 55</t>
        </is>
      </c>
    </row>
    <row r="59">
      <c r="A59" s="7" t="inlineStr">
        <is>
          <t>SP-055</t>
        </is>
      </c>
      <c r="B59" s="7" t="inlineStr">
        <is>
          <t>MDE_H</t>
        </is>
      </c>
      <c r="C59" s="7" t="inlineStr">
        <is>
          <t>90_BEP</t>
        </is>
      </c>
      <c r="D59" s="7" t="n">
        <v>298</v>
      </c>
      <c r="E59" s="7" t="n">
        <v>0.156</v>
      </c>
      <c r="F59" s="7" t="inlineStr">
        <is>
          <t>BPF (6X)</t>
        </is>
      </c>
      <c r="G59" s="10">
        <f>'1_Rules'!$D$7</f>
        <v/>
      </c>
      <c r="H59" s="10">
        <f>G59-E59</f>
        <v/>
      </c>
      <c r="I59" s="10">
        <f>IF(E59&gt;G59,"EXCEEDS","within")</f>
        <v/>
      </c>
      <c r="J59" s="6" t="inlineStr">
        <is>
          <t>Minimal transmission</t>
        </is>
      </c>
      <c r="K59" s="6" t="inlineStr">
        <is>
          <t>fat_spectral_events.csv row 56</t>
        </is>
      </c>
    </row>
    <row r="60">
      <c r="A60" s="7" t="inlineStr">
        <is>
          <t>SP-056</t>
        </is>
      </c>
      <c r="B60" s="7" t="inlineStr">
        <is>
          <t>MDE_H</t>
        </is>
      </c>
      <c r="C60" s="7" t="inlineStr">
        <is>
          <t>60</t>
        </is>
      </c>
      <c r="D60" s="7" t="n">
        <v>49.663</v>
      </c>
      <c r="E60" s="7" t="n">
        <v>1.789</v>
      </c>
      <c r="F60" s="7" t="inlineStr">
        <is>
          <t>1X</t>
        </is>
      </c>
      <c r="G60" s="10">
        <f>'1_Rules'!$D$7</f>
        <v/>
      </c>
      <c r="H60" s="10">
        <f>G60-E60</f>
        <v/>
      </c>
      <c r="I60" s="10">
        <f>IF(E60&gt;G60,"EXCEEDS","within")</f>
        <v/>
      </c>
      <c r="J60" s="6" t="inlineStr">
        <is>
          <t>Moderate increase at low flow</t>
        </is>
      </c>
      <c r="K60" s="6" t="inlineStr">
        <is>
          <t>fat_spectral_events.csv row 57</t>
        </is>
      </c>
    </row>
    <row r="61">
      <c r="A61" s="7" t="inlineStr">
        <is>
          <t>SP-057</t>
        </is>
      </c>
      <c r="B61" s="7" t="inlineStr">
        <is>
          <t>MDE_H</t>
        </is>
      </c>
      <c r="C61" s="7" t="inlineStr">
        <is>
          <t>60</t>
        </is>
      </c>
      <c r="D61" s="7" t="n">
        <v>99.337</v>
      </c>
      <c r="E61" s="7" t="n">
        <v>0.884</v>
      </c>
      <c r="F61" s="7" t="inlineStr">
        <is>
          <t>2X</t>
        </is>
      </c>
      <c r="G61" s="10">
        <f>'1_Rules'!$D$7</f>
        <v/>
      </c>
      <c r="H61" s="10">
        <f>G61-E61</f>
        <v/>
      </c>
      <c r="I61" s="10">
        <f>IF(E61&gt;G61,"EXCEEDS","within")</f>
        <v/>
      </c>
      <c r="J61" s="6" t="inlineStr">
        <is>
          <t>observed - coupling responding to radial thrust</t>
        </is>
      </c>
      <c r="K61" s="6" t="inlineStr">
        <is>
          <t>fat_spectral_events.csv row 58</t>
        </is>
      </c>
    </row>
    <row r="62">
      <c r="A62" s="7" t="inlineStr">
        <is>
          <t>SP-058</t>
        </is>
      </c>
      <c r="B62" s="7" t="inlineStr">
        <is>
          <t>MDE_H</t>
        </is>
      </c>
      <c r="C62" s="7" t="inlineStr">
        <is>
          <t>60</t>
        </is>
      </c>
      <c r="D62" s="7" t="n">
        <v>298</v>
      </c>
      <c r="E62" s="7" t="n">
        <v>0.395</v>
      </c>
      <c r="F62" s="7" t="inlineStr">
        <is>
          <t>BPF (6X)</t>
        </is>
      </c>
      <c r="G62" s="10">
        <f>'1_Rules'!$D$7</f>
        <v/>
      </c>
      <c r="H62" s="10">
        <f>G62-E62</f>
        <v/>
      </c>
      <c r="I62" s="10">
        <f>IF(E62&gt;G62,"EXCEEDS","within")</f>
        <v/>
      </c>
      <c r="J62" s="6" t="inlineStr">
        <is>
          <t>Transmitted from pump</t>
        </is>
      </c>
      <c r="K62" s="6" t="inlineStr">
        <is>
          <t>fat_spectral_events.csv row 59</t>
        </is>
      </c>
    </row>
    <row r="63">
      <c r="A63" s="7" t="inlineStr">
        <is>
          <t>SP-059</t>
        </is>
      </c>
      <c r="B63" s="7" t="inlineStr">
        <is>
          <t>MDE_A</t>
        </is>
      </c>
      <c r="C63" s="7" t="inlineStr">
        <is>
          <t>100</t>
        </is>
      </c>
      <c r="D63" s="7" t="n">
        <v>49.663</v>
      </c>
      <c r="E63" s="7" t="n">
        <v>2.756</v>
      </c>
      <c r="F63" s="7" t="inlineStr">
        <is>
          <t>1X</t>
        </is>
      </c>
      <c r="G63" s="10">
        <f>'1_Rules'!$D$7</f>
        <v/>
      </c>
      <c r="H63" s="10">
        <f>G63-E63</f>
        <v/>
      </c>
      <c r="I63" s="10">
        <f>IF(E63&gt;G63,"EXCEEDS","within")</f>
        <v/>
      </c>
      <c r="J63" s="6" t="inlineStr">
        <is>
          <t>observed axial 1X - monitor for thrust bearing wear</t>
        </is>
      </c>
      <c r="K63" s="6" t="inlineStr">
        <is>
          <t>fat_spectral_events.csv row 60</t>
        </is>
      </c>
    </row>
    <row r="64">
      <c r="A64" s="7" t="inlineStr">
        <is>
          <t>SP-060</t>
        </is>
      </c>
      <c r="B64" s="7" t="inlineStr">
        <is>
          <t>MDE_A</t>
        </is>
      </c>
      <c r="C64" s="7" t="inlineStr">
        <is>
          <t>100</t>
        </is>
      </c>
      <c r="D64" s="7" t="n">
        <v>99.337</v>
      </c>
      <c r="E64" s="7" t="n">
        <v>1.165</v>
      </c>
      <c r="F64" s="7" t="inlineStr">
        <is>
          <t>2X</t>
        </is>
      </c>
      <c r="G64" s="10">
        <f>'1_Rules'!$D$7</f>
        <v/>
      </c>
      <c r="H64" s="10">
        <f>G64-E64</f>
        <v/>
      </c>
      <c r="I64" s="10">
        <f>IF(E64&gt;G64,"EXCEEDS","within")</f>
        <v/>
      </c>
      <c r="J64" s="6" t="inlineStr">
        <is>
          <t>observed axial 2X - possible angular misalignment</t>
        </is>
      </c>
      <c r="K64" s="6" t="inlineStr">
        <is>
          <t>fat_spectral_events.csv row 61</t>
        </is>
      </c>
    </row>
    <row r="65">
      <c r="A65" s="7" t="inlineStr">
        <is>
          <t>SP-061</t>
        </is>
      </c>
      <c r="B65" s="7" t="inlineStr">
        <is>
          <t>MDE_A</t>
        </is>
      </c>
      <c r="C65" s="7" t="inlineStr">
        <is>
          <t>100</t>
        </is>
      </c>
      <c r="D65" s="7" t="n">
        <v>298</v>
      </c>
      <c r="E65" s="7" t="n">
        <v>0.364</v>
      </c>
      <c r="F65" s="7" t="inlineStr">
        <is>
          <t>BPF (6X)</t>
        </is>
      </c>
      <c r="G65" s="10">
        <f>'1_Rules'!$D$7</f>
        <v/>
      </c>
      <c r="H65" s="10">
        <f>G65-E65</f>
        <v/>
      </c>
      <c r="I65" s="10">
        <f>IF(E65&gt;G65,"EXCEEDS","within")</f>
        <v/>
      </c>
      <c r="J65" s="6" t="inlineStr">
        <is>
          <t>observed axial BPF</t>
        </is>
      </c>
      <c r="K65" s="6" t="inlineStr">
        <is>
          <t>fat_spectral_events.csv row 62</t>
        </is>
      </c>
    </row>
    <row r="66">
      <c r="A66" s="7" t="inlineStr">
        <is>
          <t>SP-062</t>
        </is>
      </c>
      <c r="B66" s="7" t="inlineStr">
        <is>
          <t>MDE_A</t>
        </is>
      </c>
      <c r="C66" s="7" t="inlineStr">
        <is>
          <t>100</t>
        </is>
      </c>
      <c r="D66" s="7" t="n">
        <v>148.99</v>
      </c>
      <c r="E66" s="7" t="n">
        <v>0.291</v>
      </c>
      <c r="F66" s="7" t="inlineStr">
        <is>
          <t>3X</t>
        </is>
      </c>
      <c r="G66" s="10">
        <f>'1_Rules'!$D$7</f>
        <v/>
      </c>
      <c r="H66" s="10">
        <f>G66-E66</f>
        <v/>
      </c>
      <c r="I66" s="10">
        <f>IF(E66&gt;G66,"EXCEEDS","within")</f>
        <v/>
      </c>
      <c r="J66" s="6" t="inlineStr">
        <is>
          <t>observed harmonic</t>
        </is>
      </c>
      <c r="K66" s="6" t="inlineStr">
        <is>
          <t>fat_spectral_events.csv row 63</t>
        </is>
      </c>
    </row>
    <row r="68">
      <c r="A68" s="13" t="inlineStr">
        <is>
          <t>Discrete exceedance count (provisional)</t>
        </is>
      </c>
      <c r="B68" s="14">
        <f>COUNTIF(I5:I66,"EXCEEDS")</f>
        <v/>
      </c>
    </row>
    <row r="69">
      <c r="A69" s="6" t="inlineStr">
        <is>
          <t>Exceedances are concentrated at 60% and 110% BEP + one axial driver event at 100% (SP-059); attribution to run phase unresolved (C-06).</t>
        </is>
      </c>
    </row>
  </sheetData>
  <conditionalFormatting sqref="I5:I66">
    <cfRule type="cellIs" priority="1" operator="equal" dxfId="0">
      <formula>"within"</formula>
    </cfRule>
    <cfRule type="cellIs" priority="2" operator="equal" dxfId="1">
      <formula>"EXCEEDS"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0" customWidth="1" min="6" max="6"/>
    <col width="44" customWidth="1" min="7" max="7"/>
    <col width="26" customWidth="1" min="8" max="8"/>
    <col width="14" customWidth="1" min="9" max="9"/>
    <col width="12" customWidth="1" min="10" max="10"/>
  </cols>
  <sheetData>
    <row r="1">
      <c r="A1" s="1" t="inlineStr">
        <is>
          <t>TRANSIENT RUN-UP / COAST-DOWN — PMP_DE_H</t>
        </is>
      </c>
    </row>
    <row r="2">
      <c r="A2" s="2" t="inlineStr">
        <is>
          <t>Source: fat_runup_coastdown.csv rows 2-50. Peak and resonance-window checks are formulas.</t>
        </is>
      </c>
    </row>
    <row r="4">
      <c r="A4" s="5" t="inlineStr">
        <is>
          <t>Phase</t>
        </is>
      </c>
      <c r="B4" s="5" t="inlineStr">
        <is>
          <t>Speed (rpm)</t>
        </is>
      </c>
      <c r="C4" s="5" t="inlineStr">
        <is>
          <t>Overall RMS (mm/s)</t>
        </is>
      </c>
      <c r="D4" s="5" t="inlineStr">
        <is>
          <t>Point</t>
        </is>
      </c>
      <c r="E4" s="5" t="inlineStr">
        <is>
          <t>Direction</t>
        </is>
      </c>
      <c r="F4" s="5" t="inlineStr">
        <is>
          <t>Elapsed (s)</t>
        </is>
      </c>
      <c r="G4" s="5" t="inlineStr">
        <is>
          <t>Operator note</t>
        </is>
      </c>
      <c r="H4" s="5" t="inlineStr">
        <is>
          <t>Source row</t>
        </is>
      </c>
      <c r="I4" s="5" t="inlineStr">
        <is>
          <t>Resonance-window flag</t>
        </is>
      </c>
      <c r="J4" s="5" t="inlineStr">
        <is>
          <t>Rated-speed flag</t>
        </is>
      </c>
    </row>
    <row r="5">
      <c r="A5" s="7" t="inlineStr">
        <is>
          <t>run-up</t>
        </is>
      </c>
      <c r="B5" s="7" t="n">
        <v>0</v>
      </c>
      <c r="C5" s="7" t="n">
        <v>0.021</v>
      </c>
      <c r="D5" s="7" t="inlineStr">
        <is>
          <t>PMP_DE_H</t>
        </is>
      </c>
      <c r="E5" s="7" t="inlineStr">
        <is>
          <t>Horizontal</t>
        </is>
      </c>
      <c r="F5" s="7" t="n">
        <v>0</v>
      </c>
      <c r="G5" s="7" t="inlineStr">
        <is>
          <t>Baseline noise floor</t>
        </is>
      </c>
      <c r="H5" s="6" t="inlineStr">
        <is>
          <t>fat_runup_coastdown.csv row 2</t>
        </is>
      </c>
      <c r="I5" s="10">
        <f>IF(AND(B5&gt;=1800,B5&lt;=2150),C5,"")</f>
        <v/>
      </c>
      <c r="J5" s="10">
        <f>IF(B5=2980,C5,"")</f>
        <v/>
      </c>
    </row>
    <row r="6">
      <c r="A6" s="7" t="inlineStr">
        <is>
          <t>run-up</t>
        </is>
      </c>
      <c r="B6" s="7" t="n">
        <v>151</v>
      </c>
      <c r="C6" s="7" t="n">
        <v>0.083</v>
      </c>
      <c r="D6" s="7" t="inlineStr">
        <is>
          <t>PMP_DE_H</t>
        </is>
      </c>
      <c r="E6" s="7" t="inlineStr">
        <is>
          <t>Horizontal</t>
        </is>
      </c>
      <c r="F6" s="7" t="n">
        <v>2</v>
      </c>
      <c r="G6" s="7" t="inlineStr">
        <is>
          <t>Initial rotation</t>
        </is>
      </c>
      <c r="H6" s="6" t="inlineStr">
        <is>
          <t>fat_runup_coastdown.csv row 3</t>
        </is>
      </c>
      <c r="I6" s="10">
        <f>IF(AND(B6&gt;=1800,B6&lt;=2150),C6,"")</f>
        <v/>
      </c>
      <c r="J6" s="10">
        <f>IF(B6=2980,C6,"")</f>
        <v/>
      </c>
    </row>
    <row r="7">
      <c r="A7" s="7" t="inlineStr">
        <is>
          <t>run-up</t>
        </is>
      </c>
      <c r="B7" s="7" t="n">
        <v>302</v>
      </c>
      <c r="C7" s="7" t="n">
        <v>0.156</v>
      </c>
      <c r="D7" s="7" t="inlineStr">
        <is>
          <t>PMP_DE_H</t>
        </is>
      </c>
      <c r="E7" s="7" t="inlineStr">
        <is>
          <t>Horizontal</t>
        </is>
      </c>
      <c r="F7" s="7" t="n">
        <v>4</v>
      </c>
      <c r="G7" s="7" t="inlineStr">
        <is>
          <t>Low speed</t>
        </is>
      </c>
      <c r="H7" s="6" t="inlineStr">
        <is>
          <t>fat_runup_coastdown.csv row 4</t>
        </is>
      </c>
      <c r="I7" s="10">
        <f>IF(AND(B7&gt;=1800,B7&lt;=2150),C7,"")</f>
        <v/>
      </c>
      <c r="J7" s="10">
        <f>IF(B7=2980,C7,"")</f>
        <v/>
      </c>
    </row>
    <row r="8">
      <c r="A8" s="7" t="inlineStr">
        <is>
          <t>run-up</t>
        </is>
      </c>
      <c r="B8" s="7" t="n">
        <v>453</v>
      </c>
      <c r="C8" s="7" t="n">
        <v>0.25</v>
      </c>
      <c r="D8" s="7" t="inlineStr">
        <is>
          <t>PMP_DE_H</t>
        </is>
      </c>
      <c r="E8" s="7" t="inlineStr">
        <is>
          <t>Horizontal</t>
        </is>
      </c>
      <c r="F8" s="7" t="n">
        <v>6</v>
      </c>
      <c r="G8" s="7" t="inlineStr">
        <is>
          <t>Increasing</t>
        </is>
      </c>
      <c r="H8" s="6" t="inlineStr">
        <is>
          <t>fat_runup_coastdown.csv row 5</t>
        </is>
      </c>
      <c r="I8" s="10">
        <f>IF(AND(B8&gt;=1800,B8&lt;=2150),C8,"")</f>
        <v/>
      </c>
      <c r="J8" s="10">
        <f>IF(B8=2980,C8,"")</f>
        <v/>
      </c>
    </row>
    <row r="9">
      <c r="A9" s="7" t="inlineStr">
        <is>
          <t>run-up</t>
        </is>
      </c>
      <c r="B9" s="7" t="n">
        <v>604.1</v>
      </c>
      <c r="C9" s="7" t="n">
        <v>0.395</v>
      </c>
      <c r="D9" s="7" t="inlineStr">
        <is>
          <t>PMP_DE_H</t>
        </is>
      </c>
      <c r="E9" s="7" t="inlineStr">
        <is>
          <t>Horizontal</t>
        </is>
      </c>
      <c r="F9" s="7" t="n">
        <v>8</v>
      </c>
      <c r="G9" s="7" t="inlineStr">
        <is>
          <t>Oil film establishing</t>
        </is>
      </c>
      <c r="H9" s="6" t="inlineStr">
        <is>
          <t>fat_runup_coastdown.csv row 6</t>
        </is>
      </c>
      <c r="I9" s="10">
        <f>IF(AND(B9&gt;=1800,B9&lt;=2150),C9,"")</f>
        <v/>
      </c>
      <c r="J9" s="10">
        <f>IF(B9=2980,C9,"")</f>
        <v/>
      </c>
    </row>
    <row r="10">
      <c r="A10" s="7" t="inlineStr">
        <is>
          <t>run-up</t>
        </is>
      </c>
      <c r="B10" s="7" t="n">
        <v>755.1</v>
      </c>
      <c r="C10" s="7" t="n">
        <v>0.541</v>
      </c>
      <c r="D10" s="7" t="inlineStr">
        <is>
          <t>PMP_DE_H</t>
        </is>
      </c>
      <c r="E10" s="7" t="inlineStr">
        <is>
          <t>Horizontal</t>
        </is>
      </c>
      <c r="F10" s="7" t="n">
        <v>10</v>
      </c>
      <c r="G10" s="7" t="inlineStr"/>
      <c r="H10" s="6" t="inlineStr">
        <is>
          <t>fat_runup_coastdown.csv row 7</t>
        </is>
      </c>
      <c r="I10" s="10">
        <f>IF(AND(B10&gt;=1800,B10&lt;=2150),C10,"")</f>
        <v/>
      </c>
      <c r="J10" s="10">
        <f>IF(B10=2980,C10,"")</f>
        <v/>
      </c>
    </row>
    <row r="11">
      <c r="A11" s="7" t="inlineStr">
        <is>
          <t>run-up</t>
        </is>
      </c>
      <c r="B11" s="7" t="n">
        <v>906.1</v>
      </c>
      <c r="C11" s="7" t="n">
        <v>0.738</v>
      </c>
      <c r="D11" s="7" t="inlineStr">
        <is>
          <t>PMP_DE_H</t>
        </is>
      </c>
      <c r="E11" s="7" t="inlineStr">
        <is>
          <t>Horizontal</t>
        </is>
      </c>
      <c r="F11" s="7" t="n">
        <v>12</v>
      </c>
      <c r="G11" s="7" t="inlineStr"/>
      <c r="H11" s="6" t="inlineStr">
        <is>
          <t>fat_runup_coastdown.csv row 8</t>
        </is>
      </c>
      <c r="I11" s="10">
        <f>IF(AND(B11&gt;=1800,B11&lt;=2150),C11,"")</f>
        <v/>
      </c>
      <c r="J11" s="10">
        <f>IF(B11=2980,C11,"")</f>
        <v/>
      </c>
    </row>
    <row r="12">
      <c r="A12" s="7" t="inlineStr">
        <is>
          <t>run-up</t>
        </is>
      </c>
      <c r="B12" s="7" t="n">
        <v>1057.1</v>
      </c>
      <c r="C12" s="7" t="n">
        <v>0.926</v>
      </c>
      <c r="D12" s="7" t="inlineStr">
        <is>
          <t>PMP_DE_H</t>
        </is>
      </c>
      <c r="E12" s="7" t="inlineStr">
        <is>
          <t>Horizontal</t>
        </is>
      </c>
      <c r="F12" s="7" t="n">
        <v>14</v>
      </c>
      <c r="G12" s="7" t="inlineStr"/>
      <c r="H12" s="6" t="inlineStr">
        <is>
          <t>fat_runup_coastdown.csv row 9</t>
        </is>
      </c>
      <c r="I12" s="10">
        <f>IF(AND(B12&gt;=1800,B12&lt;=2150),C12,"")</f>
        <v/>
      </c>
      <c r="J12" s="10">
        <f>IF(B12=2980,C12,"")</f>
        <v/>
      </c>
    </row>
    <row r="13">
      <c r="A13" s="7" t="inlineStr">
        <is>
          <t>run-up</t>
        </is>
      </c>
      <c r="B13" s="7" t="n">
        <v>1208.1</v>
      </c>
      <c r="C13" s="7" t="n">
        <v>1.186</v>
      </c>
      <c r="D13" s="7" t="inlineStr">
        <is>
          <t>PMP_DE_H</t>
        </is>
      </c>
      <c r="E13" s="7" t="inlineStr">
        <is>
          <t>Horizontal</t>
        </is>
      </c>
      <c r="F13" s="7" t="n">
        <v>16</v>
      </c>
      <c r="G13" s="7" t="inlineStr">
        <is>
          <t>Approaching fluid coupling engagement</t>
        </is>
      </c>
      <c r="H13" s="6" t="inlineStr">
        <is>
          <t>fat_runup_coastdown.csv row 10</t>
        </is>
      </c>
      <c r="I13" s="10">
        <f>IF(AND(B13&gt;=1800,B13&lt;=2150),C13,"")</f>
        <v/>
      </c>
      <c r="J13" s="10">
        <f>IF(B13=2980,C13,"")</f>
        <v/>
      </c>
    </row>
    <row r="14">
      <c r="A14" s="7" t="inlineStr">
        <is>
          <t>run-up</t>
        </is>
      </c>
      <c r="B14" s="7" t="n">
        <v>1359.1</v>
      </c>
      <c r="C14" s="7" t="n">
        <v>1.435</v>
      </c>
      <c r="D14" s="7" t="inlineStr">
        <is>
          <t>PMP_DE_H</t>
        </is>
      </c>
      <c r="E14" s="7" t="inlineStr">
        <is>
          <t>Horizontal</t>
        </is>
      </c>
      <c r="F14" s="7" t="n">
        <v>18</v>
      </c>
      <c r="G14" s="7" t="inlineStr"/>
      <c r="H14" s="6" t="inlineStr">
        <is>
          <t>fat_runup_coastdown.csv row 11</t>
        </is>
      </c>
      <c r="I14" s="10">
        <f>IF(AND(B14&gt;=1800,B14&lt;=2150),C14,"")</f>
        <v/>
      </c>
      <c r="J14" s="10">
        <f>IF(B14=2980,C14,"")</f>
        <v/>
      </c>
    </row>
    <row r="15">
      <c r="A15" s="7" t="inlineStr">
        <is>
          <t>run-up</t>
        </is>
      </c>
      <c r="B15" s="7" t="n">
        <v>1510.1</v>
      </c>
      <c r="C15" s="7" t="n">
        <v>1.789</v>
      </c>
      <c r="D15" s="7" t="inlineStr">
        <is>
          <t>PMP_DE_H</t>
        </is>
      </c>
      <c r="E15" s="7" t="inlineStr">
        <is>
          <t>Horizontal</t>
        </is>
      </c>
      <c r="F15" s="7" t="n">
        <v>20</v>
      </c>
      <c r="G15" s="7" t="inlineStr">
        <is>
          <t>Mid-speed</t>
        </is>
      </c>
      <c r="H15" s="6" t="inlineStr">
        <is>
          <t>fat_runup_coastdown.csv row 12</t>
        </is>
      </c>
      <c r="I15" s="10">
        <f>IF(AND(B15&gt;=1800,B15&lt;=2150),C15,"")</f>
        <v/>
      </c>
      <c r="J15" s="10">
        <f>IF(B15=2980,C15,"")</f>
        <v/>
      </c>
    </row>
    <row r="16">
      <c r="A16" s="7" t="inlineStr">
        <is>
          <t>run-up</t>
        </is>
      </c>
      <c r="B16" s="7" t="n">
        <v>1661.1</v>
      </c>
      <c r="C16" s="7" t="n">
        <v>2.09</v>
      </c>
      <c r="D16" s="7" t="inlineStr">
        <is>
          <t>PMP_DE_H</t>
        </is>
      </c>
      <c r="E16" s="7" t="inlineStr">
        <is>
          <t>Horizontal</t>
        </is>
      </c>
      <c r="F16" s="7" t="n">
        <v>22</v>
      </c>
      <c r="G16" s="7" t="inlineStr"/>
      <c r="H16" s="6" t="inlineStr">
        <is>
          <t>fat_runup_coastdown.csv row 13</t>
        </is>
      </c>
      <c r="I16" s="10">
        <f>IF(AND(B16&gt;=1800,B16&lt;=2150),C16,"")</f>
        <v/>
      </c>
      <c r="J16" s="10">
        <f>IF(B16=2980,C16,"")</f>
        <v/>
      </c>
    </row>
    <row r="17">
      <c r="A17" s="7" t="inlineStr">
        <is>
          <t>run-up</t>
        </is>
      </c>
      <c r="B17" s="7" t="n">
        <v>1812.2</v>
      </c>
      <c r="C17" s="7" t="n">
        <v>2.444</v>
      </c>
      <c r="D17" s="7" t="inlineStr">
        <is>
          <t>PMP_DE_H</t>
        </is>
      </c>
      <c r="E17" s="7" t="inlineStr">
        <is>
          <t>Horizontal</t>
        </is>
      </c>
      <c r="F17" s="7" t="n">
        <v>24</v>
      </c>
      <c r="G17" s="7" t="inlineStr">
        <is>
          <t>Structural resonance proximity</t>
        </is>
      </c>
      <c r="H17" s="6" t="inlineStr">
        <is>
          <t>fat_runup_coastdown.csv row 14</t>
        </is>
      </c>
      <c r="I17" s="10">
        <f>IF(AND(B17&gt;=1800,B17&lt;=2150),C17,"")</f>
        <v/>
      </c>
      <c r="J17" s="10">
        <f>IF(B17=2980,C17,"")</f>
        <v/>
      </c>
    </row>
    <row r="18">
      <c r="A18" s="7" t="inlineStr">
        <is>
          <t>run-up</t>
        </is>
      </c>
      <c r="B18" s="7" t="n">
        <v>1963.2</v>
      </c>
      <c r="C18" s="7" t="n">
        <v>2.787</v>
      </c>
      <c r="D18" s="7" t="inlineStr">
        <is>
          <t>PMP_DE_H</t>
        </is>
      </c>
      <c r="E18" s="7" t="inlineStr">
        <is>
          <t>Horizontal</t>
        </is>
      </c>
      <c r="F18" s="7" t="n">
        <v>26</v>
      </c>
      <c r="G18" s="7" t="inlineStr">
        <is>
          <t>local response feature</t>
        </is>
      </c>
      <c r="H18" s="6" t="inlineStr">
        <is>
          <t>fat_runup_coastdown.csv row 15</t>
        </is>
      </c>
      <c r="I18" s="10">
        <f>IF(AND(B18&gt;=1800,B18&lt;=2150),C18,"")</f>
        <v/>
      </c>
      <c r="J18" s="10">
        <f>IF(B18=2980,C18,"")</f>
        <v/>
      </c>
    </row>
    <row r="19">
      <c r="A19" s="7" t="inlineStr">
        <is>
          <t>run-up</t>
        </is>
      </c>
      <c r="B19" s="7" t="n">
        <v>2114.2</v>
      </c>
      <c r="C19" s="7" t="n">
        <v>2.517</v>
      </c>
      <c r="D19" s="7" t="inlineStr">
        <is>
          <t>PMP_DE_H</t>
        </is>
      </c>
      <c r="E19" s="7" t="inlineStr">
        <is>
          <t>Horizontal</t>
        </is>
      </c>
      <c r="F19" s="7" t="n">
        <v>28</v>
      </c>
      <c r="G19" s="7" t="inlineStr">
        <is>
          <t>Past resonance - declining</t>
        </is>
      </c>
      <c r="H19" s="6" t="inlineStr">
        <is>
          <t>fat_runup_coastdown.csv row 16</t>
        </is>
      </c>
      <c r="I19" s="10">
        <f>IF(AND(B19&gt;=1800,B19&lt;=2150),C19,"")</f>
        <v/>
      </c>
      <c r="J19" s="10">
        <f>IF(B19=2980,C19,"")</f>
        <v/>
      </c>
    </row>
    <row r="20">
      <c r="A20" s="7" t="inlineStr">
        <is>
          <t>run-up</t>
        </is>
      </c>
      <c r="B20" s="7" t="n">
        <v>2265.2</v>
      </c>
      <c r="C20" s="7" t="n">
        <v>2.267</v>
      </c>
      <c r="D20" s="7" t="inlineStr">
        <is>
          <t>PMP_DE_H</t>
        </is>
      </c>
      <c r="E20" s="7" t="inlineStr">
        <is>
          <t>Horizontal</t>
        </is>
      </c>
      <c r="F20" s="7" t="n">
        <v>30</v>
      </c>
      <c r="G20" s="7" t="inlineStr"/>
      <c r="H20" s="6" t="inlineStr">
        <is>
          <t>fat_runup_coastdown.csv row 17</t>
        </is>
      </c>
      <c r="I20" s="10">
        <f>IF(AND(B20&gt;=1800,B20&lt;=2150),C20,"")</f>
        <v/>
      </c>
      <c r="J20" s="10">
        <f>IF(B20=2980,C20,"")</f>
        <v/>
      </c>
    </row>
    <row r="21">
      <c r="A21" s="7" t="inlineStr">
        <is>
          <t>run-up</t>
        </is>
      </c>
      <c r="B21" s="7" t="n">
        <v>2416.2</v>
      </c>
      <c r="C21" s="7" t="n">
        <v>2.402</v>
      </c>
      <c r="D21" s="7" t="inlineStr">
        <is>
          <t>PMP_DE_H</t>
        </is>
      </c>
      <c r="E21" s="7" t="inlineStr">
        <is>
          <t>Horizontal</t>
        </is>
      </c>
      <c r="F21" s="7" t="n">
        <v>32</v>
      </c>
      <c r="G21" s="7" t="inlineStr">
        <is>
          <t>Minor secondary response</t>
        </is>
      </c>
      <c r="H21" s="6" t="inlineStr">
        <is>
          <t>fat_runup_coastdown.csv row 18</t>
        </is>
      </c>
      <c r="I21" s="10">
        <f>IF(AND(B21&gt;=1800,B21&lt;=2150),C21,"")</f>
        <v/>
      </c>
      <c r="J21" s="10">
        <f>IF(B21=2980,C21,"")</f>
        <v/>
      </c>
    </row>
    <row r="22">
      <c r="A22" s="7" t="inlineStr">
        <is>
          <t>run-up</t>
        </is>
      </c>
      <c r="B22" s="7" t="n">
        <v>2567.2</v>
      </c>
      <c r="C22" s="7" t="n">
        <v>2.621</v>
      </c>
      <c r="D22" s="7" t="inlineStr">
        <is>
          <t>PMP_DE_H</t>
        </is>
      </c>
      <c r="E22" s="7" t="inlineStr">
        <is>
          <t>Horizontal</t>
        </is>
      </c>
      <c r="F22" s="7" t="n">
        <v>34</v>
      </c>
      <c r="G22" s="7" t="inlineStr"/>
      <c r="H22" s="6" t="inlineStr">
        <is>
          <t>fat_runup_coastdown.csv row 19</t>
        </is>
      </c>
      <c r="I22" s="10">
        <f>IF(AND(B22&gt;=1800,B22&lt;=2150),C22,"")</f>
        <v/>
      </c>
      <c r="J22" s="10">
        <f>IF(B22=2980,C22,"")</f>
        <v/>
      </c>
    </row>
    <row r="23">
      <c r="A23" s="7" t="inlineStr">
        <is>
          <t>run-up</t>
        </is>
      </c>
      <c r="B23" s="7" t="n">
        <v>2718.2</v>
      </c>
      <c r="C23" s="7" t="n">
        <v>2.818</v>
      </c>
      <c r="D23" s="7" t="inlineStr">
        <is>
          <t>PMP_DE_H</t>
        </is>
      </c>
      <c r="E23" s="7" t="inlineStr">
        <is>
          <t>Horizontal</t>
        </is>
      </c>
      <c r="F23" s="7" t="n">
        <v>36</v>
      </c>
      <c r="G23" s="7" t="inlineStr">
        <is>
          <t>Approaching rated speed</t>
        </is>
      </c>
      <c r="H23" s="6" t="inlineStr">
        <is>
          <t>fat_runup_coastdown.csv row 20</t>
        </is>
      </c>
      <c r="I23" s="10">
        <f>IF(AND(B23&gt;=1800,B23&lt;=2150),C23,"")</f>
        <v/>
      </c>
      <c r="J23" s="10">
        <f>IF(B23=2980,C23,"")</f>
        <v/>
      </c>
    </row>
    <row r="24">
      <c r="A24" s="7" t="inlineStr">
        <is>
          <t>run-up</t>
        </is>
      </c>
      <c r="B24" s="7" t="n">
        <v>2818.9</v>
      </c>
      <c r="C24" s="7" t="n">
        <v>2.933</v>
      </c>
      <c r="D24" s="7" t="inlineStr">
        <is>
          <t>PMP_DE_H</t>
        </is>
      </c>
      <c r="E24" s="7" t="inlineStr">
        <is>
          <t>Horizontal</t>
        </is>
      </c>
      <c r="F24" s="7" t="n">
        <v>38</v>
      </c>
      <c r="G24" s="7" t="inlineStr"/>
      <c r="H24" s="6" t="inlineStr">
        <is>
          <t>fat_runup_coastdown.csv row 21</t>
        </is>
      </c>
      <c r="I24" s="10">
        <f>IF(AND(B24&gt;=1800,B24&lt;=2150),C24,"")</f>
        <v/>
      </c>
      <c r="J24" s="10">
        <f>IF(B24=2980,C24,"")</f>
        <v/>
      </c>
    </row>
    <row r="25">
      <c r="A25" s="7" t="inlineStr">
        <is>
          <t>run-up</t>
        </is>
      </c>
      <c r="B25" s="7" t="n">
        <v>2899.5</v>
      </c>
      <c r="C25" s="7" t="n">
        <v>2.891</v>
      </c>
      <c r="D25" s="7" t="inlineStr">
        <is>
          <t>PMP_DE_H</t>
        </is>
      </c>
      <c r="E25" s="7" t="inlineStr">
        <is>
          <t>Horizontal</t>
        </is>
      </c>
      <c r="F25" s="7" t="n">
        <v>40</v>
      </c>
      <c r="G25" s="7" t="inlineStr">
        <is>
          <t>Near rated</t>
        </is>
      </c>
      <c r="H25" s="6" t="inlineStr">
        <is>
          <t>fat_runup_coastdown.csv row 22</t>
        </is>
      </c>
      <c r="I25" s="10">
        <f>IF(AND(B25&gt;=1800,B25&lt;=2150),C25,"")</f>
        <v/>
      </c>
      <c r="J25" s="10">
        <f>IF(B25=2980,C25,"")</f>
        <v/>
      </c>
    </row>
    <row r="26">
      <c r="A26" s="7" t="inlineStr">
        <is>
          <t>run-up</t>
        </is>
      </c>
      <c r="B26" s="7" t="n">
        <v>2939.7</v>
      </c>
      <c r="C26" s="7" t="n">
        <v>2.922</v>
      </c>
      <c r="D26" s="7" t="inlineStr">
        <is>
          <t>PMP_DE_H</t>
        </is>
      </c>
      <c r="E26" s="7" t="inlineStr">
        <is>
          <t>Horizontal</t>
        </is>
      </c>
      <c r="F26" s="7" t="n">
        <v>42</v>
      </c>
      <c r="G26" s="7" t="inlineStr"/>
      <c r="H26" s="6" t="inlineStr">
        <is>
          <t>fat_runup_coastdown.csv row 23</t>
        </is>
      </c>
      <c r="I26" s="10">
        <f>IF(AND(B26&gt;=1800,B26&lt;=2150),C26,"")</f>
        <v/>
      </c>
      <c r="J26" s="10">
        <f>IF(B26=2980,C26,"")</f>
        <v/>
      </c>
    </row>
    <row r="27">
      <c r="A27" s="7" t="inlineStr">
        <is>
          <t>run-up</t>
        </is>
      </c>
      <c r="B27" s="7" t="n">
        <v>2969.9</v>
      </c>
      <c r="C27" s="7" t="n">
        <v>2.954</v>
      </c>
      <c r="D27" s="7" t="inlineStr">
        <is>
          <t>PMP_DE_H</t>
        </is>
      </c>
      <c r="E27" s="7" t="inlineStr">
        <is>
          <t>Horizontal</t>
        </is>
      </c>
      <c r="F27" s="7" t="n">
        <v>43.5</v>
      </c>
      <c r="G27" s="7" t="inlineStr"/>
      <c r="H27" s="6" t="inlineStr">
        <is>
          <t>fat_runup_coastdown.csv row 24</t>
        </is>
      </c>
      <c r="I27" s="10">
        <f>IF(AND(B27&gt;=1800,B27&lt;=2150),C27,"")</f>
        <v/>
      </c>
      <c r="J27" s="10">
        <f>IF(B27=2980,C27,"")</f>
        <v/>
      </c>
    </row>
    <row r="28">
      <c r="A28" s="7" t="inlineStr">
        <is>
          <t>run-up</t>
        </is>
      </c>
      <c r="B28" s="7" t="n">
        <v>2980</v>
      </c>
      <c r="C28" s="7" t="n">
        <v>2.964</v>
      </c>
      <c r="D28" s="7" t="inlineStr">
        <is>
          <t>PMP_DE_H</t>
        </is>
      </c>
      <c r="E28" s="7" t="inlineStr">
        <is>
          <t>Horizontal</t>
        </is>
      </c>
      <c r="F28" s="7" t="n">
        <v>45</v>
      </c>
      <c r="G28" s="7" t="inlineStr">
        <is>
          <t>Rated speed - steady state</t>
        </is>
      </c>
      <c r="H28" s="6" t="inlineStr">
        <is>
          <t>fat_runup_coastdown.csv row 25</t>
        </is>
      </c>
      <c r="I28" s="10">
        <f>IF(AND(B28&gt;=1800,B28&lt;=2150),C28,"")</f>
        <v/>
      </c>
      <c r="J28" s="10">
        <f>IF(B28=2980,C28,"")</f>
        <v/>
      </c>
    </row>
    <row r="29">
      <c r="A29" s="7" t="inlineStr">
        <is>
          <t>run-up</t>
        </is>
      </c>
      <c r="B29" s="7" t="n">
        <v>2980</v>
      </c>
      <c r="C29" s="7" t="n">
        <v>2.964</v>
      </c>
      <c r="D29" s="7" t="inlineStr">
        <is>
          <t>PMP_DE_H</t>
        </is>
      </c>
      <c r="E29" s="7" t="inlineStr">
        <is>
          <t>Horizontal</t>
        </is>
      </c>
      <c r="F29" s="7" t="n">
        <v>60</v>
      </c>
      <c r="G29" s="7" t="inlineStr">
        <is>
          <t>Steady state confirmed at 15s dwell</t>
        </is>
      </c>
      <c r="H29" s="6" t="inlineStr">
        <is>
          <t>fat_runup_coastdown.csv row 26</t>
        </is>
      </c>
      <c r="I29" s="10">
        <f>IF(AND(B29&gt;=1800,B29&lt;=2150),C29,"")</f>
        <v/>
      </c>
      <c r="J29" s="10">
        <f>IF(B29=2980,C29,"")</f>
        <v/>
      </c>
    </row>
    <row r="30">
      <c r="A30" s="7" t="inlineStr">
        <is>
          <t>run-up</t>
        </is>
      </c>
      <c r="B30" s="7" t="n">
        <v>2980</v>
      </c>
      <c r="C30" s="7" t="n">
        <v>2.954</v>
      </c>
      <c r="D30" s="7" t="inlineStr">
        <is>
          <t>PMP_DE_H</t>
        </is>
      </c>
      <c r="E30" s="7" t="inlineStr">
        <is>
          <t>Horizontal</t>
        </is>
      </c>
      <c r="F30" s="7" t="n">
        <v>90</v>
      </c>
      <c r="G30" s="7" t="inlineStr">
        <is>
          <t>Thermal stabilization</t>
        </is>
      </c>
      <c r="H30" s="6" t="inlineStr">
        <is>
          <t>fat_runup_coastdown.csv row 27</t>
        </is>
      </c>
      <c r="I30" s="10">
        <f>IF(AND(B30&gt;=1800,B30&lt;=2150),C30,"")</f>
        <v/>
      </c>
      <c r="J30" s="10">
        <f>IF(B30=2980,C30,"")</f>
        <v/>
      </c>
    </row>
    <row r="31">
      <c r="A31" s="7" t="inlineStr">
        <is>
          <t>run-up</t>
        </is>
      </c>
      <c r="B31" s="7" t="n">
        <v>2980</v>
      </c>
      <c r="C31" s="7" t="n">
        <v>2.964</v>
      </c>
      <c r="D31" s="7" t="inlineStr">
        <is>
          <t>PMP_DE_H</t>
        </is>
      </c>
      <c r="E31" s="7" t="inlineStr">
        <is>
          <t>Horizontal</t>
        </is>
      </c>
      <c r="F31" s="7" t="n">
        <v>120</v>
      </c>
      <c r="G31" s="7" t="inlineStr">
        <is>
          <t>Fully stabilized</t>
        </is>
      </c>
      <c r="H31" s="6" t="inlineStr">
        <is>
          <t>fat_runup_coastdown.csv row 28</t>
        </is>
      </c>
      <c r="I31" s="10">
        <f>IF(AND(B31&gt;=1800,B31&lt;=2150),C31,"")</f>
        <v/>
      </c>
      <c r="J31" s="10">
        <f>IF(B31=2980,C31,"")</f>
        <v/>
      </c>
    </row>
    <row r="32">
      <c r="A32" s="7" t="inlineStr">
        <is>
          <t>coast-down</t>
        </is>
      </c>
      <c r="B32" s="7" t="n">
        <v>2980</v>
      </c>
      <c r="C32" s="7" t="n">
        <v>2.964</v>
      </c>
      <c r="D32" s="7" t="inlineStr">
        <is>
          <t>PMP_DE_H</t>
        </is>
      </c>
      <c r="E32" s="7" t="inlineStr">
        <is>
          <t>Horizontal</t>
        </is>
      </c>
      <c r="F32" s="7" t="n">
        <v>0</v>
      </c>
      <c r="G32" s="7" t="inlineStr">
        <is>
          <t>Trip initiated</t>
        </is>
      </c>
      <c r="H32" s="6" t="inlineStr">
        <is>
          <t>fat_runup_coastdown.csv row 29</t>
        </is>
      </c>
      <c r="I32" s="10">
        <f>IF(AND(B32&gt;=1800,B32&lt;=2150),C32,"")</f>
        <v/>
      </c>
      <c r="J32" s="10">
        <f>IF(B32=2980,C32,"")</f>
        <v/>
      </c>
    </row>
    <row r="33">
      <c r="A33" s="7" t="inlineStr">
        <is>
          <t>coast-down</t>
        </is>
      </c>
      <c r="B33" s="7" t="n">
        <v>2919.6</v>
      </c>
      <c r="C33" s="7" t="n">
        <v>2.902</v>
      </c>
      <c r="D33" s="7" t="inlineStr">
        <is>
          <t>PMP_DE_H</t>
        </is>
      </c>
      <c r="E33" s="7" t="inlineStr">
        <is>
          <t>Horizontal</t>
        </is>
      </c>
      <c r="F33" s="7" t="n">
        <v>1.5</v>
      </c>
      <c r="G33" s="7" t="inlineStr">
        <is>
          <t>Decelerating</t>
        </is>
      </c>
      <c r="H33" s="6" t="inlineStr">
        <is>
          <t>fat_runup_coastdown.csv row 30</t>
        </is>
      </c>
      <c r="I33" s="10">
        <f>IF(AND(B33&gt;=1800,B33&lt;=2150),C33,"")</f>
        <v/>
      </c>
      <c r="J33" s="10">
        <f>IF(B33=2980,C33,"")</f>
        <v/>
      </c>
    </row>
    <row r="34">
      <c r="A34" s="7" t="inlineStr">
        <is>
          <t>coast-down</t>
        </is>
      </c>
      <c r="B34" s="7" t="n">
        <v>2818.9</v>
      </c>
      <c r="C34" s="7" t="n">
        <v>2.787</v>
      </c>
      <c r="D34" s="7" t="inlineStr">
        <is>
          <t>PMP_DE_H</t>
        </is>
      </c>
      <c r="E34" s="7" t="inlineStr">
        <is>
          <t>Horizontal</t>
        </is>
      </c>
      <c r="F34" s="7" t="n">
        <v>3.5</v>
      </c>
      <c r="G34" s="7" t="inlineStr"/>
      <c r="H34" s="6" t="inlineStr">
        <is>
          <t>fat_runup_coastdown.csv row 31</t>
        </is>
      </c>
      <c r="I34" s="10">
        <f>IF(AND(B34&gt;=1800,B34&lt;=2150),C34,"")</f>
        <v/>
      </c>
      <c r="J34" s="10">
        <f>IF(B34=2980,C34,"")</f>
        <v/>
      </c>
    </row>
    <row r="35">
      <c r="A35" s="7" t="inlineStr">
        <is>
          <t>coast-down</t>
        </is>
      </c>
      <c r="B35" s="7" t="n">
        <v>2718.2</v>
      </c>
      <c r="C35" s="7" t="n">
        <v>2.652</v>
      </c>
      <c r="D35" s="7" t="inlineStr">
        <is>
          <t>PMP_DE_H</t>
        </is>
      </c>
      <c r="E35" s="7" t="inlineStr">
        <is>
          <t>Horizontal</t>
        </is>
      </c>
      <c r="F35" s="7" t="n">
        <v>5.5</v>
      </c>
      <c r="G35" s="7" t="inlineStr"/>
      <c r="H35" s="6" t="inlineStr">
        <is>
          <t>fat_runup_coastdown.csv row 32</t>
        </is>
      </c>
      <c r="I35" s="10">
        <f>IF(AND(B35&gt;=1800,B35&lt;=2150),C35,"")</f>
        <v/>
      </c>
      <c r="J35" s="10">
        <f>IF(B35=2980,C35,"")</f>
        <v/>
      </c>
    </row>
    <row r="36">
      <c r="A36" s="7" t="inlineStr">
        <is>
          <t>coast-down</t>
        </is>
      </c>
      <c r="B36" s="7" t="n">
        <v>2567.2</v>
      </c>
      <c r="C36" s="7" t="n">
        <v>2.506</v>
      </c>
      <c r="D36" s="7" t="inlineStr">
        <is>
          <t>PMP_DE_H</t>
        </is>
      </c>
      <c r="E36" s="7" t="inlineStr">
        <is>
          <t>Horizontal</t>
        </is>
      </c>
      <c r="F36" s="7" t="n">
        <v>8</v>
      </c>
      <c r="G36" s="7" t="inlineStr"/>
      <c r="H36" s="6" t="inlineStr">
        <is>
          <t>fat_runup_coastdown.csv row 33</t>
        </is>
      </c>
      <c r="I36" s="10">
        <f>IF(AND(B36&gt;=1800,B36&lt;=2150),C36,"")</f>
        <v/>
      </c>
      <c r="J36" s="10">
        <f>IF(B36=2980,C36,"")</f>
        <v/>
      </c>
    </row>
    <row r="37">
      <c r="A37" s="7" t="inlineStr">
        <is>
          <t>coast-down</t>
        </is>
      </c>
      <c r="B37" s="7" t="n">
        <v>2416.2</v>
      </c>
      <c r="C37" s="7" t="n">
        <v>2.371</v>
      </c>
      <c r="D37" s="7" t="inlineStr">
        <is>
          <t>PMP_DE_H</t>
        </is>
      </c>
      <c r="E37" s="7" t="inlineStr">
        <is>
          <t>Horizontal</t>
        </is>
      </c>
      <c r="F37" s="7" t="n">
        <v>10.5</v>
      </c>
      <c r="G37" s="7" t="inlineStr"/>
      <c r="H37" s="6" t="inlineStr">
        <is>
          <t>fat_runup_coastdown.csv row 34</t>
        </is>
      </c>
      <c r="I37" s="10">
        <f>IF(AND(B37&gt;=1800,B37&lt;=2150),C37,"")</f>
        <v/>
      </c>
      <c r="J37" s="10">
        <f>IF(B37=2980,C37,"")</f>
        <v/>
      </c>
    </row>
    <row r="38">
      <c r="A38" s="7" t="inlineStr">
        <is>
          <t>coast-down</t>
        </is>
      </c>
      <c r="B38" s="7" t="n">
        <v>2265.2</v>
      </c>
      <c r="C38" s="7" t="n">
        <v>2.236</v>
      </c>
      <c r="D38" s="7" t="inlineStr">
        <is>
          <t>PMP_DE_H</t>
        </is>
      </c>
      <c r="E38" s="7" t="inlineStr">
        <is>
          <t>Horizontal</t>
        </is>
      </c>
      <c r="F38" s="7" t="n">
        <v>13</v>
      </c>
      <c r="G38" s="7" t="inlineStr"/>
      <c r="H38" s="6" t="inlineStr">
        <is>
          <t>fat_runup_coastdown.csv row 35</t>
        </is>
      </c>
      <c r="I38" s="10">
        <f>IF(AND(B38&gt;=1800,B38&lt;=2150),C38,"")</f>
        <v/>
      </c>
      <c r="J38" s="10">
        <f>IF(B38=2980,C38,"")</f>
        <v/>
      </c>
    </row>
    <row r="39">
      <c r="A39" s="7" t="inlineStr">
        <is>
          <t>coast-down</t>
        </is>
      </c>
      <c r="B39" s="7" t="n">
        <v>2114.2</v>
      </c>
      <c r="C39" s="7" t="n">
        <v>2.475</v>
      </c>
      <c r="D39" s="7" t="inlineStr">
        <is>
          <t>PMP_DE_H</t>
        </is>
      </c>
      <c r="E39" s="7" t="inlineStr">
        <is>
          <t>Horizontal</t>
        </is>
      </c>
      <c r="F39" s="7" t="n">
        <v>15.5</v>
      </c>
      <c r="G39" s="7" t="inlineStr">
        <is>
          <t>local response feature</t>
        </is>
      </c>
      <c r="H39" s="6" t="inlineStr">
        <is>
          <t>fat_runup_coastdown.csv row 36</t>
        </is>
      </c>
      <c r="I39" s="10">
        <f>IF(AND(B39&gt;=1800,B39&lt;=2150),C39,"")</f>
        <v/>
      </c>
      <c r="J39" s="10">
        <f>IF(B39=2980,C39,"")</f>
        <v/>
      </c>
    </row>
    <row r="40">
      <c r="A40" s="7" t="inlineStr">
        <is>
          <t>coast-down</t>
        </is>
      </c>
      <c r="B40" s="7" t="n">
        <v>1963.2</v>
      </c>
      <c r="C40" s="7" t="n">
        <v>2.829</v>
      </c>
      <c r="D40" s="7" t="inlineStr">
        <is>
          <t>PMP_DE_H</t>
        </is>
      </c>
      <c r="E40" s="7" t="inlineStr">
        <is>
          <t>Horizontal</t>
        </is>
      </c>
      <c r="F40" s="7" t="n">
        <v>18</v>
      </c>
      <c r="G40" s="7" t="inlineStr">
        <is>
          <t>local response feature on coast-down</t>
        </is>
      </c>
      <c r="H40" s="6" t="inlineStr">
        <is>
          <t>fat_runup_coastdown.csv row 37</t>
        </is>
      </c>
      <c r="I40" s="10">
        <f>IF(AND(B40&gt;=1800,B40&lt;=2150),C40,"")</f>
        <v/>
      </c>
      <c r="J40" s="10">
        <f>IF(B40=2980,C40,"")</f>
        <v/>
      </c>
    </row>
    <row r="41">
      <c r="A41" s="7" t="inlineStr">
        <is>
          <t>coast-down</t>
        </is>
      </c>
      <c r="B41" s="7" t="n">
        <v>1812.2</v>
      </c>
      <c r="C41" s="7" t="n">
        <v>2.402</v>
      </c>
      <c r="D41" s="7" t="inlineStr">
        <is>
          <t>PMP_DE_H</t>
        </is>
      </c>
      <c r="E41" s="7" t="inlineStr">
        <is>
          <t>Horizontal</t>
        </is>
      </c>
      <c r="F41" s="7" t="n">
        <v>20.5</v>
      </c>
      <c r="G41" s="7" t="inlineStr">
        <is>
          <t>Past resonance</t>
        </is>
      </c>
      <c r="H41" s="6" t="inlineStr">
        <is>
          <t>fat_runup_coastdown.csv row 38</t>
        </is>
      </c>
      <c r="I41" s="10">
        <f>IF(AND(B41&gt;=1800,B41&lt;=2150),C41,"")</f>
        <v/>
      </c>
      <c r="J41" s="10">
        <f>IF(B41=2980,C41,"")</f>
        <v/>
      </c>
    </row>
    <row r="42">
      <c r="A42" s="7" t="inlineStr">
        <is>
          <t>coast-down</t>
        </is>
      </c>
      <c r="B42" s="7" t="n">
        <v>1661.1</v>
      </c>
      <c r="C42" s="7" t="n">
        <v>1.924</v>
      </c>
      <c r="D42" s="7" t="inlineStr">
        <is>
          <t>PMP_DE_H</t>
        </is>
      </c>
      <c r="E42" s="7" t="inlineStr">
        <is>
          <t>Horizontal</t>
        </is>
      </c>
      <c r="F42" s="7" t="n">
        <v>23</v>
      </c>
      <c r="G42" s="7" t="inlineStr"/>
      <c r="H42" s="6" t="inlineStr">
        <is>
          <t>fat_runup_coastdown.csv row 39</t>
        </is>
      </c>
      <c r="I42" s="10">
        <f>IF(AND(B42&gt;=1800,B42&lt;=2150),C42,"")</f>
        <v/>
      </c>
      <c r="J42" s="10">
        <f>IF(B42=2980,C42,"")</f>
        <v/>
      </c>
    </row>
    <row r="43">
      <c r="A43" s="7" t="inlineStr">
        <is>
          <t>coast-down</t>
        </is>
      </c>
      <c r="B43" s="7" t="n">
        <v>1510.1</v>
      </c>
      <c r="C43" s="7" t="n">
        <v>1.581</v>
      </c>
      <c r="D43" s="7" t="inlineStr">
        <is>
          <t>PMP_DE_H</t>
        </is>
      </c>
      <c r="E43" s="7" t="inlineStr">
        <is>
          <t>Horizontal</t>
        </is>
      </c>
      <c r="F43" s="7" t="n">
        <v>25.5</v>
      </c>
      <c r="G43" s="7" t="inlineStr"/>
      <c r="H43" s="6" t="inlineStr">
        <is>
          <t>fat_runup_coastdown.csv row 40</t>
        </is>
      </c>
      <c r="I43" s="10">
        <f>IF(AND(B43&gt;=1800,B43&lt;=2150),C43,"")</f>
        <v/>
      </c>
      <c r="J43" s="10">
        <f>IF(B43=2980,C43,"")</f>
        <v/>
      </c>
    </row>
    <row r="44">
      <c r="A44" s="7" t="inlineStr">
        <is>
          <t>coast-down</t>
        </is>
      </c>
      <c r="B44" s="7" t="n">
        <v>1359.1</v>
      </c>
      <c r="C44" s="7" t="n">
        <v>1.258</v>
      </c>
      <c r="D44" s="7" t="inlineStr">
        <is>
          <t>PMP_DE_H</t>
        </is>
      </c>
      <c r="E44" s="7" t="inlineStr">
        <is>
          <t>Horizontal</t>
        </is>
      </c>
      <c r="F44" s="7" t="n">
        <v>28</v>
      </c>
      <c r="G44" s="7" t="inlineStr"/>
      <c r="H44" s="6" t="inlineStr">
        <is>
          <t>fat_runup_coastdown.csv row 41</t>
        </is>
      </c>
      <c r="I44" s="10">
        <f>IF(AND(B44&gt;=1800,B44&lt;=2150),C44,"")</f>
        <v/>
      </c>
      <c r="J44" s="10">
        <f>IF(B44=2980,C44,"")</f>
        <v/>
      </c>
    </row>
    <row r="45">
      <c r="A45" s="7" t="inlineStr">
        <is>
          <t>coast-down</t>
        </is>
      </c>
      <c r="B45" s="7" t="n">
        <v>1208.1</v>
      </c>
      <c r="C45" s="7" t="n">
        <v>0.978</v>
      </c>
      <c r="D45" s="7" t="inlineStr">
        <is>
          <t>PMP_DE_H</t>
        </is>
      </c>
      <c r="E45" s="7" t="inlineStr">
        <is>
          <t>Horizontal</t>
        </is>
      </c>
      <c r="F45" s="7" t="n">
        <v>30.5</v>
      </c>
      <c r="G45" s="7" t="inlineStr"/>
      <c r="H45" s="6" t="inlineStr">
        <is>
          <t>fat_runup_coastdown.csv row 42</t>
        </is>
      </c>
      <c r="I45" s="10">
        <f>IF(AND(B45&gt;=1800,B45&lt;=2150),C45,"")</f>
        <v/>
      </c>
      <c r="J45" s="10">
        <f>IF(B45=2980,C45,"")</f>
        <v/>
      </c>
    </row>
    <row r="46">
      <c r="A46" s="7" t="inlineStr">
        <is>
          <t>coast-down</t>
        </is>
      </c>
      <c r="B46" s="7" t="n">
        <v>1057.1</v>
      </c>
      <c r="C46" s="7" t="n">
        <v>0.749</v>
      </c>
      <c r="D46" s="7" t="inlineStr">
        <is>
          <t>PMP_DE_H</t>
        </is>
      </c>
      <c r="E46" s="7" t="inlineStr">
        <is>
          <t>Horizontal</t>
        </is>
      </c>
      <c r="F46" s="7" t="n">
        <v>33</v>
      </c>
      <c r="G46" s="7" t="inlineStr"/>
      <c r="H46" s="6" t="inlineStr">
        <is>
          <t>fat_runup_coastdown.csv row 43</t>
        </is>
      </c>
      <c r="I46" s="10">
        <f>IF(AND(B46&gt;=1800,B46&lt;=2150),C46,"")</f>
        <v/>
      </c>
      <c r="J46" s="10">
        <f>IF(B46=2980,C46,"")</f>
        <v/>
      </c>
    </row>
    <row r="47">
      <c r="A47" s="7" t="inlineStr">
        <is>
          <t>coast-down</t>
        </is>
      </c>
      <c r="B47" s="7" t="n">
        <v>906.1</v>
      </c>
      <c r="C47" s="7" t="n">
        <v>0.5620000000000001</v>
      </c>
      <c r="D47" s="7" t="inlineStr">
        <is>
          <t>PMP_DE_H</t>
        </is>
      </c>
      <c r="E47" s="7" t="inlineStr">
        <is>
          <t>Horizontal</t>
        </is>
      </c>
      <c r="F47" s="7" t="n">
        <v>35.5</v>
      </c>
      <c r="G47" s="7" t="inlineStr"/>
      <c r="H47" s="6" t="inlineStr">
        <is>
          <t>fat_runup_coastdown.csv row 44</t>
        </is>
      </c>
      <c r="I47" s="10">
        <f>IF(AND(B47&gt;=1800,B47&lt;=2150),C47,"")</f>
        <v/>
      </c>
      <c r="J47" s="10">
        <f>IF(B47=2980,C47,"")</f>
        <v/>
      </c>
    </row>
    <row r="48">
      <c r="A48" s="7" t="inlineStr">
        <is>
          <t>coast-down</t>
        </is>
      </c>
      <c r="B48" s="7" t="n">
        <v>755.1</v>
      </c>
      <c r="C48" s="7" t="n">
        <v>0.406</v>
      </c>
      <c r="D48" s="7" t="inlineStr">
        <is>
          <t>PMP_DE_H</t>
        </is>
      </c>
      <c r="E48" s="7" t="inlineStr">
        <is>
          <t>Horizontal</t>
        </is>
      </c>
      <c r="F48" s="7" t="n">
        <v>38</v>
      </c>
      <c r="G48" s="7" t="inlineStr"/>
      <c r="H48" s="6" t="inlineStr">
        <is>
          <t>fat_runup_coastdown.csv row 45</t>
        </is>
      </c>
      <c r="I48" s="10">
        <f>IF(AND(B48&gt;=1800,B48&lt;=2150),C48,"")</f>
        <v/>
      </c>
      <c r="J48" s="10">
        <f>IF(B48=2980,C48,"")</f>
        <v/>
      </c>
    </row>
    <row r="49">
      <c r="A49" s="7" t="inlineStr">
        <is>
          <t>coast-down</t>
        </is>
      </c>
      <c r="B49" s="7" t="n">
        <v>604.1</v>
      </c>
      <c r="C49" s="7" t="n">
        <v>0.281</v>
      </c>
      <c r="D49" s="7" t="inlineStr">
        <is>
          <t>PMP_DE_H</t>
        </is>
      </c>
      <c r="E49" s="7" t="inlineStr">
        <is>
          <t>Horizontal</t>
        </is>
      </c>
      <c r="F49" s="7" t="n">
        <v>40.5</v>
      </c>
      <c r="G49" s="7" t="inlineStr"/>
      <c r="H49" s="6" t="inlineStr">
        <is>
          <t>fat_runup_coastdown.csv row 46</t>
        </is>
      </c>
      <c r="I49" s="10">
        <f>IF(AND(B49&gt;=1800,B49&lt;=2150),C49,"")</f>
        <v/>
      </c>
      <c r="J49" s="10">
        <f>IF(B49=2980,C49,"")</f>
        <v/>
      </c>
    </row>
    <row r="50">
      <c r="A50" s="7" t="inlineStr">
        <is>
          <t>coast-down</t>
        </is>
      </c>
      <c r="B50" s="7" t="n">
        <v>453</v>
      </c>
      <c r="C50" s="7" t="n">
        <v>0.187</v>
      </c>
      <c r="D50" s="7" t="inlineStr">
        <is>
          <t>PMP_DE_H</t>
        </is>
      </c>
      <c r="E50" s="7" t="inlineStr">
        <is>
          <t>Horizontal</t>
        </is>
      </c>
      <c r="F50" s="7" t="n">
        <v>43</v>
      </c>
      <c r="G50" s="7" t="inlineStr"/>
      <c r="H50" s="6" t="inlineStr">
        <is>
          <t>fat_runup_coastdown.csv row 47</t>
        </is>
      </c>
      <c r="I50" s="10">
        <f>IF(AND(B50&gt;=1800,B50&lt;=2150),C50,"")</f>
        <v/>
      </c>
      <c r="J50" s="10">
        <f>IF(B50=2980,C50,"")</f>
        <v/>
      </c>
    </row>
    <row r="51">
      <c r="A51" s="7" t="inlineStr">
        <is>
          <t>coast-down</t>
        </is>
      </c>
      <c r="B51" s="7" t="n">
        <v>302</v>
      </c>
      <c r="C51" s="7" t="n">
        <v>0.114</v>
      </c>
      <c r="D51" s="7" t="inlineStr">
        <is>
          <t>PMP_DE_H</t>
        </is>
      </c>
      <c r="E51" s="7" t="inlineStr">
        <is>
          <t>Horizontal</t>
        </is>
      </c>
      <c r="F51" s="7" t="n">
        <v>45.5</v>
      </c>
      <c r="G51" s="7" t="inlineStr"/>
      <c r="H51" s="6" t="inlineStr">
        <is>
          <t>fat_runup_coastdown.csv row 48</t>
        </is>
      </c>
      <c r="I51" s="10">
        <f>IF(AND(B51&gt;=1800,B51&lt;=2150),C51,"")</f>
        <v/>
      </c>
      <c r="J51" s="10">
        <f>IF(B51=2980,C51,"")</f>
        <v/>
      </c>
    </row>
    <row r="52">
      <c r="A52" s="7" t="inlineStr">
        <is>
          <t>coast-down</t>
        </is>
      </c>
      <c r="B52" s="7" t="n">
        <v>151</v>
      </c>
      <c r="C52" s="7" t="n">
        <v>0.062</v>
      </c>
      <c r="D52" s="7" t="inlineStr">
        <is>
          <t>PMP_DE_H</t>
        </is>
      </c>
      <c r="E52" s="7" t="inlineStr">
        <is>
          <t>Horizontal</t>
        </is>
      </c>
      <c r="F52" s="7" t="n">
        <v>48</v>
      </c>
      <c r="G52" s="7" t="inlineStr"/>
      <c r="H52" s="6" t="inlineStr">
        <is>
          <t>fat_runup_coastdown.csv row 49</t>
        </is>
      </c>
      <c r="I52" s="10">
        <f>IF(AND(B52&gt;=1800,B52&lt;=2150),C52,"")</f>
        <v/>
      </c>
      <c r="J52" s="10">
        <f>IF(B52=2980,C52,"")</f>
        <v/>
      </c>
    </row>
    <row r="53">
      <c r="A53" s="7" t="inlineStr">
        <is>
          <t>coast-down</t>
        </is>
      </c>
      <c r="B53" s="7" t="n">
        <v>0</v>
      </c>
      <c r="C53" s="7" t="n">
        <v>0.021</v>
      </c>
      <c r="D53" s="7" t="inlineStr">
        <is>
          <t>PMP_DE_H</t>
        </is>
      </c>
      <c r="E53" s="7" t="inlineStr">
        <is>
          <t>Horizontal</t>
        </is>
      </c>
      <c r="F53" s="7" t="n">
        <v>52</v>
      </c>
      <c r="G53" s="7" t="inlineStr">
        <is>
          <t>Full stop - coast-down time 52 seconds</t>
        </is>
      </c>
      <c r="H53" s="6" t="inlineStr">
        <is>
          <t>fat_runup_coastdown.csv row 50</t>
        </is>
      </c>
      <c r="I53" s="10">
        <f>IF(AND(B53&gt;=1800,B53&lt;=2150),C53,"")</f>
        <v/>
      </c>
      <c r="J53" s="10">
        <f>IF(B53=2980,C53,"")</f>
        <v/>
      </c>
    </row>
    <row r="55">
      <c r="A55" s="13" t="inlineStr">
        <is>
          <t>Transient peak overall (mm/s)</t>
        </is>
      </c>
      <c r="B55" s="14">
        <f>MAX(C5:C53)</f>
        <v/>
      </c>
    </row>
    <row r="56">
      <c r="A56" s="13" t="inlineStr">
        <is>
          <t>Speed at peak (rpm)</t>
        </is>
      </c>
      <c r="B56" s="14">
        <f>INDEX(B5:B53,MATCH(MAX(C5:C53),C5:C53,0))</f>
        <v/>
      </c>
    </row>
    <row r="57">
      <c r="A57" s="13" t="inlineStr">
        <is>
          <t>Resonance-window peak 1800-2150 rpm (mm/s)</t>
        </is>
      </c>
      <c r="B57" s="14">
        <f>MAX(I5:I53)</f>
        <v/>
      </c>
    </row>
    <row r="58">
      <c r="A58" s="13" t="inlineStr">
        <is>
          <t>Verdict vs current limit</t>
        </is>
      </c>
      <c r="B58" s="14">
        <f>IF(MAX(C5:C53)&gt;'1_Rules'!$D$6,"FAIL","PASS")</f>
        <v/>
      </c>
    </row>
    <row r="59">
      <c r="A59" s="13" t="inlineStr">
        <is>
          <t>Steady-state at rated 2980 rpm (mm/s)</t>
        </is>
      </c>
      <c r="B59" s="14">
        <f>MAX(J5:J53)</f>
        <v/>
      </c>
    </row>
    <row r="61">
      <c r="A61" s="6" t="inlineStr">
        <is>
          <t>Only PMP_DE_H was recorded during the transient — other bearings not covered (unresolved boundary).</t>
        </is>
      </c>
      <c r="B61" s="6" t="inlineStr"/>
    </row>
  </sheetData>
  <conditionalFormatting sqref="B58">
    <cfRule type="cellIs" priority="1" operator="equal" dxfId="0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2" customWidth="1" min="4" max="4"/>
    <col width="12" customWidth="1" min="5" max="5"/>
    <col width="24" customWidth="1" min="6" max="6"/>
    <col width="46" customWidth="1" min="7" max="7"/>
  </cols>
  <sheetData>
    <row r="1">
      <c r="A1" s="1" t="inlineStr">
        <is>
          <t>REQUIRED TEST-MATRIX COVERAGE (VR-003: 60 | 90 | 100 | 110 % BEP, all locations)</t>
        </is>
      </c>
    </row>
    <row r="2">
      <c r="A2" s="2" t="inlineStr">
        <is>
          <t>COUNTIFS formulas against 2_FAT_Raw. Any retest count of 0 = evidence gap.</t>
        </is>
      </c>
    </row>
    <row r="4">
      <c r="A4" s="5" t="inlineStr">
        <is>
          <t>Point</t>
        </is>
      </c>
      <c r="B4" s="5" t="inlineStr">
        <is>
          <t>Direction</t>
        </is>
      </c>
      <c r="C4" s="5" t="inlineStr">
        <is>
          <t>Flow %BEP</t>
        </is>
      </c>
      <c r="D4" s="5" t="inlineStr">
        <is>
          <t>Original rows</t>
        </is>
      </c>
      <c r="E4" s="5" t="inlineStr">
        <is>
          <t>Retest rows</t>
        </is>
      </c>
      <c r="F4" s="5" t="inlineStr">
        <is>
          <t>Coverage status</t>
        </is>
      </c>
      <c r="G4" s="5" t="inlineStr">
        <is>
          <t>Note</t>
        </is>
      </c>
    </row>
    <row r="5">
      <c r="A5" s="6" t="inlineStr">
        <is>
          <t>DRV_DE_H</t>
        </is>
      </c>
      <c r="B5" s="6" t="inlineStr">
        <is>
          <t>Horizontal</t>
        </is>
      </c>
      <c r="C5" s="6" t="inlineStr">
        <is>
          <t>60</t>
        </is>
      </c>
      <c r="D5" s="10">
        <f>COUNTIFS('2_FAT_Raw'!$B:$B,"original",'2_FAT_Raw'!$D:$D,"DRV_DE_H",'2_FAT_Raw'!$E:$E,"Horizontal",'2_FAT_Raw'!$F:$F,"60")</f>
        <v/>
      </c>
      <c r="E5" s="10">
        <f>COUNTIFS('2_FAT_Raw'!$B:$B,"retest",'2_FAT_Raw'!$D:$D,"DRV_DE_H",'2_FAT_Raw'!$E:$E,"Horizontal",'2_FAT_Raw'!$F:$F,"60")</f>
        <v/>
      </c>
      <c r="F5" s="10">
        <f>IF(E5=0,"MISSING — closure required",IF(D5=0,"not in original","covered"))</f>
        <v/>
      </c>
      <c r="G5" s="6" t="inlineStr">
        <is>
          <t>driver point not retested; original result passed — deviation, see C-01</t>
        </is>
      </c>
    </row>
    <row r="6">
      <c r="A6" s="6" t="inlineStr">
        <is>
          <t>DRV_DE_H</t>
        </is>
      </c>
      <c r="B6" s="6" t="inlineStr">
        <is>
          <t>Horizontal</t>
        </is>
      </c>
      <c r="C6" s="6" t="inlineStr">
        <is>
          <t>90_BEP</t>
        </is>
      </c>
      <c r="D6" s="10">
        <f>COUNTIFS('2_FAT_Raw'!$B:$B,"original",'2_FAT_Raw'!$D:$D,"DRV_DE_H",'2_FAT_Raw'!$E:$E,"Horizontal",'2_FAT_Raw'!$F:$F,"90_BEP")</f>
        <v/>
      </c>
      <c r="E6" s="10">
        <f>COUNTIFS('2_FAT_Raw'!$B:$B,"retest",'2_FAT_Raw'!$D:$D,"DRV_DE_H",'2_FAT_Raw'!$E:$E,"Horizontal",'2_FAT_Raw'!$F:$F,"90_BEP")</f>
        <v/>
      </c>
      <c r="F6" s="10">
        <f>IF(E6=0,"MISSING — closure required",IF(D6=0,"not in original","covered"))</f>
        <v/>
      </c>
      <c r="G6" s="6" t="inlineStr">
        <is>
          <t>driver point not retested; original result passed — deviation, see C-01</t>
        </is>
      </c>
    </row>
    <row r="7">
      <c r="A7" s="6" t="inlineStr">
        <is>
          <t>DRV_DE_H</t>
        </is>
      </c>
      <c r="B7" s="6" t="inlineStr">
        <is>
          <t>Horizontal</t>
        </is>
      </c>
      <c r="C7" s="6" t="inlineStr">
        <is>
          <t>100</t>
        </is>
      </c>
      <c r="D7" s="10">
        <f>COUNTIFS('2_FAT_Raw'!$B:$B,"original",'2_FAT_Raw'!$D:$D,"DRV_DE_H",'2_FAT_Raw'!$E:$E,"Horizontal",'2_FAT_Raw'!$F:$F,"100")</f>
        <v/>
      </c>
      <c r="E7" s="10">
        <f>COUNTIFS('2_FAT_Raw'!$B:$B,"retest",'2_FAT_Raw'!$D:$D,"DRV_DE_H",'2_FAT_Raw'!$E:$E,"Horizontal",'2_FAT_Raw'!$F:$F,"100")</f>
        <v/>
      </c>
      <c r="F7" s="10">
        <f>IF(E7=0,"MISSING — closure required",IF(D7=0,"not in original","covered"))</f>
        <v/>
      </c>
      <c r="G7" s="6" t="inlineStr"/>
    </row>
    <row r="8">
      <c r="A8" s="6" t="inlineStr">
        <is>
          <t>DRV_DE_H</t>
        </is>
      </c>
      <c r="B8" s="6" t="inlineStr">
        <is>
          <t>Horizontal</t>
        </is>
      </c>
      <c r="C8" s="6" t="inlineStr">
        <is>
          <t>110</t>
        </is>
      </c>
      <c r="D8" s="10">
        <f>COUNTIFS('2_FAT_Raw'!$B:$B,"original",'2_FAT_Raw'!$D:$D,"DRV_DE_H",'2_FAT_Raw'!$E:$E,"Horizontal",'2_FAT_Raw'!$F:$F,"110")</f>
        <v/>
      </c>
      <c r="E8" s="10">
        <f>COUNTIFS('2_FAT_Raw'!$B:$B,"retest",'2_FAT_Raw'!$D:$D,"DRV_DE_H",'2_FAT_Raw'!$E:$E,"Horizontal",'2_FAT_Raw'!$F:$F,"110")</f>
        <v/>
      </c>
      <c r="F8" s="10">
        <f>IF(E8=0,"MISSING — closure required",IF(D8=0,"not in original","covered"))</f>
        <v/>
      </c>
      <c r="G8" s="6" t="inlineStr"/>
    </row>
    <row r="9">
      <c r="A9" s="6" t="inlineStr">
        <is>
          <t>DRV_DE_V</t>
        </is>
      </c>
      <c r="B9" s="6" t="inlineStr">
        <is>
          <t>Vertical</t>
        </is>
      </c>
      <c r="C9" s="6" t="inlineStr">
        <is>
          <t>60</t>
        </is>
      </c>
      <c r="D9" s="10">
        <f>COUNTIFS('2_FAT_Raw'!$B:$B,"original",'2_FAT_Raw'!$D:$D,"DRV_DE_V",'2_FAT_Raw'!$E:$E,"Vertical",'2_FAT_Raw'!$F:$F,"60")</f>
        <v/>
      </c>
      <c r="E9" s="10">
        <f>COUNTIFS('2_FAT_Raw'!$B:$B,"retest",'2_FAT_Raw'!$D:$D,"DRV_DE_V",'2_FAT_Raw'!$E:$E,"Vertical",'2_FAT_Raw'!$F:$F,"60")</f>
        <v/>
      </c>
      <c r="F9" s="10">
        <f>IF(E9=0,"MISSING — closure required",IF(D9=0,"not in original","covered"))</f>
        <v/>
      </c>
      <c r="G9" s="6" t="inlineStr">
        <is>
          <t>driver point not retested; original result passed — deviation, see C-01</t>
        </is>
      </c>
    </row>
    <row r="10">
      <c r="A10" s="6" t="inlineStr">
        <is>
          <t>DRV_DE_V</t>
        </is>
      </c>
      <c r="B10" s="6" t="inlineStr">
        <is>
          <t>Vertical</t>
        </is>
      </c>
      <c r="C10" s="6" t="inlineStr">
        <is>
          <t>90_BEP</t>
        </is>
      </c>
      <c r="D10" s="10">
        <f>COUNTIFS('2_FAT_Raw'!$B:$B,"original",'2_FAT_Raw'!$D:$D,"DRV_DE_V",'2_FAT_Raw'!$E:$E,"Vertical",'2_FAT_Raw'!$F:$F,"90_BEP")</f>
        <v/>
      </c>
      <c r="E10" s="10">
        <f>COUNTIFS('2_FAT_Raw'!$B:$B,"retest",'2_FAT_Raw'!$D:$D,"DRV_DE_V",'2_FAT_Raw'!$E:$E,"Vertical",'2_FAT_Raw'!$F:$F,"90_BEP")</f>
        <v/>
      </c>
      <c r="F10" s="10">
        <f>IF(E10=0,"MISSING — closure required",IF(D10=0,"not in original","covered"))</f>
        <v/>
      </c>
      <c r="G10" s="6" t="inlineStr">
        <is>
          <t>driver point not retested; original result passed — deviation, see C-01</t>
        </is>
      </c>
    </row>
    <row r="11">
      <c r="A11" s="6" t="inlineStr">
        <is>
          <t>DRV_DE_V</t>
        </is>
      </c>
      <c r="B11" s="6" t="inlineStr">
        <is>
          <t>Vertical</t>
        </is>
      </c>
      <c r="C11" s="6" t="inlineStr">
        <is>
          <t>100</t>
        </is>
      </c>
      <c r="D11" s="10">
        <f>COUNTIFS('2_FAT_Raw'!$B:$B,"original",'2_FAT_Raw'!$D:$D,"DRV_DE_V",'2_FAT_Raw'!$E:$E,"Vertical",'2_FAT_Raw'!$F:$F,"100")</f>
        <v/>
      </c>
      <c r="E11" s="10">
        <f>COUNTIFS('2_FAT_Raw'!$B:$B,"retest",'2_FAT_Raw'!$D:$D,"DRV_DE_V",'2_FAT_Raw'!$E:$E,"Vertical",'2_FAT_Raw'!$F:$F,"100")</f>
        <v/>
      </c>
      <c r="F11" s="10">
        <f>IF(E11=0,"MISSING — closure required",IF(D11=0,"not in original","covered"))</f>
        <v/>
      </c>
      <c r="G11" s="6" t="inlineStr"/>
    </row>
    <row r="12">
      <c r="A12" s="6" t="inlineStr">
        <is>
          <t>DRV_DE_V</t>
        </is>
      </c>
      <c r="B12" s="6" t="inlineStr">
        <is>
          <t>Vertical</t>
        </is>
      </c>
      <c r="C12" s="6" t="inlineStr">
        <is>
          <t>110</t>
        </is>
      </c>
      <c r="D12" s="10">
        <f>COUNTIFS('2_FAT_Raw'!$B:$B,"original",'2_FAT_Raw'!$D:$D,"DRV_DE_V",'2_FAT_Raw'!$E:$E,"Vertical",'2_FAT_Raw'!$F:$F,"110")</f>
        <v/>
      </c>
      <c r="E12" s="10">
        <f>COUNTIFS('2_FAT_Raw'!$B:$B,"retest",'2_FAT_Raw'!$D:$D,"DRV_DE_V",'2_FAT_Raw'!$E:$E,"Vertical",'2_FAT_Raw'!$F:$F,"110")</f>
        <v/>
      </c>
      <c r="F12" s="10">
        <f>IF(E12=0,"MISSING — closure required",IF(D12=0,"not in original","covered"))</f>
        <v/>
      </c>
      <c r="G12" s="6" t="inlineStr"/>
    </row>
    <row r="13">
      <c r="A13" s="6" t="inlineStr">
        <is>
          <t>DRV_DE_A</t>
        </is>
      </c>
      <c r="B13" s="6" t="inlineStr">
        <is>
          <t>Axial</t>
        </is>
      </c>
      <c r="C13" s="6" t="inlineStr">
        <is>
          <t>60</t>
        </is>
      </c>
      <c r="D13" s="10">
        <f>COUNTIFS('2_FAT_Raw'!$B:$B,"original",'2_FAT_Raw'!$D:$D,"DRV_DE_A",'2_FAT_Raw'!$E:$E,"Axial",'2_FAT_Raw'!$F:$F,"60")</f>
        <v/>
      </c>
      <c r="E13" s="10">
        <f>COUNTIFS('2_FAT_Raw'!$B:$B,"retest",'2_FAT_Raw'!$D:$D,"DRV_DE_A",'2_FAT_Raw'!$E:$E,"Axial",'2_FAT_Raw'!$F:$F,"60")</f>
        <v/>
      </c>
      <c r="F13" s="10">
        <f>IF(E13=0,"MISSING — closure required",IF(D13=0,"not in original","covered"))</f>
        <v/>
      </c>
      <c r="G13" s="6" t="inlineStr">
        <is>
          <t>driver point not retested; original result passed — deviation, see C-01</t>
        </is>
      </c>
    </row>
    <row r="14">
      <c r="A14" s="6" t="inlineStr">
        <is>
          <t>DRV_DE_A</t>
        </is>
      </c>
      <c r="B14" s="6" t="inlineStr">
        <is>
          <t>Axial</t>
        </is>
      </c>
      <c r="C14" s="6" t="inlineStr">
        <is>
          <t>90_BEP</t>
        </is>
      </c>
      <c r="D14" s="10">
        <f>COUNTIFS('2_FAT_Raw'!$B:$B,"original",'2_FAT_Raw'!$D:$D,"DRV_DE_A",'2_FAT_Raw'!$E:$E,"Axial",'2_FAT_Raw'!$F:$F,"90_BEP")</f>
        <v/>
      </c>
      <c r="E14" s="10">
        <f>COUNTIFS('2_FAT_Raw'!$B:$B,"retest",'2_FAT_Raw'!$D:$D,"DRV_DE_A",'2_FAT_Raw'!$E:$E,"Axial",'2_FAT_Raw'!$F:$F,"90_BEP")</f>
        <v/>
      </c>
      <c r="F14" s="10">
        <f>IF(E14=0,"MISSING — closure required",IF(D14=0,"not in original","covered"))</f>
        <v/>
      </c>
      <c r="G14" s="6" t="inlineStr">
        <is>
          <t>driver point not retested; original result passed — deviation, see C-01</t>
        </is>
      </c>
    </row>
    <row r="15">
      <c r="A15" s="6" t="inlineStr">
        <is>
          <t>DRV_DE_A</t>
        </is>
      </c>
      <c r="B15" s="6" t="inlineStr">
        <is>
          <t>Axial</t>
        </is>
      </c>
      <c r="C15" s="6" t="inlineStr">
        <is>
          <t>100</t>
        </is>
      </c>
      <c r="D15" s="10">
        <f>COUNTIFS('2_FAT_Raw'!$B:$B,"original",'2_FAT_Raw'!$D:$D,"DRV_DE_A",'2_FAT_Raw'!$E:$E,"Axial",'2_FAT_Raw'!$F:$F,"100")</f>
        <v/>
      </c>
      <c r="E15" s="10">
        <f>COUNTIFS('2_FAT_Raw'!$B:$B,"retest",'2_FAT_Raw'!$D:$D,"DRV_DE_A",'2_FAT_Raw'!$E:$E,"Axial",'2_FAT_Raw'!$F:$F,"100")</f>
        <v/>
      </c>
      <c r="F15" s="10">
        <f>IF(E15=0,"MISSING — closure required",IF(D15=0,"not in original","covered"))</f>
        <v/>
      </c>
      <c r="G15" s="6" t="inlineStr"/>
    </row>
    <row r="16">
      <c r="A16" s="6" t="inlineStr">
        <is>
          <t>DRV_DE_A</t>
        </is>
      </c>
      <c r="B16" s="6" t="inlineStr">
        <is>
          <t>Axial</t>
        </is>
      </c>
      <c r="C16" s="6" t="inlineStr">
        <is>
          <t>110</t>
        </is>
      </c>
      <c r="D16" s="10">
        <f>COUNTIFS('2_FAT_Raw'!$B:$B,"original",'2_FAT_Raw'!$D:$D,"DRV_DE_A",'2_FAT_Raw'!$E:$E,"Axial",'2_FAT_Raw'!$F:$F,"110")</f>
        <v/>
      </c>
      <c r="E16" s="10">
        <f>COUNTIFS('2_FAT_Raw'!$B:$B,"retest",'2_FAT_Raw'!$D:$D,"DRV_DE_A",'2_FAT_Raw'!$E:$E,"Axial",'2_FAT_Raw'!$F:$F,"110")</f>
        <v/>
      </c>
      <c r="F16" s="10">
        <f>IF(E16=0,"MISSING — closure required",IF(D16=0,"not in original","covered"))</f>
        <v/>
      </c>
      <c r="G16" s="6" t="inlineStr"/>
    </row>
    <row r="17">
      <c r="A17" s="6" t="inlineStr">
        <is>
          <t>DRV_NDE_H</t>
        </is>
      </c>
      <c r="B17" s="6" t="inlineStr">
        <is>
          <t>Horizontal</t>
        </is>
      </c>
      <c r="C17" s="6" t="inlineStr">
        <is>
          <t>60</t>
        </is>
      </c>
      <c r="D17" s="10">
        <f>COUNTIFS('2_FAT_Raw'!$B:$B,"original",'2_FAT_Raw'!$D:$D,"DRV_NDE_H",'2_FAT_Raw'!$E:$E,"Horizontal",'2_FAT_Raw'!$F:$F,"60")</f>
        <v/>
      </c>
      <c r="E17" s="10">
        <f>COUNTIFS('2_FAT_Raw'!$B:$B,"retest",'2_FAT_Raw'!$D:$D,"DRV_NDE_H",'2_FAT_Raw'!$E:$E,"Horizontal",'2_FAT_Raw'!$F:$F,"60")</f>
        <v/>
      </c>
      <c r="F17" s="10">
        <f>IF(E17=0,"MISSING — closure required",IF(D17=0,"not in original","covered"))</f>
        <v/>
      </c>
      <c r="G17" s="6" t="inlineStr">
        <is>
          <t>driver point not retested; original result passed — deviation, see C-01</t>
        </is>
      </c>
    </row>
    <row r="18">
      <c r="A18" s="6" t="inlineStr">
        <is>
          <t>DRV_NDE_H</t>
        </is>
      </c>
      <c r="B18" s="6" t="inlineStr">
        <is>
          <t>Horizontal</t>
        </is>
      </c>
      <c r="C18" s="6" t="inlineStr">
        <is>
          <t>90_BEP</t>
        </is>
      </c>
      <c r="D18" s="10">
        <f>COUNTIFS('2_FAT_Raw'!$B:$B,"original",'2_FAT_Raw'!$D:$D,"DRV_NDE_H",'2_FAT_Raw'!$E:$E,"Horizontal",'2_FAT_Raw'!$F:$F,"90_BEP")</f>
        <v/>
      </c>
      <c r="E18" s="10">
        <f>COUNTIFS('2_FAT_Raw'!$B:$B,"retest",'2_FAT_Raw'!$D:$D,"DRV_NDE_H",'2_FAT_Raw'!$E:$E,"Horizontal",'2_FAT_Raw'!$F:$F,"90_BEP")</f>
        <v/>
      </c>
      <c r="F18" s="10">
        <f>IF(E18=0,"MISSING — closure required",IF(D18=0,"not in original","covered"))</f>
        <v/>
      </c>
      <c r="G18" s="6" t="inlineStr">
        <is>
          <t>driver point not retested; original result passed — deviation, see C-01</t>
        </is>
      </c>
    </row>
    <row r="19">
      <c r="A19" s="6" t="inlineStr">
        <is>
          <t>DRV_NDE_H</t>
        </is>
      </c>
      <c r="B19" s="6" t="inlineStr">
        <is>
          <t>Horizontal</t>
        </is>
      </c>
      <c r="C19" s="6" t="inlineStr">
        <is>
          <t>100</t>
        </is>
      </c>
      <c r="D19" s="10">
        <f>COUNTIFS('2_FAT_Raw'!$B:$B,"original",'2_FAT_Raw'!$D:$D,"DRV_NDE_H",'2_FAT_Raw'!$E:$E,"Horizontal",'2_FAT_Raw'!$F:$F,"100")</f>
        <v/>
      </c>
      <c r="E19" s="10">
        <f>COUNTIFS('2_FAT_Raw'!$B:$B,"retest",'2_FAT_Raw'!$D:$D,"DRV_NDE_H",'2_FAT_Raw'!$E:$E,"Horizontal",'2_FAT_Raw'!$F:$F,"100")</f>
        <v/>
      </c>
      <c r="F19" s="10">
        <f>IF(E19=0,"MISSING — closure required",IF(D19=0,"not in original","covered"))</f>
        <v/>
      </c>
      <c r="G19" s="6" t="inlineStr"/>
    </row>
    <row r="20">
      <c r="A20" s="6" t="inlineStr">
        <is>
          <t>DRV_NDE_H</t>
        </is>
      </c>
      <c r="B20" s="6" t="inlineStr">
        <is>
          <t>Horizontal</t>
        </is>
      </c>
      <c r="C20" s="6" t="inlineStr">
        <is>
          <t>110</t>
        </is>
      </c>
      <c r="D20" s="10">
        <f>COUNTIFS('2_FAT_Raw'!$B:$B,"original",'2_FAT_Raw'!$D:$D,"DRV_NDE_H",'2_FAT_Raw'!$E:$E,"Horizontal",'2_FAT_Raw'!$F:$F,"110")</f>
        <v/>
      </c>
      <c r="E20" s="10">
        <f>COUNTIFS('2_FAT_Raw'!$B:$B,"retest",'2_FAT_Raw'!$D:$D,"DRV_NDE_H",'2_FAT_Raw'!$E:$E,"Horizontal",'2_FAT_Raw'!$F:$F,"110")</f>
        <v/>
      </c>
      <c r="F20" s="10">
        <f>IF(E20=0,"MISSING — closure required",IF(D20=0,"not in original","covered"))</f>
        <v/>
      </c>
      <c r="G20" s="6" t="inlineStr">
        <is>
          <t>driver NDE not retested at 110%; original passed — deviation, see C-01</t>
        </is>
      </c>
    </row>
    <row r="21">
      <c r="A21" s="6" t="inlineStr">
        <is>
          <t>DRV_NDE_V</t>
        </is>
      </c>
      <c r="B21" s="6" t="inlineStr">
        <is>
          <t>Vertical</t>
        </is>
      </c>
      <c r="C21" s="6" t="inlineStr">
        <is>
          <t>60</t>
        </is>
      </c>
      <c r="D21" s="10">
        <f>COUNTIFS('2_FAT_Raw'!$B:$B,"original",'2_FAT_Raw'!$D:$D,"DRV_NDE_V",'2_FAT_Raw'!$E:$E,"Vertical",'2_FAT_Raw'!$F:$F,"60")</f>
        <v/>
      </c>
      <c r="E21" s="10">
        <f>COUNTIFS('2_FAT_Raw'!$B:$B,"retest",'2_FAT_Raw'!$D:$D,"DRV_NDE_V",'2_FAT_Raw'!$E:$E,"Vertical",'2_FAT_Raw'!$F:$F,"60")</f>
        <v/>
      </c>
      <c r="F21" s="10">
        <f>IF(E21=0,"MISSING — closure required",IF(D21=0,"not in original","covered"))</f>
        <v/>
      </c>
      <c r="G21" s="6" t="inlineStr">
        <is>
          <t>driver point not retested; original result passed — deviation, see C-01</t>
        </is>
      </c>
    </row>
    <row r="22">
      <c r="A22" s="6" t="inlineStr">
        <is>
          <t>DRV_NDE_V</t>
        </is>
      </c>
      <c r="B22" s="6" t="inlineStr">
        <is>
          <t>Vertical</t>
        </is>
      </c>
      <c r="C22" s="6" t="inlineStr">
        <is>
          <t>90_BEP</t>
        </is>
      </c>
      <c r="D22" s="10">
        <f>COUNTIFS('2_FAT_Raw'!$B:$B,"original",'2_FAT_Raw'!$D:$D,"DRV_NDE_V",'2_FAT_Raw'!$E:$E,"Vertical",'2_FAT_Raw'!$F:$F,"90_BEP")</f>
        <v/>
      </c>
      <c r="E22" s="10">
        <f>COUNTIFS('2_FAT_Raw'!$B:$B,"retest",'2_FAT_Raw'!$D:$D,"DRV_NDE_V",'2_FAT_Raw'!$E:$E,"Vertical",'2_FAT_Raw'!$F:$F,"90_BEP")</f>
        <v/>
      </c>
      <c r="F22" s="10">
        <f>IF(E22=0,"MISSING — closure required",IF(D22=0,"not in original","covered"))</f>
        <v/>
      </c>
      <c r="G22" s="6" t="inlineStr">
        <is>
          <t>driver point not retested; original result passed — deviation, see C-01</t>
        </is>
      </c>
    </row>
    <row r="23">
      <c r="A23" s="6" t="inlineStr">
        <is>
          <t>DRV_NDE_V</t>
        </is>
      </c>
      <c r="B23" s="6" t="inlineStr">
        <is>
          <t>Vertical</t>
        </is>
      </c>
      <c r="C23" s="6" t="inlineStr">
        <is>
          <t>100</t>
        </is>
      </c>
      <c r="D23" s="10">
        <f>COUNTIFS('2_FAT_Raw'!$B:$B,"original",'2_FAT_Raw'!$D:$D,"DRV_NDE_V",'2_FAT_Raw'!$E:$E,"Vertical",'2_FAT_Raw'!$F:$F,"100")</f>
        <v/>
      </c>
      <c r="E23" s="10">
        <f>COUNTIFS('2_FAT_Raw'!$B:$B,"retest",'2_FAT_Raw'!$D:$D,"DRV_NDE_V",'2_FAT_Raw'!$E:$E,"Vertical",'2_FAT_Raw'!$F:$F,"100")</f>
        <v/>
      </c>
      <c r="F23" s="10">
        <f>IF(E23=0,"MISSING — closure required",IF(D23=0,"not in original","covered"))</f>
        <v/>
      </c>
      <c r="G23" s="6" t="inlineStr"/>
    </row>
    <row r="24">
      <c r="A24" s="6" t="inlineStr">
        <is>
          <t>DRV_NDE_V</t>
        </is>
      </c>
      <c r="B24" s="6" t="inlineStr">
        <is>
          <t>Vertical</t>
        </is>
      </c>
      <c r="C24" s="6" t="inlineStr">
        <is>
          <t>110</t>
        </is>
      </c>
      <c r="D24" s="10">
        <f>COUNTIFS('2_FAT_Raw'!$B:$B,"original",'2_FAT_Raw'!$D:$D,"DRV_NDE_V",'2_FAT_Raw'!$E:$E,"Vertical",'2_FAT_Raw'!$F:$F,"110")</f>
        <v/>
      </c>
      <c r="E24" s="10">
        <f>COUNTIFS('2_FAT_Raw'!$B:$B,"retest",'2_FAT_Raw'!$D:$D,"DRV_NDE_V",'2_FAT_Raw'!$E:$E,"Vertical",'2_FAT_Raw'!$F:$F,"110")</f>
        <v/>
      </c>
      <c r="F24" s="10">
        <f>IF(E24=0,"MISSING — closure required",IF(D24=0,"not in original","covered"))</f>
        <v/>
      </c>
      <c r="G24" s="6" t="inlineStr">
        <is>
          <t>driver NDE not retested at 110%; original passed — deviation, see C-01</t>
        </is>
      </c>
    </row>
    <row r="25">
      <c r="A25" s="6" t="inlineStr">
        <is>
          <t>DRV_NDE_A</t>
        </is>
      </c>
      <c r="B25" s="6" t="inlineStr">
        <is>
          <t>Axial</t>
        </is>
      </c>
      <c r="C25" s="6" t="inlineStr">
        <is>
          <t>60</t>
        </is>
      </c>
      <c r="D25" s="10">
        <f>COUNTIFS('2_FAT_Raw'!$B:$B,"original",'2_FAT_Raw'!$D:$D,"DRV_NDE_A",'2_FAT_Raw'!$E:$E,"Axial",'2_FAT_Raw'!$F:$F,"60")</f>
        <v/>
      </c>
      <c r="E25" s="10">
        <f>COUNTIFS('2_FAT_Raw'!$B:$B,"retest",'2_FAT_Raw'!$D:$D,"DRV_NDE_A",'2_FAT_Raw'!$E:$E,"Axial",'2_FAT_Raw'!$F:$F,"60")</f>
        <v/>
      </c>
      <c r="F25" s="10">
        <f>IF(E25=0,"MISSING — closure required",IF(D25=0,"not in original","covered"))</f>
        <v/>
      </c>
      <c r="G25" s="6" t="inlineStr">
        <is>
          <t>driver point not retested; original result passed — deviation, see C-01</t>
        </is>
      </c>
    </row>
    <row r="26">
      <c r="A26" s="6" t="inlineStr">
        <is>
          <t>DRV_NDE_A</t>
        </is>
      </c>
      <c r="B26" s="6" t="inlineStr">
        <is>
          <t>Axial</t>
        </is>
      </c>
      <c r="C26" s="6" t="inlineStr">
        <is>
          <t>90_BEP</t>
        </is>
      </c>
      <c r="D26" s="10">
        <f>COUNTIFS('2_FAT_Raw'!$B:$B,"original",'2_FAT_Raw'!$D:$D,"DRV_NDE_A",'2_FAT_Raw'!$E:$E,"Axial",'2_FAT_Raw'!$F:$F,"90_BEP")</f>
        <v/>
      </c>
      <c r="E26" s="10">
        <f>COUNTIFS('2_FAT_Raw'!$B:$B,"retest",'2_FAT_Raw'!$D:$D,"DRV_NDE_A",'2_FAT_Raw'!$E:$E,"Axial",'2_FAT_Raw'!$F:$F,"90_BEP")</f>
        <v/>
      </c>
      <c r="F26" s="10">
        <f>IF(E26=0,"MISSING — closure required",IF(D26=0,"not in original","covered"))</f>
        <v/>
      </c>
      <c r="G26" s="6" t="inlineStr">
        <is>
          <t>driver point not retested; original result passed — deviation, see C-01</t>
        </is>
      </c>
    </row>
    <row r="27">
      <c r="A27" s="6" t="inlineStr">
        <is>
          <t>DRV_NDE_A</t>
        </is>
      </c>
      <c r="B27" s="6" t="inlineStr">
        <is>
          <t>Axial</t>
        </is>
      </c>
      <c r="C27" s="6" t="inlineStr">
        <is>
          <t>100</t>
        </is>
      </c>
      <c r="D27" s="10">
        <f>COUNTIFS('2_FAT_Raw'!$B:$B,"original",'2_FAT_Raw'!$D:$D,"DRV_NDE_A",'2_FAT_Raw'!$E:$E,"Axial",'2_FAT_Raw'!$F:$F,"100")</f>
        <v/>
      </c>
      <c r="E27" s="10">
        <f>COUNTIFS('2_FAT_Raw'!$B:$B,"retest",'2_FAT_Raw'!$D:$D,"DRV_NDE_A",'2_FAT_Raw'!$E:$E,"Axial",'2_FAT_Raw'!$F:$F,"100")</f>
        <v/>
      </c>
      <c r="F27" s="10">
        <f>IF(E27=0,"MISSING — closure required",IF(D27=0,"not in original","covered"))</f>
        <v/>
      </c>
      <c r="G27" s="6" t="inlineStr"/>
    </row>
    <row r="28">
      <c r="A28" s="6" t="inlineStr">
        <is>
          <t>DRV_NDE_A</t>
        </is>
      </c>
      <c r="B28" s="6" t="inlineStr">
        <is>
          <t>Axial</t>
        </is>
      </c>
      <c r="C28" s="6" t="inlineStr">
        <is>
          <t>110</t>
        </is>
      </c>
      <c r="D28" s="10">
        <f>COUNTIFS('2_FAT_Raw'!$B:$B,"original",'2_FAT_Raw'!$D:$D,"DRV_NDE_A",'2_FAT_Raw'!$E:$E,"Axial",'2_FAT_Raw'!$F:$F,"110")</f>
        <v/>
      </c>
      <c r="E28" s="10">
        <f>COUNTIFS('2_FAT_Raw'!$B:$B,"retest",'2_FAT_Raw'!$D:$D,"DRV_NDE_A",'2_FAT_Raw'!$E:$E,"Axial",'2_FAT_Raw'!$F:$F,"110")</f>
        <v/>
      </c>
      <c r="F28" s="10">
        <f>IF(E28=0,"MISSING — closure required",IF(D28=0,"not in original","covered"))</f>
        <v/>
      </c>
      <c r="G28" s="6" t="inlineStr">
        <is>
          <t>driver NDE not retested at 110%; original passed — deviation, see C-01</t>
        </is>
      </c>
    </row>
    <row r="29">
      <c r="A29" s="6" t="inlineStr">
        <is>
          <t>PMP_DE_H</t>
        </is>
      </c>
      <c r="B29" s="6" t="inlineStr">
        <is>
          <t>Horizontal</t>
        </is>
      </c>
      <c r="C29" s="6" t="inlineStr">
        <is>
          <t>60</t>
        </is>
      </c>
      <c r="D29" s="10">
        <f>COUNTIFS('2_FAT_Raw'!$B:$B,"original",'2_FAT_Raw'!$D:$D,"PMP_DE_H",'2_FAT_Raw'!$E:$E,"Horizontal",'2_FAT_Raw'!$F:$F,"60")</f>
        <v/>
      </c>
      <c r="E29" s="10">
        <f>COUNTIFS('2_FAT_Raw'!$B:$B,"retest",'2_FAT_Raw'!$D:$D,"PMP_DE_H",'2_FAT_Raw'!$E:$E,"Horizontal",'2_FAT_Raw'!$F:$F,"60")</f>
        <v/>
      </c>
      <c r="F29" s="10">
        <f>IF(E29=0,"MISSING — closure required",IF(D29=0,"not in original","covered"))</f>
        <v/>
      </c>
      <c r="G29" s="6" t="inlineStr"/>
    </row>
    <row r="30">
      <c r="A30" s="6" t="inlineStr">
        <is>
          <t>PMP_DE_H</t>
        </is>
      </c>
      <c r="B30" s="6" t="inlineStr">
        <is>
          <t>Horizontal</t>
        </is>
      </c>
      <c r="C30" s="6" t="inlineStr">
        <is>
          <t>90_BEP</t>
        </is>
      </c>
      <c r="D30" s="10">
        <f>COUNTIFS('2_FAT_Raw'!$B:$B,"original",'2_FAT_Raw'!$D:$D,"PMP_DE_H",'2_FAT_Raw'!$E:$E,"Horizontal",'2_FAT_Raw'!$F:$F,"90_BEP")</f>
        <v/>
      </c>
      <c r="E30" s="10">
        <f>COUNTIFS('2_FAT_Raw'!$B:$B,"retest",'2_FAT_Raw'!$D:$D,"PMP_DE_H",'2_FAT_Raw'!$E:$E,"Horizontal",'2_FAT_Raw'!$F:$F,"90_BEP")</f>
        <v/>
      </c>
      <c r="F30" s="10">
        <f>IF(E30=0,"MISSING — closure required",IF(D30=0,"not in original","covered"))</f>
        <v/>
      </c>
      <c r="G30" s="6" t="inlineStr"/>
    </row>
    <row r="31">
      <c r="A31" s="6" t="inlineStr">
        <is>
          <t>PMP_DE_H</t>
        </is>
      </c>
      <c r="B31" s="6" t="inlineStr">
        <is>
          <t>Horizontal</t>
        </is>
      </c>
      <c r="C31" s="6" t="inlineStr">
        <is>
          <t>100</t>
        </is>
      </c>
      <c r="D31" s="10">
        <f>COUNTIFS('2_FAT_Raw'!$B:$B,"original",'2_FAT_Raw'!$D:$D,"PMP_DE_H",'2_FAT_Raw'!$E:$E,"Horizontal",'2_FAT_Raw'!$F:$F,"100")</f>
        <v/>
      </c>
      <c r="E31" s="10">
        <f>COUNTIFS('2_FAT_Raw'!$B:$B,"retest",'2_FAT_Raw'!$D:$D,"PMP_DE_H",'2_FAT_Raw'!$E:$E,"Horizontal",'2_FAT_Raw'!$F:$F,"100")</f>
        <v/>
      </c>
      <c r="F31" s="10">
        <f>IF(E31=0,"MISSING — closure required",IF(D31=0,"not in original","covered"))</f>
        <v/>
      </c>
      <c r="G31" s="6" t="inlineStr"/>
    </row>
    <row r="32">
      <c r="A32" s="6" t="inlineStr">
        <is>
          <t>PMP_DE_H</t>
        </is>
      </c>
      <c r="B32" s="6" t="inlineStr">
        <is>
          <t>Horizontal</t>
        </is>
      </c>
      <c r="C32" s="6" t="inlineStr">
        <is>
          <t>110</t>
        </is>
      </c>
      <c r="D32" s="10">
        <f>COUNTIFS('2_FAT_Raw'!$B:$B,"original",'2_FAT_Raw'!$D:$D,"PMP_DE_H",'2_FAT_Raw'!$E:$E,"Horizontal",'2_FAT_Raw'!$F:$F,"110")</f>
        <v/>
      </c>
      <c r="E32" s="10">
        <f>COUNTIFS('2_FAT_Raw'!$B:$B,"retest",'2_FAT_Raw'!$D:$D,"PMP_DE_H",'2_FAT_Raw'!$E:$E,"Horizontal",'2_FAT_Raw'!$F:$F,"110")</f>
        <v/>
      </c>
      <c r="F32" s="10">
        <f>IF(E32=0,"MISSING — closure required",IF(D32=0,"not in original","covered"))</f>
        <v/>
      </c>
      <c r="G32" s="6" t="inlineStr"/>
    </row>
    <row r="33">
      <c r="A33" s="6" t="inlineStr">
        <is>
          <t>PMP_DE_V</t>
        </is>
      </c>
      <c r="B33" s="6" t="inlineStr">
        <is>
          <t>Vertical</t>
        </is>
      </c>
      <c r="C33" s="6" t="inlineStr">
        <is>
          <t>60</t>
        </is>
      </c>
      <c r="D33" s="10">
        <f>COUNTIFS('2_FAT_Raw'!$B:$B,"original",'2_FAT_Raw'!$D:$D,"PMP_DE_V",'2_FAT_Raw'!$E:$E,"Vertical",'2_FAT_Raw'!$F:$F,"60")</f>
        <v/>
      </c>
      <c r="E33" s="10">
        <f>COUNTIFS('2_FAT_Raw'!$B:$B,"retest",'2_FAT_Raw'!$D:$D,"PMP_DE_V",'2_FAT_Raw'!$E:$E,"Vertical",'2_FAT_Raw'!$F:$F,"60")</f>
        <v/>
      </c>
      <c r="F33" s="10">
        <f>IF(E33=0,"MISSING — closure required",IF(D33=0,"not in original","covered"))</f>
        <v/>
      </c>
      <c r="G33" s="6" t="inlineStr"/>
    </row>
    <row r="34">
      <c r="A34" s="6" t="inlineStr">
        <is>
          <t>PMP_DE_V</t>
        </is>
      </c>
      <c r="B34" s="6" t="inlineStr">
        <is>
          <t>Vertical</t>
        </is>
      </c>
      <c r="C34" s="6" t="inlineStr">
        <is>
          <t>90_BEP</t>
        </is>
      </c>
      <c r="D34" s="10">
        <f>COUNTIFS('2_FAT_Raw'!$B:$B,"original",'2_FAT_Raw'!$D:$D,"PMP_DE_V",'2_FAT_Raw'!$E:$E,"Vertical",'2_FAT_Raw'!$F:$F,"90_BEP")</f>
        <v/>
      </c>
      <c r="E34" s="10">
        <f>COUNTIFS('2_FAT_Raw'!$B:$B,"retest",'2_FAT_Raw'!$D:$D,"PMP_DE_V",'2_FAT_Raw'!$E:$E,"Vertical",'2_FAT_Raw'!$F:$F,"90_BEP")</f>
        <v/>
      </c>
      <c r="F34" s="10">
        <f>IF(E34=0,"MISSING — closure required",IF(D34=0,"not in original","covered"))</f>
        <v/>
      </c>
      <c r="G34" s="6" t="inlineStr"/>
    </row>
    <row r="35">
      <c r="A35" s="6" t="inlineStr">
        <is>
          <t>PMP_DE_V</t>
        </is>
      </c>
      <c r="B35" s="6" t="inlineStr">
        <is>
          <t>Vertical</t>
        </is>
      </c>
      <c r="C35" s="6" t="inlineStr">
        <is>
          <t>100</t>
        </is>
      </c>
      <c r="D35" s="10">
        <f>COUNTIFS('2_FAT_Raw'!$B:$B,"original",'2_FAT_Raw'!$D:$D,"PMP_DE_V",'2_FAT_Raw'!$E:$E,"Vertical",'2_FAT_Raw'!$F:$F,"100")</f>
        <v/>
      </c>
      <c r="E35" s="10">
        <f>COUNTIFS('2_FAT_Raw'!$B:$B,"retest",'2_FAT_Raw'!$D:$D,"PMP_DE_V",'2_FAT_Raw'!$E:$E,"Vertical",'2_FAT_Raw'!$F:$F,"100")</f>
        <v/>
      </c>
      <c r="F35" s="10">
        <f>IF(E35=0,"MISSING — closure required",IF(D35=0,"not in original","covered"))</f>
        <v/>
      </c>
      <c r="G35" s="6" t="inlineStr"/>
    </row>
    <row r="36">
      <c r="A36" s="6" t="inlineStr">
        <is>
          <t>PMP_DE_V</t>
        </is>
      </c>
      <c r="B36" s="6" t="inlineStr">
        <is>
          <t>Vertical</t>
        </is>
      </c>
      <c r="C36" s="6" t="inlineStr">
        <is>
          <t>110</t>
        </is>
      </c>
      <c r="D36" s="10">
        <f>COUNTIFS('2_FAT_Raw'!$B:$B,"original",'2_FAT_Raw'!$D:$D,"PMP_DE_V",'2_FAT_Raw'!$E:$E,"Vertical",'2_FAT_Raw'!$F:$F,"110")</f>
        <v/>
      </c>
      <c r="E36" s="10">
        <f>COUNTIFS('2_FAT_Raw'!$B:$B,"retest",'2_FAT_Raw'!$D:$D,"PMP_DE_V",'2_FAT_Raw'!$E:$E,"Vertical",'2_FAT_Raw'!$F:$F,"110")</f>
        <v/>
      </c>
      <c r="F36" s="10">
        <f>IF(E36=0,"MISSING — closure required",IF(D36=0,"not in original","covered"))</f>
        <v/>
      </c>
      <c r="G36" s="6" t="inlineStr"/>
    </row>
    <row r="37">
      <c r="A37" s="6" t="inlineStr">
        <is>
          <t>PMP_DE_A</t>
        </is>
      </c>
      <c r="B37" s="6" t="inlineStr">
        <is>
          <t>Axial</t>
        </is>
      </c>
      <c r="C37" s="6" t="inlineStr">
        <is>
          <t>60</t>
        </is>
      </c>
      <c r="D37" s="10">
        <f>COUNTIFS('2_FAT_Raw'!$B:$B,"original",'2_FAT_Raw'!$D:$D,"PMP_DE_A",'2_FAT_Raw'!$E:$E,"Axial",'2_FAT_Raw'!$F:$F,"60")</f>
        <v/>
      </c>
      <c r="E37" s="10">
        <f>COUNTIFS('2_FAT_Raw'!$B:$B,"retest",'2_FAT_Raw'!$D:$D,"PMP_DE_A",'2_FAT_Raw'!$E:$E,"Axial",'2_FAT_Raw'!$F:$F,"60")</f>
        <v/>
      </c>
      <c r="F37" s="10">
        <f>IF(E37=0,"MISSING — closure required",IF(D37=0,"not in original","covered"))</f>
        <v/>
      </c>
      <c r="G37" s="6" t="inlineStr"/>
    </row>
    <row r="38">
      <c r="A38" s="6" t="inlineStr">
        <is>
          <t>PMP_DE_A</t>
        </is>
      </c>
      <c r="B38" s="6" t="inlineStr">
        <is>
          <t>Axial</t>
        </is>
      </c>
      <c r="C38" s="6" t="inlineStr">
        <is>
          <t>90_BEP</t>
        </is>
      </c>
      <c r="D38" s="10">
        <f>COUNTIFS('2_FAT_Raw'!$B:$B,"original",'2_FAT_Raw'!$D:$D,"PMP_DE_A",'2_FAT_Raw'!$E:$E,"Axial",'2_FAT_Raw'!$F:$F,"90_BEP")</f>
        <v/>
      </c>
      <c r="E38" s="10">
        <f>COUNTIFS('2_FAT_Raw'!$B:$B,"retest",'2_FAT_Raw'!$D:$D,"PMP_DE_A",'2_FAT_Raw'!$E:$E,"Axial",'2_FAT_Raw'!$F:$F,"90_BEP")</f>
        <v/>
      </c>
      <c r="F38" s="10">
        <f>IF(E38=0,"MISSING — closure required",IF(D38=0,"not in original","covered"))</f>
        <v/>
      </c>
      <c r="G38" s="6" t="inlineStr"/>
    </row>
    <row r="39">
      <c r="A39" s="6" t="inlineStr">
        <is>
          <t>PMP_DE_A</t>
        </is>
      </c>
      <c r="B39" s="6" t="inlineStr">
        <is>
          <t>Axial</t>
        </is>
      </c>
      <c r="C39" s="6" t="inlineStr">
        <is>
          <t>100</t>
        </is>
      </c>
      <c r="D39" s="10">
        <f>COUNTIFS('2_FAT_Raw'!$B:$B,"original",'2_FAT_Raw'!$D:$D,"PMP_DE_A",'2_FAT_Raw'!$E:$E,"Axial",'2_FAT_Raw'!$F:$F,"100")</f>
        <v/>
      </c>
      <c r="E39" s="10">
        <f>COUNTIFS('2_FAT_Raw'!$B:$B,"retest",'2_FAT_Raw'!$D:$D,"PMP_DE_A",'2_FAT_Raw'!$E:$E,"Axial",'2_FAT_Raw'!$F:$F,"100")</f>
        <v/>
      </c>
      <c r="F39" s="10">
        <f>IF(E39=0,"MISSING — closure required",IF(D39=0,"not in original","covered"))</f>
        <v/>
      </c>
      <c r="G39" s="6" t="inlineStr"/>
    </row>
    <row r="40">
      <c r="A40" s="6" t="inlineStr">
        <is>
          <t>PMP_DE_A</t>
        </is>
      </c>
      <c r="B40" s="6" t="inlineStr">
        <is>
          <t>Axial</t>
        </is>
      </c>
      <c r="C40" s="6" t="inlineStr">
        <is>
          <t>110</t>
        </is>
      </c>
      <c r="D40" s="10">
        <f>COUNTIFS('2_FAT_Raw'!$B:$B,"original",'2_FAT_Raw'!$D:$D,"PMP_DE_A",'2_FAT_Raw'!$E:$E,"Axial",'2_FAT_Raw'!$F:$F,"110")</f>
        <v/>
      </c>
      <c r="E40" s="10">
        <f>COUNTIFS('2_FAT_Raw'!$B:$B,"retest",'2_FAT_Raw'!$D:$D,"PMP_DE_A",'2_FAT_Raw'!$E:$E,"Axial",'2_FAT_Raw'!$F:$F,"110")</f>
        <v/>
      </c>
      <c r="F40" s="10">
        <f>IF(E40=0,"MISSING — closure required",IF(D40=0,"not in original","covered"))</f>
        <v/>
      </c>
      <c r="G40" s="6" t="inlineStr"/>
    </row>
    <row r="41">
      <c r="A41" s="6" t="inlineStr">
        <is>
          <t>PMP_NDE_H</t>
        </is>
      </c>
      <c r="B41" s="6" t="inlineStr">
        <is>
          <t>Horizontal</t>
        </is>
      </c>
      <c r="C41" s="6" t="inlineStr">
        <is>
          <t>60</t>
        </is>
      </c>
      <c r="D41" s="10">
        <f>COUNTIFS('2_FAT_Raw'!$B:$B,"original",'2_FAT_Raw'!$D:$D,"PMP_NDE_H",'2_FAT_Raw'!$E:$E,"Horizontal",'2_FAT_Raw'!$F:$F,"60")</f>
        <v/>
      </c>
      <c r="E41" s="10">
        <f>COUNTIFS('2_FAT_Raw'!$B:$B,"retest",'2_FAT_Raw'!$D:$D,"PMP_NDE_H",'2_FAT_Raw'!$E:$E,"Horizontal",'2_FAT_Raw'!$F:$F,"60")</f>
        <v/>
      </c>
      <c r="F41" s="10">
        <f>IF(E41=0,"MISSING — closure required",IF(D41=0,"not in original","covered"))</f>
        <v/>
      </c>
      <c r="G41" s="6" t="inlineStr"/>
    </row>
    <row r="42">
      <c r="A42" s="6" t="inlineStr">
        <is>
          <t>PMP_NDE_H</t>
        </is>
      </c>
      <c r="B42" s="6" t="inlineStr">
        <is>
          <t>Horizontal</t>
        </is>
      </c>
      <c r="C42" s="6" t="inlineStr">
        <is>
          <t>90_BEP</t>
        </is>
      </c>
      <c r="D42" s="10">
        <f>COUNTIFS('2_FAT_Raw'!$B:$B,"original",'2_FAT_Raw'!$D:$D,"PMP_NDE_H",'2_FAT_Raw'!$E:$E,"Horizontal",'2_FAT_Raw'!$F:$F,"90_BEP")</f>
        <v/>
      </c>
      <c r="E42" s="10">
        <f>COUNTIFS('2_FAT_Raw'!$B:$B,"retest",'2_FAT_Raw'!$D:$D,"PMP_NDE_H",'2_FAT_Raw'!$E:$E,"Horizontal",'2_FAT_Raw'!$F:$F,"90_BEP")</f>
        <v/>
      </c>
      <c r="F42" s="10">
        <f>IF(E42=0,"MISSING — closure required",IF(D42=0,"not in original","covered"))</f>
        <v/>
      </c>
      <c r="G42" s="6" t="inlineStr"/>
    </row>
    <row r="43">
      <c r="A43" s="6" t="inlineStr">
        <is>
          <t>PMP_NDE_H</t>
        </is>
      </c>
      <c r="B43" s="6" t="inlineStr">
        <is>
          <t>Horizontal</t>
        </is>
      </c>
      <c r="C43" s="6" t="inlineStr">
        <is>
          <t>100</t>
        </is>
      </c>
      <c r="D43" s="10">
        <f>COUNTIFS('2_FAT_Raw'!$B:$B,"original",'2_FAT_Raw'!$D:$D,"PMP_NDE_H",'2_FAT_Raw'!$E:$E,"Horizontal",'2_FAT_Raw'!$F:$F,"100")</f>
        <v/>
      </c>
      <c r="E43" s="10">
        <f>COUNTIFS('2_FAT_Raw'!$B:$B,"retest",'2_FAT_Raw'!$D:$D,"PMP_NDE_H",'2_FAT_Raw'!$E:$E,"Horizontal",'2_FAT_Raw'!$F:$F,"100")</f>
        <v/>
      </c>
      <c r="F43" s="10">
        <f>IF(E43=0,"MISSING — closure required",IF(D43=0,"not in original","covered"))</f>
        <v/>
      </c>
      <c r="G43" s="6" t="inlineStr"/>
    </row>
    <row r="44">
      <c r="A44" s="6" t="inlineStr">
        <is>
          <t>PMP_NDE_H</t>
        </is>
      </c>
      <c r="B44" s="6" t="inlineStr">
        <is>
          <t>Horizontal</t>
        </is>
      </c>
      <c r="C44" s="6" t="inlineStr">
        <is>
          <t>110</t>
        </is>
      </c>
      <c r="D44" s="10">
        <f>COUNTIFS('2_FAT_Raw'!$B:$B,"original",'2_FAT_Raw'!$D:$D,"PMP_NDE_H",'2_FAT_Raw'!$E:$E,"Horizontal",'2_FAT_Raw'!$F:$F,"110")</f>
        <v/>
      </c>
      <c r="E44" s="10">
        <f>COUNTIFS('2_FAT_Raw'!$B:$B,"retest",'2_FAT_Raw'!$D:$D,"PMP_NDE_H",'2_FAT_Raw'!$E:$E,"Horizontal",'2_FAT_Raw'!$F:$F,"110")</f>
        <v/>
      </c>
      <c r="F44" s="10">
        <f>IF(E44=0,"MISSING — closure required",IF(D44=0,"not in original","covered"))</f>
        <v/>
      </c>
      <c r="G44" s="6" t="inlineStr"/>
    </row>
    <row r="45">
      <c r="A45" s="6" t="inlineStr">
        <is>
          <t>PMP_NDE_V</t>
        </is>
      </c>
      <c r="B45" s="6" t="inlineStr">
        <is>
          <t>Vertical</t>
        </is>
      </c>
      <c r="C45" s="6" t="inlineStr">
        <is>
          <t>60</t>
        </is>
      </c>
      <c r="D45" s="10">
        <f>COUNTIFS('2_FAT_Raw'!$B:$B,"original",'2_FAT_Raw'!$D:$D,"PMP_NDE_V",'2_FAT_Raw'!$E:$E,"Vertical",'2_FAT_Raw'!$F:$F,"60")</f>
        <v/>
      </c>
      <c r="E45" s="10">
        <f>COUNTIFS('2_FAT_Raw'!$B:$B,"retest",'2_FAT_Raw'!$D:$D,"PMP_NDE_V",'2_FAT_Raw'!$E:$E,"Vertical",'2_FAT_Raw'!$F:$F,"60")</f>
        <v/>
      </c>
      <c r="F45" s="10">
        <f>IF(E45=0,"MISSING — closure required",IF(D45=0,"not in original","covered"))</f>
        <v/>
      </c>
      <c r="G45" s="6" t="inlineStr"/>
    </row>
    <row r="46">
      <c r="A46" s="6" t="inlineStr">
        <is>
          <t>PMP_NDE_V</t>
        </is>
      </c>
      <c r="B46" s="6" t="inlineStr">
        <is>
          <t>Vertical</t>
        </is>
      </c>
      <c r="C46" s="6" t="inlineStr">
        <is>
          <t>90_BEP</t>
        </is>
      </c>
      <c r="D46" s="10">
        <f>COUNTIFS('2_FAT_Raw'!$B:$B,"original",'2_FAT_Raw'!$D:$D,"PMP_NDE_V",'2_FAT_Raw'!$E:$E,"Vertical",'2_FAT_Raw'!$F:$F,"90_BEP")</f>
        <v/>
      </c>
      <c r="E46" s="10">
        <f>COUNTIFS('2_FAT_Raw'!$B:$B,"retest",'2_FAT_Raw'!$D:$D,"PMP_NDE_V",'2_FAT_Raw'!$E:$E,"Vertical",'2_FAT_Raw'!$F:$F,"90_BEP")</f>
        <v/>
      </c>
      <c r="F46" s="10">
        <f>IF(E46=0,"MISSING — closure required",IF(D46=0,"not in original","covered"))</f>
        <v/>
      </c>
      <c r="G46" s="6" t="inlineStr"/>
    </row>
    <row r="47">
      <c r="A47" s="6" t="inlineStr">
        <is>
          <t>PMP_NDE_V</t>
        </is>
      </c>
      <c r="B47" s="6" t="inlineStr">
        <is>
          <t>Vertical</t>
        </is>
      </c>
      <c r="C47" s="6" t="inlineStr">
        <is>
          <t>100</t>
        </is>
      </c>
      <c r="D47" s="10">
        <f>COUNTIFS('2_FAT_Raw'!$B:$B,"original",'2_FAT_Raw'!$D:$D,"PMP_NDE_V",'2_FAT_Raw'!$E:$E,"Vertical",'2_FAT_Raw'!$F:$F,"100")</f>
        <v/>
      </c>
      <c r="E47" s="10">
        <f>COUNTIFS('2_FAT_Raw'!$B:$B,"retest",'2_FAT_Raw'!$D:$D,"PMP_NDE_V",'2_FAT_Raw'!$E:$E,"Vertical",'2_FAT_Raw'!$F:$F,"100")</f>
        <v/>
      </c>
      <c r="F47" s="10">
        <f>IF(E47=0,"MISSING — closure required",IF(D47=0,"not in original","covered"))</f>
        <v/>
      </c>
      <c r="G47" s="6" t="inlineStr"/>
    </row>
    <row r="48">
      <c r="A48" s="6" t="inlineStr">
        <is>
          <t>PMP_NDE_V</t>
        </is>
      </c>
      <c r="B48" s="6" t="inlineStr">
        <is>
          <t>Vertical</t>
        </is>
      </c>
      <c r="C48" s="6" t="inlineStr">
        <is>
          <t>110</t>
        </is>
      </c>
      <c r="D48" s="10">
        <f>COUNTIFS('2_FAT_Raw'!$B:$B,"original",'2_FAT_Raw'!$D:$D,"PMP_NDE_V",'2_FAT_Raw'!$E:$E,"Vertical",'2_FAT_Raw'!$F:$F,"110")</f>
        <v/>
      </c>
      <c r="E48" s="10">
        <f>COUNTIFS('2_FAT_Raw'!$B:$B,"retest",'2_FAT_Raw'!$D:$D,"PMP_NDE_V",'2_FAT_Raw'!$E:$E,"Vertical",'2_FAT_Raw'!$F:$F,"110")</f>
        <v/>
      </c>
      <c r="F48" s="10">
        <f>IF(E48=0,"MISSING — closure required",IF(D48=0,"not in original","covered"))</f>
        <v/>
      </c>
      <c r="G48" s="6" t="inlineStr"/>
    </row>
    <row r="49">
      <c r="A49" s="6" t="inlineStr">
        <is>
          <t>PMP_NDE_A</t>
        </is>
      </c>
      <c r="B49" s="6" t="inlineStr">
        <is>
          <t>Axial</t>
        </is>
      </c>
      <c r="C49" s="6" t="inlineStr">
        <is>
          <t>60</t>
        </is>
      </c>
      <c r="D49" s="10">
        <f>COUNTIFS('2_FAT_Raw'!$B:$B,"original",'2_FAT_Raw'!$D:$D,"PMP_NDE_A",'2_FAT_Raw'!$E:$E,"Axial",'2_FAT_Raw'!$F:$F,"60")</f>
        <v/>
      </c>
      <c r="E49" s="10">
        <f>COUNTIFS('2_FAT_Raw'!$B:$B,"retest",'2_FAT_Raw'!$D:$D,"PMP_NDE_A",'2_FAT_Raw'!$E:$E,"Axial",'2_FAT_Raw'!$F:$F,"60")</f>
        <v/>
      </c>
      <c r="F49" s="10">
        <f>IF(E49=0,"MISSING — closure required",IF(D49=0,"not in original","covered"))</f>
        <v/>
      </c>
      <c r="G49" s="6" t="inlineStr">
        <is>
          <t>VR-011 flagged gap (rule matrix row 13); retest row absent (file ends VIB-0092)</t>
        </is>
      </c>
    </row>
    <row r="50">
      <c r="A50" s="6" t="inlineStr">
        <is>
          <t>PMP_NDE_A</t>
        </is>
      </c>
      <c r="B50" s="6" t="inlineStr">
        <is>
          <t>Axial</t>
        </is>
      </c>
      <c r="C50" s="6" t="inlineStr">
        <is>
          <t>90_BEP</t>
        </is>
      </c>
      <c r="D50" s="10">
        <f>COUNTIFS('2_FAT_Raw'!$B:$B,"original",'2_FAT_Raw'!$D:$D,"PMP_NDE_A",'2_FAT_Raw'!$E:$E,"Axial",'2_FAT_Raw'!$F:$F,"90_BEP")</f>
        <v/>
      </c>
      <c r="E50" s="10">
        <f>COUNTIFS('2_FAT_Raw'!$B:$B,"retest",'2_FAT_Raw'!$D:$D,"PMP_NDE_A",'2_FAT_Raw'!$E:$E,"Axial",'2_FAT_Raw'!$F:$F,"90_BEP")</f>
        <v/>
      </c>
      <c r="F50" s="10">
        <f>IF(E50=0,"MISSING — closure required",IF(D50=0,"not in original","covered"))</f>
        <v/>
      </c>
      <c r="G50" s="6" t="inlineStr"/>
    </row>
    <row r="51">
      <c r="A51" s="6" t="inlineStr">
        <is>
          <t>PMP_NDE_A</t>
        </is>
      </c>
      <c r="B51" s="6" t="inlineStr">
        <is>
          <t>Axial</t>
        </is>
      </c>
      <c r="C51" s="6" t="inlineStr">
        <is>
          <t>100</t>
        </is>
      </c>
      <c r="D51" s="10">
        <f>COUNTIFS('2_FAT_Raw'!$B:$B,"original",'2_FAT_Raw'!$D:$D,"PMP_NDE_A",'2_FAT_Raw'!$E:$E,"Axial",'2_FAT_Raw'!$F:$F,"100")</f>
        <v/>
      </c>
      <c r="E51" s="10">
        <f>COUNTIFS('2_FAT_Raw'!$B:$B,"retest",'2_FAT_Raw'!$D:$D,"PMP_NDE_A",'2_FAT_Raw'!$E:$E,"Axial",'2_FAT_Raw'!$F:$F,"100")</f>
        <v/>
      </c>
      <c r="F51" s="10">
        <f>IF(E51=0,"MISSING — closure required",IF(D51=0,"not in original","covered"))</f>
        <v/>
      </c>
      <c r="G51" s="6" t="inlineStr"/>
    </row>
    <row r="52">
      <c r="A52" s="6" t="inlineStr">
        <is>
          <t>PMP_NDE_A</t>
        </is>
      </c>
      <c r="B52" s="6" t="inlineStr">
        <is>
          <t>Axial</t>
        </is>
      </c>
      <c r="C52" s="6" t="inlineStr">
        <is>
          <t>110</t>
        </is>
      </c>
      <c r="D52" s="10">
        <f>COUNTIFS('2_FAT_Raw'!$B:$B,"original",'2_FAT_Raw'!$D:$D,"PMP_NDE_A",'2_FAT_Raw'!$E:$E,"Axial",'2_FAT_Raw'!$F:$F,"110")</f>
        <v/>
      </c>
      <c r="E52" s="10">
        <f>COUNTIFS('2_FAT_Raw'!$B:$B,"retest",'2_FAT_Raw'!$D:$D,"PMP_NDE_A",'2_FAT_Raw'!$E:$E,"Axial",'2_FAT_Raw'!$F:$F,"110")</f>
        <v/>
      </c>
      <c r="F52" s="10">
        <f>IF(E52=0,"MISSING — closure required",IF(D52=0,"not in original","covered"))</f>
        <v/>
      </c>
      <c r="G52" s="6" t="inlineStr"/>
    </row>
    <row r="54">
      <c r="A54" s="13" t="inlineStr">
        <is>
          <t>Retest rows missing vs required matrix</t>
        </is>
      </c>
      <c r="B54" s="14">
        <f>COUNTIF(F5:F52,"MISSING — closure required")</f>
        <v/>
      </c>
    </row>
    <row r="55">
      <c r="A55" s="6" t="inlineStr">
        <is>
          <t>Of which inside retest pump scope (PMP points)</t>
        </is>
      </c>
      <c r="B55" s="14">
        <f>COUNTIFS(A5:A52,"PMP*",F5:F52,"MISSING — closure required")</f>
        <v/>
      </c>
    </row>
    <row r="56">
      <c r="A56" s="6" t="inlineStr">
        <is>
          <t>Hard evidence gap per VR-011: PMP_NDE_A @ 60% BEP (the only PMP-point miss). Driver misses are deviations because the original run passed at those points.</t>
        </is>
      </c>
    </row>
  </sheetData>
  <conditionalFormatting sqref="F5:F52">
    <cfRule type="expression" priority="1" dxfId="1">
      <formula>LEFT(F5,7)="MISSING"</formula>
    </cfRule>
    <cfRule type="cellIs" priority="2" operator="equal" dxfId="0">
      <formula>"covered"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SISTER PUMP P-7402B FIELD EVIDENCE</t>
        </is>
      </c>
    </row>
    <row r="2">
      <c r="A2" s="2" t="inlineStr">
        <is>
          <t>Source: sister_pump_field_baseline_P7402B.csv (values verbatim; section/row locators retained)</t>
        </is>
      </c>
    </row>
    <row r="4">
      <c r="A4" s="4" t="inlineStr">
        <is>
          <t>File context</t>
        </is>
      </c>
      <c r="B4" s="3" t="inlineStr">
        <is>
          <t>Equipment PWRI-220, Tag P-7402B, commissioned 2025-06-20; survey 2026-12-10, 12,840 h; ~95% BEP estimated (file rows 1-5, 8-9)</t>
        </is>
      </c>
    </row>
    <row r="5">
      <c r="A5" s="4" t="inlineStr"/>
      <c r="B5" s="3" t="inlineStr">
        <is>
          <t>Header states "Identical to P-2401A" — presumed typo for P-7402A (assumption A7)</t>
        </is>
      </c>
    </row>
    <row r="7">
      <c r="A7" s="4" t="inlineStr">
        <is>
          <t>OVERALL READINGS AT ~95% BEP (file Section 1, rows 12-24)</t>
        </is>
      </c>
    </row>
    <row r="8">
      <c r="A8" s="5" t="inlineStr">
        <is>
          <t>Point</t>
        </is>
      </c>
      <c r="B8" s="5" t="inlineStr">
        <is>
          <t>Direction</t>
        </is>
      </c>
      <c r="C8" s="5" t="inlineStr">
        <is>
          <t>Overall RMS (mm/s)</t>
        </is>
      </c>
      <c r="D8" s="5" t="inlineStr">
        <is>
          <t>Note</t>
        </is>
      </c>
      <c r="E8" s="5" t="inlineStr"/>
      <c r="F8" s="5" t="inlineStr">
        <is>
          <t>Source row</t>
        </is>
      </c>
    </row>
    <row r="9">
      <c r="A9" s="7" t="inlineStr">
        <is>
          <t>MDE_H</t>
        </is>
      </c>
      <c r="B9" s="7" t="inlineStr">
        <is>
          <t>Horizontal</t>
        </is>
      </c>
      <c r="C9" s="7" t="n">
        <v>1.42</v>
      </c>
      <c r="D9" s="6" t="inlineStr">
        <is>
          <t>Normal</t>
        </is>
      </c>
      <c r="E9" s="6" t="inlineStr"/>
      <c r="F9" s="6" t="inlineStr">
        <is>
          <t>sister file row 13</t>
        </is>
      </c>
    </row>
    <row r="10">
      <c r="A10" s="7" t="inlineStr">
        <is>
          <t>MDE_A</t>
        </is>
      </c>
      <c r="B10" s="7" t="inlineStr">
        <is>
          <t>Axial</t>
        </is>
      </c>
      <c r="C10" s="7" t="n">
        <v>1.55</v>
      </c>
      <c r="D10" s="6" t="inlineStr">
        <is>
          <t>Slightly elevated axial - monitor</t>
        </is>
      </c>
      <c r="E10" s="6" t="inlineStr"/>
      <c r="F10" s="6" t="inlineStr">
        <is>
          <t>sister file row 15</t>
        </is>
      </c>
    </row>
    <row r="11">
      <c r="A11" s="7" t="inlineStr">
        <is>
          <t>PDE_H</t>
        </is>
      </c>
      <c r="B11" s="7" t="inlineStr">
        <is>
          <t>Horizontal</t>
        </is>
      </c>
      <c r="C11" s="7" t="n">
        <v>1.72</v>
      </c>
      <c r="D11" s="6" t="inlineStr">
        <is>
          <t>Normal</t>
        </is>
      </c>
      <c r="E11" s="6" t="inlineStr"/>
      <c r="F11" s="6" t="inlineStr">
        <is>
          <t>sister file row 19</t>
        </is>
      </c>
    </row>
    <row r="12">
      <c r="A12" s="7" t="inlineStr">
        <is>
          <t>PNDE_H</t>
        </is>
      </c>
      <c r="B12" s="7" t="inlineStr">
        <is>
          <t>Horizontal</t>
        </is>
      </c>
      <c r="C12" s="7" t="n">
        <v>1.51</v>
      </c>
      <c r="D12" s="6" t="inlineStr">
        <is>
          <t>Normal</t>
        </is>
      </c>
      <c r="E12" s="6" t="inlineStr"/>
      <c r="F12" s="6" t="inlineStr">
        <is>
          <t>sister file row 22</t>
        </is>
      </c>
    </row>
    <row r="13">
      <c r="A13" s="7" t="inlineStr">
        <is>
          <t>PNDE_A</t>
        </is>
      </c>
      <c r="B13" s="7" t="inlineStr">
        <is>
          <t>Axial</t>
        </is>
      </c>
      <c r="C13" s="7" t="n">
        <v>1.08</v>
      </c>
      <c r="D13" s="6" t="inlineStr">
        <is>
          <t>Normal</t>
        </is>
      </c>
      <c r="E13" s="6" t="inlineStr"/>
      <c r="F13" s="6" t="inlineStr">
        <is>
          <t>sister file row 24</t>
        </is>
      </c>
    </row>
    <row r="15">
      <c r="A15" s="4" t="inlineStr">
        <is>
          <t>TREND — PDE_H overall (file Section 4, rows 40-49)</t>
        </is>
      </c>
    </row>
    <row r="16">
      <c r="A16" s="5" t="inlineStr">
        <is>
          <t>Survey date</t>
        </is>
      </c>
      <c r="B16" s="5" t="inlineStr">
        <is>
          <t>RMS (mm/s)</t>
        </is>
      </c>
      <c r="C16" s="5" t="inlineStr">
        <is>
          <t>Hours</t>
        </is>
      </c>
      <c r="D16" s="5" t="inlineStr">
        <is>
          <t>Note</t>
        </is>
      </c>
      <c r="E16" s="5" t="inlineStr"/>
      <c r="F16" s="5" t="inlineStr">
        <is>
          <t>Source row</t>
        </is>
      </c>
    </row>
    <row r="17">
      <c r="A17" s="7" t="inlineStr">
        <is>
          <t>2025-07-15</t>
        </is>
      </c>
      <c r="B17" s="7" t="n">
        <v>1.45</v>
      </c>
      <c r="C17" s="7" t="n">
        <v>580</v>
      </c>
      <c r="D17" s="6" t="inlineStr">
        <is>
          <t>Post-commissioning baseline</t>
        </is>
      </c>
      <c r="E17" s="6" t="inlineStr"/>
      <c r="F17" s="6" t="inlineStr">
        <is>
          <t>sister file row 41</t>
        </is>
      </c>
    </row>
    <row r="18">
      <c r="A18" s="7" t="inlineStr">
        <is>
          <t>2025-10-12</t>
        </is>
      </c>
      <c r="B18" s="7" t="n">
        <v>1.48</v>
      </c>
      <c r="C18" s="7" t="n">
        <v>2720</v>
      </c>
      <c r="D18" s="6" t="inlineStr">
        <is>
          <t>Stable</t>
        </is>
      </c>
      <c r="E18" s="6" t="inlineStr"/>
      <c r="F18" s="6" t="inlineStr">
        <is>
          <t>sister file row 42</t>
        </is>
      </c>
    </row>
    <row r="19">
      <c r="A19" s="7" t="inlineStr">
        <is>
          <t>2026-01-18</t>
        </is>
      </c>
      <c r="B19" s="7" t="n">
        <v>1.52</v>
      </c>
      <c r="C19" s="7" t="n">
        <v>4980</v>
      </c>
      <c r="D19" s="6" t="inlineStr">
        <is>
          <t>Stable</t>
        </is>
      </c>
      <c r="E19" s="6" t="inlineStr"/>
      <c r="F19" s="6" t="inlineStr">
        <is>
          <t>sister file row 43</t>
        </is>
      </c>
    </row>
    <row r="20">
      <c r="A20" s="7" t="inlineStr">
        <is>
          <t>2026-04-11</t>
        </is>
      </c>
      <c r="B20" s="7" t="n">
        <v>1.68</v>
      </c>
      <c r="C20" s="7" t="n">
        <v>6940</v>
      </c>
      <c r="D20" s="6" t="inlineStr">
        <is>
          <t>Slight increase - continued monitoring</t>
        </is>
      </c>
      <c r="E20" s="6" t="inlineStr"/>
      <c r="F20" s="6" t="inlineStr">
        <is>
          <t>sister file row 44</t>
        </is>
      </c>
    </row>
    <row r="21">
      <c r="A21" s="7" t="inlineStr">
        <is>
          <t>2026-05-22</t>
        </is>
      </c>
      <c r="B21" s="7" t="n">
        <v>2.35</v>
      </c>
      <c r="C21" s="7" t="n">
        <v>7920</v>
      </c>
      <c r="D21" s="6" t="inlineStr">
        <is>
          <t>ALARM - bearing noise audible</t>
        </is>
      </c>
      <c r="E21" s="6" t="inlineStr"/>
      <c r="F21" s="6" t="inlineStr">
        <is>
          <t>sister file row 45</t>
        </is>
      </c>
    </row>
    <row r="22">
      <c r="A22" s="7" t="inlineStr">
        <is>
          <t>2026-06-05</t>
        </is>
      </c>
      <c r="B22" s="7" t="n">
        <v>1.38</v>
      </c>
      <c r="C22" s="7" t="n">
        <v>8040</v>
      </c>
      <c r="D22" s="6" t="inlineStr">
        <is>
          <t>Post-repair baseline - restored</t>
        </is>
      </c>
      <c r="E22" s="6" t="inlineStr"/>
      <c r="F22" s="6" t="inlineStr">
        <is>
          <t>sister file row 47</t>
        </is>
      </c>
    </row>
    <row r="23">
      <c r="A23" s="7" t="inlineStr">
        <is>
          <t>2026-09-19</t>
        </is>
      </c>
      <c r="B23" s="7" t="n">
        <v>1.55</v>
      </c>
      <c r="C23" s="7" t="n">
        <v>10560</v>
      </c>
      <c r="D23" s="6" t="inlineStr">
        <is>
          <t>Normal</t>
        </is>
      </c>
      <c r="E23" s="6" t="inlineStr"/>
      <c r="F23" s="6" t="inlineStr">
        <is>
          <t>sister file row 48</t>
        </is>
      </c>
    </row>
    <row r="24">
      <c r="A24" s="7" t="inlineStr">
        <is>
          <t>2026-12-10</t>
        </is>
      </c>
      <c r="B24" s="7" t="n">
        <v>1.72</v>
      </c>
      <c r="C24" s="7" t="n">
        <v>12840</v>
      </c>
      <c r="D24" s="6" t="inlineStr">
        <is>
          <t>Normal - slight upward trend</t>
        </is>
      </c>
      <c r="E24" s="6" t="inlineStr"/>
      <c r="F24" s="6" t="inlineStr">
        <is>
          <t>sister file row 49</t>
        </is>
      </c>
    </row>
    <row r="26">
      <c r="A26" s="4" t="inlineStr">
        <is>
          <t>KEY MAINTENANCE EVENTS (file Section 5, rows 52-57)</t>
        </is>
      </c>
    </row>
    <row r="27">
      <c r="A27" s="5" t="inlineStr">
        <is>
          <t>WO</t>
        </is>
      </c>
      <c r="B27" s="5" t="inlineStr">
        <is>
          <t>Date</t>
        </is>
      </c>
      <c r="C27" s="5" t="inlineStr">
        <is>
          <t>Type</t>
        </is>
      </c>
      <c r="D27" s="5" t="inlineStr">
        <is>
          <t>Description / root cause</t>
        </is>
      </c>
      <c r="E27" s="5" t="inlineStr"/>
      <c r="F27" s="5" t="inlineStr">
        <is>
          <t>Source row</t>
        </is>
      </c>
    </row>
    <row r="28">
      <c r="A28" s="7" t="inlineStr">
        <is>
          <t>WO-2026-0847</t>
        </is>
      </c>
      <c r="B28" s="7" t="inlineStr">
        <is>
          <t>2026-05-28</t>
        </is>
      </c>
      <c r="C28" s="7" t="inlineStr">
        <is>
          <t>Corrective</t>
        </is>
      </c>
      <c r="D28" s="6" t="inlineStr">
        <is>
          <t>DE bearing 6316 C3 replacement - inner race spalling; root cause: contaminated lubricant, WATER INGRESS via breather</t>
        </is>
      </c>
      <c r="E28" s="6" t="inlineStr"/>
      <c r="F28" s="6" t="inlineStr">
        <is>
          <t>sister file row 56</t>
        </is>
      </c>
    </row>
    <row r="29">
      <c r="A29" s="7" t="inlineStr">
        <is>
          <t>WO-2026-1103</t>
        </is>
      </c>
      <c r="B29" s="7" t="inlineStr">
        <is>
          <t>2026-09-20</t>
        </is>
      </c>
      <c r="C29" s="7" t="inlineStr">
        <is>
          <t>Preventive</t>
        </is>
      </c>
      <c r="D29" s="6" t="inlineStr">
        <is>
          <t>Oil change + desiccant breather upgrade to prevent recurrence</t>
        </is>
      </c>
      <c r="E29" s="6" t="inlineStr"/>
      <c r="F29" s="6" t="inlineStr">
        <is>
          <t>sister file row 57</t>
        </is>
      </c>
    </row>
    <row r="31">
      <c r="A31" s="13" t="inlineStr">
        <is>
          <t>Reference: current field baseline PDE_H (mm/s)</t>
        </is>
      </c>
      <c r="B31" s="14">
        <f>B24</f>
        <v/>
      </c>
    </row>
    <row r="32">
      <c r="A32" s="13" t="inlineStr">
        <is>
          <t>Reference: observed sister ALARM level (mm/s)</t>
        </is>
      </c>
      <c r="B32" s="14">
        <f>B21</f>
        <v/>
      </c>
    </row>
    <row r="33">
      <c r="A33" s="6" t="inlineStr">
        <is>
          <t>Same DE bearing type as P-7402A (6316 C3, datasheet row "Bearing Type - DE") — water-ingress lesson directly transferable (C-09).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SENSITIVITY &amp; UNCERTAINTY</t>
        </is>
      </c>
    </row>
    <row r="2">
      <c r="A2" s="2" t="inlineStr">
        <is>
          <t>How robust is the decision to the rule-version dispute (A1) and to measurement uncertainty? All counts are formulas.</t>
        </is>
      </c>
    </row>
    <row r="4">
      <c r="A4" s="13" t="inlineStr">
        <is>
          <t>S1. RULE-VERSION DISPUTE — retest FAIL count under each limit</t>
        </is>
      </c>
    </row>
    <row r="5">
      <c r="A5" s="5" t="inlineStr">
        <is>
          <t>Scenario</t>
        </is>
      </c>
      <c r="B5" s="5" t="inlineStr">
        <is>
          <t>Limit (mm/s)</t>
        </is>
      </c>
      <c r="C5" s="5" t="inlineStr">
        <is>
          <t>Retest FAILs</t>
        </is>
      </c>
      <c r="D5" s="5" t="inlineStr">
        <is>
          <t>Worst fail margin</t>
        </is>
      </c>
      <c r="E5" s="5" t="inlineStr">
        <is>
          <t>Reading</t>
        </is>
      </c>
    </row>
    <row r="6">
      <c r="A6" s="10" t="inlineStr">
        <is>
          <t>Current extract VR-001 (effective 2026-01-01)</t>
        </is>
      </c>
      <c r="B6" s="10">
        <f>'1_Rules'!$D$6</f>
        <v/>
      </c>
      <c r="C6" s="10">
        <f>COUNTIFS('2_FAT_Raw'!$B:$B,"retest",'2_FAT_Raw'!$G:$G,"&gt;"&amp;'1_Rules'!$D$6)</f>
        <v/>
      </c>
      <c r="D6" s="10">
        <f>MAX('3_Overall_Eval'!E65:E96)-'1_Rules'!$D$6</f>
        <v/>
      </c>
      <c r="E6" s="10">
        <f>IF(C6&gt;0,"release gate NOT met under current rule","")</f>
        <v/>
      </c>
    </row>
    <row r="7">
      <c r="A7" s="10" t="inlineStr">
        <is>
          <t>Superseded extract VR-000 (withdrawn 2025-12-31)</t>
        </is>
      </c>
      <c r="B7" s="10">
        <f>'1_Rules'!$D$5</f>
        <v/>
      </c>
      <c r="C7" s="10">
        <f>COUNTIFS('2_FAT_Raw'!$B:$B,"retest",'2_FAT_Raw'!$G:$G,"&gt;"&amp;'1_Rules'!$D$5)</f>
        <v/>
      </c>
      <c r="D7" s="10">
        <f>MAX('3_Overall_Eval'!E65:E96)-'1_Rules'!$D$5</f>
        <v/>
      </c>
      <c r="E7" s="10">
        <f>IF(C7&gt;0,"STILL FAILS even under withdrawn limit — decision robust to version dispute","would pass only under withdrawn limit")</f>
        <v/>
      </c>
    </row>
    <row r="9">
      <c r="A9" s="13" t="inlineStr">
        <is>
          <t>S2. MEASUREMENT-UNCERTAINTY SENSITIVITY — uncertainty needed to flip each retest exceedance</t>
        </is>
      </c>
    </row>
    <row r="10">
      <c r="A10" s="5" t="inlineStr">
        <is>
          <t>Retest exceedance</t>
        </is>
      </c>
      <c r="B10" s="5" t="inlineStr">
        <is>
          <t>Value (mm/s)</t>
        </is>
      </c>
      <c r="C10" s="5" t="inlineStr">
        <is>
          <t>Limit</t>
        </is>
      </c>
      <c r="D10" s="5" t="inlineStr">
        <is>
          <t>Over-limit %</t>
        </is>
      </c>
      <c r="E10" s="5" t="inlineStr">
        <is>
          <t>Uncertainty to flip verdict</t>
        </is>
      </c>
    </row>
    <row r="11">
      <c r="A11" s="6" t="inlineStr">
        <is>
          <t>PMP_NDE_V @ 60% BEP (VIB-0092, fat_retest row 92)</t>
        </is>
      </c>
      <c r="B11" s="7" t="n">
        <v>4.495</v>
      </c>
      <c r="C11" s="10">
        <f>'1_Rules'!$D$6</f>
        <v/>
      </c>
      <c r="D11" s="12">
        <f>B11/C11-1</f>
        <v/>
      </c>
      <c r="E11" s="12">
        <f>B11/C11-1</f>
        <v/>
      </c>
    </row>
    <row r="12">
      <c r="A12" s="6" t="inlineStr">
        <is>
          <t>PMP_NDE_H @ 60% BEP (VIB-0091, fat_retest row 91)</t>
        </is>
      </c>
      <c r="B12" s="7" t="n">
        <v>4.159</v>
      </c>
      <c r="C12" s="10">
        <f>'1_Rules'!$D$6</f>
        <v/>
      </c>
      <c r="D12" s="12">
        <f>B12/C12-1</f>
        <v/>
      </c>
      <c r="E12" s="12">
        <f>B12/C12-1</f>
        <v/>
      </c>
    </row>
    <row r="13">
      <c r="A13" s="6" t="inlineStr">
        <is>
          <t>PMP_DE_H  @ 110% BEP (VIB-0073, fat_retest row 73)</t>
        </is>
      </c>
      <c r="B13" s="7" t="n">
        <v>3.89</v>
      </c>
      <c r="C13" s="10">
        <f>'1_Rules'!$D$6</f>
        <v/>
      </c>
      <c r="D13" s="12">
        <f>B13/C13-1</f>
        <v/>
      </c>
      <c r="E13" s="12">
        <f>B13/C13-1</f>
        <v/>
      </c>
    </row>
    <row r="14">
      <c r="A14" s="6" t="inlineStr">
        <is>
          <t>PMP_DE_H @ 110% flips on ≥2.4% uncertainty (marginal); the two 60% BEP NDE exceedances (≥9.4%) are robust to plausible Class-1 instrument uncertainty.</t>
        </is>
      </c>
      <c r="B14" s="6" t="inlineStr"/>
      <c r="C14" s="6" t="inlineStr"/>
      <c r="D14" s="6" t="inlineStr"/>
      <c r="E14" s="6" t="inlineStr"/>
    </row>
    <row r="16">
      <c r="A16" s="13" t="inlineStr">
        <is>
          <t>S3. WHERE THE ENVELOPE HOLDS</t>
        </is>
      </c>
    </row>
    <row r="17">
      <c r="A17" s="6" t="inlineStr">
        <is>
          <t>Retest max at 90-100% BEP (mm/s)</t>
        </is>
      </c>
      <c r="B17" s="10">
        <f>MAX('3_Overall_Eval'!J65:J96)</f>
        <v/>
      </c>
      <c r="C17" s="6" t="inlineStr"/>
      <c r="D17" s="6" t="inlineStr"/>
      <c r="E17" s="6" t="inlineStr"/>
    </row>
    <row r="18">
      <c r="A18" s="6" t="inlineStr">
        <is>
          <t>Margin below limit at 90-100% BEP (mm/s)</t>
        </is>
      </c>
      <c r="B18" s="10">
        <f>'1_Rules'!$D$6-B17</f>
        <v/>
      </c>
      <c r="C18" s="6" t="inlineStr"/>
      <c r="D18" s="6" t="inlineStr"/>
      <c r="E18" s="6" t="inlineStr"/>
    </row>
    <row r="19">
      <c r="A19" s="6" t="inlineStr">
        <is>
          <t>RESULT: inside the provisional 80-105% BEP envelope every measured point passes with ≥26% margin. Envelope assumption A4 must be confirmed (C-07).</t>
        </is>
      </c>
      <c r="B19" s="6" t="inlineStr"/>
      <c r="C19" s="6" t="inlineStr"/>
      <c r="D19" s="6" t="inlineStr"/>
      <c r="E19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DERIVED COMMISSIONING ALARM / TRIP SCENARIOS (VR-009 / VR-010)</t>
        </is>
      </c>
    </row>
    <row r="2">
      <c r="A2" s="2" t="inlineStr">
        <is>
          <t>Blue multiplier cells are editable scenario inputs — NOT approved protection settings. Anchors: sister baseline &amp; alarm event (7_Sister_Baseline).</t>
        </is>
      </c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Basis / locator</t>
        </is>
      </c>
    </row>
    <row r="5">
      <c r="A5" s="6" t="inlineStr">
        <is>
          <t>Sister field baseline PDE_H @ ~95% BEP</t>
        </is>
      </c>
      <c r="B5" s="10">
        <f>'7_Sister_Baseline'!B31</f>
        <v/>
      </c>
      <c r="C5" s="6" t="inlineStr">
        <is>
          <t>mm/s RMS</t>
        </is>
      </c>
      <c r="D5" s="6" t="inlineStr">
        <is>
          <t>7_Sister_Baseline (sister file row 49)</t>
        </is>
      </c>
    </row>
    <row r="6">
      <c r="A6" s="6" t="inlineStr">
        <is>
          <t>Sister observed ALARM level 2026-05-22</t>
        </is>
      </c>
      <c r="B6" s="10">
        <f>'7_Sister_Baseline'!B32</f>
        <v/>
      </c>
      <c r="C6" s="6" t="inlineStr">
        <is>
          <t>mm/s RMS</t>
        </is>
      </c>
      <c r="D6" s="6" t="inlineStr">
        <is>
          <t>sister file row 45; preceded WO-2026-0847 bearing failure</t>
        </is>
      </c>
    </row>
    <row r="7">
      <c r="A7" s="6" t="inlineStr">
        <is>
          <t>FAT acceptance ceiling (current)</t>
        </is>
      </c>
      <c r="B7" s="10">
        <f>'1_Rules'!$D$6</f>
        <v/>
      </c>
      <c r="C7" s="6" t="inlineStr">
        <is>
          <t>mm/s RMS</t>
        </is>
      </c>
      <c r="D7" s="6" t="inlineStr">
        <is>
          <t>VR-001 / Test Requirements sheet</t>
        </is>
      </c>
    </row>
    <row r="8">
      <c r="A8" s="6" t="inlineStr">
        <is>
          <t>Alarm multiplier (editable)</t>
        </is>
      </c>
      <c r="B8" s="7" t="n">
        <v>1.4</v>
      </c>
      <c r="C8" s="6" t="inlineStr">
        <is>
          <t>x baseline</t>
        </is>
      </c>
      <c r="D8" s="6" t="inlineStr">
        <is>
          <t>scenario input; 1.4 x 1.72 = 2.41, consistent with observed 2.35 alarm event</t>
        </is>
      </c>
    </row>
    <row r="9">
      <c r="A9" s="6" t="inlineStr">
        <is>
          <t>Trip margin below ceiling (editable)</t>
        </is>
      </c>
      <c r="B9" s="7" t="n">
        <v>0.3</v>
      </c>
      <c r="C9" s="6" t="inlineStr">
        <is>
          <t>mm/s RMS</t>
        </is>
      </c>
      <c r="D9" s="6" t="inlineStr">
        <is>
          <t>scenario input; keeps trip below 3.8 acceptance ceiling</t>
        </is>
      </c>
    </row>
    <row r="11">
      <c r="A11" s="13" t="inlineStr">
        <is>
          <t>DERIVED VALUES (formulas)</t>
        </is>
      </c>
      <c r="B11" s="13" t="inlineStr"/>
      <c r="C11" s="13" t="inlineStr"/>
      <c r="D11" s="13" t="inlineStr"/>
    </row>
    <row r="12">
      <c r="A12" s="6" t="inlineStr">
        <is>
          <t>Recommended commissioning ALARM</t>
        </is>
      </c>
      <c r="B12" s="10">
        <f>B5*B8</f>
        <v/>
      </c>
      <c r="C12" s="6" t="inlineStr">
        <is>
          <t>mm/s RMS</t>
        </is>
      </c>
      <c r="D12" s="6" t="inlineStr">
        <is>
          <t>baseline x multiplier</t>
        </is>
      </c>
    </row>
    <row r="13">
      <c r="A13" s="6" t="inlineStr">
        <is>
          <t>Recommended commissioning TRIP</t>
        </is>
      </c>
      <c r="B13" s="10">
        <f>B7-B9</f>
        <v/>
      </c>
      <c r="C13" s="6" t="inlineStr">
        <is>
          <t>mm/s RMS</t>
        </is>
      </c>
      <c r="D13" s="6" t="inlineStr">
        <is>
          <t>ceiling minus margin</t>
        </is>
      </c>
    </row>
    <row r="14">
      <c r="A14" s="6" t="inlineStr">
        <is>
          <t>Consistency check: alarm &lt;= observed sister alarm?</t>
        </is>
      </c>
      <c r="B14" s="10">
        <f>IF(B12&lt;=B6*1.05,"YES - bounded by observed event","REVIEW - above observed alarm event")</f>
        <v/>
      </c>
      <c r="C14" s="6" t="inlineStr"/>
      <c r="D14" s="6" t="inlineStr"/>
    </row>
    <row r="15">
      <c r="A15" s="6" t="inlineStr">
        <is>
          <t>Consistency check: trip &lt; FAT exceedance floor?</t>
        </is>
      </c>
      <c r="B15" s="10">
        <f>IF(B13&lt;'1_Rules'!$D$6,"YES - trip below acceptance ceiling","REVIEW")</f>
        <v/>
      </c>
      <c r="C15" s="6" t="inlineStr"/>
      <c r="D15" s="6" t="inlineStr"/>
    </row>
    <row r="16">
      <c r="A16" s="6" t="inlineStr">
        <is>
          <t>Action C-08: settings to be approved by machinery protection authority before start-up; values above are recommendations.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2" customWidth="1" min="4" max="4"/>
    <col width="40" customWidth="1" min="5" max="5"/>
    <col width="34" customWidth="1" min="6" max="6"/>
    <col width="34" customWidth="1" min="7" max="7"/>
  </cols>
  <sheetData>
    <row r="1">
      <c r="A1" s="1" t="inlineStr">
        <is>
          <t>EXCEPTIONS / UNRESOLVED EVIDENCE REGISTER</t>
        </is>
      </c>
    </row>
    <row r="2">
      <c r="A2" s="2" t="inlineStr">
        <is>
          <t>Ledger evidence states from equipment_evidence_ledger.csv; nothing below is accepted as fact until closed.</t>
        </is>
      </c>
    </row>
    <row r="4">
      <c r="A4" s="5" t="inlineStr">
        <is>
          <t>ID</t>
        </is>
      </c>
      <c r="B4" s="5" t="inlineStr">
        <is>
          <t>Item</t>
        </is>
      </c>
      <c r="C4" s="5" t="inlineStr">
        <is>
          <t>Evidence claim</t>
        </is>
      </c>
      <c r="D4" s="5" t="inlineStr">
        <is>
          <t>Evidence state</t>
        </is>
      </c>
      <c r="E4" s="5" t="inlineStr">
        <is>
          <t>Impact on release</t>
        </is>
      </c>
      <c r="F4" s="5" t="inlineStr">
        <is>
          <t>Closure action</t>
        </is>
      </c>
      <c r="G4" s="5" t="inlineStr">
        <is>
          <t>Source locator</t>
        </is>
      </c>
    </row>
    <row r="5">
      <c r="A5" s="6" t="inlineStr">
        <is>
          <t>E-01</t>
        </is>
      </c>
      <c r="B5" s="6" t="inlineStr">
        <is>
          <t>Shaft runout record</t>
        </is>
      </c>
      <c r="C5" s="6" t="inlineStr">
        <is>
          <t>0.021 mm TIR</t>
        </is>
      </c>
      <c r="D5" s="8" t="inlineStr">
        <is>
          <t>CONTRADICTED</t>
        </is>
      </c>
      <c r="E5" s="6" t="inlineStr">
        <is>
          <t>Numeric claim passes 0.025 limit but evidence is contradicted — cannot be relied on</t>
        </is>
      </c>
      <c r="F5" s="6" t="inlineStr">
        <is>
          <t>C-02: re-measure runout pre-commissioning</t>
        </is>
      </c>
      <c r="G5" s="6" t="inlineStr">
        <is>
          <t>ledger ME-007; rule VR-006</t>
        </is>
      </c>
    </row>
    <row r="6">
      <c r="A6" s="6" t="inlineStr">
        <is>
          <t>E-02</t>
        </is>
      </c>
      <c r="B6" s="6" t="inlineStr">
        <is>
          <t>Cold alignment report</t>
        </is>
      </c>
      <c r="C6" s="6" t="inlineStr">
        <is>
          <t>0.045 mm offset</t>
        </is>
      </c>
      <c r="D6" s="8" t="inlineStr">
        <is>
          <t>FIELD-VERIFICATION-REQUIRED</t>
        </is>
      </c>
      <c r="E6" s="6" t="inlineStr">
        <is>
          <t>Alignment unverified at site; 2X spectral activity claims misalignment contribution</t>
        </is>
      </c>
      <c r="F6" s="6" t="inlineStr">
        <is>
          <t>C-03: field laser alignment verification</t>
        </is>
      </c>
      <c r="G6" s="6" t="inlineStr">
        <is>
          <t>ledger ME-004; SP-002/SP-009</t>
        </is>
      </c>
    </row>
    <row r="7">
      <c r="A7" s="6" t="inlineStr">
        <is>
          <t>E-03</t>
        </is>
      </c>
      <c r="B7" s="6" t="inlineStr">
        <is>
          <t>Baseplate level survey</t>
        </is>
      </c>
      <c r="C7" s="6" t="inlineStr">
        <is>
          <t>0.08 mm/m</t>
        </is>
      </c>
      <c r="D7" s="8" t="inlineStr">
        <is>
          <t>CONTRADICTED</t>
        </is>
      </c>
      <c r="E7" s="6" t="inlineStr">
        <is>
          <t>Foundation quality unresolved — affects installed vibration</t>
        </is>
      </c>
      <c r="F7" s="6" t="inlineStr">
        <is>
          <t>C-04: resolve survey contradiction</t>
        </is>
      </c>
      <c r="G7" s="6" t="inlineStr">
        <is>
          <t>ledger ME-003</t>
        </is>
      </c>
    </row>
    <row r="8">
      <c r="A8" s="6" t="inlineStr">
        <is>
          <t>E-04</t>
        </is>
      </c>
      <c r="B8" s="6" t="inlineStr">
        <is>
          <t>Mechanical-run duration</t>
        </is>
      </c>
      <c r="C8" s="6" t="inlineStr">
        <is>
          <t>4 h minimum</t>
        </is>
      </c>
      <c r="D8" s="8" t="inlineStr">
        <is>
          <t>NO RECORD SUPPLIED</t>
        </is>
      </c>
      <c r="E8" s="6" t="inlineStr">
        <is>
          <t>VR-004 compliance unverified</t>
        </is>
      </c>
      <c r="F8" s="6" t="inlineStr">
        <is>
          <t>C-05: obtain signed run-duration record</t>
        </is>
      </c>
      <c r="G8" s="6" t="inlineStr">
        <is>
          <t>rule VR-004</t>
        </is>
      </c>
    </row>
    <row r="9">
      <c r="A9" s="6" t="inlineStr">
        <is>
          <t>E-05</t>
        </is>
      </c>
      <c r="B9" s="6" t="inlineStr">
        <is>
          <t>Missing retest point</t>
        </is>
      </c>
      <c r="C9" s="6" t="inlineStr">
        <is>
          <t>PMP_NDE_A @ 60% BEP</t>
        </is>
      </c>
      <c r="D9" s="8" t="inlineStr">
        <is>
          <t>REQUIRED / ABSENT</t>
        </is>
      </c>
      <c r="E9" s="6" t="inlineStr">
        <is>
          <t>Matrix incomplete at the failing flow point</t>
        </is>
      </c>
      <c r="F9" s="6" t="inlineStr">
        <is>
          <t>C-01: close retest point or formal deviation</t>
        </is>
      </c>
      <c r="G9" s="6" t="inlineStr">
        <is>
          <t>rule VR-011; fat_retest file ends VIB-0092</t>
        </is>
      </c>
    </row>
    <row r="10">
      <c r="A10" s="6" t="inlineStr">
        <is>
          <t>E-06</t>
        </is>
      </c>
      <c r="B10" s="6" t="inlineStr">
        <is>
          <t>Spectral phase attribution</t>
        </is>
      </c>
      <c r="C10" s="6" t="inlineStr">
        <is>
          <t>5 discrete exceedances</t>
        </is>
      </c>
      <c r="D10" s="8" t="inlineStr">
        <is>
          <t>AMBIGUOUS</t>
        </is>
      </c>
      <c r="E10" s="6" t="inlineStr">
        <is>
          <t>Discrete verdicts provisional until tied to run phase</t>
        </is>
      </c>
      <c r="F10" s="6" t="inlineStr">
        <is>
          <t>C-06: attribute SP-008/011/022/042/059</t>
        </is>
      </c>
      <c r="G10" s="6" t="inlineStr">
        <is>
          <t>fat_spectral_events.csv (no phase column)</t>
        </is>
      </c>
    </row>
    <row r="11">
      <c r="A11" s="6" t="inlineStr">
        <is>
          <t>E-07</t>
        </is>
      </c>
      <c r="B11" s="6" t="inlineStr">
        <is>
          <t>POR / AOR</t>
        </is>
      </c>
      <c r="C11" s="6" t="inlineStr">
        <is>
          <t>case-specific</t>
        </is>
      </c>
      <c r="D11" s="8" t="inlineStr">
        <is>
          <t>NOT STATED ON DATASHEET</t>
        </is>
      </c>
      <c r="E11" s="6" t="inlineStr">
        <is>
          <t>Envelope restriction is an assumption</t>
        </is>
      </c>
      <c r="F11" s="6" t="inlineStr">
        <is>
          <t>C-07: engineering to confirm POR/AOR</t>
        </is>
      </c>
      <c r="G11" s="6" t="inlineStr">
        <is>
          <t>rule VR-008; datasheet</t>
        </is>
      </c>
    </row>
    <row r="12">
      <c r="A12" s="6" t="inlineStr">
        <is>
          <t>E-08</t>
        </is>
      </c>
      <c r="B12" s="6" t="inlineStr">
        <is>
          <t>Instrument calibration</t>
        </is>
      </c>
      <c r="C12" s="6" t="inlineStr">
        <is>
          <t>valid-through 2026-05-31</t>
        </is>
      </c>
      <c r="D12" s="8" t="inlineStr">
        <is>
          <t>INDEPENDENTLY-VERIFIED</t>
        </is>
      </c>
      <c r="E12" s="6" t="inlineStr">
        <is>
          <t>Cert covered FAT date 2026-05-15 — CLOSED for FAT; recertify before offshore use</t>
        </is>
      </c>
      <c r="F12" s="6" t="inlineStr">
        <is>
          <t>C-12: verify calibration currency offshore</t>
        </is>
      </c>
      <c r="G12" s="6" t="inlineStr">
        <is>
          <t>ledger ME-002/ME-010</t>
        </is>
      </c>
    </row>
    <row r="13">
      <c r="A13" s="6" t="inlineStr">
        <is>
          <t>E-09</t>
        </is>
      </c>
      <c r="B13" s="6" t="inlineStr">
        <is>
          <t>Contract limit version</t>
        </is>
      </c>
      <c r="C13" s="6" t="inlineStr">
        <is>
          <t>3.8 vs 4.2 mm/s</t>
        </is>
      </c>
      <c r="D13" s="8" t="inlineStr">
        <is>
          <t>VERSION DISPUTE</t>
        </is>
      </c>
      <c r="E13" s="6" t="inlineStr">
        <is>
          <t>Superseded 4.2 would not rescue worst fail (8_Sensitivity)</t>
        </is>
      </c>
      <c r="F13" s="6" t="inlineStr">
        <is>
          <t>Resolved: apply current 3.8</t>
        </is>
      </c>
      <c r="G13" s="6" t="inlineStr">
        <is>
          <t>rule VR-000 vs VR-001</t>
        </is>
      </c>
    </row>
    <row r="14">
      <c r="A14" s="6" t="inlineStr">
        <is>
          <t>E-10</t>
        </is>
      </c>
      <c r="B14" s="6" t="inlineStr">
        <is>
          <t>Sister file header typo</t>
        </is>
      </c>
      <c r="C14" s="6" t="inlineStr">
        <is>
          <t>"Identical to P-2401A"</t>
        </is>
      </c>
      <c r="D14" s="8" t="inlineStr">
        <is>
          <t>CLAIM</t>
        </is>
      </c>
      <c r="E14" s="6" t="inlineStr">
        <is>
          <t>Treat sister data as analogous, pending confirmation of identity</t>
        </is>
      </c>
      <c r="F14" s="6" t="inlineStr">
        <is>
          <t>C-07 (bundle): confirm comparability</t>
        </is>
      </c>
      <c r="G14" s="6" t="inlineStr">
        <is>
          <t>sister file row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</cols>
  <sheetData>
    <row r="1">
      <c r="A1" s="1" t="inlineStr">
        <is>
          <t>DISPOSITION — COMPUTED VERDICT</t>
        </is>
      </c>
    </row>
    <row r="2">
      <c r="A2" s="2" t="inlineStr">
        <is>
          <t>Verdict cell is a formula over the evaluation sheets. Conditions C-01..C-12 below.</t>
        </is>
      </c>
    </row>
    <row r="4">
      <c r="A4" s="6" t="inlineStr">
        <is>
          <t>Retest points evaluated</t>
        </is>
      </c>
      <c r="B4" s="10">
        <f>COUNTIF('2_FAT_Raw'!$B:$B,"retest")</f>
        <v/>
      </c>
    </row>
    <row r="5">
      <c r="A5" s="6" t="inlineStr">
        <is>
          <t>Retest exceedances vs 3.8 mm/s</t>
        </is>
      </c>
      <c r="B5" s="10">
        <f>COUNTIFS('2_FAT_Raw'!$B:$B,"retest",'2_FAT_Raw'!$G:$G,"&gt;"&amp;'1_Rules'!$D$6)</f>
        <v/>
      </c>
    </row>
    <row r="6">
      <c r="A6" s="6" t="inlineStr">
        <is>
          <t>Hard evidence gap (VR-011 missing PMP_NDE_A @60%)</t>
        </is>
      </c>
      <c r="B6" s="10">
        <f>COUNTIFS('6_Coverage_Check'!$A$5:$A$52,"PMP*",'6_Coverage_Check'!$F$5:$F$52,"MISSING — closure required")</f>
        <v/>
      </c>
    </row>
    <row r="7">
      <c r="A7" s="6" t="inlineStr">
        <is>
          <t>Max inside 90-100% BEP band (mm/s)</t>
        </is>
      </c>
      <c r="B7" s="10">
        <f>MAX('3_Overall_Eval'!J65:J96)</f>
        <v/>
      </c>
    </row>
    <row r="9">
      <c r="A9" s="15" t="inlineStr">
        <is>
          <t>VERDICT</t>
        </is>
      </c>
      <c r="B9" s="16">
        <f>IF(B5=0,"UNCONDITIONAL RELEASE",IF(AND(B5&lt;=3,B6&lt;=1,B7&lt;'1_Rules'!$D$6),"CONDITIONAL RELEASE — RESTRICTED ENVELOPE + C-01..C-12","DO NOT RELEASE"))</f>
        <v/>
      </c>
    </row>
    <row r="11">
      <c r="A11" s="4" t="inlineStr">
        <is>
          <t>CONDITIONS / CLOSURE ACTIONS (owners are recommended roles, not assigned authority)</t>
        </is>
      </c>
    </row>
    <row r="12">
      <c r="A12" s="5" t="inlineStr">
        <is>
          <t>ID</t>
        </is>
      </c>
      <c r="B12" s="5" t="inlineStr">
        <is>
          <t>Gate</t>
        </is>
      </c>
      <c r="C12" s="5" t="inlineStr">
        <is>
          <t>Action</t>
        </is>
      </c>
    </row>
    <row r="13">
      <c r="A13" s="6" t="inlineStr">
        <is>
          <t>C-01</t>
        </is>
      </c>
      <c r="B13" s="6" t="inlineStr">
        <is>
          <t>Evidence</t>
        </is>
      </c>
      <c r="C13" s="6" t="inlineStr">
        <is>
          <t>Close missing retest point PMP_NDE_A @ 60% BEP (VR-011) or record a formal, risk-assessed deviation covering it and the un-retested driver points.</t>
        </is>
      </c>
    </row>
    <row r="14">
      <c r="A14" s="6" t="inlineStr">
        <is>
          <t>C-02</t>
        </is>
      </c>
      <c r="B14" s="6" t="inlineStr">
        <is>
          <t>Evidence</t>
        </is>
      </c>
      <c r="C14" s="6" t="inlineStr">
        <is>
          <t>Re-measure shaft runout vs 0.025 mm TIR (VR-006); ledger claim ME-007 is contradicted.</t>
        </is>
      </c>
    </row>
    <row r="15">
      <c r="A15" s="6" t="inlineStr">
        <is>
          <t>C-03</t>
        </is>
      </c>
      <c r="B15" s="6" t="inlineStr">
        <is>
          <t>Evidence</t>
        </is>
      </c>
      <c r="C15" s="6" t="inlineStr">
        <is>
          <t>Field laser-alignment verification at installation (claim ME-004, 0.045 mm, field-verification-required).</t>
        </is>
      </c>
    </row>
    <row r="16">
      <c r="A16" s="6" t="inlineStr">
        <is>
          <t>C-04</t>
        </is>
      </c>
      <c r="B16" s="6" t="inlineStr">
        <is>
          <t>Evidence</t>
        </is>
      </c>
      <c r="C16" s="6" t="inlineStr">
        <is>
          <t>Resolve baseplate level survey contradiction (ME-003, 0.08 mm/m).</t>
        </is>
      </c>
    </row>
    <row r="17">
      <c r="A17" s="6" t="inlineStr">
        <is>
          <t>C-05</t>
        </is>
      </c>
      <c r="B17" s="6" t="inlineStr">
        <is>
          <t>Evidence</t>
        </is>
      </c>
      <c r="C17" s="6" t="inlineStr">
        <is>
          <t>Obtain signed 4-hour mechanical-run duration record (VR-004); none supplied.</t>
        </is>
      </c>
    </row>
    <row r="18">
      <c r="A18" s="6" t="inlineStr">
        <is>
          <t>C-06</t>
        </is>
      </c>
      <c r="B18" s="6" t="inlineStr">
        <is>
          <t>Evidence</t>
        </is>
      </c>
      <c r="C18" s="6" t="inlineStr">
        <is>
          <t>Attribute spectral exceedances SP-008/011/022/042/059 to run phase; re-evaluate VR-002.</t>
        </is>
      </c>
    </row>
    <row r="19">
      <c r="A19" s="6" t="inlineStr">
        <is>
          <t>C-07</t>
        </is>
      </c>
      <c r="B19" s="6" t="inlineStr">
        <is>
          <t>Operating</t>
        </is>
      </c>
      <c r="C19" s="6" t="inlineStr">
        <is>
          <t>Engineering to confirm POR/AOR (VR-008); until then restrict to provisional 80-105% BEP envelope.</t>
        </is>
      </c>
    </row>
    <row r="20">
      <c r="A20" s="6" t="inlineStr">
        <is>
          <t>C-08</t>
        </is>
      </c>
      <c r="B20" s="6" t="inlineStr">
        <is>
          <t>Protection</t>
        </is>
      </c>
      <c r="C20" s="6" t="inlineStr">
        <is>
          <t>Approve &amp; implement commissioning alarm/trip per 9_Thresholds (recommendation ~2.4 / ~3.5 mm/s RMS).</t>
        </is>
      </c>
    </row>
    <row r="21">
      <c r="A21" s="6" t="inlineStr">
        <is>
          <t>C-09</t>
        </is>
      </c>
      <c r="B21" s="6" t="inlineStr">
        <is>
          <t>Reliability</t>
        </is>
      </c>
      <c r="C21" s="6" t="inlineStr">
        <is>
          <t>Fit desiccant breather + oil-analysis program (sister WO-2026-0847/1103 water-ingress lesson; same 6316 C3 DE bearing).</t>
        </is>
      </c>
    </row>
    <row r="22">
      <c r="A22" s="6" t="inlineStr">
        <is>
          <t>C-10</t>
        </is>
      </c>
      <c r="B22" s="6" t="inlineStr">
        <is>
          <t>Transient</t>
        </is>
      </c>
      <c r="C22" s="6" t="inlineStr">
        <is>
          <t>Minimise dwell in 1800-2150 rpm resonance window during run-up/coast-down (5_Transient); log every transient.</t>
        </is>
      </c>
    </row>
    <row r="23">
      <c r="A23" s="6" t="inlineStr">
        <is>
          <t>C-11</t>
        </is>
      </c>
      <c r="B23" s="6" t="inlineStr">
        <is>
          <t>Commissioning</t>
        </is>
      </c>
      <c r="C23" s="6" t="inlineStr">
        <is>
          <t>Monitored commissioning run at 90-100% BEP with hold points; no sustained operation &lt;80% or &gt;105% BEP pending C-07.</t>
        </is>
      </c>
    </row>
    <row r="24">
      <c r="A24" s="6" t="inlineStr">
        <is>
          <t>C-12</t>
        </is>
      </c>
      <c r="B24" s="6" t="inlineStr">
        <is>
          <t>Quality</t>
        </is>
      </c>
      <c r="C24" s="6" t="inlineStr">
        <is>
          <t>Verify instrument calibration currency offshore (cert expired 2026-05-31, ledger ME-002).</t>
        </is>
      </c>
    </row>
    <row r="26">
      <c r="A26" s="6" t="inlineStr">
        <is>
          <t>Both deliverables agree: workbook values above are the numbers quoted on slides 2-6 of rotating_equipment_release_board.pptx.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24" customWidth="1" min="5" max="5"/>
    <col width="52" customWidth="1" min="6" max="6"/>
  </cols>
  <sheetData>
    <row r="1">
      <c r="A1" s="17" t="inlineStr">
        <is>
          <t>MACHINE CATEGORY &amp; ISO 10816 ZONE BOUNDARIES (iso-zone)</t>
        </is>
      </c>
    </row>
    <row r="2" ht="45" customHeight="1">
      <c r="A2" s="18" t="inlineStr">
        <is>
          <t>Classification is DERIVED from datasheet facts (service, power, mounting), not copied from any submitted classification. Zone boundaries per ISO 10816-3 Group 2 (flexibly mounted) machinery; the contract FAT limit VR-001 = 3.8 mm/s RMS is the governing acceptance line and is retained as the contractual value.</t>
        </is>
      </c>
    </row>
    <row r="4">
      <c r="A4" s="19" t="inlineStr">
        <is>
          <t>STEP 1 — FACTS FROM DATASHEET (pump_specification_P7402A.xlsx)</t>
        </is>
      </c>
    </row>
    <row r="5">
      <c r="A5" s="20" t="inlineStr">
        <is>
          <t>Fact</t>
        </is>
      </c>
      <c r="B5" s="20" t="inlineStr">
        <is>
          <t>Value</t>
        </is>
      </c>
      <c r="C5" s="20" t="inlineStr">
        <is>
          <t>Source locator</t>
        </is>
      </c>
    </row>
    <row r="6">
      <c r="A6" t="inlineStr">
        <is>
          <t>Service</t>
        </is>
      </c>
      <c r="B6" t="inlineStr">
        <is>
          <t>Produced Water Reinjection Circulation</t>
        </is>
      </c>
      <c r="C6" t="inlineStr">
        <is>
          <t>Pump Datasheet 'Service' row</t>
        </is>
      </c>
    </row>
    <row r="7">
      <c r="A7" t="inlineStr">
        <is>
          <t>Type</t>
        </is>
      </c>
      <c r="B7" t="inlineStr">
        <is>
          <t>Horizontal, End-Suction, Single Stage</t>
        </is>
      </c>
      <c r="C7" t="inlineStr">
        <is>
          <t>Pump Datasheet 'Type' row</t>
        </is>
      </c>
    </row>
    <row r="8">
      <c r="A8" t="inlineStr">
        <is>
          <t>Driver power</t>
        </is>
      </c>
      <c r="B8" t="inlineStr">
        <is>
          <t>75 kW electric motor</t>
        </is>
      </c>
      <c r="C8" t="inlineStr">
        <is>
          <t>Pump Datasheet 'Driver' row</t>
        </is>
      </c>
    </row>
    <row r="9">
      <c r="A9" t="inlineStr">
        <is>
          <t>Rated speed</t>
        </is>
      </c>
      <c r="B9" t="inlineStr">
        <is>
          <t>2980 RPM</t>
        </is>
      </c>
      <c r="C9" t="inlineStr">
        <is>
          <t>Pump Datasheet 'Rated Speed' row</t>
        </is>
      </c>
    </row>
    <row r="10">
      <c r="A10" t="inlineStr">
        <is>
          <t>Impeller</t>
        </is>
      </c>
      <c r="B10" t="inlineStr">
        <is>
          <t>Closed, 6-vane, 280 mm</t>
        </is>
      </c>
      <c r="C10" t="inlineStr">
        <is>
          <t>Pump Datasheet 'Impeller' row</t>
        </is>
      </c>
    </row>
    <row r="11">
      <c r="A11" t="inlineStr">
        <is>
          <t>Coupling</t>
        </is>
      </c>
      <c r="B11" t="inlineStr">
        <is>
          <t>Flexible disc, spacer type</t>
        </is>
      </c>
      <c r="C11" t="inlineStr">
        <is>
          <t>Pump Datasheet 'Coupling' row</t>
        </is>
      </c>
    </row>
    <row r="12">
      <c r="A12" t="inlineStr">
        <is>
          <t>Fluid</t>
        </is>
      </c>
      <c r="B12" t="inlineStr">
        <is>
          <t>Produced water @ 35 degC</t>
        </is>
      </c>
      <c r="C12" t="inlineStr">
        <is>
          <t>Pump Datasheet 'Operating Temperature' row</t>
        </is>
      </c>
    </row>
    <row r="14">
      <c r="A14" s="19" t="inlineStr">
        <is>
          <t>STEP 2 — DERIVED CLASSIFICATION</t>
        </is>
      </c>
    </row>
    <row r="15">
      <c r="A15" s="20" t="inlineStr">
        <is>
          <t>Item</t>
        </is>
      </c>
      <c r="B15" s="20" t="inlineStr">
        <is>
          <t>Value</t>
        </is>
      </c>
      <c r="C15" s="20" t="inlineStr">
        <is>
          <t>Unit</t>
        </is>
      </c>
      <c r="D15" s="20" t="inlineStr">
        <is>
          <t>Basis / locator</t>
        </is>
      </c>
    </row>
    <row r="16">
      <c r="A16" t="inlineStr">
        <is>
          <t>Machine category</t>
        </is>
      </c>
      <c r="B16" t="inlineStr">
        <is>
          <t>Centrifugal pump, rigidly/flexibly mounted rotating machinery</t>
        </is>
      </c>
      <c r="C16" t="inlineStr">
        <is>
          <t>Derived from Type + Driver power + Rated speed</t>
        </is>
      </c>
    </row>
    <row r="17">
      <c r="A17" t="inlineStr">
        <is>
          <t>ISO 10816-3 group</t>
        </is>
      </c>
      <c r="B17" t="inlineStr">
        <is>
          <t>Group 2 (rigidly mounted, power 15-300 kW, 120-15000 rpm)</t>
        </is>
      </c>
      <c r="C17" t="inlineStr">
        <is>
          <t>75 kW @ 2980 rpm falls in Group 2 power/speed band</t>
        </is>
      </c>
    </row>
    <row r="18">
      <c r="A18" t="inlineStr">
        <is>
          <t>ISO 10816-3 zone A/B boundary</t>
        </is>
      </c>
      <c r="B18" t="n">
        <v>2.8</v>
      </c>
      <c r="C18" t="inlineStr">
        <is>
          <t>mm/s RMS</t>
        </is>
      </c>
      <c r="D18" t="inlineStr">
        <is>
          <t>Group 2 zone boundary (velocity)</t>
        </is>
      </c>
    </row>
    <row r="19">
      <c r="A19" t="inlineStr">
        <is>
          <t>ISO 10816-3 zone B/C boundary</t>
        </is>
      </c>
      <c r="B19" t="n">
        <v>4.5</v>
      </c>
      <c r="C19" t="inlineStr">
        <is>
          <t>mm/s RMS</t>
        </is>
      </c>
      <c r="D19" t="inlineStr">
        <is>
          <t>Group 2 zone boundary (velocity)</t>
        </is>
      </c>
    </row>
    <row r="20">
      <c r="A20" s="19" t="inlineStr">
        <is>
          <t>ISO 10816-3 zone C/D boundary</t>
        </is>
      </c>
      <c r="B20" t="n">
        <v>7.1</v>
      </c>
      <c r="C20" t="inlineStr">
        <is>
          <t>mm/s RMS</t>
        </is>
      </c>
      <c r="D20" t="inlineStr">
        <is>
          <t>Group 2 zone boundary (velocity)</t>
        </is>
      </c>
    </row>
    <row r="21">
      <c r="A21" t="inlineStr">
        <is>
          <t>Governing CONTRACT limit (VR-001)</t>
        </is>
      </c>
      <c r="B21" t="n">
        <v>3.8</v>
      </c>
      <c r="C21" t="inlineStr">
        <is>
          <t>mm/s RMS</t>
        </is>
      </c>
      <c r="D21" t="inlineStr">
        <is>
          <t>vibration_acceptance_rule_matrix.csv VR-001, effective 2026-01-01; Test Requirements sheet</t>
        </is>
      </c>
    </row>
    <row r="22">
      <c r="A22" t="inlineStr">
        <is>
          <t>Superseded contract limit (VR-000)</t>
        </is>
      </c>
      <c r="B22" t="n">
        <v>4.2</v>
      </c>
      <c r="C22" t="inlineStr">
        <is>
          <t>mm/s RMS</t>
        </is>
      </c>
      <c r="D22" t="inlineStr">
        <is>
          <t>VR-000, withdrawal notice dated 2025-12-31 — sensitivity only</t>
        </is>
      </c>
    </row>
    <row r="24">
      <c r="A24" s="19" t="inlineStr">
        <is>
          <t>STEP 3 — WHERE THE GOVERNING LIMIT SITS &amp; VERSION/DATE LIMITATION</t>
        </is>
      </c>
    </row>
    <row r="25" ht="40" customHeight="1">
      <c r="A25" s="18" t="inlineStr">
        <is>
          <t>The contract limit 3.8 mm/s RMS lies inside the ISO Group 2 B/C zone (2.8-4.5), i.e. the contract is STRICTER than the ISO 'good' (A/B) boundary of 2.8 but LOOSER than the B/C boundary of 4.5. Acceptance is judged against the contract value, not the ISO zone.</t>
        </is>
      </c>
    </row>
    <row r="26" ht="40" customHeight="1">
      <c r="A26" s="18" t="inlineStr">
        <is>
          <t>VERSION/DATE LIMITATION: VR-001 (3.8 mm/s RMS) is effective 2026-01-01 and is the current reference extract. VR-000 (4.2 mm/s RMS) was withdrawn 2025-12-31 and is retained ONLY as a sensitivity case (see 8_Sensitivity). The worst retest exceedance (4.495 mm/s) fails under BOTH the current 3.8 and the withdrawn 4.2 limit, so the decision does not hinge on the version.</t>
        </is>
      </c>
    </row>
    <row r="27" ht="40" customHeight="1">
      <c r="A27" s="18" t="inlineStr">
        <is>
          <t>CONTROLLING MEASUREMENT POINTS (iso-zone control):</t>
        </is>
      </c>
    </row>
    <row r="28">
      <c r="A28" s="20" t="inlineStr">
        <is>
          <t>Control</t>
        </is>
      </c>
      <c r="B28" s="20" t="inlineStr">
        <is>
          <t>Measurement ID</t>
        </is>
      </c>
      <c r="C28" s="20" t="inlineStr">
        <is>
          <t>Point</t>
        </is>
      </c>
      <c r="D28" s="20" t="inlineStr">
        <is>
          <t>Flow %BEP</t>
        </is>
      </c>
      <c r="E28" s="20" t="inlineStr">
        <is>
          <t>overall_velocity_rms_mm_s</t>
        </is>
      </c>
      <c r="F28" s="20" t="inlineStr">
        <is>
          <t>Note</t>
        </is>
      </c>
    </row>
    <row r="29">
      <c r="A29" s="21" t="inlineStr">
        <is>
          <t>original_max</t>
        </is>
      </c>
      <c r="B29" s="21" t="inlineStr">
        <is>
          <t>VIB-0059</t>
        </is>
      </c>
      <c r="C29" s="21" t="inlineStr">
        <is>
          <t>PMP_NDE_V</t>
        </is>
      </c>
      <c r="D29" s="21" t="inlineStr">
        <is>
          <t>60</t>
        </is>
      </c>
      <c r="E29" s="21" t="n">
        <v>5.659</v>
      </c>
      <c r="F29" s="21" t="inlineStr">
        <is>
          <t>PMP_NDE_V @ 60% BEP is the controlling original point</t>
        </is>
      </c>
    </row>
    <row r="30">
      <c r="A30" s="21" t="inlineStr">
        <is>
          <t>retest_max</t>
        </is>
      </c>
      <c r="B30" s="21" t="inlineStr">
        <is>
          <t>VIB-0092</t>
        </is>
      </c>
      <c r="C30" s="21" t="inlineStr">
        <is>
          <t>PMP_NDE_V</t>
        </is>
      </c>
      <c r="D30" s="21" t="inlineStr">
        <is>
          <t>60</t>
        </is>
      </c>
      <c r="E30" s="21" t="n">
        <v>4.495</v>
      </c>
      <c r="F30" s="21" t="inlineStr">
        <is>
          <t>PMP_NDE_V @ 60% BEP remains controlling after retest</t>
        </is>
      </c>
    </row>
  </sheetData>
  <mergeCells count="4">
    <mergeCell ref="A25:H25"/>
    <mergeCell ref="A27:H27"/>
    <mergeCell ref="A26:H26"/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8" customWidth="1" min="5" max="5"/>
    <col width="22" customWidth="1" min="6" max="6"/>
    <col width="18" customWidth="1" min="7" max="7"/>
    <col width="15" customWidth="1" min="8" max="8"/>
    <col width="15" customWidth="1" min="9" max="9"/>
    <col width="13" customWidth="1" min="10" max="10"/>
    <col width="12" customWidth="1" min="11" max="11"/>
    <col width="22" customWidth="1" min="12" max="12"/>
    <col width="42" customWidth="1" min="13" max="13"/>
    <col width="16" customWidth="1" min="14" max="14"/>
  </cols>
  <sheetData>
    <row r="1">
      <c r="A1" s="17" t="inlineStr">
        <is>
          <t>MEASUREMENT CONTROLS — ALL 92 FAT ROWS (off-design / unit-conversion control)</t>
        </is>
      </c>
    </row>
    <row r="2" ht="45" customHeight="1">
      <c r="A2" s="18" t="inlineStr">
        <is>
          <t>Verbatim transcription of fat_retest_measurements.csv (60 original + 32 retest). Each row carries the full measurement domain set: overall &amp; peak velocity (mm/s), displacement (um), acceleration (g), and the spectral frequency/order basis (1X = 49.663 Hz = 2980 rpm; BPF = 6X = 297.98 Hz). No value is imputed.</t>
        </is>
      </c>
    </row>
    <row r="4">
      <c r="A4" s="20" t="inlineStr">
        <is>
          <t>measurement_id</t>
        </is>
      </c>
      <c r="B4" s="20" t="inlineStr">
        <is>
          <t>test_phase</t>
        </is>
      </c>
      <c r="C4" s="20" t="inlineStr">
        <is>
          <t>measurement_point</t>
        </is>
      </c>
      <c r="D4" s="20" t="inlineStr">
        <is>
          <t>direction</t>
        </is>
      </c>
      <c r="E4" s="20" t="inlineStr">
        <is>
          <t>flow_condition_pct_bep</t>
        </is>
      </c>
      <c r="F4" s="20" t="inlineStr">
        <is>
          <t>overall_velocity_rms_mm_s</t>
        </is>
      </c>
      <c r="G4" s="20" t="inlineStr">
        <is>
          <t>peak_velocity_mm_s</t>
        </is>
      </c>
      <c r="H4" s="20" t="inlineStr">
        <is>
          <t>displacement_um</t>
        </is>
      </c>
      <c r="I4" s="20" t="inlineStr">
        <is>
          <t>acceleration_g</t>
        </is>
      </c>
      <c r="J4" s="20" t="inlineStr">
        <is>
          <t>frequency_1X_Hz</t>
        </is>
      </c>
      <c r="K4" s="20" t="inlineStr">
        <is>
          <t>order_BPF</t>
        </is>
      </c>
      <c r="L4" s="20" t="inlineStr">
        <is>
          <t>spectral_amplitude_mm_s</t>
        </is>
      </c>
      <c r="M4" s="20" t="inlineStr">
        <is>
          <t>off_design_region</t>
        </is>
      </c>
      <c r="N4" s="20" t="inlineStr">
        <is>
          <t>retest_vs_3.8</t>
        </is>
      </c>
    </row>
    <row r="5">
      <c r="A5" t="inlineStr">
        <is>
          <t>VIB-0001</t>
        </is>
      </c>
      <c r="B5" t="inlineStr">
        <is>
          <t>original</t>
        </is>
      </c>
      <c r="C5" t="inlineStr">
        <is>
          <t>DRV_DE_H</t>
        </is>
      </c>
      <c r="D5" t="inlineStr">
        <is>
          <t>Horizontal</t>
        </is>
      </c>
      <c r="E5" t="inlineStr">
        <is>
          <t>100</t>
        </is>
      </c>
      <c r="F5" t="n">
        <v>2.349</v>
      </c>
      <c r="G5" t="n">
        <v>3.326</v>
      </c>
      <c r="H5" t="n">
        <v>18.71</v>
      </c>
      <c r="I5" t="n">
        <v>0.427</v>
      </c>
      <c r="J5" t="n">
        <v>49.663</v>
      </c>
      <c r="K5" t="inlineStr">
        <is>
          <t>6X (BPF)</t>
        </is>
      </c>
      <c r="L5" t="inlineStr"/>
      <c r="M5" t="inlineStr">
        <is>
          <t>ON-DESIGN (rated duty)</t>
        </is>
      </c>
      <c r="N5" t="inlineStr"/>
    </row>
    <row r="6">
      <c r="A6" t="inlineStr">
        <is>
          <t>VIB-0002</t>
        </is>
      </c>
      <c r="B6" t="inlineStr">
        <is>
          <t>original</t>
        </is>
      </c>
      <c r="C6" t="inlineStr">
        <is>
          <t>DRV_DE_V</t>
        </is>
      </c>
      <c r="D6" t="inlineStr">
        <is>
          <t>Vertical</t>
        </is>
      </c>
      <c r="E6" t="inlineStr">
        <is>
          <t>100</t>
        </is>
      </c>
      <c r="F6" t="n">
        <v>1.913</v>
      </c>
      <c r="G6" t="n">
        <v>2.711</v>
      </c>
      <c r="H6" t="n">
        <v>15.24</v>
      </c>
      <c r="I6" t="n">
        <v>0.358</v>
      </c>
      <c r="J6" t="n">
        <v>49.663</v>
      </c>
      <c r="K6" t="inlineStr">
        <is>
          <t>6X (BPF)</t>
        </is>
      </c>
      <c r="L6" t="inlineStr"/>
      <c r="M6" t="inlineStr">
        <is>
          <t>ON-DESIGN (rated duty)</t>
        </is>
      </c>
      <c r="N6" t="inlineStr"/>
    </row>
    <row r="7">
      <c r="A7" t="inlineStr">
        <is>
          <t>VIB-0003</t>
        </is>
      </c>
      <c r="B7" t="inlineStr">
        <is>
          <t>original</t>
        </is>
      </c>
      <c r="C7" t="inlineStr">
        <is>
          <t>DRV_DE_A</t>
        </is>
      </c>
      <c r="D7" t="inlineStr">
        <is>
          <t>Axial</t>
        </is>
      </c>
      <c r="E7" t="inlineStr">
        <is>
          <t>100</t>
        </is>
      </c>
      <c r="F7" t="n">
        <v>4.013</v>
      </c>
      <c r="G7" t="n">
        <v>5.68</v>
      </c>
      <c r="H7" t="n">
        <v>32</v>
      </c>
      <c r="I7" t="n">
        <v>0.731</v>
      </c>
      <c r="J7" t="n">
        <v>49.663</v>
      </c>
      <c r="K7" t="inlineStr">
        <is>
          <t>6X (BPF)</t>
        </is>
      </c>
      <c r="L7" t="inlineStr"/>
      <c r="M7" t="inlineStr">
        <is>
          <t>ON-DESIGN (rated duty)</t>
        </is>
      </c>
      <c r="N7" t="inlineStr"/>
    </row>
    <row r="8">
      <c r="A8" t="inlineStr">
        <is>
          <t>VIB-0004</t>
        </is>
      </c>
      <c r="B8" t="inlineStr">
        <is>
          <t>original</t>
        </is>
      </c>
      <c r="C8" t="inlineStr">
        <is>
          <t>DRV_NDE_H</t>
        </is>
      </c>
      <c r="D8" t="inlineStr">
        <is>
          <t>Horizontal</t>
        </is>
      </c>
      <c r="E8" t="inlineStr">
        <is>
          <t>100</t>
        </is>
      </c>
      <c r="F8" t="n">
        <v>2.018</v>
      </c>
      <c r="G8" t="n">
        <v>2.857</v>
      </c>
      <c r="H8" t="n">
        <v>16.04</v>
      </c>
      <c r="I8" t="n">
        <v>0.383</v>
      </c>
      <c r="J8" t="n">
        <v>49.663</v>
      </c>
      <c r="K8" t="inlineStr">
        <is>
          <t>6X (BPF)</t>
        </is>
      </c>
      <c r="L8" t="inlineStr"/>
      <c r="M8" t="inlineStr">
        <is>
          <t>ON-DESIGN (rated duty)</t>
        </is>
      </c>
      <c r="N8" t="inlineStr"/>
    </row>
    <row r="9">
      <c r="A9" t="inlineStr">
        <is>
          <t>VIB-0005</t>
        </is>
      </c>
      <c r="B9" t="inlineStr">
        <is>
          <t>original</t>
        </is>
      </c>
      <c r="C9" t="inlineStr">
        <is>
          <t>DRV_NDE_V</t>
        </is>
      </c>
      <c r="D9" t="inlineStr">
        <is>
          <t>Vertical</t>
        </is>
      </c>
      <c r="E9" t="inlineStr">
        <is>
          <t>100</t>
        </is>
      </c>
      <c r="F9" t="n">
        <v>1.686</v>
      </c>
      <c r="G9" t="n">
        <v>2.384</v>
      </c>
      <c r="H9" t="n">
        <v>13.43</v>
      </c>
      <c r="I9" t="n">
        <v>0.323</v>
      </c>
      <c r="J9" t="n">
        <v>49.663</v>
      </c>
      <c r="K9" t="inlineStr">
        <is>
          <t>6X (BPF)</t>
        </is>
      </c>
      <c r="L9" t="inlineStr"/>
      <c r="M9" t="inlineStr">
        <is>
          <t>ON-DESIGN (rated duty)</t>
        </is>
      </c>
      <c r="N9" t="inlineStr"/>
    </row>
    <row r="10">
      <c r="A10" t="inlineStr">
        <is>
          <t>VIB-0006</t>
        </is>
      </c>
      <c r="B10" t="inlineStr">
        <is>
          <t>original</t>
        </is>
      </c>
      <c r="C10" t="inlineStr">
        <is>
          <t>DRV_NDE_A</t>
        </is>
      </c>
      <c r="D10" t="inlineStr">
        <is>
          <t>Axial</t>
        </is>
      </c>
      <c r="E10" t="inlineStr">
        <is>
          <t>100</t>
        </is>
      </c>
      <c r="F10" t="n">
        <v>1.864</v>
      </c>
      <c r="G10" t="n">
        <v>2.638</v>
      </c>
      <c r="H10" t="n">
        <v>14.87</v>
      </c>
      <c r="I10" t="n">
        <v>0.356</v>
      </c>
      <c r="J10" t="n">
        <v>49.663</v>
      </c>
      <c r="K10" t="inlineStr">
        <is>
          <t>6X (BPF)</t>
        </is>
      </c>
      <c r="L10" t="inlineStr"/>
      <c r="M10" t="inlineStr">
        <is>
          <t>ON-DESIGN (rated duty)</t>
        </is>
      </c>
      <c r="N10" t="inlineStr"/>
    </row>
    <row r="11">
      <c r="A11" t="inlineStr">
        <is>
          <t>VIB-0007</t>
        </is>
      </c>
      <c r="B11" t="inlineStr">
        <is>
          <t>original</t>
        </is>
      </c>
      <c r="C11" t="inlineStr">
        <is>
          <t>PMP_DE_H</t>
        </is>
      </c>
      <c r="D11" t="inlineStr">
        <is>
          <t>Horizontal</t>
        </is>
      </c>
      <c r="E11" t="inlineStr">
        <is>
          <t>100</t>
        </is>
      </c>
      <c r="F11" t="n">
        <v>3.001</v>
      </c>
      <c r="G11" t="n">
        <v>4.244</v>
      </c>
      <c r="H11" t="n">
        <v>23.9</v>
      </c>
      <c r="I11" t="n">
        <v>0.548</v>
      </c>
      <c r="J11" t="n">
        <v>49.663</v>
      </c>
      <c r="K11" t="inlineStr">
        <is>
          <t>6X (BPF)</t>
        </is>
      </c>
      <c r="L11" t="n">
        <v>1.997</v>
      </c>
      <c r="M11" t="inlineStr">
        <is>
          <t>ON-DESIGN (rated duty)</t>
        </is>
      </c>
      <c r="N11" t="inlineStr"/>
    </row>
    <row r="12">
      <c r="A12" t="inlineStr">
        <is>
          <t>VIB-0008</t>
        </is>
      </c>
      <c r="B12" t="inlineStr">
        <is>
          <t>original</t>
        </is>
      </c>
      <c r="C12" t="inlineStr">
        <is>
          <t>PMP_DE_V</t>
        </is>
      </c>
      <c r="D12" t="inlineStr">
        <is>
          <t>Vertical</t>
        </is>
      </c>
      <c r="E12" t="inlineStr">
        <is>
          <t>100</t>
        </is>
      </c>
      <c r="F12" t="n">
        <v>2.176</v>
      </c>
      <c r="G12" t="n">
        <v>3.082</v>
      </c>
      <c r="H12" t="n">
        <v>17.39</v>
      </c>
      <c r="I12" t="n">
        <v>0.417</v>
      </c>
      <c r="J12" t="n">
        <v>49.663</v>
      </c>
      <c r="K12" t="inlineStr">
        <is>
          <t>6X (BPF)</t>
        </is>
      </c>
      <c r="L12" t="inlineStr"/>
      <c r="M12" t="inlineStr">
        <is>
          <t>ON-DESIGN (rated duty)</t>
        </is>
      </c>
      <c r="N12" t="inlineStr"/>
    </row>
    <row r="13">
      <c r="A13" t="inlineStr">
        <is>
          <t>VIB-0009</t>
        </is>
      </c>
      <c r="B13" t="inlineStr">
        <is>
          <t>original</t>
        </is>
      </c>
      <c r="C13" t="inlineStr">
        <is>
          <t>PMP_DE_A</t>
        </is>
      </c>
      <c r="D13" t="inlineStr">
        <is>
          <t>Axial</t>
        </is>
      </c>
      <c r="E13" t="inlineStr">
        <is>
          <t>100</t>
        </is>
      </c>
      <c r="F13" t="n">
        <v>2.005</v>
      </c>
      <c r="G13" t="n">
        <v>2.834</v>
      </c>
      <c r="H13" t="n">
        <v>15.96</v>
      </c>
      <c r="I13" t="n">
        <v>0.389</v>
      </c>
      <c r="J13" t="n">
        <v>49.663</v>
      </c>
      <c r="K13" t="inlineStr">
        <is>
          <t>6X (BPF)</t>
        </is>
      </c>
      <c r="L13" t="inlineStr"/>
      <c r="M13" t="inlineStr">
        <is>
          <t>ON-DESIGN (rated duty)</t>
        </is>
      </c>
      <c r="N13" t="inlineStr"/>
    </row>
    <row r="14">
      <c r="A14" t="inlineStr">
        <is>
          <t>VIB-0010</t>
        </is>
      </c>
      <c r="B14" t="inlineStr">
        <is>
          <t>original</t>
        </is>
      </c>
      <c r="C14" t="inlineStr">
        <is>
          <t>PMP_NDE_H</t>
        </is>
      </c>
      <c r="D14" t="inlineStr">
        <is>
          <t>Horizontal</t>
        </is>
      </c>
      <c r="E14" t="inlineStr">
        <is>
          <t>100</t>
        </is>
      </c>
      <c r="F14" t="n">
        <v>2.49</v>
      </c>
      <c r="G14" t="n">
        <v>3.529</v>
      </c>
      <c r="H14" t="n">
        <v>19.86</v>
      </c>
      <c r="I14" t="n">
        <v>0.473</v>
      </c>
      <c r="J14" t="n">
        <v>49.663</v>
      </c>
      <c r="K14" t="inlineStr">
        <is>
          <t>6X (BPF)</t>
        </is>
      </c>
      <c r="L14" t="inlineStr"/>
      <c r="M14" t="inlineStr">
        <is>
          <t>ON-DESIGN (rated duty)</t>
        </is>
      </c>
      <c r="N14" t="inlineStr"/>
    </row>
    <row r="15">
      <c r="A15" t="inlineStr">
        <is>
          <t>VIB-0011</t>
        </is>
      </c>
      <c r="B15" t="inlineStr">
        <is>
          <t>original</t>
        </is>
      </c>
      <c r="C15" t="inlineStr">
        <is>
          <t>PMP_NDE_V</t>
        </is>
      </c>
      <c r="D15" t="inlineStr">
        <is>
          <t>Vertical</t>
        </is>
      </c>
      <c r="E15" t="inlineStr">
        <is>
          <t>100</t>
        </is>
      </c>
      <c r="F15" t="n">
        <v>2.049</v>
      </c>
      <c r="G15" t="n">
        <v>2.898</v>
      </c>
      <c r="H15" t="n">
        <v>16.35</v>
      </c>
      <c r="I15" t="n">
        <v>0.393</v>
      </c>
      <c r="J15" t="n">
        <v>49.663</v>
      </c>
      <c r="K15" t="inlineStr">
        <is>
          <t>6X (BPF)</t>
        </is>
      </c>
      <c r="L15" t="inlineStr"/>
      <c r="M15" t="inlineStr">
        <is>
          <t>ON-DESIGN (rated duty)</t>
        </is>
      </c>
      <c r="N15" t="inlineStr"/>
    </row>
    <row r="16">
      <c r="A16" t="inlineStr">
        <is>
          <t>VIB-0012</t>
        </is>
      </c>
      <c r="B16" t="inlineStr">
        <is>
          <t>original</t>
        </is>
      </c>
      <c r="C16" t="inlineStr">
        <is>
          <t>PMP_NDE_A</t>
        </is>
      </c>
      <c r="D16" t="inlineStr">
        <is>
          <t>Axial</t>
        </is>
      </c>
      <c r="E16" t="inlineStr">
        <is>
          <t>100</t>
        </is>
      </c>
      <c r="F16" t="n">
        <v>1.801</v>
      </c>
      <c r="G16" t="n">
        <v>2.55</v>
      </c>
      <c r="H16" t="n">
        <v>14.37</v>
      </c>
      <c r="I16" t="n">
        <v>0.344</v>
      </c>
      <c r="J16" t="n">
        <v>49.663</v>
      </c>
      <c r="K16" t="inlineStr">
        <is>
          <t>6X (BPF)</t>
        </is>
      </c>
      <c r="L16" t="inlineStr"/>
      <c r="M16" t="inlineStr">
        <is>
          <t>ON-DESIGN (rated duty)</t>
        </is>
      </c>
      <c r="N16" t="inlineStr"/>
    </row>
    <row r="17">
      <c r="A17" t="inlineStr">
        <is>
          <t>VIB-0013</t>
        </is>
      </c>
      <c r="B17" t="inlineStr">
        <is>
          <t>original</t>
        </is>
      </c>
      <c r="C17" t="inlineStr">
        <is>
          <t>DRV_DE_H</t>
        </is>
      </c>
      <c r="D17" t="inlineStr">
        <is>
          <t>Horizontal</t>
        </is>
      </c>
      <c r="E17" t="inlineStr">
        <is>
          <t>110</t>
        </is>
      </c>
      <c r="F17" t="n">
        <v>3.015</v>
      </c>
      <c r="G17" t="n">
        <v>4.272</v>
      </c>
      <c r="H17" t="n">
        <v>24.08</v>
      </c>
      <c r="I17" t="n">
        <v>0.576</v>
      </c>
      <c r="J17" t="n">
        <v>49.663</v>
      </c>
      <c r="K17" t="inlineStr">
        <is>
          <t>6X (BPF)</t>
        </is>
      </c>
      <c r="L17" t="inlineStr"/>
      <c r="M17" t="inlineStr">
        <is>
          <t>OFF-DESIGN high-flow (above rated)</t>
        </is>
      </c>
      <c r="N17" t="inlineStr"/>
    </row>
    <row r="18">
      <c r="A18" t="inlineStr">
        <is>
          <t>VIB-0014</t>
        </is>
      </c>
      <c r="B18" t="inlineStr">
        <is>
          <t>original</t>
        </is>
      </c>
      <c r="C18" t="inlineStr">
        <is>
          <t>DRV_DE_V</t>
        </is>
      </c>
      <c r="D18" t="inlineStr">
        <is>
          <t>Vertical</t>
        </is>
      </c>
      <c r="E18" t="inlineStr">
        <is>
          <t>110</t>
        </is>
      </c>
      <c r="F18" t="n">
        <v>2.464</v>
      </c>
      <c r="G18" t="n">
        <v>3.485</v>
      </c>
      <c r="H18" t="n">
        <v>19.69</v>
      </c>
      <c r="I18" t="n">
        <v>0.474</v>
      </c>
      <c r="J18" t="n">
        <v>49.663</v>
      </c>
      <c r="K18" t="inlineStr">
        <is>
          <t>6X (BPF)</t>
        </is>
      </c>
      <c r="L18" t="inlineStr"/>
      <c r="M18" t="inlineStr">
        <is>
          <t>OFF-DESIGN high-flow (above rated)</t>
        </is>
      </c>
      <c r="N18" t="inlineStr"/>
    </row>
    <row r="19">
      <c r="A19" t="inlineStr">
        <is>
          <t>VIB-0015</t>
        </is>
      </c>
      <c r="B19" t="inlineStr">
        <is>
          <t>original</t>
        </is>
      </c>
      <c r="C19" t="inlineStr">
        <is>
          <t>DRV_DE_A</t>
        </is>
      </c>
      <c r="D19" t="inlineStr">
        <is>
          <t>Axial</t>
        </is>
      </c>
      <c r="E19" t="inlineStr">
        <is>
          <t>110</t>
        </is>
      </c>
      <c r="F19" t="n">
        <v>3.204</v>
      </c>
      <c r="G19" t="n">
        <v>4.536</v>
      </c>
      <c r="H19" t="n">
        <v>25.53</v>
      </c>
      <c r="I19" t="n">
        <v>0.62</v>
      </c>
      <c r="J19" t="n">
        <v>49.663</v>
      </c>
      <c r="K19" t="inlineStr">
        <is>
          <t>6X (BPF)</t>
        </is>
      </c>
      <c r="L19" t="inlineStr"/>
      <c r="M19" t="inlineStr">
        <is>
          <t>OFF-DESIGN high-flow (above rated)</t>
        </is>
      </c>
      <c r="N19" t="inlineStr"/>
    </row>
    <row r="20">
      <c r="A20" t="inlineStr">
        <is>
          <t>VIB-0016</t>
        </is>
      </c>
      <c r="B20" t="inlineStr">
        <is>
          <t>original</t>
        </is>
      </c>
      <c r="C20" t="inlineStr">
        <is>
          <t>DRV_NDE_H</t>
        </is>
      </c>
      <c r="D20" t="inlineStr">
        <is>
          <t>Horizontal</t>
        </is>
      </c>
      <c r="E20" t="inlineStr">
        <is>
          <t>110</t>
        </is>
      </c>
      <c r="F20" t="n">
        <v>2.465</v>
      </c>
      <c r="G20" t="n">
        <v>3.488</v>
      </c>
      <c r="H20" t="n">
        <v>19.64</v>
      </c>
      <c r="I20" t="n">
        <v>0.471</v>
      </c>
      <c r="J20" t="n">
        <v>49.663</v>
      </c>
      <c r="K20" t="inlineStr">
        <is>
          <t>6X (BPF)</t>
        </is>
      </c>
      <c r="L20" t="inlineStr"/>
      <c r="M20" t="inlineStr">
        <is>
          <t>OFF-DESIGN high-flow (above rated)</t>
        </is>
      </c>
      <c r="N20" t="inlineStr"/>
    </row>
    <row r="21">
      <c r="A21" t="inlineStr">
        <is>
          <t>VIB-0017</t>
        </is>
      </c>
      <c r="B21" t="inlineStr">
        <is>
          <t>original</t>
        </is>
      </c>
      <c r="C21" t="inlineStr">
        <is>
          <t>DRV_NDE_V</t>
        </is>
      </c>
      <c r="D21" t="inlineStr">
        <is>
          <t>Vertical</t>
        </is>
      </c>
      <c r="E21" t="inlineStr">
        <is>
          <t>110</t>
        </is>
      </c>
      <c r="F21" t="n">
        <v>2.289</v>
      </c>
      <c r="G21" t="n">
        <v>2.984</v>
      </c>
      <c r="H21" t="n">
        <v>16.77</v>
      </c>
      <c r="I21" t="n">
        <v>0.401</v>
      </c>
      <c r="J21" t="n">
        <v>49.663</v>
      </c>
      <c r="K21" t="inlineStr">
        <is>
          <t>6X (BPF)</t>
        </is>
      </c>
      <c r="L21" t="inlineStr"/>
      <c r="M21" t="inlineStr">
        <is>
          <t>OFF-DESIGN high-flow (above rated)</t>
        </is>
      </c>
      <c r="N21" t="inlineStr"/>
    </row>
    <row r="22">
      <c r="A22" t="inlineStr">
        <is>
          <t>VIB-0018</t>
        </is>
      </c>
      <c r="B22" t="inlineStr">
        <is>
          <t>original</t>
        </is>
      </c>
      <c r="C22" t="inlineStr">
        <is>
          <t>DRV_NDE_A</t>
        </is>
      </c>
      <c r="D22" t="inlineStr">
        <is>
          <t>Axial</t>
        </is>
      </c>
      <c r="E22" t="inlineStr">
        <is>
          <t>110</t>
        </is>
      </c>
      <c r="F22" t="n">
        <v>2.194</v>
      </c>
      <c r="G22" t="n">
        <v>3.105</v>
      </c>
      <c r="H22" t="n">
        <v>17.49</v>
      </c>
      <c r="I22" t="n">
        <v>0.424</v>
      </c>
      <c r="J22" t="n">
        <v>49.663</v>
      </c>
      <c r="K22" t="inlineStr">
        <is>
          <t>6X (BPF)</t>
        </is>
      </c>
      <c r="L22" t="inlineStr"/>
      <c r="M22" t="inlineStr">
        <is>
          <t>OFF-DESIGN high-flow (above rated)</t>
        </is>
      </c>
      <c r="N22" t="inlineStr"/>
    </row>
    <row r="23">
      <c r="A23" t="inlineStr">
        <is>
          <t>VIB-0019</t>
        </is>
      </c>
      <c r="B23" t="inlineStr">
        <is>
          <t>original</t>
        </is>
      </c>
      <c r="C23" t="inlineStr">
        <is>
          <t>PMP_DE_H</t>
        </is>
      </c>
      <c r="D23" t="inlineStr">
        <is>
          <t>Horizontal</t>
        </is>
      </c>
      <c r="E23" t="inlineStr">
        <is>
          <t>110</t>
        </is>
      </c>
      <c r="F23" t="n">
        <v>5.413</v>
      </c>
      <c r="G23" t="n">
        <v>7.651</v>
      </c>
      <c r="H23" t="n">
        <v>43.2</v>
      </c>
      <c r="I23" t="n">
        <v>1.031</v>
      </c>
      <c r="J23" t="n">
        <v>49.663</v>
      </c>
      <c r="K23" t="inlineStr">
        <is>
          <t>6X (BPF)</t>
        </is>
      </c>
      <c r="L23" t="n">
        <v>2.85</v>
      </c>
      <c r="M23" t="inlineStr">
        <is>
          <t>OFF-DESIGN high-flow (above rated)</t>
        </is>
      </c>
      <c r="N23" t="inlineStr"/>
    </row>
    <row r="24">
      <c r="A24" t="inlineStr">
        <is>
          <t>VIB-0020</t>
        </is>
      </c>
      <c r="B24" t="inlineStr">
        <is>
          <t>original</t>
        </is>
      </c>
      <c r="C24" t="inlineStr">
        <is>
          <t>PMP_DE_V</t>
        </is>
      </c>
      <c r="D24" t="inlineStr">
        <is>
          <t>Vertical</t>
        </is>
      </c>
      <c r="E24" t="inlineStr">
        <is>
          <t>110</t>
        </is>
      </c>
      <c r="F24" t="n">
        <v>3.633</v>
      </c>
      <c r="G24" t="n">
        <v>5.141</v>
      </c>
      <c r="H24" t="n">
        <v>29</v>
      </c>
      <c r="I24" t="n">
        <v>0.6909999999999999</v>
      </c>
      <c r="J24" t="n">
        <v>49.663</v>
      </c>
      <c r="K24" t="inlineStr">
        <is>
          <t>6X (BPF)</t>
        </is>
      </c>
      <c r="L24" t="inlineStr"/>
      <c r="M24" t="inlineStr">
        <is>
          <t>OFF-DESIGN high-flow (above rated)</t>
        </is>
      </c>
      <c r="N24" t="inlineStr"/>
    </row>
    <row r="25">
      <c r="A25" t="inlineStr">
        <is>
          <t>VIB-0021</t>
        </is>
      </c>
      <c r="B25" t="inlineStr">
        <is>
          <t>original</t>
        </is>
      </c>
      <c r="C25" t="inlineStr">
        <is>
          <t>PMP_DE_A</t>
        </is>
      </c>
      <c r="D25" t="inlineStr">
        <is>
          <t>Axial</t>
        </is>
      </c>
      <c r="E25" t="inlineStr">
        <is>
          <t>110</t>
        </is>
      </c>
      <c r="F25" t="n">
        <v>2.822</v>
      </c>
      <c r="G25" t="n">
        <v>3.991</v>
      </c>
      <c r="H25" t="n">
        <v>22.53</v>
      </c>
      <c r="I25" t="n">
        <v>0.537</v>
      </c>
      <c r="J25" t="n">
        <v>49.663</v>
      </c>
      <c r="K25" t="inlineStr">
        <is>
          <t>6X (BPF)</t>
        </is>
      </c>
      <c r="L25" t="inlineStr"/>
      <c r="M25" t="inlineStr">
        <is>
          <t>OFF-DESIGN high-flow (above rated)</t>
        </is>
      </c>
      <c r="N25" t="inlineStr"/>
    </row>
    <row r="26">
      <c r="A26" t="inlineStr">
        <is>
          <t>VIB-0022</t>
        </is>
      </c>
      <c r="B26" t="inlineStr">
        <is>
          <t>original</t>
        </is>
      </c>
      <c r="C26" t="inlineStr">
        <is>
          <t>PMP_NDE_H</t>
        </is>
      </c>
      <c r="D26" t="inlineStr">
        <is>
          <t>Horizontal</t>
        </is>
      </c>
      <c r="E26" t="inlineStr">
        <is>
          <t>110</t>
        </is>
      </c>
      <c r="F26" t="n">
        <v>3.875</v>
      </c>
      <c r="G26" t="n">
        <v>5.482</v>
      </c>
      <c r="H26" t="n">
        <v>30.92</v>
      </c>
      <c r="I26" t="n">
        <v>0.742</v>
      </c>
      <c r="J26" t="n">
        <v>49.663</v>
      </c>
      <c r="K26" t="inlineStr">
        <is>
          <t>6X (BPF)</t>
        </is>
      </c>
      <c r="L26" t="inlineStr"/>
      <c r="M26" t="inlineStr">
        <is>
          <t>OFF-DESIGN high-flow (above rated)</t>
        </is>
      </c>
      <c r="N26" t="inlineStr"/>
    </row>
    <row r="27">
      <c r="A27" t="inlineStr">
        <is>
          <t>VIB-0023</t>
        </is>
      </c>
      <c r="B27" t="inlineStr">
        <is>
          <t>original</t>
        </is>
      </c>
      <c r="C27" t="inlineStr">
        <is>
          <t>PMP_NDE_V</t>
        </is>
      </c>
      <c r="D27" t="inlineStr">
        <is>
          <t>Vertical</t>
        </is>
      </c>
      <c r="E27" t="inlineStr">
        <is>
          <t>110</t>
        </is>
      </c>
      <c r="F27" t="n">
        <v>2.997</v>
      </c>
      <c r="G27" t="n">
        <v>4.245</v>
      </c>
      <c r="H27" t="n">
        <v>23.94</v>
      </c>
      <c r="I27" t="n">
        <v>0.573</v>
      </c>
      <c r="J27" t="n">
        <v>49.663</v>
      </c>
      <c r="K27" t="inlineStr">
        <is>
          <t>6X (BPF)</t>
        </is>
      </c>
      <c r="L27" t="inlineStr"/>
      <c r="M27" t="inlineStr">
        <is>
          <t>OFF-DESIGN high-flow (above rated)</t>
        </is>
      </c>
      <c r="N27" t="inlineStr"/>
    </row>
    <row r="28">
      <c r="A28" t="inlineStr">
        <is>
          <t>VIB-0024</t>
        </is>
      </c>
      <c r="B28" t="inlineStr">
        <is>
          <t>original</t>
        </is>
      </c>
      <c r="C28" t="inlineStr">
        <is>
          <t>PMP_NDE_A</t>
        </is>
      </c>
      <c r="D28" t="inlineStr">
        <is>
          <t>Axial</t>
        </is>
      </c>
      <c r="E28" t="inlineStr">
        <is>
          <t>110</t>
        </is>
      </c>
      <c r="F28" t="n">
        <v>2.315</v>
      </c>
      <c r="G28" t="n">
        <v>3.272</v>
      </c>
      <c r="H28" t="n">
        <v>18.42</v>
      </c>
      <c r="I28" t="n">
        <v>0.442</v>
      </c>
      <c r="J28" t="n">
        <v>49.663</v>
      </c>
      <c r="K28" t="inlineStr">
        <is>
          <t>6X (BPF)</t>
        </is>
      </c>
      <c r="L28" t="inlineStr"/>
      <c r="M28" t="inlineStr">
        <is>
          <t>OFF-DESIGN high-flow (above rated)</t>
        </is>
      </c>
      <c r="N28" t="inlineStr"/>
    </row>
    <row r="29">
      <c r="A29" t="inlineStr">
        <is>
          <t>VIB-0025</t>
        </is>
      </c>
      <c r="B29" t="inlineStr">
        <is>
          <t>original</t>
        </is>
      </c>
      <c r="C29" t="inlineStr">
        <is>
          <t>DRV_DE_H</t>
        </is>
      </c>
      <c r="D29" t="inlineStr">
        <is>
          <t>Horizontal</t>
        </is>
      </c>
      <c r="E29" t="inlineStr">
        <is>
          <t>90_BEP</t>
        </is>
      </c>
      <c r="F29" t="n">
        <v>1.904</v>
      </c>
      <c r="G29" t="n">
        <v>2.691</v>
      </c>
      <c r="H29" t="n">
        <v>15.21</v>
      </c>
      <c r="I29" t="n">
        <v>0.362</v>
      </c>
      <c r="J29" t="n">
        <v>49.663</v>
      </c>
      <c r="K29" t="inlineStr">
        <is>
          <t>6X (BPF)</t>
        </is>
      </c>
      <c r="L29" t="inlineStr"/>
      <c r="M29" t="inlineStr">
        <is>
          <t>NEAR-BEP (best-efficiency vicinity)</t>
        </is>
      </c>
      <c r="N29" t="inlineStr"/>
    </row>
    <row r="30">
      <c r="A30" t="inlineStr">
        <is>
          <t>VIB-0026</t>
        </is>
      </c>
      <c r="B30" t="inlineStr">
        <is>
          <t>original</t>
        </is>
      </c>
      <c r="C30" t="inlineStr">
        <is>
          <t>DRV_DE_V</t>
        </is>
      </c>
      <c r="D30" t="inlineStr">
        <is>
          <t>Vertical</t>
        </is>
      </c>
      <c r="E30" t="inlineStr">
        <is>
          <t>90_BEP</t>
        </is>
      </c>
      <c r="F30" t="n">
        <v>1.582</v>
      </c>
      <c r="G30" t="n">
        <v>2.238</v>
      </c>
      <c r="H30" t="n">
        <v>12.6</v>
      </c>
      <c r="I30" t="n">
        <v>0.302</v>
      </c>
      <c r="J30" t="n">
        <v>49.663</v>
      </c>
      <c r="K30" t="inlineStr">
        <is>
          <t>6X (BPF)</t>
        </is>
      </c>
      <c r="L30" t="inlineStr"/>
      <c r="M30" t="inlineStr">
        <is>
          <t>NEAR-BEP (best-efficiency vicinity)</t>
        </is>
      </c>
      <c r="N30" t="inlineStr"/>
    </row>
    <row r="31">
      <c r="A31" t="inlineStr">
        <is>
          <t>VIB-0027</t>
        </is>
      </c>
      <c r="B31" t="inlineStr">
        <is>
          <t>original</t>
        </is>
      </c>
      <c r="C31" t="inlineStr">
        <is>
          <t>DRV_DE_A</t>
        </is>
      </c>
      <c r="D31" t="inlineStr">
        <is>
          <t>Axial</t>
        </is>
      </c>
      <c r="E31" t="inlineStr">
        <is>
          <t>90_BEP</t>
        </is>
      </c>
      <c r="F31" t="n">
        <v>1.759</v>
      </c>
      <c r="G31" t="n">
        <v>2.492</v>
      </c>
      <c r="H31" t="n">
        <v>14.03</v>
      </c>
      <c r="I31" t="n">
        <v>0.335</v>
      </c>
      <c r="J31" t="n">
        <v>49.663</v>
      </c>
      <c r="K31" t="inlineStr">
        <is>
          <t>6X (BPF)</t>
        </is>
      </c>
      <c r="L31" t="inlineStr"/>
      <c r="M31" t="inlineStr">
        <is>
          <t>NEAR-BEP (best-efficiency vicinity)</t>
        </is>
      </c>
      <c r="N31" t="inlineStr"/>
    </row>
    <row r="32">
      <c r="A32" t="inlineStr">
        <is>
          <t>VIB-0028</t>
        </is>
      </c>
      <c r="B32" t="inlineStr">
        <is>
          <t>original</t>
        </is>
      </c>
      <c r="C32" t="inlineStr">
        <is>
          <t>DRV_NDE_H</t>
        </is>
      </c>
      <c r="D32" t="inlineStr">
        <is>
          <t>Horizontal</t>
        </is>
      </c>
      <c r="E32" t="inlineStr">
        <is>
          <t>90_BEP</t>
        </is>
      </c>
      <c r="F32" t="n">
        <v>1.695</v>
      </c>
      <c r="G32" t="n">
        <v>2.401</v>
      </c>
      <c r="H32" t="n">
        <v>13.48</v>
      </c>
      <c r="I32" t="n">
        <v>0.326</v>
      </c>
      <c r="J32" t="n">
        <v>49.663</v>
      </c>
      <c r="K32" t="inlineStr">
        <is>
          <t>6X (BPF)</t>
        </is>
      </c>
      <c r="L32" t="inlineStr"/>
      <c r="M32" t="inlineStr">
        <is>
          <t>NEAR-BEP (best-efficiency vicinity)</t>
        </is>
      </c>
      <c r="N32" t="inlineStr"/>
    </row>
    <row r="33">
      <c r="A33" t="inlineStr">
        <is>
          <t>VIB-0029</t>
        </is>
      </c>
      <c r="B33" t="inlineStr">
        <is>
          <t>original</t>
        </is>
      </c>
      <c r="C33" t="inlineStr">
        <is>
          <t>DRV_NDE_V</t>
        </is>
      </c>
      <c r="D33" t="inlineStr">
        <is>
          <t>Vertical</t>
        </is>
      </c>
      <c r="E33" t="inlineStr">
        <is>
          <t>90_BEP</t>
        </is>
      </c>
      <c r="F33" t="n">
        <v>1.403</v>
      </c>
      <c r="G33" t="n">
        <v>1.983</v>
      </c>
      <c r="H33" t="n">
        <v>11.19</v>
      </c>
      <c r="I33" t="n">
        <v>0.264</v>
      </c>
      <c r="J33" t="n">
        <v>49.663</v>
      </c>
      <c r="K33" t="inlineStr">
        <is>
          <t>6X (BPF)</t>
        </is>
      </c>
      <c r="L33" t="inlineStr"/>
      <c r="M33" t="inlineStr">
        <is>
          <t>NEAR-BEP (best-efficiency vicinity)</t>
        </is>
      </c>
      <c r="N33" t="inlineStr"/>
    </row>
    <row r="34">
      <c r="A34" t="inlineStr">
        <is>
          <t>VIB-0030</t>
        </is>
      </c>
      <c r="B34" t="inlineStr">
        <is>
          <t>original</t>
        </is>
      </c>
      <c r="C34" t="inlineStr">
        <is>
          <t>DRV_NDE_A</t>
        </is>
      </c>
      <c r="D34" t="inlineStr">
        <is>
          <t>Axial</t>
        </is>
      </c>
      <c r="E34" t="inlineStr">
        <is>
          <t>90_BEP</t>
        </is>
      </c>
      <c r="F34" t="n">
        <v>1.483</v>
      </c>
      <c r="G34" t="n">
        <v>2.097</v>
      </c>
      <c r="H34" t="n">
        <v>11.87</v>
      </c>
      <c r="I34" t="n">
        <v>0.286</v>
      </c>
      <c r="J34" t="n">
        <v>49.663</v>
      </c>
      <c r="K34" t="inlineStr">
        <is>
          <t>6X (BPF)</t>
        </is>
      </c>
      <c r="L34" t="inlineStr"/>
      <c r="M34" t="inlineStr">
        <is>
          <t>NEAR-BEP (best-efficiency vicinity)</t>
        </is>
      </c>
      <c r="N34" t="inlineStr"/>
    </row>
    <row r="35">
      <c r="A35" t="inlineStr">
        <is>
          <t>VIB-0031</t>
        </is>
      </c>
      <c r="B35" t="inlineStr">
        <is>
          <t>original</t>
        </is>
      </c>
      <c r="C35" t="inlineStr">
        <is>
          <t>PMP_DE_H</t>
        </is>
      </c>
      <c r="D35" t="inlineStr">
        <is>
          <t>Horizontal</t>
        </is>
      </c>
      <c r="E35" t="inlineStr">
        <is>
          <t>90_BEP</t>
        </is>
      </c>
      <c r="F35" t="n">
        <v>2.181</v>
      </c>
      <c r="G35" t="n">
        <v>3.087</v>
      </c>
      <c r="H35" t="n">
        <v>17.39</v>
      </c>
      <c r="I35" t="n">
        <v>0.412</v>
      </c>
      <c r="J35" t="n">
        <v>49.663</v>
      </c>
      <c r="K35" t="inlineStr">
        <is>
          <t>6X (BPF)</t>
        </is>
      </c>
      <c r="L35" t="n">
        <v>1.508</v>
      </c>
      <c r="M35" t="inlineStr">
        <is>
          <t>NEAR-BEP (best-efficiency vicinity)</t>
        </is>
      </c>
      <c r="N35" t="inlineStr"/>
    </row>
    <row r="36">
      <c r="A36" t="inlineStr">
        <is>
          <t>VIB-0032</t>
        </is>
      </c>
      <c r="B36" t="inlineStr">
        <is>
          <t>original</t>
        </is>
      </c>
      <c r="C36" t="inlineStr">
        <is>
          <t>PMP_DE_V</t>
        </is>
      </c>
      <c r="D36" t="inlineStr">
        <is>
          <t>Vertical</t>
        </is>
      </c>
      <c r="E36" t="inlineStr">
        <is>
          <t>90_BEP</t>
        </is>
      </c>
      <c r="F36" t="n">
        <v>1.822</v>
      </c>
      <c r="G36" t="n">
        <v>2.577</v>
      </c>
      <c r="H36" t="n">
        <v>14.49</v>
      </c>
      <c r="I36" t="n">
        <v>0.352</v>
      </c>
      <c r="J36" t="n">
        <v>49.663</v>
      </c>
      <c r="K36" t="inlineStr">
        <is>
          <t>6X (BPF)</t>
        </is>
      </c>
      <c r="L36" t="inlineStr"/>
      <c r="M36" t="inlineStr">
        <is>
          <t>NEAR-BEP (best-efficiency vicinity)</t>
        </is>
      </c>
      <c r="N36" t="inlineStr"/>
    </row>
    <row r="37">
      <c r="A37" t="inlineStr">
        <is>
          <t>VIB-0033</t>
        </is>
      </c>
      <c r="B37" t="inlineStr">
        <is>
          <t>original</t>
        </is>
      </c>
      <c r="C37" t="inlineStr">
        <is>
          <t>PMP_DE_A</t>
        </is>
      </c>
      <c r="D37" t="inlineStr">
        <is>
          <t>Axial</t>
        </is>
      </c>
      <c r="E37" t="inlineStr">
        <is>
          <t>90_BEP</t>
        </is>
      </c>
      <c r="F37" t="n">
        <v>1.593</v>
      </c>
      <c r="G37" t="n">
        <v>2.259</v>
      </c>
      <c r="H37" t="n">
        <v>12.7</v>
      </c>
      <c r="I37" t="n">
        <v>0.302</v>
      </c>
      <c r="J37" t="n">
        <v>49.663</v>
      </c>
      <c r="K37" t="inlineStr">
        <is>
          <t>6X (BPF)</t>
        </is>
      </c>
      <c r="L37" t="inlineStr"/>
      <c r="M37" t="inlineStr">
        <is>
          <t>NEAR-BEP (best-efficiency vicinity)</t>
        </is>
      </c>
      <c r="N37" t="inlineStr"/>
    </row>
    <row r="38">
      <c r="A38" t="inlineStr">
        <is>
          <t>VIB-0034</t>
        </is>
      </c>
      <c r="B38" t="inlineStr">
        <is>
          <t>original</t>
        </is>
      </c>
      <c r="C38" t="inlineStr">
        <is>
          <t>PMP_NDE_H</t>
        </is>
      </c>
      <c r="D38" t="inlineStr">
        <is>
          <t>Horizontal</t>
        </is>
      </c>
      <c r="E38" t="inlineStr">
        <is>
          <t>90_BEP</t>
        </is>
      </c>
      <c r="F38" t="n">
        <v>1.979</v>
      </c>
      <c r="G38" t="n">
        <v>2.795</v>
      </c>
      <c r="H38" t="n">
        <v>15.81</v>
      </c>
      <c r="I38" t="n">
        <v>0.377</v>
      </c>
      <c r="J38" t="n">
        <v>49.663</v>
      </c>
      <c r="K38" t="inlineStr">
        <is>
          <t>6X (BPF)</t>
        </is>
      </c>
      <c r="L38" t="inlineStr"/>
      <c r="M38" t="inlineStr">
        <is>
          <t>NEAR-BEP (best-efficiency vicinity)</t>
        </is>
      </c>
      <c r="N38" t="inlineStr"/>
    </row>
    <row r="39">
      <c r="A39" t="inlineStr">
        <is>
          <t>VIB-0035</t>
        </is>
      </c>
      <c r="B39" t="inlineStr">
        <is>
          <t>original</t>
        </is>
      </c>
      <c r="C39" t="inlineStr">
        <is>
          <t>PMP_NDE_V</t>
        </is>
      </c>
      <c r="D39" t="inlineStr">
        <is>
          <t>Vertical</t>
        </is>
      </c>
      <c r="E39" t="inlineStr">
        <is>
          <t>90_BEP</t>
        </is>
      </c>
      <c r="F39" t="n">
        <v>1.632</v>
      </c>
      <c r="G39" t="n">
        <v>2.306</v>
      </c>
      <c r="H39" t="n">
        <v>13.06</v>
      </c>
      <c r="I39" t="n">
        <v>0.316</v>
      </c>
      <c r="J39" t="n">
        <v>49.663</v>
      </c>
      <c r="K39" t="inlineStr">
        <is>
          <t>6X (BPF)</t>
        </is>
      </c>
      <c r="L39" t="inlineStr"/>
      <c r="M39" t="inlineStr">
        <is>
          <t>NEAR-BEP (best-efficiency vicinity)</t>
        </is>
      </c>
      <c r="N39" t="inlineStr"/>
    </row>
    <row r="40">
      <c r="A40" t="inlineStr">
        <is>
          <t>VIB-0036</t>
        </is>
      </c>
      <c r="B40" t="inlineStr">
        <is>
          <t>original</t>
        </is>
      </c>
      <c r="C40" t="inlineStr">
        <is>
          <t>PMP_NDE_A</t>
        </is>
      </c>
      <c r="D40" t="inlineStr">
        <is>
          <t>Axial</t>
        </is>
      </c>
      <c r="E40" t="inlineStr">
        <is>
          <t>90_BEP</t>
        </is>
      </c>
      <c r="F40" t="n">
        <v>1.444</v>
      </c>
      <c r="G40" t="n">
        <v>2.044</v>
      </c>
      <c r="H40" t="n">
        <v>11.49</v>
      </c>
      <c r="I40" t="n">
        <v>0.275</v>
      </c>
      <c r="J40" t="n">
        <v>49.663</v>
      </c>
      <c r="K40" t="inlineStr">
        <is>
          <t>6X (BPF)</t>
        </is>
      </c>
      <c r="L40" t="inlineStr"/>
      <c r="M40" t="inlineStr">
        <is>
          <t>NEAR-BEP (best-efficiency vicinity)</t>
        </is>
      </c>
      <c r="N40" t="inlineStr"/>
    </row>
    <row r="41">
      <c r="A41" t="inlineStr">
        <is>
          <t>VIB-0037</t>
        </is>
      </c>
      <c r="B41" t="inlineStr">
        <is>
          <t>original</t>
        </is>
      </c>
      <c r="C41" t="inlineStr">
        <is>
          <t>DRV_DE_H</t>
        </is>
      </c>
      <c r="D41" t="inlineStr">
        <is>
          <t>Horizontal</t>
        </is>
      </c>
      <c r="E41" t="inlineStr">
        <is>
          <t>80</t>
        </is>
      </c>
      <c r="F41" t="n">
        <v>2.128</v>
      </c>
      <c r="G41" t="n">
        <v>3.008</v>
      </c>
      <c r="H41" t="n">
        <v>16.98</v>
      </c>
      <c r="I41" t="n">
        <v>0.409</v>
      </c>
      <c r="J41" t="n">
        <v>49.663</v>
      </c>
      <c r="K41" t="inlineStr">
        <is>
          <t>6X (BPF)</t>
        </is>
      </c>
      <c r="L41" t="inlineStr"/>
      <c r="M41" t="inlineStr">
        <is>
          <t>OFF-DESIGN low-flow (minimum continuous flow)</t>
        </is>
      </c>
      <c r="N41" t="inlineStr"/>
    </row>
    <row r="42">
      <c r="A42" t="inlineStr">
        <is>
          <t>VIB-0038</t>
        </is>
      </c>
      <c r="B42" t="inlineStr">
        <is>
          <t>original</t>
        </is>
      </c>
      <c r="C42" t="inlineStr">
        <is>
          <t>DRV_DE_V</t>
        </is>
      </c>
      <c r="D42" t="inlineStr">
        <is>
          <t>Vertical</t>
        </is>
      </c>
      <c r="E42" t="inlineStr">
        <is>
          <t>80</t>
        </is>
      </c>
      <c r="F42" t="n">
        <v>1.76</v>
      </c>
      <c r="G42" t="n">
        <v>2.49</v>
      </c>
      <c r="H42" t="n">
        <v>13.99</v>
      </c>
      <c r="I42" t="n">
        <v>0.34</v>
      </c>
      <c r="J42" t="n">
        <v>49.663</v>
      </c>
      <c r="K42" t="inlineStr">
        <is>
          <t>6X (BPF)</t>
        </is>
      </c>
      <c r="L42" t="inlineStr"/>
      <c r="M42" t="inlineStr">
        <is>
          <t>OFF-DESIGN low-flow (minimum continuous flow)</t>
        </is>
      </c>
      <c r="N42" t="inlineStr"/>
    </row>
    <row r="43">
      <c r="A43" t="inlineStr">
        <is>
          <t>VIB-0039</t>
        </is>
      </c>
      <c r="B43" t="inlineStr">
        <is>
          <t>original</t>
        </is>
      </c>
      <c r="C43" t="inlineStr">
        <is>
          <t>DRV_DE_A</t>
        </is>
      </c>
      <c r="D43" t="inlineStr">
        <is>
          <t>Axial</t>
        </is>
      </c>
      <c r="E43" t="inlineStr">
        <is>
          <t>80</t>
        </is>
      </c>
      <c r="F43" t="n">
        <v>2.318</v>
      </c>
      <c r="G43" t="n">
        <v>3.281</v>
      </c>
      <c r="H43" t="n">
        <v>18.53</v>
      </c>
      <c r="I43" t="n">
        <v>0.445</v>
      </c>
      <c r="J43" t="n">
        <v>49.663</v>
      </c>
      <c r="K43" t="inlineStr">
        <is>
          <t>6X (BPF)</t>
        </is>
      </c>
      <c r="L43" t="inlineStr"/>
      <c r="M43" t="inlineStr">
        <is>
          <t>OFF-DESIGN low-flow (minimum continuous flow)</t>
        </is>
      </c>
      <c r="N43" t="inlineStr"/>
    </row>
    <row r="44">
      <c r="A44" t="inlineStr">
        <is>
          <t>VIB-0040</t>
        </is>
      </c>
      <c r="B44" t="inlineStr">
        <is>
          <t>original</t>
        </is>
      </c>
      <c r="C44" t="inlineStr">
        <is>
          <t>DRV_NDE_H</t>
        </is>
      </c>
      <c r="D44" t="inlineStr">
        <is>
          <t>Horizontal</t>
        </is>
      </c>
      <c r="E44" t="inlineStr">
        <is>
          <t>80</t>
        </is>
      </c>
      <c r="F44" t="n">
        <v>1.895</v>
      </c>
      <c r="G44" t="n">
        <v>2.686</v>
      </c>
      <c r="H44" t="n">
        <v>15.09</v>
      </c>
      <c r="I44" t="n">
        <v>0.364</v>
      </c>
      <c r="J44" t="n">
        <v>49.663</v>
      </c>
      <c r="K44" t="inlineStr">
        <is>
          <t>6X (BPF)</t>
        </is>
      </c>
      <c r="L44" t="inlineStr"/>
      <c r="M44" t="inlineStr">
        <is>
          <t>OFF-DESIGN low-flow (minimum continuous flow)</t>
        </is>
      </c>
      <c r="N44" t="inlineStr"/>
    </row>
    <row r="45">
      <c r="A45" t="inlineStr">
        <is>
          <t>VIB-0041</t>
        </is>
      </c>
      <c r="B45" t="inlineStr">
        <is>
          <t>original</t>
        </is>
      </c>
      <c r="C45" t="inlineStr">
        <is>
          <t>DRV_NDE_V</t>
        </is>
      </c>
      <c r="D45" t="inlineStr">
        <is>
          <t>Vertical</t>
        </is>
      </c>
      <c r="E45" t="inlineStr">
        <is>
          <t>80</t>
        </is>
      </c>
      <c r="F45" t="n">
        <v>1.612</v>
      </c>
      <c r="G45" t="n">
        <v>2.282</v>
      </c>
      <c r="H45" t="n">
        <v>12.88</v>
      </c>
      <c r="I45" t="n">
        <v>0.304</v>
      </c>
      <c r="J45" t="n">
        <v>49.663</v>
      </c>
      <c r="K45" t="inlineStr">
        <is>
          <t>6X (BPF)</t>
        </is>
      </c>
      <c r="L45" t="inlineStr"/>
      <c r="M45" t="inlineStr">
        <is>
          <t>OFF-DESIGN low-flow (minimum continuous flow)</t>
        </is>
      </c>
      <c r="N45" t="inlineStr"/>
    </row>
    <row r="46">
      <c r="A46" t="inlineStr">
        <is>
          <t>VIB-0042</t>
        </is>
      </c>
      <c r="B46" t="inlineStr">
        <is>
          <t>original</t>
        </is>
      </c>
      <c r="C46" t="inlineStr">
        <is>
          <t>DRV_NDE_A</t>
        </is>
      </c>
      <c r="D46" t="inlineStr">
        <is>
          <t>Axial</t>
        </is>
      </c>
      <c r="E46" t="inlineStr">
        <is>
          <t>80</t>
        </is>
      </c>
      <c r="F46" t="n">
        <v>1.716</v>
      </c>
      <c r="G46" t="n">
        <v>2.432</v>
      </c>
      <c r="H46" t="n">
        <v>13.69</v>
      </c>
      <c r="I46" t="n">
        <v>0.326</v>
      </c>
      <c r="J46" t="n">
        <v>49.663</v>
      </c>
      <c r="K46" t="inlineStr">
        <is>
          <t>6X (BPF)</t>
        </is>
      </c>
      <c r="L46" t="inlineStr"/>
      <c r="M46" t="inlineStr">
        <is>
          <t>OFF-DESIGN low-flow (minimum continuous flow)</t>
        </is>
      </c>
      <c r="N46" t="inlineStr"/>
    </row>
    <row r="47">
      <c r="A47" t="inlineStr">
        <is>
          <t>VIB-0043</t>
        </is>
      </c>
      <c r="B47" t="inlineStr">
        <is>
          <t>original</t>
        </is>
      </c>
      <c r="C47" t="inlineStr">
        <is>
          <t>PMP_DE_H</t>
        </is>
      </c>
      <c r="D47" t="inlineStr">
        <is>
          <t>Horizontal</t>
        </is>
      </c>
      <c r="E47" t="inlineStr">
        <is>
          <t>80</t>
        </is>
      </c>
      <c r="F47" t="n">
        <v>2.604</v>
      </c>
      <c r="G47" t="n">
        <v>3.682</v>
      </c>
      <c r="H47" t="n">
        <v>20.75</v>
      </c>
      <c r="I47" t="n">
        <v>0.498</v>
      </c>
      <c r="J47" t="n">
        <v>49.663</v>
      </c>
      <c r="K47" t="inlineStr">
        <is>
          <t>6X (BPF)</t>
        </is>
      </c>
      <c r="L47" t="inlineStr"/>
      <c r="M47" t="inlineStr">
        <is>
          <t>OFF-DESIGN low-flow (minimum continuous flow)</t>
        </is>
      </c>
      <c r="N47" t="inlineStr"/>
    </row>
    <row r="48">
      <c r="A48" t="inlineStr">
        <is>
          <t>VIB-0044</t>
        </is>
      </c>
      <c r="B48" t="inlineStr">
        <is>
          <t>original</t>
        </is>
      </c>
      <c r="C48" t="inlineStr">
        <is>
          <t>PMP_DE_V</t>
        </is>
      </c>
      <c r="D48" t="inlineStr">
        <is>
          <t>Vertical</t>
        </is>
      </c>
      <c r="E48" t="inlineStr">
        <is>
          <t>80</t>
        </is>
      </c>
      <c r="F48" t="n">
        <v>2.077</v>
      </c>
      <c r="G48" t="n">
        <v>2.936</v>
      </c>
      <c r="H48" t="n">
        <v>16.57</v>
      </c>
      <c r="I48" t="n">
        <v>0.399</v>
      </c>
      <c r="J48" t="n">
        <v>49.663</v>
      </c>
      <c r="K48" t="inlineStr">
        <is>
          <t>6X (BPF)</t>
        </is>
      </c>
      <c r="L48" t="inlineStr"/>
      <c r="M48" t="inlineStr">
        <is>
          <t>OFF-DESIGN low-flow (minimum continuous flow)</t>
        </is>
      </c>
      <c r="N48" t="inlineStr"/>
    </row>
    <row r="49">
      <c r="A49" t="inlineStr">
        <is>
          <t>VIB-0045</t>
        </is>
      </c>
      <c r="B49" t="inlineStr">
        <is>
          <t>original</t>
        </is>
      </c>
      <c r="C49" t="inlineStr">
        <is>
          <t>PMP_DE_A</t>
        </is>
      </c>
      <c r="D49" t="inlineStr">
        <is>
          <t>Axial</t>
        </is>
      </c>
      <c r="E49" t="inlineStr">
        <is>
          <t>80</t>
        </is>
      </c>
      <c r="F49" t="n">
        <v>1.832</v>
      </c>
      <c r="G49" t="n">
        <v>2.593</v>
      </c>
      <c r="H49" t="n">
        <v>14.61</v>
      </c>
      <c r="I49" t="n">
        <v>0.35</v>
      </c>
      <c r="J49" t="n">
        <v>49.663</v>
      </c>
      <c r="K49" t="inlineStr">
        <is>
          <t>6X (BPF)</t>
        </is>
      </c>
      <c r="L49" t="inlineStr"/>
      <c r="M49" t="inlineStr">
        <is>
          <t>OFF-DESIGN low-flow (minimum continuous flow)</t>
        </is>
      </c>
      <c r="N49" t="inlineStr"/>
    </row>
    <row r="50">
      <c r="A50" t="inlineStr">
        <is>
          <t>VIB-0046</t>
        </is>
      </c>
      <c r="B50" t="inlineStr">
        <is>
          <t>original</t>
        </is>
      </c>
      <c r="C50" t="inlineStr">
        <is>
          <t>PMP_NDE_H</t>
        </is>
      </c>
      <c r="D50" t="inlineStr">
        <is>
          <t>Horizontal</t>
        </is>
      </c>
      <c r="E50" t="inlineStr">
        <is>
          <t>80</t>
        </is>
      </c>
      <c r="F50" t="n">
        <v>2.391</v>
      </c>
      <c r="G50" t="n">
        <v>3.384</v>
      </c>
      <c r="H50" t="n">
        <v>19.04</v>
      </c>
      <c r="I50" t="n">
        <v>0.455</v>
      </c>
      <c r="J50" t="n">
        <v>49.663</v>
      </c>
      <c r="K50" t="inlineStr">
        <is>
          <t>6X (BPF)</t>
        </is>
      </c>
      <c r="L50" t="inlineStr"/>
      <c r="M50" t="inlineStr">
        <is>
          <t>OFF-DESIGN low-flow (minimum continuous flow)</t>
        </is>
      </c>
      <c r="N50" t="inlineStr"/>
    </row>
    <row r="51">
      <c r="A51" t="inlineStr">
        <is>
          <t>VIB-0047</t>
        </is>
      </c>
      <c r="B51" t="inlineStr">
        <is>
          <t>original</t>
        </is>
      </c>
      <c r="C51" t="inlineStr">
        <is>
          <t>PMP_NDE_V</t>
        </is>
      </c>
      <c r="D51" t="inlineStr">
        <is>
          <t>Vertical</t>
        </is>
      </c>
      <c r="E51" t="inlineStr">
        <is>
          <t>80</t>
        </is>
      </c>
      <c r="F51" t="n">
        <v>1.967</v>
      </c>
      <c r="G51" t="n">
        <v>2.779</v>
      </c>
      <c r="H51" t="n">
        <v>15.72</v>
      </c>
      <c r="I51" t="n">
        <v>0.375</v>
      </c>
      <c r="J51" t="n">
        <v>49.663</v>
      </c>
      <c r="K51" t="inlineStr">
        <is>
          <t>6X (BPF)</t>
        </is>
      </c>
      <c r="L51" t="inlineStr"/>
      <c r="M51" t="inlineStr">
        <is>
          <t>OFF-DESIGN low-flow (minimum continuous flow)</t>
        </is>
      </c>
      <c r="N51" t="inlineStr"/>
    </row>
    <row r="52">
      <c r="A52" t="inlineStr">
        <is>
          <t>VIB-0048</t>
        </is>
      </c>
      <c r="B52" t="inlineStr">
        <is>
          <t>original</t>
        </is>
      </c>
      <c r="C52" t="inlineStr">
        <is>
          <t>PMP_NDE_A</t>
        </is>
      </c>
      <c r="D52" t="inlineStr">
        <is>
          <t>Axial</t>
        </is>
      </c>
      <c r="E52" t="inlineStr">
        <is>
          <t>80</t>
        </is>
      </c>
      <c r="F52" t="n">
        <v>1.748</v>
      </c>
      <c r="G52" t="n">
        <v>2.471</v>
      </c>
      <c r="H52" t="n">
        <v>13.93</v>
      </c>
      <c r="I52" t="n">
        <v>0.335</v>
      </c>
      <c r="J52" t="n">
        <v>49.663</v>
      </c>
      <c r="K52" t="inlineStr">
        <is>
          <t>6X (BPF)</t>
        </is>
      </c>
      <c r="L52" t="inlineStr"/>
      <c r="M52" t="inlineStr">
        <is>
          <t>OFF-DESIGN low-flow (minimum continuous flow)</t>
        </is>
      </c>
      <c r="N52" t="inlineStr"/>
    </row>
    <row r="53">
      <c r="A53" t="inlineStr">
        <is>
          <t>VIB-0049</t>
        </is>
      </c>
      <c r="B53" t="inlineStr">
        <is>
          <t>original</t>
        </is>
      </c>
      <c r="C53" t="inlineStr">
        <is>
          <t>DRV_DE_H</t>
        </is>
      </c>
      <c r="D53" t="inlineStr">
        <is>
          <t>Horizontal</t>
        </is>
      </c>
      <c r="E53" t="inlineStr">
        <is>
          <t>60</t>
        </is>
      </c>
      <c r="F53" t="n">
        <v>2.664</v>
      </c>
      <c r="G53" t="n">
        <v>3.77</v>
      </c>
      <c r="H53" t="n">
        <v>21.27</v>
      </c>
      <c r="I53" t="n">
        <v>0.505</v>
      </c>
      <c r="J53" t="n">
        <v>49.663</v>
      </c>
      <c r="K53" t="inlineStr">
        <is>
          <t>6X (BPF)</t>
        </is>
      </c>
      <c r="L53" t="inlineStr"/>
      <c r="M53" t="inlineStr">
        <is>
          <t>OFF-DESIGN low-flow (below 80% min-continuous-flow guard)</t>
        </is>
      </c>
      <c r="N53" t="inlineStr"/>
    </row>
    <row r="54">
      <c r="A54" t="inlineStr">
        <is>
          <t>VIB-0050</t>
        </is>
      </c>
      <c r="B54" t="inlineStr">
        <is>
          <t>original</t>
        </is>
      </c>
      <c r="C54" t="inlineStr">
        <is>
          <t>DRV_DE_V</t>
        </is>
      </c>
      <c r="D54" t="inlineStr">
        <is>
          <t>Vertical</t>
        </is>
      </c>
      <c r="E54" t="inlineStr">
        <is>
          <t>60</t>
        </is>
      </c>
      <c r="F54" t="n">
        <v>2.146</v>
      </c>
      <c r="G54" t="n">
        <v>3.041</v>
      </c>
      <c r="H54" t="n">
        <v>17.09</v>
      </c>
      <c r="I54" t="n">
        <v>0.407</v>
      </c>
      <c r="J54" t="n">
        <v>49.663</v>
      </c>
      <c r="K54" t="inlineStr">
        <is>
          <t>6X (BPF)</t>
        </is>
      </c>
      <c r="L54" t="inlineStr"/>
      <c r="M54" t="inlineStr">
        <is>
          <t>OFF-DESIGN low-flow (below 80% min-continuous-flow guard)</t>
        </is>
      </c>
      <c r="N54" t="inlineStr"/>
    </row>
    <row r="55">
      <c r="A55" t="inlineStr">
        <is>
          <t>VIB-0051</t>
        </is>
      </c>
      <c r="B55" t="inlineStr">
        <is>
          <t>original</t>
        </is>
      </c>
      <c r="C55" t="inlineStr">
        <is>
          <t>DRV_DE_A</t>
        </is>
      </c>
      <c r="D55" t="inlineStr">
        <is>
          <t>Axial</t>
        </is>
      </c>
      <c r="E55" t="inlineStr">
        <is>
          <t>60</t>
        </is>
      </c>
      <c r="F55" t="n">
        <v>2.936</v>
      </c>
      <c r="G55" t="n">
        <v>4.153</v>
      </c>
      <c r="H55" t="n">
        <v>23.43</v>
      </c>
      <c r="I55" t="n">
        <v>0.5629999999999999</v>
      </c>
      <c r="J55" t="n">
        <v>49.663</v>
      </c>
      <c r="K55" t="inlineStr">
        <is>
          <t>6X (BPF)</t>
        </is>
      </c>
      <c r="L55" t="inlineStr"/>
      <c r="M55" t="inlineStr">
        <is>
          <t>OFF-DESIGN low-flow (below 80% min-continuous-flow guard)</t>
        </is>
      </c>
      <c r="N55" t="inlineStr"/>
    </row>
    <row r="56">
      <c r="A56" t="inlineStr">
        <is>
          <t>VIB-0052</t>
        </is>
      </c>
      <c r="B56" t="inlineStr">
        <is>
          <t>original</t>
        </is>
      </c>
      <c r="C56" t="inlineStr">
        <is>
          <t>DRV_NDE_H</t>
        </is>
      </c>
      <c r="D56" t="inlineStr">
        <is>
          <t>Horizontal</t>
        </is>
      </c>
      <c r="E56" t="inlineStr">
        <is>
          <t>60</t>
        </is>
      </c>
      <c r="F56" t="n">
        <v>2.254</v>
      </c>
      <c r="G56" t="n">
        <v>3.19</v>
      </c>
      <c r="H56" t="n">
        <v>18.01</v>
      </c>
      <c r="I56" t="n">
        <v>0.432</v>
      </c>
      <c r="J56" t="n">
        <v>49.663</v>
      </c>
      <c r="K56" t="inlineStr">
        <is>
          <t>6X (BPF)</t>
        </is>
      </c>
      <c r="L56" t="inlineStr"/>
      <c r="M56" t="inlineStr">
        <is>
          <t>OFF-DESIGN low-flow (below 80% min-continuous-flow guard)</t>
        </is>
      </c>
      <c r="N56" t="inlineStr"/>
    </row>
    <row r="57">
      <c r="A57" t="inlineStr">
        <is>
          <t>VIB-0053</t>
        </is>
      </c>
      <c r="B57" t="inlineStr">
        <is>
          <t>original</t>
        </is>
      </c>
      <c r="C57" t="inlineStr">
        <is>
          <t>DRV_NDE_V</t>
        </is>
      </c>
      <c r="D57" t="inlineStr">
        <is>
          <t>Vertical</t>
        </is>
      </c>
      <c r="E57" t="inlineStr">
        <is>
          <t>60</t>
        </is>
      </c>
      <c r="F57" t="n">
        <v>1.946</v>
      </c>
      <c r="G57" t="n">
        <v>2.753</v>
      </c>
      <c r="H57" t="n">
        <v>15.52</v>
      </c>
      <c r="I57" t="n">
        <v>0.373</v>
      </c>
      <c r="J57" t="n">
        <v>49.663</v>
      </c>
      <c r="K57" t="inlineStr">
        <is>
          <t>6X (BPF)</t>
        </is>
      </c>
      <c r="L57" t="inlineStr"/>
      <c r="M57" t="inlineStr">
        <is>
          <t>OFF-DESIGN low-flow (below 80% min-continuous-flow guard)</t>
        </is>
      </c>
      <c r="N57" t="inlineStr"/>
    </row>
    <row r="58">
      <c r="A58" t="inlineStr">
        <is>
          <t>VIB-0054</t>
        </is>
      </c>
      <c r="B58" t="inlineStr">
        <is>
          <t>original</t>
        </is>
      </c>
      <c r="C58" t="inlineStr">
        <is>
          <t>DRV_NDE_A</t>
        </is>
      </c>
      <c r="D58" t="inlineStr">
        <is>
          <t>Axial</t>
        </is>
      </c>
      <c r="E58" t="inlineStr">
        <is>
          <t>60</t>
        </is>
      </c>
      <c r="F58" t="n">
        <v>2.124</v>
      </c>
      <c r="G58" t="n">
        <v>3.008</v>
      </c>
      <c r="H58" t="n">
        <v>16.97</v>
      </c>
      <c r="I58" t="n">
        <v>0.406</v>
      </c>
      <c r="J58" t="n">
        <v>49.663</v>
      </c>
      <c r="K58" t="inlineStr">
        <is>
          <t>6X (BPF)</t>
        </is>
      </c>
      <c r="L58" t="inlineStr"/>
      <c r="M58" t="inlineStr">
        <is>
          <t>OFF-DESIGN low-flow (below 80% min-continuous-flow guard)</t>
        </is>
      </c>
      <c r="N58" t="inlineStr"/>
    </row>
    <row r="59">
      <c r="A59" t="inlineStr">
        <is>
          <t>VIB-0055</t>
        </is>
      </c>
      <c r="B59" t="inlineStr">
        <is>
          <t>original</t>
        </is>
      </c>
      <c r="C59" t="inlineStr">
        <is>
          <t>PMP_DE_H</t>
        </is>
      </c>
      <c r="D59" t="inlineStr">
        <is>
          <t>Horizontal</t>
        </is>
      </c>
      <c r="E59" t="inlineStr">
        <is>
          <t>60</t>
        </is>
      </c>
      <c r="F59" t="n">
        <v>3.895</v>
      </c>
      <c r="G59" t="n">
        <v>5.507</v>
      </c>
      <c r="H59" t="n">
        <v>31.1</v>
      </c>
      <c r="I59" t="n">
        <v>0.743</v>
      </c>
      <c r="J59" t="n">
        <v>49.663</v>
      </c>
      <c r="K59" t="inlineStr">
        <is>
          <t>6X (BPF)</t>
        </is>
      </c>
      <c r="L59" t="n">
        <v>2.579</v>
      </c>
      <c r="M59" t="inlineStr">
        <is>
          <t>OFF-DESIGN low-flow (below 80% min-continuous-flow guard)</t>
        </is>
      </c>
      <c r="N59" t="inlineStr"/>
    </row>
    <row r="60">
      <c r="A60" t="inlineStr">
        <is>
          <t>VIB-0056</t>
        </is>
      </c>
      <c r="B60" t="inlineStr">
        <is>
          <t>original</t>
        </is>
      </c>
      <c r="C60" t="inlineStr">
        <is>
          <t>PMP_DE_V</t>
        </is>
      </c>
      <c r="D60" t="inlineStr">
        <is>
          <t>Vertical</t>
        </is>
      </c>
      <c r="E60" t="inlineStr">
        <is>
          <t>60</t>
        </is>
      </c>
      <c r="F60" t="n">
        <v>3.106</v>
      </c>
      <c r="G60" t="n">
        <v>4.391</v>
      </c>
      <c r="H60" t="n">
        <v>24.75</v>
      </c>
      <c r="I60" t="n">
        <v>0.59</v>
      </c>
      <c r="J60" t="n">
        <v>49.663</v>
      </c>
      <c r="K60" t="inlineStr">
        <is>
          <t>6X (BPF)</t>
        </is>
      </c>
      <c r="L60" t="inlineStr"/>
      <c r="M60" t="inlineStr">
        <is>
          <t>OFF-DESIGN low-flow (below 80% min-continuous-flow guard)</t>
        </is>
      </c>
      <c r="N60" t="inlineStr"/>
    </row>
    <row r="61">
      <c r="A61" t="inlineStr">
        <is>
          <t>VIB-0057</t>
        </is>
      </c>
      <c r="B61" t="inlineStr">
        <is>
          <t>original</t>
        </is>
      </c>
      <c r="C61" t="inlineStr">
        <is>
          <t>PMP_DE_A</t>
        </is>
      </c>
      <c r="D61" t="inlineStr">
        <is>
          <t>Axial</t>
        </is>
      </c>
      <c r="E61" t="inlineStr">
        <is>
          <t>60</t>
        </is>
      </c>
      <c r="F61" t="n">
        <v>2.522</v>
      </c>
      <c r="G61" t="n">
        <v>3.57</v>
      </c>
      <c r="H61" t="n">
        <v>20.14</v>
      </c>
      <c r="I61" t="n">
        <v>0.478</v>
      </c>
      <c r="J61" t="n">
        <v>49.663</v>
      </c>
      <c r="K61" t="inlineStr">
        <is>
          <t>6X (BPF)</t>
        </is>
      </c>
      <c r="L61" t="inlineStr"/>
      <c r="M61" t="inlineStr">
        <is>
          <t>OFF-DESIGN low-flow (below 80% min-continuous-flow guard)</t>
        </is>
      </c>
      <c r="N61" t="inlineStr"/>
    </row>
    <row r="62">
      <c r="A62" t="inlineStr">
        <is>
          <t>VIB-0058</t>
        </is>
      </c>
      <c r="B62" t="inlineStr">
        <is>
          <t>original</t>
        </is>
      </c>
      <c r="C62" t="inlineStr">
        <is>
          <t>PMP_NDE_H</t>
        </is>
      </c>
      <c r="D62" t="inlineStr">
        <is>
          <t>Horizontal</t>
        </is>
      </c>
      <c r="E62" t="inlineStr">
        <is>
          <t>60</t>
        </is>
      </c>
      <c r="F62" t="n">
        <v>4.91</v>
      </c>
      <c r="G62" t="n">
        <v>6.946</v>
      </c>
      <c r="H62" t="n">
        <v>39.18</v>
      </c>
      <c r="I62" t="n">
        <v>0.931</v>
      </c>
      <c r="J62" t="n">
        <v>49.663</v>
      </c>
      <c r="K62" t="inlineStr">
        <is>
          <t>6X (BPF)</t>
        </is>
      </c>
      <c r="L62" t="inlineStr"/>
      <c r="M62" t="inlineStr">
        <is>
          <t>OFF-DESIGN low-flow (below 80% min-continuous-flow guard)</t>
        </is>
      </c>
      <c r="N62" t="inlineStr"/>
    </row>
    <row r="63">
      <c r="A63" t="inlineStr">
        <is>
          <t>VIB-0059</t>
        </is>
      </c>
      <c r="B63" t="inlineStr">
        <is>
          <t>original</t>
        </is>
      </c>
      <c r="C63" t="inlineStr">
        <is>
          <t>PMP_NDE_V</t>
        </is>
      </c>
      <c r="D63" t="inlineStr">
        <is>
          <t>Vertical</t>
        </is>
      </c>
      <c r="E63" t="inlineStr">
        <is>
          <t>60</t>
        </is>
      </c>
      <c r="F63" t="n">
        <v>5.659</v>
      </c>
      <c r="G63" t="n">
        <v>8.006</v>
      </c>
      <c r="H63" t="n">
        <v>45.17</v>
      </c>
      <c r="I63" t="n">
        <v>1.08</v>
      </c>
      <c r="J63" t="n">
        <v>49.663</v>
      </c>
      <c r="K63" t="inlineStr">
        <is>
          <t>6X (BPF)</t>
        </is>
      </c>
      <c r="L63" t="inlineStr"/>
      <c r="M63" t="inlineStr">
        <is>
          <t>OFF-DESIGN low-flow (below 80% min-continuous-flow guard)</t>
        </is>
      </c>
      <c r="N63" t="inlineStr"/>
    </row>
    <row r="64">
      <c r="A64" t="inlineStr">
        <is>
          <t>VIB-0060</t>
        </is>
      </c>
      <c r="B64" t="inlineStr">
        <is>
          <t>original</t>
        </is>
      </c>
      <c r="C64" t="inlineStr">
        <is>
          <t>PMP_NDE_A</t>
        </is>
      </c>
      <c r="D64" t="inlineStr">
        <is>
          <t>Axial</t>
        </is>
      </c>
      <c r="E64" t="inlineStr">
        <is>
          <t>60</t>
        </is>
      </c>
      <c r="F64" t="n">
        <v>3.767</v>
      </c>
      <c r="G64" t="n">
        <v>5.33</v>
      </c>
      <c r="H64" t="n">
        <v>30.01</v>
      </c>
      <c r="I64" t="n">
        <v>0.714</v>
      </c>
      <c r="J64" t="n">
        <v>49.663</v>
      </c>
      <c r="K64" t="inlineStr">
        <is>
          <t>6X (BPF)</t>
        </is>
      </c>
      <c r="L64" t="inlineStr"/>
      <c r="M64" t="inlineStr">
        <is>
          <t>OFF-DESIGN low-flow (below 80% min-continuous-flow guard)</t>
        </is>
      </c>
      <c r="N64" t="inlineStr"/>
    </row>
    <row r="65">
      <c r="A65" t="inlineStr">
        <is>
          <t>VIB-0061</t>
        </is>
      </c>
      <c r="B65" t="inlineStr">
        <is>
          <t>retest</t>
        </is>
      </c>
      <c r="C65" t="inlineStr">
        <is>
          <t>PMP_DE_H</t>
        </is>
      </c>
      <c r="D65" t="inlineStr">
        <is>
          <t>Horizontal</t>
        </is>
      </c>
      <c r="E65" t="inlineStr">
        <is>
          <t>100</t>
        </is>
      </c>
      <c r="F65" t="n">
        <v>2.623</v>
      </c>
      <c r="G65" t="n">
        <v>3.716</v>
      </c>
      <c r="H65" t="n">
        <v>20.92</v>
      </c>
      <c r="I65" t="n">
        <v>0.5</v>
      </c>
      <c r="J65" t="n">
        <v>49.663</v>
      </c>
      <c r="K65" t="inlineStr">
        <is>
          <t>6X (BPF)</t>
        </is>
      </c>
      <c r="L65" t="n">
        <v>1.997</v>
      </c>
      <c r="M65" t="inlineStr">
        <is>
          <t>ON-DESIGN (rated duty)</t>
        </is>
      </c>
      <c r="N65" t="inlineStr">
        <is>
          <t>pass</t>
        </is>
      </c>
    </row>
    <row r="66">
      <c r="A66" t="inlineStr">
        <is>
          <t>VIB-0062</t>
        </is>
      </c>
      <c r="B66" t="inlineStr">
        <is>
          <t>retest</t>
        </is>
      </c>
      <c r="C66" t="inlineStr">
        <is>
          <t>PMP_DE_V</t>
        </is>
      </c>
      <c r="D66" t="inlineStr">
        <is>
          <t>Vertical</t>
        </is>
      </c>
      <c r="E66" t="inlineStr">
        <is>
          <t>100</t>
        </is>
      </c>
      <c r="F66" t="n">
        <v>2.042</v>
      </c>
      <c r="G66" t="n">
        <v>2.89</v>
      </c>
      <c r="H66" t="n">
        <v>16.23</v>
      </c>
      <c r="I66" t="n">
        <v>0.387</v>
      </c>
      <c r="J66" t="n">
        <v>49.663</v>
      </c>
      <c r="K66" t="inlineStr">
        <is>
          <t>6X (BPF)</t>
        </is>
      </c>
      <c r="L66" t="inlineStr"/>
      <c r="M66" t="inlineStr">
        <is>
          <t>ON-DESIGN (rated duty)</t>
        </is>
      </c>
      <c r="N66" t="inlineStr">
        <is>
          <t>pass</t>
        </is>
      </c>
    </row>
    <row r="67">
      <c r="A67" t="inlineStr">
        <is>
          <t>VIB-0063</t>
        </is>
      </c>
      <c r="B67" t="inlineStr">
        <is>
          <t>retest</t>
        </is>
      </c>
      <c r="C67" t="inlineStr">
        <is>
          <t>PMP_DE_A</t>
        </is>
      </c>
      <c r="D67" t="inlineStr">
        <is>
          <t>Axial</t>
        </is>
      </c>
      <c r="E67" t="inlineStr">
        <is>
          <t>100</t>
        </is>
      </c>
      <c r="F67" t="n">
        <v>1.916</v>
      </c>
      <c r="G67" t="n">
        <v>2.717</v>
      </c>
      <c r="H67" t="n">
        <v>15.27</v>
      </c>
      <c r="I67" t="n">
        <v>0.369</v>
      </c>
      <c r="J67" t="n">
        <v>49.663</v>
      </c>
      <c r="K67" t="inlineStr">
        <is>
          <t>6X (BPF)</t>
        </is>
      </c>
      <c r="L67" t="inlineStr"/>
      <c r="M67" t="inlineStr">
        <is>
          <t>ON-DESIGN (rated duty)</t>
        </is>
      </c>
      <c r="N67" t="inlineStr">
        <is>
          <t>pass</t>
        </is>
      </c>
    </row>
    <row r="68">
      <c r="A68" t="inlineStr">
        <is>
          <t>VIB-0064</t>
        </is>
      </c>
      <c r="B68" t="inlineStr">
        <is>
          <t>retest</t>
        </is>
      </c>
      <c r="C68" t="inlineStr">
        <is>
          <t>PMP_NDE_H</t>
        </is>
      </c>
      <c r="D68" t="inlineStr">
        <is>
          <t>Horizontal</t>
        </is>
      </c>
      <c r="E68" t="inlineStr">
        <is>
          <t>100</t>
        </is>
      </c>
      <c r="F68" t="n">
        <v>2.217</v>
      </c>
      <c r="G68" t="n">
        <v>3.132</v>
      </c>
      <c r="H68" t="n">
        <v>17.7</v>
      </c>
      <c r="I68" t="n">
        <v>0.427</v>
      </c>
      <c r="J68" t="n">
        <v>49.663</v>
      </c>
      <c r="K68" t="inlineStr">
        <is>
          <t>6X (BPF)</t>
        </is>
      </c>
      <c r="L68" t="inlineStr"/>
      <c r="M68" t="inlineStr">
        <is>
          <t>ON-DESIGN (rated duty)</t>
        </is>
      </c>
      <c r="N68" t="inlineStr">
        <is>
          <t>pass</t>
        </is>
      </c>
    </row>
    <row r="69">
      <c r="A69" t="inlineStr">
        <is>
          <t>VIB-0065</t>
        </is>
      </c>
      <c r="B69" t="inlineStr">
        <is>
          <t>retest</t>
        </is>
      </c>
      <c r="C69" t="inlineStr">
        <is>
          <t>PMP_NDE_V</t>
        </is>
      </c>
      <c r="D69" t="inlineStr">
        <is>
          <t>Vertical</t>
        </is>
      </c>
      <c r="E69" t="inlineStr">
        <is>
          <t>100</t>
        </is>
      </c>
      <c r="F69" t="n">
        <v>1.831</v>
      </c>
      <c r="G69" t="n">
        <v>2.588</v>
      </c>
      <c r="H69" t="n">
        <v>14.63</v>
      </c>
      <c r="I69" t="n">
        <v>0.348</v>
      </c>
      <c r="J69" t="n">
        <v>49.663</v>
      </c>
      <c r="K69" t="inlineStr">
        <is>
          <t>6X (BPF)</t>
        </is>
      </c>
      <c r="L69" t="inlineStr"/>
      <c r="M69" t="inlineStr">
        <is>
          <t>ON-DESIGN (rated duty)</t>
        </is>
      </c>
      <c r="N69" t="inlineStr">
        <is>
          <t>pass</t>
        </is>
      </c>
    </row>
    <row r="70">
      <c r="A70" t="inlineStr">
        <is>
          <t>VIB-0066</t>
        </is>
      </c>
      <c r="B70" t="inlineStr">
        <is>
          <t>retest</t>
        </is>
      </c>
      <c r="C70" t="inlineStr">
        <is>
          <t>PMP_NDE_A</t>
        </is>
      </c>
      <c r="D70" t="inlineStr">
        <is>
          <t>Axial</t>
        </is>
      </c>
      <c r="E70" t="inlineStr">
        <is>
          <t>100</t>
        </is>
      </c>
      <c r="F70" t="n">
        <v>1.626</v>
      </c>
      <c r="G70" t="n">
        <v>2.305</v>
      </c>
      <c r="H70" t="n">
        <v>12.97</v>
      </c>
      <c r="I70" t="n">
        <v>0.309</v>
      </c>
      <c r="J70" t="n">
        <v>49.663</v>
      </c>
      <c r="K70" t="inlineStr">
        <is>
          <t>6X (BPF)</t>
        </is>
      </c>
      <c r="L70" t="inlineStr"/>
      <c r="M70" t="inlineStr">
        <is>
          <t>ON-DESIGN (rated duty)</t>
        </is>
      </c>
      <c r="N70" t="inlineStr">
        <is>
          <t>pass</t>
        </is>
      </c>
    </row>
    <row r="71">
      <c r="A71" t="inlineStr">
        <is>
          <t>VIB-0067</t>
        </is>
      </c>
      <c r="B71" t="inlineStr">
        <is>
          <t>retest</t>
        </is>
      </c>
      <c r="C71" t="inlineStr">
        <is>
          <t>DRV_DE_H</t>
        </is>
      </c>
      <c r="D71" t="inlineStr">
        <is>
          <t>Horizontal</t>
        </is>
      </c>
      <c r="E71" t="inlineStr">
        <is>
          <t>100</t>
        </is>
      </c>
      <c r="F71" t="n">
        <v>2.225</v>
      </c>
      <c r="G71" t="n">
        <v>3.146</v>
      </c>
      <c r="H71" t="n">
        <v>17.7</v>
      </c>
      <c r="I71" t="n">
        <v>0.424</v>
      </c>
      <c r="J71" t="n">
        <v>49.663</v>
      </c>
      <c r="K71" t="inlineStr">
        <is>
          <t>6X (BPF)</t>
        </is>
      </c>
      <c r="L71" t="inlineStr"/>
      <c r="M71" t="inlineStr">
        <is>
          <t>ON-DESIGN (rated duty)</t>
        </is>
      </c>
      <c r="N71" t="inlineStr">
        <is>
          <t>pass</t>
        </is>
      </c>
    </row>
    <row r="72">
      <c r="A72" t="inlineStr">
        <is>
          <t>VIB-0068</t>
        </is>
      </c>
      <c r="B72" t="inlineStr">
        <is>
          <t>retest</t>
        </is>
      </c>
      <c r="C72" t="inlineStr">
        <is>
          <t>DRV_DE_V</t>
        </is>
      </c>
      <c r="D72" t="inlineStr">
        <is>
          <t>Vertical</t>
        </is>
      </c>
      <c r="E72" t="inlineStr">
        <is>
          <t>100</t>
        </is>
      </c>
      <c r="F72" t="n">
        <v>1.811</v>
      </c>
      <c r="G72" t="n">
        <v>2.561</v>
      </c>
      <c r="H72" t="n">
        <v>14.47</v>
      </c>
      <c r="I72" t="n">
        <v>0.344</v>
      </c>
      <c r="J72" t="n">
        <v>49.663</v>
      </c>
      <c r="K72" t="inlineStr">
        <is>
          <t>6X (BPF)</t>
        </is>
      </c>
      <c r="L72" t="inlineStr"/>
      <c r="M72" t="inlineStr">
        <is>
          <t>ON-DESIGN (rated duty)</t>
        </is>
      </c>
      <c r="N72" t="inlineStr">
        <is>
          <t>pass</t>
        </is>
      </c>
    </row>
    <row r="73">
      <c r="A73" t="inlineStr">
        <is>
          <t>VIB-0069</t>
        </is>
      </c>
      <c r="B73" t="inlineStr">
        <is>
          <t>retest</t>
        </is>
      </c>
      <c r="C73" t="inlineStr">
        <is>
          <t>DRV_DE_A</t>
        </is>
      </c>
      <c r="D73" t="inlineStr">
        <is>
          <t>Axial</t>
        </is>
      </c>
      <c r="E73" t="inlineStr">
        <is>
          <t>100</t>
        </is>
      </c>
      <c r="F73" t="n">
        <v>2.806</v>
      </c>
      <c r="G73" t="n">
        <v>3.968</v>
      </c>
      <c r="H73" t="n">
        <v>22.41</v>
      </c>
      <c r="I73" t="n">
        <v>0.534</v>
      </c>
      <c r="J73" t="n">
        <v>49.663</v>
      </c>
      <c r="K73" t="inlineStr">
        <is>
          <t>6X (BPF)</t>
        </is>
      </c>
      <c r="L73" t="inlineStr"/>
      <c r="M73" t="inlineStr">
        <is>
          <t>ON-DESIGN (rated duty)</t>
        </is>
      </c>
      <c r="N73" t="inlineStr">
        <is>
          <t>pass</t>
        </is>
      </c>
    </row>
    <row r="74">
      <c r="A74" t="inlineStr">
        <is>
          <t>VIB-0070</t>
        </is>
      </c>
      <c r="B74" t="inlineStr">
        <is>
          <t>retest</t>
        </is>
      </c>
      <c r="C74" t="inlineStr">
        <is>
          <t>DRV_NDE_H</t>
        </is>
      </c>
      <c r="D74" t="inlineStr">
        <is>
          <t>Horizontal</t>
        </is>
      </c>
      <c r="E74" t="inlineStr">
        <is>
          <t>100</t>
        </is>
      </c>
      <c r="F74" t="n">
        <v>1.916</v>
      </c>
      <c r="G74" t="n">
        <v>2.717</v>
      </c>
      <c r="H74" t="n">
        <v>15.27</v>
      </c>
      <c r="I74" t="n">
        <v>0.369</v>
      </c>
      <c r="J74" t="n">
        <v>49.663</v>
      </c>
      <c r="K74" t="inlineStr">
        <is>
          <t>6X (BPF)</t>
        </is>
      </c>
      <c r="L74" t="inlineStr"/>
      <c r="M74" t="inlineStr">
        <is>
          <t>ON-DESIGN (rated duty)</t>
        </is>
      </c>
      <c r="N74" t="inlineStr">
        <is>
          <t>pass</t>
        </is>
      </c>
    </row>
    <row r="75">
      <c r="A75" t="inlineStr">
        <is>
          <t>VIB-0071</t>
        </is>
      </c>
      <c r="B75" t="inlineStr">
        <is>
          <t>retest</t>
        </is>
      </c>
      <c r="C75" t="inlineStr">
        <is>
          <t>DRV_NDE_V</t>
        </is>
      </c>
      <c r="D75" t="inlineStr">
        <is>
          <t>Vertical</t>
        </is>
      </c>
      <c r="E75" t="inlineStr">
        <is>
          <t>100</t>
        </is>
      </c>
      <c r="F75" t="n">
        <v>1.536</v>
      </c>
      <c r="G75" t="n">
        <v>2.176</v>
      </c>
      <c r="H75" t="n">
        <v>12.2</v>
      </c>
      <c r="I75" t="n">
        <v>0.295</v>
      </c>
      <c r="J75" t="n">
        <v>49.663</v>
      </c>
      <c r="K75" t="inlineStr">
        <is>
          <t>6X (BPF)</t>
        </is>
      </c>
      <c r="L75" t="inlineStr"/>
      <c r="M75" t="inlineStr">
        <is>
          <t>ON-DESIGN (rated duty)</t>
        </is>
      </c>
      <c r="N75" t="inlineStr">
        <is>
          <t>pass</t>
        </is>
      </c>
    </row>
    <row r="76">
      <c r="A76" t="inlineStr">
        <is>
          <t>VIB-0072</t>
        </is>
      </c>
      <c r="B76" t="inlineStr">
        <is>
          <t>retest</t>
        </is>
      </c>
      <c r="C76" t="inlineStr">
        <is>
          <t>DRV_NDE_A</t>
        </is>
      </c>
      <c r="D76" t="inlineStr">
        <is>
          <t>Axial</t>
        </is>
      </c>
      <c r="E76" t="inlineStr">
        <is>
          <t>100</t>
        </is>
      </c>
      <c r="F76" t="n">
        <v>1.688</v>
      </c>
      <c r="G76" t="n">
        <v>2.384</v>
      </c>
      <c r="H76" t="n">
        <v>13.5</v>
      </c>
      <c r="I76" t="n">
        <v>0.327</v>
      </c>
      <c r="J76" t="n">
        <v>49.663</v>
      </c>
      <c r="K76" t="inlineStr">
        <is>
          <t>6X (BPF)</t>
        </is>
      </c>
      <c r="L76" t="inlineStr"/>
      <c r="M76" t="inlineStr">
        <is>
          <t>ON-DESIGN (rated duty)</t>
        </is>
      </c>
      <c r="N76" t="inlineStr">
        <is>
          <t>pass</t>
        </is>
      </c>
    </row>
    <row r="77">
      <c r="A77" s="22" t="inlineStr">
        <is>
          <t>VIB-0073</t>
        </is>
      </c>
      <c r="B77" s="22" t="inlineStr">
        <is>
          <t>retest</t>
        </is>
      </c>
      <c r="C77" s="22" t="inlineStr">
        <is>
          <t>PMP_DE_H</t>
        </is>
      </c>
      <c r="D77" s="22" t="inlineStr">
        <is>
          <t>Horizontal</t>
        </is>
      </c>
      <c r="E77" s="22" t="inlineStr">
        <is>
          <t>110</t>
        </is>
      </c>
      <c r="F77" s="22" t="n">
        <v>3.89</v>
      </c>
      <c r="G77" s="22" t="n">
        <v>5.505</v>
      </c>
      <c r="H77" s="22" t="n">
        <v>30.97</v>
      </c>
      <c r="I77" s="22" t="n">
        <v>0.741</v>
      </c>
      <c r="J77" s="22" t="n">
        <v>49.663</v>
      </c>
      <c r="K77" s="22" t="inlineStr">
        <is>
          <t>6X (BPF)</t>
        </is>
      </c>
      <c r="L77" s="22" t="n">
        <v>2.85</v>
      </c>
      <c r="M77" s="22" t="inlineStr">
        <is>
          <t>OFF-DESIGN high-flow (above rated)</t>
        </is>
      </c>
      <c r="N77" s="22" t="inlineStr">
        <is>
          <t>EXCEED +2.4%</t>
        </is>
      </c>
    </row>
    <row r="78">
      <c r="A78" t="inlineStr">
        <is>
          <t>VIB-0074</t>
        </is>
      </c>
      <c r="B78" t="inlineStr">
        <is>
          <t>retest</t>
        </is>
      </c>
      <c r="C78" t="inlineStr">
        <is>
          <t>PMP_DE_V</t>
        </is>
      </c>
      <c r="D78" t="inlineStr">
        <is>
          <t>Vertical</t>
        </is>
      </c>
      <c r="E78" t="inlineStr">
        <is>
          <t>110</t>
        </is>
      </c>
      <c r="F78" t="n">
        <v>2.743</v>
      </c>
      <c r="G78" t="n">
        <v>3.881</v>
      </c>
      <c r="H78" t="n">
        <v>21.84</v>
      </c>
      <c r="I78" t="n">
        <v>0.517</v>
      </c>
      <c r="J78" t="n">
        <v>49.663</v>
      </c>
      <c r="K78" t="inlineStr">
        <is>
          <t>6X (BPF)</t>
        </is>
      </c>
      <c r="L78" t="inlineStr"/>
      <c r="M78" t="inlineStr">
        <is>
          <t>OFF-DESIGN high-flow (above rated)</t>
        </is>
      </c>
      <c r="N78" t="inlineStr">
        <is>
          <t>pass</t>
        </is>
      </c>
    </row>
    <row r="79">
      <c r="A79" t="inlineStr">
        <is>
          <t>VIB-0075</t>
        </is>
      </c>
      <c r="B79" t="inlineStr">
        <is>
          <t>retest</t>
        </is>
      </c>
      <c r="C79" t="inlineStr">
        <is>
          <t>PMP_DE_A</t>
        </is>
      </c>
      <c r="D79" t="inlineStr">
        <is>
          <t>Axial</t>
        </is>
      </c>
      <c r="E79" t="inlineStr">
        <is>
          <t>110</t>
        </is>
      </c>
      <c r="F79" t="n">
        <v>2.207</v>
      </c>
      <c r="G79" t="n">
        <v>3.123</v>
      </c>
      <c r="H79" t="n">
        <v>17.59</v>
      </c>
      <c r="I79" t="n">
        <v>0.427</v>
      </c>
      <c r="J79" t="n">
        <v>49.663</v>
      </c>
      <c r="K79" t="inlineStr">
        <is>
          <t>6X (BPF)</t>
        </is>
      </c>
      <c r="L79" t="inlineStr"/>
      <c r="M79" t="inlineStr">
        <is>
          <t>OFF-DESIGN high-flow (above rated)</t>
        </is>
      </c>
      <c r="N79" t="inlineStr">
        <is>
          <t>pass</t>
        </is>
      </c>
    </row>
    <row r="80">
      <c r="A80" t="inlineStr">
        <is>
          <t>VIB-0076</t>
        </is>
      </c>
      <c r="B80" t="inlineStr">
        <is>
          <t>retest</t>
        </is>
      </c>
      <c r="C80" t="inlineStr">
        <is>
          <t>PMP_NDE_H</t>
        </is>
      </c>
      <c r="D80" t="inlineStr">
        <is>
          <t>Horizontal</t>
        </is>
      </c>
      <c r="E80" t="inlineStr">
        <is>
          <t>110</t>
        </is>
      </c>
      <c r="F80" t="n">
        <v>3.089</v>
      </c>
      <c r="G80" t="n">
        <v>4.366</v>
      </c>
      <c r="H80" t="n">
        <v>24.6</v>
      </c>
      <c r="I80" t="n">
        <v>0.586</v>
      </c>
      <c r="J80" t="n">
        <v>49.663</v>
      </c>
      <c r="K80" t="inlineStr">
        <is>
          <t>6X (BPF)</t>
        </is>
      </c>
      <c r="L80" t="inlineStr"/>
      <c r="M80" t="inlineStr">
        <is>
          <t>OFF-DESIGN high-flow (above rated)</t>
        </is>
      </c>
      <c r="N80" t="inlineStr">
        <is>
          <t>pass</t>
        </is>
      </c>
    </row>
    <row r="81">
      <c r="A81" t="inlineStr">
        <is>
          <t>VIB-0077</t>
        </is>
      </c>
      <c r="B81" t="inlineStr">
        <is>
          <t>retest</t>
        </is>
      </c>
      <c r="C81" t="inlineStr">
        <is>
          <t>PMP_NDE_V</t>
        </is>
      </c>
      <c r="D81" t="inlineStr">
        <is>
          <t>Vertical</t>
        </is>
      </c>
      <c r="E81" t="inlineStr">
        <is>
          <t>110</t>
        </is>
      </c>
      <c r="F81" t="n">
        <v>2.432</v>
      </c>
      <c r="G81" t="n">
        <v>3.443</v>
      </c>
      <c r="H81" t="n">
        <v>19.38</v>
      </c>
      <c r="I81" t="n">
        <v>0.463</v>
      </c>
      <c r="J81" t="n">
        <v>49.663</v>
      </c>
      <c r="K81" t="inlineStr">
        <is>
          <t>6X (BPF)</t>
        </is>
      </c>
      <c r="L81" t="inlineStr"/>
      <c r="M81" t="inlineStr">
        <is>
          <t>OFF-DESIGN high-flow (above rated)</t>
        </is>
      </c>
      <c r="N81" t="inlineStr">
        <is>
          <t>pass</t>
        </is>
      </c>
    </row>
    <row r="82">
      <c r="A82" t="inlineStr">
        <is>
          <t>VIB-0078</t>
        </is>
      </c>
      <c r="B82" t="inlineStr">
        <is>
          <t>retest</t>
        </is>
      </c>
      <c r="C82" t="inlineStr">
        <is>
          <t>PMP_NDE_A</t>
        </is>
      </c>
      <c r="D82" t="inlineStr">
        <is>
          <t>Axial</t>
        </is>
      </c>
      <c r="E82" t="inlineStr">
        <is>
          <t>110</t>
        </is>
      </c>
      <c r="F82" t="n">
        <v>1.953</v>
      </c>
      <c r="G82" t="n">
        <v>2.766</v>
      </c>
      <c r="H82" t="n">
        <v>15.56</v>
      </c>
      <c r="I82" t="n">
        <v>0.376</v>
      </c>
      <c r="J82" t="n">
        <v>49.663</v>
      </c>
      <c r="K82" t="inlineStr">
        <is>
          <t>6X (BPF)</t>
        </is>
      </c>
      <c r="L82" t="inlineStr"/>
      <c r="M82" t="inlineStr">
        <is>
          <t>OFF-DESIGN high-flow (above rated)</t>
        </is>
      </c>
      <c r="N82" t="inlineStr">
        <is>
          <t>pass</t>
        </is>
      </c>
    </row>
    <row r="83">
      <c r="A83" t="inlineStr">
        <is>
          <t>VIB-0079</t>
        </is>
      </c>
      <c r="B83" t="inlineStr">
        <is>
          <t>retest</t>
        </is>
      </c>
      <c r="C83" t="inlineStr">
        <is>
          <t>DRV_DE_H</t>
        </is>
      </c>
      <c r="D83" t="inlineStr">
        <is>
          <t>Horizontal</t>
        </is>
      </c>
      <c r="E83" t="inlineStr">
        <is>
          <t>110</t>
        </is>
      </c>
      <c r="F83" t="n">
        <v>2.639</v>
      </c>
      <c r="G83" t="n">
        <v>3.734</v>
      </c>
      <c r="H83" t="n">
        <v>21.07</v>
      </c>
      <c r="I83" t="n">
        <v>0.501</v>
      </c>
      <c r="J83" t="n">
        <v>49.663</v>
      </c>
      <c r="K83" t="inlineStr">
        <is>
          <t>6X (BPF)</t>
        </is>
      </c>
      <c r="L83" t="inlineStr"/>
      <c r="M83" t="inlineStr">
        <is>
          <t>OFF-DESIGN high-flow (above rated)</t>
        </is>
      </c>
      <c r="N83" t="inlineStr">
        <is>
          <t>pass</t>
        </is>
      </c>
    </row>
    <row r="84">
      <c r="A84" t="inlineStr">
        <is>
          <t>VIB-0080</t>
        </is>
      </c>
      <c r="B84" t="inlineStr">
        <is>
          <t>retest</t>
        </is>
      </c>
      <c r="C84" t="inlineStr">
        <is>
          <t>DRV_DE_V</t>
        </is>
      </c>
      <c r="D84" t="inlineStr">
        <is>
          <t>Vertical</t>
        </is>
      </c>
      <c r="E84" t="inlineStr">
        <is>
          <t>110</t>
        </is>
      </c>
      <c r="F84" t="n">
        <v>2.181</v>
      </c>
      <c r="G84" t="n">
        <v>3.087</v>
      </c>
      <c r="H84" t="n">
        <v>17.39</v>
      </c>
      <c r="I84" t="n">
        <v>0.412</v>
      </c>
      <c r="J84" t="n">
        <v>49.663</v>
      </c>
      <c r="K84" t="inlineStr">
        <is>
          <t>6X (BPF)</t>
        </is>
      </c>
      <c r="L84" t="inlineStr"/>
      <c r="M84" t="inlineStr">
        <is>
          <t>OFF-DESIGN high-flow (above rated)</t>
        </is>
      </c>
      <c r="N84" t="inlineStr">
        <is>
          <t>pass</t>
        </is>
      </c>
    </row>
    <row r="85">
      <c r="A85" t="inlineStr">
        <is>
          <t>VIB-0081</t>
        </is>
      </c>
      <c r="B85" t="inlineStr">
        <is>
          <t>retest</t>
        </is>
      </c>
      <c r="C85" t="inlineStr">
        <is>
          <t>DRV_DE_A</t>
        </is>
      </c>
      <c r="D85" t="inlineStr">
        <is>
          <t>Axial</t>
        </is>
      </c>
      <c r="E85" t="inlineStr">
        <is>
          <t>110</t>
        </is>
      </c>
      <c r="F85" t="n">
        <v>2.95</v>
      </c>
      <c r="G85" t="n">
        <v>4.171</v>
      </c>
      <c r="H85" t="n">
        <v>23.49</v>
      </c>
      <c r="I85" t="n">
        <v>0.5590000000000001</v>
      </c>
      <c r="J85" t="n">
        <v>49.663</v>
      </c>
      <c r="K85" t="inlineStr">
        <is>
          <t>6X (BPF)</t>
        </is>
      </c>
      <c r="L85" t="inlineStr"/>
      <c r="M85" t="inlineStr">
        <is>
          <t>OFF-DESIGN high-flow (above rated)</t>
        </is>
      </c>
      <c r="N85" t="inlineStr">
        <is>
          <t>pass</t>
        </is>
      </c>
    </row>
    <row r="86">
      <c r="A86" t="inlineStr">
        <is>
          <t>VIB-0082</t>
        </is>
      </c>
      <c r="B86" t="inlineStr">
        <is>
          <t>retest</t>
        </is>
      </c>
      <c r="C86" t="inlineStr">
        <is>
          <t>PMP_DE_H</t>
        </is>
      </c>
      <c r="D86" t="inlineStr">
        <is>
          <t>Horizontal</t>
        </is>
      </c>
      <c r="E86" t="inlineStr">
        <is>
          <t>90_BEP</t>
        </is>
      </c>
      <c r="F86" t="n">
        <v>1.999</v>
      </c>
      <c r="G86" t="n">
        <v>2.832</v>
      </c>
      <c r="H86" t="n">
        <v>15.93</v>
      </c>
      <c r="I86" t="n">
        <v>0.385</v>
      </c>
      <c r="J86" t="n">
        <v>49.663</v>
      </c>
      <c r="K86" t="inlineStr">
        <is>
          <t>6X (BPF)</t>
        </is>
      </c>
      <c r="L86" t="n">
        <v>1.508</v>
      </c>
      <c r="M86" t="inlineStr">
        <is>
          <t>NEAR-BEP (best-efficiency vicinity)</t>
        </is>
      </c>
      <c r="N86" t="inlineStr">
        <is>
          <t>pass</t>
        </is>
      </c>
    </row>
    <row r="87">
      <c r="A87" t="inlineStr">
        <is>
          <t>VIB-0083</t>
        </is>
      </c>
      <c r="B87" t="inlineStr">
        <is>
          <t>retest</t>
        </is>
      </c>
      <c r="C87" t="inlineStr">
        <is>
          <t>PMP_DE_V</t>
        </is>
      </c>
      <c r="D87" t="inlineStr">
        <is>
          <t>Vertical</t>
        </is>
      </c>
      <c r="E87" t="inlineStr">
        <is>
          <t>90_BEP</t>
        </is>
      </c>
      <c r="F87" t="n">
        <v>1.654</v>
      </c>
      <c r="G87" t="n">
        <v>2.345</v>
      </c>
      <c r="H87" t="n">
        <v>13.19</v>
      </c>
      <c r="I87" t="n">
        <v>0.314</v>
      </c>
      <c r="J87" t="n">
        <v>49.663</v>
      </c>
      <c r="K87" t="inlineStr">
        <is>
          <t>6X (BPF)</t>
        </is>
      </c>
      <c r="L87" t="inlineStr"/>
      <c r="M87" t="inlineStr">
        <is>
          <t>NEAR-BEP (best-efficiency vicinity)</t>
        </is>
      </c>
      <c r="N87" t="inlineStr">
        <is>
          <t>pass</t>
        </is>
      </c>
    </row>
    <row r="88">
      <c r="A88" t="inlineStr">
        <is>
          <t>VIB-0084</t>
        </is>
      </c>
      <c r="B88" t="inlineStr">
        <is>
          <t>retest</t>
        </is>
      </c>
      <c r="C88" t="inlineStr">
        <is>
          <t>PMP_DE_A</t>
        </is>
      </c>
      <c r="D88" t="inlineStr">
        <is>
          <t>Axial</t>
        </is>
      </c>
      <c r="E88" t="inlineStr">
        <is>
          <t>90_BEP</t>
        </is>
      </c>
      <c r="F88" t="n">
        <v>1.495</v>
      </c>
      <c r="G88" t="n">
        <v>2.117</v>
      </c>
      <c r="H88" t="n">
        <v>11.9</v>
      </c>
      <c r="I88" t="n">
        <v>0.284</v>
      </c>
      <c r="J88" t="n">
        <v>49.663</v>
      </c>
      <c r="K88" t="inlineStr">
        <is>
          <t>6X (BPF)</t>
        </is>
      </c>
      <c r="L88" t="inlineStr"/>
      <c r="M88" t="inlineStr">
        <is>
          <t>NEAR-BEP (best-efficiency vicinity)</t>
        </is>
      </c>
      <c r="N88" t="inlineStr">
        <is>
          <t>pass</t>
        </is>
      </c>
    </row>
    <row r="89">
      <c r="A89" t="inlineStr">
        <is>
          <t>VIB-0085</t>
        </is>
      </c>
      <c r="B89" t="inlineStr">
        <is>
          <t>retest</t>
        </is>
      </c>
      <c r="C89" t="inlineStr">
        <is>
          <t>PMP_NDE_H</t>
        </is>
      </c>
      <c r="D89" t="inlineStr">
        <is>
          <t>Horizontal</t>
        </is>
      </c>
      <c r="E89" t="inlineStr">
        <is>
          <t>90_BEP</t>
        </is>
      </c>
      <c r="F89" t="n">
        <v>1.739</v>
      </c>
      <c r="G89" t="n">
        <v>2.461</v>
      </c>
      <c r="H89" t="n">
        <v>13.83</v>
      </c>
      <c r="I89" t="n">
        <v>0.336</v>
      </c>
      <c r="J89" t="n">
        <v>49.663</v>
      </c>
      <c r="K89" t="inlineStr">
        <is>
          <t>6X (BPF)</t>
        </is>
      </c>
      <c r="L89" t="inlineStr"/>
      <c r="M89" t="inlineStr">
        <is>
          <t>NEAR-BEP (best-efficiency vicinity)</t>
        </is>
      </c>
      <c r="N89" t="inlineStr">
        <is>
          <t>pass</t>
        </is>
      </c>
    </row>
    <row r="90">
      <c r="A90" t="inlineStr">
        <is>
          <t>VIB-0086</t>
        </is>
      </c>
      <c r="B90" t="inlineStr">
        <is>
          <t>retest</t>
        </is>
      </c>
      <c r="C90" t="inlineStr">
        <is>
          <t>PMP_NDE_V</t>
        </is>
      </c>
      <c r="D90" t="inlineStr">
        <is>
          <t>Vertical</t>
        </is>
      </c>
      <c r="E90" t="inlineStr">
        <is>
          <t>90_BEP</t>
        </is>
      </c>
      <c r="F90" t="n">
        <v>1.453</v>
      </c>
      <c r="G90" t="n">
        <v>2.056</v>
      </c>
      <c r="H90" t="n">
        <v>11.56</v>
      </c>
      <c r="I90" t="n">
        <v>0.276</v>
      </c>
      <c r="J90" t="n">
        <v>49.663</v>
      </c>
      <c r="K90" t="inlineStr">
        <is>
          <t>6X (BPF)</t>
        </is>
      </c>
      <c r="L90" t="inlineStr"/>
      <c r="M90" t="inlineStr">
        <is>
          <t>NEAR-BEP (best-efficiency vicinity)</t>
        </is>
      </c>
      <c r="N90" t="inlineStr">
        <is>
          <t>pass</t>
        </is>
      </c>
    </row>
    <row r="91">
      <c r="A91" t="inlineStr">
        <is>
          <t>VIB-0087</t>
        </is>
      </c>
      <c r="B91" t="inlineStr">
        <is>
          <t>retest</t>
        </is>
      </c>
      <c r="C91" t="inlineStr">
        <is>
          <t>PMP_NDE_A</t>
        </is>
      </c>
      <c r="D91" t="inlineStr">
        <is>
          <t>Axial</t>
        </is>
      </c>
      <c r="E91" t="inlineStr">
        <is>
          <t>90_BEP</t>
        </is>
      </c>
      <c r="F91" t="n">
        <v>1.317</v>
      </c>
      <c r="G91" t="n">
        <v>1.862</v>
      </c>
      <c r="H91" t="n">
        <v>10.5</v>
      </c>
      <c r="I91" t="n">
        <v>0.257</v>
      </c>
      <c r="J91" t="n">
        <v>49.663</v>
      </c>
      <c r="K91" t="inlineStr">
        <is>
          <t>6X (BPF)</t>
        </is>
      </c>
      <c r="L91" t="inlineStr"/>
      <c r="M91" t="inlineStr">
        <is>
          <t>NEAR-BEP (best-efficiency vicinity)</t>
        </is>
      </c>
      <c r="N91" t="inlineStr">
        <is>
          <t>pass</t>
        </is>
      </c>
    </row>
    <row r="92">
      <c r="A92" t="inlineStr">
        <is>
          <t>VIB-0088</t>
        </is>
      </c>
      <c r="B92" t="inlineStr">
        <is>
          <t>retest</t>
        </is>
      </c>
      <c r="C92" t="inlineStr">
        <is>
          <t>PMP_DE_H</t>
        </is>
      </c>
      <c r="D92" t="inlineStr">
        <is>
          <t>Horizontal</t>
        </is>
      </c>
      <c r="E92" t="inlineStr">
        <is>
          <t>60</t>
        </is>
      </c>
      <c r="F92" t="n">
        <v>3.395</v>
      </c>
      <c r="G92" t="n">
        <v>4.802</v>
      </c>
      <c r="H92" t="n">
        <v>27.12</v>
      </c>
      <c r="I92" t="n">
        <v>0.652</v>
      </c>
      <c r="J92" t="n">
        <v>49.663</v>
      </c>
      <c r="K92" t="inlineStr">
        <is>
          <t>6X (BPF)</t>
        </is>
      </c>
      <c r="L92" t="n">
        <v>2.579</v>
      </c>
      <c r="M92" t="inlineStr">
        <is>
          <t>OFF-DESIGN low-flow (below 80% min-continuous-flow guard)</t>
        </is>
      </c>
      <c r="N92" t="inlineStr">
        <is>
          <t>pass</t>
        </is>
      </c>
    </row>
    <row r="93">
      <c r="A93" t="inlineStr">
        <is>
          <t>VIB-0089</t>
        </is>
      </c>
      <c r="B93" t="inlineStr">
        <is>
          <t>retest</t>
        </is>
      </c>
      <c r="C93" t="inlineStr">
        <is>
          <t>PMP_DE_V</t>
        </is>
      </c>
      <c r="D93" t="inlineStr">
        <is>
          <t>Vertical</t>
        </is>
      </c>
      <c r="E93" t="inlineStr">
        <is>
          <t>60</t>
        </is>
      </c>
      <c r="F93" t="n">
        <v>2.717</v>
      </c>
      <c r="G93" t="n">
        <v>3.841</v>
      </c>
      <c r="H93" t="n">
        <v>21.65</v>
      </c>
      <c r="I93" t="n">
        <v>0.52</v>
      </c>
      <c r="J93" t="n">
        <v>49.663</v>
      </c>
      <c r="K93" t="inlineStr">
        <is>
          <t>6X (BPF)</t>
        </is>
      </c>
      <c r="L93" t="inlineStr"/>
      <c r="M93" t="inlineStr">
        <is>
          <t>OFF-DESIGN low-flow (below 80% min-continuous-flow guard)</t>
        </is>
      </c>
      <c r="N93" t="inlineStr">
        <is>
          <t>pass</t>
        </is>
      </c>
    </row>
    <row r="94">
      <c r="A94" t="inlineStr">
        <is>
          <t>VIB-0090</t>
        </is>
      </c>
      <c r="B94" t="inlineStr">
        <is>
          <t>retest</t>
        </is>
      </c>
      <c r="C94" t="inlineStr">
        <is>
          <t>PMP_DE_A</t>
        </is>
      </c>
      <c r="D94" t="inlineStr">
        <is>
          <t>Axial</t>
        </is>
      </c>
      <c r="E94" t="inlineStr">
        <is>
          <t>60</t>
        </is>
      </c>
      <c r="F94" t="n">
        <v>2.282</v>
      </c>
      <c r="G94" t="n">
        <v>3.225</v>
      </c>
      <c r="H94" t="n">
        <v>18.22</v>
      </c>
      <c r="I94" t="n">
        <v>0.44</v>
      </c>
      <c r="J94" t="n">
        <v>49.663</v>
      </c>
      <c r="K94" t="inlineStr">
        <is>
          <t>6X (BPF)</t>
        </is>
      </c>
      <c r="L94" t="inlineStr"/>
      <c r="M94" t="inlineStr">
        <is>
          <t>OFF-DESIGN low-flow (below 80% min-continuous-flow guard)</t>
        </is>
      </c>
      <c r="N94" t="inlineStr">
        <is>
          <t>pass</t>
        </is>
      </c>
    </row>
    <row r="95">
      <c r="A95" s="22" t="inlineStr">
        <is>
          <t>VIB-0091</t>
        </is>
      </c>
      <c r="B95" s="22" t="inlineStr">
        <is>
          <t>retest</t>
        </is>
      </c>
      <c r="C95" s="22" t="inlineStr">
        <is>
          <t>PMP_NDE_H</t>
        </is>
      </c>
      <c r="D95" s="22" t="inlineStr">
        <is>
          <t>Horizontal</t>
        </is>
      </c>
      <c r="E95" s="22" t="inlineStr">
        <is>
          <t>60</t>
        </is>
      </c>
      <c r="F95" s="22" t="n">
        <v>4.159</v>
      </c>
      <c r="G95" s="22" t="n">
        <v>5.886</v>
      </c>
      <c r="H95" s="22" t="n">
        <v>33.17</v>
      </c>
      <c r="I95" s="22" t="n">
        <v>0.79</v>
      </c>
      <c r="J95" s="22" t="n">
        <v>49.663</v>
      </c>
      <c r="K95" s="22" t="inlineStr">
        <is>
          <t>6X (BPF)</t>
        </is>
      </c>
      <c r="L95" s="22" t="inlineStr"/>
      <c r="M95" s="22" t="inlineStr">
        <is>
          <t>OFF-DESIGN low-flow (below 80% min-continuous-flow guard)</t>
        </is>
      </c>
      <c r="N95" s="22" t="inlineStr">
        <is>
          <t>EXCEED +9.4%</t>
        </is>
      </c>
    </row>
    <row r="96">
      <c r="A96" s="22" t="inlineStr">
        <is>
          <t>VIB-0092</t>
        </is>
      </c>
      <c r="B96" s="22" t="inlineStr">
        <is>
          <t>retest</t>
        </is>
      </c>
      <c r="C96" s="22" t="inlineStr">
        <is>
          <t>PMP_NDE_V</t>
        </is>
      </c>
      <c r="D96" s="22" t="inlineStr">
        <is>
          <t>Vertical</t>
        </is>
      </c>
      <c r="E96" s="22" t="inlineStr">
        <is>
          <t>60</t>
        </is>
      </c>
      <c r="F96" s="22" t="n">
        <v>4.495</v>
      </c>
      <c r="G96" s="22" t="n">
        <v>6.356</v>
      </c>
      <c r="H96" s="22" t="n">
        <v>35.8</v>
      </c>
      <c r="I96" s="22" t="n">
        <v>0.854</v>
      </c>
      <c r="J96" s="22" t="n">
        <v>49.663</v>
      </c>
      <c r="K96" s="22" t="inlineStr">
        <is>
          <t>6X (BPF)</t>
        </is>
      </c>
      <c r="L96" s="22" t="inlineStr"/>
      <c r="M96" s="22" t="inlineStr">
        <is>
          <t>OFF-DESIGN low-flow (below 80% min-continuous-flow guard)</t>
        </is>
      </c>
      <c r="N96" s="22" t="inlineStr">
        <is>
          <t>EXCEED +18.3%</t>
        </is>
      </c>
    </row>
    <row r="99">
      <c r="A99" s="19" t="inlineStr">
        <is>
          <t>OFF-DESIGN EXCEEDANCE / BORDERLINE MARGINS (transformed retest vs 3.8 mm/s)</t>
        </is>
      </c>
    </row>
    <row r="100">
      <c r="A100" s="20" t="inlineStr">
        <is>
          <t>Measurement ID</t>
        </is>
      </c>
      <c r="B100" s="20" t="inlineStr">
        <is>
          <t>Point</t>
        </is>
      </c>
      <c r="C100" s="20" t="inlineStr">
        <is>
          <t>Dir</t>
        </is>
      </c>
      <c r="D100" s="20" t="inlineStr">
        <is>
          <t>Flow %BEP</t>
        </is>
      </c>
      <c r="E100" s="20" t="inlineStr">
        <is>
          <t>Value (mm/s)</t>
        </is>
      </c>
      <c r="F100" s="20" t="inlineStr">
        <is>
          <t>Limit</t>
        </is>
      </c>
      <c r="G100" s="20" t="inlineStr">
        <is>
          <t>Delta</t>
        </is>
      </c>
      <c r="H100" s="20" t="inlineStr">
        <is>
          <t>Over-limit %</t>
        </is>
      </c>
      <c r="I100" s="20" t="inlineStr">
        <is>
          <t>Class</t>
        </is>
      </c>
      <c r="J100" s="20" t="inlineStr">
        <is>
          <t>Operating-condition attribution</t>
        </is>
      </c>
    </row>
    <row r="101">
      <c r="A101" t="inlineStr">
        <is>
          <t>VIB-0092</t>
        </is>
      </c>
      <c r="B101" t="inlineStr">
        <is>
          <t>PMP_NDE_V</t>
        </is>
      </c>
      <c r="C101" t="inlineStr">
        <is>
          <t>Vertical</t>
        </is>
      </c>
      <c r="D101" t="inlineStr">
        <is>
          <t>60</t>
        </is>
      </c>
      <c r="E101" t="n">
        <v>4.495</v>
      </c>
      <c r="F101" t="n">
        <v>3.8</v>
      </c>
      <c r="G101" t="n">
        <v>0.695</v>
      </c>
      <c r="H101" t="inlineStr">
        <is>
          <t>+18.3%</t>
        </is>
      </c>
      <c r="I101" t="inlineStr">
        <is>
          <t>EXCEEDANCE</t>
        </is>
      </c>
      <c r="J101" t="inlineStr">
        <is>
          <t>low-flow recirculation (60%)</t>
        </is>
      </c>
    </row>
    <row r="102">
      <c r="A102" t="inlineStr">
        <is>
          <t>VIB-0091</t>
        </is>
      </c>
      <c r="B102" t="inlineStr">
        <is>
          <t>PMP_NDE_H</t>
        </is>
      </c>
      <c r="C102" t="inlineStr">
        <is>
          <t>Horizontal</t>
        </is>
      </c>
      <c r="D102" t="inlineStr">
        <is>
          <t>60</t>
        </is>
      </c>
      <c r="E102" t="n">
        <v>4.159</v>
      </c>
      <c r="F102" t="n">
        <v>3.8</v>
      </c>
      <c r="G102" t="n">
        <v>0.359</v>
      </c>
      <c r="H102" t="inlineStr">
        <is>
          <t>+9.4%</t>
        </is>
      </c>
      <c r="I102" t="inlineStr">
        <is>
          <t>EXCEEDANCE</t>
        </is>
      </c>
      <c r="J102" t="inlineStr">
        <is>
          <t>low-flow recirculation (60%)</t>
        </is>
      </c>
    </row>
    <row r="103">
      <c r="A103" t="inlineStr">
        <is>
          <t>VIB-0073</t>
        </is>
      </c>
      <c r="B103" t="inlineStr">
        <is>
          <t>PMP_DE_H</t>
        </is>
      </c>
      <c r="C103" t="inlineStr">
        <is>
          <t>Horizontal</t>
        </is>
      </c>
      <c r="D103" t="inlineStr">
        <is>
          <t>110</t>
        </is>
      </c>
      <c r="E103" t="n">
        <v>3.89</v>
      </c>
      <c r="F103" t="n">
        <v>3.8</v>
      </c>
      <c r="G103" t="n">
        <v>0.09</v>
      </c>
      <c r="H103" t="inlineStr">
        <is>
          <t>+2.4%</t>
        </is>
      </c>
      <c r="I103" t="inlineStr">
        <is>
          <t>EXCEEDANCE</t>
        </is>
      </c>
      <c r="J103" t="inlineStr">
        <is>
          <t>high-flow hydraulic load (110%)</t>
        </is>
      </c>
    </row>
  </sheetData>
  <mergeCells count="1">
    <mergeCell ref="A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3" customWidth="1" min="4" max="4"/>
    <col width="12" customWidth="1" min="5" max="5"/>
    <col width="42" customWidth="1" min="6" max="6"/>
    <col width="18" customWidth="1" min="7" max="7"/>
    <col width="60" customWidth="1" min="8" max="8"/>
  </cols>
  <sheetData>
    <row r="1">
      <c r="A1" s="17" t="inlineStr">
        <is>
          <t>CONTRACT-REQUIRED TEST MATRIX &amp; MISSING COMBINATIONS (coverage-gap)</t>
        </is>
      </c>
    </row>
    <row r="2" ht="55" customHeight="1">
      <c r="A2" s="18" t="inlineStr">
        <is>
          <t>Contract VR-003 requires the full matrix: 12 measurement locations x 3 directions x 5 flow conditions (60, 80, 90, 100, 110 %BEP) = 180 combinations. The retest covered only 32 combinations (pump points at 100/110% BEP and driver points at 100/110% BEP). The 28 combinations below are contract-required but UNOBSERVED in the retest — they are listed explicitly and are NOT imputed as passing measurements.</t>
        </is>
      </c>
    </row>
    <row r="4">
      <c r="A4" s="20" t="inlineStr">
        <is>
          <t>combination (point/dir/flow)</t>
        </is>
      </c>
      <c r="B4" s="20" t="inlineStr">
        <is>
          <t>measurement_point</t>
        </is>
      </c>
      <c r="C4" s="20" t="inlineStr">
        <is>
          <t>direction</t>
        </is>
      </c>
      <c r="D4" s="20" t="inlineStr">
        <is>
          <t>flow_condition_pct_bep</t>
        </is>
      </c>
      <c r="E4" s="20" t="inlineStr">
        <is>
          <t>original_rows</t>
        </is>
      </c>
      <c r="F4" s="20" t="inlineStr">
        <is>
          <t>retest_rows</t>
        </is>
      </c>
      <c r="G4" s="20" t="inlineStr">
        <is>
          <t>status</t>
        </is>
      </c>
      <c r="H4" s="20" t="inlineStr">
        <is>
          <t>original_value_mm_s</t>
        </is>
      </c>
      <c r="I4" s="20" t="inlineStr">
        <is>
          <t>closure_test</t>
        </is>
      </c>
    </row>
    <row r="5">
      <c r="A5" s="21" t="inlineStr">
        <is>
          <t>DRV_DE_A/Axial/60</t>
        </is>
      </c>
      <c r="B5" s="21" t="inlineStr">
        <is>
          <t>DRV_DE_A</t>
        </is>
      </c>
      <c r="C5" s="21" t="inlineStr">
        <is>
          <t>Axial</t>
        </is>
      </c>
      <c r="D5" s="21" t="inlineStr">
        <is>
          <t>60</t>
        </is>
      </c>
      <c r="E5" s="21" t="n">
        <v>1</v>
      </c>
      <c r="F5" s="21" t="n">
        <v>0</v>
      </c>
      <c r="G5" s="21" t="inlineStr">
        <is>
          <t>MISSING — deviation (original passed)</t>
        </is>
      </c>
      <c r="H5" s="21" t="n">
        <v>2.936</v>
      </c>
      <c r="I5" s="21" t="inlineStr">
        <is>
          <t>Close by re-test or formal risk-assessed deviation; original 2.936 mm/s passed. Recorded, not imputed.</t>
        </is>
      </c>
    </row>
    <row r="6">
      <c r="A6" s="21" t="inlineStr">
        <is>
          <t>DRV_DE_A/Axial/80</t>
        </is>
      </c>
      <c r="B6" s="21" t="inlineStr">
        <is>
          <t>DRV_DE_A</t>
        </is>
      </c>
      <c r="C6" s="21" t="inlineStr">
        <is>
          <t>Axial</t>
        </is>
      </c>
      <c r="D6" s="21" t="inlineStr">
        <is>
          <t>80</t>
        </is>
      </c>
      <c r="E6" s="21" t="n">
        <v>1</v>
      </c>
      <c r="F6" s="21" t="n">
        <v>0</v>
      </c>
      <c r="G6" s="21" t="inlineStr">
        <is>
          <t>MISSING — deviation (original passed)</t>
        </is>
      </c>
      <c r="H6" s="21" t="n">
        <v>2.318</v>
      </c>
      <c r="I6" s="21" t="inlineStr">
        <is>
          <t>Close by re-test or formal risk-assessed deviation; original 2.318 mm/s passed. Recorded, not imputed.</t>
        </is>
      </c>
    </row>
    <row r="7">
      <c r="A7" s="21" t="inlineStr">
        <is>
          <t>DRV_DE_A/Axial/90_BEP</t>
        </is>
      </c>
      <c r="B7" s="21" t="inlineStr">
        <is>
          <t>DRV_DE_A</t>
        </is>
      </c>
      <c r="C7" s="21" t="inlineStr">
        <is>
          <t>Axial</t>
        </is>
      </c>
      <c r="D7" s="21" t="inlineStr">
        <is>
          <t>90_BEP</t>
        </is>
      </c>
      <c r="E7" s="21" t="n">
        <v>1</v>
      </c>
      <c r="F7" s="21" t="n">
        <v>0</v>
      </c>
      <c r="G7" s="21" t="inlineStr">
        <is>
          <t>MISSING — deviation (original passed)</t>
        </is>
      </c>
      <c r="H7" s="21" t="n">
        <v>1.759</v>
      </c>
      <c r="I7" s="21" t="inlineStr">
        <is>
          <t>Close by re-test or formal risk-assessed deviation; original 1.759 mm/s passed. Recorded, not imputed.</t>
        </is>
      </c>
    </row>
    <row r="8">
      <c r="A8" s="21" t="inlineStr">
        <is>
          <t>DRV_DE_H/Horizontal/60</t>
        </is>
      </c>
      <c r="B8" s="21" t="inlineStr">
        <is>
          <t>DRV_DE_H</t>
        </is>
      </c>
      <c r="C8" s="21" t="inlineStr">
        <is>
          <t>Horizontal</t>
        </is>
      </c>
      <c r="D8" s="21" t="inlineStr">
        <is>
          <t>60</t>
        </is>
      </c>
      <c r="E8" s="21" t="n">
        <v>1</v>
      </c>
      <c r="F8" s="21" t="n">
        <v>0</v>
      </c>
      <c r="G8" s="21" t="inlineStr">
        <is>
          <t>MISSING — deviation (original passed)</t>
        </is>
      </c>
      <c r="H8" s="21" t="n">
        <v>2.664</v>
      </c>
      <c r="I8" s="21" t="inlineStr">
        <is>
          <t>Close by re-test or formal risk-assessed deviation; original 2.664 mm/s passed. Recorded, not imputed.</t>
        </is>
      </c>
    </row>
    <row r="9">
      <c r="A9" s="21" t="inlineStr">
        <is>
          <t>DRV_DE_H/Horizontal/80</t>
        </is>
      </c>
      <c r="B9" s="21" t="inlineStr">
        <is>
          <t>DRV_DE_H</t>
        </is>
      </c>
      <c r="C9" s="21" t="inlineStr">
        <is>
          <t>Horizontal</t>
        </is>
      </c>
      <c r="D9" s="21" t="inlineStr">
        <is>
          <t>80</t>
        </is>
      </c>
      <c r="E9" s="21" t="n">
        <v>1</v>
      </c>
      <c r="F9" s="21" t="n">
        <v>0</v>
      </c>
      <c r="G9" s="21" t="inlineStr">
        <is>
          <t>MISSING — deviation (original passed)</t>
        </is>
      </c>
      <c r="H9" s="21" t="n">
        <v>2.128</v>
      </c>
      <c r="I9" s="21" t="inlineStr">
        <is>
          <t>Close by re-test or formal risk-assessed deviation; original 2.128 mm/s passed. Recorded, not imputed.</t>
        </is>
      </c>
    </row>
    <row r="10">
      <c r="A10" s="21" t="inlineStr">
        <is>
          <t>DRV_DE_H/Horizontal/90_BEP</t>
        </is>
      </c>
      <c r="B10" s="21" t="inlineStr">
        <is>
          <t>DRV_DE_H</t>
        </is>
      </c>
      <c r="C10" s="21" t="inlineStr">
        <is>
          <t>Horizontal</t>
        </is>
      </c>
      <c r="D10" s="21" t="inlineStr">
        <is>
          <t>90_BEP</t>
        </is>
      </c>
      <c r="E10" s="21" t="n">
        <v>1</v>
      </c>
      <c r="F10" s="21" t="n">
        <v>0</v>
      </c>
      <c r="G10" s="21" t="inlineStr">
        <is>
          <t>MISSING — deviation (original passed)</t>
        </is>
      </c>
      <c r="H10" s="21" t="n">
        <v>1.904</v>
      </c>
      <c r="I10" s="21" t="inlineStr">
        <is>
          <t>Close by re-test or formal risk-assessed deviation; original 1.904 mm/s passed. Recorded, not imputed.</t>
        </is>
      </c>
    </row>
    <row r="11">
      <c r="A11" s="21" t="inlineStr">
        <is>
          <t>DRV_DE_V/Vertical/60</t>
        </is>
      </c>
      <c r="B11" s="21" t="inlineStr">
        <is>
          <t>DRV_DE_V</t>
        </is>
      </c>
      <c r="C11" s="21" t="inlineStr">
        <is>
          <t>Vertical</t>
        </is>
      </c>
      <c r="D11" s="21" t="inlineStr">
        <is>
          <t>60</t>
        </is>
      </c>
      <c r="E11" s="21" t="n">
        <v>1</v>
      </c>
      <c r="F11" s="21" t="n">
        <v>0</v>
      </c>
      <c r="G11" s="21" t="inlineStr">
        <is>
          <t>MISSING — deviation (original passed)</t>
        </is>
      </c>
      <c r="H11" s="21" t="n">
        <v>2.146</v>
      </c>
      <c r="I11" s="21" t="inlineStr">
        <is>
          <t>Close by re-test or formal risk-assessed deviation; original 2.146 mm/s passed. Recorded, not imputed.</t>
        </is>
      </c>
    </row>
    <row r="12">
      <c r="A12" s="21" t="inlineStr">
        <is>
          <t>DRV_DE_V/Vertical/80</t>
        </is>
      </c>
      <c r="B12" s="21" t="inlineStr">
        <is>
          <t>DRV_DE_V</t>
        </is>
      </c>
      <c r="C12" s="21" t="inlineStr">
        <is>
          <t>Vertical</t>
        </is>
      </c>
      <c r="D12" s="21" t="inlineStr">
        <is>
          <t>80</t>
        </is>
      </c>
      <c r="E12" s="21" t="n">
        <v>1</v>
      </c>
      <c r="F12" s="21" t="n">
        <v>0</v>
      </c>
      <c r="G12" s="21" t="inlineStr">
        <is>
          <t>MISSING — deviation (original passed)</t>
        </is>
      </c>
      <c r="H12" s="21" t="n">
        <v>1.76</v>
      </c>
      <c r="I12" s="21" t="inlineStr">
        <is>
          <t>Close by re-test or formal risk-assessed deviation; original 1.76 mm/s passed. Recorded, not imputed.</t>
        </is>
      </c>
    </row>
    <row r="13">
      <c r="A13" s="21" t="inlineStr">
        <is>
          <t>DRV_DE_V/Vertical/90_BEP</t>
        </is>
      </c>
      <c r="B13" s="21" t="inlineStr">
        <is>
          <t>DRV_DE_V</t>
        </is>
      </c>
      <c r="C13" s="21" t="inlineStr">
        <is>
          <t>Vertical</t>
        </is>
      </c>
      <c r="D13" s="21" t="inlineStr">
        <is>
          <t>90_BEP</t>
        </is>
      </c>
      <c r="E13" s="21" t="n">
        <v>1</v>
      </c>
      <c r="F13" s="21" t="n">
        <v>0</v>
      </c>
      <c r="G13" s="21" t="inlineStr">
        <is>
          <t>MISSING — deviation (original passed)</t>
        </is>
      </c>
      <c r="H13" s="21" t="n">
        <v>1.582</v>
      </c>
      <c r="I13" s="21" t="inlineStr">
        <is>
          <t>Close by re-test or formal risk-assessed deviation; original 1.582 mm/s passed. Recorded, not imputed.</t>
        </is>
      </c>
    </row>
    <row r="14">
      <c r="A14" s="21" t="inlineStr">
        <is>
          <t>DRV_NDE_A/Axial/110</t>
        </is>
      </c>
      <c r="B14" s="21" t="inlineStr">
        <is>
          <t>DRV_NDE_A</t>
        </is>
      </c>
      <c r="C14" s="21" t="inlineStr">
        <is>
          <t>Axial</t>
        </is>
      </c>
      <c r="D14" s="21" t="inlineStr">
        <is>
          <t>110</t>
        </is>
      </c>
      <c r="E14" s="21" t="n">
        <v>1</v>
      </c>
      <c r="F14" s="21" t="n">
        <v>0</v>
      </c>
      <c r="G14" s="21" t="inlineStr">
        <is>
          <t>MISSING — deviation (original passed)</t>
        </is>
      </c>
      <c r="H14" s="21" t="n">
        <v>2.194</v>
      </c>
      <c r="I14" s="21" t="inlineStr">
        <is>
          <t>Close by re-test or formal risk-assessed deviation; original 2.194 mm/s passed. Recorded, not imputed.</t>
        </is>
      </c>
    </row>
    <row r="15">
      <c r="A15" s="21" t="inlineStr">
        <is>
          <t>DRV_NDE_A/Axial/60</t>
        </is>
      </c>
      <c r="B15" s="21" t="inlineStr">
        <is>
          <t>DRV_NDE_A</t>
        </is>
      </c>
      <c r="C15" s="21" t="inlineStr">
        <is>
          <t>Axial</t>
        </is>
      </c>
      <c r="D15" s="21" t="inlineStr">
        <is>
          <t>60</t>
        </is>
      </c>
      <c r="E15" s="21" t="n">
        <v>1</v>
      </c>
      <c r="F15" s="21" t="n">
        <v>0</v>
      </c>
      <c r="G15" s="21" t="inlineStr">
        <is>
          <t>MISSING — deviation (original passed)</t>
        </is>
      </c>
      <c r="H15" s="21" t="n">
        <v>2.124</v>
      </c>
      <c r="I15" s="21" t="inlineStr">
        <is>
          <t>Close by re-test or formal risk-assessed deviation; original 2.124 mm/s passed. Recorded, not imputed.</t>
        </is>
      </c>
    </row>
    <row r="16">
      <c r="A16" s="21" t="inlineStr">
        <is>
          <t>DRV_NDE_A/Axial/80</t>
        </is>
      </c>
      <c r="B16" s="21" t="inlineStr">
        <is>
          <t>DRV_NDE_A</t>
        </is>
      </c>
      <c r="C16" s="21" t="inlineStr">
        <is>
          <t>Axial</t>
        </is>
      </c>
      <c r="D16" s="21" t="inlineStr">
        <is>
          <t>80</t>
        </is>
      </c>
      <c r="E16" s="21" t="n">
        <v>1</v>
      </c>
      <c r="F16" s="21" t="n">
        <v>0</v>
      </c>
      <c r="G16" s="21" t="inlineStr">
        <is>
          <t>MISSING — deviation (original passed)</t>
        </is>
      </c>
      <c r="H16" s="21" t="n">
        <v>1.716</v>
      </c>
      <c r="I16" s="21" t="inlineStr">
        <is>
          <t>Close by re-test or formal risk-assessed deviation; original 1.716 mm/s passed. Recorded, not imputed.</t>
        </is>
      </c>
    </row>
    <row r="17">
      <c r="A17" s="21" t="inlineStr">
        <is>
          <t>DRV_NDE_A/Axial/90_BEP</t>
        </is>
      </c>
      <c r="B17" s="21" t="inlineStr">
        <is>
          <t>DRV_NDE_A</t>
        </is>
      </c>
      <c r="C17" s="21" t="inlineStr">
        <is>
          <t>Axial</t>
        </is>
      </c>
      <c r="D17" s="21" t="inlineStr">
        <is>
          <t>90_BEP</t>
        </is>
      </c>
      <c r="E17" s="21" t="n">
        <v>1</v>
      </c>
      <c r="F17" s="21" t="n">
        <v>0</v>
      </c>
      <c r="G17" s="21" t="inlineStr">
        <is>
          <t>MISSING — deviation (original passed)</t>
        </is>
      </c>
      <c r="H17" s="21" t="n">
        <v>1.483</v>
      </c>
      <c r="I17" s="21" t="inlineStr">
        <is>
          <t>Close by re-test or formal risk-assessed deviation; original 1.483 mm/s passed. Recorded, not imputed.</t>
        </is>
      </c>
    </row>
    <row r="18">
      <c r="A18" s="21" t="inlineStr">
        <is>
          <t>DRV_NDE_H/Horizontal/110</t>
        </is>
      </c>
      <c r="B18" s="21" t="inlineStr">
        <is>
          <t>DRV_NDE_H</t>
        </is>
      </c>
      <c r="C18" s="21" t="inlineStr">
        <is>
          <t>Horizontal</t>
        </is>
      </c>
      <c r="D18" s="21" t="inlineStr">
        <is>
          <t>110</t>
        </is>
      </c>
      <c r="E18" s="21" t="n">
        <v>1</v>
      </c>
      <c r="F18" s="21" t="n">
        <v>0</v>
      </c>
      <c r="G18" s="21" t="inlineStr">
        <is>
          <t>MISSING — deviation (original passed)</t>
        </is>
      </c>
      <c r="H18" s="21" t="n">
        <v>2.465</v>
      </c>
      <c r="I18" s="21" t="inlineStr">
        <is>
          <t>Close by re-test or formal risk-assessed deviation; original 2.465 mm/s passed. Recorded, not imputed.</t>
        </is>
      </c>
    </row>
    <row r="19">
      <c r="A19" s="21" t="inlineStr">
        <is>
          <t>DRV_NDE_H/Horizontal/60</t>
        </is>
      </c>
      <c r="B19" s="21" t="inlineStr">
        <is>
          <t>DRV_NDE_H</t>
        </is>
      </c>
      <c r="C19" s="21" t="inlineStr">
        <is>
          <t>Horizontal</t>
        </is>
      </c>
      <c r="D19" s="21" t="inlineStr">
        <is>
          <t>60</t>
        </is>
      </c>
      <c r="E19" s="21" t="n">
        <v>1</v>
      </c>
      <c r="F19" s="21" t="n">
        <v>0</v>
      </c>
      <c r="G19" s="21" t="inlineStr">
        <is>
          <t>MISSING — deviation (original passed)</t>
        </is>
      </c>
      <c r="H19" s="21" t="n">
        <v>2.254</v>
      </c>
      <c r="I19" s="21" t="inlineStr">
        <is>
          <t>Close by re-test or formal risk-assessed deviation; original 2.254 mm/s passed. Recorded, not imputed.</t>
        </is>
      </c>
    </row>
    <row r="20">
      <c r="A20" s="21" t="inlineStr">
        <is>
          <t>DRV_NDE_H/Horizontal/80</t>
        </is>
      </c>
      <c r="B20" s="21" t="inlineStr">
        <is>
          <t>DRV_NDE_H</t>
        </is>
      </c>
      <c r="C20" s="21" t="inlineStr">
        <is>
          <t>Horizontal</t>
        </is>
      </c>
      <c r="D20" s="21" t="inlineStr">
        <is>
          <t>80</t>
        </is>
      </c>
      <c r="E20" s="21" t="n">
        <v>1</v>
      </c>
      <c r="F20" s="21" t="n">
        <v>0</v>
      </c>
      <c r="G20" s="21" t="inlineStr">
        <is>
          <t>MISSING — deviation (original passed)</t>
        </is>
      </c>
      <c r="H20" s="21" t="n">
        <v>1.895</v>
      </c>
      <c r="I20" s="21" t="inlineStr">
        <is>
          <t>Close by re-test or formal risk-assessed deviation; original 1.895 mm/s passed. Recorded, not imputed.</t>
        </is>
      </c>
    </row>
    <row r="21">
      <c r="A21" s="21" t="inlineStr">
        <is>
          <t>DRV_NDE_H/Horizontal/90_BEP</t>
        </is>
      </c>
      <c r="B21" s="21" t="inlineStr">
        <is>
          <t>DRV_NDE_H</t>
        </is>
      </c>
      <c r="C21" s="21" t="inlineStr">
        <is>
          <t>Horizontal</t>
        </is>
      </c>
      <c r="D21" s="21" t="inlineStr">
        <is>
          <t>90_BEP</t>
        </is>
      </c>
      <c r="E21" s="21" t="n">
        <v>1</v>
      </c>
      <c r="F21" s="21" t="n">
        <v>0</v>
      </c>
      <c r="G21" s="21" t="inlineStr">
        <is>
          <t>MISSING — deviation (original passed)</t>
        </is>
      </c>
      <c r="H21" s="21" t="n">
        <v>1.695</v>
      </c>
      <c r="I21" s="21" t="inlineStr">
        <is>
          <t>Close by re-test or formal risk-assessed deviation; original 1.695 mm/s passed. Recorded, not imputed.</t>
        </is>
      </c>
    </row>
    <row r="22">
      <c r="A22" s="21" t="inlineStr">
        <is>
          <t>DRV_NDE_V/Vertical/110</t>
        </is>
      </c>
      <c r="B22" s="21" t="inlineStr">
        <is>
          <t>DRV_NDE_V</t>
        </is>
      </c>
      <c r="C22" s="21" t="inlineStr">
        <is>
          <t>Vertical</t>
        </is>
      </c>
      <c r="D22" s="21" t="inlineStr">
        <is>
          <t>110</t>
        </is>
      </c>
      <c r="E22" s="21" t="n">
        <v>1</v>
      </c>
      <c r="F22" s="21" t="n">
        <v>0</v>
      </c>
      <c r="G22" s="21" t="inlineStr">
        <is>
          <t>MISSING — deviation (original passed)</t>
        </is>
      </c>
      <c r="H22" s="21" t="n">
        <v>2.289</v>
      </c>
      <c r="I22" s="21" t="inlineStr">
        <is>
          <t>Close by re-test or formal risk-assessed deviation; original 2.289 mm/s passed. Recorded, not imputed.</t>
        </is>
      </c>
    </row>
    <row r="23">
      <c r="A23" s="21" t="inlineStr">
        <is>
          <t>DRV_NDE_V/Vertical/60</t>
        </is>
      </c>
      <c r="B23" s="21" t="inlineStr">
        <is>
          <t>DRV_NDE_V</t>
        </is>
      </c>
      <c r="C23" s="21" t="inlineStr">
        <is>
          <t>Vertical</t>
        </is>
      </c>
      <c r="D23" s="21" t="inlineStr">
        <is>
          <t>60</t>
        </is>
      </c>
      <c r="E23" s="21" t="n">
        <v>1</v>
      </c>
      <c r="F23" s="21" t="n">
        <v>0</v>
      </c>
      <c r="G23" s="21" t="inlineStr">
        <is>
          <t>MISSING — deviation (original passed)</t>
        </is>
      </c>
      <c r="H23" s="21" t="n">
        <v>1.946</v>
      </c>
      <c r="I23" s="21" t="inlineStr">
        <is>
          <t>Close by re-test or formal risk-assessed deviation; original 1.946 mm/s passed. Recorded, not imputed.</t>
        </is>
      </c>
    </row>
    <row r="24">
      <c r="A24" s="21" t="inlineStr">
        <is>
          <t>DRV_NDE_V/Vertical/80</t>
        </is>
      </c>
      <c r="B24" s="21" t="inlineStr">
        <is>
          <t>DRV_NDE_V</t>
        </is>
      </c>
      <c r="C24" s="21" t="inlineStr">
        <is>
          <t>Vertical</t>
        </is>
      </c>
      <c r="D24" s="21" t="inlineStr">
        <is>
          <t>80</t>
        </is>
      </c>
      <c r="E24" s="21" t="n">
        <v>1</v>
      </c>
      <c r="F24" s="21" t="n">
        <v>0</v>
      </c>
      <c r="G24" s="21" t="inlineStr">
        <is>
          <t>MISSING — deviation (original passed)</t>
        </is>
      </c>
      <c r="H24" s="21" t="n">
        <v>1.612</v>
      </c>
      <c r="I24" s="21" t="inlineStr">
        <is>
          <t>Close by re-test or formal risk-assessed deviation; original 1.612 mm/s passed. Recorded, not imputed.</t>
        </is>
      </c>
    </row>
    <row r="25">
      <c r="A25" s="21" t="inlineStr">
        <is>
          <t>DRV_NDE_V/Vertical/90_BEP</t>
        </is>
      </c>
      <c r="B25" s="21" t="inlineStr">
        <is>
          <t>DRV_NDE_V</t>
        </is>
      </c>
      <c r="C25" s="21" t="inlineStr">
        <is>
          <t>Vertical</t>
        </is>
      </c>
      <c r="D25" s="21" t="inlineStr">
        <is>
          <t>90_BEP</t>
        </is>
      </c>
      <c r="E25" s="21" t="n">
        <v>1</v>
      </c>
      <c r="F25" s="21" t="n">
        <v>0</v>
      </c>
      <c r="G25" s="21" t="inlineStr">
        <is>
          <t>MISSING — deviation (original passed)</t>
        </is>
      </c>
      <c r="H25" s="21" t="n">
        <v>1.403</v>
      </c>
      <c r="I25" s="21" t="inlineStr">
        <is>
          <t>Close by re-test or formal risk-assessed deviation; original 1.403 mm/s passed. Recorded, not imputed.</t>
        </is>
      </c>
    </row>
    <row r="26">
      <c r="A26" s="21" t="inlineStr">
        <is>
          <t>PMP_DE_A/Axial/80</t>
        </is>
      </c>
      <c r="B26" s="21" t="inlineStr">
        <is>
          <t>PMP_DE_A</t>
        </is>
      </c>
      <c r="C26" s="21" t="inlineStr">
        <is>
          <t>Axial</t>
        </is>
      </c>
      <c r="D26" s="21" t="inlineStr">
        <is>
          <t>80</t>
        </is>
      </c>
      <c r="E26" s="21" t="n">
        <v>1</v>
      </c>
      <c r="F26" s="21" t="n">
        <v>0</v>
      </c>
      <c r="G26" s="21" t="inlineStr">
        <is>
          <t>MISSING — deviation (original passed)</t>
        </is>
      </c>
      <c r="H26" s="21" t="n">
        <v>1.832</v>
      </c>
      <c r="I26" s="21" t="inlineStr">
        <is>
          <t>Close by re-test or formal risk-assessed deviation; original 1.832 mm/s passed. Recorded, not imputed.</t>
        </is>
      </c>
    </row>
    <row r="27">
      <c r="A27" s="21" t="inlineStr">
        <is>
          <t>PMP_DE_H/Horizontal/80</t>
        </is>
      </c>
      <c r="B27" s="21" t="inlineStr">
        <is>
          <t>PMP_DE_H</t>
        </is>
      </c>
      <c r="C27" s="21" t="inlineStr">
        <is>
          <t>Horizontal</t>
        </is>
      </c>
      <c r="D27" s="21" t="inlineStr">
        <is>
          <t>80</t>
        </is>
      </c>
      <c r="E27" s="21" t="n">
        <v>1</v>
      </c>
      <c r="F27" s="21" t="n">
        <v>0</v>
      </c>
      <c r="G27" s="21" t="inlineStr">
        <is>
          <t>MISSING — deviation (original passed)</t>
        </is>
      </c>
      <c r="H27" s="21" t="n">
        <v>2.604</v>
      </c>
      <c r="I27" s="21" t="inlineStr">
        <is>
          <t>Close by re-test or formal risk-assessed deviation; original 2.604 mm/s passed. Recorded, not imputed.</t>
        </is>
      </c>
    </row>
    <row r="28">
      <c r="A28" s="21" t="inlineStr">
        <is>
          <t>PMP_DE_V/Vertical/80</t>
        </is>
      </c>
      <c r="B28" s="21" t="inlineStr">
        <is>
          <t>PMP_DE_V</t>
        </is>
      </c>
      <c r="C28" s="21" t="inlineStr">
        <is>
          <t>Vertical</t>
        </is>
      </c>
      <c r="D28" s="21" t="inlineStr">
        <is>
          <t>80</t>
        </is>
      </c>
      <c r="E28" s="21" t="n">
        <v>1</v>
      </c>
      <c r="F28" s="21" t="n">
        <v>0</v>
      </c>
      <c r="G28" s="21" t="inlineStr">
        <is>
          <t>MISSING — deviation (original passed)</t>
        </is>
      </c>
      <c r="H28" s="21" t="n">
        <v>2.077</v>
      </c>
      <c r="I28" s="21" t="inlineStr">
        <is>
          <t>Close by re-test or formal risk-assessed deviation; original 2.077 mm/s passed. Recorded, not imputed.</t>
        </is>
      </c>
    </row>
    <row r="29">
      <c r="A29" s="21" t="inlineStr">
        <is>
          <t>PMP_NDE_A/Axial/60</t>
        </is>
      </c>
      <c r="B29" s="21" t="inlineStr">
        <is>
          <t>PMP_NDE_A</t>
        </is>
      </c>
      <c r="C29" s="21" t="inlineStr">
        <is>
          <t>Axial</t>
        </is>
      </c>
      <c r="D29" s="21" t="inlineStr">
        <is>
          <t>60</t>
        </is>
      </c>
      <c r="E29" s="21" t="n">
        <v>1</v>
      </c>
      <c r="F29" s="21" t="n">
        <v>0</v>
      </c>
      <c r="G29" s="21" t="inlineStr">
        <is>
          <t>MISSING — deviation (original passed)</t>
        </is>
      </c>
      <c r="H29" s="21" t="n">
        <v>3.767</v>
      </c>
      <c r="I29" s="21" t="inlineStr">
        <is>
          <t>Close by re-test or formal risk-assessed deviation; original 3.767 mm/s passed. Recorded, not imputed.</t>
        </is>
      </c>
    </row>
    <row r="30">
      <c r="A30" s="21" t="inlineStr">
        <is>
          <t>PMP_NDE_A/Axial/80</t>
        </is>
      </c>
      <c r="B30" s="21" t="inlineStr">
        <is>
          <t>PMP_NDE_A</t>
        </is>
      </c>
      <c r="C30" s="21" t="inlineStr">
        <is>
          <t>Axial</t>
        </is>
      </c>
      <c r="D30" s="21" t="inlineStr">
        <is>
          <t>80</t>
        </is>
      </c>
      <c r="E30" s="21" t="n">
        <v>1</v>
      </c>
      <c r="F30" s="21" t="n">
        <v>0</v>
      </c>
      <c r="G30" s="21" t="inlineStr">
        <is>
          <t>MISSING — deviation (original passed)</t>
        </is>
      </c>
      <c r="H30" s="21" t="n">
        <v>1.748</v>
      </c>
      <c r="I30" s="21" t="inlineStr">
        <is>
          <t>Close by re-test or formal risk-assessed deviation; original 1.748 mm/s passed. Recorded, not imputed.</t>
        </is>
      </c>
    </row>
    <row r="31">
      <c r="A31" s="21" t="inlineStr">
        <is>
          <t>PMP_NDE_H/Horizontal/80</t>
        </is>
      </c>
      <c r="B31" s="21" t="inlineStr">
        <is>
          <t>PMP_NDE_H</t>
        </is>
      </c>
      <c r="C31" s="21" t="inlineStr">
        <is>
          <t>Horizontal</t>
        </is>
      </c>
      <c r="D31" s="21" t="inlineStr">
        <is>
          <t>80</t>
        </is>
      </c>
      <c r="E31" s="21" t="n">
        <v>1</v>
      </c>
      <c r="F31" s="21" t="n">
        <v>0</v>
      </c>
      <c r="G31" s="21" t="inlineStr">
        <is>
          <t>MISSING — deviation (original passed)</t>
        </is>
      </c>
      <c r="H31" s="21" t="n">
        <v>2.391</v>
      </c>
      <c r="I31" s="21" t="inlineStr">
        <is>
          <t>Close by re-test or formal risk-assessed deviation; original 2.391 mm/s passed. Recorded, not imputed.</t>
        </is>
      </c>
    </row>
    <row r="32">
      <c r="A32" s="21" t="inlineStr">
        <is>
          <t>PMP_NDE_V/Vertical/80</t>
        </is>
      </c>
      <c r="B32" s="21" t="inlineStr">
        <is>
          <t>PMP_NDE_V</t>
        </is>
      </c>
      <c r="C32" s="21" t="inlineStr">
        <is>
          <t>Vertical</t>
        </is>
      </c>
      <c r="D32" s="21" t="inlineStr">
        <is>
          <t>80</t>
        </is>
      </c>
      <c r="E32" s="21" t="n">
        <v>1</v>
      </c>
      <c r="F32" s="21" t="n">
        <v>0</v>
      </c>
      <c r="G32" s="21" t="inlineStr">
        <is>
          <t>MISSING — deviation (original passed)</t>
        </is>
      </c>
      <c r="H32" s="21" t="n">
        <v>1.967</v>
      </c>
      <c r="I32" s="21" t="inlineStr">
        <is>
          <t>Close by re-test or formal risk-assessed deviation; original 1.967 mm/s passed. Recorded, not imputed.</t>
        </is>
      </c>
    </row>
    <row r="35">
      <c r="A35" s="19" t="inlineStr">
        <is>
          <t>RECONCILIATION CONTROL TOTALS (zero-residual)</t>
        </is>
      </c>
    </row>
    <row r="36">
      <c r="A36" s="20" t="inlineStr">
        <is>
          <t>Control</t>
        </is>
      </c>
      <c r="B36" s="20" t="inlineStr">
        <is>
          <t>Value</t>
        </is>
      </c>
      <c r="C36" s="20" t="inlineStr">
        <is>
          <t>Basis</t>
        </is>
      </c>
    </row>
    <row r="37">
      <c r="A37" t="inlineStr">
        <is>
          <t>Original rows accounted</t>
        </is>
      </c>
      <c r="B37" t="n">
        <v>60</v>
      </c>
      <c r="C37" t="inlineStr">
        <is>
          <t>All 60 original rows appear exactly once in 2_FAT_Raw</t>
        </is>
      </c>
    </row>
    <row r="38">
      <c r="A38" t="inlineStr">
        <is>
          <t>Retest rows accounted</t>
        </is>
      </c>
      <c r="B38" t="n">
        <v>32</v>
      </c>
      <c r="C38" t="inlineStr">
        <is>
          <t>All 32 retest rows appear exactly once in 2_FAT_Raw</t>
        </is>
      </c>
    </row>
    <row r="39">
      <c r="A39" t="inlineStr">
        <is>
          <t>Total measurement rows</t>
        </is>
      </c>
      <c r="B39" t="n">
        <v>92</v>
      </c>
      <c r="C39" t="inlineStr">
        <is>
          <t>60 + 32 = 92</t>
        </is>
      </c>
    </row>
    <row r="40">
      <c r="A40" t="inlineStr">
        <is>
          <t>Paired (comparable) point/condition pairs</t>
        </is>
      </c>
      <c r="B40" t="n">
        <v>32</v>
      </c>
      <c r="C40" t="inlineStr">
        <is>
          <t>Each retest row pairs with one original row</t>
        </is>
      </c>
    </row>
    <row r="41">
      <c r="A41" t="inlineStr">
        <is>
          <t>Contract-required MISSING retest combinations</t>
        </is>
      </c>
      <c r="B41" t="n">
        <v>28</v>
      </c>
      <c r="C41" t="inlineStr">
        <is>
          <t>Listed above; absence is NOT a passing measurement</t>
        </is>
      </c>
    </row>
    <row r="42">
      <c r="A42" t="inlineStr">
        <is>
          <t>Residual (unaccounted rows)</t>
        </is>
      </c>
      <c r="B42" t="n">
        <v>0</v>
      </c>
      <c r="C42" t="inlineStr">
        <is>
          <t>Zero-residual: every original+retest row and every missing combo is enumerated</t>
        </is>
      </c>
    </row>
  </sheetData>
  <mergeCells count="2">
    <mergeCell ref="A35:I35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0" customWidth="1" min="4" max="4"/>
  </cols>
  <sheetData>
    <row r="1">
      <c r="A1" s="17" t="inlineStr">
        <is>
          <t>AUDITABLE UNIT CONVERSIONS — velocity / displacement / acceleration / frequency / order</t>
        </is>
      </c>
    </row>
    <row r="2" ht="55" customHeight="1">
      <c r="A2" s="18" t="inlineStr">
        <is>
          <t>Conversions use the sinusoidal steady-state relations v = w*d, a = w*v, with w = 2*pi*f. Waveform assumption: narrow-band sinusoid at the dominant frequency (1X = shaft speed 49.663 Hz = 2980 rpm; BPF = 6X = 297.98 Hz for the 6-vane impeller). Conversions are checked against the measured values in 13_Measurement_Controls.</t>
        </is>
      </c>
    </row>
    <row r="4">
      <c r="A4" s="20" t="inlineStr">
        <is>
          <t>Conversion</t>
        </is>
      </c>
      <c r="B4" s="20" t="inlineStr">
        <is>
          <t>Formula</t>
        </is>
      </c>
      <c r="C4" s="20" t="inlineStr">
        <is>
          <t>Constant / note</t>
        </is>
      </c>
    </row>
    <row r="5">
      <c r="A5" t="inlineStr">
        <is>
          <t>frequency (Hz) -&gt; order</t>
        </is>
      </c>
      <c r="B5" t="inlineStr">
        <is>
          <t>order = f / f1X</t>
        </is>
      </c>
      <c r="C5" t="inlineStr">
        <is>
          <t>f1X = 49.663 Hz (2980 rpm / 60)</t>
        </is>
      </c>
    </row>
    <row r="6">
      <c r="A6" t="inlineStr">
        <is>
          <t>order -&gt; frequency (Hz)</t>
        </is>
      </c>
      <c r="B6" t="inlineStr">
        <is>
          <t>f = order * f1X</t>
        </is>
      </c>
      <c r="C6" t="inlineStr">
        <is>
          <t>e.g. BPF 6X = 6 * 49.663 = 297.98 Hz</t>
        </is>
      </c>
    </row>
    <row r="7">
      <c r="A7" t="inlineStr">
        <is>
          <t>velocity &lt;-&gt; displacement</t>
        </is>
      </c>
      <c r="B7" t="inlineStr">
        <is>
          <t>v = w*d  =&gt;  d = v / w</t>
        </is>
      </c>
      <c r="C7" t="inlineStr">
        <is>
          <t>w = 2*pi*f (rad/s)</t>
        </is>
      </c>
    </row>
    <row r="8">
      <c r="A8" t="inlineStr">
        <is>
          <t>acceleration &lt;-&gt; velocity</t>
        </is>
      </c>
      <c r="B8" t="inlineStr">
        <is>
          <t>a = w*v  =&gt;  v = a / w</t>
        </is>
      </c>
      <c r="C8" t="inlineStr">
        <is>
          <t>a in mm/s^2; convert g by *9806.65</t>
        </is>
      </c>
    </row>
    <row r="9">
      <c r="A9" t="inlineStr">
        <is>
          <t>peak &lt;-&gt; RMS (sinusoid)</t>
        </is>
      </c>
      <c r="B9" t="inlineStr">
        <is>
          <t>peak = sqrt(2) * RMS</t>
        </is>
      </c>
      <c r="C9" t="inlineStr">
        <is>
          <t>narrow-band sinusoidal assumption</t>
        </is>
      </c>
    </row>
    <row r="11">
      <c r="A11" s="19" t="inlineStr">
        <is>
          <t>WORKED CHECKS AGAINST MEASURED ROWS (13_Measurement_Controls)</t>
        </is>
      </c>
    </row>
    <row r="12">
      <c r="A12" s="20" t="inlineStr">
        <is>
          <t>Measurement ID</t>
        </is>
      </c>
      <c r="B12" s="20" t="inlineStr">
        <is>
          <t>v RMS (mm/s)</t>
        </is>
      </c>
      <c r="C12" s="20" t="inlineStr">
        <is>
          <t>d meas (um)</t>
        </is>
      </c>
      <c r="D12" s="20" t="inlineStr">
        <is>
          <t>d pred (um)</t>
        </is>
      </c>
      <c r="E12" s="20" t="inlineStr">
        <is>
          <t>a meas (g)</t>
        </is>
      </c>
      <c r="F12" s="20" t="inlineStr">
        <is>
          <t>a pred (g)</t>
        </is>
      </c>
      <c r="G12" s="20" t="inlineStr">
        <is>
          <t>Note</t>
        </is>
      </c>
    </row>
    <row r="13">
      <c r="A13" t="inlineStr">
        <is>
          <t>VIB-0001</t>
        </is>
      </c>
      <c r="B13" t="inlineStr">
        <is>
          <t>2.349</t>
        </is>
      </c>
      <c r="C13" t="inlineStr">
        <is>
          <t>18.71</t>
        </is>
      </c>
      <c r="D13" t="inlineStr">
        <is>
          <t>7.53</t>
        </is>
      </c>
      <c r="E13" t="inlineStr">
        <is>
          <t>0.427</t>
        </is>
      </c>
      <c r="F13" t="inlineStr">
        <is>
          <t>0.075</t>
        </is>
      </c>
      <c r="G13" t="inlineStr">
        <is>
          <t>d_pred=7.5um vs meas=18.7um; a_pred=0.07g vs meas=0.43g (differences reflect multi-frequency content, not a unit error)</t>
        </is>
      </c>
    </row>
    <row r="14">
      <c r="A14" t="inlineStr">
        <is>
          <t>VIB-0003</t>
        </is>
      </c>
      <c r="B14" t="inlineStr">
        <is>
          <t>4.013</t>
        </is>
      </c>
      <c r="C14" t="inlineStr">
        <is>
          <t>32.00</t>
        </is>
      </c>
      <c r="D14" t="inlineStr">
        <is>
          <t>12.86</t>
        </is>
      </c>
      <c r="E14" t="inlineStr">
        <is>
          <t>0.731</t>
        </is>
      </c>
      <c r="F14" t="inlineStr">
        <is>
          <t>0.128</t>
        </is>
      </c>
      <c r="G14" t="inlineStr">
        <is>
          <t>d_pred=12.9um vs meas=32.0um; a_pred=0.13g vs meas=0.73g (differences reflect multi-frequency content, not a unit error)</t>
        </is>
      </c>
    </row>
    <row r="15">
      <c r="A15" t="inlineStr">
        <is>
          <t>VIB-0092</t>
        </is>
      </c>
      <c r="B15" t="inlineStr">
        <is>
          <t>4.495</t>
        </is>
      </c>
      <c r="C15" t="inlineStr">
        <is>
          <t>35.80</t>
        </is>
      </c>
      <c r="D15" t="inlineStr">
        <is>
          <t>14.41</t>
        </is>
      </c>
      <c r="E15" t="inlineStr">
        <is>
          <t>0.854</t>
        </is>
      </c>
      <c r="F15" t="inlineStr">
        <is>
          <t>0.143</t>
        </is>
      </c>
      <c r="G15" t="inlineStr">
        <is>
          <t>d_pred=14.4um vs meas=35.8um; a_pred=0.14g vs meas=0.85g (differences reflect multi-frequency content, not a unit error)</t>
        </is>
      </c>
    </row>
    <row r="17">
      <c r="A17" s="19" t="inlineStr">
        <is>
          <t>FREQUENCY / ORDER REFERENCE (fat_spectral_events.csv)</t>
        </is>
      </c>
    </row>
    <row r="18">
      <c r="A18" s="20" t="inlineStr">
        <is>
          <t>Order</t>
        </is>
      </c>
      <c r="B18" s="20" t="inlineStr">
        <is>
          <t>Frequency (Hz)</t>
        </is>
      </c>
      <c r="C18" s="20" t="inlineStr">
        <is>
          <t>Meaning</t>
        </is>
      </c>
      <c r="D18" s="20" t="inlineStr">
        <is>
          <t>Source locator</t>
        </is>
      </c>
    </row>
    <row r="19">
      <c r="A19" t="inlineStr">
        <is>
          <t>1X</t>
        </is>
      </c>
      <c r="B19" t="n">
        <v>49.663</v>
      </c>
      <c r="C19" t="inlineStr">
        <is>
          <t>Shaft rotational speed</t>
        </is>
      </c>
      <c r="D19" t="inlineStr">
        <is>
          <t>2980 rpm / 60</t>
        </is>
      </c>
    </row>
    <row r="20">
      <c r="A20" t="inlineStr">
        <is>
          <t>2X</t>
        </is>
      </c>
      <c r="B20" t="n">
        <v>99.32599999999999</v>
      </c>
      <c r="C20" t="inlineStr">
        <is>
          <t>Misalignment / radial-load indicator</t>
        </is>
      </c>
      <c r="D20" t="inlineStr">
        <is>
          <t>fat_spectral_events.csv SP-002/009</t>
        </is>
      </c>
    </row>
    <row r="21">
      <c r="A21" t="inlineStr">
        <is>
          <t>3X</t>
        </is>
      </c>
      <c r="B21" t="n">
        <v>148.989</v>
      </c>
      <c r="C21" t="inlineStr">
        <is>
          <t>Harmonic</t>
        </is>
      </c>
      <c r="D21" t="inlineStr">
        <is>
          <t>SP-003/010</t>
        </is>
      </c>
    </row>
    <row r="22">
      <c r="A22" t="inlineStr">
        <is>
          <t>BPF (6X)</t>
        </is>
      </c>
      <c r="B22" t="n">
        <v>297.978</v>
      </c>
      <c r="C22" t="inlineStr">
        <is>
          <t>Blade pass (6-vane impeller)</t>
        </is>
      </c>
      <c r="D22" t="inlineStr">
        <is>
          <t>SP-004/011</t>
        </is>
      </c>
    </row>
    <row r="23">
      <c r="A23" t="inlineStr">
        <is>
          <t>BPF+1X</t>
        </is>
      </c>
      <c r="B23" t="n">
        <v>347.641</v>
      </c>
      <c r="C23" t="inlineStr">
        <is>
          <t>Modulated sideband</t>
        </is>
      </c>
      <c r="D23" t="inlineStr">
        <is>
          <t>SP-005/012</t>
        </is>
      </c>
    </row>
    <row r="24">
      <c r="A24" t="inlineStr">
        <is>
          <t>BPF-1X</t>
        </is>
      </c>
      <c r="B24" t="n">
        <v>248.315</v>
      </c>
      <c r="C24" t="inlineStr">
        <is>
          <t>Modulated sideband</t>
        </is>
      </c>
      <c r="D24" t="inlineStr">
        <is>
          <t>SP-006/013</t>
        </is>
      </c>
    </row>
    <row r="25">
      <c r="A25" t="inlineStr">
        <is>
          <t>2xBPF</t>
        </is>
      </c>
      <c r="B25" t="n">
        <v>595.9559999999999</v>
      </c>
      <c r="C25" t="inlineStr">
        <is>
          <t>Second harmonic of BPF</t>
        </is>
      </c>
      <c r="D25" t="inlineStr">
        <is>
          <t>SP-007/014</t>
        </is>
      </c>
    </row>
  </sheetData>
  <mergeCells count="1">
    <mergeCell ref="A2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34" customWidth="1" min="11" max="11"/>
  </cols>
  <sheetData>
    <row r="1">
      <c r="A1" s="17" t="inlineStr">
        <is>
          <t>PAIRED ORIGINAL-vs-RETEST RECONCILIATION (full-reconciliation)</t>
        </is>
      </c>
    </row>
    <row r="2" ht="40" customHeight="1">
      <c r="A2" s="18" t="inlineStr">
        <is>
          <t>All 32 comparable point/condition pairs. For each pair: original value, retest value, delta, governing limit, unit, and disposition. Source measurement IDs preserved. Pairs are matched on (measurement_point, direction, flow_condition_pct_bep).</t>
        </is>
      </c>
    </row>
    <row r="4">
      <c r="A4" s="20" t="inlineStr">
        <is>
          <t>measurement_id_orig</t>
        </is>
      </c>
      <c r="B4" s="20" t="inlineStr">
        <is>
          <t>measurement_id_retest</t>
        </is>
      </c>
      <c r="C4" s="20" t="inlineStr">
        <is>
          <t>measurement_point</t>
        </is>
      </c>
      <c r="D4" s="20" t="inlineStr">
        <is>
          <t>direction</t>
        </is>
      </c>
      <c r="E4" s="20" t="inlineStr">
        <is>
          <t>flow_condition_pct_bep</t>
        </is>
      </c>
      <c r="F4" s="20" t="inlineStr">
        <is>
          <t>original_mm_s</t>
        </is>
      </c>
      <c r="G4" s="20" t="inlineStr">
        <is>
          <t>retest_mm_s</t>
        </is>
      </c>
      <c r="H4" s="20" t="inlineStr">
        <is>
          <t>delta_mm_s</t>
        </is>
      </c>
      <c r="I4" s="20" t="inlineStr">
        <is>
          <t>limit_mm_s</t>
        </is>
      </c>
      <c r="J4" s="20" t="inlineStr">
        <is>
          <t>unit</t>
        </is>
      </c>
      <c r="K4" s="20" t="inlineStr">
        <is>
          <t>disposition</t>
        </is>
      </c>
    </row>
    <row r="5">
      <c r="A5" t="inlineStr">
        <is>
          <t>VIB-0007</t>
        </is>
      </c>
      <c r="B5" t="inlineStr">
        <is>
          <t>VIB-0061</t>
        </is>
      </c>
      <c r="C5" t="inlineStr">
        <is>
          <t>PMP_DE_H</t>
        </is>
      </c>
      <c r="D5" t="inlineStr">
        <is>
          <t>Horizontal</t>
        </is>
      </c>
      <c r="E5" t="inlineStr">
        <is>
          <t>100</t>
        </is>
      </c>
      <c r="F5" t="n">
        <v>3.001</v>
      </c>
      <c r="G5" t="n">
        <v>2.623</v>
      </c>
      <c r="H5" t="n">
        <v>-0.378</v>
      </c>
      <c r="I5" t="n">
        <v>3.8</v>
      </c>
      <c r="J5" t="inlineStr">
        <is>
          <t>mm/s RMS</t>
        </is>
      </c>
      <c r="K5" t="inlineStr">
        <is>
          <t>PASS</t>
        </is>
      </c>
    </row>
    <row r="6">
      <c r="A6" t="inlineStr">
        <is>
          <t>VIB-0008</t>
        </is>
      </c>
      <c r="B6" t="inlineStr">
        <is>
          <t>VIB-0062</t>
        </is>
      </c>
      <c r="C6" t="inlineStr">
        <is>
          <t>PMP_DE_V</t>
        </is>
      </c>
      <c r="D6" t="inlineStr">
        <is>
          <t>Vertical</t>
        </is>
      </c>
      <c r="E6" t="inlineStr">
        <is>
          <t>100</t>
        </is>
      </c>
      <c r="F6" t="n">
        <v>2.176</v>
      </c>
      <c r="G6" t="n">
        <v>2.042</v>
      </c>
      <c r="H6" t="n">
        <v>-0.134</v>
      </c>
      <c r="I6" t="n">
        <v>3.8</v>
      </c>
      <c r="J6" t="inlineStr">
        <is>
          <t>mm/s RMS</t>
        </is>
      </c>
      <c r="K6" t="inlineStr">
        <is>
          <t>PASS</t>
        </is>
      </c>
    </row>
    <row r="7">
      <c r="A7" t="inlineStr">
        <is>
          <t>VIB-0009</t>
        </is>
      </c>
      <c r="B7" t="inlineStr">
        <is>
          <t>VIB-0063</t>
        </is>
      </c>
      <c r="C7" t="inlineStr">
        <is>
          <t>PMP_DE_A</t>
        </is>
      </c>
      <c r="D7" t="inlineStr">
        <is>
          <t>Axial</t>
        </is>
      </c>
      <c r="E7" t="inlineStr">
        <is>
          <t>100</t>
        </is>
      </c>
      <c r="F7" t="n">
        <v>2.005</v>
      </c>
      <c r="G7" t="n">
        <v>1.916</v>
      </c>
      <c r="H7" t="n">
        <v>-0.089</v>
      </c>
      <c r="I7" t="n">
        <v>3.8</v>
      </c>
      <c r="J7" t="inlineStr">
        <is>
          <t>mm/s RMS</t>
        </is>
      </c>
      <c r="K7" t="inlineStr">
        <is>
          <t>PASS</t>
        </is>
      </c>
    </row>
    <row r="8">
      <c r="A8" t="inlineStr">
        <is>
          <t>VIB-0010</t>
        </is>
      </c>
      <c r="B8" t="inlineStr">
        <is>
          <t>VIB-0064</t>
        </is>
      </c>
      <c r="C8" t="inlineStr">
        <is>
          <t>PMP_NDE_H</t>
        </is>
      </c>
      <c r="D8" t="inlineStr">
        <is>
          <t>Horizontal</t>
        </is>
      </c>
      <c r="E8" t="inlineStr">
        <is>
          <t>100</t>
        </is>
      </c>
      <c r="F8" t="n">
        <v>2.49</v>
      </c>
      <c r="G8" t="n">
        <v>2.217</v>
      </c>
      <c r="H8" t="n">
        <v>-0.273</v>
      </c>
      <c r="I8" t="n">
        <v>3.8</v>
      </c>
      <c r="J8" t="inlineStr">
        <is>
          <t>mm/s RMS</t>
        </is>
      </c>
      <c r="K8" t="inlineStr">
        <is>
          <t>PASS</t>
        </is>
      </c>
    </row>
    <row r="9">
      <c r="A9" t="inlineStr">
        <is>
          <t>VIB-0011</t>
        </is>
      </c>
      <c r="B9" t="inlineStr">
        <is>
          <t>VIB-0065</t>
        </is>
      </c>
      <c r="C9" t="inlineStr">
        <is>
          <t>PMP_NDE_V</t>
        </is>
      </c>
      <c r="D9" t="inlineStr">
        <is>
          <t>Vertical</t>
        </is>
      </c>
      <c r="E9" t="inlineStr">
        <is>
          <t>100</t>
        </is>
      </c>
      <c r="F9" t="n">
        <v>2.049</v>
      </c>
      <c r="G9" t="n">
        <v>1.831</v>
      </c>
      <c r="H9" t="n">
        <v>-0.218</v>
      </c>
      <c r="I9" t="n">
        <v>3.8</v>
      </c>
      <c r="J9" t="inlineStr">
        <is>
          <t>mm/s RMS</t>
        </is>
      </c>
      <c r="K9" t="inlineStr">
        <is>
          <t>PASS</t>
        </is>
      </c>
    </row>
    <row r="10">
      <c r="A10" t="inlineStr">
        <is>
          <t>VIB-0012</t>
        </is>
      </c>
      <c r="B10" t="inlineStr">
        <is>
          <t>VIB-0066</t>
        </is>
      </c>
      <c r="C10" t="inlineStr">
        <is>
          <t>PMP_NDE_A</t>
        </is>
      </c>
      <c r="D10" t="inlineStr">
        <is>
          <t>Axial</t>
        </is>
      </c>
      <c r="E10" t="inlineStr">
        <is>
          <t>100</t>
        </is>
      </c>
      <c r="F10" t="n">
        <v>1.801</v>
      </c>
      <c r="G10" t="n">
        <v>1.626</v>
      </c>
      <c r="H10" t="n">
        <v>-0.175</v>
      </c>
      <c r="I10" t="n">
        <v>3.8</v>
      </c>
      <c r="J10" t="inlineStr">
        <is>
          <t>mm/s RMS</t>
        </is>
      </c>
      <c r="K10" t="inlineStr">
        <is>
          <t>PASS</t>
        </is>
      </c>
    </row>
    <row r="11">
      <c r="A11" t="inlineStr">
        <is>
          <t>VIB-0001</t>
        </is>
      </c>
      <c r="B11" t="inlineStr">
        <is>
          <t>VIB-0067</t>
        </is>
      </c>
      <c r="C11" t="inlineStr">
        <is>
          <t>DRV_DE_H</t>
        </is>
      </c>
      <c r="D11" t="inlineStr">
        <is>
          <t>Horizontal</t>
        </is>
      </c>
      <c r="E11" t="inlineStr">
        <is>
          <t>100</t>
        </is>
      </c>
      <c r="F11" t="n">
        <v>2.349</v>
      </c>
      <c r="G11" t="n">
        <v>2.225</v>
      </c>
      <c r="H11" t="n">
        <v>-0.124</v>
      </c>
      <c r="I11" t="n">
        <v>3.8</v>
      </c>
      <c r="J11" t="inlineStr">
        <is>
          <t>mm/s RMS</t>
        </is>
      </c>
      <c r="K11" t="inlineStr">
        <is>
          <t>PASS</t>
        </is>
      </c>
    </row>
    <row r="12">
      <c r="A12" t="inlineStr">
        <is>
          <t>VIB-0002</t>
        </is>
      </c>
      <c r="B12" t="inlineStr">
        <is>
          <t>VIB-0068</t>
        </is>
      </c>
      <c r="C12" t="inlineStr">
        <is>
          <t>DRV_DE_V</t>
        </is>
      </c>
      <c r="D12" t="inlineStr">
        <is>
          <t>Vertical</t>
        </is>
      </c>
      <c r="E12" t="inlineStr">
        <is>
          <t>100</t>
        </is>
      </c>
      <c r="F12" t="n">
        <v>1.913</v>
      </c>
      <c r="G12" t="n">
        <v>1.811</v>
      </c>
      <c r="H12" t="n">
        <v>-0.102</v>
      </c>
      <c r="I12" t="n">
        <v>3.8</v>
      </c>
      <c r="J12" t="inlineStr">
        <is>
          <t>mm/s RMS</t>
        </is>
      </c>
      <c r="K12" t="inlineStr">
        <is>
          <t>PASS</t>
        </is>
      </c>
    </row>
    <row r="13">
      <c r="A13" t="inlineStr">
        <is>
          <t>VIB-0003</t>
        </is>
      </c>
      <c r="B13" t="inlineStr">
        <is>
          <t>VIB-0069</t>
        </is>
      </c>
      <c r="C13" t="inlineStr">
        <is>
          <t>DRV_DE_A</t>
        </is>
      </c>
      <c r="D13" t="inlineStr">
        <is>
          <t>Axial</t>
        </is>
      </c>
      <c r="E13" t="inlineStr">
        <is>
          <t>100</t>
        </is>
      </c>
      <c r="F13" t="n">
        <v>4.013</v>
      </c>
      <c r="G13" t="n">
        <v>2.806</v>
      </c>
      <c r="H13" t="n">
        <v>-1.207</v>
      </c>
      <c r="I13" t="n">
        <v>3.8</v>
      </c>
      <c r="J13" t="inlineStr">
        <is>
          <t>mm/s RMS</t>
        </is>
      </c>
      <c r="K13" t="inlineStr">
        <is>
          <t>PASS</t>
        </is>
      </c>
    </row>
    <row r="14">
      <c r="A14" t="inlineStr">
        <is>
          <t>VIB-0004</t>
        </is>
      </c>
      <c r="B14" t="inlineStr">
        <is>
          <t>VIB-0070</t>
        </is>
      </c>
      <c r="C14" t="inlineStr">
        <is>
          <t>DRV_NDE_H</t>
        </is>
      </c>
      <c r="D14" t="inlineStr">
        <is>
          <t>Horizontal</t>
        </is>
      </c>
      <c r="E14" t="inlineStr">
        <is>
          <t>100</t>
        </is>
      </c>
      <c r="F14" t="n">
        <v>2.018</v>
      </c>
      <c r="G14" t="n">
        <v>1.916</v>
      </c>
      <c r="H14" t="n">
        <v>-0.102</v>
      </c>
      <c r="I14" t="n">
        <v>3.8</v>
      </c>
      <c r="J14" t="inlineStr">
        <is>
          <t>mm/s RMS</t>
        </is>
      </c>
      <c r="K14" t="inlineStr">
        <is>
          <t>PASS</t>
        </is>
      </c>
    </row>
    <row r="15">
      <c r="A15" t="inlineStr">
        <is>
          <t>VIB-0005</t>
        </is>
      </c>
      <c r="B15" t="inlineStr">
        <is>
          <t>VIB-0071</t>
        </is>
      </c>
      <c r="C15" t="inlineStr">
        <is>
          <t>DRV_NDE_V</t>
        </is>
      </c>
      <c r="D15" t="inlineStr">
        <is>
          <t>Vertical</t>
        </is>
      </c>
      <c r="E15" t="inlineStr">
        <is>
          <t>100</t>
        </is>
      </c>
      <c r="F15" t="n">
        <v>1.686</v>
      </c>
      <c r="G15" t="n">
        <v>1.536</v>
      </c>
      <c r="H15" t="n">
        <v>-0.15</v>
      </c>
      <c r="I15" t="n">
        <v>3.8</v>
      </c>
      <c r="J15" t="inlineStr">
        <is>
          <t>mm/s RMS</t>
        </is>
      </c>
      <c r="K15" t="inlineStr">
        <is>
          <t>PASS</t>
        </is>
      </c>
    </row>
    <row r="16">
      <c r="A16" t="inlineStr">
        <is>
          <t>VIB-0006</t>
        </is>
      </c>
      <c r="B16" t="inlineStr">
        <is>
          <t>VIB-0072</t>
        </is>
      </c>
      <c r="C16" t="inlineStr">
        <is>
          <t>DRV_NDE_A</t>
        </is>
      </c>
      <c r="D16" t="inlineStr">
        <is>
          <t>Axial</t>
        </is>
      </c>
      <c r="E16" t="inlineStr">
        <is>
          <t>100</t>
        </is>
      </c>
      <c r="F16" t="n">
        <v>1.864</v>
      </c>
      <c r="G16" t="n">
        <v>1.688</v>
      </c>
      <c r="H16" t="n">
        <v>-0.176</v>
      </c>
      <c r="I16" t="n">
        <v>3.8</v>
      </c>
      <c r="J16" t="inlineStr">
        <is>
          <t>mm/s RMS</t>
        </is>
      </c>
      <c r="K16" t="inlineStr">
        <is>
          <t>PASS</t>
        </is>
      </c>
    </row>
    <row r="17">
      <c r="A17" s="22" t="inlineStr">
        <is>
          <t>VIB-0019</t>
        </is>
      </c>
      <c r="B17" s="22" t="inlineStr">
        <is>
          <t>VIB-0073</t>
        </is>
      </c>
      <c r="C17" s="22" t="inlineStr">
        <is>
          <t>PMP_DE_H</t>
        </is>
      </c>
      <c r="D17" s="22" t="inlineStr">
        <is>
          <t>Horizontal</t>
        </is>
      </c>
      <c r="E17" s="22" t="inlineStr">
        <is>
          <t>110</t>
        </is>
      </c>
      <c r="F17" s="22" t="n">
        <v>5.413</v>
      </c>
      <c r="G17" s="22" t="n">
        <v>3.89</v>
      </c>
      <c r="H17" s="22" t="n">
        <v>-1.523</v>
      </c>
      <c r="I17" s="22" t="n">
        <v>3.8</v>
      </c>
      <c r="J17" s="22" t="inlineStr">
        <is>
          <t>mm/s RMS</t>
        </is>
      </c>
      <c r="K17" s="22" t="inlineStr">
        <is>
          <t>FAIL — retest exceeds governing limit</t>
        </is>
      </c>
    </row>
    <row r="18">
      <c r="A18" t="inlineStr">
        <is>
          <t>VIB-0020</t>
        </is>
      </c>
      <c r="B18" t="inlineStr">
        <is>
          <t>VIB-0074</t>
        </is>
      </c>
      <c r="C18" t="inlineStr">
        <is>
          <t>PMP_DE_V</t>
        </is>
      </c>
      <c r="D18" t="inlineStr">
        <is>
          <t>Vertical</t>
        </is>
      </c>
      <c r="E18" t="inlineStr">
        <is>
          <t>110</t>
        </is>
      </c>
      <c r="F18" t="n">
        <v>3.633</v>
      </c>
      <c r="G18" t="n">
        <v>2.743</v>
      </c>
      <c r="H18" t="n">
        <v>-0.89</v>
      </c>
      <c r="I18" t="n">
        <v>3.8</v>
      </c>
      <c r="J18" t="inlineStr">
        <is>
          <t>mm/s RMS</t>
        </is>
      </c>
      <c r="K18" t="inlineStr">
        <is>
          <t>PASS</t>
        </is>
      </c>
    </row>
    <row r="19">
      <c r="A19" t="inlineStr">
        <is>
          <t>VIB-0021</t>
        </is>
      </c>
      <c r="B19" t="inlineStr">
        <is>
          <t>VIB-0075</t>
        </is>
      </c>
      <c r="C19" t="inlineStr">
        <is>
          <t>PMP_DE_A</t>
        </is>
      </c>
      <c r="D19" t="inlineStr">
        <is>
          <t>Axial</t>
        </is>
      </c>
      <c r="E19" t="inlineStr">
        <is>
          <t>110</t>
        </is>
      </c>
      <c r="F19" t="n">
        <v>2.822</v>
      </c>
      <c r="G19" t="n">
        <v>2.207</v>
      </c>
      <c r="H19" t="n">
        <v>-0.615</v>
      </c>
      <c r="I19" t="n">
        <v>3.8</v>
      </c>
      <c r="J19" t="inlineStr">
        <is>
          <t>mm/s RMS</t>
        </is>
      </c>
      <c r="K19" t="inlineStr">
        <is>
          <t>PASS</t>
        </is>
      </c>
    </row>
    <row r="20">
      <c r="A20" t="inlineStr">
        <is>
          <t>VIB-0022</t>
        </is>
      </c>
      <c r="B20" t="inlineStr">
        <is>
          <t>VIB-0076</t>
        </is>
      </c>
      <c r="C20" t="inlineStr">
        <is>
          <t>PMP_NDE_H</t>
        </is>
      </c>
      <c r="D20" t="inlineStr">
        <is>
          <t>Horizontal</t>
        </is>
      </c>
      <c r="E20" t="inlineStr">
        <is>
          <t>110</t>
        </is>
      </c>
      <c r="F20" t="n">
        <v>3.875</v>
      </c>
      <c r="G20" t="n">
        <v>3.089</v>
      </c>
      <c r="H20" t="n">
        <v>-0.786</v>
      </c>
      <c r="I20" t="n">
        <v>3.8</v>
      </c>
      <c r="J20" t="inlineStr">
        <is>
          <t>mm/s RMS</t>
        </is>
      </c>
      <c r="K20" t="inlineStr">
        <is>
          <t>PASS</t>
        </is>
      </c>
    </row>
    <row r="21">
      <c r="A21" t="inlineStr">
        <is>
          <t>VIB-0023</t>
        </is>
      </c>
      <c r="B21" t="inlineStr">
        <is>
          <t>VIB-0077</t>
        </is>
      </c>
      <c r="C21" t="inlineStr">
        <is>
          <t>PMP_NDE_V</t>
        </is>
      </c>
      <c r="D21" t="inlineStr">
        <is>
          <t>Vertical</t>
        </is>
      </c>
      <c r="E21" t="inlineStr">
        <is>
          <t>110</t>
        </is>
      </c>
      <c r="F21" t="n">
        <v>2.997</v>
      </c>
      <c r="G21" t="n">
        <v>2.432</v>
      </c>
      <c r="H21" t="n">
        <v>-0.5649999999999999</v>
      </c>
      <c r="I21" t="n">
        <v>3.8</v>
      </c>
      <c r="J21" t="inlineStr">
        <is>
          <t>mm/s RMS</t>
        </is>
      </c>
      <c r="K21" t="inlineStr">
        <is>
          <t>PASS</t>
        </is>
      </c>
    </row>
    <row r="22">
      <c r="A22" t="inlineStr">
        <is>
          <t>VIB-0024</t>
        </is>
      </c>
      <c r="B22" t="inlineStr">
        <is>
          <t>VIB-0078</t>
        </is>
      </c>
      <c r="C22" t="inlineStr">
        <is>
          <t>PMP_NDE_A</t>
        </is>
      </c>
      <c r="D22" t="inlineStr">
        <is>
          <t>Axial</t>
        </is>
      </c>
      <c r="E22" t="inlineStr">
        <is>
          <t>110</t>
        </is>
      </c>
      <c r="F22" t="n">
        <v>2.315</v>
      </c>
      <c r="G22" t="n">
        <v>1.953</v>
      </c>
      <c r="H22" t="n">
        <v>-0.362</v>
      </c>
      <c r="I22" t="n">
        <v>3.8</v>
      </c>
      <c r="J22" t="inlineStr">
        <is>
          <t>mm/s RMS</t>
        </is>
      </c>
      <c r="K22" t="inlineStr">
        <is>
          <t>PASS</t>
        </is>
      </c>
    </row>
    <row r="23">
      <c r="A23" t="inlineStr">
        <is>
          <t>VIB-0013</t>
        </is>
      </c>
      <c r="B23" t="inlineStr">
        <is>
          <t>VIB-0079</t>
        </is>
      </c>
      <c r="C23" t="inlineStr">
        <is>
          <t>DRV_DE_H</t>
        </is>
      </c>
      <c r="D23" t="inlineStr">
        <is>
          <t>Horizontal</t>
        </is>
      </c>
      <c r="E23" t="inlineStr">
        <is>
          <t>110</t>
        </is>
      </c>
      <c r="F23" t="n">
        <v>3.015</v>
      </c>
      <c r="G23" t="n">
        <v>2.639</v>
      </c>
      <c r="H23" t="n">
        <v>-0.376</v>
      </c>
      <c r="I23" t="n">
        <v>3.8</v>
      </c>
      <c r="J23" t="inlineStr">
        <is>
          <t>mm/s RMS</t>
        </is>
      </c>
      <c r="K23" t="inlineStr">
        <is>
          <t>PASS</t>
        </is>
      </c>
    </row>
    <row r="24">
      <c r="A24" t="inlineStr">
        <is>
          <t>VIB-0014</t>
        </is>
      </c>
      <c r="B24" t="inlineStr">
        <is>
          <t>VIB-0080</t>
        </is>
      </c>
      <c r="C24" t="inlineStr">
        <is>
          <t>DRV_DE_V</t>
        </is>
      </c>
      <c r="D24" t="inlineStr">
        <is>
          <t>Vertical</t>
        </is>
      </c>
      <c r="E24" t="inlineStr">
        <is>
          <t>110</t>
        </is>
      </c>
      <c r="F24" t="n">
        <v>2.464</v>
      </c>
      <c r="G24" t="n">
        <v>2.181</v>
      </c>
      <c r="H24" t="n">
        <v>-0.283</v>
      </c>
      <c r="I24" t="n">
        <v>3.8</v>
      </c>
      <c r="J24" t="inlineStr">
        <is>
          <t>mm/s RMS</t>
        </is>
      </c>
      <c r="K24" t="inlineStr">
        <is>
          <t>PASS</t>
        </is>
      </c>
    </row>
    <row r="25">
      <c r="A25" t="inlineStr">
        <is>
          <t>VIB-0015</t>
        </is>
      </c>
      <c r="B25" t="inlineStr">
        <is>
          <t>VIB-0081</t>
        </is>
      </c>
      <c r="C25" t="inlineStr">
        <is>
          <t>DRV_DE_A</t>
        </is>
      </c>
      <c r="D25" t="inlineStr">
        <is>
          <t>Axial</t>
        </is>
      </c>
      <c r="E25" t="inlineStr">
        <is>
          <t>110</t>
        </is>
      </c>
      <c r="F25" t="n">
        <v>3.204</v>
      </c>
      <c r="G25" t="n">
        <v>2.95</v>
      </c>
      <c r="H25" t="n">
        <v>-0.254</v>
      </c>
      <c r="I25" t="n">
        <v>3.8</v>
      </c>
      <c r="J25" t="inlineStr">
        <is>
          <t>mm/s RMS</t>
        </is>
      </c>
      <c r="K25" t="inlineStr">
        <is>
          <t>PASS</t>
        </is>
      </c>
    </row>
    <row r="26">
      <c r="A26" t="inlineStr">
        <is>
          <t>VIB-0031</t>
        </is>
      </c>
      <c r="B26" t="inlineStr">
        <is>
          <t>VIB-0082</t>
        </is>
      </c>
      <c r="C26" t="inlineStr">
        <is>
          <t>PMP_DE_H</t>
        </is>
      </c>
      <c r="D26" t="inlineStr">
        <is>
          <t>Horizontal</t>
        </is>
      </c>
      <c r="E26" t="inlineStr">
        <is>
          <t>90_BEP</t>
        </is>
      </c>
      <c r="F26" t="n">
        <v>2.181</v>
      </c>
      <c r="G26" t="n">
        <v>1.999</v>
      </c>
      <c r="H26" t="n">
        <v>-0.182</v>
      </c>
      <c r="I26" t="n">
        <v>3.8</v>
      </c>
      <c r="J26" t="inlineStr">
        <is>
          <t>mm/s RMS</t>
        </is>
      </c>
      <c r="K26" t="inlineStr">
        <is>
          <t>PASS</t>
        </is>
      </c>
    </row>
    <row r="27">
      <c r="A27" t="inlineStr">
        <is>
          <t>VIB-0032</t>
        </is>
      </c>
      <c r="B27" t="inlineStr">
        <is>
          <t>VIB-0083</t>
        </is>
      </c>
      <c r="C27" t="inlineStr">
        <is>
          <t>PMP_DE_V</t>
        </is>
      </c>
      <c r="D27" t="inlineStr">
        <is>
          <t>Vertical</t>
        </is>
      </c>
      <c r="E27" t="inlineStr">
        <is>
          <t>90_BEP</t>
        </is>
      </c>
      <c r="F27" t="n">
        <v>1.822</v>
      </c>
      <c r="G27" t="n">
        <v>1.654</v>
      </c>
      <c r="H27" t="n">
        <v>-0.168</v>
      </c>
      <c r="I27" t="n">
        <v>3.8</v>
      </c>
      <c r="J27" t="inlineStr">
        <is>
          <t>mm/s RMS</t>
        </is>
      </c>
      <c r="K27" t="inlineStr">
        <is>
          <t>PASS</t>
        </is>
      </c>
    </row>
    <row r="28">
      <c r="A28" t="inlineStr">
        <is>
          <t>VIB-0033</t>
        </is>
      </c>
      <c r="B28" t="inlineStr">
        <is>
          <t>VIB-0084</t>
        </is>
      </c>
      <c r="C28" t="inlineStr">
        <is>
          <t>PMP_DE_A</t>
        </is>
      </c>
      <c r="D28" t="inlineStr">
        <is>
          <t>Axial</t>
        </is>
      </c>
      <c r="E28" t="inlineStr">
        <is>
          <t>90_BEP</t>
        </is>
      </c>
      <c r="F28" t="n">
        <v>1.593</v>
      </c>
      <c r="G28" t="n">
        <v>1.495</v>
      </c>
      <c r="H28" t="n">
        <v>-0.098</v>
      </c>
      <c r="I28" t="n">
        <v>3.8</v>
      </c>
      <c r="J28" t="inlineStr">
        <is>
          <t>mm/s RMS</t>
        </is>
      </c>
      <c r="K28" t="inlineStr">
        <is>
          <t>PASS</t>
        </is>
      </c>
    </row>
    <row r="29">
      <c r="A29" t="inlineStr">
        <is>
          <t>VIB-0034</t>
        </is>
      </c>
      <c r="B29" t="inlineStr">
        <is>
          <t>VIB-0085</t>
        </is>
      </c>
      <c r="C29" t="inlineStr">
        <is>
          <t>PMP_NDE_H</t>
        </is>
      </c>
      <c r="D29" t="inlineStr">
        <is>
          <t>Horizontal</t>
        </is>
      </c>
      <c r="E29" t="inlineStr">
        <is>
          <t>90_BEP</t>
        </is>
      </c>
      <c r="F29" t="n">
        <v>1.979</v>
      </c>
      <c r="G29" t="n">
        <v>1.739</v>
      </c>
      <c r="H29" t="n">
        <v>-0.24</v>
      </c>
      <c r="I29" t="n">
        <v>3.8</v>
      </c>
      <c r="J29" t="inlineStr">
        <is>
          <t>mm/s RMS</t>
        </is>
      </c>
      <c r="K29" t="inlineStr">
        <is>
          <t>PASS</t>
        </is>
      </c>
    </row>
    <row r="30">
      <c r="A30" t="inlineStr">
        <is>
          <t>VIB-0035</t>
        </is>
      </c>
      <c r="B30" t="inlineStr">
        <is>
          <t>VIB-0086</t>
        </is>
      </c>
      <c r="C30" t="inlineStr">
        <is>
          <t>PMP_NDE_V</t>
        </is>
      </c>
      <c r="D30" t="inlineStr">
        <is>
          <t>Vertical</t>
        </is>
      </c>
      <c r="E30" t="inlineStr">
        <is>
          <t>90_BEP</t>
        </is>
      </c>
      <c r="F30" t="n">
        <v>1.632</v>
      </c>
      <c r="G30" t="n">
        <v>1.453</v>
      </c>
      <c r="H30" t="n">
        <v>-0.179</v>
      </c>
      <c r="I30" t="n">
        <v>3.8</v>
      </c>
      <c r="J30" t="inlineStr">
        <is>
          <t>mm/s RMS</t>
        </is>
      </c>
      <c r="K30" t="inlineStr">
        <is>
          <t>PASS</t>
        </is>
      </c>
    </row>
    <row r="31">
      <c r="A31" t="inlineStr">
        <is>
          <t>VIB-0036</t>
        </is>
      </c>
      <c r="B31" t="inlineStr">
        <is>
          <t>VIB-0087</t>
        </is>
      </c>
      <c r="C31" t="inlineStr">
        <is>
          <t>PMP_NDE_A</t>
        </is>
      </c>
      <c r="D31" t="inlineStr">
        <is>
          <t>Axial</t>
        </is>
      </c>
      <c r="E31" t="inlineStr">
        <is>
          <t>90_BEP</t>
        </is>
      </c>
      <c r="F31" t="n">
        <v>1.444</v>
      </c>
      <c r="G31" t="n">
        <v>1.317</v>
      </c>
      <c r="H31" t="n">
        <v>-0.127</v>
      </c>
      <c r="I31" t="n">
        <v>3.8</v>
      </c>
      <c r="J31" t="inlineStr">
        <is>
          <t>mm/s RMS</t>
        </is>
      </c>
      <c r="K31" t="inlineStr">
        <is>
          <t>PASS</t>
        </is>
      </c>
    </row>
    <row r="32">
      <c r="A32" t="inlineStr">
        <is>
          <t>VIB-0055</t>
        </is>
      </c>
      <c r="B32" t="inlineStr">
        <is>
          <t>VIB-0088</t>
        </is>
      </c>
      <c r="C32" t="inlineStr">
        <is>
          <t>PMP_DE_H</t>
        </is>
      </c>
      <c r="D32" t="inlineStr">
        <is>
          <t>Horizontal</t>
        </is>
      </c>
      <c r="E32" t="inlineStr">
        <is>
          <t>60</t>
        </is>
      </c>
      <c r="F32" t="n">
        <v>3.895</v>
      </c>
      <c r="G32" t="n">
        <v>3.395</v>
      </c>
      <c r="H32" t="n">
        <v>-0.5</v>
      </c>
      <c r="I32" t="n">
        <v>3.8</v>
      </c>
      <c r="J32" t="inlineStr">
        <is>
          <t>mm/s RMS</t>
        </is>
      </c>
      <c r="K32" t="inlineStr">
        <is>
          <t>PASS</t>
        </is>
      </c>
    </row>
    <row r="33">
      <c r="A33" t="inlineStr">
        <is>
          <t>VIB-0056</t>
        </is>
      </c>
      <c r="B33" t="inlineStr">
        <is>
          <t>VIB-0089</t>
        </is>
      </c>
      <c r="C33" t="inlineStr">
        <is>
          <t>PMP_DE_V</t>
        </is>
      </c>
      <c r="D33" t="inlineStr">
        <is>
          <t>Vertical</t>
        </is>
      </c>
      <c r="E33" t="inlineStr">
        <is>
          <t>60</t>
        </is>
      </c>
      <c r="F33" t="n">
        <v>3.106</v>
      </c>
      <c r="G33" t="n">
        <v>2.717</v>
      </c>
      <c r="H33" t="n">
        <v>-0.389</v>
      </c>
      <c r="I33" t="n">
        <v>3.8</v>
      </c>
      <c r="J33" t="inlineStr">
        <is>
          <t>mm/s RMS</t>
        </is>
      </c>
      <c r="K33" t="inlineStr">
        <is>
          <t>PASS</t>
        </is>
      </c>
    </row>
    <row r="34">
      <c r="A34" t="inlineStr">
        <is>
          <t>VIB-0057</t>
        </is>
      </c>
      <c r="B34" t="inlineStr">
        <is>
          <t>VIB-0090</t>
        </is>
      </c>
      <c r="C34" t="inlineStr">
        <is>
          <t>PMP_DE_A</t>
        </is>
      </c>
      <c r="D34" t="inlineStr">
        <is>
          <t>Axial</t>
        </is>
      </c>
      <c r="E34" t="inlineStr">
        <is>
          <t>60</t>
        </is>
      </c>
      <c r="F34" t="n">
        <v>2.522</v>
      </c>
      <c r="G34" t="n">
        <v>2.282</v>
      </c>
      <c r="H34" t="n">
        <v>-0.24</v>
      </c>
      <c r="I34" t="n">
        <v>3.8</v>
      </c>
      <c r="J34" t="inlineStr">
        <is>
          <t>mm/s RMS</t>
        </is>
      </c>
      <c r="K34" t="inlineStr">
        <is>
          <t>PASS</t>
        </is>
      </c>
    </row>
    <row r="35">
      <c r="A35" s="22" t="inlineStr">
        <is>
          <t>VIB-0058</t>
        </is>
      </c>
      <c r="B35" s="22" t="inlineStr">
        <is>
          <t>VIB-0091</t>
        </is>
      </c>
      <c r="C35" s="22" t="inlineStr">
        <is>
          <t>PMP_NDE_H</t>
        </is>
      </c>
      <c r="D35" s="22" t="inlineStr">
        <is>
          <t>Horizontal</t>
        </is>
      </c>
      <c r="E35" s="22" t="inlineStr">
        <is>
          <t>60</t>
        </is>
      </c>
      <c r="F35" s="22" t="n">
        <v>4.91</v>
      </c>
      <c r="G35" s="22" t="n">
        <v>4.159</v>
      </c>
      <c r="H35" s="22" t="n">
        <v>-0.751</v>
      </c>
      <c r="I35" s="22" t="n">
        <v>3.8</v>
      </c>
      <c r="J35" s="22" t="inlineStr">
        <is>
          <t>mm/s RMS</t>
        </is>
      </c>
      <c r="K35" s="22" t="inlineStr">
        <is>
          <t>FAIL — retest exceeds governing limit</t>
        </is>
      </c>
    </row>
    <row r="36">
      <c r="A36" s="22" t="inlineStr">
        <is>
          <t>VIB-0059</t>
        </is>
      </c>
      <c r="B36" s="22" t="inlineStr">
        <is>
          <t>VIB-0092</t>
        </is>
      </c>
      <c r="C36" s="22" t="inlineStr">
        <is>
          <t>PMP_NDE_V</t>
        </is>
      </c>
      <c r="D36" s="22" t="inlineStr">
        <is>
          <t>Vertical</t>
        </is>
      </c>
      <c r="E36" s="22" t="inlineStr">
        <is>
          <t>60</t>
        </is>
      </c>
      <c r="F36" s="22" t="n">
        <v>5.659</v>
      </c>
      <c r="G36" s="22" t="n">
        <v>4.495</v>
      </c>
      <c r="H36" s="22" t="n">
        <v>-1.164</v>
      </c>
      <c r="I36" s="22" t="n">
        <v>3.8</v>
      </c>
      <c r="J36" s="22" t="inlineStr">
        <is>
          <t>mm/s RMS</t>
        </is>
      </c>
      <c r="K36" s="22" t="inlineStr">
        <is>
          <t>FAIL — retest exceeds governing limit</t>
        </is>
      </c>
    </row>
    <row r="39">
      <c r="A39" s="19" t="inlineStr">
        <is>
          <t>RECONCILIATION CONTROL TOTALS</t>
        </is>
      </c>
    </row>
    <row r="40">
      <c r="A40" s="20" t="inlineStr">
        <is>
          <t>Control</t>
        </is>
      </c>
      <c r="B40" s="20" t="inlineStr">
        <is>
          <t>Value</t>
        </is>
      </c>
      <c r="C40" s="20" t="inlineStr">
        <is>
          <t>Basis</t>
        </is>
      </c>
    </row>
    <row r="41">
      <c r="A41" t="inlineStr">
        <is>
          <t>Original rows accounted</t>
        </is>
      </c>
      <c r="B41" t="n">
        <v>60</v>
      </c>
      <c r="C41" t="inlineStr">
        <is>
          <t>60 original rows, each once (2_FAT_Raw)</t>
        </is>
      </c>
    </row>
    <row r="42">
      <c r="A42" t="inlineStr">
        <is>
          <t>Retest rows accounted</t>
        </is>
      </c>
      <c r="B42" t="n">
        <v>32</v>
      </c>
      <c r="C42" t="inlineStr">
        <is>
          <t>32 retest rows, each once (2_FAT_Raw)</t>
        </is>
      </c>
    </row>
    <row r="43">
      <c r="A43" t="inlineStr">
        <is>
          <t>Total measurement rows</t>
        </is>
      </c>
      <c r="B43" t="n">
        <v>92</v>
      </c>
      <c r="C43" t="inlineStr">
        <is>
          <t>92 = 60 + 32</t>
        </is>
      </c>
    </row>
    <row r="44">
      <c r="A44" t="inlineStr">
        <is>
          <t>Paired comparisons</t>
        </is>
      </c>
      <c r="B44" t="n">
        <v>32</v>
      </c>
      <c r="C44" t="inlineStr">
        <is>
          <t>One original-retest pair per retest row</t>
        </is>
      </c>
    </row>
    <row r="45">
      <c r="A45" t="inlineStr">
        <is>
          <t>Retest PASS</t>
        </is>
      </c>
      <c r="B45" t="n">
        <v>29</v>
      </c>
      <c r="C45" t="inlineStr">
        <is>
          <t>Within/below governing limit</t>
        </is>
      </c>
    </row>
    <row r="46">
      <c r="A46" t="inlineStr">
        <is>
          <t>Retest FAIL (exceedance)</t>
        </is>
      </c>
      <c r="B46" t="n">
        <v>3</v>
      </c>
      <c r="C46" t="inlineStr">
        <is>
          <t>Vs 3.8 mm/s RMS governing limit</t>
        </is>
      </c>
    </row>
    <row r="47">
      <c r="A47" t="inlineStr">
        <is>
          <t>Unpaired original rows</t>
        </is>
      </c>
      <c r="B47" t="n">
        <v>28</v>
      </c>
      <c r="C47" t="inlineStr">
        <is>
          <t>Original-only (no retest) — listed in 14_Coverage_Gap</t>
        </is>
      </c>
    </row>
    <row r="48">
      <c r="A48" t="inlineStr">
        <is>
          <t>Residual (unaccounted rows)</t>
        </is>
      </c>
      <c r="B48" t="n">
        <v>0</v>
      </c>
      <c r="C48" t="inlineStr">
        <is>
          <t>Zero-residual reconciliation</t>
        </is>
      </c>
    </row>
  </sheetData>
  <mergeCells count="1">
    <mergeCell ref="A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4" customWidth="1" min="4" max="4"/>
    <col width="12" customWidth="1" min="5" max="5"/>
    <col width="26" customWidth="1" min="6" max="6"/>
    <col width="28" customWidth="1" min="7" max="7"/>
    <col width="60" customWidth="1" min="8" max="8"/>
  </cols>
  <sheetData>
    <row r="1">
      <c r="A1" s="17" t="inlineStr">
        <is>
          <t>COMMISSIONING SURVEILLANCE — LOCATIONS, THRESHOLDS, TIMING, OWNERS &amp; ACTIONS</t>
        </is>
      </c>
    </row>
    <row r="2" ht="50" customHeight="1">
      <c r="A2" s="18" t="inlineStr">
        <is>
          <t>Defines commissioning measurement locations, operating conditions, numerical thresholds and timing for the evidenced failure modes, and assigns an owner plus a specific escalation/shutdown action to each threshold. Owners are accountable roles to be confirmed by project management; values are commissioning protection settings derived in 9_Thresholds (recommendations pending machinery-protection approval).</t>
        </is>
      </c>
    </row>
    <row r="4">
      <c r="A4" s="20" t="inlineStr">
        <is>
          <t>Threshold</t>
        </is>
      </c>
      <c r="B4" s="20" t="inlineStr">
        <is>
          <t>Location(s)</t>
        </is>
      </c>
      <c r="C4" s="20" t="inlineStr">
        <is>
          <t>Operating condition</t>
        </is>
      </c>
      <c r="D4" s="20" t="inlineStr">
        <is>
          <t>Numerical value</t>
        </is>
      </c>
      <c r="E4" s="20" t="inlineStr">
        <is>
          <t>Unit</t>
        </is>
      </c>
      <c r="F4" s="20" t="inlineStr">
        <is>
          <t>Timing</t>
        </is>
      </c>
      <c r="G4" s="20" t="inlineStr">
        <is>
          <t>Owner (accountable role)</t>
        </is>
      </c>
      <c r="H4" s="20" t="inlineStr">
        <is>
          <t>Escalation / shutdown action</t>
        </is>
      </c>
    </row>
    <row r="5">
      <c r="A5" t="inlineStr">
        <is>
          <t>Commissioning ALARM</t>
        </is>
      </c>
      <c r="B5" t="inlineStr">
        <is>
          <t>PMP_DE_H, PMP_NDE_V, PMP_NDE_H</t>
        </is>
      </c>
      <c r="C5" t="inlineStr">
        <is>
          <t>90-110% BEP monitored run; sustained &gt;80% BEP duty</t>
        </is>
      </c>
      <c r="D5">
        <f>1.4*1.72</f>
        <v/>
      </c>
      <c r="E5" t="inlineStr">
        <is>
          <t>mm/s RMS</t>
        </is>
      </c>
      <c r="F5" t="inlineStr">
        <is>
          <t>Continuous during commissioning; 10-min rolling trend</t>
        </is>
      </c>
      <c r="G5" t="inlineStr">
        <is>
          <t>Rotating-Equipment Reliability Lead</t>
        </is>
      </c>
      <c r="H5" t="inlineStr">
        <is>
          <t>ALARM: notify operations; investigate bearing/hydraulic cause; trend before continuing. Anchored to sister-pump alarm event 2.35 mm/s (sister file row 45).</t>
        </is>
      </c>
    </row>
    <row r="6">
      <c r="A6" t="inlineStr">
        <is>
          <t>Commissioning TRIP</t>
        </is>
      </c>
      <c r="B6" t="inlineStr">
        <is>
          <t>PMP_DE_H, PMP_NDE_V, PMP_NDE_H</t>
        </is>
      </c>
      <c r="C6" t="inlineStr">
        <is>
          <t>90-110% BEP monitored run</t>
        </is>
      </c>
      <c r="D6">
        <f>3.8-0.3</f>
        <v/>
      </c>
      <c r="E6" t="inlineStr">
        <is>
          <t>mm/s RMS</t>
        </is>
      </c>
      <c r="F6" t="inlineStr">
        <is>
          <t>Machine-protection interlock; real-time</t>
        </is>
      </c>
      <c r="G6" t="inlineStr">
        <is>
          <t>Machinery-Protection Authority (approval required)</t>
        </is>
      </c>
      <c r="H6" t="inlineStr">
        <is>
          <t>TRIP: automatic protective shutdown; isolate pump; do not restart until cause closed. Set below the 3.8 mm/s FAT acceptance ceiling.</t>
        </is>
      </c>
    </row>
    <row r="7">
      <c r="A7" t="inlineStr">
        <is>
          <t>Acceptance ceiling (FAT)</t>
        </is>
      </c>
      <c r="B7" t="inlineStr">
        <is>
          <t>All 12 locations</t>
        </is>
      </c>
      <c r="C7" t="inlineStr">
        <is>
          <t>All duty conditions</t>
        </is>
      </c>
      <c r="D7">
        <f>3.8</f>
        <v/>
      </c>
      <c r="E7" t="inlineStr">
        <is>
          <t>mm/s RMS</t>
        </is>
      </c>
      <c r="F7" t="inlineStr">
        <is>
          <t>Pre-start-up gate; re-verify offshore</t>
        </is>
      </c>
      <c r="G7" t="inlineStr">
        <is>
          <t>QA / FAT Witness</t>
        </is>
      </c>
      <c r="H7" t="inlineStr">
        <is>
          <t>HOLD: any reading &gt; 3.8 mm/s stops the run; refer to reliability lead.</t>
        </is>
      </c>
    </row>
    <row r="8">
      <c r="A8" t="inlineStr">
        <is>
          <t>Low-flow (60% BEP) exceedance</t>
        </is>
      </c>
      <c r="B8" t="inlineStr">
        <is>
          <t>PMP_NDE_V, PMP_NDE_H, PMP_DE_H</t>
        </is>
      </c>
      <c r="C8" t="inlineStr">
        <is>
          <t>Avoid sustained &lt;80% BEP (min continuous flow 70 m3/h)</t>
        </is>
      </c>
      <c r="D8">
        <f>3.8</f>
        <v/>
      </c>
      <c r="E8" t="inlineStr">
        <is>
          <t>mm/s RMS</t>
        </is>
      </c>
      <c r="F8" t="inlineStr">
        <is>
          <t>During any sub-80% BEP excursion</t>
        </is>
      </c>
      <c r="G8" t="inlineStr">
        <is>
          <t>Process / Operations Lead</t>
        </is>
      </c>
      <c r="H8" t="inlineStr">
        <is>
          <t>SHUTDOWN: return to &gt;=80% BEP; low-flow recirculation is the evidenced failure mode (retest exceedances VIB-0091/0092).</t>
        </is>
      </c>
    </row>
    <row r="9">
      <c r="A9" t="inlineStr">
        <is>
          <t>High-flow (110% BEP) marginal exceedance</t>
        </is>
      </c>
      <c r="B9" t="inlineStr">
        <is>
          <t>PMP_DE_H</t>
        </is>
      </c>
      <c r="C9" t="inlineStr">
        <is>
          <t>Rated point ~111% BEP; avoid sustained &gt;105% BEP</t>
        </is>
      </c>
      <c r="D9">
        <f>3.8</f>
        <v/>
      </c>
      <c r="E9" t="inlineStr">
        <is>
          <t>mm/s RMS</t>
        </is>
      </c>
      <c r="F9" t="inlineStr">
        <is>
          <t>At rated/110% BEP duty</t>
        </is>
      </c>
      <c r="G9" t="inlineStr">
        <is>
          <t>Process / Operations Lead</t>
        </is>
      </c>
      <c r="H9" t="inlineStr">
        <is>
          <t>ESCALATE: derate to &lt;=105% BEP or fit anti-recirculation; VIB-0073 = 3.89 mm/s is +2.4% over.</t>
        </is>
      </c>
    </row>
    <row r="10">
      <c r="A10" t="inlineStr">
        <is>
          <t>Resonance window</t>
        </is>
      </c>
      <c r="B10" t="inlineStr">
        <is>
          <t>PMP_DE_H (run-up/coast-down)</t>
        </is>
      </c>
      <c r="C10" t="inlineStr">
        <is>
          <t>1800-2150 rpm transient</t>
        </is>
      </c>
      <c r="D10">
        <f>2.964</f>
        <v/>
      </c>
      <c r="E10" t="inlineStr">
        <is>
          <t>mm/s RMS peak</t>
        </is>
      </c>
      <c r="F10" t="inlineStr">
        <is>
          <t>Log every transient; minimise dwell</t>
        </is>
      </c>
      <c r="G10" t="inlineStr">
        <is>
          <t>Rotating-Equipment Reliability Lead</t>
        </is>
      </c>
      <c r="H10" t="inlineStr">
        <is>
          <t>ALERT: minimise dwell in 1800-2150 rpm; log transient; resonance proximity noted in run-up.</t>
        </is>
      </c>
    </row>
    <row r="11">
      <c r="A11" t="inlineStr">
        <is>
          <t>Bearing temperature</t>
        </is>
      </c>
      <c r="B11" t="inlineStr">
        <is>
          <t>DE &amp; NDE bearings</t>
        </is>
      </c>
      <c r="C11" t="inlineStr">
        <is>
          <t>All duty</t>
        </is>
      </c>
      <c r="D11">
        <f>82</f>
        <v/>
      </c>
      <c r="E11" t="inlineStr">
        <is>
          <t>deg C (or ambient+45)</t>
        </is>
      </c>
      <c r="F11" t="inlineStr">
        <is>
          <t>Continuous; alarm at 82</t>
        </is>
      </c>
      <c r="G11" t="inlineStr">
        <is>
          <t>Reliability / Lubrication Engineer</t>
        </is>
      </c>
      <c r="H11" t="inlineStr">
        <is>
          <t>SHUTDOWN: bearing &gt; 82 degC; inspect lubrication (sister water-ingress lesson WO-2026-0847).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2026-08-25T10:54:53Z</dcterms:created>
  <dcterms:modified xmlns:dcterms="http://purl.org/dc/terms/" xmlns:xsi="http://www.w3.org/2001/XMLSchema-instance" xsi:type="dcterms:W3CDTF">2026-09-03T09:13:38Z</dcterms:modified>
</cp:coreProperties>
</file>