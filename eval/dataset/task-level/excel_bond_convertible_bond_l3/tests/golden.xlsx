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ex" sheetId="1" state="visible" r:id="rId3"/>
    <sheet name="ex4" sheetId="2" state="visible" r:id="rId4"/>
    <sheet name="Further1" sheetId="3" state="visible" r:id="rId5"/>
    <sheet name="Further2" sheetId="4" state="visible" r:id="rId6"/>
    <sheet name="furtherex1" sheetId="5" state="visible" r:id="rId7"/>
    <sheet name="furtherex2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b val="true"/>
            <sz val="11"/>
            <color rgb="FF000000"/>
            <rFont val="Tahoma"/>
            <family val="2"/>
          </rPr>
          <t xml:space="preserve">n is the number of periods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b val="true"/>
            <sz val="11"/>
            <color rgb="FF000000"/>
            <rFont val="Tahoma"/>
            <family val="2"/>
          </rPr>
          <t xml:space="preserve">n is the number of periods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b val="true"/>
            <sz val="11"/>
            <color rgb="FF000000"/>
            <rFont val="Tahoma"/>
            <family val="2"/>
          </rPr>
          <t xml:space="preserve">n is the number of periods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b val="true"/>
            <sz val="11"/>
            <color rgb="FF000000"/>
            <rFont val="Tahoma"/>
            <family val="2"/>
          </rPr>
          <t xml:space="preserve">n is the number of periods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b val="true"/>
            <sz val="11"/>
            <color rgb="FF000000"/>
            <rFont val="Tahoma"/>
            <family val="2"/>
          </rPr>
          <t xml:space="preserve">n is the number of periods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b val="true"/>
            <sz val="11"/>
            <color rgb="FF000000"/>
            <rFont val="Tahoma"/>
            <family val="2"/>
          </rPr>
          <t xml:space="preserve">n is the number of periods</t>
        </r>
      </text>
    </comment>
  </commentList>
</comments>
</file>

<file path=xl/sharedStrings.xml><?xml version="1.0" encoding="utf-8"?>
<sst xmlns="http://schemas.openxmlformats.org/spreadsheetml/2006/main" count="409" uniqueCount="89">
  <si>
    <t xml:space="preserve">Convertible Bond</t>
  </si>
  <si>
    <t xml:space="preserve">© copyright THC 2003. All rights reserved by Thomas Ho Company, New York, NY. USA      www. thomasho.com       tom.ho@thomasho.com</t>
  </si>
  <si>
    <t xml:space="preserve">reference number</t>
  </si>
  <si>
    <t xml:space="preserve">Version</t>
  </si>
  <si>
    <t xml:space="preserve">Instructions</t>
  </si>
  <si>
    <t xml:space="preserve">publication date</t>
  </si>
  <si>
    <t xml:space="preserve">A convertible bond is a bond with an embedded call option on the company's stock. To incorporate the credit risk, we use the firm value, not the stock value, as the underlying risk source.  </t>
  </si>
  <si>
    <t xml:space="preserve">author</t>
  </si>
  <si>
    <t xml:space="preserve">Hanyang Financial Engineering Lab.</t>
  </si>
  <si>
    <t xml:space="preserve">only risk source for the compound option. </t>
  </si>
  <si>
    <t xml:space="preserve">affiliation</t>
  </si>
  <si>
    <t xml:space="preserve">Hanyang University</t>
  </si>
  <si>
    <t xml:space="preserve">inputs</t>
  </si>
  <si>
    <t xml:space="preserve">firm value, firm voaltility, conversion price,</t>
  </si>
  <si>
    <t xml:space="preserve">email address</t>
  </si>
  <si>
    <t xml:space="preserve">leesb@hanyang.ac.kr</t>
  </si>
  <si>
    <t xml:space="preserve">continuous compounding interest rate</t>
  </si>
  <si>
    <t xml:space="preserve">last revised date</t>
  </si>
  <si>
    <t xml:space="preserve">outputs</t>
  </si>
  <si>
    <t xml:space="preserve">Convertible bond lattice</t>
  </si>
  <si>
    <t xml:space="preserve">references</t>
  </si>
  <si>
    <t xml:space="preserve">Brennan, M.J., and E.S. Schwartz. 1977. Convertible bonds: Valuation and optimal strategies for call and conversion. Journal of Finance, 32 (5), 1699-1715.</t>
  </si>
  <si>
    <r>
      <rPr>
        <sz val="10"/>
        <rFont val="Arial"/>
        <family val="2"/>
      </rPr>
      <t xml:space="preserve">Ch.10 of "</t>
    </r>
    <r>
      <rPr>
        <i val="true"/>
        <sz val="10"/>
        <rFont val="Arial"/>
        <family val="2"/>
      </rPr>
      <t xml:space="preserve">The Oxford Guide to Financial Modeling</t>
    </r>
    <r>
      <rPr>
        <sz val="10"/>
        <rFont val="Arial"/>
        <family val="2"/>
      </rPr>
      <t xml:space="preserve">" by Thomas S.Y. Ho and Sang Bin Lee, 2004, Oxford University Press</t>
    </r>
  </si>
  <si>
    <t xml:space="preserve">Descriptions</t>
  </si>
  <si>
    <t xml:space="preserve">financial model class</t>
  </si>
  <si>
    <t xml:space="preserve">relative valuation model</t>
  </si>
  <si>
    <t xml:space="preserve">issuer/modeler</t>
  </si>
  <si>
    <t xml:space="preserve">practitioner</t>
  </si>
  <si>
    <t xml:space="preserve">model type</t>
  </si>
  <si>
    <t xml:space="preserve">binomial model</t>
  </si>
  <si>
    <t xml:space="preserve">risk sources</t>
  </si>
  <si>
    <t xml:space="preserve">firm value</t>
  </si>
  <si>
    <t xml:space="preserve">risk distribution</t>
  </si>
  <si>
    <t xml:space="preserve">lognormal</t>
  </si>
  <si>
    <t xml:space="preserve">economic assumptions</t>
  </si>
  <si>
    <t xml:space="preserve">perfect capital market</t>
  </si>
  <si>
    <t xml:space="preserve">technical assumptions</t>
  </si>
  <si>
    <t xml:space="preserve">n=2</t>
  </si>
  <si>
    <t xml:space="preserve">key words</t>
  </si>
  <si>
    <t xml:space="preserve">conversion value, investment value, conversion provision</t>
  </si>
  <si>
    <t xml:space="preserve">Links</t>
  </si>
  <si>
    <t xml:space="preserve">data</t>
  </si>
  <si>
    <t xml:space="preserve">N/A</t>
  </si>
  <si>
    <t xml:space="preserve">financial models</t>
  </si>
  <si>
    <t xml:space="preserve">12. Cox-Ross-Rubinstein model</t>
  </si>
  <si>
    <t xml:space="preserve">Inputs</t>
  </si>
  <si>
    <t xml:space="preserve">bond maturity (year)</t>
  </si>
  <si>
    <t xml:space="preserve">coupon rate </t>
  </si>
  <si>
    <t xml:space="preserve">conversion price </t>
  </si>
  <si>
    <t xml:space="preserve">par value</t>
  </si>
  <si>
    <t xml:space="preserve">convetible bond price </t>
  </si>
  <si>
    <t xml:space="preserve">common stock price</t>
  </si>
  <si>
    <t xml:space="preserve">dividend per share</t>
  </si>
  <si>
    <t xml:space="preserve">flat yield curve</t>
  </si>
  <si>
    <t xml:space="preserve">credit spread</t>
  </si>
  <si>
    <t xml:space="preserve">Outputs</t>
  </si>
  <si>
    <t xml:space="preserve">conversion ratio </t>
  </si>
  <si>
    <t xml:space="preserve">conversion value (parity)</t>
  </si>
  <si>
    <t xml:space="preserve">investment value</t>
  </si>
  <si>
    <t xml:space="preserve">year </t>
  </si>
  <si>
    <t xml:space="preserve">copoun </t>
  </si>
  <si>
    <t xml:space="preserve">principal</t>
  </si>
  <si>
    <t xml:space="preserve">Firm Value </t>
  </si>
  <si>
    <t xml:space="preserve">σ</t>
  </si>
  <si>
    <t xml:space="preserve">m</t>
  </si>
  <si>
    <t xml:space="preserve">spot curve</t>
  </si>
  <si>
    <t xml:space="preserve">interest rate volatility</t>
  </si>
  <si>
    <t xml:space="preserve">time-to-maturity</t>
  </si>
  <si>
    <t xml:space="preserve">7 years</t>
  </si>
  <si>
    <t xml:space="preserve">outstanding shares</t>
  </si>
  <si>
    <t xml:space="preserve">conversion price</t>
  </si>
  <si>
    <t xml:space="preserve">face value</t>
  </si>
  <si>
    <t xml:space="preserve">coupon rate</t>
  </si>
  <si>
    <t xml:space="preserve">level coupon rate</t>
  </si>
  <si>
    <t xml:space="preserve">convertible bond</t>
  </si>
  <si>
    <t xml:space="preserve">period</t>
  </si>
  <si>
    <t xml:space="preserve">Interim Calculations</t>
  </si>
  <si>
    <t xml:space="preserve">period </t>
  </si>
  <si>
    <t xml:space="preserve">discount function</t>
  </si>
  <si>
    <t xml:space="preserve">delta(1)</t>
  </si>
  <si>
    <t xml:space="preserve">h(1)</t>
  </si>
  <si>
    <t xml:space="preserve">u</t>
  </si>
  <si>
    <t xml:space="preserve">d</t>
  </si>
  <si>
    <t xml:space="preserve">additional shares</t>
  </si>
  <si>
    <t xml:space="preserve">discount function lattice</t>
  </si>
  <si>
    <t xml:space="preserve">interest rate lattice</t>
  </si>
  <si>
    <t xml:space="preserve">risk neutral probability lattice</t>
  </si>
  <si>
    <t xml:space="preserve">firm value lattice</t>
  </si>
  <si>
    <t xml:space="preserve">effective duration 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</si>
</sst>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"/>
    <numFmt numFmtId="166" formatCode="mmm\-yy"/>
    <numFmt numFmtId="167" formatCode="[$-409]mmm\-yy"/>
    <numFmt numFmtId="168" formatCode="0_);[RED]\(0\)"/>
    <numFmt numFmtId="169" formatCode="0.00_);[RED]\(0.00\)"/>
    <numFmt numFmtId="170" formatCode="0%"/>
    <numFmt numFmtId="171" formatCode="&quot;US$&quot;#,##0"/>
    <numFmt numFmtId="172" formatCode="0.00_ "/>
    <numFmt numFmtId="173" formatCode="#,##0.00_ "/>
    <numFmt numFmtId="174" formatCode="0.000%"/>
    <numFmt numFmtId="175" formatCode="0.00%"/>
    <numFmt numFmtId="176" formatCode="&quot;US$&quot;#,##0.00"/>
    <numFmt numFmtId="177" formatCode="0.00000"/>
    <numFmt numFmtId="178" formatCode="0.0%"/>
    <numFmt numFmtId="179" formatCode="0.0000"/>
    <numFmt numFmtId="180" formatCode="0"/>
  </numFmts>
  <fonts count="13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2"/>
    </font>
    <font>
      <sz val="10"/>
      <color rgb="FFFFFFFF"/>
      <name val="Arial"/>
      <family val="2"/>
    </font>
    <font>
      <u val="single"/>
      <sz val="10"/>
      <color rgb="FF0000FF"/>
      <name val="Arial"/>
      <family val="2"/>
    </font>
    <font>
      <u val="single"/>
      <sz val="11"/>
      <color rgb="FF0000FF"/>
      <name val="돋움"/>
      <family val="3"/>
      <charset val="129"/>
    </font>
    <font>
      <i val="true"/>
      <sz val="10"/>
      <name val="Arial"/>
      <family val="2"/>
    </font>
    <font>
      <b val="true"/>
      <sz val="10"/>
      <name val="Arial"/>
      <family val="2"/>
    </font>
    <font>
      <b val="true"/>
      <sz val="10"/>
      <color rgb="FF000000"/>
      <name val="Arial"/>
      <family val="2"/>
    </font>
    <font>
      <b val="true"/>
      <sz val="11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666699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8" fillId="0" borderId="0" applyFont="true" applyBorder="false" applyAlignment="true" applyProtection="false">
      <alignment horizontal="general" vertical="center" textRotation="0" wrapText="false" indent="0" shrinkToFit="false"/>
    </xf>
  </cellStyleXfs>
  <cellXfs count="9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8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5" fontId="4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4" fillId="6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4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4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7" fontId="4" fillId="6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7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7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leesb@hanyang.ac.kr" TargetMode="Externa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leesb@hanyang.ac.kr" TargetMode="Externa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leesb@hanyang.ac.kr" TargetMode="External"/><Relationship Id="rId3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mailto:leesb@hanyang.ac.kr" TargetMode="External"/><Relationship Id="rId3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mailto:leesb@hanyang.ac.kr" TargetMode="Externa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mailto:leesb@hanyang.ac.kr" TargetMode="External"/><Relationship Id="rId3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890625" defaultRowHeight="12.75" zeroHeight="false" outlineLevelRow="0" outlineLevelCol="0"/>
  <cols>
    <col collapsed="false" customWidth="true" hidden="false" outlineLevel="0" max="1" min="1" style="1" width="21.88"/>
    <col collapsed="false" customWidth="true" hidden="false" outlineLevel="0" max="26" min="2" style="1" width="9.77"/>
    <col collapsed="false" customWidth="true" hidden="false" outlineLevel="0" max="29" min="27" style="1" width="9.88"/>
    <col collapsed="false" customWidth="false" hidden="false" outlineLevel="0" max="257" min="30" style="1" width="8.88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129</v>
      </c>
    </row>
    <row r="3" s="8" customFormat="true" ht="12.75" hidden="false" customHeight="true" outlineLevel="0" collapsed="false">
      <c r="A3" s="5" t="s">
        <v>3</v>
      </c>
      <c r="B3" s="7" t="n">
        <v>1</v>
      </c>
      <c r="E3" s="9" t="s">
        <v>4</v>
      </c>
      <c r="F3" s="10"/>
      <c r="G3" s="10"/>
      <c r="H3" s="10"/>
      <c r="I3" s="10"/>
      <c r="J3" s="10"/>
      <c r="K3" s="10"/>
      <c r="L3" s="11"/>
      <c r="N3" s="6"/>
      <c r="O3" s="6"/>
      <c r="P3" s="6"/>
      <c r="Q3" s="6"/>
      <c r="R3" s="6"/>
    </row>
    <row r="4" s="8" customFormat="true" ht="12.75" hidden="false" customHeight="true" outlineLevel="0" collapsed="false">
      <c r="A4" s="5" t="s">
        <v>5</v>
      </c>
      <c r="B4" s="12" t="n">
        <v>38139</v>
      </c>
      <c r="E4" s="13" t="s">
        <v>6</v>
      </c>
      <c r="F4" s="14"/>
      <c r="G4" s="14"/>
      <c r="H4" s="14"/>
      <c r="I4" s="14"/>
      <c r="J4" s="14"/>
      <c r="K4" s="14"/>
      <c r="L4" s="15"/>
      <c r="N4" s="6"/>
      <c r="O4" s="6"/>
      <c r="P4" s="6"/>
      <c r="Q4" s="6"/>
      <c r="R4" s="6"/>
    </row>
    <row r="5" s="8" customFormat="true" ht="12.75" hidden="false" customHeight="true" outlineLevel="0" collapsed="false">
      <c r="A5" s="5" t="s">
        <v>7</v>
      </c>
      <c r="B5" s="16" t="s">
        <v>8</v>
      </c>
      <c r="C5" s="16"/>
      <c r="D5" s="16"/>
      <c r="E5" s="17" t="s">
        <v>9</v>
      </c>
      <c r="F5" s="18"/>
      <c r="G5" s="18"/>
      <c r="H5" s="18"/>
      <c r="I5" s="18"/>
      <c r="J5" s="18"/>
      <c r="K5" s="18"/>
      <c r="L5" s="19"/>
      <c r="N5" s="6"/>
      <c r="O5" s="6"/>
      <c r="P5" s="6"/>
      <c r="Q5" s="6"/>
      <c r="R5" s="6"/>
    </row>
    <row r="6" s="8" customFormat="true" ht="12.75" hidden="false" customHeight="true" outlineLevel="0" collapsed="false">
      <c r="A6" s="5" t="s">
        <v>10</v>
      </c>
      <c r="B6" s="16" t="s">
        <v>11</v>
      </c>
      <c r="C6" s="16"/>
      <c r="D6" s="16"/>
      <c r="E6" s="20" t="s">
        <v>12</v>
      </c>
      <c r="F6" s="21" t="s">
        <v>13</v>
      </c>
      <c r="G6" s="22"/>
      <c r="H6" s="23"/>
      <c r="I6" s="23"/>
      <c r="J6" s="23"/>
      <c r="K6" s="23"/>
      <c r="L6" s="24"/>
      <c r="M6" s="6"/>
      <c r="N6" s="6"/>
      <c r="O6" s="6"/>
      <c r="P6" s="6"/>
      <c r="Q6" s="6"/>
      <c r="R6" s="6"/>
    </row>
    <row r="7" s="8" customFormat="true" ht="12.75" hidden="false" customHeight="true" outlineLevel="0" collapsed="false">
      <c r="A7" s="5" t="s">
        <v>14</v>
      </c>
      <c r="B7" s="25" t="s">
        <v>15</v>
      </c>
      <c r="C7" s="25"/>
      <c r="D7" s="25"/>
      <c r="E7" s="26"/>
      <c r="F7" s="27" t="s">
        <v>16</v>
      </c>
      <c r="G7" s="28"/>
      <c r="H7" s="28"/>
      <c r="I7" s="28"/>
      <c r="J7" s="28"/>
      <c r="K7" s="28"/>
      <c r="L7" s="29"/>
      <c r="M7" s="6"/>
      <c r="N7" s="6"/>
      <c r="O7" s="6"/>
      <c r="P7" s="6"/>
      <c r="Q7" s="6"/>
      <c r="R7" s="6"/>
    </row>
    <row r="8" s="8" customFormat="true" ht="12.75" hidden="false" customHeight="true" outlineLevel="0" collapsed="false">
      <c r="A8" s="5" t="s">
        <v>17</v>
      </c>
      <c r="B8" s="30" t="n">
        <v>38139</v>
      </c>
      <c r="C8" s="31"/>
      <c r="D8" s="31"/>
      <c r="E8" s="32" t="s">
        <v>18</v>
      </c>
      <c r="F8" s="33" t="s">
        <v>19</v>
      </c>
      <c r="G8" s="34"/>
      <c r="H8" s="35"/>
      <c r="I8" s="35"/>
      <c r="J8" s="35"/>
      <c r="K8" s="35"/>
      <c r="L8" s="36"/>
      <c r="M8" s="6"/>
      <c r="N8" s="6"/>
      <c r="O8" s="6"/>
      <c r="P8" s="6"/>
      <c r="Q8" s="6"/>
      <c r="R8" s="6"/>
    </row>
    <row r="9" s="8" customFormat="true" ht="12.75" hidden="false" customHeight="true" outlineLevel="0" collapsed="false">
      <c r="A9" s="5" t="s">
        <v>20</v>
      </c>
      <c r="B9" s="37" t="s">
        <v>21</v>
      </c>
      <c r="C9" s="31"/>
      <c r="D9" s="31"/>
      <c r="E9" s="31"/>
      <c r="F9" s="31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8" customFormat="true" ht="12.75" hidden="false" customHeight="true" outlineLevel="0" collapsed="false">
      <c r="A10" s="5"/>
      <c r="B10" s="31" t="s">
        <v>22</v>
      </c>
      <c r="C10" s="31"/>
      <c r="D10" s="31"/>
      <c r="E10" s="31"/>
      <c r="F10" s="31"/>
      <c r="G10" s="3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42" customFormat="true" ht="12.75" hidden="false" customHeight="true" outlineLevel="0" collapsed="false">
      <c r="A11" s="39" t="s">
        <v>23</v>
      </c>
      <c r="B11" s="40"/>
      <c r="C11" s="40"/>
      <c r="D11" s="40"/>
      <c r="E11" s="40"/>
      <c r="F11" s="40"/>
      <c r="G11" s="41"/>
    </row>
    <row r="12" s="8" customFormat="true" ht="12.75" hidden="false" customHeight="true" outlineLevel="0" collapsed="false">
      <c r="A12" s="43"/>
      <c r="B12" s="44"/>
      <c r="C12" s="44"/>
      <c r="D12" s="44"/>
      <c r="E12" s="44"/>
      <c r="F12" s="44"/>
      <c r="G12" s="38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8" customFormat="true" ht="12.75" hidden="false" customHeight="true" outlineLevel="0" collapsed="false">
      <c r="A13" s="45" t="s">
        <v>24</v>
      </c>
      <c r="B13" s="46" t="s">
        <v>25</v>
      </c>
      <c r="C13" s="46"/>
      <c r="D13" s="46"/>
      <c r="E13" s="46"/>
      <c r="F13" s="47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8" customFormat="true" ht="12.75" hidden="false" customHeight="true" outlineLevel="0" collapsed="false">
      <c r="A14" s="48" t="s">
        <v>26</v>
      </c>
      <c r="B14" s="44" t="s">
        <v>27</v>
      </c>
      <c r="C14" s="44"/>
      <c r="D14" s="44"/>
      <c r="E14" s="44"/>
      <c r="F14" s="49"/>
      <c r="P14" s="6"/>
      <c r="Q14" s="6"/>
      <c r="R14" s="6"/>
    </row>
    <row r="15" s="8" customFormat="true" ht="12.75" hidden="false" customHeight="true" outlineLevel="0" collapsed="false">
      <c r="A15" s="48" t="s">
        <v>28</v>
      </c>
      <c r="B15" s="44" t="s">
        <v>29</v>
      </c>
      <c r="C15" s="44"/>
      <c r="D15" s="44"/>
      <c r="E15" s="44"/>
      <c r="F15" s="49"/>
      <c r="P15" s="6"/>
      <c r="Q15" s="6"/>
      <c r="R15" s="6"/>
    </row>
    <row r="16" s="8" customFormat="true" ht="12.75" hidden="false" customHeight="true" outlineLevel="0" collapsed="false">
      <c r="A16" s="50" t="s">
        <v>30</v>
      </c>
      <c r="B16" s="51" t="s">
        <v>31</v>
      </c>
      <c r="C16" s="44"/>
      <c r="D16" s="44"/>
      <c r="E16" s="44"/>
      <c r="F16" s="49"/>
      <c r="P16" s="6"/>
      <c r="Q16" s="6"/>
      <c r="R16" s="6"/>
    </row>
    <row r="17" s="8" customFormat="true" ht="12.75" hidden="false" customHeight="true" outlineLevel="0" collapsed="false">
      <c r="A17" s="50" t="s">
        <v>32</v>
      </c>
      <c r="B17" s="51" t="s">
        <v>33</v>
      </c>
      <c r="C17" s="44"/>
      <c r="D17" s="44"/>
      <c r="E17" s="44"/>
      <c r="F17" s="49"/>
      <c r="P17" s="6"/>
      <c r="Q17" s="6"/>
      <c r="R17" s="6"/>
    </row>
    <row r="18" s="8" customFormat="true" ht="12.75" hidden="false" customHeight="true" outlineLevel="0" collapsed="false">
      <c r="A18" s="48" t="s">
        <v>34</v>
      </c>
      <c r="B18" s="44" t="s">
        <v>35</v>
      </c>
      <c r="C18" s="44"/>
      <c r="D18" s="44"/>
      <c r="E18" s="44"/>
      <c r="F18" s="49"/>
      <c r="P18" s="6"/>
      <c r="Q18" s="6"/>
      <c r="R18" s="6"/>
    </row>
    <row r="19" s="8" customFormat="true" ht="12.75" hidden="false" customHeight="true" outlineLevel="0" collapsed="false">
      <c r="A19" s="52" t="s">
        <v>36</v>
      </c>
      <c r="B19" s="53" t="s">
        <v>37</v>
      </c>
      <c r="C19" s="53" t="s">
        <v>16</v>
      </c>
      <c r="D19" s="53"/>
      <c r="E19" s="53"/>
      <c r="F19" s="54"/>
      <c r="P19" s="6"/>
      <c r="Q19" s="6"/>
      <c r="R19" s="6"/>
    </row>
    <row r="20" s="8" customFormat="true" ht="12.75" hidden="false" customHeight="true" outlineLevel="0" collapsed="false">
      <c r="A20" s="55" t="s">
        <v>38</v>
      </c>
      <c r="B20" s="44" t="s">
        <v>39</v>
      </c>
      <c r="C20" s="44"/>
      <c r="D20" s="44"/>
      <c r="E20" s="44"/>
      <c r="F20" s="44"/>
      <c r="P20" s="6"/>
      <c r="Q20" s="6"/>
      <c r="R20" s="6"/>
    </row>
    <row r="21" s="8" customFormat="true" ht="12.75" hidden="false" customHeight="true" outlineLevel="0" collapsed="false">
      <c r="A21" s="5"/>
      <c r="B21" s="30"/>
      <c r="C21" s="30"/>
      <c r="D21" s="30"/>
      <c r="E21" s="30"/>
      <c r="L21" s="6"/>
      <c r="M21" s="6"/>
      <c r="N21" s="6"/>
      <c r="O21" s="6"/>
      <c r="P21" s="6"/>
      <c r="Q21" s="6"/>
      <c r="R21" s="6"/>
    </row>
    <row r="22" s="42" customFormat="true" ht="12.75" hidden="false" customHeight="true" outlineLevel="0" collapsed="false">
      <c r="A22" s="39" t="s">
        <v>40</v>
      </c>
      <c r="B22" s="56"/>
      <c r="C22" s="56"/>
      <c r="D22" s="56"/>
      <c r="E22" s="56"/>
    </row>
    <row r="23" s="8" customFormat="true" ht="12.75" hidden="false" customHeight="true" outlineLevel="0" collapsed="false">
      <c r="A23" s="5" t="s">
        <v>41</v>
      </c>
      <c r="B23" s="1" t="s">
        <v>42</v>
      </c>
      <c r="C23" s="30"/>
      <c r="D23" s="30"/>
      <c r="E23" s="30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43</v>
      </c>
      <c r="B24" s="31" t="s">
        <v>44</v>
      </c>
      <c r="C24" s="30"/>
      <c r="D24" s="30"/>
      <c r="E24" s="30"/>
      <c r="F24" s="8"/>
      <c r="G24" s="8"/>
    </row>
    <row r="25" s="3" customFormat="true" ht="12.75" hidden="false" customHeight="false" outlineLevel="0" collapsed="false">
      <c r="A25" s="2" t="s">
        <v>45</v>
      </c>
      <c r="B25" s="2"/>
      <c r="N25" s="57"/>
      <c r="O25" s="57"/>
      <c r="P25" s="57"/>
      <c r="Q25" s="57"/>
      <c r="R25" s="57"/>
      <c r="S25" s="57"/>
      <c r="T25" s="57"/>
    </row>
    <row r="26" s="58" customFormat="true" ht="12.75" hidden="false" customHeight="false" outlineLevel="0" collapsed="false"/>
    <row r="27" customFormat="false" ht="12.75" hidden="false" customHeight="false" outlineLevel="0" collapsed="false">
      <c r="A27" s="8" t="s">
        <v>46</v>
      </c>
      <c r="B27" s="59" t="n">
        <v>10</v>
      </c>
    </row>
    <row r="28" customFormat="false" ht="12.75" hidden="false" customHeight="false" outlineLevel="0" collapsed="false">
      <c r="A28" s="8" t="s">
        <v>47</v>
      </c>
      <c r="B28" s="60" t="n">
        <v>0.15</v>
      </c>
    </row>
    <row r="29" customFormat="false" ht="12.75" hidden="false" customHeight="false" outlineLevel="0" collapsed="false">
      <c r="A29" s="8" t="s">
        <v>48</v>
      </c>
      <c r="B29" s="61" t="n">
        <v>20</v>
      </c>
    </row>
    <row r="30" customFormat="false" ht="12.75" hidden="false" customHeight="false" outlineLevel="0" collapsed="false">
      <c r="A30" s="8" t="s">
        <v>49</v>
      </c>
      <c r="B30" s="61" t="n">
        <v>1000</v>
      </c>
    </row>
    <row r="31" customFormat="false" ht="12.75" hidden="false" customHeight="false" outlineLevel="0" collapsed="false">
      <c r="A31" s="8" t="s">
        <v>50</v>
      </c>
      <c r="B31" s="61" t="n">
        <v>1124</v>
      </c>
    </row>
    <row r="32" customFormat="false" ht="12.75" hidden="false" customHeight="false" outlineLevel="0" collapsed="false">
      <c r="A32" s="8" t="s">
        <v>51</v>
      </c>
      <c r="B32" s="61" t="n">
        <v>21</v>
      </c>
    </row>
    <row r="33" customFormat="false" ht="12.75" hidden="false" customHeight="false" outlineLevel="0" collapsed="false">
      <c r="A33" s="8" t="s">
        <v>52</v>
      </c>
      <c r="B33" s="61" t="n">
        <v>1</v>
      </c>
    </row>
    <row r="34" customFormat="false" ht="12.75" hidden="false" customHeight="false" outlineLevel="0" collapsed="false">
      <c r="A34" s="8" t="s">
        <v>53</v>
      </c>
      <c r="B34" s="62" t="n">
        <v>0.15</v>
      </c>
    </row>
    <row r="35" customFormat="false" ht="12.75" hidden="false" customHeight="false" outlineLevel="0" collapsed="false">
      <c r="A35" s="8" t="s">
        <v>54</v>
      </c>
      <c r="B35" s="63" t="n">
        <v>0.01</v>
      </c>
    </row>
    <row r="36" customFormat="false" ht="12.75" hidden="false" customHeight="false" outlineLevel="0" collapsed="false">
      <c r="B36" s="64"/>
    </row>
    <row r="37" s="66" customFormat="true" ht="12.75" hidden="false" customHeight="false" outlineLevel="0" collapsed="false">
      <c r="A37" s="65" t="s">
        <v>55</v>
      </c>
    </row>
    <row r="38" customFormat="false" ht="12.75" hidden="false" customHeight="false" outlineLevel="0" collapsed="false">
      <c r="B38" s="67"/>
    </row>
    <row r="39" customFormat="false" ht="12.75" hidden="false" customHeight="false" outlineLevel="0" collapsed="false">
      <c r="A39" s="8" t="s">
        <v>56</v>
      </c>
      <c r="B39" s="68" t="n">
        <f aca="false">$B$30/$B$29</f>
        <v>50</v>
      </c>
    </row>
    <row r="40" customFormat="false" ht="12.75" hidden="false" customHeight="false" outlineLevel="0" collapsed="false">
      <c r="A40" s="8" t="s">
        <v>57</v>
      </c>
      <c r="B40" s="69" t="n">
        <f aca="false">$B$39*$B$32</f>
        <v>1050</v>
      </c>
    </row>
    <row r="41" customFormat="false" ht="12.75" hidden="false" customHeight="false" outlineLevel="0" collapsed="false">
      <c r="A41" s="8" t="s">
        <v>58</v>
      </c>
      <c r="B41" s="69" t="n">
        <f aca="false">$C$44</f>
        <v>920.588660981434</v>
      </c>
      <c r="C41" s="70" t="s">
        <v>59</v>
      </c>
      <c r="D41" s="71" t="n">
        <v>0.5</v>
      </c>
      <c r="E41" s="71" t="n">
        <v>1</v>
      </c>
      <c r="F41" s="71" t="n">
        <v>1.5</v>
      </c>
      <c r="G41" s="71" t="n">
        <v>2</v>
      </c>
      <c r="H41" s="71" t="n">
        <v>2.5</v>
      </c>
      <c r="I41" s="71" t="n">
        <v>3</v>
      </c>
      <c r="J41" s="71" t="n">
        <v>3.5</v>
      </c>
      <c r="K41" s="71" t="n">
        <v>4</v>
      </c>
      <c r="L41" s="71" t="n">
        <v>4.5</v>
      </c>
      <c r="M41" s="71" t="n">
        <v>5</v>
      </c>
      <c r="N41" s="71" t="n">
        <v>5.5</v>
      </c>
      <c r="O41" s="71" t="n">
        <v>6</v>
      </c>
      <c r="P41" s="71" t="n">
        <v>6.5</v>
      </c>
      <c r="Q41" s="71" t="n">
        <v>7</v>
      </c>
      <c r="R41" s="71" t="n">
        <v>7.5</v>
      </c>
      <c r="S41" s="71" t="n">
        <v>8</v>
      </c>
      <c r="T41" s="71" t="n">
        <v>8.5</v>
      </c>
      <c r="U41" s="71" t="n">
        <v>9</v>
      </c>
      <c r="V41" s="71" t="n">
        <v>9.5</v>
      </c>
      <c r="W41" s="71" t="n">
        <v>10</v>
      </c>
      <c r="AL41" s="1" t="n">
        <v>1.5</v>
      </c>
      <c r="AM41" s="1" t="n">
        <v>1.5</v>
      </c>
    </row>
    <row r="42" customFormat="false" ht="12.75" hidden="false" customHeight="false" outlineLevel="0" collapsed="false">
      <c r="C42" s="70" t="s">
        <v>60</v>
      </c>
      <c r="D42" s="71" t="n">
        <f aca="false">$B$30*$B$28/2</f>
        <v>75</v>
      </c>
      <c r="E42" s="71" t="n">
        <f aca="false">$B$30*$B$28/2</f>
        <v>75</v>
      </c>
      <c r="F42" s="71" t="n">
        <f aca="false">$B$30*$B$28/2</f>
        <v>75</v>
      </c>
      <c r="G42" s="71" t="n">
        <f aca="false">$B$30*$B$28/2</f>
        <v>75</v>
      </c>
      <c r="H42" s="71" t="n">
        <f aca="false">$B$30*$B$28/2</f>
        <v>75</v>
      </c>
      <c r="I42" s="71" t="n">
        <f aca="false">$B$30*$B$28/2</f>
        <v>75</v>
      </c>
      <c r="J42" s="71" t="n">
        <f aca="false">$B$30*$B$28/2</f>
        <v>75</v>
      </c>
      <c r="K42" s="71" t="n">
        <f aca="false">$B$30*$B$28/2</f>
        <v>75</v>
      </c>
      <c r="L42" s="71" t="n">
        <f aca="false">$B$30*$B$28/2</f>
        <v>75</v>
      </c>
      <c r="M42" s="71" t="n">
        <f aca="false">$B$30*$B$28/2</f>
        <v>75</v>
      </c>
      <c r="N42" s="71" t="n">
        <f aca="false">$B$30*$B$28/2</f>
        <v>75</v>
      </c>
      <c r="O42" s="71" t="n">
        <f aca="false">$B$30*$B$28/2</f>
        <v>75</v>
      </c>
      <c r="P42" s="71" t="n">
        <f aca="false">$B$30*$B$28/2</f>
        <v>75</v>
      </c>
      <c r="Q42" s="71" t="n">
        <f aca="false">$B$30*$B$28/2</f>
        <v>75</v>
      </c>
      <c r="R42" s="71" t="n">
        <f aca="false">$B$30*$B$28/2</f>
        <v>75</v>
      </c>
      <c r="S42" s="71" t="n">
        <f aca="false">$B$30*$B$28/2</f>
        <v>75</v>
      </c>
      <c r="T42" s="71" t="n">
        <f aca="false">$B$30*$B$28/2</f>
        <v>75</v>
      </c>
      <c r="U42" s="71" t="n">
        <f aca="false">$B$30*$B$28/2</f>
        <v>75</v>
      </c>
      <c r="V42" s="71" t="n">
        <f aca="false">$B$30*$B$28/2</f>
        <v>75</v>
      </c>
      <c r="W42" s="71" t="n">
        <f aca="false">$B$30*$B$28/2</f>
        <v>75</v>
      </c>
    </row>
    <row r="43" customFormat="false" ht="12.75" hidden="false" customHeight="false" outlineLevel="0" collapsed="false">
      <c r="C43" s="70" t="s">
        <v>61</v>
      </c>
      <c r="D43" s="71" t="n">
        <f aca="false">0</f>
        <v>0</v>
      </c>
      <c r="E43" s="71" t="n">
        <f aca="false">0</f>
        <v>0</v>
      </c>
      <c r="F43" s="71" t="n">
        <f aca="false">0</f>
        <v>0</v>
      </c>
      <c r="G43" s="71" t="n">
        <f aca="false">0</f>
        <v>0</v>
      </c>
      <c r="H43" s="71" t="n">
        <f aca="false">0</f>
        <v>0</v>
      </c>
      <c r="I43" s="71" t="n">
        <f aca="false">0</f>
        <v>0</v>
      </c>
      <c r="J43" s="71" t="n">
        <f aca="false">0</f>
        <v>0</v>
      </c>
      <c r="K43" s="71" t="n">
        <f aca="false">0</f>
        <v>0</v>
      </c>
      <c r="L43" s="71" t="n">
        <f aca="false">0</f>
        <v>0</v>
      </c>
      <c r="M43" s="71" t="n">
        <f aca="false">0</f>
        <v>0</v>
      </c>
      <c r="N43" s="71" t="n">
        <f aca="false">0</f>
        <v>0</v>
      </c>
      <c r="O43" s="71" t="n">
        <f aca="false">0</f>
        <v>0</v>
      </c>
      <c r="P43" s="71" t="n">
        <f aca="false">0</f>
        <v>0</v>
      </c>
      <c r="Q43" s="71" t="n">
        <f aca="false">0</f>
        <v>0</v>
      </c>
      <c r="R43" s="71" t="n">
        <f aca="false">0</f>
        <v>0</v>
      </c>
      <c r="S43" s="71" t="n">
        <f aca="false">0</f>
        <v>0</v>
      </c>
      <c r="T43" s="71" t="n">
        <f aca="false">0</f>
        <v>0</v>
      </c>
      <c r="U43" s="71" t="n">
        <f aca="false">0</f>
        <v>0</v>
      </c>
      <c r="V43" s="71" t="n">
        <f aca="false">0</f>
        <v>0</v>
      </c>
      <c r="W43" s="71" t="n">
        <f aca="false">1000</f>
        <v>1000</v>
      </c>
    </row>
    <row r="44" customFormat="false" ht="12.75" hidden="false" customHeight="false" outlineLevel="0" collapsed="false">
      <c r="C44" s="70" t="n">
        <f aca="false">SUM(D44:W44)</f>
        <v>920.588660981434</v>
      </c>
      <c r="D44" s="71" t="n">
        <f aca="false">(D42+D43)*EXP(-($B$34+$B$35)*D$41)</f>
        <v>69.2337259789977</v>
      </c>
      <c r="E44" s="71" t="n">
        <f aca="false">(E42+E43)*EXP(-($B$34+$B$35)*E$41)</f>
        <v>63.9107841724659</v>
      </c>
      <c r="F44" s="71" t="n">
        <f aca="false">(F42+F43)*EXP(-($B$34+$B$35)*F$41)</f>
        <v>58.9970895799915</v>
      </c>
      <c r="G44" s="71" t="n">
        <f aca="false">(G42+G43)*EXP(-($B$34+$B$35)*G$41)</f>
        <v>54.4611777805268</v>
      </c>
      <c r="H44" s="71" t="n">
        <f aca="false">(H42+H43)*EXP(-($B$34+$B$35)*H$41)</f>
        <v>50.274003452673</v>
      </c>
      <c r="I44" s="71" t="n">
        <f aca="false">(I42+I43)*EXP(-($B$34+$B$35)*I$41)</f>
        <v>46.4087543854606</v>
      </c>
      <c r="J44" s="71" t="n">
        <f aca="false">(J42+J43)*EXP(-($B$34+$B$35)*J$41)</f>
        <v>42.8406797886611</v>
      </c>
      <c r="K44" s="71" t="n">
        <f aca="false">(K42+K43)*EXP(-($B$34+$B$35)*K$41)</f>
        <v>39.5469318032286</v>
      </c>
      <c r="L44" s="71" t="n">
        <f aca="false">(L42+L43)*EXP(-($B$34+$B$35)*L$41)</f>
        <v>36.5064191969979</v>
      </c>
      <c r="M44" s="71" t="n">
        <f aca="false">(M42+M43)*EXP(-($B$34+$B$35)*M$41)</f>
        <v>33.6996723087916</v>
      </c>
      <c r="N44" s="71" t="n">
        <f aca="false">(N42+N43)*EXP(-($B$34+$B$35)*N$41)</f>
        <v>31.1087183761186</v>
      </c>
      <c r="O44" s="71" t="n">
        <f aca="false">(O42+O43)*EXP(-($B$34+$B$35)*O$41)</f>
        <v>28.7169664481334</v>
      </c>
      <c r="P44" s="71" t="n">
        <f aca="false">(P42+P43)*EXP(-($B$34+$B$35)*P$41)</f>
        <v>26.5091011469085</v>
      </c>
      <c r="Q44" s="71" t="n">
        <f aca="false">(Q42+Q43)*EXP(-($B$34+$B$35)*Q$41)</f>
        <v>24.470984596728</v>
      </c>
      <c r="R44" s="71" t="n">
        <f aca="false">(R42+R43)*EXP(-($B$34+$B$35)*R$41)</f>
        <v>22.5895658934152</v>
      </c>
      <c r="S44" s="71" t="n">
        <f aca="false">(S42+S43)*EXP(-($B$34+$B$35)*S$41)</f>
        <v>20.8527975339896</v>
      </c>
      <c r="T44" s="71" t="n">
        <f aca="false">(T42+T43)*EXP(-($B$34+$B$35)*T$41)</f>
        <v>19.2495582715167</v>
      </c>
      <c r="U44" s="71" t="n">
        <f aca="false">(U42+U43)*EXP(-($B$34+$B$35)*U$41)</f>
        <v>17.7695819011591</v>
      </c>
      <c r="V44" s="71" t="n">
        <f aca="false">(V42+V43)*EXP(-($B$34+$B$35)*V$41)</f>
        <v>16.4033915214161</v>
      </c>
      <c r="W44" s="71" t="n">
        <f aca="false">(W42+W43)*EXP(-($B$34+$B$35)*W$41)</f>
        <v>217.038756844255</v>
      </c>
    </row>
  </sheetData>
  <hyperlinks>
    <hyperlink ref="B7" r:id="rId2" display="leesb@hanyang.ac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7890625" defaultRowHeight="12.75" zeroHeight="false" outlineLevelRow="0" outlineLevelCol="0"/>
  <cols>
    <col collapsed="false" customWidth="true" hidden="false" outlineLevel="0" max="1" min="1" style="8" width="21.1"/>
    <col collapsed="false" customWidth="true" hidden="false" outlineLevel="0" max="17" min="2" style="1" width="7.99"/>
    <col collapsed="false" customWidth="true" hidden="false" outlineLevel="0" max="22" min="18" style="1" width="8.77"/>
    <col collapsed="false" customWidth="true" hidden="false" outlineLevel="0" max="29" min="23" style="1" width="9.88"/>
    <col collapsed="false" customWidth="false" hidden="false" outlineLevel="0" max="257" min="30" style="1" width="8.88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129</v>
      </c>
    </row>
    <row r="3" s="8" customFormat="true" ht="12.75" hidden="false" customHeight="true" outlineLevel="0" collapsed="false">
      <c r="A3" s="5" t="s">
        <v>3</v>
      </c>
      <c r="B3" s="7" t="n">
        <v>1</v>
      </c>
      <c r="E3" s="9" t="s">
        <v>4</v>
      </c>
      <c r="F3" s="10"/>
      <c r="G3" s="10"/>
      <c r="H3" s="10"/>
      <c r="I3" s="10"/>
      <c r="J3" s="10"/>
      <c r="K3" s="10"/>
      <c r="L3" s="11"/>
      <c r="N3" s="6"/>
      <c r="O3" s="6"/>
      <c r="P3" s="6"/>
      <c r="Q3" s="6"/>
      <c r="R3" s="6"/>
    </row>
    <row r="4" s="8" customFormat="true" ht="12.75" hidden="false" customHeight="true" outlineLevel="0" collapsed="false">
      <c r="A4" s="5" t="s">
        <v>5</v>
      </c>
      <c r="B4" s="12" t="n">
        <v>38139</v>
      </c>
      <c r="E4" s="13" t="s">
        <v>6</v>
      </c>
      <c r="F4" s="14"/>
      <c r="G4" s="14"/>
      <c r="H4" s="14"/>
      <c r="I4" s="14"/>
      <c r="J4" s="14"/>
      <c r="K4" s="14"/>
      <c r="L4" s="15"/>
      <c r="N4" s="6"/>
      <c r="O4" s="6"/>
      <c r="P4" s="6"/>
      <c r="Q4" s="6"/>
      <c r="R4" s="6"/>
    </row>
    <row r="5" s="8" customFormat="true" ht="12.75" hidden="false" customHeight="true" outlineLevel="0" collapsed="false">
      <c r="A5" s="5" t="s">
        <v>7</v>
      </c>
      <c r="B5" s="16" t="s">
        <v>8</v>
      </c>
      <c r="C5" s="16"/>
      <c r="D5" s="16"/>
      <c r="E5" s="17" t="s">
        <v>9</v>
      </c>
      <c r="F5" s="18"/>
      <c r="G5" s="18"/>
      <c r="H5" s="18"/>
      <c r="I5" s="18"/>
      <c r="J5" s="18"/>
      <c r="K5" s="18"/>
      <c r="L5" s="19"/>
      <c r="N5" s="6"/>
      <c r="O5" s="6"/>
      <c r="P5" s="6"/>
      <c r="Q5" s="6"/>
      <c r="R5" s="6"/>
    </row>
    <row r="6" s="8" customFormat="true" ht="12.75" hidden="false" customHeight="true" outlineLevel="0" collapsed="false">
      <c r="A6" s="5" t="s">
        <v>10</v>
      </c>
      <c r="B6" s="16" t="s">
        <v>11</v>
      </c>
      <c r="C6" s="16"/>
      <c r="D6" s="16"/>
      <c r="E6" s="20" t="s">
        <v>12</v>
      </c>
      <c r="F6" s="21" t="s">
        <v>13</v>
      </c>
      <c r="G6" s="22"/>
      <c r="H6" s="23"/>
      <c r="I6" s="23"/>
      <c r="J6" s="23"/>
      <c r="K6" s="23"/>
      <c r="L6" s="24"/>
      <c r="M6" s="6"/>
      <c r="N6" s="6"/>
      <c r="O6" s="6"/>
      <c r="P6" s="6"/>
      <c r="Q6" s="6"/>
      <c r="R6" s="6"/>
    </row>
    <row r="7" s="8" customFormat="true" ht="12.75" hidden="false" customHeight="true" outlineLevel="0" collapsed="false">
      <c r="A7" s="5" t="s">
        <v>14</v>
      </c>
      <c r="B7" s="25" t="s">
        <v>15</v>
      </c>
      <c r="C7" s="25"/>
      <c r="D7" s="25"/>
      <c r="E7" s="26"/>
      <c r="F7" s="27" t="s">
        <v>16</v>
      </c>
      <c r="G7" s="28"/>
      <c r="H7" s="28"/>
      <c r="I7" s="28"/>
      <c r="J7" s="28"/>
      <c r="K7" s="28"/>
      <c r="L7" s="29"/>
      <c r="M7" s="6"/>
      <c r="N7" s="6"/>
      <c r="O7" s="6"/>
      <c r="P7" s="6"/>
      <c r="Q7" s="6"/>
      <c r="R7" s="6"/>
    </row>
    <row r="8" s="8" customFormat="true" ht="12.75" hidden="false" customHeight="true" outlineLevel="0" collapsed="false">
      <c r="A8" s="5" t="s">
        <v>17</v>
      </c>
      <c r="B8" s="30" t="n">
        <v>38139</v>
      </c>
      <c r="C8" s="31"/>
      <c r="D8" s="31"/>
      <c r="E8" s="32" t="s">
        <v>18</v>
      </c>
      <c r="F8" s="33" t="s">
        <v>19</v>
      </c>
      <c r="G8" s="34"/>
      <c r="H8" s="35"/>
      <c r="I8" s="35"/>
      <c r="J8" s="35"/>
      <c r="K8" s="35"/>
      <c r="L8" s="36"/>
      <c r="M8" s="6"/>
      <c r="N8" s="6"/>
      <c r="O8" s="6"/>
      <c r="P8" s="6"/>
      <c r="Q8" s="6"/>
      <c r="R8" s="6"/>
    </row>
    <row r="9" s="8" customFormat="true" ht="12.75" hidden="false" customHeight="true" outlineLevel="0" collapsed="false">
      <c r="A9" s="5" t="s">
        <v>20</v>
      </c>
      <c r="B9" s="37" t="s">
        <v>21</v>
      </c>
      <c r="C9" s="31"/>
      <c r="D9" s="31"/>
      <c r="E9" s="31"/>
      <c r="F9" s="31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8" customFormat="true" ht="12.75" hidden="false" customHeight="true" outlineLevel="0" collapsed="false">
      <c r="A10" s="5"/>
      <c r="B10" s="31" t="s">
        <v>22</v>
      </c>
      <c r="C10" s="31"/>
      <c r="D10" s="31"/>
      <c r="E10" s="31"/>
      <c r="F10" s="31"/>
      <c r="G10" s="3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42" customFormat="true" ht="12.75" hidden="false" customHeight="true" outlineLevel="0" collapsed="false">
      <c r="A11" s="39" t="s">
        <v>23</v>
      </c>
      <c r="B11" s="40"/>
      <c r="C11" s="40"/>
      <c r="D11" s="40"/>
      <c r="E11" s="40"/>
      <c r="F11" s="40"/>
      <c r="G11" s="41"/>
    </row>
    <row r="12" s="8" customFormat="true" ht="12.75" hidden="false" customHeight="true" outlineLevel="0" collapsed="false">
      <c r="A12" s="72"/>
      <c r="B12" s="44"/>
      <c r="C12" s="44"/>
      <c r="D12" s="44"/>
      <c r="E12" s="44"/>
      <c r="F12" s="44"/>
      <c r="G12" s="38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8" customFormat="true" ht="12.75" hidden="false" customHeight="true" outlineLevel="0" collapsed="false">
      <c r="A13" s="45" t="s">
        <v>24</v>
      </c>
      <c r="B13" s="46" t="s">
        <v>25</v>
      </c>
      <c r="C13" s="46"/>
      <c r="D13" s="46"/>
      <c r="E13" s="46"/>
      <c r="F13" s="47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8" customFormat="true" ht="12.75" hidden="false" customHeight="true" outlineLevel="0" collapsed="false">
      <c r="A14" s="48" t="s">
        <v>26</v>
      </c>
      <c r="B14" s="44" t="s">
        <v>27</v>
      </c>
      <c r="C14" s="44"/>
      <c r="D14" s="44"/>
      <c r="E14" s="44"/>
      <c r="F14" s="49"/>
      <c r="P14" s="6"/>
      <c r="Q14" s="6"/>
      <c r="R14" s="6"/>
    </row>
    <row r="15" s="8" customFormat="true" ht="12.75" hidden="false" customHeight="true" outlineLevel="0" collapsed="false">
      <c r="A15" s="48" t="s">
        <v>28</v>
      </c>
      <c r="B15" s="44" t="s">
        <v>29</v>
      </c>
      <c r="C15" s="44"/>
      <c r="D15" s="44"/>
      <c r="E15" s="44"/>
      <c r="F15" s="49"/>
      <c r="P15" s="6"/>
      <c r="Q15" s="6"/>
      <c r="R15" s="6"/>
    </row>
    <row r="16" s="8" customFormat="true" ht="12.75" hidden="false" customHeight="true" outlineLevel="0" collapsed="false">
      <c r="A16" s="50" t="s">
        <v>30</v>
      </c>
      <c r="B16" s="51" t="s">
        <v>31</v>
      </c>
      <c r="C16" s="44"/>
      <c r="D16" s="44"/>
      <c r="E16" s="44"/>
      <c r="F16" s="49"/>
      <c r="P16" s="6"/>
      <c r="Q16" s="6"/>
      <c r="R16" s="6"/>
    </row>
    <row r="17" s="8" customFormat="true" ht="12.75" hidden="false" customHeight="true" outlineLevel="0" collapsed="false">
      <c r="A17" s="50" t="s">
        <v>32</v>
      </c>
      <c r="B17" s="51" t="s">
        <v>33</v>
      </c>
      <c r="C17" s="44"/>
      <c r="D17" s="44"/>
      <c r="E17" s="44"/>
      <c r="F17" s="49"/>
      <c r="P17" s="6"/>
      <c r="Q17" s="6"/>
      <c r="R17" s="6"/>
    </row>
    <row r="18" s="8" customFormat="true" ht="12.75" hidden="false" customHeight="true" outlineLevel="0" collapsed="false">
      <c r="A18" s="48" t="s">
        <v>34</v>
      </c>
      <c r="B18" s="44" t="s">
        <v>35</v>
      </c>
      <c r="C18" s="44"/>
      <c r="D18" s="44"/>
      <c r="E18" s="44"/>
      <c r="F18" s="49"/>
      <c r="P18" s="6"/>
      <c r="Q18" s="6"/>
      <c r="R18" s="6"/>
    </row>
    <row r="19" s="8" customFormat="true" ht="12.75" hidden="false" customHeight="true" outlineLevel="0" collapsed="false">
      <c r="A19" s="52" t="s">
        <v>36</v>
      </c>
      <c r="B19" s="53" t="s">
        <v>37</v>
      </c>
      <c r="C19" s="53" t="s">
        <v>16</v>
      </c>
      <c r="D19" s="53"/>
      <c r="E19" s="53"/>
      <c r="F19" s="54"/>
      <c r="P19" s="6"/>
      <c r="Q19" s="6"/>
      <c r="R19" s="6"/>
    </row>
    <row r="20" s="8" customFormat="true" ht="12.75" hidden="false" customHeight="true" outlineLevel="0" collapsed="false">
      <c r="A20" s="55" t="s">
        <v>38</v>
      </c>
      <c r="B20" s="44" t="s">
        <v>39</v>
      </c>
      <c r="C20" s="44"/>
      <c r="D20" s="44"/>
      <c r="E20" s="44"/>
      <c r="F20" s="44"/>
      <c r="P20" s="6"/>
      <c r="Q20" s="6"/>
      <c r="R20" s="6"/>
    </row>
    <row r="21" s="8" customFormat="true" ht="12.75" hidden="false" customHeight="true" outlineLevel="0" collapsed="false">
      <c r="A21" s="5"/>
      <c r="B21" s="30"/>
      <c r="C21" s="30"/>
      <c r="D21" s="30"/>
      <c r="E21" s="30"/>
      <c r="L21" s="6"/>
      <c r="M21" s="6"/>
      <c r="N21" s="6"/>
      <c r="O21" s="6"/>
      <c r="P21" s="6"/>
      <c r="Q21" s="6"/>
      <c r="R21" s="6"/>
    </row>
    <row r="22" s="42" customFormat="true" ht="12.75" hidden="false" customHeight="true" outlineLevel="0" collapsed="false">
      <c r="A22" s="39" t="s">
        <v>40</v>
      </c>
      <c r="B22" s="56"/>
      <c r="C22" s="56"/>
      <c r="D22" s="56"/>
      <c r="E22" s="56"/>
    </row>
    <row r="23" s="8" customFormat="true" ht="12.75" hidden="false" customHeight="true" outlineLevel="0" collapsed="false">
      <c r="A23" s="5" t="s">
        <v>41</v>
      </c>
      <c r="B23" s="1" t="s">
        <v>42</v>
      </c>
      <c r="C23" s="30"/>
      <c r="D23" s="30"/>
      <c r="E23" s="30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43</v>
      </c>
      <c r="B24" s="31" t="s">
        <v>44</v>
      </c>
      <c r="C24" s="30"/>
      <c r="D24" s="30"/>
      <c r="E24" s="30"/>
      <c r="F24" s="8"/>
      <c r="G24" s="8"/>
    </row>
    <row r="25" s="3" customFormat="true" ht="12.75" hidden="false" customHeight="false" outlineLevel="0" collapsed="false">
      <c r="A25" s="2" t="s">
        <v>45</v>
      </c>
      <c r="B25" s="2"/>
      <c r="N25" s="57"/>
      <c r="O25" s="57"/>
      <c r="P25" s="57"/>
      <c r="Q25" s="57"/>
      <c r="R25" s="57"/>
      <c r="S25" s="57"/>
      <c r="T25" s="57"/>
    </row>
    <row r="26" s="58" customFormat="true" ht="12.75" hidden="false" customHeight="false" outlineLevel="0" collapsed="false">
      <c r="A26" s="73"/>
    </row>
    <row r="27" customFormat="false" ht="12.75" hidden="false" customHeight="false" outlineLevel="0" collapsed="false">
      <c r="A27" s="8" t="s">
        <v>62</v>
      </c>
      <c r="B27" s="74" t="n">
        <v>4.35948</v>
      </c>
    </row>
    <row r="28" customFormat="false" ht="12.75" hidden="false" customHeight="false" outlineLevel="0" collapsed="false">
      <c r="A28" s="8" t="s">
        <v>63</v>
      </c>
      <c r="B28" s="74" t="n">
        <f aca="false">0.258408*SQRT(12)</f>
        <v>0.895151570164517</v>
      </c>
    </row>
    <row r="29" customFormat="false" ht="12.75" hidden="false" customHeight="false" outlineLevel="0" collapsed="false">
      <c r="A29" s="8" t="s">
        <v>64</v>
      </c>
      <c r="B29" s="75" t="n">
        <v>2</v>
      </c>
    </row>
    <row r="30" customFormat="false" ht="12.75" hidden="false" customHeight="false" outlineLevel="0" collapsed="false">
      <c r="A30" s="8" t="s">
        <v>65</v>
      </c>
      <c r="B30" s="76" t="n">
        <v>0.03</v>
      </c>
    </row>
    <row r="31" customFormat="false" ht="12.75" hidden="false" customHeight="false" outlineLevel="0" collapsed="false">
      <c r="A31" s="8" t="s">
        <v>66</v>
      </c>
      <c r="B31" s="77" t="n">
        <v>0.05</v>
      </c>
    </row>
    <row r="32" customFormat="false" ht="12.75" hidden="false" customHeight="false" outlineLevel="0" collapsed="false">
      <c r="A32" s="8" t="s">
        <v>67</v>
      </c>
      <c r="B32" s="77" t="s">
        <v>68</v>
      </c>
    </row>
    <row r="33" customFormat="false" ht="12.75" hidden="false" customHeight="false" outlineLevel="0" collapsed="false">
      <c r="A33" s="8" t="s">
        <v>69</v>
      </c>
      <c r="B33" s="75" t="n">
        <f aca="false">370.308*10^6</f>
        <v>370308000</v>
      </c>
    </row>
    <row r="34" customFormat="false" ht="12.75" hidden="false" customHeight="false" outlineLevel="0" collapsed="false">
      <c r="A34" s="8" t="s">
        <v>70</v>
      </c>
      <c r="B34" s="78" t="n">
        <v>78.0277</v>
      </c>
    </row>
    <row r="35" customFormat="false" ht="12.75" hidden="false" customHeight="false" outlineLevel="0" collapsed="false">
      <c r="A35" s="8" t="s">
        <v>71</v>
      </c>
      <c r="B35" s="78" t="n">
        <f aca="false">1.24981</f>
        <v>1.24981</v>
      </c>
    </row>
    <row r="36" customFormat="false" ht="12.75" hidden="false" customHeight="false" outlineLevel="0" collapsed="false">
      <c r="A36" s="8" t="s">
        <v>72</v>
      </c>
      <c r="B36" s="79" t="n">
        <v>0.0475</v>
      </c>
    </row>
    <row r="37" customFormat="false" ht="12.75" hidden="false" customHeight="false" outlineLevel="0" collapsed="false">
      <c r="A37" s="8" t="s">
        <v>73</v>
      </c>
      <c r="B37" s="79" t="n">
        <f aca="false">$B$36/$B$29</f>
        <v>0.02375</v>
      </c>
    </row>
    <row r="38" customFormat="false" ht="12.75" hidden="false" customHeight="false" outlineLevel="0" collapsed="false">
      <c r="B38" s="64"/>
    </row>
    <row r="39" s="80" customFormat="true" ht="12.75" hidden="false" customHeight="false" outlineLevel="0" collapsed="false">
      <c r="A39" s="65" t="s">
        <v>55</v>
      </c>
    </row>
    <row r="41" customFormat="false" ht="12.75" hidden="false" customHeight="false" outlineLevel="0" collapsed="false"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 t="n">
        <f aca="false">IF(P122&lt;=($B$35*(1+$B$37)),P122,IF(P122&lt;=($B$35*(1+$B$37)*(($B$33+$B$68)/$B$68)),$B$35*(1+$B$37),P122*$B$68/($B$33+$B$68)))</f>
        <v>1275.25804510219</v>
      </c>
      <c r="Q41" s="82"/>
    </row>
    <row r="42" customFormat="false" ht="12.75" hidden="false" customHeight="false" outlineLevel="0" collapsed="false"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 t="n">
        <f aca="false">MIN((P41*O106+P42*(1-O106))*EXP(-(O89))+$B$35*$B$37,O123)</f>
        <v>677.208981109042</v>
      </c>
      <c r="P42" s="81" t="n">
        <f aca="false">IF(P123&lt;=($B$35*(1+$B$37)),P123,IF(P123&lt;=($B$35*(1+$B$37)*(($B$33+$B$68)/$B$68)),$B$35*(1+$B$37),P123*$B$68/($B$33+$B$68)))</f>
        <v>359.591381184064</v>
      </c>
      <c r="Q42" s="82"/>
    </row>
    <row r="43" customFormat="false" ht="12.75" hidden="false" customHeight="false" outlineLevel="0" collapsed="false"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 t="n">
        <f aca="false">MIN((O42*N107+O43*(1-N107))*EXP(-(N90))+$B$35*$B$37,N124)</f>
        <v>359.649933079049</v>
      </c>
      <c r="O43" s="81" t="n">
        <f aca="false">MIN((P42*O107+P43*(1-O107))*EXP(-(O90))+$B$35*$B$37,O124)</f>
        <v>190.977577851608</v>
      </c>
      <c r="P43" s="81" t="n">
        <f aca="false">IF(P124&lt;=($B$35*(1+$B$37)),P124,IF(P124&lt;=($B$35*(1+$B$37)*(($B$33+$B$68)/$B$68)),$B$35*(1+$B$37),P124*$B$68/($B$33+$B$68)))</f>
        <v>101.395918981638</v>
      </c>
      <c r="Q43" s="82"/>
    </row>
    <row r="44" customFormat="false" ht="12.75" hidden="false" customHeight="false" outlineLevel="0" collapsed="false"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 t="n">
        <f aca="false">MIN((N43*M108+N44*(1-M108))*EXP(-(M91))+$B$35*$B$37,M125)</f>
        <v>191.034622873125</v>
      </c>
      <c r="N44" s="81" t="n">
        <f aca="false">MIN((O43*N108+O44*(1-N108))*EXP(-(N91))+$B$35*$B$37,N125)</f>
        <v>101.454532181824</v>
      </c>
      <c r="O44" s="81" t="n">
        <f aca="false">MIN((P43*O108+P44*(1-O108))*EXP(-(O91))+$B$35*$B$37,O125)</f>
        <v>53.8722895972645</v>
      </c>
      <c r="P44" s="81" t="n">
        <f aca="false">IF(P125&lt;=($B$35*(1+$B$37)),P125,IF(P125&lt;=($B$35*(1+$B$37)*(($B$33+$B$68)/$B$68)),$B$35*(1+$B$37),P125*$B$68/($B$33+$B$68)))</f>
        <v>28.5911535261971</v>
      </c>
      <c r="Q44" s="82"/>
    </row>
    <row r="45" customFormat="false" ht="12.75" hidden="false" customHeight="false" outlineLevel="0" collapsed="false"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 t="n">
        <f aca="false">MIN((M44*L109+M45*(1-L109))*EXP(-(L92))+$B$35*$B$37,L126)</f>
        <v>101.510244522551</v>
      </c>
      <c r="M45" s="81" t="n">
        <f aca="false">MIN((N44*M109+N45*(1-M109))*EXP(-(M92))+$B$35*$B$37,M126)</f>
        <v>53.9295157495455</v>
      </c>
      <c r="N45" s="81" t="n">
        <f aca="false">MIN((O44*N109+O45*(1-N109))*EXP(-(N92))+$B$35*$B$37,N126)</f>
        <v>28.649828161771</v>
      </c>
      <c r="O45" s="81" t="n">
        <f aca="false">MIN((P44*O109+P45*(1-O109))*EXP(-(O92))+$B$35*$B$37,O126)</f>
        <v>15.2119728399071</v>
      </c>
      <c r="P45" s="81" t="n">
        <f aca="false">IF(P126&lt;=($B$35*(1+$B$37)),P126,IF(P126&lt;=($B$35*(1+$B$37)*(($B$33+$B$68)/$B$68)),$B$35*(1+$B$37),P126*$B$68/($B$33+$B$68)))</f>
        <v>8.06200158910351</v>
      </c>
      <c r="Q45" s="82"/>
    </row>
    <row r="46" customFormat="false" ht="12.75" hidden="false" customHeight="false" outlineLevel="0" collapsed="false">
      <c r="B46" s="81"/>
      <c r="C46" s="81"/>
      <c r="D46" s="81"/>
      <c r="E46" s="81"/>
      <c r="F46" s="81"/>
      <c r="G46" s="81"/>
      <c r="H46" s="81"/>
      <c r="I46" s="81"/>
      <c r="J46" s="81"/>
      <c r="K46" s="81" t="n">
        <f aca="false">MIN((L45*K110+L46*(1-K110))*EXP(-(K93))+$B$35*$B$37,K127)</f>
        <v>53.9840593016723</v>
      </c>
      <c r="L46" s="81" t="n">
        <f aca="false">MIN((M45*L110+M46*(1-L110))*EXP(-(L93))+$B$35*$B$37,L127)</f>
        <v>28.7058364096969</v>
      </c>
      <c r="M46" s="81" t="n">
        <f aca="false">MIN((N45*M110+N46*(1-M110))*EXP(-(M93))+$B$35*$B$37,M127)</f>
        <v>15.2693807626602</v>
      </c>
      <c r="N46" s="81" t="n">
        <f aca="false">MIN((O45*N110+O46*(1-N110))*EXP(-(N93))+$B$35*$B$37,N127)</f>
        <v>8.12073779052759</v>
      </c>
      <c r="O46" s="81" t="n">
        <f aca="false">MIN((P45*O110+P46*(1-O110))*EXP(-(O93))+$B$35*$B$37,O127)</f>
        <v>4.31071504883972</v>
      </c>
      <c r="P46" s="81" t="n">
        <f aca="false">IF(P127&lt;=($B$35*(1+$B$37)),P127,IF(P127&lt;=($B$35*(1+$B$37)*(($B$33+$B$68)/$B$68)),$B$35*(1+$B$37),P127*$B$68/($B$33+$B$68)))</f>
        <v>2.27328602055716</v>
      </c>
      <c r="Q46" s="82"/>
    </row>
    <row r="47" customFormat="false" ht="12.75" hidden="false" customHeight="false" outlineLevel="0" collapsed="false">
      <c r="B47" s="81"/>
      <c r="C47" s="81"/>
      <c r="D47" s="81"/>
      <c r="E47" s="81"/>
      <c r="F47" s="81"/>
      <c r="G47" s="81"/>
      <c r="H47" s="81"/>
      <c r="I47" s="81"/>
      <c r="J47" s="81" t="n">
        <f aca="false">MIN((K46*J111+K47*(1-J111))*EXP(-(J94))+$B$35*$B$37,J128)</f>
        <v>28.7971885847128</v>
      </c>
      <c r="K47" s="81" t="n">
        <f aca="false">MIN((L46*K111+L47*(1-K111))*EXP(-(K94))+$B$35*$B$37,K128)</f>
        <v>15.3852576268547</v>
      </c>
      <c r="L47" s="81" t="n">
        <f aca="false">MIN((M46*L111+M47*(1-L111))*EXP(-(L94))+$B$35*$B$37,L128)</f>
        <v>8.27496232435718</v>
      </c>
      <c r="M47" s="81" t="n">
        <f aca="false">MIN((N46*M111+N47*(1-M111))*EXP(-(M94))+$B$35*$B$37,M128)</f>
        <v>4.52531522398646</v>
      </c>
      <c r="N47" s="81" t="n">
        <f aca="false">MIN((O46*N111+O47*(1-N111))*EXP(-(N94))+$B$35*$B$37,N128)</f>
        <v>2.5832684282932</v>
      </c>
      <c r="O47" s="81" t="n">
        <f aca="false">MIN((P46*O111+P47*(1-O111))*EXP(-(O94))+$B$35*$B$37,O128)</f>
        <v>1.63775637978523</v>
      </c>
      <c r="P47" s="81" t="n">
        <f aca="false">IF(P128&lt;=($B$35*(1+$B$37)),P128,IF(P128&lt;=($B$35*(1+$B$37)*(($B$33+$B$68)/$B$68)),$B$35*(1+$B$37),P128*$B$68/($B$33+$B$68)))</f>
        <v>1.2794929875</v>
      </c>
      <c r="Q47" s="82"/>
    </row>
    <row r="48" customFormat="false" ht="12.75" hidden="false" customHeight="false" outlineLevel="0" collapsed="false">
      <c r="B48" s="81"/>
      <c r="C48" s="81"/>
      <c r="D48" s="81"/>
      <c r="E48" s="81"/>
      <c r="F48" s="81"/>
      <c r="G48" s="81"/>
      <c r="H48" s="81"/>
      <c r="I48" s="81" t="n">
        <f aca="false">MIN((J47*I112+J48*(1-I112))*EXP(-(I95))+$B$35*$B$37,I129)</f>
        <v>15.5131108894636</v>
      </c>
      <c r="J48" s="81" t="n">
        <f aca="false">MIN((K47*J112+K48*(1-J112))*EXP(-(J95))+$B$35*$B$37,J129)</f>
        <v>8.4282275752679</v>
      </c>
      <c r="K48" s="81" t="n">
        <f aca="false">MIN((L47*K112+L48*(1-K112))*EXP(-(K95))+$B$35*$B$37,K129)</f>
        <v>4.70506469851784</v>
      </c>
      <c r="L48" s="81" t="n">
        <f aca="false">MIN((M47*L112+M48*(1-L112))*EXP(-(L95))+$B$35*$B$37,L129)</f>
        <v>2.78328103636003</v>
      </c>
      <c r="M48" s="81" t="n">
        <f aca="false">MIN((N47*M112+N48*(1-M112))*EXP(-(M95))+$B$35*$B$37,M129)</f>
        <v>1.83559789426211</v>
      </c>
      <c r="N48" s="81" t="n">
        <f aca="false">MIN((O47*N112+O48*(1-N112))*EXP(-(N95))+$B$35*$B$37,N129)</f>
        <v>1.41978952764799</v>
      </c>
      <c r="O48" s="81" t="n">
        <f aca="false">MIN((P47*O112+P48*(1-O112))*EXP(-(O95))+$B$35*$B$37,O129)</f>
        <v>1.28867092787919</v>
      </c>
      <c r="P48" s="81" t="n">
        <f aca="false">IF(P129&lt;=($B$35*(1+$B$37)),P129,IF(P129&lt;=($B$35*(1+$B$37)*(($B$33+$B$68)/$B$68)),$B$35*(1+$B$37),P129*$B$68/($B$33+$B$68)))</f>
        <v>1.2794929875</v>
      </c>
      <c r="Q48" s="82"/>
    </row>
    <row r="49" customFormat="false" ht="12.75" hidden="false" customHeight="false" outlineLevel="0" collapsed="false">
      <c r="B49" s="81"/>
      <c r="C49" s="81"/>
      <c r="D49" s="81"/>
      <c r="E49" s="81"/>
      <c r="F49" s="81"/>
      <c r="G49" s="81"/>
      <c r="H49" s="81" t="n">
        <f aca="false">MIN((I48*H113+I49*(1-H113))*EXP(-(H96))+$B$35*$B$37,H130)</f>
        <v>8.56528846331948</v>
      </c>
      <c r="I49" s="81" t="n">
        <f aca="false">MIN((J48*I113+J49*(1-I113))*EXP(-(I96))+$B$35*$B$37,I130)</f>
        <v>4.85200540257402</v>
      </c>
      <c r="J49" s="81" t="n">
        <f aca="false">MIN((K48*J113+K49*(1-J113))*EXP(-(J96))+$B$35*$B$37,J130)</f>
        <v>2.93134571976399</v>
      </c>
      <c r="K49" s="81" t="n">
        <f aca="false">MIN((L48*K113+L49*(1-K113))*EXP(-(K96))+$B$35*$B$37,K130)</f>
        <v>1.97023166138899</v>
      </c>
      <c r="L49" s="81" t="n">
        <f aca="false">MIN((M48*L113+M49*(1-L113))*EXP(-(L96))+$B$35*$B$37,L130)</f>
        <v>1.52141555247829</v>
      </c>
      <c r="M49" s="81" t="n">
        <f aca="false">MIN((N48*M113+N49*(1-M113))*EXP(-(M96))+$B$35*$B$37,M130)</f>
        <v>1.33896280276449</v>
      </c>
      <c r="N49" s="81" t="n">
        <f aca="false">MIN((O48*N113+O49*(1-N113))*EXP(-(N96))+$B$35*$B$37,N130)</f>
        <v>1.28062826969512</v>
      </c>
      <c r="O49" s="81" t="n">
        <f aca="false">MIN((P48*O113+P49*(1-O113))*EXP(-(O96))+$B$35*$B$37,O130)</f>
        <v>1.25951302657343</v>
      </c>
      <c r="P49" s="81" t="n">
        <f aca="false">IF(P130&lt;=($B$35*(1+$B$37)),P130,IF(P130&lt;=($B$35*(1+$B$37)*(($B$33+$B$68)/$B$68)),$B$35*(1+$B$37),P130*$B$68/($B$33+$B$68)))</f>
        <v>1.22926606145715</v>
      </c>
      <c r="Q49" s="82"/>
    </row>
    <row r="50" customFormat="false" ht="12.75" hidden="false" customHeight="false" outlineLevel="0" collapsed="false">
      <c r="B50" s="81"/>
      <c r="C50" s="81"/>
      <c r="D50" s="81"/>
      <c r="E50" s="81"/>
      <c r="F50" s="81"/>
      <c r="G50" s="81" t="n">
        <f aca="false">MIN((H49*G114+H50*(1-G114))*EXP(-(G97))+$B$35*$B$37,G131)</f>
        <v>4.95938620126461</v>
      </c>
      <c r="H50" s="81" t="n">
        <f aca="false">MIN((I49*H114+I50*(1-H114))*EXP(-(H97))+$B$35*$B$37,H131)</f>
        <v>3.02532313612763</v>
      </c>
      <c r="I50" s="81" t="n">
        <f aca="false">MIN((J49*I114+J50*(1-I114))*EXP(-(I97))+$B$35*$B$37,I131)</f>
        <v>2.03709827826231</v>
      </c>
      <c r="J50" s="81" t="n">
        <f aca="false">MIN((K49*J114+K50*(1-J114))*EXP(-(J97))+$B$35*$B$37,J131)</f>
        <v>1.54441569226408</v>
      </c>
      <c r="K50" s="81" t="n">
        <f aca="false">MIN((L49*K114+L50*(1-K114))*EXP(-(K97))+$B$35*$B$37,K131)</f>
        <v>1.29985355135197</v>
      </c>
      <c r="L50" s="81" t="n">
        <f aca="false">MIN((M49*L114+M50*(1-L114))*EXP(-(L97))+$B$35*$B$37,L131)</f>
        <v>1.16171790151173</v>
      </c>
      <c r="M50" s="81" t="n">
        <f aca="false">MIN((N49*M114+N50*(1-M114))*EXP(-(M97))+$B$35*$B$37,M131)</f>
        <v>1.04336844998235</v>
      </c>
      <c r="N50" s="81" t="n">
        <f aca="false">MIN((O49*N114+O50*(1-N114))*EXP(-(N97))+$B$35*$B$37,N131)</f>
        <v>0.887549096373772</v>
      </c>
      <c r="O50" s="81" t="n">
        <f aca="false">MIN((P49*O114+P50*(1-O114))*EXP(-(O97))+$B$35*$B$37,O131)</f>
        <v>0.652756931743553</v>
      </c>
      <c r="P50" s="81" t="n">
        <f aca="false">IF(P131&lt;=($B$35*(1+$B$37)),P131,IF(P131&lt;=($B$35*(1+$B$37)*(($B$33+$B$68)/$B$68)),$B$35*(1+$B$37),P131*$B$68/($B$33+$B$68)))</f>
        <v>0.346622773782737</v>
      </c>
      <c r="Q50" s="82"/>
    </row>
    <row r="51" customFormat="false" ht="12.75" hidden="false" customHeight="false" outlineLevel="0" collapsed="false">
      <c r="B51" s="81"/>
      <c r="C51" s="81"/>
      <c r="D51" s="81"/>
      <c r="E51" s="81"/>
      <c r="F51" s="81" t="n">
        <f aca="false">MIN((G50*F115+G51*(1-F115))*EXP(-(F98))+$B$35*$B$37,F132)</f>
        <v>3.08090100891093</v>
      </c>
      <c r="G51" s="81" t="n">
        <f aca="false">MIN((H50*G115+H51*(1-G115))*EXP(-(G98))+$B$35*$B$37,G132)</f>
        <v>2.0650580740006</v>
      </c>
      <c r="H51" s="81" t="n">
        <f aca="false">MIN((I50*H115+I51*(1-H115))*EXP(-(H98))+$B$35*$B$37,H132)</f>
        <v>1.5359548036667</v>
      </c>
      <c r="I51" s="81" t="n">
        <f aca="false">MIN((J50*I115+J51*(1-I115))*EXP(-(I98))+$B$35*$B$37,I132)</f>
        <v>1.24883608414971</v>
      </c>
      <c r="J51" s="81" t="n">
        <f aca="false">MIN((K50*J115+K51*(1-J115))*EXP(-(J98))+$B$35*$B$37,J132)</f>
        <v>1.06795705117672</v>
      </c>
      <c r="K51" s="81" t="n">
        <f aca="false">MIN((L50*K115+L51*(1-K115))*EXP(-(K98))+$B$35*$B$37,K132)</f>
        <v>0.916884640858151</v>
      </c>
      <c r="L51" s="81" t="n">
        <f aca="false">MIN((M50*L115+M51*(1-L115))*EXP(-(L98))+$B$35*$B$37,L132)</f>
        <v>0.754058764299701</v>
      </c>
      <c r="M51" s="81" t="n">
        <f aca="false">MIN((N50*M115+N51*(1-M115))*EXP(-(M98))+$B$35*$B$37,M132)</f>
        <v>0.562333901278115</v>
      </c>
      <c r="N51" s="81" t="n">
        <f aca="false">MIN((O50*N115+O51*(1-N115))*EXP(-(N98))+$B$35*$B$37,N132)</f>
        <v>0.346622773782737</v>
      </c>
      <c r="O51" s="81" t="n">
        <f aca="false">MIN((P50*O115+P51*(1-O115))*EXP(-(O98))+$B$35*$B$37,O132)</f>
        <v>0.184061388645721</v>
      </c>
      <c r="P51" s="81" t="n">
        <f aca="false">IF(P132&lt;=($B$35*(1+$B$37)),P132,IF(P132&lt;=($B$35*(1+$B$37)*(($B$33+$B$68)/$B$68)),$B$35*(1+$B$37),P132*$B$68/($B$33+$B$68)))</f>
        <v>0.0977390908868161</v>
      </c>
      <c r="Q51" s="82"/>
    </row>
    <row r="52" customFormat="false" ht="12.75" hidden="false" customHeight="false" outlineLevel="0" collapsed="false">
      <c r="B52" s="81"/>
      <c r="C52" s="81"/>
      <c r="D52" s="81"/>
      <c r="E52" s="81" t="n">
        <f aca="false">MIN((F51*E116+F52*(1-E116))*EXP(-(E99))+$B$35*$B$37,E133)</f>
        <v>2.07256589032288</v>
      </c>
      <c r="F52" s="81" t="n">
        <f aca="false">MIN((G51*F116+G52*(1-F116))*EXP(-(F99))+$B$35*$B$37,F133)</f>
        <v>1.51657698835674</v>
      </c>
      <c r="G52" s="81" t="n">
        <f aca="false">MIN((H51*G116+H52*(1-G116))*EXP(-(G99))+$B$35*$B$37,G133)</f>
        <v>1.20233592155903</v>
      </c>
      <c r="H52" s="81" t="n">
        <f aca="false">MIN((I51*H116+I52*(1-H116))*EXP(-(H99))+$B$35*$B$37,H133)</f>
        <v>0.998975242161795</v>
      </c>
      <c r="I52" s="81" t="n">
        <f aca="false">MIN((J51*I116+J52*(1-I116))*EXP(-(I99))+$B$35*$B$37,I133)</f>
        <v>0.836239065176807</v>
      </c>
      <c r="J52" s="81" t="n">
        <f aca="false">MIN((K51*J116+K52*(1-J116))*EXP(-(J99))+$B$35*$B$37,J133)</f>
        <v>0.678921201345459</v>
      </c>
      <c r="K52" s="81" t="n">
        <f aca="false">MIN((L51*K116+L52*(1-K116))*EXP(-(K99))+$B$35*$B$37,K133)</f>
        <v>0.51410676643384</v>
      </c>
      <c r="L52" s="81" t="n">
        <f aca="false">MIN((M51*L116+M52*(1-L116))*EXP(-(L99))+$B$35*$B$37,L133)</f>
        <v>0.344561703137098</v>
      </c>
      <c r="M52" s="81" t="n">
        <f aca="false">MIN((N51*M116+N52*(1-M116))*EXP(-(M99))+$B$35*$B$37,M133)</f>
        <v>0.184061388645721</v>
      </c>
      <c r="N52" s="81" t="n">
        <f aca="false">MIN((O51*N116+O52*(1-N116))*EXP(-(N99))+$B$35*$B$37,N133)</f>
        <v>0.0977390908868161</v>
      </c>
      <c r="O52" s="81" t="n">
        <f aca="false">MIN((P51*O116+P52*(1-O116))*EXP(-(O99))+$B$35*$B$37,O133)</f>
        <v>0.0519007813516427</v>
      </c>
      <c r="P52" s="81" t="n">
        <f aca="false">IF(P133&lt;=($B$35*(1+$B$37)),P133,IF(P133&lt;=($B$35*(1+$B$37)*(($B$33+$B$68)/$B$68)),$B$35*(1+$B$37),P133*$B$68/($B$33+$B$68)))</f>
        <v>0.0275600180078447</v>
      </c>
      <c r="Q52" s="82"/>
    </row>
    <row r="53" customFormat="false" ht="12.75" hidden="false" customHeight="false" outlineLevel="0" collapsed="false">
      <c r="B53" s="81"/>
      <c r="C53" s="81"/>
      <c r="D53" s="81" t="n">
        <f aca="false">MIN((E52*D117+E53*(1-D117))*EXP(-(D100))+$B$35*$B$37,D134)</f>
        <v>1.4940411348824</v>
      </c>
      <c r="E53" s="81" t="n">
        <f aca="false">MIN((F52*E117+F53*(1-E117))*EXP(-(E100))+$B$35*$B$37,E134)</f>
        <v>1.16231215999797</v>
      </c>
      <c r="F53" s="81" t="n">
        <f aca="false">MIN((G52*F117+G53*(1-F117))*EXP(-(F100))+$B$35*$B$37,F134)</f>
        <v>0.946375734697839</v>
      </c>
      <c r="G53" s="81" t="n">
        <f aca="false">MIN((H52*G117+H53*(1-G117))*EXP(-(G100))+$B$35*$B$37,G134)</f>
        <v>0.778987218580976</v>
      </c>
      <c r="H53" s="81" t="n">
        <f aca="false">MIN((I52*H117+I53*(1-H117))*EXP(-(H100))+$B$35*$B$37,H134)</f>
        <v>0.626925861684159</v>
      </c>
      <c r="I53" s="81" t="n">
        <f aca="false">MIN((J52*I117+J53*(1-I117))*EXP(-(I100))+$B$35*$B$37,I134)</f>
        <v>0.476921881016843</v>
      </c>
      <c r="J53" s="81" t="n">
        <f aca="false">MIN((K52*J117+K53*(1-J117))*EXP(-(J100))+$B$35*$B$37,J134)</f>
        <v>0.327632096388827</v>
      </c>
      <c r="K53" s="81" t="n">
        <f aca="false">MIN((L52*K117+L53*(1-K117))*EXP(-(K100))+$B$35*$B$37,K134)</f>
        <v>0.184061388645721</v>
      </c>
      <c r="L53" s="81" t="n">
        <f aca="false">MIN((M52*L117+M53*(1-L117))*EXP(-(L100))+$B$35*$B$37,L134)</f>
        <v>0.0977390908868161</v>
      </c>
      <c r="M53" s="81" t="n">
        <f aca="false">MIN((N52*M117+N53*(1-M117))*EXP(-(M100))+$B$35*$B$37,M134)</f>
        <v>0.0519007813516426</v>
      </c>
      <c r="N53" s="81" t="n">
        <f aca="false">MIN((O52*N117+O53*(1-N117))*EXP(-(N100))+$B$35*$B$37,N134)</f>
        <v>0.0275600180078447</v>
      </c>
      <c r="O53" s="81" t="n">
        <f aca="false">MIN((P52*O117+P53*(1-O117))*EXP(-(O100))+$B$35*$B$37,O134)</f>
        <v>0.0146347429231657</v>
      </c>
      <c r="P53" s="81" t="n">
        <f aca="false">IF(P134&lt;=($B$35*(1+$B$37)),P134,IF(P134&lt;=($B$35*(1+$B$37)*(($B$33+$B$68)/$B$68)),$B$35*(1+$B$37),P134*$B$68/($B$33+$B$68)))</f>
        <v>0.00777124675195006</v>
      </c>
      <c r="Q53" s="82"/>
    </row>
    <row r="54" customFormat="false" ht="12.75" hidden="false" customHeight="false" outlineLevel="0" collapsed="false">
      <c r="B54" s="81"/>
      <c r="C54" s="81" t="n">
        <f aca="false">MIN((D53*C118+D54*(1-C118))*EXP(-(C101))+$B$35*$B$37,C135)</f>
        <v>1.12869498480929</v>
      </c>
      <c r="D54" s="81" t="n">
        <f aca="false">MIN((E53*D118+E54*(1-D118))*EXP(-(D101))+$B$35*$B$37,D135)</f>
        <v>0.90570344946737</v>
      </c>
      <c r="E54" s="81" t="n">
        <f aca="false">MIN((F53*E118+F54*(1-E118))*EXP(-(E101))+$B$35*$B$37,E135)</f>
        <v>0.736989208080653</v>
      </c>
      <c r="F54" s="81" t="n">
        <f aca="false">MIN((G53*F118+G54*(1-F118))*EXP(-(F101))+$B$35*$B$37,F135)</f>
        <v>0.589895401750521</v>
      </c>
      <c r="G54" s="81" t="n">
        <f aca="false">MIN((H53*G118+H54*(1-G118))*EXP(-(G101))+$B$35*$B$37,G135)</f>
        <v>0.450338498794913</v>
      </c>
      <c r="H54" s="81" t="n">
        <f aca="false">MIN((I53*H118+I54*(1-H118))*EXP(-(H101))+$B$35*$B$37,H135)</f>
        <v>0.314579277617961</v>
      </c>
      <c r="I54" s="81" t="n">
        <f aca="false">MIN((J53*I118+J54*(1-I118))*EXP(-(I101))+$B$35*$B$37,I135)</f>
        <v>0.184061388645721</v>
      </c>
      <c r="J54" s="81" t="n">
        <f aca="false">MIN((K53*J118+K54*(1-J118))*EXP(-(J101))+$B$35*$B$37,J135)</f>
        <v>0.0977390908868161</v>
      </c>
      <c r="K54" s="81" t="n">
        <f aca="false">MIN((L53*K118+L54*(1-K118))*EXP(-(K101))+$B$35*$B$37,K135)</f>
        <v>0.0519007813516426</v>
      </c>
      <c r="L54" s="81" t="n">
        <f aca="false">MIN((M53*L118+M54*(1-L118))*EXP(-(L101))+$B$35*$B$37,L135)</f>
        <v>0.0275600180078447</v>
      </c>
      <c r="M54" s="81" t="n">
        <f aca="false">MIN((N53*M118+N54*(1-M118))*EXP(-(M101))+$B$35*$B$37,M135)</f>
        <v>0.0146347429231657</v>
      </c>
      <c r="N54" s="81" t="n">
        <f aca="false">MIN((O53*N118+O54*(1-N118))*EXP(-(N101))+$B$35*$B$37,N135)</f>
        <v>0.00777124675195006</v>
      </c>
      <c r="O54" s="81" t="n">
        <f aca="false">MIN((P53*O118+P54*(1-O118))*EXP(-(O101))+$B$35*$B$37,O135)</f>
        <v>0.00412663730389811</v>
      </c>
      <c r="P54" s="81" t="n">
        <f aca="false">IF(P135&lt;=($B$35*(1+$B$37)),P135,IF(P135&lt;=($B$35*(1+$B$37)*(($B$33+$B$68)/$B$68)),$B$35*(1+$B$37),P135*$B$68/($B$33+$B$68)))</f>
        <v>0.00219130031273943</v>
      </c>
      <c r="Q54" s="82"/>
    </row>
    <row r="55" s="84" customFormat="true" ht="12.75" hidden="false" customHeight="false" outlineLevel="0" collapsed="false">
      <c r="A55" s="6" t="s">
        <v>74</v>
      </c>
      <c r="B55" s="81" t="n">
        <f aca="false">MIN((C54*B119+C55*(1-B119))*EXP(-(B102)),B136)</f>
        <v>0.844354455385282</v>
      </c>
      <c r="C55" s="81" t="n">
        <f aca="false">MIN((D54*C119+D55*(1-C119))*EXP(-(C102))+$B$35*$B$37,C136)</f>
        <v>0.705663854694818</v>
      </c>
      <c r="D55" s="81" t="n">
        <f aca="false">MIN((E54*D119+E55*(1-D119))*EXP(-(D102))+$B$35*$B$37,D136)</f>
        <v>0.563077262364397</v>
      </c>
      <c r="E55" s="81" t="n">
        <f aca="false">MIN((F54*E119+F55*(1-E119))*EXP(-(E102))+$B$35*$B$37,E136)</f>
        <v>0.431383706704035</v>
      </c>
      <c r="F55" s="81" t="n">
        <f aca="false">MIN((G54*F119+G55*(1-F119))*EXP(-(F102))+$B$35*$B$37,F136)</f>
        <v>0.305248128101029</v>
      </c>
      <c r="G55" s="81" t="n">
        <f aca="false">MIN((H54*G119+H55*(1-G119))*EXP(-(G102))+$B$35*$B$37,G136)</f>
        <v>0.184061388645721</v>
      </c>
      <c r="H55" s="81" t="n">
        <f aca="false">MIN((I54*H119+I55*(1-H119))*EXP(-(H102))+$B$35*$B$37,H136)</f>
        <v>0.0977390908868161</v>
      </c>
      <c r="I55" s="81" t="n">
        <f aca="false">MIN((J54*I119+J55*(1-I119))*EXP(-(I102))+$B$35*$B$37,I136)</f>
        <v>0.0519007813516426</v>
      </c>
      <c r="J55" s="81" t="n">
        <f aca="false">MIN((K54*J119+K55*(1-J119))*EXP(-(J102))+$B$35*$B$37,J136)</f>
        <v>0.0275600180078447</v>
      </c>
      <c r="K55" s="81" t="n">
        <f aca="false">MIN((L54*K119+L55*(1-K119))*EXP(-(K102))+$B$35*$B$37,K136)</f>
        <v>0.0146347429231657</v>
      </c>
      <c r="L55" s="81" t="n">
        <f aca="false">MIN((M54*L119+M55*(1-L119))*EXP(-(L102))+$B$35*$B$37,L136)</f>
        <v>0.00777124675195006</v>
      </c>
      <c r="M55" s="81" t="n">
        <f aca="false">MIN((N54*M119+N55*(1-M119))*EXP(-(M102))+$B$35*$B$37,M136)</f>
        <v>0.00412663730389811</v>
      </c>
      <c r="N55" s="81" t="n">
        <f aca="false">MIN((O54*N119+O55*(1-N119))*EXP(-(N102))+$B$35*$B$37,N136)</f>
        <v>0.00219130031273943</v>
      </c>
      <c r="O55" s="81" t="n">
        <f aca="false">MIN((P54*O119+P55*(1-O119))*EXP(-(O102))+$B$35*$B$37,O136)</f>
        <v>0.00116361015204221</v>
      </c>
      <c r="P55" s="81" t="n">
        <f aca="false">IF(P136&lt;=($B$35*(1+$B$37)),P136,IF(P136&lt;=($B$35*(1+$B$37)*(($B$33+$B$68)/$B$68)),$B$35*(1+$B$37),P136*$B$68/($B$33+$B$68)))</f>
        <v>0.000617892754390665</v>
      </c>
      <c r="Q55" s="83"/>
    </row>
    <row r="56" s="86" customFormat="true" ht="12.75" hidden="false" customHeight="false" outlineLevel="0" collapsed="false">
      <c r="A56" s="85" t="s">
        <v>75</v>
      </c>
      <c r="B56" s="85" t="n">
        <v>0</v>
      </c>
      <c r="C56" s="85" t="n">
        <v>0.5</v>
      </c>
      <c r="D56" s="85" t="n">
        <v>1</v>
      </c>
      <c r="E56" s="85" t="n">
        <v>1.5</v>
      </c>
      <c r="F56" s="85" t="n">
        <v>2</v>
      </c>
      <c r="G56" s="85" t="n">
        <v>2.5</v>
      </c>
      <c r="H56" s="85" t="n">
        <v>3</v>
      </c>
      <c r="I56" s="85" t="n">
        <v>3.5</v>
      </c>
      <c r="J56" s="85" t="n">
        <v>4</v>
      </c>
      <c r="K56" s="85" t="n">
        <v>4.5</v>
      </c>
      <c r="L56" s="85" t="n">
        <v>5</v>
      </c>
      <c r="M56" s="85" t="n">
        <v>5.5</v>
      </c>
      <c r="N56" s="85" t="n">
        <v>6</v>
      </c>
      <c r="O56" s="85" t="n">
        <v>6.5</v>
      </c>
      <c r="P56" s="85" t="n">
        <v>7</v>
      </c>
    </row>
    <row r="57" s="84" customFormat="true" ht="12.7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="2" customFormat="true" ht="12.75" hidden="false" customHeight="false" outlineLevel="0" collapsed="false">
      <c r="A58" s="2" t="s">
        <v>76</v>
      </c>
    </row>
    <row r="59" customFormat="false" ht="12.75" hidden="false" customHeight="false" outlineLevel="0" collapsed="false">
      <c r="B59" s="67"/>
    </row>
    <row r="60" s="85" customFormat="true" ht="12.75" hidden="false" customHeight="false" outlineLevel="0" collapsed="false">
      <c r="A60" s="85" t="s">
        <v>77</v>
      </c>
      <c r="B60" s="85" t="n">
        <v>0</v>
      </c>
      <c r="C60" s="85" t="n">
        <v>0.5</v>
      </c>
      <c r="D60" s="85" t="n">
        <v>1</v>
      </c>
      <c r="E60" s="85" t="n">
        <v>1.5</v>
      </c>
      <c r="F60" s="85" t="n">
        <v>2</v>
      </c>
      <c r="G60" s="85" t="n">
        <v>2.5</v>
      </c>
      <c r="H60" s="85" t="n">
        <v>3</v>
      </c>
      <c r="I60" s="85" t="n">
        <v>3.5</v>
      </c>
      <c r="J60" s="85" t="n">
        <v>4</v>
      </c>
      <c r="K60" s="85" t="n">
        <v>4.5</v>
      </c>
      <c r="L60" s="85" t="n">
        <v>5</v>
      </c>
      <c r="M60" s="85" t="n">
        <v>5.5</v>
      </c>
      <c r="N60" s="85" t="n">
        <v>6</v>
      </c>
      <c r="O60" s="85" t="n">
        <v>6.5</v>
      </c>
      <c r="P60" s="85" t="n">
        <v>7</v>
      </c>
      <c r="Q60" s="85" t="n">
        <v>7.5</v>
      </c>
    </row>
    <row r="61" s="8" customFormat="true" ht="12.75" hidden="false" customHeight="false" outlineLevel="0" collapsed="false">
      <c r="A61" s="8" t="s">
        <v>78</v>
      </c>
      <c r="B61" s="8" t="n">
        <v>1</v>
      </c>
      <c r="C61" s="87" t="n">
        <f aca="false">EXP(-$B$30*C$60)</f>
        <v>0.985111939603063</v>
      </c>
      <c r="D61" s="87" t="n">
        <f aca="false">EXP(-$B$30*D$60)</f>
        <v>0.970445533548508</v>
      </c>
      <c r="E61" s="87" t="n">
        <f aca="false">EXP(-$B$30*E$60)</f>
        <v>0.9559974818331</v>
      </c>
      <c r="F61" s="87" t="n">
        <f aca="false">EXP(-$B$30*F$60)</f>
        <v>0.941764533584249</v>
      </c>
      <c r="G61" s="87" t="n">
        <f aca="false">EXP(-$B$30*G$60)</f>
        <v>0.927743486328553</v>
      </c>
      <c r="H61" s="87" t="n">
        <f aca="false">EXP(-$B$30*H$60)</f>
        <v>0.913931185271228</v>
      </c>
      <c r="I61" s="87" t="n">
        <f aca="false">EXP(-$B$30*I$60)</f>
        <v>0.900324522586266</v>
      </c>
      <c r="J61" s="87" t="n">
        <f aca="false">EXP(-$B$30*J$60)</f>
        <v>0.886920436717158</v>
      </c>
      <c r="K61" s="87" t="n">
        <f aca="false">EXP(-$B$30*K$60)</f>
        <v>0.873715911688034</v>
      </c>
      <c r="L61" s="87" t="n">
        <f aca="false">EXP(-$B$30*L$60)</f>
        <v>0.860707976425058</v>
      </c>
      <c r="M61" s="87" t="n">
        <f aca="false">EXP(-$B$30*M$60)</f>
        <v>0.847893704087916</v>
      </c>
      <c r="N61" s="87" t="n">
        <f aca="false">EXP(-$B$30*N$60)</f>
        <v>0.835270211411272</v>
      </c>
      <c r="O61" s="87" t="n">
        <f aca="false">EXP(-$B$30*O$60)</f>
        <v>0.822834658056018</v>
      </c>
      <c r="P61" s="87" t="n">
        <f aca="false">EXP(-$B$30*P$60)</f>
        <v>0.810584245970187</v>
      </c>
      <c r="Q61" s="87" t="n">
        <f aca="false">EXP(-$B$30*Q$60)</f>
        <v>0.798516218759377</v>
      </c>
    </row>
    <row r="62" s="8" customFormat="true" ht="12.75" hidden="false" customHeight="false" outlineLevel="0" collapsed="false"/>
    <row r="63" s="8" customFormat="true" ht="12.75" hidden="false" customHeight="false" outlineLevel="0" collapsed="false">
      <c r="A63" s="8" t="s">
        <v>79</v>
      </c>
      <c r="B63" s="88" t="n">
        <f aca="false">EXP(-2*$B$30*$B$31*SQRT(1/$B$29))</f>
        <v>0.997880928066294</v>
      </c>
    </row>
    <row r="64" s="8" customFormat="true" ht="12.75" hidden="false" customHeight="false" outlineLevel="0" collapsed="false">
      <c r="A64" s="8" t="s">
        <v>80</v>
      </c>
      <c r="B64" s="88"/>
      <c r="C64" s="87" t="n">
        <f aca="false">1/(0.5+0.5*$B$63^(C$60*2))</f>
        <v>1.00106065977403</v>
      </c>
      <c r="D64" s="87" t="n">
        <f aca="false">1/(0.5+0.5*$B$63^(D$60*2))</f>
        <v>1.00212131716158</v>
      </c>
      <c r="E64" s="87" t="n">
        <f aca="false">1/(0.5+0.5*$B$63^(E$60*2))</f>
        <v>1.0031819697762</v>
      </c>
      <c r="F64" s="87" t="n">
        <f aca="false">1/(0.5+0.5*$B$63^(F$60*2))</f>
        <v>1.00424261523146</v>
      </c>
      <c r="G64" s="87" t="n">
        <f aca="false">1/(0.5+0.5*$B$63^(G$60*2))</f>
        <v>1.00530325114101</v>
      </c>
      <c r="H64" s="87" t="n">
        <f aca="false">1/(0.5+0.5*$B$63^(H$60*2))</f>
        <v>1.0063638751186</v>
      </c>
      <c r="I64" s="87" t="n">
        <f aca="false">1/(0.5+0.5*$B$63^(I$60*2))</f>
        <v>1.00742448477805</v>
      </c>
      <c r="J64" s="87" t="n">
        <f aca="false">1/(0.5+0.5*$B$63^(J$60*2))</f>
        <v>1.00848507773335</v>
      </c>
      <c r="K64" s="87" t="n">
        <f aca="false">1/(0.5+0.5*$B$63^(K$60*2))</f>
        <v>1.00954565159861</v>
      </c>
      <c r="L64" s="87" t="n">
        <f aca="false">1/(0.5+0.5*$B$63^(L$60*2))</f>
        <v>1.01060620398813</v>
      </c>
      <c r="M64" s="87" t="n">
        <f aca="false">1/(0.5+0.5*$B$63^(M$60*2))</f>
        <v>1.01166673251639</v>
      </c>
      <c r="N64" s="87" t="n">
        <f aca="false">1/(0.5+0.5*$B$63^(N$60*2))</f>
        <v>1.0127272347981</v>
      </c>
      <c r="O64" s="87" t="n">
        <f aca="false">1/(0.5+0.5*$B$63^(O$60*2))</f>
        <v>1.01378770844819</v>
      </c>
      <c r="P64" s="87" t="n">
        <f aca="false">1/(0.5+0.5*$B$63^(P$60*2))</f>
        <v>1.01484815108186</v>
      </c>
      <c r="Q64" s="87" t="n">
        <f aca="false">1/(0.5+0.5*$B$63^(Q$60*2))</f>
        <v>1.01590856031457</v>
      </c>
    </row>
    <row r="65" s="8" customFormat="true" ht="12.75" hidden="false" customHeight="false" outlineLevel="0" collapsed="false">
      <c r="B65" s="88"/>
    </row>
    <row r="66" s="8" customFormat="true" ht="14.25" hidden="false" customHeight="true" outlineLevel="0" collapsed="false">
      <c r="A66" s="8" t="s">
        <v>81</v>
      </c>
      <c r="B66" s="88" t="n">
        <f aca="false">EXP(SQRT(1/$B$29)*$B$28)</f>
        <v>1.88319112624925</v>
      </c>
    </row>
    <row r="67" s="8" customFormat="true" ht="12.75" hidden="false" customHeight="false" outlineLevel="0" collapsed="false">
      <c r="A67" s="8" t="s">
        <v>82</v>
      </c>
      <c r="B67" s="88" t="n">
        <f aca="false">EXP(SQRT(1/$B$29)*(-$B$28))</f>
        <v>0.53101354719725</v>
      </c>
    </row>
    <row r="68" s="8" customFormat="true" ht="12.75" hidden="false" customHeight="false" outlineLevel="0" collapsed="false">
      <c r="A68" s="8" t="s">
        <v>83</v>
      </c>
      <c r="B68" s="89" t="n">
        <f aca="false">$B$35*10^9/$B$34</f>
        <v>16017516.8561934</v>
      </c>
    </row>
    <row r="69" s="8" customFormat="true" ht="12.75" hidden="false" customHeight="false" outlineLevel="0" collapsed="false"/>
    <row r="71" customFormat="false" ht="12.75" hidden="false" customHeight="false" outlineLevel="0" collapsed="false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 t="n">
        <f aca="false">P72*$B$63</f>
        <v>0.970484848691297</v>
      </c>
      <c r="Q71" s="83"/>
    </row>
    <row r="72" customFormat="false" ht="12.75" hidden="false" customHeight="false" outlineLevel="0" collapsed="false"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 t="n">
        <f aca="false">O73*$B$63</f>
        <v>0.971529503390985</v>
      </c>
      <c r="P72" s="83" t="n">
        <f aca="false">P73*$B$63</f>
        <v>0.972545743079703</v>
      </c>
      <c r="Q72" s="83"/>
    </row>
    <row r="73" customFormat="false" ht="12.75" hidden="false" customHeight="false" outlineLevel="0" collapsed="false"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 t="n">
        <f aca="false">N74*$B$63</f>
        <v>0.972574188645322</v>
      </c>
      <c r="O73" s="83" t="n">
        <f aca="false">O74*$B$63</f>
        <v>0.973592616178793</v>
      </c>
      <c r="P73" s="83" t="n">
        <f aca="false">P74*$B$63</f>
        <v>0.974611013925594</v>
      </c>
      <c r="Q73" s="83"/>
    </row>
    <row r="74" customFormat="false" ht="12.75" hidden="false" customHeight="false" outlineLevel="0" collapsed="false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 t="n">
        <f aca="false">M75*$B$63</f>
        <v>0.973618902105007</v>
      </c>
      <c r="N74" s="83" t="n">
        <f aca="false">N75*$B$63</f>
        <v>0.974639519897417</v>
      </c>
      <c r="O74" s="83" t="n">
        <f aca="false">O75*$B$63</f>
        <v>0.975660110135017</v>
      </c>
      <c r="P74" s="83" t="n">
        <f aca="false">P75*$B$63</f>
        <v>0.976680670522692</v>
      </c>
      <c r="Q74" s="83"/>
    </row>
    <row r="75" customFormat="false" ht="12.75" hidden="false" customHeight="false" outlineLevel="0" collapsed="false"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 t="n">
        <f aca="false">L76*$B$63</f>
        <v>0.974663641420488</v>
      </c>
      <c r="M75" s="83" t="n">
        <f aca="false">M76*$B$63</f>
        <v>0.975686451881286</v>
      </c>
      <c r="N75" s="83" t="n">
        <f aca="false">N76*$B$63</f>
        <v>0.976709237028998</v>
      </c>
      <c r="O75" s="83" t="n">
        <f aca="false">O76*$B$63</f>
        <v>0.977731994563383</v>
      </c>
      <c r="P75" s="83" t="n">
        <f aca="false">P76*$B$63</f>
        <v>0.978754722184456</v>
      </c>
      <c r="Q75" s="83"/>
    </row>
    <row r="76" customFormat="false" ht="10.5" hidden="false" customHeight="true" outlineLevel="0" collapsed="false">
      <c r="B76" s="83"/>
      <c r="C76" s="83"/>
      <c r="D76" s="83"/>
      <c r="E76" s="83"/>
      <c r="F76" s="83"/>
      <c r="G76" s="83"/>
      <c r="H76" s="83"/>
      <c r="I76" s="83"/>
      <c r="J76" s="83"/>
      <c r="K76" s="83" t="n">
        <f aca="false">K77*$B$63</f>
        <v>0.975708404241978</v>
      </c>
      <c r="L76" s="83" t="n">
        <f aca="false">L77*$B$63</f>
        <v>0.976733409775858</v>
      </c>
      <c r="M76" s="83" t="n">
        <f aca="false">M77*$B$63</f>
        <v>0.977758392248246</v>
      </c>
      <c r="N76" s="83" t="n">
        <f aca="false">N77*$B$63</f>
        <v>0.978783349353792</v>
      </c>
      <c r="O76" s="83" t="n">
        <f aca="false">O77*$B$63</f>
        <v>0.979808278787375</v>
      </c>
      <c r="P76" s="83" t="n">
        <f aca="false">P77*$B$63</f>
        <v>0.980833178244121</v>
      </c>
      <c r="Q76" s="83"/>
    </row>
    <row r="77" customFormat="false" ht="12.75" hidden="false" customHeight="false" outlineLevel="0" collapsed="false">
      <c r="B77" s="83"/>
      <c r="C77" s="83"/>
      <c r="D77" s="83"/>
      <c r="E77" s="83"/>
      <c r="F77" s="83"/>
      <c r="G77" s="83"/>
      <c r="H77" s="83"/>
      <c r="I77" s="83"/>
      <c r="J77" s="83" t="n">
        <f aca="false">J78*$B$63</f>
        <v>0.976753188219479</v>
      </c>
      <c r="K77" s="83" t="n">
        <f aca="false">K78*$B$63</f>
        <v>0.977780391226355</v>
      </c>
      <c r="L77" s="83" t="n">
        <f aca="false">L78*$B$63</f>
        <v>0.97880757343322</v>
      </c>
      <c r="M77" s="83" t="n">
        <f aca="false">M78*$B$63</f>
        <v>0.97983473252962</v>
      </c>
      <c r="N77" s="83" t="n">
        <f aca="false">N78*$B$63</f>
        <v>0.980861866205311</v>
      </c>
      <c r="O77" s="83" t="n">
        <f aca="false">O78*$B$63</f>
        <v>0.981888972150275</v>
      </c>
      <c r="P77" s="83" t="n">
        <f aca="false">P78*$B$63</f>
        <v>0.982916048054744</v>
      </c>
      <c r="Q77" s="83"/>
    </row>
    <row r="78" customFormat="false" ht="12.75" hidden="false" customHeight="false" outlineLevel="0" collapsed="false">
      <c r="B78" s="83"/>
      <c r="C78" s="83"/>
      <c r="D78" s="83"/>
      <c r="E78" s="83"/>
      <c r="F78" s="83"/>
      <c r="G78" s="83"/>
      <c r="H78" s="83"/>
      <c r="I78" s="83" t="n">
        <f aca="false">I79*$B$63</f>
        <v>0.977797991002802</v>
      </c>
      <c r="J78" s="83" t="n">
        <f aca="false">J79*$B$63</f>
        <v>0.978827393877788</v>
      </c>
      <c r="K78" s="83" t="n">
        <f aca="false">K79*$B$63</f>
        <v>0.979856778224141</v>
      </c>
      <c r="L78" s="83" t="n">
        <f aca="false">L79*$B$63</f>
        <v>0.980886141726314</v>
      </c>
      <c r="M78" s="83" t="n">
        <f aca="false">M79*$B$63</f>
        <v>0.981915482068944</v>
      </c>
      <c r="N78" s="83" t="n">
        <f aca="false">N79*$B$63</f>
        <v>0.982944796936883</v>
      </c>
      <c r="O78" s="83" t="n">
        <f aca="false">O79*$B$63</f>
        <v>0.983974084015206</v>
      </c>
      <c r="P78" s="83" t="n">
        <f aca="false">P79*$B$63</f>
        <v>0.985003340989241</v>
      </c>
      <c r="Q78" s="83"/>
    </row>
    <row r="79" customFormat="false" ht="12.75" hidden="false" customHeight="false" outlineLevel="0" collapsed="false">
      <c r="B79" s="83"/>
      <c r="C79" s="83"/>
      <c r="D79" s="83"/>
      <c r="E79" s="83"/>
      <c r="F79" s="83"/>
      <c r="G79" s="83"/>
      <c r="H79" s="83" t="n">
        <f aca="false">H80*$B$63</f>
        <v>0.97884281024159</v>
      </c>
      <c r="I79" s="83" t="n">
        <f aca="false">I80*$B$63</f>
        <v>0.97987441537498</v>
      </c>
      <c r="J79" s="83" t="n">
        <f aca="false">J80*$B$63</f>
        <v>0.980906004261022</v>
      </c>
      <c r="K79" s="83" t="n">
        <f aca="false">K80*$B$63</f>
        <v>0.981937574579084</v>
      </c>
      <c r="L79" s="83" t="n">
        <f aca="false">L80*$B$63</f>
        <v>0.982969124008701</v>
      </c>
      <c r="M79" s="83" t="n">
        <f aca="false">M80*$B$63</f>
        <v>0.984000650229595</v>
      </c>
      <c r="N79" s="83" t="n">
        <f aca="false">N80*$B$63</f>
        <v>0.9850321509217</v>
      </c>
      <c r="O79" s="83" t="n">
        <f aca="false">O80*$B$63</f>
        <v>0.986063623765176</v>
      </c>
      <c r="P79" s="83" t="n">
        <f aca="false">P80*$B$63</f>
        <v>0.987095066440435</v>
      </c>
      <c r="Q79" s="83"/>
    </row>
    <row r="80" customFormat="false" ht="12.75" hidden="false" customHeight="false" outlineLevel="0" collapsed="false">
      <c r="B80" s="83"/>
      <c r="C80" s="83"/>
      <c r="D80" s="83"/>
      <c r="E80" s="83"/>
      <c r="F80" s="83"/>
      <c r="G80" s="83" t="n">
        <f aca="false">G81*$B$63</f>
        <v>0.979887643585337</v>
      </c>
      <c r="H80" s="83" t="n">
        <f aca="false">H81*$B$63</f>
        <v>0.980921453362581</v>
      </c>
      <c r="I80" s="83" t="n">
        <f aca="false">I81*$B$63</f>
        <v>0.981955249183681</v>
      </c>
      <c r="J80" s="83" t="n">
        <f aca="false">J81*$B$63</f>
        <v>0.98298902872293</v>
      </c>
      <c r="K80" s="83" t="n">
        <f aca="false">K81*$B$63</f>
        <v>0.984022789654769</v>
      </c>
      <c r="L80" s="83" t="n">
        <f aca="false">L81*$B$63</f>
        <v>0.985056529653804</v>
      </c>
      <c r="M80" s="83" t="n">
        <f aca="false">M81*$B$63</f>
        <v>0.986090246394832</v>
      </c>
      <c r="N80" s="83" t="n">
        <f aca="false">N81*$B$63</f>
        <v>0.987123937552858</v>
      </c>
      <c r="O80" s="83" t="n">
        <f aca="false">O81*$B$63</f>
        <v>0.988157600803116</v>
      </c>
      <c r="P80" s="83" t="n">
        <f aca="false">P81*$B$63</f>
        <v>0.989191233821094</v>
      </c>
      <c r="Q80" s="83"/>
    </row>
    <row r="81" customFormat="false" ht="12.75" hidden="false" customHeight="false" outlineLevel="0" collapsed="false">
      <c r="B81" s="83"/>
      <c r="C81" s="83"/>
      <c r="D81" s="83"/>
      <c r="E81" s="83"/>
      <c r="F81" s="83" t="n">
        <f aca="false">F82*$B$63</f>
        <v>0.980932488683411</v>
      </c>
      <c r="G81" s="83" t="n">
        <f aca="false">G82*$B$63</f>
        <v>0.981968505485095</v>
      </c>
      <c r="H81" s="83" t="n">
        <f aca="false">H82*$B$63</f>
        <v>0.983004510631768</v>
      </c>
      <c r="I81" s="83" t="n">
        <f aca="false">I82*$B$63</f>
        <v>0.984040501792661</v>
      </c>
      <c r="J81" s="83" t="n">
        <f aca="false">J82*$B$63</f>
        <v>0.985076476637127</v>
      </c>
      <c r="K81" s="83" t="n">
        <f aca="false">K82*$B$63</f>
        <v>0.986112432834668</v>
      </c>
      <c r="L81" s="83" t="n">
        <f aca="false">L82*$B$63</f>
        <v>0.987148368054954</v>
      </c>
      <c r="M81" s="83" t="n">
        <f aca="false">M82*$B$63</f>
        <v>0.988184279967842</v>
      </c>
      <c r="N81" s="83" t="n">
        <f aca="false">N82*$B$63</f>
        <v>0.989220166243401</v>
      </c>
      <c r="O81" s="83" t="n">
        <f aca="false">O82*$B$63</f>
        <v>0.990256024551928</v>
      </c>
      <c r="P81" s="83" t="n">
        <f aca="false">P82*$B$63</f>
        <v>0.991291852563974</v>
      </c>
      <c r="Q81" s="83"/>
    </row>
    <row r="82" customFormat="false" ht="12.75" hidden="false" customHeight="false" outlineLevel="0" collapsed="false">
      <c r="B82" s="83"/>
      <c r="C82" s="83"/>
      <c r="D82" s="83"/>
      <c r="E82" s="83" t="n">
        <f aca="false">E83*$B$63</f>
        <v>0.981977343185073</v>
      </c>
      <c r="F82" s="83" t="n">
        <f aca="false">F83*$B$63</f>
        <v>0.983015569386895</v>
      </c>
      <c r="G82" s="83" t="n">
        <f aca="false">G83*$B$63</f>
        <v>0.984053786244784</v>
      </c>
      <c r="H82" s="83" t="n">
        <f aca="false">H83*$B$63</f>
        <v>0.985091991422911</v>
      </c>
      <c r="I82" s="83" t="n">
        <f aca="false">I83*$B$63</f>
        <v>0.986130182585559</v>
      </c>
      <c r="J82" s="83" t="n">
        <f aca="false">J83*$B$63</f>
        <v>0.98716835739713</v>
      </c>
      <c r="K82" s="83" t="n">
        <f aca="false">K83*$B$63</f>
        <v>0.988206513522179</v>
      </c>
      <c r="L82" s="83" t="n">
        <f aca="false">L83*$B$63</f>
        <v>0.989244648625425</v>
      </c>
      <c r="M82" s="83" t="n">
        <f aca="false">M83*$B$63</f>
        <v>0.990282760371779</v>
      </c>
      <c r="N82" s="83" t="n">
        <f aca="false">N83*$B$63</f>
        <v>0.991320846426361</v>
      </c>
      <c r="O82" s="83" t="n">
        <f aca="false">O83*$B$63</f>
        <v>0.992358904454521</v>
      </c>
      <c r="P82" s="83" t="n">
        <f aca="false">P83*$B$63</f>
        <v>0.993396932121864</v>
      </c>
      <c r="Q82" s="83"/>
    </row>
    <row r="83" customFormat="false" ht="12.75" hidden="false" customHeight="false" outlineLevel="0" collapsed="false">
      <c r="B83" s="83"/>
      <c r="C83" s="83"/>
      <c r="D83" s="83" t="n">
        <f aca="false">D84*$B$63</f>
        <v>0.983022204739501</v>
      </c>
      <c r="E83" s="83" t="n">
        <f aca="false">E84*$B$63</f>
        <v>0.984062642712254</v>
      </c>
      <c r="F83" s="83" t="n">
        <f aca="false">F84*$B$63</f>
        <v>0.985103073662101</v>
      </c>
      <c r="G83" s="83" t="n">
        <f aca="false">G84*$B$63</f>
        <v>0.986143495248171</v>
      </c>
      <c r="H83" s="83" t="n">
        <f aca="false">H84*$B$63</f>
        <v>0.987183905129679</v>
      </c>
      <c r="I83" s="83" t="n">
        <f aca="false">I84*$B$63</f>
        <v>0.988224300965942</v>
      </c>
      <c r="J83" s="83" t="n">
        <f aca="false">J84*$B$63</f>
        <v>0.989264680416408</v>
      </c>
      <c r="K83" s="83" t="n">
        <f aca="false">K84*$B$63</f>
        <v>0.990305041140668</v>
      </c>
      <c r="L83" s="83" t="n">
        <f aca="false">L84*$B$63</f>
        <v>0.991345380798485</v>
      </c>
      <c r="M83" s="83" t="n">
        <f aca="false">M84*$B$63</f>
        <v>0.992385697049809</v>
      </c>
      <c r="N83" s="83" t="n">
        <f aca="false">N84*$B$63</f>
        <v>0.993425987554803</v>
      </c>
      <c r="O83" s="83" t="n">
        <f aca="false">O84*$B$63</f>
        <v>0.994466249973859</v>
      </c>
      <c r="P83" s="83" t="n">
        <f aca="false">P84*$B$63</f>
        <v>0.995506481967624</v>
      </c>
      <c r="Q83" s="83"/>
    </row>
    <row r="84" customFormat="false" ht="12.75" hidden="false" customHeight="false" outlineLevel="0" collapsed="false">
      <c r="B84" s="83"/>
      <c r="C84" s="83" t="n">
        <f aca="false">C85*$B$63</f>
        <v>0.984067070995807</v>
      </c>
      <c r="D84" s="83" t="n">
        <f aca="false">D85*$B$63</f>
        <v>0.985109723105355</v>
      </c>
      <c r="E84" s="83" t="n">
        <f aca="false">E85*$B$63</f>
        <v>0.986152370522987</v>
      </c>
      <c r="F84" s="83" t="n">
        <f aca="false">F85*$B$63</f>
        <v>0.9871950109028</v>
      </c>
      <c r="G84" s="83" t="n">
        <f aca="false">G85*$B$63</f>
        <v>0.988237641898952</v>
      </c>
      <c r="H84" s="83" t="n">
        <f aca="false">H85*$B$63</f>
        <v>0.989280261165685</v>
      </c>
      <c r="I84" s="83" t="n">
        <f aca="false">I85*$B$63</f>
        <v>0.990322866357348</v>
      </c>
      <c r="J84" s="83" t="n">
        <f aca="false">J85*$B$63</f>
        <v>0.991365455128417</v>
      </c>
      <c r="K84" s="83" t="n">
        <f aca="false">K85*$B$63</f>
        <v>0.992408025133514</v>
      </c>
      <c r="L84" s="83" t="n">
        <f aca="false">L85*$B$63</f>
        <v>0.993450574027431</v>
      </c>
      <c r="M84" s="83" t="n">
        <f aca="false">M85*$B$63</f>
        <v>0.994493099465151</v>
      </c>
      <c r="N84" s="83" t="n">
        <f aca="false">N85*$B$63</f>
        <v>0.995535599101866</v>
      </c>
      <c r="O84" s="83" t="n">
        <f aca="false">O85*$B$63</f>
        <v>0.996578070593</v>
      </c>
      <c r="P84" s="83" t="n">
        <f aca="false">P85*$B$63</f>
        <v>0.997620511594234</v>
      </c>
      <c r="Q84" s="83"/>
    </row>
    <row r="85" s="84" customFormat="true" ht="12.75" hidden="false" customHeight="false" outlineLevel="0" collapsed="false">
      <c r="A85" s="6" t="s">
        <v>84</v>
      </c>
      <c r="B85" s="83" t="n">
        <f aca="false">EXP(-$B$30*$C$60)</f>
        <v>0.985111939603063</v>
      </c>
      <c r="C85" s="83" t="n">
        <f aca="false">D$61/C$61*C$64</f>
        <v>0.986156808210319</v>
      </c>
      <c r="D85" s="83" t="n">
        <f aca="false">E$61/D$61*D$64</f>
        <v>0.987201674466625</v>
      </c>
      <c r="E85" s="83" t="n">
        <f aca="false">F$61/E$61*E$64</f>
        <v>0.988246536021052</v>
      </c>
      <c r="F85" s="83" t="n">
        <f aca="false">G$61/F$61*F$64</f>
        <v>0.989291390522714</v>
      </c>
      <c r="G85" s="83" t="n">
        <f aca="false">H$61/G$61*G$64</f>
        <v>0.990336235620788</v>
      </c>
      <c r="H85" s="83" t="n">
        <f aca="false">I$61/H$61*H$64</f>
        <v>0.991381068964535</v>
      </c>
      <c r="I85" s="83" t="n">
        <f aca="false">J$61/I$61*I$64</f>
        <v>0.992425888203323</v>
      </c>
      <c r="J85" s="83" t="n">
        <f aca="false">K$61/J$61*J$64</f>
        <v>0.993470690986646</v>
      </c>
      <c r="K85" s="83" t="n">
        <f aca="false">L$61/K$61*K$64</f>
        <v>0.994515474964147</v>
      </c>
      <c r="L85" s="83" t="n">
        <f aca="false">M$61/L$61*L$64</f>
        <v>0.995560237785637</v>
      </c>
      <c r="M85" s="83" t="n">
        <f aca="false">N$61/M$61*M$64</f>
        <v>0.996604977101118</v>
      </c>
      <c r="N85" s="83" t="n">
        <f aca="false">O$61/N$61*N$64</f>
        <v>0.997649690560804</v>
      </c>
      <c r="O85" s="83" t="n">
        <f aca="false">P$61/O$61*O$64</f>
        <v>0.998694375815141</v>
      </c>
      <c r="P85" s="83" t="n">
        <f aca="false">Q$61/P$61*P$64</f>
        <v>0.999739030514829</v>
      </c>
      <c r="Q85" s="83"/>
    </row>
    <row r="86" customFormat="false" ht="12.75" hidden="false" customHeight="false" outlineLevel="0" collapsed="false"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</row>
    <row r="87" customFormat="false" ht="12.75" hidden="false" customHeight="false" outlineLevel="0" collapsed="false"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</row>
    <row r="88" customFormat="false" ht="12.75" hidden="false" customHeight="false" outlineLevel="0" collapsed="false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 t="n">
        <f aca="false">-LN(P71)</f>
        <v>0.0299594883534684</v>
      </c>
      <c r="Q88" s="82"/>
    </row>
    <row r="89" customFormat="false" ht="12.75" hidden="false" customHeight="false" outlineLevel="0" collapsed="false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 t="n">
        <f aca="false">-LN(O72)</f>
        <v>0.0288836417209975</v>
      </c>
      <c r="P89" s="82" t="n">
        <f aca="false">-LN(P72)</f>
        <v>0.0278381680099087</v>
      </c>
      <c r="Q89" s="82"/>
    </row>
    <row r="90" customFormat="false" ht="12.75" hidden="false" customHeight="false" outlineLevel="0" collapsed="false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 t="n">
        <f aca="false">-LN(N73)</f>
        <v>0.0278089198744524</v>
      </c>
      <c r="O90" s="82" t="n">
        <f aca="false">-LN(O73)</f>
        <v>0.0267623213774379</v>
      </c>
      <c r="P90" s="82" t="n">
        <f aca="false">-LN(P73)</f>
        <v>0.025716847666349</v>
      </c>
      <c r="Q90" s="82"/>
    </row>
    <row r="91" customFormat="false" ht="12.75" hidden="false" customHeight="false" outlineLevel="0" collapsed="false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 t="n">
        <f aca="false">-LN(M74)</f>
        <v>0.0267353228454665</v>
      </c>
      <c r="N91" s="82" t="n">
        <f aca="false">-LN(N74)</f>
        <v>0.0256875995308927</v>
      </c>
      <c r="O91" s="82" t="n">
        <f aca="false">-LN(O74)</f>
        <v>0.0246410010338782</v>
      </c>
      <c r="P91" s="82" t="n">
        <f aca="false">-LN(P74)</f>
        <v>0.0235955273227893</v>
      </c>
      <c r="Q91" s="82"/>
    </row>
    <row r="92" customFormat="false" ht="12.75" hidden="false" customHeight="false" outlineLevel="0" collapsed="false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 t="n">
        <f aca="false">-LN(L75)</f>
        <v>0.0256628506631425</v>
      </c>
      <c r="M92" s="82" t="n">
        <f aca="false">-LN(M75)</f>
        <v>0.0246140025019069</v>
      </c>
      <c r="N92" s="82" t="n">
        <f aca="false">-LN(N75)</f>
        <v>0.023566279187333</v>
      </c>
      <c r="O92" s="82" t="n">
        <f aca="false">-LN(O75)</f>
        <v>0.0225196806903185</v>
      </c>
      <c r="P92" s="82" t="n">
        <f aca="false">-LN(P75)</f>
        <v>0.0214742069792297</v>
      </c>
      <c r="Q92" s="82"/>
    </row>
    <row r="93" customFormat="false" ht="12.75" hidden="false" customHeight="false" outlineLevel="0" collapsed="false">
      <c r="B93" s="82"/>
      <c r="C93" s="82"/>
      <c r="D93" s="82"/>
      <c r="E93" s="82"/>
      <c r="F93" s="82"/>
      <c r="G93" s="82"/>
      <c r="H93" s="82"/>
      <c r="I93" s="82"/>
      <c r="J93" s="82"/>
      <c r="K93" s="82" t="n">
        <f aca="false">-LN(K76)</f>
        <v>0.024591503354055</v>
      </c>
      <c r="L93" s="82" t="n">
        <f aca="false">-LN(L76)</f>
        <v>0.0235415303195828</v>
      </c>
      <c r="M93" s="82" t="n">
        <f aca="false">-LN(M76)</f>
        <v>0.0224926821583472</v>
      </c>
      <c r="N93" s="82" t="n">
        <f aca="false">-LN(N76)</f>
        <v>0.0214449588437733</v>
      </c>
      <c r="O93" s="82" t="n">
        <f aca="false">-LN(O76)</f>
        <v>0.0203983603467589</v>
      </c>
      <c r="P93" s="82" t="n">
        <f aca="false">-LN(P76)</f>
        <v>0.01935288663567</v>
      </c>
      <c r="Q93" s="82"/>
    </row>
    <row r="94" customFormat="false" ht="12.75" hidden="false" customHeight="false" outlineLevel="0" collapsed="false">
      <c r="B94" s="82"/>
      <c r="C94" s="82"/>
      <c r="D94" s="82"/>
      <c r="E94" s="82"/>
      <c r="F94" s="82"/>
      <c r="G94" s="82"/>
      <c r="H94" s="82"/>
      <c r="I94" s="82"/>
      <c r="J94" s="82" t="n">
        <f aca="false">-LN(J77)</f>
        <v>0.023521280942247</v>
      </c>
      <c r="K94" s="82" t="n">
        <f aca="false">-LN(K77)</f>
        <v>0.0224701830104953</v>
      </c>
      <c r="L94" s="82" t="n">
        <f aca="false">-LN(L77)</f>
        <v>0.0214202099760232</v>
      </c>
      <c r="M94" s="82" t="n">
        <f aca="false">-LN(M77)</f>
        <v>0.0203713618147876</v>
      </c>
      <c r="N94" s="82" t="n">
        <f aca="false">-LN(N77)</f>
        <v>0.0193236385002136</v>
      </c>
      <c r="O94" s="82" t="n">
        <f aca="false">-LN(O77)</f>
        <v>0.0182770400031992</v>
      </c>
      <c r="P94" s="82" t="n">
        <f aca="false">-LN(P77)</f>
        <v>0.0172315662921104</v>
      </c>
      <c r="Q94" s="82"/>
    </row>
    <row r="95" customFormat="false" ht="12.75" hidden="false" customHeight="false" outlineLevel="0" collapsed="false">
      <c r="B95" s="82"/>
      <c r="C95" s="82"/>
      <c r="D95" s="82"/>
      <c r="E95" s="82"/>
      <c r="F95" s="82"/>
      <c r="G95" s="82"/>
      <c r="H95" s="82"/>
      <c r="I95" s="82" t="n">
        <f aca="false">-LN(I78)</f>
        <v>0.022452183449232</v>
      </c>
      <c r="J95" s="82" t="n">
        <f aca="false">-LN(J78)</f>
        <v>0.0213999605986874</v>
      </c>
      <c r="K95" s="82" t="n">
        <f aca="false">-LN(K78)</f>
        <v>0.0203488626669357</v>
      </c>
      <c r="L95" s="82" t="n">
        <f aca="false">-LN(L78)</f>
        <v>0.0192988896324635</v>
      </c>
      <c r="M95" s="82" t="n">
        <f aca="false">-LN(M78)</f>
        <v>0.0182500414712279</v>
      </c>
      <c r="N95" s="82" t="n">
        <f aca="false">-LN(N78)</f>
        <v>0.0172023181566539</v>
      </c>
      <c r="O95" s="82" t="n">
        <f aca="false">-LN(O78)</f>
        <v>0.0161557196596395</v>
      </c>
      <c r="P95" s="82" t="n">
        <f aca="false">-LN(P78)</f>
        <v>0.0151102459485507</v>
      </c>
      <c r="Q95" s="82"/>
    </row>
    <row r="96" customFormat="false" ht="12.75" hidden="false" customHeight="false" outlineLevel="0" collapsed="false">
      <c r="B96" s="82"/>
      <c r="C96" s="82"/>
      <c r="D96" s="82"/>
      <c r="E96" s="82"/>
      <c r="F96" s="82"/>
      <c r="G96" s="82"/>
      <c r="H96" s="82" t="n">
        <f aca="false">-LN(H79)</f>
        <v>0.021384210893993</v>
      </c>
      <c r="I96" s="82" t="n">
        <f aca="false">-LN(I79)</f>
        <v>0.0203308631056723</v>
      </c>
      <c r="J96" s="82" t="n">
        <f aca="false">-LN(J79)</f>
        <v>0.0192786402551277</v>
      </c>
      <c r="K96" s="82" t="n">
        <f aca="false">-LN(K79)</f>
        <v>0.018227542323376</v>
      </c>
      <c r="L96" s="82" t="n">
        <f aca="false">-LN(L79)</f>
        <v>0.0171775692889038</v>
      </c>
      <c r="M96" s="82" t="n">
        <f aca="false">-LN(M79)</f>
        <v>0.0161287211276682</v>
      </c>
      <c r="N96" s="82" t="n">
        <f aca="false">-LN(N79)</f>
        <v>0.0150809978130943</v>
      </c>
      <c r="O96" s="82" t="n">
        <f aca="false">-LN(O79)</f>
        <v>0.0140343993160799</v>
      </c>
      <c r="P96" s="82" t="n">
        <f aca="false">-LN(P79)</f>
        <v>0.012988925604991</v>
      </c>
      <c r="Q96" s="82"/>
    </row>
    <row r="97" customFormat="false" ht="12.75" hidden="false" customHeight="false" outlineLevel="0" collapsed="false">
      <c r="B97" s="82"/>
      <c r="C97" s="82"/>
      <c r="D97" s="82"/>
      <c r="E97" s="82"/>
      <c r="F97" s="82"/>
      <c r="G97" s="82" t="n">
        <f aca="false">-LN(G80)</f>
        <v>0.0203173632929816</v>
      </c>
      <c r="H97" s="82" t="n">
        <f aca="false">-LN(H80)</f>
        <v>0.0192628905504333</v>
      </c>
      <c r="I97" s="82" t="n">
        <f aca="false">-LN(I80)</f>
        <v>0.0182095427621126</v>
      </c>
      <c r="J97" s="82" t="n">
        <f aca="false">-LN(J80)</f>
        <v>0.017157319911568</v>
      </c>
      <c r="K97" s="82" t="n">
        <f aca="false">-LN(K80)</f>
        <v>0.0161062219798163</v>
      </c>
      <c r="L97" s="82" t="n">
        <f aca="false">-LN(L80)</f>
        <v>0.0150562489453442</v>
      </c>
      <c r="M97" s="82" t="n">
        <f aca="false">-LN(M80)</f>
        <v>0.0140074007841085</v>
      </c>
      <c r="N97" s="82" t="n">
        <f aca="false">-LN(N80)</f>
        <v>0.0129596774695346</v>
      </c>
      <c r="O97" s="82" t="n">
        <f aca="false">-LN(O80)</f>
        <v>0.0119130789725202</v>
      </c>
      <c r="P97" s="82" t="n">
        <f aca="false">-LN(P80)</f>
        <v>0.0108676052614314</v>
      </c>
      <c r="Q97" s="82"/>
    </row>
    <row r="98" customFormat="false" ht="12.75" hidden="false" customHeight="false" outlineLevel="0" collapsed="false">
      <c r="B98" s="82"/>
      <c r="C98" s="82"/>
      <c r="D98" s="82"/>
      <c r="E98" s="82"/>
      <c r="F98" s="82" t="n">
        <f aca="false">-LN(F81)</f>
        <v>0.0192516406601195</v>
      </c>
      <c r="G98" s="82" t="n">
        <f aca="false">-LN(G81)</f>
        <v>0.018196042949422</v>
      </c>
      <c r="H98" s="82" t="n">
        <f aca="false">-LN(H81)</f>
        <v>0.0171415702068737</v>
      </c>
      <c r="I98" s="82" t="n">
        <f aca="false">-LN(I81)</f>
        <v>0.0160882224185529</v>
      </c>
      <c r="J98" s="82" t="n">
        <f aca="false">-LN(J81)</f>
        <v>0.0150359995680084</v>
      </c>
      <c r="K98" s="82" t="n">
        <f aca="false">-LN(K81)</f>
        <v>0.0139849016362566</v>
      </c>
      <c r="L98" s="82" t="n">
        <f aca="false">-LN(L81)</f>
        <v>0.0129349286017846</v>
      </c>
      <c r="M98" s="82" t="n">
        <f aca="false">-LN(M81)</f>
        <v>0.0118860804405488</v>
      </c>
      <c r="N98" s="82" t="n">
        <f aca="false">-LN(N81)</f>
        <v>0.0108383571259749</v>
      </c>
      <c r="O98" s="82" t="n">
        <f aca="false">-LN(O81)</f>
        <v>0.00979175862896057</v>
      </c>
      <c r="P98" s="82" t="n">
        <f aca="false">-LN(P81)</f>
        <v>0.00874628491787176</v>
      </c>
      <c r="Q98" s="82"/>
    </row>
    <row r="99" customFormat="false" ht="12.75" hidden="false" customHeight="false" outlineLevel="0" collapsed="false">
      <c r="B99" s="82"/>
      <c r="C99" s="82"/>
      <c r="D99" s="82"/>
      <c r="E99" s="82" t="n">
        <f aca="false">-LN(E82)</f>
        <v>0.0181870430067966</v>
      </c>
      <c r="F99" s="82" t="n">
        <f aca="false">-LN(F82)</f>
        <v>0.0171303203165598</v>
      </c>
      <c r="G99" s="82" t="n">
        <f aca="false">-LN(G82)</f>
        <v>0.0160747226058623</v>
      </c>
      <c r="H99" s="82" t="n">
        <f aca="false">-LN(H82)</f>
        <v>0.015020249863314</v>
      </c>
      <c r="I99" s="82" t="n">
        <f aca="false">-LN(I82)</f>
        <v>0.0139669020749933</v>
      </c>
      <c r="J99" s="82" t="n">
        <f aca="false">-LN(J82)</f>
        <v>0.0129146792244487</v>
      </c>
      <c r="K99" s="82" t="n">
        <f aca="false">-LN(K82)</f>
        <v>0.011863581292697</v>
      </c>
      <c r="L99" s="82" t="n">
        <f aca="false">-LN(L82)</f>
        <v>0.0108136082582249</v>
      </c>
      <c r="M99" s="82" t="n">
        <f aca="false">-LN(M82)</f>
        <v>0.0097647600969892</v>
      </c>
      <c r="N99" s="82" t="n">
        <f aca="false">-LN(N82)</f>
        <v>0.00871703678241526</v>
      </c>
      <c r="O99" s="82" t="n">
        <f aca="false">-LN(O82)</f>
        <v>0.00767043828540096</v>
      </c>
      <c r="P99" s="82" t="n">
        <f aca="false">-LN(P82)</f>
        <v>0.00662496457431208</v>
      </c>
      <c r="Q99" s="82"/>
    </row>
    <row r="100" customFormat="false" ht="12.75" hidden="false" customHeight="false" outlineLevel="0" collapsed="false">
      <c r="B100" s="82"/>
      <c r="C100" s="82"/>
      <c r="D100" s="82" t="n">
        <f aca="false">-LN(D83)</f>
        <v>0.017123570341872</v>
      </c>
      <c r="E100" s="82" t="n">
        <f aca="false">-LN(E83)</f>
        <v>0.0160657226632369</v>
      </c>
      <c r="F100" s="82" t="n">
        <f aca="false">-LN(F83)</f>
        <v>0.0150089999730001</v>
      </c>
      <c r="G100" s="82" t="n">
        <f aca="false">-LN(G83)</f>
        <v>0.0139534022623027</v>
      </c>
      <c r="H100" s="82" t="n">
        <f aca="false">-LN(H83)</f>
        <v>0.0128989295197543</v>
      </c>
      <c r="I100" s="82" t="n">
        <f aca="false">-LN(I83)</f>
        <v>0.0118455817314337</v>
      </c>
      <c r="J100" s="82" t="n">
        <f aca="false">-LN(J83)</f>
        <v>0.0107933588808891</v>
      </c>
      <c r="K100" s="82" t="n">
        <f aca="false">-LN(K83)</f>
        <v>0.00974226094913732</v>
      </c>
      <c r="L100" s="82" t="n">
        <f aca="false">-LN(L83)</f>
        <v>0.0086922879146652</v>
      </c>
      <c r="M100" s="82" t="n">
        <f aca="false">-LN(M83)</f>
        <v>0.00764343975342951</v>
      </c>
      <c r="N100" s="82" t="n">
        <f aca="false">-LN(N83)</f>
        <v>0.0065957164388556</v>
      </c>
      <c r="O100" s="82" t="n">
        <f aca="false">-LN(O83)</f>
        <v>0.00554911794184128</v>
      </c>
      <c r="P100" s="82" t="n">
        <f aca="false">-LN(P83)</f>
        <v>0.00450364423075242</v>
      </c>
      <c r="Q100" s="82"/>
    </row>
    <row r="101" customFormat="false" ht="12.75" hidden="false" customHeight="false" outlineLevel="0" collapsed="false">
      <c r="B101" s="82"/>
      <c r="C101" s="82" t="n">
        <f aca="false">-LN(C84)</f>
        <v>0.0160612226716745</v>
      </c>
      <c r="D101" s="82" t="n">
        <f aca="false">-LN(D84)</f>
        <v>0.0150022499983124</v>
      </c>
      <c r="E101" s="82" t="n">
        <f aca="false">-LN(E84)</f>
        <v>0.0139444023196772</v>
      </c>
      <c r="F101" s="82" t="n">
        <f aca="false">-LN(F84)</f>
        <v>0.0128876796294405</v>
      </c>
      <c r="G101" s="82" t="n">
        <f aca="false">-LN(G84)</f>
        <v>0.011832081918743</v>
      </c>
      <c r="H101" s="82" t="n">
        <f aca="false">-LN(H84)</f>
        <v>0.0107776091761946</v>
      </c>
      <c r="I101" s="82" t="n">
        <f aca="false">-LN(I84)</f>
        <v>0.00972426138787402</v>
      </c>
      <c r="J101" s="82" t="n">
        <f aca="false">-LN(J84)</f>
        <v>0.00867203853732938</v>
      </c>
      <c r="K101" s="82" t="n">
        <f aca="false">-LN(K84)</f>
        <v>0.00762094060557762</v>
      </c>
      <c r="L101" s="82" t="n">
        <f aca="false">-LN(L84)</f>
        <v>0.0065709675711055</v>
      </c>
      <c r="M101" s="82" t="n">
        <f aca="false">-LN(M84)</f>
        <v>0.00552211940986979</v>
      </c>
      <c r="N101" s="82" t="n">
        <f aca="false">-LN(N84)</f>
        <v>0.00447439609529595</v>
      </c>
      <c r="O101" s="82" t="n">
        <f aca="false">-LN(O84)</f>
        <v>0.00342779759828159</v>
      </c>
      <c r="P101" s="82" t="n">
        <f aca="false">-LN(P84)</f>
        <v>0.00238232388719271</v>
      </c>
      <c r="Q101" s="82"/>
    </row>
    <row r="102" customFormat="false" ht="12.75" hidden="false" customHeight="false" outlineLevel="0" collapsed="false">
      <c r="A102" s="8" t="s">
        <v>85</v>
      </c>
      <c r="B102" s="82" t="n">
        <f aca="false">-LN(B85)</f>
        <v>0.015</v>
      </c>
      <c r="C102" s="82" t="n">
        <f aca="false">-LN(C85)</f>
        <v>0.0139399023281148</v>
      </c>
      <c r="D102" s="82" t="n">
        <f aca="false">-LN(D85)</f>
        <v>0.0128809296547528</v>
      </c>
      <c r="E102" s="82" t="n">
        <f aca="false">-LN(E85)</f>
        <v>0.0118230819761175</v>
      </c>
      <c r="F102" s="82" t="n">
        <f aca="false">-LN(F85)</f>
        <v>0.0107663592858808</v>
      </c>
      <c r="G102" s="82" t="n">
        <f aca="false">-LN(G85)</f>
        <v>0.00971076157518334</v>
      </c>
      <c r="H102" s="82" t="n">
        <f aca="false">-LN(H85)</f>
        <v>0.008656288832635</v>
      </c>
      <c r="I102" s="82" t="n">
        <f aca="false">-LN(I85)</f>
        <v>0.00760294104431436</v>
      </c>
      <c r="J102" s="82" t="n">
        <f aca="false">-LN(J85)</f>
        <v>0.00655071819376969</v>
      </c>
      <c r="K102" s="82" t="n">
        <f aca="false">-LN(K85)</f>
        <v>0.00549962026201792</v>
      </c>
      <c r="L102" s="82" t="n">
        <f aca="false">-LN(L85)</f>
        <v>0.00444964722754582</v>
      </c>
      <c r="M102" s="82" t="n">
        <f aca="false">-LN(M85)</f>
        <v>0.00340079906631014</v>
      </c>
      <c r="N102" s="82" t="n">
        <f aca="false">-LN(N85)</f>
        <v>0.00235307575173632</v>
      </c>
      <c r="O102" s="82" t="n">
        <f aca="false">-LN(O85)</f>
        <v>0.0013064772547219</v>
      </c>
      <c r="P102" s="82" t="n">
        <f aca="false">-LN(P85)</f>
        <v>0.000261003543632995</v>
      </c>
      <c r="Q102" s="82"/>
    </row>
    <row r="103" customFormat="false" ht="12.75" hidden="false" customHeight="false" outlineLevel="0" collapsed="false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</row>
    <row r="104" customFormat="false" ht="12.75" hidden="false" customHeight="false" outlineLevel="0" collapsed="false">
      <c r="B104" s="82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</row>
    <row r="105" customFormat="false" ht="12.75" hidden="false" customHeight="false" outlineLevel="0" collapsed="false">
      <c r="B105" s="82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 t="n">
        <f aca="false">(EXP(P88)-$B$67)/($B$66-$B$67)</f>
        <v>0.369329627948809</v>
      </c>
      <c r="Q105" s="83"/>
    </row>
    <row r="106" customFormat="false" ht="12.75" hidden="false" customHeight="false" outlineLevel="0" collapsed="false">
      <c r="B106" s="82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 t="n">
        <f aca="false">(EXP(O89)-$B$67)/($B$66-$B$67)</f>
        <v>0.368510231120382</v>
      </c>
      <c r="P106" s="83" t="n">
        <f aca="false">(EXP(P89)-$B$67)/($B$66-$B$67)</f>
        <v>0.367714811333037</v>
      </c>
      <c r="Q106" s="83"/>
    </row>
    <row r="107" customFormat="false" ht="12.75" hidden="false" customHeight="false" outlineLevel="0" collapsed="false">
      <c r="B107" s="82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 t="n">
        <f aca="false">(EXP(N90)-$B$67)/($B$66-$B$67)</f>
        <v>0.367692570652778</v>
      </c>
      <c r="O107" s="83" t="n">
        <f aca="false">(EXP(O90)-$B$67)/($B$66-$B$67)</f>
        <v>0.366897150865433</v>
      </c>
      <c r="P107" s="83" t="n">
        <f aca="false">(EXP(P90)-$B$67)/($B$66-$B$67)</f>
        <v>0.366103416629834</v>
      </c>
      <c r="Q107" s="83"/>
    </row>
    <row r="108" customFormat="false" ht="12.75" hidden="false" customHeight="false" outlineLevel="0" collapsed="false">
      <c r="B108" s="82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 t="n">
        <f aca="false">(EXP(M91)-$B$67)/($B$66-$B$67)</f>
        <v>0.366876642866522</v>
      </c>
      <c r="N108" s="83" t="n">
        <f aca="false">(EXP(N91)-$B$67)/($B$66-$B$67)</f>
        <v>0.366081223079176</v>
      </c>
      <c r="O108" s="83" t="n">
        <f aca="false">(EXP(O91)-$B$67)/($B$66-$B$67)</f>
        <v>0.365287488843578</v>
      </c>
      <c r="P108" s="83" t="n">
        <f aca="false">(EXP(P91)-$B$67)/($B$66-$B$67)</f>
        <v>0.36449543658792</v>
      </c>
      <c r="Q108" s="83"/>
    </row>
    <row r="109" customFormat="false" ht="12.75" hidden="false" customHeight="false" outlineLevel="0" collapsed="false">
      <c r="B109" s="82"/>
      <c r="C109" s="83"/>
      <c r="D109" s="83"/>
      <c r="E109" s="83"/>
      <c r="F109" s="83"/>
      <c r="G109" s="83"/>
      <c r="H109" s="83"/>
      <c r="I109" s="83"/>
      <c r="J109" s="83"/>
      <c r="K109" s="83"/>
      <c r="L109" s="83" t="n">
        <f aca="false">(EXP(L92)-$B$67)/($B$66-$B$67)</f>
        <v>0.366062444089938</v>
      </c>
      <c r="M109" s="83" t="n">
        <f aca="false">(EXP(M92)-$B$67)/($B$66-$B$67)</f>
        <v>0.365267024302592</v>
      </c>
      <c r="N109" s="83" t="n">
        <f aca="false">(EXP(N92)-$B$67)/($B$66-$B$67)</f>
        <v>0.364473290066993</v>
      </c>
      <c r="O109" s="83" t="n">
        <f aca="false">(EXP(O92)-$B$67)/($B$66-$B$67)</f>
        <v>0.363681237811336</v>
      </c>
      <c r="P109" s="83" t="n">
        <f aca="false">(EXP(P92)-$B$67)/($B$66-$B$67)</f>
        <v>0.362890863971384</v>
      </c>
      <c r="Q109" s="83"/>
    </row>
    <row r="110" customFormat="false" ht="12.75" hidden="false" customHeight="false" outlineLevel="0" collapsed="false">
      <c r="B110" s="82"/>
      <c r="C110" s="83"/>
      <c r="D110" s="83"/>
      <c r="E110" s="83"/>
      <c r="F110" s="83"/>
      <c r="G110" s="83"/>
      <c r="H110" s="83"/>
      <c r="I110" s="83"/>
      <c r="J110" s="83"/>
      <c r="K110" s="83" t="n">
        <f aca="false">(EXP(K93)-$B$67)/($B$66-$B$67)</f>
        <v>0.365249970659129</v>
      </c>
      <c r="L110" s="83" t="n">
        <f aca="false">(EXP(L93)-$B$67)/($B$66-$B$67)</f>
        <v>0.364454550871783</v>
      </c>
      <c r="M110" s="83" t="n">
        <f aca="false">(EXP(M93)-$B$67)/($B$66-$B$67)</f>
        <v>0.363660816636185</v>
      </c>
      <c r="N110" s="83" t="n">
        <f aca="false">(EXP(N93)-$B$67)/($B$66-$B$67)</f>
        <v>0.362868764380527</v>
      </c>
      <c r="O110" s="83" t="n">
        <f aca="false">(EXP(O93)-$B$67)/($B$66-$B$67)</f>
        <v>0.362078390540575</v>
      </c>
      <c r="P110" s="83" t="n">
        <f aca="false">(EXP(P93)-$B$67)/($B$66-$B$67)</f>
        <v>0.361289691559644</v>
      </c>
      <c r="Q110" s="83"/>
    </row>
    <row r="111" customFormat="false" ht="12.75" hidden="false" customHeight="false" outlineLevel="0" collapsed="false">
      <c r="B111" s="82"/>
      <c r="C111" s="83"/>
      <c r="D111" s="83"/>
      <c r="E111" s="83"/>
      <c r="F111" s="83"/>
      <c r="G111" s="83"/>
      <c r="H111" s="83"/>
      <c r="I111" s="83"/>
      <c r="J111" s="83" t="n">
        <f aca="false">(EXP(J94)-$B$67)/($B$66-$B$67)</f>
        <v>0.364439218917965</v>
      </c>
      <c r="K111" s="83" t="n">
        <f aca="false">(EXP(K94)-$B$67)/($B$66-$B$67)</f>
        <v>0.363643799130619</v>
      </c>
      <c r="L111" s="83" t="n">
        <f aca="false">(EXP(L94)-$B$67)/($B$66-$B$67)</f>
        <v>0.362850064895021</v>
      </c>
      <c r="M111" s="83" t="n">
        <f aca="false">(EXP(M94)-$B$67)/($B$66-$B$67)</f>
        <v>0.362058012639364</v>
      </c>
      <c r="N111" s="83" t="n">
        <f aca="false">(EXP(N94)-$B$67)/($B$66-$B$67)</f>
        <v>0.361267638799411</v>
      </c>
      <c r="O111" s="83" t="n">
        <f aca="false">(EXP(O94)-$B$67)/($B$66-$B$67)</f>
        <v>0.36047893981848</v>
      </c>
      <c r="P111" s="83" t="n">
        <f aca="false">(EXP(P94)-$B$67)/($B$66-$B$67)</f>
        <v>0.359691912147424</v>
      </c>
      <c r="Q111" s="83"/>
    </row>
    <row r="112" customFormat="false" ht="12.75" hidden="false" customHeight="false" outlineLevel="0" collapsed="false">
      <c r="B112" s="82"/>
      <c r="C112" s="83"/>
      <c r="D112" s="83"/>
      <c r="E112" s="83"/>
      <c r="F112" s="83"/>
      <c r="G112" s="83"/>
      <c r="H112" s="83"/>
      <c r="I112" s="83" t="n">
        <f aca="false">(EXP(I95)-$B$67)/($B$66-$B$67)</f>
        <v>0.36363018521806</v>
      </c>
      <c r="J112" s="83" t="n">
        <f aca="false">(EXP(J95)-$B$67)/($B$66-$B$67)</f>
        <v>0.362834765430715</v>
      </c>
      <c r="K112" s="83" t="n">
        <f aca="false">(EXP(K95)-$B$67)/($B$66-$B$67)</f>
        <v>0.362041031195116</v>
      </c>
      <c r="L112" s="83" t="n">
        <f aca="false">(EXP(L95)-$B$67)/($B$66-$B$67)</f>
        <v>0.361248978939459</v>
      </c>
      <c r="M112" s="83" t="n">
        <f aca="false">(EXP(M95)-$B$67)/($B$66-$B$67)</f>
        <v>0.360458605099507</v>
      </c>
      <c r="N112" s="83" t="n">
        <f aca="false">(EXP(N95)-$B$67)/($B$66-$B$67)</f>
        <v>0.359669906118576</v>
      </c>
      <c r="O112" s="83" t="n">
        <f aca="false">(EXP(O95)-$B$67)/($B$66-$B$67)</f>
        <v>0.35888287844752</v>
      </c>
      <c r="P112" s="83" t="n">
        <f aca="false">(EXP(P95)-$B$67)/($B$66-$B$67)</f>
        <v>0.358097518544712</v>
      </c>
      <c r="Q112" s="83"/>
    </row>
    <row r="113" customFormat="false" ht="12.75" hidden="false" customHeight="false" outlineLevel="0" collapsed="false">
      <c r="B113" s="82"/>
      <c r="C113" s="83"/>
      <c r="D113" s="83"/>
      <c r="E113" s="83"/>
      <c r="F113" s="83"/>
      <c r="G113" s="83"/>
      <c r="H113" s="83" t="n">
        <f aca="false">(EXP(H96)-$B$67)/($B$66-$B$67)</f>
        <v>0.362822865918763</v>
      </c>
      <c r="I113" s="83" t="n">
        <f aca="false">(EXP(I96)-$B$67)/($B$66-$B$67)</f>
        <v>0.362027446131417</v>
      </c>
      <c r="J113" s="83" t="n">
        <f aca="false">(EXP(J96)-$B$67)/($B$66-$B$67)</f>
        <v>0.361233711895819</v>
      </c>
      <c r="K113" s="83" t="n">
        <f aca="false">(EXP(K96)-$B$67)/($B$66-$B$67)</f>
        <v>0.360441659640161</v>
      </c>
      <c r="L113" s="83" t="n">
        <f aca="false">(EXP(L96)-$B$67)/($B$66-$B$67)</f>
        <v>0.359651285800209</v>
      </c>
      <c r="M113" s="83" t="n">
        <f aca="false">(EXP(M96)-$B$67)/($B$66-$B$67)</f>
        <v>0.358862586819278</v>
      </c>
      <c r="N113" s="83" t="n">
        <f aca="false">(EXP(N96)-$B$67)/($B$66-$B$67)</f>
        <v>0.358075559148222</v>
      </c>
      <c r="O113" s="83" t="n">
        <f aca="false">(EXP(O96)-$B$67)/($B$66-$B$67)</f>
        <v>0.357290199245415</v>
      </c>
      <c r="P113" s="83" t="n">
        <f aca="false">(EXP(P96)-$B$67)/($B$66-$B$67)</f>
        <v>0.356506503576735</v>
      </c>
      <c r="Q113" s="83"/>
    </row>
    <row r="114" customFormat="false" ht="12.75" hidden="false" customHeight="false" outlineLevel="0" collapsed="false">
      <c r="B114" s="82"/>
      <c r="C114" s="83"/>
      <c r="D114" s="83"/>
      <c r="E114" s="83"/>
      <c r="F114" s="83"/>
      <c r="G114" s="83" t="n">
        <f aca="false">(EXP(G97)-$B$67)/($B$66-$B$67)</f>
        <v>0.362017257387134</v>
      </c>
      <c r="H114" s="83" t="n">
        <f aca="false">(EXP(H97)-$B$67)/($B$66-$B$67)</f>
        <v>0.361221837599788</v>
      </c>
      <c r="I114" s="83" t="n">
        <f aca="false">(EXP(I97)-$B$67)/($B$66-$B$67)</f>
        <v>0.36042810336419</v>
      </c>
      <c r="J114" s="83" t="n">
        <f aca="false">(EXP(J97)-$B$67)/($B$66-$B$67)</f>
        <v>0.359636051108533</v>
      </c>
      <c r="K114" s="83" t="n">
        <f aca="false">(EXP(K97)-$B$67)/($B$66-$B$67)</f>
        <v>0.35884567726858</v>
      </c>
      <c r="L114" s="83" t="n">
        <f aca="false">(EXP(L97)-$B$67)/($B$66-$B$67)</f>
        <v>0.358056978287649</v>
      </c>
      <c r="M114" s="83" t="n">
        <f aca="false">(EXP(M97)-$B$67)/($B$66-$B$67)</f>
        <v>0.357269950616593</v>
      </c>
      <c r="N114" s="83" t="n">
        <f aca="false">(EXP(N97)-$B$67)/($B$66-$B$67)</f>
        <v>0.356484590713786</v>
      </c>
      <c r="O114" s="83" t="n">
        <f aca="false">(EXP(O97)-$B$67)/($B$66-$B$67)</f>
        <v>0.355700895045106</v>
      </c>
      <c r="P114" s="83" t="n">
        <f aca="false">(EXP(P97)-$B$67)/($B$66-$B$67)</f>
        <v>0.354918860083923</v>
      </c>
      <c r="Q114" s="83"/>
    </row>
    <row r="115" customFormat="false" ht="12.75" hidden="false" customHeight="false" outlineLevel="0" collapsed="false">
      <c r="B115" s="82"/>
      <c r="C115" s="83"/>
      <c r="D115" s="83"/>
      <c r="E115" s="83"/>
      <c r="F115" s="83" t="n">
        <f aca="false">(EXP(F98)-$B$67)/($B$66-$B$67)</f>
        <v>0.361213355997934</v>
      </c>
      <c r="G115" s="83" t="n">
        <f aca="false">(EXP(G98)-$B$67)/($B$66-$B$67)</f>
        <v>0.360417936210588</v>
      </c>
      <c r="H115" s="83" t="n">
        <f aca="false">(EXP(H98)-$B$67)/($B$66-$B$67)</f>
        <v>0.35962420197499</v>
      </c>
      <c r="I115" s="83" t="n">
        <f aca="false">(EXP(I98)-$B$67)/($B$66-$B$67)</f>
        <v>0.358832149719332</v>
      </c>
      <c r="J115" s="83" t="n">
        <f aca="false">(EXP(J98)-$B$67)/($B$66-$B$67)</f>
        <v>0.35804177587938</v>
      </c>
      <c r="K115" s="83" t="n">
        <f aca="false">(EXP(K98)-$B$67)/($B$66-$B$67)</f>
        <v>0.357253076898449</v>
      </c>
      <c r="L115" s="83" t="n">
        <f aca="false">(EXP(L98)-$B$67)/($B$66-$B$67)</f>
        <v>0.356466049227393</v>
      </c>
      <c r="M115" s="83" t="n">
        <f aca="false">(EXP(M98)-$B$67)/($B$66-$B$67)</f>
        <v>0.355680689324586</v>
      </c>
      <c r="N115" s="83" t="n">
        <f aca="false">(EXP(N98)-$B$67)/($B$66-$B$67)</f>
        <v>0.354896993655906</v>
      </c>
      <c r="O115" s="83" t="n">
        <f aca="false">(EXP(O98)-$B$67)/($B$66-$B$67)</f>
        <v>0.354114958694723</v>
      </c>
      <c r="P115" s="83" t="n">
        <f aca="false">(EXP(P98)-$B$67)/($B$66-$B$67)</f>
        <v>0.353334580921877</v>
      </c>
      <c r="Q115" s="83"/>
    </row>
    <row r="116" customFormat="false" ht="12.75" hidden="false" customHeight="false" outlineLevel="0" collapsed="false">
      <c r="B116" s="82"/>
      <c r="C116" s="83"/>
      <c r="D116" s="83"/>
      <c r="E116" s="83" t="n">
        <f aca="false">(EXP(E99)-$B$67)/($B$66-$B$67)</f>
        <v>0.360411158133605</v>
      </c>
      <c r="F116" s="83" t="n">
        <f aca="false">(EXP(F99)-$B$67)/($B$66-$B$67)</f>
        <v>0.35961573834626</v>
      </c>
      <c r="G116" s="83" t="n">
        <f aca="false">(EXP(G99)-$B$67)/($B$66-$B$67)</f>
        <v>0.358822004110661</v>
      </c>
      <c r="H116" s="83" t="n">
        <f aca="false">(EXP(H99)-$B$67)/($B$66-$B$67)</f>
        <v>0.358029951855004</v>
      </c>
      <c r="I116" s="83" t="n">
        <f aca="false">(EXP(I99)-$B$67)/($B$66-$B$67)</f>
        <v>0.357239578015052</v>
      </c>
      <c r="J116" s="83" t="n">
        <f aca="false">(EXP(J99)-$B$67)/($B$66-$B$67)</f>
        <v>0.356450879034121</v>
      </c>
      <c r="K116" s="83" t="n">
        <f aca="false">(EXP(K99)-$B$67)/($B$66-$B$67)</f>
        <v>0.355663851363065</v>
      </c>
      <c r="L116" s="83" t="n">
        <f aca="false">(EXP(L99)-$B$67)/($B$66-$B$67)</f>
        <v>0.354878491460257</v>
      </c>
      <c r="M116" s="83" t="n">
        <f aca="false">(EXP(M99)-$B$67)/($B$66-$B$67)</f>
        <v>0.354094795791578</v>
      </c>
      <c r="N116" s="83" t="n">
        <f aca="false">(EXP(N99)-$B$67)/($B$66-$B$67)</f>
        <v>0.353312760830394</v>
      </c>
      <c r="O116" s="83" t="n">
        <f aca="false">(EXP(O99)-$B$67)/($B$66-$B$67)</f>
        <v>0.352532383057548</v>
      </c>
      <c r="P116" s="83" t="n">
        <f aca="false">(EXP(P99)-$B$67)/($B$66-$B$67)</f>
        <v>0.351753658961338</v>
      </c>
      <c r="Q116" s="83"/>
    </row>
    <row r="117" customFormat="false" ht="12.75" hidden="false" customHeight="false" outlineLevel="0" collapsed="false">
      <c r="B117" s="82"/>
      <c r="C117" s="83"/>
      <c r="D117" s="83" t="n">
        <f aca="false">(EXP(D100)-$B$67)/($B$66-$B$67)</f>
        <v>0.359610660184256</v>
      </c>
      <c r="E117" s="83" t="n">
        <f aca="false">(EXP(E100)-$B$67)/($B$66-$B$67)</f>
        <v>0.358815240396911</v>
      </c>
      <c r="F117" s="83" t="n">
        <f aca="false">(EXP(F100)-$B$67)/($B$66-$B$67)</f>
        <v>0.358021506161312</v>
      </c>
      <c r="G117" s="83" t="n">
        <f aca="false">(EXP(G100)-$B$67)/($B$66-$B$67)</f>
        <v>0.357229453905655</v>
      </c>
      <c r="H117" s="83" t="n">
        <f aca="false">(EXP(H100)-$B$67)/($B$66-$B$67)</f>
        <v>0.356439080065703</v>
      </c>
      <c r="I117" s="83" t="n">
        <f aca="false">(EXP(I100)-$B$67)/($B$66-$B$67)</f>
        <v>0.355650381084772</v>
      </c>
      <c r="J117" s="83" t="n">
        <f aca="false">(EXP(J100)-$B$67)/($B$66-$B$67)</f>
        <v>0.354863353413716</v>
      </c>
      <c r="K117" s="83" t="n">
        <f aca="false">(EXP(K100)-$B$67)/($B$66-$B$67)</f>
        <v>0.354077993510908</v>
      </c>
      <c r="L117" s="83" t="n">
        <f aca="false">(EXP(L100)-$B$67)/($B$66-$B$67)</f>
        <v>0.353294297842229</v>
      </c>
      <c r="M117" s="83" t="n">
        <f aca="false">(EXP(M100)-$B$67)/($B$66-$B$67)</f>
        <v>0.352512262881045</v>
      </c>
      <c r="N117" s="83" t="n">
        <f aca="false">(EXP(N100)-$B$67)/($B$66-$B$67)</f>
        <v>0.351731885108199</v>
      </c>
      <c r="O117" s="83" t="n">
        <f aca="false">(EXP(O100)-$B$67)/($B$66-$B$67)</f>
        <v>0.350953161011989</v>
      </c>
      <c r="P117" s="83" t="n">
        <f aca="false">(EXP(P100)-$B$67)/($B$66-$B$67)</f>
        <v>0.350176087088156</v>
      </c>
      <c r="Q117" s="83"/>
    </row>
    <row r="118" customFormat="false" ht="12.75" hidden="false" customHeight="false" outlineLevel="0" collapsed="false">
      <c r="B118" s="82"/>
      <c r="C118" s="83" t="n">
        <f aca="false">(EXP(C101)-$B$67)/($B$66-$B$67)</f>
        <v>0.358811858547645</v>
      </c>
      <c r="D118" s="83" t="n">
        <f aca="false">(EXP(D101)-$B$67)/($B$66-$B$67)</f>
        <v>0.358016438760299</v>
      </c>
      <c r="E118" s="83" t="n">
        <f aca="false">(EXP(E101)-$B$67)/($B$66-$B$67)</f>
        <v>0.357222704524701</v>
      </c>
      <c r="F118" s="83" t="n">
        <f aca="false">(EXP(F101)-$B$67)/($B$66-$B$67)</f>
        <v>0.356430652269043</v>
      </c>
      <c r="G118" s="83" t="n">
        <f aca="false">(EXP(G101)-$B$67)/($B$66-$B$67)</f>
        <v>0.355640278429091</v>
      </c>
      <c r="H118" s="83" t="n">
        <f aca="false">(EXP(H101)-$B$67)/($B$66-$B$67)</f>
        <v>0.35485157944816</v>
      </c>
      <c r="I118" s="83" t="n">
        <f aca="false">(EXP(I101)-$B$67)/($B$66-$B$67)</f>
        <v>0.354064551777104</v>
      </c>
      <c r="J118" s="83" t="n">
        <f aca="false">(EXP(J101)-$B$67)/($B$66-$B$67)</f>
        <v>0.353279191874297</v>
      </c>
      <c r="K118" s="83" t="n">
        <f aca="false">(EXP(K101)-$B$67)/($B$66-$B$67)</f>
        <v>0.352495496205617</v>
      </c>
      <c r="L118" s="83" t="n">
        <f aca="false">(EXP(L101)-$B$67)/($B$66-$B$67)</f>
        <v>0.351713461244434</v>
      </c>
      <c r="M118" s="83" t="n">
        <f aca="false">(EXP(M101)-$B$67)/($B$66-$B$67)</f>
        <v>0.350933083471588</v>
      </c>
      <c r="N118" s="83" t="n">
        <f aca="false">(EXP(N101)-$B$67)/($B$66-$B$67)</f>
        <v>0.350154359375377</v>
      </c>
      <c r="O118" s="83" t="n">
        <f aca="false">(EXP(O101)-$B$67)/($B$66-$B$67)</f>
        <v>0.349377285451544</v>
      </c>
      <c r="P118" s="83" t="n">
        <f aca="false">(EXP(P101)-$B$67)/($B$66-$B$67)</f>
        <v>0.348601858203253</v>
      </c>
      <c r="Q118" s="83"/>
    </row>
    <row r="119" s="84" customFormat="true" ht="13.5" hidden="false" customHeight="true" outlineLevel="0" collapsed="false">
      <c r="A119" s="6" t="s">
        <v>86</v>
      </c>
      <c r="B119" s="83" t="n">
        <f aca="false">(EXP(B102)-$B$67)/($B$66-$B$67)</f>
        <v>0.358014749629162</v>
      </c>
      <c r="C119" s="83" t="n">
        <f aca="false">(EXP(C102)-$B$67)/($B$66-$B$67)</f>
        <v>0.357219329841816</v>
      </c>
      <c r="D119" s="83" t="n">
        <f aca="false">(EXP(D102)-$B$67)/($B$66-$B$67)</f>
        <v>0.356425595606218</v>
      </c>
      <c r="E119" s="83" t="n">
        <f aca="false">(EXP(E102)-$B$67)/($B$66-$B$67)</f>
        <v>0.35563354335056</v>
      </c>
      <c r="F119" s="83" t="n">
        <f aca="false">(EXP(F102)-$B$67)/($B$66-$B$67)</f>
        <v>0.354843169510608</v>
      </c>
      <c r="G119" s="83" t="n">
        <f aca="false">(EXP(G102)-$B$67)/($B$66-$B$67)</f>
        <v>0.354054470529677</v>
      </c>
      <c r="H119" s="83" t="n">
        <f aca="false">(EXP(H102)-$B$67)/($B$66-$B$67)</f>
        <v>0.353267442858621</v>
      </c>
      <c r="I119" s="83" t="n">
        <f aca="false">(EXP(I102)-$B$67)/($B$66-$B$67)</f>
        <v>0.352482082955814</v>
      </c>
      <c r="J119" s="83" t="n">
        <f aca="false">(EXP(J102)-$B$67)/($B$66-$B$67)</f>
        <v>0.351698387287134</v>
      </c>
      <c r="K119" s="83" t="n">
        <f aca="false">(EXP(K102)-$B$67)/($B$66-$B$67)</f>
        <v>0.350916352325951</v>
      </c>
      <c r="L119" s="83" t="n">
        <f aca="false">(EXP(L102)-$B$67)/($B$66-$B$67)</f>
        <v>0.350135974553105</v>
      </c>
      <c r="M119" s="83" t="n">
        <f aca="false">(EXP(M102)-$B$67)/($B$66-$B$67)</f>
        <v>0.349357250456895</v>
      </c>
      <c r="N119" s="83" t="n">
        <f aca="false">(EXP(N102)-$B$67)/($B$66-$B$67)</f>
        <v>0.348580176533061</v>
      </c>
      <c r="O119" s="83" t="n">
        <f aca="false">(EXP(O102)-$B$67)/($B$66-$B$67)</f>
        <v>0.34780474928477</v>
      </c>
      <c r="P119" s="83" t="n">
        <f aca="false">(EXP(P102)-$B$67)/($B$66-$B$67)</f>
        <v>0.347030965222597</v>
      </c>
      <c r="Q119" s="83"/>
    </row>
    <row r="120" customFormat="false" ht="12.75" hidden="false" customHeight="false" outlineLevel="0" collapsed="false"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</row>
    <row r="121" customFormat="false" ht="12.75" hidden="false" customHeight="false" outlineLevel="0" collapsed="false"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</row>
    <row r="122" customFormat="false" ht="12.75" hidden="false" customHeight="false" outlineLevel="0" collapsed="false"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 t="n">
        <f aca="false">O123*EXP(SQRT(1/$B$29)*$B$28)</f>
        <v>30757.8713868264</v>
      </c>
      <c r="Q122" s="82"/>
    </row>
    <row r="123" customFormat="false" ht="12.75" hidden="false" customHeight="false" outlineLevel="0" collapsed="false"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 t="n">
        <f aca="false">N124*EXP(SQRT(1/$B$29)*$B$28)</f>
        <v>16332.8463893555</v>
      </c>
      <c r="P123" s="82" t="n">
        <f aca="false">O123*EXP(SQRT(1/$B$29)*(-$B$28))</f>
        <v>8672.96269703947</v>
      </c>
      <c r="Q123" s="82"/>
    </row>
    <row r="124" customFormat="false" ht="12.75" hidden="false" customHeight="false" outlineLevel="0" collapsed="false"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 t="n">
        <f aca="false">M125*EXP(SQRT(1/$B$29)*$B$28)</f>
        <v>8672.96269703947</v>
      </c>
      <c r="O124" s="82" t="n">
        <f aca="false">N124*EXP(SQRT(1/$B$29)*(-$B$28))</f>
        <v>4605.46068646436</v>
      </c>
      <c r="P124" s="82" t="n">
        <f aca="false">O124*EXP(SQRT(1/$B$29)*(-$B$28))</f>
        <v>2445.56201559692</v>
      </c>
      <c r="Q124" s="82"/>
    </row>
    <row r="125" customFormat="false" ht="12.75" hidden="false" customHeight="false" outlineLevel="0" collapsed="false"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 t="n">
        <f aca="false">L126*EXP(SQRT(1/$B$29)*$B$28)</f>
        <v>4605.46068646436</v>
      </c>
      <c r="N125" s="82" t="n">
        <f aca="false">M125*EXP(SQRT(1/$B$29)*(-$B$28))</f>
        <v>2445.56201559692</v>
      </c>
      <c r="O125" s="82" t="n">
        <f aca="false">N125*EXP(SQRT(1/$B$29)*(-$B$28))</f>
        <v>1298.62656079298</v>
      </c>
      <c r="P125" s="82" t="n">
        <f aca="false">O125*EXP(SQRT(1/$B$29)*(-$B$28))</f>
        <v>689.588296531244</v>
      </c>
      <c r="Q125" s="82"/>
    </row>
    <row r="126" customFormat="false" ht="12.75" hidden="false" customHeight="false" outlineLevel="0" collapsed="false"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 t="n">
        <f aca="false">K127*EXP(SQRT(1/$B$29)*$B$28)</f>
        <v>2445.56201559692</v>
      </c>
      <c r="M126" s="82" t="n">
        <f aca="false">L126*EXP(SQRT(1/$B$29)*(-$B$28))</f>
        <v>1298.62656079298</v>
      </c>
      <c r="N126" s="82" t="n">
        <f aca="false">M126*EXP(SQRT(1/$B$29)*(-$B$28))</f>
        <v>689.588296531244</v>
      </c>
      <c r="O126" s="82" t="n">
        <f aca="false">N126*EXP(SQRT(1/$B$29)*(-$B$28))</f>
        <v>366.180727446765</v>
      </c>
      <c r="P126" s="82" t="n">
        <f aca="false">O126*EXP(SQRT(1/$B$29)*(-$B$28))</f>
        <v>194.446926996776</v>
      </c>
      <c r="Q126" s="82"/>
    </row>
    <row r="127" customFormat="false" ht="12.75" hidden="false" customHeight="false" outlineLevel="0" collapsed="false">
      <c r="B127" s="82"/>
      <c r="C127" s="82"/>
      <c r="D127" s="82"/>
      <c r="E127" s="82"/>
      <c r="F127" s="82"/>
      <c r="G127" s="82"/>
      <c r="H127" s="82"/>
      <c r="I127" s="82"/>
      <c r="J127" s="82"/>
      <c r="K127" s="82" t="n">
        <f aca="false">J128*EXP(SQRT(1/$B$29)*$B$28)</f>
        <v>1298.62656079298</v>
      </c>
      <c r="L127" s="82" t="n">
        <f aca="false">K127*EXP(SQRT(1/$B$29)*(-$B$28))</f>
        <v>689.588296531244</v>
      </c>
      <c r="M127" s="82" t="n">
        <f aca="false">L127*EXP(SQRT(1/$B$29)*(-$B$28))</f>
        <v>366.180727446765</v>
      </c>
      <c r="N127" s="82" t="n">
        <f aca="false">M127*EXP(SQRT(1/$B$29)*(-$B$28))</f>
        <v>194.446926996776</v>
      </c>
      <c r="O127" s="82" t="n">
        <f aca="false">N127*EXP(SQRT(1/$B$29)*(-$B$28))</f>
        <v>103.253952446163</v>
      </c>
      <c r="P127" s="82" t="n">
        <f aca="false">O127*EXP(SQRT(1/$B$29)*(-$B$28))</f>
        <v>54.8292475505731</v>
      </c>
      <c r="Q127" s="82"/>
    </row>
    <row r="128" customFormat="false" ht="12.75" hidden="false" customHeight="false" outlineLevel="0" collapsed="false">
      <c r="B128" s="82"/>
      <c r="C128" s="82"/>
      <c r="D128" s="82"/>
      <c r="E128" s="82"/>
      <c r="F128" s="82"/>
      <c r="G128" s="82"/>
      <c r="H128" s="82"/>
      <c r="I128" s="82"/>
      <c r="J128" s="82" t="n">
        <f aca="false">I129*EXP(SQRT(1/$B$29)*$B$28)</f>
        <v>689.588296531244</v>
      </c>
      <c r="K128" s="82" t="n">
        <f aca="false">J128*EXP(SQRT(1/$B$29)*(-$B$28))</f>
        <v>366.180727446765</v>
      </c>
      <c r="L128" s="82" t="n">
        <f aca="false">K128*EXP(SQRT(1/$B$29)*(-$B$28))</f>
        <v>194.446926996776</v>
      </c>
      <c r="M128" s="82" t="n">
        <f aca="false">L128*EXP(SQRT(1/$B$29)*(-$B$28))</f>
        <v>103.253952446163</v>
      </c>
      <c r="N128" s="82" t="n">
        <f aca="false">M128*EXP(SQRT(1/$B$29)*(-$B$28))</f>
        <v>54.8292475505731</v>
      </c>
      <c r="O128" s="82" t="n">
        <f aca="false">N128*EXP(SQRT(1/$B$29)*(-$B$28))</f>
        <v>29.115073231986</v>
      </c>
      <c r="P128" s="82" t="n">
        <f aca="false">O128*EXP(SQRT(1/$B$29)*(-$B$28))</f>
        <v>15.4604983138246</v>
      </c>
      <c r="Q128" s="82"/>
    </row>
    <row r="129" customFormat="false" ht="12.75" hidden="false" customHeight="false" outlineLevel="0" collapsed="false">
      <c r="B129" s="82"/>
      <c r="C129" s="82"/>
      <c r="D129" s="82"/>
      <c r="E129" s="82"/>
      <c r="F129" s="82"/>
      <c r="G129" s="82"/>
      <c r="H129" s="82"/>
      <c r="I129" s="82" t="n">
        <f aca="false">H130*EXP(SQRT(1/$B$29)*$B$28)</f>
        <v>366.180727446765</v>
      </c>
      <c r="J129" s="82" t="n">
        <f aca="false">I129*EXP(SQRT(1/$B$29)*(-$B$28))</f>
        <v>194.446926996776</v>
      </c>
      <c r="K129" s="82" t="n">
        <f aca="false">J129*EXP(SQRT(1/$B$29)*(-$B$28))</f>
        <v>103.253952446163</v>
      </c>
      <c r="L129" s="82" t="n">
        <f aca="false">K129*EXP(SQRT(1/$B$29)*(-$B$28))</f>
        <v>54.8292475505731</v>
      </c>
      <c r="M129" s="82" t="n">
        <f aca="false">L129*EXP(SQRT(1/$B$29)*(-$B$28))</f>
        <v>29.115073231986</v>
      </c>
      <c r="N129" s="82" t="n">
        <f aca="false">M129*EXP(SQRT(1/$B$29)*(-$B$28))</f>
        <v>15.4604983138246</v>
      </c>
      <c r="O129" s="82" t="n">
        <f aca="false">N129*EXP(SQRT(1/$B$29)*(-$B$28))</f>
        <v>8.20973405106109</v>
      </c>
      <c r="P129" s="82" t="n">
        <f aca="false">O129*EXP(SQRT(1/$B$29)*(-$B$28))</f>
        <v>4.35948</v>
      </c>
      <c r="Q129" s="82"/>
    </row>
    <row r="130" customFormat="false" ht="12.75" hidden="false" customHeight="false" outlineLevel="0" collapsed="false">
      <c r="B130" s="82"/>
      <c r="C130" s="82"/>
      <c r="D130" s="82"/>
      <c r="E130" s="82"/>
      <c r="F130" s="82"/>
      <c r="G130" s="82"/>
      <c r="H130" s="82" t="n">
        <f aca="false">G131*EXP(SQRT(1/$B$29)*$B$28)</f>
        <v>194.446926996776</v>
      </c>
      <c r="I130" s="82" t="n">
        <f aca="false">H130*EXP(SQRT(1/$B$29)*(-$B$28))</f>
        <v>103.253952446163</v>
      </c>
      <c r="J130" s="82" t="n">
        <f aca="false">I130*EXP(SQRT(1/$B$29)*(-$B$28))</f>
        <v>54.8292475505731</v>
      </c>
      <c r="K130" s="82" t="n">
        <f aca="false">J130*EXP(SQRT(1/$B$29)*(-$B$28))</f>
        <v>29.115073231986</v>
      </c>
      <c r="L130" s="82" t="n">
        <f aca="false">K130*EXP(SQRT(1/$B$29)*(-$B$28))</f>
        <v>15.4604983138246</v>
      </c>
      <c r="M130" s="82" t="n">
        <f aca="false">L130*EXP(SQRT(1/$B$29)*(-$B$28))</f>
        <v>8.20973405106109</v>
      </c>
      <c r="N130" s="82" t="n">
        <f aca="false">M130*EXP(SQRT(1/$B$29)*(-$B$28))</f>
        <v>4.35948</v>
      </c>
      <c r="O130" s="82" t="n">
        <f aca="false">N130*EXP(SQRT(1/$B$29)*(-$B$28))</f>
        <v>2.31494293873547</v>
      </c>
      <c r="P130" s="82" t="n">
        <f aca="false">O130*EXP(SQRT(1/$B$29)*(-$B$28))</f>
        <v>1.22926606145715</v>
      </c>
      <c r="Q130" s="82"/>
    </row>
    <row r="131" customFormat="false" ht="12.75" hidden="false" customHeight="false" outlineLevel="0" collapsed="false">
      <c r="B131" s="82"/>
      <c r="C131" s="82"/>
      <c r="D131" s="82"/>
      <c r="E131" s="82"/>
      <c r="F131" s="82"/>
      <c r="G131" s="82" t="n">
        <f aca="false">F132*EXP(SQRT(1/$B$29)*$B$28)</f>
        <v>103.253952446163</v>
      </c>
      <c r="H131" s="82" t="n">
        <f aca="false">G131*EXP(SQRT(1/$B$29)*(-$B$28))</f>
        <v>54.8292475505731</v>
      </c>
      <c r="I131" s="82" t="n">
        <f aca="false">H131*EXP(SQRT(1/$B$29)*(-$B$28))</f>
        <v>29.115073231986</v>
      </c>
      <c r="J131" s="82" t="n">
        <f aca="false">I131*EXP(SQRT(1/$B$29)*(-$B$28))</f>
        <v>15.4604983138246</v>
      </c>
      <c r="K131" s="82" t="n">
        <f aca="false">J131*EXP(SQRT(1/$B$29)*(-$B$28))</f>
        <v>8.20973405106109</v>
      </c>
      <c r="L131" s="82" t="n">
        <f aca="false">K131*EXP(SQRT(1/$B$29)*(-$B$28))</f>
        <v>4.35948</v>
      </c>
      <c r="M131" s="82" t="n">
        <f aca="false">L131*EXP(SQRT(1/$B$29)*(-$B$28))</f>
        <v>2.31494293873547</v>
      </c>
      <c r="N131" s="82" t="n">
        <f aca="false">M131*EXP(SQRT(1/$B$29)*(-$B$28))</f>
        <v>1.22926606145715</v>
      </c>
      <c r="O131" s="82" t="n">
        <f aca="false">N131*EXP(SQRT(1/$B$29)*(-$B$28))</f>
        <v>0.652756931743553</v>
      </c>
      <c r="P131" s="82" t="n">
        <f aca="false">O131*EXP(SQRT(1/$B$29)*(-$B$28))</f>
        <v>0.346622773782737</v>
      </c>
      <c r="Q131" s="82"/>
    </row>
    <row r="132" customFormat="false" ht="12.75" hidden="false" customHeight="false" outlineLevel="0" collapsed="false">
      <c r="B132" s="82"/>
      <c r="C132" s="82"/>
      <c r="D132" s="82"/>
      <c r="E132" s="82"/>
      <c r="F132" s="82" t="n">
        <f aca="false">E133*EXP(SQRT(1/$B$29)*$B$28)</f>
        <v>54.8292475505731</v>
      </c>
      <c r="G132" s="82" t="n">
        <f aca="false">F132*EXP(SQRT(1/$B$29)*(-$B$28))</f>
        <v>29.115073231986</v>
      </c>
      <c r="H132" s="82" t="n">
        <f aca="false">G132*EXP(SQRT(1/$B$29)*(-$B$28))</f>
        <v>15.4604983138246</v>
      </c>
      <c r="I132" s="82" t="n">
        <f aca="false">H132*EXP(SQRT(1/$B$29)*(-$B$28))</f>
        <v>8.20973405106109</v>
      </c>
      <c r="J132" s="82" t="n">
        <f aca="false">I132*EXP(SQRT(1/$B$29)*(-$B$28))</f>
        <v>4.35948</v>
      </c>
      <c r="K132" s="82" t="n">
        <f aca="false">J132*EXP(SQRT(1/$B$29)*(-$B$28))</f>
        <v>2.31494293873547</v>
      </c>
      <c r="L132" s="82" t="n">
        <f aca="false">K132*EXP(SQRT(1/$B$29)*(-$B$28))</f>
        <v>1.22926606145715</v>
      </c>
      <c r="M132" s="82" t="n">
        <f aca="false">L132*EXP(SQRT(1/$B$29)*(-$B$28))</f>
        <v>0.652756931743553</v>
      </c>
      <c r="N132" s="82" t="n">
        <f aca="false">M132*EXP(SQRT(1/$B$29)*(-$B$28))</f>
        <v>0.346622773782737</v>
      </c>
      <c r="O132" s="82" t="n">
        <f aca="false">N132*EXP(SQRT(1/$B$29)*(-$B$28))</f>
        <v>0.184061388645721</v>
      </c>
      <c r="P132" s="82" t="n">
        <f aca="false">O132*EXP(SQRT(1/$B$29)*(-$B$28))</f>
        <v>0.0977390908868161</v>
      </c>
      <c r="Q132" s="82"/>
    </row>
    <row r="133" customFormat="false" ht="12.75" hidden="false" customHeight="false" outlineLevel="0" collapsed="false">
      <c r="B133" s="82"/>
      <c r="C133" s="82"/>
      <c r="D133" s="82"/>
      <c r="E133" s="82" t="n">
        <f aca="false">D134*EXP(SQRT(1/$B$29)*$B$28)</f>
        <v>29.115073231986</v>
      </c>
      <c r="F133" s="82" t="n">
        <f aca="false">E133*EXP(SQRT(1/$B$29)*(-$B$28))</f>
        <v>15.4604983138246</v>
      </c>
      <c r="G133" s="82" t="n">
        <f aca="false">F133*EXP(SQRT(1/$B$29)*(-$B$28))</f>
        <v>8.20973405106109</v>
      </c>
      <c r="H133" s="82" t="n">
        <f aca="false">G133*EXP(SQRT(1/$B$29)*(-$B$28))</f>
        <v>4.35948</v>
      </c>
      <c r="I133" s="82" t="n">
        <f aca="false">H133*EXP(SQRT(1/$B$29)*(-$B$28))</f>
        <v>2.31494293873547</v>
      </c>
      <c r="J133" s="82" t="n">
        <f aca="false">I133*EXP(SQRT(1/$B$29)*(-$B$28))</f>
        <v>1.22926606145715</v>
      </c>
      <c r="K133" s="82" t="n">
        <f aca="false">J133*EXP(SQRT(1/$B$29)*(-$B$28))</f>
        <v>0.652756931743553</v>
      </c>
      <c r="L133" s="82" t="n">
        <f aca="false">K133*EXP(SQRT(1/$B$29)*(-$B$28))</f>
        <v>0.346622773782737</v>
      </c>
      <c r="M133" s="82" t="n">
        <f aca="false">L133*EXP(SQRT(1/$B$29)*(-$B$28))</f>
        <v>0.184061388645721</v>
      </c>
      <c r="N133" s="82" t="n">
        <f aca="false">M133*EXP(SQRT(1/$B$29)*(-$B$28))</f>
        <v>0.0977390908868161</v>
      </c>
      <c r="O133" s="82" t="n">
        <f aca="false">N133*EXP(SQRT(1/$B$29)*(-$B$28))</f>
        <v>0.0519007813516427</v>
      </c>
      <c r="P133" s="82" t="n">
        <f aca="false">O133*EXP(SQRT(1/$B$29)*(-$B$28))</f>
        <v>0.0275600180078447</v>
      </c>
      <c r="Q133" s="82"/>
    </row>
    <row r="134" customFormat="false" ht="12.75" hidden="false" customHeight="false" outlineLevel="0" collapsed="false">
      <c r="B134" s="82"/>
      <c r="C134" s="82"/>
      <c r="D134" s="82" t="n">
        <f aca="false">C135*EXP(SQRT(1/$B$29)*$B$28)</f>
        <v>15.4604983138246</v>
      </c>
      <c r="E134" s="82" t="n">
        <f aca="false">D134*EXP(SQRT(1/$B$29)*(-$B$28))</f>
        <v>8.20973405106109</v>
      </c>
      <c r="F134" s="82" t="n">
        <f aca="false">E134*EXP(SQRT(1/$B$29)*(-$B$28))</f>
        <v>4.35948</v>
      </c>
      <c r="G134" s="82" t="n">
        <f aca="false">F134*EXP(SQRT(1/$B$29)*(-$B$28))</f>
        <v>2.31494293873547</v>
      </c>
      <c r="H134" s="82" t="n">
        <f aca="false">G134*EXP(SQRT(1/$B$29)*(-$B$28))</f>
        <v>1.22926606145715</v>
      </c>
      <c r="I134" s="82" t="n">
        <f aca="false">H134*EXP(SQRT(1/$B$29)*(-$B$28))</f>
        <v>0.652756931743553</v>
      </c>
      <c r="J134" s="82" t="n">
        <f aca="false">I134*EXP(SQRT(1/$B$29)*(-$B$28))</f>
        <v>0.346622773782737</v>
      </c>
      <c r="K134" s="82" t="n">
        <f aca="false">J134*EXP(SQRT(1/$B$29)*(-$B$28))</f>
        <v>0.184061388645721</v>
      </c>
      <c r="L134" s="82" t="n">
        <f aca="false">K134*EXP(SQRT(1/$B$29)*(-$B$28))</f>
        <v>0.0977390908868161</v>
      </c>
      <c r="M134" s="82" t="n">
        <f aca="false">L134*EXP(SQRT(1/$B$29)*(-$B$28))</f>
        <v>0.0519007813516426</v>
      </c>
      <c r="N134" s="82" t="n">
        <f aca="false">M134*EXP(SQRT(1/$B$29)*(-$B$28))</f>
        <v>0.0275600180078447</v>
      </c>
      <c r="O134" s="82" t="n">
        <f aca="false">N134*EXP(SQRT(1/$B$29)*(-$B$28))</f>
        <v>0.0146347429231657</v>
      </c>
      <c r="P134" s="82" t="n">
        <f aca="false">O134*EXP(SQRT(1/$B$29)*(-$B$28))</f>
        <v>0.00777124675195006</v>
      </c>
      <c r="Q134" s="82"/>
    </row>
    <row r="135" customFormat="false" ht="12.75" hidden="false" customHeight="false" outlineLevel="0" collapsed="false">
      <c r="B135" s="82"/>
      <c r="C135" s="82" t="n">
        <f aca="false">B136*EXP(SQRT(1/$B$29)*$B$28)</f>
        <v>8.20973405106109</v>
      </c>
      <c r="D135" s="82" t="n">
        <f aca="false">C135*EXP(SQRT(1/$B$29)*(-$B$28))</f>
        <v>4.35948</v>
      </c>
      <c r="E135" s="82" t="n">
        <f aca="false">D135*EXP(SQRT(1/$B$29)*(-$B$28))</f>
        <v>2.31494293873547</v>
      </c>
      <c r="F135" s="82" t="n">
        <f aca="false">E135*EXP(SQRT(1/$B$29)*(-$B$28))</f>
        <v>1.22926606145715</v>
      </c>
      <c r="G135" s="82" t="n">
        <f aca="false">F135*EXP(SQRT(1/$B$29)*(-$B$28))</f>
        <v>0.652756931743553</v>
      </c>
      <c r="H135" s="82" t="n">
        <f aca="false">G135*EXP(SQRT(1/$B$29)*(-$B$28))</f>
        <v>0.346622773782737</v>
      </c>
      <c r="I135" s="82" t="n">
        <f aca="false">H135*EXP(SQRT(1/$B$29)*(-$B$28))</f>
        <v>0.184061388645721</v>
      </c>
      <c r="J135" s="82" t="n">
        <f aca="false">I135*EXP(SQRT(1/$B$29)*(-$B$28))</f>
        <v>0.0977390908868161</v>
      </c>
      <c r="K135" s="82" t="n">
        <f aca="false">J135*EXP(SQRT(1/$B$29)*(-$B$28))</f>
        <v>0.0519007813516426</v>
      </c>
      <c r="L135" s="82" t="n">
        <f aca="false">K135*EXP(SQRT(1/$B$29)*(-$B$28))</f>
        <v>0.0275600180078447</v>
      </c>
      <c r="M135" s="82" t="n">
        <f aca="false">L135*EXP(SQRT(1/$B$29)*(-$B$28))</f>
        <v>0.0146347429231657</v>
      </c>
      <c r="N135" s="82" t="n">
        <f aca="false">M135*EXP(SQRT(1/$B$29)*(-$B$28))</f>
        <v>0.00777124675195006</v>
      </c>
      <c r="O135" s="82" t="n">
        <f aca="false">N135*EXP(SQRT(1/$B$29)*(-$B$28))</f>
        <v>0.00412663730389811</v>
      </c>
      <c r="P135" s="82" t="n">
        <f aca="false">O135*EXP(SQRT(1/$B$29)*(-$B$28))</f>
        <v>0.00219130031273943</v>
      </c>
      <c r="Q135" s="82"/>
    </row>
    <row r="136" customFormat="false" ht="12.75" hidden="false" customHeight="false" outlineLevel="0" collapsed="false">
      <c r="A136" s="8" t="s">
        <v>87</v>
      </c>
      <c r="B136" s="82" t="n">
        <f aca="false">$B$27</f>
        <v>4.35948</v>
      </c>
      <c r="C136" s="82" t="n">
        <f aca="false">B136*EXP(SQRT(1/$B$29)*(-$B$28))</f>
        <v>2.31494293873547</v>
      </c>
      <c r="D136" s="82" t="n">
        <f aca="false">C136*EXP(SQRT(1/$B$29)*(-$B$28))</f>
        <v>1.22926606145715</v>
      </c>
      <c r="E136" s="82" t="n">
        <f aca="false">D136*EXP(SQRT(1/$B$29)*(-$B$28))</f>
        <v>0.652756931743553</v>
      </c>
      <c r="F136" s="82" t="n">
        <f aca="false">E136*EXP(SQRT(1/$B$29)*(-$B$28))</f>
        <v>0.346622773782737</v>
      </c>
      <c r="G136" s="82" t="n">
        <f aca="false">F136*EXP(SQRT(1/$B$29)*(-$B$28))</f>
        <v>0.184061388645721</v>
      </c>
      <c r="H136" s="82" t="n">
        <f aca="false">G136*EXP(SQRT(1/$B$29)*(-$B$28))</f>
        <v>0.0977390908868161</v>
      </c>
      <c r="I136" s="82" t="n">
        <f aca="false">H136*EXP(SQRT(1/$B$29)*(-$B$28))</f>
        <v>0.0519007813516426</v>
      </c>
      <c r="J136" s="82" t="n">
        <f aca="false">I136*EXP(SQRT(1/$B$29)*(-$B$28))</f>
        <v>0.0275600180078447</v>
      </c>
      <c r="K136" s="82" t="n">
        <f aca="false">J136*EXP(SQRT(1/$B$29)*(-$B$28))</f>
        <v>0.0146347429231657</v>
      </c>
      <c r="L136" s="82" t="n">
        <f aca="false">K136*EXP(SQRT(1/$B$29)*(-$B$28))</f>
        <v>0.00777124675195006</v>
      </c>
      <c r="M136" s="82" t="n">
        <f aca="false">L136*EXP(SQRT(1/$B$29)*(-$B$28))</f>
        <v>0.00412663730389811</v>
      </c>
      <c r="N136" s="82" t="n">
        <f aca="false">M136*EXP(SQRT(1/$B$29)*(-$B$28))</f>
        <v>0.00219130031273943</v>
      </c>
      <c r="O136" s="82" t="n">
        <f aca="false">N136*EXP(SQRT(1/$B$29)*(-$B$28))</f>
        <v>0.00116361015204221</v>
      </c>
      <c r="P136" s="82" t="n">
        <f aca="false">O136*EXP(SQRT(1/$B$29)*(-$B$28))</f>
        <v>0.000617892754390665</v>
      </c>
      <c r="Q136" s="82"/>
    </row>
    <row r="137" customFormat="false" ht="12.75" hidden="false" customHeight="false" outlineLevel="0" collapsed="false"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</row>
    <row r="138" customFormat="false" ht="12.75" hidden="false" customHeight="false" outlineLevel="0" collapsed="false"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</row>
    <row r="139" customFormat="false" ht="12.75" hidden="false" customHeight="false" outlineLevel="0" collapsed="false"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</row>
  </sheetData>
  <hyperlinks>
    <hyperlink ref="B7" r:id="rId2" display="leesb@hanyang.ac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7890625" defaultRowHeight="12.75" zeroHeight="false" outlineLevelRow="0" outlineLevelCol="0"/>
  <cols>
    <col collapsed="false" customWidth="true" hidden="false" outlineLevel="0" max="1" min="1" style="1" width="21.88"/>
    <col collapsed="false" customWidth="true" hidden="false" outlineLevel="0" max="26" min="2" style="1" width="9.77"/>
    <col collapsed="false" customWidth="true" hidden="false" outlineLevel="0" max="29" min="27" style="1" width="9.88"/>
    <col collapsed="false" customWidth="false" hidden="false" outlineLevel="0" max="257" min="30" style="1" width="8.88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129</v>
      </c>
    </row>
    <row r="3" s="8" customFormat="true" ht="12.75" hidden="false" customHeight="true" outlineLevel="0" collapsed="false">
      <c r="A3" s="5" t="s">
        <v>3</v>
      </c>
      <c r="B3" s="7" t="n">
        <v>1</v>
      </c>
      <c r="E3" s="9" t="s">
        <v>4</v>
      </c>
      <c r="F3" s="10"/>
      <c r="G3" s="10"/>
      <c r="H3" s="10"/>
      <c r="I3" s="10"/>
      <c r="J3" s="10"/>
      <c r="K3" s="10"/>
      <c r="L3" s="11"/>
      <c r="N3" s="6"/>
      <c r="O3" s="6"/>
      <c r="P3" s="6"/>
      <c r="Q3" s="6"/>
      <c r="R3" s="6"/>
    </row>
    <row r="4" s="8" customFormat="true" ht="12.75" hidden="false" customHeight="true" outlineLevel="0" collapsed="false">
      <c r="A4" s="5" t="s">
        <v>5</v>
      </c>
      <c r="B4" s="12" t="n">
        <v>38139</v>
      </c>
      <c r="E4" s="13" t="s">
        <v>6</v>
      </c>
      <c r="F4" s="14"/>
      <c r="G4" s="14"/>
      <c r="H4" s="14"/>
      <c r="I4" s="14"/>
      <c r="J4" s="14"/>
      <c r="K4" s="14"/>
      <c r="L4" s="15"/>
      <c r="N4" s="6"/>
      <c r="O4" s="6"/>
      <c r="P4" s="6"/>
      <c r="Q4" s="6"/>
      <c r="R4" s="6"/>
    </row>
    <row r="5" s="8" customFormat="true" ht="12.75" hidden="false" customHeight="true" outlineLevel="0" collapsed="false">
      <c r="A5" s="5" t="s">
        <v>7</v>
      </c>
      <c r="B5" s="16" t="s">
        <v>8</v>
      </c>
      <c r="C5" s="16"/>
      <c r="D5" s="16"/>
      <c r="E5" s="17" t="s">
        <v>9</v>
      </c>
      <c r="F5" s="18"/>
      <c r="G5" s="18"/>
      <c r="H5" s="18"/>
      <c r="I5" s="18"/>
      <c r="J5" s="18"/>
      <c r="K5" s="18"/>
      <c r="L5" s="19"/>
      <c r="N5" s="6"/>
      <c r="O5" s="6"/>
      <c r="P5" s="6"/>
      <c r="Q5" s="6"/>
      <c r="R5" s="6"/>
    </row>
    <row r="6" s="8" customFormat="true" ht="12.75" hidden="false" customHeight="true" outlineLevel="0" collapsed="false">
      <c r="A6" s="5" t="s">
        <v>10</v>
      </c>
      <c r="B6" s="16" t="s">
        <v>11</v>
      </c>
      <c r="C6" s="16"/>
      <c r="D6" s="16"/>
      <c r="E6" s="20" t="s">
        <v>12</v>
      </c>
      <c r="F6" s="21" t="s">
        <v>13</v>
      </c>
      <c r="G6" s="22"/>
      <c r="H6" s="23"/>
      <c r="I6" s="23"/>
      <c r="J6" s="23"/>
      <c r="K6" s="23"/>
      <c r="L6" s="24"/>
      <c r="M6" s="6"/>
      <c r="N6" s="6"/>
      <c r="O6" s="6"/>
      <c r="P6" s="6"/>
      <c r="Q6" s="6"/>
      <c r="R6" s="6"/>
    </row>
    <row r="7" s="8" customFormat="true" ht="12.75" hidden="false" customHeight="true" outlineLevel="0" collapsed="false">
      <c r="A7" s="5" t="s">
        <v>14</v>
      </c>
      <c r="B7" s="25" t="s">
        <v>15</v>
      </c>
      <c r="C7" s="25"/>
      <c r="D7" s="25"/>
      <c r="E7" s="26"/>
      <c r="F7" s="27" t="s">
        <v>16</v>
      </c>
      <c r="G7" s="28"/>
      <c r="H7" s="28"/>
      <c r="I7" s="28"/>
      <c r="J7" s="28"/>
      <c r="K7" s="28"/>
      <c r="L7" s="29"/>
      <c r="M7" s="6"/>
      <c r="N7" s="6"/>
      <c r="O7" s="6"/>
      <c r="P7" s="6"/>
      <c r="Q7" s="6"/>
      <c r="R7" s="6"/>
    </row>
    <row r="8" s="8" customFormat="true" ht="12.75" hidden="false" customHeight="true" outlineLevel="0" collapsed="false">
      <c r="A8" s="5" t="s">
        <v>17</v>
      </c>
      <c r="B8" s="30" t="n">
        <v>38139</v>
      </c>
      <c r="C8" s="31"/>
      <c r="D8" s="31"/>
      <c r="E8" s="32" t="s">
        <v>18</v>
      </c>
      <c r="F8" s="33" t="s">
        <v>19</v>
      </c>
      <c r="G8" s="34"/>
      <c r="H8" s="35"/>
      <c r="I8" s="35"/>
      <c r="J8" s="35"/>
      <c r="K8" s="35"/>
      <c r="L8" s="36"/>
      <c r="M8" s="6"/>
      <c r="N8" s="6"/>
      <c r="O8" s="6"/>
      <c r="P8" s="6"/>
      <c r="Q8" s="6"/>
      <c r="R8" s="6"/>
    </row>
    <row r="9" s="8" customFormat="true" ht="12.75" hidden="false" customHeight="true" outlineLevel="0" collapsed="false">
      <c r="A9" s="5" t="s">
        <v>20</v>
      </c>
      <c r="B9" s="37" t="s">
        <v>21</v>
      </c>
      <c r="C9" s="31"/>
      <c r="D9" s="31"/>
      <c r="E9" s="31"/>
      <c r="F9" s="31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8" customFormat="true" ht="12.75" hidden="false" customHeight="true" outlineLevel="0" collapsed="false">
      <c r="A10" s="5"/>
      <c r="B10" s="31" t="s">
        <v>22</v>
      </c>
      <c r="C10" s="31"/>
      <c r="D10" s="31"/>
      <c r="E10" s="31"/>
      <c r="F10" s="31"/>
      <c r="G10" s="3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42" customFormat="true" ht="12.75" hidden="false" customHeight="true" outlineLevel="0" collapsed="false">
      <c r="A11" s="39" t="s">
        <v>23</v>
      </c>
      <c r="B11" s="40"/>
      <c r="C11" s="40"/>
      <c r="D11" s="40"/>
      <c r="E11" s="40"/>
      <c r="F11" s="40"/>
      <c r="G11" s="41"/>
    </row>
    <row r="12" s="8" customFormat="true" ht="12.75" hidden="false" customHeight="true" outlineLevel="0" collapsed="false">
      <c r="A12" s="43"/>
      <c r="B12" s="44"/>
      <c r="C12" s="44"/>
      <c r="D12" s="44"/>
      <c r="E12" s="44"/>
      <c r="F12" s="44"/>
      <c r="G12" s="38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8" customFormat="true" ht="12.75" hidden="false" customHeight="true" outlineLevel="0" collapsed="false">
      <c r="A13" s="45" t="s">
        <v>24</v>
      </c>
      <c r="B13" s="46" t="s">
        <v>25</v>
      </c>
      <c r="C13" s="46"/>
      <c r="D13" s="46"/>
      <c r="E13" s="46"/>
      <c r="F13" s="47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8" customFormat="true" ht="12.75" hidden="false" customHeight="true" outlineLevel="0" collapsed="false">
      <c r="A14" s="48" t="s">
        <v>26</v>
      </c>
      <c r="B14" s="44" t="s">
        <v>27</v>
      </c>
      <c r="C14" s="44"/>
      <c r="D14" s="44"/>
      <c r="E14" s="44"/>
      <c r="F14" s="49"/>
      <c r="P14" s="6"/>
      <c r="Q14" s="6"/>
      <c r="R14" s="6"/>
    </row>
    <row r="15" s="8" customFormat="true" ht="12.75" hidden="false" customHeight="true" outlineLevel="0" collapsed="false">
      <c r="A15" s="48" t="s">
        <v>28</v>
      </c>
      <c r="B15" s="44" t="s">
        <v>29</v>
      </c>
      <c r="C15" s="44"/>
      <c r="D15" s="44"/>
      <c r="E15" s="44"/>
      <c r="F15" s="49"/>
      <c r="P15" s="6"/>
      <c r="Q15" s="6"/>
      <c r="R15" s="6"/>
    </row>
    <row r="16" s="8" customFormat="true" ht="12.75" hidden="false" customHeight="true" outlineLevel="0" collapsed="false">
      <c r="A16" s="50" t="s">
        <v>30</v>
      </c>
      <c r="B16" s="51" t="s">
        <v>31</v>
      </c>
      <c r="C16" s="44"/>
      <c r="D16" s="44"/>
      <c r="E16" s="44"/>
      <c r="F16" s="49"/>
      <c r="P16" s="6"/>
      <c r="Q16" s="6"/>
      <c r="R16" s="6"/>
    </row>
    <row r="17" s="8" customFormat="true" ht="12.75" hidden="false" customHeight="true" outlineLevel="0" collapsed="false">
      <c r="A17" s="50" t="s">
        <v>32</v>
      </c>
      <c r="B17" s="51" t="s">
        <v>33</v>
      </c>
      <c r="C17" s="44"/>
      <c r="D17" s="44"/>
      <c r="E17" s="44"/>
      <c r="F17" s="49"/>
      <c r="P17" s="6"/>
      <c r="Q17" s="6"/>
      <c r="R17" s="6"/>
    </row>
    <row r="18" s="8" customFormat="true" ht="12.75" hidden="false" customHeight="true" outlineLevel="0" collapsed="false">
      <c r="A18" s="48" t="s">
        <v>34</v>
      </c>
      <c r="B18" s="44" t="s">
        <v>35</v>
      </c>
      <c r="C18" s="44"/>
      <c r="D18" s="44"/>
      <c r="E18" s="44"/>
      <c r="F18" s="49"/>
      <c r="P18" s="6"/>
      <c r="Q18" s="6"/>
      <c r="R18" s="6"/>
    </row>
    <row r="19" s="8" customFormat="true" ht="12.75" hidden="false" customHeight="true" outlineLevel="0" collapsed="false">
      <c r="A19" s="52" t="s">
        <v>36</v>
      </c>
      <c r="B19" s="53" t="s">
        <v>37</v>
      </c>
      <c r="C19" s="53" t="s">
        <v>16</v>
      </c>
      <c r="D19" s="53"/>
      <c r="E19" s="53"/>
      <c r="F19" s="54"/>
      <c r="P19" s="6"/>
      <c r="Q19" s="6"/>
      <c r="R19" s="6"/>
    </row>
    <row r="20" s="8" customFormat="true" ht="12.75" hidden="false" customHeight="true" outlineLevel="0" collapsed="false">
      <c r="A20" s="55" t="s">
        <v>38</v>
      </c>
      <c r="B20" s="44" t="s">
        <v>39</v>
      </c>
      <c r="C20" s="44"/>
      <c r="D20" s="44"/>
      <c r="E20" s="44"/>
      <c r="F20" s="44"/>
      <c r="P20" s="6"/>
      <c r="Q20" s="6"/>
      <c r="R20" s="6"/>
    </row>
    <row r="21" s="8" customFormat="true" ht="12.75" hidden="false" customHeight="true" outlineLevel="0" collapsed="false">
      <c r="A21" s="5"/>
      <c r="B21" s="30"/>
      <c r="C21" s="30"/>
      <c r="D21" s="30"/>
      <c r="E21" s="30"/>
      <c r="L21" s="6"/>
      <c r="M21" s="6"/>
      <c r="N21" s="6"/>
      <c r="O21" s="6"/>
      <c r="P21" s="6"/>
      <c r="Q21" s="6"/>
      <c r="R21" s="6"/>
    </row>
    <row r="22" s="42" customFormat="true" ht="12.75" hidden="false" customHeight="true" outlineLevel="0" collapsed="false">
      <c r="A22" s="39" t="s">
        <v>40</v>
      </c>
      <c r="B22" s="56"/>
      <c r="C22" s="56"/>
      <c r="D22" s="56"/>
      <c r="E22" s="56"/>
    </row>
    <row r="23" s="8" customFormat="true" ht="12.75" hidden="false" customHeight="true" outlineLevel="0" collapsed="false">
      <c r="A23" s="5" t="s">
        <v>41</v>
      </c>
      <c r="B23" s="1" t="s">
        <v>42</v>
      </c>
      <c r="C23" s="30"/>
      <c r="D23" s="30"/>
      <c r="E23" s="30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43</v>
      </c>
      <c r="B24" s="31" t="s">
        <v>44</v>
      </c>
      <c r="C24" s="30"/>
      <c r="D24" s="30"/>
      <c r="E24" s="30"/>
      <c r="F24" s="8"/>
      <c r="G24" s="8"/>
    </row>
    <row r="25" s="3" customFormat="true" ht="12.75" hidden="false" customHeight="false" outlineLevel="0" collapsed="false">
      <c r="A25" s="2" t="s">
        <v>45</v>
      </c>
      <c r="B25" s="2"/>
      <c r="N25" s="57"/>
      <c r="O25" s="57"/>
      <c r="P25" s="57"/>
      <c r="Q25" s="57"/>
      <c r="R25" s="57"/>
      <c r="S25" s="57"/>
      <c r="T25" s="57"/>
    </row>
    <row r="26" s="58" customFormat="true" ht="12.75" hidden="false" customHeight="false" outlineLevel="0" collapsed="false"/>
    <row r="27" customFormat="false" ht="12.75" hidden="false" customHeight="false" outlineLevel="0" collapsed="false">
      <c r="A27" s="8" t="s">
        <v>46</v>
      </c>
      <c r="B27" s="59" t="n">
        <v>10</v>
      </c>
    </row>
    <row r="28" customFormat="false" ht="12.75" hidden="false" customHeight="false" outlineLevel="0" collapsed="false">
      <c r="A28" s="8" t="s">
        <v>47</v>
      </c>
      <c r="B28" s="60" t="n">
        <v>0.15</v>
      </c>
    </row>
    <row r="29" customFormat="false" ht="12.75" hidden="false" customHeight="false" outlineLevel="0" collapsed="false">
      <c r="A29" s="8" t="s">
        <v>48</v>
      </c>
      <c r="B29" s="61" t="n">
        <v>25</v>
      </c>
    </row>
    <row r="30" customFormat="false" ht="12.75" hidden="false" customHeight="false" outlineLevel="0" collapsed="false">
      <c r="A30" s="8" t="s">
        <v>49</v>
      </c>
      <c r="B30" s="61" t="n">
        <v>1000</v>
      </c>
    </row>
    <row r="31" customFormat="false" ht="12.75" hidden="false" customHeight="false" outlineLevel="0" collapsed="false">
      <c r="A31" s="8" t="s">
        <v>50</v>
      </c>
      <c r="B31" s="61" t="n">
        <v>1124</v>
      </c>
    </row>
    <row r="32" customFormat="false" ht="12.75" hidden="false" customHeight="false" outlineLevel="0" collapsed="false">
      <c r="A32" s="8" t="s">
        <v>51</v>
      </c>
      <c r="B32" s="61" t="n">
        <v>22</v>
      </c>
    </row>
    <row r="33" customFormat="false" ht="12.75" hidden="false" customHeight="false" outlineLevel="0" collapsed="false">
      <c r="A33" s="8" t="s">
        <v>52</v>
      </c>
      <c r="B33" s="61" t="n">
        <v>1</v>
      </c>
    </row>
    <row r="34" customFormat="false" ht="12.75" hidden="false" customHeight="false" outlineLevel="0" collapsed="false">
      <c r="A34" s="8" t="s">
        <v>53</v>
      </c>
      <c r="B34" s="62" t="n">
        <v>0.15</v>
      </c>
    </row>
    <row r="35" customFormat="false" ht="12.75" hidden="false" customHeight="false" outlineLevel="0" collapsed="false">
      <c r="A35" s="8" t="s">
        <v>54</v>
      </c>
      <c r="B35" s="63" t="n">
        <v>0.01</v>
      </c>
    </row>
    <row r="36" customFormat="false" ht="12.75" hidden="false" customHeight="false" outlineLevel="0" collapsed="false">
      <c r="B36" s="64"/>
    </row>
    <row r="37" s="66" customFormat="true" ht="12.75" hidden="false" customHeight="false" outlineLevel="0" collapsed="false">
      <c r="A37" s="65" t="s">
        <v>55</v>
      </c>
    </row>
    <row r="38" customFormat="false" ht="12.75" hidden="false" customHeight="false" outlineLevel="0" collapsed="false">
      <c r="B38" s="67"/>
    </row>
    <row r="39" customFormat="false" ht="12.75" hidden="false" customHeight="false" outlineLevel="0" collapsed="false">
      <c r="A39" s="8" t="s">
        <v>56</v>
      </c>
      <c r="B39" s="68" t="n">
        <f aca="false">$B$30/$B$29</f>
        <v>40</v>
      </c>
    </row>
    <row r="40" customFormat="false" ht="12.75" hidden="false" customHeight="false" outlineLevel="0" collapsed="false">
      <c r="A40" s="8" t="s">
        <v>57</v>
      </c>
      <c r="B40" s="69" t="n">
        <f aca="false">$B$39*$B$32</f>
        <v>880</v>
      </c>
    </row>
    <row r="41" customFormat="false" ht="12.75" hidden="false" customHeight="false" outlineLevel="0" collapsed="false">
      <c r="A41" s="8" t="s">
        <v>58</v>
      </c>
      <c r="B41" s="69" t="n">
        <f aca="false">$C$44</f>
        <v>920.588660981434</v>
      </c>
      <c r="C41" s="70" t="s">
        <v>59</v>
      </c>
      <c r="D41" s="71" t="n">
        <v>0.5</v>
      </c>
      <c r="E41" s="71" t="n">
        <v>1</v>
      </c>
      <c r="F41" s="71" t="n">
        <v>1.5</v>
      </c>
      <c r="G41" s="71" t="n">
        <v>2</v>
      </c>
      <c r="H41" s="71" t="n">
        <v>2.5</v>
      </c>
      <c r="I41" s="71" t="n">
        <v>3</v>
      </c>
      <c r="J41" s="71" t="n">
        <v>3.5</v>
      </c>
      <c r="K41" s="71" t="n">
        <v>4</v>
      </c>
      <c r="L41" s="71" t="n">
        <v>4.5</v>
      </c>
      <c r="M41" s="71" t="n">
        <v>5</v>
      </c>
      <c r="N41" s="71" t="n">
        <v>5.5</v>
      </c>
      <c r="O41" s="71" t="n">
        <v>6</v>
      </c>
      <c r="P41" s="71" t="n">
        <v>6.5</v>
      </c>
      <c r="Q41" s="71" t="n">
        <v>7</v>
      </c>
      <c r="R41" s="71" t="n">
        <v>7.5</v>
      </c>
      <c r="S41" s="71" t="n">
        <v>8</v>
      </c>
      <c r="T41" s="71" t="n">
        <v>8.5</v>
      </c>
      <c r="U41" s="71" t="n">
        <v>9</v>
      </c>
      <c r="V41" s="71" t="n">
        <v>9.5</v>
      </c>
      <c r="W41" s="71" t="n">
        <v>10</v>
      </c>
      <c r="AL41" s="1" t="n">
        <v>1.5</v>
      </c>
      <c r="AM41" s="1" t="n">
        <v>1.5</v>
      </c>
    </row>
    <row r="42" customFormat="false" ht="12.75" hidden="false" customHeight="false" outlineLevel="0" collapsed="false">
      <c r="C42" s="70" t="s">
        <v>60</v>
      </c>
      <c r="D42" s="71" t="n">
        <f aca="false">$B$30*$B$28/2</f>
        <v>75</v>
      </c>
      <c r="E42" s="71" t="n">
        <f aca="false">$B$30*$B$28/2</f>
        <v>75</v>
      </c>
      <c r="F42" s="71" t="n">
        <f aca="false">$B$30*$B$28/2</f>
        <v>75</v>
      </c>
      <c r="G42" s="71" t="n">
        <f aca="false">$B$30*$B$28/2</f>
        <v>75</v>
      </c>
      <c r="H42" s="71" t="n">
        <f aca="false">$B$30*$B$28/2</f>
        <v>75</v>
      </c>
      <c r="I42" s="71" t="n">
        <f aca="false">$B$30*$B$28/2</f>
        <v>75</v>
      </c>
      <c r="J42" s="71" t="n">
        <f aca="false">$B$30*$B$28/2</f>
        <v>75</v>
      </c>
      <c r="K42" s="71" t="n">
        <f aca="false">$B$30*$B$28/2</f>
        <v>75</v>
      </c>
      <c r="L42" s="71" t="n">
        <f aca="false">$B$30*$B$28/2</f>
        <v>75</v>
      </c>
      <c r="M42" s="71" t="n">
        <f aca="false">$B$30*$B$28/2</f>
        <v>75</v>
      </c>
      <c r="N42" s="71" t="n">
        <f aca="false">$B$30*$B$28/2</f>
        <v>75</v>
      </c>
      <c r="O42" s="71" t="n">
        <f aca="false">$B$30*$B$28/2</f>
        <v>75</v>
      </c>
      <c r="P42" s="71" t="n">
        <f aca="false">$B$30*$B$28/2</f>
        <v>75</v>
      </c>
      <c r="Q42" s="71" t="n">
        <f aca="false">$B$30*$B$28/2</f>
        <v>75</v>
      </c>
      <c r="R42" s="71" t="n">
        <f aca="false">$B$30*$B$28/2</f>
        <v>75</v>
      </c>
      <c r="S42" s="71" t="n">
        <f aca="false">$B$30*$B$28/2</f>
        <v>75</v>
      </c>
      <c r="T42" s="71" t="n">
        <f aca="false">$B$30*$B$28/2</f>
        <v>75</v>
      </c>
      <c r="U42" s="71" t="n">
        <f aca="false">$B$30*$B$28/2</f>
        <v>75</v>
      </c>
      <c r="V42" s="71" t="n">
        <f aca="false">$B$30*$B$28/2</f>
        <v>75</v>
      </c>
      <c r="W42" s="71" t="n">
        <f aca="false">$B$30*$B$28/2</f>
        <v>75</v>
      </c>
    </row>
    <row r="43" customFormat="false" ht="12.75" hidden="false" customHeight="false" outlineLevel="0" collapsed="false">
      <c r="C43" s="70" t="s">
        <v>61</v>
      </c>
      <c r="D43" s="71" t="n">
        <f aca="false">0</f>
        <v>0</v>
      </c>
      <c r="E43" s="71" t="n">
        <f aca="false">0</f>
        <v>0</v>
      </c>
      <c r="F43" s="71" t="n">
        <f aca="false">0</f>
        <v>0</v>
      </c>
      <c r="G43" s="71" t="n">
        <f aca="false">0</f>
        <v>0</v>
      </c>
      <c r="H43" s="71" t="n">
        <f aca="false">0</f>
        <v>0</v>
      </c>
      <c r="I43" s="71" t="n">
        <f aca="false">0</f>
        <v>0</v>
      </c>
      <c r="J43" s="71" t="n">
        <f aca="false">0</f>
        <v>0</v>
      </c>
      <c r="K43" s="71" t="n">
        <f aca="false">0</f>
        <v>0</v>
      </c>
      <c r="L43" s="71" t="n">
        <f aca="false">0</f>
        <v>0</v>
      </c>
      <c r="M43" s="71" t="n">
        <f aca="false">0</f>
        <v>0</v>
      </c>
      <c r="N43" s="71" t="n">
        <f aca="false">0</f>
        <v>0</v>
      </c>
      <c r="O43" s="71" t="n">
        <f aca="false">0</f>
        <v>0</v>
      </c>
      <c r="P43" s="71" t="n">
        <f aca="false">0</f>
        <v>0</v>
      </c>
      <c r="Q43" s="71" t="n">
        <f aca="false">0</f>
        <v>0</v>
      </c>
      <c r="R43" s="71" t="n">
        <f aca="false">0</f>
        <v>0</v>
      </c>
      <c r="S43" s="71" t="n">
        <f aca="false">0</f>
        <v>0</v>
      </c>
      <c r="T43" s="71" t="n">
        <f aca="false">0</f>
        <v>0</v>
      </c>
      <c r="U43" s="71" t="n">
        <f aca="false">0</f>
        <v>0</v>
      </c>
      <c r="V43" s="71" t="n">
        <f aca="false">0</f>
        <v>0</v>
      </c>
      <c r="W43" s="71" t="n">
        <f aca="false">1000</f>
        <v>1000</v>
      </c>
    </row>
    <row r="44" customFormat="false" ht="12.75" hidden="false" customHeight="false" outlineLevel="0" collapsed="false">
      <c r="C44" s="70" t="n">
        <f aca="false">SUM(D44:W44)</f>
        <v>920.588660981434</v>
      </c>
      <c r="D44" s="71" t="n">
        <f aca="false">(D42+D43)*EXP(-($B$34+$B$35)*D$41)</f>
        <v>69.2337259789977</v>
      </c>
      <c r="E44" s="71" t="n">
        <f aca="false">(E42+E43)*EXP(-($B$34+$B$35)*E$41)</f>
        <v>63.9107841724659</v>
      </c>
      <c r="F44" s="71" t="n">
        <f aca="false">(F42+F43)*EXP(-($B$34+$B$35)*F$41)</f>
        <v>58.9970895799915</v>
      </c>
      <c r="G44" s="71" t="n">
        <f aca="false">(G42+G43)*EXP(-($B$34+$B$35)*G$41)</f>
        <v>54.4611777805268</v>
      </c>
      <c r="H44" s="71" t="n">
        <f aca="false">(H42+H43)*EXP(-($B$34+$B$35)*H$41)</f>
        <v>50.274003452673</v>
      </c>
      <c r="I44" s="71" t="n">
        <f aca="false">(I42+I43)*EXP(-($B$34+$B$35)*I$41)</f>
        <v>46.4087543854606</v>
      </c>
      <c r="J44" s="71" t="n">
        <f aca="false">(J42+J43)*EXP(-($B$34+$B$35)*J$41)</f>
        <v>42.8406797886611</v>
      </c>
      <c r="K44" s="71" t="n">
        <f aca="false">(K42+K43)*EXP(-($B$34+$B$35)*K$41)</f>
        <v>39.5469318032286</v>
      </c>
      <c r="L44" s="71" t="n">
        <f aca="false">(L42+L43)*EXP(-($B$34+$B$35)*L$41)</f>
        <v>36.5064191969979</v>
      </c>
      <c r="M44" s="71" t="n">
        <f aca="false">(M42+M43)*EXP(-($B$34+$B$35)*M$41)</f>
        <v>33.6996723087916</v>
      </c>
      <c r="N44" s="71" t="n">
        <f aca="false">(N42+N43)*EXP(-($B$34+$B$35)*N$41)</f>
        <v>31.1087183761186</v>
      </c>
      <c r="O44" s="71" t="n">
        <f aca="false">(O42+O43)*EXP(-($B$34+$B$35)*O$41)</f>
        <v>28.7169664481334</v>
      </c>
      <c r="P44" s="71" t="n">
        <f aca="false">(P42+P43)*EXP(-($B$34+$B$35)*P$41)</f>
        <v>26.5091011469085</v>
      </c>
      <c r="Q44" s="71" t="n">
        <f aca="false">(Q42+Q43)*EXP(-($B$34+$B$35)*Q$41)</f>
        <v>24.470984596728</v>
      </c>
      <c r="R44" s="71" t="n">
        <f aca="false">(R42+R43)*EXP(-($B$34+$B$35)*R$41)</f>
        <v>22.5895658934152</v>
      </c>
      <c r="S44" s="71" t="n">
        <f aca="false">(S42+S43)*EXP(-($B$34+$B$35)*S$41)</f>
        <v>20.8527975339896</v>
      </c>
      <c r="T44" s="71" t="n">
        <f aca="false">(T42+T43)*EXP(-($B$34+$B$35)*T$41)</f>
        <v>19.2495582715167</v>
      </c>
      <c r="U44" s="71" t="n">
        <f aca="false">(U42+U43)*EXP(-($B$34+$B$35)*U$41)</f>
        <v>17.7695819011591</v>
      </c>
      <c r="V44" s="71" t="n">
        <f aca="false">(V42+V43)*EXP(-($B$34+$B$35)*V$41)</f>
        <v>16.4033915214161</v>
      </c>
      <c r="W44" s="71" t="n">
        <f aca="false">(W42+W43)*EXP(-($B$34+$B$35)*W$41)</f>
        <v>217.038756844255</v>
      </c>
    </row>
  </sheetData>
  <hyperlinks>
    <hyperlink ref="B7" r:id="rId2" display="leesb@hanyang.ac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7890625" defaultRowHeight="12.75" zeroHeight="false" outlineLevelRow="0" outlineLevelCol="0"/>
  <cols>
    <col collapsed="false" customWidth="true" hidden="false" outlineLevel="0" max="1" min="1" style="1" width="21.88"/>
    <col collapsed="false" customWidth="true" hidden="false" outlineLevel="0" max="26" min="2" style="1" width="9.77"/>
    <col collapsed="false" customWidth="true" hidden="false" outlineLevel="0" max="29" min="27" style="1" width="9.88"/>
    <col collapsed="false" customWidth="false" hidden="false" outlineLevel="0" max="257" min="30" style="1" width="8.88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129</v>
      </c>
    </row>
    <row r="3" s="8" customFormat="true" ht="12.75" hidden="false" customHeight="true" outlineLevel="0" collapsed="false">
      <c r="A3" s="5" t="s">
        <v>3</v>
      </c>
      <c r="B3" s="7" t="n">
        <v>1</v>
      </c>
      <c r="E3" s="9" t="s">
        <v>4</v>
      </c>
      <c r="F3" s="10"/>
      <c r="G3" s="10"/>
      <c r="H3" s="10"/>
      <c r="I3" s="10"/>
      <c r="J3" s="10"/>
      <c r="K3" s="10"/>
      <c r="L3" s="11"/>
      <c r="N3" s="6"/>
      <c r="O3" s="6"/>
      <c r="P3" s="6"/>
      <c r="Q3" s="6"/>
      <c r="R3" s="6"/>
    </row>
    <row r="4" s="8" customFormat="true" ht="12.75" hidden="false" customHeight="true" outlineLevel="0" collapsed="false">
      <c r="A4" s="5" t="s">
        <v>5</v>
      </c>
      <c r="B4" s="12" t="n">
        <v>38139</v>
      </c>
      <c r="E4" s="13" t="s">
        <v>6</v>
      </c>
      <c r="F4" s="14"/>
      <c r="G4" s="14"/>
      <c r="H4" s="14"/>
      <c r="I4" s="14"/>
      <c r="J4" s="14"/>
      <c r="K4" s="14"/>
      <c r="L4" s="15"/>
      <c r="N4" s="6"/>
      <c r="O4" s="6"/>
      <c r="P4" s="6"/>
      <c r="Q4" s="6"/>
      <c r="R4" s="6"/>
    </row>
    <row r="5" s="8" customFormat="true" ht="12.75" hidden="false" customHeight="true" outlineLevel="0" collapsed="false">
      <c r="A5" s="5" t="s">
        <v>7</v>
      </c>
      <c r="B5" s="16" t="s">
        <v>8</v>
      </c>
      <c r="C5" s="16"/>
      <c r="D5" s="16"/>
      <c r="E5" s="17" t="s">
        <v>9</v>
      </c>
      <c r="F5" s="18"/>
      <c r="G5" s="18"/>
      <c r="H5" s="18"/>
      <c r="I5" s="18"/>
      <c r="J5" s="18"/>
      <c r="K5" s="18"/>
      <c r="L5" s="19"/>
      <c r="N5" s="6"/>
      <c r="O5" s="6"/>
      <c r="P5" s="6"/>
      <c r="Q5" s="6"/>
      <c r="R5" s="6"/>
    </row>
    <row r="6" s="8" customFormat="true" ht="12.75" hidden="false" customHeight="true" outlineLevel="0" collapsed="false">
      <c r="A6" s="5" t="s">
        <v>10</v>
      </c>
      <c r="B6" s="16" t="s">
        <v>11</v>
      </c>
      <c r="C6" s="16"/>
      <c r="D6" s="16"/>
      <c r="E6" s="20" t="s">
        <v>12</v>
      </c>
      <c r="F6" s="21" t="s">
        <v>13</v>
      </c>
      <c r="G6" s="22"/>
      <c r="H6" s="23"/>
      <c r="I6" s="23"/>
      <c r="J6" s="23"/>
      <c r="K6" s="23"/>
      <c r="L6" s="24"/>
      <c r="M6" s="6"/>
      <c r="N6" s="6"/>
      <c r="O6" s="6"/>
      <c r="P6" s="6"/>
      <c r="Q6" s="6"/>
      <c r="R6" s="6"/>
    </row>
    <row r="7" s="8" customFormat="true" ht="12.75" hidden="false" customHeight="true" outlineLevel="0" collapsed="false">
      <c r="A7" s="5" t="s">
        <v>14</v>
      </c>
      <c r="B7" s="25" t="s">
        <v>15</v>
      </c>
      <c r="C7" s="25"/>
      <c r="D7" s="25"/>
      <c r="E7" s="26"/>
      <c r="F7" s="27" t="s">
        <v>16</v>
      </c>
      <c r="G7" s="28"/>
      <c r="H7" s="28"/>
      <c r="I7" s="28"/>
      <c r="J7" s="28"/>
      <c r="K7" s="28"/>
      <c r="L7" s="29"/>
      <c r="M7" s="6"/>
      <c r="N7" s="6"/>
      <c r="O7" s="6"/>
      <c r="P7" s="6"/>
      <c r="Q7" s="6"/>
      <c r="R7" s="6"/>
    </row>
    <row r="8" s="8" customFormat="true" ht="12.75" hidden="false" customHeight="true" outlineLevel="0" collapsed="false">
      <c r="A8" s="5" t="s">
        <v>17</v>
      </c>
      <c r="B8" s="30" t="n">
        <v>38139</v>
      </c>
      <c r="C8" s="31"/>
      <c r="D8" s="31"/>
      <c r="E8" s="32" t="s">
        <v>18</v>
      </c>
      <c r="F8" s="33" t="s">
        <v>19</v>
      </c>
      <c r="G8" s="34"/>
      <c r="H8" s="35"/>
      <c r="I8" s="35"/>
      <c r="J8" s="35"/>
      <c r="K8" s="35"/>
      <c r="L8" s="36"/>
      <c r="M8" s="6"/>
      <c r="N8" s="6"/>
      <c r="O8" s="6"/>
      <c r="P8" s="6"/>
      <c r="Q8" s="6"/>
      <c r="R8" s="6"/>
    </row>
    <row r="9" s="8" customFormat="true" ht="12.75" hidden="false" customHeight="true" outlineLevel="0" collapsed="false">
      <c r="A9" s="5" t="s">
        <v>20</v>
      </c>
      <c r="B9" s="37" t="s">
        <v>21</v>
      </c>
      <c r="C9" s="31"/>
      <c r="D9" s="31"/>
      <c r="E9" s="31"/>
      <c r="F9" s="31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8" customFormat="true" ht="12.75" hidden="false" customHeight="true" outlineLevel="0" collapsed="false">
      <c r="A10" s="5"/>
      <c r="B10" s="31" t="s">
        <v>22</v>
      </c>
      <c r="C10" s="31"/>
      <c r="D10" s="31"/>
      <c r="E10" s="31"/>
      <c r="F10" s="31"/>
      <c r="G10" s="3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42" customFormat="true" ht="12.75" hidden="false" customHeight="true" outlineLevel="0" collapsed="false">
      <c r="A11" s="39" t="s">
        <v>23</v>
      </c>
      <c r="B11" s="40"/>
      <c r="C11" s="40"/>
      <c r="D11" s="40"/>
      <c r="E11" s="40"/>
      <c r="F11" s="40"/>
      <c r="G11" s="41"/>
    </row>
    <row r="12" s="8" customFormat="true" ht="12.75" hidden="false" customHeight="true" outlineLevel="0" collapsed="false">
      <c r="A12" s="43"/>
      <c r="B12" s="44"/>
      <c r="C12" s="44"/>
      <c r="D12" s="44"/>
      <c r="E12" s="44"/>
      <c r="F12" s="44"/>
      <c r="G12" s="38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8" customFormat="true" ht="12.75" hidden="false" customHeight="true" outlineLevel="0" collapsed="false">
      <c r="A13" s="45" t="s">
        <v>24</v>
      </c>
      <c r="B13" s="46" t="s">
        <v>25</v>
      </c>
      <c r="C13" s="46"/>
      <c r="D13" s="46"/>
      <c r="E13" s="46"/>
      <c r="F13" s="47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8" customFormat="true" ht="12.75" hidden="false" customHeight="true" outlineLevel="0" collapsed="false">
      <c r="A14" s="48" t="s">
        <v>26</v>
      </c>
      <c r="B14" s="44" t="s">
        <v>27</v>
      </c>
      <c r="C14" s="44"/>
      <c r="D14" s="44"/>
      <c r="E14" s="44"/>
      <c r="F14" s="49"/>
      <c r="P14" s="6"/>
      <c r="Q14" s="6"/>
      <c r="R14" s="6"/>
    </row>
    <row r="15" s="8" customFormat="true" ht="12.75" hidden="false" customHeight="true" outlineLevel="0" collapsed="false">
      <c r="A15" s="48" t="s">
        <v>28</v>
      </c>
      <c r="B15" s="44" t="s">
        <v>29</v>
      </c>
      <c r="C15" s="44"/>
      <c r="D15" s="44"/>
      <c r="E15" s="44"/>
      <c r="F15" s="49"/>
      <c r="P15" s="6"/>
      <c r="Q15" s="6"/>
      <c r="R15" s="6"/>
    </row>
    <row r="16" s="8" customFormat="true" ht="12.75" hidden="false" customHeight="true" outlineLevel="0" collapsed="false">
      <c r="A16" s="50" t="s">
        <v>30</v>
      </c>
      <c r="B16" s="51" t="s">
        <v>31</v>
      </c>
      <c r="C16" s="44"/>
      <c r="D16" s="44"/>
      <c r="E16" s="44"/>
      <c r="F16" s="49"/>
      <c r="P16" s="6"/>
      <c r="Q16" s="6"/>
      <c r="R16" s="6"/>
    </row>
    <row r="17" s="8" customFormat="true" ht="12.75" hidden="false" customHeight="true" outlineLevel="0" collapsed="false">
      <c r="A17" s="50" t="s">
        <v>32</v>
      </c>
      <c r="B17" s="51" t="s">
        <v>33</v>
      </c>
      <c r="C17" s="44"/>
      <c r="D17" s="44"/>
      <c r="E17" s="44"/>
      <c r="F17" s="49"/>
      <c r="P17" s="6"/>
      <c r="Q17" s="6"/>
      <c r="R17" s="6"/>
    </row>
    <row r="18" s="8" customFormat="true" ht="12.75" hidden="false" customHeight="true" outlineLevel="0" collapsed="false">
      <c r="A18" s="48" t="s">
        <v>34</v>
      </c>
      <c r="B18" s="44" t="s">
        <v>35</v>
      </c>
      <c r="C18" s="44"/>
      <c r="D18" s="44"/>
      <c r="E18" s="44"/>
      <c r="F18" s="49"/>
      <c r="P18" s="6"/>
      <c r="Q18" s="6"/>
      <c r="R18" s="6"/>
    </row>
    <row r="19" s="8" customFormat="true" ht="12.75" hidden="false" customHeight="true" outlineLevel="0" collapsed="false">
      <c r="A19" s="52" t="s">
        <v>36</v>
      </c>
      <c r="B19" s="53" t="s">
        <v>37</v>
      </c>
      <c r="C19" s="53" t="s">
        <v>16</v>
      </c>
      <c r="D19" s="53"/>
      <c r="E19" s="53"/>
      <c r="F19" s="54"/>
      <c r="P19" s="6"/>
      <c r="Q19" s="6"/>
      <c r="R19" s="6"/>
    </row>
    <row r="20" s="8" customFormat="true" ht="12.75" hidden="false" customHeight="true" outlineLevel="0" collapsed="false">
      <c r="A20" s="55" t="s">
        <v>38</v>
      </c>
      <c r="B20" s="44" t="s">
        <v>39</v>
      </c>
      <c r="C20" s="44"/>
      <c r="D20" s="44"/>
      <c r="E20" s="44"/>
      <c r="F20" s="44"/>
      <c r="P20" s="6"/>
      <c r="Q20" s="6"/>
      <c r="R20" s="6"/>
    </row>
    <row r="21" s="8" customFormat="true" ht="12.75" hidden="false" customHeight="true" outlineLevel="0" collapsed="false">
      <c r="A21" s="5"/>
      <c r="B21" s="30"/>
      <c r="C21" s="30"/>
      <c r="D21" s="30"/>
      <c r="E21" s="30"/>
      <c r="L21" s="6"/>
      <c r="M21" s="6"/>
      <c r="N21" s="6"/>
      <c r="O21" s="6"/>
      <c r="P21" s="6"/>
      <c r="Q21" s="6"/>
      <c r="R21" s="6"/>
    </row>
    <row r="22" s="42" customFormat="true" ht="12.75" hidden="false" customHeight="true" outlineLevel="0" collapsed="false">
      <c r="A22" s="39" t="s">
        <v>40</v>
      </c>
      <c r="B22" s="56"/>
      <c r="C22" s="56"/>
      <c r="D22" s="56"/>
      <c r="E22" s="56"/>
    </row>
    <row r="23" s="8" customFormat="true" ht="12.75" hidden="false" customHeight="true" outlineLevel="0" collapsed="false">
      <c r="A23" s="5" t="s">
        <v>41</v>
      </c>
      <c r="B23" s="1" t="s">
        <v>42</v>
      </c>
      <c r="C23" s="30"/>
      <c r="D23" s="30"/>
      <c r="E23" s="30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43</v>
      </c>
      <c r="B24" s="31" t="s">
        <v>44</v>
      </c>
      <c r="C24" s="30"/>
      <c r="D24" s="30"/>
      <c r="E24" s="30"/>
      <c r="F24" s="8"/>
      <c r="G24" s="8"/>
    </row>
    <row r="25" s="3" customFormat="true" ht="12.75" hidden="false" customHeight="false" outlineLevel="0" collapsed="false">
      <c r="A25" s="2" t="s">
        <v>45</v>
      </c>
      <c r="B25" s="2"/>
      <c r="N25" s="57"/>
      <c r="O25" s="57"/>
      <c r="P25" s="57"/>
      <c r="Q25" s="57"/>
      <c r="R25" s="57"/>
      <c r="S25" s="57"/>
      <c r="T25" s="57"/>
    </row>
    <row r="26" s="58" customFormat="true" ht="12.75" hidden="false" customHeight="false" outlineLevel="0" collapsed="false"/>
    <row r="27" customFormat="false" ht="12.75" hidden="false" customHeight="false" outlineLevel="0" collapsed="false">
      <c r="A27" s="8" t="s">
        <v>46</v>
      </c>
      <c r="B27" s="59" t="n">
        <v>10</v>
      </c>
    </row>
    <row r="28" customFormat="false" ht="12.75" hidden="false" customHeight="false" outlineLevel="0" collapsed="false">
      <c r="A28" s="8" t="s">
        <v>47</v>
      </c>
      <c r="B28" s="60" t="n">
        <v>0.15</v>
      </c>
    </row>
    <row r="29" customFormat="false" ht="12.75" hidden="false" customHeight="false" outlineLevel="0" collapsed="false">
      <c r="A29" s="8" t="s">
        <v>48</v>
      </c>
      <c r="B29" s="61" t="n">
        <v>25</v>
      </c>
    </row>
    <row r="30" customFormat="false" ht="12.75" hidden="false" customHeight="false" outlineLevel="0" collapsed="false">
      <c r="A30" s="8" t="s">
        <v>49</v>
      </c>
      <c r="B30" s="61" t="n">
        <v>1000</v>
      </c>
    </row>
    <row r="31" customFormat="false" ht="12.75" hidden="false" customHeight="false" outlineLevel="0" collapsed="false">
      <c r="A31" s="8" t="s">
        <v>50</v>
      </c>
      <c r="B31" s="61" t="n">
        <v>1124</v>
      </c>
    </row>
    <row r="32" customFormat="false" ht="12.75" hidden="false" customHeight="false" outlineLevel="0" collapsed="false">
      <c r="A32" s="8" t="s">
        <v>51</v>
      </c>
      <c r="B32" s="61" t="n">
        <v>22</v>
      </c>
    </row>
    <row r="33" customFormat="false" ht="12.75" hidden="false" customHeight="false" outlineLevel="0" collapsed="false">
      <c r="A33" s="8" t="s">
        <v>52</v>
      </c>
      <c r="B33" s="61" t="n">
        <v>1</v>
      </c>
    </row>
    <row r="34" customFormat="false" ht="12.75" hidden="false" customHeight="false" outlineLevel="0" collapsed="false">
      <c r="A34" s="8" t="s">
        <v>53</v>
      </c>
      <c r="B34" s="62" t="n">
        <v>0.16</v>
      </c>
    </row>
    <row r="35" customFormat="false" ht="12.75" hidden="false" customHeight="false" outlineLevel="0" collapsed="false">
      <c r="A35" s="8" t="s">
        <v>54</v>
      </c>
      <c r="B35" s="63" t="n">
        <v>0.01</v>
      </c>
    </row>
    <row r="36" customFormat="false" ht="12.75" hidden="false" customHeight="false" outlineLevel="0" collapsed="false">
      <c r="B36" s="64"/>
    </row>
    <row r="37" s="66" customFormat="true" ht="12.75" hidden="false" customHeight="false" outlineLevel="0" collapsed="false">
      <c r="A37" s="65" t="s">
        <v>55</v>
      </c>
    </row>
    <row r="38" customFormat="false" ht="12.75" hidden="false" customHeight="false" outlineLevel="0" collapsed="false">
      <c r="B38" s="67"/>
    </row>
    <row r="39" customFormat="false" ht="12.75" hidden="false" customHeight="false" outlineLevel="0" collapsed="false">
      <c r="A39" s="8" t="s">
        <v>56</v>
      </c>
      <c r="B39" s="68" t="n">
        <f aca="false">$B$30/$B$29</f>
        <v>40</v>
      </c>
    </row>
    <row r="40" customFormat="false" ht="12.75" hidden="false" customHeight="false" outlineLevel="0" collapsed="false">
      <c r="A40" s="8" t="s">
        <v>57</v>
      </c>
      <c r="B40" s="69" t="n">
        <f aca="false">$B$39*$B$32</f>
        <v>880</v>
      </c>
    </row>
    <row r="41" customFormat="false" ht="12.75" hidden="false" customHeight="false" outlineLevel="0" collapsed="false">
      <c r="A41" s="8" t="s">
        <v>58</v>
      </c>
      <c r="B41" s="69" t="n">
        <f aca="false">$C$44</f>
        <v>873.629899730768</v>
      </c>
      <c r="C41" s="70" t="s">
        <v>59</v>
      </c>
      <c r="D41" s="71" t="n">
        <v>0.5</v>
      </c>
      <c r="E41" s="71" t="n">
        <v>1</v>
      </c>
      <c r="F41" s="71" t="n">
        <v>1.5</v>
      </c>
      <c r="G41" s="71" t="n">
        <v>2</v>
      </c>
      <c r="H41" s="71" t="n">
        <v>2.5</v>
      </c>
      <c r="I41" s="71" t="n">
        <v>3</v>
      </c>
      <c r="J41" s="71" t="n">
        <v>3.5</v>
      </c>
      <c r="K41" s="71" t="n">
        <v>4</v>
      </c>
      <c r="L41" s="71" t="n">
        <v>4.5</v>
      </c>
      <c r="M41" s="71" t="n">
        <v>5</v>
      </c>
      <c r="N41" s="71" t="n">
        <v>5.5</v>
      </c>
      <c r="O41" s="71" t="n">
        <v>6</v>
      </c>
      <c r="P41" s="71" t="n">
        <v>6.5</v>
      </c>
      <c r="Q41" s="71" t="n">
        <v>7</v>
      </c>
      <c r="R41" s="71" t="n">
        <v>7.5</v>
      </c>
      <c r="S41" s="71" t="n">
        <v>8</v>
      </c>
      <c r="T41" s="71" t="n">
        <v>8.5</v>
      </c>
      <c r="U41" s="71" t="n">
        <v>9</v>
      </c>
      <c r="V41" s="71" t="n">
        <v>9.5</v>
      </c>
      <c r="W41" s="71" t="n">
        <v>10</v>
      </c>
      <c r="AL41" s="1" t="n">
        <v>1.5</v>
      </c>
      <c r="AM41" s="1" t="n">
        <v>1.5</v>
      </c>
    </row>
    <row r="42" customFormat="false" ht="12.75" hidden="false" customHeight="false" outlineLevel="0" collapsed="false">
      <c r="C42" s="70" t="s">
        <v>60</v>
      </c>
      <c r="D42" s="71" t="n">
        <f aca="false">$B$30*$B$28/2</f>
        <v>75</v>
      </c>
      <c r="E42" s="71" t="n">
        <f aca="false">$B$30*$B$28/2</f>
        <v>75</v>
      </c>
      <c r="F42" s="71" t="n">
        <f aca="false">$B$30*$B$28/2</f>
        <v>75</v>
      </c>
      <c r="G42" s="71" t="n">
        <f aca="false">$B$30*$B$28/2</f>
        <v>75</v>
      </c>
      <c r="H42" s="71" t="n">
        <f aca="false">$B$30*$B$28/2</f>
        <v>75</v>
      </c>
      <c r="I42" s="71" t="n">
        <f aca="false">$B$30*$B$28/2</f>
        <v>75</v>
      </c>
      <c r="J42" s="71" t="n">
        <f aca="false">$B$30*$B$28/2</f>
        <v>75</v>
      </c>
      <c r="K42" s="71" t="n">
        <f aca="false">$B$30*$B$28/2</f>
        <v>75</v>
      </c>
      <c r="L42" s="71" t="n">
        <f aca="false">$B$30*$B$28/2</f>
        <v>75</v>
      </c>
      <c r="M42" s="71" t="n">
        <f aca="false">$B$30*$B$28/2</f>
        <v>75</v>
      </c>
      <c r="N42" s="71" t="n">
        <f aca="false">$B$30*$B$28/2</f>
        <v>75</v>
      </c>
      <c r="O42" s="71" t="n">
        <f aca="false">$B$30*$B$28/2</f>
        <v>75</v>
      </c>
      <c r="P42" s="71" t="n">
        <f aca="false">$B$30*$B$28/2</f>
        <v>75</v>
      </c>
      <c r="Q42" s="71" t="n">
        <f aca="false">$B$30*$B$28/2</f>
        <v>75</v>
      </c>
      <c r="R42" s="71" t="n">
        <f aca="false">$B$30*$B$28/2</f>
        <v>75</v>
      </c>
      <c r="S42" s="71" t="n">
        <f aca="false">$B$30*$B$28/2</f>
        <v>75</v>
      </c>
      <c r="T42" s="71" t="n">
        <f aca="false">$B$30*$B$28/2</f>
        <v>75</v>
      </c>
      <c r="U42" s="71" t="n">
        <f aca="false">$B$30*$B$28/2</f>
        <v>75</v>
      </c>
      <c r="V42" s="71" t="n">
        <f aca="false">$B$30*$B$28/2</f>
        <v>75</v>
      </c>
      <c r="W42" s="71" t="n">
        <f aca="false">$B$30*$B$28/2</f>
        <v>75</v>
      </c>
    </row>
    <row r="43" customFormat="false" ht="12.75" hidden="false" customHeight="false" outlineLevel="0" collapsed="false">
      <c r="C43" s="70" t="s">
        <v>61</v>
      </c>
      <c r="D43" s="71" t="n">
        <f aca="false">0</f>
        <v>0</v>
      </c>
      <c r="E43" s="71" t="n">
        <f aca="false">0</f>
        <v>0</v>
      </c>
      <c r="F43" s="71" t="n">
        <f aca="false">0</f>
        <v>0</v>
      </c>
      <c r="G43" s="71" t="n">
        <f aca="false">0</f>
        <v>0</v>
      </c>
      <c r="H43" s="71" t="n">
        <f aca="false">0</f>
        <v>0</v>
      </c>
      <c r="I43" s="71" t="n">
        <f aca="false">0</f>
        <v>0</v>
      </c>
      <c r="J43" s="71" t="n">
        <f aca="false">0</f>
        <v>0</v>
      </c>
      <c r="K43" s="71" t="n">
        <f aca="false">0</f>
        <v>0</v>
      </c>
      <c r="L43" s="71" t="n">
        <f aca="false">0</f>
        <v>0</v>
      </c>
      <c r="M43" s="71" t="n">
        <f aca="false">0</f>
        <v>0</v>
      </c>
      <c r="N43" s="71" t="n">
        <f aca="false">0</f>
        <v>0</v>
      </c>
      <c r="O43" s="71" t="n">
        <f aca="false">0</f>
        <v>0</v>
      </c>
      <c r="P43" s="71" t="n">
        <f aca="false">0</f>
        <v>0</v>
      </c>
      <c r="Q43" s="71" t="n">
        <f aca="false">0</f>
        <v>0</v>
      </c>
      <c r="R43" s="71" t="n">
        <f aca="false">0</f>
        <v>0</v>
      </c>
      <c r="S43" s="71" t="n">
        <f aca="false">0</f>
        <v>0</v>
      </c>
      <c r="T43" s="71" t="n">
        <f aca="false">0</f>
        <v>0</v>
      </c>
      <c r="U43" s="71" t="n">
        <f aca="false">0</f>
        <v>0</v>
      </c>
      <c r="V43" s="71" t="n">
        <f aca="false">0</f>
        <v>0</v>
      </c>
      <c r="W43" s="71" t="n">
        <f aca="false">1000</f>
        <v>1000</v>
      </c>
    </row>
    <row r="44" customFormat="false" ht="12.75" hidden="false" customHeight="false" outlineLevel="0" collapsed="false">
      <c r="C44" s="70" t="n">
        <f aca="false">SUM(D44:W44)</f>
        <v>873.629899730768</v>
      </c>
      <c r="D44" s="71" t="n">
        <f aca="false">(D42+D43)*EXP(-($B$34+$B$35)*D$41)</f>
        <v>68.8884213301093</v>
      </c>
      <c r="E44" s="71" t="n">
        <f aca="false">(E42+E43)*EXP(-($B$34+$B$35)*E$41)</f>
        <v>63.2748612447288</v>
      </c>
      <c r="F44" s="71" t="n">
        <f aca="false">(F42+F43)*EXP(-($B$34+$B$35)*F$41)</f>
        <v>58.1187373470811</v>
      </c>
      <c r="G44" s="71" t="n">
        <f aca="false">(G42+G43)*EXP(-($B$34+$B$35)*G$41)</f>
        <v>53.3827742071957</v>
      </c>
      <c r="H44" s="71" t="n">
        <f aca="false">(H42+H43)*EXP(-($B$34+$B$35)*H$41)</f>
        <v>49.0327338847386</v>
      </c>
      <c r="I44" s="71" t="n">
        <f aca="false">(I42+I43)*EXP(-($B$34+$B$35)*I$41)</f>
        <v>45.0371684109199</v>
      </c>
      <c r="J44" s="71" t="n">
        <f aca="false">(J42+J43)*EXP(-($B$34+$B$35)*J$41)</f>
        <v>41.3671924400872</v>
      </c>
      <c r="K44" s="71" t="n">
        <f aca="false">(K42+K43)*EXP(-($B$34+$B$35)*K$41)</f>
        <v>37.9962744274192</v>
      </c>
      <c r="L44" s="71" t="n">
        <f aca="false">(L42+L43)*EXP(-($B$34+$B$35)*L$41)</f>
        <v>34.9000448230735</v>
      </c>
      <c r="M44" s="71" t="n">
        <f aca="false">(M42+M43)*EXP(-($B$34+$B$35)*M$41)</f>
        <v>32.0561198961545</v>
      </c>
      <c r="N44" s="71" t="n">
        <f aca="false">(N42+N43)*EXP(-($B$34+$B$35)*N$41)</f>
        <v>29.4439399148639</v>
      </c>
      <c r="O44" s="71" t="n">
        <f aca="false">(O42+O43)*EXP(-($B$34+$B$35)*O$41)</f>
        <v>27.0446205129809</v>
      </c>
      <c r="P44" s="71" t="n">
        <f aca="false">(P42+P43)*EXP(-($B$34+$B$35)*P$41)</f>
        <v>24.8408161681486</v>
      </c>
      <c r="Q44" s="71" t="n">
        <f aca="false">(Q42+Q43)*EXP(-($B$34+$B$35)*Q$41)</f>
        <v>22.8165948050028</v>
      </c>
      <c r="R44" s="71" t="n">
        <f aca="false">(R42+R43)*EXP(-($B$34+$B$35)*R$41)</f>
        <v>20.9573226166055</v>
      </c>
      <c r="S44" s="71" t="n">
        <f aca="false">(S42+S43)*EXP(-($B$34+$B$35)*S$41)</f>
        <v>19.2495582715167</v>
      </c>
      <c r="T44" s="71" t="n">
        <f aca="false">(T42+T43)*EXP(-($B$34+$B$35)*T$41)</f>
        <v>17.6809557416898</v>
      </c>
      <c r="U44" s="71" t="n">
        <f aca="false">(U42+U43)*EXP(-($B$34+$B$35)*U$41)</f>
        <v>16.2401750487005</v>
      </c>
      <c r="V44" s="71" t="n">
        <f aca="false">(V42+V43)*EXP(-($B$34+$B$35)*V$41)</f>
        <v>14.9168002830615</v>
      </c>
      <c r="W44" s="71" t="n">
        <f aca="false">(W42+W43)*EXP(-($B$34+$B$35)*W$41)</f>
        <v>196.38478835669</v>
      </c>
    </row>
  </sheetData>
  <hyperlinks>
    <hyperlink ref="B7" r:id="rId2" display="leesb@hanyang.ac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7890625" defaultRowHeight="12.75" zeroHeight="false" outlineLevelRow="0" outlineLevelCol="0"/>
  <cols>
    <col collapsed="false" customWidth="true" hidden="false" outlineLevel="0" max="1" min="1" style="8" width="21.22"/>
    <col collapsed="false" customWidth="false" hidden="false" outlineLevel="0" max="2" min="2" style="1" width="8.88"/>
    <col collapsed="false" customWidth="true" hidden="false" outlineLevel="0" max="3" min="3" style="1" width="18.88"/>
    <col collapsed="false" customWidth="true" hidden="false" outlineLevel="0" max="16" min="4" style="1" width="9.88"/>
    <col collapsed="false" customWidth="true" hidden="false" outlineLevel="0" max="17" min="17" style="1" width="13.1"/>
    <col collapsed="false" customWidth="true" hidden="false" outlineLevel="0" max="18" min="18" style="1" width="13.99"/>
    <col collapsed="false" customWidth="true" hidden="false" outlineLevel="0" max="29" min="19" style="1" width="9.88"/>
    <col collapsed="false" customWidth="false" hidden="false" outlineLevel="0" max="257" min="30" style="1" width="8.88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129</v>
      </c>
    </row>
    <row r="3" s="8" customFormat="true" ht="12.75" hidden="false" customHeight="true" outlineLevel="0" collapsed="false">
      <c r="A3" s="5" t="s">
        <v>3</v>
      </c>
      <c r="B3" s="7" t="n">
        <v>1</v>
      </c>
      <c r="E3" s="9" t="s">
        <v>4</v>
      </c>
      <c r="F3" s="10"/>
      <c r="G3" s="10"/>
      <c r="H3" s="10"/>
      <c r="I3" s="10"/>
      <c r="J3" s="10"/>
      <c r="K3" s="10"/>
      <c r="L3" s="11"/>
      <c r="N3" s="6"/>
      <c r="O3" s="6"/>
      <c r="P3" s="6"/>
      <c r="Q3" s="6"/>
      <c r="R3" s="6"/>
    </row>
    <row r="4" s="8" customFormat="true" ht="12.75" hidden="false" customHeight="true" outlineLevel="0" collapsed="false">
      <c r="A4" s="5" t="s">
        <v>5</v>
      </c>
      <c r="B4" s="12" t="n">
        <v>38139</v>
      </c>
      <c r="E4" s="13" t="s">
        <v>6</v>
      </c>
      <c r="F4" s="14"/>
      <c r="G4" s="14"/>
      <c r="H4" s="14"/>
      <c r="I4" s="14"/>
      <c r="J4" s="14"/>
      <c r="K4" s="14"/>
      <c r="L4" s="15"/>
      <c r="N4" s="6"/>
      <c r="O4" s="6"/>
      <c r="P4" s="6"/>
      <c r="Q4" s="6"/>
      <c r="R4" s="6"/>
    </row>
    <row r="5" s="8" customFormat="true" ht="12.75" hidden="false" customHeight="true" outlineLevel="0" collapsed="false">
      <c r="A5" s="5" t="s">
        <v>7</v>
      </c>
      <c r="B5" s="16" t="s">
        <v>8</v>
      </c>
      <c r="C5" s="16"/>
      <c r="D5" s="16"/>
      <c r="E5" s="17" t="s">
        <v>9</v>
      </c>
      <c r="F5" s="18"/>
      <c r="G5" s="18"/>
      <c r="H5" s="18"/>
      <c r="I5" s="18"/>
      <c r="J5" s="18"/>
      <c r="K5" s="18"/>
      <c r="L5" s="19"/>
      <c r="N5" s="6"/>
      <c r="O5" s="6"/>
      <c r="P5" s="6"/>
      <c r="Q5" s="6"/>
      <c r="R5" s="6"/>
    </row>
    <row r="6" s="8" customFormat="true" ht="12.75" hidden="false" customHeight="true" outlineLevel="0" collapsed="false">
      <c r="A6" s="5" t="s">
        <v>10</v>
      </c>
      <c r="B6" s="16" t="s">
        <v>11</v>
      </c>
      <c r="C6" s="16"/>
      <c r="D6" s="16"/>
      <c r="E6" s="20" t="s">
        <v>12</v>
      </c>
      <c r="F6" s="21" t="s">
        <v>13</v>
      </c>
      <c r="G6" s="22"/>
      <c r="H6" s="23"/>
      <c r="I6" s="23"/>
      <c r="J6" s="23"/>
      <c r="K6" s="23"/>
      <c r="L6" s="24"/>
      <c r="M6" s="6"/>
      <c r="N6" s="6"/>
      <c r="O6" s="6"/>
      <c r="P6" s="6"/>
      <c r="Q6" s="6"/>
      <c r="R6" s="6"/>
    </row>
    <row r="7" s="8" customFormat="true" ht="12.75" hidden="false" customHeight="true" outlineLevel="0" collapsed="false">
      <c r="A7" s="5" t="s">
        <v>14</v>
      </c>
      <c r="B7" s="25" t="s">
        <v>15</v>
      </c>
      <c r="C7" s="25"/>
      <c r="D7" s="25"/>
      <c r="E7" s="26"/>
      <c r="F7" s="27" t="s">
        <v>16</v>
      </c>
      <c r="G7" s="28"/>
      <c r="H7" s="28"/>
      <c r="I7" s="28"/>
      <c r="J7" s="28"/>
      <c r="K7" s="28"/>
      <c r="L7" s="29"/>
      <c r="M7" s="6"/>
      <c r="N7" s="6"/>
      <c r="O7" s="6"/>
      <c r="P7" s="6"/>
      <c r="Q7" s="6"/>
      <c r="R7" s="6"/>
    </row>
    <row r="8" s="8" customFormat="true" ht="12.75" hidden="false" customHeight="true" outlineLevel="0" collapsed="false">
      <c r="A8" s="5" t="s">
        <v>17</v>
      </c>
      <c r="B8" s="30" t="n">
        <v>38139</v>
      </c>
      <c r="C8" s="31"/>
      <c r="D8" s="31"/>
      <c r="E8" s="32" t="s">
        <v>18</v>
      </c>
      <c r="F8" s="33" t="s">
        <v>19</v>
      </c>
      <c r="G8" s="34"/>
      <c r="H8" s="35"/>
      <c r="I8" s="35"/>
      <c r="J8" s="35"/>
      <c r="K8" s="35"/>
      <c r="L8" s="36"/>
      <c r="M8" s="6"/>
      <c r="N8" s="6"/>
      <c r="O8" s="6"/>
      <c r="P8" s="6"/>
      <c r="Q8" s="6"/>
      <c r="R8" s="6"/>
    </row>
    <row r="9" s="8" customFormat="true" ht="12.75" hidden="false" customHeight="true" outlineLevel="0" collapsed="false">
      <c r="A9" s="5" t="s">
        <v>20</v>
      </c>
      <c r="B9" s="37" t="s">
        <v>21</v>
      </c>
      <c r="C9" s="31"/>
      <c r="D9" s="31"/>
      <c r="E9" s="31"/>
      <c r="F9" s="31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8" customFormat="true" ht="12.75" hidden="false" customHeight="true" outlineLevel="0" collapsed="false">
      <c r="A10" s="5"/>
      <c r="B10" s="31" t="s">
        <v>22</v>
      </c>
      <c r="C10" s="31"/>
      <c r="D10" s="31"/>
      <c r="E10" s="31"/>
      <c r="F10" s="31"/>
      <c r="G10" s="3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42" customFormat="true" ht="12.75" hidden="false" customHeight="true" outlineLevel="0" collapsed="false">
      <c r="A11" s="39" t="s">
        <v>23</v>
      </c>
      <c r="B11" s="40"/>
      <c r="C11" s="40"/>
      <c r="D11" s="40"/>
      <c r="E11" s="40"/>
      <c r="F11" s="40"/>
      <c r="G11" s="41"/>
    </row>
    <row r="12" s="8" customFormat="true" ht="12.75" hidden="false" customHeight="true" outlineLevel="0" collapsed="false">
      <c r="A12" s="72"/>
      <c r="B12" s="44"/>
      <c r="C12" s="44"/>
      <c r="D12" s="44"/>
      <c r="E12" s="44"/>
      <c r="F12" s="44"/>
      <c r="G12" s="38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8" customFormat="true" ht="12.75" hidden="false" customHeight="true" outlineLevel="0" collapsed="false">
      <c r="A13" s="45" t="s">
        <v>24</v>
      </c>
      <c r="B13" s="46" t="s">
        <v>25</v>
      </c>
      <c r="C13" s="46"/>
      <c r="D13" s="46"/>
      <c r="E13" s="46"/>
      <c r="F13" s="47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8" customFormat="true" ht="12.75" hidden="false" customHeight="true" outlineLevel="0" collapsed="false">
      <c r="A14" s="48" t="s">
        <v>26</v>
      </c>
      <c r="B14" s="44" t="s">
        <v>27</v>
      </c>
      <c r="C14" s="44"/>
      <c r="D14" s="44"/>
      <c r="E14" s="44"/>
      <c r="F14" s="49"/>
      <c r="P14" s="6"/>
      <c r="Q14" s="6"/>
      <c r="R14" s="6"/>
    </row>
    <row r="15" s="8" customFormat="true" ht="12.75" hidden="false" customHeight="true" outlineLevel="0" collapsed="false">
      <c r="A15" s="48" t="s">
        <v>28</v>
      </c>
      <c r="B15" s="44" t="s">
        <v>29</v>
      </c>
      <c r="C15" s="44"/>
      <c r="D15" s="44"/>
      <c r="E15" s="44"/>
      <c r="F15" s="49"/>
      <c r="P15" s="6"/>
      <c r="Q15" s="6"/>
      <c r="R15" s="6"/>
    </row>
    <row r="16" s="8" customFormat="true" ht="12.75" hidden="false" customHeight="true" outlineLevel="0" collapsed="false">
      <c r="A16" s="50" t="s">
        <v>30</v>
      </c>
      <c r="B16" s="51" t="s">
        <v>31</v>
      </c>
      <c r="C16" s="44"/>
      <c r="D16" s="44"/>
      <c r="E16" s="44"/>
      <c r="F16" s="49"/>
      <c r="P16" s="6"/>
      <c r="Q16" s="6"/>
      <c r="R16" s="6"/>
    </row>
    <row r="17" s="8" customFormat="true" ht="12.75" hidden="false" customHeight="true" outlineLevel="0" collapsed="false">
      <c r="A17" s="50" t="s">
        <v>32</v>
      </c>
      <c r="B17" s="51" t="s">
        <v>33</v>
      </c>
      <c r="C17" s="44"/>
      <c r="D17" s="44"/>
      <c r="E17" s="44"/>
      <c r="F17" s="49"/>
      <c r="P17" s="6"/>
      <c r="Q17" s="6"/>
      <c r="R17" s="6"/>
    </row>
    <row r="18" s="8" customFormat="true" ht="12.75" hidden="false" customHeight="true" outlineLevel="0" collapsed="false">
      <c r="A18" s="48" t="s">
        <v>34</v>
      </c>
      <c r="B18" s="44" t="s">
        <v>35</v>
      </c>
      <c r="C18" s="44"/>
      <c r="D18" s="44"/>
      <c r="E18" s="44"/>
      <c r="F18" s="49"/>
      <c r="P18" s="6"/>
      <c r="Q18" s="6"/>
      <c r="R18" s="6"/>
    </row>
    <row r="19" s="8" customFormat="true" ht="12.75" hidden="false" customHeight="true" outlineLevel="0" collapsed="false">
      <c r="A19" s="52" t="s">
        <v>36</v>
      </c>
      <c r="B19" s="53" t="s">
        <v>37</v>
      </c>
      <c r="C19" s="53" t="s">
        <v>16</v>
      </c>
      <c r="D19" s="53"/>
      <c r="E19" s="53"/>
      <c r="F19" s="54"/>
      <c r="P19" s="6"/>
      <c r="Q19" s="6"/>
      <c r="R19" s="6"/>
    </row>
    <row r="20" s="8" customFormat="true" ht="12.75" hidden="false" customHeight="true" outlineLevel="0" collapsed="false">
      <c r="A20" s="55" t="s">
        <v>38</v>
      </c>
      <c r="B20" s="44" t="s">
        <v>39</v>
      </c>
      <c r="C20" s="44"/>
      <c r="D20" s="44"/>
      <c r="E20" s="44"/>
      <c r="F20" s="44"/>
      <c r="P20" s="6"/>
      <c r="Q20" s="6"/>
      <c r="R20" s="6"/>
    </row>
    <row r="21" s="8" customFormat="true" ht="12.75" hidden="false" customHeight="true" outlineLevel="0" collapsed="false">
      <c r="A21" s="5"/>
      <c r="B21" s="30"/>
      <c r="C21" s="30"/>
      <c r="D21" s="30"/>
      <c r="E21" s="30"/>
      <c r="L21" s="6"/>
      <c r="M21" s="6"/>
      <c r="N21" s="6"/>
      <c r="O21" s="6"/>
      <c r="P21" s="6"/>
      <c r="Q21" s="6"/>
      <c r="R21" s="6"/>
    </row>
    <row r="22" s="42" customFormat="true" ht="12.75" hidden="false" customHeight="true" outlineLevel="0" collapsed="false">
      <c r="A22" s="39" t="s">
        <v>40</v>
      </c>
      <c r="B22" s="56"/>
      <c r="C22" s="56"/>
      <c r="D22" s="56"/>
      <c r="E22" s="56"/>
    </row>
    <row r="23" s="8" customFormat="true" ht="12.75" hidden="false" customHeight="true" outlineLevel="0" collapsed="false">
      <c r="A23" s="5" t="s">
        <v>41</v>
      </c>
      <c r="B23" s="1" t="s">
        <v>42</v>
      </c>
      <c r="C23" s="30"/>
      <c r="D23" s="30"/>
      <c r="E23" s="30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43</v>
      </c>
      <c r="B24" s="31" t="s">
        <v>44</v>
      </c>
      <c r="C24" s="30"/>
      <c r="D24" s="30"/>
      <c r="E24" s="30"/>
      <c r="F24" s="8"/>
      <c r="G24" s="8"/>
    </row>
    <row r="25" s="3" customFormat="true" ht="12.75" hidden="false" customHeight="false" outlineLevel="0" collapsed="false">
      <c r="A25" s="2" t="s">
        <v>45</v>
      </c>
      <c r="B25" s="2"/>
      <c r="N25" s="57"/>
      <c r="O25" s="57"/>
      <c r="P25" s="57"/>
      <c r="Q25" s="57"/>
      <c r="R25" s="57"/>
      <c r="S25" s="57"/>
      <c r="T25" s="57"/>
    </row>
    <row r="26" s="58" customFormat="true" ht="12.75" hidden="false" customHeight="false" outlineLevel="0" collapsed="false">
      <c r="A26" s="73"/>
    </row>
    <row r="27" customFormat="false" ht="12.75" hidden="false" customHeight="false" outlineLevel="0" collapsed="false">
      <c r="A27" s="8" t="s">
        <v>62</v>
      </c>
      <c r="B27" s="8"/>
      <c r="C27" s="74" t="n">
        <v>4.35948</v>
      </c>
    </row>
    <row r="28" customFormat="false" ht="12.75" hidden="false" customHeight="false" outlineLevel="0" collapsed="false">
      <c r="A28" s="8" t="s">
        <v>63</v>
      </c>
      <c r="B28" s="8"/>
      <c r="C28" s="74" t="n">
        <f aca="false">0.258408*SQRT(12)</f>
        <v>0.895151570164517</v>
      </c>
    </row>
    <row r="29" customFormat="false" ht="12.75" hidden="false" customHeight="false" outlineLevel="0" collapsed="false">
      <c r="A29" s="8" t="s">
        <v>64</v>
      </c>
      <c r="B29" s="8"/>
      <c r="C29" s="75" t="n">
        <v>2</v>
      </c>
    </row>
    <row r="30" customFormat="false" ht="12.75" hidden="false" customHeight="false" outlineLevel="0" collapsed="false">
      <c r="A30" s="8" t="s">
        <v>65</v>
      </c>
      <c r="B30" s="8"/>
      <c r="C30" s="76" t="n">
        <v>0.03</v>
      </c>
    </row>
    <row r="31" customFormat="false" ht="12.75" hidden="false" customHeight="false" outlineLevel="0" collapsed="false">
      <c r="A31" s="8" t="s">
        <v>66</v>
      </c>
      <c r="B31" s="8"/>
      <c r="C31" s="77" t="n">
        <v>0.05</v>
      </c>
    </row>
    <row r="32" customFormat="false" ht="12.75" hidden="false" customHeight="false" outlineLevel="0" collapsed="false">
      <c r="A32" s="8" t="s">
        <v>67</v>
      </c>
      <c r="B32" s="8"/>
      <c r="C32" s="77" t="s">
        <v>68</v>
      </c>
    </row>
    <row r="33" customFormat="false" ht="12.75" hidden="false" customHeight="false" outlineLevel="0" collapsed="false">
      <c r="A33" s="8" t="s">
        <v>69</v>
      </c>
      <c r="B33" s="8"/>
      <c r="C33" s="75" t="n">
        <f aca="false">370.308*10^6</f>
        <v>370308000</v>
      </c>
    </row>
    <row r="34" customFormat="false" ht="12.75" hidden="false" customHeight="false" outlineLevel="0" collapsed="false">
      <c r="A34" s="8" t="s">
        <v>70</v>
      </c>
      <c r="B34" s="8"/>
      <c r="C34" s="78" t="n">
        <v>78.0277</v>
      </c>
    </row>
    <row r="35" customFormat="false" ht="12.75" hidden="false" customHeight="false" outlineLevel="0" collapsed="false">
      <c r="A35" s="8" t="s">
        <v>71</v>
      </c>
      <c r="B35" s="8"/>
      <c r="C35" s="78" t="n">
        <f aca="false">1.24981</f>
        <v>1.24981</v>
      </c>
    </row>
    <row r="36" customFormat="false" ht="12.75" hidden="false" customHeight="false" outlineLevel="0" collapsed="false">
      <c r="A36" s="8" t="s">
        <v>72</v>
      </c>
      <c r="B36" s="8"/>
      <c r="C36" s="79" t="n">
        <v>0.0475</v>
      </c>
    </row>
    <row r="37" customFormat="false" ht="12.75" hidden="false" customHeight="false" outlineLevel="0" collapsed="false">
      <c r="A37" s="8" t="s">
        <v>73</v>
      </c>
      <c r="B37" s="8"/>
      <c r="C37" s="79" t="n">
        <f aca="false">$C$36/$C$29</f>
        <v>0.02375</v>
      </c>
    </row>
    <row r="38" customFormat="false" ht="12.75" hidden="false" customHeight="false" outlineLevel="0" collapsed="false">
      <c r="C38" s="64"/>
    </row>
    <row r="39" customFormat="false" ht="12.75" hidden="false" customHeight="false" outlineLevel="0" collapsed="false">
      <c r="C39" s="64"/>
    </row>
    <row r="40" s="80" customFormat="true" ht="12.75" hidden="false" customHeight="false" outlineLevel="0" collapsed="false">
      <c r="A40" s="65" t="s">
        <v>55</v>
      </c>
    </row>
    <row r="41" customFormat="false" ht="12.75" hidden="false" customHeight="false" outlineLevel="0" collapsed="false">
      <c r="C41" s="67"/>
    </row>
    <row r="42" customFormat="false" ht="12.75" hidden="false" customHeight="false" outlineLevel="0" collapsed="false"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 t="n">
        <f aca="false">MIN($R122,$C$35+$C$37)</f>
        <v>1.27356</v>
      </c>
      <c r="S42" s="82"/>
    </row>
    <row r="43" customFormat="false" ht="12.75" hidden="false" customHeight="false" outlineLevel="0" collapsed="false"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 t="n">
        <f aca="false">MIN(Q123,(R42*Q106+R43*(1-Q106))*EXP(-(Q89))+$C$37*$C$35)</f>
        <v>1.26698410183862</v>
      </c>
      <c r="R43" s="81" t="n">
        <f aca="false">MIN($R123,$C$35+$C$37)</f>
        <v>1.27356</v>
      </c>
      <c r="S43" s="82"/>
    </row>
    <row r="44" customFormat="false" ht="12.75" hidden="false" customHeight="false" outlineLevel="0" collapsed="false"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 t="n">
        <f aca="false">MIN(P124,(Q43*P107+Q44*(1-P107))*EXP(-(P90))+$C$37*$C$35)</f>
        <v>1.26353484395737</v>
      </c>
      <c r="Q44" s="81" t="n">
        <f aca="false">MIN(Q124,(R43*Q107+R44*(1-Q107))*EXP(-(Q90))+$C$37*$C$35)</f>
        <v>1.26961159976066</v>
      </c>
      <c r="R44" s="81" t="n">
        <f aca="false">MIN($R124,$C$35+$C$37)</f>
        <v>1.27356</v>
      </c>
      <c r="S44" s="82"/>
    </row>
    <row r="45" customFormat="false" ht="12.75" hidden="false" customHeight="false" outlineLevel="0" collapsed="false"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 t="n">
        <f aca="false">MIN(O125,(P44*O108+P45*(1-O108))*EXP(-(O91))+$C$37*$C$35)</f>
        <v>1.26308276270429</v>
      </c>
      <c r="P45" s="81" t="n">
        <f aca="false">MIN(P125,(Q44*P108+Q45*(1-P108))*EXP(-(P91))+$C$37*$C$35)</f>
        <v>1.26872345424914</v>
      </c>
      <c r="Q45" s="81" t="n">
        <f aca="false">MIN(Q125,(R44*Q108+R45*(1-Q108))*EXP(-(Q91))+$C$37*$C$35)</f>
        <v>1.27224467736355</v>
      </c>
      <c r="R45" s="81" t="n">
        <f aca="false">MIN($R125,$C$35+$C$37)</f>
        <v>1.27356</v>
      </c>
      <c r="S45" s="82"/>
    </row>
    <row r="46" customFormat="false" ht="12.75" hidden="false" customHeight="false" outlineLevel="0" collapsed="false"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 t="n">
        <f aca="false">MIN(N126,(O45*N109+O46*(1-N109))*EXP(-(N92))+$C$37*$C$35)</f>
        <v>1.26552358064086</v>
      </c>
      <c r="O46" s="81" t="n">
        <f aca="false">MIN(O126,(P45*O109+P46*(1-O109))*EXP(-(O92))+$C$37*$C$35)</f>
        <v>1.27078616775809</v>
      </c>
      <c r="P46" s="81" t="n">
        <f aca="false">MIN(P126,(Q45*P109+Q46*(1-P109))*EXP(-(P92))+$C$37*$C$35)</f>
        <v>1.27393400303258</v>
      </c>
      <c r="Q46" s="81" t="n">
        <f aca="false">MIN(Q126,(R45*Q109+R46*(1-Q109))*EXP(-(Q92))+$C$37*$C$35)</f>
        <v>1.27488334649614</v>
      </c>
      <c r="R46" s="81" t="n">
        <f aca="false">MIN($R126,$C$35+$C$37)</f>
        <v>1.27356</v>
      </c>
      <c r="S46" s="82"/>
    </row>
    <row r="47" customFormat="false" ht="12.75" hidden="false" customHeight="false" outlineLevel="0" collapsed="false">
      <c r="D47" s="81"/>
      <c r="E47" s="81"/>
      <c r="F47" s="81"/>
      <c r="G47" s="81"/>
      <c r="H47" s="81"/>
      <c r="I47" s="81"/>
      <c r="J47" s="81"/>
      <c r="K47" s="81"/>
      <c r="L47" s="81"/>
      <c r="M47" s="81" t="n">
        <f aca="false">MIN(M127,(N46*M110+N47*(1-M110))*EXP(-(M93))+$C$37*$C$35)</f>
        <v>1.27077652554277</v>
      </c>
      <c r="N47" s="81" t="n">
        <f aca="false">MIN(N127,(O46*N110+O47*(1-N110))*EXP(-(N93))+$C$37*$C$35)</f>
        <v>1.27571448869273</v>
      </c>
      <c r="O47" s="81" t="n">
        <f aca="false">MIN(O127,(P46*O110+P47*(1-O110))*EXP(-(O93))+$C$37*$C$35)</f>
        <v>1.27853828821567</v>
      </c>
      <c r="P47" s="81" t="n">
        <f aca="false">MIN(P127,(Q46*P110+Q47*(1-P110))*EXP(-(P93))+$C$37*$C$35)</f>
        <v>1.27916658332416</v>
      </c>
      <c r="Q47" s="81" t="n">
        <f aca="false">MIN(Q127,(R46*Q110+R47*(1-Q110))*EXP(-(Q93))+$C$37*$C$35)</f>
        <v>1.27752761903245</v>
      </c>
      <c r="R47" s="81" t="n">
        <f aca="false">MIN($R127,$C$35+$C$37)</f>
        <v>1.27356</v>
      </c>
      <c r="S47" s="82"/>
    </row>
    <row r="48" customFormat="false" ht="12.75" hidden="false" customHeight="false" outlineLevel="0" collapsed="false">
      <c r="D48" s="81"/>
      <c r="E48" s="81"/>
      <c r="F48" s="81"/>
      <c r="G48" s="81"/>
      <c r="H48" s="81"/>
      <c r="I48" s="81"/>
      <c r="J48" s="81"/>
      <c r="K48" s="81"/>
      <c r="L48" s="81" t="n">
        <f aca="false">MIN(L128,(M47*L111+M48*(1-L111))*EXP(-(L94))+$C$37*$C$35)</f>
        <v>1.27878297059308</v>
      </c>
      <c r="M48" s="81" t="n">
        <f aca="false">MIN(M128,(N47*M111+N48*(1-M111))*EXP(-(M94))+$C$37*$C$35)</f>
        <v>1.28344588343918</v>
      </c>
      <c r="N48" s="81" t="n">
        <f aca="false">MIN(N128,(O47*N111+O48*(1-N111))*EXP(-(N94))+$C$37*$C$35)</f>
        <v>1.28599110930597</v>
      </c>
      <c r="O48" s="81" t="n">
        <f aca="false">MIN(O128,(P47*O111+P48*(1-O111))*EXP(-(O94))+$C$37*$C$35)</f>
        <v>1.28633943366679</v>
      </c>
      <c r="P48" s="81" t="n">
        <f aca="false">MIN(P128,(Q47*P111+Q48*(1-P111))*EXP(-(P94))+$C$37*$C$35)</f>
        <v>1.28442128853527</v>
      </c>
      <c r="Q48" s="81" t="n">
        <f aca="false">MIN(Q128,(R47*Q111+R48*(1-Q111))*EXP(-(Q94))+$C$37*$C$35)</f>
        <v>1.2801775068717</v>
      </c>
      <c r="R48" s="81" t="n">
        <f aca="false">MIN($R128,$C$35+$C$37)</f>
        <v>1.27356</v>
      </c>
      <c r="S48" s="82"/>
    </row>
    <row r="49" customFormat="false" ht="12.75" hidden="false" customHeight="false" outlineLevel="0" collapsed="false">
      <c r="D49" s="81"/>
      <c r="E49" s="81"/>
      <c r="F49" s="81"/>
      <c r="G49" s="81"/>
      <c r="H49" s="81"/>
      <c r="I49" s="81"/>
      <c r="J49" s="81"/>
      <c r="K49" s="81" t="n">
        <f aca="false">MIN(K129,(L48*K112+L49*(1-K112))*EXP(-(K95))+$C$37*$C$35)</f>
        <v>1.28950536951351</v>
      </c>
      <c r="L49" s="81" t="n">
        <f aca="false">MIN(L129,(M48*L112+M49*(1-L112))*EXP(-(L95))+$C$37*$C$35)</f>
        <v>1.29393941403347</v>
      </c>
      <c r="M49" s="81" t="n">
        <f aca="false">MIN(M129,(N48*M112+N49*(1-M112))*EXP(-(M95))+$C$37*$C$35)</f>
        <v>1.29624812820273</v>
      </c>
      <c r="N49" s="81" t="n">
        <f aca="false">MIN(N129,(O48*N112+O49*(1-N112))*EXP(-(N95))+$C$37*$C$35)</f>
        <v>1.29635416842975</v>
      </c>
      <c r="O49" s="81" t="n">
        <f aca="false">MIN(O129,(P48*O112+P49*(1-O112))*EXP(-(O95))+$C$37*$C$35)</f>
        <v>1.29418991567282</v>
      </c>
      <c r="P49" s="81" t="n">
        <f aca="false">MIN(P129,(Q48*P112+Q49*(1-P112))*EXP(-(P95))+$C$37*$C$35)</f>
        <v>1.2896982124739</v>
      </c>
      <c r="Q49" s="81" t="n">
        <f aca="false">MIN(Q129,(R48*Q112+R49*(1-Q112))*EXP(-(Q95))+$C$37*$C$35)</f>
        <v>1.28283302193841</v>
      </c>
      <c r="R49" s="81" t="n">
        <f aca="false">MIN($R129,$C$35+$C$37)</f>
        <v>1.27356</v>
      </c>
      <c r="S49" s="82"/>
    </row>
    <row r="50" customFormat="false" ht="12.75" hidden="false" customHeight="false" outlineLevel="0" collapsed="false">
      <c r="D50" s="81"/>
      <c r="E50" s="81"/>
      <c r="F50" s="81"/>
      <c r="G50" s="81"/>
      <c r="H50" s="81"/>
      <c r="I50" s="81"/>
      <c r="J50" s="81" t="n">
        <f aca="false">MIN(J130,(K49*J113+K50*(1-J113))*EXP(-(J96))+$C$37*$C$35)</f>
        <v>1.30184508073476</v>
      </c>
      <c r="K50" s="81" t="n">
        <f aca="false">MIN(K130,(L49*K113+L50*(1-K113))*EXP(-(K96))+$C$37*$C$35)</f>
        <v>1.30544106483671</v>
      </c>
      <c r="L50" s="81" t="n">
        <f aca="false">MIN(L130,(M49*L113+M50*(1-L113))*EXP(-(L96))+$C$37*$C$35)</f>
        <v>1.30651265955188</v>
      </c>
      <c r="M50" s="81" t="n">
        <f aca="false">MIN(M130,(N49*M113+N50*(1-M113))*EXP(-(M96))+$C$37*$C$35)</f>
        <v>1.30475811550919</v>
      </c>
      <c r="N50" s="81" t="n">
        <f aca="false">MIN(N130,(O49*N113+O50*(1-N113))*EXP(-(N96))+$C$37*$C$35)</f>
        <v>1.29975582195276</v>
      </c>
      <c r="O50" s="81" t="n">
        <f aca="false">MIN(O130,(P49*O113+P50*(1-O113))*EXP(-(O96))+$C$37*$C$35)</f>
        <v>1.29089193125056</v>
      </c>
      <c r="P50" s="81" t="n">
        <f aca="false">MIN(P130,(Q49*P113+Q50*(1-P113))*EXP(-(P96))+$C$37*$C$35)</f>
        <v>1.27724744447942</v>
      </c>
      <c r="Q50" s="81" t="n">
        <f aca="false">MIN(Q130,(R49*Q113+R50*(1-Q113))*EXP(-(Q96))+$C$37*$C$35)</f>
        <v>1.25742277059389</v>
      </c>
      <c r="R50" s="81" t="n">
        <f aca="false">MIN($R130,$C$35+$C$37)</f>
        <v>1.22926606145715</v>
      </c>
      <c r="S50" s="82"/>
    </row>
    <row r="51" customFormat="false" ht="12.75" hidden="false" customHeight="false" outlineLevel="0" collapsed="false">
      <c r="D51" s="81"/>
      <c r="E51" s="81"/>
      <c r="F51" s="81"/>
      <c r="G51" s="81"/>
      <c r="H51" s="81"/>
      <c r="I51" s="81" t="n">
        <f aca="false">MIN(I131,(J50*I114+J51*(1-I114))*EXP(-(I97))+$C$37*$C$35)</f>
        <v>1.30016280102536</v>
      </c>
      <c r="J51" s="81" t="n">
        <f aca="false">MIN(J131,(K50*J114+K51*(1-J114))*EXP(-(J97))+$C$37*$C$35)</f>
        <v>1.29355573691068</v>
      </c>
      <c r="K51" s="81" t="n">
        <f aca="false">MIN(K131,(L50*K114+L51*(1-K114))*EXP(-(K97))+$C$37*$C$35)</f>
        <v>1.27884893092752</v>
      </c>
      <c r="L51" s="81" t="n">
        <f aca="false">MIN(L131,(M50*L114+M51*(1-L114))*EXP(-(L97))+$C$37*$C$35)</f>
        <v>1.25273980158949</v>
      </c>
      <c r="M51" s="81" t="n">
        <f aca="false">MIN(M131,(N50*M114+N51*(1-M114))*EXP(-(M97))+$C$37*$C$35)</f>
        <v>1.2102245730014</v>
      </c>
      <c r="N51" s="81" t="n">
        <f aca="false">MIN(N131,(O50*N114+O51*(1-N114))*EXP(-(N97))+$C$37*$C$35)</f>
        <v>1.14371503691515</v>
      </c>
      <c r="O51" s="81" t="n">
        <f aca="false">MIN(O131,(P50*O114+P51*(1-O114))*EXP(-(O97))+$C$37*$C$35)</f>
        <v>1.04171120004932</v>
      </c>
      <c r="P51" s="81" t="n">
        <f aca="false">MIN(P131,(Q50*P114+Q51*(1-P114))*EXP(-(P97))+$C$37*$C$35)</f>
        <v>0.886813546847705</v>
      </c>
      <c r="Q51" s="81" t="n">
        <f aca="false">MIN(Q131,(R50*Q114+R51*(1-Q114))*EXP(-(Q97))+$C$37*$C$35)</f>
        <v>0.652756931743553</v>
      </c>
      <c r="R51" s="81" t="n">
        <f aca="false">MIN($R131,$C$35+$C$37)</f>
        <v>0.346622773782737</v>
      </c>
      <c r="S51" s="82"/>
    </row>
    <row r="52" customFormat="false" ht="12.75" hidden="false" customHeight="false" outlineLevel="0" collapsed="false">
      <c r="D52" s="81"/>
      <c r="E52" s="81"/>
      <c r="F52" s="81"/>
      <c r="G52" s="81"/>
      <c r="H52" s="81" t="n">
        <f aca="false">MIN(H132,(I51*H115+I52*(1-H115))*EXP(-(H98))+$C$37*$C$35)</f>
        <v>1.26367514268753</v>
      </c>
      <c r="I52" s="81" t="n">
        <f aca="false">MIN(I132,(J51*I115+J52*(1-I115))*EXP(-(I98))+$C$37*$C$35)</f>
        <v>1.23412490941049</v>
      </c>
      <c r="J52" s="81" t="n">
        <f aca="false">MIN(J132,(K51*J115+K52*(1-J115))*EXP(-(J98))+$C$37*$C$35)</f>
        <v>1.1888043156242</v>
      </c>
      <c r="K52" s="81" t="n">
        <f aca="false">MIN(K132,(L51*K115+L52*(1-K115))*EXP(-(K98))+$C$37*$C$35)</f>
        <v>1.12317913208798</v>
      </c>
      <c r="L52" s="81" t="n">
        <f aca="false">MIN(L132,(M51*L115+M52*(1-L115))*EXP(-(L98))+$C$37*$C$35)</f>
        <v>1.03203477016351</v>
      </c>
      <c r="M52" s="81" t="n">
        <f aca="false">MIN(M132,(N51*M115+N52*(1-M115))*EXP(-(M98))+$C$37*$C$35)</f>
        <v>0.910068666269381</v>
      </c>
      <c r="N52" s="81" t="n">
        <f aca="false">MIN(N132,(O51*N115+O52*(1-N115))*EXP(-(N98))+$C$37*$C$35)</f>
        <v>0.753311368739943</v>
      </c>
      <c r="O52" s="81" t="n">
        <f aca="false">MIN(O132,(P51*O115+P52*(1-O115))*EXP(-(O98))+$C$37*$C$35)</f>
        <v>0.562075371753335</v>
      </c>
      <c r="P52" s="81" t="n">
        <f aca="false">MIN(P132,(Q51*P115+Q52*(1-P115))*EXP(-(P98))+$C$37*$C$35)</f>
        <v>0.346622773782737</v>
      </c>
      <c r="Q52" s="81" t="n">
        <f aca="false">MIN(Q132,(R51*Q115+R52*(1-Q115))*EXP(-(Q98))+$C$37*$C$35)</f>
        <v>0.184061388645721</v>
      </c>
      <c r="R52" s="81" t="n">
        <f aca="false">MIN($R132,$C$35+$C$37)</f>
        <v>0.0977390908868161</v>
      </c>
      <c r="S52" s="82"/>
    </row>
    <row r="53" customFormat="false" ht="12.75" hidden="false" customHeight="false" outlineLevel="0" collapsed="false">
      <c r="D53" s="81"/>
      <c r="E53" s="81"/>
      <c r="F53" s="81"/>
      <c r="G53" s="81" t="n">
        <f aca="false">MIN(G133,(H52*G116+H53*(1-G116))*EXP(-(G99))+$C$37*$C$35)</f>
        <v>1.18315737092376</v>
      </c>
      <c r="H53" s="81" t="n">
        <f aca="false">MIN(H133,(I52*H116+I53*(1-H116))*EXP(-(H99))+$C$37*$C$35)</f>
        <v>1.12447549295636</v>
      </c>
      <c r="I53" s="81" t="n">
        <f aca="false">MIN(I133,(J52*I116+J53*(1-I116))*EXP(-(I99))+$C$37*$C$35)</f>
        <v>1.04608670886374</v>
      </c>
      <c r="J53" s="81" t="n">
        <f aca="false">MIN(J133,(K52*J116+K53*(1-J116))*EXP(-(J99))+$C$37*$C$35)</f>
        <v>0.945611063160998</v>
      </c>
      <c r="K53" s="81" t="n">
        <f aca="false">MIN(K133,(L52*K116+L53*(1-K116))*EXP(-(K99))+$C$37*$C$35)</f>
        <v>0.821934940279226</v>
      </c>
      <c r="L53" s="81" t="n">
        <f aca="false">MIN(L133,(M52*L116+M53*(1-L116))*EXP(-(L99))+$C$37*$C$35)</f>
        <v>0.676319220352604</v>
      </c>
      <c r="M53" s="81" t="n">
        <f aca="false">MIN(M133,(N52*M116+N53*(1-M116))*EXP(-(M99))+$C$37*$C$35)</f>
        <v>0.513786289674046</v>
      </c>
      <c r="N53" s="81" t="n">
        <f aca="false">MIN(N133,(O52*N116+O53*(1-N116))*EXP(-(N99))+$C$37*$C$35)</f>
        <v>0.34447094333592</v>
      </c>
      <c r="O53" s="81" t="n">
        <f aca="false">MIN(O133,(P52*O116+P53*(1-O116))*EXP(-(O99))+$C$37*$C$35)</f>
        <v>0.184061388645721</v>
      </c>
      <c r="P53" s="81" t="n">
        <f aca="false">MIN(P133,(Q52*P116+Q53*(1-P116))*EXP(-(P99))+$C$37*$C$35)</f>
        <v>0.0977390908868161</v>
      </c>
      <c r="Q53" s="81" t="n">
        <f aca="false">MIN(Q133,(R52*Q116+R53*(1-Q116))*EXP(-(Q99))+$C$37*$C$35)</f>
        <v>0.0519007813516427</v>
      </c>
      <c r="R53" s="81" t="n">
        <f aca="false">MIN($R133,$C$35+$C$37)</f>
        <v>0.0275600180078447</v>
      </c>
      <c r="S53" s="82"/>
    </row>
    <row r="54" customFormat="false" ht="12.75" hidden="false" customHeight="false" outlineLevel="0" collapsed="false">
      <c r="D54" s="81"/>
      <c r="E54" s="81"/>
      <c r="F54" s="81" t="n">
        <f aca="false">MIN(F134,(G53*F117+G54*(1-F117))*EXP(-(F100))+$C$37*$C$35)</f>
        <v>1.06496182801752</v>
      </c>
      <c r="G54" s="81" t="n">
        <f aca="false">MIN(G134,(H53*G117+H54*(1-G117))*EXP(-(G100))+$C$37*$C$35)</f>
        <v>0.980158661061994</v>
      </c>
      <c r="H54" s="81" t="n">
        <f aca="false">MIN(H134,(I53*H117+I54*(1-H117))*EXP(-(H100))+$C$37*$C$35)</f>
        <v>0.877110881599086</v>
      </c>
      <c r="I54" s="81" t="n">
        <f aca="false">MIN(I134,(J53*I117+J54*(1-I117))*EXP(-(I100))+$C$37*$C$35)</f>
        <v>0.756600624984241</v>
      </c>
      <c r="J54" s="81" t="n">
        <f aca="false">MIN(J134,(K53*J117+K54*(1-J117))*EXP(-(J100))+$C$37*$C$35)</f>
        <v>0.621266150423469</v>
      </c>
      <c r="K54" s="81" t="n">
        <f aca="false">MIN(K134,(L53*K117+L54*(1-K117))*EXP(-(K100))+$C$37*$C$35)</f>
        <v>0.475935744029419</v>
      </c>
      <c r="L54" s="81" t="n">
        <f aca="false">MIN(L134,(M53*L117+M54*(1-L117))*EXP(-(L100))+$C$37*$C$35)</f>
        <v>0.327519591810288</v>
      </c>
      <c r="M54" s="81" t="n">
        <f aca="false">MIN(M134,(N53*M117+N54*(1-M117))*EXP(-(M100))+$C$37*$C$35)</f>
        <v>0.184061388645721</v>
      </c>
      <c r="N54" s="81" t="n">
        <f aca="false">MIN(N134,(O53*N117+O54*(1-N117))*EXP(-(N100))+$C$37*$C$35)</f>
        <v>0.0977390908868161</v>
      </c>
      <c r="O54" s="81" t="n">
        <f aca="false">MIN(O134,(P53*O117+P54*(1-O117))*EXP(-(O100))+$C$37*$C$35)</f>
        <v>0.0519007813516426</v>
      </c>
      <c r="P54" s="81" t="n">
        <f aca="false">MIN(P134,(Q53*P117+Q54*(1-P117))*EXP(-(P100))+$C$37*$C$35)</f>
        <v>0.0275600180078447</v>
      </c>
      <c r="Q54" s="81" t="n">
        <f aca="false">MIN(Q134,(R53*Q117+R54*(1-Q117))*EXP(-(Q100))+$C$37*$C$35)</f>
        <v>0.0146347429231657</v>
      </c>
      <c r="R54" s="81" t="n">
        <f aca="false">MIN($R134,$C$35+$C$37)</f>
        <v>0.00777124675195006</v>
      </c>
      <c r="S54" s="82"/>
    </row>
    <row r="55" customFormat="false" ht="12.75" hidden="false" customHeight="false" outlineLevel="0" collapsed="false">
      <c r="D55" s="81"/>
      <c r="E55" s="81" t="n">
        <f aca="false">MIN(E135,(F54*E118+F55*(1-E118))*EXP(-(E101))+$C$37*$C$35)</f>
        <v>0.924569470683532</v>
      </c>
      <c r="F55" s="81" t="n">
        <f aca="false">MIN(F135,(G54*F118+G55*(1-F118))*EXP(-(F101))+$C$37*$C$35)</f>
        <v>0.822308666611886</v>
      </c>
      <c r="G55" s="81" t="n">
        <f aca="false">MIN(G135,(H54*G118+H55*(1-G118))*EXP(-(G101))+$C$37*$C$35)</f>
        <v>0.706705913852395</v>
      </c>
      <c r="H55" s="81" t="n">
        <f aca="false">MIN(H135,(I54*H118+I55*(1-H118))*EXP(-(H101))+$C$37*$C$35)</f>
        <v>0.580614494463886</v>
      </c>
      <c r="I55" s="81" t="n">
        <f aca="false">MIN(I135,(J54*I118+J55*(1-I118))*EXP(-(I101))+$C$37*$C$35)</f>
        <v>0.44812891165571</v>
      </c>
      <c r="J55" s="81" t="n">
        <f aca="false">MIN(J135,(K54*J118+K55*(1-J118))*EXP(-(J101))+$C$37*$C$35)</f>
        <v>0.314233096532939</v>
      </c>
      <c r="K55" s="81" t="n">
        <f aca="false">MIN(K135,(L54*K118+L55*(1-K118))*EXP(-(K101))+$C$37*$C$35)</f>
        <v>0.184061388645721</v>
      </c>
      <c r="L55" s="81" t="n">
        <f aca="false">MIN(L135,(M54*L118+M55*(1-L118))*EXP(-(L101))+$C$37*$C$35)</f>
        <v>0.0977390908868161</v>
      </c>
      <c r="M55" s="81" t="n">
        <f aca="false">MIN(M135,(N54*M118+N55*(1-M118))*EXP(-(M101))+$C$37*$C$35)</f>
        <v>0.0519007813516426</v>
      </c>
      <c r="N55" s="81" t="n">
        <f aca="false">MIN(N135,(O54*N118+O55*(1-N118))*EXP(-(N101))+$C$37*$C$35)</f>
        <v>0.0275600180078447</v>
      </c>
      <c r="O55" s="81" t="n">
        <f aca="false">MIN(O135,(P54*O118+P55*(1-O118))*EXP(-(O101))+$C$37*$C$35)</f>
        <v>0.0146347429231657</v>
      </c>
      <c r="P55" s="81" t="n">
        <f aca="false">MIN(P135,(Q54*P118+Q55*(1-P118))*EXP(-(P101))+$C$37*$C$35)</f>
        <v>0.00777124675195006</v>
      </c>
      <c r="Q55" s="81" t="n">
        <f aca="false">MIN(Q135,(R54*Q118+R55*(1-Q118))*EXP(-(Q101))+$C$37*$C$35)</f>
        <v>0.00412663730389811</v>
      </c>
      <c r="R55" s="81" t="n">
        <f aca="false">MIN($R135,$C$35+$C$37)</f>
        <v>0.00219130031273943</v>
      </c>
      <c r="S55" s="82"/>
    </row>
    <row r="56" s="84" customFormat="true" ht="12.75" hidden="false" customHeight="false" outlineLevel="0" collapsed="false">
      <c r="A56" s="6" t="s">
        <v>58</v>
      </c>
      <c r="D56" s="81" t="n">
        <f aca="false">MIN(D136,(E55*D119+E56*(1-D119))*EXP(-(D102)))</f>
        <v>0.748554938961072</v>
      </c>
      <c r="E56" s="81" t="n">
        <f aca="false">MIN(E136,(F55*E119+F56*(1-E119))*EXP(-(E102))+$C$37*$C$35)</f>
        <v>0.668019071018763</v>
      </c>
      <c r="F56" s="81" t="n">
        <f aca="false">MIN(F136,(G55*F119+G56*(1-F119))*EXP(-(F102))+$C$37*$C$35)</f>
        <v>0.550035497315373</v>
      </c>
      <c r="G56" s="81" t="n">
        <f aca="false">MIN(G136,(H55*G119+H56*(1-G119))*EXP(-(G102))+$C$37*$C$35)</f>
        <v>0.427627962996757</v>
      </c>
      <c r="H56" s="81" t="n">
        <f aca="false">MIN(H136,(I55*H119+I56*(1-H119))*EXP(-(H102))+$C$37*$C$35)</f>
        <v>0.304472467356435</v>
      </c>
      <c r="I56" s="81" t="n">
        <f aca="false">MIN(I136,(J55*I119+J56*(1-I119))*EXP(-(I102))+$C$37*$C$35)</f>
        <v>0.184061388645721</v>
      </c>
      <c r="J56" s="81" t="n">
        <f aca="false">MIN(J136,(K55*J119+K56*(1-J119))*EXP(-(J102))+$C$37*$C$35)</f>
        <v>0.0977390908868161</v>
      </c>
      <c r="K56" s="81" t="n">
        <f aca="false">MIN(K136,(L55*K119+L56*(1-K119))*EXP(-(K102))+$C$37*$C$35)</f>
        <v>0.0519007813516426</v>
      </c>
      <c r="L56" s="81" t="n">
        <f aca="false">MIN(L136,(M55*L119+M56*(1-L119))*EXP(-(L102))+$C$37*$C$35)</f>
        <v>0.0275600180078447</v>
      </c>
      <c r="M56" s="81" t="n">
        <f aca="false">MIN(M136,(N55*M119+N56*(1-M119))*EXP(-(M102))+$C$37*$C$35)</f>
        <v>0.0146347429231657</v>
      </c>
      <c r="N56" s="81" t="n">
        <f aca="false">MIN(N136,(O55*N119+O56*(1-N119))*EXP(-(N102))+$C$37*$C$35)</f>
        <v>0.00777124675195006</v>
      </c>
      <c r="O56" s="81" t="n">
        <f aca="false">MIN(O136,(P55*O119+P56*(1-O119))*EXP(-(O102))+$C$37*$C$35)</f>
        <v>0.00412663730389811</v>
      </c>
      <c r="P56" s="81" t="n">
        <f aca="false">MIN(P136,(Q55*P119+Q56*(1-P119))*EXP(-(P102))+$C$37*$C$35)</f>
        <v>0.00219130031273943</v>
      </c>
      <c r="Q56" s="81" t="n">
        <f aca="false">MIN(Q136,(R55*Q119+R56*(1-Q119))*EXP(-(Q102))+$C$37*$C$35)</f>
        <v>0.00116361015204221</v>
      </c>
      <c r="R56" s="81" t="n">
        <f aca="false">MIN($R136,$C$35+$C$37)</f>
        <v>0.000617892754390665</v>
      </c>
      <c r="S56" s="83"/>
    </row>
    <row r="57" customFormat="false" ht="12.75" hidden="false" customHeight="false" outlineLevel="0" collapsed="false">
      <c r="A57" s="8" t="s">
        <v>75</v>
      </c>
      <c r="C57" s="67"/>
      <c r="D57" s="1" t="n">
        <v>0</v>
      </c>
      <c r="E57" s="1" t="n">
        <v>0.5</v>
      </c>
      <c r="F57" s="1" t="n">
        <v>1</v>
      </c>
      <c r="G57" s="1" t="n">
        <v>1.5</v>
      </c>
      <c r="H57" s="1" t="n">
        <v>2</v>
      </c>
      <c r="I57" s="1" t="n">
        <v>2.5</v>
      </c>
      <c r="J57" s="1" t="n">
        <v>3</v>
      </c>
      <c r="K57" s="1" t="n">
        <v>3.5</v>
      </c>
      <c r="L57" s="1" t="n">
        <v>4</v>
      </c>
      <c r="M57" s="1" t="n">
        <v>4.5</v>
      </c>
      <c r="N57" s="1" t="n">
        <v>5</v>
      </c>
      <c r="O57" s="1" t="n">
        <v>5.5</v>
      </c>
      <c r="P57" s="1" t="n">
        <v>6</v>
      </c>
      <c r="Q57" s="1" t="n">
        <v>6.5</v>
      </c>
      <c r="R57" s="1" t="n">
        <v>7</v>
      </c>
    </row>
    <row r="58" s="2" customFormat="true" ht="12.75" hidden="false" customHeight="false" outlineLevel="0" collapsed="false">
      <c r="A58" s="2" t="s">
        <v>76</v>
      </c>
    </row>
    <row r="59" customFormat="false" ht="12.75" hidden="false" customHeight="false" outlineLevel="0" collapsed="false">
      <c r="C59" s="67"/>
    </row>
    <row r="60" s="8" customFormat="true" ht="12.75" hidden="false" customHeight="false" outlineLevel="0" collapsed="false">
      <c r="A60" s="8" t="s">
        <v>77</v>
      </c>
      <c r="C60" s="8" t="n">
        <v>0</v>
      </c>
      <c r="D60" s="8" t="n">
        <v>0.5</v>
      </c>
      <c r="E60" s="8" t="n">
        <v>1</v>
      </c>
      <c r="F60" s="8" t="n">
        <v>1.5</v>
      </c>
      <c r="G60" s="8" t="n">
        <v>2</v>
      </c>
      <c r="H60" s="8" t="n">
        <v>2.5</v>
      </c>
      <c r="I60" s="8" t="n">
        <v>3</v>
      </c>
      <c r="J60" s="8" t="n">
        <v>3.5</v>
      </c>
      <c r="K60" s="8" t="n">
        <v>4</v>
      </c>
      <c r="L60" s="8" t="n">
        <v>4.5</v>
      </c>
      <c r="M60" s="8" t="n">
        <v>5</v>
      </c>
      <c r="N60" s="8" t="n">
        <v>5.5</v>
      </c>
      <c r="O60" s="8" t="n">
        <v>6</v>
      </c>
      <c r="P60" s="8" t="n">
        <v>6.5</v>
      </c>
      <c r="Q60" s="8" t="n">
        <v>7</v>
      </c>
      <c r="R60" s="8" t="n">
        <v>7.5</v>
      </c>
    </row>
    <row r="61" s="8" customFormat="true" ht="12.75" hidden="false" customHeight="false" outlineLevel="0" collapsed="false">
      <c r="A61" s="8" t="s">
        <v>78</v>
      </c>
      <c r="C61" s="8" t="n">
        <v>1</v>
      </c>
      <c r="D61" s="87" t="n">
        <f aca="false">EXP(-$C$30*D$60)</f>
        <v>0.985111939603063</v>
      </c>
      <c r="E61" s="87" t="n">
        <f aca="false">EXP(-$C$30*E$60)</f>
        <v>0.970445533548508</v>
      </c>
      <c r="F61" s="87" t="n">
        <f aca="false">EXP(-$C$30*F$60)</f>
        <v>0.9559974818331</v>
      </c>
      <c r="G61" s="87" t="n">
        <f aca="false">EXP(-$C$30*G$60)</f>
        <v>0.941764533584249</v>
      </c>
      <c r="H61" s="87" t="n">
        <f aca="false">EXP(-$C$30*H$60)</f>
        <v>0.927743486328553</v>
      </c>
      <c r="I61" s="87" t="n">
        <f aca="false">EXP(-$C$30*I$60)</f>
        <v>0.913931185271228</v>
      </c>
      <c r="J61" s="87" t="n">
        <f aca="false">EXP(-$C$30*J$60)</f>
        <v>0.900324522586266</v>
      </c>
      <c r="K61" s="87" t="n">
        <f aca="false">EXP(-$C$30*K$60)</f>
        <v>0.886920436717158</v>
      </c>
      <c r="L61" s="87" t="n">
        <f aca="false">EXP(-$C$30*L$60)</f>
        <v>0.873715911688034</v>
      </c>
      <c r="M61" s="87" t="n">
        <f aca="false">EXP(-$C$30*M$60)</f>
        <v>0.860707976425058</v>
      </c>
      <c r="N61" s="87" t="n">
        <f aca="false">EXP(-$C$30*N$60)</f>
        <v>0.847893704087916</v>
      </c>
      <c r="O61" s="87" t="n">
        <f aca="false">EXP(-$C$30*O$60)</f>
        <v>0.835270211411272</v>
      </c>
      <c r="P61" s="87" t="n">
        <f aca="false">EXP(-$C$30*P$60)</f>
        <v>0.822834658056018</v>
      </c>
      <c r="Q61" s="87" t="n">
        <f aca="false">EXP(-$C$30*Q$60)</f>
        <v>0.810584245970187</v>
      </c>
      <c r="R61" s="87" t="n">
        <f aca="false">EXP(-$C$30*R$60)</f>
        <v>0.798516218759377</v>
      </c>
    </row>
    <row r="62" s="8" customFormat="true" ht="12.75" hidden="false" customHeight="false" outlineLevel="0" collapsed="false"/>
    <row r="63" s="8" customFormat="true" ht="12.75" hidden="false" customHeight="false" outlineLevel="0" collapsed="false">
      <c r="A63" s="8" t="s">
        <v>79</v>
      </c>
      <c r="C63" s="88" t="n">
        <f aca="false">EXP(-2*$C$30*$C$31*SQRT(1/$C$29))</f>
        <v>0.997880928066294</v>
      </c>
    </row>
    <row r="64" s="8" customFormat="true" ht="12.75" hidden="false" customHeight="false" outlineLevel="0" collapsed="false">
      <c r="A64" s="8" t="s">
        <v>80</v>
      </c>
      <c r="C64" s="88"/>
      <c r="D64" s="87" t="n">
        <f aca="false">1/(0.5+0.5*$C$63^(D$60*2))</f>
        <v>1.00106065977403</v>
      </c>
      <c r="E64" s="87" t="n">
        <f aca="false">1/(0.5+0.5*$C$63^(E$60*2))</f>
        <v>1.00212131716158</v>
      </c>
      <c r="F64" s="87" t="n">
        <f aca="false">1/(0.5+0.5*$C$63^(F$60*2))</f>
        <v>1.0031819697762</v>
      </c>
      <c r="G64" s="87" t="n">
        <f aca="false">1/(0.5+0.5*$C$63^(G$60*2))</f>
        <v>1.00424261523146</v>
      </c>
      <c r="H64" s="87" t="n">
        <f aca="false">1/(0.5+0.5*$C$63^(H$60*2))</f>
        <v>1.00530325114101</v>
      </c>
      <c r="I64" s="87" t="n">
        <f aca="false">1/(0.5+0.5*$C$63^(I$60*2))</f>
        <v>1.0063638751186</v>
      </c>
      <c r="J64" s="87" t="n">
        <f aca="false">1/(0.5+0.5*$C$63^(J$60*2))</f>
        <v>1.00742448477805</v>
      </c>
      <c r="K64" s="87" t="n">
        <f aca="false">1/(0.5+0.5*$C$63^(K$60*2))</f>
        <v>1.00848507773335</v>
      </c>
      <c r="L64" s="87" t="n">
        <f aca="false">1/(0.5+0.5*$C$63^(L$60*2))</f>
        <v>1.00954565159861</v>
      </c>
      <c r="M64" s="87" t="n">
        <f aca="false">1/(0.5+0.5*$C$63^(M$60*2))</f>
        <v>1.01060620398813</v>
      </c>
      <c r="N64" s="87" t="n">
        <f aca="false">1/(0.5+0.5*$C$63^(N$60*2))</f>
        <v>1.01166673251639</v>
      </c>
      <c r="O64" s="87" t="n">
        <f aca="false">1/(0.5+0.5*$C$63^(O$60*2))</f>
        <v>1.0127272347981</v>
      </c>
      <c r="P64" s="87" t="n">
        <f aca="false">1/(0.5+0.5*$C$63^(P$60*2))</f>
        <v>1.01378770844819</v>
      </c>
      <c r="Q64" s="87" t="n">
        <f aca="false">1/(0.5+0.5*$C$63^(Q$60*2))</f>
        <v>1.01484815108186</v>
      </c>
      <c r="R64" s="87" t="n">
        <f aca="false">1/(0.5+0.5*$C$63^(R$60*2))</f>
        <v>1.01590856031457</v>
      </c>
    </row>
    <row r="65" s="8" customFormat="true" ht="12.75" hidden="false" customHeight="false" outlineLevel="0" collapsed="false">
      <c r="C65" s="88"/>
    </row>
    <row r="66" s="8" customFormat="true" ht="14.25" hidden="false" customHeight="true" outlineLevel="0" collapsed="false">
      <c r="A66" s="8" t="s">
        <v>81</v>
      </c>
      <c r="C66" s="88" t="n">
        <f aca="false">EXP(SQRT(1/$C$29)*$C$28)</f>
        <v>1.88319112624925</v>
      </c>
    </row>
    <row r="67" s="8" customFormat="true" ht="12.75" hidden="false" customHeight="false" outlineLevel="0" collapsed="false">
      <c r="A67" s="8" t="s">
        <v>82</v>
      </c>
      <c r="C67" s="88" t="n">
        <f aca="false">EXP(SQRT(1/$C$29)*(-$C$28))</f>
        <v>0.53101354719725</v>
      </c>
    </row>
    <row r="68" s="8" customFormat="true" ht="12.75" hidden="false" customHeight="false" outlineLevel="0" collapsed="false">
      <c r="A68" s="8" t="s">
        <v>83</v>
      </c>
      <c r="C68" s="89" t="n">
        <f aca="false">$C$35*10^9/$C$34</f>
        <v>16017516.8561934</v>
      </c>
    </row>
    <row r="69" s="8" customFormat="true" ht="12.75" hidden="false" customHeight="false" outlineLevel="0" collapsed="false"/>
    <row r="71" customFormat="false" ht="12.75" hidden="false" customHeight="false" outlineLevel="0" collapsed="false"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 t="n">
        <f aca="false">R72*$C$63</f>
        <v>0.970484848691297</v>
      </c>
      <c r="S71" s="83"/>
    </row>
    <row r="72" customFormat="false" ht="12.75" hidden="false" customHeight="false" outlineLevel="0" collapsed="false"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 t="n">
        <f aca="false">Q73*$C$63</f>
        <v>0.971529503390985</v>
      </c>
      <c r="R72" s="83" t="n">
        <f aca="false">R73*$C$63</f>
        <v>0.972545743079703</v>
      </c>
      <c r="S72" s="83"/>
    </row>
    <row r="73" customFormat="false" ht="12.75" hidden="false" customHeight="false" outlineLevel="0" collapsed="false"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 t="n">
        <f aca="false">P74*$C$63</f>
        <v>0.972574188645322</v>
      </c>
      <c r="Q73" s="83" t="n">
        <f aca="false">Q74*$C$63</f>
        <v>0.973592616178793</v>
      </c>
      <c r="R73" s="83" t="n">
        <f aca="false">R74*$C$63</f>
        <v>0.974611013925594</v>
      </c>
      <c r="S73" s="83"/>
    </row>
    <row r="74" customFormat="false" ht="12.75" hidden="false" customHeight="false" outlineLevel="0" collapsed="false"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 t="n">
        <f aca="false">O75*$C$63</f>
        <v>0.973618902105007</v>
      </c>
      <c r="P74" s="83" t="n">
        <f aca="false">P75*$C$63</f>
        <v>0.974639519897417</v>
      </c>
      <c r="Q74" s="83" t="n">
        <f aca="false">Q75*$C$63</f>
        <v>0.975660110135017</v>
      </c>
      <c r="R74" s="83" t="n">
        <f aca="false">R75*$C$63</f>
        <v>0.976680670522692</v>
      </c>
      <c r="S74" s="83"/>
    </row>
    <row r="75" customFormat="false" ht="12.75" hidden="false" customHeight="false" outlineLevel="0" collapsed="false"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 t="n">
        <f aca="false">N76*$C$63</f>
        <v>0.974663641420488</v>
      </c>
      <c r="O75" s="83" t="n">
        <f aca="false">O76*$C$63</f>
        <v>0.975686451881286</v>
      </c>
      <c r="P75" s="83" t="n">
        <f aca="false">P76*$C$63</f>
        <v>0.976709237028998</v>
      </c>
      <c r="Q75" s="83" t="n">
        <f aca="false">Q76*$C$63</f>
        <v>0.977731994563383</v>
      </c>
      <c r="R75" s="83" t="n">
        <f aca="false">R76*$C$63</f>
        <v>0.978754722184456</v>
      </c>
      <c r="S75" s="83"/>
    </row>
    <row r="76" customFormat="false" ht="10.5" hidden="false" customHeight="true" outlineLevel="0" collapsed="false">
      <c r="D76" s="83"/>
      <c r="E76" s="83"/>
      <c r="F76" s="83"/>
      <c r="G76" s="83"/>
      <c r="H76" s="83"/>
      <c r="I76" s="83"/>
      <c r="J76" s="83"/>
      <c r="K76" s="83"/>
      <c r="L76" s="83"/>
      <c r="M76" s="83" t="n">
        <f aca="false">M77*$C$63</f>
        <v>0.975708404241978</v>
      </c>
      <c r="N76" s="83" t="n">
        <f aca="false">N77*$C$63</f>
        <v>0.976733409775858</v>
      </c>
      <c r="O76" s="83" t="n">
        <f aca="false">O77*$C$63</f>
        <v>0.977758392248246</v>
      </c>
      <c r="P76" s="83" t="n">
        <f aca="false">P77*$C$63</f>
        <v>0.978783349353792</v>
      </c>
      <c r="Q76" s="83" t="n">
        <f aca="false">Q77*$C$63</f>
        <v>0.979808278787375</v>
      </c>
      <c r="R76" s="83" t="n">
        <f aca="false">R77*$C$63</f>
        <v>0.980833178244121</v>
      </c>
      <c r="S76" s="83"/>
    </row>
    <row r="77" customFormat="false" ht="12.75" hidden="false" customHeight="false" outlineLevel="0" collapsed="false">
      <c r="D77" s="83"/>
      <c r="E77" s="83"/>
      <c r="F77" s="83"/>
      <c r="G77" s="83"/>
      <c r="H77" s="83"/>
      <c r="I77" s="83"/>
      <c r="J77" s="83"/>
      <c r="K77" s="83"/>
      <c r="L77" s="83" t="n">
        <f aca="false">L78*$C$63</f>
        <v>0.976753188219479</v>
      </c>
      <c r="M77" s="83" t="n">
        <f aca="false">M78*$C$63</f>
        <v>0.977780391226355</v>
      </c>
      <c r="N77" s="83" t="n">
        <f aca="false">N78*$C$63</f>
        <v>0.97880757343322</v>
      </c>
      <c r="O77" s="83" t="n">
        <f aca="false">O78*$C$63</f>
        <v>0.97983473252962</v>
      </c>
      <c r="P77" s="83" t="n">
        <f aca="false">P78*$C$63</f>
        <v>0.980861866205311</v>
      </c>
      <c r="Q77" s="83" t="n">
        <f aca="false">Q78*$C$63</f>
        <v>0.981888972150275</v>
      </c>
      <c r="R77" s="83" t="n">
        <f aca="false">R78*$C$63</f>
        <v>0.982916048054744</v>
      </c>
      <c r="S77" s="83"/>
    </row>
    <row r="78" customFormat="false" ht="12.75" hidden="false" customHeight="false" outlineLevel="0" collapsed="false">
      <c r="D78" s="83"/>
      <c r="E78" s="83"/>
      <c r="F78" s="83"/>
      <c r="G78" s="83"/>
      <c r="H78" s="83"/>
      <c r="I78" s="83"/>
      <c r="J78" s="83"/>
      <c r="K78" s="83" t="n">
        <f aca="false">K79*$C$63</f>
        <v>0.977797991002802</v>
      </c>
      <c r="L78" s="83" t="n">
        <f aca="false">L79*$C$63</f>
        <v>0.978827393877788</v>
      </c>
      <c r="M78" s="83" t="n">
        <f aca="false">M79*$C$63</f>
        <v>0.979856778224141</v>
      </c>
      <c r="N78" s="83" t="n">
        <f aca="false">N79*$C$63</f>
        <v>0.980886141726314</v>
      </c>
      <c r="O78" s="83" t="n">
        <f aca="false">O79*$C$63</f>
        <v>0.981915482068944</v>
      </c>
      <c r="P78" s="83" t="n">
        <f aca="false">P79*$C$63</f>
        <v>0.982944796936883</v>
      </c>
      <c r="Q78" s="83" t="n">
        <f aca="false">Q79*$C$63</f>
        <v>0.983974084015206</v>
      </c>
      <c r="R78" s="83" t="n">
        <f aca="false">R79*$C$63</f>
        <v>0.985003340989241</v>
      </c>
      <c r="S78" s="83"/>
    </row>
    <row r="79" customFormat="false" ht="12.75" hidden="false" customHeight="false" outlineLevel="0" collapsed="false">
      <c r="D79" s="83"/>
      <c r="E79" s="83"/>
      <c r="F79" s="83"/>
      <c r="G79" s="83"/>
      <c r="H79" s="83"/>
      <c r="I79" s="83"/>
      <c r="J79" s="83" t="n">
        <f aca="false">J80*$C$63</f>
        <v>0.97884281024159</v>
      </c>
      <c r="K79" s="83" t="n">
        <f aca="false">K80*$C$63</f>
        <v>0.97987441537498</v>
      </c>
      <c r="L79" s="83" t="n">
        <f aca="false">L80*$C$63</f>
        <v>0.980906004261022</v>
      </c>
      <c r="M79" s="83" t="n">
        <f aca="false">M80*$C$63</f>
        <v>0.981937574579084</v>
      </c>
      <c r="N79" s="83" t="n">
        <f aca="false">N80*$C$63</f>
        <v>0.982969124008701</v>
      </c>
      <c r="O79" s="83" t="n">
        <f aca="false">O80*$C$63</f>
        <v>0.984000650229595</v>
      </c>
      <c r="P79" s="83" t="n">
        <f aca="false">P80*$C$63</f>
        <v>0.9850321509217</v>
      </c>
      <c r="Q79" s="83" t="n">
        <f aca="false">Q80*$C$63</f>
        <v>0.986063623765176</v>
      </c>
      <c r="R79" s="83" t="n">
        <f aca="false">R80*$C$63</f>
        <v>0.987095066440435</v>
      </c>
      <c r="S79" s="83"/>
    </row>
    <row r="80" customFormat="false" ht="12.75" hidden="false" customHeight="false" outlineLevel="0" collapsed="false">
      <c r="D80" s="83"/>
      <c r="E80" s="83"/>
      <c r="F80" s="83"/>
      <c r="G80" s="83"/>
      <c r="H80" s="83"/>
      <c r="I80" s="83" t="n">
        <f aca="false">I81*$C$63</f>
        <v>0.979887643585337</v>
      </c>
      <c r="J80" s="83" t="n">
        <f aca="false">J81*$C$63</f>
        <v>0.980921453362581</v>
      </c>
      <c r="K80" s="83" t="n">
        <f aca="false">K81*$C$63</f>
        <v>0.981955249183681</v>
      </c>
      <c r="L80" s="83" t="n">
        <f aca="false">L81*$C$63</f>
        <v>0.98298902872293</v>
      </c>
      <c r="M80" s="83" t="n">
        <f aca="false">M81*$C$63</f>
        <v>0.984022789654769</v>
      </c>
      <c r="N80" s="83" t="n">
        <f aca="false">N81*$C$63</f>
        <v>0.985056529653804</v>
      </c>
      <c r="O80" s="83" t="n">
        <f aca="false">O81*$C$63</f>
        <v>0.986090246394832</v>
      </c>
      <c r="P80" s="83" t="n">
        <f aca="false">P81*$C$63</f>
        <v>0.987123937552858</v>
      </c>
      <c r="Q80" s="83" t="n">
        <f aca="false">Q81*$C$63</f>
        <v>0.988157600803116</v>
      </c>
      <c r="R80" s="83" t="n">
        <f aca="false">R81*$C$63</f>
        <v>0.989191233821094</v>
      </c>
      <c r="S80" s="83"/>
    </row>
    <row r="81" customFormat="false" ht="12.75" hidden="false" customHeight="false" outlineLevel="0" collapsed="false">
      <c r="D81" s="83"/>
      <c r="E81" s="83"/>
      <c r="F81" s="83"/>
      <c r="G81" s="83"/>
      <c r="H81" s="83" t="n">
        <f aca="false">H82*$C$63</f>
        <v>0.980932488683411</v>
      </c>
      <c r="I81" s="83" t="n">
        <f aca="false">I82*$C$63</f>
        <v>0.981968505485095</v>
      </c>
      <c r="J81" s="83" t="n">
        <f aca="false">J82*$C$63</f>
        <v>0.983004510631768</v>
      </c>
      <c r="K81" s="83" t="n">
        <f aca="false">K82*$C$63</f>
        <v>0.984040501792661</v>
      </c>
      <c r="L81" s="83" t="n">
        <f aca="false">L82*$C$63</f>
        <v>0.985076476637127</v>
      </c>
      <c r="M81" s="83" t="n">
        <f aca="false">M82*$C$63</f>
        <v>0.986112432834668</v>
      </c>
      <c r="N81" s="83" t="n">
        <f aca="false">N82*$C$63</f>
        <v>0.987148368054954</v>
      </c>
      <c r="O81" s="83" t="n">
        <f aca="false">O82*$C$63</f>
        <v>0.988184279967842</v>
      </c>
      <c r="P81" s="83" t="n">
        <f aca="false">P82*$C$63</f>
        <v>0.989220166243401</v>
      </c>
      <c r="Q81" s="83" t="n">
        <f aca="false">Q82*$C$63</f>
        <v>0.990256024551928</v>
      </c>
      <c r="R81" s="83" t="n">
        <f aca="false">R82*$C$63</f>
        <v>0.991291852563974</v>
      </c>
      <c r="S81" s="83"/>
    </row>
    <row r="82" customFormat="false" ht="12.75" hidden="false" customHeight="false" outlineLevel="0" collapsed="false">
      <c r="D82" s="83"/>
      <c r="E82" s="83"/>
      <c r="F82" s="83"/>
      <c r="G82" s="83" t="n">
        <f aca="false">G83*$C$63</f>
        <v>0.981977343185073</v>
      </c>
      <c r="H82" s="83" t="n">
        <f aca="false">H83*$C$63</f>
        <v>0.983015569386895</v>
      </c>
      <c r="I82" s="83" t="n">
        <f aca="false">I83*$C$63</f>
        <v>0.984053786244784</v>
      </c>
      <c r="J82" s="83" t="n">
        <f aca="false">J83*$C$63</f>
        <v>0.985091991422911</v>
      </c>
      <c r="K82" s="83" t="n">
        <f aca="false">K83*$C$63</f>
        <v>0.986130182585559</v>
      </c>
      <c r="L82" s="83" t="n">
        <f aca="false">L83*$C$63</f>
        <v>0.98716835739713</v>
      </c>
      <c r="M82" s="83" t="n">
        <f aca="false">M83*$C$63</f>
        <v>0.988206513522179</v>
      </c>
      <c r="N82" s="83" t="n">
        <f aca="false">N83*$C$63</f>
        <v>0.989244648625425</v>
      </c>
      <c r="O82" s="83" t="n">
        <f aca="false">O83*$C$63</f>
        <v>0.990282760371779</v>
      </c>
      <c r="P82" s="83" t="n">
        <f aca="false">P83*$C$63</f>
        <v>0.991320846426361</v>
      </c>
      <c r="Q82" s="83" t="n">
        <f aca="false">Q83*$C$63</f>
        <v>0.992358904454521</v>
      </c>
      <c r="R82" s="83" t="n">
        <f aca="false">R83*$C$63</f>
        <v>0.993396932121864</v>
      </c>
      <c r="S82" s="83"/>
    </row>
    <row r="83" customFormat="false" ht="12.75" hidden="false" customHeight="false" outlineLevel="0" collapsed="false">
      <c r="D83" s="83"/>
      <c r="E83" s="83"/>
      <c r="F83" s="83" t="n">
        <f aca="false">F84*$C$63</f>
        <v>0.983022204739501</v>
      </c>
      <c r="G83" s="83" t="n">
        <f aca="false">G84*$C$63</f>
        <v>0.984062642712254</v>
      </c>
      <c r="H83" s="83" t="n">
        <f aca="false">H84*$C$63</f>
        <v>0.985103073662101</v>
      </c>
      <c r="I83" s="83" t="n">
        <f aca="false">I84*$C$63</f>
        <v>0.986143495248171</v>
      </c>
      <c r="J83" s="83" t="n">
        <f aca="false">J84*$C$63</f>
        <v>0.987183905129679</v>
      </c>
      <c r="K83" s="83" t="n">
        <f aca="false">K84*$C$63</f>
        <v>0.988224300965942</v>
      </c>
      <c r="L83" s="83" t="n">
        <f aca="false">L84*$C$63</f>
        <v>0.989264680416408</v>
      </c>
      <c r="M83" s="83" t="n">
        <f aca="false">M84*$C$63</f>
        <v>0.990305041140668</v>
      </c>
      <c r="N83" s="83" t="n">
        <f aca="false">N84*$C$63</f>
        <v>0.991345380798485</v>
      </c>
      <c r="O83" s="83" t="n">
        <f aca="false">O84*$C$63</f>
        <v>0.992385697049809</v>
      </c>
      <c r="P83" s="83" t="n">
        <f aca="false">P84*$C$63</f>
        <v>0.993425987554803</v>
      </c>
      <c r="Q83" s="83" t="n">
        <f aca="false">Q84*$C$63</f>
        <v>0.994466249973859</v>
      </c>
      <c r="R83" s="83" t="n">
        <f aca="false">R84*$C$63</f>
        <v>0.995506481967624</v>
      </c>
      <c r="S83" s="83"/>
    </row>
    <row r="84" customFormat="false" ht="12.75" hidden="false" customHeight="false" outlineLevel="0" collapsed="false">
      <c r="D84" s="83"/>
      <c r="E84" s="83" t="n">
        <f aca="false">E85*$C$63</f>
        <v>0.984067070995807</v>
      </c>
      <c r="F84" s="83" t="n">
        <f aca="false">F85*$C$63</f>
        <v>0.985109723105355</v>
      </c>
      <c r="G84" s="83" t="n">
        <f aca="false">G85*$C$63</f>
        <v>0.986152370522987</v>
      </c>
      <c r="H84" s="83" t="n">
        <f aca="false">H85*$C$63</f>
        <v>0.9871950109028</v>
      </c>
      <c r="I84" s="83" t="n">
        <f aca="false">I85*$C$63</f>
        <v>0.988237641898952</v>
      </c>
      <c r="J84" s="83" t="n">
        <f aca="false">J85*$C$63</f>
        <v>0.989280261165685</v>
      </c>
      <c r="K84" s="83" t="n">
        <f aca="false">K85*$C$63</f>
        <v>0.990322866357348</v>
      </c>
      <c r="L84" s="83" t="n">
        <f aca="false">L85*$C$63</f>
        <v>0.991365455128417</v>
      </c>
      <c r="M84" s="83" t="n">
        <f aca="false">M85*$C$63</f>
        <v>0.992408025133514</v>
      </c>
      <c r="N84" s="83" t="n">
        <f aca="false">N85*$C$63</f>
        <v>0.993450574027431</v>
      </c>
      <c r="O84" s="83" t="n">
        <f aca="false">O85*$C$63</f>
        <v>0.994493099465151</v>
      </c>
      <c r="P84" s="83" t="n">
        <f aca="false">P85*$C$63</f>
        <v>0.995535599101866</v>
      </c>
      <c r="Q84" s="83" t="n">
        <f aca="false">Q85*$C$63</f>
        <v>0.996578070593</v>
      </c>
      <c r="R84" s="83" t="n">
        <f aca="false">R85*$C$63</f>
        <v>0.997620511594234</v>
      </c>
      <c r="S84" s="83"/>
    </row>
    <row r="85" s="84" customFormat="true" ht="12.75" hidden="false" customHeight="false" outlineLevel="0" collapsed="false">
      <c r="A85" s="6" t="s">
        <v>84</v>
      </c>
      <c r="B85" s="38"/>
      <c r="D85" s="83" t="n">
        <f aca="false">EXP(-$C$30*$D$60)</f>
        <v>0.985111939603063</v>
      </c>
      <c r="E85" s="83" t="n">
        <f aca="false">E$61/D$61*D$64</f>
        <v>0.986156808210319</v>
      </c>
      <c r="F85" s="83" t="n">
        <f aca="false">F$61/E$61*E$64</f>
        <v>0.987201674466625</v>
      </c>
      <c r="G85" s="83" t="n">
        <f aca="false">G$61/F$61*F$64</f>
        <v>0.988246536021052</v>
      </c>
      <c r="H85" s="83" t="n">
        <f aca="false">H$61/G$61*G$64</f>
        <v>0.989291390522714</v>
      </c>
      <c r="I85" s="83" t="n">
        <f aca="false">I$61/H$61*H$64</f>
        <v>0.990336235620788</v>
      </c>
      <c r="J85" s="83" t="n">
        <f aca="false">J$61/I$61*I$64</f>
        <v>0.991381068964535</v>
      </c>
      <c r="K85" s="83" t="n">
        <f aca="false">K$61/J$61*J$64</f>
        <v>0.992425888203323</v>
      </c>
      <c r="L85" s="83" t="n">
        <f aca="false">L$61/K$61*K$64</f>
        <v>0.993470690986646</v>
      </c>
      <c r="M85" s="83" t="n">
        <f aca="false">M$61/L$61*L$64</f>
        <v>0.994515474964147</v>
      </c>
      <c r="N85" s="83" t="n">
        <f aca="false">N$61/M$61*M$64</f>
        <v>0.995560237785637</v>
      </c>
      <c r="O85" s="83" t="n">
        <f aca="false">O$61/N$61*N$64</f>
        <v>0.996604977101118</v>
      </c>
      <c r="P85" s="83" t="n">
        <f aca="false">P$61/O$61*O$64</f>
        <v>0.997649690560804</v>
      </c>
      <c r="Q85" s="83" t="n">
        <f aca="false">Q$61/P$61*P$64</f>
        <v>0.998694375815141</v>
      </c>
      <c r="R85" s="83" t="n">
        <f aca="false">R$61/Q$61*Q$64</f>
        <v>0.999739030514829</v>
      </c>
      <c r="S85" s="83"/>
    </row>
    <row r="86" customFormat="false" ht="12.75" hidden="false" customHeight="false" outlineLevel="0" collapsed="false"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</row>
    <row r="87" customFormat="false" ht="12.75" hidden="false" customHeight="false" outlineLevel="0" collapsed="false"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</row>
    <row r="88" customFormat="false" ht="12.75" hidden="false" customHeight="false" outlineLevel="0" collapsed="false"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 t="n">
        <f aca="false">-LN(R71)</f>
        <v>0.0299594883534684</v>
      </c>
      <c r="S88" s="82"/>
    </row>
    <row r="89" customFormat="false" ht="12.75" hidden="false" customHeight="false" outlineLevel="0" collapsed="false"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 t="n">
        <f aca="false">-LN(Q72)</f>
        <v>0.0288836417209975</v>
      </c>
      <c r="R89" s="82" t="n">
        <f aca="false">-LN(R72)</f>
        <v>0.0278381680099087</v>
      </c>
      <c r="S89" s="82"/>
    </row>
    <row r="90" customFormat="false" ht="12.75" hidden="false" customHeight="false" outlineLevel="0" collapsed="false"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 t="n">
        <f aca="false">-LN(P73)</f>
        <v>0.0278089198744524</v>
      </c>
      <c r="Q90" s="82" t="n">
        <f aca="false">-LN(Q73)</f>
        <v>0.0267623213774379</v>
      </c>
      <c r="R90" s="82" t="n">
        <f aca="false">-LN(R73)</f>
        <v>0.025716847666349</v>
      </c>
      <c r="S90" s="82"/>
    </row>
    <row r="91" customFormat="false" ht="12.75" hidden="false" customHeight="false" outlineLevel="0" collapsed="false"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 t="n">
        <f aca="false">-LN(O74)</f>
        <v>0.0267353228454665</v>
      </c>
      <c r="P91" s="82" t="n">
        <f aca="false">-LN(P74)</f>
        <v>0.0256875995308927</v>
      </c>
      <c r="Q91" s="82" t="n">
        <f aca="false">-LN(Q74)</f>
        <v>0.0246410010338782</v>
      </c>
      <c r="R91" s="82" t="n">
        <f aca="false">-LN(R74)</f>
        <v>0.0235955273227893</v>
      </c>
      <c r="S91" s="82"/>
    </row>
    <row r="92" customFormat="false" ht="12.75" hidden="false" customHeight="false" outlineLevel="0" collapsed="false"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 t="n">
        <f aca="false">-LN(N75)</f>
        <v>0.0256628506631425</v>
      </c>
      <c r="O92" s="82" t="n">
        <f aca="false">-LN(O75)</f>
        <v>0.0246140025019069</v>
      </c>
      <c r="P92" s="82" t="n">
        <f aca="false">-LN(P75)</f>
        <v>0.023566279187333</v>
      </c>
      <c r="Q92" s="82" t="n">
        <f aca="false">-LN(Q75)</f>
        <v>0.0225196806903185</v>
      </c>
      <c r="R92" s="82" t="n">
        <f aca="false">-LN(R75)</f>
        <v>0.0214742069792297</v>
      </c>
      <c r="S92" s="82"/>
    </row>
    <row r="93" customFormat="false" ht="12.75" hidden="false" customHeight="false" outlineLevel="0" collapsed="false">
      <c r="D93" s="82"/>
      <c r="E93" s="82"/>
      <c r="F93" s="82"/>
      <c r="G93" s="82"/>
      <c r="H93" s="82"/>
      <c r="I93" s="82"/>
      <c r="J93" s="82"/>
      <c r="K93" s="82"/>
      <c r="L93" s="82"/>
      <c r="M93" s="82" t="n">
        <f aca="false">-LN(M76)</f>
        <v>0.024591503354055</v>
      </c>
      <c r="N93" s="82" t="n">
        <f aca="false">-LN(N76)</f>
        <v>0.0235415303195828</v>
      </c>
      <c r="O93" s="82" t="n">
        <f aca="false">-LN(O76)</f>
        <v>0.0224926821583472</v>
      </c>
      <c r="P93" s="82" t="n">
        <f aca="false">-LN(P76)</f>
        <v>0.0214449588437733</v>
      </c>
      <c r="Q93" s="82" t="n">
        <f aca="false">-LN(Q76)</f>
        <v>0.0203983603467589</v>
      </c>
      <c r="R93" s="82" t="n">
        <f aca="false">-LN(R76)</f>
        <v>0.01935288663567</v>
      </c>
      <c r="S93" s="82"/>
    </row>
    <row r="94" customFormat="false" ht="12.75" hidden="false" customHeight="false" outlineLevel="0" collapsed="false">
      <c r="D94" s="82"/>
      <c r="E94" s="82"/>
      <c r="F94" s="82"/>
      <c r="G94" s="82"/>
      <c r="H94" s="82"/>
      <c r="I94" s="82"/>
      <c r="J94" s="82"/>
      <c r="K94" s="82"/>
      <c r="L94" s="82" t="n">
        <f aca="false">-LN(L77)</f>
        <v>0.023521280942247</v>
      </c>
      <c r="M94" s="82" t="n">
        <f aca="false">-LN(M77)</f>
        <v>0.0224701830104953</v>
      </c>
      <c r="N94" s="82" t="n">
        <f aca="false">-LN(N77)</f>
        <v>0.0214202099760232</v>
      </c>
      <c r="O94" s="82" t="n">
        <f aca="false">-LN(O77)</f>
        <v>0.0203713618147876</v>
      </c>
      <c r="P94" s="82" t="n">
        <f aca="false">-LN(P77)</f>
        <v>0.0193236385002136</v>
      </c>
      <c r="Q94" s="82" t="n">
        <f aca="false">-LN(Q77)</f>
        <v>0.0182770400031992</v>
      </c>
      <c r="R94" s="82" t="n">
        <f aca="false">-LN(R77)</f>
        <v>0.0172315662921104</v>
      </c>
      <c r="S94" s="82"/>
    </row>
    <row r="95" customFormat="false" ht="12.75" hidden="false" customHeight="false" outlineLevel="0" collapsed="false">
      <c r="D95" s="82"/>
      <c r="E95" s="82"/>
      <c r="F95" s="82"/>
      <c r="G95" s="82"/>
      <c r="H95" s="82"/>
      <c r="I95" s="82"/>
      <c r="J95" s="82"/>
      <c r="K95" s="82" t="n">
        <f aca="false">-LN(K78)</f>
        <v>0.022452183449232</v>
      </c>
      <c r="L95" s="82" t="n">
        <f aca="false">-LN(L78)</f>
        <v>0.0213999605986874</v>
      </c>
      <c r="M95" s="82" t="n">
        <f aca="false">-LN(M78)</f>
        <v>0.0203488626669357</v>
      </c>
      <c r="N95" s="82" t="n">
        <f aca="false">-LN(N78)</f>
        <v>0.0192988896324635</v>
      </c>
      <c r="O95" s="82" t="n">
        <f aca="false">-LN(O78)</f>
        <v>0.0182500414712279</v>
      </c>
      <c r="P95" s="82" t="n">
        <f aca="false">-LN(P78)</f>
        <v>0.0172023181566539</v>
      </c>
      <c r="Q95" s="82" t="n">
        <f aca="false">-LN(Q78)</f>
        <v>0.0161557196596395</v>
      </c>
      <c r="R95" s="82" t="n">
        <f aca="false">-LN(R78)</f>
        <v>0.0151102459485507</v>
      </c>
      <c r="S95" s="82"/>
    </row>
    <row r="96" customFormat="false" ht="12.75" hidden="false" customHeight="false" outlineLevel="0" collapsed="false">
      <c r="D96" s="82"/>
      <c r="E96" s="82"/>
      <c r="F96" s="82"/>
      <c r="G96" s="82"/>
      <c r="H96" s="82"/>
      <c r="I96" s="82"/>
      <c r="J96" s="82" t="n">
        <f aca="false">-LN(J79)</f>
        <v>0.021384210893993</v>
      </c>
      <c r="K96" s="82" t="n">
        <f aca="false">-LN(K79)</f>
        <v>0.0203308631056723</v>
      </c>
      <c r="L96" s="82" t="n">
        <f aca="false">-LN(L79)</f>
        <v>0.0192786402551277</v>
      </c>
      <c r="M96" s="82" t="n">
        <f aca="false">-LN(M79)</f>
        <v>0.018227542323376</v>
      </c>
      <c r="N96" s="82" t="n">
        <f aca="false">-LN(N79)</f>
        <v>0.0171775692889038</v>
      </c>
      <c r="O96" s="82" t="n">
        <f aca="false">-LN(O79)</f>
        <v>0.0161287211276682</v>
      </c>
      <c r="P96" s="82" t="n">
        <f aca="false">-LN(P79)</f>
        <v>0.0150809978130943</v>
      </c>
      <c r="Q96" s="82" t="n">
        <f aca="false">-LN(Q79)</f>
        <v>0.0140343993160799</v>
      </c>
      <c r="R96" s="82" t="n">
        <f aca="false">-LN(R79)</f>
        <v>0.012988925604991</v>
      </c>
      <c r="S96" s="82"/>
    </row>
    <row r="97" customFormat="false" ht="12.75" hidden="false" customHeight="false" outlineLevel="0" collapsed="false">
      <c r="D97" s="82"/>
      <c r="E97" s="82"/>
      <c r="F97" s="82"/>
      <c r="G97" s="82"/>
      <c r="H97" s="82"/>
      <c r="I97" s="82" t="n">
        <f aca="false">-LN(I80)</f>
        <v>0.0203173632929816</v>
      </c>
      <c r="J97" s="82" t="n">
        <f aca="false">-LN(J80)</f>
        <v>0.0192628905504333</v>
      </c>
      <c r="K97" s="82" t="n">
        <f aca="false">-LN(K80)</f>
        <v>0.0182095427621126</v>
      </c>
      <c r="L97" s="82" t="n">
        <f aca="false">-LN(L80)</f>
        <v>0.017157319911568</v>
      </c>
      <c r="M97" s="82" t="n">
        <f aca="false">-LN(M80)</f>
        <v>0.0161062219798163</v>
      </c>
      <c r="N97" s="82" t="n">
        <f aca="false">-LN(N80)</f>
        <v>0.0150562489453442</v>
      </c>
      <c r="O97" s="82" t="n">
        <f aca="false">-LN(O80)</f>
        <v>0.0140074007841085</v>
      </c>
      <c r="P97" s="82" t="n">
        <f aca="false">-LN(P80)</f>
        <v>0.0129596774695346</v>
      </c>
      <c r="Q97" s="82" t="n">
        <f aca="false">-LN(Q80)</f>
        <v>0.0119130789725202</v>
      </c>
      <c r="R97" s="82" t="n">
        <f aca="false">-LN(R80)</f>
        <v>0.0108676052614314</v>
      </c>
      <c r="S97" s="82"/>
    </row>
    <row r="98" customFormat="false" ht="12.75" hidden="false" customHeight="false" outlineLevel="0" collapsed="false">
      <c r="D98" s="82"/>
      <c r="E98" s="82"/>
      <c r="F98" s="82"/>
      <c r="G98" s="82"/>
      <c r="H98" s="82" t="n">
        <f aca="false">-LN(H81)</f>
        <v>0.0192516406601195</v>
      </c>
      <c r="I98" s="82" t="n">
        <f aca="false">-LN(I81)</f>
        <v>0.018196042949422</v>
      </c>
      <c r="J98" s="82" t="n">
        <f aca="false">-LN(J81)</f>
        <v>0.0171415702068737</v>
      </c>
      <c r="K98" s="82" t="n">
        <f aca="false">-LN(K81)</f>
        <v>0.0160882224185529</v>
      </c>
      <c r="L98" s="82" t="n">
        <f aca="false">-LN(L81)</f>
        <v>0.0150359995680084</v>
      </c>
      <c r="M98" s="82" t="n">
        <f aca="false">-LN(M81)</f>
        <v>0.0139849016362566</v>
      </c>
      <c r="N98" s="82" t="n">
        <f aca="false">-LN(N81)</f>
        <v>0.0129349286017846</v>
      </c>
      <c r="O98" s="82" t="n">
        <f aca="false">-LN(O81)</f>
        <v>0.0118860804405488</v>
      </c>
      <c r="P98" s="82" t="n">
        <f aca="false">-LN(P81)</f>
        <v>0.0108383571259749</v>
      </c>
      <c r="Q98" s="82" t="n">
        <f aca="false">-LN(Q81)</f>
        <v>0.00979175862896057</v>
      </c>
      <c r="R98" s="82" t="n">
        <f aca="false">-LN(R81)</f>
        <v>0.00874628491787176</v>
      </c>
      <c r="S98" s="82"/>
    </row>
    <row r="99" customFormat="false" ht="12.75" hidden="false" customHeight="false" outlineLevel="0" collapsed="false">
      <c r="D99" s="82"/>
      <c r="E99" s="82"/>
      <c r="F99" s="82"/>
      <c r="G99" s="82" t="n">
        <f aca="false">-LN(G82)</f>
        <v>0.0181870430067966</v>
      </c>
      <c r="H99" s="82" t="n">
        <f aca="false">-LN(H82)</f>
        <v>0.0171303203165598</v>
      </c>
      <c r="I99" s="82" t="n">
        <f aca="false">-LN(I82)</f>
        <v>0.0160747226058623</v>
      </c>
      <c r="J99" s="82" t="n">
        <f aca="false">-LN(J82)</f>
        <v>0.015020249863314</v>
      </c>
      <c r="K99" s="82" t="n">
        <f aca="false">-LN(K82)</f>
        <v>0.0139669020749933</v>
      </c>
      <c r="L99" s="82" t="n">
        <f aca="false">-LN(L82)</f>
        <v>0.0129146792244487</v>
      </c>
      <c r="M99" s="82" t="n">
        <f aca="false">-LN(M82)</f>
        <v>0.011863581292697</v>
      </c>
      <c r="N99" s="82" t="n">
        <f aca="false">-LN(N82)</f>
        <v>0.0108136082582249</v>
      </c>
      <c r="O99" s="82" t="n">
        <f aca="false">-LN(O82)</f>
        <v>0.0097647600969892</v>
      </c>
      <c r="P99" s="82" t="n">
        <f aca="false">-LN(P82)</f>
        <v>0.00871703678241526</v>
      </c>
      <c r="Q99" s="82" t="n">
        <f aca="false">-LN(Q82)</f>
        <v>0.00767043828540096</v>
      </c>
      <c r="R99" s="82" t="n">
        <f aca="false">-LN(R82)</f>
        <v>0.00662496457431208</v>
      </c>
      <c r="S99" s="82"/>
    </row>
    <row r="100" customFormat="false" ht="12.75" hidden="false" customHeight="false" outlineLevel="0" collapsed="false">
      <c r="D100" s="82"/>
      <c r="E100" s="82"/>
      <c r="F100" s="82" t="n">
        <f aca="false">-LN(F83)</f>
        <v>0.017123570341872</v>
      </c>
      <c r="G100" s="82" t="n">
        <f aca="false">-LN(G83)</f>
        <v>0.0160657226632369</v>
      </c>
      <c r="H100" s="82" t="n">
        <f aca="false">-LN(H83)</f>
        <v>0.0150089999730001</v>
      </c>
      <c r="I100" s="82" t="n">
        <f aca="false">-LN(I83)</f>
        <v>0.0139534022623027</v>
      </c>
      <c r="J100" s="82" t="n">
        <f aca="false">-LN(J83)</f>
        <v>0.0128989295197543</v>
      </c>
      <c r="K100" s="82" t="n">
        <f aca="false">-LN(K83)</f>
        <v>0.0118455817314337</v>
      </c>
      <c r="L100" s="82" t="n">
        <f aca="false">-LN(L83)</f>
        <v>0.0107933588808891</v>
      </c>
      <c r="M100" s="82" t="n">
        <f aca="false">-LN(M83)</f>
        <v>0.00974226094913732</v>
      </c>
      <c r="N100" s="82" t="n">
        <f aca="false">-LN(N83)</f>
        <v>0.0086922879146652</v>
      </c>
      <c r="O100" s="82" t="n">
        <f aca="false">-LN(O83)</f>
        <v>0.00764343975342951</v>
      </c>
      <c r="P100" s="82" t="n">
        <f aca="false">-LN(P83)</f>
        <v>0.0065957164388556</v>
      </c>
      <c r="Q100" s="82" t="n">
        <f aca="false">-LN(Q83)</f>
        <v>0.00554911794184128</v>
      </c>
      <c r="R100" s="82" t="n">
        <f aca="false">-LN(R83)</f>
        <v>0.00450364423075242</v>
      </c>
      <c r="S100" s="82"/>
    </row>
    <row r="101" customFormat="false" ht="12.75" hidden="false" customHeight="false" outlineLevel="0" collapsed="false">
      <c r="D101" s="82"/>
      <c r="E101" s="82" t="n">
        <f aca="false">-LN(E84)</f>
        <v>0.0160612226716745</v>
      </c>
      <c r="F101" s="82" t="n">
        <f aca="false">-LN(F84)</f>
        <v>0.0150022499983124</v>
      </c>
      <c r="G101" s="82" t="n">
        <f aca="false">-LN(G84)</f>
        <v>0.0139444023196772</v>
      </c>
      <c r="H101" s="82" t="n">
        <f aca="false">-LN(H84)</f>
        <v>0.0128876796294405</v>
      </c>
      <c r="I101" s="82" t="n">
        <f aca="false">-LN(I84)</f>
        <v>0.011832081918743</v>
      </c>
      <c r="J101" s="82" t="n">
        <f aca="false">-LN(J84)</f>
        <v>0.0107776091761946</v>
      </c>
      <c r="K101" s="82" t="n">
        <f aca="false">-LN(K84)</f>
        <v>0.00972426138787402</v>
      </c>
      <c r="L101" s="82" t="n">
        <f aca="false">-LN(L84)</f>
        <v>0.00867203853732938</v>
      </c>
      <c r="M101" s="82" t="n">
        <f aca="false">-LN(M84)</f>
        <v>0.00762094060557762</v>
      </c>
      <c r="N101" s="82" t="n">
        <f aca="false">-LN(N84)</f>
        <v>0.0065709675711055</v>
      </c>
      <c r="O101" s="82" t="n">
        <f aca="false">-LN(O84)</f>
        <v>0.00552211940986979</v>
      </c>
      <c r="P101" s="82" t="n">
        <f aca="false">-LN(P84)</f>
        <v>0.00447439609529595</v>
      </c>
      <c r="Q101" s="82" t="n">
        <f aca="false">-LN(Q84)</f>
        <v>0.00342779759828159</v>
      </c>
      <c r="R101" s="82" t="n">
        <f aca="false">-LN(R84)</f>
        <v>0.00238232388719271</v>
      </c>
      <c r="S101" s="82"/>
    </row>
    <row r="102" customFormat="false" ht="12.75" hidden="false" customHeight="false" outlineLevel="0" collapsed="false">
      <c r="A102" s="8" t="s">
        <v>85</v>
      </c>
      <c r="D102" s="82" t="n">
        <f aca="false">-LN(D85)</f>
        <v>0.015</v>
      </c>
      <c r="E102" s="82" t="n">
        <f aca="false">-LN(E85)</f>
        <v>0.0139399023281148</v>
      </c>
      <c r="F102" s="82" t="n">
        <f aca="false">-LN(F85)</f>
        <v>0.0128809296547528</v>
      </c>
      <c r="G102" s="82" t="n">
        <f aca="false">-LN(G85)</f>
        <v>0.0118230819761175</v>
      </c>
      <c r="H102" s="82" t="n">
        <f aca="false">-LN(H85)</f>
        <v>0.0107663592858808</v>
      </c>
      <c r="I102" s="82" t="n">
        <f aca="false">-LN(I85)</f>
        <v>0.00971076157518334</v>
      </c>
      <c r="J102" s="82" t="n">
        <f aca="false">-LN(J85)</f>
        <v>0.008656288832635</v>
      </c>
      <c r="K102" s="82" t="n">
        <f aca="false">-LN(K85)</f>
        <v>0.00760294104431436</v>
      </c>
      <c r="L102" s="82" t="n">
        <f aca="false">-LN(L85)</f>
        <v>0.00655071819376969</v>
      </c>
      <c r="M102" s="82" t="n">
        <f aca="false">-LN(M85)</f>
        <v>0.00549962026201792</v>
      </c>
      <c r="N102" s="82" t="n">
        <f aca="false">-LN(N85)</f>
        <v>0.00444964722754582</v>
      </c>
      <c r="O102" s="82" t="n">
        <f aca="false">-LN(O85)</f>
        <v>0.00340079906631014</v>
      </c>
      <c r="P102" s="82" t="n">
        <f aca="false">-LN(P85)</f>
        <v>0.00235307575173632</v>
      </c>
      <c r="Q102" s="82" t="n">
        <f aca="false">-LN(Q85)</f>
        <v>0.0013064772547219</v>
      </c>
      <c r="R102" s="82" t="n">
        <f aca="false">-LN(R85)</f>
        <v>0.000261003543632995</v>
      </c>
      <c r="S102" s="82"/>
    </row>
    <row r="103" customFormat="false" ht="12.75" hidden="false" customHeight="false" outlineLevel="0" collapsed="false"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</row>
    <row r="104" customFormat="false" ht="12.75" hidden="false" customHeight="false" outlineLevel="0" collapsed="false">
      <c r="D104" s="82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</row>
    <row r="105" customFormat="false" ht="12.75" hidden="false" customHeight="false" outlineLevel="0" collapsed="false">
      <c r="D105" s="82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 t="n">
        <f aca="false">(EXP(R88)-$C$67)/($C$66-$C$67)</f>
        <v>0.369329627948809</v>
      </c>
      <c r="S105" s="83"/>
    </row>
    <row r="106" customFormat="false" ht="12.75" hidden="false" customHeight="false" outlineLevel="0" collapsed="false">
      <c r="D106" s="82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 t="n">
        <f aca="false">(EXP(Q89)-$C$67)/($C$66-$C$67)</f>
        <v>0.368510231120382</v>
      </c>
      <c r="R106" s="83" t="n">
        <f aca="false">(EXP(R89)-$C$67)/($C$66-$C$67)</f>
        <v>0.367714811333037</v>
      </c>
      <c r="S106" s="83"/>
    </row>
    <row r="107" customFormat="false" ht="12.75" hidden="false" customHeight="false" outlineLevel="0" collapsed="false">
      <c r="D107" s="82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 t="n">
        <f aca="false">(EXP(P90)-$C$67)/($C$66-$C$67)</f>
        <v>0.367692570652778</v>
      </c>
      <c r="Q107" s="83" t="n">
        <f aca="false">(EXP(Q90)-$C$67)/($C$66-$C$67)</f>
        <v>0.366897150865433</v>
      </c>
      <c r="R107" s="83" t="n">
        <f aca="false">(EXP(R90)-$C$67)/($C$66-$C$67)</f>
        <v>0.366103416629834</v>
      </c>
      <c r="S107" s="83"/>
    </row>
    <row r="108" customFormat="false" ht="12.75" hidden="false" customHeight="false" outlineLevel="0" collapsed="false">
      <c r="D108" s="82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 t="n">
        <f aca="false">(EXP(O91)-$C$67)/($C$66-$C$67)</f>
        <v>0.366876642866522</v>
      </c>
      <c r="P108" s="83" t="n">
        <f aca="false">(EXP(P91)-$C$67)/($C$66-$C$67)</f>
        <v>0.366081223079176</v>
      </c>
      <c r="Q108" s="83" t="n">
        <f aca="false">(EXP(Q91)-$C$67)/($C$66-$C$67)</f>
        <v>0.365287488843578</v>
      </c>
      <c r="R108" s="83" t="n">
        <f aca="false">(EXP(R91)-$C$67)/($C$66-$C$67)</f>
        <v>0.36449543658792</v>
      </c>
      <c r="S108" s="83"/>
    </row>
    <row r="109" customFormat="false" ht="12.75" hidden="false" customHeight="false" outlineLevel="0" collapsed="false">
      <c r="D109" s="82"/>
      <c r="E109" s="83"/>
      <c r="F109" s="83"/>
      <c r="G109" s="83"/>
      <c r="H109" s="83"/>
      <c r="I109" s="83"/>
      <c r="J109" s="83"/>
      <c r="K109" s="83"/>
      <c r="L109" s="83"/>
      <c r="M109" s="83"/>
      <c r="N109" s="83" t="n">
        <f aca="false">(EXP(N92)-$C$67)/($C$66-$C$67)</f>
        <v>0.366062444089938</v>
      </c>
      <c r="O109" s="83" t="n">
        <f aca="false">(EXP(O92)-$C$67)/($C$66-$C$67)</f>
        <v>0.365267024302592</v>
      </c>
      <c r="P109" s="83" t="n">
        <f aca="false">(EXP(P92)-$C$67)/($C$66-$C$67)</f>
        <v>0.364473290066993</v>
      </c>
      <c r="Q109" s="83" t="n">
        <f aca="false">(EXP(Q92)-$C$67)/($C$66-$C$67)</f>
        <v>0.363681237811336</v>
      </c>
      <c r="R109" s="83" t="n">
        <f aca="false">(EXP(R92)-$C$67)/($C$66-$C$67)</f>
        <v>0.362890863971384</v>
      </c>
      <c r="S109" s="83"/>
    </row>
    <row r="110" customFormat="false" ht="12.75" hidden="false" customHeight="false" outlineLevel="0" collapsed="false">
      <c r="D110" s="82"/>
      <c r="E110" s="83"/>
      <c r="F110" s="83"/>
      <c r="G110" s="83"/>
      <c r="H110" s="83"/>
      <c r="I110" s="83"/>
      <c r="J110" s="83"/>
      <c r="K110" s="83"/>
      <c r="L110" s="83"/>
      <c r="M110" s="83" t="n">
        <f aca="false">(EXP(M93)-$C$67)/($C$66-$C$67)</f>
        <v>0.365249970659129</v>
      </c>
      <c r="N110" s="83" t="n">
        <f aca="false">(EXP(N93)-$C$67)/($C$66-$C$67)</f>
        <v>0.364454550871783</v>
      </c>
      <c r="O110" s="83" t="n">
        <f aca="false">(EXP(O93)-$C$67)/($C$66-$C$67)</f>
        <v>0.363660816636185</v>
      </c>
      <c r="P110" s="83" t="n">
        <f aca="false">(EXP(P93)-$C$67)/($C$66-$C$67)</f>
        <v>0.362868764380527</v>
      </c>
      <c r="Q110" s="83" t="n">
        <f aca="false">(EXP(Q93)-$C$67)/($C$66-$C$67)</f>
        <v>0.362078390540575</v>
      </c>
      <c r="R110" s="83" t="n">
        <f aca="false">(EXP(R93)-$C$67)/($C$66-$C$67)</f>
        <v>0.361289691559644</v>
      </c>
      <c r="S110" s="83"/>
    </row>
    <row r="111" customFormat="false" ht="12.75" hidden="false" customHeight="false" outlineLevel="0" collapsed="false">
      <c r="D111" s="82"/>
      <c r="E111" s="83"/>
      <c r="F111" s="83"/>
      <c r="G111" s="83"/>
      <c r="H111" s="83"/>
      <c r="I111" s="83"/>
      <c r="J111" s="83"/>
      <c r="K111" s="83"/>
      <c r="L111" s="83" t="n">
        <f aca="false">(EXP(L94)-$C$67)/($C$66-$C$67)</f>
        <v>0.364439218917965</v>
      </c>
      <c r="M111" s="83" t="n">
        <f aca="false">(EXP(M94)-$C$67)/($C$66-$C$67)</f>
        <v>0.363643799130619</v>
      </c>
      <c r="N111" s="83" t="n">
        <f aca="false">(EXP(N94)-$C$67)/($C$66-$C$67)</f>
        <v>0.362850064895021</v>
      </c>
      <c r="O111" s="83" t="n">
        <f aca="false">(EXP(O94)-$C$67)/($C$66-$C$67)</f>
        <v>0.362058012639364</v>
      </c>
      <c r="P111" s="83" t="n">
        <f aca="false">(EXP(P94)-$C$67)/($C$66-$C$67)</f>
        <v>0.361267638799411</v>
      </c>
      <c r="Q111" s="83" t="n">
        <f aca="false">(EXP(Q94)-$C$67)/($C$66-$C$67)</f>
        <v>0.36047893981848</v>
      </c>
      <c r="R111" s="83" t="n">
        <f aca="false">(EXP(R94)-$C$67)/($C$66-$C$67)</f>
        <v>0.359691912147424</v>
      </c>
      <c r="S111" s="83"/>
    </row>
    <row r="112" customFormat="false" ht="12.75" hidden="false" customHeight="false" outlineLevel="0" collapsed="false">
      <c r="D112" s="82"/>
      <c r="E112" s="83"/>
      <c r="F112" s="83"/>
      <c r="G112" s="83"/>
      <c r="H112" s="83"/>
      <c r="I112" s="83"/>
      <c r="J112" s="83"/>
      <c r="K112" s="83" t="n">
        <f aca="false">(EXP(K95)-$C$67)/($C$66-$C$67)</f>
        <v>0.36363018521806</v>
      </c>
      <c r="L112" s="83" t="n">
        <f aca="false">(EXP(L95)-$C$67)/($C$66-$C$67)</f>
        <v>0.362834765430715</v>
      </c>
      <c r="M112" s="83" t="n">
        <f aca="false">(EXP(M95)-$C$67)/($C$66-$C$67)</f>
        <v>0.362041031195116</v>
      </c>
      <c r="N112" s="83" t="n">
        <f aca="false">(EXP(N95)-$C$67)/($C$66-$C$67)</f>
        <v>0.361248978939459</v>
      </c>
      <c r="O112" s="83" t="n">
        <f aca="false">(EXP(O95)-$C$67)/($C$66-$C$67)</f>
        <v>0.360458605099507</v>
      </c>
      <c r="P112" s="83" t="n">
        <f aca="false">(EXP(P95)-$C$67)/($C$66-$C$67)</f>
        <v>0.359669906118576</v>
      </c>
      <c r="Q112" s="83" t="n">
        <f aca="false">(EXP(Q95)-$C$67)/($C$66-$C$67)</f>
        <v>0.35888287844752</v>
      </c>
      <c r="R112" s="83" t="n">
        <f aca="false">(EXP(R95)-$C$67)/($C$66-$C$67)</f>
        <v>0.358097518544712</v>
      </c>
      <c r="S112" s="83"/>
    </row>
    <row r="113" customFormat="false" ht="12.75" hidden="false" customHeight="false" outlineLevel="0" collapsed="false">
      <c r="D113" s="82"/>
      <c r="E113" s="83"/>
      <c r="F113" s="83"/>
      <c r="G113" s="83"/>
      <c r="H113" s="83"/>
      <c r="I113" s="83"/>
      <c r="J113" s="83" t="n">
        <f aca="false">(EXP(J96)-$C$67)/($C$66-$C$67)</f>
        <v>0.362822865918763</v>
      </c>
      <c r="K113" s="83" t="n">
        <f aca="false">(EXP(K96)-$C$67)/($C$66-$C$67)</f>
        <v>0.362027446131417</v>
      </c>
      <c r="L113" s="83" t="n">
        <f aca="false">(EXP(L96)-$C$67)/($C$66-$C$67)</f>
        <v>0.361233711895819</v>
      </c>
      <c r="M113" s="83" t="n">
        <f aca="false">(EXP(M96)-$C$67)/($C$66-$C$67)</f>
        <v>0.360441659640161</v>
      </c>
      <c r="N113" s="83" t="n">
        <f aca="false">(EXP(N96)-$C$67)/($C$66-$C$67)</f>
        <v>0.359651285800209</v>
      </c>
      <c r="O113" s="83" t="n">
        <f aca="false">(EXP(O96)-$C$67)/($C$66-$C$67)</f>
        <v>0.358862586819278</v>
      </c>
      <c r="P113" s="83" t="n">
        <f aca="false">(EXP(P96)-$C$67)/($C$66-$C$67)</f>
        <v>0.358075559148222</v>
      </c>
      <c r="Q113" s="83" t="n">
        <f aca="false">(EXP(Q96)-$C$67)/($C$66-$C$67)</f>
        <v>0.357290199245415</v>
      </c>
      <c r="R113" s="83" t="n">
        <f aca="false">(EXP(R96)-$C$67)/($C$66-$C$67)</f>
        <v>0.356506503576735</v>
      </c>
      <c r="S113" s="83"/>
    </row>
    <row r="114" customFormat="false" ht="12.75" hidden="false" customHeight="false" outlineLevel="0" collapsed="false">
      <c r="D114" s="82"/>
      <c r="E114" s="83"/>
      <c r="F114" s="83"/>
      <c r="G114" s="83"/>
      <c r="H114" s="83"/>
      <c r="I114" s="83" t="n">
        <f aca="false">(EXP(I97)-$C$67)/($C$66-$C$67)</f>
        <v>0.362017257387134</v>
      </c>
      <c r="J114" s="83" t="n">
        <f aca="false">(EXP(J97)-$C$67)/($C$66-$C$67)</f>
        <v>0.361221837599788</v>
      </c>
      <c r="K114" s="83" t="n">
        <f aca="false">(EXP(K97)-$C$67)/($C$66-$C$67)</f>
        <v>0.36042810336419</v>
      </c>
      <c r="L114" s="83" t="n">
        <f aca="false">(EXP(L97)-$C$67)/($C$66-$C$67)</f>
        <v>0.359636051108533</v>
      </c>
      <c r="M114" s="83" t="n">
        <f aca="false">(EXP(M97)-$C$67)/($C$66-$C$67)</f>
        <v>0.35884567726858</v>
      </c>
      <c r="N114" s="83" t="n">
        <f aca="false">(EXP(N97)-$C$67)/($C$66-$C$67)</f>
        <v>0.358056978287649</v>
      </c>
      <c r="O114" s="83" t="n">
        <f aca="false">(EXP(O97)-$C$67)/($C$66-$C$67)</f>
        <v>0.357269950616593</v>
      </c>
      <c r="P114" s="83" t="n">
        <f aca="false">(EXP(P97)-$C$67)/($C$66-$C$67)</f>
        <v>0.356484590713786</v>
      </c>
      <c r="Q114" s="83" t="n">
        <f aca="false">(EXP(Q97)-$C$67)/($C$66-$C$67)</f>
        <v>0.355700895045106</v>
      </c>
      <c r="R114" s="83" t="n">
        <f aca="false">(EXP(R97)-$C$67)/($C$66-$C$67)</f>
        <v>0.354918860083923</v>
      </c>
      <c r="S114" s="83"/>
    </row>
    <row r="115" customFormat="false" ht="12.75" hidden="false" customHeight="false" outlineLevel="0" collapsed="false">
      <c r="D115" s="82"/>
      <c r="E115" s="83"/>
      <c r="F115" s="83"/>
      <c r="G115" s="83"/>
      <c r="H115" s="83" t="n">
        <f aca="false">(EXP(H98)-$C$67)/($C$66-$C$67)</f>
        <v>0.361213355997934</v>
      </c>
      <c r="I115" s="83" t="n">
        <f aca="false">(EXP(I98)-$C$67)/($C$66-$C$67)</f>
        <v>0.360417936210588</v>
      </c>
      <c r="J115" s="83" t="n">
        <f aca="false">(EXP(J98)-$C$67)/($C$66-$C$67)</f>
        <v>0.35962420197499</v>
      </c>
      <c r="K115" s="83" t="n">
        <f aca="false">(EXP(K98)-$C$67)/($C$66-$C$67)</f>
        <v>0.358832149719332</v>
      </c>
      <c r="L115" s="83" t="n">
        <f aca="false">(EXP(L98)-$C$67)/($C$66-$C$67)</f>
        <v>0.35804177587938</v>
      </c>
      <c r="M115" s="83" t="n">
        <f aca="false">(EXP(M98)-$C$67)/($C$66-$C$67)</f>
        <v>0.357253076898449</v>
      </c>
      <c r="N115" s="83" t="n">
        <f aca="false">(EXP(N98)-$C$67)/($C$66-$C$67)</f>
        <v>0.356466049227393</v>
      </c>
      <c r="O115" s="83" t="n">
        <f aca="false">(EXP(O98)-$C$67)/($C$66-$C$67)</f>
        <v>0.355680689324586</v>
      </c>
      <c r="P115" s="83" t="n">
        <f aca="false">(EXP(P98)-$C$67)/($C$66-$C$67)</f>
        <v>0.354896993655906</v>
      </c>
      <c r="Q115" s="83" t="n">
        <f aca="false">(EXP(Q98)-$C$67)/($C$66-$C$67)</f>
        <v>0.354114958694723</v>
      </c>
      <c r="R115" s="83" t="n">
        <f aca="false">(EXP(R98)-$C$67)/($C$66-$C$67)</f>
        <v>0.353334580921877</v>
      </c>
      <c r="S115" s="83"/>
    </row>
    <row r="116" customFormat="false" ht="12.75" hidden="false" customHeight="false" outlineLevel="0" collapsed="false">
      <c r="D116" s="82"/>
      <c r="E116" s="83"/>
      <c r="F116" s="83"/>
      <c r="G116" s="83" t="n">
        <f aca="false">(EXP(G99)-$C$67)/($C$66-$C$67)</f>
        <v>0.360411158133605</v>
      </c>
      <c r="H116" s="83" t="n">
        <f aca="false">(EXP(H99)-$C$67)/($C$66-$C$67)</f>
        <v>0.35961573834626</v>
      </c>
      <c r="I116" s="83" t="n">
        <f aca="false">(EXP(I99)-$C$67)/($C$66-$C$67)</f>
        <v>0.358822004110661</v>
      </c>
      <c r="J116" s="83" t="n">
        <f aca="false">(EXP(J99)-$C$67)/($C$66-$C$67)</f>
        <v>0.358029951855004</v>
      </c>
      <c r="K116" s="83" t="n">
        <f aca="false">(EXP(K99)-$C$67)/($C$66-$C$67)</f>
        <v>0.357239578015052</v>
      </c>
      <c r="L116" s="83" t="n">
        <f aca="false">(EXP(L99)-$C$67)/($C$66-$C$67)</f>
        <v>0.356450879034121</v>
      </c>
      <c r="M116" s="83" t="n">
        <f aca="false">(EXP(M99)-$C$67)/($C$66-$C$67)</f>
        <v>0.355663851363065</v>
      </c>
      <c r="N116" s="83" t="n">
        <f aca="false">(EXP(N99)-$C$67)/($C$66-$C$67)</f>
        <v>0.354878491460257</v>
      </c>
      <c r="O116" s="83" t="n">
        <f aca="false">(EXP(O99)-$C$67)/($C$66-$C$67)</f>
        <v>0.354094795791578</v>
      </c>
      <c r="P116" s="83" t="n">
        <f aca="false">(EXP(P99)-$C$67)/($C$66-$C$67)</f>
        <v>0.353312760830394</v>
      </c>
      <c r="Q116" s="83" t="n">
        <f aca="false">(EXP(Q99)-$C$67)/($C$66-$C$67)</f>
        <v>0.352532383057548</v>
      </c>
      <c r="R116" s="83" t="n">
        <f aca="false">(EXP(R99)-$C$67)/($C$66-$C$67)</f>
        <v>0.351753658961338</v>
      </c>
      <c r="S116" s="83"/>
    </row>
    <row r="117" customFormat="false" ht="12.75" hidden="false" customHeight="false" outlineLevel="0" collapsed="false">
      <c r="D117" s="82"/>
      <c r="E117" s="83"/>
      <c r="F117" s="83" t="n">
        <f aca="false">(EXP(F100)-$C$67)/($C$66-$C$67)</f>
        <v>0.359610660184256</v>
      </c>
      <c r="G117" s="83" t="n">
        <f aca="false">(EXP(G100)-$C$67)/($C$66-$C$67)</f>
        <v>0.358815240396911</v>
      </c>
      <c r="H117" s="83" t="n">
        <f aca="false">(EXP(H100)-$C$67)/($C$66-$C$67)</f>
        <v>0.358021506161312</v>
      </c>
      <c r="I117" s="83" t="n">
        <f aca="false">(EXP(I100)-$C$67)/($C$66-$C$67)</f>
        <v>0.357229453905655</v>
      </c>
      <c r="J117" s="83" t="n">
        <f aca="false">(EXP(J100)-$C$67)/($C$66-$C$67)</f>
        <v>0.356439080065703</v>
      </c>
      <c r="K117" s="83" t="n">
        <f aca="false">(EXP(K100)-$C$67)/($C$66-$C$67)</f>
        <v>0.355650381084772</v>
      </c>
      <c r="L117" s="83" t="n">
        <f aca="false">(EXP(L100)-$C$67)/($C$66-$C$67)</f>
        <v>0.354863353413716</v>
      </c>
      <c r="M117" s="83" t="n">
        <f aca="false">(EXP(M100)-$C$67)/($C$66-$C$67)</f>
        <v>0.354077993510908</v>
      </c>
      <c r="N117" s="83" t="n">
        <f aca="false">(EXP(N100)-$C$67)/($C$66-$C$67)</f>
        <v>0.353294297842229</v>
      </c>
      <c r="O117" s="83" t="n">
        <f aca="false">(EXP(O100)-$C$67)/($C$66-$C$67)</f>
        <v>0.352512262881045</v>
      </c>
      <c r="P117" s="83" t="n">
        <f aca="false">(EXP(P100)-$C$67)/($C$66-$C$67)</f>
        <v>0.351731885108199</v>
      </c>
      <c r="Q117" s="83" t="n">
        <f aca="false">(EXP(Q100)-$C$67)/($C$66-$C$67)</f>
        <v>0.350953161011989</v>
      </c>
      <c r="R117" s="83" t="n">
        <f aca="false">(EXP(R100)-$C$67)/($C$66-$C$67)</f>
        <v>0.350176087088156</v>
      </c>
      <c r="S117" s="83"/>
    </row>
    <row r="118" customFormat="false" ht="12.75" hidden="false" customHeight="false" outlineLevel="0" collapsed="false">
      <c r="D118" s="82"/>
      <c r="E118" s="83" t="n">
        <f aca="false">(EXP(E101)-$C$67)/($C$66-$C$67)</f>
        <v>0.358811858547645</v>
      </c>
      <c r="F118" s="83" t="n">
        <f aca="false">(EXP(F101)-$C$67)/($C$66-$C$67)</f>
        <v>0.358016438760299</v>
      </c>
      <c r="G118" s="83" t="n">
        <f aca="false">(EXP(G101)-$C$67)/($C$66-$C$67)</f>
        <v>0.357222704524701</v>
      </c>
      <c r="H118" s="83" t="n">
        <f aca="false">(EXP(H101)-$C$67)/($C$66-$C$67)</f>
        <v>0.356430652269043</v>
      </c>
      <c r="I118" s="83" t="n">
        <f aca="false">(EXP(I101)-$C$67)/($C$66-$C$67)</f>
        <v>0.355640278429091</v>
      </c>
      <c r="J118" s="83" t="n">
        <f aca="false">(EXP(J101)-$C$67)/($C$66-$C$67)</f>
        <v>0.35485157944816</v>
      </c>
      <c r="K118" s="83" t="n">
        <f aca="false">(EXP(K101)-$C$67)/($C$66-$C$67)</f>
        <v>0.354064551777104</v>
      </c>
      <c r="L118" s="83" t="n">
        <f aca="false">(EXP(L101)-$C$67)/($C$66-$C$67)</f>
        <v>0.353279191874297</v>
      </c>
      <c r="M118" s="83" t="n">
        <f aca="false">(EXP(M101)-$C$67)/($C$66-$C$67)</f>
        <v>0.352495496205617</v>
      </c>
      <c r="N118" s="83" t="n">
        <f aca="false">(EXP(N101)-$C$67)/($C$66-$C$67)</f>
        <v>0.351713461244434</v>
      </c>
      <c r="O118" s="83" t="n">
        <f aca="false">(EXP(O101)-$C$67)/($C$66-$C$67)</f>
        <v>0.350933083471588</v>
      </c>
      <c r="P118" s="83" t="n">
        <f aca="false">(EXP(P101)-$C$67)/($C$66-$C$67)</f>
        <v>0.350154359375377</v>
      </c>
      <c r="Q118" s="83" t="n">
        <f aca="false">(EXP(Q101)-$C$67)/($C$66-$C$67)</f>
        <v>0.349377285451544</v>
      </c>
      <c r="R118" s="83" t="n">
        <f aca="false">(EXP(R101)-$C$67)/($C$66-$C$67)</f>
        <v>0.348601858203253</v>
      </c>
      <c r="S118" s="83"/>
    </row>
    <row r="119" s="84" customFormat="true" ht="13.5" hidden="false" customHeight="true" outlineLevel="0" collapsed="false">
      <c r="A119" s="6" t="s">
        <v>86</v>
      </c>
      <c r="D119" s="83" t="n">
        <f aca="false">(EXP(D102)-$C$67)/($C$66-$C$67)</f>
        <v>0.358014749629162</v>
      </c>
      <c r="E119" s="83" t="n">
        <f aca="false">(EXP(E102)-$C$67)/($C$66-$C$67)</f>
        <v>0.357219329841816</v>
      </c>
      <c r="F119" s="83" t="n">
        <f aca="false">(EXP(F102)-$C$67)/($C$66-$C$67)</f>
        <v>0.356425595606218</v>
      </c>
      <c r="G119" s="83" t="n">
        <f aca="false">(EXP(G102)-$C$67)/($C$66-$C$67)</f>
        <v>0.35563354335056</v>
      </c>
      <c r="H119" s="83" t="n">
        <f aca="false">(EXP(H102)-$C$67)/($C$66-$C$67)</f>
        <v>0.354843169510608</v>
      </c>
      <c r="I119" s="83" t="n">
        <f aca="false">(EXP(I102)-$C$67)/($C$66-$C$67)</f>
        <v>0.354054470529677</v>
      </c>
      <c r="J119" s="83" t="n">
        <f aca="false">(EXP(J102)-$C$67)/($C$66-$C$67)</f>
        <v>0.353267442858621</v>
      </c>
      <c r="K119" s="83" t="n">
        <f aca="false">(EXP(K102)-$C$67)/($C$66-$C$67)</f>
        <v>0.352482082955814</v>
      </c>
      <c r="L119" s="83" t="n">
        <f aca="false">(EXP(L102)-$C$67)/($C$66-$C$67)</f>
        <v>0.351698387287134</v>
      </c>
      <c r="M119" s="83" t="n">
        <f aca="false">(EXP(M102)-$C$67)/($C$66-$C$67)</f>
        <v>0.350916352325951</v>
      </c>
      <c r="N119" s="83" t="n">
        <f aca="false">(EXP(N102)-$C$67)/($C$66-$C$67)</f>
        <v>0.350135974553105</v>
      </c>
      <c r="O119" s="83" t="n">
        <f aca="false">(EXP(O102)-$C$67)/($C$66-$C$67)</f>
        <v>0.349357250456895</v>
      </c>
      <c r="P119" s="83" t="n">
        <f aca="false">(EXP(P102)-$C$67)/($C$66-$C$67)</f>
        <v>0.348580176533061</v>
      </c>
      <c r="Q119" s="83" t="n">
        <f aca="false">(EXP(Q102)-$C$67)/($C$66-$C$67)</f>
        <v>0.34780474928477</v>
      </c>
      <c r="R119" s="83" t="n">
        <f aca="false">(EXP(R102)-$C$67)/($C$66-$C$67)</f>
        <v>0.347030965222597</v>
      </c>
      <c r="S119" s="83"/>
    </row>
    <row r="120" customFormat="false" ht="12.75" hidden="false" customHeight="false" outlineLevel="0" collapsed="false"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</row>
    <row r="121" customFormat="false" ht="12.75" hidden="false" customHeight="false" outlineLevel="0" collapsed="false"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</row>
    <row r="122" customFormat="false" ht="12.75" hidden="false" customHeight="false" outlineLevel="0" collapsed="false"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 t="n">
        <f aca="false">Q123*EXP(SQRT(1/$C$29)*$C$28)</f>
        <v>30757.8713868264</v>
      </c>
      <c r="S122" s="82"/>
    </row>
    <row r="123" customFormat="false" ht="12.75" hidden="false" customHeight="false" outlineLevel="0" collapsed="false"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 t="n">
        <f aca="false">P124*EXP(SQRT(1/$C$29)*$C$28)</f>
        <v>16332.8463893555</v>
      </c>
      <c r="R123" s="82" t="n">
        <f aca="false">Q123*EXP(SQRT(1/$C$29)*(-$C$28))</f>
        <v>8672.96269703947</v>
      </c>
      <c r="S123" s="82"/>
    </row>
    <row r="124" customFormat="false" ht="12.75" hidden="false" customHeight="false" outlineLevel="0" collapsed="false"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 t="n">
        <f aca="false">O125*EXP(SQRT(1/$C$29)*$C$28)</f>
        <v>8672.96269703947</v>
      </c>
      <c r="Q124" s="82" t="n">
        <f aca="false">P124*EXP(SQRT(1/$C$29)*(-$C$28))</f>
        <v>4605.46068646436</v>
      </c>
      <c r="R124" s="82" t="n">
        <f aca="false">Q124*EXP(SQRT(1/$C$29)*(-$C$28))</f>
        <v>2445.56201559692</v>
      </c>
      <c r="S124" s="82"/>
    </row>
    <row r="125" customFormat="false" ht="12.75" hidden="false" customHeight="false" outlineLevel="0" collapsed="false"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 t="n">
        <f aca="false">N126*EXP(SQRT(1/$C$29)*$C$28)</f>
        <v>4605.46068646436</v>
      </c>
      <c r="P125" s="82" t="n">
        <f aca="false">O125*EXP(SQRT(1/$C$29)*(-$C$28))</f>
        <v>2445.56201559692</v>
      </c>
      <c r="Q125" s="82" t="n">
        <f aca="false">P125*EXP(SQRT(1/$C$29)*(-$C$28))</f>
        <v>1298.62656079298</v>
      </c>
      <c r="R125" s="82" t="n">
        <f aca="false">Q125*EXP(SQRT(1/$C$29)*(-$C$28))</f>
        <v>689.588296531244</v>
      </c>
      <c r="S125" s="82"/>
    </row>
    <row r="126" customFormat="false" ht="12.75" hidden="false" customHeight="false" outlineLevel="0" collapsed="false"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 t="n">
        <f aca="false">M127*EXP(SQRT(1/$C$29)*$C$28)</f>
        <v>2445.56201559692</v>
      </c>
      <c r="O126" s="82" t="n">
        <f aca="false">N126*EXP(SQRT(1/$C$29)*(-$C$28))</f>
        <v>1298.62656079298</v>
      </c>
      <c r="P126" s="82" t="n">
        <f aca="false">O126*EXP(SQRT(1/$C$29)*(-$C$28))</f>
        <v>689.588296531244</v>
      </c>
      <c r="Q126" s="82" t="n">
        <f aca="false">P126*EXP(SQRT(1/$C$29)*(-$C$28))</f>
        <v>366.180727446765</v>
      </c>
      <c r="R126" s="82" t="n">
        <f aca="false">Q126*EXP(SQRT(1/$C$29)*(-$C$28))</f>
        <v>194.446926996776</v>
      </c>
      <c r="S126" s="82"/>
    </row>
    <row r="127" customFormat="false" ht="12.75" hidden="false" customHeight="false" outlineLevel="0" collapsed="false">
      <c r="D127" s="82"/>
      <c r="E127" s="82"/>
      <c r="F127" s="82"/>
      <c r="G127" s="82"/>
      <c r="H127" s="82"/>
      <c r="I127" s="82"/>
      <c r="J127" s="82"/>
      <c r="K127" s="82"/>
      <c r="L127" s="82"/>
      <c r="M127" s="82" t="n">
        <f aca="false">L128*EXP(SQRT(1/$C$29)*$C$28)</f>
        <v>1298.62656079298</v>
      </c>
      <c r="N127" s="82" t="n">
        <f aca="false">M127*EXP(SQRT(1/$C$29)*(-$C$28))</f>
        <v>689.588296531244</v>
      </c>
      <c r="O127" s="82" t="n">
        <f aca="false">N127*EXP(SQRT(1/$C$29)*(-$C$28))</f>
        <v>366.180727446765</v>
      </c>
      <c r="P127" s="82" t="n">
        <f aca="false">O127*EXP(SQRT(1/$C$29)*(-$C$28))</f>
        <v>194.446926996776</v>
      </c>
      <c r="Q127" s="82" t="n">
        <f aca="false">P127*EXP(SQRT(1/$C$29)*(-$C$28))</f>
        <v>103.253952446163</v>
      </c>
      <c r="R127" s="82" t="n">
        <f aca="false">Q127*EXP(SQRT(1/$C$29)*(-$C$28))</f>
        <v>54.8292475505731</v>
      </c>
      <c r="S127" s="82"/>
    </row>
    <row r="128" customFormat="false" ht="12.75" hidden="false" customHeight="false" outlineLevel="0" collapsed="false">
      <c r="D128" s="82"/>
      <c r="E128" s="82"/>
      <c r="F128" s="82"/>
      <c r="G128" s="82"/>
      <c r="H128" s="82"/>
      <c r="I128" s="82"/>
      <c r="J128" s="82"/>
      <c r="K128" s="82"/>
      <c r="L128" s="82" t="n">
        <f aca="false">K129*EXP(SQRT(1/$C$29)*$C$28)</f>
        <v>689.588296531244</v>
      </c>
      <c r="M128" s="82" t="n">
        <f aca="false">L128*EXP(SQRT(1/$C$29)*(-$C$28))</f>
        <v>366.180727446765</v>
      </c>
      <c r="N128" s="82" t="n">
        <f aca="false">M128*EXP(SQRT(1/$C$29)*(-$C$28))</f>
        <v>194.446926996776</v>
      </c>
      <c r="O128" s="82" t="n">
        <f aca="false">N128*EXP(SQRT(1/$C$29)*(-$C$28))</f>
        <v>103.253952446163</v>
      </c>
      <c r="P128" s="82" t="n">
        <f aca="false">O128*EXP(SQRT(1/$C$29)*(-$C$28))</f>
        <v>54.8292475505731</v>
      </c>
      <c r="Q128" s="82" t="n">
        <f aca="false">P128*EXP(SQRT(1/$C$29)*(-$C$28))</f>
        <v>29.115073231986</v>
      </c>
      <c r="R128" s="82" t="n">
        <f aca="false">Q128*EXP(SQRT(1/$C$29)*(-$C$28))</f>
        <v>15.4604983138246</v>
      </c>
      <c r="S128" s="82"/>
    </row>
    <row r="129" customFormat="false" ht="12.75" hidden="false" customHeight="false" outlineLevel="0" collapsed="false">
      <c r="D129" s="82"/>
      <c r="E129" s="82"/>
      <c r="F129" s="82"/>
      <c r="G129" s="82"/>
      <c r="H129" s="82"/>
      <c r="I129" s="82"/>
      <c r="J129" s="82"/>
      <c r="K129" s="82" t="n">
        <f aca="false">J130*EXP(SQRT(1/$C$29)*$C$28)</f>
        <v>366.180727446765</v>
      </c>
      <c r="L129" s="82" t="n">
        <f aca="false">K129*EXP(SQRT(1/$C$29)*(-$C$28))</f>
        <v>194.446926996776</v>
      </c>
      <c r="M129" s="82" t="n">
        <f aca="false">L129*EXP(SQRT(1/$C$29)*(-$C$28))</f>
        <v>103.253952446163</v>
      </c>
      <c r="N129" s="82" t="n">
        <f aca="false">M129*EXP(SQRT(1/$C$29)*(-$C$28))</f>
        <v>54.8292475505731</v>
      </c>
      <c r="O129" s="82" t="n">
        <f aca="false">N129*EXP(SQRT(1/$C$29)*(-$C$28))</f>
        <v>29.115073231986</v>
      </c>
      <c r="P129" s="82" t="n">
        <f aca="false">O129*EXP(SQRT(1/$C$29)*(-$C$28))</f>
        <v>15.4604983138246</v>
      </c>
      <c r="Q129" s="82" t="n">
        <f aca="false">P129*EXP(SQRT(1/$C$29)*(-$C$28))</f>
        <v>8.20973405106109</v>
      </c>
      <c r="R129" s="82" t="n">
        <f aca="false">Q129*EXP(SQRT(1/$C$29)*(-$C$28))</f>
        <v>4.35948</v>
      </c>
      <c r="S129" s="82"/>
    </row>
    <row r="130" customFormat="false" ht="12.75" hidden="false" customHeight="false" outlineLevel="0" collapsed="false">
      <c r="D130" s="82"/>
      <c r="E130" s="82"/>
      <c r="F130" s="82"/>
      <c r="G130" s="82"/>
      <c r="H130" s="82"/>
      <c r="I130" s="82"/>
      <c r="J130" s="82" t="n">
        <f aca="false">I131*EXP(SQRT(1/$C$29)*$C$28)</f>
        <v>194.446926996776</v>
      </c>
      <c r="K130" s="82" t="n">
        <f aca="false">J130*EXP(SQRT(1/$C$29)*(-$C$28))</f>
        <v>103.253952446163</v>
      </c>
      <c r="L130" s="82" t="n">
        <f aca="false">K130*EXP(SQRT(1/$C$29)*(-$C$28))</f>
        <v>54.8292475505731</v>
      </c>
      <c r="M130" s="82" t="n">
        <f aca="false">L130*EXP(SQRT(1/$C$29)*(-$C$28))</f>
        <v>29.115073231986</v>
      </c>
      <c r="N130" s="82" t="n">
        <f aca="false">M130*EXP(SQRT(1/$C$29)*(-$C$28))</f>
        <v>15.4604983138246</v>
      </c>
      <c r="O130" s="82" t="n">
        <f aca="false">N130*EXP(SQRT(1/$C$29)*(-$C$28))</f>
        <v>8.20973405106109</v>
      </c>
      <c r="P130" s="82" t="n">
        <f aca="false">O130*EXP(SQRT(1/$C$29)*(-$C$28))</f>
        <v>4.35948</v>
      </c>
      <c r="Q130" s="82" t="n">
        <f aca="false">P130*EXP(SQRT(1/$C$29)*(-$C$28))</f>
        <v>2.31494293873547</v>
      </c>
      <c r="R130" s="82" t="n">
        <f aca="false">Q130*EXP(SQRT(1/$C$29)*(-$C$28))</f>
        <v>1.22926606145715</v>
      </c>
      <c r="S130" s="82"/>
    </row>
    <row r="131" customFormat="false" ht="12.75" hidden="false" customHeight="false" outlineLevel="0" collapsed="false">
      <c r="D131" s="82"/>
      <c r="E131" s="82"/>
      <c r="F131" s="82"/>
      <c r="G131" s="82"/>
      <c r="H131" s="82"/>
      <c r="I131" s="82" t="n">
        <f aca="false">H132*EXP(SQRT(1/$C$29)*$C$28)</f>
        <v>103.253952446163</v>
      </c>
      <c r="J131" s="82" t="n">
        <f aca="false">I131*EXP(SQRT(1/$C$29)*(-$C$28))</f>
        <v>54.8292475505731</v>
      </c>
      <c r="K131" s="82" t="n">
        <f aca="false">J131*EXP(SQRT(1/$C$29)*(-$C$28))</f>
        <v>29.115073231986</v>
      </c>
      <c r="L131" s="82" t="n">
        <f aca="false">K131*EXP(SQRT(1/$C$29)*(-$C$28))</f>
        <v>15.4604983138246</v>
      </c>
      <c r="M131" s="82" t="n">
        <f aca="false">L131*EXP(SQRT(1/$C$29)*(-$C$28))</f>
        <v>8.20973405106109</v>
      </c>
      <c r="N131" s="82" t="n">
        <f aca="false">M131*EXP(SQRT(1/$C$29)*(-$C$28))</f>
        <v>4.35948</v>
      </c>
      <c r="O131" s="82" t="n">
        <f aca="false">N131*EXP(SQRT(1/$C$29)*(-$C$28))</f>
        <v>2.31494293873547</v>
      </c>
      <c r="P131" s="82" t="n">
        <f aca="false">O131*EXP(SQRT(1/$C$29)*(-$C$28))</f>
        <v>1.22926606145715</v>
      </c>
      <c r="Q131" s="82" t="n">
        <f aca="false">P131*EXP(SQRT(1/$C$29)*(-$C$28))</f>
        <v>0.652756931743553</v>
      </c>
      <c r="R131" s="82" t="n">
        <f aca="false">Q131*EXP(SQRT(1/$C$29)*(-$C$28))</f>
        <v>0.346622773782737</v>
      </c>
      <c r="S131" s="82"/>
    </row>
    <row r="132" customFormat="false" ht="12.75" hidden="false" customHeight="false" outlineLevel="0" collapsed="false">
      <c r="D132" s="82"/>
      <c r="E132" s="82"/>
      <c r="F132" s="82"/>
      <c r="G132" s="82"/>
      <c r="H132" s="82" t="n">
        <f aca="false">G133*EXP(SQRT(1/$C$29)*$C$28)</f>
        <v>54.8292475505731</v>
      </c>
      <c r="I132" s="82" t="n">
        <f aca="false">H132*EXP(SQRT(1/$C$29)*(-$C$28))</f>
        <v>29.115073231986</v>
      </c>
      <c r="J132" s="82" t="n">
        <f aca="false">I132*EXP(SQRT(1/$C$29)*(-$C$28))</f>
        <v>15.4604983138246</v>
      </c>
      <c r="K132" s="82" t="n">
        <f aca="false">J132*EXP(SQRT(1/$C$29)*(-$C$28))</f>
        <v>8.20973405106109</v>
      </c>
      <c r="L132" s="82" t="n">
        <f aca="false">K132*EXP(SQRT(1/$C$29)*(-$C$28))</f>
        <v>4.35948</v>
      </c>
      <c r="M132" s="82" t="n">
        <f aca="false">L132*EXP(SQRT(1/$C$29)*(-$C$28))</f>
        <v>2.31494293873547</v>
      </c>
      <c r="N132" s="82" t="n">
        <f aca="false">M132*EXP(SQRT(1/$C$29)*(-$C$28))</f>
        <v>1.22926606145715</v>
      </c>
      <c r="O132" s="82" t="n">
        <f aca="false">N132*EXP(SQRT(1/$C$29)*(-$C$28))</f>
        <v>0.652756931743553</v>
      </c>
      <c r="P132" s="82" t="n">
        <f aca="false">O132*EXP(SQRT(1/$C$29)*(-$C$28))</f>
        <v>0.346622773782737</v>
      </c>
      <c r="Q132" s="82" t="n">
        <f aca="false">P132*EXP(SQRT(1/$C$29)*(-$C$28))</f>
        <v>0.184061388645721</v>
      </c>
      <c r="R132" s="82" t="n">
        <f aca="false">Q132*EXP(SQRT(1/$C$29)*(-$C$28))</f>
        <v>0.0977390908868161</v>
      </c>
      <c r="S132" s="82"/>
    </row>
    <row r="133" customFormat="false" ht="12.75" hidden="false" customHeight="false" outlineLevel="0" collapsed="false">
      <c r="D133" s="82"/>
      <c r="E133" s="82"/>
      <c r="F133" s="82"/>
      <c r="G133" s="82" t="n">
        <f aca="false">F134*EXP(SQRT(1/$C$29)*$C$28)</f>
        <v>29.115073231986</v>
      </c>
      <c r="H133" s="82" t="n">
        <f aca="false">G133*EXP(SQRT(1/$C$29)*(-$C$28))</f>
        <v>15.4604983138246</v>
      </c>
      <c r="I133" s="82" t="n">
        <f aca="false">H133*EXP(SQRT(1/$C$29)*(-$C$28))</f>
        <v>8.20973405106109</v>
      </c>
      <c r="J133" s="82" t="n">
        <f aca="false">I133*EXP(SQRT(1/$C$29)*(-$C$28))</f>
        <v>4.35948</v>
      </c>
      <c r="K133" s="82" t="n">
        <f aca="false">J133*EXP(SQRT(1/$C$29)*(-$C$28))</f>
        <v>2.31494293873547</v>
      </c>
      <c r="L133" s="82" t="n">
        <f aca="false">K133*EXP(SQRT(1/$C$29)*(-$C$28))</f>
        <v>1.22926606145715</v>
      </c>
      <c r="M133" s="82" t="n">
        <f aca="false">L133*EXP(SQRT(1/$C$29)*(-$C$28))</f>
        <v>0.652756931743553</v>
      </c>
      <c r="N133" s="82" t="n">
        <f aca="false">M133*EXP(SQRT(1/$C$29)*(-$C$28))</f>
        <v>0.346622773782737</v>
      </c>
      <c r="O133" s="82" t="n">
        <f aca="false">N133*EXP(SQRT(1/$C$29)*(-$C$28))</f>
        <v>0.184061388645721</v>
      </c>
      <c r="P133" s="82" t="n">
        <f aca="false">O133*EXP(SQRT(1/$C$29)*(-$C$28))</f>
        <v>0.0977390908868161</v>
      </c>
      <c r="Q133" s="82" t="n">
        <f aca="false">P133*EXP(SQRT(1/$C$29)*(-$C$28))</f>
        <v>0.0519007813516427</v>
      </c>
      <c r="R133" s="82" t="n">
        <f aca="false">Q133*EXP(SQRT(1/$C$29)*(-$C$28))</f>
        <v>0.0275600180078447</v>
      </c>
      <c r="S133" s="82"/>
    </row>
    <row r="134" customFormat="false" ht="12.75" hidden="false" customHeight="false" outlineLevel="0" collapsed="false">
      <c r="D134" s="82"/>
      <c r="E134" s="82"/>
      <c r="F134" s="82" t="n">
        <f aca="false">E135*EXP(SQRT(1/$C$29)*$C$28)</f>
        <v>15.4604983138246</v>
      </c>
      <c r="G134" s="82" t="n">
        <f aca="false">F134*EXP(SQRT(1/$C$29)*(-$C$28))</f>
        <v>8.20973405106109</v>
      </c>
      <c r="H134" s="82" t="n">
        <f aca="false">G134*EXP(SQRT(1/$C$29)*(-$C$28))</f>
        <v>4.35948</v>
      </c>
      <c r="I134" s="82" t="n">
        <f aca="false">H134*EXP(SQRT(1/$C$29)*(-$C$28))</f>
        <v>2.31494293873547</v>
      </c>
      <c r="J134" s="82" t="n">
        <f aca="false">I134*EXP(SQRT(1/$C$29)*(-$C$28))</f>
        <v>1.22926606145715</v>
      </c>
      <c r="K134" s="82" t="n">
        <f aca="false">J134*EXP(SQRT(1/$C$29)*(-$C$28))</f>
        <v>0.652756931743553</v>
      </c>
      <c r="L134" s="82" t="n">
        <f aca="false">K134*EXP(SQRT(1/$C$29)*(-$C$28))</f>
        <v>0.346622773782737</v>
      </c>
      <c r="M134" s="82" t="n">
        <f aca="false">L134*EXP(SQRT(1/$C$29)*(-$C$28))</f>
        <v>0.184061388645721</v>
      </c>
      <c r="N134" s="82" t="n">
        <f aca="false">M134*EXP(SQRT(1/$C$29)*(-$C$28))</f>
        <v>0.0977390908868161</v>
      </c>
      <c r="O134" s="82" t="n">
        <f aca="false">N134*EXP(SQRT(1/$C$29)*(-$C$28))</f>
        <v>0.0519007813516426</v>
      </c>
      <c r="P134" s="82" t="n">
        <f aca="false">O134*EXP(SQRT(1/$C$29)*(-$C$28))</f>
        <v>0.0275600180078447</v>
      </c>
      <c r="Q134" s="82" t="n">
        <f aca="false">P134*EXP(SQRT(1/$C$29)*(-$C$28))</f>
        <v>0.0146347429231657</v>
      </c>
      <c r="R134" s="82" t="n">
        <f aca="false">Q134*EXP(SQRT(1/$C$29)*(-$C$28))</f>
        <v>0.00777124675195006</v>
      </c>
      <c r="S134" s="82"/>
    </row>
    <row r="135" customFormat="false" ht="12.75" hidden="false" customHeight="false" outlineLevel="0" collapsed="false">
      <c r="D135" s="82"/>
      <c r="E135" s="82" t="n">
        <f aca="false">D136*EXP(SQRT(1/$C$29)*$C$28)</f>
        <v>8.20973405106109</v>
      </c>
      <c r="F135" s="82" t="n">
        <f aca="false">E135*EXP(SQRT(1/$C$29)*(-$C$28))</f>
        <v>4.35948</v>
      </c>
      <c r="G135" s="82" t="n">
        <f aca="false">F135*EXP(SQRT(1/$C$29)*(-$C$28))</f>
        <v>2.31494293873547</v>
      </c>
      <c r="H135" s="82" t="n">
        <f aca="false">G135*EXP(SQRT(1/$C$29)*(-$C$28))</f>
        <v>1.22926606145715</v>
      </c>
      <c r="I135" s="82" t="n">
        <f aca="false">H135*EXP(SQRT(1/$C$29)*(-$C$28))</f>
        <v>0.652756931743553</v>
      </c>
      <c r="J135" s="82" t="n">
        <f aca="false">I135*EXP(SQRT(1/$C$29)*(-$C$28))</f>
        <v>0.346622773782737</v>
      </c>
      <c r="K135" s="82" t="n">
        <f aca="false">J135*EXP(SQRT(1/$C$29)*(-$C$28))</f>
        <v>0.184061388645721</v>
      </c>
      <c r="L135" s="82" t="n">
        <f aca="false">K135*EXP(SQRT(1/$C$29)*(-$C$28))</f>
        <v>0.0977390908868161</v>
      </c>
      <c r="M135" s="82" t="n">
        <f aca="false">L135*EXP(SQRT(1/$C$29)*(-$C$28))</f>
        <v>0.0519007813516426</v>
      </c>
      <c r="N135" s="82" t="n">
        <f aca="false">M135*EXP(SQRT(1/$C$29)*(-$C$28))</f>
        <v>0.0275600180078447</v>
      </c>
      <c r="O135" s="82" t="n">
        <f aca="false">N135*EXP(SQRT(1/$C$29)*(-$C$28))</f>
        <v>0.0146347429231657</v>
      </c>
      <c r="P135" s="82" t="n">
        <f aca="false">O135*EXP(SQRT(1/$C$29)*(-$C$28))</f>
        <v>0.00777124675195006</v>
      </c>
      <c r="Q135" s="82" t="n">
        <f aca="false">P135*EXP(SQRT(1/$C$29)*(-$C$28))</f>
        <v>0.00412663730389811</v>
      </c>
      <c r="R135" s="82" t="n">
        <f aca="false">Q135*EXP(SQRT(1/$C$29)*(-$C$28))</f>
        <v>0.00219130031273943</v>
      </c>
      <c r="S135" s="82"/>
    </row>
    <row r="136" customFormat="false" ht="12.75" hidden="false" customHeight="false" outlineLevel="0" collapsed="false">
      <c r="A136" s="8" t="s">
        <v>87</v>
      </c>
      <c r="D136" s="82" t="n">
        <f aca="false">$C$27</f>
        <v>4.35948</v>
      </c>
      <c r="E136" s="82" t="n">
        <f aca="false">D136*EXP(SQRT(1/$C$29)*(-$C$28))</f>
        <v>2.31494293873547</v>
      </c>
      <c r="F136" s="82" t="n">
        <f aca="false">E136*EXP(SQRT(1/$C$29)*(-$C$28))</f>
        <v>1.22926606145715</v>
      </c>
      <c r="G136" s="82" t="n">
        <f aca="false">F136*EXP(SQRT(1/$C$29)*(-$C$28))</f>
        <v>0.652756931743553</v>
      </c>
      <c r="H136" s="82" t="n">
        <f aca="false">G136*EXP(SQRT(1/$C$29)*(-$C$28))</f>
        <v>0.346622773782737</v>
      </c>
      <c r="I136" s="82" t="n">
        <f aca="false">H136*EXP(SQRT(1/$C$29)*(-$C$28))</f>
        <v>0.184061388645721</v>
      </c>
      <c r="J136" s="82" t="n">
        <f aca="false">I136*EXP(SQRT(1/$C$29)*(-$C$28))</f>
        <v>0.0977390908868161</v>
      </c>
      <c r="K136" s="82" t="n">
        <f aca="false">J136*EXP(SQRT(1/$C$29)*(-$C$28))</f>
        <v>0.0519007813516426</v>
      </c>
      <c r="L136" s="82" t="n">
        <f aca="false">K136*EXP(SQRT(1/$C$29)*(-$C$28))</f>
        <v>0.0275600180078447</v>
      </c>
      <c r="M136" s="82" t="n">
        <f aca="false">L136*EXP(SQRT(1/$C$29)*(-$C$28))</f>
        <v>0.0146347429231657</v>
      </c>
      <c r="N136" s="82" t="n">
        <f aca="false">M136*EXP(SQRT(1/$C$29)*(-$C$28))</f>
        <v>0.00777124675195006</v>
      </c>
      <c r="O136" s="82" t="n">
        <f aca="false">N136*EXP(SQRT(1/$C$29)*(-$C$28))</f>
        <v>0.00412663730389811</v>
      </c>
      <c r="P136" s="82" t="n">
        <f aca="false">O136*EXP(SQRT(1/$C$29)*(-$C$28))</f>
        <v>0.00219130031273943</v>
      </c>
      <c r="Q136" s="82" t="n">
        <f aca="false">P136*EXP(SQRT(1/$C$29)*(-$C$28))</f>
        <v>0.00116361015204221</v>
      </c>
      <c r="R136" s="82" t="n">
        <f aca="false">Q136*EXP(SQRT(1/$C$29)*(-$C$28))</f>
        <v>0.000617892754390665</v>
      </c>
      <c r="S136" s="82"/>
    </row>
    <row r="137" customFormat="false" ht="12.75" hidden="false" customHeight="false" outlineLevel="0" collapsed="false"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</row>
    <row r="138" customFormat="false" ht="12.75" hidden="false" customHeight="false" outlineLevel="0" collapsed="false"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</row>
    <row r="139" customFormat="false" ht="12.75" hidden="false" customHeight="false" outlineLevel="0" collapsed="false"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</row>
  </sheetData>
  <hyperlinks>
    <hyperlink ref="B7" r:id="rId2" display="leesb@hanyang.ac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8.7734375" defaultRowHeight="12.75" zeroHeight="false" outlineLevelRow="0" outlineLevelCol="0"/>
  <cols>
    <col collapsed="false" customWidth="true" hidden="false" outlineLevel="0" max="1" min="1" style="8" width="16.44"/>
    <col collapsed="false" customWidth="false" hidden="false" outlineLevel="0" max="257" min="2" style="1" width="8.77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129</v>
      </c>
    </row>
    <row r="3" s="8" customFormat="true" ht="12.75" hidden="false" customHeight="true" outlineLevel="0" collapsed="false">
      <c r="A3" s="5" t="s">
        <v>3</v>
      </c>
      <c r="B3" s="7" t="n">
        <v>1</v>
      </c>
      <c r="E3" s="9" t="s">
        <v>4</v>
      </c>
      <c r="F3" s="10"/>
      <c r="G3" s="10"/>
      <c r="H3" s="10"/>
      <c r="I3" s="10"/>
      <c r="J3" s="10"/>
      <c r="K3" s="10"/>
      <c r="L3" s="11"/>
      <c r="N3" s="6"/>
      <c r="O3" s="6"/>
      <c r="P3" s="6"/>
      <c r="Q3" s="6"/>
      <c r="R3" s="6"/>
    </row>
    <row r="4" s="8" customFormat="true" ht="12.75" hidden="false" customHeight="true" outlineLevel="0" collapsed="false">
      <c r="A4" s="5" t="s">
        <v>5</v>
      </c>
      <c r="B4" s="12" t="n">
        <v>38139</v>
      </c>
      <c r="E4" s="13" t="s">
        <v>6</v>
      </c>
      <c r="F4" s="14"/>
      <c r="G4" s="14"/>
      <c r="H4" s="14"/>
      <c r="I4" s="14"/>
      <c r="J4" s="14"/>
      <c r="K4" s="14"/>
      <c r="L4" s="15"/>
      <c r="N4" s="6"/>
      <c r="O4" s="6"/>
      <c r="P4" s="6"/>
      <c r="Q4" s="6"/>
      <c r="R4" s="6"/>
    </row>
    <row r="5" s="8" customFormat="true" ht="12.75" hidden="false" customHeight="true" outlineLevel="0" collapsed="false">
      <c r="A5" s="5" t="s">
        <v>7</v>
      </c>
      <c r="B5" s="16" t="s">
        <v>8</v>
      </c>
      <c r="C5" s="16"/>
      <c r="D5" s="16"/>
      <c r="E5" s="17" t="s">
        <v>9</v>
      </c>
      <c r="F5" s="18"/>
      <c r="G5" s="18"/>
      <c r="H5" s="18"/>
      <c r="I5" s="18"/>
      <c r="J5" s="18"/>
      <c r="K5" s="18"/>
      <c r="L5" s="19"/>
      <c r="N5" s="6"/>
      <c r="O5" s="6"/>
      <c r="P5" s="6"/>
      <c r="Q5" s="6"/>
      <c r="R5" s="6"/>
    </row>
    <row r="6" s="8" customFormat="true" ht="12.75" hidden="false" customHeight="true" outlineLevel="0" collapsed="false">
      <c r="A6" s="5" t="s">
        <v>10</v>
      </c>
      <c r="B6" s="16" t="s">
        <v>11</v>
      </c>
      <c r="C6" s="16"/>
      <c r="D6" s="16"/>
      <c r="E6" s="20" t="s">
        <v>12</v>
      </c>
      <c r="F6" s="21" t="s">
        <v>13</v>
      </c>
      <c r="G6" s="22"/>
      <c r="H6" s="23"/>
      <c r="I6" s="23"/>
      <c r="J6" s="23"/>
      <c r="K6" s="23"/>
      <c r="L6" s="24"/>
      <c r="M6" s="6"/>
      <c r="N6" s="6"/>
      <c r="O6" s="6"/>
      <c r="P6" s="6"/>
      <c r="Q6" s="6"/>
      <c r="R6" s="6"/>
    </row>
    <row r="7" s="8" customFormat="true" ht="12.75" hidden="false" customHeight="true" outlineLevel="0" collapsed="false">
      <c r="A7" s="5" t="s">
        <v>14</v>
      </c>
      <c r="B7" s="25" t="s">
        <v>15</v>
      </c>
      <c r="C7" s="25"/>
      <c r="D7" s="25"/>
      <c r="E7" s="26"/>
      <c r="F7" s="27" t="s">
        <v>16</v>
      </c>
      <c r="G7" s="28"/>
      <c r="H7" s="28"/>
      <c r="I7" s="28"/>
      <c r="J7" s="28"/>
      <c r="K7" s="28"/>
      <c r="L7" s="29"/>
      <c r="M7" s="6"/>
      <c r="N7" s="6"/>
      <c r="O7" s="6"/>
      <c r="P7" s="6"/>
      <c r="Q7" s="6"/>
      <c r="R7" s="6"/>
    </row>
    <row r="8" s="8" customFormat="true" ht="12.75" hidden="false" customHeight="true" outlineLevel="0" collapsed="false">
      <c r="A8" s="5" t="s">
        <v>17</v>
      </c>
      <c r="B8" s="30" t="n">
        <v>38139</v>
      </c>
      <c r="C8" s="31"/>
      <c r="D8" s="31"/>
      <c r="E8" s="32" t="s">
        <v>18</v>
      </c>
      <c r="F8" s="33" t="s">
        <v>19</v>
      </c>
      <c r="G8" s="34"/>
      <c r="H8" s="35"/>
      <c r="I8" s="35"/>
      <c r="J8" s="35"/>
      <c r="K8" s="35"/>
      <c r="L8" s="36"/>
      <c r="M8" s="6"/>
      <c r="N8" s="6"/>
      <c r="O8" s="6"/>
      <c r="P8" s="6"/>
      <c r="Q8" s="6"/>
      <c r="R8" s="6"/>
    </row>
    <row r="9" s="8" customFormat="true" ht="12.75" hidden="false" customHeight="true" outlineLevel="0" collapsed="false">
      <c r="A9" s="5" t="s">
        <v>20</v>
      </c>
      <c r="B9" s="37" t="s">
        <v>21</v>
      </c>
      <c r="C9" s="31"/>
      <c r="D9" s="31"/>
      <c r="E9" s="31"/>
      <c r="F9" s="31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8" customFormat="true" ht="12.75" hidden="false" customHeight="true" outlineLevel="0" collapsed="false">
      <c r="A10" s="5"/>
      <c r="B10" s="31" t="s">
        <v>22</v>
      </c>
      <c r="C10" s="31"/>
      <c r="D10" s="31"/>
      <c r="E10" s="31"/>
      <c r="F10" s="31"/>
      <c r="G10" s="3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42" customFormat="true" ht="12.75" hidden="false" customHeight="true" outlineLevel="0" collapsed="false">
      <c r="A11" s="39" t="s">
        <v>23</v>
      </c>
      <c r="B11" s="40"/>
      <c r="C11" s="40"/>
      <c r="D11" s="40"/>
      <c r="E11" s="40"/>
      <c r="F11" s="40"/>
      <c r="G11" s="41"/>
    </row>
    <row r="12" s="8" customFormat="true" ht="12.75" hidden="false" customHeight="true" outlineLevel="0" collapsed="false">
      <c r="A12" s="72"/>
      <c r="B12" s="44"/>
      <c r="C12" s="44"/>
      <c r="D12" s="44"/>
      <c r="E12" s="44"/>
      <c r="F12" s="44"/>
      <c r="G12" s="38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8" customFormat="true" ht="12.75" hidden="false" customHeight="true" outlineLevel="0" collapsed="false">
      <c r="A13" s="45" t="s">
        <v>24</v>
      </c>
      <c r="B13" s="46" t="s">
        <v>25</v>
      </c>
      <c r="C13" s="46"/>
      <c r="D13" s="46"/>
      <c r="E13" s="46"/>
      <c r="F13" s="47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8" customFormat="true" ht="12.75" hidden="false" customHeight="true" outlineLevel="0" collapsed="false">
      <c r="A14" s="48" t="s">
        <v>26</v>
      </c>
      <c r="B14" s="44" t="s">
        <v>27</v>
      </c>
      <c r="C14" s="44"/>
      <c r="D14" s="44"/>
      <c r="E14" s="44"/>
      <c r="F14" s="49"/>
      <c r="P14" s="6"/>
      <c r="Q14" s="6"/>
      <c r="R14" s="6"/>
    </row>
    <row r="15" s="8" customFormat="true" ht="12.75" hidden="false" customHeight="true" outlineLevel="0" collapsed="false">
      <c r="A15" s="48" t="s">
        <v>28</v>
      </c>
      <c r="B15" s="44" t="s">
        <v>29</v>
      </c>
      <c r="C15" s="44"/>
      <c r="D15" s="44"/>
      <c r="E15" s="44"/>
      <c r="F15" s="49"/>
      <c r="P15" s="6"/>
      <c r="Q15" s="6"/>
      <c r="R15" s="6"/>
    </row>
    <row r="16" s="8" customFormat="true" ht="12.75" hidden="false" customHeight="true" outlineLevel="0" collapsed="false">
      <c r="A16" s="50" t="s">
        <v>30</v>
      </c>
      <c r="B16" s="51" t="s">
        <v>31</v>
      </c>
      <c r="C16" s="44"/>
      <c r="D16" s="44"/>
      <c r="E16" s="44"/>
      <c r="F16" s="49"/>
      <c r="P16" s="6"/>
      <c r="Q16" s="6"/>
      <c r="R16" s="6"/>
    </row>
    <row r="17" s="8" customFormat="true" ht="12.75" hidden="false" customHeight="true" outlineLevel="0" collapsed="false">
      <c r="A17" s="50" t="s">
        <v>32</v>
      </c>
      <c r="B17" s="51" t="s">
        <v>33</v>
      </c>
      <c r="C17" s="44"/>
      <c r="D17" s="44"/>
      <c r="E17" s="44"/>
      <c r="F17" s="49"/>
      <c r="P17" s="6"/>
      <c r="Q17" s="6"/>
      <c r="R17" s="6"/>
    </row>
    <row r="18" s="8" customFormat="true" ht="12.75" hidden="false" customHeight="true" outlineLevel="0" collapsed="false">
      <c r="A18" s="48" t="s">
        <v>34</v>
      </c>
      <c r="B18" s="44" t="s">
        <v>35</v>
      </c>
      <c r="C18" s="44"/>
      <c r="D18" s="44"/>
      <c r="E18" s="44"/>
      <c r="F18" s="49"/>
      <c r="P18" s="6"/>
      <c r="Q18" s="6"/>
      <c r="R18" s="6"/>
    </row>
    <row r="19" s="8" customFormat="true" ht="12.75" hidden="false" customHeight="true" outlineLevel="0" collapsed="false">
      <c r="A19" s="52" t="s">
        <v>36</v>
      </c>
      <c r="B19" s="53" t="s">
        <v>37</v>
      </c>
      <c r="C19" s="53" t="s">
        <v>16</v>
      </c>
      <c r="D19" s="53"/>
      <c r="E19" s="53"/>
      <c r="F19" s="54"/>
      <c r="P19" s="6"/>
      <c r="Q19" s="6"/>
      <c r="R19" s="6"/>
    </row>
    <row r="20" s="8" customFormat="true" ht="12.75" hidden="false" customHeight="true" outlineLevel="0" collapsed="false">
      <c r="A20" s="55" t="s">
        <v>38</v>
      </c>
      <c r="B20" s="44" t="s">
        <v>39</v>
      </c>
      <c r="C20" s="44"/>
      <c r="D20" s="44"/>
      <c r="E20" s="44"/>
      <c r="F20" s="44"/>
      <c r="P20" s="6"/>
      <c r="Q20" s="6"/>
      <c r="R20" s="6"/>
    </row>
    <row r="21" s="8" customFormat="true" ht="12.75" hidden="false" customHeight="true" outlineLevel="0" collapsed="false">
      <c r="A21" s="5"/>
      <c r="B21" s="30"/>
      <c r="C21" s="30"/>
      <c r="D21" s="30"/>
      <c r="E21" s="30"/>
      <c r="L21" s="6"/>
      <c r="M21" s="6"/>
      <c r="N21" s="6"/>
      <c r="O21" s="6"/>
      <c r="P21" s="6"/>
      <c r="Q21" s="6"/>
      <c r="R21" s="6"/>
    </row>
    <row r="22" s="42" customFormat="true" ht="12.75" hidden="false" customHeight="true" outlineLevel="0" collapsed="false">
      <c r="A22" s="39" t="s">
        <v>40</v>
      </c>
      <c r="B22" s="56"/>
      <c r="C22" s="56"/>
      <c r="D22" s="56"/>
      <c r="E22" s="56"/>
    </row>
    <row r="23" s="8" customFormat="true" ht="12.75" hidden="false" customHeight="true" outlineLevel="0" collapsed="false">
      <c r="A23" s="5" t="s">
        <v>41</v>
      </c>
      <c r="B23" s="1" t="s">
        <v>42</v>
      </c>
      <c r="C23" s="30"/>
      <c r="D23" s="30"/>
      <c r="E23" s="30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43</v>
      </c>
      <c r="B24" s="31" t="s">
        <v>44</v>
      </c>
      <c r="C24" s="30"/>
      <c r="D24" s="30"/>
      <c r="E24" s="30"/>
      <c r="F24" s="8"/>
      <c r="G24" s="8"/>
    </row>
    <row r="25" s="3" customFormat="true" ht="12.75" hidden="false" customHeight="false" outlineLevel="0" collapsed="false">
      <c r="A25" s="2" t="s">
        <v>45</v>
      </c>
      <c r="B25" s="2"/>
      <c r="N25" s="57"/>
      <c r="O25" s="57"/>
      <c r="P25" s="57"/>
      <c r="Q25" s="57"/>
      <c r="R25" s="57"/>
      <c r="S25" s="57"/>
      <c r="T25" s="57"/>
    </row>
    <row r="26" s="58" customFormat="true" ht="12.75" hidden="false" customHeight="false" outlineLevel="0" collapsed="false">
      <c r="A26" s="73"/>
    </row>
    <row r="27" customFormat="false" ht="12.75" hidden="false" customHeight="false" outlineLevel="0" collapsed="false">
      <c r="A27" s="8" t="s">
        <v>62</v>
      </c>
      <c r="B27" s="8"/>
      <c r="C27" s="74" t="n">
        <v>4.35948</v>
      </c>
    </row>
    <row r="28" customFormat="false" ht="12.75" hidden="false" customHeight="false" outlineLevel="0" collapsed="false">
      <c r="A28" s="8" t="s">
        <v>63</v>
      </c>
      <c r="B28" s="8"/>
      <c r="C28" s="74" t="n">
        <f aca="false">0.258408*SQRT(12)</f>
        <v>0.895151570164517</v>
      </c>
    </row>
    <row r="29" customFormat="false" ht="12.75" hidden="false" customHeight="false" outlineLevel="0" collapsed="false">
      <c r="A29" s="8" t="s">
        <v>64</v>
      </c>
      <c r="B29" s="8"/>
      <c r="C29" s="75" t="n">
        <v>2</v>
      </c>
    </row>
    <row r="30" customFormat="false" ht="12.75" hidden="false" customHeight="false" outlineLevel="0" collapsed="false">
      <c r="A30" s="8" t="s">
        <v>65</v>
      </c>
      <c r="B30" s="8"/>
      <c r="C30" s="77" t="n">
        <v>0.0301</v>
      </c>
    </row>
    <row r="31" customFormat="false" ht="12.75" hidden="false" customHeight="false" outlineLevel="0" collapsed="false">
      <c r="A31" s="8" t="s">
        <v>66</v>
      </c>
      <c r="B31" s="8"/>
      <c r="C31" s="77" t="n">
        <v>0.05</v>
      </c>
    </row>
    <row r="32" customFormat="false" ht="12.75" hidden="false" customHeight="false" outlineLevel="0" collapsed="false">
      <c r="B32" s="8"/>
      <c r="C32" s="77"/>
    </row>
    <row r="33" customFormat="false" ht="12.75" hidden="false" customHeight="false" outlineLevel="0" collapsed="false">
      <c r="A33" s="8" t="s">
        <v>69</v>
      </c>
      <c r="B33" s="8"/>
      <c r="C33" s="75" t="n">
        <f aca="false">370.308*10^6</f>
        <v>370308000</v>
      </c>
    </row>
    <row r="34" customFormat="false" ht="12.75" hidden="false" customHeight="false" outlineLevel="0" collapsed="false">
      <c r="A34" s="8" t="s">
        <v>70</v>
      </c>
      <c r="B34" s="8"/>
      <c r="C34" s="78" t="n">
        <v>78.0277</v>
      </c>
    </row>
    <row r="35" customFormat="false" ht="12.75" hidden="false" customHeight="false" outlineLevel="0" collapsed="false">
      <c r="A35" s="8" t="s">
        <v>71</v>
      </c>
      <c r="B35" s="8"/>
      <c r="C35" s="78" t="n">
        <f aca="false">1.24981</f>
        <v>1.24981</v>
      </c>
    </row>
    <row r="36" customFormat="false" ht="12.75" hidden="false" customHeight="false" outlineLevel="0" collapsed="false">
      <c r="A36" s="8" t="s">
        <v>72</v>
      </c>
      <c r="B36" s="8"/>
      <c r="C36" s="79" t="n">
        <v>0.0475</v>
      </c>
    </row>
    <row r="37" customFormat="false" ht="12.75" hidden="false" customHeight="false" outlineLevel="0" collapsed="false">
      <c r="A37" s="8" t="s">
        <v>73</v>
      </c>
      <c r="B37" s="8"/>
      <c r="C37" s="79" t="n">
        <f aca="false">$C$36/$C$29</f>
        <v>0.02375</v>
      </c>
    </row>
    <row r="38" customFormat="false" ht="12.75" hidden="false" customHeight="false" outlineLevel="0" collapsed="false">
      <c r="C38" s="64"/>
    </row>
    <row r="39" s="80" customFormat="true" ht="12.75" hidden="false" customHeight="false" outlineLevel="0" collapsed="false">
      <c r="A39" s="65" t="s">
        <v>55</v>
      </c>
    </row>
    <row r="40" s="91" customFormat="true" ht="12.75" hidden="false" customHeight="false" outlineLevel="0" collapsed="false">
      <c r="A40" s="90"/>
    </row>
    <row r="41" customFormat="false" ht="12.75" hidden="false" customHeight="false" outlineLevel="0" collapsed="false"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 t="n">
        <f aca="false">IF(R126&lt;=($C$35*(1+$C$37)),R126,IF(R126&lt;=($C$35*(1+$C$37)*(($C$33+$C$72)/$C$72)),$C$35*(1+$C$37),R126*$C$72/($C$33+$C$72)))</f>
        <v>1275.25804510219</v>
      </c>
      <c r="S41" s="82"/>
    </row>
    <row r="42" customFormat="false" ht="12.75" hidden="false" customHeight="false" outlineLevel="0" collapsed="false"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 t="n">
        <f aca="false">MIN((R41*Q110+R42*(1-Q110))*EXP(-(Q93))+$C$35*$C$37,Q127)</f>
        <v>677.208981109042</v>
      </c>
      <c r="R42" s="82" t="n">
        <f aca="false">IF(R127&lt;=($C$35*(1+$C$37)),R127,IF(R127&lt;=($C$35*(1+$C$37)*(($C$33+$C$72)/$C$72)),$C$35*(1+$C$37),R127*$C$72/($C$33+$C$72)))</f>
        <v>359.591381184064</v>
      </c>
      <c r="S42" s="82"/>
    </row>
    <row r="43" customFormat="false" ht="12.75" hidden="false" customHeight="false" outlineLevel="0" collapsed="false"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 t="n">
        <f aca="false">MIN((Q42*P111+Q43*(1-P111))*EXP(-(P94))+$C$35*$C$37,P128)</f>
        <v>359.649930395309</v>
      </c>
      <c r="Q43" s="82" t="n">
        <f aca="false">MIN((R42*Q111+R43*(1-Q111))*EXP(-(Q94))+$C$35*$C$37,Q128)</f>
        <v>190.977577851608</v>
      </c>
      <c r="R43" s="82" t="n">
        <f aca="false">IF(R128&lt;=($C$35*(1+$C$37)),R128,IF(R128&lt;=($C$35*(1+$C$37)*(($C$33+$C$72)/$C$72)),$C$35*(1+$C$37),R128*$C$72/($C$33+$C$72)))</f>
        <v>101.395918981638</v>
      </c>
      <c r="S43" s="82"/>
    </row>
    <row r="44" customFormat="false" ht="12.75" hidden="false" customHeight="false" outlineLevel="0" collapsed="false"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 t="n">
        <f aca="false">MIN((P43*O112+P44*(1-O112))*EXP(-(O95))+$C$35*$C$37,O129)</f>
        <v>191.03461528244</v>
      </c>
      <c r="P44" s="82" t="n">
        <f aca="false">MIN((Q43*P112+Q44*(1-P112))*EXP(-(P95))+$C$35*$C$37,P129)</f>
        <v>101.454529696935</v>
      </c>
      <c r="Q44" s="82" t="n">
        <f aca="false">MIN((R43*Q112+R44*(1-Q112))*EXP(-(Q95))+$C$35*$C$37,Q129)</f>
        <v>53.8722895972645</v>
      </c>
      <c r="R44" s="82" t="n">
        <f aca="false">IF(R129&lt;=($C$35*(1+$C$37)),R129,IF(R129&lt;=($C$35*(1+$C$37)*(($C$33+$C$72)/$C$72)),$C$35*(1+$C$37),R129*$C$72/($C$33+$C$72)))</f>
        <v>28.5911535261971</v>
      </c>
      <c r="S44" s="82"/>
    </row>
    <row r="45" customFormat="false" ht="12.75" hidden="false" customHeight="false" outlineLevel="0" collapsed="false"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 t="n">
        <f aca="false">MIN((O44*N113+O45*(1-N113))*EXP(-(N96))+$C$35*$C$37,N130)</f>
        <v>101.510230214401</v>
      </c>
      <c r="O45" s="82" t="n">
        <f aca="false">MIN((P44*O113+P45*(1-O113))*EXP(-(O96))+$C$35*$C$37,O130)</f>
        <v>53.9295087371442</v>
      </c>
      <c r="P45" s="82" t="n">
        <f aca="false">MIN((Q44*P113+Q45*(1-P113))*EXP(-(P96))+$C$35*$C$37,P130)</f>
        <v>28.6498258765903</v>
      </c>
      <c r="Q45" s="82" t="n">
        <f aca="false">MIN((R44*Q113+R45*(1-Q113))*EXP(-(Q96))+$C$35*$C$37,Q130)</f>
        <v>15.2119728399071</v>
      </c>
      <c r="R45" s="82" t="n">
        <f aca="false">IF(R130&lt;=($C$35*(1+$C$37)),R130,IF(R130&lt;=($C$35*(1+$C$37)*(($C$33+$C$72)/$C$72)),$C$35*(1+$C$37),R130*$C$72/($C$33+$C$72)))</f>
        <v>8.06200158910351</v>
      </c>
      <c r="S45" s="82"/>
    </row>
    <row r="46" customFormat="false" ht="12.75" hidden="false" customHeight="false" outlineLevel="0" collapsed="false">
      <c r="D46" s="82"/>
      <c r="E46" s="82"/>
      <c r="F46" s="82"/>
      <c r="G46" s="82"/>
      <c r="H46" s="82"/>
      <c r="I46" s="82"/>
      <c r="J46" s="82"/>
      <c r="K46" s="82"/>
      <c r="L46" s="82"/>
      <c r="M46" s="82" t="n">
        <f aca="false">MIN((N45*M114+N46*(1-M114))*EXP(-(M97))+$C$35*$C$37,M131)</f>
        <v>53.9840368382774</v>
      </c>
      <c r="N46" s="82" t="n">
        <f aca="false">MIN((O45*N114+O46*(1-N114))*EXP(-(N97))+$C$35*$C$37,N131)</f>
        <v>28.7058232261031</v>
      </c>
      <c r="O46" s="82" t="n">
        <f aca="false">MIN((P45*O114+P46*(1-O114))*EXP(-(O97))+$C$35*$C$37,O131)</f>
        <v>15.2693743327219</v>
      </c>
      <c r="P46" s="82" t="n">
        <f aca="false">MIN((Q45*P114+Q46*(1-P114))*EXP(-(P97))+$C$35*$C$37,P131)</f>
        <v>8.12073570591591</v>
      </c>
      <c r="Q46" s="82" t="n">
        <f aca="false">MIN((R45*Q114+R46*(1-Q114))*EXP(-(Q97))+$C$35*$C$37,Q131)</f>
        <v>4.31071504883972</v>
      </c>
      <c r="R46" s="82" t="n">
        <f aca="false">IF(R131&lt;=($C$35*(1+$C$37)),R131,IF(R131&lt;=($C$35*(1+$C$37)*(($C$33+$C$72)/$C$72)),$C$35*(1+$C$37),R131*$C$72/($C$33+$C$72)))</f>
        <v>2.27328602055716</v>
      </c>
      <c r="S46" s="82"/>
    </row>
    <row r="47" customFormat="false" ht="12.75" hidden="false" customHeight="false" outlineLevel="0" collapsed="false">
      <c r="D47" s="82"/>
      <c r="E47" s="82"/>
      <c r="F47" s="82"/>
      <c r="G47" s="82"/>
      <c r="H47" s="82"/>
      <c r="I47" s="82"/>
      <c r="J47" s="82"/>
      <c r="K47" s="82"/>
      <c r="L47" s="82" t="n">
        <f aca="false">MIN((M46*L115+M47*(1-L115))*EXP(-(L98))+$C$35*$C$37,L132)</f>
        <v>28.7971222387688</v>
      </c>
      <c r="M47" s="82" t="n">
        <f aca="false">MIN((N46*M115+N47*(1-M115))*EXP(-(M98))+$C$35*$C$37,M132)</f>
        <v>15.3851916839604</v>
      </c>
      <c r="N47" s="82" t="n">
        <f aca="false">MIN((O46*N115+O47*(1-N115))*EXP(-(N98))+$C$35*$C$37,N132)</f>
        <v>8.27489353456799</v>
      </c>
      <c r="O47" s="82" t="n">
        <f aca="false">MIN((P46*O115+P47*(1-O115))*EXP(-(O98))+$C$35*$C$37,O132)</f>
        <v>4.5252429541956</v>
      </c>
      <c r="P47" s="82" t="n">
        <f aca="false">MIN((Q46*P115+Q47*(1-P115))*EXP(-(P98))+$C$35*$C$37,P132)</f>
        <v>2.58319762588826</v>
      </c>
      <c r="Q47" s="82" t="n">
        <f aca="false">MIN((R46*Q115+R47*(1-Q115))*EXP(-(Q98))+$C$35*$C$37,Q132)</f>
        <v>1.63770291061028</v>
      </c>
      <c r="R47" s="82" t="n">
        <f aca="false">IF(R132&lt;=($C$35*(1+$C$37)),R132,IF(R132&lt;=($C$35*(1+$C$37)*(($C$33+$C$72)/$C$72)),$C$35*(1+$C$37),R132*$C$72/($C$33+$C$72)))</f>
        <v>1.2794929875</v>
      </c>
      <c r="S47" s="82"/>
    </row>
    <row r="48" customFormat="false" ht="12.75" hidden="false" customHeight="false" outlineLevel="0" collapsed="false">
      <c r="D48" s="82"/>
      <c r="E48" s="82"/>
      <c r="F48" s="82"/>
      <c r="G48" s="82"/>
      <c r="H48" s="82"/>
      <c r="I48" s="82"/>
      <c r="J48" s="82"/>
      <c r="K48" s="82" t="n">
        <f aca="false">MIN((L47*K116+L48*(1-K116))*EXP(-(K99))+$C$35*$C$37,K133)</f>
        <v>15.5129505359387</v>
      </c>
      <c r="L48" s="82" t="n">
        <f aca="false">MIN((M47*L116+M48*(1-L116))*EXP(-(L99))+$C$35*$C$37,L133)</f>
        <v>8.42805828720323</v>
      </c>
      <c r="M48" s="82" t="n">
        <f aca="false">MIN((N47*M116+N48*(1-M116))*EXP(-(M99))+$C$35*$C$37,M133)</f>
        <v>4.70488807453255</v>
      </c>
      <c r="N48" s="82" t="n">
        <f aca="false">MIN((O47*N116+O48*(1-N116))*EXP(-(N99))+$C$35*$C$37,N133)</f>
        <v>2.78310427560986</v>
      </c>
      <c r="O48" s="82" t="n">
        <f aca="false">MIN((P47*O116+P48*(1-O116))*EXP(-(O99))+$C$35*$C$37,O133)</f>
        <v>1.83543533913271</v>
      </c>
      <c r="P48" s="82" t="n">
        <f aca="false">MIN((Q47*P116+Q48*(1-P116))*EXP(-(P99))+$C$35*$C$37,P133)</f>
        <v>1.41966249274618</v>
      </c>
      <c r="Q48" s="82" t="n">
        <f aca="false">MIN((R47*Q116+R48*(1-Q116))*EXP(-(Q99))+$C$35*$C$37,Q133)</f>
        <v>1.28860272997219</v>
      </c>
      <c r="R48" s="82" t="n">
        <f aca="false">IF(R133&lt;=($C$35*(1+$C$37)),R133,IF(R133&lt;=($C$35*(1+$C$37)*(($C$33+$C$72)/$C$72)),$C$35*(1+$C$37),R133*$C$72/($C$33+$C$72)))</f>
        <v>1.2794929875</v>
      </c>
      <c r="S48" s="82"/>
    </row>
    <row r="49" customFormat="false" ht="12.75" hidden="false" customHeight="false" outlineLevel="0" collapsed="false">
      <c r="D49" s="82"/>
      <c r="E49" s="82"/>
      <c r="F49" s="82"/>
      <c r="G49" s="82"/>
      <c r="H49" s="82"/>
      <c r="I49" s="82"/>
      <c r="J49" s="82" t="n">
        <f aca="false">MIN((K48*J117+K49*(1-J117))*EXP(-(J100))+$C$35*$C$37,J134)</f>
        <v>8.56500210298507</v>
      </c>
      <c r="K49" s="82" t="n">
        <f aca="false">MIN((L48*K117+L49*(1-K117))*EXP(-(K100))+$C$35*$C$37,K134)</f>
        <v>4.85171203146932</v>
      </c>
      <c r="L49" s="82" t="n">
        <f aca="false">MIN((M48*L117+M49*(1-L117))*EXP(-(L100))+$C$35*$C$37,L134)</f>
        <v>2.9310546413115</v>
      </c>
      <c r="M49" s="82" t="n">
        <f aca="false">MIN((N48*M117+N49*(1-M117))*EXP(-(M100))+$C$35*$C$37,M134)</f>
        <v>1.96995728555865</v>
      </c>
      <c r="N49" s="82" t="n">
        <f aca="false">MIN((O48*N117+O49*(1-N117))*EXP(-(N100))+$C$35*$C$37,N134)</f>
        <v>1.52117594583194</v>
      </c>
      <c r="O49" s="82" t="n">
        <f aca="false">MIN((P48*O117+P49*(1-O117))*EXP(-(O100))+$C$35*$C$37,O134)</f>
        <v>1.33877604027039</v>
      </c>
      <c r="P49" s="82" t="n">
        <f aca="false">MIN((Q48*P117+Q49*(1-P117))*EXP(-(P100))+$C$35*$C$37,P134)</f>
        <v>1.28050656608499</v>
      </c>
      <c r="Q49" s="82" t="n">
        <f aca="false">MIN((R48*Q117+R49*(1-Q117))*EXP(-(Q100))+$C$35*$C$37,Q134)</f>
        <v>1.25945685335706</v>
      </c>
      <c r="R49" s="82" t="n">
        <f aca="false">IF(R134&lt;=($C$35*(1+$C$37)),R134,IF(R134&lt;=($C$35*(1+$C$37)*(($C$33+$C$72)/$C$72)),$C$35*(1+$C$37),R134*$C$72/($C$33+$C$72)))</f>
        <v>1.22926606145715</v>
      </c>
      <c r="S49" s="82"/>
    </row>
    <row r="50" customFormat="false" ht="12.75" hidden="false" customHeight="false" outlineLevel="0" collapsed="false">
      <c r="D50" s="82"/>
      <c r="E50" s="82"/>
      <c r="F50" s="82"/>
      <c r="G50" s="82"/>
      <c r="H50" s="82"/>
      <c r="I50" s="82" t="n">
        <f aca="false">MIN((J49*I118+J50*(1-I118))*EXP(-(I101))+$C$35*$C$37,I135)</f>
        <v>4.95898596294444</v>
      </c>
      <c r="J50" s="82" t="n">
        <f aca="false">MIN((K49*J118+K50*(1-J118))*EXP(-(J101))+$C$35*$C$37,J135)</f>
        <v>3.02493561830989</v>
      </c>
      <c r="K50" s="82" t="n">
        <f aca="false">MIN((L49*K118+L50*(1-K118))*EXP(-(K101))+$C$35*$C$37,K135)</f>
        <v>2.03673942899487</v>
      </c>
      <c r="L50" s="82" t="n">
        <f aca="false">MIN((M49*L118+M50*(1-L118))*EXP(-(L101))+$C$35*$C$37,L135)</f>
        <v>1.54410333275504</v>
      </c>
      <c r="M50" s="82" t="n">
        <f aca="false">MIN((N49*M118+N50*(1-M118))*EXP(-(M101))+$C$35*$C$37,M135)</f>
        <v>1.29960416732991</v>
      </c>
      <c r="N50" s="82" t="n">
        <f aca="false">MIN((O49*N118+O50*(1-N118))*EXP(-(N101))+$C$35*$C$37,N135)</f>
        <v>1.16154240625946</v>
      </c>
      <c r="O50" s="82" t="n">
        <f aca="false">MIN((P49*O118+P50*(1-O118))*EXP(-(O101))+$C$35*$C$37,O135)</f>
        <v>1.04326785244024</v>
      </c>
      <c r="P50" s="82" t="n">
        <f aca="false">MIN((Q49*P118+Q50*(1-P118))*EXP(-(P101))+$C$35*$C$37,P135)</f>
        <v>0.887511543492816</v>
      </c>
      <c r="Q50" s="82" t="n">
        <f aca="false">MIN((R49*Q118+R50*(1-Q118))*EXP(-(Q101))+$C$35*$C$37,Q135)</f>
        <v>0.652756931743553</v>
      </c>
      <c r="R50" s="82" t="n">
        <f aca="false">IF(R135&lt;=($C$35*(1+$C$37)),R135,IF(R135&lt;=($C$35*(1+$C$37)*(($C$33+$C$72)/$C$72)),$C$35*(1+$C$37),R135*$C$72/($C$33+$C$72)))</f>
        <v>0.346622773782737</v>
      </c>
      <c r="S50" s="82"/>
    </row>
    <row r="51" customFormat="false" ht="12.75" hidden="false" customHeight="false" outlineLevel="0" collapsed="false">
      <c r="D51" s="82"/>
      <c r="E51" s="82"/>
      <c r="F51" s="82"/>
      <c r="G51" s="82"/>
      <c r="H51" s="82" t="n">
        <f aca="false">MIN((I50*H119+I51*(1-H119))*EXP(-(H102))+$C$35*$C$37,H136)</f>
        <v>3.08043729767359</v>
      </c>
      <c r="I51" s="82" t="n">
        <f aca="false">MIN((J50*I119+J51*(1-I119))*EXP(-(I102))+$C$35*$C$37,I136)</f>
        <v>2.06463762713233</v>
      </c>
      <c r="J51" s="82" t="n">
        <f aca="false">MIN((K50*J119+K51*(1-J119))*EXP(-(J102))+$C$35*$C$37,J136)</f>
        <v>1.53559395571139</v>
      </c>
      <c r="K51" s="82" t="n">
        <f aca="false">MIN((L50*K119+L51*(1-K119))*EXP(-(K102))+$C$35*$C$37,K136)</f>
        <v>1.24854825361799</v>
      </c>
      <c r="L51" s="82" t="n">
        <f aca="false">MIN((M50*L119+M51*(1-L119))*EXP(-(L102))+$C$35*$C$37,L136)</f>
        <v>1.06774945264469</v>
      </c>
      <c r="M51" s="82" t="n">
        <f aca="false">MIN((N50*M119+N51*(1-M119))*EXP(-(M102))+$C$35*$C$37,M136)</f>
        <v>0.916755426762383</v>
      </c>
      <c r="N51" s="82" t="n">
        <f aca="false">MIN((O50*N119+O51*(1-N119))*EXP(-(N102))+$C$35*$C$37,N136)</f>
        <v>0.753995660016887</v>
      </c>
      <c r="O51" s="82" t="n">
        <f aca="false">MIN((P50*O119+P51*(1-O119))*EXP(-(O102))+$C$35*$C$37,O136)</f>
        <v>0.562315417559921</v>
      </c>
      <c r="P51" s="82" t="n">
        <f aca="false">MIN((Q50*P119+Q51*(1-P119))*EXP(-(P102))+$C$35*$C$37,P136)</f>
        <v>0.346622773782737</v>
      </c>
      <c r="Q51" s="82" t="n">
        <f aca="false">MIN((R50*Q119+R51*(1-Q119))*EXP(-(Q102))+$C$35*$C$37,Q136)</f>
        <v>0.184061388645721</v>
      </c>
      <c r="R51" s="82" t="n">
        <f aca="false">IF(R136&lt;=($C$35*(1+$C$37)),R136,IF(R136&lt;=($C$35*(1+$C$37)*(($C$33+$C$72)/$C$72)),$C$35*(1+$C$37),R136*$C$72/($C$33+$C$72)))</f>
        <v>0.0977390908868161</v>
      </c>
      <c r="S51" s="82"/>
    </row>
    <row r="52" customFormat="false" ht="12.75" hidden="false" customHeight="false" outlineLevel="0" collapsed="false">
      <c r="D52" s="82"/>
      <c r="E52" s="82"/>
      <c r="F52" s="82"/>
      <c r="G52" s="82" t="n">
        <f aca="false">MIN((H51*G120+H52*(1-G120))*EXP(-(G103))+$C$35*$C$37,G137)</f>
        <v>2.07210022953231</v>
      </c>
      <c r="H52" s="82" t="n">
        <f aca="false">MIN((I51*H120+I52*(1-H120))*EXP(-(H103))+$C$35*$C$37,H137)</f>
        <v>1.51618237295309</v>
      </c>
      <c r="I52" s="82" t="n">
        <f aca="false">MIN((J51*I120+J52*(1-I120))*EXP(-(I103))+$C$35*$C$37,I137)</f>
        <v>1.20202217819802</v>
      </c>
      <c r="J52" s="82" t="n">
        <f aca="false">MIN((K51*J120+K52*(1-J120))*EXP(-(J103))+$C$35*$C$37,J137)</f>
        <v>0.998745832110205</v>
      </c>
      <c r="K52" s="82" t="n">
        <f aca="false">MIN((L51*K120+L52*(1-K120))*EXP(-(K103))+$C$35*$C$37,K137)</f>
        <v>0.836089472597253</v>
      </c>
      <c r="L52" s="82" t="n">
        <f aca="false">MIN((M51*L120+M52*(1-L120))*EXP(-(L103))+$C$35*$C$37,L137)</f>
        <v>0.67883875615239</v>
      </c>
      <c r="M52" s="82" t="n">
        <f aca="false">MIN((N51*M120+N52*(1-M120))*EXP(-(M103))+$C$35*$C$37,M137)</f>
        <v>0.514072436127964</v>
      </c>
      <c r="N52" s="82" t="n">
        <f aca="false">MIN((O51*N120+O52*(1-N120))*EXP(-(N103))+$C$35*$C$37,N137)</f>
        <v>0.344553941162324</v>
      </c>
      <c r="O52" s="82" t="n">
        <f aca="false">MIN((P51*O120+P52*(1-O120))*EXP(-(O103))+$C$35*$C$37,O137)</f>
        <v>0.184061388645721</v>
      </c>
      <c r="P52" s="82" t="n">
        <f aca="false">MIN((Q51*P120+Q52*(1-P120))*EXP(-(P103))+$C$35*$C$37,P137)</f>
        <v>0.0977390908868161</v>
      </c>
      <c r="Q52" s="82" t="n">
        <f aca="false">MIN((R51*Q120+R52*(1-Q120))*EXP(-(Q103))+$C$35*$C$37,Q137)</f>
        <v>0.0519007813516427</v>
      </c>
      <c r="R52" s="82" t="n">
        <f aca="false">IF(R137&lt;=($C$35*(1+$C$37)),R137,IF(R137&lt;=($C$35*(1+$C$37)*(($C$33+$C$72)/$C$72)),$C$35*(1+$C$37),R137*$C$72/($C$33+$C$72)))</f>
        <v>0.0275600180078447</v>
      </c>
      <c r="S52" s="82"/>
    </row>
    <row r="53" customFormat="false" ht="12.75" hidden="false" customHeight="false" outlineLevel="0" collapsed="false">
      <c r="D53" s="82"/>
      <c r="E53" s="82"/>
      <c r="F53" s="82" t="n">
        <f aca="false">MIN((G52*F121+G53*(1-F121))*EXP(-(F104))+$C$35*$C$37,F138)</f>
        <v>1.49362265454698</v>
      </c>
      <c r="G53" s="82" t="n">
        <f aca="false">MIN((H52*G121+H53*(1-G121))*EXP(-(G104))+$C$35*$C$37,G138)</f>
        <v>1.16198060697263</v>
      </c>
      <c r="H53" s="82" t="n">
        <f aca="false">MIN((I52*H121+I53*(1-H121))*EXP(-(H104))+$C$35*$C$37,H138)</f>
        <v>0.946131439522978</v>
      </c>
      <c r="I53" s="82" t="n">
        <f aca="false">MIN((J52*I121+J53*(1-I121))*EXP(-(I104))+$C$35*$C$37,I138)</f>
        <v>0.778823669390778</v>
      </c>
      <c r="J53" s="82" t="n">
        <f aca="false">MIN((K52*J121+K53*(1-J121))*EXP(-(J104))+$C$35*$C$37,J138)</f>
        <v>0.626830164024295</v>
      </c>
      <c r="K53" s="82" t="n">
        <f aca="false">MIN((L52*K121+L53*(1-K121))*EXP(-(K104))+$C$35*$C$37,K138)</f>
        <v>0.476876573193924</v>
      </c>
      <c r="L53" s="82" t="n">
        <f aca="false">MIN((M52*L121+M53*(1-L121))*EXP(-(L104))+$C$35*$C$37,L138)</f>
        <v>0.327618099734572</v>
      </c>
      <c r="M53" s="82" t="n">
        <f aca="false">MIN((N52*M121+N53*(1-M121))*EXP(-(M104))+$C$35*$C$37,M138)</f>
        <v>0.184061388645721</v>
      </c>
      <c r="N53" s="82" t="n">
        <f aca="false">MIN((O52*N121+O53*(1-N121))*EXP(-(N104))+$C$35*$C$37,N138)</f>
        <v>0.0977390908868161</v>
      </c>
      <c r="O53" s="82" t="n">
        <f aca="false">MIN((P52*O121+P53*(1-O121))*EXP(-(O104))+$C$35*$C$37,O138)</f>
        <v>0.0519007813516426</v>
      </c>
      <c r="P53" s="82" t="n">
        <f aca="false">MIN((Q52*P121+Q53*(1-P121))*EXP(-(P104))+$C$35*$C$37,P138)</f>
        <v>0.0275600180078447</v>
      </c>
      <c r="Q53" s="82" t="n">
        <f aca="false">MIN((R52*Q121+R53*(1-Q121))*EXP(-(Q104))+$C$35*$C$37,Q138)</f>
        <v>0.0146347429231657</v>
      </c>
      <c r="R53" s="82" t="n">
        <f aca="false">IF(R138&lt;=($C$35*(1+$C$37)),R138,IF(R138&lt;=($C$35*(1+$C$37)*(($C$33+$C$72)/$C$72)),$C$35*(1+$C$37),R138*$C$72/($C$33+$C$72)))</f>
        <v>0.00777124675195006</v>
      </c>
      <c r="S53" s="82"/>
    </row>
    <row r="54" customFormat="false" ht="12.75" hidden="false" customHeight="false" outlineLevel="0" collapsed="false">
      <c r="D54" s="82"/>
      <c r="E54" s="82" t="n">
        <f aca="false">MIN((F53*E122+F54*(1-E122))*EXP(-(E105))+$C$35*$C$37,E139)</f>
        <v>1.12835112501844</v>
      </c>
      <c r="F54" s="82" t="n">
        <f aca="false">MIN((G53*F122+G54*(1-F122))*EXP(-(F105))+$C$35*$C$37,F139)</f>
        <v>0.90544898133907</v>
      </c>
      <c r="G54" s="82" t="n">
        <f aca="false">MIN((H53*G122+H54*(1-G122))*EXP(-(G105))+$C$35*$C$37,G139)</f>
        <v>0.736816130862429</v>
      </c>
      <c r="H54" s="82" t="n">
        <f aca="false">MIN((I53*H122+I54*(1-H122))*EXP(-(H105))+$C$35*$C$37,H139)</f>
        <v>0.589790664168535</v>
      </c>
      <c r="I54" s="82" t="n">
        <f aca="false">MIN((J53*I122+J54*(1-I122))*EXP(-(I105))+$C$35*$C$37,I139)</f>
        <v>0.450285681489064</v>
      </c>
      <c r="J54" s="82" t="n">
        <f aca="false">MIN((K53*J122+K54*(1-J122))*EXP(-(J105))+$C$35*$C$37,J139)</f>
        <v>0.314560913065409</v>
      </c>
      <c r="K54" s="82" t="n">
        <f aca="false">MIN((L53*K122+L54*(1-K122))*EXP(-(K105))+$C$35*$C$37,K139)</f>
        <v>0.184061388645721</v>
      </c>
      <c r="L54" s="82" t="n">
        <f aca="false">MIN((M53*L122+M54*(1-L122))*EXP(-(L105))+$C$35*$C$37,L139)</f>
        <v>0.0977390908868161</v>
      </c>
      <c r="M54" s="82" t="n">
        <f aca="false">MIN((N53*M122+N54*(1-M122))*EXP(-(M105))+$C$35*$C$37,M139)</f>
        <v>0.0519007813516426</v>
      </c>
      <c r="N54" s="82" t="n">
        <f aca="false">MIN((O53*N122+O54*(1-N122))*EXP(-(N105))+$C$35*$C$37,N139)</f>
        <v>0.0275600180078447</v>
      </c>
      <c r="O54" s="82" t="n">
        <f aca="false">MIN((P53*O122+P54*(1-O122))*EXP(-(O105))+$C$35*$C$37,O139)</f>
        <v>0.0146347429231657</v>
      </c>
      <c r="P54" s="82" t="n">
        <f aca="false">MIN((Q53*P122+Q54*(1-P122))*EXP(-(P105))+$C$35*$C$37,P139)</f>
        <v>0.00777124675195006</v>
      </c>
      <c r="Q54" s="82" t="n">
        <f aca="false">MIN((R53*Q122+R54*(1-Q122))*EXP(-(Q105))+$C$35*$C$37,Q139)</f>
        <v>0.00412663730389811</v>
      </c>
      <c r="R54" s="82" t="n">
        <f aca="false">IF(R139&lt;=($C$35*(1+$C$37)),R139,IF(R139&lt;=($C$35*(1+$C$37)*(($C$33+$C$72)/$C$72)),$C$35*(1+$C$37),R139*$C$72/($C$33+$C$72)))</f>
        <v>0.00219130031273943</v>
      </c>
      <c r="S54" s="82"/>
    </row>
    <row r="55" s="84" customFormat="true" ht="12.75" hidden="false" customHeight="false" outlineLevel="0" collapsed="false">
      <c r="A55" s="6" t="s">
        <v>74</v>
      </c>
      <c r="D55" s="83" t="n">
        <f aca="false">MIN((E54*D123+E55*(1-D123))*EXP(-(D106)),D140)</f>
        <v>0.844093036813217</v>
      </c>
      <c r="E55" s="82" t="n">
        <f aca="false">MIN((F54*E123+F55*(1-E123))*EXP(-(E106))+$C$35*$C$37,E140)</f>
        <v>0.705484267714929</v>
      </c>
      <c r="F55" s="82" t="n">
        <f aca="false">MIN((G54*F123+G55*(1-F123))*EXP(-(F106))+$C$35*$C$37,F140)</f>
        <v>0.562966342377586</v>
      </c>
      <c r="G55" s="82" t="n">
        <f aca="false">MIN((H54*G123+H55*(1-G123))*EXP(-(G106))+$C$35*$C$37,G140)</f>
        <v>0.43132575189658</v>
      </c>
      <c r="H55" s="82" t="n">
        <f aca="false">MIN((I54*H123+I55*(1-H123))*EXP(-(H106))+$C$35*$C$37,H140)</f>
        <v>0.305226761647841</v>
      </c>
      <c r="I55" s="82" t="n">
        <f aca="false">MIN((J54*I123+J55*(1-I123))*EXP(-(I106))+$C$35*$C$37,I140)</f>
        <v>0.184061388645721</v>
      </c>
      <c r="J55" s="82" t="n">
        <f aca="false">MIN((K54*J123+K55*(1-J123))*EXP(-(J106))+$C$35*$C$37,J140)</f>
        <v>0.0977390908868161</v>
      </c>
      <c r="K55" s="82" t="n">
        <f aca="false">MIN((L54*K123+L55*(1-K123))*EXP(-(K106))+$C$35*$C$37,K140)</f>
        <v>0.0519007813516426</v>
      </c>
      <c r="L55" s="82" t="n">
        <f aca="false">MIN((M54*L123+M55*(1-L123))*EXP(-(L106))+$C$35*$C$37,L140)</f>
        <v>0.0275600180078447</v>
      </c>
      <c r="M55" s="82" t="n">
        <f aca="false">MIN((N54*M123+N55*(1-M123))*EXP(-(M106))+$C$35*$C$37,M140)</f>
        <v>0.0146347429231657</v>
      </c>
      <c r="N55" s="82" t="n">
        <f aca="false">MIN((O54*N123+O55*(1-N123))*EXP(-(N106))+$C$35*$C$37,N140)</f>
        <v>0.00777124675195006</v>
      </c>
      <c r="O55" s="82" t="n">
        <f aca="false">MIN((P54*O123+P55*(1-O123))*EXP(-(O106))+$C$35*$C$37,O140)</f>
        <v>0.00412663730389811</v>
      </c>
      <c r="P55" s="82" t="n">
        <f aca="false">MIN((Q54*P123+Q55*(1-P123))*EXP(-(P106))+$C$35*$C$37,P140)</f>
        <v>0.00219130031273943</v>
      </c>
      <c r="Q55" s="82" t="n">
        <f aca="false">MIN((R54*Q123+R55*(1-Q123))*EXP(-(Q106))+$C$35*$C$37,Q140)</f>
        <v>0.00116361015204221</v>
      </c>
      <c r="R55" s="83" t="n">
        <f aca="false">IF(R140&lt;=($C$35*(1+$C$37)),R140,IF(R140&lt;=($C$35*(1+$C$37)*(($C$33+$C$72)/$C$72)),$C$35*(1+$C$37),R140*$C$72/($C$33+$C$72)))</f>
        <v>0.000617892754390665</v>
      </c>
      <c r="S55" s="83"/>
    </row>
    <row r="59" customFormat="false" ht="12.75" hidden="false" customHeight="false" outlineLevel="0" collapsed="false">
      <c r="A59" s="8" t="s">
        <v>88</v>
      </c>
      <c r="D59" s="81" t="n">
        <f aca="false">($D$55-ex4!B55)/($D$55*0.0001)</f>
        <v>-3.09703505022029</v>
      </c>
    </row>
    <row r="60" s="91" customFormat="true" ht="12.75" hidden="false" customHeight="false" outlineLevel="0" collapsed="false">
      <c r="A60" s="90"/>
    </row>
    <row r="61" s="91" customFormat="true" ht="12.75" hidden="false" customHeight="false" outlineLevel="0" collapsed="false">
      <c r="A61" s="90"/>
    </row>
    <row r="62" s="2" customFormat="true" ht="12.75" hidden="false" customHeight="false" outlineLevel="0" collapsed="false">
      <c r="A62" s="2" t="s">
        <v>76</v>
      </c>
    </row>
    <row r="63" s="91" customFormat="true" ht="12.75" hidden="false" customHeight="false" outlineLevel="0" collapsed="false">
      <c r="A63" s="90"/>
    </row>
    <row r="64" s="8" customFormat="true" ht="12.75" hidden="false" customHeight="false" outlineLevel="0" collapsed="false">
      <c r="A64" s="8" t="s">
        <v>77</v>
      </c>
      <c r="C64" s="8" t="n">
        <v>0</v>
      </c>
      <c r="D64" s="8" t="n">
        <v>0.5</v>
      </c>
      <c r="E64" s="8" t="n">
        <v>1</v>
      </c>
      <c r="F64" s="8" t="n">
        <v>1.5</v>
      </c>
      <c r="G64" s="8" t="n">
        <v>2</v>
      </c>
      <c r="H64" s="8" t="n">
        <v>2.5</v>
      </c>
      <c r="I64" s="8" t="n">
        <v>3</v>
      </c>
      <c r="J64" s="8" t="n">
        <v>3.5</v>
      </c>
      <c r="K64" s="8" t="n">
        <v>4</v>
      </c>
      <c r="L64" s="8" t="n">
        <v>4.5</v>
      </c>
      <c r="M64" s="8" t="n">
        <v>5</v>
      </c>
      <c r="N64" s="8" t="n">
        <v>5.5</v>
      </c>
      <c r="O64" s="8" t="n">
        <v>6</v>
      </c>
      <c r="P64" s="8" t="n">
        <v>6.5</v>
      </c>
      <c r="Q64" s="8" t="n">
        <v>7</v>
      </c>
      <c r="R64" s="8" t="n">
        <v>7.5</v>
      </c>
    </row>
    <row r="65" s="8" customFormat="true" ht="12.75" hidden="false" customHeight="false" outlineLevel="0" collapsed="false">
      <c r="A65" s="8" t="s">
        <v>78</v>
      </c>
      <c r="C65" s="8" t="n">
        <v>1</v>
      </c>
      <c r="D65" s="87" t="n">
        <f aca="false">EXP(-$C$30*D$64)</f>
        <v>0.985062685237452</v>
      </c>
      <c r="E65" s="87" t="n">
        <f aca="false">EXP(-$C$30*E$64)</f>
        <v>0.970348493847219</v>
      </c>
      <c r="F65" s="87" t="n">
        <f aca="false">EXP(-$C$30*F$64)</f>
        <v>0.955854092965259</v>
      </c>
      <c r="G65" s="87" t="n">
        <f aca="false">EXP(-$C$30*G$64)</f>
        <v>0.941576199511567</v>
      </c>
      <c r="H65" s="87" t="n">
        <f aca="false">EXP(-$C$30*H$64)</f>
        <v>0.927511579446539</v>
      </c>
      <c r="I65" s="87" t="n">
        <f aca="false">EXP(-$C$30*I$64)</f>
        <v>0.913657047038438</v>
      </c>
      <c r="J65" s="87" t="n">
        <f aca="false">EXP(-$C$30*J$64)</f>
        <v>0.900009464141804</v>
      </c>
      <c r="K65" s="87" t="n">
        <f aca="false">EXP(-$C$30*K$64)</f>
        <v>0.886565739486646</v>
      </c>
      <c r="L65" s="87" t="n">
        <f aca="false">EXP(-$C$30*L$64)</f>
        <v>0.873322827978243</v>
      </c>
      <c r="M65" s="87" t="n">
        <f aca="false">EXP(-$C$30*M$64)</f>
        <v>0.860277730007413</v>
      </c>
      <c r="N65" s="87" t="n">
        <f aca="false">EXP(-$C$30*N$64)</f>
        <v>0.847427490771082</v>
      </c>
      <c r="O65" s="87" t="n">
        <f aca="false">EXP(-$C$30*O$64)</f>
        <v>0.834769199602998</v>
      </c>
      <c r="P65" s="87" t="n">
        <f aca="false">EXP(-$C$30*P$64)</f>
        <v>0.822299989314448</v>
      </c>
      <c r="Q65" s="87" t="n">
        <f aca="false">EXP(-$C$30*Q$64)</f>
        <v>0.810017035544818</v>
      </c>
      <c r="R65" s="87" t="n">
        <f aca="false">EXP(-$C$30*R$64)</f>
        <v>0.797917556121859</v>
      </c>
    </row>
    <row r="66" s="8" customFormat="true" ht="12.75" hidden="false" customHeight="false" outlineLevel="0" collapsed="false"/>
    <row r="67" s="8" customFormat="true" ht="12.75" hidden="false" customHeight="false" outlineLevel="0" collapsed="false">
      <c r="A67" s="8" t="s">
        <v>79</v>
      </c>
      <c r="C67" s="88" t="n">
        <f aca="false">EXP(-2*$C$30*$C$31*SQRT(1/$C$29))</f>
        <v>0.99787387200753</v>
      </c>
    </row>
    <row r="68" s="8" customFormat="true" ht="12.75" hidden="false" customHeight="false" outlineLevel="0" collapsed="false">
      <c r="A68" s="8" t="s">
        <v>80</v>
      </c>
      <c r="C68" s="88"/>
      <c r="D68" s="87" t="n">
        <f aca="false">1/(0.5+0.5*$C$67^(D$64*2))</f>
        <v>1.00106419530395</v>
      </c>
      <c r="E68" s="87" t="n">
        <f aca="false">1/(0.5+0.5*$C$67^(E$64*2))</f>
        <v>1.00212838819747</v>
      </c>
      <c r="F68" s="87" t="n">
        <f aca="false">1/(0.5+0.5*$C$67^(F$64*2))</f>
        <v>1.00319257627017</v>
      </c>
      <c r="G68" s="87" t="n">
        <f aca="false">1/(0.5+0.5*$C$67^(G$64*2))</f>
        <v>1.00425675711168</v>
      </c>
      <c r="H68" s="87" t="n">
        <f aca="false">1/(0.5+0.5*$C$67^(H$64*2))</f>
        <v>1.00532092831171</v>
      </c>
      <c r="I68" s="87" t="n">
        <f aca="false">1/(0.5+0.5*$C$67^(I$64*2))</f>
        <v>1.00638508746005</v>
      </c>
      <c r="J68" s="87" t="n">
        <f aca="false">1/(0.5+0.5*$C$67^(J$64*2))</f>
        <v>1.00744923214662</v>
      </c>
      <c r="K68" s="87" t="n">
        <f aca="false">1/(0.5+0.5*$C$67^(K$64*2))</f>
        <v>1.00851335996143</v>
      </c>
      <c r="L68" s="87" t="n">
        <f aca="false">1/(0.5+0.5*$C$67^(L$64*2))</f>
        <v>1.00957746849469</v>
      </c>
      <c r="M68" s="87" t="n">
        <f aca="false">1/(0.5+0.5*$C$67^(M$64*2))</f>
        <v>1.01064155533674</v>
      </c>
      <c r="N68" s="87" t="n">
        <f aca="false">1/(0.5+0.5*$C$67^(N$64*2))</f>
        <v>1.01170561807816</v>
      </c>
      <c r="O68" s="87" t="n">
        <f aca="false">1/(0.5+0.5*$C$67^(O$64*2))</f>
        <v>1.01276965430971</v>
      </c>
      <c r="P68" s="87" t="n">
        <f aca="false">1/(0.5+0.5*$C$67^(P$64*2))</f>
        <v>1.01383366162241</v>
      </c>
      <c r="Q68" s="87" t="n">
        <f aca="false">1/(0.5+0.5*$C$67^(Q$64*2))</f>
        <v>1.01489763760754</v>
      </c>
      <c r="R68" s="87" t="n">
        <f aca="false">1/(0.5+0.5*$C$67^(R$64*2))</f>
        <v>1.01596157985666</v>
      </c>
    </row>
    <row r="69" s="8" customFormat="true" ht="12.75" hidden="false" customHeight="false" outlineLevel="0" collapsed="false">
      <c r="C69" s="88"/>
    </row>
    <row r="70" s="8" customFormat="true" ht="14.25" hidden="false" customHeight="true" outlineLevel="0" collapsed="false">
      <c r="A70" s="8" t="s">
        <v>81</v>
      </c>
      <c r="C70" s="88" t="n">
        <f aca="false">EXP(SQRT(1/$C$29)*$C$28)</f>
        <v>1.88319112624925</v>
      </c>
    </row>
    <row r="71" s="8" customFormat="true" ht="12.75" hidden="false" customHeight="false" outlineLevel="0" collapsed="false">
      <c r="A71" s="8" t="s">
        <v>82</v>
      </c>
      <c r="C71" s="88" t="n">
        <f aca="false">EXP(SQRT(1/$C$29)*(-$C$28))</f>
        <v>0.53101354719725</v>
      </c>
    </row>
    <row r="72" s="8" customFormat="true" ht="12.75" hidden="false" customHeight="false" outlineLevel="0" collapsed="false">
      <c r="A72" s="8" t="s">
        <v>83</v>
      </c>
      <c r="C72" s="89" t="n">
        <f aca="false">$C$35*10^9/$C$34</f>
        <v>16017516.8561934</v>
      </c>
    </row>
    <row r="73" s="8" customFormat="true" ht="12.75" hidden="false" customHeight="false" outlineLevel="0" collapsed="false"/>
    <row r="75" customFormat="false" ht="12.75" hidden="false" customHeight="false" outlineLevel="0" collapsed="false"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 t="n">
        <f aca="false">R76*$C$67</f>
        <v>0.970387578332075</v>
      </c>
      <c r="S75" s="83"/>
    </row>
    <row r="76" customFormat="false" ht="12.75" hidden="false" customHeight="false" outlineLevel="0" collapsed="false"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 t="n">
        <f aca="false">Q77*$C$67</f>
        <v>0.971435661373018</v>
      </c>
      <c r="R76" s="83" t="n">
        <f aca="false">R77*$C$67</f>
        <v>0.972455142431821</v>
      </c>
      <c r="S76" s="83"/>
    </row>
    <row r="77" customFormat="false" ht="12.75" hidden="false" customHeight="false" outlineLevel="0" collapsed="false"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 t="n">
        <f aca="false">P78*$C$67</f>
        <v>0.972483775273579</v>
      </c>
      <c r="Q77" s="83" t="n">
        <f aca="false">Q78*$C$67</f>
        <v>0.973505458579326</v>
      </c>
      <c r="R77" s="83" t="n">
        <f aca="false">R78*$C$67</f>
        <v>0.974527111803648</v>
      </c>
      <c r="S77" s="83"/>
    </row>
    <row r="78" customFormat="false" ht="12.75" hidden="false" customHeight="false" outlineLevel="0" collapsed="false"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 t="n">
        <f aca="false">O79*$C$67</f>
        <v>0.973531917661019</v>
      </c>
      <c r="P78" s="83" t="n">
        <f aca="false">P79*$C$67</f>
        <v>0.974555805652201</v>
      </c>
      <c r="Q78" s="83" t="n">
        <f aca="false">Q79*$C$67</f>
        <v>0.975579665815701</v>
      </c>
      <c r="R78" s="83" t="n">
        <f aca="false">R79*$C$67</f>
        <v>0.976603495833684</v>
      </c>
      <c r="S78" s="83"/>
    </row>
    <row r="79" customFormat="false" ht="12.75" hidden="false" customHeight="false" outlineLevel="0" collapsed="false"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 t="n">
        <f aca="false">N80*$C$67</f>
        <v>0.974580086162338</v>
      </c>
      <c r="O79" s="83" t="n">
        <f aca="false">O80*$C$67</f>
        <v>0.97560618127265</v>
      </c>
      <c r="P79" s="83" t="n">
        <f aca="false">P80*$C$67</f>
        <v>0.976632250819016</v>
      </c>
      <c r="Q79" s="83" t="n">
        <f aca="false">Q80*$C$67</f>
        <v>0.97765829247841</v>
      </c>
      <c r="R79" s="83" t="n">
        <f aca="false">R80*$C$67</f>
        <v>0.978684303928056</v>
      </c>
      <c r="S79" s="83"/>
    </row>
    <row r="80" customFormat="false" ht="10.5" hidden="false" customHeight="true" outlineLevel="0" collapsed="false">
      <c r="D80" s="83"/>
      <c r="E80" s="83"/>
      <c r="F80" s="83"/>
      <c r="G80" s="83"/>
      <c r="H80" s="83"/>
      <c r="I80" s="83"/>
      <c r="J80" s="83"/>
      <c r="K80" s="83"/>
      <c r="L80" s="83"/>
      <c r="M80" s="83" t="n">
        <f aca="false">M81*$C$67</f>
        <v>0.975628278404298</v>
      </c>
      <c r="N80" s="83" t="n">
        <f aca="false">N81*$C$67</f>
        <v>0.976656583062617</v>
      </c>
      <c r="O80" s="83" t="n">
        <f aca="false">O81*$C$67</f>
        <v>0.97768486443073</v>
      </c>
      <c r="P80" s="83" t="n">
        <f aca="false">P81*$C$67</f>
        <v>0.978713120180429</v>
      </c>
      <c r="Q80" s="83" t="n">
        <f aca="false">Q81*$C$67</f>
        <v>0.979741347983738</v>
      </c>
      <c r="R80" s="83" t="n">
        <f aca="false">R81*$C$67</f>
        <v>0.980769545512933</v>
      </c>
      <c r="S80" s="83"/>
    </row>
    <row r="81" customFormat="false" ht="12.75" hidden="false" customHeight="false" outlineLevel="0" collapsed="false">
      <c r="D81" s="83"/>
      <c r="E81" s="83"/>
      <c r="F81" s="83"/>
      <c r="G81" s="83"/>
      <c r="H81" s="83"/>
      <c r="I81" s="83"/>
      <c r="J81" s="83"/>
      <c r="K81" s="83"/>
      <c r="L81" s="83" t="n">
        <f aca="false">L82*$C$67</f>
        <v>0.97667649201345</v>
      </c>
      <c r="M81" s="83" t="n">
        <f aca="false">M82*$C$67</f>
        <v>0.97770700864381</v>
      </c>
      <c r="N81" s="83" t="n">
        <f aca="false">N82*$C$67</f>
        <v>0.978737504267721</v>
      </c>
      <c r="O81" s="83" t="n">
        <f aca="false">O82*$C$67</f>
        <v>0.979767976551803</v>
      </c>
      <c r="P81" s="83" t="n">
        <f aca="false">P82*$C$67</f>
        <v>0.980798423162886</v>
      </c>
      <c r="Q81" s="83" t="n">
        <f aca="false">Q82*$C$67</f>
        <v>0.981828841768036</v>
      </c>
      <c r="R81" s="83" t="n">
        <f aca="false">R82*$C$67</f>
        <v>0.982859230034567</v>
      </c>
      <c r="S81" s="83"/>
    </row>
    <row r="82" customFormat="false" ht="12.75" hidden="false" customHeight="false" outlineLevel="0" collapsed="false">
      <c r="D82" s="83"/>
      <c r="E82" s="83"/>
      <c r="F82" s="83"/>
      <c r="G82" s="83"/>
      <c r="H82" s="83"/>
      <c r="I82" s="83"/>
      <c r="J82" s="83"/>
      <c r="K82" s="83" t="n">
        <f aca="false">K83*$C$67</f>
        <v>0.977724724616148</v>
      </c>
      <c r="L82" s="83" t="n">
        <f aca="false">L83*$C$67</f>
        <v>0.97875745563772</v>
      </c>
      <c r="M82" s="83" t="n">
        <f aca="false">M83*$C$67</f>
        <v>0.979790167946628</v>
      </c>
      <c r="N82" s="83" t="n">
        <f aca="false">N83*$C$67</f>
        <v>0.98082285920433</v>
      </c>
      <c r="O82" s="83" t="n">
        <f aca="false">O83*$C$67</f>
        <v>0.981855527072473</v>
      </c>
      <c r="P82" s="83" t="n">
        <f aca="false">P83*$C$67</f>
        <v>0.982888169212917</v>
      </c>
      <c r="Q82" s="83" t="n">
        <f aca="false">Q83*$C$67</f>
        <v>0.983920783287757</v>
      </c>
      <c r="R82" s="83" t="n">
        <f aca="false">R83*$C$67</f>
        <v>0.984953366959337</v>
      </c>
      <c r="S82" s="83"/>
    </row>
    <row r="83" customFormat="false" ht="12.75" hidden="false" customHeight="false" outlineLevel="0" collapsed="false">
      <c r="D83" s="83"/>
      <c r="E83" s="83"/>
      <c r="F83" s="83"/>
      <c r="G83" s="83"/>
      <c r="H83" s="83"/>
      <c r="I83" s="83"/>
      <c r="J83" s="83" t="n">
        <f aca="false">J84*$C$67</f>
        <v>0.978772973838575</v>
      </c>
      <c r="K83" s="83" t="n">
        <f aca="false">K84*$C$67</f>
        <v>0.979807921665645</v>
      </c>
      <c r="L83" s="83" t="n">
        <f aca="false">L84*$C$67</f>
        <v>0.980842853083876</v>
      </c>
      <c r="M83" s="83" t="n">
        <f aca="false">M84*$C$67</f>
        <v>0.981877765749572</v>
      </c>
      <c r="N83" s="83" t="n">
        <f aca="false">N84*$C$67</f>
        <v>0.982912657319209</v>
      </c>
      <c r="O83" s="83" t="n">
        <f aca="false">O84*$C$67</f>
        <v>0.983947525449453</v>
      </c>
      <c r="P83" s="83" t="n">
        <f aca="false">P84*$C$67</f>
        <v>0.98498236779718</v>
      </c>
      <c r="Q83" s="83" t="n">
        <f aca="false">Q84*$C$67</f>
        <v>0.986017182019505</v>
      </c>
      <c r="R83" s="83" t="n">
        <f aca="false">R84*$C$67</f>
        <v>0.987051965773792</v>
      </c>
      <c r="S83" s="83"/>
    </row>
    <row r="84" customFormat="false" ht="12.75" hidden="false" customHeight="false" outlineLevel="0" collapsed="false">
      <c r="D84" s="83"/>
      <c r="E84" s="83"/>
      <c r="F84" s="83"/>
      <c r="G84" s="83"/>
      <c r="H84" s="83"/>
      <c r="I84" s="83" t="n">
        <f aca="false">I85*$C$67</f>
        <v>0.979821237306765</v>
      </c>
      <c r="J84" s="83" t="n">
        <f aca="false">J85*$C$67</f>
        <v>0.980858404348711</v>
      </c>
      <c r="K84" s="83" t="n">
        <f aca="false">K85*$C$67</f>
        <v>0.981895557295693</v>
      </c>
      <c r="L84" s="83" t="n">
        <f aca="false">L85*$C$67</f>
        <v>0.982932693798875</v>
      </c>
      <c r="M84" s="83" t="n">
        <f aca="false">M85*$C$67</f>
        <v>0.983969811509568</v>
      </c>
      <c r="N84" s="83" t="n">
        <f aca="false">N85*$C$67</f>
        <v>0.985006908079253</v>
      </c>
      <c r="O84" s="83" t="n">
        <f aca="false">O85*$C$67</f>
        <v>0.986043981159603</v>
      </c>
      <c r="P84" s="83" t="n">
        <f aca="false">P85*$C$67</f>
        <v>0.987081028402503</v>
      </c>
      <c r="Q84" s="83" t="n">
        <f aca="false">Q85*$C$67</f>
        <v>0.988118047460074</v>
      </c>
      <c r="R84" s="83" t="n">
        <f aca="false">R85*$C$67</f>
        <v>0.989155035984691</v>
      </c>
      <c r="S84" s="83"/>
    </row>
    <row r="85" customFormat="false" ht="12.75" hidden="false" customHeight="false" outlineLevel="0" collapsed="false">
      <c r="D85" s="83"/>
      <c r="E85" s="83"/>
      <c r="F85" s="83"/>
      <c r="G85" s="83"/>
      <c r="H85" s="83" t="n">
        <f aca="false">H86*$C$67</f>
        <v>0.980869512646619</v>
      </c>
      <c r="I85" s="83" t="n">
        <f aca="false">I86*$C$67</f>
        <v>0.981908901307891</v>
      </c>
      <c r="J85" s="83" t="n">
        <f aca="false">J86*$C$67</f>
        <v>0.982948278198138</v>
      </c>
      <c r="K85" s="83" t="n">
        <f aca="false">K86*$C$67</f>
        <v>0.98398764096339</v>
      </c>
      <c r="L85" s="83" t="n">
        <f aca="false">L86*$C$67</f>
        <v>0.985026987249806</v>
      </c>
      <c r="M85" s="83" t="n">
        <f aca="false">M86*$C$67</f>
        <v>0.986066314703691</v>
      </c>
      <c r="N85" s="83" t="n">
        <f aca="false">N86*$C$67</f>
        <v>0.987105620971525</v>
      </c>
      <c r="O85" s="83" t="n">
        <f aca="false">O86*$C$67</f>
        <v>0.988144903699976</v>
      </c>
      <c r="P85" s="83" t="n">
        <f aca="false">P86*$C$67</f>
        <v>0.989184160535926</v>
      </c>
      <c r="Q85" s="83" t="n">
        <f aca="false">Q86*$C$67</f>
        <v>0.990223389126495</v>
      </c>
      <c r="R85" s="83" t="n">
        <f aca="false">R86*$C$67</f>
        <v>0.991262587119053</v>
      </c>
      <c r="S85" s="83"/>
    </row>
    <row r="86" customFormat="false" ht="12.75" hidden="false" customHeight="false" outlineLevel="0" collapsed="false">
      <c r="D86" s="83"/>
      <c r="E86" s="83"/>
      <c r="F86" s="83"/>
      <c r="G86" s="83" t="n">
        <f aca="false">G87*$C$67</f>
        <v>0.981917797483936</v>
      </c>
      <c r="H86" s="83" t="n">
        <f aca="false">H87*$C$67</f>
        <v>0.982959410164031</v>
      </c>
      <c r="I86" s="83" t="n">
        <f aca="false">I87*$C$67</f>
        <v>0.984001013407114</v>
      </c>
      <c r="J86" s="83" t="n">
        <f aca="false">J87*$C$67</f>
        <v>0.985042604854094</v>
      </c>
      <c r="K86" s="83" t="n">
        <f aca="false">K87*$C$67</f>
        <v>0.986084182145983</v>
      </c>
      <c r="L86" s="83" t="n">
        <f aca="false">L87*$C$67</f>
        <v>0.987125742923924</v>
      </c>
      <c r="M86" s="83" t="n">
        <f aca="false">M87*$C$67</f>
        <v>0.98816728482921</v>
      </c>
      <c r="N86" s="83" t="n">
        <f aca="false">N87*$C$67</f>
        <v>0.989208805503303</v>
      </c>
      <c r="O86" s="83" t="n">
        <f aca="false">O87*$C$67</f>
        <v>0.99025030258786</v>
      </c>
      <c r="P86" s="83" t="n">
        <f aca="false">P87*$C$67</f>
        <v>0.991291773724748</v>
      </c>
      <c r="Q86" s="83" t="n">
        <f aca="false">Q87*$C$67</f>
        <v>0.992333216556072</v>
      </c>
      <c r="R86" s="83" t="n">
        <f aca="false">R87*$C$67</f>
        <v>0.993374628724193</v>
      </c>
      <c r="S86" s="83"/>
    </row>
    <row r="87" customFormat="false" ht="12.75" hidden="false" customHeight="false" outlineLevel="0" collapsed="false">
      <c r="D87" s="83"/>
      <c r="E87" s="83"/>
      <c r="F87" s="83" t="n">
        <f aca="false">F88*$C$67</f>
        <v>0.982966089444424</v>
      </c>
      <c r="G87" s="83" t="n">
        <f aca="false">G88*$C$67</f>
        <v>0.984009928537869</v>
      </c>
      <c r="H87" s="83" t="n">
        <f aca="false">H88*$C$67</f>
        <v>0.985053760538399</v>
      </c>
      <c r="I87" s="83" t="n">
        <f aca="false">I88*$C$67</f>
        <v>0.986097583081812</v>
      </c>
      <c r="J87" s="83" t="n">
        <f aca="false">J88*$C$67</f>
        <v>0.987141393803986</v>
      </c>
      <c r="K87" s="83" t="n">
        <f aca="false">K88*$C$67</f>
        <v>0.988185190340911</v>
      </c>
      <c r="L87" s="83" t="n">
        <f aca="false">L88*$C$67</f>
        <v>0.989228970328702</v>
      </c>
      <c r="M87" s="83" t="n">
        <f aca="false">M88*$C$67</f>
        <v>0.990272731403627</v>
      </c>
      <c r="N87" s="83" t="n">
        <f aca="false">N88*$C$67</f>
        <v>0.991316471202123</v>
      </c>
      <c r="O87" s="83" t="n">
        <f aca="false">O88*$C$67</f>
        <v>0.99236018736082</v>
      </c>
      <c r="P87" s="83" t="n">
        <f aca="false">P88*$C$67</f>
        <v>0.993403877516564</v>
      </c>
      <c r="Q87" s="83" t="n">
        <f aca="false">Q88*$C$67</f>
        <v>0.994447539306435</v>
      </c>
      <c r="R87" s="83" t="n">
        <f aca="false">R88*$C$67</f>
        <v>0.995491170367769</v>
      </c>
      <c r="S87" s="83"/>
    </row>
    <row r="88" customFormat="false" ht="12.75" hidden="false" customHeight="false" outlineLevel="0" collapsed="false">
      <c r="D88" s="83"/>
      <c r="E88" s="83" t="n">
        <f aca="false">E89*$C$67</f>
        <v>0.984014386153728</v>
      </c>
      <c r="F88" s="83" t="n">
        <f aca="false">F89*$C$67</f>
        <v>0.985060454050055</v>
      </c>
      <c r="G88" s="83" t="n">
        <f aca="false">G89*$C$67</f>
        <v>0.986106517207661</v>
      </c>
      <c r="H88" s="83" t="n">
        <f aca="false">H89*$C$67</f>
        <v>0.987152573257241</v>
      </c>
      <c r="I88" s="83" t="n">
        <f aca="false">I89*$C$67</f>
        <v>0.988198619829552</v>
      </c>
      <c r="J88" s="83" t="n">
        <f aca="false">J89*$C$67</f>
        <v>0.989244654555438</v>
      </c>
      <c r="K88" s="83" t="n">
        <f aca="false">K89*$C$67</f>
        <v>0.99029067506585</v>
      </c>
      <c r="L88" s="83" t="n">
        <f aca="false">L89*$C$67</f>
        <v>0.991336678991869</v>
      </c>
      <c r="M88" s="83" t="n">
        <f aca="false">M89*$C$67</f>
        <v>0.992382663964724</v>
      </c>
      <c r="N88" s="83" t="n">
        <f aca="false">N89*$C$67</f>
        <v>0.993428627615818</v>
      </c>
      <c r="O88" s="83" t="n">
        <f aca="false">O89*$C$67</f>
        <v>0.994474567576745</v>
      </c>
      <c r="P88" s="83" t="n">
        <f aca="false">P89*$C$67</f>
        <v>0.995520481479315</v>
      </c>
      <c r="Q88" s="83" t="n">
        <f aca="false">Q89*$C$67</f>
        <v>0.996566366955573</v>
      </c>
      <c r="R88" s="83" t="n">
        <f aca="false">R89*$C$67</f>
        <v>0.997612221637823</v>
      </c>
      <c r="S88" s="83"/>
    </row>
    <row r="89" s="84" customFormat="true" ht="12.75" hidden="false" customHeight="false" outlineLevel="0" collapsed="false">
      <c r="A89" s="6" t="s">
        <v>84</v>
      </c>
      <c r="B89" s="38"/>
      <c r="D89" s="83" t="n">
        <f aca="false">EXP(-$C$30*$D$64)</f>
        <v>0.985062685237452</v>
      </c>
      <c r="E89" s="83" t="n">
        <f aca="false">E$65/D$65*D$68</f>
        <v>0.986110984321176</v>
      </c>
      <c r="F89" s="83" t="n">
        <f aca="false">F$65/E$65*E$68</f>
        <v>0.98715928103048</v>
      </c>
      <c r="G89" s="83" t="n">
        <f aca="false">G$65/F$65*F$68</f>
        <v>0.988207572990968</v>
      </c>
      <c r="H89" s="83" t="n">
        <f aca="false">H$65/G$65*G$68</f>
        <v>0.989255857828284</v>
      </c>
      <c r="I89" s="83" t="n">
        <f aca="false">I$65/H$65*H$68</f>
        <v>0.990304133168139</v>
      </c>
      <c r="J89" s="83" t="n">
        <f aca="false">J$65/I$65*I$68</f>
        <v>0.991352396636329</v>
      </c>
      <c r="K89" s="83" t="n">
        <f aca="false">K$65/J$65*J$68</f>
        <v>0.992400645858756</v>
      </c>
      <c r="L89" s="83" t="n">
        <f aca="false">L$65/K$65*K$68</f>
        <v>0.993448878461454</v>
      </c>
      <c r="M89" s="83" t="n">
        <f aca="false">M$65/L$65*L$68</f>
        <v>0.994497092070606</v>
      </c>
      <c r="N89" s="83" t="n">
        <f aca="false">N$65/M$65*M$68</f>
        <v>0.995545284312566</v>
      </c>
      <c r="O89" s="83" t="n">
        <f aca="false">O$65/N$65*N$68</f>
        <v>0.996593452813885</v>
      </c>
      <c r="P89" s="83" t="n">
        <f aca="false">P$65/O$65*O$68</f>
        <v>0.997641595201324</v>
      </c>
      <c r="Q89" s="83" t="n">
        <f aca="false">Q$65/P$65*P$68</f>
        <v>0.998689709101887</v>
      </c>
      <c r="R89" s="83" t="n">
        <f aca="false">R$65/Q$65*Q$68</f>
        <v>0.999737792142828</v>
      </c>
      <c r="S89" s="83"/>
    </row>
    <row r="90" customFormat="false" ht="12.75" hidden="false" customHeight="false" outlineLevel="0" collapsed="false"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</row>
    <row r="91" customFormat="false" ht="12.75" hidden="false" customHeight="false" outlineLevel="0" collapsed="false"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</row>
    <row r="92" customFormat="false" ht="12.75" hidden="false" customHeight="false" outlineLevel="0" collapsed="false"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 t="n">
        <f aca="false">-LN(R75)</f>
        <v>0.0300597219988627</v>
      </c>
      <c r="S92" s="82"/>
    </row>
    <row r="93" customFormat="false" ht="12.75" hidden="false" customHeight="false" outlineLevel="0" collapsed="false"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 t="n">
        <f aca="false">-LN(Q76)</f>
        <v>0.0289802384276619</v>
      </c>
      <c r="R93" s="82" t="n">
        <f aca="false">-LN(R76)</f>
        <v>0.0279313305874912</v>
      </c>
      <c r="S93" s="82"/>
    </row>
    <row r="94" customFormat="false" ht="12.75" hidden="false" customHeight="false" outlineLevel="0" collapsed="false"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 t="n">
        <f aca="false">-LN(P77)</f>
        <v>0.0279018871520192</v>
      </c>
      <c r="Q94" s="82" t="n">
        <f aca="false">-LN(Q77)</f>
        <v>0.0268518470162904</v>
      </c>
      <c r="R94" s="82" t="n">
        <f aca="false">-LN(R77)</f>
        <v>0.0258029391761197</v>
      </c>
      <c r="S94" s="82"/>
    </row>
    <row r="95" customFormat="false" ht="12.75" hidden="false" customHeight="false" outlineLevel="0" collapsed="false"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 t="n">
        <f aca="false">-LN(O78)</f>
        <v>0.02682466820399</v>
      </c>
      <c r="P95" s="82" t="n">
        <f aca="false">-LN(P78)</f>
        <v>0.0257734957406477</v>
      </c>
      <c r="Q95" s="82" t="n">
        <f aca="false">-LN(Q78)</f>
        <v>0.024723455604919</v>
      </c>
      <c r="R95" s="82" t="n">
        <f aca="false">-LN(R78)</f>
        <v>0.0236745477647482</v>
      </c>
      <c r="S95" s="82"/>
    </row>
    <row r="96" customFormat="false" ht="12.75" hidden="false" customHeight="false" outlineLevel="0" collapsed="false"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 t="n">
        <f aca="false">-LN(N79)</f>
        <v>0.0257485816130692</v>
      </c>
      <c r="O96" s="82" t="n">
        <f aca="false">-LN(O79)</f>
        <v>0.0246962767926186</v>
      </c>
      <c r="P96" s="82" t="n">
        <f aca="false">-LN(P79)</f>
        <v>0.0236451043292763</v>
      </c>
      <c r="Q96" s="82" t="n">
        <f aca="false">-LN(Q79)</f>
        <v>0.0225950641935476</v>
      </c>
      <c r="R96" s="82" t="n">
        <f aca="false">-LN(R79)</f>
        <v>0.0215461563533767</v>
      </c>
      <c r="S96" s="82"/>
    </row>
    <row r="97" customFormat="false" ht="12.75" hidden="false" customHeight="false" outlineLevel="0" collapsed="false">
      <c r="D97" s="82"/>
      <c r="E97" s="82"/>
      <c r="F97" s="82"/>
      <c r="G97" s="82"/>
      <c r="H97" s="82"/>
      <c r="I97" s="82"/>
      <c r="J97" s="82"/>
      <c r="K97" s="82"/>
      <c r="L97" s="82"/>
      <c r="M97" s="82" t="n">
        <f aca="false">-LN(M80)</f>
        <v>0.0246736274061858</v>
      </c>
      <c r="N97" s="82" t="n">
        <f aca="false">-LN(N80)</f>
        <v>0.0236201902016977</v>
      </c>
      <c r="O97" s="82" t="n">
        <f aca="false">-LN(O80)</f>
        <v>0.0225678853812471</v>
      </c>
      <c r="P97" s="82" t="n">
        <f aca="false">-LN(P80)</f>
        <v>0.0215167129179048</v>
      </c>
      <c r="Q97" s="82" t="n">
        <f aca="false">-LN(Q80)</f>
        <v>0.0204666727821761</v>
      </c>
      <c r="R97" s="82" t="n">
        <f aca="false">-LN(R80)</f>
        <v>0.0194177649420053</v>
      </c>
      <c r="S97" s="82"/>
    </row>
    <row r="98" customFormat="false" ht="12.75" hidden="false" customHeight="false" outlineLevel="0" collapsed="false">
      <c r="D98" s="82"/>
      <c r="E98" s="82"/>
      <c r="F98" s="82"/>
      <c r="G98" s="82"/>
      <c r="H98" s="82"/>
      <c r="I98" s="82"/>
      <c r="J98" s="82"/>
      <c r="K98" s="82"/>
      <c r="L98" s="82" t="n">
        <f aca="false">-LN(L81)</f>
        <v>0.0235998056077056</v>
      </c>
      <c r="M98" s="82" t="n">
        <f aca="false">-LN(M81)</f>
        <v>0.0225452359948143</v>
      </c>
      <c r="N98" s="82" t="n">
        <f aca="false">-LN(N81)</f>
        <v>0.0214917987903262</v>
      </c>
      <c r="O98" s="82" t="n">
        <f aca="false">-LN(O81)</f>
        <v>0.0204394939698756</v>
      </c>
      <c r="P98" s="82" t="n">
        <f aca="false">-LN(P81)</f>
        <v>0.0193883215065333</v>
      </c>
      <c r="Q98" s="82" t="n">
        <f aca="false">-LN(Q81)</f>
        <v>0.0183382813708047</v>
      </c>
      <c r="R98" s="82" t="n">
        <f aca="false">-LN(R81)</f>
        <v>0.0172893735306338</v>
      </c>
      <c r="S98" s="82"/>
    </row>
    <row r="99" customFormat="false" ht="12.75" hidden="false" customHeight="false" outlineLevel="0" collapsed="false">
      <c r="D99" s="82"/>
      <c r="E99" s="82"/>
      <c r="F99" s="82"/>
      <c r="G99" s="82"/>
      <c r="H99" s="82"/>
      <c r="I99" s="82"/>
      <c r="J99" s="82"/>
      <c r="K99" s="82" t="n">
        <f aca="false">-LN(K82)</f>
        <v>0.0225271162394302</v>
      </c>
      <c r="L99" s="82" t="n">
        <f aca="false">-LN(L82)</f>
        <v>0.0214714141963341</v>
      </c>
      <c r="M99" s="82" t="n">
        <f aca="false">-LN(M82)</f>
        <v>0.0204168445834429</v>
      </c>
      <c r="N99" s="82" t="n">
        <f aca="false">-LN(N82)</f>
        <v>0.0193634073789548</v>
      </c>
      <c r="O99" s="82" t="n">
        <f aca="false">-LN(O82)</f>
        <v>0.0183111025585041</v>
      </c>
      <c r="P99" s="82" t="n">
        <f aca="false">-LN(P82)</f>
        <v>0.0172599300951618</v>
      </c>
      <c r="Q99" s="82" t="n">
        <f aca="false">-LN(Q82)</f>
        <v>0.0162098899594332</v>
      </c>
      <c r="R99" s="82" t="n">
        <f aca="false">-LN(R82)</f>
        <v>0.0151609821192623</v>
      </c>
      <c r="S99" s="82"/>
    </row>
    <row r="100" customFormat="false" ht="12.75" hidden="false" customHeight="false" outlineLevel="0" collapsed="false">
      <c r="D100" s="82"/>
      <c r="E100" s="82"/>
      <c r="F100" s="82"/>
      <c r="G100" s="82"/>
      <c r="H100" s="82"/>
      <c r="I100" s="82"/>
      <c r="J100" s="82" t="n">
        <f aca="false">-LN(J83)</f>
        <v>0.0214555593205968</v>
      </c>
      <c r="K100" s="82" t="n">
        <f aca="false">-LN(K83)</f>
        <v>0.0203987248280587</v>
      </c>
      <c r="L100" s="82" t="n">
        <f aca="false">-LN(L83)</f>
        <v>0.0193430227849626</v>
      </c>
      <c r="M100" s="82" t="n">
        <f aca="false">-LN(M83)</f>
        <v>0.0182884531720714</v>
      </c>
      <c r="N100" s="82" t="n">
        <f aca="false">-LN(N83)</f>
        <v>0.0172350159675834</v>
      </c>
      <c r="O100" s="82" t="n">
        <f aca="false">-LN(O83)</f>
        <v>0.0161827111471327</v>
      </c>
      <c r="P100" s="82" t="n">
        <f aca="false">-LN(P83)</f>
        <v>0.0151315386837904</v>
      </c>
      <c r="Q100" s="82" t="n">
        <f aca="false">-LN(Q83)</f>
        <v>0.0140814985480618</v>
      </c>
      <c r="R100" s="82" t="n">
        <f aca="false">-LN(R83)</f>
        <v>0.0130325907078909</v>
      </c>
      <c r="S100" s="82"/>
    </row>
    <row r="101" customFormat="false" ht="12.75" hidden="false" customHeight="false" outlineLevel="0" collapsed="false">
      <c r="D101" s="82"/>
      <c r="E101" s="82"/>
      <c r="F101" s="82"/>
      <c r="G101" s="82"/>
      <c r="H101" s="82"/>
      <c r="I101" s="82" t="n">
        <f aca="false">-LN(I84)</f>
        <v>0.020385134867878</v>
      </c>
      <c r="J101" s="82" t="n">
        <f aca="false">-LN(J84)</f>
        <v>0.0193271679092253</v>
      </c>
      <c r="K101" s="82" t="n">
        <f aca="false">-LN(K84)</f>
        <v>0.0182703334166872</v>
      </c>
      <c r="L101" s="82" t="n">
        <f aca="false">-LN(L84)</f>
        <v>0.0172146313735912</v>
      </c>
      <c r="M101" s="82" t="n">
        <f aca="false">-LN(M84)</f>
        <v>0.0161600617606999</v>
      </c>
      <c r="N101" s="82" t="n">
        <f aca="false">-LN(N84)</f>
        <v>0.0151066245562119</v>
      </c>
      <c r="O101" s="82" t="n">
        <f aca="false">-LN(O84)</f>
        <v>0.0140543197357612</v>
      </c>
      <c r="P101" s="82" t="n">
        <f aca="false">-LN(P84)</f>
        <v>0.0130031472724189</v>
      </c>
      <c r="Q101" s="82" t="n">
        <f aca="false">-LN(Q84)</f>
        <v>0.0119531071366904</v>
      </c>
      <c r="R101" s="82" t="n">
        <f aca="false">-LN(R84)</f>
        <v>0.0109041992965195</v>
      </c>
      <c r="S101" s="82"/>
    </row>
    <row r="102" customFormat="false" ht="12.75" hidden="false" customHeight="false" outlineLevel="0" collapsed="false">
      <c r="D102" s="82"/>
      <c r="E102" s="82"/>
      <c r="F102" s="82"/>
      <c r="G102" s="82"/>
      <c r="H102" s="82" t="n">
        <f aca="false">-LN(H85)</f>
        <v>0.0193158428953815</v>
      </c>
      <c r="I102" s="82" t="n">
        <f aca="false">-LN(I85)</f>
        <v>0.0182567434565066</v>
      </c>
      <c r="J102" s="82" t="n">
        <f aca="false">-LN(J85)</f>
        <v>0.0171987764978538</v>
      </c>
      <c r="K102" s="82" t="n">
        <f aca="false">-LN(K85)</f>
        <v>0.0161419420053157</v>
      </c>
      <c r="L102" s="82" t="n">
        <f aca="false">-LN(L85)</f>
        <v>0.0150862399622197</v>
      </c>
      <c r="M102" s="82" t="n">
        <f aca="false">-LN(M85)</f>
        <v>0.0140316703493284</v>
      </c>
      <c r="N102" s="82" t="n">
        <f aca="false">-LN(N85)</f>
        <v>0.0129782331448405</v>
      </c>
      <c r="O102" s="82" t="n">
        <f aca="false">-LN(O85)</f>
        <v>0.0119259283243897</v>
      </c>
      <c r="P102" s="82" t="n">
        <f aca="false">-LN(P85)</f>
        <v>0.0108747558610474</v>
      </c>
      <c r="Q102" s="82" t="n">
        <f aca="false">-LN(Q85)</f>
        <v>0.0098247157253189</v>
      </c>
      <c r="R102" s="82" t="n">
        <f aca="false">-LN(R85)</f>
        <v>0.00877580788514794</v>
      </c>
      <c r="S102" s="82"/>
    </row>
    <row r="103" customFormat="false" ht="12.75" hidden="false" customHeight="false" outlineLevel="0" collapsed="false">
      <c r="D103" s="82"/>
      <c r="E103" s="82"/>
      <c r="F103" s="82"/>
      <c r="G103" s="82" t="n">
        <f aca="false">-LN(G86)</f>
        <v>0.0182476834146498</v>
      </c>
      <c r="H103" s="82" t="n">
        <f aca="false">-LN(H86)</f>
        <v>0.01718745148401</v>
      </c>
      <c r="I103" s="82" t="n">
        <f aca="false">-LN(I86)</f>
        <v>0.0161283520451351</v>
      </c>
      <c r="J103" s="82" t="n">
        <f aca="false">-LN(J86)</f>
        <v>0.0150703850864824</v>
      </c>
      <c r="K103" s="82" t="n">
        <f aca="false">-LN(K86)</f>
        <v>0.0140135505939442</v>
      </c>
      <c r="L103" s="82" t="n">
        <f aca="false">-LN(L86)</f>
        <v>0.0129578485508482</v>
      </c>
      <c r="M103" s="82" t="n">
        <f aca="false">-LN(M86)</f>
        <v>0.011903278937957</v>
      </c>
      <c r="N103" s="82" t="n">
        <f aca="false">-LN(N86)</f>
        <v>0.0108498417334691</v>
      </c>
      <c r="O103" s="82" t="n">
        <f aca="false">-LN(O86)</f>
        <v>0.00979753691301826</v>
      </c>
      <c r="P103" s="82" t="n">
        <f aca="false">-LN(P86)</f>
        <v>0.00874636444967594</v>
      </c>
      <c r="Q103" s="82" t="n">
        <f aca="false">-LN(Q86)</f>
        <v>0.00769632431394746</v>
      </c>
      <c r="R103" s="82" t="n">
        <f aca="false">-LN(R86)</f>
        <v>0.0066474164737765</v>
      </c>
      <c r="S103" s="82"/>
    </row>
    <row r="104" customFormat="false" ht="12.75" hidden="false" customHeight="false" outlineLevel="0" collapsed="false">
      <c r="D104" s="82"/>
      <c r="E104" s="82"/>
      <c r="F104" s="82" t="n">
        <f aca="false">-LN(F87)</f>
        <v>0.0171806564346613</v>
      </c>
      <c r="G104" s="82" t="n">
        <f aca="false">-LN(G87)</f>
        <v>0.0161192920032784</v>
      </c>
      <c r="H104" s="82" t="n">
        <f aca="false">-LN(H87)</f>
        <v>0.0150590600726385</v>
      </c>
      <c r="I104" s="82" t="n">
        <f aca="false">-LN(I87)</f>
        <v>0.0139999606337636</v>
      </c>
      <c r="J104" s="82" t="n">
        <f aca="false">-LN(J87)</f>
        <v>0.0129419936751109</v>
      </c>
      <c r="K104" s="82" t="n">
        <f aca="false">-LN(K87)</f>
        <v>0.0118851591825728</v>
      </c>
      <c r="L104" s="82" t="n">
        <f aca="false">-LN(L87)</f>
        <v>0.0108294571394767</v>
      </c>
      <c r="M104" s="82" t="n">
        <f aca="false">-LN(M87)</f>
        <v>0.0097748875265855</v>
      </c>
      <c r="N104" s="82" t="n">
        <f aca="false">-LN(N87)</f>
        <v>0.00872145032209754</v>
      </c>
      <c r="O104" s="82" t="n">
        <f aca="false">-LN(O87)</f>
        <v>0.00766914550164684</v>
      </c>
      <c r="P104" s="82" t="n">
        <f aca="false">-LN(P87)</f>
        <v>0.00661797303830445</v>
      </c>
      <c r="Q104" s="82" t="n">
        <f aca="false">-LN(Q87)</f>
        <v>0.00556793290257596</v>
      </c>
      <c r="R104" s="82" t="n">
        <f aca="false">-LN(R87)</f>
        <v>0.00451902506240503</v>
      </c>
      <c r="S104" s="82"/>
    </row>
    <row r="105" customFormat="false" ht="12.75" hidden="false" customHeight="false" outlineLevel="0" collapsed="false">
      <c r="D105" s="82"/>
      <c r="E105" s="82" t="n">
        <f aca="false">-LN(E88)</f>
        <v>0.0161147619618289</v>
      </c>
      <c r="F105" s="82" t="n">
        <f aca="false">-LN(F88)</f>
        <v>0.0150522650232899</v>
      </c>
      <c r="G105" s="82" t="n">
        <f aca="false">-LN(G88)</f>
        <v>0.0139909005919069</v>
      </c>
      <c r="H105" s="82" t="n">
        <f aca="false">-LN(H88)</f>
        <v>0.012930668661267</v>
      </c>
      <c r="I105" s="82" t="n">
        <f aca="false">-LN(I88)</f>
        <v>0.0118715692223921</v>
      </c>
      <c r="J105" s="82" t="n">
        <f aca="false">-LN(J88)</f>
        <v>0.0108136022637394</v>
      </c>
      <c r="K105" s="82" t="n">
        <f aca="false">-LN(K88)</f>
        <v>0.00975676777120135</v>
      </c>
      <c r="L105" s="82" t="n">
        <f aca="false">-LN(L88)</f>
        <v>0.00870106572810525</v>
      </c>
      <c r="M105" s="82" t="n">
        <f aca="false">-LN(M88)</f>
        <v>0.00764649611521403</v>
      </c>
      <c r="N105" s="82" t="n">
        <f aca="false">-LN(N88)</f>
        <v>0.00659305891072604</v>
      </c>
      <c r="O105" s="82" t="n">
        <f aca="false">-LN(O88)</f>
        <v>0.00554075409027535</v>
      </c>
      <c r="P105" s="82" t="n">
        <f aca="false">-LN(P88)</f>
        <v>0.00448958162693302</v>
      </c>
      <c r="Q105" s="82" t="n">
        <f aca="false">-LN(Q88)</f>
        <v>0.00343954149120449</v>
      </c>
      <c r="R105" s="82" t="n">
        <f aca="false">-LN(R88)</f>
        <v>0.0023906336510336</v>
      </c>
      <c r="S105" s="82"/>
    </row>
    <row r="106" customFormat="false" ht="12.75" hidden="false" customHeight="false" outlineLevel="0" collapsed="false">
      <c r="A106" s="8" t="s">
        <v>85</v>
      </c>
      <c r="D106" s="82" t="n">
        <f aca="false">-LN(D89)</f>
        <v>0.01505</v>
      </c>
      <c r="E106" s="82" t="n">
        <f aca="false">-LN(E89)</f>
        <v>0.0139863705504574</v>
      </c>
      <c r="F106" s="82" t="n">
        <f aca="false">-LN(F89)</f>
        <v>0.0129238736119184</v>
      </c>
      <c r="G106" s="82" t="n">
        <f aca="false">-LN(G89)</f>
        <v>0.0118625091805354</v>
      </c>
      <c r="H106" s="82" t="n">
        <f aca="false">-LN(H89)</f>
        <v>0.0108022772498955</v>
      </c>
      <c r="I106" s="82" t="n">
        <f aca="false">-LN(I89)</f>
        <v>0.00974317781102063</v>
      </c>
      <c r="J106" s="82" t="n">
        <f aca="false">-LN(J89)</f>
        <v>0.008685210852368</v>
      </c>
      <c r="K106" s="82" t="n">
        <f aca="false">-LN(K89)</f>
        <v>0.00762837635982987</v>
      </c>
      <c r="L106" s="82" t="n">
        <f aca="false">-LN(L89)</f>
        <v>0.00657267431673378</v>
      </c>
      <c r="M106" s="82" t="n">
        <f aca="false">-LN(M89)</f>
        <v>0.00551810470384256</v>
      </c>
      <c r="N106" s="82" t="n">
        <f aca="false">-LN(N89)</f>
        <v>0.00446466749935462</v>
      </c>
      <c r="O106" s="82" t="n">
        <f aca="false">-LN(O89)</f>
        <v>0.00341236267890385</v>
      </c>
      <c r="P106" s="82" t="n">
        <f aca="false">-LN(P89)</f>
        <v>0.00236119021556158</v>
      </c>
      <c r="Q106" s="82" t="n">
        <f aca="false">-LN(Q89)</f>
        <v>0.00131115007983302</v>
      </c>
      <c r="R106" s="82" t="n">
        <f aca="false">-LN(R89)</f>
        <v>0.000262242239662122</v>
      </c>
      <c r="S106" s="82"/>
    </row>
    <row r="107" customFormat="false" ht="12.75" hidden="false" customHeight="false" outlineLevel="0" collapsed="false"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</row>
    <row r="108" customFormat="false" ht="12.75" hidden="false" customHeight="false" outlineLevel="0" collapsed="false">
      <c r="D108" s="82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</row>
    <row r="109" customFormat="false" ht="12.75" hidden="false" customHeight="false" outlineLevel="0" collapsed="false">
      <c r="D109" s="82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 t="n">
        <f aca="false">(EXP(R92)-$C$71)/($C$70-$C$71)</f>
        <v>0.369406013778659</v>
      </c>
      <c r="S109" s="83"/>
    </row>
    <row r="110" customFormat="false" ht="12.75" hidden="false" customHeight="false" outlineLevel="0" collapsed="false">
      <c r="D110" s="82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 t="n">
        <f aca="false">(EXP(Q93)-$C$71)/($C$70-$C$71)</f>
        <v>0.368583766031464</v>
      </c>
      <c r="R110" s="83" t="n">
        <f aca="false">(EXP(R93)-$C$71)/($C$70-$C$71)</f>
        <v>0.367785657761015</v>
      </c>
      <c r="S110" s="83"/>
    </row>
    <row r="111" customFormat="false" ht="12.75" hidden="false" customHeight="false" outlineLevel="0" collapsed="false">
      <c r="D111" s="82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 t="n">
        <f aca="false">(EXP(P94)-$C$71)/($C$70-$C$71)</f>
        <v>0.367763266488221</v>
      </c>
      <c r="Q111" s="83" t="n">
        <f aca="false">(EXP(Q94)-$C$71)/($C$70-$C$71)</f>
        <v>0.366965158217772</v>
      </c>
      <c r="R111" s="83" t="n">
        <f aca="false">(EXP(R94)-$C$71)/($C$70-$C$71)</f>
        <v>0.366168746827658</v>
      </c>
      <c r="S111" s="83"/>
    </row>
    <row r="112" customFormat="false" ht="12.75" hidden="false" customHeight="false" outlineLevel="0" collapsed="false">
      <c r="D112" s="82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 t="n">
        <f aca="false">(EXP(O95)-$C$71)/($C$70-$C$71)</f>
        <v>0.366944511432024</v>
      </c>
      <c r="P112" s="83" t="n">
        <f aca="false">(EXP(P95)-$C$71)/($C$70-$C$71)</f>
        <v>0.366146403161576</v>
      </c>
      <c r="Q112" s="83" t="n">
        <f aca="false">(EXP(Q95)-$C$71)/($C$70-$C$71)</f>
        <v>0.365349991771461</v>
      </c>
      <c r="R112" s="83" t="n">
        <f aca="false">(EXP(R95)-$C$71)/($C$70-$C$71)</f>
        <v>0.364555273653897</v>
      </c>
      <c r="S112" s="83"/>
    </row>
    <row r="113" customFormat="false" ht="12.75" hidden="false" customHeight="false" outlineLevel="0" collapsed="false">
      <c r="D113" s="82"/>
      <c r="E113" s="83"/>
      <c r="F113" s="83"/>
      <c r="G113" s="83"/>
      <c r="H113" s="83"/>
      <c r="I113" s="83"/>
      <c r="J113" s="83"/>
      <c r="K113" s="83"/>
      <c r="L113" s="83"/>
      <c r="M113" s="83"/>
      <c r="N113" s="83" t="n">
        <f aca="false">(EXP(N96)-$C$71)/($C$70-$C$71)</f>
        <v>0.366127497153872</v>
      </c>
      <c r="O113" s="83" t="n">
        <f aca="false">(EXP(O96)-$C$71)/($C$70-$C$71)</f>
        <v>0.365329388883423</v>
      </c>
      <c r="P113" s="83" t="n">
        <f aca="false">(EXP(P96)-$C$71)/($C$70-$C$71)</f>
        <v>0.364532977493309</v>
      </c>
      <c r="Q113" s="83" t="n">
        <f aca="false">(EXP(Q96)-$C$71)/($C$70-$C$71)</f>
        <v>0.363738259375744</v>
      </c>
      <c r="R113" s="83" t="n">
        <f aca="false">(EXP(R96)-$C$71)/($C$70-$C$71)</f>
        <v>0.362945230930616</v>
      </c>
      <c r="S113" s="83"/>
    </row>
    <row r="114" customFormat="false" ht="12.75" hidden="false" customHeight="false" outlineLevel="0" collapsed="false">
      <c r="D114" s="82"/>
      <c r="E114" s="83"/>
      <c r="F114" s="83"/>
      <c r="G114" s="83"/>
      <c r="H114" s="83"/>
      <c r="I114" s="83"/>
      <c r="J114" s="83"/>
      <c r="K114" s="83"/>
      <c r="L114" s="83"/>
      <c r="M114" s="83" t="n">
        <f aca="false">(EXP(M97)-$C$71)/($C$70-$C$71)</f>
        <v>0.365312219952647</v>
      </c>
      <c r="N114" s="83" t="n">
        <f aca="false">(EXP(N97)-$C$71)/($C$70-$C$71)</f>
        <v>0.364514111682198</v>
      </c>
      <c r="O114" s="83" t="n">
        <f aca="false">(EXP(O97)-$C$71)/($C$70-$C$71)</f>
        <v>0.363717700292083</v>
      </c>
      <c r="P114" s="83" t="n">
        <f aca="false">(EXP(P97)-$C$71)/($C$70-$C$71)</f>
        <v>0.362922982174519</v>
      </c>
      <c r="Q114" s="83" t="n">
        <f aca="false">(EXP(Q97)-$C$71)/($C$70-$C$71)</f>
        <v>0.362129953729391</v>
      </c>
      <c r="R114" s="83" t="n">
        <f aca="false">(EXP(R97)-$C$71)/($C$70-$C$71)</f>
        <v>0.361338611364238</v>
      </c>
      <c r="S114" s="83"/>
    </row>
    <row r="115" customFormat="false" ht="12.75" hidden="false" customHeight="false" outlineLevel="0" collapsed="false">
      <c r="D115" s="82"/>
      <c r="E115" s="83"/>
      <c r="F115" s="83"/>
      <c r="G115" s="83"/>
      <c r="H115" s="83"/>
      <c r="I115" s="83"/>
      <c r="J115" s="83"/>
      <c r="K115" s="83"/>
      <c r="L115" s="83" t="n">
        <f aca="false">(EXP(L98)-$C$71)/($C$70-$C$71)</f>
        <v>0.3644986761351</v>
      </c>
      <c r="M115" s="83" t="n">
        <f aca="false">(EXP(M98)-$C$71)/($C$70-$C$71)</f>
        <v>0.363700567864651</v>
      </c>
      <c r="N115" s="83" t="n">
        <f aca="false">(EXP(N98)-$C$71)/($C$70-$C$71)</f>
        <v>0.362904156474537</v>
      </c>
      <c r="O115" s="83" t="n">
        <f aca="false">(EXP(O98)-$C$71)/($C$70-$C$71)</f>
        <v>0.362109438356973</v>
      </c>
      <c r="P115" s="83" t="n">
        <f aca="false">(EXP(P98)-$C$71)/($C$70-$C$71)</f>
        <v>0.361316409911844</v>
      </c>
      <c r="Q115" s="83" t="n">
        <f aca="false">(EXP(Q98)-$C$71)/($C$70-$C$71)</f>
        <v>0.360525067546692</v>
      </c>
      <c r="R115" s="83" t="n">
        <f aca="false">(EXP(R98)-$C$71)/($C$70-$C$71)</f>
        <v>0.359735407676694</v>
      </c>
      <c r="S115" s="83"/>
    </row>
    <row r="116" customFormat="false" ht="12.75" hidden="false" customHeight="false" outlineLevel="0" collapsed="false">
      <c r="D116" s="82"/>
      <c r="E116" s="83"/>
      <c r="F116" s="83"/>
      <c r="G116" s="83"/>
      <c r="H116" s="83"/>
      <c r="I116" s="83"/>
      <c r="J116" s="83"/>
      <c r="K116" s="83" t="n">
        <f aca="false">(EXP(K99)-$C$71)/($C$70-$C$71)</f>
        <v>0.363686862015838</v>
      </c>
      <c r="L116" s="83" t="n">
        <f aca="false">(EXP(L99)-$C$71)/($C$70-$C$71)</f>
        <v>0.362888753745389</v>
      </c>
      <c r="M116" s="83" t="n">
        <f aca="false">(EXP(M99)-$C$71)/($C$70-$C$71)</f>
        <v>0.362092342355274</v>
      </c>
      <c r="N116" s="83" t="n">
        <f aca="false">(EXP(N99)-$C$71)/($C$70-$C$71)</f>
        <v>0.36129762423771</v>
      </c>
      <c r="O116" s="83" t="n">
        <f aca="false">(EXP(O99)-$C$71)/($C$70-$C$71)</f>
        <v>0.360504595792582</v>
      </c>
      <c r="P116" s="83" t="n">
        <f aca="false">(EXP(P99)-$C$71)/($C$70-$C$71)</f>
        <v>0.359713253427429</v>
      </c>
      <c r="Q116" s="83" t="n">
        <f aca="false">(EXP(Q99)-$C$71)/($C$70-$C$71)</f>
        <v>0.358923593557431</v>
      </c>
      <c r="R116" s="83" t="n">
        <f aca="false">(EXP(R99)-$C$71)/($C$70-$C$71)</f>
        <v>0.358135612605387</v>
      </c>
      <c r="S116" s="83"/>
    </row>
    <row r="117" customFormat="false" ht="12.75" hidden="false" customHeight="false" outlineLevel="0" collapsed="false">
      <c r="D117" s="82"/>
      <c r="E117" s="83"/>
      <c r="F117" s="83"/>
      <c r="G117" s="83"/>
      <c r="H117" s="83"/>
      <c r="I117" s="83"/>
      <c r="J117" s="83" t="n">
        <f aca="false">(EXP(J100)-$C$71)/($C$70-$C$71)</f>
        <v>0.362876773917299</v>
      </c>
      <c r="K117" s="83" t="n">
        <f aca="false">(EXP(K100)-$C$71)/($C$70-$C$71)</f>
        <v>0.36207866564685</v>
      </c>
      <c r="L117" s="83" t="n">
        <f aca="false">(EXP(L100)-$C$71)/($C$70-$C$71)</f>
        <v>0.361282254256735</v>
      </c>
      <c r="M117" s="83" t="n">
        <f aca="false">(EXP(M100)-$C$71)/($C$70-$C$71)</f>
        <v>0.360487536139171</v>
      </c>
      <c r="N117" s="83" t="n">
        <f aca="false">(EXP(N100)-$C$71)/($C$70-$C$71)</f>
        <v>0.359694507694043</v>
      </c>
      <c r="O117" s="83" t="n">
        <f aca="false">(EXP(O100)-$C$71)/($C$70-$C$71)</f>
        <v>0.35890316532889</v>
      </c>
      <c r="P117" s="83" t="n">
        <f aca="false">(EXP(P100)-$C$71)/($C$70-$C$71)</f>
        <v>0.358113505458892</v>
      </c>
      <c r="Q117" s="83" t="n">
        <f aca="false">(EXP(Q100)-$C$71)/($C$70-$C$71)</f>
        <v>0.357325524506848</v>
      </c>
      <c r="R117" s="83" t="n">
        <f aca="false">(EXP(R100)-$C$71)/($C$70-$C$71)</f>
        <v>0.356539218903164</v>
      </c>
      <c r="S117" s="83"/>
    </row>
    <row r="118" customFormat="false" ht="12.75" hidden="false" customHeight="false" outlineLevel="0" collapsed="false">
      <c r="D118" s="82"/>
      <c r="E118" s="83"/>
      <c r="F118" s="83"/>
      <c r="G118" s="83"/>
      <c r="H118" s="83"/>
      <c r="I118" s="83" t="n">
        <f aca="false">(EXP(I101)-$C$71)/($C$70-$C$71)</f>
        <v>0.362068408169742</v>
      </c>
      <c r="J118" s="83" t="n">
        <f aca="false">(EXP(J101)-$C$71)/($C$70-$C$71)</f>
        <v>0.361270299899293</v>
      </c>
      <c r="K118" s="83" t="n">
        <f aca="false">(EXP(K101)-$C$71)/($C$70-$C$71)</f>
        <v>0.360473888509179</v>
      </c>
      <c r="L118" s="83" t="n">
        <f aca="false">(EXP(L101)-$C$71)/($C$70-$C$71)</f>
        <v>0.359679170391615</v>
      </c>
      <c r="M118" s="83" t="n">
        <f aca="false">(EXP(M101)-$C$71)/($C$70-$C$71)</f>
        <v>0.358886141946486</v>
      </c>
      <c r="N118" s="83" t="n">
        <f aca="false">(EXP(N101)-$C$71)/($C$70-$C$71)</f>
        <v>0.358094799581334</v>
      </c>
      <c r="O118" s="83" t="n">
        <f aca="false">(EXP(O101)-$C$71)/($C$70-$C$71)</f>
        <v>0.357305139711336</v>
      </c>
      <c r="P118" s="83" t="n">
        <f aca="false">(EXP(P101)-$C$71)/($C$70-$C$71)</f>
        <v>0.356517158759292</v>
      </c>
      <c r="Q118" s="83" t="n">
        <f aca="false">(EXP(Q101)-$C$71)/($C$70-$C$71)</f>
        <v>0.355730853155607</v>
      </c>
      <c r="R118" s="83" t="n">
        <f aca="false">(EXP(R101)-$C$71)/($C$70-$C$71)</f>
        <v>0.354946219338278</v>
      </c>
      <c r="S118" s="83"/>
    </row>
    <row r="119" customFormat="false" ht="12.75" hidden="false" customHeight="false" outlineLevel="0" collapsed="false">
      <c r="D119" s="82"/>
      <c r="E119" s="83"/>
      <c r="F119" s="83"/>
      <c r="G119" s="83"/>
      <c r="H119" s="83" t="n">
        <f aca="false">(EXP(H102)-$C$71)/($C$70-$C$71)</f>
        <v>0.36126176111123</v>
      </c>
      <c r="I119" s="83" t="n">
        <f aca="false">(EXP(I102)-$C$71)/($C$70-$C$71)</f>
        <v>0.360463652840781</v>
      </c>
      <c r="J119" s="83" t="n">
        <f aca="false">(EXP(J102)-$C$71)/($C$70-$C$71)</f>
        <v>0.359667241450667</v>
      </c>
      <c r="K119" s="83" t="n">
        <f aca="false">(EXP(K102)-$C$71)/($C$70-$C$71)</f>
        <v>0.358872523333102</v>
      </c>
      <c r="L119" s="83" t="n">
        <f aca="false">(EXP(L102)-$C$71)/($C$70-$C$71)</f>
        <v>0.358079494887974</v>
      </c>
      <c r="M119" s="83" t="n">
        <f aca="false">(EXP(M102)-$C$71)/($C$70-$C$71)</f>
        <v>0.357288152522822</v>
      </c>
      <c r="N119" s="83" t="n">
        <f aca="false">(EXP(N102)-$C$71)/($C$70-$C$71)</f>
        <v>0.356498492652824</v>
      </c>
      <c r="O119" s="83" t="n">
        <f aca="false">(EXP(O102)-$C$71)/($C$70-$C$71)</f>
        <v>0.355710511700779</v>
      </c>
      <c r="P119" s="83" t="n">
        <f aca="false">(EXP(P102)-$C$71)/($C$70-$C$71)</f>
        <v>0.354924206097095</v>
      </c>
      <c r="Q119" s="83" t="n">
        <f aca="false">(EXP(Q102)-$C$71)/($C$70-$C$71)</f>
        <v>0.354139572279765</v>
      </c>
      <c r="R119" s="83" t="n">
        <f aca="false">(EXP(R102)-$C$71)/($C$70-$C$71)</f>
        <v>0.353356606694359</v>
      </c>
      <c r="S119" s="83"/>
    </row>
    <row r="120" customFormat="false" ht="12.75" hidden="false" customHeight="false" outlineLevel="0" collapsed="false">
      <c r="D120" s="82"/>
      <c r="E120" s="83"/>
      <c r="F120" s="83"/>
      <c r="G120" s="83" t="n">
        <f aca="false">(EXP(G103)-$C$71)/($C$70-$C$71)</f>
        <v>0.360456829087609</v>
      </c>
      <c r="H120" s="83" t="n">
        <f aca="false">(EXP(H103)-$C$71)/($C$70-$C$71)</f>
        <v>0.35965872081716</v>
      </c>
      <c r="I120" s="83" t="n">
        <f aca="false">(EXP(I103)-$C$71)/($C$70-$C$71)</f>
        <v>0.358862309427045</v>
      </c>
      <c r="J120" s="83" t="n">
        <f aca="false">(EXP(J103)-$C$71)/($C$70-$C$71)</f>
        <v>0.358067591309481</v>
      </c>
      <c r="K120" s="83" t="n">
        <f aca="false">(EXP(K103)-$C$71)/($C$70-$C$71)</f>
        <v>0.357274562864353</v>
      </c>
      <c r="L120" s="83" t="n">
        <f aca="false">(EXP(L103)-$C$71)/($C$70-$C$71)</f>
        <v>0.3564832204992</v>
      </c>
      <c r="M120" s="83" t="n">
        <f aca="false">(EXP(M103)-$C$71)/($C$70-$C$71)</f>
        <v>0.355693560629202</v>
      </c>
      <c r="N120" s="83" t="n">
        <f aca="false">(EXP(N103)-$C$71)/($C$70-$C$71)</f>
        <v>0.354905579677158</v>
      </c>
      <c r="O120" s="83" t="n">
        <f aca="false">(EXP(O103)-$C$71)/($C$70-$C$71)</f>
        <v>0.354119274073474</v>
      </c>
      <c r="P120" s="83" t="n">
        <f aca="false">(EXP(P103)-$C$71)/($C$70-$C$71)</f>
        <v>0.353334640256144</v>
      </c>
      <c r="Q120" s="83" t="n">
        <f aca="false">(EXP(Q103)-$C$71)/($C$70-$C$71)</f>
        <v>0.352551674670737</v>
      </c>
      <c r="R120" s="83" t="n">
        <f aca="false">(EXP(R103)-$C$71)/($C$70-$C$71)</f>
        <v>0.351770373770379</v>
      </c>
      <c r="S120" s="83"/>
    </row>
    <row r="121" customFormat="false" ht="12.75" hidden="false" customHeight="false" outlineLevel="0" collapsed="false">
      <c r="D121" s="82"/>
      <c r="E121" s="83"/>
      <c r="F121" s="83" t="n">
        <f aca="false">(EXP(F104)-$C$71)/($C$70-$C$71)</f>
        <v>0.359653608452495</v>
      </c>
      <c r="G121" s="83" t="n">
        <f aca="false">(EXP(G104)-$C$71)/($C$70-$C$71)</f>
        <v>0.358855500182046</v>
      </c>
      <c r="H121" s="83" t="n">
        <f aca="false">(EXP(H104)-$C$71)/($C$70-$C$71)</f>
        <v>0.358059088791932</v>
      </c>
      <c r="I121" s="83" t="n">
        <f aca="false">(EXP(I104)-$C$71)/($C$70-$C$71)</f>
        <v>0.357264370674367</v>
      </c>
      <c r="J121" s="83" t="n">
        <f aca="false">(EXP(J104)-$C$71)/($C$70-$C$71)</f>
        <v>0.356471342229239</v>
      </c>
      <c r="K121" s="83" t="n">
        <f aca="false">(EXP(K104)-$C$71)/($C$70-$C$71)</f>
        <v>0.355679999864087</v>
      </c>
      <c r="L121" s="83" t="n">
        <f aca="false">(EXP(L104)-$C$71)/($C$70-$C$71)</f>
        <v>0.354890339994089</v>
      </c>
      <c r="M121" s="83" t="n">
        <f aca="false">(EXP(M104)-$C$71)/($C$70-$C$71)</f>
        <v>0.354102359042045</v>
      </c>
      <c r="N121" s="83" t="n">
        <f aca="false">(EXP(N104)-$C$71)/($C$70-$C$71)</f>
        <v>0.35331605343836</v>
      </c>
      <c r="O121" s="83" t="n">
        <f aca="false">(EXP(O104)-$C$71)/($C$70-$C$71)</f>
        <v>0.35253141962103</v>
      </c>
      <c r="P121" s="83" t="n">
        <f aca="false">(EXP(P104)-$C$71)/($C$70-$C$71)</f>
        <v>0.351748454035624</v>
      </c>
      <c r="Q121" s="83" t="n">
        <f aca="false">(EXP(Q104)-$C$71)/($C$70-$C$71)</f>
        <v>0.350967153135265</v>
      </c>
      <c r="R121" s="83" t="n">
        <f aca="false">(EXP(R104)-$C$71)/($C$70-$C$71)</f>
        <v>0.350187513380621</v>
      </c>
      <c r="S121" s="83"/>
    </row>
    <row r="122" customFormat="false" ht="12.75" hidden="false" customHeight="false" outlineLevel="0" collapsed="false">
      <c r="D122" s="82"/>
      <c r="E122" s="83" t="n">
        <f aca="false">(EXP(E105)-$C$71)/($C$70-$C$71)</f>
        <v>0.358852095567258</v>
      </c>
      <c r="F122" s="83" t="n">
        <f aca="false">(EXP(F105)-$C$71)/($C$70-$C$71)</f>
        <v>0.358053987296809</v>
      </c>
      <c r="G122" s="83" t="n">
        <f aca="false">(EXP(G105)-$C$71)/($C$70-$C$71)</f>
        <v>0.357257575906694</v>
      </c>
      <c r="H122" s="83" t="n">
        <f aca="false">(EXP(H105)-$C$71)/($C$70-$C$71)</f>
        <v>0.35646285778913</v>
      </c>
      <c r="I122" s="83" t="n">
        <f aca="false">(EXP(I105)-$C$71)/($C$70-$C$71)</f>
        <v>0.355669829344002</v>
      </c>
      <c r="J122" s="83" t="n">
        <f aca="false">(EXP(J105)-$C$71)/($C$70-$C$71)</f>
        <v>0.354878486978849</v>
      </c>
      <c r="K122" s="83" t="n">
        <f aca="false">(EXP(K105)-$C$71)/($C$70-$C$71)</f>
        <v>0.354088827108851</v>
      </c>
      <c r="L122" s="83" t="n">
        <f aca="false">(EXP(L105)-$C$71)/($C$70-$C$71)</f>
        <v>0.353300846156807</v>
      </c>
      <c r="M122" s="83" t="n">
        <f aca="false">(EXP(M105)-$C$71)/($C$70-$C$71)</f>
        <v>0.352514540553123</v>
      </c>
      <c r="N122" s="83" t="n">
        <f aca="false">(EXP(N105)-$C$71)/($C$70-$C$71)</f>
        <v>0.351729906735793</v>
      </c>
      <c r="O122" s="83" t="n">
        <f aca="false">(EXP(O105)-$C$71)/($C$70-$C$71)</f>
        <v>0.350946941150386</v>
      </c>
      <c r="P122" s="83" t="n">
        <f aca="false">(EXP(P105)-$C$71)/($C$70-$C$71)</f>
        <v>0.350165640250028</v>
      </c>
      <c r="Q122" s="83" t="n">
        <f aca="false">(EXP(Q105)-$C$71)/($C$70-$C$71)</f>
        <v>0.349386000495384</v>
      </c>
      <c r="R122" s="83" t="n">
        <f aca="false">(EXP(R105)-$C$71)/($C$70-$C$71)</f>
        <v>0.348608018354647</v>
      </c>
      <c r="S122" s="83"/>
    </row>
    <row r="123" s="84" customFormat="true" ht="13.5" hidden="false" customHeight="true" outlineLevel="0" collapsed="false">
      <c r="A123" s="6" t="s">
        <v>86</v>
      </c>
      <c r="D123" s="83" t="n">
        <f aca="false">(EXP(D106)-$C$71)/($C$70-$C$71)</f>
        <v>0.358052286801002</v>
      </c>
      <c r="E123" s="83" t="n">
        <f aca="false">(EXP(E106)-$C$71)/($C$70-$C$71)</f>
        <v>0.357254178530553</v>
      </c>
      <c r="F123" s="83" t="n">
        <f aca="false">(EXP(F106)-$C$71)/($C$70-$C$71)</f>
        <v>0.356457767140439</v>
      </c>
      <c r="G123" s="83" t="n">
        <f aca="false">(EXP(G106)-$C$71)/($C$70-$C$71)</f>
        <v>0.355663049022874</v>
      </c>
      <c r="H123" s="83" t="n">
        <f aca="false">(EXP(H106)-$C$71)/($C$70-$C$71)</f>
        <v>0.354870020577746</v>
      </c>
      <c r="I123" s="83" t="n">
        <f aca="false">(EXP(I106)-$C$71)/($C$70-$C$71)</f>
        <v>0.354078678212594</v>
      </c>
      <c r="J123" s="83" t="n">
        <f aca="false">(EXP(J106)-$C$71)/($C$70-$C$71)</f>
        <v>0.353289018342596</v>
      </c>
      <c r="K123" s="83" t="n">
        <f aca="false">(EXP(K106)-$C$71)/($C$70-$C$71)</f>
        <v>0.352501037390552</v>
      </c>
      <c r="L123" s="83" t="n">
        <f aca="false">(EXP(L106)-$C$71)/($C$70-$C$71)</f>
        <v>0.351714731786867</v>
      </c>
      <c r="M123" s="83" t="n">
        <f aca="false">(EXP(M106)-$C$71)/($C$70-$C$71)</f>
        <v>0.350930097969538</v>
      </c>
      <c r="N123" s="83" t="n">
        <f aca="false">(EXP(N106)-$C$71)/($C$70-$C$71)</f>
        <v>0.350147132384131</v>
      </c>
      <c r="O123" s="83" t="n">
        <f aca="false">(EXP(O106)-$C$71)/($C$70-$C$71)</f>
        <v>0.349365831483772</v>
      </c>
      <c r="P123" s="83" t="n">
        <f aca="false">(EXP(P106)-$C$71)/($C$70-$C$71)</f>
        <v>0.348586191729128</v>
      </c>
      <c r="Q123" s="83" t="n">
        <f aca="false">(EXP(Q106)-$C$71)/($C$70-$C$71)</f>
        <v>0.347808209588391</v>
      </c>
      <c r="R123" s="83" t="n">
        <f aca="false">(EXP(R106)-$C$71)/($C$70-$C$71)</f>
        <v>0.34703188153726</v>
      </c>
      <c r="S123" s="83"/>
    </row>
    <row r="124" customFormat="false" ht="12.75" hidden="false" customHeight="false" outlineLevel="0" collapsed="false"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</row>
    <row r="125" customFormat="false" ht="12.75" hidden="false" customHeight="false" outlineLevel="0" collapsed="false"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</row>
    <row r="126" customFormat="false" ht="12.75" hidden="false" customHeight="false" outlineLevel="0" collapsed="false"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 t="n">
        <f aca="false">Q127*EXP(SQRT(1/$C$29)*$C$28)</f>
        <v>30757.8713868264</v>
      </c>
      <c r="S126" s="82"/>
    </row>
    <row r="127" customFormat="false" ht="12.75" hidden="false" customHeight="false" outlineLevel="0" collapsed="false"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 t="n">
        <f aca="false">P128*EXP(SQRT(1/$C$29)*$C$28)</f>
        <v>16332.8463893555</v>
      </c>
      <c r="R127" s="82" t="n">
        <f aca="false">Q127*EXP(SQRT(1/$C$29)*(-$C$28))</f>
        <v>8672.96269703947</v>
      </c>
      <c r="S127" s="82"/>
    </row>
    <row r="128" customFormat="false" ht="12.75" hidden="false" customHeight="false" outlineLevel="0" collapsed="false"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 t="n">
        <f aca="false">O129*EXP(SQRT(1/$C$29)*$C$28)</f>
        <v>8672.96269703947</v>
      </c>
      <c r="Q128" s="82" t="n">
        <f aca="false">P128*EXP(SQRT(1/$C$29)*(-$C$28))</f>
        <v>4605.46068646436</v>
      </c>
      <c r="R128" s="82" t="n">
        <f aca="false">Q128*EXP(SQRT(1/$C$29)*(-$C$28))</f>
        <v>2445.56201559692</v>
      </c>
      <c r="S128" s="82"/>
    </row>
    <row r="129" customFormat="false" ht="12.75" hidden="false" customHeight="false" outlineLevel="0" collapsed="false"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 t="n">
        <f aca="false">N130*EXP(SQRT(1/$C$29)*$C$28)</f>
        <v>4605.46068646436</v>
      </c>
      <c r="P129" s="82" t="n">
        <f aca="false">O129*EXP(SQRT(1/$C$29)*(-$C$28))</f>
        <v>2445.56201559692</v>
      </c>
      <c r="Q129" s="82" t="n">
        <f aca="false">P129*EXP(SQRT(1/$C$29)*(-$C$28))</f>
        <v>1298.62656079298</v>
      </c>
      <c r="R129" s="82" t="n">
        <f aca="false">Q129*EXP(SQRT(1/$C$29)*(-$C$28))</f>
        <v>689.588296531244</v>
      </c>
      <c r="S129" s="82"/>
    </row>
    <row r="130" customFormat="false" ht="12.75" hidden="false" customHeight="false" outlineLevel="0" collapsed="false"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 t="n">
        <f aca="false">M131*EXP(SQRT(1/$C$29)*$C$28)</f>
        <v>2445.56201559692</v>
      </c>
      <c r="O130" s="82" t="n">
        <f aca="false">N130*EXP(SQRT(1/$C$29)*(-$C$28))</f>
        <v>1298.62656079298</v>
      </c>
      <c r="P130" s="82" t="n">
        <f aca="false">O130*EXP(SQRT(1/$C$29)*(-$C$28))</f>
        <v>689.588296531244</v>
      </c>
      <c r="Q130" s="82" t="n">
        <f aca="false">P130*EXP(SQRT(1/$C$29)*(-$C$28))</f>
        <v>366.180727446765</v>
      </c>
      <c r="R130" s="82" t="n">
        <f aca="false">Q130*EXP(SQRT(1/$C$29)*(-$C$28))</f>
        <v>194.446926996776</v>
      </c>
      <c r="S130" s="82"/>
    </row>
    <row r="131" customFormat="false" ht="12.75" hidden="false" customHeight="false" outlineLevel="0" collapsed="false">
      <c r="D131" s="82"/>
      <c r="E131" s="82"/>
      <c r="F131" s="82"/>
      <c r="G131" s="82"/>
      <c r="H131" s="82"/>
      <c r="I131" s="82"/>
      <c r="J131" s="82"/>
      <c r="K131" s="82"/>
      <c r="L131" s="82"/>
      <c r="M131" s="82" t="n">
        <f aca="false">L132*EXP(SQRT(1/$C$29)*$C$28)</f>
        <v>1298.62656079298</v>
      </c>
      <c r="N131" s="82" t="n">
        <f aca="false">M131*EXP(SQRT(1/$C$29)*(-$C$28))</f>
        <v>689.588296531244</v>
      </c>
      <c r="O131" s="82" t="n">
        <f aca="false">N131*EXP(SQRT(1/$C$29)*(-$C$28))</f>
        <v>366.180727446765</v>
      </c>
      <c r="P131" s="82" t="n">
        <f aca="false">O131*EXP(SQRT(1/$C$29)*(-$C$28))</f>
        <v>194.446926996776</v>
      </c>
      <c r="Q131" s="82" t="n">
        <f aca="false">P131*EXP(SQRT(1/$C$29)*(-$C$28))</f>
        <v>103.253952446163</v>
      </c>
      <c r="R131" s="82" t="n">
        <f aca="false">Q131*EXP(SQRT(1/$C$29)*(-$C$28))</f>
        <v>54.8292475505731</v>
      </c>
      <c r="S131" s="82"/>
    </row>
    <row r="132" customFormat="false" ht="12.75" hidden="false" customHeight="false" outlineLevel="0" collapsed="false">
      <c r="D132" s="82"/>
      <c r="E132" s="82"/>
      <c r="F132" s="82"/>
      <c r="G132" s="82"/>
      <c r="H132" s="82"/>
      <c r="I132" s="82"/>
      <c r="J132" s="82"/>
      <c r="K132" s="82"/>
      <c r="L132" s="82" t="n">
        <f aca="false">K133*EXP(SQRT(1/$C$29)*$C$28)</f>
        <v>689.588296531244</v>
      </c>
      <c r="M132" s="82" t="n">
        <f aca="false">L132*EXP(SQRT(1/$C$29)*(-$C$28))</f>
        <v>366.180727446765</v>
      </c>
      <c r="N132" s="82" t="n">
        <f aca="false">M132*EXP(SQRT(1/$C$29)*(-$C$28))</f>
        <v>194.446926996776</v>
      </c>
      <c r="O132" s="82" t="n">
        <f aca="false">N132*EXP(SQRT(1/$C$29)*(-$C$28))</f>
        <v>103.253952446163</v>
      </c>
      <c r="P132" s="82" t="n">
        <f aca="false">O132*EXP(SQRT(1/$C$29)*(-$C$28))</f>
        <v>54.8292475505731</v>
      </c>
      <c r="Q132" s="82" t="n">
        <f aca="false">P132*EXP(SQRT(1/$C$29)*(-$C$28))</f>
        <v>29.115073231986</v>
      </c>
      <c r="R132" s="82" t="n">
        <f aca="false">Q132*EXP(SQRT(1/$C$29)*(-$C$28))</f>
        <v>15.4604983138246</v>
      </c>
      <c r="S132" s="82"/>
    </row>
    <row r="133" customFormat="false" ht="12.75" hidden="false" customHeight="false" outlineLevel="0" collapsed="false">
      <c r="D133" s="82"/>
      <c r="E133" s="82"/>
      <c r="F133" s="82"/>
      <c r="G133" s="82"/>
      <c r="H133" s="82"/>
      <c r="I133" s="82"/>
      <c r="J133" s="82"/>
      <c r="K133" s="82" t="n">
        <f aca="false">J134*EXP(SQRT(1/$C$29)*$C$28)</f>
        <v>366.180727446765</v>
      </c>
      <c r="L133" s="82" t="n">
        <f aca="false">K133*EXP(SQRT(1/$C$29)*(-$C$28))</f>
        <v>194.446926996776</v>
      </c>
      <c r="M133" s="82" t="n">
        <f aca="false">L133*EXP(SQRT(1/$C$29)*(-$C$28))</f>
        <v>103.253952446163</v>
      </c>
      <c r="N133" s="82" t="n">
        <f aca="false">M133*EXP(SQRT(1/$C$29)*(-$C$28))</f>
        <v>54.8292475505731</v>
      </c>
      <c r="O133" s="82" t="n">
        <f aca="false">N133*EXP(SQRT(1/$C$29)*(-$C$28))</f>
        <v>29.115073231986</v>
      </c>
      <c r="P133" s="82" t="n">
        <f aca="false">O133*EXP(SQRT(1/$C$29)*(-$C$28))</f>
        <v>15.4604983138246</v>
      </c>
      <c r="Q133" s="82" t="n">
        <f aca="false">P133*EXP(SQRT(1/$C$29)*(-$C$28))</f>
        <v>8.20973405106109</v>
      </c>
      <c r="R133" s="82" t="n">
        <f aca="false">Q133*EXP(SQRT(1/$C$29)*(-$C$28))</f>
        <v>4.35948</v>
      </c>
      <c r="S133" s="82"/>
    </row>
    <row r="134" customFormat="false" ht="12.75" hidden="false" customHeight="false" outlineLevel="0" collapsed="false">
      <c r="D134" s="82"/>
      <c r="E134" s="82"/>
      <c r="F134" s="82"/>
      <c r="G134" s="82"/>
      <c r="H134" s="82"/>
      <c r="I134" s="82"/>
      <c r="J134" s="82" t="n">
        <f aca="false">I135*EXP(SQRT(1/$C$29)*$C$28)</f>
        <v>194.446926996776</v>
      </c>
      <c r="K134" s="82" t="n">
        <f aca="false">J134*EXP(SQRT(1/$C$29)*(-$C$28))</f>
        <v>103.253952446163</v>
      </c>
      <c r="L134" s="82" t="n">
        <f aca="false">K134*EXP(SQRT(1/$C$29)*(-$C$28))</f>
        <v>54.8292475505731</v>
      </c>
      <c r="M134" s="82" t="n">
        <f aca="false">L134*EXP(SQRT(1/$C$29)*(-$C$28))</f>
        <v>29.115073231986</v>
      </c>
      <c r="N134" s="82" t="n">
        <f aca="false">M134*EXP(SQRT(1/$C$29)*(-$C$28))</f>
        <v>15.4604983138246</v>
      </c>
      <c r="O134" s="82" t="n">
        <f aca="false">N134*EXP(SQRT(1/$C$29)*(-$C$28))</f>
        <v>8.20973405106109</v>
      </c>
      <c r="P134" s="82" t="n">
        <f aca="false">O134*EXP(SQRT(1/$C$29)*(-$C$28))</f>
        <v>4.35948</v>
      </c>
      <c r="Q134" s="82" t="n">
        <f aca="false">P134*EXP(SQRT(1/$C$29)*(-$C$28))</f>
        <v>2.31494293873547</v>
      </c>
      <c r="R134" s="82" t="n">
        <f aca="false">Q134*EXP(SQRT(1/$C$29)*(-$C$28))</f>
        <v>1.22926606145715</v>
      </c>
      <c r="S134" s="82"/>
    </row>
    <row r="135" customFormat="false" ht="12.75" hidden="false" customHeight="false" outlineLevel="0" collapsed="false">
      <c r="D135" s="82"/>
      <c r="E135" s="82"/>
      <c r="F135" s="82"/>
      <c r="G135" s="82"/>
      <c r="H135" s="82"/>
      <c r="I135" s="82" t="n">
        <f aca="false">H136*EXP(SQRT(1/$C$29)*$C$28)</f>
        <v>103.253952446163</v>
      </c>
      <c r="J135" s="82" t="n">
        <f aca="false">I135*EXP(SQRT(1/$C$29)*(-$C$28))</f>
        <v>54.8292475505731</v>
      </c>
      <c r="K135" s="82" t="n">
        <f aca="false">J135*EXP(SQRT(1/$C$29)*(-$C$28))</f>
        <v>29.115073231986</v>
      </c>
      <c r="L135" s="82" t="n">
        <f aca="false">K135*EXP(SQRT(1/$C$29)*(-$C$28))</f>
        <v>15.4604983138246</v>
      </c>
      <c r="M135" s="82" t="n">
        <f aca="false">L135*EXP(SQRT(1/$C$29)*(-$C$28))</f>
        <v>8.20973405106109</v>
      </c>
      <c r="N135" s="82" t="n">
        <f aca="false">M135*EXP(SQRT(1/$C$29)*(-$C$28))</f>
        <v>4.35948</v>
      </c>
      <c r="O135" s="82" t="n">
        <f aca="false">N135*EXP(SQRT(1/$C$29)*(-$C$28))</f>
        <v>2.31494293873547</v>
      </c>
      <c r="P135" s="82" t="n">
        <f aca="false">O135*EXP(SQRT(1/$C$29)*(-$C$28))</f>
        <v>1.22926606145715</v>
      </c>
      <c r="Q135" s="82" t="n">
        <f aca="false">P135*EXP(SQRT(1/$C$29)*(-$C$28))</f>
        <v>0.652756931743553</v>
      </c>
      <c r="R135" s="82" t="n">
        <f aca="false">Q135*EXP(SQRT(1/$C$29)*(-$C$28))</f>
        <v>0.346622773782737</v>
      </c>
      <c r="S135" s="82"/>
    </row>
    <row r="136" customFormat="false" ht="12.75" hidden="false" customHeight="false" outlineLevel="0" collapsed="false">
      <c r="D136" s="82"/>
      <c r="E136" s="82"/>
      <c r="F136" s="82"/>
      <c r="G136" s="82"/>
      <c r="H136" s="82" t="n">
        <f aca="false">G137*EXP(SQRT(1/$C$29)*$C$28)</f>
        <v>54.8292475505731</v>
      </c>
      <c r="I136" s="82" t="n">
        <f aca="false">H136*EXP(SQRT(1/$C$29)*(-$C$28))</f>
        <v>29.115073231986</v>
      </c>
      <c r="J136" s="82" t="n">
        <f aca="false">I136*EXP(SQRT(1/$C$29)*(-$C$28))</f>
        <v>15.4604983138246</v>
      </c>
      <c r="K136" s="82" t="n">
        <f aca="false">J136*EXP(SQRT(1/$C$29)*(-$C$28))</f>
        <v>8.20973405106109</v>
      </c>
      <c r="L136" s="82" t="n">
        <f aca="false">K136*EXP(SQRT(1/$C$29)*(-$C$28))</f>
        <v>4.35948</v>
      </c>
      <c r="M136" s="82" t="n">
        <f aca="false">L136*EXP(SQRT(1/$C$29)*(-$C$28))</f>
        <v>2.31494293873547</v>
      </c>
      <c r="N136" s="82" t="n">
        <f aca="false">M136*EXP(SQRT(1/$C$29)*(-$C$28))</f>
        <v>1.22926606145715</v>
      </c>
      <c r="O136" s="82" t="n">
        <f aca="false">N136*EXP(SQRT(1/$C$29)*(-$C$28))</f>
        <v>0.652756931743553</v>
      </c>
      <c r="P136" s="82" t="n">
        <f aca="false">O136*EXP(SQRT(1/$C$29)*(-$C$28))</f>
        <v>0.346622773782737</v>
      </c>
      <c r="Q136" s="82" t="n">
        <f aca="false">P136*EXP(SQRT(1/$C$29)*(-$C$28))</f>
        <v>0.184061388645721</v>
      </c>
      <c r="R136" s="82" t="n">
        <f aca="false">Q136*EXP(SQRT(1/$C$29)*(-$C$28))</f>
        <v>0.0977390908868161</v>
      </c>
      <c r="S136" s="82"/>
    </row>
    <row r="137" customFormat="false" ht="12.75" hidden="false" customHeight="false" outlineLevel="0" collapsed="false">
      <c r="D137" s="82"/>
      <c r="E137" s="82"/>
      <c r="F137" s="82"/>
      <c r="G137" s="82" t="n">
        <f aca="false">F138*EXP(SQRT(1/$C$29)*$C$28)</f>
        <v>29.115073231986</v>
      </c>
      <c r="H137" s="82" t="n">
        <f aca="false">G137*EXP(SQRT(1/$C$29)*(-$C$28))</f>
        <v>15.4604983138246</v>
      </c>
      <c r="I137" s="82" t="n">
        <f aca="false">H137*EXP(SQRT(1/$C$29)*(-$C$28))</f>
        <v>8.20973405106109</v>
      </c>
      <c r="J137" s="82" t="n">
        <f aca="false">I137*EXP(SQRT(1/$C$29)*(-$C$28))</f>
        <v>4.35948</v>
      </c>
      <c r="K137" s="82" t="n">
        <f aca="false">J137*EXP(SQRT(1/$C$29)*(-$C$28))</f>
        <v>2.31494293873547</v>
      </c>
      <c r="L137" s="82" t="n">
        <f aca="false">K137*EXP(SQRT(1/$C$29)*(-$C$28))</f>
        <v>1.22926606145715</v>
      </c>
      <c r="M137" s="82" t="n">
        <f aca="false">L137*EXP(SQRT(1/$C$29)*(-$C$28))</f>
        <v>0.652756931743553</v>
      </c>
      <c r="N137" s="82" t="n">
        <f aca="false">M137*EXP(SQRT(1/$C$29)*(-$C$28))</f>
        <v>0.346622773782737</v>
      </c>
      <c r="O137" s="82" t="n">
        <f aca="false">N137*EXP(SQRT(1/$C$29)*(-$C$28))</f>
        <v>0.184061388645721</v>
      </c>
      <c r="P137" s="82" t="n">
        <f aca="false">O137*EXP(SQRT(1/$C$29)*(-$C$28))</f>
        <v>0.0977390908868161</v>
      </c>
      <c r="Q137" s="82" t="n">
        <f aca="false">P137*EXP(SQRT(1/$C$29)*(-$C$28))</f>
        <v>0.0519007813516427</v>
      </c>
      <c r="R137" s="82" t="n">
        <f aca="false">Q137*EXP(SQRT(1/$C$29)*(-$C$28))</f>
        <v>0.0275600180078447</v>
      </c>
      <c r="S137" s="82"/>
    </row>
    <row r="138" customFormat="false" ht="12.75" hidden="false" customHeight="false" outlineLevel="0" collapsed="false">
      <c r="D138" s="82"/>
      <c r="E138" s="82"/>
      <c r="F138" s="82" t="n">
        <f aca="false">E139*EXP(SQRT(1/$C$29)*$C$28)</f>
        <v>15.4604983138246</v>
      </c>
      <c r="G138" s="82" t="n">
        <f aca="false">F138*EXP(SQRT(1/$C$29)*(-$C$28))</f>
        <v>8.20973405106109</v>
      </c>
      <c r="H138" s="82" t="n">
        <f aca="false">G138*EXP(SQRT(1/$C$29)*(-$C$28))</f>
        <v>4.35948</v>
      </c>
      <c r="I138" s="82" t="n">
        <f aca="false">H138*EXP(SQRT(1/$C$29)*(-$C$28))</f>
        <v>2.31494293873547</v>
      </c>
      <c r="J138" s="82" t="n">
        <f aca="false">I138*EXP(SQRT(1/$C$29)*(-$C$28))</f>
        <v>1.22926606145715</v>
      </c>
      <c r="K138" s="82" t="n">
        <f aca="false">J138*EXP(SQRT(1/$C$29)*(-$C$28))</f>
        <v>0.652756931743553</v>
      </c>
      <c r="L138" s="82" t="n">
        <f aca="false">K138*EXP(SQRT(1/$C$29)*(-$C$28))</f>
        <v>0.346622773782737</v>
      </c>
      <c r="M138" s="82" t="n">
        <f aca="false">L138*EXP(SQRT(1/$C$29)*(-$C$28))</f>
        <v>0.184061388645721</v>
      </c>
      <c r="N138" s="82" t="n">
        <f aca="false">M138*EXP(SQRT(1/$C$29)*(-$C$28))</f>
        <v>0.0977390908868161</v>
      </c>
      <c r="O138" s="82" t="n">
        <f aca="false">N138*EXP(SQRT(1/$C$29)*(-$C$28))</f>
        <v>0.0519007813516426</v>
      </c>
      <c r="P138" s="82" t="n">
        <f aca="false">O138*EXP(SQRT(1/$C$29)*(-$C$28))</f>
        <v>0.0275600180078447</v>
      </c>
      <c r="Q138" s="82" t="n">
        <f aca="false">P138*EXP(SQRT(1/$C$29)*(-$C$28))</f>
        <v>0.0146347429231657</v>
      </c>
      <c r="R138" s="82" t="n">
        <f aca="false">Q138*EXP(SQRT(1/$C$29)*(-$C$28))</f>
        <v>0.00777124675195006</v>
      </c>
      <c r="S138" s="82"/>
    </row>
    <row r="139" customFormat="false" ht="12.75" hidden="false" customHeight="false" outlineLevel="0" collapsed="false">
      <c r="D139" s="82"/>
      <c r="E139" s="82" t="n">
        <f aca="false">D140*EXP(SQRT(1/$C$29)*$C$28)</f>
        <v>8.20973405106109</v>
      </c>
      <c r="F139" s="82" t="n">
        <f aca="false">E139*EXP(SQRT(1/$C$29)*(-$C$28))</f>
        <v>4.35948</v>
      </c>
      <c r="G139" s="82" t="n">
        <f aca="false">F139*EXP(SQRT(1/$C$29)*(-$C$28))</f>
        <v>2.31494293873547</v>
      </c>
      <c r="H139" s="82" t="n">
        <f aca="false">G139*EXP(SQRT(1/$C$29)*(-$C$28))</f>
        <v>1.22926606145715</v>
      </c>
      <c r="I139" s="82" t="n">
        <f aca="false">H139*EXP(SQRT(1/$C$29)*(-$C$28))</f>
        <v>0.652756931743553</v>
      </c>
      <c r="J139" s="82" t="n">
        <f aca="false">I139*EXP(SQRT(1/$C$29)*(-$C$28))</f>
        <v>0.346622773782737</v>
      </c>
      <c r="K139" s="82" t="n">
        <f aca="false">J139*EXP(SQRT(1/$C$29)*(-$C$28))</f>
        <v>0.184061388645721</v>
      </c>
      <c r="L139" s="82" t="n">
        <f aca="false">K139*EXP(SQRT(1/$C$29)*(-$C$28))</f>
        <v>0.0977390908868161</v>
      </c>
      <c r="M139" s="82" t="n">
        <f aca="false">L139*EXP(SQRT(1/$C$29)*(-$C$28))</f>
        <v>0.0519007813516426</v>
      </c>
      <c r="N139" s="82" t="n">
        <f aca="false">M139*EXP(SQRT(1/$C$29)*(-$C$28))</f>
        <v>0.0275600180078447</v>
      </c>
      <c r="O139" s="82" t="n">
        <f aca="false">N139*EXP(SQRT(1/$C$29)*(-$C$28))</f>
        <v>0.0146347429231657</v>
      </c>
      <c r="P139" s="82" t="n">
        <f aca="false">O139*EXP(SQRT(1/$C$29)*(-$C$28))</f>
        <v>0.00777124675195006</v>
      </c>
      <c r="Q139" s="82" t="n">
        <f aca="false">P139*EXP(SQRT(1/$C$29)*(-$C$28))</f>
        <v>0.00412663730389811</v>
      </c>
      <c r="R139" s="82" t="n">
        <f aca="false">Q139*EXP(SQRT(1/$C$29)*(-$C$28))</f>
        <v>0.00219130031273943</v>
      </c>
      <c r="S139" s="82"/>
    </row>
    <row r="140" customFormat="false" ht="12.75" hidden="false" customHeight="false" outlineLevel="0" collapsed="false">
      <c r="A140" s="8" t="s">
        <v>87</v>
      </c>
      <c r="D140" s="82" t="n">
        <f aca="false">$C$27</f>
        <v>4.35948</v>
      </c>
      <c r="E140" s="82" t="n">
        <f aca="false">D140*EXP(SQRT(1/$C$29)*(-$C$28))</f>
        <v>2.31494293873547</v>
      </c>
      <c r="F140" s="82" t="n">
        <f aca="false">E140*EXP(SQRT(1/$C$29)*(-$C$28))</f>
        <v>1.22926606145715</v>
      </c>
      <c r="G140" s="82" t="n">
        <f aca="false">F140*EXP(SQRT(1/$C$29)*(-$C$28))</f>
        <v>0.652756931743553</v>
      </c>
      <c r="H140" s="82" t="n">
        <f aca="false">G140*EXP(SQRT(1/$C$29)*(-$C$28))</f>
        <v>0.346622773782737</v>
      </c>
      <c r="I140" s="82" t="n">
        <f aca="false">H140*EXP(SQRT(1/$C$29)*(-$C$28))</f>
        <v>0.184061388645721</v>
      </c>
      <c r="J140" s="82" t="n">
        <f aca="false">I140*EXP(SQRT(1/$C$29)*(-$C$28))</f>
        <v>0.0977390908868161</v>
      </c>
      <c r="K140" s="82" t="n">
        <f aca="false">J140*EXP(SQRT(1/$C$29)*(-$C$28))</f>
        <v>0.0519007813516426</v>
      </c>
      <c r="L140" s="82" t="n">
        <f aca="false">K140*EXP(SQRT(1/$C$29)*(-$C$28))</f>
        <v>0.0275600180078447</v>
      </c>
      <c r="M140" s="82" t="n">
        <f aca="false">L140*EXP(SQRT(1/$C$29)*(-$C$28))</f>
        <v>0.0146347429231657</v>
      </c>
      <c r="N140" s="82" t="n">
        <f aca="false">M140*EXP(SQRT(1/$C$29)*(-$C$28))</f>
        <v>0.00777124675195006</v>
      </c>
      <c r="O140" s="82" t="n">
        <f aca="false">N140*EXP(SQRT(1/$C$29)*(-$C$28))</f>
        <v>0.00412663730389811</v>
      </c>
      <c r="P140" s="82" t="n">
        <f aca="false">O140*EXP(SQRT(1/$C$29)*(-$C$28))</f>
        <v>0.00219130031273943</v>
      </c>
      <c r="Q140" s="82" t="n">
        <f aca="false">P140*EXP(SQRT(1/$C$29)*(-$C$28))</f>
        <v>0.00116361015204221</v>
      </c>
      <c r="R140" s="82" t="n">
        <f aca="false">Q140*EXP(SQRT(1/$C$29)*(-$C$28))</f>
        <v>0.000617892754390665</v>
      </c>
      <c r="S140" s="82"/>
    </row>
    <row r="141" customFormat="false" ht="12.75" hidden="false" customHeight="false" outlineLevel="0" collapsed="false"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</row>
    <row r="142" customFormat="false" ht="12.75" hidden="false" customHeight="false" outlineLevel="0" collapsed="false"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</row>
    <row r="143" customFormat="false" ht="12.75" hidden="false" customHeight="false" outlineLevel="0" collapsed="false"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</row>
  </sheetData>
  <hyperlinks>
    <hyperlink ref="B7" r:id="rId2" display="leesb@hanyang.ac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2003-04-30T15:51:35Z</dcterms:created>
  <dc:description/>
  <dc:language>en-US</dc:language>
  <dcterms:modified xsi:type="dcterms:W3CDTF">2012-05-31T07:49:39Z</dcterms:modified>
  <cp:revision>0</cp:revision>
  <dc:subject/>
  <dc:title/>
</cp:coreProperties>
</file>