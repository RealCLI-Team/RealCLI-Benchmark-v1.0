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numex" sheetId="1" state="visible" r:id="rId1"/>
    <sheet name="ex4" sheetId="2" state="visible" r:id="rId2"/>
    <sheet name="Further1" sheetId="3" state="visible" r:id="rId3"/>
    <sheet name="Further2" sheetId="4" state="visible" r:id="rId4"/>
    <sheet name="furtherex1" sheetId="5" state="visible" r:id="rId5"/>
    <sheet name="furtherex2" sheetId="6" state="visible" r:id="rId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3">
    <numFmt numFmtId="164" formatCode="0.0"/>
    <numFmt numFmtId="165" formatCode="mmm\-yy"/>
    <numFmt numFmtId="166" formatCode="[$-409]mmm\-yy"/>
    <numFmt numFmtId="167" formatCode="0_);[RED]\(0\)"/>
    <numFmt numFmtId="168" formatCode="0.00_);[RED]\(0.00\)"/>
    <numFmt numFmtId="169" formatCode="&quot;US$&quot;#,##0"/>
    <numFmt numFmtId="170" formatCode="0.00_ "/>
    <numFmt numFmtId="171" formatCode="#,##0.00_ "/>
    <numFmt numFmtId="172" formatCode="0.000%"/>
    <numFmt numFmtId="173" formatCode="&quot;US$&quot;#,##0.00"/>
    <numFmt numFmtId="174" formatCode="0.00000"/>
    <numFmt numFmtId="175" formatCode="0.0%"/>
    <numFmt numFmtId="176" formatCode="0.0000"/>
  </numFmts>
  <fonts count="13">
    <font>
      <name val="돋움"/>
      <charset val="129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  <font>
      <name val="Arial"/>
      <family val="2"/>
      <color rgb="FF0000FF"/>
      <sz val="10"/>
      <u val="single"/>
    </font>
    <font>
      <name val="돋움"/>
      <charset val="129"/>
      <family val="3"/>
      <color rgb="FF0000FF"/>
      <sz val="11"/>
      <u val="single"/>
    </font>
    <font>
      <name val="Arial"/>
      <family val="2"/>
      <i val="1"/>
      <sz val="10"/>
    </font>
    <font>
      <name val="Arial"/>
      <family val="2"/>
      <b val="1"/>
      <sz val="10"/>
    </font>
    <font>
      <name val="Arial"/>
      <family val="2"/>
      <b val="1"/>
      <color rgb="FF000000"/>
      <sz val="10"/>
    </font>
    <font>
      <name val="Tahoma"/>
      <family val="2"/>
      <b val="1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666699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C0C0C0"/>
        <bgColor rgb="FFCCCCFF"/>
      </patternFill>
    </fill>
  </fills>
  <borders count="15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7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center"/>
    </xf>
    <xf numFmtId="0" fontId="8" fillId="0" borderId="0" applyAlignment="1">
      <alignment horizontal="general" vertical="center"/>
    </xf>
  </cellStyleXfs>
  <cellXfs count="175"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bottom"/>
    </xf>
    <xf numFmtId="0" fontId="4" fillId="4" borderId="0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4" borderId="6" applyAlignment="1" pivotButton="0" quotePrefix="0" xfId="0">
      <alignment horizontal="general" vertical="center"/>
    </xf>
    <xf numFmtId="0" fontId="4" fillId="4" borderId="7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6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7" fillId="0" borderId="0" applyAlignment="1" pivotButton="0" quotePrefix="0" xfId="20">
      <alignment horizontal="left" vertical="center"/>
    </xf>
    <xf numFmtId="0" fontId="4" fillId="5" borderId="6" applyAlignment="1" pivotButton="0" quotePrefix="0" xfId="0">
      <alignment horizontal="center" vertical="center"/>
    </xf>
    <xf numFmtId="0" fontId="4" fillId="5" borderId="7" applyAlignment="1" pivotButton="0" quotePrefix="0" xfId="0">
      <alignment horizontal="left" vertical="center"/>
    </xf>
    <xf numFmtId="0" fontId="4" fillId="5" borderId="7" applyAlignment="1" pivotButton="0" quotePrefix="0" xfId="0">
      <alignment horizontal="center" vertical="center"/>
    </xf>
    <xf numFmtId="0" fontId="4" fillId="5" borderId="8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left" vertical="center"/>
    </xf>
    <xf numFmtId="166" fontId="4" fillId="6" borderId="9" applyAlignment="1" pivotButton="0" quotePrefix="0" xfId="0">
      <alignment horizontal="center" vertical="center"/>
    </xf>
    <xf numFmtId="166" fontId="4" fillId="6" borderId="10" applyAlignment="1" pivotButton="0" quotePrefix="0" xfId="0">
      <alignment horizontal="left" vertical="center"/>
    </xf>
    <xf numFmtId="0" fontId="4" fillId="6" borderId="10" applyAlignment="1" pivotButton="0" quotePrefix="0" xfId="0">
      <alignment horizontal="left" vertical="center"/>
    </xf>
    <xf numFmtId="0" fontId="4" fillId="6" borderId="10" applyAlignment="1" pivotButton="0" quotePrefix="0" xfId="0">
      <alignment horizontal="center" vertical="center"/>
    </xf>
    <xf numFmtId="0" fontId="4" fillId="6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center"/>
    </xf>
    <xf numFmtId="0" fontId="5" fillId="2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general" vertical="center"/>
    </xf>
    <xf numFmtId="0" fontId="6" fillId="2" borderId="10" applyAlignment="1" pivotButton="0" quotePrefix="0" xfId="0">
      <alignment horizontal="left" vertical="center"/>
    </xf>
    <xf numFmtId="0" fontId="6" fillId="2" borderId="10" applyAlignment="1" pivotButton="0" quotePrefix="0" xfId="0">
      <alignment horizontal="center" vertical="center"/>
    </xf>
    <xf numFmtId="0" fontId="5" fillId="3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6" fillId="3" borderId="12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0" borderId="3" applyAlignment="1" pivotButton="0" quotePrefix="0" xfId="0">
      <alignment horizontal="general" vertical="center"/>
    </xf>
    <xf numFmtId="0" fontId="6" fillId="3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/>
    </xf>
    <xf numFmtId="0" fontId="6" fillId="3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center"/>
    </xf>
    <xf numFmtId="0" fontId="6" fillId="3" borderId="14" applyAlignment="1" pivotButton="0" quotePrefix="0" xfId="0">
      <alignment horizontal="center" vertical="center"/>
    </xf>
    <xf numFmtId="0" fontId="4" fillId="0" borderId="7" applyAlignment="1" pivotButton="0" quotePrefix="0" xfId="0">
      <alignment horizontal="general" vertical="center"/>
    </xf>
    <xf numFmtId="0" fontId="4" fillId="0" borderId="8" applyAlignment="1" pivotButton="0" quotePrefix="0" xfId="0">
      <alignment horizontal="general" vertical="center"/>
    </xf>
    <xf numFmtId="0" fontId="6" fillId="3" borderId="0" applyAlignment="1" pivotButton="0" quotePrefix="0" xfId="0">
      <alignment horizontal="center" vertical="center"/>
    </xf>
    <xf numFmtId="166" fontId="6" fillId="2" borderId="1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167" fontId="4" fillId="5" borderId="0" applyAlignment="1" pivotButton="0" quotePrefix="0" xfId="0">
      <alignment horizontal="center" vertical="center"/>
    </xf>
    <xf numFmtId="168" fontId="4" fillId="5" borderId="0" applyAlignment="1" pivotButton="0" quotePrefix="0" xfId="0">
      <alignment horizontal="center" vertical="center"/>
    </xf>
    <xf numFmtId="169" fontId="4" fillId="5" borderId="0" applyAlignment="1" pivotButton="0" quotePrefix="0" xfId="19">
      <alignment horizontal="center" vertical="center"/>
    </xf>
    <xf numFmtId="170" fontId="4" fillId="5" borderId="0" applyAlignment="1" pivotButton="0" quotePrefix="0" xfId="19">
      <alignment horizontal="center" vertical="center"/>
    </xf>
    <xf numFmtId="171" fontId="4" fillId="5" borderId="0" applyAlignment="1" pivotButton="0" quotePrefix="0" xfId="19">
      <alignment horizontal="center" vertical="center"/>
    </xf>
    <xf numFmtId="172" fontId="4" fillId="0" borderId="0" applyAlignment="1" pivotButton="0" quotePrefix="0" xfId="19">
      <alignment horizontal="general" vertical="center"/>
    </xf>
    <xf numFmtId="0" fontId="5" fillId="7" borderId="10" applyAlignment="1" pivotButton="0" quotePrefix="0" xfId="0">
      <alignment horizontal="center" vertical="center"/>
    </xf>
    <xf numFmtId="0" fontId="11" fillId="7" borderId="10" applyAlignment="1" pivotButton="0" quotePrefix="0" xfId="0">
      <alignment horizontal="general" vertical="center"/>
    </xf>
    <xf numFmtId="10" fontId="4" fillId="0" borderId="0" applyAlignment="1" pivotButton="0" quotePrefix="0" xfId="19">
      <alignment horizontal="general" vertical="center"/>
    </xf>
    <xf numFmtId="170" fontId="4" fillId="6" borderId="0" applyAlignment="1" pivotButton="0" quotePrefix="0" xfId="19">
      <alignment horizontal="center" vertical="center"/>
    </xf>
    <xf numFmtId="173" fontId="4" fillId="6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74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175" fontId="4" fillId="5" borderId="0" applyAlignment="1" pivotButton="0" quotePrefix="0" xfId="19">
      <alignment horizontal="center" vertical="center"/>
    </xf>
    <xf numFmtId="10" fontId="4" fillId="5" borderId="0" applyAlignment="1" pivotButton="0" quotePrefix="0" xfId="19">
      <alignment horizontal="center" vertical="center"/>
    </xf>
    <xf numFmtId="176" fontId="4" fillId="5" borderId="0" applyAlignment="1" pivotButton="0" quotePrefix="0" xfId="0">
      <alignment horizontal="center" vertical="center"/>
    </xf>
    <xf numFmtId="176" fontId="4" fillId="5" borderId="0" applyAlignment="1" pivotButton="0" quotePrefix="0" xfId="19">
      <alignment horizontal="center" vertical="center"/>
    </xf>
    <xf numFmtId="0" fontId="10" fillId="7" borderId="10" applyAlignment="1" pivotButton="0" quotePrefix="0" xfId="0">
      <alignment horizontal="general" vertical="center"/>
    </xf>
    <xf numFmtId="174" fontId="4" fillId="6" borderId="0" applyAlignment="1" pivotButton="0" quotePrefix="0" xfId="0">
      <alignment horizontal="general" vertical="center"/>
    </xf>
    <xf numFmtId="174" fontId="4" fillId="0" borderId="0" applyAlignment="1" pivotButton="0" quotePrefix="0" xfId="0">
      <alignment horizontal="general" vertical="center"/>
    </xf>
    <xf numFmtId="174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general" vertical="center"/>
    </xf>
    <xf numFmtId="176" fontId="4" fillId="0" borderId="0" applyAlignment="1" pivotButton="0" quotePrefix="0" xfId="0">
      <alignment horizontal="center" vertical="center"/>
    </xf>
    <xf numFmtId="174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bottom"/>
    </xf>
    <xf numFmtId="0" fontId="4" fillId="4" borderId="0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4" borderId="6" applyAlignment="1" pivotButton="0" quotePrefix="0" xfId="0">
      <alignment horizontal="general" vertical="center"/>
    </xf>
    <xf numFmtId="0" fontId="4" fillId="4" borderId="7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6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7" fillId="0" borderId="0" applyAlignment="1" pivotButton="0" quotePrefix="0" xfId="20">
      <alignment horizontal="left" vertical="center"/>
    </xf>
    <xf numFmtId="0" fontId="4" fillId="5" borderId="6" applyAlignment="1" pivotButton="0" quotePrefix="0" xfId="0">
      <alignment horizontal="center" vertical="center"/>
    </xf>
    <xf numFmtId="0" fontId="4" fillId="5" borderId="7" applyAlignment="1" pivotButton="0" quotePrefix="0" xfId="0">
      <alignment horizontal="left" vertical="center"/>
    </xf>
    <xf numFmtId="0" fontId="4" fillId="5" borderId="7" applyAlignment="1" pivotButton="0" quotePrefix="0" xfId="0">
      <alignment horizontal="center" vertical="center"/>
    </xf>
    <xf numFmtId="0" fontId="4" fillId="5" borderId="8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left" vertical="center"/>
    </xf>
    <xf numFmtId="166" fontId="4" fillId="6" borderId="9" applyAlignment="1" pivotButton="0" quotePrefix="0" xfId="0">
      <alignment horizontal="center" vertical="center"/>
    </xf>
    <xf numFmtId="166" fontId="4" fillId="6" borderId="10" applyAlignment="1" pivotButton="0" quotePrefix="0" xfId="0">
      <alignment horizontal="left" vertical="center"/>
    </xf>
    <xf numFmtId="0" fontId="4" fillId="6" borderId="10" applyAlignment="1" pivotButton="0" quotePrefix="0" xfId="0">
      <alignment horizontal="left" vertical="center"/>
    </xf>
    <xf numFmtId="0" fontId="4" fillId="6" borderId="10" applyAlignment="1" pivotButton="0" quotePrefix="0" xfId="0">
      <alignment horizontal="center" vertical="center"/>
    </xf>
    <xf numFmtId="0" fontId="4" fillId="6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bottom"/>
    </xf>
    <xf numFmtId="0" fontId="6" fillId="2" borderId="10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general" vertical="center"/>
    </xf>
    <xf numFmtId="0" fontId="6" fillId="2" borderId="10" applyAlignment="1" pivotButton="0" quotePrefix="0" xfId="0">
      <alignment horizontal="left" vertical="center"/>
    </xf>
    <xf numFmtId="0" fontId="5" fillId="3" borderId="0" applyAlignment="1" pivotButton="0" quotePrefix="0" xfId="0">
      <alignment horizontal="general" vertical="center"/>
    </xf>
    <xf numFmtId="0" fontId="6" fillId="3" borderId="12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0" borderId="3" applyAlignment="1" pivotButton="0" quotePrefix="0" xfId="0">
      <alignment horizontal="general" vertical="center"/>
    </xf>
    <xf numFmtId="0" fontId="6" fillId="3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/>
    </xf>
    <xf numFmtId="0" fontId="6" fillId="3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center"/>
    </xf>
    <xf numFmtId="0" fontId="6" fillId="3" borderId="14" applyAlignment="1" pivotButton="0" quotePrefix="0" xfId="0">
      <alignment horizontal="center" vertical="center"/>
    </xf>
    <xf numFmtId="0" fontId="4" fillId="0" borderId="7" applyAlignment="1" pivotButton="0" quotePrefix="0" xfId="0">
      <alignment horizontal="general" vertical="center"/>
    </xf>
    <xf numFmtId="0" fontId="4" fillId="0" borderId="8" applyAlignment="1" pivotButton="0" quotePrefix="0" xfId="0">
      <alignment horizontal="general" vertical="center"/>
    </xf>
    <xf numFmtId="166" fontId="6" fillId="2" borderId="1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0" fillId="0" borderId="0" pivotButton="0" quotePrefix="0" xfId="0"/>
    <xf numFmtId="167" fontId="4" fillId="5" borderId="0" applyAlignment="1" pivotButton="0" quotePrefix="0" xfId="0">
      <alignment horizontal="center" vertical="center"/>
    </xf>
    <xf numFmtId="168" fontId="4" fillId="5" borderId="0" applyAlignment="1" pivotButton="0" quotePrefix="0" xfId="0">
      <alignment horizontal="center" vertical="center"/>
    </xf>
    <xf numFmtId="169" fontId="4" fillId="5" borderId="0" applyAlignment="1" pivotButton="0" quotePrefix="0" xfId="19">
      <alignment horizontal="center" vertical="center"/>
    </xf>
    <xf numFmtId="170" fontId="4" fillId="5" borderId="0" applyAlignment="1" pivotButton="0" quotePrefix="0" xfId="19">
      <alignment horizontal="center" vertical="center"/>
    </xf>
    <xf numFmtId="171" fontId="4" fillId="5" borderId="0" applyAlignment="1" pivotButton="0" quotePrefix="0" xfId="19">
      <alignment horizontal="center" vertical="center"/>
    </xf>
    <xf numFmtId="172" fontId="4" fillId="0" borderId="0" applyAlignment="1" pivotButton="0" quotePrefix="0" xfId="19">
      <alignment horizontal="general" vertical="center"/>
    </xf>
    <xf numFmtId="0" fontId="11" fillId="7" borderId="10" applyAlignment="1" pivotButton="0" quotePrefix="0" xfId="0">
      <alignment horizontal="general" vertical="center"/>
    </xf>
    <xf numFmtId="0" fontId="5" fillId="7" borderId="10" applyAlignment="1" pivotButton="0" quotePrefix="0" xfId="0">
      <alignment horizontal="center" vertical="center"/>
    </xf>
    <xf numFmtId="10" fontId="4" fillId="0" borderId="0" applyAlignment="1" pivotButton="0" quotePrefix="0" xfId="19">
      <alignment horizontal="general" vertical="center"/>
    </xf>
    <xf numFmtId="170" fontId="4" fillId="6" borderId="0" applyAlignment="1" pivotButton="0" quotePrefix="0" xfId="19">
      <alignment horizontal="center" vertical="center"/>
    </xf>
    <xf numFmtId="173" fontId="4" fillId="6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74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175" fontId="4" fillId="5" borderId="0" applyAlignment="1" pivotButton="0" quotePrefix="0" xfId="19">
      <alignment horizontal="center" vertical="center"/>
    </xf>
    <xf numFmtId="10" fontId="4" fillId="5" borderId="0" applyAlignment="1" pivotButton="0" quotePrefix="0" xfId="19">
      <alignment horizontal="center" vertical="center"/>
    </xf>
    <xf numFmtId="176" fontId="4" fillId="5" borderId="0" applyAlignment="1" pivotButton="0" quotePrefix="0" xfId="0">
      <alignment horizontal="center" vertical="center"/>
    </xf>
    <xf numFmtId="176" fontId="4" fillId="5" borderId="0" applyAlignment="1" pivotButton="0" quotePrefix="0" xfId="19">
      <alignment horizontal="center" vertical="center"/>
    </xf>
    <xf numFmtId="0" fontId="10" fillId="7" borderId="10" applyAlignment="1" pivotButton="0" quotePrefix="0" xfId="0">
      <alignment horizontal="general" vertical="center"/>
    </xf>
    <xf numFmtId="174" fontId="4" fillId="6" borderId="0" applyAlignment="1" pivotButton="0" quotePrefix="0" xfId="0">
      <alignment horizontal="general" vertical="center"/>
    </xf>
    <xf numFmtId="174" fontId="4" fillId="0" borderId="0" applyAlignment="1" pivotButton="0" quotePrefix="0" xfId="0">
      <alignment horizontal="general" vertical="center"/>
    </xf>
    <xf numFmtId="0" fontId="4" fillId="8" borderId="0" applyAlignment="1" pivotButton="0" quotePrefix="0" xfId="0">
      <alignment horizontal="general" vertical="center"/>
    </xf>
    <xf numFmtId="0" fontId="4" fillId="8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174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Unknown Author</author>
  </authors>
  <commentList>
    <comment ref="B19" authorId="0" shapeId="0">
      <text>
        <t>n is the number of periods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19" authorId="0" shapeId="0">
      <text>
        <t>n is the number of periods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19" authorId="0" shapeId="0">
      <text>
        <t>n is the number of periods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19" authorId="0" shapeId="0">
      <text>
        <t>n is the number of periods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B19" authorId="0" shapeId="0">
      <text>
        <t>n is the number of periods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B19" authorId="0" shapeId="0">
      <text>
        <t>n is the number of periods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7890625" defaultRowHeight="12.75" zeroHeight="0" outlineLevelRow="0"/>
  <cols>
    <col width="21.88" customWidth="1" style="92" min="1" max="1"/>
    <col width="9.77" customWidth="1" style="92" min="2" max="26"/>
    <col width="9.880000000000001" customWidth="1" style="92" min="27" max="29"/>
    <col width="8.880000000000001" customWidth="1" style="92" min="30" max="257"/>
  </cols>
  <sheetData>
    <row r="1" ht="12.75" customFormat="1" customHeight="1" s="93">
      <c r="A1" s="94" t="inlineStr">
        <is>
          <t>Convertible Bond</t>
        </is>
      </c>
      <c r="D1" s="95" t="inlineStr">
        <is>
          <t>© copyright THC 2003. All rights reserved by Thomas Ho Company, New York, NY. USA      www. thomasho.com       tom.ho@thomasho.com</t>
        </is>
      </c>
    </row>
    <row r="2" ht="12.75" customFormat="1" customHeight="1" s="96">
      <c r="A2" s="97" t="inlineStr">
        <is>
          <t>reference number</t>
        </is>
      </c>
      <c r="B2" s="96" t="n">
        <v>129</v>
      </c>
    </row>
    <row r="3" ht="12.75" customFormat="1" customHeight="1" s="96">
      <c r="A3" s="97" t="inlineStr">
        <is>
          <t>Version</t>
        </is>
      </c>
      <c r="B3" s="98" t="n">
        <v>1</v>
      </c>
      <c r="E3" s="99" t="inlineStr">
        <is>
          <t>Instructions</t>
        </is>
      </c>
      <c r="F3" s="100" t="n"/>
      <c r="G3" s="100" t="n"/>
      <c r="H3" s="100" t="n"/>
      <c r="I3" s="100" t="n"/>
      <c r="J3" s="100" t="n"/>
      <c r="K3" s="100" t="n"/>
      <c r="L3" s="101" t="n"/>
      <c r="N3" s="96" t="n"/>
      <c r="O3" s="96" t="n"/>
      <c r="P3" s="96" t="n"/>
      <c r="Q3" s="96" t="n"/>
      <c r="R3" s="96" t="n"/>
    </row>
    <row r="4" ht="12.75" customFormat="1" customHeight="1" s="96">
      <c r="A4" s="97" t="inlineStr">
        <is>
          <t>publication date</t>
        </is>
      </c>
      <c r="B4" s="102" t="n">
        <v>38139</v>
      </c>
      <c r="E4" s="103" t="inlineStr">
        <is>
          <t xml:space="preserve">A convertible bond is a bond with an embedded call option on the company's stock. To incorporate the credit risk, we use the firm value, not the stock value, as the underlying risk source.  </t>
        </is>
      </c>
      <c r="F4" s="104" t="n"/>
      <c r="G4" s="104" t="n"/>
      <c r="H4" s="104" t="n"/>
      <c r="I4" s="104" t="n"/>
      <c r="J4" s="104" t="n"/>
      <c r="K4" s="104" t="n"/>
      <c r="L4" s="105" t="n"/>
      <c r="N4" s="96" t="n"/>
      <c r="O4" s="96" t="n"/>
      <c r="P4" s="96" t="n"/>
      <c r="Q4" s="96" t="n"/>
      <c r="R4" s="96" t="n"/>
    </row>
    <row r="5" ht="12.75" customFormat="1" customHeight="1" s="96">
      <c r="A5" s="97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7" t="inlineStr">
        <is>
          <t xml:space="preserve">only risk source for the compound option. </t>
        </is>
      </c>
      <c r="F5" s="108" t="n"/>
      <c r="G5" s="108" t="n"/>
      <c r="H5" s="108" t="n"/>
      <c r="I5" s="108" t="n"/>
      <c r="J5" s="108" t="n"/>
      <c r="K5" s="108" t="n"/>
      <c r="L5" s="109" t="n"/>
      <c r="N5" s="96" t="n"/>
      <c r="O5" s="96" t="n"/>
      <c r="P5" s="96" t="n"/>
      <c r="Q5" s="96" t="n"/>
      <c r="R5" s="96" t="n"/>
    </row>
    <row r="6" ht="12.75" customFormat="1" customHeight="1" s="96">
      <c r="A6" s="97" t="inlineStr">
        <is>
          <t>affiliation</t>
        </is>
      </c>
      <c r="B6" s="106" t="inlineStr">
        <is>
          <t>Hanyang University</t>
        </is>
      </c>
      <c r="C6" s="106" t="n"/>
      <c r="D6" s="106" t="n"/>
      <c r="E6" s="110" t="inlineStr">
        <is>
          <t>inputs</t>
        </is>
      </c>
      <c r="F6" s="111" t="inlineStr">
        <is>
          <t>firm value, firm voaltility, conversion price,</t>
        </is>
      </c>
      <c r="G6" s="112" t="n"/>
      <c r="H6" s="113" t="n"/>
      <c r="I6" s="113" t="n"/>
      <c r="J6" s="113" t="n"/>
      <c r="K6" s="113" t="n"/>
      <c r="L6" s="114" t="n"/>
      <c r="M6" s="96" t="n"/>
      <c r="N6" s="96" t="n"/>
      <c r="O6" s="96" t="n"/>
      <c r="P6" s="96" t="n"/>
      <c r="Q6" s="96" t="n"/>
      <c r="R6" s="96" t="n"/>
    </row>
    <row r="7" ht="12.75" customFormat="1" customHeight="1" s="96">
      <c r="A7" s="97" t="inlineStr">
        <is>
          <t>email address</t>
        </is>
      </c>
      <c r="B7" s="115" t="inlineStr">
        <is>
          <t>leesb@hanyang.ac.kr</t>
        </is>
      </c>
      <c r="C7" s="115" t="n"/>
      <c r="D7" s="115" t="n"/>
      <c r="E7" s="116" t="n"/>
      <c r="F7" s="117" t="inlineStr">
        <is>
          <t>continuous compounding interest rate</t>
        </is>
      </c>
      <c r="G7" s="118" t="n"/>
      <c r="H7" s="118" t="n"/>
      <c r="I7" s="118" t="n"/>
      <c r="J7" s="118" t="n"/>
      <c r="K7" s="118" t="n"/>
      <c r="L7" s="119" t="n"/>
      <c r="M7" s="96" t="n"/>
      <c r="N7" s="96" t="n"/>
      <c r="O7" s="96" t="n"/>
      <c r="P7" s="96" t="n"/>
      <c r="Q7" s="96" t="n"/>
      <c r="R7" s="96" t="n"/>
    </row>
    <row r="8" ht="12.75" customFormat="1" customHeight="1" s="96">
      <c r="A8" s="97" t="inlineStr">
        <is>
          <t>last revised date</t>
        </is>
      </c>
      <c r="B8" s="120" t="n">
        <v>38139</v>
      </c>
      <c r="C8" s="121" t="n"/>
      <c r="D8" s="121" t="n"/>
      <c r="E8" s="122" t="inlineStr">
        <is>
          <t>outputs</t>
        </is>
      </c>
      <c r="F8" s="123" t="inlineStr">
        <is>
          <t>Convertible bond lattice</t>
        </is>
      </c>
      <c r="G8" s="124" t="n"/>
      <c r="H8" s="125" t="n"/>
      <c r="I8" s="125" t="n"/>
      <c r="J8" s="125" t="n"/>
      <c r="K8" s="125" t="n"/>
      <c r="L8" s="126" t="n"/>
      <c r="M8" s="96" t="n"/>
      <c r="N8" s="96" t="n"/>
      <c r="O8" s="96" t="n"/>
      <c r="P8" s="96" t="n"/>
      <c r="Q8" s="96" t="n"/>
      <c r="R8" s="96" t="n"/>
    </row>
    <row r="9" ht="12.75" customFormat="1" customHeight="1" s="96">
      <c r="A9" s="97" t="inlineStr">
        <is>
          <t>references</t>
        </is>
      </c>
      <c r="B9" s="127" t="inlineStr">
        <is>
          <t>Brennan, M.J., and E.S. Schwartz. 1977. Convertible bonds: Valuation and optimal strategies for call and conversion. Journal of Finance, 32 (5), 1699-1715.</t>
        </is>
      </c>
      <c r="C9" s="121" t="n"/>
      <c r="D9" s="121" t="n"/>
      <c r="E9" s="121" t="n"/>
      <c r="F9" s="121" t="n"/>
      <c r="G9" s="10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</row>
    <row r="10" ht="12.75" customFormat="1" customHeight="1" s="96">
      <c r="A10" s="97" t="n"/>
      <c r="B10" s="121" t="inlineStr">
        <is>
          <t>Ch.10 of "The Oxford Guide to Financial Modeling" by Thomas S.Y. Ho and Sang Bin Lee, 2004, Oxford University Press</t>
        </is>
      </c>
      <c r="C10" s="121" t="n"/>
      <c r="D10" s="121" t="n"/>
      <c r="E10" s="121" t="n"/>
      <c r="F10" s="121" t="n"/>
      <c r="G10" s="10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</row>
    <row r="11" ht="12.75" customFormat="1" customHeight="1" s="128">
      <c r="A11" s="129" t="inlineStr">
        <is>
          <t>Descriptions</t>
        </is>
      </c>
      <c r="B11" s="130" t="n"/>
      <c r="C11" s="130" t="n"/>
      <c r="D11" s="130" t="n"/>
      <c r="E11" s="130" t="n"/>
      <c r="F11" s="130" t="n"/>
      <c r="G11" s="131" t="n"/>
    </row>
    <row r="12" ht="12.75" customFormat="1" customHeight="1" s="96">
      <c r="A12" s="132" t="n"/>
      <c r="B12" s="92" t="n"/>
      <c r="C12" s="92" t="n"/>
      <c r="D12" s="92" t="n"/>
      <c r="E12" s="92" t="n"/>
      <c r="F12" s="92" t="n"/>
      <c r="G12" s="106" t="n"/>
      <c r="H12" s="96" t="n"/>
      <c r="I12" s="96" t="n"/>
      <c r="J12" s="96" t="n"/>
      <c r="K12" s="96" t="n"/>
      <c r="L12" s="96" t="n"/>
      <c r="M12" s="96" t="n"/>
      <c r="N12" s="96" t="n"/>
      <c r="P12" s="96" t="n"/>
      <c r="Q12" s="96" t="n"/>
      <c r="R12" s="96" t="n"/>
    </row>
    <row r="13" ht="12.75" customFormat="1" customHeight="1" s="96">
      <c r="A13" s="133" t="inlineStr">
        <is>
          <t>financial model class</t>
        </is>
      </c>
      <c r="B13" s="134" t="inlineStr">
        <is>
          <t>relative valuation model</t>
        </is>
      </c>
      <c r="C13" s="134" t="n"/>
      <c r="D13" s="134" t="n"/>
      <c r="E13" s="134" t="n"/>
      <c r="F13" s="135" t="n"/>
      <c r="G13" s="96" t="n"/>
      <c r="H13" s="96" t="n"/>
      <c r="I13" s="96" t="n"/>
      <c r="J13" s="96" t="n"/>
      <c r="K13" s="96" t="n"/>
      <c r="L13" s="96" t="n"/>
      <c r="M13" s="96" t="n"/>
      <c r="N13" s="96" t="n"/>
      <c r="P13" s="96" t="n"/>
      <c r="Q13" s="96" t="n"/>
      <c r="R13" s="96" t="n"/>
    </row>
    <row r="14" ht="12.75" customFormat="1" customHeight="1" s="96">
      <c r="A14" s="136" t="inlineStr">
        <is>
          <t>issuer/modeler</t>
        </is>
      </c>
      <c r="B14" s="92" t="inlineStr">
        <is>
          <t>practitioner</t>
        </is>
      </c>
      <c r="C14" s="92" t="n"/>
      <c r="D14" s="92" t="n"/>
      <c r="E14" s="92" t="n"/>
      <c r="F14" s="137" t="n"/>
      <c r="P14" s="96" t="n"/>
      <c r="Q14" s="96" t="n"/>
      <c r="R14" s="96" t="n"/>
    </row>
    <row r="15" ht="12.75" customFormat="1" customHeight="1" s="96">
      <c r="A15" s="136" t="inlineStr">
        <is>
          <t>model type</t>
        </is>
      </c>
      <c r="B15" s="92" t="inlineStr">
        <is>
          <t>binomial model</t>
        </is>
      </c>
      <c r="C15" s="92" t="n"/>
      <c r="D15" s="92" t="n"/>
      <c r="E15" s="92" t="n"/>
      <c r="F15" s="137" t="n"/>
      <c r="P15" s="96" t="n"/>
      <c r="Q15" s="96" t="n"/>
      <c r="R15" s="96" t="n"/>
    </row>
    <row r="16" ht="12.75" customFormat="1" customHeight="1" s="96">
      <c r="A16" s="138" t="inlineStr">
        <is>
          <t>risk sources</t>
        </is>
      </c>
      <c r="B16" s="139" t="inlineStr">
        <is>
          <t>firm value</t>
        </is>
      </c>
      <c r="C16" s="92" t="n"/>
      <c r="D16" s="92" t="n"/>
      <c r="E16" s="92" t="n"/>
      <c r="F16" s="137" t="n"/>
      <c r="P16" s="96" t="n"/>
      <c r="Q16" s="96" t="n"/>
      <c r="R16" s="96" t="n"/>
    </row>
    <row r="17" ht="12.75" customFormat="1" customHeight="1" s="96">
      <c r="A17" s="138" t="inlineStr">
        <is>
          <t>risk distribution</t>
        </is>
      </c>
      <c r="B17" s="139" t="inlineStr">
        <is>
          <t>lognormal</t>
        </is>
      </c>
      <c r="C17" s="92" t="n"/>
      <c r="D17" s="92" t="n"/>
      <c r="E17" s="92" t="n"/>
      <c r="F17" s="137" t="n"/>
      <c r="P17" s="96" t="n"/>
      <c r="Q17" s="96" t="n"/>
      <c r="R17" s="96" t="n"/>
    </row>
    <row r="18" ht="12.75" customFormat="1" customHeight="1" s="96">
      <c r="A18" s="136" t="inlineStr">
        <is>
          <t>economic assumptions</t>
        </is>
      </c>
      <c r="B18" s="92" t="inlineStr">
        <is>
          <t>perfect capital market</t>
        </is>
      </c>
      <c r="C18" s="92" t="n"/>
      <c r="D18" s="92" t="n"/>
      <c r="E18" s="92" t="n"/>
      <c r="F18" s="137" t="n"/>
      <c r="P18" s="96" t="n"/>
      <c r="Q18" s="96" t="n"/>
      <c r="R18" s="96" t="n"/>
    </row>
    <row r="19" ht="12.75" customFormat="1" customHeight="1" s="96">
      <c r="A19" s="140" t="inlineStr">
        <is>
          <t>technical assumptions</t>
        </is>
      </c>
      <c r="B19" s="141" t="inlineStr">
        <is>
          <t>n=2</t>
        </is>
      </c>
      <c r="C19" s="141" t="inlineStr">
        <is>
          <t>continuous compounding interest rate</t>
        </is>
      </c>
      <c r="D19" s="141" t="n"/>
      <c r="E19" s="141" t="n"/>
      <c r="F19" s="142" t="n"/>
      <c r="P19" s="96" t="n"/>
      <c r="Q19" s="96" t="n"/>
      <c r="R19" s="96" t="n"/>
    </row>
    <row r="20" ht="12.75" customFormat="1" customHeight="1" s="96">
      <c r="A20" s="97" t="inlineStr">
        <is>
          <t>key words</t>
        </is>
      </c>
      <c r="B20" s="92" t="inlineStr">
        <is>
          <t>conversion value, investment value, conversion provision</t>
        </is>
      </c>
      <c r="C20" s="92" t="n"/>
      <c r="D20" s="92" t="n"/>
      <c r="E20" s="92" t="n"/>
      <c r="F20" s="92" t="n"/>
      <c r="P20" s="96" t="n"/>
      <c r="Q20" s="96" t="n"/>
      <c r="R20" s="96" t="n"/>
    </row>
    <row r="21" ht="12.75" customFormat="1" customHeight="1" s="96">
      <c r="A21" s="97" t="n"/>
      <c r="B21" s="120" t="n"/>
      <c r="C21" s="120" t="n"/>
      <c r="D21" s="120" t="n"/>
      <c r="E21" s="120" t="n"/>
      <c r="L21" s="96" t="n"/>
      <c r="M21" s="96" t="n"/>
      <c r="N21" s="96" t="n"/>
      <c r="O21" s="96" t="n"/>
      <c r="P21" s="96" t="n"/>
      <c r="Q21" s="96" t="n"/>
      <c r="R21" s="96" t="n"/>
    </row>
    <row r="22" ht="12.75" customFormat="1" customHeight="1" s="128">
      <c r="A22" s="129" t="inlineStr">
        <is>
          <t>Links</t>
        </is>
      </c>
      <c r="B22" s="143" t="n"/>
      <c r="C22" s="143" t="n"/>
      <c r="D22" s="143" t="n"/>
      <c r="E22" s="143" t="n"/>
    </row>
    <row r="23" ht="12.75" customFormat="1" customHeight="1" s="96">
      <c r="A23" s="97" t="inlineStr">
        <is>
          <t>data</t>
        </is>
      </c>
      <c r="B23" s="92" t="inlineStr">
        <is>
          <t>N/A</t>
        </is>
      </c>
      <c r="C23" s="120" t="n"/>
      <c r="D23" s="120" t="n"/>
      <c r="E23" s="120" t="n"/>
      <c r="L23" s="96" t="n"/>
      <c r="M23" s="96" t="n"/>
      <c r="N23" s="96" t="n"/>
      <c r="O23" s="96" t="n"/>
      <c r="P23" s="96" t="n"/>
      <c r="Q23" s="96" t="n"/>
      <c r="R23" s="96" t="n"/>
    </row>
    <row r="24" ht="12.75" customFormat="1" customHeight="1" s="96">
      <c r="A24" s="97" t="inlineStr">
        <is>
          <t>financial models</t>
        </is>
      </c>
      <c r="B24" s="121" t="inlineStr">
        <is>
          <t>12. Cox-Ross-Rubinstein model</t>
        </is>
      </c>
      <c r="C24" s="120" t="n"/>
      <c r="D24" s="120" t="n"/>
      <c r="E24" s="120" t="n"/>
      <c r="F24" s="96" t="n"/>
      <c r="G24" s="96" t="n"/>
    </row>
    <row r="25" ht="12.75" customFormat="1" customHeight="1" s="93">
      <c r="A25" s="94" t="inlineStr">
        <is>
          <t>Inputs</t>
        </is>
      </c>
      <c r="B25" s="94" t="n"/>
      <c r="N25" s="93" t="n"/>
      <c r="O25" s="93" t="n"/>
      <c r="P25" s="93" t="n"/>
      <c r="Q25" s="93" t="n"/>
      <c r="R25" s="93" t="n"/>
      <c r="S25" s="93" t="n"/>
      <c r="T25" s="93" t="n"/>
    </row>
    <row r="26" ht="12.75" customFormat="1" customHeight="1" s="144"/>
    <row r="27" ht="12.75" customHeight="1" s="145">
      <c r="A27" s="96" t="inlineStr">
        <is>
          <t>bond maturity (year)</t>
        </is>
      </c>
      <c r="B27" s="146" t="n">
        <v>10</v>
      </c>
    </row>
    <row r="28" ht="12.75" customHeight="1" s="145">
      <c r="A28" s="96" t="inlineStr">
        <is>
          <t xml:space="preserve">coupon rate </t>
        </is>
      </c>
      <c r="B28" s="147" t="n">
        <v>0.15</v>
      </c>
    </row>
    <row r="29" ht="12.75" customHeight="1" s="145">
      <c r="A29" s="96" t="inlineStr">
        <is>
          <t xml:space="preserve">conversion price </t>
        </is>
      </c>
      <c r="B29" s="148" t="n">
        <v>20</v>
      </c>
    </row>
    <row r="30" ht="12.75" customHeight="1" s="145">
      <c r="A30" s="96" t="inlineStr">
        <is>
          <t>par value</t>
        </is>
      </c>
      <c r="B30" s="148" t="n">
        <v>1000</v>
      </c>
    </row>
    <row r="31" ht="12.75" customHeight="1" s="145">
      <c r="A31" s="96" t="inlineStr">
        <is>
          <t xml:space="preserve">convetible bond price </t>
        </is>
      </c>
      <c r="B31" s="148" t="n">
        <v>1124</v>
      </c>
    </row>
    <row r="32" ht="12.75" customHeight="1" s="145">
      <c r="A32" s="96" t="inlineStr">
        <is>
          <t>common stock price</t>
        </is>
      </c>
      <c r="B32" s="148" t="n">
        <v>21</v>
      </c>
    </row>
    <row r="33" ht="12.75" customHeight="1" s="145">
      <c r="A33" s="96" t="inlineStr">
        <is>
          <t>dividend per share</t>
        </is>
      </c>
      <c r="B33" s="148" t="n">
        <v>1</v>
      </c>
    </row>
    <row r="34" ht="12.75" customHeight="1" s="145">
      <c r="A34" s="96" t="inlineStr">
        <is>
          <t>flat yield curve</t>
        </is>
      </c>
      <c r="B34" s="149" t="n">
        <v>0.15</v>
      </c>
    </row>
    <row r="35" ht="12.75" customHeight="1" s="145">
      <c r="A35" s="96" t="inlineStr">
        <is>
          <t>credit spread</t>
        </is>
      </c>
      <c r="B35" s="150" t="n">
        <v>0.01</v>
      </c>
    </row>
    <row r="36" ht="12.75" customHeight="1" s="145">
      <c r="B36" s="151" t="n"/>
    </row>
    <row r="37" ht="12.75" customFormat="1" customHeight="1" s="152">
      <c r="A37" s="153" t="inlineStr">
        <is>
          <t>Outputs</t>
        </is>
      </c>
    </row>
    <row r="38" ht="12.75" customHeight="1" s="145">
      <c r="B38" s="154" t="n"/>
    </row>
    <row r="39" ht="12.75" customHeight="1" s="145">
      <c r="A39" s="96" t="inlineStr">
        <is>
          <t xml:space="preserve">conversion ratio </t>
        </is>
      </c>
      <c r="B39" s="155">
        <f>$B$30/$B$29</f>
        <v/>
      </c>
    </row>
    <row r="40" ht="12.75" customHeight="1" s="145">
      <c r="A40" s="96" t="inlineStr">
        <is>
          <t>conversion value (parity)</t>
        </is>
      </c>
      <c r="B40" s="156">
        <f>$B$39*$B$32</f>
        <v/>
      </c>
    </row>
    <row r="41" ht="12.75" customHeight="1" s="145">
      <c r="A41" s="96" t="inlineStr">
        <is>
          <t>investment value</t>
        </is>
      </c>
      <c r="B41" s="156">
        <f>$C$44</f>
        <v/>
      </c>
      <c r="C41" s="157" t="inlineStr">
        <is>
          <t xml:space="preserve">year </t>
        </is>
      </c>
      <c r="D41" s="96" t="n">
        <v>0.5</v>
      </c>
      <c r="E41" s="96" t="n">
        <v>1</v>
      </c>
      <c r="F41" s="96" t="n">
        <v>1.5</v>
      </c>
      <c r="G41" s="96" t="n">
        <v>2</v>
      </c>
      <c r="H41" s="96" t="n">
        <v>2.5</v>
      </c>
      <c r="I41" s="96" t="n">
        <v>3</v>
      </c>
      <c r="J41" s="96" t="n">
        <v>3.5</v>
      </c>
      <c r="K41" s="96" t="n">
        <v>4</v>
      </c>
      <c r="L41" s="96" t="n">
        <v>4.5</v>
      </c>
      <c r="M41" s="96" t="n">
        <v>5</v>
      </c>
      <c r="N41" s="96" t="n">
        <v>5.5</v>
      </c>
      <c r="O41" s="96" t="n">
        <v>6</v>
      </c>
      <c r="P41" s="96" t="n">
        <v>6.5</v>
      </c>
      <c r="Q41" s="96" t="n">
        <v>7</v>
      </c>
      <c r="R41" s="96" t="n">
        <v>7.5</v>
      </c>
      <c r="S41" s="96" t="n">
        <v>8</v>
      </c>
      <c r="T41" s="96" t="n">
        <v>8.5</v>
      </c>
      <c r="U41" s="96" t="n">
        <v>9</v>
      </c>
      <c r="V41" s="96" t="n">
        <v>9.5</v>
      </c>
      <c r="W41" s="96" t="n">
        <v>10</v>
      </c>
      <c r="AL41" s="92" t="n">
        <v>1.5</v>
      </c>
      <c r="AM41" s="92" t="n">
        <v>1.5</v>
      </c>
    </row>
    <row r="42" ht="12.75" customHeight="1" s="145">
      <c r="C42" s="157" t="inlineStr">
        <is>
          <t xml:space="preserve">copoun </t>
        </is>
      </c>
      <c r="D42" s="96">
        <f>$B$30*$B$28/2</f>
        <v/>
      </c>
      <c r="E42" s="96">
        <f>$B$30*$B$28/2</f>
        <v/>
      </c>
      <c r="F42" s="96">
        <f>$B$30*$B$28/2</f>
        <v/>
      </c>
      <c r="G42" s="96">
        <f>$B$30*$B$28/2</f>
        <v/>
      </c>
      <c r="H42" s="96">
        <f>$B$30*$B$28/2</f>
        <v/>
      </c>
      <c r="I42" s="96">
        <f>$B$30*$B$28/2</f>
        <v/>
      </c>
      <c r="J42" s="96">
        <f>$B$30*$B$28/2</f>
        <v/>
      </c>
      <c r="K42" s="96">
        <f>$B$30*$B$28/2</f>
        <v/>
      </c>
      <c r="L42" s="96">
        <f>$B$30*$B$28/2</f>
        <v/>
      </c>
      <c r="M42" s="96">
        <f>$B$30*$B$28/2</f>
        <v/>
      </c>
      <c r="N42" s="96">
        <f>$B$30*$B$28/2</f>
        <v/>
      </c>
      <c r="O42" s="96">
        <f>$B$30*$B$28/2</f>
        <v/>
      </c>
      <c r="P42" s="96">
        <f>$B$30*$B$28/2</f>
        <v/>
      </c>
      <c r="Q42" s="96">
        <f>$B$30*$B$28/2</f>
        <v/>
      </c>
      <c r="R42" s="96">
        <f>$B$30*$B$28/2</f>
        <v/>
      </c>
      <c r="S42" s="96">
        <f>$B$30*$B$28/2</f>
        <v/>
      </c>
      <c r="T42" s="96">
        <f>$B$30*$B$28/2</f>
        <v/>
      </c>
      <c r="U42" s="96">
        <f>$B$30*$B$28/2</f>
        <v/>
      </c>
      <c r="V42" s="96">
        <f>$B$30*$B$28/2</f>
        <v/>
      </c>
      <c r="W42" s="96">
        <f>$B$30*$B$28/2</f>
        <v/>
      </c>
    </row>
    <row r="43" ht="12.75" customHeight="1" s="145">
      <c r="C43" s="157" t="inlineStr">
        <is>
          <t>principal</t>
        </is>
      </c>
      <c r="D43" s="96">
        <f>0</f>
        <v/>
      </c>
      <c r="E43" s="96">
        <f>0</f>
        <v/>
      </c>
      <c r="F43" s="96">
        <f>0</f>
        <v/>
      </c>
      <c r="G43" s="96">
        <f>0</f>
        <v/>
      </c>
      <c r="H43" s="96">
        <f>0</f>
        <v/>
      </c>
      <c r="I43" s="96">
        <f>0</f>
        <v/>
      </c>
      <c r="J43" s="96">
        <f>0</f>
        <v/>
      </c>
      <c r="K43" s="96">
        <f>0</f>
        <v/>
      </c>
      <c r="L43" s="96">
        <f>0</f>
        <v/>
      </c>
      <c r="M43" s="96">
        <f>0</f>
        <v/>
      </c>
      <c r="N43" s="96">
        <f>0</f>
        <v/>
      </c>
      <c r="O43" s="96">
        <f>0</f>
        <v/>
      </c>
      <c r="P43" s="96">
        <f>0</f>
        <v/>
      </c>
      <c r="Q43" s="96">
        <f>0</f>
        <v/>
      </c>
      <c r="R43" s="96">
        <f>0</f>
        <v/>
      </c>
      <c r="S43" s="96">
        <f>0</f>
        <v/>
      </c>
      <c r="T43" s="96">
        <f>0</f>
        <v/>
      </c>
      <c r="U43" s="96">
        <f>0</f>
        <v/>
      </c>
      <c r="V43" s="96">
        <f>0</f>
        <v/>
      </c>
      <c r="W43" s="96">
        <f>1000</f>
        <v/>
      </c>
    </row>
    <row r="44" ht="12.75" customHeight="1" s="145">
      <c r="C44" s="157">
        <f>SUM(D44:W44)</f>
        <v/>
      </c>
      <c r="D44" s="96">
        <f>(D42+D43)*EXP(-($B$34+$B$35)*D$41)</f>
        <v/>
      </c>
      <c r="E44" s="96">
        <f>(E42+E43)*EXP(-($B$34+$B$35)*E$41)</f>
        <v/>
      </c>
      <c r="F44" s="96">
        <f>(F42+F43)*EXP(-($B$34+$B$35)*F$41)</f>
        <v/>
      </c>
      <c r="G44" s="96">
        <f>(G42+G43)*EXP(-($B$34+$B$35)*G$41)</f>
        <v/>
      </c>
      <c r="H44" s="96">
        <f>(H42+H43)*EXP(-($B$34+$B$35)*H$41)</f>
        <v/>
      </c>
      <c r="I44" s="96">
        <f>(I42+I43)*EXP(-($B$34+$B$35)*I$41)</f>
        <v/>
      </c>
      <c r="J44" s="96">
        <f>(J42+J43)*EXP(-($B$34+$B$35)*J$41)</f>
        <v/>
      </c>
      <c r="K44" s="96">
        <f>(K42+K43)*EXP(-($B$34+$B$35)*K$41)</f>
        <v/>
      </c>
      <c r="L44" s="96">
        <f>(L42+L43)*EXP(-($B$34+$B$35)*L$41)</f>
        <v/>
      </c>
      <c r="M44" s="96">
        <f>(M42+M43)*EXP(-($B$34+$B$35)*M$41)</f>
        <v/>
      </c>
      <c r="N44" s="96">
        <f>(N42+N43)*EXP(-($B$34+$B$35)*N$41)</f>
        <v/>
      </c>
      <c r="O44" s="96">
        <f>(O42+O43)*EXP(-($B$34+$B$35)*O$41)</f>
        <v/>
      </c>
      <c r="P44" s="96">
        <f>(P42+P43)*EXP(-($B$34+$B$35)*P$41)</f>
        <v/>
      </c>
      <c r="Q44" s="96">
        <f>(Q42+Q43)*EXP(-($B$34+$B$35)*Q$41)</f>
        <v/>
      </c>
      <c r="R44" s="96">
        <f>(R42+R43)*EXP(-($B$34+$B$35)*R$41)</f>
        <v/>
      </c>
      <c r="S44" s="96">
        <f>(S42+S43)*EXP(-($B$34+$B$35)*S$41)</f>
        <v/>
      </c>
      <c r="T44" s="96">
        <f>(T42+T43)*EXP(-($B$34+$B$35)*T$41)</f>
        <v/>
      </c>
      <c r="U44" s="96">
        <f>(U42+U43)*EXP(-($B$34+$B$35)*U$41)</f>
        <v/>
      </c>
      <c r="V44" s="96">
        <f>(V42+V43)*EXP(-($B$34+$B$35)*V$41)</f>
        <v/>
      </c>
      <c r="W44" s="96">
        <f>(W42+W43)*EXP(-($B$34+$B$35)*W$41)</f>
        <v/>
      </c>
    </row>
  </sheetData>
  <hyperlinks>
    <hyperlink xmlns:r="http://schemas.openxmlformats.org/officeDocument/2006/relationships" ref="B7" display="leesb@hanyang.ac.kr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1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87890625" defaultRowHeight="12.75" zeroHeight="0" outlineLevelRow="0"/>
  <cols>
    <col width="21.1" customWidth="1" style="96" min="1" max="1"/>
    <col width="7.99" customWidth="1" style="92" min="2" max="17"/>
    <col width="8.77" customWidth="1" style="92" min="18" max="22"/>
    <col width="9.880000000000001" customWidth="1" style="92" min="23" max="29"/>
    <col width="8.880000000000001" customWidth="1" style="92" min="30" max="257"/>
  </cols>
  <sheetData>
    <row r="1" ht="12.75" customFormat="1" customHeight="1" s="93">
      <c r="A1" s="94" t="inlineStr">
        <is>
          <t>Convertible Bond</t>
        </is>
      </c>
      <c r="D1" s="95" t="inlineStr">
        <is>
          <t>© copyright THC 2003. All rights reserved by Thomas Ho Company, New York, NY. USA      www. thomasho.com       tom.ho@thomasho.com</t>
        </is>
      </c>
    </row>
    <row r="2" ht="12.75" customFormat="1" customHeight="1" s="96">
      <c r="A2" s="97" t="inlineStr">
        <is>
          <t>reference number</t>
        </is>
      </c>
      <c r="B2" s="96" t="n">
        <v>129</v>
      </c>
    </row>
    <row r="3" ht="12.75" customFormat="1" customHeight="1" s="96">
      <c r="A3" s="97" t="inlineStr">
        <is>
          <t>Version</t>
        </is>
      </c>
      <c r="B3" s="98" t="n">
        <v>1</v>
      </c>
      <c r="E3" s="99" t="inlineStr">
        <is>
          <t>Instructions</t>
        </is>
      </c>
      <c r="F3" s="100" t="n"/>
      <c r="G3" s="100" t="n"/>
      <c r="H3" s="100" t="n"/>
      <c r="I3" s="100" t="n"/>
      <c r="J3" s="100" t="n"/>
      <c r="K3" s="100" t="n"/>
      <c r="L3" s="101" t="n"/>
      <c r="N3" s="96" t="n"/>
      <c r="O3" s="96" t="n"/>
      <c r="P3" s="96" t="n"/>
      <c r="Q3" s="96" t="n"/>
      <c r="R3" s="96" t="n"/>
    </row>
    <row r="4" ht="12.75" customFormat="1" customHeight="1" s="96">
      <c r="A4" s="97" t="inlineStr">
        <is>
          <t>publication date</t>
        </is>
      </c>
      <c r="B4" s="102" t="n">
        <v>38139</v>
      </c>
      <c r="E4" s="103" t="inlineStr">
        <is>
          <t xml:space="preserve">A convertible bond is a bond with an embedded call option on the company's stock. To incorporate the credit risk, we use the firm value, not the stock value, as the underlying risk source.  </t>
        </is>
      </c>
      <c r="F4" s="104" t="n"/>
      <c r="G4" s="104" t="n"/>
      <c r="H4" s="104" t="n"/>
      <c r="I4" s="104" t="n"/>
      <c r="J4" s="104" t="n"/>
      <c r="K4" s="104" t="n"/>
      <c r="L4" s="105" t="n"/>
      <c r="N4" s="96" t="n"/>
      <c r="O4" s="96" t="n"/>
      <c r="P4" s="96" t="n"/>
      <c r="Q4" s="96" t="n"/>
      <c r="R4" s="96" t="n"/>
    </row>
    <row r="5" ht="12.75" customFormat="1" customHeight="1" s="96">
      <c r="A5" s="97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7" t="inlineStr">
        <is>
          <t xml:space="preserve">only risk source for the compound option. </t>
        </is>
      </c>
      <c r="F5" s="108" t="n"/>
      <c r="G5" s="108" t="n"/>
      <c r="H5" s="108" t="n"/>
      <c r="I5" s="108" t="n"/>
      <c r="J5" s="108" t="n"/>
      <c r="K5" s="108" t="n"/>
      <c r="L5" s="109" t="n"/>
      <c r="N5" s="96" t="n"/>
      <c r="O5" s="96" t="n"/>
      <c r="P5" s="96" t="n"/>
      <c r="Q5" s="96" t="n"/>
      <c r="R5" s="96" t="n"/>
    </row>
    <row r="6" ht="12.75" customFormat="1" customHeight="1" s="96">
      <c r="A6" s="97" t="inlineStr">
        <is>
          <t>affiliation</t>
        </is>
      </c>
      <c r="B6" s="106" t="inlineStr">
        <is>
          <t>Hanyang University</t>
        </is>
      </c>
      <c r="C6" s="106" t="n"/>
      <c r="D6" s="106" t="n"/>
      <c r="E6" s="110" t="inlineStr">
        <is>
          <t>inputs</t>
        </is>
      </c>
      <c r="F6" s="111" t="inlineStr">
        <is>
          <t>firm value, firm voaltility, conversion price,</t>
        </is>
      </c>
      <c r="G6" s="112" t="n"/>
      <c r="H6" s="113" t="n"/>
      <c r="I6" s="113" t="n"/>
      <c r="J6" s="113" t="n"/>
      <c r="K6" s="113" t="n"/>
      <c r="L6" s="114" t="n"/>
      <c r="M6" s="96" t="n"/>
      <c r="N6" s="96" t="n"/>
      <c r="O6" s="96" t="n"/>
      <c r="P6" s="96" t="n"/>
      <c r="Q6" s="96" t="n"/>
      <c r="R6" s="96" t="n"/>
    </row>
    <row r="7" ht="12.75" customFormat="1" customHeight="1" s="96">
      <c r="A7" s="97" t="inlineStr">
        <is>
          <t>email address</t>
        </is>
      </c>
      <c r="B7" s="115" t="inlineStr">
        <is>
          <t>leesb@hanyang.ac.kr</t>
        </is>
      </c>
      <c r="C7" s="115" t="n"/>
      <c r="D7" s="115" t="n"/>
      <c r="E7" s="116" t="n"/>
      <c r="F7" s="117" t="inlineStr">
        <is>
          <t>continuous compounding interest rate</t>
        </is>
      </c>
      <c r="G7" s="118" t="n"/>
      <c r="H7" s="118" t="n"/>
      <c r="I7" s="118" t="n"/>
      <c r="J7" s="118" t="n"/>
      <c r="K7" s="118" t="n"/>
      <c r="L7" s="119" t="n"/>
      <c r="M7" s="96" t="n"/>
      <c r="N7" s="96" t="n"/>
      <c r="O7" s="96" t="n"/>
      <c r="P7" s="96" t="n"/>
      <c r="Q7" s="96" t="n"/>
      <c r="R7" s="96" t="n"/>
    </row>
    <row r="8" ht="12.75" customFormat="1" customHeight="1" s="96">
      <c r="A8" s="97" t="inlineStr">
        <is>
          <t>last revised date</t>
        </is>
      </c>
      <c r="B8" s="120" t="n">
        <v>38139</v>
      </c>
      <c r="C8" s="121" t="n"/>
      <c r="D8" s="121" t="n"/>
      <c r="E8" s="122" t="inlineStr">
        <is>
          <t>outputs</t>
        </is>
      </c>
      <c r="F8" s="123" t="inlineStr">
        <is>
          <t>Convertible bond lattice</t>
        </is>
      </c>
      <c r="G8" s="124" t="n"/>
      <c r="H8" s="125" t="n"/>
      <c r="I8" s="125" t="n"/>
      <c r="J8" s="125" t="n"/>
      <c r="K8" s="125" t="n"/>
      <c r="L8" s="126" t="n"/>
      <c r="M8" s="96" t="n"/>
      <c r="N8" s="96" t="n"/>
      <c r="O8" s="96" t="n"/>
      <c r="P8" s="96" t="n"/>
      <c r="Q8" s="96" t="n"/>
      <c r="R8" s="96" t="n"/>
    </row>
    <row r="9" ht="12.75" customFormat="1" customHeight="1" s="96">
      <c r="A9" s="97" t="inlineStr">
        <is>
          <t>references</t>
        </is>
      </c>
      <c r="B9" s="127" t="inlineStr">
        <is>
          <t>Brennan, M.J., and E.S. Schwartz. 1977. Convertible bonds: Valuation and optimal strategies for call and conversion. Journal of Finance, 32 (5), 1699-1715.</t>
        </is>
      </c>
      <c r="C9" s="121" t="n"/>
      <c r="D9" s="121" t="n"/>
      <c r="E9" s="121" t="n"/>
      <c r="F9" s="121" t="n"/>
      <c r="G9" s="10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</row>
    <row r="10" ht="12.75" customFormat="1" customHeight="1" s="96">
      <c r="A10" s="97" t="n"/>
      <c r="B10" s="121" t="inlineStr">
        <is>
          <t>Ch.10 of "The Oxford Guide to Financial Modeling" by Thomas S.Y. Ho and Sang Bin Lee, 2004, Oxford University Press</t>
        </is>
      </c>
      <c r="C10" s="121" t="n"/>
      <c r="D10" s="121" t="n"/>
      <c r="E10" s="121" t="n"/>
      <c r="F10" s="121" t="n"/>
      <c r="G10" s="10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</row>
    <row r="11" ht="12.75" customFormat="1" customHeight="1" s="128">
      <c r="A11" s="129" t="inlineStr">
        <is>
          <t>Descriptions</t>
        </is>
      </c>
      <c r="B11" s="130" t="n"/>
      <c r="C11" s="130" t="n"/>
      <c r="D11" s="130" t="n"/>
      <c r="E11" s="130" t="n"/>
      <c r="F11" s="130" t="n"/>
      <c r="G11" s="131" t="n"/>
    </row>
    <row r="12" ht="12.75" customFormat="1" customHeight="1" s="96">
      <c r="A12" s="158" t="n"/>
      <c r="B12" s="92" t="n"/>
      <c r="C12" s="92" t="n"/>
      <c r="D12" s="92" t="n"/>
      <c r="E12" s="92" t="n"/>
      <c r="F12" s="92" t="n"/>
      <c r="G12" s="106" t="n"/>
      <c r="H12" s="96" t="n"/>
      <c r="I12" s="96" t="n"/>
      <c r="J12" s="96" t="n"/>
      <c r="K12" s="96" t="n"/>
      <c r="L12" s="96" t="n"/>
      <c r="M12" s="96" t="n"/>
      <c r="N12" s="96" t="n"/>
      <c r="P12" s="96" t="n"/>
      <c r="Q12" s="96" t="n"/>
      <c r="R12" s="96" t="n"/>
    </row>
    <row r="13" ht="12.75" customFormat="1" customHeight="1" s="96">
      <c r="A13" s="133" t="inlineStr">
        <is>
          <t>financial model class</t>
        </is>
      </c>
      <c r="B13" s="134" t="inlineStr">
        <is>
          <t>relative valuation model</t>
        </is>
      </c>
      <c r="C13" s="134" t="n"/>
      <c r="D13" s="134" t="n"/>
      <c r="E13" s="134" t="n"/>
      <c r="F13" s="135" t="n"/>
      <c r="G13" s="96" t="n"/>
      <c r="H13" s="96" t="n"/>
      <c r="I13" s="96" t="n"/>
      <c r="J13" s="96" t="n"/>
      <c r="K13" s="96" t="n"/>
      <c r="L13" s="96" t="n"/>
      <c r="M13" s="96" t="n"/>
      <c r="N13" s="96" t="n"/>
      <c r="P13" s="96" t="n"/>
      <c r="Q13" s="96" t="n"/>
      <c r="R13" s="96" t="n"/>
    </row>
    <row r="14" ht="12.75" customFormat="1" customHeight="1" s="96">
      <c r="A14" s="136" t="inlineStr">
        <is>
          <t>issuer/modeler</t>
        </is>
      </c>
      <c r="B14" s="92" t="inlineStr">
        <is>
          <t>practitioner</t>
        </is>
      </c>
      <c r="C14" s="92" t="n"/>
      <c r="D14" s="92" t="n"/>
      <c r="E14" s="92" t="n"/>
      <c r="F14" s="137" t="n"/>
      <c r="P14" s="96" t="n"/>
      <c r="Q14" s="96" t="n"/>
      <c r="R14" s="96" t="n"/>
    </row>
    <row r="15" ht="12.75" customFormat="1" customHeight="1" s="96">
      <c r="A15" s="136" t="inlineStr">
        <is>
          <t>model type</t>
        </is>
      </c>
      <c r="B15" s="92" t="inlineStr">
        <is>
          <t>binomial model</t>
        </is>
      </c>
      <c r="C15" s="92" t="n"/>
      <c r="D15" s="92" t="n"/>
      <c r="E15" s="92" t="n"/>
      <c r="F15" s="137" t="n"/>
      <c r="P15" s="96" t="n"/>
      <c r="Q15" s="96" t="n"/>
      <c r="R15" s="96" t="n"/>
    </row>
    <row r="16" ht="12.75" customFormat="1" customHeight="1" s="96">
      <c r="A16" s="138" t="inlineStr">
        <is>
          <t>risk sources</t>
        </is>
      </c>
      <c r="B16" s="139" t="inlineStr">
        <is>
          <t>firm value</t>
        </is>
      </c>
      <c r="C16" s="92" t="n"/>
      <c r="D16" s="92" t="n"/>
      <c r="E16" s="92" t="n"/>
      <c r="F16" s="137" t="n"/>
      <c r="P16" s="96" t="n"/>
      <c r="Q16" s="96" t="n"/>
      <c r="R16" s="96" t="n"/>
    </row>
    <row r="17" ht="12.75" customFormat="1" customHeight="1" s="96">
      <c r="A17" s="138" t="inlineStr">
        <is>
          <t>risk distribution</t>
        </is>
      </c>
      <c r="B17" s="139" t="inlineStr">
        <is>
          <t>lognormal</t>
        </is>
      </c>
      <c r="C17" s="92" t="n"/>
      <c r="D17" s="92" t="n"/>
      <c r="E17" s="92" t="n"/>
      <c r="F17" s="137" t="n"/>
      <c r="P17" s="96" t="n"/>
      <c r="Q17" s="96" t="n"/>
      <c r="R17" s="96" t="n"/>
    </row>
    <row r="18" ht="12.75" customFormat="1" customHeight="1" s="96">
      <c r="A18" s="136" t="inlineStr">
        <is>
          <t>economic assumptions</t>
        </is>
      </c>
      <c r="B18" s="92" t="inlineStr">
        <is>
          <t>perfect capital market</t>
        </is>
      </c>
      <c r="C18" s="92" t="n"/>
      <c r="D18" s="92" t="n"/>
      <c r="E18" s="92" t="n"/>
      <c r="F18" s="137" t="n"/>
      <c r="P18" s="96" t="n"/>
      <c r="Q18" s="96" t="n"/>
      <c r="R18" s="96" t="n"/>
    </row>
    <row r="19" ht="12.75" customFormat="1" customHeight="1" s="96">
      <c r="A19" s="140" t="inlineStr">
        <is>
          <t>technical assumptions</t>
        </is>
      </c>
      <c r="B19" s="141" t="inlineStr">
        <is>
          <t>n=2</t>
        </is>
      </c>
      <c r="C19" s="141" t="inlineStr">
        <is>
          <t>continuous compounding interest rate</t>
        </is>
      </c>
      <c r="D19" s="141" t="n"/>
      <c r="E19" s="141" t="n"/>
      <c r="F19" s="142" t="n"/>
      <c r="P19" s="96" t="n"/>
      <c r="Q19" s="96" t="n"/>
      <c r="R19" s="96" t="n"/>
    </row>
    <row r="20" ht="12.75" customFormat="1" customHeight="1" s="96">
      <c r="A20" s="97" t="inlineStr">
        <is>
          <t>key words</t>
        </is>
      </c>
      <c r="B20" s="92" t="inlineStr">
        <is>
          <t>conversion value, investment value, conversion provision</t>
        </is>
      </c>
      <c r="C20" s="92" t="n"/>
      <c r="D20" s="92" t="n"/>
      <c r="E20" s="92" t="n"/>
      <c r="F20" s="92" t="n"/>
      <c r="P20" s="96" t="n"/>
      <c r="Q20" s="96" t="n"/>
      <c r="R20" s="96" t="n"/>
    </row>
    <row r="21" ht="12.75" customFormat="1" customHeight="1" s="96">
      <c r="A21" s="97" t="n"/>
      <c r="B21" s="120" t="n"/>
      <c r="C21" s="120" t="n"/>
      <c r="D21" s="120" t="n"/>
      <c r="E21" s="120" t="n"/>
      <c r="L21" s="96" t="n"/>
      <c r="M21" s="96" t="n"/>
      <c r="N21" s="96" t="n"/>
      <c r="O21" s="96" t="n"/>
      <c r="P21" s="96" t="n"/>
      <c r="Q21" s="96" t="n"/>
      <c r="R21" s="96" t="n"/>
    </row>
    <row r="22" ht="12.75" customFormat="1" customHeight="1" s="128">
      <c r="A22" s="129" t="inlineStr">
        <is>
          <t>Links</t>
        </is>
      </c>
      <c r="B22" s="143" t="n"/>
      <c r="C22" s="143" t="n"/>
      <c r="D22" s="143" t="n"/>
      <c r="E22" s="143" t="n"/>
    </row>
    <row r="23" ht="12.75" customFormat="1" customHeight="1" s="96">
      <c r="A23" s="97" t="inlineStr">
        <is>
          <t>data</t>
        </is>
      </c>
      <c r="B23" s="92" t="inlineStr">
        <is>
          <t>N/A</t>
        </is>
      </c>
      <c r="C23" s="120" t="n"/>
      <c r="D23" s="120" t="n"/>
      <c r="E23" s="120" t="n"/>
      <c r="L23" s="96" t="n"/>
      <c r="M23" s="96" t="n"/>
      <c r="N23" s="96" t="n"/>
      <c r="O23" s="96" t="n"/>
      <c r="P23" s="96" t="n"/>
      <c r="Q23" s="96" t="n"/>
      <c r="R23" s="96" t="n"/>
    </row>
    <row r="24" ht="12.75" customFormat="1" customHeight="1" s="96">
      <c r="A24" s="97" t="inlineStr">
        <is>
          <t>financial models</t>
        </is>
      </c>
      <c r="B24" s="121" t="inlineStr">
        <is>
          <t>12. Cox-Ross-Rubinstein model</t>
        </is>
      </c>
      <c r="C24" s="120" t="n"/>
      <c r="D24" s="120" t="n"/>
      <c r="E24" s="120" t="n"/>
      <c r="F24" s="96" t="n"/>
      <c r="G24" s="96" t="n"/>
    </row>
    <row r="25" ht="12.75" customFormat="1" customHeight="1" s="93">
      <c r="A25" s="94" t="inlineStr">
        <is>
          <t>Inputs</t>
        </is>
      </c>
      <c r="B25" s="94" t="n"/>
      <c r="N25" s="93" t="n"/>
      <c r="O25" s="93" t="n"/>
      <c r="P25" s="93" t="n"/>
      <c r="Q25" s="93" t="n"/>
      <c r="R25" s="93" t="n"/>
      <c r="S25" s="93" t="n"/>
      <c r="T25" s="93" t="n"/>
    </row>
    <row r="26" ht="12.75" customFormat="1" customHeight="1" s="144">
      <c r="A26" s="159" t="n"/>
    </row>
    <row r="27" ht="12.75" customHeight="1" s="145">
      <c r="A27" s="96" t="inlineStr">
        <is>
          <t xml:space="preserve">Firm Value </t>
        </is>
      </c>
      <c r="B27" s="160" t="n">
        <v>4.35948</v>
      </c>
    </row>
    <row r="28" ht="12.75" customHeight="1" s="145">
      <c r="A28" s="96" t="inlineStr">
        <is>
          <t>σ</t>
        </is>
      </c>
      <c r="B28" s="160">
        <f>0.258408*SQRT(12)</f>
        <v/>
      </c>
    </row>
    <row r="29" ht="12.75" customHeight="1" s="145">
      <c r="A29" s="96" t="inlineStr">
        <is>
          <t>m</t>
        </is>
      </c>
      <c r="B29" s="161" t="n">
        <v>2</v>
      </c>
    </row>
    <row r="30" ht="12.75" customHeight="1" s="145">
      <c r="A30" s="96" t="inlineStr">
        <is>
          <t>spot curve</t>
        </is>
      </c>
      <c r="B30" s="162" t="n">
        <v>0.03</v>
      </c>
    </row>
    <row r="31" ht="12.75" customHeight="1" s="145">
      <c r="A31" s="96" t="inlineStr">
        <is>
          <t>interest rate volatility</t>
        </is>
      </c>
      <c r="B31" s="163" t="n">
        <v>0.05</v>
      </c>
    </row>
    <row r="32" ht="12.75" customHeight="1" s="145">
      <c r="A32" s="96" t="inlineStr">
        <is>
          <t>time-to-maturity</t>
        </is>
      </c>
      <c r="B32" s="163" t="inlineStr">
        <is>
          <t>7 years</t>
        </is>
      </c>
    </row>
    <row r="33" ht="12.75" customHeight="1" s="145">
      <c r="A33" s="96" t="inlineStr">
        <is>
          <t>outstanding shares</t>
        </is>
      </c>
      <c r="B33" s="161">
        <f>370.308*10^6</f>
        <v/>
      </c>
    </row>
    <row r="34" ht="12.75" customHeight="1" s="145">
      <c r="A34" s="96" t="inlineStr">
        <is>
          <t>conversion price</t>
        </is>
      </c>
      <c r="B34" s="164" t="n">
        <v>78.0277</v>
      </c>
    </row>
    <row r="35" ht="12.75" customHeight="1" s="145">
      <c r="A35" s="96" t="inlineStr">
        <is>
          <t>face value</t>
        </is>
      </c>
      <c r="B35" s="164">
        <f>1.24981</f>
        <v/>
      </c>
    </row>
    <row r="36" ht="12.75" customHeight="1" s="145">
      <c r="A36" s="96" t="inlineStr">
        <is>
          <t>coupon rate</t>
        </is>
      </c>
      <c r="B36" s="165" t="n">
        <v>0.0475</v>
      </c>
    </row>
    <row r="37" ht="12.75" customHeight="1" s="145">
      <c r="A37" s="96" t="inlineStr">
        <is>
          <t>level coupon rate</t>
        </is>
      </c>
      <c r="B37" s="165">
        <f>$B$36/$B$29</f>
        <v/>
      </c>
    </row>
    <row r="38" ht="12.75" customHeight="1" s="145">
      <c r="B38" s="151" t="n"/>
    </row>
    <row r="39" ht="12.75" customFormat="1" customHeight="1" s="166">
      <c r="A39" s="153" t="inlineStr">
        <is>
          <t>Outputs</t>
        </is>
      </c>
    </row>
    <row r="41" ht="12.75" customHeight="1" s="145">
      <c r="B41" s="167" t="n"/>
      <c r="C41" s="167" t="n"/>
      <c r="D41" s="167" t="n"/>
      <c r="E41" s="167" t="n"/>
      <c r="F41" s="167" t="n"/>
      <c r="G41" s="167" t="n"/>
      <c r="H41" s="167" t="n"/>
      <c r="I41" s="167" t="n"/>
      <c r="J41" s="167" t="n"/>
      <c r="K41" s="167" t="n"/>
      <c r="L41" s="167" t="n"/>
      <c r="M41" s="167" t="n"/>
      <c r="N41" s="167" t="n"/>
      <c r="O41" s="167" t="n"/>
      <c r="P41" s="167">
        <f>IF(P122&lt;=($B$35*(1+$B$37)),P122,IF(P122&lt;=($B$35*(1+$B$37)*(($B$33+$B$68)/$B$68)),$B$35*(1+$B$37),P122*$B$68/($B$33+$B$68)))</f>
        <v/>
      </c>
      <c r="Q41" s="168" t="n"/>
    </row>
    <row r="42" ht="12.75" customHeight="1" s="145">
      <c r="B42" s="167" t="n"/>
      <c r="C42" s="167" t="n"/>
      <c r="D42" s="167" t="n"/>
      <c r="E42" s="167" t="n"/>
      <c r="F42" s="167" t="n"/>
      <c r="G42" s="167" t="n"/>
      <c r="H42" s="167" t="n"/>
      <c r="I42" s="167" t="n"/>
      <c r="J42" s="167" t="n"/>
      <c r="K42" s="167" t="n"/>
      <c r="L42" s="167" t="n"/>
      <c r="M42" s="167" t="n"/>
      <c r="N42" s="167" t="n"/>
      <c r="O42" s="167">
        <f>MIN((P41*O106+P42*(1-O106))*EXP(-(O89))+$B$35*$B$37,O123)</f>
        <v/>
      </c>
      <c r="P42" s="167">
        <f>IF(P123&lt;=($B$35*(1+$B$37)),P123,IF(P123&lt;=($B$35*(1+$B$37)*(($B$33+$B$68)/$B$68)),$B$35*(1+$B$37),P123*$B$68/($B$33+$B$68)))</f>
        <v/>
      </c>
      <c r="Q42" s="168" t="n"/>
    </row>
    <row r="43" ht="12.75" customHeight="1" s="145">
      <c r="B43" s="167" t="n"/>
      <c r="C43" s="167" t="n"/>
      <c r="D43" s="167" t="n"/>
      <c r="E43" s="167" t="n"/>
      <c r="F43" s="167" t="n"/>
      <c r="G43" s="167" t="n"/>
      <c r="H43" s="167" t="n"/>
      <c r="I43" s="167" t="n"/>
      <c r="J43" s="167" t="n"/>
      <c r="K43" s="167" t="n"/>
      <c r="L43" s="167" t="n"/>
      <c r="M43" s="167" t="n"/>
      <c r="N43" s="167">
        <f>MIN((O42*N107+O43*(1-N107))*EXP(-(N90))+$B$35*$B$37,N124)</f>
        <v/>
      </c>
      <c r="O43" s="167">
        <f>MIN((P42*O107+P43*(1-O107))*EXP(-(O90))+$B$35*$B$37,O124)</f>
        <v/>
      </c>
      <c r="P43" s="167">
        <f>IF(P124&lt;=($B$35*(1+$B$37)),P124,IF(P124&lt;=($B$35*(1+$B$37)*(($B$33+$B$68)/$B$68)),$B$35*(1+$B$37),P124*$B$68/($B$33+$B$68)))</f>
        <v/>
      </c>
      <c r="Q43" s="168" t="n"/>
    </row>
    <row r="44" ht="12.75" customHeight="1" s="145">
      <c r="B44" s="167" t="n"/>
      <c r="C44" s="167" t="n"/>
      <c r="D44" s="167" t="n"/>
      <c r="E44" s="167" t="n"/>
      <c r="F44" s="167" t="n"/>
      <c r="G44" s="167" t="n"/>
      <c r="H44" s="167" t="n"/>
      <c r="I44" s="167" t="n"/>
      <c r="J44" s="167" t="n"/>
      <c r="K44" s="167" t="n"/>
      <c r="L44" s="167" t="n"/>
      <c r="M44" s="167">
        <f>MIN((N43*M108+N44*(1-M108))*EXP(-(M91))+$B$35*$B$37,M125)</f>
        <v/>
      </c>
      <c r="N44" s="167">
        <f>MIN((O43*N108+O44*(1-N108))*EXP(-(N91))+$B$35*$B$37,N125)</f>
        <v/>
      </c>
      <c r="O44" s="167">
        <f>MIN((P43*O108+P44*(1-O108))*EXP(-(O91))+$B$35*$B$37,O125)</f>
        <v/>
      </c>
      <c r="P44" s="167">
        <f>IF(P125&lt;=($B$35*(1+$B$37)),P125,IF(P125&lt;=($B$35*(1+$B$37)*(($B$33+$B$68)/$B$68)),$B$35*(1+$B$37),P125*$B$68/($B$33+$B$68)))</f>
        <v/>
      </c>
      <c r="Q44" s="168" t="n"/>
    </row>
    <row r="45" ht="12.75" customHeight="1" s="145">
      <c r="B45" s="167" t="n"/>
      <c r="C45" s="167" t="n"/>
      <c r="D45" s="167" t="n"/>
      <c r="E45" s="167" t="n"/>
      <c r="F45" s="167" t="n"/>
      <c r="G45" s="167" t="n"/>
      <c r="H45" s="167" t="n"/>
      <c r="I45" s="167" t="n"/>
      <c r="J45" s="167" t="n"/>
      <c r="K45" s="167" t="n"/>
      <c r="L45" s="167">
        <f>MIN((M44*L109+M45*(1-L109))*EXP(-(L92))+$B$35*$B$37,L126)</f>
        <v/>
      </c>
      <c r="M45" s="167">
        <f>MIN((N44*M109+N45*(1-M109))*EXP(-(M92))+$B$35*$B$37,M126)</f>
        <v/>
      </c>
      <c r="N45" s="167">
        <f>MIN((O44*N109+O45*(1-N109))*EXP(-(N92))+$B$35*$B$37,N126)</f>
        <v/>
      </c>
      <c r="O45" s="167">
        <f>MIN((P44*O109+P45*(1-O109))*EXP(-(O92))+$B$35*$B$37,O126)</f>
        <v/>
      </c>
      <c r="P45" s="167">
        <f>IF(P126&lt;=($B$35*(1+$B$37)),P126,IF(P126&lt;=($B$35*(1+$B$37)*(($B$33+$B$68)/$B$68)),$B$35*(1+$B$37),P126*$B$68/($B$33+$B$68)))</f>
        <v/>
      </c>
      <c r="Q45" s="168" t="n"/>
    </row>
    <row r="46" ht="12.75" customHeight="1" s="145">
      <c r="B46" s="167" t="n"/>
      <c r="C46" s="167" t="n"/>
      <c r="D46" s="167" t="n"/>
      <c r="E46" s="167" t="n"/>
      <c r="F46" s="167" t="n"/>
      <c r="G46" s="167" t="n"/>
      <c r="H46" s="167" t="n"/>
      <c r="I46" s="167" t="n"/>
      <c r="J46" s="167" t="n"/>
      <c r="K46" s="167">
        <f>MIN((L45*K110+L46*(1-K110))*EXP(-(K93))+$B$35*$B$37,K127)</f>
        <v/>
      </c>
      <c r="L46" s="167">
        <f>MIN((M45*L110+M46*(1-L110))*EXP(-(L93))+$B$35*$B$37,L127)</f>
        <v/>
      </c>
      <c r="M46" s="167">
        <f>MIN((N45*M110+N46*(1-M110))*EXP(-(M93))+$B$35*$B$37,M127)</f>
        <v/>
      </c>
      <c r="N46" s="167">
        <f>MIN((O45*N110+O46*(1-N110))*EXP(-(N93))+$B$35*$B$37,N127)</f>
        <v/>
      </c>
      <c r="O46" s="167">
        <f>MIN((P45*O110+P46*(1-O110))*EXP(-(O93))+$B$35*$B$37,O127)</f>
        <v/>
      </c>
      <c r="P46" s="167">
        <f>IF(P127&lt;=($B$35*(1+$B$37)),P127,IF(P127&lt;=($B$35*(1+$B$37)*(($B$33+$B$68)/$B$68)),$B$35*(1+$B$37),P127*$B$68/($B$33+$B$68)))</f>
        <v/>
      </c>
      <c r="Q46" s="168" t="n"/>
    </row>
    <row r="47" ht="12.75" customHeight="1" s="145">
      <c r="B47" s="167" t="n"/>
      <c r="C47" s="167" t="n"/>
      <c r="D47" s="167" t="n"/>
      <c r="E47" s="167" t="n"/>
      <c r="F47" s="167" t="n"/>
      <c r="G47" s="167" t="n"/>
      <c r="H47" s="167" t="n"/>
      <c r="I47" s="167" t="n"/>
      <c r="J47" s="167">
        <f>MIN((K46*J111+K47*(1-J111))*EXP(-(J94))+$B$35*$B$37,J128)</f>
        <v/>
      </c>
      <c r="K47" s="167">
        <f>MIN((L46*K111+L47*(1-K111))*EXP(-(K94))+$B$35*$B$37,K128)</f>
        <v/>
      </c>
      <c r="L47" s="167">
        <f>MIN((M46*L111+M47*(1-L111))*EXP(-(L94))+$B$35*$B$37,L128)</f>
        <v/>
      </c>
      <c r="M47" s="167">
        <f>MIN((N46*M111+N47*(1-M111))*EXP(-(M94))+$B$35*$B$37,M128)</f>
        <v/>
      </c>
      <c r="N47" s="167">
        <f>MIN((O46*N111+O47*(1-N111))*EXP(-(N94))+$B$35*$B$37,N128)</f>
        <v/>
      </c>
      <c r="O47" s="167">
        <f>MIN((P46*O111+P47*(1-O111))*EXP(-(O94))+$B$35*$B$37,O128)</f>
        <v/>
      </c>
      <c r="P47" s="167">
        <f>IF(P128&lt;=($B$35*(1+$B$37)),P128,IF(P128&lt;=($B$35*(1+$B$37)*(($B$33+$B$68)/$B$68)),$B$35*(1+$B$37),P128*$B$68/($B$33+$B$68)))</f>
        <v/>
      </c>
      <c r="Q47" s="168" t="n"/>
    </row>
    <row r="48" ht="12.75" customHeight="1" s="145">
      <c r="B48" s="167" t="n"/>
      <c r="C48" s="167" t="n"/>
      <c r="D48" s="167" t="n"/>
      <c r="E48" s="167" t="n"/>
      <c r="F48" s="167" t="n"/>
      <c r="G48" s="167" t="n"/>
      <c r="H48" s="167" t="n"/>
      <c r="I48" s="167">
        <f>MIN((J47*I112+J48*(1-I112))*EXP(-(I95))+$B$35*$B$37,I129)</f>
        <v/>
      </c>
      <c r="J48" s="167">
        <f>MIN((K47*J112+K48*(1-J112))*EXP(-(J95))+$B$35*$B$37,J129)</f>
        <v/>
      </c>
      <c r="K48" s="167">
        <f>MIN((L47*K112+L48*(1-K112))*EXP(-(K95))+$B$35*$B$37,K129)</f>
        <v/>
      </c>
      <c r="L48" s="167">
        <f>MIN((M47*L112+M48*(1-L112))*EXP(-(L95))+$B$35*$B$37,L129)</f>
        <v/>
      </c>
      <c r="M48" s="167">
        <f>MIN((N47*M112+N48*(1-M112))*EXP(-(M95))+$B$35*$B$37,M129)</f>
        <v/>
      </c>
      <c r="N48" s="167">
        <f>MIN((O47*N112+O48*(1-N112))*EXP(-(N95))+$B$35*$B$37,N129)</f>
        <v/>
      </c>
      <c r="O48" s="167">
        <f>MIN((P47*O112+P48*(1-O112))*EXP(-(O95))+$B$35*$B$37,O129)</f>
        <v/>
      </c>
      <c r="P48" s="167">
        <f>IF(P129&lt;=($B$35*(1+$B$37)),P129,IF(P129&lt;=($B$35*(1+$B$37)*(($B$33+$B$68)/$B$68)),$B$35*(1+$B$37),P129*$B$68/($B$33+$B$68)))</f>
        <v/>
      </c>
      <c r="Q48" s="168" t="n"/>
    </row>
    <row r="49" ht="12.75" customHeight="1" s="145">
      <c r="B49" s="167" t="n"/>
      <c r="C49" s="167" t="n"/>
      <c r="D49" s="167" t="n"/>
      <c r="E49" s="167" t="n"/>
      <c r="F49" s="167" t="n"/>
      <c r="G49" s="167" t="n"/>
      <c r="H49" s="167">
        <f>MIN((I48*H113+I49*(1-H113))*EXP(-(H96))+$B$35*$B$37,H130)</f>
        <v/>
      </c>
      <c r="I49" s="167">
        <f>MIN((J48*I113+J49*(1-I113))*EXP(-(I96))+$B$35*$B$37,I130)</f>
        <v/>
      </c>
      <c r="J49" s="167">
        <f>MIN((K48*J113+K49*(1-J113))*EXP(-(J96))+$B$35*$B$37,J130)</f>
        <v/>
      </c>
      <c r="K49" s="167">
        <f>MIN((L48*K113+L49*(1-K113))*EXP(-(K96))+$B$35*$B$37,K130)</f>
        <v/>
      </c>
      <c r="L49" s="167">
        <f>MIN((M48*L113+M49*(1-L113))*EXP(-(L96))+$B$35*$B$37,L130)</f>
        <v/>
      </c>
      <c r="M49" s="167">
        <f>MIN((N48*M113+N49*(1-M113))*EXP(-(M96))+$B$35*$B$37,M130)</f>
        <v/>
      </c>
      <c r="N49" s="167">
        <f>MIN((O48*N113+O49*(1-N113))*EXP(-(N96))+$B$35*$B$37,N130)</f>
        <v/>
      </c>
      <c r="O49" s="167">
        <f>MIN((P48*O113+P49*(1-O113))*EXP(-(O96))+$B$35*$B$37,O130)</f>
        <v/>
      </c>
      <c r="P49" s="167">
        <f>IF(P130&lt;=($B$35*(1+$B$37)),P130,IF(P130&lt;=($B$35*(1+$B$37)*(($B$33+$B$68)/$B$68)),$B$35*(1+$B$37),P130*$B$68/($B$33+$B$68)))</f>
        <v/>
      </c>
      <c r="Q49" s="168" t="n"/>
    </row>
    <row r="50" ht="12.75" customHeight="1" s="145">
      <c r="B50" s="167" t="n"/>
      <c r="C50" s="167" t="n"/>
      <c r="D50" s="167" t="n"/>
      <c r="E50" s="167" t="n"/>
      <c r="F50" s="167" t="n"/>
      <c r="G50" s="167">
        <f>MIN((H49*G114+H50*(1-G114))*EXP(-(G97))+$B$35*$B$37,G131)</f>
        <v/>
      </c>
      <c r="H50" s="167">
        <f>MIN((I49*H114+I50*(1-H114))*EXP(-(H97))+$B$35*$B$37,H131)</f>
        <v/>
      </c>
      <c r="I50" s="167">
        <f>MIN((J49*I114+J50*(1-I114))*EXP(-(I97))+$B$35*$B$37,I131)</f>
        <v/>
      </c>
      <c r="J50" s="167">
        <f>MIN((K49*J114+K50*(1-J114))*EXP(-(J97))+$B$35*$B$37,J131)</f>
        <v/>
      </c>
      <c r="K50" s="167">
        <f>MIN((L49*K114+L50*(1-K114))*EXP(-(K97))+$B$35*$B$37,K131)</f>
        <v/>
      </c>
      <c r="L50" s="167">
        <f>MIN((M49*L114+M50*(1-L114))*EXP(-(L97))+$B$35*$B$37,L131)</f>
        <v/>
      </c>
      <c r="M50" s="167">
        <f>MIN((N49*M114+N50*(1-M114))*EXP(-(M97))+$B$35*$B$37,M131)</f>
        <v/>
      </c>
      <c r="N50" s="167">
        <f>MIN((O49*N114+O50*(1-N114))*EXP(-(N97))+$B$35*$B$37,N131)</f>
        <v/>
      </c>
      <c r="O50" s="167">
        <f>MIN((P49*O114+P50*(1-O114))*EXP(-(O97))+$B$35*$B$37,O131)</f>
        <v/>
      </c>
      <c r="P50" s="167">
        <f>IF(P131&lt;=($B$35*(1+$B$37)),P131,IF(P131&lt;=($B$35*(1+$B$37)*(($B$33+$B$68)/$B$68)),$B$35*(1+$B$37),P131*$B$68/($B$33+$B$68)))</f>
        <v/>
      </c>
      <c r="Q50" s="168" t="n"/>
    </row>
    <row r="51" ht="12.75" customHeight="1" s="145">
      <c r="B51" s="167" t="n"/>
      <c r="C51" s="167" t="n"/>
      <c r="D51" s="167" t="n"/>
      <c r="E51" s="167" t="n"/>
      <c r="F51" s="167">
        <f>MIN((G50*F115+G51*(1-F115))*EXP(-(F98))+$B$35*$B$37,F132)</f>
        <v/>
      </c>
      <c r="G51" s="167">
        <f>MIN((H50*G115+H51*(1-G115))*EXP(-(G98))+$B$35*$B$37,G132)</f>
        <v/>
      </c>
      <c r="H51" s="167">
        <f>MIN((I50*H115+I51*(1-H115))*EXP(-(H98))+$B$35*$B$37,H132)</f>
        <v/>
      </c>
      <c r="I51" s="167">
        <f>MIN((J50*I115+J51*(1-I115))*EXP(-(I98))+$B$35*$B$37,I132)</f>
        <v/>
      </c>
      <c r="J51" s="167">
        <f>MIN((K50*J115+K51*(1-J115))*EXP(-(J98))+$B$35*$B$37,J132)</f>
        <v/>
      </c>
      <c r="K51" s="167">
        <f>MIN((L50*K115+L51*(1-K115))*EXP(-(K98))+$B$35*$B$37,K132)</f>
        <v/>
      </c>
      <c r="L51" s="167">
        <f>MIN((M50*L115+M51*(1-L115))*EXP(-(L98))+$B$35*$B$37,L132)</f>
        <v/>
      </c>
      <c r="M51" s="167">
        <f>MIN((N50*M115+N51*(1-M115))*EXP(-(M98))+$B$35*$B$37,M132)</f>
        <v/>
      </c>
      <c r="N51" s="167">
        <f>MIN((O50*N115+O51*(1-N115))*EXP(-(N98))+$B$35*$B$37,N132)</f>
        <v/>
      </c>
      <c r="O51" s="167">
        <f>MIN((P50*O115+P51*(1-O115))*EXP(-(O98))+$B$35*$B$37,O132)</f>
        <v/>
      </c>
      <c r="P51" s="167">
        <f>IF(P132&lt;=($B$35*(1+$B$37)),P132,IF(P132&lt;=($B$35*(1+$B$37)*(($B$33+$B$68)/$B$68)),$B$35*(1+$B$37),P132*$B$68/($B$33+$B$68)))</f>
        <v/>
      </c>
      <c r="Q51" s="168" t="n"/>
    </row>
    <row r="52" ht="12.75" customHeight="1" s="145">
      <c r="B52" s="167" t="n"/>
      <c r="C52" s="167" t="n"/>
      <c r="D52" s="167" t="n"/>
      <c r="E52" s="167">
        <f>MIN((F51*E116+F52*(1-E116))*EXP(-(E99))+$B$35*$B$37,E133)</f>
        <v/>
      </c>
      <c r="F52" s="167">
        <f>MIN((G51*F116+G52*(1-F116))*EXP(-(F99))+$B$35*$B$37,F133)</f>
        <v/>
      </c>
      <c r="G52" s="167">
        <f>MIN((H51*G116+H52*(1-G116))*EXP(-(G99))+$B$35*$B$37,G133)</f>
        <v/>
      </c>
      <c r="H52" s="167">
        <f>MIN((I51*H116+I52*(1-H116))*EXP(-(H99))+$B$35*$B$37,H133)</f>
        <v/>
      </c>
      <c r="I52" s="167">
        <f>MIN((J51*I116+J52*(1-I116))*EXP(-(I99))+$B$35*$B$37,I133)</f>
        <v/>
      </c>
      <c r="J52" s="167">
        <f>MIN((K51*J116+K52*(1-J116))*EXP(-(J99))+$B$35*$B$37,J133)</f>
        <v/>
      </c>
      <c r="K52" s="167">
        <f>MIN((L51*K116+L52*(1-K116))*EXP(-(K99))+$B$35*$B$37,K133)</f>
        <v/>
      </c>
      <c r="L52" s="167">
        <f>MIN((M51*L116+M52*(1-L116))*EXP(-(L99))+$B$35*$B$37,L133)</f>
        <v/>
      </c>
      <c r="M52" s="167">
        <f>MIN((N51*M116+N52*(1-M116))*EXP(-(M99))+$B$35*$B$37,M133)</f>
        <v/>
      </c>
      <c r="N52" s="167">
        <f>MIN((O51*N116+O52*(1-N116))*EXP(-(N99))+$B$35*$B$37,N133)</f>
        <v/>
      </c>
      <c r="O52" s="167">
        <f>MIN((P51*O116+P52*(1-O116))*EXP(-(O99))+$B$35*$B$37,O133)</f>
        <v/>
      </c>
      <c r="P52" s="167">
        <f>IF(P133&lt;=($B$35*(1+$B$37)),P133,IF(P133&lt;=($B$35*(1+$B$37)*(($B$33+$B$68)/$B$68)),$B$35*(1+$B$37),P133*$B$68/($B$33+$B$68)))</f>
        <v/>
      </c>
      <c r="Q52" s="168" t="n"/>
    </row>
    <row r="53" ht="12.75" customHeight="1" s="145">
      <c r="B53" s="167" t="n"/>
      <c r="C53" s="167" t="n"/>
      <c r="D53" s="167">
        <f>MIN((E52*D117+E53*(1-D117))*EXP(-(D100))+$B$35*$B$37,D134)</f>
        <v/>
      </c>
      <c r="E53" s="167">
        <f>MIN((F52*E117+F53*(1-E117))*EXP(-(E100))+$B$35*$B$37,E134)</f>
        <v/>
      </c>
      <c r="F53" s="167">
        <f>MIN((G52*F117+G53*(1-F117))*EXP(-(F100))+$B$35*$B$37,F134)</f>
        <v/>
      </c>
      <c r="G53" s="167">
        <f>MIN((H52*G117+H53*(1-G117))*EXP(-(G100))+$B$35*$B$37,G134)</f>
        <v/>
      </c>
      <c r="H53" s="167">
        <f>MIN((I52*H117+I53*(1-H117))*EXP(-(H100))+$B$35*$B$37,H134)</f>
        <v/>
      </c>
      <c r="I53" s="167">
        <f>MIN((J52*I117+J53*(1-I117))*EXP(-(I100))+$B$35*$B$37,I134)</f>
        <v/>
      </c>
      <c r="J53" s="167">
        <f>MIN((K52*J117+K53*(1-J117))*EXP(-(J100))+$B$35*$B$37,J134)</f>
        <v/>
      </c>
      <c r="K53" s="167">
        <f>MIN((L52*K117+L53*(1-K117))*EXP(-(K100))+$B$35*$B$37,K134)</f>
        <v/>
      </c>
      <c r="L53" s="167">
        <f>MIN((M52*L117+M53*(1-L117))*EXP(-(L100))+$B$35*$B$37,L134)</f>
        <v/>
      </c>
      <c r="M53" s="167">
        <f>MIN((N52*M117+N53*(1-M117))*EXP(-(M100))+$B$35*$B$37,M134)</f>
        <v/>
      </c>
      <c r="N53" s="167">
        <f>MIN((O52*N117+O53*(1-N117))*EXP(-(N100))+$B$35*$B$37,N134)</f>
        <v/>
      </c>
      <c r="O53" s="167">
        <f>MIN((P52*O117+P53*(1-O117))*EXP(-(O100))+$B$35*$B$37,O134)</f>
        <v/>
      </c>
      <c r="P53" s="167">
        <f>IF(P134&lt;=($B$35*(1+$B$37)),P134,IF(P134&lt;=($B$35*(1+$B$37)*(($B$33+$B$68)/$B$68)),$B$35*(1+$B$37),P134*$B$68/($B$33+$B$68)))</f>
        <v/>
      </c>
      <c r="Q53" s="168" t="n"/>
    </row>
    <row r="54" ht="12.75" customHeight="1" s="145">
      <c r="B54" s="167" t="n"/>
      <c r="C54" s="167">
        <f>MIN((D53*C118+D54*(1-C118))*EXP(-(C101))+$B$35*$B$37,C135)</f>
        <v/>
      </c>
      <c r="D54" s="167">
        <f>MIN((E53*D118+E54*(1-D118))*EXP(-(D101))+$B$35*$B$37,D135)</f>
        <v/>
      </c>
      <c r="E54" s="167">
        <f>MIN((F53*E118+F54*(1-E118))*EXP(-(E101))+$B$35*$B$37,E135)</f>
        <v/>
      </c>
      <c r="F54" s="167">
        <f>MIN((G53*F118+G54*(1-F118))*EXP(-(F101))+$B$35*$B$37,F135)</f>
        <v/>
      </c>
      <c r="G54" s="167">
        <f>MIN((H53*G118+H54*(1-G118))*EXP(-(G101))+$B$35*$B$37,G135)</f>
        <v/>
      </c>
      <c r="H54" s="167">
        <f>MIN((I53*H118+I54*(1-H118))*EXP(-(H101))+$B$35*$B$37,H135)</f>
        <v/>
      </c>
      <c r="I54" s="167">
        <f>MIN((J53*I118+J54*(1-I118))*EXP(-(I101))+$B$35*$B$37,I135)</f>
        <v/>
      </c>
      <c r="J54" s="167">
        <f>MIN((K53*J118+K54*(1-J118))*EXP(-(J101))+$B$35*$B$37,J135)</f>
        <v/>
      </c>
      <c r="K54" s="167">
        <f>MIN((L53*K118+L54*(1-K118))*EXP(-(K101))+$B$35*$B$37,K135)</f>
        <v/>
      </c>
      <c r="L54" s="167">
        <f>MIN((M53*L118+M54*(1-L118))*EXP(-(L101))+$B$35*$B$37,L135)</f>
        <v/>
      </c>
      <c r="M54" s="167">
        <f>MIN((N53*M118+N54*(1-M118))*EXP(-(M101))+$B$35*$B$37,M135)</f>
        <v/>
      </c>
      <c r="N54" s="167">
        <f>MIN((O53*N118+O54*(1-N118))*EXP(-(N101))+$B$35*$B$37,N135)</f>
        <v/>
      </c>
      <c r="O54" s="167">
        <f>MIN((P53*O118+P54*(1-O118))*EXP(-(O101))+$B$35*$B$37,O135)</f>
        <v/>
      </c>
      <c r="P54" s="167">
        <f>IF(P135&lt;=($B$35*(1+$B$37)),P135,IF(P135&lt;=($B$35*(1+$B$37)*(($B$33+$B$68)/$B$68)),$B$35*(1+$B$37),P135*$B$68/($B$33+$B$68)))</f>
        <v/>
      </c>
      <c r="Q54" s="168" t="n"/>
    </row>
    <row r="55" ht="12.75" customFormat="1" customHeight="1" s="92">
      <c r="A55" s="96" t="inlineStr">
        <is>
          <t>convertible bond</t>
        </is>
      </c>
      <c r="B55" s="167">
        <f>MIN((C54*B119+C55*(1-B119))*EXP(-(B102)),B136)</f>
        <v/>
      </c>
      <c r="C55" s="167">
        <f>MIN((D54*C119+D55*(1-C119))*EXP(-(C102))+$B$35*$B$37,C136)</f>
        <v/>
      </c>
      <c r="D55" s="167">
        <f>MIN((E54*D119+E55*(1-D119))*EXP(-(D102))+$B$35*$B$37,D136)</f>
        <v/>
      </c>
      <c r="E55" s="167">
        <f>MIN((F54*E119+F55*(1-E119))*EXP(-(E102))+$B$35*$B$37,E136)</f>
        <v/>
      </c>
      <c r="F55" s="167">
        <f>MIN((G54*F119+G55*(1-F119))*EXP(-(F102))+$B$35*$B$37,F136)</f>
        <v/>
      </c>
      <c r="G55" s="167">
        <f>MIN((H54*G119+H55*(1-G119))*EXP(-(G102))+$B$35*$B$37,G136)</f>
        <v/>
      </c>
      <c r="H55" s="167">
        <f>MIN((I54*H119+I55*(1-H119))*EXP(-(H102))+$B$35*$B$37,H136)</f>
        <v/>
      </c>
      <c r="I55" s="167">
        <f>MIN((J54*I119+J55*(1-I119))*EXP(-(I102))+$B$35*$B$37,I136)</f>
        <v/>
      </c>
      <c r="J55" s="167">
        <f>MIN((K54*J119+K55*(1-J119))*EXP(-(J102))+$B$35*$B$37,J136)</f>
        <v/>
      </c>
      <c r="K55" s="167">
        <f>MIN((L54*K119+L55*(1-K119))*EXP(-(K102))+$B$35*$B$37,K136)</f>
        <v/>
      </c>
      <c r="L55" s="167">
        <f>MIN((M54*L119+M55*(1-L119))*EXP(-(L102))+$B$35*$B$37,L136)</f>
        <v/>
      </c>
      <c r="M55" s="167">
        <f>MIN((N54*M119+N55*(1-M119))*EXP(-(M102))+$B$35*$B$37,M136)</f>
        <v/>
      </c>
      <c r="N55" s="167">
        <f>MIN((O54*N119+O55*(1-N119))*EXP(-(N102))+$B$35*$B$37,N136)</f>
        <v/>
      </c>
      <c r="O55" s="167">
        <f>MIN((P54*O119+P55*(1-O119))*EXP(-(O102))+$B$35*$B$37,O136)</f>
        <v/>
      </c>
      <c r="P55" s="167">
        <f>IF(P136&lt;=($B$35*(1+$B$37)),P136,IF(P136&lt;=($B$35*(1+$B$37)*(($B$33+$B$68)/$B$68)),$B$35*(1+$B$37),P136*$B$68/($B$33+$B$68)))</f>
        <v/>
      </c>
      <c r="Q55" s="168" t="n"/>
    </row>
    <row r="56" ht="12.75" customFormat="1" customHeight="1" s="169">
      <c r="A56" s="170" t="inlineStr">
        <is>
          <t>period</t>
        </is>
      </c>
      <c r="B56" s="170" t="n">
        <v>0</v>
      </c>
      <c r="C56" s="170" t="n">
        <v>0.5</v>
      </c>
      <c r="D56" s="170" t="n">
        <v>1</v>
      </c>
      <c r="E56" s="170" t="n">
        <v>1.5</v>
      </c>
      <c r="F56" s="170" t="n">
        <v>2</v>
      </c>
      <c r="G56" s="170" t="n">
        <v>2.5</v>
      </c>
      <c r="H56" s="170" t="n">
        <v>3</v>
      </c>
      <c r="I56" s="170" t="n">
        <v>3.5</v>
      </c>
      <c r="J56" s="170" t="n">
        <v>4</v>
      </c>
      <c r="K56" s="170" t="n">
        <v>4.5</v>
      </c>
      <c r="L56" s="170" t="n">
        <v>5</v>
      </c>
      <c r="M56" s="170" t="n">
        <v>5.5</v>
      </c>
      <c r="N56" s="170" t="n">
        <v>6</v>
      </c>
      <c r="O56" s="170" t="n">
        <v>6.5</v>
      </c>
      <c r="P56" s="170" t="n">
        <v>7</v>
      </c>
    </row>
    <row r="57" ht="12.75" customFormat="1" customHeight="1" s="92">
      <c r="A57" s="96" t="n"/>
      <c r="B57" s="96" t="n"/>
      <c r="C57" s="96" t="n"/>
      <c r="D57" s="96" t="n"/>
      <c r="E57" s="96" t="n"/>
      <c r="F57" s="96" t="n"/>
      <c r="G57" s="96" t="n"/>
      <c r="H57" s="96" t="n"/>
      <c r="I57" s="96" t="n"/>
      <c r="J57" s="96" t="n"/>
      <c r="K57" s="96" t="n"/>
      <c r="L57" s="96" t="n"/>
      <c r="M57" s="96" t="n"/>
      <c r="N57" s="96" t="n"/>
      <c r="O57" s="96" t="n"/>
      <c r="P57" s="96" t="n"/>
    </row>
    <row r="58" ht="12.75" customFormat="1" customHeight="1" s="94">
      <c r="A58" s="94" t="inlineStr">
        <is>
          <t>Interim Calculations</t>
        </is>
      </c>
    </row>
    <row r="59" ht="12.75" customHeight="1" s="145">
      <c r="B59" s="154" t="n"/>
    </row>
    <row r="60" ht="12.75" customFormat="1" customHeight="1" s="170">
      <c r="A60" s="170" t="inlineStr">
        <is>
          <t xml:space="preserve">period </t>
        </is>
      </c>
      <c r="B60" s="170" t="n">
        <v>0</v>
      </c>
      <c r="C60" s="170" t="n">
        <v>0.5</v>
      </c>
      <c r="D60" s="170" t="n">
        <v>1</v>
      </c>
      <c r="E60" s="170" t="n">
        <v>1.5</v>
      </c>
      <c r="F60" s="170" t="n">
        <v>2</v>
      </c>
      <c r="G60" s="170" t="n">
        <v>2.5</v>
      </c>
      <c r="H60" s="170" t="n">
        <v>3</v>
      </c>
      <c r="I60" s="170" t="n">
        <v>3.5</v>
      </c>
      <c r="J60" s="170" t="n">
        <v>4</v>
      </c>
      <c r="K60" s="170" t="n">
        <v>4.5</v>
      </c>
      <c r="L60" s="170" t="n">
        <v>5</v>
      </c>
      <c r="M60" s="170" t="n">
        <v>5.5</v>
      </c>
      <c r="N60" s="170" t="n">
        <v>6</v>
      </c>
      <c r="O60" s="170" t="n">
        <v>6.5</v>
      </c>
      <c r="P60" s="170" t="n">
        <v>7</v>
      </c>
      <c r="Q60" s="170" t="n">
        <v>7.5</v>
      </c>
    </row>
    <row r="61" ht="12.75" customFormat="1" customHeight="1" s="96">
      <c r="A61" s="96" t="inlineStr">
        <is>
          <t>discount function</t>
        </is>
      </c>
      <c r="B61" s="96" t="n">
        <v>1</v>
      </c>
      <c r="C61" s="171">
        <f>EXP(-$B$30*C$60)</f>
        <v/>
      </c>
      <c r="D61" s="171">
        <f>EXP(-$B$30*D$60)</f>
        <v/>
      </c>
      <c r="E61" s="171">
        <f>EXP(-$B$30*E$60)</f>
        <v/>
      </c>
      <c r="F61" s="171">
        <f>EXP(-$B$30*F$60)</f>
        <v/>
      </c>
      <c r="G61" s="171">
        <f>EXP(-$B$30*G$60)</f>
        <v/>
      </c>
      <c r="H61" s="171">
        <f>EXP(-$B$30*H$60)</f>
        <v/>
      </c>
      <c r="I61" s="171">
        <f>EXP(-$B$30*I$60)</f>
        <v/>
      </c>
      <c r="J61" s="171">
        <f>EXP(-$B$30*J$60)</f>
        <v/>
      </c>
      <c r="K61" s="171">
        <f>EXP(-$B$30*K$60)</f>
        <v/>
      </c>
      <c r="L61" s="171">
        <f>EXP(-$B$30*L$60)</f>
        <v/>
      </c>
      <c r="M61" s="171">
        <f>EXP(-$B$30*M$60)</f>
        <v/>
      </c>
      <c r="N61" s="171">
        <f>EXP(-$B$30*N$60)</f>
        <v/>
      </c>
      <c r="O61" s="171">
        <f>EXP(-$B$30*O$60)</f>
        <v/>
      </c>
      <c r="P61" s="171">
        <f>EXP(-$B$30*P$60)</f>
        <v/>
      </c>
      <c r="Q61" s="171">
        <f>EXP(-$B$30*Q$60)</f>
        <v/>
      </c>
    </row>
    <row r="62" ht="12.75" customFormat="1" customHeight="1" s="96"/>
    <row r="63" ht="12.75" customFormat="1" customHeight="1" s="96">
      <c r="A63" s="96" t="inlineStr">
        <is>
          <t>delta(1)</t>
        </is>
      </c>
      <c r="B63" s="172">
        <f>EXP(-2*$B$30*$B$31*SQRT(1/$B$29))</f>
        <v/>
      </c>
    </row>
    <row r="64" ht="12.75" customFormat="1" customHeight="1" s="96">
      <c r="A64" s="96" t="inlineStr">
        <is>
          <t>h(1)</t>
        </is>
      </c>
      <c r="B64" s="172" t="n"/>
      <c r="C64" s="171">
        <f>1/(0.5+0.5*$B$63^(C$60*2))</f>
        <v/>
      </c>
      <c r="D64" s="171">
        <f>1/(0.5+0.5*$B$63^(D$60*2))</f>
        <v/>
      </c>
      <c r="E64" s="171">
        <f>1/(0.5+0.5*$B$63^(E$60*2))</f>
        <v/>
      </c>
      <c r="F64" s="171">
        <f>1/(0.5+0.5*$B$63^(F$60*2))</f>
        <v/>
      </c>
      <c r="G64" s="171">
        <f>1/(0.5+0.5*$B$63^(G$60*2))</f>
        <v/>
      </c>
      <c r="H64" s="171">
        <f>1/(0.5+0.5*$B$63^(H$60*2))</f>
        <v/>
      </c>
      <c r="I64" s="171">
        <f>1/(0.5+0.5*$B$63^(I$60*2))</f>
        <v/>
      </c>
      <c r="J64" s="171">
        <f>1/(0.5+0.5*$B$63^(J$60*2))</f>
        <v/>
      </c>
      <c r="K64" s="171">
        <f>1/(0.5+0.5*$B$63^(K$60*2))</f>
        <v/>
      </c>
      <c r="L64" s="171">
        <f>1/(0.5+0.5*$B$63^(L$60*2))</f>
        <v/>
      </c>
      <c r="M64" s="171">
        <f>1/(0.5+0.5*$B$63^(M$60*2))</f>
        <v/>
      </c>
      <c r="N64" s="171">
        <f>1/(0.5+0.5*$B$63^(N$60*2))</f>
        <v/>
      </c>
      <c r="O64" s="171">
        <f>1/(0.5+0.5*$B$63^(O$60*2))</f>
        <v/>
      </c>
      <c r="P64" s="171">
        <f>1/(0.5+0.5*$B$63^(P$60*2))</f>
        <v/>
      </c>
      <c r="Q64" s="171">
        <f>1/(0.5+0.5*$B$63^(Q$60*2))</f>
        <v/>
      </c>
    </row>
    <row r="65" ht="12.75" customFormat="1" customHeight="1" s="96">
      <c r="B65" s="172" t="n"/>
    </row>
    <row r="66" ht="14.25" customFormat="1" customHeight="1" s="96">
      <c r="A66" s="96" t="inlineStr">
        <is>
          <t>u</t>
        </is>
      </c>
      <c r="B66" s="172">
        <f>EXP(SQRT(1/$B$29)*$B$28)</f>
        <v/>
      </c>
    </row>
    <row r="67" ht="12.75" customFormat="1" customHeight="1" s="96">
      <c r="A67" s="96" t="inlineStr">
        <is>
          <t>d</t>
        </is>
      </c>
      <c r="B67" s="172">
        <f>EXP(SQRT(1/$B$29)*(-$B$28))</f>
        <v/>
      </c>
    </row>
    <row r="68" ht="12.75" customFormat="1" customHeight="1" s="96">
      <c r="A68" s="96" t="inlineStr">
        <is>
          <t>additional shares</t>
        </is>
      </c>
      <c r="B68" s="173">
        <f>$B$35*10^9/$B$34</f>
        <v/>
      </c>
    </row>
    <row r="69" ht="12.75" customFormat="1" customHeight="1" s="96"/>
    <row r="71" ht="12.75" customHeight="1" s="145">
      <c r="B71" s="168" t="n"/>
      <c r="C71" s="168" t="n"/>
      <c r="D71" s="168" t="n"/>
      <c r="E71" s="168" t="n"/>
      <c r="F71" s="168" t="n"/>
      <c r="G71" s="168" t="n"/>
      <c r="H71" s="168" t="n"/>
      <c r="I71" s="168" t="n"/>
      <c r="J71" s="168" t="n"/>
      <c r="K71" s="168" t="n"/>
      <c r="L71" s="168" t="n"/>
      <c r="M71" s="168" t="n"/>
      <c r="N71" s="168" t="n"/>
      <c r="O71" s="168" t="n"/>
      <c r="P71" s="168">
        <f>P72*$B$63</f>
        <v/>
      </c>
      <c r="Q71" s="168" t="n"/>
    </row>
    <row r="72" ht="12.75" customHeight="1" s="145">
      <c r="B72" s="168" t="n"/>
      <c r="C72" s="168" t="n"/>
      <c r="D72" s="168" t="n"/>
      <c r="E72" s="168" t="n"/>
      <c r="F72" s="168" t="n"/>
      <c r="G72" s="168" t="n"/>
      <c r="H72" s="168" t="n"/>
      <c r="I72" s="168" t="n"/>
      <c r="J72" s="168" t="n"/>
      <c r="K72" s="168" t="n"/>
      <c r="L72" s="168" t="n"/>
      <c r="M72" s="168" t="n"/>
      <c r="N72" s="168" t="n"/>
      <c r="O72" s="168">
        <f>O73*$B$63</f>
        <v/>
      </c>
      <c r="P72" s="168">
        <f>P73*$B$63</f>
        <v/>
      </c>
      <c r="Q72" s="168" t="n"/>
    </row>
    <row r="73" ht="12.75" customHeight="1" s="145">
      <c r="B73" s="168" t="n"/>
      <c r="C73" s="168" t="n"/>
      <c r="D73" s="168" t="n"/>
      <c r="E73" s="168" t="n"/>
      <c r="F73" s="168" t="n"/>
      <c r="G73" s="168" t="n"/>
      <c r="H73" s="168" t="n"/>
      <c r="I73" s="168" t="n"/>
      <c r="J73" s="168" t="n"/>
      <c r="K73" s="168" t="n"/>
      <c r="L73" s="168" t="n"/>
      <c r="M73" s="168" t="n"/>
      <c r="N73" s="168">
        <f>N74*$B$63</f>
        <v/>
      </c>
      <c r="O73" s="168">
        <f>O74*$B$63</f>
        <v/>
      </c>
      <c r="P73" s="168">
        <f>P74*$B$63</f>
        <v/>
      </c>
      <c r="Q73" s="168" t="n"/>
    </row>
    <row r="74" ht="12.75" customHeight="1" s="145">
      <c r="B74" s="168" t="n"/>
      <c r="C74" s="168" t="n"/>
      <c r="D74" s="168" t="n"/>
      <c r="E74" s="168" t="n"/>
      <c r="F74" s="168" t="n"/>
      <c r="G74" s="168" t="n"/>
      <c r="H74" s="168" t="n"/>
      <c r="I74" s="168" t="n"/>
      <c r="J74" s="168" t="n"/>
      <c r="K74" s="168" t="n"/>
      <c r="L74" s="168" t="n"/>
      <c r="M74" s="168">
        <f>M75*$B$63</f>
        <v/>
      </c>
      <c r="N74" s="168">
        <f>N75*$B$63</f>
        <v/>
      </c>
      <c r="O74" s="168">
        <f>O75*$B$63</f>
        <v/>
      </c>
      <c r="P74" s="168">
        <f>P75*$B$63</f>
        <v/>
      </c>
      <c r="Q74" s="168" t="n"/>
    </row>
    <row r="75" ht="12.75" customHeight="1" s="145">
      <c r="B75" s="168" t="n"/>
      <c r="C75" s="168" t="n"/>
      <c r="D75" s="168" t="n"/>
      <c r="E75" s="168" t="n"/>
      <c r="F75" s="168" t="n"/>
      <c r="G75" s="168" t="n"/>
      <c r="H75" s="168" t="n"/>
      <c r="I75" s="168" t="n"/>
      <c r="J75" s="168" t="n"/>
      <c r="K75" s="168" t="n"/>
      <c r="L75" s="168">
        <f>L76*$B$63</f>
        <v/>
      </c>
      <c r="M75" s="168">
        <f>M76*$B$63</f>
        <v/>
      </c>
      <c r="N75" s="168">
        <f>N76*$B$63</f>
        <v/>
      </c>
      <c r="O75" s="168">
        <f>O76*$B$63</f>
        <v/>
      </c>
      <c r="P75" s="168">
        <f>P76*$B$63</f>
        <v/>
      </c>
      <c r="Q75" s="168" t="n"/>
    </row>
    <row r="76" ht="10.5" customHeight="1" s="145">
      <c r="B76" s="168" t="n"/>
      <c r="C76" s="168" t="n"/>
      <c r="D76" s="168" t="n"/>
      <c r="E76" s="168" t="n"/>
      <c r="F76" s="168" t="n"/>
      <c r="G76" s="168" t="n"/>
      <c r="H76" s="168" t="n"/>
      <c r="I76" s="168" t="n"/>
      <c r="J76" s="168" t="n"/>
      <c r="K76" s="168">
        <f>K77*$B$63</f>
        <v/>
      </c>
      <c r="L76" s="168">
        <f>L77*$B$63</f>
        <v/>
      </c>
      <c r="M76" s="168">
        <f>M77*$B$63</f>
        <v/>
      </c>
      <c r="N76" s="168">
        <f>N77*$B$63</f>
        <v/>
      </c>
      <c r="O76" s="168">
        <f>O77*$B$63</f>
        <v/>
      </c>
      <c r="P76" s="168">
        <f>P77*$B$63</f>
        <v/>
      </c>
      <c r="Q76" s="168" t="n"/>
    </row>
    <row r="77" ht="12.75" customHeight="1" s="145">
      <c r="B77" s="168" t="n"/>
      <c r="C77" s="168" t="n"/>
      <c r="D77" s="168" t="n"/>
      <c r="E77" s="168" t="n"/>
      <c r="F77" s="168" t="n"/>
      <c r="G77" s="168" t="n"/>
      <c r="H77" s="168" t="n"/>
      <c r="I77" s="168" t="n"/>
      <c r="J77" s="168">
        <f>J78*$B$63</f>
        <v/>
      </c>
      <c r="K77" s="168">
        <f>K78*$B$63</f>
        <v/>
      </c>
      <c r="L77" s="168">
        <f>L78*$B$63</f>
        <v/>
      </c>
      <c r="M77" s="168">
        <f>M78*$B$63</f>
        <v/>
      </c>
      <c r="N77" s="168">
        <f>N78*$B$63</f>
        <v/>
      </c>
      <c r="O77" s="168">
        <f>O78*$B$63</f>
        <v/>
      </c>
      <c r="P77" s="168">
        <f>P78*$B$63</f>
        <v/>
      </c>
      <c r="Q77" s="168" t="n"/>
    </row>
    <row r="78" ht="12.75" customHeight="1" s="145">
      <c r="B78" s="168" t="n"/>
      <c r="C78" s="168" t="n"/>
      <c r="D78" s="168" t="n"/>
      <c r="E78" s="168" t="n"/>
      <c r="F78" s="168" t="n"/>
      <c r="G78" s="168" t="n"/>
      <c r="H78" s="168" t="n"/>
      <c r="I78" s="168">
        <f>I79*$B$63</f>
        <v/>
      </c>
      <c r="J78" s="168">
        <f>J79*$B$63</f>
        <v/>
      </c>
      <c r="K78" s="168">
        <f>K79*$B$63</f>
        <v/>
      </c>
      <c r="L78" s="168">
        <f>L79*$B$63</f>
        <v/>
      </c>
      <c r="M78" s="168">
        <f>M79*$B$63</f>
        <v/>
      </c>
      <c r="N78" s="168">
        <f>N79*$B$63</f>
        <v/>
      </c>
      <c r="O78" s="168">
        <f>O79*$B$63</f>
        <v/>
      </c>
      <c r="P78" s="168">
        <f>P79*$B$63</f>
        <v/>
      </c>
      <c r="Q78" s="168" t="n"/>
    </row>
    <row r="79" ht="12.75" customHeight="1" s="145">
      <c r="B79" s="168" t="n"/>
      <c r="C79" s="168" t="n"/>
      <c r="D79" s="168" t="n"/>
      <c r="E79" s="168" t="n"/>
      <c r="F79" s="168" t="n"/>
      <c r="G79" s="168" t="n"/>
      <c r="H79" s="168">
        <f>H80*$B$63</f>
        <v/>
      </c>
      <c r="I79" s="168">
        <f>I80*$B$63</f>
        <v/>
      </c>
      <c r="J79" s="168">
        <f>J80*$B$63</f>
        <v/>
      </c>
      <c r="K79" s="168">
        <f>K80*$B$63</f>
        <v/>
      </c>
      <c r="L79" s="168">
        <f>L80*$B$63</f>
        <v/>
      </c>
      <c r="M79" s="168">
        <f>M80*$B$63</f>
        <v/>
      </c>
      <c r="N79" s="168">
        <f>N80*$B$63</f>
        <v/>
      </c>
      <c r="O79" s="168">
        <f>O80*$B$63</f>
        <v/>
      </c>
      <c r="P79" s="168">
        <f>P80*$B$63</f>
        <v/>
      </c>
      <c r="Q79" s="168" t="n"/>
    </row>
    <row r="80" ht="12.75" customHeight="1" s="145">
      <c r="B80" s="168" t="n"/>
      <c r="C80" s="168" t="n"/>
      <c r="D80" s="168" t="n"/>
      <c r="E80" s="168" t="n"/>
      <c r="F80" s="168" t="n"/>
      <c r="G80" s="168">
        <f>G81*$B$63</f>
        <v/>
      </c>
      <c r="H80" s="168">
        <f>H81*$B$63</f>
        <v/>
      </c>
      <c r="I80" s="168">
        <f>I81*$B$63</f>
        <v/>
      </c>
      <c r="J80" s="168">
        <f>J81*$B$63</f>
        <v/>
      </c>
      <c r="K80" s="168">
        <f>K81*$B$63</f>
        <v/>
      </c>
      <c r="L80" s="168">
        <f>L81*$B$63</f>
        <v/>
      </c>
      <c r="M80" s="168">
        <f>M81*$B$63</f>
        <v/>
      </c>
      <c r="N80" s="168">
        <f>N81*$B$63</f>
        <v/>
      </c>
      <c r="O80" s="168">
        <f>O81*$B$63</f>
        <v/>
      </c>
      <c r="P80" s="168">
        <f>P81*$B$63</f>
        <v/>
      </c>
      <c r="Q80" s="168" t="n"/>
    </row>
    <row r="81" ht="12.75" customHeight="1" s="145">
      <c r="B81" s="168" t="n"/>
      <c r="C81" s="168" t="n"/>
      <c r="D81" s="168" t="n"/>
      <c r="E81" s="168" t="n"/>
      <c r="F81" s="168">
        <f>F82*$B$63</f>
        <v/>
      </c>
      <c r="G81" s="168">
        <f>G82*$B$63</f>
        <v/>
      </c>
      <c r="H81" s="168">
        <f>H82*$B$63</f>
        <v/>
      </c>
      <c r="I81" s="168">
        <f>I82*$B$63</f>
        <v/>
      </c>
      <c r="J81" s="168">
        <f>J82*$B$63</f>
        <v/>
      </c>
      <c r="K81" s="168">
        <f>K82*$B$63</f>
        <v/>
      </c>
      <c r="L81" s="168">
        <f>L82*$B$63</f>
        <v/>
      </c>
      <c r="M81" s="168">
        <f>M82*$B$63</f>
        <v/>
      </c>
      <c r="N81" s="168">
        <f>N82*$B$63</f>
        <v/>
      </c>
      <c r="O81" s="168">
        <f>O82*$B$63</f>
        <v/>
      </c>
      <c r="P81" s="168">
        <f>P82*$B$63</f>
        <v/>
      </c>
      <c r="Q81" s="168" t="n"/>
    </row>
    <row r="82" ht="12.75" customHeight="1" s="145">
      <c r="B82" s="168" t="n"/>
      <c r="C82" s="168" t="n"/>
      <c r="D82" s="168" t="n"/>
      <c r="E82" s="168">
        <f>E83*$B$63</f>
        <v/>
      </c>
      <c r="F82" s="168">
        <f>F83*$B$63</f>
        <v/>
      </c>
      <c r="G82" s="168">
        <f>G83*$B$63</f>
        <v/>
      </c>
      <c r="H82" s="168">
        <f>H83*$B$63</f>
        <v/>
      </c>
      <c r="I82" s="168">
        <f>I83*$B$63</f>
        <v/>
      </c>
      <c r="J82" s="168">
        <f>J83*$B$63</f>
        <v/>
      </c>
      <c r="K82" s="168">
        <f>K83*$B$63</f>
        <v/>
      </c>
      <c r="L82" s="168">
        <f>L83*$B$63</f>
        <v/>
      </c>
      <c r="M82" s="168">
        <f>M83*$B$63</f>
        <v/>
      </c>
      <c r="N82" s="168">
        <f>N83*$B$63</f>
        <v/>
      </c>
      <c r="O82" s="168">
        <f>O83*$B$63</f>
        <v/>
      </c>
      <c r="P82" s="168">
        <f>P83*$B$63</f>
        <v/>
      </c>
      <c r="Q82" s="168" t="n"/>
    </row>
    <row r="83" ht="12.75" customHeight="1" s="145">
      <c r="B83" s="168" t="n"/>
      <c r="C83" s="168" t="n"/>
      <c r="D83" s="168">
        <f>D84*$B$63</f>
        <v/>
      </c>
      <c r="E83" s="168">
        <f>E84*$B$63</f>
        <v/>
      </c>
      <c r="F83" s="168">
        <f>F84*$B$63</f>
        <v/>
      </c>
      <c r="G83" s="168">
        <f>G84*$B$63</f>
        <v/>
      </c>
      <c r="H83" s="168">
        <f>H84*$B$63</f>
        <v/>
      </c>
      <c r="I83" s="168">
        <f>I84*$B$63</f>
        <v/>
      </c>
      <c r="J83" s="168">
        <f>J84*$B$63</f>
        <v/>
      </c>
      <c r="K83" s="168">
        <f>K84*$B$63</f>
        <v/>
      </c>
      <c r="L83" s="168">
        <f>L84*$B$63</f>
        <v/>
      </c>
      <c r="M83" s="168">
        <f>M84*$B$63</f>
        <v/>
      </c>
      <c r="N83" s="168">
        <f>N84*$B$63</f>
        <v/>
      </c>
      <c r="O83" s="168">
        <f>O84*$B$63</f>
        <v/>
      </c>
      <c r="P83" s="168">
        <f>P84*$B$63</f>
        <v/>
      </c>
      <c r="Q83" s="168" t="n"/>
    </row>
    <row r="84" ht="12.75" customHeight="1" s="145">
      <c r="B84" s="168" t="n"/>
      <c r="C84" s="168">
        <f>C85*$B$63</f>
        <v/>
      </c>
      <c r="D84" s="168">
        <f>D85*$B$63</f>
        <v/>
      </c>
      <c r="E84" s="168">
        <f>E85*$B$63</f>
        <v/>
      </c>
      <c r="F84" s="168">
        <f>F85*$B$63</f>
        <v/>
      </c>
      <c r="G84" s="168">
        <f>G85*$B$63</f>
        <v/>
      </c>
      <c r="H84" s="168">
        <f>H85*$B$63</f>
        <v/>
      </c>
      <c r="I84" s="168">
        <f>I85*$B$63</f>
        <v/>
      </c>
      <c r="J84" s="168">
        <f>J85*$B$63</f>
        <v/>
      </c>
      <c r="K84" s="168">
        <f>K85*$B$63</f>
        <v/>
      </c>
      <c r="L84" s="168">
        <f>L85*$B$63</f>
        <v/>
      </c>
      <c r="M84" s="168">
        <f>M85*$B$63</f>
        <v/>
      </c>
      <c r="N84" s="168">
        <f>N85*$B$63</f>
        <v/>
      </c>
      <c r="O84" s="168">
        <f>O85*$B$63</f>
        <v/>
      </c>
      <c r="P84" s="168">
        <f>P85*$B$63</f>
        <v/>
      </c>
      <c r="Q84" s="168" t="n"/>
    </row>
    <row r="85" ht="12.75" customFormat="1" customHeight="1" s="92">
      <c r="A85" s="96" t="inlineStr">
        <is>
          <t>discount function lattice</t>
        </is>
      </c>
      <c r="B85" s="168">
        <f>EXP(-$B$30*$C$60)</f>
        <v/>
      </c>
      <c r="C85" s="168">
        <f>D$61/C$61*C$64</f>
        <v/>
      </c>
      <c r="D85" s="168">
        <f>E$61/D$61*D$64</f>
        <v/>
      </c>
      <c r="E85" s="168">
        <f>F$61/E$61*E$64</f>
        <v/>
      </c>
      <c r="F85" s="168">
        <f>G$61/F$61*F$64</f>
        <v/>
      </c>
      <c r="G85" s="168">
        <f>H$61/G$61*G$64</f>
        <v/>
      </c>
      <c r="H85" s="168">
        <f>I$61/H$61*H$64</f>
        <v/>
      </c>
      <c r="I85" s="168">
        <f>J$61/I$61*I$64</f>
        <v/>
      </c>
      <c r="J85" s="168">
        <f>K$61/J$61*J$64</f>
        <v/>
      </c>
      <c r="K85" s="168">
        <f>L$61/K$61*K$64</f>
        <v/>
      </c>
      <c r="L85" s="168">
        <f>M$61/L$61*L$64</f>
        <v/>
      </c>
      <c r="M85" s="168">
        <f>N$61/M$61*M$64</f>
        <v/>
      </c>
      <c r="N85" s="168">
        <f>O$61/N$61*N$64</f>
        <v/>
      </c>
      <c r="O85" s="168">
        <f>P$61/O$61*O$64</f>
        <v/>
      </c>
      <c r="P85" s="168">
        <f>Q$61/P$61*P$64</f>
        <v/>
      </c>
      <c r="Q85" s="168" t="n"/>
    </row>
    <row r="86" ht="12.75" customHeight="1" s="145">
      <c r="B86" s="168" t="n"/>
      <c r="C86" s="168" t="n"/>
      <c r="D86" s="168" t="n"/>
      <c r="E86" s="168" t="n"/>
      <c r="F86" s="168" t="n"/>
      <c r="G86" s="168" t="n"/>
      <c r="H86" s="168" t="n"/>
      <c r="I86" s="168" t="n"/>
      <c r="J86" s="168" t="n"/>
      <c r="K86" s="168" t="n"/>
      <c r="L86" s="168" t="n"/>
      <c r="M86" s="168" t="n"/>
      <c r="N86" s="168" t="n"/>
      <c r="O86" s="168" t="n"/>
      <c r="P86" s="168" t="n"/>
      <c r="Q86" s="168" t="n"/>
    </row>
    <row r="87" ht="12.75" customHeight="1" s="145">
      <c r="B87" s="168" t="n"/>
      <c r="C87" s="168" t="n"/>
      <c r="D87" s="168" t="n"/>
      <c r="E87" s="168" t="n"/>
      <c r="F87" s="168" t="n"/>
      <c r="G87" s="168" t="n"/>
      <c r="H87" s="168" t="n"/>
      <c r="I87" s="168" t="n"/>
      <c r="J87" s="168" t="n"/>
      <c r="K87" s="168" t="n"/>
      <c r="L87" s="168" t="n"/>
      <c r="M87" s="168" t="n"/>
      <c r="N87" s="168" t="n"/>
      <c r="O87" s="168" t="n"/>
      <c r="P87" s="168" t="n"/>
      <c r="Q87" s="168" t="n"/>
    </row>
    <row r="88" ht="12.75" customHeight="1" s="145">
      <c r="B88" s="168" t="n"/>
      <c r="C88" s="168" t="n"/>
      <c r="D88" s="168" t="n"/>
      <c r="E88" s="168" t="n"/>
      <c r="F88" s="168" t="n"/>
      <c r="G88" s="168" t="n"/>
      <c r="H88" s="168" t="n"/>
      <c r="I88" s="168" t="n"/>
      <c r="J88" s="168" t="n"/>
      <c r="K88" s="168" t="n"/>
      <c r="L88" s="168" t="n"/>
      <c r="M88" s="168" t="n"/>
      <c r="N88" s="168" t="n"/>
      <c r="O88" s="168" t="n"/>
      <c r="P88" s="168">
        <f>-LN(P71)</f>
        <v/>
      </c>
      <c r="Q88" s="168" t="n"/>
    </row>
    <row r="89" ht="12.75" customHeight="1" s="145">
      <c r="B89" s="168" t="n"/>
      <c r="C89" s="168" t="n"/>
      <c r="D89" s="168" t="n"/>
      <c r="E89" s="168" t="n"/>
      <c r="F89" s="168" t="n"/>
      <c r="G89" s="168" t="n"/>
      <c r="H89" s="168" t="n"/>
      <c r="I89" s="168" t="n"/>
      <c r="J89" s="168" t="n"/>
      <c r="K89" s="168" t="n"/>
      <c r="L89" s="168" t="n"/>
      <c r="M89" s="168" t="n"/>
      <c r="N89" s="168" t="n"/>
      <c r="O89" s="168">
        <f>-LN(O72)</f>
        <v/>
      </c>
      <c r="P89" s="168">
        <f>-LN(P72)</f>
        <v/>
      </c>
      <c r="Q89" s="168" t="n"/>
    </row>
    <row r="90" ht="12.75" customHeight="1" s="145">
      <c r="B90" s="168" t="n"/>
      <c r="C90" s="168" t="n"/>
      <c r="D90" s="168" t="n"/>
      <c r="E90" s="168" t="n"/>
      <c r="F90" s="168" t="n"/>
      <c r="G90" s="168" t="n"/>
      <c r="H90" s="168" t="n"/>
      <c r="I90" s="168" t="n"/>
      <c r="J90" s="168" t="n"/>
      <c r="K90" s="168" t="n"/>
      <c r="L90" s="168" t="n"/>
      <c r="M90" s="168" t="n"/>
      <c r="N90" s="168">
        <f>-LN(N73)</f>
        <v/>
      </c>
      <c r="O90" s="168">
        <f>-LN(O73)</f>
        <v/>
      </c>
      <c r="P90" s="168">
        <f>-LN(P73)</f>
        <v/>
      </c>
      <c r="Q90" s="168" t="n"/>
    </row>
    <row r="91" ht="12.75" customHeight="1" s="145">
      <c r="B91" s="168" t="n"/>
      <c r="C91" s="168" t="n"/>
      <c r="D91" s="168" t="n"/>
      <c r="E91" s="168" t="n"/>
      <c r="F91" s="168" t="n"/>
      <c r="G91" s="168" t="n"/>
      <c r="H91" s="168" t="n"/>
      <c r="I91" s="168" t="n"/>
      <c r="J91" s="168" t="n"/>
      <c r="K91" s="168" t="n"/>
      <c r="L91" s="168" t="n"/>
      <c r="M91" s="168">
        <f>-LN(M74)</f>
        <v/>
      </c>
      <c r="N91" s="168">
        <f>-LN(N74)</f>
        <v/>
      </c>
      <c r="O91" s="168">
        <f>-LN(O74)</f>
        <v/>
      </c>
      <c r="P91" s="168">
        <f>-LN(P74)</f>
        <v/>
      </c>
      <c r="Q91" s="168" t="n"/>
    </row>
    <row r="92" ht="12.75" customHeight="1" s="145">
      <c r="B92" s="168" t="n"/>
      <c r="C92" s="168" t="n"/>
      <c r="D92" s="168" t="n"/>
      <c r="E92" s="168" t="n"/>
      <c r="F92" s="168" t="n"/>
      <c r="G92" s="168" t="n"/>
      <c r="H92" s="168" t="n"/>
      <c r="I92" s="168" t="n"/>
      <c r="J92" s="168" t="n"/>
      <c r="K92" s="168" t="n"/>
      <c r="L92" s="168">
        <f>-LN(L75)</f>
        <v/>
      </c>
      <c r="M92" s="168">
        <f>-LN(M75)</f>
        <v/>
      </c>
      <c r="N92" s="168">
        <f>-LN(N75)</f>
        <v/>
      </c>
      <c r="O92" s="168">
        <f>-LN(O75)</f>
        <v/>
      </c>
      <c r="P92" s="168">
        <f>-LN(P75)</f>
        <v/>
      </c>
      <c r="Q92" s="168" t="n"/>
    </row>
    <row r="93" ht="12.75" customHeight="1" s="145">
      <c r="B93" s="168" t="n"/>
      <c r="C93" s="168" t="n"/>
      <c r="D93" s="168" t="n"/>
      <c r="E93" s="168" t="n"/>
      <c r="F93" s="168" t="n"/>
      <c r="G93" s="168" t="n"/>
      <c r="H93" s="168" t="n"/>
      <c r="I93" s="168" t="n"/>
      <c r="J93" s="168" t="n"/>
      <c r="K93" s="168">
        <f>-LN(K76)</f>
        <v/>
      </c>
      <c r="L93" s="168">
        <f>-LN(L76)</f>
        <v/>
      </c>
      <c r="M93" s="168">
        <f>-LN(M76)</f>
        <v/>
      </c>
      <c r="N93" s="168">
        <f>-LN(N76)</f>
        <v/>
      </c>
      <c r="O93" s="168">
        <f>-LN(O76)</f>
        <v/>
      </c>
      <c r="P93" s="168">
        <f>-LN(P76)</f>
        <v/>
      </c>
      <c r="Q93" s="168" t="n"/>
    </row>
    <row r="94" ht="12.75" customHeight="1" s="145">
      <c r="B94" s="168" t="n"/>
      <c r="C94" s="168" t="n"/>
      <c r="D94" s="168" t="n"/>
      <c r="E94" s="168" t="n"/>
      <c r="F94" s="168" t="n"/>
      <c r="G94" s="168" t="n"/>
      <c r="H94" s="168" t="n"/>
      <c r="I94" s="168" t="n"/>
      <c r="J94" s="168">
        <f>-LN(J77)</f>
        <v/>
      </c>
      <c r="K94" s="168">
        <f>-LN(K77)</f>
        <v/>
      </c>
      <c r="L94" s="168">
        <f>-LN(L77)</f>
        <v/>
      </c>
      <c r="M94" s="168">
        <f>-LN(M77)</f>
        <v/>
      </c>
      <c r="N94" s="168">
        <f>-LN(N77)</f>
        <v/>
      </c>
      <c r="O94" s="168">
        <f>-LN(O77)</f>
        <v/>
      </c>
      <c r="P94" s="168">
        <f>-LN(P77)</f>
        <v/>
      </c>
      <c r="Q94" s="168" t="n"/>
    </row>
    <row r="95" ht="12.75" customHeight="1" s="145">
      <c r="B95" s="168" t="n"/>
      <c r="C95" s="168" t="n"/>
      <c r="D95" s="168" t="n"/>
      <c r="E95" s="168" t="n"/>
      <c r="F95" s="168" t="n"/>
      <c r="G95" s="168" t="n"/>
      <c r="H95" s="168" t="n"/>
      <c r="I95" s="168">
        <f>-LN(I78)</f>
        <v/>
      </c>
      <c r="J95" s="168">
        <f>-LN(J78)</f>
        <v/>
      </c>
      <c r="K95" s="168">
        <f>-LN(K78)</f>
        <v/>
      </c>
      <c r="L95" s="168">
        <f>-LN(L78)</f>
        <v/>
      </c>
      <c r="M95" s="168">
        <f>-LN(M78)</f>
        <v/>
      </c>
      <c r="N95" s="168">
        <f>-LN(N78)</f>
        <v/>
      </c>
      <c r="O95" s="168">
        <f>-LN(O78)</f>
        <v/>
      </c>
      <c r="P95" s="168">
        <f>-LN(P78)</f>
        <v/>
      </c>
      <c r="Q95" s="168" t="n"/>
    </row>
    <row r="96" ht="12.75" customHeight="1" s="145">
      <c r="B96" s="168" t="n"/>
      <c r="C96" s="168" t="n"/>
      <c r="D96" s="168" t="n"/>
      <c r="E96" s="168" t="n"/>
      <c r="F96" s="168" t="n"/>
      <c r="G96" s="168" t="n"/>
      <c r="H96" s="168">
        <f>-LN(H79)</f>
        <v/>
      </c>
      <c r="I96" s="168">
        <f>-LN(I79)</f>
        <v/>
      </c>
      <c r="J96" s="168">
        <f>-LN(J79)</f>
        <v/>
      </c>
      <c r="K96" s="168">
        <f>-LN(K79)</f>
        <v/>
      </c>
      <c r="L96" s="168">
        <f>-LN(L79)</f>
        <v/>
      </c>
      <c r="M96" s="168">
        <f>-LN(M79)</f>
        <v/>
      </c>
      <c r="N96" s="168">
        <f>-LN(N79)</f>
        <v/>
      </c>
      <c r="O96" s="168">
        <f>-LN(O79)</f>
        <v/>
      </c>
      <c r="P96" s="168">
        <f>-LN(P79)</f>
        <v/>
      </c>
      <c r="Q96" s="168" t="n"/>
    </row>
    <row r="97" ht="12.75" customHeight="1" s="145">
      <c r="B97" s="168" t="n"/>
      <c r="C97" s="168" t="n"/>
      <c r="D97" s="168" t="n"/>
      <c r="E97" s="168" t="n"/>
      <c r="F97" s="168" t="n"/>
      <c r="G97" s="168">
        <f>-LN(G80)</f>
        <v/>
      </c>
      <c r="H97" s="168">
        <f>-LN(H80)</f>
        <v/>
      </c>
      <c r="I97" s="168">
        <f>-LN(I80)</f>
        <v/>
      </c>
      <c r="J97" s="168">
        <f>-LN(J80)</f>
        <v/>
      </c>
      <c r="K97" s="168">
        <f>-LN(K80)</f>
        <v/>
      </c>
      <c r="L97" s="168">
        <f>-LN(L80)</f>
        <v/>
      </c>
      <c r="M97" s="168">
        <f>-LN(M80)</f>
        <v/>
      </c>
      <c r="N97" s="168">
        <f>-LN(N80)</f>
        <v/>
      </c>
      <c r="O97" s="168">
        <f>-LN(O80)</f>
        <v/>
      </c>
      <c r="P97" s="168">
        <f>-LN(P80)</f>
        <v/>
      </c>
      <c r="Q97" s="168" t="n"/>
    </row>
    <row r="98" ht="12.75" customHeight="1" s="145">
      <c r="B98" s="168" t="n"/>
      <c r="C98" s="168" t="n"/>
      <c r="D98" s="168" t="n"/>
      <c r="E98" s="168" t="n"/>
      <c r="F98" s="168">
        <f>-LN(F81)</f>
        <v/>
      </c>
      <c r="G98" s="168">
        <f>-LN(G81)</f>
        <v/>
      </c>
      <c r="H98" s="168">
        <f>-LN(H81)</f>
        <v/>
      </c>
      <c r="I98" s="168">
        <f>-LN(I81)</f>
        <v/>
      </c>
      <c r="J98" s="168">
        <f>-LN(J81)</f>
        <v/>
      </c>
      <c r="K98" s="168">
        <f>-LN(K81)</f>
        <v/>
      </c>
      <c r="L98" s="168">
        <f>-LN(L81)</f>
        <v/>
      </c>
      <c r="M98" s="168">
        <f>-LN(M81)</f>
        <v/>
      </c>
      <c r="N98" s="168">
        <f>-LN(N81)</f>
        <v/>
      </c>
      <c r="O98" s="168">
        <f>-LN(O81)</f>
        <v/>
      </c>
      <c r="P98" s="168">
        <f>-LN(P81)</f>
        <v/>
      </c>
      <c r="Q98" s="168" t="n"/>
    </row>
    <row r="99" ht="12.75" customHeight="1" s="145">
      <c r="B99" s="168" t="n"/>
      <c r="C99" s="168" t="n"/>
      <c r="D99" s="168" t="n"/>
      <c r="E99" s="168">
        <f>-LN(E82)</f>
        <v/>
      </c>
      <c r="F99" s="168">
        <f>-LN(F82)</f>
        <v/>
      </c>
      <c r="G99" s="168">
        <f>-LN(G82)</f>
        <v/>
      </c>
      <c r="H99" s="168">
        <f>-LN(H82)</f>
        <v/>
      </c>
      <c r="I99" s="168">
        <f>-LN(I82)</f>
        <v/>
      </c>
      <c r="J99" s="168">
        <f>-LN(J82)</f>
        <v/>
      </c>
      <c r="K99" s="168">
        <f>-LN(K82)</f>
        <v/>
      </c>
      <c r="L99" s="168">
        <f>-LN(L82)</f>
        <v/>
      </c>
      <c r="M99" s="168">
        <f>-LN(M82)</f>
        <v/>
      </c>
      <c r="N99" s="168">
        <f>-LN(N82)</f>
        <v/>
      </c>
      <c r="O99" s="168">
        <f>-LN(O82)</f>
        <v/>
      </c>
      <c r="P99" s="168">
        <f>-LN(P82)</f>
        <v/>
      </c>
      <c r="Q99" s="168" t="n"/>
    </row>
    <row r="100" ht="12.75" customHeight="1" s="145">
      <c r="B100" s="168" t="n"/>
      <c r="C100" s="168" t="n"/>
      <c r="D100" s="168">
        <f>-LN(D83)</f>
        <v/>
      </c>
      <c r="E100" s="168">
        <f>-LN(E83)</f>
        <v/>
      </c>
      <c r="F100" s="168">
        <f>-LN(F83)</f>
        <v/>
      </c>
      <c r="G100" s="168">
        <f>-LN(G83)</f>
        <v/>
      </c>
      <c r="H100" s="168">
        <f>-LN(H83)</f>
        <v/>
      </c>
      <c r="I100" s="168">
        <f>-LN(I83)</f>
        <v/>
      </c>
      <c r="J100" s="168">
        <f>-LN(J83)</f>
        <v/>
      </c>
      <c r="K100" s="168">
        <f>-LN(K83)</f>
        <v/>
      </c>
      <c r="L100" s="168">
        <f>-LN(L83)</f>
        <v/>
      </c>
      <c r="M100" s="168">
        <f>-LN(M83)</f>
        <v/>
      </c>
      <c r="N100" s="168">
        <f>-LN(N83)</f>
        <v/>
      </c>
      <c r="O100" s="168">
        <f>-LN(O83)</f>
        <v/>
      </c>
      <c r="P100" s="168">
        <f>-LN(P83)</f>
        <v/>
      </c>
      <c r="Q100" s="168" t="n"/>
    </row>
    <row r="101" ht="12.75" customHeight="1" s="145">
      <c r="B101" s="168" t="n"/>
      <c r="C101" s="168">
        <f>-LN(C84)</f>
        <v/>
      </c>
      <c r="D101" s="168">
        <f>-LN(D84)</f>
        <v/>
      </c>
      <c r="E101" s="168">
        <f>-LN(E84)</f>
        <v/>
      </c>
      <c r="F101" s="168">
        <f>-LN(F84)</f>
        <v/>
      </c>
      <c r="G101" s="168">
        <f>-LN(G84)</f>
        <v/>
      </c>
      <c r="H101" s="168">
        <f>-LN(H84)</f>
        <v/>
      </c>
      <c r="I101" s="168">
        <f>-LN(I84)</f>
        <v/>
      </c>
      <c r="J101" s="168">
        <f>-LN(J84)</f>
        <v/>
      </c>
      <c r="K101" s="168">
        <f>-LN(K84)</f>
        <v/>
      </c>
      <c r="L101" s="168">
        <f>-LN(L84)</f>
        <v/>
      </c>
      <c r="M101" s="168">
        <f>-LN(M84)</f>
        <v/>
      </c>
      <c r="N101" s="168">
        <f>-LN(N84)</f>
        <v/>
      </c>
      <c r="O101" s="168">
        <f>-LN(O84)</f>
        <v/>
      </c>
      <c r="P101" s="168">
        <f>-LN(P84)</f>
        <v/>
      </c>
      <c r="Q101" s="168" t="n"/>
    </row>
    <row r="102" ht="12.75" customHeight="1" s="145">
      <c r="A102" s="96" t="inlineStr">
        <is>
          <t>interest rate lattice</t>
        </is>
      </c>
      <c r="B102" s="168">
        <f>-LN(B85)</f>
        <v/>
      </c>
      <c r="C102" s="168">
        <f>-LN(C85)</f>
        <v/>
      </c>
      <c r="D102" s="168">
        <f>-LN(D85)</f>
        <v/>
      </c>
      <c r="E102" s="168">
        <f>-LN(E85)</f>
        <v/>
      </c>
      <c r="F102" s="168">
        <f>-LN(F85)</f>
        <v/>
      </c>
      <c r="G102" s="168">
        <f>-LN(G85)</f>
        <v/>
      </c>
      <c r="H102" s="168">
        <f>-LN(H85)</f>
        <v/>
      </c>
      <c r="I102" s="168">
        <f>-LN(I85)</f>
        <v/>
      </c>
      <c r="J102" s="168">
        <f>-LN(J85)</f>
        <v/>
      </c>
      <c r="K102" s="168">
        <f>-LN(K85)</f>
        <v/>
      </c>
      <c r="L102" s="168">
        <f>-LN(L85)</f>
        <v/>
      </c>
      <c r="M102" s="168">
        <f>-LN(M85)</f>
        <v/>
      </c>
      <c r="N102" s="168">
        <f>-LN(N85)</f>
        <v/>
      </c>
      <c r="O102" s="168">
        <f>-LN(O85)</f>
        <v/>
      </c>
      <c r="P102" s="168">
        <f>-LN(P85)</f>
        <v/>
      </c>
      <c r="Q102" s="168" t="n"/>
    </row>
    <row r="103" ht="12.75" customHeight="1" s="145">
      <c r="B103" s="168" t="n"/>
      <c r="C103" s="168" t="n"/>
      <c r="D103" s="168" t="n"/>
      <c r="E103" s="168" t="n"/>
      <c r="F103" s="168" t="n"/>
      <c r="G103" s="168" t="n"/>
      <c r="H103" s="168" t="n"/>
      <c r="I103" s="168" t="n"/>
      <c r="J103" s="168" t="n"/>
      <c r="K103" s="168" t="n"/>
      <c r="L103" s="168" t="n"/>
      <c r="M103" s="168" t="n"/>
      <c r="N103" s="168" t="n"/>
      <c r="O103" s="168" t="n"/>
      <c r="P103" s="168" t="n"/>
      <c r="Q103" s="168" t="n"/>
    </row>
    <row r="104" ht="12.75" customHeight="1" s="145">
      <c r="B104" s="168" t="n"/>
      <c r="C104" s="168" t="n"/>
      <c r="D104" s="168" t="n"/>
      <c r="E104" s="168" t="n"/>
      <c r="F104" s="168" t="n"/>
      <c r="G104" s="168" t="n"/>
      <c r="H104" s="168" t="n"/>
      <c r="I104" s="168" t="n"/>
      <c r="J104" s="168" t="n"/>
      <c r="K104" s="168" t="n"/>
      <c r="L104" s="168" t="n"/>
      <c r="M104" s="168" t="n"/>
      <c r="N104" s="168" t="n"/>
      <c r="O104" s="168" t="n"/>
      <c r="P104" s="168" t="n"/>
      <c r="Q104" s="168" t="n"/>
    </row>
    <row r="105" ht="12.75" customHeight="1" s="145">
      <c r="B105" s="168" t="n"/>
      <c r="C105" s="168" t="n"/>
      <c r="D105" s="168" t="n"/>
      <c r="E105" s="168" t="n"/>
      <c r="F105" s="168" t="n"/>
      <c r="G105" s="168" t="n"/>
      <c r="H105" s="168" t="n"/>
      <c r="I105" s="168" t="n"/>
      <c r="J105" s="168" t="n"/>
      <c r="K105" s="168" t="n"/>
      <c r="L105" s="168" t="n"/>
      <c r="M105" s="168" t="n"/>
      <c r="N105" s="168" t="n"/>
      <c r="O105" s="168" t="n"/>
      <c r="P105" s="168">
        <f>(EXP(P88)-$B$67)/($B$66-$B$67)</f>
        <v/>
      </c>
      <c r="Q105" s="168" t="n"/>
    </row>
    <row r="106" ht="12.75" customHeight="1" s="145">
      <c r="B106" s="168" t="n"/>
      <c r="C106" s="168" t="n"/>
      <c r="D106" s="168" t="n"/>
      <c r="E106" s="168" t="n"/>
      <c r="F106" s="168" t="n"/>
      <c r="G106" s="168" t="n"/>
      <c r="H106" s="168" t="n"/>
      <c r="I106" s="168" t="n"/>
      <c r="J106" s="168" t="n"/>
      <c r="K106" s="168" t="n"/>
      <c r="L106" s="168" t="n"/>
      <c r="M106" s="168" t="n"/>
      <c r="N106" s="168" t="n"/>
      <c r="O106" s="168">
        <f>(EXP(O89)-$B$67)/($B$66-$B$67)</f>
        <v/>
      </c>
      <c r="P106" s="168">
        <f>(EXP(P89)-$B$67)/($B$66-$B$67)</f>
        <v/>
      </c>
      <c r="Q106" s="168" t="n"/>
    </row>
    <row r="107" ht="12.75" customHeight="1" s="145">
      <c r="B107" s="168" t="n"/>
      <c r="C107" s="168" t="n"/>
      <c r="D107" s="168" t="n"/>
      <c r="E107" s="168" t="n"/>
      <c r="F107" s="168" t="n"/>
      <c r="G107" s="168" t="n"/>
      <c r="H107" s="168" t="n"/>
      <c r="I107" s="168" t="n"/>
      <c r="J107" s="168" t="n"/>
      <c r="K107" s="168" t="n"/>
      <c r="L107" s="168" t="n"/>
      <c r="M107" s="168" t="n"/>
      <c r="N107" s="168">
        <f>(EXP(N90)-$B$67)/($B$66-$B$67)</f>
        <v/>
      </c>
      <c r="O107" s="168">
        <f>(EXP(O90)-$B$67)/($B$66-$B$67)</f>
        <v/>
      </c>
      <c r="P107" s="168">
        <f>(EXP(P90)-$B$67)/($B$66-$B$67)</f>
        <v/>
      </c>
      <c r="Q107" s="168" t="n"/>
    </row>
    <row r="108" ht="12.75" customHeight="1" s="145">
      <c r="B108" s="168" t="n"/>
      <c r="C108" s="168" t="n"/>
      <c r="D108" s="168" t="n"/>
      <c r="E108" s="168" t="n"/>
      <c r="F108" s="168" t="n"/>
      <c r="G108" s="168" t="n"/>
      <c r="H108" s="168" t="n"/>
      <c r="I108" s="168" t="n"/>
      <c r="J108" s="168" t="n"/>
      <c r="K108" s="168" t="n"/>
      <c r="L108" s="168" t="n"/>
      <c r="M108" s="168">
        <f>(EXP(M91)-$B$67)/($B$66-$B$67)</f>
        <v/>
      </c>
      <c r="N108" s="168">
        <f>(EXP(N91)-$B$67)/($B$66-$B$67)</f>
        <v/>
      </c>
      <c r="O108" s="168">
        <f>(EXP(O91)-$B$67)/($B$66-$B$67)</f>
        <v/>
      </c>
      <c r="P108" s="168">
        <f>(EXP(P91)-$B$67)/($B$66-$B$67)</f>
        <v/>
      </c>
      <c r="Q108" s="168" t="n"/>
    </row>
    <row r="109" ht="12.75" customHeight="1" s="145">
      <c r="B109" s="168" t="n"/>
      <c r="C109" s="168" t="n"/>
      <c r="D109" s="168" t="n"/>
      <c r="E109" s="168" t="n"/>
      <c r="F109" s="168" t="n"/>
      <c r="G109" s="168" t="n"/>
      <c r="H109" s="168" t="n"/>
      <c r="I109" s="168" t="n"/>
      <c r="J109" s="168" t="n"/>
      <c r="K109" s="168" t="n"/>
      <c r="L109" s="168">
        <f>(EXP(L92)-$B$67)/($B$66-$B$67)</f>
        <v/>
      </c>
      <c r="M109" s="168">
        <f>(EXP(M92)-$B$67)/($B$66-$B$67)</f>
        <v/>
      </c>
      <c r="N109" s="168">
        <f>(EXP(N92)-$B$67)/($B$66-$B$67)</f>
        <v/>
      </c>
      <c r="O109" s="168">
        <f>(EXP(O92)-$B$67)/($B$66-$B$67)</f>
        <v/>
      </c>
      <c r="P109" s="168">
        <f>(EXP(P92)-$B$67)/($B$66-$B$67)</f>
        <v/>
      </c>
      <c r="Q109" s="168" t="n"/>
    </row>
    <row r="110" ht="12.75" customHeight="1" s="145">
      <c r="B110" s="168" t="n"/>
      <c r="C110" s="168" t="n"/>
      <c r="D110" s="168" t="n"/>
      <c r="E110" s="168" t="n"/>
      <c r="F110" s="168" t="n"/>
      <c r="G110" s="168" t="n"/>
      <c r="H110" s="168" t="n"/>
      <c r="I110" s="168" t="n"/>
      <c r="J110" s="168" t="n"/>
      <c r="K110" s="168">
        <f>(EXP(K93)-$B$67)/($B$66-$B$67)</f>
        <v/>
      </c>
      <c r="L110" s="168">
        <f>(EXP(L93)-$B$67)/($B$66-$B$67)</f>
        <v/>
      </c>
      <c r="M110" s="168">
        <f>(EXP(M93)-$B$67)/($B$66-$B$67)</f>
        <v/>
      </c>
      <c r="N110" s="168">
        <f>(EXP(N93)-$B$67)/($B$66-$B$67)</f>
        <v/>
      </c>
      <c r="O110" s="168">
        <f>(EXP(O93)-$B$67)/($B$66-$B$67)</f>
        <v/>
      </c>
      <c r="P110" s="168">
        <f>(EXP(P93)-$B$67)/($B$66-$B$67)</f>
        <v/>
      </c>
      <c r="Q110" s="168" t="n"/>
    </row>
    <row r="111" ht="12.75" customHeight="1" s="145">
      <c r="B111" s="168" t="n"/>
      <c r="C111" s="168" t="n"/>
      <c r="D111" s="168" t="n"/>
      <c r="E111" s="168" t="n"/>
      <c r="F111" s="168" t="n"/>
      <c r="G111" s="168" t="n"/>
      <c r="H111" s="168" t="n"/>
      <c r="I111" s="168" t="n"/>
      <c r="J111" s="168">
        <f>(EXP(J94)-$B$67)/($B$66-$B$67)</f>
        <v/>
      </c>
      <c r="K111" s="168">
        <f>(EXP(K94)-$B$67)/($B$66-$B$67)</f>
        <v/>
      </c>
      <c r="L111" s="168">
        <f>(EXP(L94)-$B$67)/($B$66-$B$67)</f>
        <v/>
      </c>
      <c r="M111" s="168">
        <f>(EXP(M94)-$B$67)/($B$66-$B$67)</f>
        <v/>
      </c>
      <c r="N111" s="168">
        <f>(EXP(N94)-$B$67)/($B$66-$B$67)</f>
        <v/>
      </c>
      <c r="O111" s="168">
        <f>(EXP(O94)-$B$67)/($B$66-$B$67)</f>
        <v/>
      </c>
      <c r="P111" s="168">
        <f>(EXP(P94)-$B$67)/($B$66-$B$67)</f>
        <v/>
      </c>
      <c r="Q111" s="168" t="n"/>
    </row>
    <row r="112" ht="12.75" customHeight="1" s="145">
      <c r="B112" s="168" t="n"/>
      <c r="C112" s="168" t="n"/>
      <c r="D112" s="168" t="n"/>
      <c r="E112" s="168" t="n"/>
      <c r="F112" s="168" t="n"/>
      <c r="G112" s="168" t="n"/>
      <c r="H112" s="168" t="n"/>
      <c r="I112" s="168">
        <f>(EXP(I95)-$B$67)/($B$66-$B$67)</f>
        <v/>
      </c>
      <c r="J112" s="168">
        <f>(EXP(J95)-$B$67)/($B$66-$B$67)</f>
        <v/>
      </c>
      <c r="K112" s="168">
        <f>(EXP(K95)-$B$67)/($B$66-$B$67)</f>
        <v/>
      </c>
      <c r="L112" s="168">
        <f>(EXP(L95)-$B$67)/($B$66-$B$67)</f>
        <v/>
      </c>
      <c r="M112" s="168">
        <f>(EXP(M95)-$B$67)/($B$66-$B$67)</f>
        <v/>
      </c>
      <c r="N112" s="168">
        <f>(EXP(N95)-$B$67)/($B$66-$B$67)</f>
        <v/>
      </c>
      <c r="O112" s="168">
        <f>(EXP(O95)-$B$67)/($B$66-$B$67)</f>
        <v/>
      </c>
      <c r="P112" s="168">
        <f>(EXP(P95)-$B$67)/($B$66-$B$67)</f>
        <v/>
      </c>
      <c r="Q112" s="168" t="n"/>
    </row>
    <row r="113" ht="12.75" customHeight="1" s="145">
      <c r="B113" s="168" t="n"/>
      <c r="C113" s="168" t="n"/>
      <c r="D113" s="168" t="n"/>
      <c r="E113" s="168" t="n"/>
      <c r="F113" s="168" t="n"/>
      <c r="G113" s="168" t="n"/>
      <c r="H113" s="168">
        <f>(EXP(H96)-$B$67)/($B$66-$B$67)</f>
        <v/>
      </c>
      <c r="I113" s="168">
        <f>(EXP(I96)-$B$67)/($B$66-$B$67)</f>
        <v/>
      </c>
      <c r="J113" s="168">
        <f>(EXP(J96)-$B$67)/($B$66-$B$67)</f>
        <v/>
      </c>
      <c r="K113" s="168">
        <f>(EXP(K96)-$B$67)/($B$66-$B$67)</f>
        <v/>
      </c>
      <c r="L113" s="168">
        <f>(EXP(L96)-$B$67)/($B$66-$B$67)</f>
        <v/>
      </c>
      <c r="M113" s="168">
        <f>(EXP(M96)-$B$67)/($B$66-$B$67)</f>
        <v/>
      </c>
      <c r="N113" s="168">
        <f>(EXP(N96)-$B$67)/($B$66-$B$67)</f>
        <v/>
      </c>
      <c r="O113" s="168">
        <f>(EXP(O96)-$B$67)/($B$66-$B$67)</f>
        <v/>
      </c>
      <c r="P113" s="168">
        <f>(EXP(P96)-$B$67)/($B$66-$B$67)</f>
        <v/>
      </c>
      <c r="Q113" s="168" t="n"/>
    </row>
    <row r="114" ht="12.75" customHeight="1" s="145">
      <c r="B114" s="168" t="n"/>
      <c r="C114" s="168" t="n"/>
      <c r="D114" s="168" t="n"/>
      <c r="E114" s="168" t="n"/>
      <c r="F114" s="168" t="n"/>
      <c r="G114" s="168">
        <f>(EXP(G97)-$B$67)/($B$66-$B$67)</f>
        <v/>
      </c>
      <c r="H114" s="168">
        <f>(EXP(H97)-$B$67)/($B$66-$B$67)</f>
        <v/>
      </c>
      <c r="I114" s="168">
        <f>(EXP(I97)-$B$67)/($B$66-$B$67)</f>
        <v/>
      </c>
      <c r="J114" s="168">
        <f>(EXP(J97)-$B$67)/($B$66-$B$67)</f>
        <v/>
      </c>
      <c r="K114" s="168">
        <f>(EXP(K97)-$B$67)/($B$66-$B$67)</f>
        <v/>
      </c>
      <c r="L114" s="168">
        <f>(EXP(L97)-$B$67)/($B$66-$B$67)</f>
        <v/>
      </c>
      <c r="M114" s="168">
        <f>(EXP(M97)-$B$67)/($B$66-$B$67)</f>
        <v/>
      </c>
      <c r="N114" s="168">
        <f>(EXP(N97)-$B$67)/($B$66-$B$67)</f>
        <v/>
      </c>
      <c r="O114" s="168">
        <f>(EXP(O97)-$B$67)/($B$66-$B$67)</f>
        <v/>
      </c>
      <c r="P114" s="168">
        <f>(EXP(P97)-$B$67)/($B$66-$B$67)</f>
        <v/>
      </c>
      <c r="Q114" s="168" t="n"/>
    </row>
    <row r="115" ht="12.75" customHeight="1" s="145">
      <c r="B115" s="168" t="n"/>
      <c r="C115" s="168" t="n"/>
      <c r="D115" s="168" t="n"/>
      <c r="E115" s="168" t="n"/>
      <c r="F115" s="168">
        <f>(EXP(F98)-$B$67)/($B$66-$B$67)</f>
        <v/>
      </c>
      <c r="G115" s="168">
        <f>(EXP(G98)-$B$67)/($B$66-$B$67)</f>
        <v/>
      </c>
      <c r="H115" s="168">
        <f>(EXP(H98)-$B$67)/($B$66-$B$67)</f>
        <v/>
      </c>
      <c r="I115" s="168">
        <f>(EXP(I98)-$B$67)/($B$66-$B$67)</f>
        <v/>
      </c>
      <c r="J115" s="168">
        <f>(EXP(J98)-$B$67)/($B$66-$B$67)</f>
        <v/>
      </c>
      <c r="K115" s="168">
        <f>(EXP(K98)-$B$67)/($B$66-$B$67)</f>
        <v/>
      </c>
      <c r="L115" s="168">
        <f>(EXP(L98)-$B$67)/($B$66-$B$67)</f>
        <v/>
      </c>
      <c r="M115" s="168">
        <f>(EXP(M98)-$B$67)/($B$66-$B$67)</f>
        <v/>
      </c>
      <c r="N115" s="168">
        <f>(EXP(N98)-$B$67)/($B$66-$B$67)</f>
        <v/>
      </c>
      <c r="O115" s="168">
        <f>(EXP(O98)-$B$67)/($B$66-$B$67)</f>
        <v/>
      </c>
      <c r="P115" s="168">
        <f>(EXP(P98)-$B$67)/($B$66-$B$67)</f>
        <v/>
      </c>
      <c r="Q115" s="168" t="n"/>
    </row>
    <row r="116" ht="12.75" customHeight="1" s="145">
      <c r="B116" s="168" t="n"/>
      <c r="C116" s="168" t="n"/>
      <c r="D116" s="168" t="n"/>
      <c r="E116" s="168">
        <f>(EXP(E99)-$B$67)/($B$66-$B$67)</f>
        <v/>
      </c>
      <c r="F116" s="168">
        <f>(EXP(F99)-$B$67)/($B$66-$B$67)</f>
        <v/>
      </c>
      <c r="G116" s="168">
        <f>(EXP(G99)-$B$67)/($B$66-$B$67)</f>
        <v/>
      </c>
      <c r="H116" s="168">
        <f>(EXP(H99)-$B$67)/($B$66-$B$67)</f>
        <v/>
      </c>
      <c r="I116" s="168">
        <f>(EXP(I99)-$B$67)/($B$66-$B$67)</f>
        <v/>
      </c>
      <c r="J116" s="168">
        <f>(EXP(J99)-$B$67)/($B$66-$B$67)</f>
        <v/>
      </c>
      <c r="K116" s="168">
        <f>(EXP(K99)-$B$67)/($B$66-$B$67)</f>
        <v/>
      </c>
      <c r="L116" s="168">
        <f>(EXP(L99)-$B$67)/($B$66-$B$67)</f>
        <v/>
      </c>
      <c r="M116" s="168">
        <f>(EXP(M99)-$B$67)/($B$66-$B$67)</f>
        <v/>
      </c>
      <c r="N116" s="168">
        <f>(EXP(N99)-$B$67)/($B$66-$B$67)</f>
        <v/>
      </c>
      <c r="O116" s="168">
        <f>(EXP(O99)-$B$67)/($B$66-$B$67)</f>
        <v/>
      </c>
      <c r="P116" s="168">
        <f>(EXP(P99)-$B$67)/($B$66-$B$67)</f>
        <v/>
      </c>
      <c r="Q116" s="168" t="n"/>
    </row>
    <row r="117" ht="12.75" customHeight="1" s="145">
      <c r="B117" s="168" t="n"/>
      <c r="C117" s="168" t="n"/>
      <c r="D117" s="168">
        <f>(EXP(D100)-$B$67)/($B$66-$B$67)</f>
        <v/>
      </c>
      <c r="E117" s="168">
        <f>(EXP(E100)-$B$67)/($B$66-$B$67)</f>
        <v/>
      </c>
      <c r="F117" s="168">
        <f>(EXP(F100)-$B$67)/($B$66-$B$67)</f>
        <v/>
      </c>
      <c r="G117" s="168">
        <f>(EXP(G100)-$B$67)/($B$66-$B$67)</f>
        <v/>
      </c>
      <c r="H117" s="168">
        <f>(EXP(H100)-$B$67)/($B$66-$B$67)</f>
        <v/>
      </c>
      <c r="I117" s="168">
        <f>(EXP(I100)-$B$67)/($B$66-$B$67)</f>
        <v/>
      </c>
      <c r="J117" s="168">
        <f>(EXP(J100)-$B$67)/($B$66-$B$67)</f>
        <v/>
      </c>
      <c r="K117" s="168">
        <f>(EXP(K100)-$B$67)/($B$66-$B$67)</f>
        <v/>
      </c>
      <c r="L117" s="168">
        <f>(EXP(L100)-$B$67)/($B$66-$B$67)</f>
        <v/>
      </c>
      <c r="M117" s="168">
        <f>(EXP(M100)-$B$67)/($B$66-$B$67)</f>
        <v/>
      </c>
      <c r="N117" s="168">
        <f>(EXP(N100)-$B$67)/($B$66-$B$67)</f>
        <v/>
      </c>
      <c r="O117" s="168">
        <f>(EXP(O100)-$B$67)/($B$66-$B$67)</f>
        <v/>
      </c>
      <c r="P117" s="168">
        <f>(EXP(P100)-$B$67)/($B$66-$B$67)</f>
        <v/>
      </c>
      <c r="Q117" s="168" t="n"/>
    </row>
    <row r="118" ht="12.75" customHeight="1" s="145">
      <c r="B118" s="168" t="n"/>
      <c r="C118" s="168">
        <f>(EXP(C101)-$B$67)/($B$66-$B$67)</f>
        <v/>
      </c>
      <c r="D118" s="168">
        <f>(EXP(D101)-$B$67)/($B$66-$B$67)</f>
        <v/>
      </c>
      <c r="E118" s="168">
        <f>(EXP(E101)-$B$67)/($B$66-$B$67)</f>
        <v/>
      </c>
      <c r="F118" s="168">
        <f>(EXP(F101)-$B$67)/($B$66-$B$67)</f>
        <v/>
      </c>
      <c r="G118" s="168">
        <f>(EXP(G101)-$B$67)/($B$66-$B$67)</f>
        <v/>
      </c>
      <c r="H118" s="168">
        <f>(EXP(H101)-$B$67)/($B$66-$B$67)</f>
        <v/>
      </c>
      <c r="I118" s="168">
        <f>(EXP(I101)-$B$67)/($B$66-$B$67)</f>
        <v/>
      </c>
      <c r="J118" s="168">
        <f>(EXP(J101)-$B$67)/($B$66-$B$67)</f>
        <v/>
      </c>
      <c r="K118" s="168">
        <f>(EXP(K101)-$B$67)/($B$66-$B$67)</f>
        <v/>
      </c>
      <c r="L118" s="168">
        <f>(EXP(L101)-$B$67)/($B$66-$B$67)</f>
        <v/>
      </c>
      <c r="M118" s="168">
        <f>(EXP(M101)-$B$67)/($B$66-$B$67)</f>
        <v/>
      </c>
      <c r="N118" s="168">
        <f>(EXP(N101)-$B$67)/($B$66-$B$67)</f>
        <v/>
      </c>
      <c r="O118" s="168">
        <f>(EXP(O101)-$B$67)/($B$66-$B$67)</f>
        <v/>
      </c>
      <c r="P118" s="168">
        <f>(EXP(P101)-$B$67)/($B$66-$B$67)</f>
        <v/>
      </c>
      <c r="Q118" s="168" t="n"/>
    </row>
    <row r="119" ht="13.5" customFormat="1" customHeight="1" s="92">
      <c r="A119" s="96" t="inlineStr">
        <is>
          <t>risk neutral probability lattice</t>
        </is>
      </c>
      <c r="B119" s="168">
        <f>(EXP(B102)-$B$67)/($B$66-$B$67)</f>
        <v/>
      </c>
      <c r="C119" s="168">
        <f>(EXP(C102)-$B$67)/($B$66-$B$67)</f>
        <v/>
      </c>
      <c r="D119" s="168">
        <f>(EXP(D102)-$B$67)/($B$66-$B$67)</f>
        <v/>
      </c>
      <c r="E119" s="168">
        <f>(EXP(E102)-$B$67)/($B$66-$B$67)</f>
        <v/>
      </c>
      <c r="F119" s="168">
        <f>(EXP(F102)-$B$67)/($B$66-$B$67)</f>
        <v/>
      </c>
      <c r="G119" s="168">
        <f>(EXP(G102)-$B$67)/($B$66-$B$67)</f>
        <v/>
      </c>
      <c r="H119" s="168">
        <f>(EXP(H102)-$B$67)/($B$66-$B$67)</f>
        <v/>
      </c>
      <c r="I119" s="168">
        <f>(EXP(I102)-$B$67)/($B$66-$B$67)</f>
        <v/>
      </c>
      <c r="J119" s="168">
        <f>(EXP(J102)-$B$67)/($B$66-$B$67)</f>
        <v/>
      </c>
      <c r="K119" s="168">
        <f>(EXP(K102)-$B$67)/($B$66-$B$67)</f>
        <v/>
      </c>
      <c r="L119" s="168">
        <f>(EXP(L102)-$B$67)/($B$66-$B$67)</f>
        <v/>
      </c>
      <c r="M119" s="168">
        <f>(EXP(M102)-$B$67)/($B$66-$B$67)</f>
        <v/>
      </c>
      <c r="N119" s="168">
        <f>(EXP(N102)-$B$67)/($B$66-$B$67)</f>
        <v/>
      </c>
      <c r="O119" s="168">
        <f>(EXP(O102)-$B$67)/($B$66-$B$67)</f>
        <v/>
      </c>
      <c r="P119" s="168">
        <f>(EXP(P102)-$B$67)/($B$66-$B$67)</f>
        <v/>
      </c>
      <c r="Q119" s="168" t="n"/>
    </row>
    <row r="120" ht="12.75" customHeight="1" s="145">
      <c r="B120" s="168" t="n"/>
      <c r="C120" s="168" t="n"/>
      <c r="D120" s="168" t="n"/>
      <c r="E120" s="168" t="n"/>
      <c r="F120" s="168" t="n"/>
      <c r="G120" s="168" t="n"/>
      <c r="H120" s="168" t="n"/>
      <c r="I120" s="168" t="n"/>
      <c r="J120" s="168" t="n"/>
      <c r="K120" s="168" t="n"/>
      <c r="L120" s="168" t="n"/>
      <c r="M120" s="168" t="n"/>
      <c r="N120" s="168" t="n"/>
      <c r="O120" s="168" t="n"/>
      <c r="P120" s="168" t="n"/>
      <c r="Q120" s="168" t="n"/>
    </row>
    <row r="121" ht="12.75" customHeight="1" s="145">
      <c r="B121" s="168" t="n"/>
      <c r="C121" s="168" t="n"/>
      <c r="D121" s="168" t="n"/>
      <c r="E121" s="168" t="n"/>
      <c r="F121" s="168" t="n"/>
      <c r="G121" s="168" t="n"/>
      <c r="H121" s="168" t="n"/>
      <c r="I121" s="168" t="n"/>
      <c r="J121" s="168" t="n"/>
      <c r="K121" s="168" t="n"/>
      <c r="L121" s="168" t="n"/>
      <c r="M121" s="168" t="n"/>
      <c r="N121" s="168" t="n"/>
      <c r="O121" s="168" t="n"/>
      <c r="P121" s="168" t="n"/>
      <c r="Q121" s="168" t="n"/>
    </row>
    <row r="122" ht="12.75" customHeight="1" s="145">
      <c r="B122" s="168" t="n"/>
      <c r="C122" s="168" t="n"/>
      <c r="D122" s="168" t="n"/>
      <c r="E122" s="168" t="n"/>
      <c r="F122" s="168" t="n"/>
      <c r="G122" s="168" t="n"/>
      <c r="H122" s="168" t="n"/>
      <c r="I122" s="168" t="n"/>
      <c r="J122" s="168" t="n"/>
      <c r="K122" s="168" t="n"/>
      <c r="L122" s="168" t="n"/>
      <c r="M122" s="168" t="n"/>
      <c r="N122" s="168" t="n"/>
      <c r="O122" s="168" t="n"/>
      <c r="P122" s="168">
        <f>O123*EXP(SQRT(1/$B$29)*$B$28)</f>
        <v/>
      </c>
      <c r="Q122" s="168" t="n"/>
    </row>
    <row r="123" ht="12.75" customHeight="1" s="145">
      <c r="B123" s="168" t="n"/>
      <c r="C123" s="168" t="n"/>
      <c r="D123" s="168" t="n"/>
      <c r="E123" s="168" t="n"/>
      <c r="F123" s="168" t="n"/>
      <c r="G123" s="168" t="n"/>
      <c r="H123" s="168" t="n"/>
      <c r="I123" s="168" t="n"/>
      <c r="J123" s="168" t="n"/>
      <c r="K123" s="168" t="n"/>
      <c r="L123" s="168" t="n"/>
      <c r="M123" s="168" t="n"/>
      <c r="N123" s="168" t="n"/>
      <c r="O123" s="168">
        <f>N124*EXP(SQRT(1/$B$29)*$B$28)</f>
        <v/>
      </c>
      <c r="P123" s="168">
        <f>O123*EXP(SQRT(1/$B$29)*(-$B$28))</f>
        <v/>
      </c>
      <c r="Q123" s="168" t="n"/>
    </row>
    <row r="124" ht="12.75" customHeight="1" s="145">
      <c r="B124" s="168" t="n"/>
      <c r="C124" s="168" t="n"/>
      <c r="D124" s="168" t="n"/>
      <c r="E124" s="168" t="n"/>
      <c r="F124" s="168" t="n"/>
      <c r="G124" s="168" t="n"/>
      <c r="H124" s="168" t="n"/>
      <c r="I124" s="168" t="n"/>
      <c r="J124" s="168" t="n"/>
      <c r="K124" s="168" t="n"/>
      <c r="L124" s="168" t="n"/>
      <c r="M124" s="168" t="n"/>
      <c r="N124" s="168">
        <f>M125*EXP(SQRT(1/$B$29)*$B$28)</f>
        <v/>
      </c>
      <c r="O124" s="168">
        <f>N124*EXP(SQRT(1/$B$29)*(-$B$28))</f>
        <v/>
      </c>
      <c r="P124" s="168">
        <f>O124*EXP(SQRT(1/$B$29)*(-$B$28))</f>
        <v/>
      </c>
      <c r="Q124" s="168" t="n"/>
    </row>
    <row r="125" ht="12.75" customHeight="1" s="145">
      <c r="B125" s="168" t="n"/>
      <c r="C125" s="168" t="n"/>
      <c r="D125" s="168" t="n"/>
      <c r="E125" s="168" t="n"/>
      <c r="F125" s="168" t="n"/>
      <c r="G125" s="168" t="n"/>
      <c r="H125" s="168" t="n"/>
      <c r="I125" s="168" t="n"/>
      <c r="J125" s="168" t="n"/>
      <c r="K125" s="168" t="n"/>
      <c r="L125" s="168" t="n"/>
      <c r="M125" s="168">
        <f>L126*EXP(SQRT(1/$B$29)*$B$28)</f>
        <v/>
      </c>
      <c r="N125" s="168">
        <f>M125*EXP(SQRT(1/$B$29)*(-$B$28))</f>
        <v/>
      </c>
      <c r="O125" s="168">
        <f>N125*EXP(SQRT(1/$B$29)*(-$B$28))</f>
        <v/>
      </c>
      <c r="P125" s="168">
        <f>O125*EXP(SQRT(1/$B$29)*(-$B$28))</f>
        <v/>
      </c>
      <c r="Q125" s="168" t="n"/>
    </row>
    <row r="126" ht="12.75" customHeight="1" s="145">
      <c r="B126" s="168" t="n"/>
      <c r="C126" s="168" t="n"/>
      <c r="D126" s="168" t="n"/>
      <c r="E126" s="168" t="n"/>
      <c r="F126" s="168" t="n"/>
      <c r="G126" s="168" t="n"/>
      <c r="H126" s="168" t="n"/>
      <c r="I126" s="168" t="n"/>
      <c r="J126" s="168" t="n"/>
      <c r="K126" s="168" t="n"/>
      <c r="L126" s="168">
        <f>K127*EXP(SQRT(1/$B$29)*$B$28)</f>
        <v/>
      </c>
      <c r="M126" s="168">
        <f>L126*EXP(SQRT(1/$B$29)*(-$B$28))</f>
        <v/>
      </c>
      <c r="N126" s="168">
        <f>M126*EXP(SQRT(1/$B$29)*(-$B$28))</f>
        <v/>
      </c>
      <c r="O126" s="168">
        <f>N126*EXP(SQRT(1/$B$29)*(-$B$28))</f>
        <v/>
      </c>
      <c r="P126" s="168">
        <f>O126*EXP(SQRT(1/$B$29)*(-$B$28))</f>
        <v/>
      </c>
      <c r="Q126" s="168" t="n"/>
    </row>
    <row r="127" ht="12.75" customHeight="1" s="145">
      <c r="B127" s="168" t="n"/>
      <c r="C127" s="168" t="n"/>
      <c r="D127" s="168" t="n"/>
      <c r="E127" s="168" t="n"/>
      <c r="F127" s="168" t="n"/>
      <c r="G127" s="168" t="n"/>
      <c r="H127" s="168" t="n"/>
      <c r="I127" s="168" t="n"/>
      <c r="J127" s="168" t="n"/>
      <c r="K127" s="168">
        <f>J128*EXP(SQRT(1/$B$29)*$B$28)</f>
        <v/>
      </c>
      <c r="L127" s="168">
        <f>K127*EXP(SQRT(1/$B$29)*(-$B$28))</f>
        <v/>
      </c>
      <c r="M127" s="168">
        <f>L127*EXP(SQRT(1/$B$29)*(-$B$28))</f>
        <v/>
      </c>
      <c r="N127" s="168">
        <f>M127*EXP(SQRT(1/$B$29)*(-$B$28))</f>
        <v/>
      </c>
      <c r="O127" s="168">
        <f>N127*EXP(SQRT(1/$B$29)*(-$B$28))</f>
        <v/>
      </c>
      <c r="P127" s="168">
        <f>O127*EXP(SQRT(1/$B$29)*(-$B$28))</f>
        <v/>
      </c>
      <c r="Q127" s="168" t="n"/>
    </row>
    <row r="128" ht="12.75" customHeight="1" s="145">
      <c r="B128" s="168" t="n"/>
      <c r="C128" s="168" t="n"/>
      <c r="D128" s="168" t="n"/>
      <c r="E128" s="168" t="n"/>
      <c r="F128" s="168" t="n"/>
      <c r="G128" s="168" t="n"/>
      <c r="H128" s="168" t="n"/>
      <c r="I128" s="168" t="n"/>
      <c r="J128" s="168">
        <f>I129*EXP(SQRT(1/$B$29)*$B$28)</f>
        <v/>
      </c>
      <c r="K128" s="168">
        <f>J128*EXP(SQRT(1/$B$29)*(-$B$28))</f>
        <v/>
      </c>
      <c r="L128" s="168">
        <f>K128*EXP(SQRT(1/$B$29)*(-$B$28))</f>
        <v/>
      </c>
      <c r="M128" s="168">
        <f>L128*EXP(SQRT(1/$B$29)*(-$B$28))</f>
        <v/>
      </c>
      <c r="N128" s="168">
        <f>M128*EXP(SQRT(1/$B$29)*(-$B$28))</f>
        <v/>
      </c>
      <c r="O128" s="168">
        <f>N128*EXP(SQRT(1/$B$29)*(-$B$28))</f>
        <v/>
      </c>
      <c r="P128" s="168">
        <f>O128*EXP(SQRT(1/$B$29)*(-$B$28))</f>
        <v/>
      </c>
      <c r="Q128" s="168" t="n"/>
    </row>
    <row r="129" ht="12.75" customHeight="1" s="145">
      <c r="B129" s="168" t="n"/>
      <c r="C129" s="168" t="n"/>
      <c r="D129" s="168" t="n"/>
      <c r="E129" s="168" t="n"/>
      <c r="F129" s="168" t="n"/>
      <c r="G129" s="168" t="n"/>
      <c r="H129" s="168" t="n"/>
      <c r="I129" s="168">
        <f>H130*EXP(SQRT(1/$B$29)*$B$28)</f>
        <v/>
      </c>
      <c r="J129" s="168">
        <f>I129*EXP(SQRT(1/$B$29)*(-$B$28))</f>
        <v/>
      </c>
      <c r="K129" s="168">
        <f>J129*EXP(SQRT(1/$B$29)*(-$B$28))</f>
        <v/>
      </c>
      <c r="L129" s="168">
        <f>K129*EXP(SQRT(1/$B$29)*(-$B$28))</f>
        <v/>
      </c>
      <c r="M129" s="168">
        <f>L129*EXP(SQRT(1/$B$29)*(-$B$28))</f>
        <v/>
      </c>
      <c r="N129" s="168">
        <f>M129*EXP(SQRT(1/$B$29)*(-$B$28))</f>
        <v/>
      </c>
      <c r="O129" s="168">
        <f>N129*EXP(SQRT(1/$B$29)*(-$B$28))</f>
        <v/>
      </c>
      <c r="P129" s="168">
        <f>O129*EXP(SQRT(1/$B$29)*(-$B$28))</f>
        <v/>
      </c>
      <c r="Q129" s="168" t="n"/>
    </row>
    <row r="130" ht="12.75" customHeight="1" s="145">
      <c r="B130" s="168" t="n"/>
      <c r="C130" s="168" t="n"/>
      <c r="D130" s="168" t="n"/>
      <c r="E130" s="168" t="n"/>
      <c r="F130" s="168" t="n"/>
      <c r="G130" s="168" t="n"/>
      <c r="H130" s="168">
        <f>G131*EXP(SQRT(1/$B$29)*$B$28)</f>
        <v/>
      </c>
      <c r="I130" s="168">
        <f>H130*EXP(SQRT(1/$B$29)*(-$B$28))</f>
        <v/>
      </c>
      <c r="J130" s="168">
        <f>I130*EXP(SQRT(1/$B$29)*(-$B$28))</f>
        <v/>
      </c>
      <c r="K130" s="168">
        <f>J130*EXP(SQRT(1/$B$29)*(-$B$28))</f>
        <v/>
      </c>
      <c r="L130" s="168">
        <f>K130*EXP(SQRT(1/$B$29)*(-$B$28))</f>
        <v/>
      </c>
      <c r="M130" s="168">
        <f>L130*EXP(SQRT(1/$B$29)*(-$B$28))</f>
        <v/>
      </c>
      <c r="N130" s="168">
        <f>M130*EXP(SQRT(1/$B$29)*(-$B$28))</f>
        <v/>
      </c>
      <c r="O130" s="168">
        <f>N130*EXP(SQRT(1/$B$29)*(-$B$28))</f>
        <v/>
      </c>
      <c r="P130" s="168">
        <f>O130*EXP(SQRT(1/$B$29)*(-$B$28))</f>
        <v/>
      </c>
      <c r="Q130" s="168" t="n"/>
    </row>
    <row r="131" ht="12.75" customHeight="1" s="145">
      <c r="B131" s="168" t="n"/>
      <c r="C131" s="168" t="n"/>
      <c r="D131" s="168" t="n"/>
      <c r="E131" s="168" t="n"/>
      <c r="F131" s="168" t="n"/>
      <c r="G131" s="168">
        <f>F132*EXP(SQRT(1/$B$29)*$B$28)</f>
        <v/>
      </c>
      <c r="H131" s="168">
        <f>G131*EXP(SQRT(1/$B$29)*(-$B$28))</f>
        <v/>
      </c>
      <c r="I131" s="168">
        <f>H131*EXP(SQRT(1/$B$29)*(-$B$28))</f>
        <v/>
      </c>
      <c r="J131" s="168">
        <f>I131*EXP(SQRT(1/$B$29)*(-$B$28))</f>
        <v/>
      </c>
      <c r="K131" s="168">
        <f>J131*EXP(SQRT(1/$B$29)*(-$B$28))</f>
        <v/>
      </c>
      <c r="L131" s="168">
        <f>K131*EXP(SQRT(1/$B$29)*(-$B$28))</f>
        <v/>
      </c>
      <c r="M131" s="168">
        <f>L131*EXP(SQRT(1/$B$29)*(-$B$28))</f>
        <v/>
      </c>
      <c r="N131" s="168">
        <f>M131*EXP(SQRT(1/$B$29)*(-$B$28))</f>
        <v/>
      </c>
      <c r="O131" s="168">
        <f>N131*EXP(SQRT(1/$B$29)*(-$B$28))</f>
        <v/>
      </c>
      <c r="P131" s="168">
        <f>O131*EXP(SQRT(1/$B$29)*(-$B$28))</f>
        <v/>
      </c>
      <c r="Q131" s="168" t="n"/>
    </row>
    <row r="132" ht="12.75" customHeight="1" s="145">
      <c r="B132" s="168" t="n"/>
      <c r="C132" s="168" t="n"/>
      <c r="D132" s="168" t="n"/>
      <c r="E132" s="168" t="n"/>
      <c r="F132" s="168">
        <f>E133*EXP(SQRT(1/$B$29)*$B$28)</f>
        <v/>
      </c>
      <c r="G132" s="168">
        <f>F132*EXP(SQRT(1/$B$29)*(-$B$28))</f>
        <v/>
      </c>
      <c r="H132" s="168">
        <f>G132*EXP(SQRT(1/$B$29)*(-$B$28))</f>
        <v/>
      </c>
      <c r="I132" s="168">
        <f>H132*EXP(SQRT(1/$B$29)*(-$B$28))</f>
        <v/>
      </c>
      <c r="J132" s="168">
        <f>I132*EXP(SQRT(1/$B$29)*(-$B$28))</f>
        <v/>
      </c>
      <c r="K132" s="168">
        <f>J132*EXP(SQRT(1/$B$29)*(-$B$28))</f>
        <v/>
      </c>
      <c r="L132" s="168">
        <f>K132*EXP(SQRT(1/$B$29)*(-$B$28))</f>
        <v/>
      </c>
      <c r="M132" s="168">
        <f>L132*EXP(SQRT(1/$B$29)*(-$B$28))</f>
        <v/>
      </c>
      <c r="N132" s="168">
        <f>M132*EXP(SQRT(1/$B$29)*(-$B$28))</f>
        <v/>
      </c>
      <c r="O132" s="168">
        <f>N132*EXP(SQRT(1/$B$29)*(-$B$28))</f>
        <v/>
      </c>
      <c r="P132" s="168">
        <f>O132*EXP(SQRT(1/$B$29)*(-$B$28))</f>
        <v/>
      </c>
      <c r="Q132" s="168" t="n"/>
    </row>
    <row r="133" ht="12.75" customHeight="1" s="145">
      <c r="B133" s="168" t="n"/>
      <c r="C133" s="168" t="n"/>
      <c r="D133" s="168" t="n"/>
      <c r="E133" s="168">
        <f>D134*EXP(SQRT(1/$B$29)*$B$28)</f>
        <v/>
      </c>
      <c r="F133" s="168">
        <f>E133*EXP(SQRT(1/$B$29)*(-$B$28))</f>
        <v/>
      </c>
      <c r="G133" s="168">
        <f>F133*EXP(SQRT(1/$B$29)*(-$B$28))</f>
        <v/>
      </c>
      <c r="H133" s="168">
        <f>G133*EXP(SQRT(1/$B$29)*(-$B$28))</f>
        <v/>
      </c>
      <c r="I133" s="168">
        <f>H133*EXP(SQRT(1/$B$29)*(-$B$28))</f>
        <v/>
      </c>
      <c r="J133" s="168">
        <f>I133*EXP(SQRT(1/$B$29)*(-$B$28))</f>
        <v/>
      </c>
      <c r="K133" s="168">
        <f>J133*EXP(SQRT(1/$B$29)*(-$B$28))</f>
        <v/>
      </c>
      <c r="L133" s="168">
        <f>K133*EXP(SQRT(1/$B$29)*(-$B$28))</f>
        <v/>
      </c>
      <c r="M133" s="168">
        <f>L133*EXP(SQRT(1/$B$29)*(-$B$28))</f>
        <v/>
      </c>
      <c r="N133" s="168">
        <f>M133*EXP(SQRT(1/$B$29)*(-$B$28))</f>
        <v/>
      </c>
      <c r="O133" s="168">
        <f>N133*EXP(SQRT(1/$B$29)*(-$B$28))</f>
        <v/>
      </c>
      <c r="P133" s="168">
        <f>O133*EXP(SQRT(1/$B$29)*(-$B$28))</f>
        <v/>
      </c>
      <c r="Q133" s="168" t="n"/>
    </row>
    <row r="134" ht="12.75" customHeight="1" s="145">
      <c r="B134" s="168" t="n"/>
      <c r="C134" s="168" t="n"/>
      <c r="D134" s="168">
        <f>C135*EXP(SQRT(1/$B$29)*$B$28)</f>
        <v/>
      </c>
      <c r="E134" s="168">
        <f>D134*EXP(SQRT(1/$B$29)*(-$B$28))</f>
        <v/>
      </c>
      <c r="F134" s="168">
        <f>E134*EXP(SQRT(1/$B$29)*(-$B$28))</f>
        <v/>
      </c>
      <c r="G134" s="168">
        <f>F134*EXP(SQRT(1/$B$29)*(-$B$28))</f>
        <v/>
      </c>
      <c r="H134" s="168">
        <f>G134*EXP(SQRT(1/$B$29)*(-$B$28))</f>
        <v/>
      </c>
      <c r="I134" s="168">
        <f>H134*EXP(SQRT(1/$B$29)*(-$B$28))</f>
        <v/>
      </c>
      <c r="J134" s="168">
        <f>I134*EXP(SQRT(1/$B$29)*(-$B$28))</f>
        <v/>
      </c>
      <c r="K134" s="168">
        <f>J134*EXP(SQRT(1/$B$29)*(-$B$28))</f>
        <v/>
      </c>
      <c r="L134" s="168">
        <f>K134*EXP(SQRT(1/$B$29)*(-$B$28))</f>
        <v/>
      </c>
      <c r="M134" s="168">
        <f>L134*EXP(SQRT(1/$B$29)*(-$B$28))</f>
        <v/>
      </c>
      <c r="N134" s="168">
        <f>M134*EXP(SQRT(1/$B$29)*(-$B$28))</f>
        <v/>
      </c>
      <c r="O134" s="168">
        <f>N134*EXP(SQRT(1/$B$29)*(-$B$28))</f>
        <v/>
      </c>
      <c r="P134" s="168">
        <f>O134*EXP(SQRT(1/$B$29)*(-$B$28))</f>
        <v/>
      </c>
      <c r="Q134" s="168" t="n"/>
    </row>
    <row r="135" ht="12.75" customHeight="1" s="145">
      <c r="B135" s="168" t="n"/>
      <c r="C135" s="168">
        <f>B136*EXP(SQRT(1/$B$29)*$B$28)</f>
        <v/>
      </c>
      <c r="D135" s="168">
        <f>C135*EXP(SQRT(1/$B$29)*(-$B$28))</f>
        <v/>
      </c>
      <c r="E135" s="168">
        <f>D135*EXP(SQRT(1/$B$29)*(-$B$28))</f>
        <v/>
      </c>
      <c r="F135" s="168">
        <f>E135*EXP(SQRT(1/$B$29)*(-$B$28))</f>
        <v/>
      </c>
      <c r="G135" s="168">
        <f>F135*EXP(SQRT(1/$B$29)*(-$B$28))</f>
        <v/>
      </c>
      <c r="H135" s="168">
        <f>G135*EXP(SQRT(1/$B$29)*(-$B$28))</f>
        <v/>
      </c>
      <c r="I135" s="168">
        <f>H135*EXP(SQRT(1/$B$29)*(-$B$28))</f>
        <v/>
      </c>
      <c r="J135" s="168">
        <f>I135*EXP(SQRT(1/$B$29)*(-$B$28))</f>
        <v/>
      </c>
      <c r="K135" s="168">
        <f>J135*EXP(SQRT(1/$B$29)*(-$B$28))</f>
        <v/>
      </c>
      <c r="L135" s="168">
        <f>K135*EXP(SQRT(1/$B$29)*(-$B$28))</f>
        <v/>
      </c>
      <c r="M135" s="168">
        <f>L135*EXP(SQRT(1/$B$29)*(-$B$28))</f>
        <v/>
      </c>
      <c r="N135" s="168">
        <f>M135*EXP(SQRT(1/$B$29)*(-$B$28))</f>
        <v/>
      </c>
      <c r="O135" s="168">
        <f>N135*EXP(SQRT(1/$B$29)*(-$B$28))</f>
        <v/>
      </c>
      <c r="P135" s="168">
        <f>O135*EXP(SQRT(1/$B$29)*(-$B$28))</f>
        <v/>
      </c>
      <c r="Q135" s="168" t="n"/>
    </row>
    <row r="136" ht="12.75" customHeight="1" s="145">
      <c r="A136" s="96" t="inlineStr">
        <is>
          <t>firm value lattice</t>
        </is>
      </c>
      <c r="B136" s="168">
        <f>$B$27</f>
        <v/>
      </c>
      <c r="C136" s="168">
        <f>B136*EXP(SQRT(1/$B$29)*(-$B$28))</f>
        <v/>
      </c>
      <c r="D136" s="168">
        <f>C136*EXP(SQRT(1/$B$29)*(-$B$28))</f>
        <v/>
      </c>
      <c r="E136" s="168">
        <f>D136*EXP(SQRT(1/$B$29)*(-$B$28))</f>
        <v/>
      </c>
      <c r="F136" s="168">
        <f>E136*EXP(SQRT(1/$B$29)*(-$B$28))</f>
        <v/>
      </c>
      <c r="G136" s="168">
        <f>F136*EXP(SQRT(1/$B$29)*(-$B$28))</f>
        <v/>
      </c>
      <c r="H136" s="168">
        <f>G136*EXP(SQRT(1/$B$29)*(-$B$28))</f>
        <v/>
      </c>
      <c r="I136" s="168">
        <f>H136*EXP(SQRT(1/$B$29)*(-$B$28))</f>
        <v/>
      </c>
      <c r="J136" s="168">
        <f>I136*EXP(SQRT(1/$B$29)*(-$B$28))</f>
        <v/>
      </c>
      <c r="K136" s="168">
        <f>J136*EXP(SQRT(1/$B$29)*(-$B$28))</f>
        <v/>
      </c>
      <c r="L136" s="168">
        <f>K136*EXP(SQRT(1/$B$29)*(-$B$28))</f>
        <v/>
      </c>
      <c r="M136" s="168">
        <f>L136*EXP(SQRT(1/$B$29)*(-$B$28))</f>
        <v/>
      </c>
      <c r="N136" s="168">
        <f>M136*EXP(SQRT(1/$B$29)*(-$B$28))</f>
        <v/>
      </c>
      <c r="O136" s="168">
        <f>N136*EXP(SQRT(1/$B$29)*(-$B$28))</f>
        <v/>
      </c>
      <c r="P136" s="168">
        <f>O136*EXP(SQRT(1/$B$29)*(-$B$28))</f>
        <v/>
      </c>
      <c r="Q136" s="168" t="n"/>
    </row>
    <row r="137" ht="12.75" customHeight="1" s="145">
      <c r="B137" s="168" t="n"/>
      <c r="C137" s="168" t="n"/>
      <c r="D137" s="168" t="n"/>
      <c r="E137" s="168" t="n"/>
      <c r="F137" s="168" t="n"/>
      <c r="G137" s="168" t="n"/>
      <c r="H137" s="168" t="n"/>
      <c r="I137" s="168" t="n"/>
      <c r="J137" s="168" t="n"/>
      <c r="K137" s="168" t="n"/>
      <c r="L137" s="168" t="n"/>
      <c r="M137" s="168" t="n"/>
      <c r="N137" s="168" t="n"/>
      <c r="O137" s="168" t="n"/>
      <c r="P137" s="168" t="n"/>
      <c r="Q137" s="168" t="n"/>
    </row>
    <row r="138" ht="12.75" customHeight="1" s="145">
      <c r="B138" s="168" t="n"/>
      <c r="C138" s="168" t="n"/>
      <c r="D138" s="168" t="n"/>
      <c r="E138" s="168" t="n"/>
      <c r="F138" s="168" t="n"/>
      <c r="G138" s="168" t="n"/>
      <c r="H138" s="168" t="n"/>
      <c r="I138" s="168" t="n"/>
      <c r="J138" s="168" t="n"/>
      <c r="K138" s="168" t="n"/>
      <c r="L138" s="168" t="n"/>
      <c r="M138" s="168" t="n"/>
      <c r="N138" s="168" t="n"/>
      <c r="O138" s="168" t="n"/>
      <c r="P138" s="168" t="n"/>
      <c r="Q138" s="168" t="n"/>
    </row>
    <row r="139" ht="12.75" customHeight="1" s="145">
      <c r="B139" s="168" t="n"/>
      <c r="C139" s="168" t="n"/>
      <c r="D139" s="168" t="n"/>
      <c r="E139" s="168" t="n"/>
      <c r="F139" s="168" t="n"/>
      <c r="G139" s="168" t="n"/>
      <c r="H139" s="168" t="n"/>
      <c r="I139" s="168" t="n"/>
      <c r="J139" s="168" t="n"/>
      <c r="K139" s="168" t="n"/>
      <c r="L139" s="168" t="n"/>
      <c r="M139" s="168" t="n"/>
      <c r="N139" s="168" t="n"/>
      <c r="O139" s="168" t="n"/>
      <c r="P139" s="168" t="n"/>
      <c r="Q139" s="168" t="n"/>
    </row>
  </sheetData>
  <hyperlinks>
    <hyperlink xmlns:r="http://schemas.openxmlformats.org/officeDocument/2006/relationships" ref="B7" display="leesb@hanyang.ac.kr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M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87890625" defaultRowHeight="12.75" zeroHeight="0" outlineLevelRow="0"/>
  <cols>
    <col width="21.88" customWidth="1" style="92" min="1" max="1"/>
    <col width="9.77" customWidth="1" style="92" min="2" max="26"/>
    <col width="9.880000000000001" customWidth="1" style="92" min="27" max="29"/>
    <col width="8.880000000000001" customWidth="1" style="92" min="30" max="257"/>
  </cols>
  <sheetData>
    <row r="1" ht="12.75" customFormat="1" customHeight="1" s="93">
      <c r="A1" s="94" t="inlineStr">
        <is>
          <t>Convertible Bond</t>
        </is>
      </c>
      <c r="D1" s="95" t="inlineStr">
        <is>
          <t>© copyright THC 2003. All rights reserved by Thomas Ho Company, New York, NY. USA      www. thomasho.com       tom.ho@thomasho.com</t>
        </is>
      </c>
    </row>
    <row r="2" ht="12.75" customFormat="1" customHeight="1" s="96">
      <c r="A2" s="97" t="inlineStr">
        <is>
          <t>reference number</t>
        </is>
      </c>
      <c r="B2" s="96" t="n">
        <v>129</v>
      </c>
    </row>
    <row r="3" ht="12.75" customFormat="1" customHeight="1" s="96">
      <c r="A3" s="97" t="inlineStr">
        <is>
          <t>Version</t>
        </is>
      </c>
      <c r="B3" s="98" t="n">
        <v>1</v>
      </c>
      <c r="E3" s="99" t="inlineStr">
        <is>
          <t>Instructions</t>
        </is>
      </c>
      <c r="F3" s="100" t="n"/>
      <c r="G3" s="100" t="n"/>
      <c r="H3" s="100" t="n"/>
      <c r="I3" s="100" t="n"/>
      <c r="J3" s="100" t="n"/>
      <c r="K3" s="100" t="n"/>
      <c r="L3" s="101" t="n"/>
      <c r="N3" s="96" t="n"/>
      <c r="O3" s="96" t="n"/>
      <c r="P3" s="96" t="n"/>
      <c r="Q3" s="96" t="n"/>
      <c r="R3" s="96" t="n"/>
    </row>
    <row r="4" ht="12.75" customFormat="1" customHeight="1" s="96">
      <c r="A4" s="97" t="inlineStr">
        <is>
          <t>publication date</t>
        </is>
      </c>
      <c r="B4" s="102" t="n">
        <v>38139</v>
      </c>
      <c r="E4" s="103" t="inlineStr">
        <is>
          <t xml:space="preserve">A convertible bond is a bond with an embedded call option on the company's stock. To incorporate the credit risk, we use the firm value, not the stock value, as the underlying risk source.  </t>
        </is>
      </c>
      <c r="F4" s="104" t="n"/>
      <c r="G4" s="104" t="n"/>
      <c r="H4" s="104" t="n"/>
      <c r="I4" s="104" t="n"/>
      <c r="J4" s="104" t="n"/>
      <c r="K4" s="104" t="n"/>
      <c r="L4" s="105" t="n"/>
      <c r="N4" s="96" t="n"/>
      <c r="O4" s="96" t="n"/>
      <c r="P4" s="96" t="n"/>
      <c r="Q4" s="96" t="n"/>
      <c r="R4" s="96" t="n"/>
    </row>
    <row r="5" ht="12.75" customFormat="1" customHeight="1" s="96">
      <c r="A5" s="97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7" t="inlineStr">
        <is>
          <t xml:space="preserve">only risk source for the compound option. </t>
        </is>
      </c>
      <c r="F5" s="108" t="n"/>
      <c r="G5" s="108" t="n"/>
      <c r="H5" s="108" t="n"/>
      <c r="I5" s="108" t="n"/>
      <c r="J5" s="108" t="n"/>
      <c r="K5" s="108" t="n"/>
      <c r="L5" s="109" t="n"/>
      <c r="N5" s="96" t="n"/>
      <c r="O5" s="96" t="n"/>
      <c r="P5" s="96" t="n"/>
      <c r="Q5" s="96" t="n"/>
      <c r="R5" s="96" t="n"/>
    </row>
    <row r="6" ht="12.75" customFormat="1" customHeight="1" s="96">
      <c r="A6" s="97" t="inlineStr">
        <is>
          <t>affiliation</t>
        </is>
      </c>
      <c r="B6" s="106" t="inlineStr">
        <is>
          <t>Hanyang University</t>
        </is>
      </c>
      <c r="C6" s="106" t="n"/>
      <c r="D6" s="106" t="n"/>
      <c r="E6" s="110" t="inlineStr">
        <is>
          <t>inputs</t>
        </is>
      </c>
      <c r="F6" s="111" t="inlineStr">
        <is>
          <t>firm value, firm voaltility, conversion price,</t>
        </is>
      </c>
      <c r="G6" s="112" t="n"/>
      <c r="H6" s="113" t="n"/>
      <c r="I6" s="113" t="n"/>
      <c r="J6" s="113" t="n"/>
      <c r="K6" s="113" t="n"/>
      <c r="L6" s="114" t="n"/>
      <c r="M6" s="96" t="n"/>
      <c r="N6" s="96" t="n"/>
      <c r="O6" s="96" t="n"/>
      <c r="P6" s="96" t="n"/>
      <c r="Q6" s="96" t="n"/>
      <c r="R6" s="96" t="n"/>
    </row>
    <row r="7" ht="12.75" customFormat="1" customHeight="1" s="96">
      <c r="A7" s="97" t="inlineStr">
        <is>
          <t>email address</t>
        </is>
      </c>
      <c r="B7" s="115" t="inlineStr">
        <is>
          <t>leesb@hanyang.ac.kr</t>
        </is>
      </c>
      <c r="C7" s="115" t="n"/>
      <c r="D7" s="115" t="n"/>
      <c r="E7" s="116" t="n"/>
      <c r="F7" s="117" t="inlineStr">
        <is>
          <t>continuous compounding interest rate</t>
        </is>
      </c>
      <c r="G7" s="118" t="n"/>
      <c r="H7" s="118" t="n"/>
      <c r="I7" s="118" t="n"/>
      <c r="J7" s="118" t="n"/>
      <c r="K7" s="118" t="n"/>
      <c r="L7" s="119" t="n"/>
      <c r="M7" s="96" t="n"/>
      <c r="N7" s="96" t="n"/>
      <c r="O7" s="96" t="n"/>
      <c r="P7" s="96" t="n"/>
      <c r="Q7" s="96" t="n"/>
      <c r="R7" s="96" t="n"/>
    </row>
    <row r="8" ht="12.75" customFormat="1" customHeight="1" s="96">
      <c r="A8" s="97" t="inlineStr">
        <is>
          <t>last revised date</t>
        </is>
      </c>
      <c r="B8" s="120" t="n">
        <v>38139</v>
      </c>
      <c r="C8" s="121" t="n"/>
      <c r="D8" s="121" t="n"/>
      <c r="E8" s="122" t="inlineStr">
        <is>
          <t>outputs</t>
        </is>
      </c>
      <c r="F8" s="123" t="inlineStr">
        <is>
          <t>Convertible bond lattice</t>
        </is>
      </c>
      <c r="G8" s="124" t="n"/>
      <c r="H8" s="125" t="n"/>
      <c r="I8" s="125" t="n"/>
      <c r="J8" s="125" t="n"/>
      <c r="K8" s="125" t="n"/>
      <c r="L8" s="126" t="n"/>
      <c r="M8" s="96" t="n"/>
      <c r="N8" s="96" t="n"/>
      <c r="O8" s="96" t="n"/>
      <c r="P8" s="96" t="n"/>
      <c r="Q8" s="96" t="n"/>
      <c r="R8" s="96" t="n"/>
    </row>
    <row r="9" ht="12.75" customFormat="1" customHeight="1" s="96">
      <c r="A9" s="97" t="inlineStr">
        <is>
          <t>references</t>
        </is>
      </c>
      <c r="B9" s="127" t="inlineStr">
        <is>
          <t>Brennan, M.J., and E.S. Schwartz. 1977. Convertible bonds: Valuation and optimal strategies for call and conversion. Journal of Finance, 32 (5), 1699-1715.</t>
        </is>
      </c>
      <c r="C9" s="121" t="n"/>
      <c r="D9" s="121" t="n"/>
      <c r="E9" s="121" t="n"/>
      <c r="F9" s="121" t="n"/>
      <c r="G9" s="10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</row>
    <row r="10" ht="12.75" customFormat="1" customHeight="1" s="96">
      <c r="A10" s="97" t="n"/>
      <c r="B10" s="121" t="inlineStr">
        <is>
          <t>Ch.10 of "The Oxford Guide to Financial Modeling" by Thomas S.Y. Ho and Sang Bin Lee, 2004, Oxford University Press</t>
        </is>
      </c>
      <c r="C10" s="121" t="n"/>
      <c r="D10" s="121" t="n"/>
      <c r="E10" s="121" t="n"/>
      <c r="F10" s="121" t="n"/>
      <c r="G10" s="10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</row>
    <row r="11" ht="12.75" customFormat="1" customHeight="1" s="128">
      <c r="A11" s="129" t="inlineStr">
        <is>
          <t>Descriptions</t>
        </is>
      </c>
      <c r="B11" s="130" t="n"/>
      <c r="C11" s="130" t="n"/>
      <c r="D11" s="130" t="n"/>
      <c r="E11" s="130" t="n"/>
      <c r="F11" s="130" t="n"/>
      <c r="G11" s="131" t="n"/>
    </row>
    <row r="12" ht="12.75" customFormat="1" customHeight="1" s="96">
      <c r="A12" s="132" t="n"/>
      <c r="B12" s="92" t="n"/>
      <c r="C12" s="92" t="n"/>
      <c r="D12" s="92" t="n"/>
      <c r="E12" s="92" t="n"/>
      <c r="F12" s="92" t="n"/>
      <c r="G12" s="106" t="n"/>
      <c r="H12" s="96" t="n"/>
      <c r="I12" s="96" t="n"/>
      <c r="J12" s="96" t="n"/>
      <c r="K12" s="96" t="n"/>
      <c r="L12" s="96" t="n"/>
      <c r="M12" s="96" t="n"/>
      <c r="N12" s="96" t="n"/>
      <c r="P12" s="96" t="n"/>
      <c r="Q12" s="96" t="n"/>
      <c r="R12" s="96" t="n"/>
    </row>
    <row r="13" ht="12.75" customFormat="1" customHeight="1" s="96">
      <c r="A13" s="133" t="inlineStr">
        <is>
          <t>financial model class</t>
        </is>
      </c>
      <c r="B13" s="134" t="inlineStr">
        <is>
          <t>relative valuation model</t>
        </is>
      </c>
      <c r="C13" s="134" t="n"/>
      <c r="D13" s="134" t="n"/>
      <c r="E13" s="134" t="n"/>
      <c r="F13" s="135" t="n"/>
      <c r="G13" s="96" t="n"/>
      <c r="H13" s="96" t="n"/>
      <c r="I13" s="96" t="n"/>
      <c r="J13" s="96" t="n"/>
      <c r="K13" s="96" t="n"/>
      <c r="L13" s="96" t="n"/>
      <c r="M13" s="96" t="n"/>
      <c r="N13" s="96" t="n"/>
      <c r="P13" s="96" t="n"/>
      <c r="Q13" s="96" t="n"/>
      <c r="R13" s="96" t="n"/>
    </row>
    <row r="14" ht="12.75" customFormat="1" customHeight="1" s="96">
      <c r="A14" s="136" t="inlineStr">
        <is>
          <t>issuer/modeler</t>
        </is>
      </c>
      <c r="B14" s="92" t="inlineStr">
        <is>
          <t>practitioner</t>
        </is>
      </c>
      <c r="C14" s="92" t="n"/>
      <c r="D14" s="92" t="n"/>
      <c r="E14" s="92" t="n"/>
      <c r="F14" s="137" t="n"/>
      <c r="P14" s="96" t="n"/>
      <c r="Q14" s="96" t="n"/>
      <c r="R14" s="96" t="n"/>
    </row>
    <row r="15" ht="12.75" customFormat="1" customHeight="1" s="96">
      <c r="A15" s="136" t="inlineStr">
        <is>
          <t>model type</t>
        </is>
      </c>
      <c r="B15" s="92" t="inlineStr">
        <is>
          <t>binomial model</t>
        </is>
      </c>
      <c r="C15" s="92" t="n"/>
      <c r="D15" s="92" t="n"/>
      <c r="E15" s="92" t="n"/>
      <c r="F15" s="137" t="n"/>
      <c r="P15" s="96" t="n"/>
      <c r="Q15" s="96" t="n"/>
      <c r="R15" s="96" t="n"/>
    </row>
    <row r="16" ht="12.75" customFormat="1" customHeight="1" s="96">
      <c r="A16" s="138" t="inlineStr">
        <is>
          <t>risk sources</t>
        </is>
      </c>
      <c r="B16" s="139" t="inlineStr">
        <is>
          <t>firm value</t>
        </is>
      </c>
      <c r="C16" s="92" t="n"/>
      <c r="D16" s="92" t="n"/>
      <c r="E16" s="92" t="n"/>
      <c r="F16" s="137" t="n"/>
      <c r="P16" s="96" t="n"/>
      <c r="Q16" s="96" t="n"/>
      <c r="R16" s="96" t="n"/>
    </row>
    <row r="17" ht="12.75" customFormat="1" customHeight="1" s="96">
      <c r="A17" s="138" t="inlineStr">
        <is>
          <t>risk distribution</t>
        </is>
      </c>
      <c r="B17" s="139" t="inlineStr">
        <is>
          <t>lognormal</t>
        </is>
      </c>
      <c r="C17" s="92" t="n"/>
      <c r="D17" s="92" t="n"/>
      <c r="E17" s="92" t="n"/>
      <c r="F17" s="137" t="n"/>
      <c r="P17" s="96" t="n"/>
      <c r="Q17" s="96" t="n"/>
      <c r="R17" s="96" t="n"/>
    </row>
    <row r="18" ht="12.75" customFormat="1" customHeight="1" s="96">
      <c r="A18" s="136" t="inlineStr">
        <is>
          <t>economic assumptions</t>
        </is>
      </c>
      <c r="B18" s="92" t="inlineStr">
        <is>
          <t>perfect capital market</t>
        </is>
      </c>
      <c r="C18" s="92" t="n"/>
      <c r="D18" s="92" t="n"/>
      <c r="E18" s="92" t="n"/>
      <c r="F18" s="137" t="n"/>
      <c r="P18" s="96" t="n"/>
      <c r="Q18" s="96" t="n"/>
      <c r="R18" s="96" t="n"/>
    </row>
    <row r="19" ht="12.75" customFormat="1" customHeight="1" s="96">
      <c r="A19" s="140" t="inlineStr">
        <is>
          <t>technical assumptions</t>
        </is>
      </c>
      <c r="B19" s="141" t="inlineStr">
        <is>
          <t>n=2</t>
        </is>
      </c>
      <c r="C19" s="141" t="inlineStr">
        <is>
          <t>continuous compounding interest rate</t>
        </is>
      </c>
      <c r="D19" s="141" t="n"/>
      <c r="E19" s="141" t="n"/>
      <c r="F19" s="142" t="n"/>
      <c r="P19" s="96" t="n"/>
      <c r="Q19" s="96" t="n"/>
      <c r="R19" s="96" t="n"/>
    </row>
    <row r="20" ht="12.75" customFormat="1" customHeight="1" s="96">
      <c r="A20" s="97" t="inlineStr">
        <is>
          <t>key words</t>
        </is>
      </c>
      <c r="B20" s="92" t="inlineStr">
        <is>
          <t>conversion value, investment value, conversion provision</t>
        </is>
      </c>
      <c r="C20" s="92" t="n"/>
      <c r="D20" s="92" t="n"/>
      <c r="E20" s="92" t="n"/>
      <c r="F20" s="92" t="n"/>
      <c r="P20" s="96" t="n"/>
      <c r="Q20" s="96" t="n"/>
      <c r="R20" s="96" t="n"/>
    </row>
    <row r="21" ht="12.75" customFormat="1" customHeight="1" s="96">
      <c r="A21" s="97" t="n"/>
      <c r="B21" s="120" t="n"/>
      <c r="C21" s="120" t="n"/>
      <c r="D21" s="120" t="n"/>
      <c r="E21" s="120" t="n"/>
      <c r="L21" s="96" t="n"/>
      <c r="M21" s="96" t="n"/>
      <c r="N21" s="96" t="n"/>
      <c r="O21" s="96" t="n"/>
      <c r="P21" s="96" t="n"/>
      <c r="Q21" s="96" t="n"/>
      <c r="R21" s="96" t="n"/>
    </row>
    <row r="22" ht="12.75" customFormat="1" customHeight="1" s="128">
      <c r="A22" s="129" t="inlineStr">
        <is>
          <t>Links</t>
        </is>
      </c>
      <c r="B22" s="143" t="n"/>
      <c r="C22" s="143" t="n"/>
      <c r="D22" s="143" t="n"/>
      <c r="E22" s="143" t="n"/>
    </row>
    <row r="23" ht="12.75" customFormat="1" customHeight="1" s="96">
      <c r="A23" s="97" t="inlineStr">
        <is>
          <t>data</t>
        </is>
      </c>
      <c r="B23" s="92" t="inlineStr">
        <is>
          <t>N/A</t>
        </is>
      </c>
      <c r="C23" s="120" t="n"/>
      <c r="D23" s="120" t="n"/>
      <c r="E23" s="120" t="n"/>
      <c r="L23" s="96" t="n"/>
      <c r="M23" s="96" t="n"/>
      <c r="N23" s="96" t="n"/>
      <c r="O23" s="96" t="n"/>
      <c r="P23" s="96" t="n"/>
      <c r="Q23" s="96" t="n"/>
      <c r="R23" s="96" t="n"/>
    </row>
    <row r="24" ht="12.75" customFormat="1" customHeight="1" s="96">
      <c r="A24" s="97" t="inlineStr">
        <is>
          <t>financial models</t>
        </is>
      </c>
      <c r="B24" s="121" t="inlineStr">
        <is>
          <t>12. Cox-Ross-Rubinstein model</t>
        </is>
      </c>
      <c r="C24" s="120" t="n"/>
      <c r="D24" s="120" t="n"/>
      <c r="E24" s="120" t="n"/>
      <c r="F24" s="96" t="n"/>
      <c r="G24" s="96" t="n"/>
    </row>
    <row r="25" ht="12.75" customFormat="1" customHeight="1" s="93">
      <c r="A25" s="94" t="inlineStr">
        <is>
          <t>Inputs</t>
        </is>
      </c>
      <c r="B25" s="94" t="n"/>
      <c r="N25" s="93" t="n"/>
      <c r="O25" s="93" t="n"/>
      <c r="P25" s="93" t="n"/>
      <c r="Q25" s="93" t="n"/>
      <c r="R25" s="93" t="n"/>
      <c r="S25" s="93" t="n"/>
      <c r="T25" s="93" t="n"/>
    </row>
    <row r="26" ht="12.75" customFormat="1" customHeight="1" s="144"/>
    <row r="27" ht="12.75" customHeight="1" s="145">
      <c r="A27" s="96" t="inlineStr">
        <is>
          <t>bond maturity (year)</t>
        </is>
      </c>
      <c r="B27" s="146" t="n">
        <v>10</v>
      </c>
    </row>
    <row r="28" ht="12.75" customHeight="1" s="145">
      <c r="A28" s="96" t="inlineStr">
        <is>
          <t xml:space="preserve">coupon rate </t>
        </is>
      </c>
      <c r="B28" s="147" t="n">
        <v>0.15</v>
      </c>
    </row>
    <row r="29" ht="12.75" customHeight="1" s="145">
      <c r="A29" s="96" t="inlineStr">
        <is>
          <t xml:space="preserve">conversion price </t>
        </is>
      </c>
      <c r="B29" s="148" t="n">
        <v>25</v>
      </c>
    </row>
    <row r="30" ht="12.75" customHeight="1" s="145">
      <c r="A30" s="96" t="inlineStr">
        <is>
          <t>par value</t>
        </is>
      </c>
      <c r="B30" s="148" t="n">
        <v>1000</v>
      </c>
    </row>
    <row r="31" ht="12.75" customHeight="1" s="145">
      <c r="A31" s="96" t="inlineStr">
        <is>
          <t xml:space="preserve">convetible bond price </t>
        </is>
      </c>
      <c r="B31" s="148" t="n">
        <v>1124</v>
      </c>
    </row>
    <row r="32" ht="12.75" customHeight="1" s="145">
      <c r="A32" s="96" t="inlineStr">
        <is>
          <t>common stock price</t>
        </is>
      </c>
      <c r="B32" s="148" t="n">
        <v>22</v>
      </c>
    </row>
    <row r="33" ht="12.75" customHeight="1" s="145">
      <c r="A33" s="96" t="inlineStr">
        <is>
          <t>dividend per share</t>
        </is>
      </c>
      <c r="B33" s="148" t="n">
        <v>1</v>
      </c>
    </row>
    <row r="34" ht="12.75" customHeight="1" s="145">
      <c r="A34" s="96" t="inlineStr">
        <is>
          <t>flat yield curve</t>
        </is>
      </c>
      <c r="B34" s="149" t="n">
        <v>0.15</v>
      </c>
    </row>
    <row r="35" ht="12.75" customHeight="1" s="145">
      <c r="A35" s="96" t="inlineStr">
        <is>
          <t>credit spread</t>
        </is>
      </c>
      <c r="B35" s="150" t="n">
        <v>0.01</v>
      </c>
    </row>
    <row r="36" ht="12.75" customHeight="1" s="145">
      <c r="B36" s="151" t="n"/>
    </row>
    <row r="37" ht="12.75" customFormat="1" customHeight="1" s="152">
      <c r="A37" s="153" t="inlineStr">
        <is>
          <t>Outputs</t>
        </is>
      </c>
    </row>
    <row r="38" ht="12.75" customHeight="1" s="145">
      <c r="B38" s="154" t="n"/>
    </row>
    <row r="39" ht="12.75" customHeight="1" s="145">
      <c r="A39" s="96" t="inlineStr">
        <is>
          <t xml:space="preserve">conversion ratio </t>
        </is>
      </c>
      <c r="B39" s="155">
        <f>$B$30/$B$29</f>
        <v/>
      </c>
    </row>
    <row r="40" ht="12.75" customHeight="1" s="145">
      <c r="A40" s="96" t="inlineStr">
        <is>
          <t>conversion value (parity)</t>
        </is>
      </c>
      <c r="B40" s="156">
        <f>$B$39*$B$32</f>
        <v/>
      </c>
    </row>
    <row r="41" ht="12.75" customHeight="1" s="145">
      <c r="A41" s="96" t="inlineStr">
        <is>
          <t>investment value</t>
        </is>
      </c>
      <c r="B41" s="156">
        <f>$C$44</f>
        <v/>
      </c>
      <c r="C41" s="157" t="inlineStr">
        <is>
          <t xml:space="preserve">year </t>
        </is>
      </c>
      <c r="D41" s="96" t="n">
        <v>0.5</v>
      </c>
      <c r="E41" s="96" t="n">
        <v>1</v>
      </c>
      <c r="F41" s="96" t="n">
        <v>1.5</v>
      </c>
      <c r="G41" s="96" t="n">
        <v>2</v>
      </c>
      <c r="H41" s="96" t="n">
        <v>2.5</v>
      </c>
      <c r="I41" s="96" t="n">
        <v>3</v>
      </c>
      <c r="J41" s="96" t="n">
        <v>3.5</v>
      </c>
      <c r="K41" s="96" t="n">
        <v>4</v>
      </c>
      <c r="L41" s="96" t="n">
        <v>4.5</v>
      </c>
      <c r="M41" s="96" t="n">
        <v>5</v>
      </c>
      <c r="N41" s="96" t="n">
        <v>5.5</v>
      </c>
      <c r="O41" s="96" t="n">
        <v>6</v>
      </c>
      <c r="P41" s="96" t="n">
        <v>6.5</v>
      </c>
      <c r="Q41" s="96" t="n">
        <v>7</v>
      </c>
      <c r="R41" s="96" t="n">
        <v>7.5</v>
      </c>
      <c r="S41" s="96" t="n">
        <v>8</v>
      </c>
      <c r="T41" s="96" t="n">
        <v>8.5</v>
      </c>
      <c r="U41" s="96" t="n">
        <v>9</v>
      </c>
      <c r="V41" s="96" t="n">
        <v>9.5</v>
      </c>
      <c r="W41" s="96" t="n">
        <v>10</v>
      </c>
      <c r="AL41" s="92" t="n">
        <v>1.5</v>
      </c>
      <c r="AM41" s="92" t="n">
        <v>1.5</v>
      </c>
    </row>
    <row r="42" ht="12.75" customHeight="1" s="145">
      <c r="C42" s="157" t="inlineStr">
        <is>
          <t xml:space="preserve">copoun </t>
        </is>
      </c>
      <c r="D42" s="96">
        <f>$B$30*$B$28/2</f>
        <v/>
      </c>
      <c r="E42" s="96">
        <f>$B$30*$B$28/2</f>
        <v/>
      </c>
      <c r="F42" s="96">
        <f>$B$30*$B$28/2</f>
        <v/>
      </c>
      <c r="G42" s="96">
        <f>$B$30*$B$28/2</f>
        <v/>
      </c>
      <c r="H42" s="96">
        <f>$B$30*$B$28/2</f>
        <v/>
      </c>
      <c r="I42" s="96">
        <f>$B$30*$B$28/2</f>
        <v/>
      </c>
      <c r="J42" s="96">
        <f>$B$30*$B$28/2</f>
        <v/>
      </c>
      <c r="K42" s="96">
        <f>$B$30*$B$28/2</f>
        <v/>
      </c>
      <c r="L42" s="96">
        <f>$B$30*$B$28/2</f>
        <v/>
      </c>
      <c r="M42" s="96">
        <f>$B$30*$B$28/2</f>
        <v/>
      </c>
      <c r="N42" s="96">
        <f>$B$30*$B$28/2</f>
        <v/>
      </c>
      <c r="O42" s="96">
        <f>$B$30*$B$28/2</f>
        <v/>
      </c>
      <c r="P42" s="96">
        <f>$B$30*$B$28/2</f>
        <v/>
      </c>
      <c r="Q42" s="96">
        <f>$B$30*$B$28/2</f>
        <v/>
      </c>
      <c r="R42" s="96">
        <f>$B$30*$B$28/2</f>
        <v/>
      </c>
      <c r="S42" s="96">
        <f>$B$30*$B$28/2</f>
        <v/>
      </c>
      <c r="T42" s="96">
        <f>$B$30*$B$28/2</f>
        <v/>
      </c>
      <c r="U42" s="96">
        <f>$B$30*$B$28/2</f>
        <v/>
      </c>
      <c r="V42" s="96">
        <f>$B$30*$B$28/2</f>
        <v/>
      </c>
      <c r="W42" s="96">
        <f>$B$30*$B$28/2</f>
        <v/>
      </c>
    </row>
    <row r="43" ht="12.75" customHeight="1" s="145">
      <c r="C43" s="157" t="inlineStr">
        <is>
          <t>principal</t>
        </is>
      </c>
      <c r="D43" s="96">
        <f>0</f>
        <v/>
      </c>
      <c r="E43" s="96">
        <f>0</f>
        <v/>
      </c>
      <c r="F43" s="96">
        <f>0</f>
        <v/>
      </c>
      <c r="G43" s="96">
        <f>0</f>
        <v/>
      </c>
      <c r="H43" s="96">
        <f>0</f>
        <v/>
      </c>
      <c r="I43" s="96">
        <f>0</f>
        <v/>
      </c>
      <c r="J43" s="96">
        <f>0</f>
        <v/>
      </c>
      <c r="K43" s="96">
        <f>0</f>
        <v/>
      </c>
      <c r="L43" s="96">
        <f>0</f>
        <v/>
      </c>
      <c r="M43" s="96">
        <f>0</f>
        <v/>
      </c>
      <c r="N43" s="96">
        <f>0</f>
        <v/>
      </c>
      <c r="O43" s="96">
        <f>0</f>
        <v/>
      </c>
      <c r="P43" s="96">
        <f>0</f>
        <v/>
      </c>
      <c r="Q43" s="96">
        <f>0</f>
        <v/>
      </c>
      <c r="R43" s="96">
        <f>0</f>
        <v/>
      </c>
      <c r="S43" s="96">
        <f>0</f>
        <v/>
      </c>
      <c r="T43" s="96">
        <f>0</f>
        <v/>
      </c>
      <c r="U43" s="96">
        <f>0</f>
        <v/>
      </c>
      <c r="V43" s="96">
        <f>0</f>
        <v/>
      </c>
      <c r="W43" s="96">
        <f>1000</f>
        <v/>
      </c>
    </row>
    <row r="44" ht="12.75" customHeight="1" s="145">
      <c r="C44" s="157">
        <f>SUM(D44:W44)</f>
        <v/>
      </c>
      <c r="D44" s="96">
        <f>(D42+D43)*EXP(-($B$34+$B$35)*D$41)</f>
        <v/>
      </c>
      <c r="E44" s="96">
        <f>(E42+E43)*EXP(-($B$34+$B$35)*E$41)</f>
        <v/>
      </c>
      <c r="F44" s="96">
        <f>(F42+F43)*EXP(-($B$34+$B$35)*F$41)</f>
        <v/>
      </c>
      <c r="G44" s="96">
        <f>(G42+G43)*EXP(-($B$34+$B$35)*G$41)</f>
        <v/>
      </c>
      <c r="H44" s="96">
        <f>(H42+H43)*EXP(-($B$34+$B$35)*H$41)</f>
        <v/>
      </c>
      <c r="I44" s="96">
        <f>(I42+I43)*EXP(-($B$34+$B$35)*I$41)</f>
        <v/>
      </c>
      <c r="J44" s="96">
        <f>(J42+J43)*EXP(-($B$34+$B$35)*J$41)</f>
        <v/>
      </c>
      <c r="K44" s="96">
        <f>(K42+K43)*EXP(-($B$34+$B$35)*K$41)</f>
        <v/>
      </c>
      <c r="L44" s="96">
        <f>(L42+L43)*EXP(-($B$34+$B$35)*L$41)</f>
        <v/>
      </c>
      <c r="M44" s="96">
        <f>(M42+M43)*EXP(-($B$34+$B$35)*M$41)</f>
        <v/>
      </c>
      <c r="N44" s="96">
        <f>(N42+N43)*EXP(-($B$34+$B$35)*N$41)</f>
        <v/>
      </c>
      <c r="O44" s="96">
        <f>(O42+O43)*EXP(-($B$34+$B$35)*O$41)</f>
        <v/>
      </c>
      <c r="P44" s="96">
        <f>(P42+P43)*EXP(-($B$34+$B$35)*P$41)</f>
        <v/>
      </c>
      <c r="Q44" s="96">
        <f>(Q42+Q43)*EXP(-($B$34+$B$35)*Q$41)</f>
        <v/>
      </c>
      <c r="R44" s="96">
        <f>(R42+R43)*EXP(-($B$34+$B$35)*R$41)</f>
        <v/>
      </c>
      <c r="S44" s="96">
        <f>(S42+S43)*EXP(-($B$34+$B$35)*S$41)</f>
        <v/>
      </c>
      <c r="T44" s="96">
        <f>(T42+T43)*EXP(-($B$34+$B$35)*T$41)</f>
        <v/>
      </c>
      <c r="U44" s="96">
        <f>(U42+U43)*EXP(-($B$34+$B$35)*U$41)</f>
        <v/>
      </c>
      <c r="V44" s="96">
        <f>(V42+V43)*EXP(-($B$34+$B$35)*V$41)</f>
        <v/>
      </c>
      <c r="W44" s="96">
        <f>(W42+W43)*EXP(-($B$34+$B$35)*W$41)</f>
        <v/>
      </c>
    </row>
  </sheetData>
  <hyperlinks>
    <hyperlink xmlns:r="http://schemas.openxmlformats.org/officeDocument/2006/relationships" ref="B7" display="leesb@hanyang.ac.kr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M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87890625" defaultRowHeight="12.75" zeroHeight="0" outlineLevelRow="0"/>
  <cols>
    <col width="21.88" customWidth="1" style="92" min="1" max="1"/>
    <col width="9.77" customWidth="1" style="92" min="2" max="26"/>
    <col width="9.880000000000001" customWidth="1" style="92" min="27" max="29"/>
    <col width="8.880000000000001" customWidth="1" style="92" min="30" max="257"/>
  </cols>
  <sheetData>
    <row r="1" ht="12.75" customFormat="1" customHeight="1" s="93">
      <c r="A1" s="94" t="inlineStr">
        <is>
          <t>Convertible Bond</t>
        </is>
      </c>
      <c r="D1" s="95" t="inlineStr">
        <is>
          <t>© copyright THC 2003. All rights reserved by Thomas Ho Company, New York, NY. USA      www. thomasho.com       tom.ho@thomasho.com</t>
        </is>
      </c>
    </row>
    <row r="2" ht="12.75" customFormat="1" customHeight="1" s="96">
      <c r="A2" s="97" t="inlineStr">
        <is>
          <t>reference number</t>
        </is>
      </c>
      <c r="B2" s="96" t="n">
        <v>129</v>
      </c>
    </row>
    <row r="3" ht="12.75" customFormat="1" customHeight="1" s="96">
      <c r="A3" s="97" t="inlineStr">
        <is>
          <t>Version</t>
        </is>
      </c>
      <c r="B3" s="98" t="n">
        <v>1</v>
      </c>
      <c r="E3" s="99" t="inlineStr">
        <is>
          <t>Instructions</t>
        </is>
      </c>
      <c r="F3" s="100" t="n"/>
      <c r="G3" s="100" t="n"/>
      <c r="H3" s="100" t="n"/>
      <c r="I3" s="100" t="n"/>
      <c r="J3" s="100" t="n"/>
      <c r="K3" s="100" t="n"/>
      <c r="L3" s="101" t="n"/>
      <c r="N3" s="96" t="n"/>
      <c r="O3" s="96" t="n"/>
      <c r="P3" s="96" t="n"/>
      <c r="Q3" s="96" t="n"/>
      <c r="R3" s="96" t="n"/>
    </row>
    <row r="4" ht="12.75" customFormat="1" customHeight="1" s="96">
      <c r="A4" s="97" t="inlineStr">
        <is>
          <t>publication date</t>
        </is>
      </c>
      <c r="B4" s="102" t="n">
        <v>38139</v>
      </c>
      <c r="E4" s="103" t="inlineStr">
        <is>
          <t xml:space="preserve">A convertible bond is a bond with an embedded call option on the company's stock. To incorporate the credit risk, we use the firm value, not the stock value, as the underlying risk source.  </t>
        </is>
      </c>
      <c r="F4" s="104" t="n"/>
      <c r="G4" s="104" t="n"/>
      <c r="H4" s="104" t="n"/>
      <c r="I4" s="104" t="n"/>
      <c r="J4" s="104" t="n"/>
      <c r="K4" s="104" t="n"/>
      <c r="L4" s="105" t="n"/>
      <c r="N4" s="96" t="n"/>
      <c r="O4" s="96" t="n"/>
      <c r="P4" s="96" t="n"/>
      <c r="Q4" s="96" t="n"/>
      <c r="R4" s="96" t="n"/>
    </row>
    <row r="5" ht="12.75" customFormat="1" customHeight="1" s="96">
      <c r="A5" s="97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7" t="inlineStr">
        <is>
          <t xml:space="preserve">only risk source for the compound option. </t>
        </is>
      </c>
      <c r="F5" s="108" t="n"/>
      <c r="G5" s="108" t="n"/>
      <c r="H5" s="108" t="n"/>
      <c r="I5" s="108" t="n"/>
      <c r="J5" s="108" t="n"/>
      <c r="K5" s="108" t="n"/>
      <c r="L5" s="109" t="n"/>
      <c r="N5" s="96" t="n"/>
      <c r="O5" s="96" t="n"/>
      <c r="P5" s="96" t="n"/>
      <c r="Q5" s="96" t="n"/>
      <c r="R5" s="96" t="n"/>
    </row>
    <row r="6" ht="12.75" customFormat="1" customHeight="1" s="96">
      <c r="A6" s="97" t="inlineStr">
        <is>
          <t>affiliation</t>
        </is>
      </c>
      <c r="B6" s="106" t="inlineStr">
        <is>
          <t>Hanyang University</t>
        </is>
      </c>
      <c r="C6" s="106" t="n"/>
      <c r="D6" s="106" t="n"/>
      <c r="E6" s="110" t="inlineStr">
        <is>
          <t>inputs</t>
        </is>
      </c>
      <c r="F6" s="111" t="inlineStr">
        <is>
          <t>firm value, firm voaltility, conversion price,</t>
        </is>
      </c>
      <c r="G6" s="112" t="n"/>
      <c r="H6" s="113" t="n"/>
      <c r="I6" s="113" t="n"/>
      <c r="J6" s="113" t="n"/>
      <c r="K6" s="113" t="n"/>
      <c r="L6" s="114" t="n"/>
      <c r="M6" s="96" t="n"/>
      <c r="N6" s="96" t="n"/>
      <c r="O6" s="96" t="n"/>
      <c r="P6" s="96" t="n"/>
      <c r="Q6" s="96" t="n"/>
      <c r="R6" s="96" t="n"/>
    </row>
    <row r="7" ht="12.75" customFormat="1" customHeight="1" s="96">
      <c r="A7" s="97" t="inlineStr">
        <is>
          <t>email address</t>
        </is>
      </c>
      <c r="B7" s="115" t="inlineStr">
        <is>
          <t>leesb@hanyang.ac.kr</t>
        </is>
      </c>
      <c r="C7" s="115" t="n"/>
      <c r="D7" s="115" t="n"/>
      <c r="E7" s="116" t="n"/>
      <c r="F7" s="117" t="inlineStr">
        <is>
          <t>continuous compounding interest rate</t>
        </is>
      </c>
      <c r="G7" s="118" t="n"/>
      <c r="H7" s="118" t="n"/>
      <c r="I7" s="118" t="n"/>
      <c r="J7" s="118" t="n"/>
      <c r="K7" s="118" t="n"/>
      <c r="L7" s="119" t="n"/>
      <c r="M7" s="96" t="n"/>
      <c r="N7" s="96" t="n"/>
      <c r="O7" s="96" t="n"/>
      <c r="P7" s="96" t="n"/>
      <c r="Q7" s="96" t="n"/>
      <c r="R7" s="96" t="n"/>
    </row>
    <row r="8" ht="12.75" customFormat="1" customHeight="1" s="96">
      <c r="A8" s="97" t="inlineStr">
        <is>
          <t>last revised date</t>
        </is>
      </c>
      <c r="B8" s="120" t="n">
        <v>38139</v>
      </c>
      <c r="C8" s="121" t="n"/>
      <c r="D8" s="121" t="n"/>
      <c r="E8" s="122" t="inlineStr">
        <is>
          <t>outputs</t>
        </is>
      </c>
      <c r="F8" s="123" t="inlineStr">
        <is>
          <t>Convertible bond lattice</t>
        </is>
      </c>
      <c r="G8" s="124" t="n"/>
      <c r="H8" s="125" t="n"/>
      <c r="I8" s="125" t="n"/>
      <c r="J8" s="125" t="n"/>
      <c r="K8" s="125" t="n"/>
      <c r="L8" s="126" t="n"/>
      <c r="M8" s="96" t="n"/>
      <c r="N8" s="96" t="n"/>
      <c r="O8" s="96" t="n"/>
      <c r="P8" s="96" t="n"/>
      <c r="Q8" s="96" t="n"/>
      <c r="R8" s="96" t="n"/>
    </row>
    <row r="9" ht="12.75" customFormat="1" customHeight="1" s="96">
      <c r="A9" s="97" t="inlineStr">
        <is>
          <t>references</t>
        </is>
      </c>
      <c r="B9" s="127" t="inlineStr">
        <is>
          <t>Brennan, M.J., and E.S. Schwartz. 1977. Convertible bonds: Valuation and optimal strategies for call and conversion. Journal of Finance, 32 (5), 1699-1715.</t>
        </is>
      </c>
      <c r="C9" s="121" t="n"/>
      <c r="D9" s="121" t="n"/>
      <c r="E9" s="121" t="n"/>
      <c r="F9" s="121" t="n"/>
      <c r="G9" s="10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</row>
    <row r="10" ht="12.75" customFormat="1" customHeight="1" s="96">
      <c r="A10" s="97" t="n"/>
      <c r="B10" s="121" t="inlineStr">
        <is>
          <t>Ch.10 of "The Oxford Guide to Financial Modeling" by Thomas S.Y. Ho and Sang Bin Lee, 2004, Oxford University Press</t>
        </is>
      </c>
      <c r="C10" s="121" t="n"/>
      <c r="D10" s="121" t="n"/>
      <c r="E10" s="121" t="n"/>
      <c r="F10" s="121" t="n"/>
      <c r="G10" s="10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</row>
    <row r="11" ht="12.75" customFormat="1" customHeight="1" s="128">
      <c r="A11" s="129" t="inlineStr">
        <is>
          <t>Descriptions</t>
        </is>
      </c>
      <c r="B11" s="130" t="n"/>
      <c r="C11" s="130" t="n"/>
      <c r="D11" s="130" t="n"/>
      <c r="E11" s="130" t="n"/>
      <c r="F11" s="130" t="n"/>
      <c r="G11" s="131" t="n"/>
    </row>
    <row r="12" ht="12.75" customFormat="1" customHeight="1" s="96">
      <c r="A12" s="132" t="n"/>
      <c r="B12" s="92" t="n"/>
      <c r="C12" s="92" t="n"/>
      <c r="D12" s="92" t="n"/>
      <c r="E12" s="92" t="n"/>
      <c r="F12" s="92" t="n"/>
      <c r="G12" s="106" t="n"/>
      <c r="H12" s="96" t="n"/>
      <c r="I12" s="96" t="n"/>
      <c r="J12" s="96" t="n"/>
      <c r="K12" s="96" t="n"/>
      <c r="L12" s="96" t="n"/>
      <c r="M12" s="96" t="n"/>
      <c r="N12" s="96" t="n"/>
      <c r="P12" s="96" t="n"/>
      <c r="Q12" s="96" t="n"/>
      <c r="R12" s="96" t="n"/>
    </row>
    <row r="13" ht="12.75" customFormat="1" customHeight="1" s="96">
      <c r="A13" s="133" t="inlineStr">
        <is>
          <t>financial model class</t>
        </is>
      </c>
      <c r="B13" s="134" t="inlineStr">
        <is>
          <t>relative valuation model</t>
        </is>
      </c>
      <c r="C13" s="134" t="n"/>
      <c r="D13" s="134" t="n"/>
      <c r="E13" s="134" t="n"/>
      <c r="F13" s="135" t="n"/>
      <c r="G13" s="96" t="n"/>
      <c r="H13" s="96" t="n"/>
      <c r="I13" s="96" t="n"/>
      <c r="J13" s="96" t="n"/>
      <c r="K13" s="96" t="n"/>
      <c r="L13" s="96" t="n"/>
      <c r="M13" s="96" t="n"/>
      <c r="N13" s="96" t="n"/>
      <c r="P13" s="96" t="n"/>
      <c r="Q13" s="96" t="n"/>
      <c r="R13" s="96" t="n"/>
    </row>
    <row r="14" ht="12.75" customFormat="1" customHeight="1" s="96">
      <c r="A14" s="136" t="inlineStr">
        <is>
          <t>issuer/modeler</t>
        </is>
      </c>
      <c r="B14" s="92" t="inlineStr">
        <is>
          <t>practitioner</t>
        </is>
      </c>
      <c r="C14" s="92" t="n"/>
      <c r="D14" s="92" t="n"/>
      <c r="E14" s="92" t="n"/>
      <c r="F14" s="137" t="n"/>
      <c r="P14" s="96" t="n"/>
      <c r="Q14" s="96" t="n"/>
      <c r="R14" s="96" t="n"/>
    </row>
    <row r="15" ht="12.75" customFormat="1" customHeight="1" s="96">
      <c r="A15" s="136" t="inlineStr">
        <is>
          <t>model type</t>
        </is>
      </c>
      <c r="B15" s="92" t="inlineStr">
        <is>
          <t>binomial model</t>
        </is>
      </c>
      <c r="C15" s="92" t="n"/>
      <c r="D15" s="92" t="n"/>
      <c r="E15" s="92" t="n"/>
      <c r="F15" s="137" t="n"/>
      <c r="P15" s="96" t="n"/>
      <c r="Q15" s="96" t="n"/>
      <c r="R15" s="96" t="n"/>
    </row>
    <row r="16" ht="12.75" customFormat="1" customHeight="1" s="96">
      <c r="A16" s="138" t="inlineStr">
        <is>
          <t>risk sources</t>
        </is>
      </c>
      <c r="B16" s="139" t="inlineStr">
        <is>
          <t>firm value</t>
        </is>
      </c>
      <c r="C16" s="92" t="n"/>
      <c r="D16" s="92" t="n"/>
      <c r="E16" s="92" t="n"/>
      <c r="F16" s="137" t="n"/>
      <c r="P16" s="96" t="n"/>
      <c r="Q16" s="96" t="n"/>
      <c r="R16" s="96" t="n"/>
    </row>
    <row r="17" ht="12.75" customFormat="1" customHeight="1" s="96">
      <c r="A17" s="138" t="inlineStr">
        <is>
          <t>risk distribution</t>
        </is>
      </c>
      <c r="B17" s="139" t="inlineStr">
        <is>
          <t>lognormal</t>
        </is>
      </c>
      <c r="C17" s="92" t="n"/>
      <c r="D17" s="92" t="n"/>
      <c r="E17" s="92" t="n"/>
      <c r="F17" s="137" t="n"/>
      <c r="P17" s="96" t="n"/>
      <c r="Q17" s="96" t="n"/>
      <c r="R17" s="96" t="n"/>
    </row>
    <row r="18" ht="12.75" customFormat="1" customHeight="1" s="96">
      <c r="A18" s="136" t="inlineStr">
        <is>
          <t>economic assumptions</t>
        </is>
      </c>
      <c r="B18" s="92" t="inlineStr">
        <is>
          <t>perfect capital market</t>
        </is>
      </c>
      <c r="C18" s="92" t="n"/>
      <c r="D18" s="92" t="n"/>
      <c r="E18" s="92" t="n"/>
      <c r="F18" s="137" t="n"/>
      <c r="P18" s="96" t="n"/>
      <c r="Q18" s="96" t="n"/>
      <c r="R18" s="96" t="n"/>
    </row>
    <row r="19" ht="12.75" customFormat="1" customHeight="1" s="96">
      <c r="A19" s="140" t="inlineStr">
        <is>
          <t>technical assumptions</t>
        </is>
      </c>
      <c r="B19" s="141" t="inlineStr">
        <is>
          <t>n=2</t>
        </is>
      </c>
      <c r="C19" s="141" t="inlineStr">
        <is>
          <t>continuous compounding interest rate</t>
        </is>
      </c>
      <c r="D19" s="141" t="n"/>
      <c r="E19" s="141" t="n"/>
      <c r="F19" s="142" t="n"/>
      <c r="P19" s="96" t="n"/>
      <c r="Q19" s="96" t="n"/>
      <c r="R19" s="96" t="n"/>
    </row>
    <row r="20" ht="12.75" customFormat="1" customHeight="1" s="96">
      <c r="A20" s="97" t="inlineStr">
        <is>
          <t>key words</t>
        </is>
      </c>
      <c r="B20" s="92" t="inlineStr">
        <is>
          <t>conversion value, investment value, conversion provision</t>
        </is>
      </c>
      <c r="C20" s="92" t="n"/>
      <c r="D20" s="92" t="n"/>
      <c r="E20" s="92" t="n"/>
      <c r="F20" s="92" t="n"/>
      <c r="P20" s="96" t="n"/>
      <c r="Q20" s="96" t="n"/>
      <c r="R20" s="96" t="n"/>
    </row>
    <row r="21" ht="12.75" customFormat="1" customHeight="1" s="96">
      <c r="A21" s="97" t="n"/>
      <c r="B21" s="120" t="n"/>
      <c r="C21" s="120" t="n"/>
      <c r="D21" s="120" t="n"/>
      <c r="E21" s="120" t="n"/>
      <c r="L21" s="96" t="n"/>
      <c r="M21" s="96" t="n"/>
      <c r="N21" s="96" t="n"/>
      <c r="O21" s="96" t="n"/>
      <c r="P21" s="96" t="n"/>
      <c r="Q21" s="96" t="n"/>
      <c r="R21" s="96" t="n"/>
    </row>
    <row r="22" ht="12.75" customFormat="1" customHeight="1" s="128">
      <c r="A22" s="129" t="inlineStr">
        <is>
          <t>Links</t>
        </is>
      </c>
      <c r="B22" s="143" t="n"/>
      <c r="C22" s="143" t="n"/>
      <c r="D22" s="143" t="n"/>
      <c r="E22" s="143" t="n"/>
    </row>
    <row r="23" ht="12.75" customFormat="1" customHeight="1" s="96">
      <c r="A23" s="97" t="inlineStr">
        <is>
          <t>data</t>
        </is>
      </c>
      <c r="B23" s="92" t="inlineStr">
        <is>
          <t>N/A</t>
        </is>
      </c>
      <c r="C23" s="120" t="n"/>
      <c r="D23" s="120" t="n"/>
      <c r="E23" s="120" t="n"/>
      <c r="L23" s="96" t="n"/>
      <c r="M23" s="96" t="n"/>
      <c r="N23" s="96" t="n"/>
      <c r="O23" s="96" t="n"/>
      <c r="P23" s="96" t="n"/>
      <c r="Q23" s="96" t="n"/>
      <c r="R23" s="96" t="n"/>
    </row>
    <row r="24" ht="12.75" customFormat="1" customHeight="1" s="96">
      <c r="A24" s="97" t="inlineStr">
        <is>
          <t>financial models</t>
        </is>
      </c>
      <c r="B24" s="121" t="inlineStr">
        <is>
          <t>12. Cox-Ross-Rubinstein model</t>
        </is>
      </c>
      <c r="C24" s="120" t="n"/>
      <c r="D24" s="120" t="n"/>
      <c r="E24" s="120" t="n"/>
      <c r="F24" s="96" t="n"/>
      <c r="G24" s="96" t="n"/>
    </row>
    <row r="25" ht="12.75" customFormat="1" customHeight="1" s="93">
      <c r="A25" s="94" t="inlineStr">
        <is>
          <t>Inputs</t>
        </is>
      </c>
      <c r="B25" s="94" t="n"/>
      <c r="N25" s="93" t="n"/>
      <c r="O25" s="93" t="n"/>
      <c r="P25" s="93" t="n"/>
      <c r="Q25" s="93" t="n"/>
      <c r="R25" s="93" t="n"/>
      <c r="S25" s="93" t="n"/>
      <c r="T25" s="93" t="n"/>
    </row>
    <row r="26" ht="12.75" customFormat="1" customHeight="1" s="144"/>
    <row r="27" ht="12.75" customHeight="1" s="145">
      <c r="A27" s="96" t="inlineStr">
        <is>
          <t>bond maturity (year)</t>
        </is>
      </c>
      <c r="B27" s="146" t="n">
        <v>10</v>
      </c>
    </row>
    <row r="28" ht="12.75" customHeight="1" s="145">
      <c r="A28" s="96" t="inlineStr">
        <is>
          <t xml:space="preserve">coupon rate </t>
        </is>
      </c>
      <c r="B28" s="147" t="n">
        <v>0.15</v>
      </c>
    </row>
    <row r="29" ht="12.75" customHeight="1" s="145">
      <c r="A29" s="96" t="inlineStr">
        <is>
          <t xml:space="preserve">conversion price </t>
        </is>
      </c>
      <c r="B29" s="148" t="n">
        <v>25</v>
      </c>
    </row>
    <row r="30" ht="12.75" customHeight="1" s="145">
      <c r="A30" s="96" t="inlineStr">
        <is>
          <t>par value</t>
        </is>
      </c>
      <c r="B30" s="148" t="n">
        <v>1000</v>
      </c>
    </row>
    <row r="31" ht="12.75" customHeight="1" s="145">
      <c r="A31" s="96" t="inlineStr">
        <is>
          <t xml:space="preserve">convetible bond price </t>
        </is>
      </c>
      <c r="B31" s="148" t="n">
        <v>1124</v>
      </c>
    </row>
    <row r="32" ht="12.75" customHeight="1" s="145">
      <c r="A32" s="96" t="inlineStr">
        <is>
          <t>common stock price</t>
        </is>
      </c>
      <c r="B32" s="148" t="n">
        <v>22</v>
      </c>
    </row>
    <row r="33" ht="12.75" customHeight="1" s="145">
      <c r="A33" s="96" t="inlineStr">
        <is>
          <t>dividend per share</t>
        </is>
      </c>
      <c r="B33" s="148" t="n">
        <v>1</v>
      </c>
    </row>
    <row r="34" ht="12.75" customHeight="1" s="145">
      <c r="A34" s="96" t="inlineStr">
        <is>
          <t>flat yield curve</t>
        </is>
      </c>
      <c r="B34" s="149" t="n">
        <v>0.16</v>
      </c>
    </row>
    <row r="35" ht="12.75" customHeight="1" s="145">
      <c r="A35" s="96" t="inlineStr">
        <is>
          <t>credit spread</t>
        </is>
      </c>
      <c r="B35" s="150" t="n">
        <v>0.01</v>
      </c>
    </row>
    <row r="36" ht="12.75" customHeight="1" s="145">
      <c r="B36" s="151" t="n"/>
    </row>
    <row r="37" ht="12.75" customFormat="1" customHeight="1" s="152">
      <c r="A37" s="153" t="inlineStr">
        <is>
          <t>Outputs</t>
        </is>
      </c>
    </row>
    <row r="38" ht="12.75" customHeight="1" s="145">
      <c r="B38" s="154" t="n"/>
    </row>
    <row r="39" ht="12.75" customHeight="1" s="145">
      <c r="A39" s="96" t="inlineStr">
        <is>
          <t xml:space="preserve">conversion ratio </t>
        </is>
      </c>
      <c r="B39" s="155">
        <f>$B$30/$B$29</f>
        <v/>
      </c>
    </row>
    <row r="40" ht="12.75" customHeight="1" s="145">
      <c r="A40" s="96" t="inlineStr">
        <is>
          <t>conversion value (parity)</t>
        </is>
      </c>
      <c r="B40" s="156">
        <f>$B$39*$B$32</f>
        <v/>
      </c>
    </row>
    <row r="41" ht="12.75" customHeight="1" s="145">
      <c r="A41" s="96" t="inlineStr">
        <is>
          <t>investment value</t>
        </is>
      </c>
      <c r="B41" s="156">
        <f>$C$44</f>
        <v/>
      </c>
      <c r="C41" s="157" t="inlineStr">
        <is>
          <t xml:space="preserve">year </t>
        </is>
      </c>
      <c r="D41" s="96" t="n">
        <v>0.5</v>
      </c>
      <c r="E41" s="96" t="n">
        <v>1</v>
      </c>
      <c r="F41" s="96" t="n">
        <v>1.5</v>
      </c>
      <c r="G41" s="96" t="n">
        <v>2</v>
      </c>
      <c r="H41" s="96" t="n">
        <v>2.5</v>
      </c>
      <c r="I41" s="96" t="n">
        <v>3</v>
      </c>
      <c r="J41" s="96" t="n">
        <v>3.5</v>
      </c>
      <c r="K41" s="96" t="n">
        <v>4</v>
      </c>
      <c r="L41" s="96" t="n">
        <v>4.5</v>
      </c>
      <c r="M41" s="96" t="n">
        <v>5</v>
      </c>
      <c r="N41" s="96" t="n">
        <v>5.5</v>
      </c>
      <c r="O41" s="96" t="n">
        <v>6</v>
      </c>
      <c r="P41" s="96" t="n">
        <v>6.5</v>
      </c>
      <c r="Q41" s="96" t="n">
        <v>7</v>
      </c>
      <c r="R41" s="96" t="n">
        <v>7.5</v>
      </c>
      <c r="S41" s="96" t="n">
        <v>8</v>
      </c>
      <c r="T41" s="96" t="n">
        <v>8.5</v>
      </c>
      <c r="U41" s="96" t="n">
        <v>9</v>
      </c>
      <c r="V41" s="96" t="n">
        <v>9.5</v>
      </c>
      <c r="W41" s="96" t="n">
        <v>10</v>
      </c>
      <c r="AL41" s="92" t="n">
        <v>1.5</v>
      </c>
      <c r="AM41" s="92" t="n">
        <v>1.5</v>
      </c>
    </row>
    <row r="42" ht="12.75" customHeight="1" s="145">
      <c r="C42" s="157" t="inlineStr">
        <is>
          <t xml:space="preserve">copoun </t>
        </is>
      </c>
      <c r="D42" s="96">
        <f>$B$30*$B$28/2</f>
        <v/>
      </c>
      <c r="E42" s="96">
        <f>$B$30*$B$28/2</f>
        <v/>
      </c>
      <c r="F42" s="96">
        <f>$B$30*$B$28/2</f>
        <v/>
      </c>
      <c r="G42" s="96">
        <f>$B$30*$B$28/2</f>
        <v/>
      </c>
      <c r="H42" s="96">
        <f>$B$30*$B$28/2</f>
        <v/>
      </c>
      <c r="I42" s="96">
        <f>$B$30*$B$28/2</f>
        <v/>
      </c>
      <c r="J42" s="96">
        <f>$B$30*$B$28/2</f>
        <v/>
      </c>
      <c r="K42" s="96">
        <f>$B$30*$B$28/2</f>
        <v/>
      </c>
      <c r="L42" s="96">
        <f>$B$30*$B$28/2</f>
        <v/>
      </c>
      <c r="M42" s="96">
        <f>$B$30*$B$28/2</f>
        <v/>
      </c>
      <c r="N42" s="96">
        <f>$B$30*$B$28/2</f>
        <v/>
      </c>
      <c r="O42" s="96">
        <f>$B$30*$B$28/2</f>
        <v/>
      </c>
      <c r="P42" s="96">
        <f>$B$30*$B$28/2</f>
        <v/>
      </c>
      <c r="Q42" s="96">
        <f>$B$30*$B$28/2</f>
        <v/>
      </c>
      <c r="R42" s="96">
        <f>$B$30*$B$28/2</f>
        <v/>
      </c>
      <c r="S42" s="96">
        <f>$B$30*$B$28/2</f>
        <v/>
      </c>
      <c r="T42" s="96">
        <f>$B$30*$B$28/2</f>
        <v/>
      </c>
      <c r="U42" s="96">
        <f>$B$30*$B$28/2</f>
        <v/>
      </c>
      <c r="V42" s="96">
        <f>$B$30*$B$28/2</f>
        <v/>
      </c>
      <c r="W42" s="96">
        <f>$B$30*$B$28/2</f>
        <v/>
      </c>
    </row>
    <row r="43" ht="12.75" customHeight="1" s="145">
      <c r="C43" s="157" t="inlineStr">
        <is>
          <t>principal</t>
        </is>
      </c>
      <c r="D43" s="96">
        <f>0</f>
        <v/>
      </c>
      <c r="E43" s="96">
        <f>0</f>
        <v/>
      </c>
      <c r="F43" s="96">
        <f>0</f>
        <v/>
      </c>
      <c r="G43" s="96">
        <f>0</f>
        <v/>
      </c>
      <c r="H43" s="96">
        <f>0</f>
        <v/>
      </c>
      <c r="I43" s="96">
        <f>0</f>
        <v/>
      </c>
      <c r="J43" s="96">
        <f>0</f>
        <v/>
      </c>
      <c r="K43" s="96">
        <f>0</f>
        <v/>
      </c>
      <c r="L43" s="96">
        <f>0</f>
        <v/>
      </c>
      <c r="M43" s="96">
        <f>0</f>
        <v/>
      </c>
      <c r="N43" s="96">
        <f>0</f>
        <v/>
      </c>
      <c r="O43" s="96">
        <f>0</f>
        <v/>
      </c>
      <c r="P43" s="96">
        <f>0</f>
        <v/>
      </c>
      <c r="Q43" s="96">
        <f>0</f>
        <v/>
      </c>
      <c r="R43" s="96">
        <f>0</f>
        <v/>
      </c>
      <c r="S43" s="96">
        <f>0</f>
        <v/>
      </c>
      <c r="T43" s="96">
        <f>0</f>
        <v/>
      </c>
      <c r="U43" s="96">
        <f>0</f>
        <v/>
      </c>
      <c r="V43" s="96">
        <f>0</f>
        <v/>
      </c>
      <c r="W43" s="96">
        <f>1000</f>
        <v/>
      </c>
    </row>
    <row r="44" ht="12.75" customHeight="1" s="145">
      <c r="C44" s="157">
        <f>SUM(D44:W44)</f>
        <v/>
      </c>
      <c r="D44" s="96">
        <f>(D42+D43)*EXP(-($B$34+$B$35)*D$41)</f>
        <v/>
      </c>
      <c r="E44" s="96">
        <f>(E42+E43)*EXP(-($B$34+$B$35)*E$41)</f>
        <v/>
      </c>
      <c r="F44" s="96">
        <f>(F42+F43)*EXP(-($B$34+$B$35)*F$41)</f>
        <v/>
      </c>
      <c r="G44" s="96">
        <f>(G42+G43)*EXP(-($B$34+$B$35)*G$41)</f>
        <v/>
      </c>
      <c r="H44" s="96">
        <f>(H42+H43)*EXP(-($B$34+$B$35)*H$41)</f>
        <v/>
      </c>
      <c r="I44" s="96">
        <f>(I42+I43)*EXP(-($B$34+$B$35)*I$41)</f>
        <v/>
      </c>
      <c r="J44" s="96">
        <f>(J42+J43)*EXP(-($B$34+$B$35)*J$41)</f>
        <v/>
      </c>
      <c r="K44" s="96">
        <f>(K42+K43)*EXP(-($B$34+$B$35)*K$41)</f>
        <v/>
      </c>
      <c r="L44" s="96">
        <f>(L42+L43)*EXP(-($B$34+$B$35)*L$41)</f>
        <v/>
      </c>
      <c r="M44" s="96">
        <f>(M42+M43)*EXP(-($B$34+$B$35)*M$41)</f>
        <v/>
      </c>
      <c r="N44" s="96">
        <f>(N42+N43)*EXP(-($B$34+$B$35)*N$41)</f>
        <v/>
      </c>
      <c r="O44" s="96">
        <f>(O42+O43)*EXP(-($B$34+$B$35)*O$41)</f>
        <v/>
      </c>
      <c r="P44" s="96">
        <f>(P42+P43)*EXP(-($B$34+$B$35)*P$41)</f>
        <v/>
      </c>
      <c r="Q44" s="96">
        <f>(Q42+Q43)*EXP(-($B$34+$B$35)*Q$41)</f>
        <v/>
      </c>
      <c r="R44" s="96">
        <f>(R42+R43)*EXP(-($B$34+$B$35)*R$41)</f>
        <v/>
      </c>
      <c r="S44" s="96">
        <f>(S42+S43)*EXP(-($B$34+$B$35)*S$41)</f>
        <v/>
      </c>
      <c r="T44" s="96">
        <f>(T42+T43)*EXP(-($B$34+$B$35)*T$41)</f>
        <v/>
      </c>
      <c r="U44" s="96">
        <f>(U42+U43)*EXP(-($B$34+$B$35)*U$41)</f>
        <v/>
      </c>
      <c r="V44" s="96">
        <f>(V42+V43)*EXP(-($B$34+$B$35)*V$41)</f>
        <v/>
      </c>
      <c r="W44" s="96">
        <f>(W42+W43)*EXP(-($B$34+$B$35)*W$41)</f>
        <v/>
      </c>
    </row>
  </sheetData>
  <hyperlinks>
    <hyperlink xmlns:r="http://schemas.openxmlformats.org/officeDocument/2006/relationships" ref="B7" display="leesb@hanyang.ac.kr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T1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87890625" defaultRowHeight="12.75" zeroHeight="0" outlineLevelRow="0"/>
  <cols>
    <col width="21.22" customWidth="1" style="96" min="1" max="1"/>
    <col width="8.880000000000001" customWidth="1" style="92" min="2" max="2"/>
    <col width="18.88" customWidth="1" style="92" min="3" max="3"/>
    <col width="9.880000000000001" customWidth="1" style="92" min="4" max="16"/>
    <col width="13.1" customWidth="1" style="92" min="17" max="17"/>
    <col width="13.99" customWidth="1" style="92" min="18" max="18"/>
    <col width="9.880000000000001" customWidth="1" style="92" min="19" max="29"/>
    <col width="8.880000000000001" customWidth="1" style="92" min="30" max="257"/>
  </cols>
  <sheetData>
    <row r="1" ht="12.75" customFormat="1" customHeight="1" s="93">
      <c r="A1" s="94" t="inlineStr">
        <is>
          <t>Convertible Bond</t>
        </is>
      </c>
      <c r="D1" s="95" t="inlineStr">
        <is>
          <t>© copyright THC 2003. All rights reserved by Thomas Ho Company, New York, NY. USA      www. thomasho.com       tom.ho@thomasho.com</t>
        </is>
      </c>
    </row>
    <row r="2" ht="12.75" customFormat="1" customHeight="1" s="96">
      <c r="A2" s="97" t="inlineStr">
        <is>
          <t>reference number</t>
        </is>
      </c>
      <c r="B2" s="96" t="n">
        <v>129</v>
      </c>
    </row>
    <row r="3" ht="12.75" customFormat="1" customHeight="1" s="96">
      <c r="A3" s="97" t="inlineStr">
        <is>
          <t>Version</t>
        </is>
      </c>
      <c r="B3" s="98" t="n">
        <v>1</v>
      </c>
      <c r="E3" s="99" t="inlineStr">
        <is>
          <t>Instructions</t>
        </is>
      </c>
      <c r="F3" s="100" t="n"/>
      <c r="G3" s="100" t="n"/>
      <c r="H3" s="100" t="n"/>
      <c r="I3" s="100" t="n"/>
      <c r="J3" s="100" t="n"/>
      <c r="K3" s="100" t="n"/>
      <c r="L3" s="101" t="n"/>
      <c r="N3" s="96" t="n"/>
      <c r="O3" s="96" t="n"/>
      <c r="P3" s="96" t="n"/>
      <c r="Q3" s="96" t="n"/>
      <c r="R3" s="96" t="n"/>
    </row>
    <row r="4" ht="12.75" customFormat="1" customHeight="1" s="96">
      <c r="A4" s="97" t="inlineStr">
        <is>
          <t>publication date</t>
        </is>
      </c>
      <c r="B4" s="102" t="n">
        <v>38139</v>
      </c>
      <c r="E4" s="103" t="inlineStr">
        <is>
          <t xml:space="preserve">A convertible bond is a bond with an embedded call option on the company's stock. To incorporate the credit risk, we use the firm value, not the stock value, as the underlying risk source.  </t>
        </is>
      </c>
      <c r="F4" s="104" t="n"/>
      <c r="G4" s="104" t="n"/>
      <c r="H4" s="104" t="n"/>
      <c r="I4" s="104" t="n"/>
      <c r="J4" s="104" t="n"/>
      <c r="K4" s="104" t="n"/>
      <c r="L4" s="105" t="n"/>
      <c r="N4" s="96" t="n"/>
      <c r="O4" s="96" t="n"/>
      <c r="P4" s="96" t="n"/>
      <c r="Q4" s="96" t="n"/>
      <c r="R4" s="96" t="n"/>
    </row>
    <row r="5" ht="12.75" customFormat="1" customHeight="1" s="96">
      <c r="A5" s="97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7" t="inlineStr">
        <is>
          <t xml:space="preserve">only risk source for the compound option. </t>
        </is>
      </c>
      <c r="F5" s="108" t="n"/>
      <c r="G5" s="108" t="n"/>
      <c r="H5" s="108" t="n"/>
      <c r="I5" s="108" t="n"/>
      <c r="J5" s="108" t="n"/>
      <c r="K5" s="108" t="n"/>
      <c r="L5" s="109" t="n"/>
      <c r="N5" s="96" t="n"/>
      <c r="O5" s="96" t="n"/>
      <c r="P5" s="96" t="n"/>
      <c r="Q5" s="96" t="n"/>
      <c r="R5" s="96" t="n"/>
    </row>
    <row r="6" ht="12.75" customFormat="1" customHeight="1" s="96">
      <c r="A6" s="97" t="inlineStr">
        <is>
          <t>affiliation</t>
        </is>
      </c>
      <c r="B6" s="106" t="inlineStr">
        <is>
          <t>Hanyang University</t>
        </is>
      </c>
      <c r="C6" s="106" t="n"/>
      <c r="D6" s="106" t="n"/>
      <c r="E6" s="110" t="inlineStr">
        <is>
          <t>inputs</t>
        </is>
      </c>
      <c r="F6" s="111" t="inlineStr">
        <is>
          <t>firm value, firm voaltility, conversion price,</t>
        </is>
      </c>
      <c r="G6" s="112" t="n"/>
      <c r="H6" s="113" t="n"/>
      <c r="I6" s="113" t="n"/>
      <c r="J6" s="113" t="n"/>
      <c r="K6" s="113" t="n"/>
      <c r="L6" s="114" t="n"/>
      <c r="M6" s="96" t="n"/>
      <c r="N6" s="96" t="n"/>
      <c r="O6" s="96" t="n"/>
      <c r="P6" s="96" t="n"/>
      <c r="Q6" s="96" t="n"/>
      <c r="R6" s="96" t="n"/>
    </row>
    <row r="7" ht="12.75" customFormat="1" customHeight="1" s="96">
      <c r="A7" s="97" t="inlineStr">
        <is>
          <t>email address</t>
        </is>
      </c>
      <c r="B7" s="115" t="inlineStr">
        <is>
          <t>leesb@hanyang.ac.kr</t>
        </is>
      </c>
      <c r="C7" s="115" t="n"/>
      <c r="D7" s="115" t="n"/>
      <c r="E7" s="116" t="n"/>
      <c r="F7" s="117" t="inlineStr">
        <is>
          <t>continuous compounding interest rate</t>
        </is>
      </c>
      <c r="G7" s="118" t="n"/>
      <c r="H7" s="118" t="n"/>
      <c r="I7" s="118" t="n"/>
      <c r="J7" s="118" t="n"/>
      <c r="K7" s="118" t="n"/>
      <c r="L7" s="119" t="n"/>
      <c r="M7" s="96" t="n"/>
      <c r="N7" s="96" t="n"/>
      <c r="O7" s="96" t="n"/>
      <c r="P7" s="96" t="n"/>
      <c r="Q7" s="96" t="n"/>
      <c r="R7" s="96" t="n"/>
    </row>
    <row r="8" ht="12.75" customFormat="1" customHeight="1" s="96">
      <c r="A8" s="97" t="inlineStr">
        <is>
          <t>last revised date</t>
        </is>
      </c>
      <c r="B8" s="120" t="n">
        <v>38139</v>
      </c>
      <c r="C8" s="121" t="n"/>
      <c r="D8" s="121" t="n"/>
      <c r="E8" s="122" t="inlineStr">
        <is>
          <t>outputs</t>
        </is>
      </c>
      <c r="F8" s="123" t="inlineStr">
        <is>
          <t>Convertible bond lattice</t>
        </is>
      </c>
      <c r="G8" s="124" t="n"/>
      <c r="H8" s="125" t="n"/>
      <c r="I8" s="125" t="n"/>
      <c r="J8" s="125" t="n"/>
      <c r="K8" s="125" t="n"/>
      <c r="L8" s="126" t="n"/>
      <c r="M8" s="96" t="n"/>
      <c r="N8" s="96" t="n"/>
      <c r="O8" s="96" t="n"/>
      <c r="P8" s="96" t="n"/>
      <c r="Q8" s="96" t="n"/>
      <c r="R8" s="96" t="n"/>
    </row>
    <row r="9" ht="12.75" customFormat="1" customHeight="1" s="96">
      <c r="A9" s="97" t="inlineStr">
        <is>
          <t>references</t>
        </is>
      </c>
      <c r="B9" s="127" t="inlineStr">
        <is>
          <t>Brennan, M.J., and E.S. Schwartz. 1977. Convertible bonds: Valuation and optimal strategies for call and conversion. Journal of Finance, 32 (5), 1699-1715.</t>
        </is>
      </c>
      <c r="C9" s="121" t="n"/>
      <c r="D9" s="121" t="n"/>
      <c r="E9" s="121" t="n"/>
      <c r="F9" s="121" t="n"/>
      <c r="G9" s="10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</row>
    <row r="10" ht="12.75" customFormat="1" customHeight="1" s="96">
      <c r="A10" s="97" t="n"/>
      <c r="B10" s="121" t="inlineStr">
        <is>
          <t>Ch.10 of "The Oxford Guide to Financial Modeling" by Thomas S.Y. Ho and Sang Bin Lee, 2004, Oxford University Press</t>
        </is>
      </c>
      <c r="C10" s="121" t="n"/>
      <c r="D10" s="121" t="n"/>
      <c r="E10" s="121" t="n"/>
      <c r="F10" s="121" t="n"/>
      <c r="G10" s="10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</row>
    <row r="11" ht="12.75" customFormat="1" customHeight="1" s="128">
      <c r="A11" s="129" t="inlineStr">
        <is>
          <t>Descriptions</t>
        </is>
      </c>
      <c r="B11" s="130" t="n"/>
      <c r="C11" s="130" t="n"/>
      <c r="D11" s="130" t="n"/>
      <c r="E11" s="130" t="n"/>
      <c r="F11" s="130" t="n"/>
      <c r="G11" s="131" t="n"/>
    </row>
    <row r="12" ht="12.75" customFormat="1" customHeight="1" s="96">
      <c r="A12" s="158" t="n"/>
      <c r="B12" s="92" t="n"/>
      <c r="C12" s="92" t="n"/>
      <c r="D12" s="92" t="n"/>
      <c r="E12" s="92" t="n"/>
      <c r="F12" s="92" t="n"/>
      <c r="G12" s="106" t="n"/>
      <c r="H12" s="96" t="n"/>
      <c r="I12" s="96" t="n"/>
      <c r="J12" s="96" t="n"/>
      <c r="K12" s="96" t="n"/>
      <c r="L12" s="96" t="n"/>
      <c r="M12" s="96" t="n"/>
      <c r="N12" s="96" t="n"/>
      <c r="P12" s="96" t="n"/>
      <c r="Q12" s="96" t="n"/>
      <c r="R12" s="96" t="n"/>
    </row>
    <row r="13" ht="12.75" customFormat="1" customHeight="1" s="96">
      <c r="A13" s="133" t="inlineStr">
        <is>
          <t>financial model class</t>
        </is>
      </c>
      <c r="B13" s="134" t="inlineStr">
        <is>
          <t>relative valuation model</t>
        </is>
      </c>
      <c r="C13" s="134" t="n"/>
      <c r="D13" s="134" t="n"/>
      <c r="E13" s="134" t="n"/>
      <c r="F13" s="135" t="n"/>
      <c r="G13" s="96" t="n"/>
      <c r="H13" s="96" t="n"/>
      <c r="I13" s="96" t="n"/>
      <c r="J13" s="96" t="n"/>
      <c r="K13" s="96" t="n"/>
      <c r="L13" s="96" t="n"/>
      <c r="M13" s="96" t="n"/>
      <c r="N13" s="96" t="n"/>
      <c r="P13" s="96" t="n"/>
      <c r="Q13" s="96" t="n"/>
      <c r="R13" s="96" t="n"/>
    </row>
    <row r="14" ht="12.75" customFormat="1" customHeight="1" s="96">
      <c r="A14" s="136" t="inlineStr">
        <is>
          <t>issuer/modeler</t>
        </is>
      </c>
      <c r="B14" s="92" t="inlineStr">
        <is>
          <t>practitioner</t>
        </is>
      </c>
      <c r="C14" s="92" t="n"/>
      <c r="D14" s="92" t="n"/>
      <c r="E14" s="92" t="n"/>
      <c r="F14" s="137" t="n"/>
      <c r="P14" s="96" t="n"/>
      <c r="Q14" s="96" t="n"/>
      <c r="R14" s="96" t="n"/>
    </row>
    <row r="15" ht="12.75" customFormat="1" customHeight="1" s="96">
      <c r="A15" s="136" t="inlineStr">
        <is>
          <t>model type</t>
        </is>
      </c>
      <c r="B15" s="92" t="inlineStr">
        <is>
          <t>binomial model</t>
        </is>
      </c>
      <c r="C15" s="92" t="n"/>
      <c r="D15" s="92" t="n"/>
      <c r="E15" s="92" t="n"/>
      <c r="F15" s="137" t="n"/>
      <c r="P15" s="96" t="n"/>
      <c r="Q15" s="96" t="n"/>
      <c r="R15" s="96" t="n"/>
    </row>
    <row r="16" ht="12.75" customFormat="1" customHeight="1" s="96">
      <c r="A16" s="138" t="inlineStr">
        <is>
          <t>risk sources</t>
        </is>
      </c>
      <c r="B16" s="139" t="inlineStr">
        <is>
          <t>firm value</t>
        </is>
      </c>
      <c r="C16" s="92" t="n"/>
      <c r="D16" s="92" t="n"/>
      <c r="E16" s="92" t="n"/>
      <c r="F16" s="137" t="n"/>
      <c r="P16" s="96" t="n"/>
      <c r="Q16" s="96" t="n"/>
      <c r="R16" s="96" t="n"/>
    </row>
    <row r="17" ht="12.75" customFormat="1" customHeight="1" s="96">
      <c r="A17" s="138" t="inlineStr">
        <is>
          <t>risk distribution</t>
        </is>
      </c>
      <c r="B17" s="139" t="inlineStr">
        <is>
          <t>lognormal</t>
        </is>
      </c>
      <c r="C17" s="92" t="n"/>
      <c r="D17" s="92" t="n"/>
      <c r="E17" s="92" t="n"/>
      <c r="F17" s="137" t="n"/>
      <c r="P17" s="96" t="n"/>
      <c r="Q17" s="96" t="n"/>
      <c r="R17" s="96" t="n"/>
    </row>
    <row r="18" ht="12.75" customFormat="1" customHeight="1" s="96">
      <c r="A18" s="136" t="inlineStr">
        <is>
          <t>economic assumptions</t>
        </is>
      </c>
      <c r="B18" s="92" t="inlineStr">
        <is>
          <t>perfect capital market</t>
        </is>
      </c>
      <c r="C18" s="92" t="n"/>
      <c r="D18" s="92" t="n"/>
      <c r="E18" s="92" t="n"/>
      <c r="F18" s="137" t="n"/>
      <c r="P18" s="96" t="n"/>
      <c r="Q18" s="96" t="n"/>
      <c r="R18" s="96" t="n"/>
    </row>
    <row r="19" ht="12.75" customFormat="1" customHeight="1" s="96">
      <c r="A19" s="140" t="inlineStr">
        <is>
          <t>technical assumptions</t>
        </is>
      </c>
      <c r="B19" s="141" t="inlineStr">
        <is>
          <t>n=2</t>
        </is>
      </c>
      <c r="C19" s="141" t="inlineStr">
        <is>
          <t>continuous compounding interest rate</t>
        </is>
      </c>
      <c r="D19" s="141" t="n"/>
      <c r="E19" s="141" t="n"/>
      <c r="F19" s="142" t="n"/>
      <c r="P19" s="96" t="n"/>
      <c r="Q19" s="96" t="n"/>
      <c r="R19" s="96" t="n"/>
    </row>
    <row r="20" ht="12.75" customFormat="1" customHeight="1" s="96">
      <c r="A20" s="97" t="inlineStr">
        <is>
          <t>key words</t>
        </is>
      </c>
      <c r="B20" s="92" t="inlineStr">
        <is>
          <t>conversion value, investment value, conversion provision</t>
        </is>
      </c>
      <c r="C20" s="92" t="n"/>
      <c r="D20" s="92" t="n"/>
      <c r="E20" s="92" t="n"/>
      <c r="F20" s="92" t="n"/>
      <c r="P20" s="96" t="n"/>
      <c r="Q20" s="96" t="n"/>
      <c r="R20" s="96" t="n"/>
    </row>
    <row r="21" ht="12.75" customFormat="1" customHeight="1" s="96">
      <c r="A21" s="97" t="n"/>
      <c r="B21" s="120" t="n"/>
      <c r="C21" s="120" t="n"/>
      <c r="D21" s="120" t="n"/>
      <c r="E21" s="120" t="n"/>
      <c r="L21" s="96" t="n"/>
      <c r="M21" s="96" t="n"/>
      <c r="N21" s="96" t="n"/>
      <c r="O21" s="96" t="n"/>
      <c r="P21" s="96" t="n"/>
      <c r="Q21" s="96" t="n"/>
      <c r="R21" s="96" t="n"/>
    </row>
    <row r="22" ht="12.75" customFormat="1" customHeight="1" s="128">
      <c r="A22" s="129" t="inlineStr">
        <is>
          <t>Links</t>
        </is>
      </c>
      <c r="B22" s="143" t="n"/>
      <c r="C22" s="143" t="n"/>
      <c r="D22" s="143" t="n"/>
      <c r="E22" s="143" t="n"/>
    </row>
    <row r="23" ht="12.75" customFormat="1" customHeight="1" s="96">
      <c r="A23" s="97" t="inlineStr">
        <is>
          <t>data</t>
        </is>
      </c>
      <c r="B23" s="92" t="inlineStr">
        <is>
          <t>N/A</t>
        </is>
      </c>
      <c r="C23" s="120" t="n"/>
      <c r="D23" s="120" t="n"/>
      <c r="E23" s="120" t="n"/>
      <c r="L23" s="96" t="n"/>
      <c r="M23" s="96" t="n"/>
      <c r="N23" s="96" t="n"/>
      <c r="O23" s="96" t="n"/>
      <c r="P23" s="96" t="n"/>
      <c r="Q23" s="96" t="n"/>
      <c r="R23" s="96" t="n"/>
    </row>
    <row r="24" ht="12.75" customFormat="1" customHeight="1" s="96">
      <c r="A24" s="97" t="inlineStr">
        <is>
          <t>financial models</t>
        </is>
      </c>
      <c r="B24" s="121" t="inlineStr">
        <is>
          <t>12. Cox-Ross-Rubinstein model</t>
        </is>
      </c>
      <c r="C24" s="120" t="n"/>
      <c r="D24" s="120" t="n"/>
      <c r="E24" s="120" t="n"/>
      <c r="F24" s="96" t="n"/>
      <c r="G24" s="96" t="n"/>
    </row>
    <row r="25" ht="12.75" customFormat="1" customHeight="1" s="93">
      <c r="A25" s="94" t="inlineStr">
        <is>
          <t>Inputs</t>
        </is>
      </c>
      <c r="B25" s="94" t="n"/>
      <c r="N25" s="93" t="n"/>
      <c r="O25" s="93" t="n"/>
      <c r="P25" s="93" t="n"/>
      <c r="Q25" s="93" t="n"/>
      <c r="R25" s="93" t="n"/>
      <c r="S25" s="93" t="n"/>
      <c r="T25" s="93" t="n"/>
    </row>
    <row r="26" ht="12.75" customFormat="1" customHeight="1" s="144">
      <c r="A26" s="159" t="n"/>
    </row>
    <row r="27" ht="12.75" customHeight="1" s="145">
      <c r="A27" s="96" t="inlineStr">
        <is>
          <t xml:space="preserve">Firm Value </t>
        </is>
      </c>
      <c r="B27" s="96" t="n"/>
      <c r="C27" s="160" t="n">
        <v>4.35948</v>
      </c>
    </row>
    <row r="28" ht="12.75" customHeight="1" s="145">
      <c r="A28" s="96" t="inlineStr">
        <is>
          <t>σ</t>
        </is>
      </c>
      <c r="B28" s="96" t="n"/>
      <c r="C28" s="160">
        <f>0.258408*SQRT(12)</f>
        <v/>
      </c>
    </row>
    <row r="29" ht="12.75" customHeight="1" s="145">
      <c r="A29" s="96" t="inlineStr">
        <is>
          <t>m</t>
        </is>
      </c>
      <c r="B29" s="96" t="n"/>
      <c r="C29" s="161" t="n">
        <v>2</v>
      </c>
    </row>
    <row r="30" ht="12.75" customHeight="1" s="145">
      <c r="A30" s="96" t="inlineStr">
        <is>
          <t>spot curve</t>
        </is>
      </c>
      <c r="B30" s="96" t="n"/>
      <c r="C30" s="162" t="n">
        <v>0.03</v>
      </c>
    </row>
    <row r="31" ht="12.75" customHeight="1" s="145">
      <c r="A31" s="96" t="inlineStr">
        <is>
          <t>interest rate volatility</t>
        </is>
      </c>
      <c r="B31" s="96" t="n"/>
      <c r="C31" s="163" t="n">
        <v>0.05</v>
      </c>
    </row>
    <row r="32" ht="12.75" customHeight="1" s="145">
      <c r="A32" s="96" t="inlineStr">
        <is>
          <t>time-to-maturity</t>
        </is>
      </c>
      <c r="B32" s="96" t="n"/>
      <c r="C32" s="163" t="inlineStr">
        <is>
          <t>7 years</t>
        </is>
      </c>
    </row>
    <row r="33" ht="12.75" customHeight="1" s="145">
      <c r="A33" s="96" t="inlineStr">
        <is>
          <t>outstanding shares</t>
        </is>
      </c>
      <c r="B33" s="96" t="n"/>
      <c r="C33" s="161">
        <f>370.308*10^6</f>
        <v/>
      </c>
    </row>
    <row r="34" ht="12.75" customHeight="1" s="145">
      <c r="A34" s="96" t="inlineStr">
        <is>
          <t>conversion price</t>
        </is>
      </c>
      <c r="B34" s="96" t="n"/>
      <c r="C34" s="164" t="n">
        <v>78.0277</v>
      </c>
    </row>
    <row r="35" ht="12.75" customHeight="1" s="145">
      <c r="A35" s="96" t="inlineStr">
        <is>
          <t>face value</t>
        </is>
      </c>
      <c r="B35" s="96" t="n"/>
      <c r="C35" s="164">
        <f>1.24981</f>
        <v/>
      </c>
    </row>
    <row r="36" ht="12.75" customHeight="1" s="145">
      <c r="A36" s="96" t="inlineStr">
        <is>
          <t>coupon rate</t>
        </is>
      </c>
      <c r="B36" s="96" t="n"/>
      <c r="C36" s="165" t="n">
        <v>0.0475</v>
      </c>
    </row>
    <row r="37" ht="12.75" customHeight="1" s="145">
      <c r="A37" s="96" t="inlineStr">
        <is>
          <t>level coupon rate</t>
        </is>
      </c>
      <c r="B37" s="96" t="n"/>
      <c r="C37" s="165">
        <f>$C$36/$C$29</f>
        <v/>
      </c>
    </row>
    <row r="38" ht="12.75" customHeight="1" s="145">
      <c r="C38" s="151" t="n"/>
    </row>
    <row r="39" ht="12.75" customHeight="1" s="145">
      <c r="C39" s="151" t="n"/>
    </row>
    <row r="40" ht="12.75" customFormat="1" customHeight="1" s="166">
      <c r="A40" s="153" t="inlineStr">
        <is>
          <t>Outputs</t>
        </is>
      </c>
    </row>
    <row r="41" ht="12.75" customHeight="1" s="145">
      <c r="C41" s="154" t="n"/>
    </row>
    <row r="42" ht="12.75" customHeight="1" s="145">
      <c r="D42" s="167" t="n"/>
      <c r="E42" s="167" t="n"/>
      <c r="F42" s="167" t="n"/>
      <c r="G42" s="167" t="n"/>
      <c r="H42" s="167" t="n"/>
      <c r="I42" s="167" t="n"/>
      <c r="J42" s="167" t="n"/>
      <c r="K42" s="167" t="n"/>
      <c r="L42" s="167" t="n"/>
      <c r="M42" s="167" t="n"/>
      <c r="N42" s="167" t="n"/>
      <c r="O42" s="167" t="n"/>
      <c r="P42" s="167" t="n"/>
      <c r="Q42" s="167" t="n"/>
      <c r="R42" s="167">
        <f>MIN($R122,$C$35+$C$37)</f>
        <v/>
      </c>
      <c r="S42" s="168" t="n"/>
    </row>
    <row r="43" ht="12.75" customHeight="1" s="145">
      <c r="D43" s="167" t="n"/>
      <c r="E43" s="167" t="n"/>
      <c r="F43" s="167" t="n"/>
      <c r="G43" s="167" t="n"/>
      <c r="H43" s="167" t="n"/>
      <c r="I43" s="167" t="n"/>
      <c r="J43" s="167" t="n"/>
      <c r="K43" s="167" t="n"/>
      <c r="L43" s="167" t="n"/>
      <c r="M43" s="167" t="n"/>
      <c r="N43" s="167" t="n"/>
      <c r="O43" s="167" t="n"/>
      <c r="P43" s="167" t="n"/>
      <c r="Q43" s="167">
        <f>MIN(Q123,(R42*Q106+R43*(1-Q106))*EXP(-(Q89))+$C$37*$C$35)</f>
        <v/>
      </c>
      <c r="R43" s="167">
        <f>MIN($R123,$C$35+$C$37)</f>
        <v/>
      </c>
      <c r="S43" s="168" t="n"/>
    </row>
    <row r="44" ht="12.75" customHeight="1" s="145">
      <c r="D44" s="167" t="n"/>
      <c r="E44" s="167" t="n"/>
      <c r="F44" s="167" t="n"/>
      <c r="G44" s="167" t="n"/>
      <c r="H44" s="167" t="n"/>
      <c r="I44" s="167" t="n"/>
      <c r="J44" s="167" t="n"/>
      <c r="K44" s="167" t="n"/>
      <c r="L44" s="167" t="n"/>
      <c r="M44" s="167" t="n"/>
      <c r="N44" s="167" t="n"/>
      <c r="O44" s="167" t="n"/>
      <c r="P44" s="167">
        <f>MIN(P124,(Q43*P107+Q44*(1-P107))*EXP(-(P90))+$C$37*$C$35)</f>
        <v/>
      </c>
      <c r="Q44" s="167">
        <f>MIN(Q124,(R43*Q107+R44*(1-Q107))*EXP(-(Q90))+$C$37*$C$35)</f>
        <v/>
      </c>
      <c r="R44" s="167">
        <f>MIN($R124,$C$35+$C$37)</f>
        <v/>
      </c>
      <c r="S44" s="168" t="n"/>
    </row>
    <row r="45" ht="12.75" customHeight="1" s="145">
      <c r="D45" s="167" t="n"/>
      <c r="E45" s="167" t="n"/>
      <c r="F45" s="167" t="n"/>
      <c r="G45" s="167" t="n"/>
      <c r="H45" s="167" t="n"/>
      <c r="I45" s="167" t="n"/>
      <c r="J45" s="167" t="n"/>
      <c r="K45" s="167" t="n"/>
      <c r="L45" s="167" t="n"/>
      <c r="M45" s="167" t="n"/>
      <c r="N45" s="167" t="n"/>
      <c r="O45" s="167">
        <f>MIN(O125,(P44*O108+P45*(1-O108))*EXP(-(O91))+$C$37*$C$35)</f>
        <v/>
      </c>
      <c r="P45" s="167">
        <f>MIN(P125,(Q44*P108+Q45*(1-P108))*EXP(-(P91))+$C$37*$C$35)</f>
        <v/>
      </c>
      <c r="Q45" s="167">
        <f>MIN(Q125,(R44*Q108+R45*(1-Q108))*EXP(-(Q91))+$C$37*$C$35)</f>
        <v/>
      </c>
      <c r="R45" s="167">
        <f>MIN($R125,$C$35+$C$37)</f>
        <v/>
      </c>
      <c r="S45" s="168" t="n"/>
    </row>
    <row r="46" ht="12.75" customHeight="1" s="145">
      <c r="D46" s="167" t="n"/>
      <c r="E46" s="167" t="n"/>
      <c r="F46" s="167" t="n"/>
      <c r="G46" s="167" t="n"/>
      <c r="H46" s="167" t="n"/>
      <c r="I46" s="167" t="n"/>
      <c r="J46" s="167" t="n"/>
      <c r="K46" s="167" t="n"/>
      <c r="L46" s="167" t="n"/>
      <c r="M46" s="167" t="n"/>
      <c r="N46" s="167">
        <f>MIN(N126,(O45*N109+O46*(1-N109))*EXP(-(N92))+$C$37*$C$35)</f>
        <v/>
      </c>
      <c r="O46" s="167">
        <f>MIN(O126,(P45*O109+P46*(1-O109))*EXP(-(O92))+$C$37*$C$35)</f>
        <v/>
      </c>
      <c r="P46" s="167">
        <f>MIN(P126,(Q45*P109+Q46*(1-P109))*EXP(-(P92))+$C$37*$C$35)</f>
        <v/>
      </c>
      <c r="Q46" s="167">
        <f>MIN(Q126,(R45*Q109+R46*(1-Q109))*EXP(-(Q92))+$C$37*$C$35)</f>
        <v/>
      </c>
      <c r="R46" s="167">
        <f>MIN($R126,$C$35+$C$37)</f>
        <v/>
      </c>
      <c r="S46" s="168" t="n"/>
    </row>
    <row r="47" ht="12.75" customHeight="1" s="145">
      <c r="D47" s="167" t="n"/>
      <c r="E47" s="167" t="n"/>
      <c r="F47" s="167" t="n"/>
      <c r="G47" s="167" t="n"/>
      <c r="H47" s="167" t="n"/>
      <c r="I47" s="167" t="n"/>
      <c r="J47" s="167" t="n"/>
      <c r="K47" s="167" t="n"/>
      <c r="L47" s="167" t="n"/>
      <c r="M47" s="167">
        <f>MIN(M127,(N46*M110+N47*(1-M110))*EXP(-(M93))+$C$37*$C$35)</f>
        <v/>
      </c>
      <c r="N47" s="167">
        <f>MIN(N127,(O46*N110+O47*(1-N110))*EXP(-(N93))+$C$37*$C$35)</f>
        <v/>
      </c>
      <c r="O47" s="167">
        <f>MIN(O127,(P46*O110+P47*(1-O110))*EXP(-(O93))+$C$37*$C$35)</f>
        <v/>
      </c>
      <c r="P47" s="167">
        <f>MIN(P127,(Q46*P110+Q47*(1-P110))*EXP(-(P93))+$C$37*$C$35)</f>
        <v/>
      </c>
      <c r="Q47" s="167">
        <f>MIN(Q127,(R46*Q110+R47*(1-Q110))*EXP(-(Q93))+$C$37*$C$35)</f>
        <v/>
      </c>
      <c r="R47" s="167">
        <f>MIN($R127,$C$35+$C$37)</f>
        <v/>
      </c>
      <c r="S47" s="168" t="n"/>
    </row>
    <row r="48" ht="12.75" customHeight="1" s="145">
      <c r="D48" s="167" t="n"/>
      <c r="E48" s="167" t="n"/>
      <c r="F48" s="167" t="n"/>
      <c r="G48" s="167" t="n"/>
      <c r="H48" s="167" t="n"/>
      <c r="I48" s="167" t="n"/>
      <c r="J48" s="167" t="n"/>
      <c r="K48" s="167" t="n"/>
      <c r="L48" s="167">
        <f>MIN(L128,(M47*L111+M48*(1-L111))*EXP(-(L94))+$C$37*$C$35)</f>
        <v/>
      </c>
      <c r="M48" s="167">
        <f>MIN(M128,(N47*M111+N48*(1-M111))*EXP(-(M94))+$C$37*$C$35)</f>
        <v/>
      </c>
      <c r="N48" s="167">
        <f>MIN(N128,(O47*N111+O48*(1-N111))*EXP(-(N94))+$C$37*$C$35)</f>
        <v/>
      </c>
      <c r="O48" s="167">
        <f>MIN(O128,(P47*O111+P48*(1-O111))*EXP(-(O94))+$C$37*$C$35)</f>
        <v/>
      </c>
      <c r="P48" s="167">
        <f>MIN(P128,(Q47*P111+Q48*(1-P111))*EXP(-(P94))+$C$37*$C$35)</f>
        <v/>
      </c>
      <c r="Q48" s="167">
        <f>MIN(Q128,(R47*Q111+R48*(1-Q111))*EXP(-(Q94))+$C$37*$C$35)</f>
        <v/>
      </c>
      <c r="R48" s="167">
        <f>MIN($R128,$C$35+$C$37)</f>
        <v/>
      </c>
      <c r="S48" s="168" t="n"/>
    </row>
    <row r="49" ht="12.75" customHeight="1" s="145">
      <c r="D49" s="167" t="n"/>
      <c r="E49" s="167" t="n"/>
      <c r="F49" s="167" t="n"/>
      <c r="G49" s="167" t="n"/>
      <c r="H49" s="167" t="n"/>
      <c r="I49" s="167" t="n"/>
      <c r="J49" s="167" t="n"/>
      <c r="K49" s="167">
        <f>MIN(K129,(L48*K112+L49*(1-K112))*EXP(-(K95))+$C$37*$C$35)</f>
        <v/>
      </c>
      <c r="L49" s="167">
        <f>MIN(L129,(M48*L112+M49*(1-L112))*EXP(-(L95))+$C$37*$C$35)</f>
        <v/>
      </c>
      <c r="M49" s="167">
        <f>MIN(M129,(N48*M112+N49*(1-M112))*EXP(-(M95))+$C$37*$C$35)</f>
        <v/>
      </c>
      <c r="N49" s="167">
        <f>MIN(N129,(O48*N112+O49*(1-N112))*EXP(-(N95))+$C$37*$C$35)</f>
        <v/>
      </c>
      <c r="O49" s="167">
        <f>MIN(O129,(P48*O112+P49*(1-O112))*EXP(-(O95))+$C$37*$C$35)</f>
        <v/>
      </c>
      <c r="P49" s="167">
        <f>MIN(P129,(Q48*P112+Q49*(1-P112))*EXP(-(P95))+$C$37*$C$35)</f>
        <v/>
      </c>
      <c r="Q49" s="167">
        <f>MIN(Q129,(R48*Q112+R49*(1-Q112))*EXP(-(Q95))+$C$37*$C$35)</f>
        <v/>
      </c>
      <c r="R49" s="167">
        <f>MIN($R129,$C$35+$C$37)</f>
        <v/>
      </c>
      <c r="S49" s="168" t="n"/>
    </row>
    <row r="50" ht="12.75" customHeight="1" s="145">
      <c r="D50" s="167" t="n"/>
      <c r="E50" s="167" t="n"/>
      <c r="F50" s="167" t="n"/>
      <c r="G50" s="167" t="n"/>
      <c r="H50" s="167" t="n"/>
      <c r="I50" s="167" t="n"/>
      <c r="J50" s="167">
        <f>MIN(J130,(K49*J113+K50*(1-J113))*EXP(-(J96))+$C$37*$C$35)</f>
        <v/>
      </c>
      <c r="K50" s="167">
        <f>MIN(K130,(L49*K113+L50*(1-K113))*EXP(-(K96))+$C$37*$C$35)</f>
        <v/>
      </c>
      <c r="L50" s="167">
        <f>MIN(L130,(M49*L113+M50*(1-L113))*EXP(-(L96))+$C$37*$C$35)</f>
        <v/>
      </c>
      <c r="M50" s="167">
        <f>MIN(M130,(N49*M113+N50*(1-M113))*EXP(-(M96))+$C$37*$C$35)</f>
        <v/>
      </c>
      <c r="N50" s="167">
        <f>MIN(N130,(O49*N113+O50*(1-N113))*EXP(-(N96))+$C$37*$C$35)</f>
        <v/>
      </c>
      <c r="O50" s="167">
        <f>MIN(O130,(P49*O113+P50*(1-O113))*EXP(-(O96))+$C$37*$C$35)</f>
        <v/>
      </c>
      <c r="P50" s="167">
        <f>MIN(P130,(Q49*P113+Q50*(1-P113))*EXP(-(P96))+$C$37*$C$35)</f>
        <v/>
      </c>
      <c r="Q50" s="167">
        <f>MIN(Q130,(R49*Q113+R50*(1-Q113))*EXP(-(Q96))+$C$37*$C$35)</f>
        <v/>
      </c>
      <c r="R50" s="167">
        <f>MIN($R130,$C$35+$C$37)</f>
        <v/>
      </c>
      <c r="S50" s="168" t="n"/>
    </row>
    <row r="51" ht="12.75" customHeight="1" s="145">
      <c r="D51" s="167" t="n"/>
      <c r="E51" s="167" t="n"/>
      <c r="F51" s="167" t="n"/>
      <c r="G51" s="167" t="n"/>
      <c r="H51" s="167" t="n"/>
      <c r="I51" s="167">
        <f>MIN(I131,(J50*I114+J51*(1-I114))*EXP(-(I97))+$C$37*$C$35)</f>
        <v/>
      </c>
      <c r="J51" s="167">
        <f>MIN(J131,(K50*J114+K51*(1-J114))*EXP(-(J97))+$C$37*$C$35)</f>
        <v/>
      </c>
      <c r="K51" s="167">
        <f>MIN(K131,(L50*K114+L51*(1-K114))*EXP(-(K97))+$C$37*$C$35)</f>
        <v/>
      </c>
      <c r="L51" s="167">
        <f>MIN(L131,(M50*L114+M51*(1-L114))*EXP(-(L97))+$C$37*$C$35)</f>
        <v/>
      </c>
      <c r="M51" s="167">
        <f>MIN(M131,(N50*M114+N51*(1-M114))*EXP(-(M97))+$C$37*$C$35)</f>
        <v/>
      </c>
      <c r="N51" s="167">
        <f>MIN(N131,(O50*N114+O51*(1-N114))*EXP(-(N97))+$C$37*$C$35)</f>
        <v/>
      </c>
      <c r="O51" s="167">
        <f>MIN(O131,(P50*O114+P51*(1-O114))*EXP(-(O97))+$C$37*$C$35)</f>
        <v/>
      </c>
      <c r="P51" s="167">
        <f>MIN(P131,(Q50*P114+Q51*(1-P114))*EXP(-(P97))+$C$37*$C$35)</f>
        <v/>
      </c>
      <c r="Q51" s="167">
        <f>MIN(Q131,(R50*Q114+R51*(1-Q114))*EXP(-(Q97))+$C$37*$C$35)</f>
        <v/>
      </c>
      <c r="R51" s="167">
        <f>MIN($R131,$C$35+$C$37)</f>
        <v/>
      </c>
      <c r="S51" s="168" t="n"/>
    </row>
    <row r="52" ht="12.75" customHeight="1" s="145">
      <c r="D52" s="167" t="n"/>
      <c r="E52" s="167" t="n"/>
      <c r="F52" s="167" t="n"/>
      <c r="G52" s="167" t="n"/>
      <c r="H52" s="167">
        <f>MIN(H132,(I51*H115+I52*(1-H115))*EXP(-(H98))+$C$37*$C$35)</f>
        <v/>
      </c>
      <c r="I52" s="167">
        <f>MIN(I132,(J51*I115+J52*(1-I115))*EXP(-(I98))+$C$37*$C$35)</f>
        <v/>
      </c>
      <c r="J52" s="167">
        <f>MIN(J132,(K51*J115+K52*(1-J115))*EXP(-(J98))+$C$37*$C$35)</f>
        <v/>
      </c>
      <c r="K52" s="167">
        <f>MIN(K132,(L51*K115+L52*(1-K115))*EXP(-(K98))+$C$37*$C$35)</f>
        <v/>
      </c>
      <c r="L52" s="167">
        <f>MIN(L132,(M51*L115+M52*(1-L115))*EXP(-(L98))+$C$37*$C$35)</f>
        <v/>
      </c>
      <c r="M52" s="167">
        <f>MIN(M132,(N51*M115+N52*(1-M115))*EXP(-(M98))+$C$37*$C$35)</f>
        <v/>
      </c>
      <c r="N52" s="167">
        <f>MIN(N132,(O51*N115+O52*(1-N115))*EXP(-(N98))+$C$37*$C$35)</f>
        <v/>
      </c>
      <c r="O52" s="167">
        <f>MIN(O132,(P51*O115+P52*(1-O115))*EXP(-(O98))+$C$37*$C$35)</f>
        <v/>
      </c>
      <c r="P52" s="167">
        <f>MIN(P132,(Q51*P115+Q52*(1-P115))*EXP(-(P98))+$C$37*$C$35)</f>
        <v/>
      </c>
      <c r="Q52" s="167">
        <f>MIN(Q132,(R51*Q115+R52*(1-Q115))*EXP(-(Q98))+$C$37*$C$35)</f>
        <v/>
      </c>
      <c r="R52" s="167">
        <f>MIN($R132,$C$35+$C$37)</f>
        <v/>
      </c>
      <c r="S52" s="168" t="n"/>
    </row>
    <row r="53" ht="12.75" customHeight="1" s="145">
      <c r="D53" s="167" t="n"/>
      <c r="E53" s="167" t="n"/>
      <c r="F53" s="167" t="n"/>
      <c r="G53" s="167">
        <f>MIN(G133,(H52*G116+H53*(1-G116))*EXP(-(G99))+$C$37*$C$35)</f>
        <v/>
      </c>
      <c r="H53" s="167">
        <f>MIN(H133,(I52*H116+I53*(1-H116))*EXP(-(H99))+$C$37*$C$35)</f>
        <v/>
      </c>
      <c r="I53" s="167">
        <f>MIN(I133,(J52*I116+J53*(1-I116))*EXP(-(I99))+$C$37*$C$35)</f>
        <v/>
      </c>
      <c r="J53" s="167">
        <f>MIN(J133,(K52*J116+K53*(1-J116))*EXP(-(J99))+$C$37*$C$35)</f>
        <v/>
      </c>
      <c r="K53" s="167">
        <f>MIN(K133,(L52*K116+L53*(1-K116))*EXP(-(K99))+$C$37*$C$35)</f>
        <v/>
      </c>
      <c r="L53" s="167">
        <f>MIN(L133,(M52*L116+M53*(1-L116))*EXP(-(L99))+$C$37*$C$35)</f>
        <v/>
      </c>
      <c r="M53" s="167">
        <f>MIN(M133,(N52*M116+N53*(1-M116))*EXP(-(M99))+$C$37*$C$35)</f>
        <v/>
      </c>
      <c r="N53" s="167">
        <f>MIN(N133,(O52*N116+O53*(1-N116))*EXP(-(N99))+$C$37*$C$35)</f>
        <v/>
      </c>
      <c r="O53" s="167">
        <f>MIN(O133,(P52*O116+P53*(1-O116))*EXP(-(O99))+$C$37*$C$35)</f>
        <v/>
      </c>
      <c r="P53" s="167">
        <f>MIN(P133,(Q52*P116+Q53*(1-P116))*EXP(-(P99))+$C$37*$C$35)</f>
        <v/>
      </c>
      <c r="Q53" s="167">
        <f>MIN(Q133,(R52*Q116+R53*(1-Q116))*EXP(-(Q99))+$C$37*$C$35)</f>
        <v/>
      </c>
      <c r="R53" s="167">
        <f>MIN($R133,$C$35+$C$37)</f>
        <v/>
      </c>
      <c r="S53" s="168" t="n"/>
    </row>
    <row r="54" ht="12.75" customHeight="1" s="145">
      <c r="D54" s="167" t="n"/>
      <c r="E54" s="167" t="n"/>
      <c r="F54" s="167">
        <f>MIN(F134,(G53*F117+G54*(1-F117))*EXP(-(F100))+$C$37*$C$35)</f>
        <v/>
      </c>
      <c r="G54" s="167">
        <f>MIN(G134,(H53*G117+H54*(1-G117))*EXP(-(G100))+$C$37*$C$35)</f>
        <v/>
      </c>
      <c r="H54" s="167">
        <f>MIN(H134,(I53*H117+I54*(1-H117))*EXP(-(H100))+$C$37*$C$35)</f>
        <v/>
      </c>
      <c r="I54" s="167">
        <f>MIN(I134,(J53*I117+J54*(1-I117))*EXP(-(I100))+$C$37*$C$35)</f>
        <v/>
      </c>
      <c r="J54" s="167">
        <f>MIN(J134,(K53*J117+K54*(1-J117))*EXP(-(J100))+$C$37*$C$35)</f>
        <v/>
      </c>
      <c r="K54" s="167">
        <f>MIN(K134,(L53*K117+L54*(1-K117))*EXP(-(K100))+$C$37*$C$35)</f>
        <v/>
      </c>
      <c r="L54" s="167">
        <f>MIN(L134,(M53*L117+M54*(1-L117))*EXP(-(L100))+$C$37*$C$35)</f>
        <v/>
      </c>
      <c r="M54" s="167">
        <f>MIN(M134,(N53*M117+N54*(1-M117))*EXP(-(M100))+$C$37*$C$35)</f>
        <v/>
      </c>
      <c r="N54" s="167">
        <f>MIN(N134,(O53*N117+O54*(1-N117))*EXP(-(N100))+$C$37*$C$35)</f>
        <v/>
      </c>
      <c r="O54" s="167">
        <f>MIN(O134,(P53*O117+P54*(1-O117))*EXP(-(O100))+$C$37*$C$35)</f>
        <v/>
      </c>
      <c r="P54" s="167">
        <f>MIN(P134,(Q53*P117+Q54*(1-P117))*EXP(-(P100))+$C$37*$C$35)</f>
        <v/>
      </c>
      <c r="Q54" s="167">
        <f>MIN(Q134,(R53*Q117+R54*(1-Q117))*EXP(-(Q100))+$C$37*$C$35)</f>
        <v/>
      </c>
      <c r="R54" s="167">
        <f>MIN($R134,$C$35+$C$37)</f>
        <v/>
      </c>
      <c r="S54" s="168" t="n"/>
    </row>
    <row r="55" ht="12.75" customHeight="1" s="145">
      <c r="D55" s="167" t="n"/>
      <c r="E55" s="167">
        <f>MIN(E135,(F54*E118+F55*(1-E118))*EXP(-(E101))+$C$37*$C$35)</f>
        <v/>
      </c>
      <c r="F55" s="167">
        <f>MIN(F135,(G54*F118+G55*(1-F118))*EXP(-(F101))+$C$37*$C$35)</f>
        <v/>
      </c>
      <c r="G55" s="167">
        <f>MIN(G135,(H54*G118+H55*(1-G118))*EXP(-(G101))+$C$37*$C$35)</f>
        <v/>
      </c>
      <c r="H55" s="167">
        <f>MIN(H135,(I54*H118+I55*(1-H118))*EXP(-(H101))+$C$37*$C$35)</f>
        <v/>
      </c>
      <c r="I55" s="167">
        <f>MIN(I135,(J54*I118+J55*(1-I118))*EXP(-(I101))+$C$37*$C$35)</f>
        <v/>
      </c>
      <c r="J55" s="167">
        <f>MIN(J135,(K54*J118+K55*(1-J118))*EXP(-(J101))+$C$37*$C$35)</f>
        <v/>
      </c>
      <c r="K55" s="167">
        <f>MIN(K135,(L54*K118+L55*(1-K118))*EXP(-(K101))+$C$37*$C$35)</f>
        <v/>
      </c>
      <c r="L55" s="167">
        <f>MIN(L135,(M54*L118+M55*(1-L118))*EXP(-(L101))+$C$37*$C$35)</f>
        <v/>
      </c>
      <c r="M55" s="167">
        <f>MIN(M135,(N54*M118+N55*(1-M118))*EXP(-(M101))+$C$37*$C$35)</f>
        <v/>
      </c>
      <c r="N55" s="167">
        <f>MIN(N135,(O54*N118+O55*(1-N118))*EXP(-(N101))+$C$37*$C$35)</f>
        <v/>
      </c>
      <c r="O55" s="167">
        <f>MIN(O135,(P54*O118+P55*(1-O118))*EXP(-(O101))+$C$37*$C$35)</f>
        <v/>
      </c>
      <c r="P55" s="167">
        <f>MIN(P135,(Q54*P118+Q55*(1-P118))*EXP(-(P101))+$C$37*$C$35)</f>
        <v/>
      </c>
      <c r="Q55" s="167">
        <f>MIN(Q135,(R54*Q118+R55*(1-Q118))*EXP(-(Q101))+$C$37*$C$35)</f>
        <v/>
      </c>
      <c r="R55" s="167">
        <f>MIN($R135,$C$35+$C$37)</f>
        <v/>
      </c>
      <c r="S55" s="168" t="n"/>
    </row>
    <row r="56" ht="12.75" customFormat="1" customHeight="1" s="92">
      <c r="A56" s="96" t="inlineStr">
        <is>
          <t>investment value</t>
        </is>
      </c>
      <c r="D56" s="167">
        <f>MIN(D136,(E55*D119+E56*(1-D119))*EXP(-(D102)))</f>
        <v/>
      </c>
      <c r="E56" s="167">
        <f>MIN(E136,(F55*E119+F56*(1-E119))*EXP(-(E102))+$C$37*$C$35)</f>
        <v/>
      </c>
      <c r="F56" s="167">
        <f>MIN(F136,(G55*F119+G56*(1-F119))*EXP(-(F102))+$C$37*$C$35)</f>
        <v/>
      </c>
      <c r="G56" s="167">
        <f>MIN(G136,(H55*G119+H56*(1-G119))*EXP(-(G102))+$C$37*$C$35)</f>
        <v/>
      </c>
      <c r="H56" s="167">
        <f>MIN(H136,(I55*H119+I56*(1-H119))*EXP(-(H102))+$C$37*$C$35)</f>
        <v/>
      </c>
      <c r="I56" s="167">
        <f>MIN(I136,(J55*I119+J56*(1-I119))*EXP(-(I102))+$C$37*$C$35)</f>
        <v/>
      </c>
      <c r="J56" s="167">
        <f>MIN(J136,(K55*J119+K56*(1-J119))*EXP(-(J102))+$C$37*$C$35)</f>
        <v/>
      </c>
      <c r="K56" s="167">
        <f>MIN(K136,(L55*K119+L56*(1-K119))*EXP(-(K102))+$C$37*$C$35)</f>
        <v/>
      </c>
      <c r="L56" s="167">
        <f>MIN(L136,(M55*L119+M56*(1-L119))*EXP(-(L102))+$C$37*$C$35)</f>
        <v/>
      </c>
      <c r="M56" s="167">
        <f>MIN(M136,(N55*M119+N56*(1-M119))*EXP(-(M102))+$C$37*$C$35)</f>
        <v/>
      </c>
      <c r="N56" s="167">
        <f>MIN(N136,(O55*N119+O56*(1-N119))*EXP(-(N102))+$C$37*$C$35)</f>
        <v/>
      </c>
      <c r="O56" s="167">
        <f>MIN(O136,(P55*O119+P56*(1-O119))*EXP(-(O102))+$C$37*$C$35)</f>
        <v/>
      </c>
      <c r="P56" s="167">
        <f>MIN(P136,(Q55*P119+Q56*(1-P119))*EXP(-(P102))+$C$37*$C$35)</f>
        <v/>
      </c>
      <c r="Q56" s="167">
        <f>MIN(Q136,(R55*Q119+R56*(1-Q119))*EXP(-(Q102))+$C$37*$C$35)</f>
        <v/>
      </c>
      <c r="R56" s="167">
        <f>MIN($R136,$C$35+$C$37)</f>
        <v/>
      </c>
      <c r="S56" s="168" t="n"/>
    </row>
    <row r="57" ht="12.75" customHeight="1" s="145">
      <c r="A57" s="96" t="inlineStr">
        <is>
          <t>period</t>
        </is>
      </c>
      <c r="C57" s="154" t="n"/>
      <c r="D57" s="92" t="n">
        <v>0</v>
      </c>
      <c r="E57" s="92" t="n">
        <v>0.5</v>
      </c>
      <c r="F57" s="92" t="n">
        <v>1</v>
      </c>
      <c r="G57" s="92" t="n">
        <v>1.5</v>
      </c>
      <c r="H57" s="92" t="n">
        <v>2</v>
      </c>
      <c r="I57" s="92" t="n">
        <v>2.5</v>
      </c>
      <c r="J57" s="92" t="n">
        <v>3</v>
      </c>
      <c r="K57" s="92" t="n">
        <v>3.5</v>
      </c>
      <c r="L57" s="92" t="n">
        <v>4</v>
      </c>
      <c r="M57" s="92" t="n">
        <v>4.5</v>
      </c>
      <c r="N57" s="92" t="n">
        <v>5</v>
      </c>
      <c r="O57" s="92" t="n">
        <v>5.5</v>
      </c>
      <c r="P57" s="92" t="n">
        <v>6</v>
      </c>
      <c r="Q57" s="92" t="n">
        <v>6.5</v>
      </c>
      <c r="R57" s="92" t="n">
        <v>7</v>
      </c>
    </row>
    <row r="58" ht="12.75" customFormat="1" customHeight="1" s="94">
      <c r="A58" s="94" t="inlineStr">
        <is>
          <t>Interim Calculations</t>
        </is>
      </c>
    </row>
    <row r="59" ht="12.75" customHeight="1" s="145">
      <c r="C59" s="154" t="n"/>
    </row>
    <row r="60" ht="12.75" customFormat="1" customHeight="1" s="96">
      <c r="A60" s="96" t="inlineStr">
        <is>
          <t xml:space="preserve">period </t>
        </is>
      </c>
      <c r="C60" s="96" t="n">
        <v>0</v>
      </c>
      <c r="D60" s="96" t="n">
        <v>0.5</v>
      </c>
      <c r="E60" s="96" t="n">
        <v>1</v>
      </c>
      <c r="F60" s="96" t="n">
        <v>1.5</v>
      </c>
      <c r="G60" s="96" t="n">
        <v>2</v>
      </c>
      <c r="H60" s="96" t="n">
        <v>2.5</v>
      </c>
      <c r="I60" s="96" t="n">
        <v>3</v>
      </c>
      <c r="J60" s="96" t="n">
        <v>3.5</v>
      </c>
      <c r="K60" s="96" t="n">
        <v>4</v>
      </c>
      <c r="L60" s="96" t="n">
        <v>4.5</v>
      </c>
      <c r="M60" s="96" t="n">
        <v>5</v>
      </c>
      <c r="N60" s="96" t="n">
        <v>5.5</v>
      </c>
      <c r="O60" s="96" t="n">
        <v>6</v>
      </c>
      <c r="P60" s="96" t="n">
        <v>6.5</v>
      </c>
      <c r="Q60" s="96" t="n">
        <v>7</v>
      </c>
      <c r="R60" s="96" t="n">
        <v>7.5</v>
      </c>
    </row>
    <row r="61" ht="12.75" customFormat="1" customHeight="1" s="96">
      <c r="A61" s="96" t="inlineStr">
        <is>
          <t>discount function</t>
        </is>
      </c>
      <c r="C61" s="96" t="n">
        <v>1</v>
      </c>
      <c r="D61" s="171">
        <f>EXP(-$C$30*D$60)</f>
        <v/>
      </c>
      <c r="E61" s="171">
        <f>EXP(-$C$30*E$60)</f>
        <v/>
      </c>
      <c r="F61" s="171">
        <f>EXP(-$C$30*F$60)</f>
        <v/>
      </c>
      <c r="G61" s="171">
        <f>EXP(-$C$30*G$60)</f>
        <v/>
      </c>
      <c r="H61" s="171">
        <f>EXP(-$C$30*H$60)</f>
        <v/>
      </c>
      <c r="I61" s="171">
        <f>EXP(-$C$30*I$60)</f>
        <v/>
      </c>
      <c r="J61" s="171">
        <f>EXP(-$C$30*J$60)</f>
        <v/>
      </c>
      <c r="K61" s="171">
        <f>EXP(-$C$30*K$60)</f>
        <v/>
      </c>
      <c r="L61" s="171">
        <f>EXP(-$C$30*L$60)</f>
        <v/>
      </c>
      <c r="M61" s="171">
        <f>EXP(-$C$30*M$60)</f>
        <v/>
      </c>
      <c r="N61" s="171">
        <f>EXP(-$C$30*N$60)</f>
        <v/>
      </c>
      <c r="O61" s="171">
        <f>EXP(-$C$30*O$60)</f>
        <v/>
      </c>
      <c r="P61" s="171">
        <f>EXP(-$C$30*P$60)</f>
        <v/>
      </c>
      <c r="Q61" s="171">
        <f>EXP(-$C$30*Q$60)</f>
        <v/>
      </c>
      <c r="R61" s="171">
        <f>EXP(-$C$30*R$60)</f>
        <v/>
      </c>
    </row>
    <row r="62" ht="12.75" customFormat="1" customHeight="1" s="96"/>
    <row r="63" ht="12.75" customFormat="1" customHeight="1" s="96">
      <c r="A63" s="96" t="inlineStr">
        <is>
          <t>delta(1)</t>
        </is>
      </c>
      <c r="C63" s="172">
        <f>EXP(-2*$C$30*$C$31*SQRT(1/$C$29))</f>
        <v/>
      </c>
    </row>
    <row r="64" ht="12.75" customFormat="1" customHeight="1" s="96">
      <c r="A64" s="96" t="inlineStr">
        <is>
          <t>h(1)</t>
        </is>
      </c>
      <c r="C64" s="172" t="n"/>
      <c r="D64" s="171">
        <f>1/(0.5+0.5*$C$63^(D$60*2))</f>
        <v/>
      </c>
      <c r="E64" s="171">
        <f>1/(0.5+0.5*$C$63^(E$60*2))</f>
        <v/>
      </c>
      <c r="F64" s="171">
        <f>1/(0.5+0.5*$C$63^(F$60*2))</f>
        <v/>
      </c>
      <c r="G64" s="171">
        <f>1/(0.5+0.5*$C$63^(G$60*2))</f>
        <v/>
      </c>
      <c r="H64" s="171">
        <f>1/(0.5+0.5*$C$63^(H$60*2))</f>
        <v/>
      </c>
      <c r="I64" s="171">
        <f>1/(0.5+0.5*$C$63^(I$60*2))</f>
        <v/>
      </c>
      <c r="J64" s="171">
        <f>1/(0.5+0.5*$C$63^(J$60*2))</f>
        <v/>
      </c>
      <c r="K64" s="171">
        <f>1/(0.5+0.5*$C$63^(K$60*2))</f>
        <v/>
      </c>
      <c r="L64" s="171">
        <f>1/(0.5+0.5*$C$63^(L$60*2))</f>
        <v/>
      </c>
      <c r="M64" s="171">
        <f>1/(0.5+0.5*$C$63^(M$60*2))</f>
        <v/>
      </c>
      <c r="N64" s="171">
        <f>1/(0.5+0.5*$C$63^(N$60*2))</f>
        <v/>
      </c>
      <c r="O64" s="171">
        <f>1/(0.5+0.5*$C$63^(O$60*2))</f>
        <v/>
      </c>
      <c r="P64" s="171">
        <f>1/(0.5+0.5*$C$63^(P$60*2))</f>
        <v/>
      </c>
      <c r="Q64" s="171">
        <f>1/(0.5+0.5*$C$63^(Q$60*2))</f>
        <v/>
      </c>
      <c r="R64" s="171">
        <f>1/(0.5+0.5*$C$63^(R$60*2))</f>
        <v/>
      </c>
    </row>
    <row r="65" ht="12.75" customFormat="1" customHeight="1" s="96">
      <c r="C65" s="172" t="n"/>
    </row>
    <row r="66" ht="14.25" customFormat="1" customHeight="1" s="96">
      <c r="A66" s="96" t="inlineStr">
        <is>
          <t>u</t>
        </is>
      </c>
      <c r="C66" s="172">
        <f>EXP(SQRT(1/$C$29)*$C$28)</f>
        <v/>
      </c>
    </row>
    <row r="67" ht="12.75" customFormat="1" customHeight="1" s="96">
      <c r="A67" s="96" t="inlineStr">
        <is>
          <t>d</t>
        </is>
      </c>
      <c r="C67" s="172">
        <f>EXP(SQRT(1/$C$29)*(-$C$28))</f>
        <v/>
      </c>
    </row>
    <row r="68" ht="12.75" customFormat="1" customHeight="1" s="96">
      <c r="A68" s="96" t="inlineStr">
        <is>
          <t>additional shares</t>
        </is>
      </c>
      <c r="C68" s="173">
        <f>$C$35*10^9/$C$34</f>
        <v/>
      </c>
    </row>
    <row r="69" ht="12.75" customFormat="1" customHeight="1" s="96"/>
    <row r="71" ht="12.75" customHeight="1" s="145">
      <c r="D71" s="168" t="n"/>
      <c r="E71" s="168" t="n"/>
      <c r="F71" s="168" t="n"/>
      <c r="G71" s="168" t="n"/>
      <c r="H71" s="168" t="n"/>
      <c r="I71" s="168" t="n"/>
      <c r="J71" s="168" t="n"/>
      <c r="K71" s="168" t="n"/>
      <c r="L71" s="168" t="n"/>
      <c r="M71" s="168" t="n"/>
      <c r="N71" s="168" t="n"/>
      <c r="O71" s="168" t="n"/>
      <c r="P71" s="168" t="n"/>
      <c r="Q71" s="168" t="n"/>
      <c r="R71" s="168">
        <f>R72*$C$63</f>
        <v/>
      </c>
      <c r="S71" s="168" t="n"/>
    </row>
    <row r="72" ht="12.75" customHeight="1" s="145">
      <c r="D72" s="168" t="n"/>
      <c r="E72" s="168" t="n"/>
      <c r="F72" s="168" t="n"/>
      <c r="G72" s="168" t="n"/>
      <c r="H72" s="168" t="n"/>
      <c r="I72" s="168" t="n"/>
      <c r="J72" s="168" t="n"/>
      <c r="K72" s="168" t="n"/>
      <c r="L72" s="168" t="n"/>
      <c r="M72" s="168" t="n"/>
      <c r="N72" s="168" t="n"/>
      <c r="O72" s="168" t="n"/>
      <c r="P72" s="168" t="n"/>
      <c r="Q72" s="168">
        <f>Q73*$C$63</f>
        <v/>
      </c>
      <c r="R72" s="168">
        <f>R73*$C$63</f>
        <v/>
      </c>
      <c r="S72" s="168" t="n"/>
    </row>
    <row r="73" ht="12.75" customHeight="1" s="145">
      <c r="D73" s="168" t="n"/>
      <c r="E73" s="168" t="n"/>
      <c r="F73" s="168" t="n"/>
      <c r="G73" s="168" t="n"/>
      <c r="H73" s="168" t="n"/>
      <c r="I73" s="168" t="n"/>
      <c r="J73" s="168" t="n"/>
      <c r="K73" s="168" t="n"/>
      <c r="L73" s="168" t="n"/>
      <c r="M73" s="168" t="n"/>
      <c r="N73" s="168" t="n"/>
      <c r="O73" s="168" t="n"/>
      <c r="P73" s="168">
        <f>P74*$C$63</f>
        <v/>
      </c>
      <c r="Q73" s="168">
        <f>Q74*$C$63</f>
        <v/>
      </c>
      <c r="R73" s="168">
        <f>R74*$C$63</f>
        <v/>
      </c>
      <c r="S73" s="168" t="n"/>
    </row>
    <row r="74" ht="12.75" customHeight="1" s="145">
      <c r="D74" s="168" t="n"/>
      <c r="E74" s="168" t="n"/>
      <c r="F74" s="168" t="n"/>
      <c r="G74" s="168" t="n"/>
      <c r="H74" s="168" t="n"/>
      <c r="I74" s="168" t="n"/>
      <c r="J74" s="168" t="n"/>
      <c r="K74" s="168" t="n"/>
      <c r="L74" s="168" t="n"/>
      <c r="M74" s="168" t="n"/>
      <c r="N74" s="168" t="n"/>
      <c r="O74" s="168">
        <f>O75*$C$63</f>
        <v/>
      </c>
      <c r="P74" s="168">
        <f>P75*$C$63</f>
        <v/>
      </c>
      <c r="Q74" s="168">
        <f>Q75*$C$63</f>
        <v/>
      </c>
      <c r="R74" s="168">
        <f>R75*$C$63</f>
        <v/>
      </c>
      <c r="S74" s="168" t="n"/>
    </row>
    <row r="75" ht="12.75" customHeight="1" s="145">
      <c r="D75" s="168" t="n"/>
      <c r="E75" s="168" t="n"/>
      <c r="F75" s="168" t="n"/>
      <c r="G75" s="168" t="n"/>
      <c r="H75" s="168" t="n"/>
      <c r="I75" s="168" t="n"/>
      <c r="J75" s="168" t="n"/>
      <c r="K75" s="168" t="n"/>
      <c r="L75" s="168" t="n"/>
      <c r="M75" s="168" t="n"/>
      <c r="N75" s="168">
        <f>N76*$C$63</f>
        <v/>
      </c>
      <c r="O75" s="168">
        <f>O76*$C$63</f>
        <v/>
      </c>
      <c r="P75" s="168">
        <f>P76*$C$63</f>
        <v/>
      </c>
      <c r="Q75" s="168">
        <f>Q76*$C$63</f>
        <v/>
      </c>
      <c r="R75" s="168">
        <f>R76*$C$63</f>
        <v/>
      </c>
      <c r="S75" s="168" t="n"/>
    </row>
    <row r="76" ht="10.5" customHeight="1" s="145">
      <c r="D76" s="168" t="n"/>
      <c r="E76" s="168" t="n"/>
      <c r="F76" s="168" t="n"/>
      <c r="G76" s="168" t="n"/>
      <c r="H76" s="168" t="n"/>
      <c r="I76" s="168" t="n"/>
      <c r="J76" s="168" t="n"/>
      <c r="K76" s="168" t="n"/>
      <c r="L76" s="168" t="n"/>
      <c r="M76" s="168">
        <f>M77*$C$63</f>
        <v/>
      </c>
      <c r="N76" s="168">
        <f>N77*$C$63</f>
        <v/>
      </c>
      <c r="O76" s="168">
        <f>O77*$C$63</f>
        <v/>
      </c>
      <c r="P76" s="168">
        <f>P77*$C$63</f>
        <v/>
      </c>
      <c r="Q76" s="168">
        <f>Q77*$C$63</f>
        <v/>
      </c>
      <c r="R76" s="168">
        <f>R77*$C$63</f>
        <v/>
      </c>
      <c r="S76" s="168" t="n"/>
    </row>
    <row r="77" ht="12.75" customHeight="1" s="145">
      <c r="D77" s="168" t="n"/>
      <c r="E77" s="168" t="n"/>
      <c r="F77" s="168" t="n"/>
      <c r="G77" s="168" t="n"/>
      <c r="H77" s="168" t="n"/>
      <c r="I77" s="168" t="n"/>
      <c r="J77" s="168" t="n"/>
      <c r="K77" s="168" t="n"/>
      <c r="L77" s="168">
        <f>L78*$C$63</f>
        <v/>
      </c>
      <c r="M77" s="168">
        <f>M78*$C$63</f>
        <v/>
      </c>
      <c r="N77" s="168">
        <f>N78*$C$63</f>
        <v/>
      </c>
      <c r="O77" s="168">
        <f>O78*$C$63</f>
        <v/>
      </c>
      <c r="P77" s="168">
        <f>P78*$C$63</f>
        <v/>
      </c>
      <c r="Q77" s="168">
        <f>Q78*$C$63</f>
        <v/>
      </c>
      <c r="R77" s="168">
        <f>R78*$C$63</f>
        <v/>
      </c>
      <c r="S77" s="168" t="n"/>
    </row>
    <row r="78" ht="12.75" customHeight="1" s="145">
      <c r="D78" s="168" t="n"/>
      <c r="E78" s="168" t="n"/>
      <c r="F78" s="168" t="n"/>
      <c r="G78" s="168" t="n"/>
      <c r="H78" s="168" t="n"/>
      <c r="I78" s="168" t="n"/>
      <c r="J78" s="168" t="n"/>
      <c r="K78" s="168">
        <f>K79*$C$63</f>
        <v/>
      </c>
      <c r="L78" s="168">
        <f>L79*$C$63</f>
        <v/>
      </c>
      <c r="M78" s="168">
        <f>M79*$C$63</f>
        <v/>
      </c>
      <c r="N78" s="168">
        <f>N79*$C$63</f>
        <v/>
      </c>
      <c r="O78" s="168">
        <f>O79*$C$63</f>
        <v/>
      </c>
      <c r="P78" s="168">
        <f>P79*$C$63</f>
        <v/>
      </c>
      <c r="Q78" s="168">
        <f>Q79*$C$63</f>
        <v/>
      </c>
      <c r="R78" s="168">
        <f>R79*$C$63</f>
        <v/>
      </c>
      <c r="S78" s="168" t="n"/>
    </row>
    <row r="79" ht="12.75" customHeight="1" s="145">
      <c r="D79" s="168" t="n"/>
      <c r="E79" s="168" t="n"/>
      <c r="F79" s="168" t="n"/>
      <c r="G79" s="168" t="n"/>
      <c r="H79" s="168" t="n"/>
      <c r="I79" s="168" t="n"/>
      <c r="J79" s="168">
        <f>J80*$C$63</f>
        <v/>
      </c>
      <c r="K79" s="168">
        <f>K80*$C$63</f>
        <v/>
      </c>
      <c r="L79" s="168">
        <f>L80*$C$63</f>
        <v/>
      </c>
      <c r="M79" s="168">
        <f>M80*$C$63</f>
        <v/>
      </c>
      <c r="N79" s="168">
        <f>N80*$C$63</f>
        <v/>
      </c>
      <c r="O79" s="168">
        <f>O80*$C$63</f>
        <v/>
      </c>
      <c r="P79" s="168">
        <f>P80*$C$63</f>
        <v/>
      </c>
      <c r="Q79" s="168">
        <f>Q80*$C$63</f>
        <v/>
      </c>
      <c r="R79" s="168">
        <f>R80*$C$63</f>
        <v/>
      </c>
      <c r="S79" s="168" t="n"/>
    </row>
    <row r="80" ht="12.75" customHeight="1" s="145">
      <c r="D80" s="168" t="n"/>
      <c r="E80" s="168" t="n"/>
      <c r="F80" s="168" t="n"/>
      <c r="G80" s="168" t="n"/>
      <c r="H80" s="168" t="n"/>
      <c r="I80" s="168">
        <f>I81*$C$63</f>
        <v/>
      </c>
      <c r="J80" s="168">
        <f>J81*$C$63</f>
        <v/>
      </c>
      <c r="K80" s="168">
        <f>K81*$C$63</f>
        <v/>
      </c>
      <c r="L80" s="168">
        <f>L81*$C$63</f>
        <v/>
      </c>
      <c r="M80" s="168">
        <f>M81*$C$63</f>
        <v/>
      </c>
      <c r="N80" s="168">
        <f>N81*$C$63</f>
        <v/>
      </c>
      <c r="O80" s="168">
        <f>O81*$C$63</f>
        <v/>
      </c>
      <c r="P80" s="168">
        <f>P81*$C$63</f>
        <v/>
      </c>
      <c r="Q80" s="168">
        <f>Q81*$C$63</f>
        <v/>
      </c>
      <c r="R80" s="168">
        <f>R81*$C$63</f>
        <v/>
      </c>
      <c r="S80" s="168" t="n"/>
    </row>
    <row r="81" ht="12.75" customHeight="1" s="145">
      <c r="D81" s="168" t="n"/>
      <c r="E81" s="168" t="n"/>
      <c r="F81" s="168" t="n"/>
      <c r="G81" s="168" t="n"/>
      <c r="H81" s="168">
        <f>H82*$C$63</f>
        <v/>
      </c>
      <c r="I81" s="168">
        <f>I82*$C$63</f>
        <v/>
      </c>
      <c r="J81" s="168">
        <f>J82*$C$63</f>
        <v/>
      </c>
      <c r="K81" s="168">
        <f>K82*$C$63</f>
        <v/>
      </c>
      <c r="L81" s="168">
        <f>L82*$C$63</f>
        <v/>
      </c>
      <c r="M81" s="168">
        <f>M82*$C$63</f>
        <v/>
      </c>
      <c r="N81" s="168">
        <f>N82*$C$63</f>
        <v/>
      </c>
      <c r="O81" s="168">
        <f>O82*$C$63</f>
        <v/>
      </c>
      <c r="P81" s="168">
        <f>P82*$C$63</f>
        <v/>
      </c>
      <c r="Q81" s="168">
        <f>Q82*$C$63</f>
        <v/>
      </c>
      <c r="R81" s="168">
        <f>R82*$C$63</f>
        <v/>
      </c>
      <c r="S81" s="168" t="n"/>
    </row>
    <row r="82" ht="12.75" customHeight="1" s="145">
      <c r="D82" s="168" t="n"/>
      <c r="E82" s="168" t="n"/>
      <c r="F82" s="168" t="n"/>
      <c r="G82" s="168">
        <f>G83*$C$63</f>
        <v/>
      </c>
      <c r="H82" s="168">
        <f>H83*$C$63</f>
        <v/>
      </c>
      <c r="I82" s="168">
        <f>I83*$C$63</f>
        <v/>
      </c>
      <c r="J82" s="168">
        <f>J83*$C$63</f>
        <v/>
      </c>
      <c r="K82" s="168">
        <f>K83*$C$63</f>
        <v/>
      </c>
      <c r="L82" s="168">
        <f>L83*$C$63</f>
        <v/>
      </c>
      <c r="M82" s="168">
        <f>M83*$C$63</f>
        <v/>
      </c>
      <c r="N82" s="168">
        <f>N83*$C$63</f>
        <v/>
      </c>
      <c r="O82" s="168">
        <f>O83*$C$63</f>
        <v/>
      </c>
      <c r="P82" s="168">
        <f>P83*$C$63</f>
        <v/>
      </c>
      <c r="Q82" s="168">
        <f>Q83*$C$63</f>
        <v/>
      </c>
      <c r="R82" s="168">
        <f>R83*$C$63</f>
        <v/>
      </c>
      <c r="S82" s="168" t="n"/>
    </row>
    <row r="83" ht="12.75" customHeight="1" s="145">
      <c r="D83" s="168" t="n"/>
      <c r="E83" s="168" t="n"/>
      <c r="F83" s="168">
        <f>F84*$C$63</f>
        <v/>
      </c>
      <c r="G83" s="168">
        <f>G84*$C$63</f>
        <v/>
      </c>
      <c r="H83" s="168">
        <f>H84*$C$63</f>
        <v/>
      </c>
      <c r="I83" s="168">
        <f>I84*$C$63</f>
        <v/>
      </c>
      <c r="J83" s="168">
        <f>J84*$C$63</f>
        <v/>
      </c>
      <c r="K83" s="168">
        <f>K84*$C$63</f>
        <v/>
      </c>
      <c r="L83" s="168">
        <f>L84*$C$63</f>
        <v/>
      </c>
      <c r="M83" s="168">
        <f>M84*$C$63</f>
        <v/>
      </c>
      <c r="N83" s="168">
        <f>N84*$C$63</f>
        <v/>
      </c>
      <c r="O83" s="168">
        <f>O84*$C$63</f>
        <v/>
      </c>
      <c r="P83" s="168">
        <f>P84*$C$63</f>
        <v/>
      </c>
      <c r="Q83" s="168">
        <f>Q84*$C$63</f>
        <v/>
      </c>
      <c r="R83" s="168">
        <f>R84*$C$63</f>
        <v/>
      </c>
      <c r="S83" s="168" t="n"/>
    </row>
    <row r="84" ht="12.75" customHeight="1" s="145">
      <c r="D84" s="168" t="n"/>
      <c r="E84" s="168">
        <f>E85*$C$63</f>
        <v/>
      </c>
      <c r="F84" s="168">
        <f>F85*$C$63</f>
        <v/>
      </c>
      <c r="G84" s="168">
        <f>G85*$C$63</f>
        <v/>
      </c>
      <c r="H84" s="168">
        <f>H85*$C$63</f>
        <v/>
      </c>
      <c r="I84" s="168">
        <f>I85*$C$63</f>
        <v/>
      </c>
      <c r="J84" s="168">
        <f>J85*$C$63</f>
        <v/>
      </c>
      <c r="K84" s="168">
        <f>K85*$C$63</f>
        <v/>
      </c>
      <c r="L84" s="168">
        <f>L85*$C$63</f>
        <v/>
      </c>
      <c r="M84" s="168">
        <f>M85*$C$63</f>
        <v/>
      </c>
      <c r="N84" s="168">
        <f>N85*$C$63</f>
        <v/>
      </c>
      <c r="O84" s="168">
        <f>O85*$C$63</f>
        <v/>
      </c>
      <c r="P84" s="168">
        <f>P85*$C$63</f>
        <v/>
      </c>
      <c r="Q84" s="168">
        <f>Q85*$C$63</f>
        <v/>
      </c>
      <c r="R84" s="168">
        <f>R85*$C$63</f>
        <v/>
      </c>
      <c r="S84" s="168" t="n"/>
    </row>
    <row r="85" ht="12.75" customFormat="1" customHeight="1" s="92">
      <c r="A85" s="96" t="inlineStr">
        <is>
          <t>discount function lattice</t>
        </is>
      </c>
      <c r="B85" s="106" t="n"/>
      <c r="D85" s="168">
        <f>EXP(-$C$30*$D$60)</f>
        <v/>
      </c>
      <c r="E85" s="168">
        <f>E$61/D$61*D$64</f>
        <v/>
      </c>
      <c r="F85" s="168">
        <f>F$61/E$61*E$64</f>
        <v/>
      </c>
      <c r="G85" s="168">
        <f>G$61/F$61*F$64</f>
        <v/>
      </c>
      <c r="H85" s="168">
        <f>H$61/G$61*G$64</f>
        <v/>
      </c>
      <c r="I85" s="168">
        <f>I$61/H$61*H$64</f>
        <v/>
      </c>
      <c r="J85" s="168">
        <f>J$61/I$61*I$64</f>
        <v/>
      </c>
      <c r="K85" s="168">
        <f>K$61/J$61*J$64</f>
        <v/>
      </c>
      <c r="L85" s="168">
        <f>L$61/K$61*K$64</f>
        <v/>
      </c>
      <c r="M85" s="168">
        <f>M$61/L$61*L$64</f>
        <v/>
      </c>
      <c r="N85" s="168">
        <f>N$61/M$61*M$64</f>
        <v/>
      </c>
      <c r="O85" s="168">
        <f>O$61/N$61*N$64</f>
        <v/>
      </c>
      <c r="P85" s="168">
        <f>P$61/O$61*O$64</f>
        <v/>
      </c>
      <c r="Q85" s="168">
        <f>Q$61/P$61*P$64</f>
        <v/>
      </c>
      <c r="R85" s="168">
        <f>R$61/Q$61*Q$64</f>
        <v/>
      </c>
      <c r="S85" s="168" t="n"/>
    </row>
    <row r="86" ht="12.75" customHeight="1" s="145">
      <c r="D86" s="168" t="n"/>
      <c r="E86" s="168" t="n"/>
      <c r="F86" s="168" t="n"/>
      <c r="G86" s="168" t="n"/>
      <c r="H86" s="168" t="n"/>
      <c r="I86" s="168" t="n"/>
      <c r="J86" s="168" t="n"/>
      <c r="K86" s="168" t="n"/>
      <c r="L86" s="168" t="n"/>
      <c r="M86" s="168" t="n"/>
      <c r="N86" s="168" t="n"/>
      <c r="O86" s="168" t="n"/>
      <c r="P86" s="168" t="n"/>
      <c r="Q86" s="168" t="n"/>
      <c r="R86" s="168" t="n"/>
      <c r="S86" s="168" t="n"/>
    </row>
    <row r="87" ht="12.75" customHeight="1" s="145">
      <c r="D87" s="168" t="n"/>
      <c r="E87" s="168" t="n"/>
      <c r="F87" s="168" t="n"/>
      <c r="G87" s="168" t="n"/>
      <c r="H87" s="168" t="n"/>
      <c r="I87" s="168" t="n"/>
      <c r="J87" s="168" t="n"/>
      <c r="K87" s="168" t="n"/>
      <c r="L87" s="168" t="n"/>
      <c r="M87" s="168" t="n"/>
      <c r="N87" s="168" t="n"/>
      <c r="O87" s="168" t="n"/>
      <c r="P87" s="168" t="n"/>
      <c r="Q87" s="168" t="n"/>
      <c r="R87" s="168" t="n"/>
      <c r="S87" s="168" t="n"/>
    </row>
    <row r="88" ht="12.75" customHeight="1" s="145">
      <c r="D88" s="168" t="n"/>
      <c r="E88" s="168" t="n"/>
      <c r="F88" s="168" t="n"/>
      <c r="G88" s="168" t="n"/>
      <c r="H88" s="168" t="n"/>
      <c r="I88" s="168" t="n"/>
      <c r="J88" s="168" t="n"/>
      <c r="K88" s="168" t="n"/>
      <c r="L88" s="168" t="n"/>
      <c r="M88" s="168" t="n"/>
      <c r="N88" s="168" t="n"/>
      <c r="O88" s="168" t="n"/>
      <c r="P88" s="168" t="n"/>
      <c r="Q88" s="168" t="n"/>
      <c r="R88" s="168">
        <f>-LN(R71)</f>
        <v/>
      </c>
      <c r="S88" s="168" t="n"/>
    </row>
    <row r="89" ht="12.75" customHeight="1" s="145">
      <c r="D89" s="168" t="n"/>
      <c r="E89" s="168" t="n"/>
      <c r="F89" s="168" t="n"/>
      <c r="G89" s="168" t="n"/>
      <c r="H89" s="168" t="n"/>
      <c r="I89" s="168" t="n"/>
      <c r="J89" s="168" t="n"/>
      <c r="K89" s="168" t="n"/>
      <c r="L89" s="168" t="n"/>
      <c r="M89" s="168" t="n"/>
      <c r="N89" s="168" t="n"/>
      <c r="O89" s="168" t="n"/>
      <c r="P89" s="168" t="n"/>
      <c r="Q89" s="168">
        <f>-LN(Q72)</f>
        <v/>
      </c>
      <c r="R89" s="168">
        <f>-LN(R72)</f>
        <v/>
      </c>
      <c r="S89" s="168" t="n"/>
    </row>
    <row r="90" ht="12.75" customHeight="1" s="145">
      <c r="D90" s="168" t="n"/>
      <c r="E90" s="168" t="n"/>
      <c r="F90" s="168" t="n"/>
      <c r="G90" s="168" t="n"/>
      <c r="H90" s="168" t="n"/>
      <c r="I90" s="168" t="n"/>
      <c r="J90" s="168" t="n"/>
      <c r="K90" s="168" t="n"/>
      <c r="L90" s="168" t="n"/>
      <c r="M90" s="168" t="n"/>
      <c r="N90" s="168" t="n"/>
      <c r="O90" s="168" t="n"/>
      <c r="P90" s="168">
        <f>-LN(P73)</f>
        <v/>
      </c>
      <c r="Q90" s="168">
        <f>-LN(Q73)</f>
        <v/>
      </c>
      <c r="R90" s="168">
        <f>-LN(R73)</f>
        <v/>
      </c>
      <c r="S90" s="168" t="n"/>
    </row>
    <row r="91" ht="12.75" customHeight="1" s="145">
      <c r="D91" s="168" t="n"/>
      <c r="E91" s="168" t="n"/>
      <c r="F91" s="168" t="n"/>
      <c r="G91" s="168" t="n"/>
      <c r="H91" s="168" t="n"/>
      <c r="I91" s="168" t="n"/>
      <c r="J91" s="168" t="n"/>
      <c r="K91" s="168" t="n"/>
      <c r="L91" s="168" t="n"/>
      <c r="M91" s="168" t="n"/>
      <c r="N91" s="168" t="n"/>
      <c r="O91" s="168">
        <f>-LN(O74)</f>
        <v/>
      </c>
      <c r="P91" s="168">
        <f>-LN(P74)</f>
        <v/>
      </c>
      <c r="Q91" s="168">
        <f>-LN(Q74)</f>
        <v/>
      </c>
      <c r="R91" s="168">
        <f>-LN(R74)</f>
        <v/>
      </c>
      <c r="S91" s="168" t="n"/>
    </row>
    <row r="92" ht="12.75" customHeight="1" s="145">
      <c r="D92" s="168" t="n"/>
      <c r="E92" s="168" t="n"/>
      <c r="F92" s="168" t="n"/>
      <c r="G92" s="168" t="n"/>
      <c r="H92" s="168" t="n"/>
      <c r="I92" s="168" t="n"/>
      <c r="J92" s="168" t="n"/>
      <c r="K92" s="168" t="n"/>
      <c r="L92" s="168" t="n"/>
      <c r="M92" s="168" t="n"/>
      <c r="N92" s="168">
        <f>-LN(N75)</f>
        <v/>
      </c>
      <c r="O92" s="168">
        <f>-LN(O75)</f>
        <v/>
      </c>
      <c r="P92" s="168">
        <f>-LN(P75)</f>
        <v/>
      </c>
      <c r="Q92" s="168">
        <f>-LN(Q75)</f>
        <v/>
      </c>
      <c r="R92" s="168">
        <f>-LN(R75)</f>
        <v/>
      </c>
      <c r="S92" s="168" t="n"/>
    </row>
    <row r="93" ht="12.75" customHeight="1" s="145">
      <c r="D93" s="168" t="n"/>
      <c r="E93" s="168" t="n"/>
      <c r="F93" s="168" t="n"/>
      <c r="G93" s="168" t="n"/>
      <c r="H93" s="168" t="n"/>
      <c r="I93" s="168" t="n"/>
      <c r="J93" s="168" t="n"/>
      <c r="K93" s="168" t="n"/>
      <c r="L93" s="168" t="n"/>
      <c r="M93" s="168">
        <f>-LN(M76)</f>
        <v/>
      </c>
      <c r="N93" s="168">
        <f>-LN(N76)</f>
        <v/>
      </c>
      <c r="O93" s="168">
        <f>-LN(O76)</f>
        <v/>
      </c>
      <c r="P93" s="168">
        <f>-LN(P76)</f>
        <v/>
      </c>
      <c r="Q93" s="168">
        <f>-LN(Q76)</f>
        <v/>
      </c>
      <c r="R93" s="168">
        <f>-LN(R76)</f>
        <v/>
      </c>
      <c r="S93" s="168" t="n"/>
    </row>
    <row r="94" ht="12.75" customHeight="1" s="145">
      <c r="D94" s="168" t="n"/>
      <c r="E94" s="168" t="n"/>
      <c r="F94" s="168" t="n"/>
      <c r="G94" s="168" t="n"/>
      <c r="H94" s="168" t="n"/>
      <c r="I94" s="168" t="n"/>
      <c r="J94" s="168" t="n"/>
      <c r="K94" s="168" t="n"/>
      <c r="L94" s="168">
        <f>-LN(L77)</f>
        <v/>
      </c>
      <c r="M94" s="168">
        <f>-LN(M77)</f>
        <v/>
      </c>
      <c r="N94" s="168">
        <f>-LN(N77)</f>
        <v/>
      </c>
      <c r="O94" s="168">
        <f>-LN(O77)</f>
        <v/>
      </c>
      <c r="P94" s="168">
        <f>-LN(P77)</f>
        <v/>
      </c>
      <c r="Q94" s="168">
        <f>-LN(Q77)</f>
        <v/>
      </c>
      <c r="R94" s="168">
        <f>-LN(R77)</f>
        <v/>
      </c>
      <c r="S94" s="168" t="n"/>
    </row>
    <row r="95" ht="12.75" customHeight="1" s="145">
      <c r="D95" s="168" t="n"/>
      <c r="E95" s="168" t="n"/>
      <c r="F95" s="168" t="n"/>
      <c r="G95" s="168" t="n"/>
      <c r="H95" s="168" t="n"/>
      <c r="I95" s="168" t="n"/>
      <c r="J95" s="168" t="n"/>
      <c r="K95" s="168">
        <f>-LN(K78)</f>
        <v/>
      </c>
      <c r="L95" s="168">
        <f>-LN(L78)</f>
        <v/>
      </c>
      <c r="M95" s="168">
        <f>-LN(M78)</f>
        <v/>
      </c>
      <c r="N95" s="168">
        <f>-LN(N78)</f>
        <v/>
      </c>
      <c r="O95" s="168">
        <f>-LN(O78)</f>
        <v/>
      </c>
      <c r="P95" s="168">
        <f>-LN(P78)</f>
        <v/>
      </c>
      <c r="Q95" s="168">
        <f>-LN(Q78)</f>
        <v/>
      </c>
      <c r="R95" s="168">
        <f>-LN(R78)</f>
        <v/>
      </c>
      <c r="S95" s="168" t="n"/>
    </row>
    <row r="96" ht="12.75" customHeight="1" s="145">
      <c r="D96" s="168" t="n"/>
      <c r="E96" s="168" t="n"/>
      <c r="F96" s="168" t="n"/>
      <c r="G96" s="168" t="n"/>
      <c r="H96" s="168" t="n"/>
      <c r="I96" s="168" t="n"/>
      <c r="J96" s="168">
        <f>-LN(J79)</f>
        <v/>
      </c>
      <c r="K96" s="168">
        <f>-LN(K79)</f>
        <v/>
      </c>
      <c r="L96" s="168">
        <f>-LN(L79)</f>
        <v/>
      </c>
      <c r="M96" s="168">
        <f>-LN(M79)</f>
        <v/>
      </c>
      <c r="N96" s="168">
        <f>-LN(N79)</f>
        <v/>
      </c>
      <c r="O96" s="168">
        <f>-LN(O79)</f>
        <v/>
      </c>
      <c r="P96" s="168">
        <f>-LN(P79)</f>
        <v/>
      </c>
      <c r="Q96" s="168">
        <f>-LN(Q79)</f>
        <v/>
      </c>
      <c r="R96" s="168">
        <f>-LN(R79)</f>
        <v/>
      </c>
      <c r="S96" s="168" t="n"/>
    </row>
    <row r="97" ht="12.75" customHeight="1" s="145">
      <c r="D97" s="168" t="n"/>
      <c r="E97" s="168" t="n"/>
      <c r="F97" s="168" t="n"/>
      <c r="G97" s="168" t="n"/>
      <c r="H97" s="168" t="n"/>
      <c r="I97" s="168">
        <f>-LN(I80)</f>
        <v/>
      </c>
      <c r="J97" s="168">
        <f>-LN(J80)</f>
        <v/>
      </c>
      <c r="K97" s="168">
        <f>-LN(K80)</f>
        <v/>
      </c>
      <c r="L97" s="168">
        <f>-LN(L80)</f>
        <v/>
      </c>
      <c r="M97" s="168">
        <f>-LN(M80)</f>
        <v/>
      </c>
      <c r="N97" s="168">
        <f>-LN(N80)</f>
        <v/>
      </c>
      <c r="O97" s="168">
        <f>-LN(O80)</f>
        <v/>
      </c>
      <c r="P97" s="168">
        <f>-LN(P80)</f>
        <v/>
      </c>
      <c r="Q97" s="168">
        <f>-LN(Q80)</f>
        <v/>
      </c>
      <c r="R97" s="168">
        <f>-LN(R80)</f>
        <v/>
      </c>
      <c r="S97" s="168" t="n"/>
    </row>
    <row r="98" ht="12.75" customHeight="1" s="145">
      <c r="D98" s="168" t="n"/>
      <c r="E98" s="168" t="n"/>
      <c r="F98" s="168" t="n"/>
      <c r="G98" s="168" t="n"/>
      <c r="H98" s="168">
        <f>-LN(H81)</f>
        <v/>
      </c>
      <c r="I98" s="168">
        <f>-LN(I81)</f>
        <v/>
      </c>
      <c r="J98" s="168">
        <f>-LN(J81)</f>
        <v/>
      </c>
      <c r="K98" s="168">
        <f>-LN(K81)</f>
        <v/>
      </c>
      <c r="L98" s="168">
        <f>-LN(L81)</f>
        <v/>
      </c>
      <c r="M98" s="168">
        <f>-LN(M81)</f>
        <v/>
      </c>
      <c r="N98" s="168">
        <f>-LN(N81)</f>
        <v/>
      </c>
      <c r="O98" s="168">
        <f>-LN(O81)</f>
        <v/>
      </c>
      <c r="P98" s="168">
        <f>-LN(P81)</f>
        <v/>
      </c>
      <c r="Q98" s="168">
        <f>-LN(Q81)</f>
        <v/>
      </c>
      <c r="R98" s="168">
        <f>-LN(R81)</f>
        <v/>
      </c>
      <c r="S98" s="168" t="n"/>
    </row>
    <row r="99" ht="12.75" customHeight="1" s="145">
      <c r="D99" s="168" t="n"/>
      <c r="E99" s="168" t="n"/>
      <c r="F99" s="168" t="n"/>
      <c r="G99" s="168">
        <f>-LN(G82)</f>
        <v/>
      </c>
      <c r="H99" s="168">
        <f>-LN(H82)</f>
        <v/>
      </c>
      <c r="I99" s="168">
        <f>-LN(I82)</f>
        <v/>
      </c>
      <c r="J99" s="168">
        <f>-LN(J82)</f>
        <v/>
      </c>
      <c r="K99" s="168">
        <f>-LN(K82)</f>
        <v/>
      </c>
      <c r="L99" s="168">
        <f>-LN(L82)</f>
        <v/>
      </c>
      <c r="M99" s="168">
        <f>-LN(M82)</f>
        <v/>
      </c>
      <c r="N99" s="168">
        <f>-LN(N82)</f>
        <v/>
      </c>
      <c r="O99" s="168">
        <f>-LN(O82)</f>
        <v/>
      </c>
      <c r="P99" s="168">
        <f>-LN(P82)</f>
        <v/>
      </c>
      <c r="Q99" s="168">
        <f>-LN(Q82)</f>
        <v/>
      </c>
      <c r="R99" s="168">
        <f>-LN(R82)</f>
        <v/>
      </c>
      <c r="S99" s="168" t="n"/>
    </row>
    <row r="100" ht="12.75" customHeight="1" s="145">
      <c r="D100" s="168" t="n"/>
      <c r="E100" s="168" t="n"/>
      <c r="F100" s="168">
        <f>-LN(F83)</f>
        <v/>
      </c>
      <c r="G100" s="168">
        <f>-LN(G83)</f>
        <v/>
      </c>
      <c r="H100" s="168">
        <f>-LN(H83)</f>
        <v/>
      </c>
      <c r="I100" s="168">
        <f>-LN(I83)</f>
        <v/>
      </c>
      <c r="J100" s="168">
        <f>-LN(J83)</f>
        <v/>
      </c>
      <c r="K100" s="168">
        <f>-LN(K83)</f>
        <v/>
      </c>
      <c r="L100" s="168">
        <f>-LN(L83)</f>
        <v/>
      </c>
      <c r="M100" s="168">
        <f>-LN(M83)</f>
        <v/>
      </c>
      <c r="N100" s="168">
        <f>-LN(N83)</f>
        <v/>
      </c>
      <c r="O100" s="168">
        <f>-LN(O83)</f>
        <v/>
      </c>
      <c r="P100" s="168">
        <f>-LN(P83)</f>
        <v/>
      </c>
      <c r="Q100" s="168">
        <f>-LN(Q83)</f>
        <v/>
      </c>
      <c r="R100" s="168">
        <f>-LN(R83)</f>
        <v/>
      </c>
      <c r="S100" s="168" t="n"/>
    </row>
    <row r="101" ht="12.75" customHeight="1" s="145">
      <c r="D101" s="168" t="n"/>
      <c r="E101" s="168">
        <f>-LN(E84)</f>
        <v/>
      </c>
      <c r="F101" s="168">
        <f>-LN(F84)</f>
        <v/>
      </c>
      <c r="G101" s="168">
        <f>-LN(G84)</f>
        <v/>
      </c>
      <c r="H101" s="168">
        <f>-LN(H84)</f>
        <v/>
      </c>
      <c r="I101" s="168">
        <f>-LN(I84)</f>
        <v/>
      </c>
      <c r="J101" s="168">
        <f>-LN(J84)</f>
        <v/>
      </c>
      <c r="K101" s="168">
        <f>-LN(K84)</f>
        <v/>
      </c>
      <c r="L101" s="168">
        <f>-LN(L84)</f>
        <v/>
      </c>
      <c r="M101" s="168">
        <f>-LN(M84)</f>
        <v/>
      </c>
      <c r="N101" s="168">
        <f>-LN(N84)</f>
        <v/>
      </c>
      <c r="O101" s="168">
        <f>-LN(O84)</f>
        <v/>
      </c>
      <c r="P101" s="168">
        <f>-LN(P84)</f>
        <v/>
      </c>
      <c r="Q101" s="168">
        <f>-LN(Q84)</f>
        <v/>
      </c>
      <c r="R101" s="168">
        <f>-LN(R84)</f>
        <v/>
      </c>
      <c r="S101" s="168" t="n"/>
    </row>
    <row r="102" ht="12.75" customHeight="1" s="145">
      <c r="A102" s="96" t="inlineStr">
        <is>
          <t>interest rate lattice</t>
        </is>
      </c>
      <c r="D102" s="168">
        <f>-LN(D85)</f>
        <v/>
      </c>
      <c r="E102" s="168">
        <f>-LN(E85)</f>
        <v/>
      </c>
      <c r="F102" s="168">
        <f>-LN(F85)</f>
        <v/>
      </c>
      <c r="G102" s="168">
        <f>-LN(G85)</f>
        <v/>
      </c>
      <c r="H102" s="168">
        <f>-LN(H85)</f>
        <v/>
      </c>
      <c r="I102" s="168">
        <f>-LN(I85)</f>
        <v/>
      </c>
      <c r="J102" s="168">
        <f>-LN(J85)</f>
        <v/>
      </c>
      <c r="K102" s="168">
        <f>-LN(K85)</f>
        <v/>
      </c>
      <c r="L102" s="168">
        <f>-LN(L85)</f>
        <v/>
      </c>
      <c r="M102" s="168">
        <f>-LN(M85)</f>
        <v/>
      </c>
      <c r="N102" s="168">
        <f>-LN(N85)</f>
        <v/>
      </c>
      <c r="O102" s="168">
        <f>-LN(O85)</f>
        <v/>
      </c>
      <c r="P102" s="168">
        <f>-LN(P85)</f>
        <v/>
      </c>
      <c r="Q102" s="168">
        <f>-LN(Q85)</f>
        <v/>
      </c>
      <c r="R102" s="168">
        <f>-LN(R85)</f>
        <v/>
      </c>
      <c r="S102" s="168" t="n"/>
    </row>
    <row r="103" ht="12.75" customHeight="1" s="145">
      <c r="D103" s="168" t="n"/>
      <c r="E103" s="168" t="n"/>
      <c r="F103" s="168" t="n"/>
      <c r="G103" s="168" t="n"/>
      <c r="H103" s="168" t="n"/>
      <c r="I103" s="168" t="n"/>
      <c r="J103" s="168" t="n"/>
      <c r="K103" s="168" t="n"/>
      <c r="L103" s="168" t="n"/>
      <c r="M103" s="168" t="n"/>
      <c r="N103" s="168" t="n"/>
      <c r="O103" s="168" t="n"/>
      <c r="P103" s="168" t="n"/>
      <c r="Q103" s="168" t="n"/>
      <c r="R103" s="168" t="n"/>
      <c r="S103" s="168" t="n"/>
    </row>
    <row r="104" ht="12.75" customHeight="1" s="145">
      <c r="D104" s="168" t="n"/>
      <c r="E104" s="168" t="n"/>
      <c r="F104" s="168" t="n"/>
      <c r="G104" s="168" t="n"/>
      <c r="H104" s="168" t="n"/>
      <c r="I104" s="168" t="n"/>
      <c r="J104" s="168" t="n"/>
      <c r="K104" s="168" t="n"/>
      <c r="L104" s="168" t="n"/>
      <c r="M104" s="168" t="n"/>
      <c r="N104" s="168" t="n"/>
      <c r="O104" s="168" t="n"/>
      <c r="P104" s="168" t="n"/>
      <c r="Q104" s="168" t="n"/>
      <c r="R104" s="168" t="n"/>
      <c r="S104" s="168" t="n"/>
    </row>
    <row r="105" ht="12.75" customHeight="1" s="145">
      <c r="D105" s="168" t="n"/>
      <c r="E105" s="168" t="n"/>
      <c r="F105" s="168" t="n"/>
      <c r="G105" s="168" t="n"/>
      <c r="H105" s="168" t="n"/>
      <c r="I105" s="168" t="n"/>
      <c r="J105" s="168" t="n"/>
      <c r="K105" s="168" t="n"/>
      <c r="L105" s="168" t="n"/>
      <c r="M105" s="168" t="n"/>
      <c r="N105" s="168" t="n"/>
      <c r="O105" s="168" t="n"/>
      <c r="P105" s="168" t="n"/>
      <c r="Q105" s="168" t="n"/>
      <c r="R105" s="168">
        <f>(EXP(R88)-$C$67)/($C$66-$C$67)</f>
        <v/>
      </c>
      <c r="S105" s="168" t="n"/>
    </row>
    <row r="106" ht="12.75" customHeight="1" s="145">
      <c r="D106" s="168" t="n"/>
      <c r="E106" s="168" t="n"/>
      <c r="F106" s="168" t="n"/>
      <c r="G106" s="168" t="n"/>
      <c r="H106" s="168" t="n"/>
      <c r="I106" s="168" t="n"/>
      <c r="J106" s="168" t="n"/>
      <c r="K106" s="168" t="n"/>
      <c r="L106" s="168" t="n"/>
      <c r="M106" s="168" t="n"/>
      <c r="N106" s="168" t="n"/>
      <c r="O106" s="168" t="n"/>
      <c r="P106" s="168" t="n"/>
      <c r="Q106" s="168">
        <f>(EXP(Q89)-$C$67)/($C$66-$C$67)</f>
        <v/>
      </c>
      <c r="R106" s="168">
        <f>(EXP(R89)-$C$67)/($C$66-$C$67)</f>
        <v/>
      </c>
      <c r="S106" s="168" t="n"/>
    </row>
    <row r="107" ht="12.75" customHeight="1" s="145">
      <c r="D107" s="168" t="n"/>
      <c r="E107" s="168" t="n"/>
      <c r="F107" s="168" t="n"/>
      <c r="G107" s="168" t="n"/>
      <c r="H107" s="168" t="n"/>
      <c r="I107" s="168" t="n"/>
      <c r="J107" s="168" t="n"/>
      <c r="K107" s="168" t="n"/>
      <c r="L107" s="168" t="n"/>
      <c r="M107" s="168" t="n"/>
      <c r="N107" s="168" t="n"/>
      <c r="O107" s="168" t="n"/>
      <c r="P107" s="168">
        <f>(EXP(P90)-$C$67)/($C$66-$C$67)</f>
        <v/>
      </c>
      <c r="Q107" s="168">
        <f>(EXP(Q90)-$C$67)/($C$66-$C$67)</f>
        <v/>
      </c>
      <c r="R107" s="168">
        <f>(EXP(R90)-$C$67)/($C$66-$C$67)</f>
        <v/>
      </c>
      <c r="S107" s="168" t="n"/>
    </row>
    <row r="108" ht="12.75" customHeight="1" s="145">
      <c r="D108" s="168" t="n"/>
      <c r="E108" s="168" t="n"/>
      <c r="F108" s="168" t="n"/>
      <c r="G108" s="168" t="n"/>
      <c r="H108" s="168" t="n"/>
      <c r="I108" s="168" t="n"/>
      <c r="J108" s="168" t="n"/>
      <c r="K108" s="168" t="n"/>
      <c r="L108" s="168" t="n"/>
      <c r="M108" s="168" t="n"/>
      <c r="N108" s="168" t="n"/>
      <c r="O108" s="168">
        <f>(EXP(O91)-$C$67)/($C$66-$C$67)</f>
        <v/>
      </c>
      <c r="P108" s="168">
        <f>(EXP(P91)-$C$67)/($C$66-$C$67)</f>
        <v/>
      </c>
      <c r="Q108" s="168">
        <f>(EXP(Q91)-$C$67)/($C$66-$C$67)</f>
        <v/>
      </c>
      <c r="R108" s="168">
        <f>(EXP(R91)-$C$67)/($C$66-$C$67)</f>
        <v/>
      </c>
      <c r="S108" s="168" t="n"/>
    </row>
    <row r="109" ht="12.75" customHeight="1" s="145">
      <c r="D109" s="168" t="n"/>
      <c r="E109" s="168" t="n"/>
      <c r="F109" s="168" t="n"/>
      <c r="G109" s="168" t="n"/>
      <c r="H109" s="168" t="n"/>
      <c r="I109" s="168" t="n"/>
      <c r="J109" s="168" t="n"/>
      <c r="K109" s="168" t="n"/>
      <c r="L109" s="168" t="n"/>
      <c r="M109" s="168" t="n"/>
      <c r="N109" s="168">
        <f>(EXP(N92)-$C$67)/($C$66-$C$67)</f>
        <v/>
      </c>
      <c r="O109" s="168">
        <f>(EXP(O92)-$C$67)/($C$66-$C$67)</f>
        <v/>
      </c>
      <c r="P109" s="168">
        <f>(EXP(P92)-$C$67)/($C$66-$C$67)</f>
        <v/>
      </c>
      <c r="Q109" s="168">
        <f>(EXP(Q92)-$C$67)/($C$66-$C$67)</f>
        <v/>
      </c>
      <c r="R109" s="168">
        <f>(EXP(R92)-$C$67)/($C$66-$C$67)</f>
        <v/>
      </c>
      <c r="S109" s="168" t="n"/>
    </row>
    <row r="110" ht="12.75" customHeight="1" s="145">
      <c r="D110" s="168" t="n"/>
      <c r="E110" s="168" t="n"/>
      <c r="F110" s="168" t="n"/>
      <c r="G110" s="168" t="n"/>
      <c r="H110" s="168" t="n"/>
      <c r="I110" s="168" t="n"/>
      <c r="J110" s="168" t="n"/>
      <c r="K110" s="168" t="n"/>
      <c r="L110" s="168" t="n"/>
      <c r="M110" s="168">
        <f>(EXP(M93)-$C$67)/($C$66-$C$67)</f>
        <v/>
      </c>
      <c r="N110" s="168">
        <f>(EXP(N93)-$C$67)/($C$66-$C$67)</f>
        <v/>
      </c>
      <c r="O110" s="168">
        <f>(EXP(O93)-$C$67)/($C$66-$C$67)</f>
        <v/>
      </c>
      <c r="P110" s="168">
        <f>(EXP(P93)-$C$67)/($C$66-$C$67)</f>
        <v/>
      </c>
      <c r="Q110" s="168">
        <f>(EXP(Q93)-$C$67)/($C$66-$C$67)</f>
        <v/>
      </c>
      <c r="R110" s="168">
        <f>(EXP(R93)-$C$67)/($C$66-$C$67)</f>
        <v/>
      </c>
      <c r="S110" s="168" t="n"/>
    </row>
    <row r="111" ht="12.75" customHeight="1" s="145">
      <c r="D111" s="168" t="n"/>
      <c r="E111" s="168" t="n"/>
      <c r="F111" s="168" t="n"/>
      <c r="G111" s="168" t="n"/>
      <c r="H111" s="168" t="n"/>
      <c r="I111" s="168" t="n"/>
      <c r="J111" s="168" t="n"/>
      <c r="K111" s="168" t="n"/>
      <c r="L111" s="168">
        <f>(EXP(L94)-$C$67)/($C$66-$C$67)</f>
        <v/>
      </c>
      <c r="M111" s="168">
        <f>(EXP(M94)-$C$67)/($C$66-$C$67)</f>
        <v/>
      </c>
      <c r="N111" s="168">
        <f>(EXP(N94)-$C$67)/($C$66-$C$67)</f>
        <v/>
      </c>
      <c r="O111" s="168">
        <f>(EXP(O94)-$C$67)/($C$66-$C$67)</f>
        <v/>
      </c>
      <c r="P111" s="168">
        <f>(EXP(P94)-$C$67)/($C$66-$C$67)</f>
        <v/>
      </c>
      <c r="Q111" s="168">
        <f>(EXP(Q94)-$C$67)/($C$66-$C$67)</f>
        <v/>
      </c>
      <c r="R111" s="168">
        <f>(EXP(R94)-$C$67)/($C$66-$C$67)</f>
        <v/>
      </c>
      <c r="S111" s="168" t="n"/>
    </row>
    <row r="112" ht="12.75" customHeight="1" s="145">
      <c r="D112" s="168" t="n"/>
      <c r="E112" s="168" t="n"/>
      <c r="F112" s="168" t="n"/>
      <c r="G112" s="168" t="n"/>
      <c r="H112" s="168" t="n"/>
      <c r="I112" s="168" t="n"/>
      <c r="J112" s="168" t="n"/>
      <c r="K112" s="168">
        <f>(EXP(K95)-$C$67)/($C$66-$C$67)</f>
        <v/>
      </c>
      <c r="L112" s="168">
        <f>(EXP(L95)-$C$67)/($C$66-$C$67)</f>
        <v/>
      </c>
      <c r="M112" s="168">
        <f>(EXP(M95)-$C$67)/($C$66-$C$67)</f>
        <v/>
      </c>
      <c r="N112" s="168">
        <f>(EXP(N95)-$C$67)/($C$66-$C$67)</f>
        <v/>
      </c>
      <c r="O112" s="168">
        <f>(EXP(O95)-$C$67)/($C$66-$C$67)</f>
        <v/>
      </c>
      <c r="P112" s="168">
        <f>(EXP(P95)-$C$67)/($C$66-$C$67)</f>
        <v/>
      </c>
      <c r="Q112" s="168">
        <f>(EXP(Q95)-$C$67)/($C$66-$C$67)</f>
        <v/>
      </c>
      <c r="R112" s="168">
        <f>(EXP(R95)-$C$67)/($C$66-$C$67)</f>
        <v/>
      </c>
      <c r="S112" s="168" t="n"/>
    </row>
    <row r="113" ht="12.75" customHeight="1" s="145">
      <c r="D113" s="168" t="n"/>
      <c r="E113" s="168" t="n"/>
      <c r="F113" s="168" t="n"/>
      <c r="G113" s="168" t="n"/>
      <c r="H113" s="168" t="n"/>
      <c r="I113" s="168" t="n"/>
      <c r="J113" s="168">
        <f>(EXP(J96)-$C$67)/($C$66-$C$67)</f>
        <v/>
      </c>
      <c r="K113" s="168">
        <f>(EXP(K96)-$C$67)/($C$66-$C$67)</f>
        <v/>
      </c>
      <c r="L113" s="168">
        <f>(EXP(L96)-$C$67)/($C$66-$C$67)</f>
        <v/>
      </c>
      <c r="M113" s="168">
        <f>(EXP(M96)-$C$67)/($C$66-$C$67)</f>
        <v/>
      </c>
      <c r="N113" s="168">
        <f>(EXP(N96)-$C$67)/($C$66-$C$67)</f>
        <v/>
      </c>
      <c r="O113" s="168">
        <f>(EXP(O96)-$C$67)/($C$66-$C$67)</f>
        <v/>
      </c>
      <c r="P113" s="168">
        <f>(EXP(P96)-$C$67)/($C$66-$C$67)</f>
        <v/>
      </c>
      <c r="Q113" s="168">
        <f>(EXP(Q96)-$C$67)/($C$66-$C$67)</f>
        <v/>
      </c>
      <c r="R113" s="168">
        <f>(EXP(R96)-$C$67)/($C$66-$C$67)</f>
        <v/>
      </c>
      <c r="S113" s="168" t="n"/>
    </row>
    <row r="114" ht="12.75" customHeight="1" s="145">
      <c r="D114" s="168" t="n"/>
      <c r="E114" s="168" t="n"/>
      <c r="F114" s="168" t="n"/>
      <c r="G114" s="168" t="n"/>
      <c r="H114" s="168" t="n"/>
      <c r="I114" s="168">
        <f>(EXP(I97)-$C$67)/($C$66-$C$67)</f>
        <v/>
      </c>
      <c r="J114" s="168">
        <f>(EXP(J97)-$C$67)/($C$66-$C$67)</f>
        <v/>
      </c>
      <c r="K114" s="168">
        <f>(EXP(K97)-$C$67)/($C$66-$C$67)</f>
        <v/>
      </c>
      <c r="L114" s="168">
        <f>(EXP(L97)-$C$67)/($C$66-$C$67)</f>
        <v/>
      </c>
      <c r="M114" s="168">
        <f>(EXP(M97)-$C$67)/($C$66-$C$67)</f>
        <v/>
      </c>
      <c r="N114" s="168">
        <f>(EXP(N97)-$C$67)/($C$66-$C$67)</f>
        <v/>
      </c>
      <c r="O114" s="168">
        <f>(EXP(O97)-$C$67)/($C$66-$C$67)</f>
        <v/>
      </c>
      <c r="P114" s="168">
        <f>(EXP(P97)-$C$67)/($C$66-$C$67)</f>
        <v/>
      </c>
      <c r="Q114" s="168">
        <f>(EXP(Q97)-$C$67)/($C$66-$C$67)</f>
        <v/>
      </c>
      <c r="R114" s="168">
        <f>(EXP(R97)-$C$67)/($C$66-$C$67)</f>
        <v/>
      </c>
      <c r="S114" s="168" t="n"/>
    </row>
    <row r="115" ht="12.75" customHeight="1" s="145">
      <c r="D115" s="168" t="n"/>
      <c r="E115" s="168" t="n"/>
      <c r="F115" s="168" t="n"/>
      <c r="G115" s="168" t="n"/>
      <c r="H115" s="168">
        <f>(EXP(H98)-$C$67)/($C$66-$C$67)</f>
        <v/>
      </c>
      <c r="I115" s="168">
        <f>(EXP(I98)-$C$67)/($C$66-$C$67)</f>
        <v/>
      </c>
      <c r="J115" s="168">
        <f>(EXP(J98)-$C$67)/($C$66-$C$67)</f>
        <v/>
      </c>
      <c r="K115" s="168">
        <f>(EXP(K98)-$C$67)/($C$66-$C$67)</f>
        <v/>
      </c>
      <c r="L115" s="168">
        <f>(EXP(L98)-$C$67)/($C$66-$C$67)</f>
        <v/>
      </c>
      <c r="M115" s="168">
        <f>(EXP(M98)-$C$67)/($C$66-$C$67)</f>
        <v/>
      </c>
      <c r="N115" s="168">
        <f>(EXP(N98)-$C$67)/($C$66-$C$67)</f>
        <v/>
      </c>
      <c r="O115" s="168">
        <f>(EXP(O98)-$C$67)/($C$66-$C$67)</f>
        <v/>
      </c>
      <c r="P115" s="168">
        <f>(EXP(P98)-$C$67)/($C$66-$C$67)</f>
        <v/>
      </c>
      <c r="Q115" s="168">
        <f>(EXP(Q98)-$C$67)/($C$66-$C$67)</f>
        <v/>
      </c>
      <c r="R115" s="168">
        <f>(EXP(R98)-$C$67)/($C$66-$C$67)</f>
        <v/>
      </c>
      <c r="S115" s="168" t="n"/>
    </row>
    <row r="116" ht="12.75" customHeight="1" s="145">
      <c r="D116" s="168" t="n"/>
      <c r="E116" s="168" t="n"/>
      <c r="F116" s="168" t="n"/>
      <c r="G116" s="168">
        <f>(EXP(G99)-$C$67)/($C$66-$C$67)</f>
        <v/>
      </c>
      <c r="H116" s="168">
        <f>(EXP(H99)-$C$67)/($C$66-$C$67)</f>
        <v/>
      </c>
      <c r="I116" s="168">
        <f>(EXP(I99)-$C$67)/($C$66-$C$67)</f>
        <v/>
      </c>
      <c r="J116" s="168">
        <f>(EXP(J99)-$C$67)/($C$66-$C$67)</f>
        <v/>
      </c>
      <c r="K116" s="168">
        <f>(EXP(K99)-$C$67)/($C$66-$C$67)</f>
        <v/>
      </c>
      <c r="L116" s="168">
        <f>(EXP(L99)-$C$67)/($C$66-$C$67)</f>
        <v/>
      </c>
      <c r="M116" s="168">
        <f>(EXP(M99)-$C$67)/($C$66-$C$67)</f>
        <v/>
      </c>
      <c r="N116" s="168">
        <f>(EXP(N99)-$C$67)/($C$66-$C$67)</f>
        <v/>
      </c>
      <c r="O116" s="168">
        <f>(EXP(O99)-$C$67)/($C$66-$C$67)</f>
        <v/>
      </c>
      <c r="P116" s="168">
        <f>(EXP(P99)-$C$67)/($C$66-$C$67)</f>
        <v/>
      </c>
      <c r="Q116" s="168">
        <f>(EXP(Q99)-$C$67)/($C$66-$C$67)</f>
        <v/>
      </c>
      <c r="R116" s="168">
        <f>(EXP(R99)-$C$67)/($C$66-$C$67)</f>
        <v/>
      </c>
      <c r="S116" s="168" t="n"/>
    </row>
    <row r="117" ht="12.75" customHeight="1" s="145">
      <c r="D117" s="168" t="n"/>
      <c r="E117" s="168" t="n"/>
      <c r="F117" s="168">
        <f>(EXP(F100)-$C$67)/($C$66-$C$67)</f>
        <v/>
      </c>
      <c r="G117" s="168">
        <f>(EXP(G100)-$C$67)/($C$66-$C$67)</f>
        <v/>
      </c>
      <c r="H117" s="168">
        <f>(EXP(H100)-$C$67)/($C$66-$C$67)</f>
        <v/>
      </c>
      <c r="I117" s="168">
        <f>(EXP(I100)-$C$67)/($C$66-$C$67)</f>
        <v/>
      </c>
      <c r="J117" s="168">
        <f>(EXP(J100)-$C$67)/($C$66-$C$67)</f>
        <v/>
      </c>
      <c r="K117" s="168">
        <f>(EXP(K100)-$C$67)/($C$66-$C$67)</f>
        <v/>
      </c>
      <c r="L117" s="168">
        <f>(EXP(L100)-$C$67)/($C$66-$C$67)</f>
        <v/>
      </c>
      <c r="M117" s="168">
        <f>(EXP(M100)-$C$67)/($C$66-$C$67)</f>
        <v/>
      </c>
      <c r="N117" s="168">
        <f>(EXP(N100)-$C$67)/($C$66-$C$67)</f>
        <v/>
      </c>
      <c r="O117" s="168">
        <f>(EXP(O100)-$C$67)/($C$66-$C$67)</f>
        <v/>
      </c>
      <c r="P117" s="168">
        <f>(EXP(P100)-$C$67)/($C$66-$C$67)</f>
        <v/>
      </c>
      <c r="Q117" s="168">
        <f>(EXP(Q100)-$C$67)/($C$66-$C$67)</f>
        <v/>
      </c>
      <c r="R117" s="168">
        <f>(EXP(R100)-$C$67)/($C$66-$C$67)</f>
        <v/>
      </c>
      <c r="S117" s="168" t="n"/>
    </row>
    <row r="118" ht="12.75" customHeight="1" s="145">
      <c r="D118" s="168" t="n"/>
      <c r="E118" s="168">
        <f>(EXP(E101)-$C$67)/($C$66-$C$67)</f>
        <v/>
      </c>
      <c r="F118" s="168">
        <f>(EXP(F101)-$C$67)/($C$66-$C$67)</f>
        <v/>
      </c>
      <c r="G118" s="168">
        <f>(EXP(G101)-$C$67)/($C$66-$C$67)</f>
        <v/>
      </c>
      <c r="H118" s="168">
        <f>(EXP(H101)-$C$67)/($C$66-$C$67)</f>
        <v/>
      </c>
      <c r="I118" s="168">
        <f>(EXP(I101)-$C$67)/($C$66-$C$67)</f>
        <v/>
      </c>
      <c r="J118" s="168">
        <f>(EXP(J101)-$C$67)/($C$66-$C$67)</f>
        <v/>
      </c>
      <c r="K118" s="168">
        <f>(EXP(K101)-$C$67)/($C$66-$C$67)</f>
        <v/>
      </c>
      <c r="L118" s="168">
        <f>(EXP(L101)-$C$67)/($C$66-$C$67)</f>
        <v/>
      </c>
      <c r="M118" s="168">
        <f>(EXP(M101)-$C$67)/($C$66-$C$67)</f>
        <v/>
      </c>
      <c r="N118" s="168">
        <f>(EXP(N101)-$C$67)/($C$66-$C$67)</f>
        <v/>
      </c>
      <c r="O118" s="168">
        <f>(EXP(O101)-$C$67)/($C$66-$C$67)</f>
        <v/>
      </c>
      <c r="P118" s="168">
        <f>(EXP(P101)-$C$67)/($C$66-$C$67)</f>
        <v/>
      </c>
      <c r="Q118" s="168">
        <f>(EXP(Q101)-$C$67)/($C$66-$C$67)</f>
        <v/>
      </c>
      <c r="R118" s="168">
        <f>(EXP(R101)-$C$67)/($C$66-$C$67)</f>
        <v/>
      </c>
      <c r="S118" s="168" t="n"/>
    </row>
    <row r="119" ht="13.5" customFormat="1" customHeight="1" s="92">
      <c r="A119" s="96" t="inlineStr">
        <is>
          <t>risk neutral probability lattice</t>
        </is>
      </c>
      <c r="D119" s="168">
        <f>(EXP(D102)-$C$67)/($C$66-$C$67)</f>
        <v/>
      </c>
      <c r="E119" s="168">
        <f>(EXP(E102)-$C$67)/($C$66-$C$67)</f>
        <v/>
      </c>
      <c r="F119" s="168">
        <f>(EXP(F102)-$C$67)/($C$66-$C$67)</f>
        <v/>
      </c>
      <c r="G119" s="168">
        <f>(EXP(G102)-$C$67)/($C$66-$C$67)</f>
        <v/>
      </c>
      <c r="H119" s="168">
        <f>(EXP(H102)-$C$67)/($C$66-$C$67)</f>
        <v/>
      </c>
      <c r="I119" s="168">
        <f>(EXP(I102)-$C$67)/($C$66-$C$67)</f>
        <v/>
      </c>
      <c r="J119" s="168">
        <f>(EXP(J102)-$C$67)/($C$66-$C$67)</f>
        <v/>
      </c>
      <c r="K119" s="168">
        <f>(EXP(K102)-$C$67)/($C$66-$C$67)</f>
        <v/>
      </c>
      <c r="L119" s="168">
        <f>(EXP(L102)-$C$67)/($C$66-$C$67)</f>
        <v/>
      </c>
      <c r="M119" s="168">
        <f>(EXP(M102)-$C$67)/($C$66-$C$67)</f>
        <v/>
      </c>
      <c r="N119" s="168">
        <f>(EXP(N102)-$C$67)/($C$66-$C$67)</f>
        <v/>
      </c>
      <c r="O119" s="168">
        <f>(EXP(O102)-$C$67)/($C$66-$C$67)</f>
        <v/>
      </c>
      <c r="P119" s="168">
        <f>(EXP(P102)-$C$67)/($C$66-$C$67)</f>
        <v/>
      </c>
      <c r="Q119" s="168">
        <f>(EXP(Q102)-$C$67)/($C$66-$C$67)</f>
        <v/>
      </c>
      <c r="R119" s="168">
        <f>(EXP(R102)-$C$67)/($C$66-$C$67)</f>
        <v/>
      </c>
      <c r="S119" s="168" t="n"/>
    </row>
    <row r="120" ht="12.75" customHeight="1" s="145">
      <c r="D120" s="168" t="n"/>
      <c r="E120" s="168" t="n"/>
      <c r="F120" s="168" t="n"/>
      <c r="G120" s="168" t="n"/>
      <c r="H120" s="168" t="n"/>
      <c r="I120" s="168" t="n"/>
      <c r="J120" s="168" t="n"/>
      <c r="K120" s="168" t="n"/>
      <c r="L120" s="168" t="n"/>
      <c r="M120" s="168" t="n"/>
      <c r="N120" s="168" t="n"/>
      <c r="O120" s="168" t="n"/>
      <c r="P120" s="168" t="n"/>
      <c r="Q120" s="168" t="n"/>
      <c r="R120" s="168" t="n"/>
      <c r="S120" s="168" t="n"/>
    </row>
    <row r="121" ht="12.75" customHeight="1" s="145">
      <c r="D121" s="168" t="n"/>
      <c r="E121" s="168" t="n"/>
      <c r="F121" s="168" t="n"/>
      <c r="G121" s="168" t="n"/>
      <c r="H121" s="168" t="n"/>
      <c r="I121" s="168" t="n"/>
      <c r="J121" s="168" t="n"/>
      <c r="K121" s="168" t="n"/>
      <c r="L121" s="168" t="n"/>
      <c r="M121" s="168" t="n"/>
      <c r="N121" s="168" t="n"/>
      <c r="O121" s="168" t="n"/>
      <c r="P121" s="168" t="n"/>
      <c r="Q121" s="168" t="n"/>
      <c r="R121" s="168" t="n"/>
      <c r="S121" s="168" t="n"/>
    </row>
    <row r="122" ht="12.75" customHeight="1" s="145">
      <c r="D122" s="168" t="n"/>
      <c r="E122" s="168" t="n"/>
      <c r="F122" s="168" t="n"/>
      <c r="G122" s="168" t="n"/>
      <c r="H122" s="168" t="n"/>
      <c r="I122" s="168" t="n"/>
      <c r="J122" s="168" t="n"/>
      <c r="K122" s="168" t="n"/>
      <c r="L122" s="168" t="n"/>
      <c r="M122" s="168" t="n"/>
      <c r="N122" s="168" t="n"/>
      <c r="O122" s="168" t="n"/>
      <c r="P122" s="168" t="n"/>
      <c r="Q122" s="168" t="n"/>
      <c r="R122" s="168">
        <f>Q123*EXP(SQRT(1/$C$29)*$C$28)</f>
        <v/>
      </c>
      <c r="S122" s="168" t="n"/>
    </row>
    <row r="123" ht="12.75" customHeight="1" s="145">
      <c r="D123" s="168" t="n"/>
      <c r="E123" s="168" t="n"/>
      <c r="F123" s="168" t="n"/>
      <c r="G123" s="168" t="n"/>
      <c r="H123" s="168" t="n"/>
      <c r="I123" s="168" t="n"/>
      <c r="J123" s="168" t="n"/>
      <c r="K123" s="168" t="n"/>
      <c r="L123" s="168" t="n"/>
      <c r="M123" s="168" t="n"/>
      <c r="N123" s="168" t="n"/>
      <c r="O123" s="168" t="n"/>
      <c r="P123" s="168" t="n"/>
      <c r="Q123" s="168">
        <f>P124*EXP(SQRT(1/$C$29)*$C$28)</f>
        <v/>
      </c>
      <c r="R123" s="168">
        <f>Q123*EXP(SQRT(1/$C$29)*(-$C$28))</f>
        <v/>
      </c>
      <c r="S123" s="168" t="n"/>
    </row>
    <row r="124" ht="12.75" customHeight="1" s="145">
      <c r="D124" s="168" t="n"/>
      <c r="E124" s="168" t="n"/>
      <c r="F124" s="168" t="n"/>
      <c r="G124" s="168" t="n"/>
      <c r="H124" s="168" t="n"/>
      <c r="I124" s="168" t="n"/>
      <c r="J124" s="168" t="n"/>
      <c r="K124" s="168" t="n"/>
      <c r="L124" s="168" t="n"/>
      <c r="M124" s="168" t="n"/>
      <c r="N124" s="168" t="n"/>
      <c r="O124" s="168" t="n"/>
      <c r="P124" s="168">
        <f>O125*EXP(SQRT(1/$C$29)*$C$28)</f>
        <v/>
      </c>
      <c r="Q124" s="168">
        <f>P124*EXP(SQRT(1/$C$29)*(-$C$28))</f>
        <v/>
      </c>
      <c r="R124" s="168">
        <f>Q124*EXP(SQRT(1/$C$29)*(-$C$28))</f>
        <v/>
      </c>
      <c r="S124" s="168" t="n"/>
    </row>
    <row r="125" ht="12.75" customHeight="1" s="145">
      <c r="D125" s="168" t="n"/>
      <c r="E125" s="168" t="n"/>
      <c r="F125" s="168" t="n"/>
      <c r="G125" s="168" t="n"/>
      <c r="H125" s="168" t="n"/>
      <c r="I125" s="168" t="n"/>
      <c r="J125" s="168" t="n"/>
      <c r="K125" s="168" t="n"/>
      <c r="L125" s="168" t="n"/>
      <c r="M125" s="168" t="n"/>
      <c r="N125" s="168" t="n"/>
      <c r="O125" s="168">
        <f>N126*EXP(SQRT(1/$C$29)*$C$28)</f>
        <v/>
      </c>
      <c r="P125" s="168">
        <f>O125*EXP(SQRT(1/$C$29)*(-$C$28))</f>
        <v/>
      </c>
      <c r="Q125" s="168">
        <f>P125*EXP(SQRT(1/$C$29)*(-$C$28))</f>
        <v/>
      </c>
      <c r="R125" s="168">
        <f>Q125*EXP(SQRT(1/$C$29)*(-$C$28))</f>
        <v/>
      </c>
      <c r="S125" s="168" t="n"/>
    </row>
    <row r="126" ht="12.75" customHeight="1" s="145">
      <c r="D126" s="168" t="n"/>
      <c r="E126" s="168" t="n"/>
      <c r="F126" s="168" t="n"/>
      <c r="G126" s="168" t="n"/>
      <c r="H126" s="168" t="n"/>
      <c r="I126" s="168" t="n"/>
      <c r="J126" s="168" t="n"/>
      <c r="K126" s="168" t="n"/>
      <c r="L126" s="168" t="n"/>
      <c r="M126" s="168" t="n"/>
      <c r="N126" s="168">
        <f>M127*EXP(SQRT(1/$C$29)*$C$28)</f>
        <v/>
      </c>
      <c r="O126" s="168">
        <f>N126*EXP(SQRT(1/$C$29)*(-$C$28))</f>
        <v/>
      </c>
      <c r="P126" s="168">
        <f>O126*EXP(SQRT(1/$C$29)*(-$C$28))</f>
        <v/>
      </c>
      <c r="Q126" s="168">
        <f>P126*EXP(SQRT(1/$C$29)*(-$C$28))</f>
        <v/>
      </c>
      <c r="R126" s="168">
        <f>Q126*EXP(SQRT(1/$C$29)*(-$C$28))</f>
        <v/>
      </c>
      <c r="S126" s="168" t="n"/>
    </row>
    <row r="127" ht="12.75" customHeight="1" s="145">
      <c r="D127" s="168" t="n"/>
      <c r="E127" s="168" t="n"/>
      <c r="F127" s="168" t="n"/>
      <c r="G127" s="168" t="n"/>
      <c r="H127" s="168" t="n"/>
      <c r="I127" s="168" t="n"/>
      <c r="J127" s="168" t="n"/>
      <c r="K127" s="168" t="n"/>
      <c r="L127" s="168" t="n"/>
      <c r="M127" s="168">
        <f>L128*EXP(SQRT(1/$C$29)*$C$28)</f>
        <v/>
      </c>
      <c r="N127" s="168">
        <f>M127*EXP(SQRT(1/$C$29)*(-$C$28))</f>
        <v/>
      </c>
      <c r="O127" s="168">
        <f>N127*EXP(SQRT(1/$C$29)*(-$C$28))</f>
        <v/>
      </c>
      <c r="P127" s="168">
        <f>O127*EXP(SQRT(1/$C$29)*(-$C$28))</f>
        <v/>
      </c>
      <c r="Q127" s="168">
        <f>P127*EXP(SQRT(1/$C$29)*(-$C$28))</f>
        <v/>
      </c>
      <c r="R127" s="168">
        <f>Q127*EXP(SQRT(1/$C$29)*(-$C$28))</f>
        <v/>
      </c>
      <c r="S127" s="168" t="n"/>
    </row>
    <row r="128" ht="12.75" customHeight="1" s="145">
      <c r="D128" s="168" t="n"/>
      <c r="E128" s="168" t="n"/>
      <c r="F128" s="168" t="n"/>
      <c r="G128" s="168" t="n"/>
      <c r="H128" s="168" t="n"/>
      <c r="I128" s="168" t="n"/>
      <c r="J128" s="168" t="n"/>
      <c r="K128" s="168" t="n"/>
      <c r="L128" s="168">
        <f>K129*EXP(SQRT(1/$C$29)*$C$28)</f>
        <v/>
      </c>
      <c r="M128" s="168">
        <f>L128*EXP(SQRT(1/$C$29)*(-$C$28))</f>
        <v/>
      </c>
      <c r="N128" s="168">
        <f>M128*EXP(SQRT(1/$C$29)*(-$C$28))</f>
        <v/>
      </c>
      <c r="O128" s="168">
        <f>N128*EXP(SQRT(1/$C$29)*(-$C$28))</f>
        <v/>
      </c>
      <c r="P128" s="168">
        <f>O128*EXP(SQRT(1/$C$29)*(-$C$28))</f>
        <v/>
      </c>
      <c r="Q128" s="168">
        <f>P128*EXP(SQRT(1/$C$29)*(-$C$28))</f>
        <v/>
      </c>
      <c r="R128" s="168">
        <f>Q128*EXP(SQRT(1/$C$29)*(-$C$28))</f>
        <v/>
      </c>
      <c r="S128" s="168" t="n"/>
    </row>
    <row r="129" ht="12.75" customHeight="1" s="145">
      <c r="D129" s="168" t="n"/>
      <c r="E129" s="168" t="n"/>
      <c r="F129" s="168" t="n"/>
      <c r="G129" s="168" t="n"/>
      <c r="H129" s="168" t="n"/>
      <c r="I129" s="168" t="n"/>
      <c r="J129" s="168" t="n"/>
      <c r="K129" s="168">
        <f>J130*EXP(SQRT(1/$C$29)*$C$28)</f>
        <v/>
      </c>
      <c r="L129" s="168">
        <f>K129*EXP(SQRT(1/$C$29)*(-$C$28))</f>
        <v/>
      </c>
      <c r="M129" s="168">
        <f>L129*EXP(SQRT(1/$C$29)*(-$C$28))</f>
        <v/>
      </c>
      <c r="N129" s="168">
        <f>M129*EXP(SQRT(1/$C$29)*(-$C$28))</f>
        <v/>
      </c>
      <c r="O129" s="168">
        <f>N129*EXP(SQRT(1/$C$29)*(-$C$28))</f>
        <v/>
      </c>
      <c r="P129" s="168">
        <f>O129*EXP(SQRT(1/$C$29)*(-$C$28))</f>
        <v/>
      </c>
      <c r="Q129" s="168">
        <f>P129*EXP(SQRT(1/$C$29)*(-$C$28))</f>
        <v/>
      </c>
      <c r="R129" s="168">
        <f>Q129*EXP(SQRT(1/$C$29)*(-$C$28))</f>
        <v/>
      </c>
      <c r="S129" s="168" t="n"/>
    </row>
    <row r="130" ht="12.75" customHeight="1" s="145">
      <c r="D130" s="168" t="n"/>
      <c r="E130" s="168" t="n"/>
      <c r="F130" s="168" t="n"/>
      <c r="G130" s="168" t="n"/>
      <c r="H130" s="168" t="n"/>
      <c r="I130" s="168" t="n"/>
      <c r="J130" s="168">
        <f>I131*EXP(SQRT(1/$C$29)*$C$28)</f>
        <v/>
      </c>
      <c r="K130" s="168">
        <f>J130*EXP(SQRT(1/$C$29)*(-$C$28))</f>
        <v/>
      </c>
      <c r="L130" s="168">
        <f>K130*EXP(SQRT(1/$C$29)*(-$C$28))</f>
        <v/>
      </c>
      <c r="M130" s="168">
        <f>L130*EXP(SQRT(1/$C$29)*(-$C$28))</f>
        <v/>
      </c>
      <c r="N130" s="168">
        <f>M130*EXP(SQRT(1/$C$29)*(-$C$28))</f>
        <v/>
      </c>
      <c r="O130" s="168">
        <f>N130*EXP(SQRT(1/$C$29)*(-$C$28))</f>
        <v/>
      </c>
      <c r="P130" s="168">
        <f>O130*EXP(SQRT(1/$C$29)*(-$C$28))</f>
        <v/>
      </c>
      <c r="Q130" s="168">
        <f>P130*EXP(SQRT(1/$C$29)*(-$C$28))</f>
        <v/>
      </c>
      <c r="R130" s="168">
        <f>Q130*EXP(SQRT(1/$C$29)*(-$C$28))</f>
        <v/>
      </c>
      <c r="S130" s="168" t="n"/>
    </row>
    <row r="131" ht="12.75" customHeight="1" s="145">
      <c r="D131" s="168" t="n"/>
      <c r="E131" s="168" t="n"/>
      <c r="F131" s="168" t="n"/>
      <c r="G131" s="168" t="n"/>
      <c r="H131" s="168" t="n"/>
      <c r="I131" s="168">
        <f>H132*EXP(SQRT(1/$C$29)*$C$28)</f>
        <v/>
      </c>
      <c r="J131" s="168">
        <f>I131*EXP(SQRT(1/$C$29)*(-$C$28))</f>
        <v/>
      </c>
      <c r="K131" s="168">
        <f>J131*EXP(SQRT(1/$C$29)*(-$C$28))</f>
        <v/>
      </c>
      <c r="L131" s="168">
        <f>K131*EXP(SQRT(1/$C$29)*(-$C$28))</f>
        <v/>
      </c>
      <c r="M131" s="168">
        <f>L131*EXP(SQRT(1/$C$29)*(-$C$28))</f>
        <v/>
      </c>
      <c r="N131" s="168">
        <f>M131*EXP(SQRT(1/$C$29)*(-$C$28))</f>
        <v/>
      </c>
      <c r="O131" s="168">
        <f>N131*EXP(SQRT(1/$C$29)*(-$C$28))</f>
        <v/>
      </c>
      <c r="P131" s="168">
        <f>O131*EXP(SQRT(1/$C$29)*(-$C$28))</f>
        <v/>
      </c>
      <c r="Q131" s="168">
        <f>P131*EXP(SQRT(1/$C$29)*(-$C$28))</f>
        <v/>
      </c>
      <c r="R131" s="168">
        <f>Q131*EXP(SQRT(1/$C$29)*(-$C$28))</f>
        <v/>
      </c>
      <c r="S131" s="168" t="n"/>
    </row>
    <row r="132" ht="12.75" customHeight="1" s="145">
      <c r="D132" s="168" t="n"/>
      <c r="E132" s="168" t="n"/>
      <c r="F132" s="168" t="n"/>
      <c r="G132" s="168" t="n"/>
      <c r="H132" s="168">
        <f>G133*EXP(SQRT(1/$C$29)*$C$28)</f>
        <v/>
      </c>
      <c r="I132" s="168">
        <f>H132*EXP(SQRT(1/$C$29)*(-$C$28))</f>
        <v/>
      </c>
      <c r="J132" s="168">
        <f>I132*EXP(SQRT(1/$C$29)*(-$C$28))</f>
        <v/>
      </c>
      <c r="K132" s="168">
        <f>J132*EXP(SQRT(1/$C$29)*(-$C$28))</f>
        <v/>
      </c>
      <c r="L132" s="168">
        <f>K132*EXP(SQRT(1/$C$29)*(-$C$28))</f>
        <v/>
      </c>
      <c r="M132" s="168">
        <f>L132*EXP(SQRT(1/$C$29)*(-$C$28))</f>
        <v/>
      </c>
      <c r="N132" s="168">
        <f>M132*EXP(SQRT(1/$C$29)*(-$C$28))</f>
        <v/>
      </c>
      <c r="O132" s="168">
        <f>N132*EXP(SQRT(1/$C$29)*(-$C$28))</f>
        <v/>
      </c>
      <c r="P132" s="168">
        <f>O132*EXP(SQRT(1/$C$29)*(-$C$28))</f>
        <v/>
      </c>
      <c r="Q132" s="168">
        <f>P132*EXP(SQRT(1/$C$29)*(-$C$28))</f>
        <v/>
      </c>
      <c r="R132" s="168">
        <f>Q132*EXP(SQRT(1/$C$29)*(-$C$28))</f>
        <v/>
      </c>
      <c r="S132" s="168" t="n"/>
    </row>
    <row r="133" ht="12.75" customHeight="1" s="145">
      <c r="D133" s="168" t="n"/>
      <c r="E133" s="168" t="n"/>
      <c r="F133" s="168" t="n"/>
      <c r="G133" s="168">
        <f>F134*EXP(SQRT(1/$C$29)*$C$28)</f>
        <v/>
      </c>
      <c r="H133" s="168">
        <f>G133*EXP(SQRT(1/$C$29)*(-$C$28))</f>
        <v/>
      </c>
      <c r="I133" s="168">
        <f>H133*EXP(SQRT(1/$C$29)*(-$C$28))</f>
        <v/>
      </c>
      <c r="J133" s="168">
        <f>I133*EXP(SQRT(1/$C$29)*(-$C$28))</f>
        <v/>
      </c>
      <c r="K133" s="168">
        <f>J133*EXP(SQRT(1/$C$29)*(-$C$28))</f>
        <v/>
      </c>
      <c r="L133" s="168">
        <f>K133*EXP(SQRT(1/$C$29)*(-$C$28))</f>
        <v/>
      </c>
      <c r="M133" s="168">
        <f>L133*EXP(SQRT(1/$C$29)*(-$C$28))</f>
        <v/>
      </c>
      <c r="N133" s="168">
        <f>M133*EXP(SQRT(1/$C$29)*(-$C$28))</f>
        <v/>
      </c>
      <c r="O133" s="168">
        <f>N133*EXP(SQRT(1/$C$29)*(-$C$28))</f>
        <v/>
      </c>
      <c r="P133" s="168">
        <f>O133*EXP(SQRT(1/$C$29)*(-$C$28))</f>
        <v/>
      </c>
      <c r="Q133" s="168">
        <f>P133*EXP(SQRT(1/$C$29)*(-$C$28))</f>
        <v/>
      </c>
      <c r="R133" s="168">
        <f>Q133*EXP(SQRT(1/$C$29)*(-$C$28))</f>
        <v/>
      </c>
      <c r="S133" s="168" t="n"/>
    </row>
    <row r="134" ht="12.75" customHeight="1" s="145">
      <c r="D134" s="168" t="n"/>
      <c r="E134" s="168" t="n"/>
      <c r="F134" s="168">
        <f>E135*EXP(SQRT(1/$C$29)*$C$28)</f>
        <v/>
      </c>
      <c r="G134" s="168">
        <f>F134*EXP(SQRT(1/$C$29)*(-$C$28))</f>
        <v/>
      </c>
      <c r="H134" s="168">
        <f>G134*EXP(SQRT(1/$C$29)*(-$C$28))</f>
        <v/>
      </c>
      <c r="I134" s="168">
        <f>H134*EXP(SQRT(1/$C$29)*(-$C$28))</f>
        <v/>
      </c>
      <c r="J134" s="168">
        <f>I134*EXP(SQRT(1/$C$29)*(-$C$28))</f>
        <v/>
      </c>
      <c r="K134" s="168">
        <f>J134*EXP(SQRT(1/$C$29)*(-$C$28))</f>
        <v/>
      </c>
      <c r="L134" s="168">
        <f>K134*EXP(SQRT(1/$C$29)*(-$C$28))</f>
        <v/>
      </c>
      <c r="M134" s="168">
        <f>L134*EXP(SQRT(1/$C$29)*(-$C$28))</f>
        <v/>
      </c>
      <c r="N134" s="168">
        <f>M134*EXP(SQRT(1/$C$29)*(-$C$28))</f>
        <v/>
      </c>
      <c r="O134" s="168">
        <f>N134*EXP(SQRT(1/$C$29)*(-$C$28))</f>
        <v/>
      </c>
      <c r="P134" s="168">
        <f>O134*EXP(SQRT(1/$C$29)*(-$C$28))</f>
        <v/>
      </c>
      <c r="Q134" s="168">
        <f>P134*EXP(SQRT(1/$C$29)*(-$C$28))</f>
        <v/>
      </c>
      <c r="R134" s="168">
        <f>Q134*EXP(SQRT(1/$C$29)*(-$C$28))</f>
        <v/>
      </c>
      <c r="S134" s="168" t="n"/>
    </row>
    <row r="135" ht="12.75" customHeight="1" s="145">
      <c r="D135" s="168" t="n"/>
      <c r="E135" s="168">
        <f>D136*EXP(SQRT(1/$C$29)*$C$28)</f>
        <v/>
      </c>
      <c r="F135" s="168">
        <f>E135*EXP(SQRT(1/$C$29)*(-$C$28))</f>
        <v/>
      </c>
      <c r="G135" s="168">
        <f>F135*EXP(SQRT(1/$C$29)*(-$C$28))</f>
        <v/>
      </c>
      <c r="H135" s="168">
        <f>G135*EXP(SQRT(1/$C$29)*(-$C$28))</f>
        <v/>
      </c>
      <c r="I135" s="168">
        <f>H135*EXP(SQRT(1/$C$29)*(-$C$28))</f>
        <v/>
      </c>
      <c r="J135" s="168">
        <f>I135*EXP(SQRT(1/$C$29)*(-$C$28))</f>
        <v/>
      </c>
      <c r="K135" s="168">
        <f>J135*EXP(SQRT(1/$C$29)*(-$C$28))</f>
        <v/>
      </c>
      <c r="L135" s="168">
        <f>K135*EXP(SQRT(1/$C$29)*(-$C$28))</f>
        <v/>
      </c>
      <c r="M135" s="168">
        <f>L135*EXP(SQRT(1/$C$29)*(-$C$28))</f>
        <v/>
      </c>
      <c r="N135" s="168">
        <f>M135*EXP(SQRT(1/$C$29)*(-$C$28))</f>
        <v/>
      </c>
      <c r="O135" s="168">
        <f>N135*EXP(SQRT(1/$C$29)*(-$C$28))</f>
        <v/>
      </c>
      <c r="P135" s="168">
        <f>O135*EXP(SQRT(1/$C$29)*(-$C$28))</f>
        <v/>
      </c>
      <c r="Q135" s="168">
        <f>P135*EXP(SQRT(1/$C$29)*(-$C$28))</f>
        <v/>
      </c>
      <c r="R135" s="168">
        <f>Q135*EXP(SQRT(1/$C$29)*(-$C$28))</f>
        <v/>
      </c>
      <c r="S135" s="168" t="n"/>
    </row>
    <row r="136" ht="12.75" customHeight="1" s="145">
      <c r="A136" s="96" t="inlineStr">
        <is>
          <t>firm value lattice</t>
        </is>
      </c>
      <c r="D136" s="168">
        <f>$C$27</f>
        <v/>
      </c>
      <c r="E136" s="168">
        <f>D136*EXP(SQRT(1/$C$29)*(-$C$28))</f>
        <v/>
      </c>
      <c r="F136" s="168">
        <f>E136*EXP(SQRT(1/$C$29)*(-$C$28))</f>
        <v/>
      </c>
      <c r="G136" s="168">
        <f>F136*EXP(SQRT(1/$C$29)*(-$C$28))</f>
        <v/>
      </c>
      <c r="H136" s="168">
        <f>G136*EXP(SQRT(1/$C$29)*(-$C$28))</f>
        <v/>
      </c>
      <c r="I136" s="168">
        <f>H136*EXP(SQRT(1/$C$29)*(-$C$28))</f>
        <v/>
      </c>
      <c r="J136" s="168">
        <f>I136*EXP(SQRT(1/$C$29)*(-$C$28))</f>
        <v/>
      </c>
      <c r="K136" s="168">
        <f>J136*EXP(SQRT(1/$C$29)*(-$C$28))</f>
        <v/>
      </c>
      <c r="L136" s="168">
        <f>K136*EXP(SQRT(1/$C$29)*(-$C$28))</f>
        <v/>
      </c>
      <c r="M136" s="168">
        <f>L136*EXP(SQRT(1/$C$29)*(-$C$28))</f>
        <v/>
      </c>
      <c r="N136" s="168">
        <f>M136*EXP(SQRT(1/$C$29)*(-$C$28))</f>
        <v/>
      </c>
      <c r="O136" s="168">
        <f>N136*EXP(SQRT(1/$C$29)*(-$C$28))</f>
        <v/>
      </c>
      <c r="P136" s="168">
        <f>O136*EXP(SQRT(1/$C$29)*(-$C$28))</f>
        <v/>
      </c>
      <c r="Q136" s="168">
        <f>P136*EXP(SQRT(1/$C$29)*(-$C$28))</f>
        <v/>
      </c>
      <c r="R136" s="168">
        <f>Q136*EXP(SQRT(1/$C$29)*(-$C$28))</f>
        <v/>
      </c>
      <c r="S136" s="168" t="n"/>
    </row>
    <row r="137" ht="12.75" customHeight="1" s="145">
      <c r="D137" s="168" t="n"/>
      <c r="E137" s="168" t="n"/>
      <c r="F137" s="168" t="n"/>
      <c r="G137" s="168" t="n"/>
      <c r="H137" s="168" t="n"/>
      <c r="I137" s="168" t="n"/>
      <c r="J137" s="168" t="n"/>
      <c r="K137" s="168" t="n"/>
      <c r="L137" s="168" t="n"/>
      <c r="M137" s="168" t="n"/>
      <c r="N137" s="168" t="n"/>
      <c r="O137" s="168" t="n"/>
      <c r="P137" s="168" t="n"/>
      <c r="Q137" s="168" t="n"/>
      <c r="R137" s="168" t="n"/>
      <c r="S137" s="168" t="n"/>
    </row>
    <row r="138" ht="12.75" customHeight="1" s="145">
      <c r="D138" s="168" t="n"/>
      <c r="E138" s="168" t="n"/>
      <c r="F138" s="168" t="n"/>
      <c r="G138" s="168" t="n"/>
      <c r="H138" s="168" t="n"/>
      <c r="I138" s="168" t="n"/>
      <c r="J138" s="168" t="n"/>
      <c r="K138" s="168" t="n"/>
      <c r="L138" s="168" t="n"/>
      <c r="M138" s="168" t="n"/>
      <c r="N138" s="168" t="n"/>
      <c r="O138" s="168" t="n"/>
      <c r="P138" s="168" t="n"/>
      <c r="Q138" s="168" t="n"/>
      <c r="R138" s="168" t="n"/>
      <c r="S138" s="168" t="n"/>
    </row>
    <row r="139" ht="12.75" customHeight="1" s="145">
      <c r="D139" s="168" t="n"/>
      <c r="E139" s="168" t="n"/>
      <c r="F139" s="168" t="n"/>
      <c r="G139" s="168" t="n"/>
      <c r="H139" s="168" t="n"/>
      <c r="I139" s="168" t="n"/>
      <c r="J139" s="168" t="n"/>
      <c r="K139" s="168" t="n"/>
      <c r="L139" s="168" t="n"/>
      <c r="M139" s="168" t="n"/>
      <c r="N139" s="168" t="n"/>
      <c r="O139" s="168" t="n"/>
      <c r="P139" s="168" t="n"/>
      <c r="Q139" s="168" t="n"/>
      <c r="R139" s="168" t="n"/>
      <c r="S139" s="168" t="n"/>
    </row>
  </sheetData>
  <hyperlinks>
    <hyperlink xmlns:r="http://schemas.openxmlformats.org/officeDocument/2006/relationships" ref="B7" display="leesb@hanyang.ac.kr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T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17" activeCellId="0" sqref="J17"/>
    </sheetView>
  </sheetViews>
  <sheetFormatPr baseColWidth="8" defaultColWidth="8.7734375" defaultRowHeight="12.75" zeroHeight="0" outlineLevelRow="0"/>
  <cols>
    <col width="16.44" customWidth="1" style="96" min="1" max="1"/>
    <col width="8.77" customWidth="1" style="92" min="2" max="257"/>
  </cols>
  <sheetData>
    <row r="1" ht="12.75" customFormat="1" customHeight="1" s="93">
      <c r="A1" s="94" t="inlineStr">
        <is>
          <t>Convertible Bond</t>
        </is>
      </c>
      <c r="D1" s="95" t="inlineStr">
        <is>
          <t>© copyright THC 2003. All rights reserved by Thomas Ho Company, New York, NY. USA      www. thomasho.com       tom.ho@thomasho.com</t>
        </is>
      </c>
    </row>
    <row r="2" ht="12.75" customFormat="1" customHeight="1" s="96">
      <c r="A2" s="97" t="inlineStr">
        <is>
          <t>reference number</t>
        </is>
      </c>
      <c r="B2" s="96" t="n">
        <v>129</v>
      </c>
    </row>
    <row r="3" ht="12.75" customFormat="1" customHeight="1" s="96">
      <c r="A3" s="97" t="inlineStr">
        <is>
          <t>Version</t>
        </is>
      </c>
      <c r="B3" s="98" t="n">
        <v>1</v>
      </c>
      <c r="E3" s="99" t="inlineStr">
        <is>
          <t>Instructions</t>
        </is>
      </c>
      <c r="F3" s="100" t="n"/>
      <c r="G3" s="100" t="n"/>
      <c r="H3" s="100" t="n"/>
      <c r="I3" s="100" t="n"/>
      <c r="J3" s="100" t="n"/>
      <c r="K3" s="100" t="n"/>
      <c r="L3" s="101" t="n"/>
      <c r="N3" s="96" t="n"/>
      <c r="O3" s="96" t="n"/>
      <c r="P3" s="96" t="n"/>
      <c r="Q3" s="96" t="n"/>
      <c r="R3" s="96" t="n"/>
    </row>
    <row r="4" ht="12.75" customFormat="1" customHeight="1" s="96">
      <c r="A4" s="97" t="inlineStr">
        <is>
          <t>publication date</t>
        </is>
      </c>
      <c r="B4" s="102" t="n">
        <v>38139</v>
      </c>
      <c r="E4" s="103" t="inlineStr">
        <is>
          <t xml:space="preserve">A convertible bond is a bond with an embedded call option on the company's stock. To incorporate the credit risk, we use the firm value, not the stock value, as the underlying risk source.  </t>
        </is>
      </c>
      <c r="F4" s="104" t="n"/>
      <c r="G4" s="104" t="n"/>
      <c r="H4" s="104" t="n"/>
      <c r="I4" s="104" t="n"/>
      <c r="J4" s="104" t="n"/>
      <c r="K4" s="104" t="n"/>
      <c r="L4" s="105" t="n"/>
      <c r="N4" s="96" t="n"/>
      <c r="O4" s="96" t="n"/>
      <c r="P4" s="96" t="n"/>
      <c r="Q4" s="96" t="n"/>
      <c r="R4" s="96" t="n"/>
    </row>
    <row r="5" ht="12.75" customFormat="1" customHeight="1" s="96">
      <c r="A5" s="97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7" t="inlineStr">
        <is>
          <t xml:space="preserve">only risk source for the compound option. </t>
        </is>
      </c>
      <c r="F5" s="108" t="n"/>
      <c r="G5" s="108" t="n"/>
      <c r="H5" s="108" t="n"/>
      <c r="I5" s="108" t="n"/>
      <c r="J5" s="108" t="n"/>
      <c r="K5" s="108" t="n"/>
      <c r="L5" s="109" t="n"/>
      <c r="N5" s="96" t="n"/>
      <c r="O5" s="96" t="n"/>
      <c r="P5" s="96" t="n"/>
      <c r="Q5" s="96" t="n"/>
      <c r="R5" s="96" t="n"/>
    </row>
    <row r="6" ht="12.75" customFormat="1" customHeight="1" s="96">
      <c r="A6" s="97" t="inlineStr">
        <is>
          <t>affiliation</t>
        </is>
      </c>
      <c r="B6" s="106" t="inlineStr">
        <is>
          <t>Hanyang University</t>
        </is>
      </c>
      <c r="C6" s="106" t="n"/>
      <c r="D6" s="106" t="n"/>
      <c r="E6" s="110" t="inlineStr">
        <is>
          <t>inputs</t>
        </is>
      </c>
      <c r="F6" s="111" t="inlineStr">
        <is>
          <t>firm value, firm voaltility, conversion price,</t>
        </is>
      </c>
      <c r="G6" s="112" t="n"/>
      <c r="H6" s="113" t="n"/>
      <c r="I6" s="113" t="n"/>
      <c r="J6" s="113" t="n"/>
      <c r="K6" s="113" t="n"/>
      <c r="L6" s="114" t="n"/>
      <c r="M6" s="96" t="n"/>
      <c r="N6" s="96" t="n"/>
      <c r="O6" s="96" t="n"/>
      <c r="P6" s="96" t="n"/>
      <c r="Q6" s="96" t="n"/>
      <c r="R6" s="96" t="n"/>
    </row>
    <row r="7" ht="12.75" customFormat="1" customHeight="1" s="96">
      <c r="A7" s="97" t="inlineStr">
        <is>
          <t>email address</t>
        </is>
      </c>
      <c r="B7" s="115" t="inlineStr">
        <is>
          <t>leesb@hanyang.ac.kr</t>
        </is>
      </c>
      <c r="C7" s="115" t="n"/>
      <c r="D7" s="115" t="n"/>
      <c r="E7" s="116" t="n"/>
      <c r="F7" s="117" t="inlineStr">
        <is>
          <t>continuous compounding interest rate</t>
        </is>
      </c>
      <c r="G7" s="118" t="n"/>
      <c r="H7" s="118" t="n"/>
      <c r="I7" s="118" t="n"/>
      <c r="J7" s="118" t="n"/>
      <c r="K7" s="118" t="n"/>
      <c r="L7" s="119" t="n"/>
      <c r="M7" s="96" t="n"/>
      <c r="N7" s="96" t="n"/>
      <c r="O7" s="96" t="n"/>
      <c r="P7" s="96" t="n"/>
      <c r="Q7" s="96" t="n"/>
      <c r="R7" s="96" t="n"/>
    </row>
    <row r="8" ht="12.75" customFormat="1" customHeight="1" s="96">
      <c r="A8" s="97" t="inlineStr">
        <is>
          <t>last revised date</t>
        </is>
      </c>
      <c r="B8" s="120" t="n">
        <v>38139</v>
      </c>
      <c r="C8" s="121" t="n"/>
      <c r="D8" s="121" t="n"/>
      <c r="E8" s="122" t="inlineStr">
        <is>
          <t>outputs</t>
        </is>
      </c>
      <c r="F8" s="123" t="inlineStr">
        <is>
          <t>Convertible bond lattice</t>
        </is>
      </c>
      <c r="G8" s="124" t="n"/>
      <c r="H8" s="125" t="n"/>
      <c r="I8" s="125" t="n"/>
      <c r="J8" s="125" t="n"/>
      <c r="K8" s="125" t="n"/>
      <c r="L8" s="126" t="n"/>
      <c r="M8" s="96" t="n"/>
      <c r="N8" s="96" t="n"/>
      <c r="O8" s="96" t="n"/>
      <c r="P8" s="96" t="n"/>
      <c r="Q8" s="96" t="n"/>
      <c r="R8" s="96" t="n"/>
    </row>
    <row r="9" ht="12.75" customFormat="1" customHeight="1" s="96">
      <c r="A9" s="97" t="inlineStr">
        <is>
          <t>references</t>
        </is>
      </c>
      <c r="B9" s="127" t="inlineStr">
        <is>
          <t>Brennan, M.J., and E.S. Schwartz. 1977. Convertible bonds: Valuation and optimal strategies for call and conversion. Journal of Finance, 32 (5), 1699-1715.</t>
        </is>
      </c>
      <c r="C9" s="121" t="n"/>
      <c r="D9" s="121" t="n"/>
      <c r="E9" s="121" t="n"/>
      <c r="F9" s="121" t="n"/>
      <c r="G9" s="10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</row>
    <row r="10" ht="12.75" customFormat="1" customHeight="1" s="96">
      <c r="A10" s="97" t="n"/>
      <c r="B10" s="121" t="inlineStr">
        <is>
          <t>Ch.10 of "The Oxford Guide to Financial Modeling" by Thomas S.Y. Ho and Sang Bin Lee, 2004, Oxford University Press</t>
        </is>
      </c>
      <c r="C10" s="121" t="n"/>
      <c r="D10" s="121" t="n"/>
      <c r="E10" s="121" t="n"/>
      <c r="F10" s="121" t="n"/>
      <c r="G10" s="10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</row>
    <row r="11" ht="12.75" customFormat="1" customHeight="1" s="128">
      <c r="A11" s="129" t="inlineStr">
        <is>
          <t>Descriptions</t>
        </is>
      </c>
      <c r="B11" s="130" t="n"/>
      <c r="C11" s="130" t="n"/>
      <c r="D11" s="130" t="n"/>
      <c r="E11" s="130" t="n"/>
      <c r="F11" s="130" t="n"/>
      <c r="G11" s="131" t="n"/>
    </row>
    <row r="12" ht="12.75" customFormat="1" customHeight="1" s="96">
      <c r="A12" s="158" t="n"/>
      <c r="B12" s="92" t="n"/>
      <c r="C12" s="92" t="n"/>
      <c r="D12" s="92" t="n"/>
      <c r="E12" s="92" t="n"/>
      <c r="F12" s="92" t="n"/>
      <c r="G12" s="106" t="n"/>
      <c r="H12" s="96" t="n"/>
      <c r="I12" s="96" t="n"/>
      <c r="J12" s="96" t="n"/>
      <c r="K12" s="96" t="n"/>
      <c r="L12" s="96" t="n"/>
      <c r="M12" s="96" t="n"/>
      <c r="N12" s="96" t="n"/>
      <c r="P12" s="96" t="n"/>
      <c r="Q12" s="96" t="n"/>
      <c r="R12" s="96" t="n"/>
    </row>
    <row r="13" ht="12.75" customFormat="1" customHeight="1" s="96">
      <c r="A13" s="133" t="inlineStr">
        <is>
          <t>financial model class</t>
        </is>
      </c>
      <c r="B13" s="134" t="inlineStr">
        <is>
          <t>relative valuation model</t>
        </is>
      </c>
      <c r="C13" s="134" t="n"/>
      <c r="D13" s="134" t="n"/>
      <c r="E13" s="134" t="n"/>
      <c r="F13" s="135" t="n"/>
      <c r="G13" s="96" t="n"/>
      <c r="H13" s="96" t="n"/>
      <c r="I13" s="96" t="n"/>
      <c r="J13" s="96" t="n"/>
      <c r="K13" s="96" t="n"/>
      <c r="L13" s="96" t="n"/>
      <c r="M13" s="96" t="n"/>
      <c r="N13" s="96" t="n"/>
      <c r="P13" s="96" t="n"/>
      <c r="Q13" s="96" t="n"/>
      <c r="R13" s="96" t="n"/>
    </row>
    <row r="14" ht="12.75" customFormat="1" customHeight="1" s="96">
      <c r="A14" s="136" t="inlineStr">
        <is>
          <t>issuer/modeler</t>
        </is>
      </c>
      <c r="B14" s="92" t="inlineStr">
        <is>
          <t>practitioner</t>
        </is>
      </c>
      <c r="C14" s="92" t="n"/>
      <c r="D14" s="92" t="n"/>
      <c r="E14" s="92" t="n"/>
      <c r="F14" s="137" t="n"/>
      <c r="P14" s="96" t="n"/>
      <c r="Q14" s="96" t="n"/>
      <c r="R14" s="96" t="n"/>
    </row>
    <row r="15" ht="12.75" customFormat="1" customHeight="1" s="96">
      <c r="A15" s="136" t="inlineStr">
        <is>
          <t>model type</t>
        </is>
      </c>
      <c r="B15" s="92" t="inlineStr">
        <is>
          <t>binomial model</t>
        </is>
      </c>
      <c r="C15" s="92" t="n"/>
      <c r="D15" s="92" t="n"/>
      <c r="E15" s="92" t="n"/>
      <c r="F15" s="137" t="n"/>
      <c r="P15" s="96" t="n"/>
      <c r="Q15" s="96" t="n"/>
      <c r="R15" s="96" t="n"/>
    </row>
    <row r="16" ht="12.75" customFormat="1" customHeight="1" s="96">
      <c r="A16" s="138" t="inlineStr">
        <is>
          <t>risk sources</t>
        </is>
      </c>
      <c r="B16" s="139" t="inlineStr">
        <is>
          <t>firm value</t>
        </is>
      </c>
      <c r="C16" s="92" t="n"/>
      <c r="D16" s="92" t="n"/>
      <c r="E16" s="92" t="n"/>
      <c r="F16" s="137" t="n"/>
      <c r="P16" s="96" t="n"/>
      <c r="Q16" s="96" t="n"/>
      <c r="R16" s="96" t="n"/>
    </row>
    <row r="17" ht="12.75" customFormat="1" customHeight="1" s="96">
      <c r="A17" s="138" t="inlineStr">
        <is>
          <t>risk distribution</t>
        </is>
      </c>
      <c r="B17" s="139" t="inlineStr">
        <is>
          <t>lognormal</t>
        </is>
      </c>
      <c r="C17" s="92" t="n"/>
      <c r="D17" s="92" t="n"/>
      <c r="E17" s="92" t="n"/>
      <c r="F17" s="137" t="n"/>
      <c r="P17" s="96" t="n"/>
      <c r="Q17" s="96" t="n"/>
      <c r="R17" s="96" t="n"/>
    </row>
    <row r="18" ht="12.75" customFormat="1" customHeight="1" s="96">
      <c r="A18" s="136" t="inlineStr">
        <is>
          <t>economic assumptions</t>
        </is>
      </c>
      <c r="B18" s="92" t="inlineStr">
        <is>
          <t>perfect capital market</t>
        </is>
      </c>
      <c r="C18" s="92" t="n"/>
      <c r="D18" s="92" t="n"/>
      <c r="E18" s="92" t="n"/>
      <c r="F18" s="137" t="n"/>
      <c r="P18" s="96" t="n"/>
      <c r="Q18" s="96" t="n"/>
      <c r="R18" s="96" t="n"/>
    </row>
    <row r="19" ht="12.75" customFormat="1" customHeight="1" s="96">
      <c r="A19" s="140" t="inlineStr">
        <is>
          <t>technical assumptions</t>
        </is>
      </c>
      <c r="B19" s="141" t="inlineStr">
        <is>
          <t>n=2</t>
        </is>
      </c>
      <c r="C19" s="141" t="inlineStr">
        <is>
          <t>continuous compounding interest rate</t>
        </is>
      </c>
      <c r="D19" s="141" t="n"/>
      <c r="E19" s="141" t="n"/>
      <c r="F19" s="142" t="n"/>
      <c r="P19" s="96" t="n"/>
      <c r="Q19" s="96" t="n"/>
      <c r="R19" s="96" t="n"/>
    </row>
    <row r="20" ht="12.75" customFormat="1" customHeight="1" s="96">
      <c r="A20" s="97" t="inlineStr">
        <is>
          <t>key words</t>
        </is>
      </c>
      <c r="B20" s="92" t="inlineStr">
        <is>
          <t>conversion value, investment value, conversion provision</t>
        </is>
      </c>
      <c r="C20" s="92" t="n"/>
      <c r="D20" s="92" t="n"/>
      <c r="E20" s="92" t="n"/>
      <c r="F20" s="92" t="n"/>
      <c r="P20" s="96" t="n"/>
      <c r="Q20" s="96" t="n"/>
      <c r="R20" s="96" t="n"/>
    </row>
    <row r="21" ht="12.75" customFormat="1" customHeight="1" s="96">
      <c r="A21" s="97" t="n"/>
      <c r="B21" s="120" t="n"/>
      <c r="C21" s="120" t="n"/>
      <c r="D21" s="120" t="n"/>
      <c r="E21" s="120" t="n"/>
      <c r="L21" s="96" t="n"/>
      <c r="M21" s="96" t="n"/>
      <c r="N21" s="96" t="n"/>
      <c r="O21" s="96" t="n"/>
      <c r="P21" s="96" t="n"/>
      <c r="Q21" s="96" t="n"/>
      <c r="R21" s="96" t="n"/>
    </row>
    <row r="22" ht="12.75" customFormat="1" customHeight="1" s="128">
      <c r="A22" s="129" t="inlineStr">
        <is>
          <t>Links</t>
        </is>
      </c>
      <c r="B22" s="143" t="n"/>
      <c r="C22" s="143" t="n"/>
      <c r="D22" s="143" t="n"/>
      <c r="E22" s="143" t="n"/>
    </row>
    <row r="23" ht="12.75" customFormat="1" customHeight="1" s="96">
      <c r="A23" s="97" t="inlineStr">
        <is>
          <t>data</t>
        </is>
      </c>
      <c r="B23" s="92" t="inlineStr">
        <is>
          <t>N/A</t>
        </is>
      </c>
      <c r="C23" s="120" t="n"/>
      <c r="D23" s="120" t="n"/>
      <c r="E23" s="120" t="n"/>
      <c r="L23" s="96" t="n"/>
      <c r="M23" s="96" t="n"/>
      <c r="N23" s="96" t="n"/>
      <c r="O23" s="96" t="n"/>
      <c r="P23" s="96" t="n"/>
      <c r="Q23" s="96" t="n"/>
      <c r="R23" s="96" t="n"/>
    </row>
    <row r="24" ht="12.75" customFormat="1" customHeight="1" s="96">
      <c r="A24" s="97" t="inlineStr">
        <is>
          <t>financial models</t>
        </is>
      </c>
      <c r="B24" s="121" t="inlineStr">
        <is>
          <t>12. Cox-Ross-Rubinstein model</t>
        </is>
      </c>
      <c r="C24" s="120" t="n"/>
      <c r="D24" s="120" t="n"/>
      <c r="E24" s="120" t="n"/>
      <c r="F24" s="96" t="n"/>
      <c r="G24" s="96" t="n"/>
    </row>
    <row r="25" ht="12.75" customFormat="1" customHeight="1" s="93">
      <c r="A25" s="94" t="inlineStr">
        <is>
          <t>Inputs</t>
        </is>
      </c>
      <c r="B25" s="94" t="n"/>
      <c r="N25" s="93" t="n"/>
      <c r="O25" s="93" t="n"/>
      <c r="P25" s="93" t="n"/>
      <c r="Q25" s="93" t="n"/>
      <c r="R25" s="93" t="n"/>
      <c r="S25" s="93" t="n"/>
      <c r="T25" s="93" t="n"/>
    </row>
    <row r="26" ht="12.75" customFormat="1" customHeight="1" s="144">
      <c r="A26" s="159" t="n"/>
    </row>
    <row r="27" ht="12.75" customHeight="1" s="145">
      <c r="A27" s="96" t="inlineStr">
        <is>
          <t xml:space="preserve">Firm Value </t>
        </is>
      </c>
      <c r="B27" s="96" t="n"/>
      <c r="C27" s="160" t="n">
        <v>4.35948</v>
      </c>
    </row>
    <row r="28" ht="12.75" customHeight="1" s="145">
      <c r="A28" s="96" t="inlineStr">
        <is>
          <t>σ</t>
        </is>
      </c>
      <c r="B28" s="96" t="n"/>
      <c r="C28" s="160">
        <f>0.258408*SQRT(12)</f>
        <v/>
      </c>
    </row>
    <row r="29" ht="12.75" customHeight="1" s="145">
      <c r="A29" s="96" t="inlineStr">
        <is>
          <t>m</t>
        </is>
      </c>
      <c r="B29" s="96" t="n"/>
      <c r="C29" s="161" t="n">
        <v>2</v>
      </c>
    </row>
    <row r="30" ht="12.75" customHeight="1" s="145">
      <c r="A30" s="96" t="inlineStr">
        <is>
          <t>spot curve</t>
        </is>
      </c>
      <c r="B30" s="96" t="n"/>
      <c r="C30" s="163" t="n">
        <v>0.0301</v>
      </c>
    </row>
    <row r="31" ht="12.75" customHeight="1" s="145">
      <c r="A31" s="96" t="inlineStr">
        <is>
          <t>interest rate volatility</t>
        </is>
      </c>
      <c r="B31" s="96" t="n"/>
      <c r="C31" s="163" t="n">
        <v>0.05</v>
      </c>
    </row>
    <row r="32" ht="12.75" customHeight="1" s="145">
      <c r="B32" s="96" t="n"/>
      <c r="C32" s="163" t="n"/>
    </row>
    <row r="33" ht="12.75" customHeight="1" s="145">
      <c r="A33" s="96" t="inlineStr">
        <is>
          <t>outstanding shares</t>
        </is>
      </c>
      <c r="B33" s="96" t="n"/>
      <c r="C33" s="161">
        <f>370.308*10^6</f>
        <v/>
      </c>
    </row>
    <row r="34" ht="12.75" customHeight="1" s="145">
      <c r="A34" s="96" t="inlineStr">
        <is>
          <t>conversion price</t>
        </is>
      </c>
      <c r="B34" s="96" t="n"/>
      <c r="C34" s="164" t="n">
        <v>78.0277</v>
      </c>
    </row>
    <row r="35" ht="12.75" customHeight="1" s="145">
      <c r="A35" s="96" t="inlineStr">
        <is>
          <t>face value</t>
        </is>
      </c>
      <c r="B35" s="96" t="n"/>
      <c r="C35" s="164">
        <f>1.24981</f>
        <v/>
      </c>
    </row>
    <row r="36" ht="12.75" customHeight="1" s="145">
      <c r="A36" s="96" t="inlineStr">
        <is>
          <t>coupon rate</t>
        </is>
      </c>
      <c r="B36" s="96" t="n"/>
      <c r="C36" s="165" t="n">
        <v>0.0475</v>
      </c>
    </row>
    <row r="37" ht="12.75" customHeight="1" s="145">
      <c r="A37" s="96" t="inlineStr">
        <is>
          <t>level coupon rate</t>
        </is>
      </c>
      <c r="B37" s="96" t="n"/>
      <c r="C37" s="165">
        <f>$C$36/$C$29</f>
        <v/>
      </c>
    </row>
    <row r="38" ht="12.75" customHeight="1" s="145">
      <c r="C38" s="151" t="n"/>
    </row>
    <row r="39" ht="12.75" customFormat="1" customHeight="1" s="166">
      <c r="A39" s="153" t="inlineStr">
        <is>
          <t>Outputs</t>
        </is>
      </c>
    </row>
    <row r="40" ht="12.75" customFormat="1" customHeight="1" s="144">
      <c r="A40" s="174" t="n"/>
    </row>
    <row r="41" ht="12.75" customHeight="1" s="145">
      <c r="D41" s="168" t="n"/>
      <c r="E41" s="168" t="n"/>
      <c r="F41" s="168" t="n"/>
      <c r="G41" s="168" t="n"/>
      <c r="H41" s="168" t="n"/>
      <c r="I41" s="168" t="n"/>
      <c r="J41" s="168" t="n"/>
      <c r="K41" s="168" t="n"/>
      <c r="L41" s="168" t="n"/>
      <c r="M41" s="168" t="n"/>
      <c r="N41" s="168" t="n"/>
      <c r="O41" s="168" t="n"/>
      <c r="P41" s="168" t="n"/>
      <c r="Q41" s="168" t="n"/>
      <c r="R41" s="168">
        <f>IF(R126&lt;=($C$35*(1+$C$37)),R126,IF(R126&lt;=($C$35*(1+$C$37)*(($C$33+$C$72)/$C$72)),$C$35*(1+$C$37),R126*$C$72/($C$33+$C$72)))</f>
        <v/>
      </c>
      <c r="S41" s="168" t="n"/>
    </row>
    <row r="42" ht="12.75" customHeight="1" s="145">
      <c r="D42" s="168" t="n"/>
      <c r="E42" s="168" t="n"/>
      <c r="F42" s="168" t="n"/>
      <c r="G42" s="168" t="n"/>
      <c r="H42" s="168" t="n"/>
      <c r="I42" s="168" t="n"/>
      <c r="J42" s="168" t="n"/>
      <c r="K42" s="168" t="n"/>
      <c r="L42" s="168" t="n"/>
      <c r="M42" s="168" t="n"/>
      <c r="N42" s="168" t="n"/>
      <c r="O42" s="168" t="n"/>
      <c r="P42" s="168" t="n"/>
      <c r="Q42" s="168">
        <f>MIN((R41*Q110+R42*(1-Q110))*EXP(-(Q93))+$C$35*$C$37,Q127)</f>
        <v/>
      </c>
      <c r="R42" s="168">
        <f>IF(R127&lt;=($C$35*(1+$C$37)),R127,IF(R127&lt;=($C$35*(1+$C$37)*(($C$33+$C$72)/$C$72)),$C$35*(1+$C$37),R127*$C$72/($C$33+$C$72)))</f>
        <v/>
      </c>
      <c r="S42" s="168" t="n"/>
    </row>
    <row r="43" ht="12.75" customHeight="1" s="145">
      <c r="D43" s="168" t="n"/>
      <c r="E43" s="168" t="n"/>
      <c r="F43" s="168" t="n"/>
      <c r="G43" s="168" t="n"/>
      <c r="H43" s="168" t="n"/>
      <c r="I43" s="168" t="n"/>
      <c r="J43" s="168" t="n"/>
      <c r="K43" s="168" t="n"/>
      <c r="L43" s="168" t="n"/>
      <c r="M43" s="168" t="n"/>
      <c r="N43" s="168" t="n"/>
      <c r="O43" s="168" t="n"/>
      <c r="P43" s="168">
        <f>MIN((Q42*P111+Q43*(1-P111))*EXP(-(P94))+$C$35*$C$37,P128)</f>
        <v/>
      </c>
      <c r="Q43" s="168">
        <f>MIN((R42*Q111+R43*(1-Q111))*EXP(-(Q94))+$C$35*$C$37,Q128)</f>
        <v/>
      </c>
      <c r="R43" s="168">
        <f>IF(R128&lt;=($C$35*(1+$C$37)),R128,IF(R128&lt;=($C$35*(1+$C$37)*(($C$33+$C$72)/$C$72)),$C$35*(1+$C$37),R128*$C$72/($C$33+$C$72)))</f>
        <v/>
      </c>
      <c r="S43" s="168" t="n"/>
    </row>
    <row r="44" ht="12.75" customHeight="1" s="145">
      <c r="D44" s="168" t="n"/>
      <c r="E44" s="168" t="n"/>
      <c r="F44" s="168" t="n"/>
      <c r="G44" s="168" t="n"/>
      <c r="H44" s="168" t="n"/>
      <c r="I44" s="168" t="n"/>
      <c r="J44" s="168" t="n"/>
      <c r="K44" s="168" t="n"/>
      <c r="L44" s="168" t="n"/>
      <c r="M44" s="168" t="n"/>
      <c r="N44" s="168" t="n"/>
      <c r="O44" s="168">
        <f>MIN((P43*O112+P44*(1-O112))*EXP(-(O95))+$C$35*$C$37,O129)</f>
        <v/>
      </c>
      <c r="P44" s="168">
        <f>MIN((Q43*P112+Q44*(1-P112))*EXP(-(P95))+$C$35*$C$37,P129)</f>
        <v/>
      </c>
      <c r="Q44" s="168">
        <f>MIN((R43*Q112+R44*(1-Q112))*EXP(-(Q95))+$C$35*$C$37,Q129)</f>
        <v/>
      </c>
      <c r="R44" s="168">
        <f>IF(R129&lt;=($C$35*(1+$C$37)),R129,IF(R129&lt;=($C$35*(1+$C$37)*(($C$33+$C$72)/$C$72)),$C$35*(1+$C$37),R129*$C$72/($C$33+$C$72)))</f>
        <v/>
      </c>
      <c r="S44" s="168" t="n"/>
    </row>
    <row r="45" ht="12.75" customHeight="1" s="145">
      <c r="D45" s="168" t="n"/>
      <c r="E45" s="168" t="n"/>
      <c r="F45" s="168" t="n"/>
      <c r="G45" s="168" t="n"/>
      <c r="H45" s="168" t="n"/>
      <c r="I45" s="168" t="n"/>
      <c r="J45" s="168" t="n"/>
      <c r="K45" s="168" t="n"/>
      <c r="L45" s="168" t="n"/>
      <c r="M45" s="168" t="n"/>
      <c r="N45" s="168">
        <f>MIN((O44*N113+O45*(1-N113))*EXP(-(N96))+$C$35*$C$37,N130)</f>
        <v/>
      </c>
      <c r="O45" s="168">
        <f>MIN((P44*O113+P45*(1-O113))*EXP(-(O96))+$C$35*$C$37,O130)</f>
        <v/>
      </c>
      <c r="P45" s="168">
        <f>MIN((Q44*P113+Q45*(1-P113))*EXP(-(P96))+$C$35*$C$37,P130)</f>
        <v/>
      </c>
      <c r="Q45" s="168">
        <f>MIN((R44*Q113+R45*(1-Q113))*EXP(-(Q96))+$C$35*$C$37,Q130)</f>
        <v/>
      </c>
      <c r="R45" s="168">
        <f>IF(R130&lt;=($C$35*(1+$C$37)),R130,IF(R130&lt;=($C$35*(1+$C$37)*(($C$33+$C$72)/$C$72)),$C$35*(1+$C$37),R130*$C$72/($C$33+$C$72)))</f>
        <v/>
      </c>
      <c r="S45" s="168" t="n"/>
    </row>
    <row r="46" ht="12.75" customHeight="1" s="145">
      <c r="D46" s="168" t="n"/>
      <c r="E46" s="168" t="n"/>
      <c r="F46" s="168" t="n"/>
      <c r="G46" s="168" t="n"/>
      <c r="H46" s="168" t="n"/>
      <c r="I46" s="168" t="n"/>
      <c r="J46" s="168" t="n"/>
      <c r="K46" s="168" t="n"/>
      <c r="L46" s="168" t="n"/>
      <c r="M46" s="168">
        <f>MIN((N45*M114+N46*(1-M114))*EXP(-(M97))+$C$35*$C$37,M131)</f>
        <v/>
      </c>
      <c r="N46" s="168">
        <f>MIN((O45*N114+O46*(1-N114))*EXP(-(N97))+$C$35*$C$37,N131)</f>
        <v/>
      </c>
      <c r="O46" s="168">
        <f>MIN((P45*O114+P46*(1-O114))*EXP(-(O97))+$C$35*$C$37,O131)</f>
        <v/>
      </c>
      <c r="P46" s="168">
        <f>MIN((Q45*P114+Q46*(1-P114))*EXP(-(P97))+$C$35*$C$37,P131)</f>
        <v/>
      </c>
      <c r="Q46" s="168">
        <f>MIN((R45*Q114+R46*(1-Q114))*EXP(-(Q97))+$C$35*$C$37,Q131)</f>
        <v/>
      </c>
      <c r="R46" s="168">
        <f>IF(R131&lt;=($C$35*(1+$C$37)),R131,IF(R131&lt;=($C$35*(1+$C$37)*(($C$33+$C$72)/$C$72)),$C$35*(1+$C$37),R131*$C$72/($C$33+$C$72)))</f>
        <v/>
      </c>
      <c r="S46" s="168" t="n"/>
    </row>
    <row r="47" ht="12.75" customHeight="1" s="145">
      <c r="D47" s="168" t="n"/>
      <c r="E47" s="168" t="n"/>
      <c r="F47" s="168" t="n"/>
      <c r="G47" s="168" t="n"/>
      <c r="H47" s="168" t="n"/>
      <c r="I47" s="168" t="n"/>
      <c r="J47" s="168" t="n"/>
      <c r="K47" s="168" t="n"/>
      <c r="L47" s="168">
        <f>MIN((M46*L115+M47*(1-L115))*EXP(-(L98))+$C$35*$C$37,L132)</f>
        <v/>
      </c>
      <c r="M47" s="168">
        <f>MIN((N46*M115+N47*(1-M115))*EXP(-(M98))+$C$35*$C$37,M132)</f>
        <v/>
      </c>
      <c r="N47" s="168">
        <f>MIN((O46*N115+O47*(1-N115))*EXP(-(N98))+$C$35*$C$37,N132)</f>
        <v/>
      </c>
      <c r="O47" s="168">
        <f>MIN((P46*O115+P47*(1-O115))*EXP(-(O98))+$C$35*$C$37,O132)</f>
        <v/>
      </c>
      <c r="P47" s="168">
        <f>MIN((Q46*P115+Q47*(1-P115))*EXP(-(P98))+$C$35*$C$37,P132)</f>
        <v/>
      </c>
      <c r="Q47" s="168">
        <f>MIN((R46*Q115+R47*(1-Q115))*EXP(-(Q98))+$C$35*$C$37,Q132)</f>
        <v/>
      </c>
      <c r="R47" s="168">
        <f>IF(R132&lt;=($C$35*(1+$C$37)),R132,IF(R132&lt;=($C$35*(1+$C$37)*(($C$33+$C$72)/$C$72)),$C$35*(1+$C$37),R132*$C$72/($C$33+$C$72)))</f>
        <v/>
      </c>
      <c r="S47" s="168" t="n"/>
    </row>
    <row r="48" ht="12.75" customHeight="1" s="145">
      <c r="D48" s="168" t="n"/>
      <c r="E48" s="168" t="n"/>
      <c r="F48" s="168" t="n"/>
      <c r="G48" s="168" t="n"/>
      <c r="H48" s="168" t="n"/>
      <c r="I48" s="168" t="n"/>
      <c r="J48" s="168" t="n"/>
      <c r="K48" s="168">
        <f>MIN((L47*K116+L48*(1-K116))*EXP(-(K99))+$C$35*$C$37,K133)</f>
        <v/>
      </c>
      <c r="L48" s="168">
        <f>MIN((M47*L116+M48*(1-L116))*EXP(-(L99))+$C$35*$C$37,L133)</f>
        <v/>
      </c>
      <c r="M48" s="168">
        <f>MIN((N47*M116+N48*(1-M116))*EXP(-(M99))+$C$35*$C$37,M133)</f>
        <v/>
      </c>
      <c r="N48" s="168">
        <f>MIN((O47*N116+O48*(1-N116))*EXP(-(N99))+$C$35*$C$37,N133)</f>
        <v/>
      </c>
      <c r="O48" s="168">
        <f>MIN((P47*O116+P48*(1-O116))*EXP(-(O99))+$C$35*$C$37,O133)</f>
        <v/>
      </c>
      <c r="P48" s="168">
        <f>MIN((Q47*P116+Q48*(1-P116))*EXP(-(P99))+$C$35*$C$37,P133)</f>
        <v/>
      </c>
      <c r="Q48" s="168">
        <f>MIN((R47*Q116+R48*(1-Q116))*EXP(-(Q99))+$C$35*$C$37,Q133)</f>
        <v/>
      </c>
      <c r="R48" s="168">
        <f>IF(R133&lt;=($C$35*(1+$C$37)),R133,IF(R133&lt;=($C$35*(1+$C$37)*(($C$33+$C$72)/$C$72)),$C$35*(1+$C$37),R133*$C$72/($C$33+$C$72)))</f>
        <v/>
      </c>
      <c r="S48" s="168" t="n"/>
    </row>
    <row r="49" ht="12.75" customHeight="1" s="145">
      <c r="D49" s="168" t="n"/>
      <c r="E49" s="168" t="n"/>
      <c r="F49" s="168" t="n"/>
      <c r="G49" s="168" t="n"/>
      <c r="H49" s="168" t="n"/>
      <c r="I49" s="168" t="n"/>
      <c r="J49" s="168">
        <f>MIN((K48*J117+K49*(1-J117))*EXP(-(J100))+$C$35*$C$37,J134)</f>
        <v/>
      </c>
      <c r="K49" s="168">
        <f>MIN((L48*K117+L49*(1-K117))*EXP(-(K100))+$C$35*$C$37,K134)</f>
        <v/>
      </c>
      <c r="L49" s="168">
        <f>MIN((M48*L117+M49*(1-L117))*EXP(-(L100))+$C$35*$C$37,L134)</f>
        <v/>
      </c>
      <c r="M49" s="168">
        <f>MIN((N48*M117+N49*(1-M117))*EXP(-(M100))+$C$35*$C$37,M134)</f>
        <v/>
      </c>
      <c r="N49" s="168">
        <f>MIN((O48*N117+O49*(1-N117))*EXP(-(N100))+$C$35*$C$37,N134)</f>
        <v/>
      </c>
      <c r="O49" s="168">
        <f>MIN((P48*O117+P49*(1-O117))*EXP(-(O100))+$C$35*$C$37,O134)</f>
        <v/>
      </c>
      <c r="P49" s="168">
        <f>MIN((Q48*P117+Q49*(1-P117))*EXP(-(P100))+$C$35*$C$37,P134)</f>
        <v/>
      </c>
      <c r="Q49" s="168">
        <f>MIN((R48*Q117+R49*(1-Q117))*EXP(-(Q100))+$C$35*$C$37,Q134)</f>
        <v/>
      </c>
      <c r="R49" s="168">
        <f>IF(R134&lt;=($C$35*(1+$C$37)),R134,IF(R134&lt;=($C$35*(1+$C$37)*(($C$33+$C$72)/$C$72)),$C$35*(1+$C$37),R134*$C$72/($C$33+$C$72)))</f>
        <v/>
      </c>
      <c r="S49" s="168" t="n"/>
    </row>
    <row r="50" ht="12.75" customHeight="1" s="145">
      <c r="D50" s="168" t="n"/>
      <c r="E50" s="168" t="n"/>
      <c r="F50" s="168" t="n"/>
      <c r="G50" s="168" t="n"/>
      <c r="H50" s="168" t="n"/>
      <c r="I50" s="168">
        <f>MIN((J49*I118+J50*(1-I118))*EXP(-(I101))+$C$35*$C$37,I135)</f>
        <v/>
      </c>
      <c r="J50" s="168">
        <f>MIN((K49*J118+K50*(1-J118))*EXP(-(J101))+$C$35*$C$37,J135)</f>
        <v/>
      </c>
      <c r="K50" s="168">
        <f>MIN((L49*K118+L50*(1-K118))*EXP(-(K101))+$C$35*$C$37,K135)</f>
        <v/>
      </c>
      <c r="L50" s="168">
        <f>MIN((M49*L118+M50*(1-L118))*EXP(-(L101))+$C$35*$C$37,L135)</f>
        <v/>
      </c>
      <c r="M50" s="168">
        <f>MIN((N49*M118+N50*(1-M118))*EXP(-(M101))+$C$35*$C$37,M135)</f>
        <v/>
      </c>
      <c r="N50" s="168">
        <f>MIN((O49*N118+O50*(1-N118))*EXP(-(N101))+$C$35*$C$37,N135)</f>
        <v/>
      </c>
      <c r="O50" s="168">
        <f>MIN((P49*O118+P50*(1-O118))*EXP(-(O101))+$C$35*$C$37,O135)</f>
        <v/>
      </c>
      <c r="P50" s="168">
        <f>MIN((Q49*P118+Q50*(1-P118))*EXP(-(P101))+$C$35*$C$37,P135)</f>
        <v/>
      </c>
      <c r="Q50" s="168">
        <f>MIN((R49*Q118+R50*(1-Q118))*EXP(-(Q101))+$C$35*$C$37,Q135)</f>
        <v/>
      </c>
      <c r="R50" s="168">
        <f>IF(R135&lt;=($C$35*(1+$C$37)),R135,IF(R135&lt;=($C$35*(1+$C$37)*(($C$33+$C$72)/$C$72)),$C$35*(1+$C$37),R135*$C$72/($C$33+$C$72)))</f>
        <v/>
      </c>
      <c r="S50" s="168" t="n"/>
    </row>
    <row r="51" ht="12.75" customHeight="1" s="145">
      <c r="D51" s="168" t="n"/>
      <c r="E51" s="168" t="n"/>
      <c r="F51" s="168" t="n"/>
      <c r="G51" s="168" t="n"/>
      <c r="H51" s="168">
        <f>MIN((I50*H119+I51*(1-H119))*EXP(-(H102))+$C$35*$C$37,H136)</f>
        <v/>
      </c>
      <c r="I51" s="168">
        <f>MIN((J50*I119+J51*(1-I119))*EXP(-(I102))+$C$35*$C$37,I136)</f>
        <v/>
      </c>
      <c r="J51" s="168">
        <f>MIN((K50*J119+K51*(1-J119))*EXP(-(J102))+$C$35*$C$37,J136)</f>
        <v/>
      </c>
      <c r="K51" s="168">
        <f>MIN((L50*K119+L51*(1-K119))*EXP(-(K102))+$C$35*$C$37,K136)</f>
        <v/>
      </c>
      <c r="L51" s="168">
        <f>MIN((M50*L119+M51*(1-L119))*EXP(-(L102))+$C$35*$C$37,L136)</f>
        <v/>
      </c>
      <c r="M51" s="168">
        <f>MIN((N50*M119+N51*(1-M119))*EXP(-(M102))+$C$35*$C$37,M136)</f>
        <v/>
      </c>
      <c r="N51" s="168">
        <f>MIN((O50*N119+O51*(1-N119))*EXP(-(N102))+$C$35*$C$37,N136)</f>
        <v/>
      </c>
      <c r="O51" s="168">
        <f>MIN((P50*O119+P51*(1-O119))*EXP(-(O102))+$C$35*$C$37,O136)</f>
        <v/>
      </c>
      <c r="P51" s="168">
        <f>MIN((Q50*P119+Q51*(1-P119))*EXP(-(P102))+$C$35*$C$37,P136)</f>
        <v/>
      </c>
      <c r="Q51" s="168">
        <f>MIN((R50*Q119+R51*(1-Q119))*EXP(-(Q102))+$C$35*$C$37,Q136)</f>
        <v/>
      </c>
      <c r="R51" s="168">
        <f>IF(R136&lt;=($C$35*(1+$C$37)),R136,IF(R136&lt;=($C$35*(1+$C$37)*(($C$33+$C$72)/$C$72)),$C$35*(1+$C$37),R136*$C$72/($C$33+$C$72)))</f>
        <v/>
      </c>
      <c r="S51" s="168" t="n"/>
    </row>
    <row r="52" ht="12.75" customHeight="1" s="145">
      <c r="D52" s="168" t="n"/>
      <c r="E52" s="168" t="n"/>
      <c r="F52" s="168" t="n"/>
      <c r="G52" s="168">
        <f>MIN((H51*G120+H52*(1-G120))*EXP(-(G103))+$C$35*$C$37,G137)</f>
        <v/>
      </c>
      <c r="H52" s="168">
        <f>MIN((I51*H120+I52*(1-H120))*EXP(-(H103))+$C$35*$C$37,H137)</f>
        <v/>
      </c>
      <c r="I52" s="168">
        <f>MIN((J51*I120+J52*(1-I120))*EXP(-(I103))+$C$35*$C$37,I137)</f>
        <v/>
      </c>
      <c r="J52" s="168">
        <f>MIN((K51*J120+K52*(1-J120))*EXP(-(J103))+$C$35*$C$37,J137)</f>
        <v/>
      </c>
      <c r="K52" s="168">
        <f>MIN((L51*K120+L52*(1-K120))*EXP(-(K103))+$C$35*$C$37,K137)</f>
        <v/>
      </c>
      <c r="L52" s="168">
        <f>MIN((M51*L120+M52*(1-L120))*EXP(-(L103))+$C$35*$C$37,L137)</f>
        <v/>
      </c>
      <c r="M52" s="168">
        <f>MIN((N51*M120+N52*(1-M120))*EXP(-(M103))+$C$35*$C$37,M137)</f>
        <v/>
      </c>
      <c r="N52" s="168">
        <f>MIN((O51*N120+O52*(1-N120))*EXP(-(N103))+$C$35*$C$37,N137)</f>
        <v/>
      </c>
      <c r="O52" s="168">
        <f>MIN((P51*O120+P52*(1-O120))*EXP(-(O103))+$C$35*$C$37,O137)</f>
        <v/>
      </c>
      <c r="P52" s="168">
        <f>MIN((Q51*P120+Q52*(1-P120))*EXP(-(P103))+$C$35*$C$37,P137)</f>
        <v/>
      </c>
      <c r="Q52" s="168">
        <f>MIN((R51*Q120+R52*(1-Q120))*EXP(-(Q103))+$C$35*$C$37,Q137)</f>
        <v/>
      </c>
      <c r="R52" s="168">
        <f>IF(R137&lt;=($C$35*(1+$C$37)),R137,IF(R137&lt;=($C$35*(1+$C$37)*(($C$33+$C$72)/$C$72)),$C$35*(1+$C$37),R137*$C$72/($C$33+$C$72)))</f>
        <v/>
      </c>
      <c r="S52" s="168" t="n"/>
    </row>
    <row r="53" ht="12.75" customHeight="1" s="145">
      <c r="D53" s="168" t="n"/>
      <c r="E53" s="168" t="n"/>
      <c r="F53" s="168">
        <f>MIN((G52*F121+G53*(1-F121))*EXP(-(F104))+$C$35*$C$37,F138)</f>
        <v/>
      </c>
      <c r="G53" s="168">
        <f>MIN((H52*G121+H53*(1-G121))*EXP(-(G104))+$C$35*$C$37,G138)</f>
        <v/>
      </c>
      <c r="H53" s="168">
        <f>MIN((I52*H121+I53*(1-H121))*EXP(-(H104))+$C$35*$C$37,H138)</f>
        <v/>
      </c>
      <c r="I53" s="168">
        <f>MIN((J52*I121+J53*(1-I121))*EXP(-(I104))+$C$35*$C$37,I138)</f>
        <v/>
      </c>
      <c r="J53" s="168">
        <f>MIN((K52*J121+K53*(1-J121))*EXP(-(J104))+$C$35*$C$37,J138)</f>
        <v/>
      </c>
      <c r="K53" s="168">
        <f>MIN((L52*K121+L53*(1-K121))*EXP(-(K104))+$C$35*$C$37,K138)</f>
        <v/>
      </c>
      <c r="L53" s="168">
        <f>MIN((M52*L121+M53*(1-L121))*EXP(-(L104))+$C$35*$C$37,L138)</f>
        <v/>
      </c>
      <c r="M53" s="168">
        <f>MIN((N52*M121+N53*(1-M121))*EXP(-(M104))+$C$35*$C$37,M138)</f>
        <v/>
      </c>
      <c r="N53" s="168">
        <f>MIN((O52*N121+O53*(1-N121))*EXP(-(N104))+$C$35*$C$37,N138)</f>
        <v/>
      </c>
      <c r="O53" s="168">
        <f>MIN((P52*O121+P53*(1-O121))*EXP(-(O104))+$C$35*$C$37,O138)</f>
        <v/>
      </c>
      <c r="P53" s="168">
        <f>MIN((Q52*P121+Q53*(1-P121))*EXP(-(P104))+$C$35*$C$37,P138)</f>
        <v/>
      </c>
      <c r="Q53" s="168">
        <f>MIN((R52*Q121+R53*(1-Q121))*EXP(-(Q104))+$C$35*$C$37,Q138)</f>
        <v/>
      </c>
      <c r="R53" s="168">
        <f>IF(R138&lt;=($C$35*(1+$C$37)),R138,IF(R138&lt;=($C$35*(1+$C$37)*(($C$33+$C$72)/$C$72)),$C$35*(1+$C$37),R138*$C$72/($C$33+$C$72)))</f>
        <v/>
      </c>
      <c r="S53" s="168" t="n"/>
    </row>
    <row r="54" ht="12.75" customHeight="1" s="145">
      <c r="D54" s="168" t="n"/>
      <c r="E54" s="168">
        <f>MIN((F53*E122+F54*(1-E122))*EXP(-(E105))+$C$35*$C$37,E139)</f>
        <v/>
      </c>
      <c r="F54" s="168">
        <f>MIN((G53*F122+G54*(1-F122))*EXP(-(F105))+$C$35*$C$37,F139)</f>
        <v/>
      </c>
      <c r="G54" s="168">
        <f>MIN((H53*G122+H54*(1-G122))*EXP(-(G105))+$C$35*$C$37,G139)</f>
        <v/>
      </c>
      <c r="H54" s="168">
        <f>MIN((I53*H122+I54*(1-H122))*EXP(-(H105))+$C$35*$C$37,H139)</f>
        <v/>
      </c>
      <c r="I54" s="168">
        <f>MIN((J53*I122+J54*(1-I122))*EXP(-(I105))+$C$35*$C$37,I139)</f>
        <v/>
      </c>
      <c r="J54" s="168">
        <f>MIN((K53*J122+K54*(1-J122))*EXP(-(J105))+$C$35*$C$37,J139)</f>
        <v/>
      </c>
      <c r="K54" s="168">
        <f>MIN((L53*K122+L54*(1-K122))*EXP(-(K105))+$C$35*$C$37,K139)</f>
        <v/>
      </c>
      <c r="L54" s="168">
        <f>MIN((M53*L122+M54*(1-L122))*EXP(-(L105))+$C$35*$C$37,L139)</f>
        <v/>
      </c>
      <c r="M54" s="168">
        <f>MIN((N53*M122+N54*(1-M122))*EXP(-(M105))+$C$35*$C$37,M139)</f>
        <v/>
      </c>
      <c r="N54" s="168">
        <f>MIN((O53*N122+O54*(1-N122))*EXP(-(N105))+$C$35*$C$37,N139)</f>
        <v/>
      </c>
      <c r="O54" s="168">
        <f>MIN((P53*O122+P54*(1-O122))*EXP(-(O105))+$C$35*$C$37,O139)</f>
        <v/>
      </c>
      <c r="P54" s="168">
        <f>MIN((Q53*P122+Q54*(1-P122))*EXP(-(P105))+$C$35*$C$37,P139)</f>
        <v/>
      </c>
      <c r="Q54" s="168">
        <f>MIN((R53*Q122+R54*(1-Q122))*EXP(-(Q105))+$C$35*$C$37,Q139)</f>
        <v/>
      </c>
      <c r="R54" s="168">
        <f>IF(R139&lt;=($C$35*(1+$C$37)),R139,IF(R139&lt;=($C$35*(1+$C$37)*(($C$33+$C$72)/$C$72)),$C$35*(1+$C$37),R139*$C$72/($C$33+$C$72)))</f>
        <v/>
      </c>
      <c r="S54" s="168" t="n"/>
    </row>
    <row r="55" ht="12.75" customFormat="1" customHeight="1" s="92">
      <c r="A55" s="96" t="inlineStr">
        <is>
          <t>convertible bond</t>
        </is>
      </c>
      <c r="D55" s="168" t="n"/>
      <c r="E55" s="168" t="n"/>
      <c r="F55" s="168" t="n"/>
      <c r="G55" s="168" t="n"/>
      <c r="H55" s="168" t="n"/>
      <c r="I55" s="168" t="n"/>
      <c r="J55" s="168" t="n"/>
      <c r="K55" s="168" t="n"/>
      <c r="L55" s="168" t="n"/>
      <c r="M55" s="168" t="n"/>
      <c r="N55" s="168" t="n"/>
      <c r="O55" s="168" t="n"/>
      <c r="P55" s="168" t="n"/>
      <c r="Q55" s="168" t="n"/>
      <c r="R55" s="168" t="n"/>
      <c r="S55" s="168" t="n"/>
    </row>
    <row r="59" ht="12.75" customHeight="1" s="145">
      <c r="A59" s="96" t="inlineStr">
        <is>
          <t xml:space="preserve">effective duration </t>
        </is>
      </c>
      <c r="D59" s="167">
        <f>($D$55-ex4!B55)/($D$55*0.0001)</f>
        <v/>
      </c>
    </row>
    <row r="60" ht="12.75" customFormat="1" customHeight="1" s="144">
      <c r="A60" s="174" t="n"/>
    </row>
    <row r="61" ht="12.75" customFormat="1" customHeight="1" s="144">
      <c r="A61" s="174" t="n"/>
    </row>
    <row r="62" ht="12.75" customFormat="1" customHeight="1" s="94">
      <c r="A62" s="94" t="inlineStr">
        <is>
          <t>Interim Calculations</t>
        </is>
      </c>
    </row>
    <row r="63" ht="12.75" customFormat="1" customHeight="1" s="144">
      <c r="A63" s="174" t="n"/>
    </row>
    <row r="64" ht="12.75" customFormat="1" customHeight="1" s="96">
      <c r="A64" s="96" t="inlineStr">
        <is>
          <t xml:space="preserve">period </t>
        </is>
      </c>
      <c r="C64" s="96" t="n">
        <v>0</v>
      </c>
      <c r="D64" s="96" t="n">
        <v>0.5</v>
      </c>
      <c r="E64" s="96" t="n">
        <v>1</v>
      </c>
      <c r="F64" s="96" t="n">
        <v>1.5</v>
      </c>
      <c r="G64" s="96" t="n">
        <v>2</v>
      </c>
      <c r="H64" s="96" t="n">
        <v>2.5</v>
      </c>
      <c r="I64" s="96" t="n">
        <v>3</v>
      </c>
      <c r="J64" s="96" t="n">
        <v>3.5</v>
      </c>
      <c r="K64" s="96" t="n">
        <v>4</v>
      </c>
      <c r="L64" s="96" t="n">
        <v>4.5</v>
      </c>
      <c r="M64" s="96" t="n">
        <v>5</v>
      </c>
      <c r="N64" s="96" t="n">
        <v>5.5</v>
      </c>
      <c r="O64" s="96" t="n">
        <v>6</v>
      </c>
      <c r="P64" s="96" t="n">
        <v>6.5</v>
      </c>
      <c r="Q64" s="96" t="n">
        <v>7</v>
      </c>
      <c r="R64" s="96" t="n">
        <v>7.5</v>
      </c>
    </row>
    <row r="65" ht="12.75" customFormat="1" customHeight="1" s="96">
      <c r="A65" s="96" t="inlineStr">
        <is>
          <t>discount function</t>
        </is>
      </c>
      <c r="C65" s="96" t="n">
        <v>1</v>
      </c>
      <c r="D65" s="171">
        <f>EXP(-$C$30*D$64)</f>
        <v/>
      </c>
      <c r="E65" s="171">
        <f>EXP(-$C$30*E$64)</f>
        <v/>
      </c>
      <c r="F65" s="171">
        <f>EXP(-$C$30*F$64)</f>
        <v/>
      </c>
      <c r="G65" s="171">
        <f>EXP(-$C$30*G$64)</f>
        <v/>
      </c>
      <c r="H65" s="171">
        <f>EXP(-$C$30*H$64)</f>
        <v/>
      </c>
      <c r="I65" s="171">
        <f>EXP(-$C$30*I$64)</f>
        <v/>
      </c>
      <c r="J65" s="171">
        <f>EXP(-$C$30*J$64)</f>
        <v/>
      </c>
      <c r="K65" s="171">
        <f>EXP(-$C$30*K$64)</f>
        <v/>
      </c>
      <c r="L65" s="171">
        <f>EXP(-$C$30*L$64)</f>
        <v/>
      </c>
      <c r="M65" s="171">
        <f>EXP(-$C$30*M$64)</f>
        <v/>
      </c>
      <c r="N65" s="171">
        <f>EXP(-$C$30*N$64)</f>
        <v/>
      </c>
      <c r="O65" s="171">
        <f>EXP(-$C$30*O$64)</f>
        <v/>
      </c>
      <c r="P65" s="171">
        <f>EXP(-$C$30*P$64)</f>
        <v/>
      </c>
      <c r="Q65" s="171">
        <f>EXP(-$C$30*Q$64)</f>
        <v/>
      </c>
      <c r="R65" s="171">
        <f>EXP(-$C$30*R$64)</f>
        <v/>
      </c>
    </row>
    <row r="66" ht="12.75" customFormat="1" customHeight="1" s="96"/>
    <row r="67" ht="12.75" customFormat="1" customHeight="1" s="96">
      <c r="A67" s="96" t="inlineStr">
        <is>
          <t>delta(1)</t>
        </is>
      </c>
      <c r="C67" s="172">
        <f>EXP(-2*$C$30*$C$31*SQRT(1/$C$29))</f>
        <v/>
      </c>
    </row>
    <row r="68" ht="12.75" customFormat="1" customHeight="1" s="96">
      <c r="A68" s="96" t="inlineStr">
        <is>
          <t>h(1)</t>
        </is>
      </c>
      <c r="C68" s="172" t="n"/>
      <c r="D68" s="171" t="n"/>
      <c r="E68" s="171" t="n"/>
      <c r="F68" s="171" t="n"/>
      <c r="G68" s="171" t="n"/>
      <c r="H68" s="171" t="n"/>
      <c r="I68" s="171" t="n"/>
      <c r="J68" s="171" t="n"/>
      <c r="K68" s="171" t="n"/>
      <c r="L68" s="171" t="n"/>
      <c r="M68" s="171" t="n"/>
      <c r="N68" s="171" t="n"/>
      <c r="O68" s="171" t="n"/>
      <c r="P68" s="171" t="n"/>
      <c r="Q68" s="171" t="n"/>
      <c r="R68" s="171" t="n"/>
    </row>
    <row r="69" ht="12.75" customFormat="1" customHeight="1" s="96">
      <c r="C69" s="172" t="n"/>
    </row>
    <row r="70" ht="14.25" customFormat="1" customHeight="1" s="96">
      <c r="A70" s="96" t="inlineStr">
        <is>
          <t>u</t>
        </is>
      </c>
      <c r="C70" s="172">
        <f>EXP(SQRT(1/$C$29)*$C$28)</f>
        <v/>
      </c>
    </row>
    <row r="71" ht="12.75" customFormat="1" customHeight="1" s="96">
      <c r="A71" s="96" t="inlineStr">
        <is>
          <t>d</t>
        </is>
      </c>
      <c r="C71" s="172">
        <f>EXP(SQRT(1/$C$29)*(-$C$28))</f>
        <v/>
      </c>
    </row>
    <row r="72" ht="12.75" customFormat="1" customHeight="1" s="96">
      <c r="A72" s="96" t="inlineStr">
        <is>
          <t>additional shares</t>
        </is>
      </c>
      <c r="C72" s="173">
        <f>$C$35*10^9/$C$34</f>
        <v/>
      </c>
    </row>
    <row r="73" ht="12.75" customFormat="1" customHeight="1" s="96"/>
    <row r="75" ht="12.75" customHeight="1" s="145">
      <c r="D75" s="168" t="n"/>
      <c r="E75" s="168" t="n"/>
      <c r="F75" s="168" t="n"/>
      <c r="G75" s="168" t="n"/>
      <c r="H75" s="168" t="n"/>
      <c r="I75" s="168" t="n"/>
      <c r="J75" s="168" t="n"/>
      <c r="K75" s="168" t="n"/>
      <c r="L75" s="168" t="n"/>
      <c r="M75" s="168" t="n"/>
      <c r="N75" s="168" t="n"/>
      <c r="O75" s="168" t="n"/>
      <c r="P75" s="168" t="n"/>
      <c r="Q75" s="168" t="n"/>
      <c r="R75" s="168">
        <f>R76*$C$67</f>
        <v/>
      </c>
      <c r="S75" s="168" t="n"/>
    </row>
    <row r="76" ht="12.75" customHeight="1" s="145">
      <c r="D76" s="168" t="n"/>
      <c r="E76" s="168" t="n"/>
      <c r="F76" s="168" t="n"/>
      <c r="G76" s="168" t="n"/>
      <c r="H76" s="168" t="n"/>
      <c r="I76" s="168" t="n"/>
      <c r="J76" s="168" t="n"/>
      <c r="K76" s="168" t="n"/>
      <c r="L76" s="168" t="n"/>
      <c r="M76" s="168" t="n"/>
      <c r="N76" s="168" t="n"/>
      <c r="O76" s="168" t="n"/>
      <c r="P76" s="168" t="n"/>
      <c r="Q76" s="168">
        <f>Q77*$C$67</f>
        <v/>
      </c>
      <c r="R76" s="168">
        <f>R77*$C$67</f>
        <v/>
      </c>
      <c r="S76" s="168" t="n"/>
    </row>
    <row r="77" ht="12.75" customHeight="1" s="145">
      <c r="D77" s="168" t="n"/>
      <c r="E77" s="168" t="n"/>
      <c r="F77" s="168" t="n"/>
      <c r="G77" s="168" t="n"/>
      <c r="H77" s="168" t="n"/>
      <c r="I77" s="168" t="n"/>
      <c r="J77" s="168" t="n"/>
      <c r="K77" s="168" t="n"/>
      <c r="L77" s="168" t="n"/>
      <c r="M77" s="168" t="n"/>
      <c r="N77" s="168" t="n"/>
      <c r="O77" s="168" t="n"/>
      <c r="P77" s="168">
        <f>P78*$C$67</f>
        <v/>
      </c>
      <c r="Q77" s="168">
        <f>Q78*$C$67</f>
        <v/>
      </c>
      <c r="R77" s="168">
        <f>R78*$C$67</f>
        <v/>
      </c>
      <c r="S77" s="168" t="n"/>
    </row>
    <row r="78" ht="12.75" customHeight="1" s="145">
      <c r="D78" s="168" t="n"/>
      <c r="E78" s="168" t="n"/>
      <c r="F78" s="168" t="n"/>
      <c r="G78" s="168" t="n"/>
      <c r="H78" s="168" t="n"/>
      <c r="I78" s="168" t="n"/>
      <c r="J78" s="168" t="n"/>
      <c r="K78" s="168" t="n"/>
      <c r="L78" s="168" t="n"/>
      <c r="M78" s="168" t="n"/>
      <c r="N78" s="168" t="n"/>
      <c r="O78" s="168">
        <f>O79*$C$67</f>
        <v/>
      </c>
      <c r="P78" s="168">
        <f>P79*$C$67</f>
        <v/>
      </c>
      <c r="Q78" s="168">
        <f>Q79*$C$67</f>
        <v/>
      </c>
      <c r="R78" s="168">
        <f>R79*$C$67</f>
        <v/>
      </c>
      <c r="S78" s="168" t="n"/>
    </row>
    <row r="79" ht="12.75" customHeight="1" s="145">
      <c r="D79" s="168" t="n"/>
      <c r="E79" s="168" t="n"/>
      <c r="F79" s="168" t="n"/>
      <c r="G79" s="168" t="n"/>
      <c r="H79" s="168" t="n"/>
      <c r="I79" s="168" t="n"/>
      <c r="J79" s="168" t="n"/>
      <c r="K79" s="168" t="n"/>
      <c r="L79" s="168" t="n"/>
      <c r="M79" s="168" t="n"/>
      <c r="N79" s="168">
        <f>N80*$C$67</f>
        <v/>
      </c>
      <c r="O79" s="168">
        <f>O80*$C$67</f>
        <v/>
      </c>
      <c r="P79" s="168">
        <f>P80*$C$67</f>
        <v/>
      </c>
      <c r="Q79" s="168">
        <f>Q80*$C$67</f>
        <v/>
      </c>
      <c r="R79" s="168">
        <f>R80*$C$67</f>
        <v/>
      </c>
      <c r="S79" s="168" t="n"/>
    </row>
    <row r="80" ht="10.5" customHeight="1" s="145">
      <c r="D80" s="168" t="n"/>
      <c r="E80" s="168" t="n"/>
      <c r="F80" s="168" t="n"/>
      <c r="G80" s="168" t="n"/>
      <c r="H80" s="168" t="n"/>
      <c r="I80" s="168" t="n"/>
      <c r="J80" s="168" t="n"/>
      <c r="K80" s="168" t="n"/>
      <c r="L80" s="168" t="n"/>
      <c r="M80" s="168">
        <f>M81*$C$67</f>
        <v/>
      </c>
      <c r="N80" s="168">
        <f>N81*$C$67</f>
        <v/>
      </c>
      <c r="O80" s="168">
        <f>O81*$C$67</f>
        <v/>
      </c>
      <c r="P80" s="168">
        <f>P81*$C$67</f>
        <v/>
      </c>
      <c r="Q80" s="168">
        <f>Q81*$C$67</f>
        <v/>
      </c>
      <c r="R80" s="168">
        <f>R81*$C$67</f>
        <v/>
      </c>
      <c r="S80" s="168" t="n"/>
    </row>
    <row r="81" ht="12.75" customHeight="1" s="145">
      <c r="D81" s="168" t="n"/>
      <c r="E81" s="168" t="n"/>
      <c r="F81" s="168" t="n"/>
      <c r="G81" s="168" t="n"/>
      <c r="H81" s="168" t="n"/>
      <c r="I81" s="168" t="n"/>
      <c r="J81" s="168" t="n"/>
      <c r="K81" s="168" t="n"/>
      <c r="L81" s="168">
        <f>L82*$C$67</f>
        <v/>
      </c>
      <c r="M81" s="168">
        <f>M82*$C$67</f>
        <v/>
      </c>
      <c r="N81" s="168">
        <f>N82*$C$67</f>
        <v/>
      </c>
      <c r="O81" s="168">
        <f>O82*$C$67</f>
        <v/>
      </c>
      <c r="P81" s="168">
        <f>P82*$C$67</f>
        <v/>
      </c>
      <c r="Q81" s="168">
        <f>Q82*$C$67</f>
        <v/>
      </c>
      <c r="R81" s="168">
        <f>R82*$C$67</f>
        <v/>
      </c>
      <c r="S81" s="168" t="n"/>
    </row>
    <row r="82" ht="12.75" customHeight="1" s="145">
      <c r="D82" s="168" t="n"/>
      <c r="E82" s="168" t="n"/>
      <c r="F82" s="168" t="n"/>
      <c r="G82" s="168" t="n"/>
      <c r="H82" s="168" t="n"/>
      <c r="I82" s="168" t="n"/>
      <c r="J82" s="168" t="n"/>
      <c r="K82" s="168">
        <f>K83*$C$67</f>
        <v/>
      </c>
      <c r="L82" s="168">
        <f>L83*$C$67</f>
        <v/>
      </c>
      <c r="M82" s="168">
        <f>M83*$C$67</f>
        <v/>
      </c>
      <c r="N82" s="168">
        <f>N83*$C$67</f>
        <v/>
      </c>
      <c r="O82" s="168">
        <f>O83*$C$67</f>
        <v/>
      </c>
      <c r="P82" s="168">
        <f>P83*$C$67</f>
        <v/>
      </c>
      <c r="Q82" s="168">
        <f>Q83*$C$67</f>
        <v/>
      </c>
      <c r="R82" s="168">
        <f>R83*$C$67</f>
        <v/>
      </c>
      <c r="S82" s="168" t="n"/>
    </row>
    <row r="83" ht="12.75" customHeight="1" s="145">
      <c r="D83" s="168" t="n"/>
      <c r="E83" s="168" t="n"/>
      <c r="F83" s="168" t="n"/>
      <c r="G83" s="168" t="n"/>
      <c r="H83" s="168" t="n"/>
      <c r="I83" s="168" t="n"/>
      <c r="J83" s="168">
        <f>J84*$C$67</f>
        <v/>
      </c>
      <c r="K83" s="168">
        <f>K84*$C$67</f>
        <v/>
      </c>
      <c r="L83" s="168">
        <f>L84*$C$67</f>
        <v/>
      </c>
      <c r="M83" s="168">
        <f>M84*$C$67</f>
        <v/>
      </c>
      <c r="N83" s="168">
        <f>N84*$C$67</f>
        <v/>
      </c>
      <c r="O83" s="168">
        <f>O84*$C$67</f>
        <v/>
      </c>
      <c r="P83" s="168">
        <f>P84*$C$67</f>
        <v/>
      </c>
      <c r="Q83" s="168">
        <f>Q84*$C$67</f>
        <v/>
      </c>
      <c r="R83" s="168">
        <f>R84*$C$67</f>
        <v/>
      </c>
      <c r="S83" s="168" t="n"/>
    </row>
    <row r="84" ht="12.75" customHeight="1" s="145">
      <c r="D84" s="168" t="n"/>
      <c r="E84" s="168" t="n"/>
      <c r="F84" s="168" t="n"/>
      <c r="G84" s="168" t="n"/>
      <c r="H84" s="168" t="n"/>
      <c r="I84" s="168">
        <f>I85*$C$67</f>
        <v/>
      </c>
      <c r="J84" s="168">
        <f>J85*$C$67</f>
        <v/>
      </c>
      <c r="K84" s="168">
        <f>K85*$C$67</f>
        <v/>
      </c>
      <c r="L84" s="168">
        <f>L85*$C$67</f>
        <v/>
      </c>
      <c r="M84" s="168">
        <f>M85*$C$67</f>
        <v/>
      </c>
      <c r="N84" s="168">
        <f>N85*$C$67</f>
        <v/>
      </c>
      <c r="O84" s="168">
        <f>O85*$C$67</f>
        <v/>
      </c>
      <c r="P84" s="168">
        <f>P85*$C$67</f>
        <v/>
      </c>
      <c r="Q84" s="168">
        <f>Q85*$C$67</f>
        <v/>
      </c>
      <c r="R84" s="168">
        <f>R85*$C$67</f>
        <v/>
      </c>
      <c r="S84" s="168" t="n"/>
    </row>
    <row r="85" ht="12.75" customHeight="1" s="145">
      <c r="D85" s="168" t="n"/>
      <c r="E85" s="168" t="n"/>
      <c r="F85" s="168" t="n"/>
      <c r="G85" s="168" t="n"/>
      <c r="H85" s="168">
        <f>H86*$C$67</f>
        <v/>
      </c>
      <c r="I85" s="168">
        <f>I86*$C$67</f>
        <v/>
      </c>
      <c r="J85" s="168">
        <f>J86*$C$67</f>
        <v/>
      </c>
      <c r="K85" s="168">
        <f>K86*$C$67</f>
        <v/>
      </c>
      <c r="L85" s="168">
        <f>L86*$C$67</f>
        <v/>
      </c>
      <c r="M85" s="168">
        <f>M86*$C$67</f>
        <v/>
      </c>
      <c r="N85" s="168">
        <f>N86*$C$67</f>
        <v/>
      </c>
      <c r="O85" s="168">
        <f>O86*$C$67</f>
        <v/>
      </c>
      <c r="P85" s="168">
        <f>P86*$C$67</f>
        <v/>
      </c>
      <c r="Q85" s="168">
        <f>Q86*$C$67</f>
        <v/>
      </c>
      <c r="R85" s="168">
        <f>R86*$C$67</f>
        <v/>
      </c>
      <c r="S85" s="168" t="n"/>
    </row>
    <row r="86" ht="12.75" customHeight="1" s="145">
      <c r="D86" s="168" t="n"/>
      <c r="E86" s="168" t="n"/>
      <c r="F86" s="168" t="n"/>
      <c r="G86" s="168">
        <f>G87*$C$67</f>
        <v/>
      </c>
      <c r="H86" s="168">
        <f>H87*$C$67</f>
        <v/>
      </c>
      <c r="I86" s="168">
        <f>I87*$C$67</f>
        <v/>
      </c>
      <c r="J86" s="168">
        <f>J87*$C$67</f>
        <v/>
      </c>
      <c r="K86" s="168">
        <f>K87*$C$67</f>
        <v/>
      </c>
      <c r="L86" s="168">
        <f>L87*$C$67</f>
        <v/>
      </c>
      <c r="M86" s="168">
        <f>M87*$C$67</f>
        <v/>
      </c>
      <c r="N86" s="168">
        <f>N87*$C$67</f>
        <v/>
      </c>
      <c r="O86" s="168">
        <f>O87*$C$67</f>
        <v/>
      </c>
      <c r="P86" s="168">
        <f>P87*$C$67</f>
        <v/>
      </c>
      <c r="Q86" s="168">
        <f>Q87*$C$67</f>
        <v/>
      </c>
      <c r="R86" s="168">
        <f>R87*$C$67</f>
        <v/>
      </c>
      <c r="S86" s="168" t="n"/>
    </row>
    <row r="87" ht="12.75" customHeight="1" s="145">
      <c r="D87" s="168" t="n"/>
      <c r="E87" s="168" t="n"/>
      <c r="F87" s="168">
        <f>F88*$C$67</f>
        <v/>
      </c>
      <c r="G87" s="168">
        <f>G88*$C$67</f>
        <v/>
      </c>
      <c r="H87" s="168">
        <f>H88*$C$67</f>
        <v/>
      </c>
      <c r="I87" s="168">
        <f>I88*$C$67</f>
        <v/>
      </c>
      <c r="J87" s="168">
        <f>J88*$C$67</f>
        <v/>
      </c>
      <c r="K87" s="168">
        <f>K88*$C$67</f>
        <v/>
      </c>
      <c r="L87" s="168">
        <f>L88*$C$67</f>
        <v/>
      </c>
      <c r="M87" s="168">
        <f>M88*$C$67</f>
        <v/>
      </c>
      <c r="N87" s="168">
        <f>N88*$C$67</f>
        <v/>
      </c>
      <c r="O87" s="168">
        <f>O88*$C$67</f>
        <v/>
      </c>
      <c r="P87" s="168">
        <f>P88*$C$67</f>
        <v/>
      </c>
      <c r="Q87" s="168">
        <f>Q88*$C$67</f>
        <v/>
      </c>
      <c r="R87" s="168">
        <f>R88*$C$67</f>
        <v/>
      </c>
      <c r="S87" s="168" t="n"/>
    </row>
    <row r="88" ht="12.75" customHeight="1" s="145">
      <c r="D88" s="168" t="n"/>
      <c r="E88" s="168">
        <f>E89*$C$67</f>
        <v/>
      </c>
      <c r="F88" s="168">
        <f>F89*$C$67</f>
        <v/>
      </c>
      <c r="G88" s="168">
        <f>G89*$C$67</f>
        <v/>
      </c>
      <c r="H88" s="168">
        <f>H89*$C$67</f>
        <v/>
      </c>
      <c r="I88" s="168">
        <f>I89*$C$67</f>
        <v/>
      </c>
      <c r="J88" s="168">
        <f>J89*$C$67</f>
        <v/>
      </c>
      <c r="K88" s="168">
        <f>K89*$C$67</f>
        <v/>
      </c>
      <c r="L88" s="168">
        <f>L89*$C$67</f>
        <v/>
      </c>
      <c r="M88" s="168">
        <f>M89*$C$67</f>
        <v/>
      </c>
      <c r="N88" s="168">
        <f>N89*$C$67</f>
        <v/>
      </c>
      <c r="O88" s="168">
        <f>O89*$C$67</f>
        <v/>
      </c>
      <c r="P88" s="168">
        <f>P89*$C$67</f>
        <v/>
      </c>
      <c r="Q88" s="168">
        <f>Q89*$C$67</f>
        <v/>
      </c>
      <c r="R88" s="168">
        <f>R89*$C$67</f>
        <v/>
      </c>
      <c r="S88" s="168" t="n"/>
    </row>
    <row r="89" ht="12.75" customFormat="1" customHeight="1" s="92">
      <c r="A89" s="96" t="inlineStr">
        <is>
          <t>discount function lattice</t>
        </is>
      </c>
      <c r="B89" s="106" t="n"/>
      <c r="D89" s="168" t="n"/>
      <c r="E89" s="168" t="n"/>
      <c r="F89" s="168" t="n"/>
      <c r="G89" s="168" t="n"/>
      <c r="H89" s="168" t="n"/>
      <c r="I89" s="168" t="n"/>
      <c r="J89" s="168" t="n"/>
      <c r="K89" s="168" t="n"/>
      <c r="L89" s="168" t="n"/>
      <c r="M89" s="168" t="n"/>
      <c r="N89" s="168" t="n"/>
      <c r="O89" s="168" t="n"/>
      <c r="P89" s="168" t="n"/>
      <c r="Q89" s="168" t="n"/>
      <c r="R89" s="168" t="n"/>
      <c r="S89" s="168" t="n"/>
    </row>
    <row r="90" ht="12.75" customHeight="1" s="145">
      <c r="D90" s="168" t="n"/>
      <c r="E90" s="168" t="n"/>
      <c r="F90" s="168" t="n"/>
      <c r="G90" s="168" t="n"/>
      <c r="H90" s="168" t="n"/>
      <c r="I90" s="168" t="n"/>
      <c r="J90" s="168" t="n"/>
      <c r="K90" s="168" t="n"/>
      <c r="L90" s="168" t="n"/>
      <c r="M90" s="168" t="n"/>
      <c r="N90" s="168" t="n"/>
      <c r="O90" s="168" t="n"/>
      <c r="P90" s="168" t="n"/>
      <c r="Q90" s="168" t="n"/>
      <c r="R90" s="168" t="n"/>
      <c r="S90" s="168" t="n"/>
    </row>
    <row r="91" ht="12.75" customHeight="1" s="145">
      <c r="D91" s="168" t="n"/>
      <c r="E91" s="168" t="n"/>
      <c r="F91" s="168" t="n"/>
      <c r="G91" s="168" t="n"/>
      <c r="H91" s="168" t="n"/>
      <c r="I91" s="168" t="n"/>
      <c r="J91" s="168" t="n"/>
      <c r="K91" s="168" t="n"/>
      <c r="L91" s="168" t="n"/>
      <c r="M91" s="168" t="n"/>
      <c r="N91" s="168" t="n"/>
      <c r="O91" s="168" t="n"/>
      <c r="P91" s="168" t="n"/>
      <c r="Q91" s="168" t="n"/>
      <c r="R91" s="168" t="n"/>
      <c r="S91" s="168" t="n"/>
    </row>
    <row r="92" ht="12.75" customHeight="1" s="145">
      <c r="D92" s="168" t="n"/>
      <c r="E92" s="168" t="n"/>
      <c r="F92" s="168" t="n"/>
      <c r="G92" s="168" t="n"/>
      <c r="H92" s="168" t="n"/>
      <c r="I92" s="168" t="n"/>
      <c r="J92" s="168" t="n"/>
      <c r="K92" s="168" t="n"/>
      <c r="L92" s="168" t="n"/>
      <c r="M92" s="168" t="n"/>
      <c r="N92" s="168" t="n"/>
      <c r="O92" s="168" t="n"/>
      <c r="P92" s="168" t="n"/>
      <c r="Q92" s="168" t="n"/>
      <c r="R92" s="168">
        <f>-LN(R75)</f>
        <v/>
      </c>
      <c r="S92" s="168" t="n"/>
    </row>
    <row r="93" ht="12.75" customHeight="1" s="145">
      <c r="D93" s="168" t="n"/>
      <c r="E93" s="168" t="n"/>
      <c r="F93" s="168" t="n"/>
      <c r="G93" s="168" t="n"/>
      <c r="H93" s="168" t="n"/>
      <c r="I93" s="168" t="n"/>
      <c r="J93" s="168" t="n"/>
      <c r="K93" s="168" t="n"/>
      <c r="L93" s="168" t="n"/>
      <c r="M93" s="168" t="n"/>
      <c r="N93" s="168" t="n"/>
      <c r="O93" s="168" t="n"/>
      <c r="P93" s="168" t="n"/>
      <c r="Q93" s="168">
        <f>-LN(Q76)</f>
        <v/>
      </c>
      <c r="R93" s="168">
        <f>-LN(R76)</f>
        <v/>
      </c>
      <c r="S93" s="168" t="n"/>
    </row>
    <row r="94" ht="12.75" customHeight="1" s="145">
      <c r="D94" s="168" t="n"/>
      <c r="E94" s="168" t="n"/>
      <c r="F94" s="168" t="n"/>
      <c r="G94" s="168" t="n"/>
      <c r="H94" s="168" t="n"/>
      <c r="I94" s="168" t="n"/>
      <c r="J94" s="168" t="n"/>
      <c r="K94" s="168" t="n"/>
      <c r="L94" s="168" t="n"/>
      <c r="M94" s="168" t="n"/>
      <c r="N94" s="168" t="n"/>
      <c r="O94" s="168" t="n"/>
      <c r="P94" s="168">
        <f>-LN(P77)</f>
        <v/>
      </c>
      <c r="Q94" s="168">
        <f>-LN(Q77)</f>
        <v/>
      </c>
      <c r="R94" s="168">
        <f>-LN(R77)</f>
        <v/>
      </c>
      <c r="S94" s="168" t="n"/>
    </row>
    <row r="95" ht="12.75" customHeight="1" s="145">
      <c r="D95" s="168" t="n"/>
      <c r="E95" s="168" t="n"/>
      <c r="F95" s="168" t="n"/>
      <c r="G95" s="168" t="n"/>
      <c r="H95" s="168" t="n"/>
      <c r="I95" s="168" t="n"/>
      <c r="J95" s="168" t="n"/>
      <c r="K95" s="168" t="n"/>
      <c r="L95" s="168" t="n"/>
      <c r="M95" s="168" t="n"/>
      <c r="N95" s="168" t="n"/>
      <c r="O95" s="168">
        <f>-LN(O78)</f>
        <v/>
      </c>
      <c r="P95" s="168">
        <f>-LN(P78)</f>
        <v/>
      </c>
      <c r="Q95" s="168">
        <f>-LN(Q78)</f>
        <v/>
      </c>
      <c r="R95" s="168">
        <f>-LN(R78)</f>
        <v/>
      </c>
      <c r="S95" s="168" t="n"/>
    </row>
    <row r="96" ht="12.75" customHeight="1" s="145">
      <c r="D96" s="168" t="n"/>
      <c r="E96" s="168" t="n"/>
      <c r="F96" s="168" t="n"/>
      <c r="G96" s="168" t="n"/>
      <c r="H96" s="168" t="n"/>
      <c r="I96" s="168" t="n"/>
      <c r="J96" s="168" t="n"/>
      <c r="K96" s="168" t="n"/>
      <c r="L96" s="168" t="n"/>
      <c r="M96" s="168" t="n"/>
      <c r="N96" s="168">
        <f>-LN(N79)</f>
        <v/>
      </c>
      <c r="O96" s="168">
        <f>-LN(O79)</f>
        <v/>
      </c>
      <c r="P96" s="168">
        <f>-LN(P79)</f>
        <v/>
      </c>
      <c r="Q96" s="168">
        <f>-LN(Q79)</f>
        <v/>
      </c>
      <c r="R96" s="168">
        <f>-LN(R79)</f>
        <v/>
      </c>
      <c r="S96" s="168" t="n"/>
    </row>
    <row r="97" ht="12.75" customHeight="1" s="145">
      <c r="D97" s="168" t="n"/>
      <c r="E97" s="168" t="n"/>
      <c r="F97" s="168" t="n"/>
      <c r="G97" s="168" t="n"/>
      <c r="H97" s="168" t="n"/>
      <c r="I97" s="168" t="n"/>
      <c r="J97" s="168" t="n"/>
      <c r="K97" s="168" t="n"/>
      <c r="L97" s="168" t="n"/>
      <c r="M97" s="168">
        <f>-LN(M80)</f>
        <v/>
      </c>
      <c r="N97" s="168">
        <f>-LN(N80)</f>
        <v/>
      </c>
      <c r="O97" s="168">
        <f>-LN(O80)</f>
        <v/>
      </c>
      <c r="P97" s="168">
        <f>-LN(P80)</f>
        <v/>
      </c>
      <c r="Q97" s="168">
        <f>-LN(Q80)</f>
        <v/>
      </c>
      <c r="R97" s="168">
        <f>-LN(R80)</f>
        <v/>
      </c>
      <c r="S97" s="168" t="n"/>
    </row>
    <row r="98" ht="12.75" customHeight="1" s="145">
      <c r="D98" s="168" t="n"/>
      <c r="E98" s="168" t="n"/>
      <c r="F98" s="168" t="n"/>
      <c r="G98" s="168" t="n"/>
      <c r="H98" s="168" t="n"/>
      <c r="I98" s="168" t="n"/>
      <c r="J98" s="168" t="n"/>
      <c r="K98" s="168" t="n"/>
      <c r="L98" s="168">
        <f>-LN(L81)</f>
        <v/>
      </c>
      <c r="M98" s="168">
        <f>-LN(M81)</f>
        <v/>
      </c>
      <c r="N98" s="168">
        <f>-LN(N81)</f>
        <v/>
      </c>
      <c r="O98" s="168">
        <f>-LN(O81)</f>
        <v/>
      </c>
      <c r="P98" s="168">
        <f>-LN(P81)</f>
        <v/>
      </c>
      <c r="Q98" s="168">
        <f>-LN(Q81)</f>
        <v/>
      </c>
      <c r="R98" s="168">
        <f>-LN(R81)</f>
        <v/>
      </c>
      <c r="S98" s="168" t="n"/>
    </row>
    <row r="99" ht="12.75" customHeight="1" s="145">
      <c r="D99" s="168" t="n"/>
      <c r="E99" s="168" t="n"/>
      <c r="F99" s="168" t="n"/>
      <c r="G99" s="168" t="n"/>
      <c r="H99" s="168" t="n"/>
      <c r="I99" s="168" t="n"/>
      <c r="J99" s="168" t="n"/>
      <c r="K99" s="168">
        <f>-LN(K82)</f>
        <v/>
      </c>
      <c r="L99" s="168">
        <f>-LN(L82)</f>
        <v/>
      </c>
      <c r="M99" s="168">
        <f>-LN(M82)</f>
        <v/>
      </c>
      <c r="N99" s="168">
        <f>-LN(N82)</f>
        <v/>
      </c>
      <c r="O99" s="168">
        <f>-LN(O82)</f>
        <v/>
      </c>
      <c r="P99" s="168">
        <f>-LN(P82)</f>
        <v/>
      </c>
      <c r="Q99" s="168">
        <f>-LN(Q82)</f>
        <v/>
      </c>
      <c r="R99" s="168">
        <f>-LN(R82)</f>
        <v/>
      </c>
      <c r="S99" s="168" t="n"/>
    </row>
    <row r="100" ht="12.75" customHeight="1" s="145">
      <c r="D100" s="168" t="n"/>
      <c r="E100" s="168" t="n"/>
      <c r="F100" s="168" t="n"/>
      <c r="G100" s="168" t="n"/>
      <c r="H100" s="168" t="n"/>
      <c r="I100" s="168" t="n"/>
      <c r="J100" s="168">
        <f>-LN(J83)</f>
        <v/>
      </c>
      <c r="K100" s="168">
        <f>-LN(K83)</f>
        <v/>
      </c>
      <c r="L100" s="168">
        <f>-LN(L83)</f>
        <v/>
      </c>
      <c r="M100" s="168">
        <f>-LN(M83)</f>
        <v/>
      </c>
      <c r="N100" s="168">
        <f>-LN(N83)</f>
        <v/>
      </c>
      <c r="O100" s="168">
        <f>-LN(O83)</f>
        <v/>
      </c>
      <c r="P100" s="168">
        <f>-LN(P83)</f>
        <v/>
      </c>
      <c r="Q100" s="168">
        <f>-LN(Q83)</f>
        <v/>
      </c>
      <c r="R100" s="168">
        <f>-LN(R83)</f>
        <v/>
      </c>
      <c r="S100" s="168" t="n"/>
    </row>
    <row r="101" ht="12.75" customHeight="1" s="145">
      <c r="D101" s="168" t="n"/>
      <c r="E101" s="168" t="n"/>
      <c r="F101" s="168" t="n"/>
      <c r="G101" s="168" t="n"/>
      <c r="H101" s="168" t="n"/>
      <c r="I101" s="168">
        <f>-LN(I84)</f>
        <v/>
      </c>
      <c r="J101" s="168">
        <f>-LN(J84)</f>
        <v/>
      </c>
      <c r="K101" s="168">
        <f>-LN(K84)</f>
        <v/>
      </c>
      <c r="L101" s="168">
        <f>-LN(L84)</f>
        <v/>
      </c>
      <c r="M101" s="168">
        <f>-LN(M84)</f>
        <v/>
      </c>
      <c r="N101" s="168">
        <f>-LN(N84)</f>
        <v/>
      </c>
      <c r="O101" s="168">
        <f>-LN(O84)</f>
        <v/>
      </c>
      <c r="P101" s="168">
        <f>-LN(P84)</f>
        <v/>
      </c>
      <c r="Q101" s="168">
        <f>-LN(Q84)</f>
        <v/>
      </c>
      <c r="R101" s="168">
        <f>-LN(R84)</f>
        <v/>
      </c>
      <c r="S101" s="168" t="n"/>
    </row>
    <row r="102" ht="12.75" customHeight="1" s="145">
      <c r="D102" s="168" t="n"/>
      <c r="E102" s="168" t="n"/>
      <c r="F102" s="168" t="n"/>
      <c r="G102" s="168" t="n"/>
      <c r="H102" s="168">
        <f>-LN(H85)</f>
        <v/>
      </c>
      <c r="I102" s="168">
        <f>-LN(I85)</f>
        <v/>
      </c>
      <c r="J102" s="168">
        <f>-LN(J85)</f>
        <v/>
      </c>
      <c r="K102" s="168">
        <f>-LN(K85)</f>
        <v/>
      </c>
      <c r="L102" s="168">
        <f>-LN(L85)</f>
        <v/>
      </c>
      <c r="M102" s="168">
        <f>-LN(M85)</f>
        <v/>
      </c>
      <c r="N102" s="168">
        <f>-LN(N85)</f>
        <v/>
      </c>
      <c r="O102" s="168">
        <f>-LN(O85)</f>
        <v/>
      </c>
      <c r="P102" s="168">
        <f>-LN(P85)</f>
        <v/>
      </c>
      <c r="Q102" s="168">
        <f>-LN(Q85)</f>
        <v/>
      </c>
      <c r="R102" s="168">
        <f>-LN(R85)</f>
        <v/>
      </c>
      <c r="S102" s="168" t="n"/>
    </row>
    <row r="103" ht="12.75" customHeight="1" s="145">
      <c r="D103" s="168" t="n"/>
      <c r="E103" s="168" t="n"/>
      <c r="F103" s="168" t="n"/>
      <c r="G103" s="168">
        <f>-LN(G86)</f>
        <v/>
      </c>
      <c r="H103" s="168">
        <f>-LN(H86)</f>
        <v/>
      </c>
      <c r="I103" s="168">
        <f>-LN(I86)</f>
        <v/>
      </c>
      <c r="J103" s="168">
        <f>-LN(J86)</f>
        <v/>
      </c>
      <c r="K103" s="168">
        <f>-LN(K86)</f>
        <v/>
      </c>
      <c r="L103" s="168">
        <f>-LN(L86)</f>
        <v/>
      </c>
      <c r="M103" s="168">
        <f>-LN(M86)</f>
        <v/>
      </c>
      <c r="N103" s="168">
        <f>-LN(N86)</f>
        <v/>
      </c>
      <c r="O103" s="168">
        <f>-LN(O86)</f>
        <v/>
      </c>
      <c r="P103" s="168">
        <f>-LN(P86)</f>
        <v/>
      </c>
      <c r="Q103" s="168">
        <f>-LN(Q86)</f>
        <v/>
      </c>
      <c r="R103" s="168">
        <f>-LN(R86)</f>
        <v/>
      </c>
      <c r="S103" s="168" t="n"/>
    </row>
    <row r="104" ht="12.75" customHeight="1" s="145">
      <c r="D104" s="168" t="n"/>
      <c r="E104" s="168" t="n"/>
      <c r="F104" s="168">
        <f>-LN(F87)</f>
        <v/>
      </c>
      <c r="G104" s="168">
        <f>-LN(G87)</f>
        <v/>
      </c>
      <c r="H104" s="168">
        <f>-LN(H87)</f>
        <v/>
      </c>
      <c r="I104" s="168">
        <f>-LN(I87)</f>
        <v/>
      </c>
      <c r="J104" s="168">
        <f>-LN(J87)</f>
        <v/>
      </c>
      <c r="K104" s="168">
        <f>-LN(K87)</f>
        <v/>
      </c>
      <c r="L104" s="168">
        <f>-LN(L87)</f>
        <v/>
      </c>
      <c r="M104" s="168">
        <f>-LN(M87)</f>
        <v/>
      </c>
      <c r="N104" s="168">
        <f>-LN(N87)</f>
        <v/>
      </c>
      <c r="O104" s="168">
        <f>-LN(O87)</f>
        <v/>
      </c>
      <c r="P104" s="168">
        <f>-LN(P87)</f>
        <v/>
      </c>
      <c r="Q104" s="168">
        <f>-LN(Q87)</f>
        <v/>
      </c>
      <c r="R104" s="168">
        <f>-LN(R87)</f>
        <v/>
      </c>
      <c r="S104" s="168" t="n"/>
    </row>
    <row r="105" ht="12.75" customHeight="1" s="145">
      <c r="D105" s="168" t="n"/>
      <c r="E105" s="168">
        <f>-LN(E88)</f>
        <v/>
      </c>
      <c r="F105" s="168">
        <f>-LN(F88)</f>
        <v/>
      </c>
      <c r="G105" s="168">
        <f>-LN(G88)</f>
        <v/>
      </c>
      <c r="H105" s="168">
        <f>-LN(H88)</f>
        <v/>
      </c>
      <c r="I105" s="168">
        <f>-LN(I88)</f>
        <v/>
      </c>
      <c r="J105" s="168">
        <f>-LN(J88)</f>
        <v/>
      </c>
      <c r="K105" s="168">
        <f>-LN(K88)</f>
        <v/>
      </c>
      <c r="L105" s="168">
        <f>-LN(L88)</f>
        <v/>
      </c>
      <c r="M105" s="168">
        <f>-LN(M88)</f>
        <v/>
      </c>
      <c r="N105" s="168">
        <f>-LN(N88)</f>
        <v/>
      </c>
      <c r="O105" s="168">
        <f>-LN(O88)</f>
        <v/>
      </c>
      <c r="P105" s="168">
        <f>-LN(P88)</f>
        <v/>
      </c>
      <c r="Q105" s="168">
        <f>-LN(Q88)</f>
        <v/>
      </c>
      <c r="R105" s="168">
        <f>-LN(R88)</f>
        <v/>
      </c>
      <c r="S105" s="168" t="n"/>
    </row>
    <row r="106" ht="12.75" customHeight="1" s="145">
      <c r="A106" s="96" t="inlineStr">
        <is>
          <t>interest rate lattice</t>
        </is>
      </c>
      <c r="D106" s="168" t="n"/>
      <c r="E106" s="168" t="n"/>
      <c r="F106" s="168" t="n"/>
      <c r="G106" s="168" t="n"/>
      <c r="H106" s="168" t="n"/>
      <c r="I106" s="168" t="n"/>
      <c r="J106" s="168" t="n"/>
      <c r="K106" s="168" t="n"/>
      <c r="L106" s="168" t="n"/>
      <c r="M106" s="168" t="n"/>
      <c r="N106" s="168" t="n"/>
      <c r="O106" s="168" t="n"/>
      <c r="P106" s="168" t="n"/>
      <c r="Q106" s="168" t="n"/>
      <c r="R106" s="168" t="n"/>
      <c r="S106" s="168" t="n"/>
    </row>
    <row r="107" ht="12.75" customHeight="1" s="145">
      <c r="D107" s="168" t="n"/>
      <c r="E107" s="168" t="n"/>
      <c r="F107" s="168" t="n"/>
      <c r="G107" s="168" t="n"/>
      <c r="H107" s="168" t="n"/>
      <c r="I107" s="168" t="n"/>
      <c r="J107" s="168" t="n"/>
      <c r="K107" s="168" t="n"/>
      <c r="L107" s="168" t="n"/>
      <c r="M107" s="168" t="n"/>
      <c r="N107" s="168" t="n"/>
      <c r="O107" s="168" t="n"/>
      <c r="P107" s="168" t="n"/>
      <c r="Q107" s="168" t="n"/>
      <c r="R107" s="168" t="n"/>
      <c r="S107" s="168" t="n"/>
    </row>
    <row r="108" ht="12.75" customHeight="1" s="145">
      <c r="D108" s="168" t="n"/>
      <c r="E108" s="168" t="n"/>
      <c r="F108" s="168" t="n"/>
      <c r="G108" s="168" t="n"/>
      <c r="H108" s="168" t="n"/>
      <c r="I108" s="168" t="n"/>
      <c r="J108" s="168" t="n"/>
      <c r="K108" s="168" t="n"/>
      <c r="L108" s="168" t="n"/>
      <c r="M108" s="168" t="n"/>
      <c r="N108" s="168" t="n"/>
      <c r="O108" s="168" t="n"/>
      <c r="P108" s="168" t="n"/>
      <c r="Q108" s="168" t="n"/>
      <c r="R108" s="168" t="n"/>
      <c r="S108" s="168" t="n"/>
    </row>
    <row r="109" ht="12.75" customHeight="1" s="145">
      <c r="D109" s="168" t="n"/>
      <c r="E109" s="168" t="n"/>
      <c r="F109" s="168" t="n"/>
      <c r="G109" s="168" t="n"/>
      <c r="H109" s="168" t="n"/>
      <c r="I109" s="168" t="n"/>
      <c r="J109" s="168" t="n"/>
      <c r="K109" s="168" t="n"/>
      <c r="L109" s="168" t="n"/>
      <c r="M109" s="168" t="n"/>
      <c r="N109" s="168" t="n"/>
      <c r="O109" s="168" t="n"/>
      <c r="P109" s="168" t="n"/>
      <c r="Q109" s="168" t="n"/>
      <c r="R109" s="168">
        <f>(EXP(R92)-$C$71)/($C$70-$C$71)</f>
        <v/>
      </c>
      <c r="S109" s="168" t="n"/>
    </row>
    <row r="110" ht="12.75" customHeight="1" s="145">
      <c r="D110" s="168" t="n"/>
      <c r="E110" s="168" t="n"/>
      <c r="F110" s="168" t="n"/>
      <c r="G110" s="168" t="n"/>
      <c r="H110" s="168" t="n"/>
      <c r="I110" s="168" t="n"/>
      <c r="J110" s="168" t="n"/>
      <c r="K110" s="168" t="n"/>
      <c r="L110" s="168" t="n"/>
      <c r="M110" s="168" t="n"/>
      <c r="N110" s="168" t="n"/>
      <c r="O110" s="168" t="n"/>
      <c r="P110" s="168" t="n"/>
      <c r="Q110" s="168">
        <f>(EXP(Q93)-$C$71)/($C$70-$C$71)</f>
        <v/>
      </c>
      <c r="R110" s="168">
        <f>(EXP(R93)-$C$71)/($C$70-$C$71)</f>
        <v/>
      </c>
      <c r="S110" s="168" t="n"/>
    </row>
    <row r="111" ht="12.75" customHeight="1" s="145">
      <c r="D111" s="168" t="n"/>
      <c r="E111" s="168" t="n"/>
      <c r="F111" s="168" t="n"/>
      <c r="G111" s="168" t="n"/>
      <c r="H111" s="168" t="n"/>
      <c r="I111" s="168" t="n"/>
      <c r="J111" s="168" t="n"/>
      <c r="K111" s="168" t="n"/>
      <c r="L111" s="168" t="n"/>
      <c r="M111" s="168" t="n"/>
      <c r="N111" s="168" t="n"/>
      <c r="O111" s="168" t="n"/>
      <c r="P111" s="168">
        <f>(EXP(P94)-$C$71)/($C$70-$C$71)</f>
        <v/>
      </c>
      <c r="Q111" s="168">
        <f>(EXP(Q94)-$C$71)/($C$70-$C$71)</f>
        <v/>
      </c>
      <c r="R111" s="168">
        <f>(EXP(R94)-$C$71)/($C$70-$C$71)</f>
        <v/>
      </c>
      <c r="S111" s="168" t="n"/>
    </row>
    <row r="112" ht="12.75" customHeight="1" s="145">
      <c r="D112" s="168" t="n"/>
      <c r="E112" s="168" t="n"/>
      <c r="F112" s="168" t="n"/>
      <c r="G112" s="168" t="n"/>
      <c r="H112" s="168" t="n"/>
      <c r="I112" s="168" t="n"/>
      <c r="J112" s="168" t="n"/>
      <c r="K112" s="168" t="n"/>
      <c r="L112" s="168" t="n"/>
      <c r="M112" s="168" t="n"/>
      <c r="N112" s="168" t="n"/>
      <c r="O112" s="168">
        <f>(EXP(O95)-$C$71)/($C$70-$C$71)</f>
        <v/>
      </c>
      <c r="P112" s="168">
        <f>(EXP(P95)-$C$71)/($C$70-$C$71)</f>
        <v/>
      </c>
      <c r="Q112" s="168">
        <f>(EXP(Q95)-$C$71)/($C$70-$C$71)</f>
        <v/>
      </c>
      <c r="R112" s="168">
        <f>(EXP(R95)-$C$71)/($C$70-$C$71)</f>
        <v/>
      </c>
      <c r="S112" s="168" t="n"/>
    </row>
    <row r="113" ht="12.75" customHeight="1" s="145">
      <c r="D113" s="168" t="n"/>
      <c r="E113" s="168" t="n"/>
      <c r="F113" s="168" t="n"/>
      <c r="G113" s="168" t="n"/>
      <c r="H113" s="168" t="n"/>
      <c r="I113" s="168" t="n"/>
      <c r="J113" s="168" t="n"/>
      <c r="K113" s="168" t="n"/>
      <c r="L113" s="168" t="n"/>
      <c r="M113" s="168" t="n"/>
      <c r="N113" s="168">
        <f>(EXP(N96)-$C$71)/($C$70-$C$71)</f>
        <v/>
      </c>
      <c r="O113" s="168">
        <f>(EXP(O96)-$C$71)/($C$70-$C$71)</f>
        <v/>
      </c>
      <c r="P113" s="168">
        <f>(EXP(P96)-$C$71)/($C$70-$C$71)</f>
        <v/>
      </c>
      <c r="Q113" s="168">
        <f>(EXP(Q96)-$C$71)/($C$70-$C$71)</f>
        <v/>
      </c>
      <c r="R113" s="168">
        <f>(EXP(R96)-$C$71)/($C$70-$C$71)</f>
        <v/>
      </c>
      <c r="S113" s="168" t="n"/>
    </row>
    <row r="114" ht="12.75" customHeight="1" s="145">
      <c r="D114" s="168" t="n"/>
      <c r="E114" s="168" t="n"/>
      <c r="F114" s="168" t="n"/>
      <c r="G114" s="168" t="n"/>
      <c r="H114" s="168" t="n"/>
      <c r="I114" s="168" t="n"/>
      <c r="J114" s="168" t="n"/>
      <c r="K114" s="168" t="n"/>
      <c r="L114" s="168" t="n"/>
      <c r="M114" s="168">
        <f>(EXP(M97)-$C$71)/($C$70-$C$71)</f>
        <v/>
      </c>
      <c r="N114" s="168">
        <f>(EXP(N97)-$C$71)/($C$70-$C$71)</f>
        <v/>
      </c>
      <c r="O114" s="168">
        <f>(EXP(O97)-$C$71)/($C$70-$C$71)</f>
        <v/>
      </c>
      <c r="P114" s="168">
        <f>(EXP(P97)-$C$71)/($C$70-$C$71)</f>
        <v/>
      </c>
      <c r="Q114" s="168">
        <f>(EXP(Q97)-$C$71)/($C$70-$C$71)</f>
        <v/>
      </c>
      <c r="R114" s="168">
        <f>(EXP(R97)-$C$71)/($C$70-$C$71)</f>
        <v/>
      </c>
      <c r="S114" s="168" t="n"/>
    </row>
    <row r="115" ht="12.75" customHeight="1" s="145">
      <c r="D115" s="168" t="n"/>
      <c r="E115" s="168" t="n"/>
      <c r="F115" s="168" t="n"/>
      <c r="G115" s="168" t="n"/>
      <c r="H115" s="168" t="n"/>
      <c r="I115" s="168" t="n"/>
      <c r="J115" s="168" t="n"/>
      <c r="K115" s="168" t="n"/>
      <c r="L115" s="168">
        <f>(EXP(L98)-$C$71)/($C$70-$C$71)</f>
        <v/>
      </c>
      <c r="M115" s="168">
        <f>(EXP(M98)-$C$71)/($C$70-$C$71)</f>
        <v/>
      </c>
      <c r="N115" s="168">
        <f>(EXP(N98)-$C$71)/($C$70-$C$71)</f>
        <v/>
      </c>
      <c r="O115" s="168">
        <f>(EXP(O98)-$C$71)/($C$70-$C$71)</f>
        <v/>
      </c>
      <c r="P115" s="168">
        <f>(EXP(P98)-$C$71)/($C$70-$C$71)</f>
        <v/>
      </c>
      <c r="Q115" s="168">
        <f>(EXP(Q98)-$C$71)/($C$70-$C$71)</f>
        <v/>
      </c>
      <c r="R115" s="168">
        <f>(EXP(R98)-$C$71)/($C$70-$C$71)</f>
        <v/>
      </c>
      <c r="S115" s="168" t="n"/>
    </row>
    <row r="116" ht="12.75" customHeight="1" s="145">
      <c r="D116" s="168" t="n"/>
      <c r="E116" s="168" t="n"/>
      <c r="F116" s="168" t="n"/>
      <c r="G116" s="168" t="n"/>
      <c r="H116" s="168" t="n"/>
      <c r="I116" s="168" t="n"/>
      <c r="J116" s="168" t="n"/>
      <c r="K116" s="168">
        <f>(EXP(K99)-$C$71)/($C$70-$C$71)</f>
        <v/>
      </c>
      <c r="L116" s="168">
        <f>(EXP(L99)-$C$71)/($C$70-$C$71)</f>
        <v/>
      </c>
      <c r="M116" s="168">
        <f>(EXP(M99)-$C$71)/($C$70-$C$71)</f>
        <v/>
      </c>
      <c r="N116" s="168">
        <f>(EXP(N99)-$C$71)/($C$70-$C$71)</f>
        <v/>
      </c>
      <c r="O116" s="168">
        <f>(EXP(O99)-$C$71)/($C$70-$C$71)</f>
        <v/>
      </c>
      <c r="P116" s="168">
        <f>(EXP(P99)-$C$71)/($C$70-$C$71)</f>
        <v/>
      </c>
      <c r="Q116" s="168">
        <f>(EXP(Q99)-$C$71)/($C$70-$C$71)</f>
        <v/>
      </c>
      <c r="R116" s="168">
        <f>(EXP(R99)-$C$71)/($C$70-$C$71)</f>
        <v/>
      </c>
      <c r="S116" s="168" t="n"/>
    </row>
    <row r="117" ht="12.75" customHeight="1" s="145">
      <c r="D117" s="168" t="n"/>
      <c r="E117" s="168" t="n"/>
      <c r="F117" s="168" t="n"/>
      <c r="G117" s="168" t="n"/>
      <c r="H117" s="168" t="n"/>
      <c r="I117" s="168" t="n"/>
      <c r="J117" s="168">
        <f>(EXP(J100)-$C$71)/($C$70-$C$71)</f>
        <v/>
      </c>
      <c r="K117" s="168">
        <f>(EXP(K100)-$C$71)/($C$70-$C$71)</f>
        <v/>
      </c>
      <c r="L117" s="168">
        <f>(EXP(L100)-$C$71)/($C$70-$C$71)</f>
        <v/>
      </c>
      <c r="M117" s="168">
        <f>(EXP(M100)-$C$71)/($C$70-$C$71)</f>
        <v/>
      </c>
      <c r="N117" s="168">
        <f>(EXP(N100)-$C$71)/($C$70-$C$71)</f>
        <v/>
      </c>
      <c r="O117" s="168">
        <f>(EXP(O100)-$C$71)/($C$70-$C$71)</f>
        <v/>
      </c>
      <c r="P117" s="168">
        <f>(EXP(P100)-$C$71)/($C$70-$C$71)</f>
        <v/>
      </c>
      <c r="Q117" s="168">
        <f>(EXP(Q100)-$C$71)/($C$70-$C$71)</f>
        <v/>
      </c>
      <c r="R117" s="168">
        <f>(EXP(R100)-$C$71)/($C$70-$C$71)</f>
        <v/>
      </c>
      <c r="S117" s="168" t="n"/>
    </row>
    <row r="118" ht="12.75" customHeight="1" s="145">
      <c r="D118" s="168" t="n"/>
      <c r="E118" s="168" t="n"/>
      <c r="F118" s="168" t="n"/>
      <c r="G118" s="168" t="n"/>
      <c r="H118" s="168" t="n"/>
      <c r="I118" s="168">
        <f>(EXP(I101)-$C$71)/($C$70-$C$71)</f>
        <v/>
      </c>
      <c r="J118" s="168">
        <f>(EXP(J101)-$C$71)/($C$70-$C$71)</f>
        <v/>
      </c>
      <c r="K118" s="168">
        <f>(EXP(K101)-$C$71)/($C$70-$C$71)</f>
        <v/>
      </c>
      <c r="L118" s="168">
        <f>(EXP(L101)-$C$71)/($C$70-$C$71)</f>
        <v/>
      </c>
      <c r="M118" s="168">
        <f>(EXP(M101)-$C$71)/($C$70-$C$71)</f>
        <v/>
      </c>
      <c r="N118" s="168">
        <f>(EXP(N101)-$C$71)/($C$70-$C$71)</f>
        <v/>
      </c>
      <c r="O118" s="168">
        <f>(EXP(O101)-$C$71)/($C$70-$C$71)</f>
        <v/>
      </c>
      <c r="P118" s="168">
        <f>(EXP(P101)-$C$71)/($C$70-$C$71)</f>
        <v/>
      </c>
      <c r="Q118" s="168">
        <f>(EXP(Q101)-$C$71)/($C$70-$C$71)</f>
        <v/>
      </c>
      <c r="R118" s="168">
        <f>(EXP(R101)-$C$71)/($C$70-$C$71)</f>
        <v/>
      </c>
      <c r="S118" s="168" t="n"/>
    </row>
    <row r="119" ht="12.75" customHeight="1" s="145">
      <c r="D119" s="168" t="n"/>
      <c r="E119" s="168" t="n"/>
      <c r="F119" s="168" t="n"/>
      <c r="G119" s="168" t="n"/>
      <c r="H119" s="168">
        <f>(EXP(H102)-$C$71)/($C$70-$C$71)</f>
        <v/>
      </c>
      <c r="I119" s="168">
        <f>(EXP(I102)-$C$71)/($C$70-$C$71)</f>
        <v/>
      </c>
      <c r="J119" s="168">
        <f>(EXP(J102)-$C$71)/($C$70-$C$71)</f>
        <v/>
      </c>
      <c r="K119" s="168">
        <f>(EXP(K102)-$C$71)/($C$70-$C$71)</f>
        <v/>
      </c>
      <c r="L119" s="168">
        <f>(EXP(L102)-$C$71)/($C$70-$C$71)</f>
        <v/>
      </c>
      <c r="M119" s="168">
        <f>(EXP(M102)-$C$71)/($C$70-$C$71)</f>
        <v/>
      </c>
      <c r="N119" s="168">
        <f>(EXP(N102)-$C$71)/($C$70-$C$71)</f>
        <v/>
      </c>
      <c r="O119" s="168">
        <f>(EXP(O102)-$C$71)/($C$70-$C$71)</f>
        <v/>
      </c>
      <c r="P119" s="168">
        <f>(EXP(P102)-$C$71)/($C$70-$C$71)</f>
        <v/>
      </c>
      <c r="Q119" s="168">
        <f>(EXP(Q102)-$C$71)/($C$70-$C$71)</f>
        <v/>
      </c>
      <c r="R119" s="168">
        <f>(EXP(R102)-$C$71)/($C$70-$C$71)</f>
        <v/>
      </c>
      <c r="S119" s="168" t="n"/>
    </row>
    <row r="120" ht="12.75" customHeight="1" s="145">
      <c r="D120" s="168" t="n"/>
      <c r="E120" s="168" t="n"/>
      <c r="F120" s="168" t="n"/>
      <c r="G120" s="168">
        <f>(EXP(G103)-$C$71)/($C$70-$C$71)</f>
        <v/>
      </c>
      <c r="H120" s="168">
        <f>(EXP(H103)-$C$71)/($C$70-$C$71)</f>
        <v/>
      </c>
      <c r="I120" s="168">
        <f>(EXP(I103)-$C$71)/($C$70-$C$71)</f>
        <v/>
      </c>
      <c r="J120" s="168">
        <f>(EXP(J103)-$C$71)/($C$70-$C$71)</f>
        <v/>
      </c>
      <c r="K120" s="168">
        <f>(EXP(K103)-$C$71)/($C$70-$C$71)</f>
        <v/>
      </c>
      <c r="L120" s="168">
        <f>(EXP(L103)-$C$71)/($C$70-$C$71)</f>
        <v/>
      </c>
      <c r="M120" s="168">
        <f>(EXP(M103)-$C$71)/($C$70-$C$71)</f>
        <v/>
      </c>
      <c r="N120" s="168">
        <f>(EXP(N103)-$C$71)/($C$70-$C$71)</f>
        <v/>
      </c>
      <c r="O120" s="168">
        <f>(EXP(O103)-$C$71)/($C$70-$C$71)</f>
        <v/>
      </c>
      <c r="P120" s="168">
        <f>(EXP(P103)-$C$71)/($C$70-$C$71)</f>
        <v/>
      </c>
      <c r="Q120" s="168">
        <f>(EXP(Q103)-$C$71)/($C$70-$C$71)</f>
        <v/>
      </c>
      <c r="R120" s="168">
        <f>(EXP(R103)-$C$71)/($C$70-$C$71)</f>
        <v/>
      </c>
      <c r="S120" s="168" t="n"/>
    </row>
    <row r="121" ht="12.75" customHeight="1" s="145">
      <c r="D121" s="168" t="n"/>
      <c r="E121" s="168" t="n"/>
      <c r="F121" s="168">
        <f>(EXP(F104)-$C$71)/($C$70-$C$71)</f>
        <v/>
      </c>
      <c r="G121" s="168">
        <f>(EXP(G104)-$C$71)/($C$70-$C$71)</f>
        <v/>
      </c>
      <c r="H121" s="168">
        <f>(EXP(H104)-$C$71)/($C$70-$C$71)</f>
        <v/>
      </c>
      <c r="I121" s="168">
        <f>(EXP(I104)-$C$71)/($C$70-$C$71)</f>
        <v/>
      </c>
      <c r="J121" s="168">
        <f>(EXP(J104)-$C$71)/($C$70-$C$71)</f>
        <v/>
      </c>
      <c r="K121" s="168">
        <f>(EXP(K104)-$C$71)/($C$70-$C$71)</f>
        <v/>
      </c>
      <c r="L121" s="168">
        <f>(EXP(L104)-$C$71)/($C$70-$C$71)</f>
        <v/>
      </c>
      <c r="M121" s="168">
        <f>(EXP(M104)-$C$71)/($C$70-$C$71)</f>
        <v/>
      </c>
      <c r="N121" s="168">
        <f>(EXP(N104)-$C$71)/($C$70-$C$71)</f>
        <v/>
      </c>
      <c r="O121" s="168">
        <f>(EXP(O104)-$C$71)/($C$70-$C$71)</f>
        <v/>
      </c>
      <c r="P121" s="168">
        <f>(EXP(P104)-$C$71)/($C$70-$C$71)</f>
        <v/>
      </c>
      <c r="Q121" s="168">
        <f>(EXP(Q104)-$C$71)/($C$70-$C$71)</f>
        <v/>
      </c>
      <c r="R121" s="168">
        <f>(EXP(R104)-$C$71)/($C$70-$C$71)</f>
        <v/>
      </c>
      <c r="S121" s="168" t="n"/>
    </row>
    <row r="122" ht="12.75" customHeight="1" s="145">
      <c r="D122" s="168" t="n"/>
      <c r="E122" s="168">
        <f>(EXP(E105)-$C$71)/($C$70-$C$71)</f>
        <v/>
      </c>
      <c r="F122" s="168">
        <f>(EXP(F105)-$C$71)/($C$70-$C$71)</f>
        <v/>
      </c>
      <c r="G122" s="168">
        <f>(EXP(G105)-$C$71)/($C$70-$C$71)</f>
        <v/>
      </c>
      <c r="H122" s="168">
        <f>(EXP(H105)-$C$71)/($C$70-$C$71)</f>
        <v/>
      </c>
      <c r="I122" s="168">
        <f>(EXP(I105)-$C$71)/($C$70-$C$71)</f>
        <v/>
      </c>
      <c r="J122" s="168">
        <f>(EXP(J105)-$C$71)/($C$70-$C$71)</f>
        <v/>
      </c>
      <c r="K122" s="168">
        <f>(EXP(K105)-$C$71)/($C$70-$C$71)</f>
        <v/>
      </c>
      <c r="L122" s="168">
        <f>(EXP(L105)-$C$71)/($C$70-$C$71)</f>
        <v/>
      </c>
      <c r="M122" s="168">
        <f>(EXP(M105)-$C$71)/($C$70-$C$71)</f>
        <v/>
      </c>
      <c r="N122" s="168">
        <f>(EXP(N105)-$C$71)/($C$70-$C$71)</f>
        <v/>
      </c>
      <c r="O122" s="168">
        <f>(EXP(O105)-$C$71)/($C$70-$C$71)</f>
        <v/>
      </c>
      <c r="P122" s="168">
        <f>(EXP(P105)-$C$71)/($C$70-$C$71)</f>
        <v/>
      </c>
      <c r="Q122" s="168">
        <f>(EXP(Q105)-$C$71)/($C$70-$C$71)</f>
        <v/>
      </c>
      <c r="R122" s="168">
        <f>(EXP(R105)-$C$71)/($C$70-$C$71)</f>
        <v/>
      </c>
      <c r="S122" s="168" t="n"/>
    </row>
    <row r="123" ht="13.5" customFormat="1" customHeight="1" s="92">
      <c r="A123" s="96" t="inlineStr">
        <is>
          <t>risk neutral probability lattice</t>
        </is>
      </c>
      <c r="D123" s="168" t="n"/>
      <c r="E123" s="168" t="n"/>
      <c r="F123" s="168" t="n"/>
      <c r="G123" s="168" t="n"/>
      <c r="H123" s="168" t="n"/>
      <c r="I123" s="168" t="n"/>
      <c r="J123" s="168" t="n"/>
      <c r="K123" s="168" t="n"/>
      <c r="L123" s="168" t="n"/>
      <c r="M123" s="168" t="n"/>
      <c r="N123" s="168" t="n"/>
      <c r="O123" s="168" t="n"/>
      <c r="P123" s="168" t="n"/>
      <c r="Q123" s="168" t="n"/>
      <c r="R123" s="168" t="n"/>
      <c r="S123" s="168" t="n"/>
    </row>
    <row r="124" ht="12.75" customHeight="1" s="145">
      <c r="D124" s="168" t="n"/>
      <c r="E124" s="168" t="n"/>
      <c r="F124" s="168" t="n"/>
      <c r="G124" s="168" t="n"/>
      <c r="H124" s="168" t="n"/>
      <c r="I124" s="168" t="n"/>
      <c r="J124" s="168" t="n"/>
      <c r="K124" s="168" t="n"/>
      <c r="L124" s="168" t="n"/>
      <c r="M124" s="168" t="n"/>
      <c r="N124" s="168" t="n"/>
      <c r="O124" s="168" t="n"/>
      <c r="P124" s="168" t="n"/>
      <c r="Q124" s="168" t="n"/>
      <c r="R124" s="168" t="n"/>
      <c r="S124" s="168" t="n"/>
    </row>
    <row r="125" ht="12.75" customHeight="1" s="145">
      <c r="D125" s="168" t="n"/>
      <c r="E125" s="168" t="n"/>
      <c r="F125" s="168" t="n"/>
      <c r="G125" s="168" t="n"/>
      <c r="H125" s="168" t="n"/>
      <c r="I125" s="168" t="n"/>
      <c r="J125" s="168" t="n"/>
      <c r="K125" s="168" t="n"/>
      <c r="L125" s="168" t="n"/>
      <c r="M125" s="168" t="n"/>
      <c r="N125" s="168" t="n"/>
      <c r="O125" s="168" t="n"/>
      <c r="P125" s="168" t="n"/>
      <c r="Q125" s="168" t="n"/>
      <c r="R125" s="168" t="n"/>
      <c r="S125" s="168" t="n"/>
    </row>
    <row r="126" ht="12.75" customHeight="1" s="145">
      <c r="D126" s="168" t="n"/>
      <c r="E126" s="168" t="n"/>
      <c r="F126" s="168" t="n"/>
      <c r="G126" s="168" t="n"/>
      <c r="H126" s="168" t="n"/>
      <c r="I126" s="168" t="n"/>
      <c r="J126" s="168" t="n"/>
      <c r="K126" s="168" t="n"/>
      <c r="L126" s="168" t="n"/>
      <c r="M126" s="168" t="n"/>
      <c r="N126" s="168" t="n"/>
      <c r="O126" s="168" t="n"/>
      <c r="P126" s="168" t="n"/>
      <c r="Q126" s="168" t="n"/>
      <c r="R126" s="168">
        <f>Q127*EXP(SQRT(1/$C$29)*$C$28)</f>
        <v/>
      </c>
      <c r="S126" s="168" t="n"/>
    </row>
    <row r="127" ht="12.75" customHeight="1" s="145">
      <c r="D127" s="168" t="n"/>
      <c r="E127" s="168" t="n"/>
      <c r="F127" s="168" t="n"/>
      <c r="G127" s="168" t="n"/>
      <c r="H127" s="168" t="n"/>
      <c r="I127" s="168" t="n"/>
      <c r="J127" s="168" t="n"/>
      <c r="K127" s="168" t="n"/>
      <c r="L127" s="168" t="n"/>
      <c r="M127" s="168" t="n"/>
      <c r="N127" s="168" t="n"/>
      <c r="O127" s="168" t="n"/>
      <c r="P127" s="168" t="n"/>
      <c r="Q127" s="168">
        <f>P128*EXP(SQRT(1/$C$29)*$C$28)</f>
        <v/>
      </c>
      <c r="R127" s="168">
        <f>Q127*EXP(SQRT(1/$C$29)*(-$C$28))</f>
        <v/>
      </c>
      <c r="S127" s="168" t="n"/>
    </row>
    <row r="128" ht="12.75" customHeight="1" s="145">
      <c r="D128" s="168" t="n"/>
      <c r="E128" s="168" t="n"/>
      <c r="F128" s="168" t="n"/>
      <c r="G128" s="168" t="n"/>
      <c r="H128" s="168" t="n"/>
      <c r="I128" s="168" t="n"/>
      <c r="J128" s="168" t="n"/>
      <c r="K128" s="168" t="n"/>
      <c r="L128" s="168" t="n"/>
      <c r="M128" s="168" t="n"/>
      <c r="N128" s="168" t="n"/>
      <c r="O128" s="168" t="n"/>
      <c r="P128" s="168">
        <f>O129*EXP(SQRT(1/$C$29)*$C$28)</f>
        <v/>
      </c>
      <c r="Q128" s="168">
        <f>P128*EXP(SQRT(1/$C$29)*(-$C$28))</f>
        <v/>
      </c>
      <c r="R128" s="168">
        <f>Q128*EXP(SQRT(1/$C$29)*(-$C$28))</f>
        <v/>
      </c>
      <c r="S128" s="168" t="n"/>
    </row>
    <row r="129" ht="12.75" customHeight="1" s="145">
      <c r="D129" s="168" t="n"/>
      <c r="E129" s="168" t="n"/>
      <c r="F129" s="168" t="n"/>
      <c r="G129" s="168" t="n"/>
      <c r="H129" s="168" t="n"/>
      <c r="I129" s="168" t="n"/>
      <c r="J129" s="168" t="n"/>
      <c r="K129" s="168" t="n"/>
      <c r="L129" s="168" t="n"/>
      <c r="M129" s="168" t="n"/>
      <c r="N129" s="168" t="n"/>
      <c r="O129" s="168">
        <f>N130*EXP(SQRT(1/$C$29)*$C$28)</f>
        <v/>
      </c>
      <c r="P129" s="168">
        <f>O129*EXP(SQRT(1/$C$29)*(-$C$28))</f>
        <v/>
      </c>
      <c r="Q129" s="168">
        <f>P129*EXP(SQRT(1/$C$29)*(-$C$28))</f>
        <v/>
      </c>
      <c r="R129" s="168">
        <f>Q129*EXP(SQRT(1/$C$29)*(-$C$28))</f>
        <v/>
      </c>
      <c r="S129" s="168" t="n"/>
    </row>
    <row r="130" ht="12.75" customHeight="1" s="145">
      <c r="D130" s="168" t="n"/>
      <c r="E130" s="168" t="n"/>
      <c r="F130" s="168" t="n"/>
      <c r="G130" s="168" t="n"/>
      <c r="H130" s="168" t="n"/>
      <c r="I130" s="168" t="n"/>
      <c r="J130" s="168" t="n"/>
      <c r="K130" s="168" t="n"/>
      <c r="L130" s="168" t="n"/>
      <c r="M130" s="168" t="n"/>
      <c r="N130" s="168">
        <f>M131*EXP(SQRT(1/$C$29)*$C$28)</f>
        <v/>
      </c>
      <c r="O130" s="168">
        <f>N130*EXP(SQRT(1/$C$29)*(-$C$28))</f>
        <v/>
      </c>
      <c r="P130" s="168">
        <f>O130*EXP(SQRT(1/$C$29)*(-$C$28))</f>
        <v/>
      </c>
      <c r="Q130" s="168">
        <f>P130*EXP(SQRT(1/$C$29)*(-$C$28))</f>
        <v/>
      </c>
      <c r="R130" s="168">
        <f>Q130*EXP(SQRT(1/$C$29)*(-$C$28))</f>
        <v/>
      </c>
      <c r="S130" s="168" t="n"/>
    </row>
    <row r="131" ht="12.75" customHeight="1" s="145">
      <c r="D131" s="168" t="n"/>
      <c r="E131" s="168" t="n"/>
      <c r="F131" s="168" t="n"/>
      <c r="G131" s="168" t="n"/>
      <c r="H131" s="168" t="n"/>
      <c r="I131" s="168" t="n"/>
      <c r="J131" s="168" t="n"/>
      <c r="K131" s="168" t="n"/>
      <c r="L131" s="168" t="n"/>
      <c r="M131" s="168">
        <f>L132*EXP(SQRT(1/$C$29)*$C$28)</f>
        <v/>
      </c>
      <c r="N131" s="168">
        <f>M131*EXP(SQRT(1/$C$29)*(-$C$28))</f>
        <v/>
      </c>
      <c r="O131" s="168">
        <f>N131*EXP(SQRT(1/$C$29)*(-$C$28))</f>
        <v/>
      </c>
      <c r="P131" s="168">
        <f>O131*EXP(SQRT(1/$C$29)*(-$C$28))</f>
        <v/>
      </c>
      <c r="Q131" s="168">
        <f>P131*EXP(SQRT(1/$C$29)*(-$C$28))</f>
        <v/>
      </c>
      <c r="R131" s="168">
        <f>Q131*EXP(SQRT(1/$C$29)*(-$C$28))</f>
        <v/>
      </c>
      <c r="S131" s="168" t="n"/>
    </row>
    <row r="132" ht="12.75" customHeight="1" s="145">
      <c r="D132" s="168" t="n"/>
      <c r="E132" s="168" t="n"/>
      <c r="F132" s="168" t="n"/>
      <c r="G132" s="168" t="n"/>
      <c r="H132" s="168" t="n"/>
      <c r="I132" s="168" t="n"/>
      <c r="J132" s="168" t="n"/>
      <c r="K132" s="168" t="n"/>
      <c r="L132" s="168">
        <f>K133*EXP(SQRT(1/$C$29)*$C$28)</f>
        <v/>
      </c>
      <c r="M132" s="168">
        <f>L132*EXP(SQRT(1/$C$29)*(-$C$28))</f>
        <v/>
      </c>
      <c r="N132" s="168">
        <f>M132*EXP(SQRT(1/$C$29)*(-$C$28))</f>
        <v/>
      </c>
      <c r="O132" s="168">
        <f>N132*EXP(SQRT(1/$C$29)*(-$C$28))</f>
        <v/>
      </c>
      <c r="P132" s="168">
        <f>O132*EXP(SQRT(1/$C$29)*(-$C$28))</f>
        <v/>
      </c>
      <c r="Q132" s="168">
        <f>P132*EXP(SQRT(1/$C$29)*(-$C$28))</f>
        <v/>
      </c>
      <c r="R132" s="168">
        <f>Q132*EXP(SQRT(1/$C$29)*(-$C$28))</f>
        <v/>
      </c>
      <c r="S132" s="168" t="n"/>
    </row>
    <row r="133" ht="12.75" customHeight="1" s="145">
      <c r="D133" s="168" t="n"/>
      <c r="E133" s="168" t="n"/>
      <c r="F133" s="168" t="n"/>
      <c r="G133" s="168" t="n"/>
      <c r="H133" s="168" t="n"/>
      <c r="I133" s="168" t="n"/>
      <c r="J133" s="168" t="n"/>
      <c r="K133" s="168">
        <f>J134*EXP(SQRT(1/$C$29)*$C$28)</f>
        <v/>
      </c>
      <c r="L133" s="168">
        <f>K133*EXP(SQRT(1/$C$29)*(-$C$28))</f>
        <v/>
      </c>
      <c r="M133" s="168">
        <f>L133*EXP(SQRT(1/$C$29)*(-$C$28))</f>
        <v/>
      </c>
      <c r="N133" s="168">
        <f>M133*EXP(SQRT(1/$C$29)*(-$C$28))</f>
        <v/>
      </c>
      <c r="O133" s="168">
        <f>N133*EXP(SQRT(1/$C$29)*(-$C$28))</f>
        <v/>
      </c>
      <c r="P133" s="168">
        <f>O133*EXP(SQRT(1/$C$29)*(-$C$28))</f>
        <v/>
      </c>
      <c r="Q133" s="168">
        <f>P133*EXP(SQRT(1/$C$29)*(-$C$28))</f>
        <v/>
      </c>
      <c r="R133" s="168">
        <f>Q133*EXP(SQRT(1/$C$29)*(-$C$28))</f>
        <v/>
      </c>
      <c r="S133" s="168" t="n"/>
    </row>
    <row r="134" ht="12.75" customHeight="1" s="145">
      <c r="D134" s="168" t="n"/>
      <c r="E134" s="168" t="n"/>
      <c r="F134" s="168" t="n"/>
      <c r="G134" s="168" t="n"/>
      <c r="H134" s="168" t="n"/>
      <c r="I134" s="168" t="n"/>
      <c r="J134" s="168">
        <f>I135*EXP(SQRT(1/$C$29)*$C$28)</f>
        <v/>
      </c>
      <c r="K134" s="168">
        <f>J134*EXP(SQRT(1/$C$29)*(-$C$28))</f>
        <v/>
      </c>
      <c r="L134" s="168">
        <f>K134*EXP(SQRT(1/$C$29)*(-$C$28))</f>
        <v/>
      </c>
      <c r="M134" s="168">
        <f>L134*EXP(SQRT(1/$C$29)*(-$C$28))</f>
        <v/>
      </c>
      <c r="N134" s="168">
        <f>M134*EXP(SQRT(1/$C$29)*(-$C$28))</f>
        <v/>
      </c>
      <c r="O134" s="168">
        <f>N134*EXP(SQRT(1/$C$29)*(-$C$28))</f>
        <v/>
      </c>
      <c r="P134" s="168">
        <f>O134*EXP(SQRT(1/$C$29)*(-$C$28))</f>
        <v/>
      </c>
      <c r="Q134" s="168">
        <f>P134*EXP(SQRT(1/$C$29)*(-$C$28))</f>
        <v/>
      </c>
      <c r="R134" s="168">
        <f>Q134*EXP(SQRT(1/$C$29)*(-$C$28))</f>
        <v/>
      </c>
      <c r="S134" s="168" t="n"/>
    </row>
    <row r="135" ht="12.75" customHeight="1" s="145">
      <c r="D135" s="168" t="n"/>
      <c r="E135" s="168" t="n"/>
      <c r="F135" s="168" t="n"/>
      <c r="G135" s="168" t="n"/>
      <c r="H135" s="168" t="n"/>
      <c r="I135" s="168">
        <f>H136*EXP(SQRT(1/$C$29)*$C$28)</f>
        <v/>
      </c>
      <c r="J135" s="168">
        <f>I135*EXP(SQRT(1/$C$29)*(-$C$28))</f>
        <v/>
      </c>
      <c r="K135" s="168">
        <f>J135*EXP(SQRT(1/$C$29)*(-$C$28))</f>
        <v/>
      </c>
      <c r="L135" s="168">
        <f>K135*EXP(SQRT(1/$C$29)*(-$C$28))</f>
        <v/>
      </c>
      <c r="M135" s="168">
        <f>L135*EXP(SQRT(1/$C$29)*(-$C$28))</f>
        <v/>
      </c>
      <c r="N135" s="168">
        <f>M135*EXP(SQRT(1/$C$29)*(-$C$28))</f>
        <v/>
      </c>
      <c r="O135" s="168">
        <f>N135*EXP(SQRT(1/$C$29)*(-$C$28))</f>
        <v/>
      </c>
      <c r="P135" s="168">
        <f>O135*EXP(SQRT(1/$C$29)*(-$C$28))</f>
        <v/>
      </c>
      <c r="Q135" s="168">
        <f>P135*EXP(SQRT(1/$C$29)*(-$C$28))</f>
        <v/>
      </c>
      <c r="R135" s="168">
        <f>Q135*EXP(SQRT(1/$C$29)*(-$C$28))</f>
        <v/>
      </c>
      <c r="S135" s="168" t="n"/>
    </row>
    <row r="136" ht="12.75" customHeight="1" s="145">
      <c r="D136" s="168" t="n"/>
      <c r="E136" s="168" t="n"/>
      <c r="F136" s="168" t="n"/>
      <c r="G136" s="168" t="n"/>
      <c r="H136" s="168">
        <f>G137*EXP(SQRT(1/$C$29)*$C$28)</f>
        <v/>
      </c>
      <c r="I136" s="168">
        <f>H136*EXP(SQRT(1/$C$29)*(-$C$28))</f>
        <v/>
      </c>
      <c r="J136" s="168">
        <f>I136*EXP(SQRT(1/$C$29)*(-$C$28))</f>
        <v/>
      </c>
      <c r="K136" s="168">
        <f>J136*EXP(SQRT(1/$C$29)*(-$C$28))</f>
        <v/>
      </c>
      <c r="L136" s="168">
        <f>K136*EXP(SQRT(1/$C$29)*(-$C$28))</f>
        <v/>
      </c>
      <c r="M136" s="168">
        <f>L136*EXP(SQRT(1/$C$29)*(-$C$28))</f>
        <v/>
      </c>
      <c r="N136" s="168">
        <f>M136*EXP(SQRT(1/$C$29)*(-$C$28))</f>
        <v/>
      </c>
      <c r="O136" s="168">
        <f>N136*EXP(SQRT(1/$C$29)*(-$C$28))</f>
        <v/>
      </c>
      <c r="P136" s="168">
        <f>O136*EXP(SQRT(1/$C$29)*(-$C$28))</f>
        <v/>
      </c>
      <c r="Q136" s="168">
        <f>P136*EXP(SQRT(1/$C$29)*(-$C$28))</f>
        <v/>
      </c>
      <c r="R136" s="168">
        <f>Q136*EXP(SQRT(1/$C$29)*(-$C$28))</f>
        <v/>
      </c>
      <c r="S136" s="168" t="n"/>
    </row>
    <row r="137" ht="12.75" customHeight="1" s="145">
      <c r="D137" s="168" t="n"/>
      <c r="E137" s="168" t="n"/>
      <c r="F137" s="168" t="n"/>
      <c r="G137" s="168">
        <f>F138*EXP(SQRT(1/$C$29)*$C$28)</f>
        <v/>
      </c>
      <c r="H137" s="168">
        <f>G137*EXP(SQRT(1/$C$29)*(-$C$28))</f>
        <v/>
      </c>
      <c r="I137" s="168">
        <f>H137*EXP(SQRT(1/$C$29)*(-$C$28))</f>
        <v/>
      </c>
      <c r="J137" s="168">
        <f>I137*EXP(SQRT(1/$C$29)*(-$C$28))</f>
        <v/>
      </c>
      <c r="K137" s="168">
        <f>J137*EXP(SQRT(1/$C$29)*(-$C$28))</f>
        <v/>
      </c>
      <c r="L137" s="168">
        <f>K137*EXP(SQRT(1/$C$29)*(-$C$28))</f>
        <v/>
      </c>
      <c r="M137" s="168">
        <f>L137*EXP(SQRT(1/$C$29)*(-$C$28))</f>
        <v/>
      </c>
      <c r="N137" s="168">
        <f>M137*EXP(SQRT(1/$C$29)*(-$C$28))</f>
        <v/>
      </c>
      <c r="O137" s="168">
        <f>N137*EXP(SQRT(1/$C$29)*(-$C$28))</f>
        <v/>
      </c>
      <c r="P137" s="168">
        <f>O137*EXP(SQRT(1/$C$29)*(-$C$28))</f>
        <v/>
      </c>
      <c r="Q137" s="168">
        <f>P137*EXP(SQRT(1/$C$29)*(-$C$28))</f>
        <v/>
      </c>
      <c r="R137" s="168">
        <f>Q137*EXP(SQRT(1/$C$29)*(-$C$28))</f>
        <v/>
      </c>
      <c r="S137" s="168" t="n"/>
    </row>
    <row r="138" ht="12.75" customHeight="1" s="145">
      <c r="D138" s="168" t="n"/>
      <c r="E138" s="168" t="n"/>
      <c r="F138" s="168">
        <f>E139*EXP(SQRT(1/$C$29)*$C$28)</f>
        <v/>
      </c>
      <c r="G138" s="168">
        <f>F138*EXP(SQRT(1/$C$29)*(-$C$28))</f>
        <v/>
      </c>
      <c r="H138" s="168">
        <f>G138*EXP(SQRT(1/$C$29)*(-$C$28))</f>
        <v/>
      </c>
      <c r="I138" s="168">
        <f>H138*EXP(SQRT(1/$C$29)*(-$C$28))</f>
        <v/>
      </c>
      <c r="J138" s="168">
        <f>I138*EXP(SQRT(1/$C$29)*(-$C$28))</f>
        <v/>
      </c>
      <c r="K138" s="168">
        <f>J138*EXP(SQRT(1/$C$29)*(-$C$28))</f>
        <v/>
      </c>
      <c r="L138" s="168">
        <f>K138*EXP(SQRT(1/$C$29)*(-$C$28))</f>
        <v/>
      </c>
      <c r="M138" s="168">
        <f>L138*EXP(SQRT(1/$C$29)*(-$C$28))</f>
        <v/>
      </c>
      <c r="N138" s="168">
        <f>M138*EXP(SQRT(1/$C$29)*(-$C$28))</f>
        <v/>
      </c>
      <c r="O138" s="168">
        <f>N138*EXP(SQRT(1/$C$29)*(-$C$28))</f>
        <v/>
      </c>
      <c r="P138" s="168">
        <f>O138*EXP(SQRT(1/$C$29)*(-$C$28))</f>
        <v/>
      </c>
      <c r="Q138" s="168">
        <f>P138*EXP(SQRT(1/$C$29)*(-$C$28))</f>
        <v/>
      </c>
      <c r="R138" s="168">
        <f>Q138*EXP(SQRT(1/$C$29)*(-$C$28))</f>
        <v/>
      </c>
      <c r="S138" s="168" t="n"/>
    </row>
    <row r="139" ht="12.75" customHeight="1" s="145">
      <c r="D139" s="168" t="n"/>
      <c r="E139" s="168">
        <f>D140*EXP(SQRT(1/$C$29)*$C$28)</f>
        <v/>
      </c>
      <c r="F139" s="168">
        <f>E139*EXP(SQRT(1/$C$29)*(-$C$28))</f>
        <v/>
      </c>
      <c r="G139" s="168">
        <f>F139*EXP(SQRT(1/$C$29)*(-$C$28))</f>
        <v/>
      </c>
      <c r="H139" s="168">
        <f>G139*EXP(SQRT(1/$C$29)*(-$C$28))</f>
        <v/>
      </c>
      <c r="I139" s="168">
        <f>H139*EXP(SQRT(1/$C$29)*(-$C$28))</f>
        <v/>
      </c>
      <c r="J139" s="168">
        <f>I139*EXP(SQRT(1/$C$29)*(-$C$28))</f>
        <v/>
      </c>
      <c r="K139" s="168">
        <f>J139*EXP(SQRT(1/$C$29)*(-$C$28))</f>
        <v/>
      </c>
      <c r="L139" s="168">
        <f>K139*EXP(SQRT(1/$C$29)*(-$C$28))</f>
        <v/>
      </c>
      <c r="M139" s="168">
        <f>L139*EXP(SQRT(1/$C$29)*(-$C$28))</f>
        <v/>
      </c>
      <c r="N139" s="168">
        <f>M139*EXP(SQRT(1/$C$29)*(-$C$28))</f>
        <v/>
      </c>
      <c r="O139" s="168">
        <f>N139*EXP(SQRT(1/$C$29)*(-$C$28))</f>
        <v/>
      </c>
      <c r="P139" s="168">
        <f>O139*EXP(SQRT(1/$C$29)*(-$C$28))</f>
        <v/>
      </c>
      <c r="Q139" s="168">
        <f>P139*EXP(SQRT(1/$C$29)*(-$C$28))</f>
        <v/>
      </c>
      <c r="R139" s="168">
        <f>Q139*EXP(SQRT(1/$C$29)*(-$C$28))</f>
        <v/>
      </c>
      <c r="S139" s="168" t="n"/>
    </row>
    <row r="140" ht="12.75" customHeight="1" s="145">
      <c r="A140" s="96" t="inlineStr">
        <is>
          <t>firm value lattice</t>
        </is>
      </c>
      <c r="D140" s="168">
        <f>$C$27</f>
        <v/>
      </c>
      <c r="E140" s="168">
        <f>D140*EXP(SQRT(1/$C$29)*(-$C$28))</f>
        <v/>
      </c>
      <c r="F140" s="168">
        <f>E140*EXP(SQRT(1/$C$29)*(-$C$28))</f>
        <v/>
      </c>
      <c r="G140" s="168">
        <f>F140*EXP(SQRT(1/$C$29)*(-$C$28))</f>
        <v/>
      </c>
      <c r="H140" s="168">
        <f>G140*EXP(SQRT(1/$C$29)*(-$C$28))</f>
        <v/>
      </c>
      <c r="I140" s="168">
        <f>H140*EXP(SQRT(1/$C$29)*(-$C$28))</f>
        <v/>
      </c>
      <c r="J140" s="168">
        <f>I140*EXP(SQRT(1/$C$29)*(-$C$28))</f>
        <v/>
      </c>
      <c r="K140" s="168">
        <f>J140*EXP(SQRT(1/$C$29)*(-$C$28))</f>
        <v/>
      </c>
      <c r="L140" s="168">
        <f>K140*EXP(SQRT(1/$C$29)*(-$C$28))</f>
        <v/>
      </c>
      <c r="M140" s="168">
        <f>L140*EXP(SQRT(1/$C$29)*(-$C$28))</f>
        <v/>
      </c>
      <c r="N140" s="168">
        <f>M140*EXP(SQRT(1/$C$29)*(-$C$28))</f>
        <v/>
      </c>
      <c r="O140" s="168">
        <f>N140*EXP(SQRT(1/$C$29)*(-$C$28))</f>
        <v/>
      </c>
      <c r="P140" s="168">
        <f>O140*EXP(SQRT(1/$C$29)*(-$C$28))</f>
        <v/>
      </c>
      <c r="Q140" s="168">
        <f>P140*EXP(SQRT(1/$C$29)*(-$C$28))</f>
        <v/>
      </c>
      <c r="R140" s="168">
        <f>Q140*EXP(SQRT(1/$C$29)*(-$C$28))</f>
        <v/>
      </c>
      <c r="S140" s="168" t="n"/>
    </row>
    <row r="141" ht="12.75" customHeight="1" s="145">
      <c r="D141" s="168" t="n"/>
      <c r="E141" s="168" t="n"/>
      <c r="F141" s="168" t="n"/>
      <c r="G141" s="168" t="n"/>
      <c r="H141" s="168" t="n"/>
      <c r="I141" s="168" t="n"/>
      <c r="J141" s="168" t="n"/>
      <c r="K141" s="168" t="n"/>
      <c r="L141" s="168" t="n"/>
      <c r="M141" s="168" t="n"/>
      <c r="N141" s="168" t="n"/>
      <c r="O141" s="168" t="n"/>
      <c r="P141" s="168" t="n"/>
      <c r="Q141" s="168" t="n"/>
      <c r="R141" s="168" t="n"/>
      <c r="S141" s="168" t="n"/>
    </row>
    <row r="142" ht="12.75" customHeight="1" s="145">
      <c r="D142" s="168" t="n"/>
      <c r="E142" s="168" t="n"/>
      <c r="F142" s="168" t="n"/>
      <c r="G142" s="168" t="n"/>
      <c r="H142" s="168" t="n"/>
      <c r="I142" s="168" t="n"/>
      <c r="J142" s="168" t="n"/>
      <c r="K142" s="168" t="n"/>
      <c r="L142" s="168" t="n"/>
      <c r="M142" s="168" t="n"/>
      <c r="N142" s="168" t="n"/>
      <c r="O142" s="168" t="n"/>
      <c r="P142" s="168" t="n"/>
      <c r="Q142" s="168" t="n"/>
      <c r="R142" s="168" t="n"/>
      <c r="S142" s="168" t="n"/>
    </row>
    <row r="143" ht="12.75" customHeight="1" s="145">
      <c r="D143" s="168" t="n"/>
      <c r="E143" s="168" t="n"/>
      <c r="F143" s="168" t="n"/>
      <c r="G143" s="168" t="n"/>
      <c r="H143" s="168" t="n"/>
      <c r="I143" s="168" t="n"/>
      <c r="J143" s="168" t="n"/>
      <c r="K143" s="168" t="n"/>
      <c r="L143" s="168" t="n"/>
      <c r="M143" s="168" t="n"/>
      <c r="N143" s="168" t="n"/>
      <c r="O143" s="168" t="n"/>
      <c r="P143" s="168" t="n"/>
      <c r="Q143" s="168" t="n"/>
      <c r="R143" s="168" t="n"/>
      <c r="S143" s="168" t="n"/>
    </row>
  </sheetData>
  <hyperlinks>
    <hyperlink xmlns:r="http://schemas.openxmlformats.org/officeDocument/2006/relationships" ref="B7" display="leesb@hanyang.ac.kr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2003-04-30T15:51:35Z</dcterms:created>
  <dcterms:modified xsi:type="dcterms:W3CDTF">2026-08-18T05:06:49Z</dcterms:modified>
  <cp:revision>0</cp:revision>
</cp:coreProperties>
</file>