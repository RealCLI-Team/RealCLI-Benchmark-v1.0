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Segment_Takeoff" sheetId="3" state="visible" r:id="rId3"/>
    <sheet xmlns:r="http://schemas.openxmlformats.org/officeDocument/2006/relationships" name="Quantity_Reconciliation" sheetId="4" state="visible" r:id="rId4"/>
    <sheet xmlns:r="http://schemas.openxmlformats.org/officeDocument/2006/relationships" name="Submitted_Bids" sheetId="5" state="visible" r:id="rId5"/>
    <sheet xmlns:r="http://schemas.openxmlformats.org/officeDocument/2006/relationships" name="Market_Evidence" sheetId="6" state="visible" r:id="rId6"/>
    <sheet xmlns:r="http://schemas.openxmlformats.org/officeDocument/2006/relationships" name="Independent_Estimate" sheetId="7" state="visible" r:id="rId7"/>
    <sheet xmlns:r="http://schemas.openxmlformats.org/officeDocument/2006/relationships" name="Bridge_Zero_Residual" sheetId="8" state="visible" r:id="rId8"/>
    <sheet xmlns:r="http://schemas.openxmlformats.org/officeDocument/2006/relationships" name="Evidence_Gates" sheetId="9" state="visible" r:id="rId9"/>
    <sheet xmlns:r="http://schemas.openxmlformats.org/officeDocument/2006/relationships" name="Lifecycle" sheetId="10" state="visible" r:id="rId10"/>
    <sheet xmlns:r="http://schemas.openxmlformats.org/officeDocument/2006/relationships" name="Sensitivity_Switch" sheetId="11" state="visible" r:id="rId11"/>
    <sheet xmlns:r="http://schemas.openxmlformats.org/officeDocument/2006/relationships" name="Recommen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  <sz val="11"/>
    </font>
    <font/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DDEB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  <xf numFmtId="2" fontId="0" fillId="4" borderId="1" pivotButton="0" quotePrefix="0" xfId="0"/>
    <xf numFmtId="164" fontId="0" fillId="4" borderId="1" pivotButton="0" quotePrefix="0" xfId="0"/>
    <xf numFmtId="0" fontId="0" fillId="4" borderId="1" pivotButton="0" quotePrefix="0" xfId="0"/>
    <xf numFmtId="2" fontId="0" fillId="3" borderId="1" pivotButton="0" quotePrefix="0" xfId="0"/>
    <xf numFmtId="0" fontId="0" fillId="5" borderId="1" pivotButton="0" quotePrefix="0" xfId="0"/>
    <xf numFmtId="0" fontId="3" fillId="0" borderId="0" pivotButton="0" quotePrefix="0" xfId="0"/>
    <xf numFmtId="1" fontId="3" fillId="4" borderId="1" pivotButton="0" quotePrefix="0" xfId="0"/>
    <xf numFmtId="2" fontId="3" fillId="4" borderId="1" pivotButton="0" quotePrefix="0" xfId="0"/>
    <xf numFmtId="164" fontId="3" fillId="4" borderId="1" pivotButton="0" quotePrefix="0" xfId="0"/>
    <xf numFmtId="164" fontId="0" fillId="4" borderId="1" applyAlignment="1" pivotButton="0" quotePrefix="0" xfId="0">
      <alignment vertical="top" wrapText="1"/>
    </xf>
    <xf numFmtId="3" fontId="0" fillId="0" borderId="1" pivotButton="0" quotePrefix="0" xfId="0"/>
    <xf numFmtId="3" fontId="0" fillId="4" borderId="1" pivotButton="0" quotePrefix="0" xfId="0"/>
    <xf numFmtId="3" fontId="3" fillId="4" borderId="0" pivotButton="0" quotePrefix="0" xfId="0"/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5" fontId="0" fillId="4" borderId="0" pivotButton="0" quotePrefix="0" xfId="0"/>
    <xf numFmtId="3" fontId="0" fillId="3" borderId="1" pivotButton="0" quotePrefix="0" xfId="0"/>
    <xf numFmtId="0" fontId="0" fillId="4" borderId="0" pivotButton="0" quotePrefix="0" xfId="0"/>
    <xf numFmtId="0" fontId="4" fillId="0" borderId="0" pivotButton="0" quotePrefix="0" xfId="0"/>
    <xf numFmtId="166" fontId="0" fillId="4" borderId="1" pivotButton="0" quotePrefix="0" xfId="0"/>
    <xf numFmtId="0" fontId="3" fillId="0" borderId="1" pivotButton="0" quotePrefix="0" xfId="0"/>
    <xf numFmtId="4" fontId="0" fillId="4" borderId="1" pivotButton="0" quotePrefix="0" xfId="0"/>
    <xf numFmtId="4" fontId="0" fillId="5" borderId="1" pivotButton="0" quotePrefix="0" xfId="0"/>
    <xf numFmtId="3" fontId="3" fillId="4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North Sound Terminal — Ramp NS-2 Value Engineering Decision Model</t>
        </is>
      </c>
    </row>
    <row r="2">
      <c r="A2" s="2" t="inlineStr">
        <is>
          <t>Independent senior civil engineer audit record | prepared 2026-08-24 | accompanies ferry_terminal_ve_board.pptx</t>
        </is>
      </c>
    </row>
    <row r="4">
      <c r="A4" s="3" t="inlineStr"/>
    </row>
    <row r="5">
      <c r="A5" s="3" t="inlineStr">
        <is>
          <t>PURPOSE: Auditable calculation record supporting the VE board decision on the North Sound vehicle-transfer ramp (Ramp NS-2),</t>
        </is>
      </c>
    </row>
    <row r="6">
      <c r="A6" s="3" t="inlineStr">
        <is>
          <t>WSDOT Marine Project NS-27-041, Island County (memo: North_Sound_Terminal_Project_Memo.docx, §1–§5).</t>
        </is>
      </c>
    </row>
    <row r="7">
      <c r="A7" s="3" t="inlineStr"/>
    </row>
    <row r="8">
      <c r="A8" s="3" t="inlineStr">
        <is>
          <t>METHOD: Physical surface area, specification-payable quantity, technician estimate, and vendor-quoted quantity are computed</t>
        </is>
      </c>
    </row>
    <row r="9">
      <c r="A9" s="3" t="inlineStr">
        <is>
          <t>and carried SEPARATELY (memo §2). Payment quantities follow the supplied measurement clauses (ferry_measurement_payment_rules.csv,</t>
        </is>
      </c>
    </row>
    <row r="10">
      <c r="A10" s="3" t="inlineStr">
        <is>
          <t>FMR-001…FMR-012) which require field-verified accepted quantities, not vendor schedule quantities. Unit prices are SUBMITTED prices</t>
        </is>
      </c>
    </row>
    <row r="11">
      <c r="A11" s="3" t="inlineStr">
        <is>
          <t>(estimate dates 2027-02-15 / 2027-04-01) and are treated as unverified evidence claims, benchmarked where WSDOT references allow.</t>
        </is>
      </c>
    </row>
    <row r="12">
      <c r="A12" s="3" t="inlineStr"/>
    </row>
    <row r="13">
      <c r="A13" s="3" t="inlineStr">
        <is>
          <t>SHEET MAP:</t>
        </is>
      </c>
    </row>
    <row r="14">
      <c r="A14" s="3" t="inlineStr">
        <is>
          <t xml:space="preserve">  Parameters ............ global assumptions (discount rate, escalation, contingency) — all downstream sheets reference these cells</t>
        </is>
      </c>
    </row>
    <row r="15">
      <c r="A15" s="3" t="inlineStr">
        <is>
          <t xml:space="preserve">  Segment_Takeoff ....... 48-segment geometry recomputation with payable-quantity rounding per FMR clauses</t>
        </is>
      </c>
    </row>
    <row r="16">
      <c r="A16" s="3" t="inlineStr">
        <is>
          <t xml:space="preserve">  Quantity_Reconciliation physical vs payable vs technician vs submitted/vendor, per item family, with locators</t>
        </is>
      </c>
    </row>
    <row r="17">
      <c r="A17" s="3" t="inlineStr">
        <is>
          <t xml:space="preserve">  Submitted_Bids ........ submitted bid items, internal consistency check (qty × unit price vs stated amount)</t>
        </is>
      </c>
    </row>
    <row r="18">
      <c r="A18" s="3" t="inlineStr">
        <is>
          <t xml:space="preserve">  Market_Evidence ....... WSDOT/BDM/CEM benchmark ranges and PPI escalation evidence vs submitted unit prices</t>
        </is>
      </c>
    </row>
    <row r="19">
      <c r="A19" s="3" t="inlineStr">
        <is>
          <t xml:space="preserve">  Independent_Estimate .. engineer common-scope estimate for both options on payable quantities + markups</t>
        </is>
      </c>
    </row>
    <row r="20">
      <c r="A20" s="3" t="inlineStr">
        <is>
          <t xml:space="preserve">  Bridge_Zero_Residual .. submitted-to-independent reconciliation walk; residual formula must equal 0</t>
        </is>
      </c>
    </row>
    <row r="21">
      <c r="A21" s="3" t="inlineStr">
        <is>
          <t xml:space="preserve">  Evidence_Gates ........ technical/evidence gate matrix (8 gates) with decision impact</t>
        </is>
      </c>
    </row>
    <row r="22">
      <c r="A22" s="3" t="inlineStr">
        <is>
          <t xml:space="preserve">  Lifecycle ............. 40-yr present-worth comparison, base replacement vs overlay/FRP VE</t>
        </is>
      </c>
    </row>
    <row r="23">
      <c r="A23" s="3" t="inlineStr">
        <is>
          <t xml:space="preserve">  Sensitivity_Switch .... joint cost/evidence switch: decision-changing conditions and breakevens</t>
        </is>
      </c>
    </row>
    <row r="24">
      <c r="A24" s="3" t="inlineStr">
        <is>
          <t xml:space="preserve">  Recommendation ........ dispositions, conditions precedent, unresolved boundaries</t>
        </is>
      </c>
    </row>
    <row r="25">
      <c r="A25" s="3" t="inlineStr"/>
    </row>
    <row r="26">
      <c r="A26" s="3" t="inlineStr">
        <is>
          <t>COLOR KEY: yellow = input/assumption (auditable, changeable); green = formula; red = flag/unresolved boundary.</t>
        </is>
      </c>
    </row>
    <row r="27">
      <c r="A27" s="3" t="inlineStr">
        <is>
          <t>KEY UNRESOLVED BOUNDARIES (see Recommendation sheet): (1) takeoff length 178.2 ft vs stated movable length 162.0 ft;</t>
        </is>
      </c>
    </row>
    <row r="28">
      <c r="A28" s="3" t="inlineStr">
        <is>
          <t>(2) bid joint scope 1,260 LF vs two-hinge geometry 71.8 LF vs 48-segment joint network 1,255.3 LF;</t>
        </is>
      </c>
    </row>
    <row r="29">
      <c r="A29" s="3" t="inlineStr">
        <is>
          <t>(3) corrosion extent: mapped 170 SF vs technician 780 SF vs bid 820 SF; (4) FRP qualification and 22-yr life are submitted, unverified;</t>
        </is>
      </c>
    </row>
    <row r="30">
      <c r="A30" s="3" t="inlineStr">
        <is>
          <t>(5) 6-hr night closure is contradicted by operations evidence; (6) coating adhesion test contradicted.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4" customWidth="1" min="3" max="3"/>
    <col width="12" customWidth="1" min="4" max="4"/>
    <col width="90" customWidth="1" min="5" max="5"/>
  </cols>
  <sheetData>
    <row r="1">
      <c r="A1" s="1" t="inlineStr">
        <is>
          <t>Global Parameters &amp; Assumptions</t>
        </is>
      </c>
    </row>
    <row r="2">
      <c r="A2" s="2" t="inlineStr">
        <is>
          <t>Yellow cells are the only manual inputs; all downstream sheets reference this page.</t>
        </is>
      </c>
    </row>
    <row r="4">
      <c r="A4" s="4" t="inlineStr">
        <is>
          <t>Ref</t>
        </is>
      </c>
      <c r="B4" s="4" t="inlineStr">
        <is>
          <t>Parameter</t>
        </is>
      </c>
      <c r="C4" s="4" t="inlineStr">
        <is>
          <t>Value</t>
        </is>
      </c>
      <c r="D4" s="4" t="inlineStr">
        <is>
          <t>Unit</t>
        </is>
      </c>
      <c r="E4" s="4" t="inlineStr">
        <is>
          <t>Basis / locator</t>
        </is>
      </c>
    </row>
    <row r="5" ht="30" customHeight="1">
      <c r="A5" s="5" t="inlineStr">
        <is>
          <t>P01</t>
        </is>
      </c>
      <c r="B5" s="5" t="inlineStr">
        <is>
          <t>Real discount rate for lifecycle PW</t>
        </is>
      </c>
      <c r="C5" s="6" t="n">
        <v>0.03</v>
      </c>
      <c r="D5" s="5" t="inlineStr">
        <is>
          <t>per yr</t>
        </is>
      </c>
      <c r="E5" s="7" t="inlineStr">
        <is>
          <t>Assumption (no agency rate supplied); sensitivity 2%–4% on Lifecycle sheet</t>
        </is>
      </c>
    </row>
    <row r="6" ht="30" customHeight="1">
      <c r="A6" s="5" t="inlineStr">
        <is>
          <t>P02</t>
        </is>
      </c>
      <c r="B6" s="5" t="inlineStr">
        <is>
          <t>Escalation rate, estimate date to construction midpoint</t>
        </is>
      </c>
      <c r="C6" s="6" t="n">
        <v>0.0218</v>
      </c>
      <c r="D6" s="5" t="inlineStr">
        <is>
          <t>per yr</t>
        </is>
      </c>
      <c r="E6" s="7" t="inlineStr">
        <is>
          <t>FRED PPI ready-mix PCU327320327320: 2025-07=393.322 to 2026-07=401.896 = +2.18%/yr (fred_ppi_ready_mix_concrete.csv rows 2025-07/2026-07); latest available observation 2026-07; proxy only — steel/fabrication index not supplied</t>
        </is>
      </c>
    </row>
    <row r="7" ht="30" customHeight="1">
      <c r="A7" s="5" t="inlineStr">
        <is>
          <t>P03</t>
        </is>
      </c>
      <c r="B7" s="5" t="inlineStr">
        <is>
          <t>Years from estimate date (2027-02-15 base / 2027-04-01 VE) to construction midpoint (~2027-12)</t>
        </is>
      </c>
      <c r="C7" s="6" t="n">
        <v>0.85</v>
      </c>
      <c r="D7" s="5" t="inlineStr">
        <is>
          <t>yr</t>
        </is>
      </c>
      <c r="E7" s="7" t="inlineStr">
        <is>
          <t>Memo §4: construction Oct 2027–Feb 2028; midpoint 2027-12</t>
        </is>
      </c>
    </row>
    <row r="8" ht="30" customHeight="1">
      <c r="A8" s="5" t="inlineStr">
        <is>
          <t>P04</t>
        </is>
      </c>
      <c r="B8" s="5" t="inlineStr">
        <is>
          <t>Change-order contingency (design-bid-build)</t>
        </is>
      </c>
      <c r="C8" s="6" t="n">
        <v>0.04</v>
      </c>
      <c r="D8" s="5" t="inlineStr">
        <is>
          <t>fraction</t>
        </is>
      </c>
      <c r="E8" s="7" t="inlineStr">
        <is>
          <t>WSDOT Cost Estimating Manual M 30-34.04 §14.19 (PDF p.86): DBB COC = 4%</t>
        </is>
      </c>
    </row>
    <row r="9" ht="30" customHeight="1">
      <c r="A9" s="5" t="inlineStr">
        <is>
          <t>P05</t>
        </is>
      </c>
      <c r="B9" s="5" t="inlineStr">
        <is>
          <t>Design/scope allowance on evidence-open quantities</t>
        </is>
      </c>
      <c r="C9" s="6" t="n">
        <v>0.1</v>
      </c>
      <c r="D9" s="5" t="inlineStr">
        <is>
          <t>fraction</t>
        </is>
      </c>
      <c r="E9" s="7" t="inlineStr">
        <is>
          <t>BDM 12.3.3.A.2 (PDF p.15): minimum 10% contingency to cover scope creep; CEM Exhibit 7-3 (PDF p.39): design phase misc allowance 10–20%</t>
        </is>
      </c>
    </row>
    <row r="10" ht="30" customHeight="1">
      <c r="A10" s="5" t="inlineStr">
        <is>
          <t>P06</t>
        </is>
      </c>
      <c r="B10" s="5" t="inlineStr">
        <is>
          <t>Overlay/FRP VE claimed service life</t>
        </is>
      </c>
      <c r="C10" s="6" t="n">
        <v>22</v>
      </c>
      <c r="D10" s="5" t="inlineStr">
        <is>
          <t>yr</t>
        </is>
      </c>
      <c r="E10" s="7" t="inlineStr">
        <is>
          <t>ferry_ramp_dimensions_and_technician_quantities.csv row "Lifecycle, Overlay/FRP VE, Claimed life, 22, years, submitted; verify" — SUBMITTED, UNVERIFIED</t>
        </is>
      </c>
    </row>
    <row r="11" ht="30" customHeight="1">
      <c r="A11" s="5" t="inlineStr">
        <is>
          <t>P07</t>
        </is>
      </c>
      <c r="B11" s="5" t="inlineStr">
        <is>
          <t>Base replacement analysis life</t>
        </is>
      </c>
      <c r="C11" s="6" t="n">
        <v>40</v>
      </c>
      <c r="D11" s="5" t="inlineStr">
        <is>
          <t>yr</t>
        </is>
      </c>
      <c r="E11" s="7" t="inlineStr">
        <is>
          <t>Same file, row "Lifecycle, Base replacement, Analysis life, 40, years, planning assumption"</t>
        </is>
      </c>
    </row>
    <row r="12" ht="30" customHeight="1">
      <c r="A12" s="5" t="inlineStr">
        <is>
          <t>P08</t>
        </is>
      </c>
      <c r="B12" s="5" t="inlineStr">
        <is>
          <t>VE renewal cost as fraction of initial VE independent estimate</t>
        </is>
      </c>
      <c r="C12" s="6" t="n">
        <v>1</v>
      </c>
      <c r="D12" s="5" t="inlineStr">
        <is>
          <t>fraction</t>
        </is>
      </c>
      <c r="E12" s="7" t="inlineStr">
        <is>
          <t>Assumption: full repeat of VE scope at renewal (conservative); sensitivity on Lifecycle sheet</t>
        </is>
      </c>
    </row>
    <row r="13" ht="30" customHeight="1">
      <c r="A13" s="5" t="inlineStr">
        <is>
          <t>P09</t>
        </is>
      </c>
      <c r="B13" s="5" t="inlineStr">
        <is>
          <t>Night closure maximum (submitted, contradicted)</t>
        </is>
      </c>
      <c r="C13" s="6" t="n">
        <v>6</v>
      </c>
      <c r="D13" s="5" t="inlineStr">
        <is>
          <t>hr/night</t>
        </is>
      </c>
      <c r="E13" s="7" t="inlineStr">
        <is>
          <t>ferry_engineering_evidence_ledger.csv FEE-007/015/023 tidal closure 6 h, evidence_state=contradicted; dimensions file "Night closure, Maximum duration, 6, hours, requires operations approval"</t>
        </is>
      </c>
    </row>
    <row r="14" ht="30" customHeight="1">
      <c r="A14" s="5" t="inlineStr">
        <is>
          <t>P10</t>
        </is>
      </c>
      <c r="B14" s="5" t="inlineStr">
        <is>
          <t>Corrosion risk allowance upper basis</t>
        </is>
      </c>
      <c r="C14" s="6" t="n">
        <v>780</v>
      </c>
      <c r="D14" s="5" t="inlineStr">
        <is>
          <t>SF</t>
        </is>
      </c>
      <c r="E14" s="7" t="inlineStr">
        <is>
          <t>Technician estimate, dimensions file row "Corrosion, Mapped repair, Technician estimate, 780, SF, unverified submitted quantity" — carried as risk allowance only, NOT payable quantity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9" customWidth="1" min="4" max="4"/>
    <col width="12" customWidth="1" min="5" max="5"/>
    <col width="14" customWidth="1" min="6" max="6"/>
    <col width="13" customWidth="1" min="7" max="7"/>
    <col width="13" customWidth="1" min="8" max="8"/>
    <col width="12" customWidth="1" min="9" max="9"/>
    <col width="12" customWidth="1" min="10" max="10"/>
    <col width="10" customWidth="1" min="11" max="11"/>
    <col width="11" customWidth="1" min="12" max="12"/>
    <col width="13" customWidth="1" min="13" max="13"/>
    <col width="16" customWidth="1" min="14" max="14"/>
    <col width="13" customWidth="1" min="15" max="15"/>
  </cols>
  <sheetData>
    <row r="1">
      <c r="A1" s="1" t="inlineStr">
        <is>
          <t>Segment Takeoff — Independent Recomputation</t>
        </is>
      </c>
    </row>
    <row r="2">
      <c r="A2" s="2" t="inlineStr">
        <is>
          <t>Source rows: ramp_segment_takeoff.csv RMP-001…RMP-048 (verbatim geometry); computed columns are formulas. Payable rounding per FMR-001/002/004/006.</t>
        </is>
      </c>
    </row>
    <row r="4">
      <c r="A4" s="4" t="inlineStr">
        <is>
          <t>Segment</t>
        </is>
      </c>
      <c r="B4" s="4" t="inlineStr">
        <is>
          <t>Length (ft)</t>
        </is>
      </c>
      <c r="C4" s="4" t="inlineStr">
        <is>
          <t>Clear width (ft)</t>
        </is>
      </c>
      <c r="D4" s="4" t="inlineStr">
        <is>
          <t>Skew (deg)</t>
        </is>
      </c>
      <c r="E4" s="4" t="inlineStr">
        <is>
          <t>Plan area = L×W (SF)</t>
        </is>
      </c>
      <c r="F4" s="4" t="inlineStr">
        <is>
          <t>Skew joint length = W/cos(skew) (LF)</t>
        </is>
      </c>
      <c r="G4" s="4" t="inlineStr">
        <is>
          <t>Payable removal (SF, 0.1) FMR-001</t>
        </is>
      </c>
      <c r="H4" s="4" t="inlineStr">
        <is>
          <t>Payable new panel (SF, whole) FMR-002</t>
        </is>
      </c>
      <c r="I4" s="4" t="inlineStr">
        <is>
          <t>Payable joint (LF, 0.1) FMR-004</t>
        </is>
      </c>
      <c r="J4" s="4" t="inlineStr">
        <is>
          <t>Submitted panel area (SF)</t>
        </is>
      </c>
      <c r="K4" s="4" t="inlineStr">
        <is>
          <t>Submitted joint (LF)</t>
        </is>
      </c>
      <c r="L4" s="4" t="inlineStr">
        <is>
          <t>Submitted corrosion (SF)</t>
        </is>
      </c>
      <c r="M4" s="4" t="inlineStr">
        <is>
          <t>Payable corrosion (SF, whole) FMR-006</t>
        </is>
      </c>
      <c r="N4" s="4" t="inlineStr">
        <is>
          <t>Inspection record status</t>
        </is>
      </c>
      <c r="O4" s="4" t="inlineStr">
        <is>
          <t>Variance: submitted − plan area (SF)</t>
        </is>
      </c>
    </row>
    <row r="5">
      <c r="A5" s="5" t="inlineStr">
        <is>
          <t>RMP-001</t>
        </is>
      </c>
      <c r="B5" s="6" t="n">
        <v>2.7</v>
      </c>
      <c r="C5" s="6" t="n">
        <v>19.44</v>
      </c>
      <c r="D5" s="6" t="n">
        <v>18</v>
      </c>
      <c r="E5" s="8">
        <f>B5*C5</f>
        <v/>
      </c>
      <c r="F5" s="8">
        <f>C5/COS(RADIANS(D5))</f>
        <v/>
      </c>
      <c r="G5" s="9">
        <f>ROUND(E5,1)</f>
        <v/>
      </c>
      <c r="H5" s="10">
        <f>ROUND(E5,0)</f>
        <v/>
      </c>
      <c r="I5" s="9">
        <f>ROUND(F5,1)</f>
        <v/>
      </c>
      <c r="J5" s="11" t="n">
        <v>56.16</v>
      </c>
      <c r="K5" s="6" t="n">
        <v>19.44</v>
      </c>
      <c r="L5" s="6" t="n">
        <v>1.31</v>
      </c>
      <c r="M5" s="10">
        <f>ROUND(L5,0)</f>
        <v/>
      </c>
      <c r="N5" s="6" t="inlineStr">
        <is>
          <t>verified</t>
        </is>
      </c>
      <c r="O5" s="8">
        <f>J5-E5</f>
        <v/>
      </c>
    </row>
    <row r="6">
      <c r="A6" s="5" t="inlineStr">
        <is>
          <t>RMP-002</t>
        </is>
      </c>
      <c r="B6" s="6" t="n">
        <v>3.375</v>
      </c>
      <c r="C6" s="6" t="n">
        <v>20.574</v>
      </c>
      <c r="D6" s="6" t="n">
        <v>27</v>
      </c>
      <c r="E6" s="8">
        <f>B6*C6</f>
        <v/>
      </c>
      <c r="F6" s="8">
        <f>C6/COS(RADIANS(D6))</f>
        <v/>
      </c>
      <c r="G6" s="9">
        <f>ROUND(E6,1)</f>
        <v/>
      </c>
      <c r="H6" s="10">
        <f>ROUND(E6,0)</f>
        <v/>
      </c>
      <c r="I6" s="9">
        <f>ROUND(F6,1)</f>
        <v/>
      </c>
      <c r="J6" s="11" t="n">
        <v>66.66</v>
      </c>
      <c r="K6" s="6" t="n">
        <v>20.574</v>
      </c>
      <c r="L6" s="6" t="n">
        <v>2.36</v>
      </c>
      <c r="M6" s="10">
        <f>ROUND(L6,0)</f>
        <v/>
      </c>
      <c r="N6" s="12" t="inlineStr">
        <is>
          <t>submitted</t>
        </is>
      </c>
      <c r="O6" s="8">
        <f>J6-E6</f>
        <v/>
      </c>
    </row>
    <row r="7">
      <c r="A7" s="5" t="inlineStr">
        <is>
          <t>RMP-003</t>
        </is>
      </c>
      <c r="B7" s="6" t="n">
        <v>4.05</v>
      </c>
      <c r="C7" s="6" t="n">
        <v>21.708</v>
      </c>
      <c r="D7" s="6" t="n">
        <v>33</v>
      </c>
      <c r="E7" s="8">
        <f>B7*C7</f>
        <v/>
      </c>
      <c r="F7" s="8">
        <f>C7/COS(RADIANS(D7))</f>
        <v/>
      </c>
      <c r="G7" s="9">
        <f>ROUND(E7,1)</f>
        <v/>
      </c>
      <c r="H7" s="10">
        <f>ROUND(E7,0)</f>
        <v/>
      </c>
      <c r="I7" s="9">
        <f>ROUND(F7,1)</f>
        <v/>
      </c>
      <c r="J7" s="11" t="n">
        <v>84.40000000000001</v>
      </c>
      <c r="K7" s="6" t="n">
        <v>21.708</v>
      </c>
      <c r="L7" s="6" t="n">
        <v>3.78</v>
      </c>
      <c r="M7" s="10">
        <f>ROUND(L7,0)</f>
        <v/>
      </c>
      <c r="N7" s="12" t="inlineStr">
        <is>
          <t>field-check-required</t>
        </is>
      </c>
      <c r="O7" s="8">
        <f>J7-E7</f>
        <v/>
      </c>
    </row>
    <row r="8">
      <c r="A8" s="5" t="inlineStr">
        <is>
          <t>RMP-004</t>
        </is>
      </c>
      <c r="B8" s="6" t="n">
        <v>4.725</v>
      </c>
      <c r="C8" s="6" t="n">
        <v>22.842</v>
      </c>
      <c r="D8" s="6" t="n">
        <v>41</v>
      </c>
      <c r="E8" s="8">
        <f>B8*C8</f>
        <v/>
      </c>
      <c r="F8" s="8">
        <f>C8/COS(RADIANS(D8))</f>
        <v/>
      </c>
      <c r="G8" s="9">
        <f>ROUND(E8,1)</f>
        <v/>
      </c>
      <c r="H8" s="10">
        <f>ROUND(E8,0)</f>
        <v/>
      </c>
      <c r="I8" s="9">
        <f>ROUND(F8,1)</f>
        <v/>
      </c>
      <c r="J8" s="11" t="n">
        <v>103.61</v>
      </c>
      <c r="K8" s="6" t="n">
        <v>22.842</v>
      </c>
      <c r="L8" s="6" t="n">
        <v>5.61</v>
      </c>
      <c r="M8" s="10">
        <f>ROUND(L8,0)</f>
        <v/>
      </c>
      <c r="N8" s="6" t="inlineStr">
        <is>
          <t>verified</t>
        </is>
      </c>
      <c r="O8" s="8">
        <f>J8-E8</f>
        <v/>
      </c>
    </row>
    <row r="9">
      <c r="A9" s="5" t="inlineStr">
        <is>
          <t>RMP-005</t>
        </is>
      </c>
      <c r="B9" s="6" t="n">
        <v>2.7</v>
      </c>
      <c r="C9" s="6" t="n">
        <v>23.976</v>
      </c>
      <c r="D9" s="6" t="n">
        <v>18</v>
      </c>
      <c r="E9" s="8">
        <f>B9*C9</f>
        <v/>
      </c>
      <c r="F9" s="8">
        <f>C9/COS(RADIANS(D9))</f>
        <v/>
      </c>
      <c r="G9" s="9">
        <f>ROUND(E9,1)</f>
        <v/>
      </c>
      <c r="H9" s="10">
        <f>ROUND(E9,0)</f>
        <v/>
      </c>
      <c r="I9" s="9">
        <f>ROUND(F9,1)</f>
        <v/>
      </c>
      <c r="J9" s="11" t="n">
        <v>62.15</v>
      </c>
      <c r="K9" s="6" t="n">
        <v>23.976</v>
      </c>
      <c r="L9" s="6" t="n">
        <v>3.95</v>
      </c>
      <c r="M9" s="10">
        <f>ROUND(L9,0)</f>
        <v/>
      </c>
      <c r="N9" s="12" t="inlineStr">
        <is>
          <t>submitted</t>
        </is>
      </c>
      <c r="O9" s="8">
        <f>J9-E9</f>
        <v/>
      </c>
    </row>
    <row r="10">
      <c r="A10" s="5" t="inlineStr">
        <is>
          <t>RMP-006</t>
        </is>
      </c>
      <c r="B10" s="6" t="n">
        <v>3.375</v>
      </c>
      <c r="C10" s="6" t="n">
        <v>25.11</v>
      </c>
      <c r="D10" s="6" t="n">
        <v>27</v>
      </c>
      <c r="E10" s="8">
        <f>B10*C10</f>
        <v/>
      </c>
      <c r="F10" s="8">
        <f>C10/COS(RADIANS(D10))</f>
        <v/>
      </c>
      <c r="G10" s="9">
        <f>ROUND(E10,1)</f>
        <v/>
      </c>
      <c r="H10" s="10">
        <f>ROUND(E10,0)</f>
        <v/>
      </c>
      <c r="I10" s="9">
        <f>ROUND(F10,1)</f>
        <v/>
      </c>
      <c r="J10" s="11" t="n">
        <v>81.36</v>
      </c>
      <c r="K10" s="6" t="n">
        <v>25.11</v>
      </c>
      <c r="L10" s="6" t="n">
        <v>2.12</v>
      </c>
      <c r="M10" s="10">
        <f>ROUND(L10,0)</f>
        <v/>
      </c>
      <c r="N10" s="12" t="inlineStr">
        <is>
          <t>field-check-required</t>
        </is>
      </c>
      <c r="O10" s="8">
        <f>J10-E10</f>
        <v/>
      </c>
    </row>
    <row r="11">
      <c r="A11" s="5" t="inlineStr">
        <is>
          <t>RMP-007</t>
        </is>
      </c>
      <c r="B11" s="6" t="n">
        <v>4.05</v>
      </c>
      <c r="C11" s="6" t="n">
        <v>19.44</v>
      </c>
      <c r="D11" s="6" t="n">
        <v>33</v>
      </c>
      <c r="E11" s="8">
        <f>B11*C11</f>
        <v/>
      </c>
      <c r="F11" s="8">
        <f>C11/COS(RADIANS(D11))</f>
        <v/>
      </c>
      <c r="G11" s="9">
        <f>ROUND(E11,1)</f>
        <v/>
      </c>
      <c r="H11" s="10">
        <f>ROUND(E11,0)</f>
        <v/>
      </c>
      <c r="I11" s="9">
        <f>ROUND(F11,1)</f>
        <v/>
      </c>
      <c r="J11" s="11" t="n">
        <v>84.23999999999999</v>
      </c>
      <c r="K11" s="6" t="n">
        <v>19.44</v>
      </c>
      <c r="L11" s="6" t="n">
        <v>2.68</v>
      </c>
      <c r="M11" s="10">
        <f>ROUND(L11,0)</f>
        <v/>
      </c>
      <c r="N11" s="6" t="inlineStr">
        <is>
          <t>verified</t>
        </is>
      </c>
      <c r="O11" s="8">
        <f>J11-E11</f>
        <v/>
      </c>
    </row>
    <row r="12">
      <c r="A12" s="5" t="inlineStr">
        <is>
          <t>RMP-008</t>
        </is>
      </c>
      <c r="B12" s="6" t="n">
        <v>4.725</v>
      </c>
      <c r="C12" s="6" t="n">
        <v>20.574</v>
      </c>
      <c r="D12" s="6" t="n">
        <v>41</v>
      </c>
      <c r="E12" s="8">
        <f>B12*C12</f>
        <v/>
      </c>
      <c r="F12" s="8">
        <f>C12/COS(RADIANS(D12))</f>
        <v/>
      </c>
      <c r="G12" s="9">
        <f>ROUND(E12,1)</f>
        <v/>
      </c>
      <c r="H12" s="10">
        <f>ROUND(E12,0)</f>
        <v/>
      </c>
      <c r="I12" s="9">
        <f>ROUND(F12,1)</f>
        <v/>
      </c>
      <c r="J12" s="11" t="n">
        <v>93.31999999999999</v>
      </c>
      <c r="K12" s="6" t="n">
        <v>20.574</v>
      </c>
      <c r="L12" s="6" t="n">
        <v>4.18</v>
      </c>
      <c r="M12" s="10">
        <f>ROUND(L12,0)</f>
        <v/>
      </c>
      <c r="N12" s="12" t="inlineStr">
        <is>
          <t>submitted</t>
        </is>
      </c>
      <c r="O12" s="8">
        <f>J12-E12</f>
        <v/>
      </c>
    </row>
    <row r="13">
      <c r="A13" s="5" t="inlineStr">
        <is>
          <t>RMP-009</t>
        </is>
      </c>
      <c r="B13" s="6" t="n">
        <v>2.7</v>
      </c>
      <c r="C13" s="6" t="n">
        <v>21.708</v>
      </c>
      <c r="D13" s="6" t="n">
        <v>18</v>
      </c>
      <c r="E13" s="8">
        <f>B13*C13</f>
        <v/>
      </c>
      <c r="F13" s="8">
        <f>C13/COS(RADIANS(D13))</f>
        <v/>
      </c>
      <c r="G13" s="9">
        <f>ROUND(E13,1)</f>
        <v/>
      </c>
      <c r="H13" s="10">
        <f>ROUND(E13,0)</f>
        <v/>
      </c>
      <c r="I13" s="9">
        <f>ROUND(F13,1)</f>
        <v/>
      </c>
      <c r="J13" s="11" t="n">
        <v>56.27</v>
      </c>
      <c r="K13" s="6" t="n">
        <v>21.708</v>
      </c>
      <c r="L13" s="6" t="n">
        <v>3.05</v>
      </c>
      <c r="M13" s="10">
        <f>ROUND(L13,0)</f>
        <v/>
      </c>
      <c r="N13" s="12" t="inlineStr">
        <is>
          <t>field-check-required</t>
        </is>
      </c>
      <c r="O13" s="8">
        <f>J13-E13</f>
        <v/>
      </c>
    </row>
    <row r="14">
      <c r="A14" s="5" t="inlineStr">
        <is>
          <t>RMP-010</t>
        </is>
      </c>
      <c r="B14" s="6" t="n">
        <v>3.375</v>
      </c>
      <c r="C14" s="6" t="n">
        <v>22.842</v>
      </c>
      <c r="D14" s="6" t="n">
        <v>27</v>
      </c>
      <c r="E14" s="8">
        <f>B14*C14</f>
        <v/>
      </c>
      <c r="F14" s="8">
        <f>C14/COS(RADIANS(D14))</f>
        <v/>
      </c>
      <c r="G14" s="9">
        <f>ROUND(E14,1)</f>
        <v/>
      </c>
      <c r="H14" s="10">
        <f>ROUND(E14,0)</f>
        <v/>
      </c>
      <c r="I14" s="9">
        <f>ROUND(F14,1)</f>
        <v/>
      </c>
      <c r="J14" s="11" t="n">
        <v>74.01000000000001</v>
      </c>
      <c r="K14" s="6" t="n">
        <v>22.842</v>
      </c>
      <c r="L14" s="6" t="n">
        <v>4.7</v>
      </c>
      <c r="M14" s="10">
        <f>ROUND(L14,0)</f>
        <v/>
      </c>
      <c r="N14" s="6" t="inlineStr">
        <is>
          <t>verified</t>
        </is>
      </c>
      <c r="O14" s="8">
        <f>J14-E14</f>
        <v/>
      </c>
    </row>
    <row r="15">
      <c r="A15" s="5" t="inlineStr">
        <is>
          <t>RMP-011</t>
        </is>
      </c>
      <c r="B15" s="6" t="n">
        <v>4.05</v>
      </c>
      <c r="C15" s="6" t="n">
        <v>23.976</v>
      </c>
      <c r="D15" s="6" t="n">
        <v>33</v>
      </c>
      <c r="E15" s="8">
        <f>B15*C15</f>
        <v/>
      </c>
      <c r="F15" s="8">
        <f>C15/COS(RADIANS(D15))</f>
        <v/>
      </c>
      <c r="G15" s="9">
        <f>ROUND(E15,1)</f>
        <v/>
      </c>
      <c r="H15" s="10">
        <f>ROUND(E15,0)</f>
        <v/>
      </c>
      <c r="I15" s="9">
        <f>ROUND(F15,1)</f>
        <v/>
      </c>
      <c r="J15" s="11" t="n">
        <v>93.22</v>
      </c>
      <c r="K15" s="6" t="n">
        <v>23.976</v>
      </c>
      <c r="L15" s="6" t="n">
        <v>2.43</v>
      </c>
      <c r="M15" s="10">
        <f>ROUND(L15,0)</f>
        <v/>
      </c>
      <c r="N15" s="12" t="inlineStr">
        <is>
          <t>submitted</t>
        </is>
      </c>
      <c r="O15" s="8">
        <f>J15-E15</f>
        <v/>
      </c>
    </row>
    <row r="16">
      <c r="A16" s="5" t="inlineStr">
        <is>
          <t>RMP-012</t>
        </is>
      </c>
      <c r="B16" s="6" t="n">
        <v>4.725</v>
      </c>
      <c r="C16" s="6" t="n">
        <v>25.11</v>
      </c>
      <c r="D16" s="6" t="n">
        <v>41</v>
      </c>
      <c r="E16" s="8">
        <f>B16*C16</f>
        <v/>
      </c>
      <c r="F16" s="8">
        <f>C16/COS(RADIANS(D16))</f>
        <v/>
      </c>
      <c r="G16" s="9">
        <f>ROUND(E16,1)</f>
        <v/>
      </c>
      <c r="H16" s="10">
        <f>ROUND(E16,0)</f>
        <v/>
      </c>
      <c r="I16" s="9">
        <f>ROUND(F16,1)</f>
        <v/>
      </c>
      <c r="J16" s="11" t="n">
        <v>113.9</v>
      </c>
      <c r="K16" s="6" t="n">
        <v>25.11</v>
      </c>
      <c r="L16" s="6" t="n">
        <v>4.03</v>
      </c>
      <c r="M16" s="10">
        <f>ROUND(L16,0)</f>
        <v/>
      </c>
      <c r="N16" s="12" t="inlineStr">
        <is>
          <t>field-check-required</t>
        </is>
      </c>
      <c r="O16" s="8">
        <f>J16-E16</f>
        <v/>
      </c>
    </row>
    <row r="17">
      <c r="A17" s="5" t="inlineStr">
        <is>
          <t>RMP-013</t>
        </is>
      </c>
      <c r="B17" s="6" t="n">
        <v>2.7</v>
      </c>
      <c r="C17" s="6" t="n">
        <v>19.44</v>
      </c>
      <c r="D17" s="6" t="n">
        <v>18</v>
      </c>
      <c r="E17" s="8">
        <f>B17*C17</f>
        <v/>
      </c>
      <c r="F17" s="8">
        <f>C17/COS(RADIANS(D17))</f>
        <v/>
      </c>
      <c r="G17" s="9">
        <f>ROUND(E17,1)</f>
        <v/>
      </c>
      <c r="H17" s="10">
        <f>ROUND(E17,0)</f>
        <v/>
      </c>
      <c r="I17" s="9">
        <f>ROUND(F17,1)</f>
        <v/>
      </c>
      <c r="J17" s="11" t="n">
        <v>56.16</v>
      </c>
      <c r="K17" s="6" t="n">
        <v>19.44</v>
      </c>
      <c r="L17" s="6" t="n">
        <v>2.26</v>
      </c>
      <c r="M17" s="10">
        <f>ROUND(L17,0)</f>
        <v/>
      </c>
      <c r="N17" s="6" t="inlineStr">
        <is>
          <t>verified</t>
        </is>
      </c>
      <c r="O17" s="8">
        <f>J17-E17</f>
        <v/>
      </c>
    </row>
    <row r="18">
      <c r="A18" s="5" t="inlineStr">
        <is>
          <t>RMP-014</t>
        </is>
      </c>
      <c r="B18" s="6" t="n">
        <v>3.375</v>
      </c>
      <c r="C18" s="6" t="n">
        <v>20.574</v>
      </c>
      <c r="D18" s="6" t="n">
        <v>27</v>
      </c>
      <c r="E18" s="8">
        <f>B18*C18</f>
        <v/>
      </c>
      <c r="F18" s="8">
        <f>C18/COS(RADIANS(D18))</f>
        <v/>
      </c>
      <c r="G18" s="9">
        <f>ROUND(E18,1)</f>
        <v/>
      </c>
      <c r="H18" s="10">
        <f>ROUND(E18,0)</f>
        <v/>
      </c>
      <c r="I18" s="9">
        <f>ROUND(F18,1)</f>
        <v/>
      </c>
      <c r="J18" s="11" t="n">
        <v>66.66</v>
      </c>
      <c r="K18" s="6" t="n">
        <v>20.574</v>
      </c>
      <c r="L18" s="6" t="n">
        <v>3.61</v>
      </c>
      <c r="M18" s="10">
        <f>ROUND(L18,0)</f>
        <v/>
      </c>
      <c r="N18" s="12" t="inlineStr">
        <is>
          <t>submitted</t>
        </is>
      </c>
      <c r="O18" s="8">
        <f>J18-E18</f>
        <v/>
      </c>
    </row>
    <row r="19">
      <c r="A19" s="5" t="inlineStr">
        <is>
          <t>RMP-015</t>
        </is>
      </c>
      <c r="B19" s="6" t="n">
        <v>4.05</v>
      </c>
      <c r="C19" s="6" t="n">
        <v>21.708</v>
      </c>
      <c r="D19" s="6" t="n">
        <v>33</v>
      </c>
      <c r="E19" s="8">
        <f>B19*C19</f>
        <v/>
      </c>
      <c r="F19" s="8">
        <f>C19/COS(RADIANS(D19))</f>
        <v/>
      </c>
      <c r="G19" s="9">
        <f>ROUND(E19,1)</f>
        <v/>
      </c>
      <c r="H19" s="10">
        <f>ROUND(E19,0)</f>
        <v/>
      </c>
      <c r="I19" s="9">
        <f>ROUND(F19,1)</f>
        <v/>
      </c>
      <c r="J19" s="11" t="n">
        <v>84.40000000000001</v>
      </c>
      <c r="K19" s="6" t="n">
        <v>21.708</v>
      </c>
      <c r="L19" s="6" t="n">
        <v>5.36</v>
      </c>
      <c r="M19" s="10">
        <f>ROUND(L19,0)</f>
        <v/>
      </c>
      <c r="N19" s="12" t="inlineStr">
        <is>
          <t>field-check-required</t>
        </is>
      </c>
      <c r="O19" s="8">
        <f>J19-E19</f>
        <v/>
      </c>
    </row>
    <row r="20">
      <c r="A20" s="5" t="inlineStr">
        <is>
          <t>RMP-016</t>
        </is>
      </c>
      <c r="B20" s="6" t="n">
        <v>4.725</v>
      </c>
      <c r="C20" s="6" t="n">
        <v>22.842</v>
      </c>
      <c r="D20" s="6" t="n">
        <v>41</v>
      </c>
      <c r="E20" s="8">
        <f>B20*C20</f>
        <v/>
      </c>
      <c r="F20" s="8">
        <f>C20/COS(RADIANS(D20))</f>
        <v/>
      </c>
      <c r="G20" s="9">
        <f>ROUND(E20,1)</f>
        <v/>
      </c>
      <c r="H20" s="10">
        <f>ROUND(E20,0)</f>
        <v/>
      </c>
      <c r="I20" s="9">
        <f>ROUND(F20,1)</f>
        <v/>
      </c>
      <c r="J20" s="11" t="n">
        <v>103.61</v>
      </c>
      <c r="K20" s="6" t="n">
        <v>22.842</v>
      </c>
      <c r="L20" s="6" t="n">
        <v>2.7</v>
      </c>
      <c r="M20" s="10">
        <f>ROUND(L20,0)</f>
        <v/>
      </c>
      <c r="N20" s="6" t="inlineStr">
        <is>
          <t>verified</t>
        </is>
      </c>
      <c r="O20" s="8">
        <f>J20-E20</f>
        <v/>
      </c>
    </row>
    <row r="21">
      <c r="A21" s="5" t="inlineStr">
        <is>
          <t>RMP-017</t>
        </is>
      </c>
      <c r="B21" s="6" t="n">
        <v>2.7</v>
      </c>
      <c r="C21" s="6" t="n">
        <v>23.976</v>
      </c>
      <c r="D21" s="6" t="n">
        <v>18</v>
      </c>
      <c r="E21" s="8">
        <f>B21*C21</f>
        <v/>
      </c>
      <c r="F21" s="8">
        <f>C21/COS(RADIANS(D21))</f>
        <v/>
      </c>
      <c r="G21" s="9">
        <f>ROUND(E21,1)</f>
        <v/>
      </c>
      <c r="H21" s="10">
        <f>ROUND(E21,0)</f>
        <v/>
      </c>
      <c r="I21" s="9">
        <f>ROUND(F21,1)</f>
        <v/>
      </c>
      <c r="J21" s="11" t="n">
        <v>62.15</v>
      </c>
      <c r="K21" s="6" t="n">
        <v>23.976</v>
      </c>
      <c r="L21" s="6" t="n">
        <v>2.2</v>
      </c>
      <c r="M21" s="10">
        <f>ROUND(L21,0)</f>
        <v/>
      </c>
      <c r="N21" s="12" t="inlineStr">
        <is>
          <t>submitted</t>
        </is>
      </c>
      <c r="O21" s="8">
        <f>J21-E21</f>
        <v/>
      </c>
    </row>
    <row r="22">
      <c r="A22" s="5" t="inlineStr">
        <is>
          <t>RMP-018</t>
        </is>
      </c>
      <c r="B22" s="6" t="n">
        <v>3.375</v>
      </c>
      <c r="C22" s="6" t="n">
        <v>25.11</v>
      </c>
      <c r="D22" s="6" t="n">
        <v>27</v>
      </c>
      <c r="E22" s="8">
        <f>B22*C22</f>
        <v/>
      </c>
      <c r="F22" s="8">
        <f>C22/COS(RADIANS(D22))</f>
        <v/>
      </c>
      <c r="G22" s="9">
        <f>ROUND(E22,1)</f>
        <v/>
      </c>
      <c r="H22" s="10">
        <f>ROUND(E22,0)</f>
        <v/>
      </c>
      <c r="I22" s="9">
        <f>ROUND(F22,1)</f>
        <v/>
      </c>
      <c r="J22" s="11" t="n">
        <v>81.36</v>
      </c>
      <c r="K22" s="6" t="n">
        <v>25.11</v>
      </c>
      <c r="L22" s="6" t="n">
        <v>3.64</v>
      </c>
      <c r="M22" s="10">
        <f>ROUND(L22,0)</f>
        <v/>
      </c>
      <c r="N22" s="12" t="inlineStr">
        <is>
          <t>field-check-required</t>
        </is>
      </c>
      <c r="O22" s="8">
        <f>J22-E22</f>
        <v/>
      </c>
    </row>
    <row r="23">
      <c r="A23" s="5" t="inlineStr">
        <is>
          <t>RMP-019</t>
        </is>
      </c>
      <c r="B23" s="6" t="n">
        <v>4.05</v>
      </c>
      <c r="C23" s="6" t="n">
        <v>19.44</v>
      </c>
      <c r="D23" s="6" t="n">
        <v>33</v>
      </c>
      <c r="E23" s="8">
        <f>B23*C23</f>
        <v/>
      </c>
      <c r="F23" s="8">
        <f>C23/COS(RADIANS(D23))</f>
        <v/>
      </c>
      <c r="G23" s="9">
        <f>ROUND(E23,1)</f>
        <v/>
      </c>
      <c r="H23" s="10">
        <f>ROUND(E23,0)</f>
        <v/>
      </c>
      <c r="I23" s="9">
        <f>ROUND(F23,1)</f>
        <v/>
      </c>
      <c r="J23" s="11" t="n">
        <v>84.23999999999999</v>
      </c>
      <c r="K23" s="6" t="n">
        <v>19.44</v>
      </c>
      <c r="L23" s="6" t="n">
        <v>4.09</v>
      </c>
      <c r="M23" s="10">
        <f>ROUND(L23,0)</f>
        <v/>
      </c>
      <c r="N23" s="6" t="inlineStr">
        <is>
          <t>verified</t>
        </is>
      </c>
      <c r="O23" s="8">
        <f>J23-E23</f>
        <v/>
      </c>
    </row>
    <row r="24">
      <c r="A24" s="5" t="inlineStr">
        <is>
          <t>RMP-020</t>
        </is>
      </c>
      <c r="B24" s="6" t="n">
        <v>4.725</v>
      </c>
      <c r="C24" s="6" t="n">
        <v>20.574</v>
      </c>
      <c r="D24" s="6" t="n">
        <v>41</v>
      </c>
      <c r="E24" s="8">
        <f>B24*C24</f>
        <v/>
      </c>
      <c r="F24" s="8">
        <f>C24/COS(RADIANS(D24))</f>
        <v/>
      </c>
      <c r="G24" s="9">
        <f>ROUND(E24,1)</f>
        <v/>
      </c>
      <c r="H24" s="10">
        <f>ROUND(E24,0)</f>
        <v/>
      </c>
      <c r="I24" s="9">
        <f>ROUND(F24,1)</f>
        <v/>
      </c>
      <c r="J24" s="11" t="n">
        <v>93.31999999999999</v>
      </c>
      <c r="K24" s="6" t="n">
        <v>20.574</v>
      </c>
      <c r="L24" s="6" t="n">
        <v>5.93</v>
      </c>
      <c r="M24" s="10">
        <f>ROUND(L24,0)</f>
        <v/>
      </c>
      <c r="N24" s="12" t="inlineStr">
        <is>
          <t>submitted</t>
        </is>
      </c>
      <c r="O24" s="8">
        <f>J24-E24</f>
        <v/>
      </c>
    </row>
    <row r="25">
      <c r="A25" s="5" t="inlineStr">
        <is>
          <t>RMP-021</t>
        </is>
      </c>
      <c r="B25" s="6" t="n">
        <v>2.7</v>
      </c>
      <c r="C25" s="6" t="n">
        <v>21.708</v>
      </c>
      <c r="D25" s="6" t="n">
        <v>18</v>
      </c>
      <c r="E25" s="8">
        <f>B25*C25</f>
        <v/>
      </c>
      <c r="F25" s="8">
        <f>C25/COS(RADIANS(D25))</f>
        <v/>
      </c>
      <c r="G25" s="9">
        <f>ROUND(E25,1)</f>
        <v/>
      </c>
      <c r="H25" s="10">
        <f>ROUND(E25,0)</f>
        <v/>
      </c>
      <c r="I25" s="9">
        <f>ROUND(F25,1)</f>
        <v/>
      </c>
      <c r="J25" s="11" t="n">
        <v>56.27</v>
      </c>
      <c r="K25" s="6" t="n">
        <v>21.708</v>
      </c>
      <c r="L25" s="6" t="n">
        <v>1.47</v>
      </c>
      <c r="M25" s="10">
        <f>ROUND(L25,0)</f>
        <v/>
      </c>
      <c r="N25" s="12" t="inlineStr">
        <is>
          <t>field-check-required</t>
        </is>
      </c>
      <c r="O25" s="8">
        <f>J25-E25</f>
        <v/>
      </c>
    </row>
    <row r="26">
      <c r="A26" s="5" t="inlineStr">
        <is>
          <t>RMP-022</t>
        </is>
      </c>
      <c r="B26" s="6" t="n">
        <v>3.375</v>
      </c>
      <c r="C26" s="6" t="n">
        <v>22.842</v>
      </c>
      <c r="D26" s="6" t="n">
        <v>27</v>
      </c>
      <c r="E26" s="8">
        <f>B26*C26</f>
        <v/>
      </c>
      <c r="F26" s="8">
        <f>C26/COS(RADIANS(D26))</f>
        <v/>
      </c>
      <c r="G26" s="9">
        <f>ROUND(E26,1)</f>
        <v/>
      </c>
      <c r="H26" s="10">
        <f>ROUND(E26,0)</f>
        <v/>
      </c>
      <c r="I26" s="9">
        <f>ROUND(F26,1)</f>
        <v/>
      </c>
      <c r="J26" s="11" t="n">
        <v>74.01000000000001</v>
      </c>
      <c r="K26" s="6" t="n">
        <v>22.842</v>
      </c>
      <c r="L26" s="6" t="n">
        <v>2.62</v>
      </c>
      <c r="M26" s="10">
        <f>ROUND(L26,0)</f>
        <v/>
      </c>
      <c r="N26" s="6" t="inlineStr">
        <is>
          <t>verified</t>
        </is>
      </c>
      <c r="O26" s="8">
        <f>J26-E26</f>
        <v/>
      </c>
    </row>
    <row r="27">
      <c r="A27" s="5" t="inlineStr">
        <is>
          <t>RMP-023</t>
        </is>
      </c>
      <c r="B27" s="6" t="n">
        <v>4.05</v>
      </c>
      <c r="C27" s="6" t="n">
        <v>23.976</v>
      </c>
      <c r="D27" s="6" t="n">
        <v>33</v>
      </c>
      <c r="E27" s="8">
        <f>B27*C27</f>
        <v/>
      </c>
      <c r="F27" s="8">
        <f>C27/COS(RADIANS(D27))</f>
        <v/>
      </c>
      <c r="G27" s="9">
        <f>ROUND(E27,1)</f>
        <v/>
      </c>
      <c r="H27" s="10">
        <f>ROUND(E27,0)</f>
        <v/>
      </c>
      <c r="I27" s="9">
        <f>ROUND(F27,1)</f>
        <v/>
      </c>
      <c r="J27" s="11" t="n">
        <v>93.22</v>
      </c>
      <c r="K27" s="6" t="n">
        <v>23.976</v>
      </c>
      <c r="L27" s="6" t="n">
        <v>4.18</v>
      </c>
      <c r="M27" s="10">
        <f>ROUND(L27,0)</f>
        <v/>
      </c>
      <c r="N27" s="12" t="inlineStr">
        <is>
          <t>submitted</t>
        </is>
      </c>
      <c r="O27" s="8">
        <f>J27-E27</f>
        <v/>
      </c>
    </row>
    <row r="28">
      <c r="A28" s="5" t="inlineStr">
        <is>
          <t>RMP-024</t>
        </is>
      </c>
      <c r="B28" s="6" t="n">
        <v>4.725</v>
      </c>
      <c r="C28" s="6" t="n">
        <v>25.11</v>
      </c>
      <c r="D28" s="6" t="n">
        <v>41</v>
      </c>
      <c r="E28" s="8">
        <f>B28*C28</f>
        <v/>
      </c>
      <c r="F28" s="8">
        <f>C28/COS(RADIANS(D28))</f>
        <v/>
      </c>
      <c r="G28" s="9">
        <f>ROUND(E28,1)</f>
        <v/>
      </c>
      <c r="H28" s="10">
        <f>ROUND(E28,0)</f>
        <v/>
      </c>
      <c r="I28" s="9">
        <f>ROUND(F28,1)</f>
        <v/>
      </c>
      <c r="J28" s="11" t="n">
        <v>113.9</v>
      </c>
      <c r="K28" s="6" t="n">
        <v>25.11</v>
      </c>
      <c r="L28" s="6" t="n">
        <v>6.17</v>
      </c>
      <c r="M28" s="10">
        <f>ROUND(L28,0)</f>
        <v/>
      </c>
      <c r="N28" s="12" t="inlineStr">
        <is>
          <t>field-check-required</t>
        </is>
      </c>
      <c r="O28" s="8">
        <f>J28-E28</f>
        <v/>
      </c>
    </row>
    <row r="29">
      <c r="A29" s="5" t="inlineStr">
        <is>
          <t>RMP-025</t>
        </is>
      </c>
      <c r="B29" s="6" t="n">
        <v>2.7</v>
      </c>
      <c r="C29" s="6" t="n">
        <v>19.44</v>
      </c>
      <c r="D29" s="6" t="n">
        <v>18</v>
      </c>
      <c r="E29" s="8">
        <f>B29*C29</f>
        <v/>
      </c>
      <c r="F29" s="8">
        <f>C29/COS(RADIANS(D29))</f>
        <v/>
      </c>
      <c r="G29" s="9">
        <f>ROUND(E29,1)</f>
        <v/>
      </c>
      <c r="H29" s="10">
        <f>ROUND(E29,0)</f>
        <v/>
      </c>
      <c r="I29" s="9">
        <f>ROUND(F29,1)</f>
        <v/>
      </c>
      <c r="J29" s="11" t="n">
        <v>56.16</v>
      </c>
      <c r="K29" s="6" t="n">
        <v>19.44</v>
      </c>
      <c r="L29" s="6" t="n">
        <v>3.2</v>
      </c>
      <c r="M29" s="10">
        <f>ROUND(L29,0)</f>
        <v/>
      </c>
      <c r="N29" s="6" t="inlineStr">
        <is>
          <t>verified</t>
        </is>
      </c>
      <c r="O29" s="8">
        <f>J29-E29</f>
        <v/>
      </c>
    </row>
    <row r="30">
      <c r="A30" s="5" t="inlineStr">
        <is>
          <t>RMP-026</t>
        </is>
      </c>
      <c r="B30" s="6" t="n">
        <v>3.375</v>
      </c>
      <c r="C30" s="6" t="n">
        <v>20.574</v>
      </c>
      <c r="D30" s="6" t="n">
        <v>27</v>
      </c>
      <c r="E30" s="8">
        <f>B30*C30</f>
        <v/>
      </c>
      <c r="F30" s="8">
        <f>C30/COS(RADIANS(D30))</f>
        <v/>
      </c>
      <c r="G30" s="9">
        <f>ROUND(E30,1)</f>
        <v/>
      </c>
      <c r="H30" s="10">
        <f>ROUND(E30,0)</f>
        <v/>
      </c>
      <c r="I30" s="9">
        <f>ROUND(F30,1)</f>
        <v/>
      </c>
      <c r="J30" s="11" t="n">
        <v>66.66</v>
      </c>
      <c r="K30" s="6" t="n">
        <v>20.574</v>
      </c>
      <c r="L30" s="6" t="n">
        <v>1.74</v>
      </c>
      <c r="M30" s="10">
        <f>ROUND(L30,0)</f>
        <v/>
      </c>
      <c r="N30" s="12" t="inlineStr">
        <is>
          <t>submitted</t>
        </is>
      </c>
      <c r="O30" s="8">
        <f>J30-E30</f>
        <v/>
      </c>
    </row>
    <row r="31">
      <c r="A31" s="5" t="inlineStr">
        <is>
          <t>RMP-027</t>
        </is>
      </c>
      <c r="B31" s="6" t="n">
        <v>4.05</v>
      </c>
      <c r="C31" s="6" t="n">
        <v>21.708</v>
      </c>
      <c r="D31" s="6" t="n">
        <v>33</v>
      </c>
      <c r="E31" s="8">
        <f>B31*C31</f>
        <v/>
      </c>
      <c r="F31" s="8">
        <f>C31/COS(RADIANS(D31))</f>
        <v/>
      </c>
      <c r="G31" s="9">
        <f>ROUND(E31,1)</f>
        <v/>
      </c>
      <c r="H31" s="10">
        <f>ROUND(E31,0)</f>
        <v/>
      </c>
      <c r="I31" s="9">
        <f>ROUND(F31,1)</f>
        <v/>
      </c>
      <c r="J31" s="11" t="n">
        <v>84.40000000000001</v>
      </c>
      <c r="K31" s="6" t="n">
        <v>21.708</v>
      </c>
      <c r="L31" s="6" t="n">
        <v>2.99</v>
      </c>
      <c r="M31" s="10">
        <f>ROUND(L31,0)</f>
        <v/>
      </c>
      <c r="N31" s="12" t="inlineStr">
        <is>
          <t>field-check-required</t>
        </is>
      </c>
      <c r="O31" s="8">
        <f>J31-E31</f>
        <v/>
      </c>
    </row>
    <row r="32">
      <c r="A32" s="5" t="inlineStr">
        <is>
          <t>RMP-028</t>
        </is>
      </c>
      <c r="B32" s="6" t="n">
        <v>4.725</v>
      </c>
      <c r="C32" s="6" t="n">
        <v>22.842</v>
      </c>
      <c r="D32" s="6" t="n">
        <v>41</v>
      </c>
      <c r="E32" s="8">
        <f>B32*C32</f>
        <v/>
      </c>
      <c r="F32" s="8">
        <f>C32/COS(RADIANS(D32))</f>
        <v/>
      </c>
      <c r="G32" s="9">
        <f>ROUND(E32,1)</f>
        <v/>
      </c>
      <c r="H32" s="10">
        <f>ROUND(E32,0)</f>
        <v/>
      </c>
      <c r="I32" s="9">
        <f>ROUND(F32,1)</f>
        <v/>
      </c>
      <c r="J32" s="11" t="n">
        <v>103.61</v>
      </c>
      <c r="K32" s="6" t="n">
        <v>22.842</v>
      </c>
      <c r="L32" s="6" t="n">
        <v>4.64</v>
      </c>
      <c r="M32" s="10">
        <f>ROUND(L32,0)</f>
        <v/>
      </c>
      <c r="N32" s="6" t="inlineStr">
        <is>
          <t>verified</t>
        </is>
      </c>
      <c r="O32" s="8">
        <f>J32-E32</f>
        <v/>
      </c>
    </row>
    <row r="33">
      <c r="A33" s="5" t="inlineStr">
        <is>
          <t>RMP-029</t>
        </is>
      </c>
      <c r="B33" s="6" t="n">
        <v>2.7</v>
      </c>
      <c r="C33" s="6" t="n">
        <v>23.976</v>
      </c>
      <c r="D33" s="6" t="n">
        <v>18</v>
      </c>
      <c r="E33" s="8">
        <f>B33*C33</f>
        <v/>
      </c>
      <c r="F33" s="8">
        <f>C33/COS(RADIANS(D33))</f>
        <v/>
      </c>
      <c r="G33" s="9">
        <f>ROUND(E33,1)</f>
        <v/>
      </c>
      <c r="H33" s="10">
        <f>ROUND(E33,0)</f>
        <v/>
      </c>
      <c r="I33" s="9">
        <f>ROUND(F33,1)</f>
        <v/>
      </c>
      <c r="J33" s="11" t="n">
        <v>62.15</v>
      </c>
      <c r="K33" s="6" t="n">
        <v>23.976</v>
      </c>
      <c r="L33" s="6" t="n">
        <v>3.37</v>
      </c>
      <c r="M33" s="10">
        <f>ROUND(L33,0)</f>
        <v/>
      </c>
      <c r="N33" s="12" t="inlineStr">
        <is>
          <t>submitted</t>
        </is>
      </c>
      <c r="O33" s="8">
        <f>J33-E33</f>
        <v/>
      </c>
    </row>
    <row r="34">
      <c r="A34" s="5" t="inlineStr">
        <is>
          <t>RMP-030</t>
        </is>
      </c>
      <c r="B34" s="6" t="n">
        <v>3.375</v>
      </c>
      <c r="C34" s="6" t="n">
        <v>25.11</v>
      </c>
      <c r="D34" s="6" t="n">
        <v>27</v>
      </c>
      <c r="E34" s="8">
        <f>B34*C34</f>
        <v/>
      </c>
      <c r="F34" s="8">
        <f>C34/COS(RADIANS(D34))</f>
        <v/>
      </c>
      <c r="G34" s="9">
        <f>ROUND(E34,1)</f>
        <v/>
      </c>
      <c r="H34" s="10">
        <f>ROUND(E34,0)</f>
        <v/>
      </c>
      <c r="I34" s="9">
        <f>ROUND(F34,1)</f>
        <v/>
      </c>
      <c r="J34" s="11" t="n">
        <v>81.36</v>
      </c>
      <c r="K34" s="6" t="n">
        <v>25.11</v>
      </c>
      <c r="L34" s="6" t="n">
        <v>5.17</v>
      </c>
      <c r="M34" s="10">
        <f>ROUND(L34,0)</f>
        <v/>
      </c>
      <c r="N34" s="12" t="inlineStr">
        <is>
          <t>field-check-required</t>
        </is>
      </c>
      <c r="O34" s="8">
        <f>J34-E34</f>
        <v/>
      </c>
    </row>
    <row r="35">
      <c r="A35" s="5" t="inlineStr">
        <is>
          <t>RMP-031</t>
        </is>
      </c>
      <c r="B35" s="6" t="n">
        <v>4.05</v>
      </c>
      <c r="C35" s="6" t="n">
        <v>19.44</v>
      </c>
      <c r="D35" s="6" t="n">
        <v>33</v>
      </c>
      <c r="E35" s="8">
        <f>B35*C35</f>
        <v/>
      </c>
      <c r="F35" s="8">
        <f>C35/COS(RADIANS(D35))</f>
        <v/>
      </c>
      <c r="G35" s="9">
        <f>ROUND(E35,1)</f>
        <v/>
      </c>
      <c r="H35" s="10">
        <f>ROUND(E35,0)</f>
        <v/>
      </c>
      <c r="I35" s="9">
        <f>ROUND(F35,1)</f>
        <v/>
      </c>
      <c r="J35" s="11" t="n">
        <v>84.23999999999999</v>
      </c>
      <c r="K35" s="6" t="n">
        <v>19.44</v>
      </c>
      <c r="L35" s="6" t="n">
        <v>1.97</v>
      </c>
      <c r="M35" s="10">
        <f>ROUND(L35,0)</f>
        <v/>
      </c>
      <c r="N35" s="6" t="inlineStr">
        <is>
          <t>verified</t>
        </is>
      </c>
      <c r="O35" s="8">
        <f>J35-E35</f>
        <v/>
      </c>
    </row>
    <row r="36">
      <c r="A36" s="5" t="inlineStr">
        <is>
          <t>RMP-032</t>
        </is>
      </c>
      <c r="B36" s="6" t="n">
        <v>4.725</v>
      </c>
      <c r="C36" s="6" t="n">
        <v>20.574</v>
      </c>
      <c r="D36" s="6" t="n">
        <v>41</v>
      </c>
      <c r="E36" s="8">
        <f>B36*C36</f>
        <v/>
      </c>
      <c r="F36" s="8">
        <f>C36/COS(RADIANS(D36))</f>
        <v/>
      </c>
      <c r="G36" s="9">
        <f>ROUND(E36,1)</f>
        <v/>
      </c>
      <c r="H36" s="10">
        <f>ROUND(E36,0)</f>
        <v/>
      </c>
      <c r="I36" s="9">
        <f>ROUND(F36,1)</f>
        <v/>
      </c>
      <c r="J36" s="11" t="n">
        <v>93.31999999999999</v>
      </c>
      <c r="K36" s="6" t="n">
        <v>20.574</v>
      </c>
      <c r="L36" s="6" t="n">
        <v>3.31</v>
      </c>
      <c r="M36" s="10">
        <f>ROUND(L36,0)</f>
        <v/>
      </c>
      <c r="N36" s="12" t="inlineStr">
        <is>
          <t>submitted</t>
        </is>
      </c>
      <c r="O36" s="8">
        <f>J36-E36</f>
        <v/>
      </c>
    </row>
    <row r="37">
      <c r="A37" s="5" t="inlineStr">
        <is>
          <t>RMP-033</t>
        </is>
      </c>
      <c r="B37" s="6" t="n">
        <v>2.7</v>
      </c>
      <c r="C37" s="6" t="n">
        <v>21.708</v>
      </c>
      <c r="D37" s="6" t="n">
        <v>18</v>
      </c>
      <c r="E37" s="8">
        <f>B37*C37</f>
        <v/>
      </c>
      <c r="F37" s="8">
        <f>C37/COS(RADIANS(D37))</f>
        <v/>
      </c>
      <c r="G37" s="9">
        <f>ROUND(E37,1)</f>
        <v/>
      </c>
      <c r="H37" s="10">
        <f>ROUND(E37,0)</f>
        <v/>
      </c>
      <c r="I37" s="9">
        <f>ROUND(F37,1)</f>
        <v/>
      </c>
      <c r="J37" s="11" t="n">
        <v>56.27</v>
      </c>
      <c r="K37" s="6" t="n">
        <v>21.708</v>
      </c>
      <c r="L37" s="6" t="n">
        <v>2.52</v>
      </c>
      <c r="M37" s="10">
        <f>ROUND(L37,0)</f>
        <v/>
      </c>
      <c r="N37" s="12" t="inlineStr">
        <is>
          <t>field-check-required</t>
        </is>
      </c>
      <c r="O37" s="8">
        <f>J37-E37</f>
        <v/>
      </c>
    </row>
    <row r="38">
      <c r="A38" s="5" t="inlineStr">
        <is>
          <t>RMP-034</t>
        </is>
      </c>
      <c r="B38" s="6" t="n">
        <v>3.375</v>
      </c>
      <c r="C38" s="6" t="n">
        <v>22.842</v>
      </c>
      <c r="D38" s="6" t="n">
        <v>27</v>
      </c>
      <c r="E38" s="8">
        <f>B38*C38</f>
        <v/>
      </c>
      <c r="F38" s="8">
        <f>C38/COS(RADIANS(D38))</f>
        <v/>
      </c>
      <c r="G38" s="9">
        <f>ROUND(E38,1)</f>
        <v/>
      </c>
      <c r="H38" s="10">
        <f>ROUND(E38,0)</f>
        <v/>
      </c>
      <c r="I38" s="9">
        <f>ROUND(F38,1)</f>
        <v/>
      </c>
      <c r="J38" s="11" t="n">
        <v>74.01000000000001</v>
      </c>
      <c r="K38" s="6" t="n">
        <v>22.842</v>
      </c>
      <c r="L38" s="6" t="n">
        <v>4.01</v>
      </c>
      <c r="M38" s="10">
        <f>ROUND(L38,0)</f>
        <v/>
      </c>
      <c r="N38" s="6" t="inlineStr">
        <is>
          <t>verified</t>
        </is>
      </c>
      <c r="O38" s="8">
        <f>J38-E38</f>
        <v/>
      </c>
    </row>
    <row r="39">
      <c r="A39" s="5" t="inlineStr">
        <is>
          <t>RMP-035</t>
        </is>
      </c>
      <c r="B39" s="6" t="n">
        <v>4.05</v>
      </c>
      <c r="C39" s="6" t="n">
        <v>23.976</v>
      </c>
      <c r="D39" s="6" t="n">
        <v>33</v>
      </c>
      <c r="E39" s="8">
        <f>B39*C39</f>
        <v/>
      </c>
      <c r="F39" s="8">
        <f>C39/COS(RADIANS(D39))</f>
        <v/>
      </c>
      <c r="G39" s="9">
        <f>ROUND(E39,1)</f>
        <v/>
      </c>
      <c r="H39" s="10">
        <f>ROUND(E39,0)</f>
        <v/>
      </c>
      <c r="I39" s="9">
        <f>ROUND(F39,1)</f>
        <v/>
      </c>
      <c r="J39" s="11" t="n">
        <v>93.22</v>
      </c>
      <c r="K39" s="6" t="n">
        <v>23.976</v>
      </c>
      <c r="L39" s="6" t="n">
        <v>5.92</v>
      </c>
      <c r="M39" s="10">
        <f>ROUND(L39,0)</f>
        <v/>
      </c>
      <c r="N39" s="12" t="inlineStr">
        <is>
          <t>submitted</t>
        </is>
      </c>
      <c r="O39" s="8">
        <f>J39-E39</f>
        <v/>
      </c>
    </row>
    <row r="40">
      <c r="A40" s="5" t="inlineStr">
        <is>
          <t>RMP-036</t>
        </is>
      </c>
      <c r="B40" s="6" t="n">
        <v>4.725</v>
      </c>
      <c r="C40" s="6" t="n">
        <v>25.11</v>
      </c>
      <c r="D40" s="6" t="n">
        <v>41</v>
      </c>
      <c r="E40" s="8">
        <f>B40*C40</f>
        <v/>
      </c>
      <c r="F40" s="8">
        <f>C40/COS(RADIANS(D40))</f>
        <v/>
      </c>
      <c r="G40" s="9">
        <f>ROUND(E40,1)</f>
        <v/>
      </c>
      <c r="H40" s="10">
        <f>ROUND(E40,0)</f>
        <v/>
      </c>
      <c r="I40" s="9">
        <f>ROUND(F40,1)</f>
        <v/>
      </c>
      <c r="J40" s="11" t="n">
        <v>113.9</v>
      </c>
      <c r="K40" s="6" t="n">
        <v>25.11</v>
      </c>
      <c r="L40" s="6" t="n">
        <v>2.97</v>
      </c>
      <c r="M40" s="10">
        <f>ROUND(L40,0)</f>
        <v/>
      </c>
      <c r="N40" s="12" t="inlineStr">
        <is>
          <t>field-check-required</t>
        </is>
      </c>
      <c r="O40" s="8">
        <f>J40-E40</f>
        <v/>
      </c>
    </row>
    <row r="41">
      <c r="A41" s="5" t="inlineStr">
        <is>
          <t>RMP-037</t>
        </is>
      </c>
      <c r="B41" s="6" t="n">
        <v>2.7</v>
      </c>
      <c r="C41" s="6" t="n">
        <v>19.44</v>
      </c>
      <c r="D41" s="6" t="n">
        <v>18</v>
      </c>
      <c r="E41" s="8">
        <f>B41*C41</f>
        <v/>
      </c>
      <c r="F41" s="8">
        <f>C41/COS(RADIANS(D41))</f>
        <v/>
      </c>
      <c r="G41" s="9">
        <f>ROUND(E41,1)</f>
        <v/>
      </c>
      <c r="H41" s="10">
        <f>ROUND(E41,0)</f>
        <v/>
      </c>
      <c r="I41" s="9">
        <f>ROUND(F41,1)</f>
        <v/>
      </c>
      <c r="J41" s="11" t="n">
        <v>56.16</v>
      </c>
      <c r="K41" s="6" t="n">
        <v>19.44</v>
      </c>
      <c r="L41" s="6" t="n">
        <v>1.78</v>
      </c>
      <c r="M41" s="10">
        <f>ROUND(L41,0)</f>
        <v/>
      </c>
      <c r="N41" s="6" t="inlineStr">
        <is>
          <t>verified</t>
        </is>
      </c>
      <c r="O41" s="8">
        <f>J41-E41</f>
        <v/>
      </c>
    </row>
    <row r="42">
      <c r="A42" s="5" t="inlineStr">
        <is>
          <t>RMP-038</t>
        </is>
      </c>
      <c r="B42" s="6" t="n">
        <v>3.375</v>
      </c>
      <c r="C42" s="6" t="n">
        <v>20.574</v>
      </c>
      <c r="D42" s="6" t="n">
        <v>27</v>
      </c>
      <c r="E42" s="8">
        <f>B42*C42</f>
        <v/>
      </c>
      <c r="F42" s="8">
        <f>C42/COS(RADIANS(D42))</f>
        <v/>
      </c>
      <c r="G42" s="9">
        <f>ROUND(E42,1)</f>
        <v/>
      </c>
      <c r="H42" s="10">
        <f>ROUND(E42,0)</f>
        <v/>
      </c>
      <c r="I42" s="9">
        <f>ROUND(F42,1)</f>
        <v/>
      </c>
      <c r="J42" s="11" t="n">
        <v>66.66</v>
      </c>
      <c r="K42" s="6" t="n">
        <v>20.574</v>
      </c>
      <c r="L42" s="6" t="n">
        <v>2.99</v>
      </c>
      <c r="M42" s="10">
        <f>ROUND(L42,0)</f>
        <v/>
      </c>
      <c r="N42" s="12" t="inlineStr">
        <is>
          <t>submitted</t>
        </is>
      </c>
      <c r="O42" s="8">
        <f>J42-E42</f>
        <v/>
      </c>
    </row>
    <row r="43">
      <c r="A43" s="5" t="inlineStr">
        <is>
          <t>RMP-039</t>
        </is>
      </c>
      <c r="B43" s="6" t="n">
        <v>4.05</v>
      </c>
      <c r="C43" s="6" t="n">
        <v>21.708</v>
      </c>
      <c r="D43" s="6" t="n">
        <v>33</v>
      </c>
      <c r="E43" s="8">
        <f>B43*C43</f>
        <v/>
      </c>
      <c r="F43" s="8">
        <f>C43/COS(RADIANS(D43))</f>
        <v/>
      </c>
      <c r="G43" s="9">
        <f>ROUND(E43,1)</f>
        <v/>
      </c>
      <c r="H43" s="10">
        <f>ROUND(E43,0)</f>
        <v/>
      </c>
      <c r="I43" s="9">
        <f>ROUND(F43,1)</f>
        <v/>
      </c>
      <c r="J43" s="11" t="n">
        <v>84.40000000000001</v>
      </c>
      <c r="K43" s="6" t="n">
        <v>21.708</v>
      </c>
      <c r="L43" s="6" t="n">
        <v>4.57</v>
      </c>
      <c r="M43" s="10">
        <f>ROUND(L43,0)</f>
        <v/>
      </c>
      <c r="N43" s="12" t="inlineStr">
        <is>
          <t>field-check-required</t>
        </is>
      </c>
      <c r="O43" s="8">
        <f>J43-E43</f>
        <v/>
      </c>
    </row>
    <row r="44">
      <c r="A44" s="5" t="inlineStr">
        <is>
          <t>RMP-040</t>
        </is>
      </c>
      <c r="B44" s="6" t="n">
        <v>4.725</v>
      </c>
      <c r="C44" s="6" t="n">
        <v>22.842</v>
      </c>
      <c r="D44" s="6" t="n">
        <v>41</v>
      </c>
      <c r="E44" s="8">
        <f>B44*C44</f>
        <v/>
      </c>
      <c r="F44" s="8">
        <f>C44/COS(RADIANS(D44))</f>
        <v/>
      </c>
      <c r="G44" s="9">
        <f>ROUND(E44,1)</f>
        <v/>
      </c>
      <c r="H44" s="10">
        <f>ROUND(E44,0)</f>
        <v/>
      </c>
      <c r="I44" s="9">
        <f>ROUND(F44,1)</f>
        <v/>
      </c>
      <c r="J44" s="11" t="n">
        <v>103.61</v>
      </c>
      <c r="K44" s="6" t="n">
        <v>22.842</v>
      </c>
      <c r="L44" s="6" t="n">
        <v>6.58</v>
      </c>
      <c r="M44" s="10">
        <f>ROUND(L44,0)</f>
        <v/>
      </c>
      <c r="N44" s="6" t="inlineStr">
        <is>
          <t>verified</t>
        </is>
      </c>
      <c r="O44" s="8">
        <f>J44-E44</f>
        <v/>
      </c>
    </row>
    <row r="45">
      <c r="A45" s="5" t="inlineStr">
        <is>
          <t>RMP-041</t>
        </is>
      </c>
      <c r="B45" s="6" t="n">
        <v>2.7</v>
      </c>
      <c r="C45" s="6" t="n">
        <v>23.976</v>
      </c>
      <c r="D45" s="6" t="n">
        <v>18</v>
      </c>
      <c r="E45" s="8">
        <f>B45*C45</f>
        <v/>
      </c>
      <c r="F45" s="8">
        <f>C45/COS(RADIANS(D45))</f>
        <v/>
      </c>
      <c r="G45" s="9">
        <f>ROUND(E45,1)</f>
        <v/>
      </c>
      <c r="H45" s="10">
        <f>ROUND(E45,0)</f>
        <v/>
      </c>
      <c r="I45" s="9">
        <f>ROUND(F45,1)</f>
        <v/>
      </c>
      <c r="J45" s="11" t="n">
        <v>62.15</v>
      </c>
      <c r="K45" s="6" t="n">
        <v>23.976</v>
      </c>
      <c r="L45" s="6" t="n">
        <v>1.62</v>
      </c>
      <c r="M45" s="10">
        <f>ROUND(L45,0)</f>
        <v/>
      </c>
      <c r="N45" s="12" t="inlineStr">
        <is>
          <t>submitted</t>
        </is>
      </c>
      <c r="O45" s="8">
        <f>J45-E45</f>
        <v/>
      </c>
    </row>
    <row r="46">
      <c r="A46" s="5" t="inlineStr">
        <is>
          <t>RMP-042</t>
        </is>
      </c>
      <c r="B46" s="6" t="n">
        <v>3.375</v>
      </c>
      <c r="C46" s="6" t="n">
        <v>25.11</v>
      </c>
      <c r="D46" s="6" t="n">
        <v>27</v>
      </c>
      <c r="E46" s="8">
        <f>B46*C46</f>
        <v/>
      </c>
      <c r="F46" s="8">
        <f>C46/COS(RADIANS(D46))</f>
        <v/>
      </c>
      <c r="G46" s="9">
        <f>ROUND(E46,1)</f>
        <v/>
      </c>
      <c r="H46" s="10">
        <f>ROUND(E46,0)</f>
        <v/>
      </c>
      <c r="I46" s="9">
        <f>ROUND(F46,1)</f>
        <v/>
      </c>
      <c r="J46" s="11" t="n">
        <v>81.36</v>
      </c>
      <c r="K46" s="6" t="n">
        <v>25.11</v>
      </c>
      <c r="L46" s="6" t="n">
        <v>2.88</v>
      </c>
      <c r="M46" s="10">
        <f>ROUND(L46,0)</f>
        <v/>
      </c>
      <c r="N46" s="12" t="inlineStr">
        <is>
          <t>field-check-required</t>
        </is>
      </c>
      <c r="O46" s="8">
        <f>J46-E46</f>
        <v/>
      </c>
    </row>
    <row r="47">
      <c r="A47" s="5" t="inlineStr">
        <is>
          <t>RMP-043</t>
        </is>
      </c>
      <c r="B47" s="6" t="n">
        <v>4.05</v>
      </c>
      <c r="C47" s="6" t="n">
        <v>19.44</v>
      </c>
      <c r="D47" s="6" t="n">
        <v>33</v>
      </c>
      <c r="E47" s="8">
        <f>B47*C47</f>
        <v/>
      </c>
      <c r="F47" s="8">
        <f>C47/COS(RADIANS(D47))</f>
        <v/>
      </c>
      <c r="G47" s="9">
        <f>ROUND(E47,1)</f>
        <v/>
      </c>
      <c r="H47" s="10">
        <f>ROUND(E47,0)</f>
        <v/>
      </c>
      <c r="I47" s="9">
        <f>ROUND(F47,1)</f>
        <v/>
      </c>
      <c r="J47" s="11" t="n">
        <v>84.23999999999999</v>
      </c>
      <c r="K47" s="6" t="n">
        <v>19.44</v>
      </c>
      <c r="L47" s="6" t="n">
        <v>3.39</v>
      </c>
      <c r="M47" s="10">
        <f>ROUND(L47,0)</f>
        <v/>
      </c>
      <c r="N47" s="6" t="inlineStr">
        <is>
          <t>verified</t>
        </is>
      </c>
      <c r="O47" s="8">
        <f>J47-E47</f>
        <v/>
      </c>
    </row>
    <row r="48">
      <c r="A48" s="5" t="inlineStr">
        <is>
          <t>RMP-044</t>
        </is>
      </c>
      <c r="B48" s="6" t="n">
        <v>4.725</v>
      </c>
      <c r="C48" s="6" t="n">
        <v>20.574</v>
      </c>
      <c r="D48" s="6" t="n">
        <v>41</v>
      </c>
      <c r="E48" s="8">
        <f>B48*C48</f>
        <v/>
      </c>
      <c r="F48" s="8">
        <f>C48/COS(RADIANS(D48))</f>
        <v/>
      </c>
      <c r="G48" s="9">
        <f>ROUND(E48,1)</f>
        <v/>
      </c>
      <c r="H48" s="10">
        <f>ROUND(E48,0)</f>
        <v/>
      </c>
      <c r="I48" s="9">
        <f>ROUND(F48,1)</f>
        <v/>
      </c>
      <c r="J48" s="11" t="n">
        <v>93.31999999999999</v>
      </c>
      <c r="K48" s="6" t="n">
        <v>20.574</v>
      </c>
      <c r="L48" s="6" t="n">
        <v>5.06</v>
      </c>
      <c r="M48" s="10">
        <f>ROUND(L48,0)</f>
        <v/>
      </c>
      <c r="N48" s="12" t="inlineStr">
        <is>
          <t>submitted</t>
        </is>
      </c>
      <c r="O48" s="8">
        <f>J48-E48</f>
        <v/>
      </c>
    </row>
    <row r="49">
      <c r="A49" s="5" t="inlineStr">
        <is>
          <t>RMP-045</t>
        </is>
      </c>
      <c r="B49" s="6" t="n">
        <v>2.7</v>
      </c>
      <c r="C49" s="6" t="n">
        <v>21.708</v>
      </c>
      <c r="D49" s="6" t="n">
        <v>18</v>
      </c>
      <c r="E49" s="8">
        <f>B49*C49</f>
        <v/>
      </c>
      <c r="F49" s="8">
        <f>C49/COS(RADIANS(D49))</f>
        <v/>
      </c>
      <c r="G49" s="9">
        <f>ROUND(E49,1)</f>
        <v/>
      </c>
      <c r="H49" s="10">
        <f>ROUND(E49,0)</f>
        <v/>
      </c>
      <c r="I49" s="9">
        <f>ROUND(F49,1)</f>
        <v/>
      </c>
      <c r="J49" s="11" t="n">
        <v>56.27</v>
      </c>
      <c r="K49" s="6" t="n">
        <v>21.708</v>
      </c>
      <c r="L49" s="6" t="n">
        <v>3.58</v>
      </c>
      <c r="M49" s="10">
        <f>ROUND(L49,0)</f>
        <v/>
      </c>
      <c r="N49" s="12" t="inlineStr">
        <is>
          <t>field-check-required</t>
        </is>
      </c>
      <c r="O49" s="8">
        <f>J49-E49</f>
        <v/>
      </c>
    </row>
    <row r="50">
      <c r="A50" s="5" t="inlineStr">
        <is>
          <t>RMP-046</t>
        </is>
      </c>
      <c r="B50" s="6" t="n">
        <v>3.375</v>
      </c>
      <c r="C50" s="6" t="n">
        <v>22.842</v>
      </c>
      <c r="D50" s="6" t="n">
        <v>27</v>
      </c>
      <c r="E50" s="8">
        <f>B50*C50</f>
        <v/>
      </c>
      <c r="F50" s="8">
        <f>C50/COS(RADIANS(D50))</f>
        <v/>
      </c>
      <c r="G50" s="9">
        <f>ROUND(E50,1)</f>
        <v/>
      </c>
      <c r="H50" s="10">
        <f>ROUND(E50,0)</f>
        <v/>
      </c>
      <c r="I50" s="9">
        <f>ROUND(F50,1)</f>
        <v/>
      </c>
      <c r="J50" s="11" t="n">
        <v>74.01000000000001</v>
      </c>
      <c r="K50" s="6" t="n">
        <v>22.842</v>
      </c>
      <c r="L50" s="6" t="n">
        <v>1.93</v>
      </c>
      <c r="M50" s="10">
        <f>ROUND(L50,0)</f>
        <v/>
      </c>
      <c r="N50" s="6" t="inlineStr">
        <is>
          <t>verified</t>
        </is>
      </c>
      <c r="O50" s="8">
        <f>J50-E50</f>
        <v/>
      </c>
    </row>
    <row r="51">
      <c r="A51" s="5" t="inlineStr">
        <is>
          <t>RMP-047</t>
        </is>
      </c>
      <c r="B51" s="6" t="n">
        <v>4.05</v>
      </c>
      <c r="C51" s="6" t="n">
        <v>23.976</v>
      </c>
      <c r="D51" s="6" t="n">
        <v>33</v>
      </c>
      <c r="E51" s="8">
        <f>B51*C51</f>
        <v/>
      </c>
      <c r="F51" s="8">
        <f>C51/COS(RADIANS(D51))</f>
        <v/>
      </c>
      <c r="G51" s="9">
        <f>ROUND(E51,1)</f>
        <v/>
      </c>
      <c r="H51" s="10">
        <f>ROUND(E51,0)</f>
        <v/>
      </c>
      <c r="I51" s="9">
        <f>ROUND(F51,1)</f>
        <v/>
      </c>
      <c r="J51" s="11" t="n">
        <v>93.22</v>
      </c>
      <c r="K51" s="6" t="n">
        <v>23.976</v>
      </c>
      <c r="L51" s="6" t="n">
        <v>3.3</v>
      </c>
      <c r="M51" s="10">
        <f>ROUND(L51,0)</f>
        <v/>
      </c>
      <c r="N51" s="12" t="inlineStr">
        <is>
          <t>submitted</t>
        </is>
      </c>
      <c r="O51" s="8">
        <f>J51-E51</f>
        <v/>
      </c>
    </row>
    <row r="52">
      <c r="A52" s="5" t="inlineStr">
        <is>
          <t>RMP-048</t>
        </is>
      </c>
      <c r="B52" s="6" t="n">
        <v>4.725</v>
      </c>
      <c r="C52" s="6" t="n">
        <v>25.11</v>
      </c>
      <c r="D52" s="6" t="n">
        <v>41</v>
      </c>
      <c r="E52" s="8">
        <f>B52*C52</f>
        <v/>
      </c>
      <c r="F52" s="8">
        <f>C52/COS(RADIANS(D52))</f>
        <v/>
      </c>
      <c r="G52" s="9">
        <f>ROUND(E52,1)</f>
        <v/>
      </c>
      <c r="H52" s="10">
        <f>ROUND(E52,0)</f>
        <v/>
      </c>
      <c r="I52" s="9">
        <f>ROUND(F52,1)</f>
        <v/>
      </c>
      <c r="J52" s="11" t="n">
        <v>113.9</v>
      </c>
      <c r="K52" s="6" t="n">
        <v>25.11</v>
      </c>
      <c r="L52" s="6" t="n">
        <v>5.1</v>
      </c>
      <c r="M52" s="10">
        <f>ROUND(L52,0)</f>
        <v/>
      </c>
      <c r="N52" s="12" t="inlineStr">
        <is>
          <t>field-check-required</t>
        </is>
      </c>
      <c r="O52" s="8">
        <f>J52-E52</f>
        <v/>
      </c>
    </row>
    <row r="53">
      <c r="A53" s="13" t="inlineStr">
        <is>
          <t>TOTALS</t>
        </is>
      </c>
      <c r="B53" s="14">
        <f>SUM(B5:B52)</f>
        <v/>
      </c>
      <c r="E53" s="15">
        <f>SUM(E5:E52)</f>
        <v/>
      </c>
      <c r="F53" s="15">
        <f>SUM(F5:F52)</f>
        <v/>
      </c>
      <c r="G53" s="16">
        <f>SUM(G5:G52)</f>
        <v/>
      </c>
      <c r="H53" s="14">
        <f>SUM(H5:H52)</f>
        <v/>
      </c>
      <c r="I53" s="16">
        <f>SUM(I5:I52)</f>
        <v/>
      </c>
      <c r="J53" s="14">
        <f>SUM(J5:J52)</f>
        <v/>
      </c>
      <c r="K53" s="14">
        <f>SUM(K5:K52)</f>
        <v/>
      </c>
      <c r="L53" s="14">
        <f>SUM(L5:L52)</f>
        <v/>
      </c>
      <c r="M53" s="14">
        <f>SUM(M5:M52)</f>
        <v/>
      </c>
    </row>
    <row r="55" ht="28" customHeight="1">
      <c r="A55" s="3" t="inlineStr">
        <is>
          <t>Row check: Σ length = 178.2 ft vs stated movable length 162.0 ft (ferry_ramp_dimensions…csv "Total movable length") — UNRESOLVED BOUNDARY U1: takeoff covers ~9.1% more length than the movable span; see Recommendation.</t>
        </is>
      </c>
    </row>
    <row r="56" ht="28" customHeight="1">
      <c r="A56" s="3" t="inlineStr">
        <is>
          <t>Joint scope check: Σ geometric skew joint length 1,255.3 LF vs bid items B03/V04 = 1,260 LF (consistent); but two-hinge geometry (N 30.8 ft @27°, S 31.2 ft @33°) = 71.8 LF — UNRESOLVED BOUNDARY U2: whether payable joint scope is the 48-segment joint network or only two hinges.</t>
        </is>
      </c>
    </row>
    <row r="57" ht="28" customHeight="1">
      <c r="A57" s="3" t="inlineStr">
        <is>
          <t>Payable basis: panel surface = plan (L×W) area — skew is in-plan; panel plate surface is not increased by skew angle. Joint length across a skewed joint = clear width / cos(skew) per FMR-004 "geometric skew length".</t>
        </is>
      </c>
    </row>
    <row r="58" ht="28" customHeight="1">
      <c r="A58" s="3" t="inlineStr">
        <is>
          <t>Corrosion payable shown as mapped takeoff (rounded whole SF per FMR-006); technician estimate 780 SF is unverified and carried as risk allowance (P10), not as payable quantity.</t>
        </is>
      </c>
    </row>
    <row r="59" ht="28" customHeight="1">
      <c r="A59" s="3" t="inlineStr">
        <is>
          <t>Verification mix: 16 verified / 16 submitted / 16 field-check-required segments (column N); quantities from non-verified segments remain conditional per memo §2.</t>
        </is>
      </c>
    </row>
  </sheetData>
  <mergeCells count="5">
    <mergeCell ref="A55:O55"/>
    <mergeCell ref="A59:O59"/>
    <mergeCell ref="A57:O57"/>
    <mergeCell ref="A58:O58"/>
    <mergeCell ref="A56:O5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7" customWidth="1" min="4" max="4"/>
    <col width="12" customWidth="1" min="5" max="5"/>
    <col width="14" customWidth="1" min="6" max="6"/>
    <col width="42" customWidth="1" min="7" max="7"/>
    <col width="20" customWidth="1" min="8" max="8"/>
    <col width="50" customWidth="1" min="9" max="9"/>
  </cols>
  <sheetData>
    <row r="1">
      <c r="A1" s="1" t="inlineStr">
        <is>
          <t>Quantity Reconciliation — physical vs payable vs technician vs submitted</t>
        </is>
      </c>
    </row>
    <row r="2">
      <c r="A2" s="2" t="inlineStr">
        <is>
          <t>Physical and payable columns are formulas from Segment_Takeoff totals; technician/submitted columns cite source rows.</t>
        </is>
      </c>
    </row>
    <row r="4">
      <c r="A4" s="4" t="inlineStr">
        <is>
          <t>Item family</t>
        </is>
      </c>
      <c r="B4" s="4" t="inlineStr">
        <is>
          <t>Physical computed</t>
        </is>
      </c>
      <c r="C4" s="4" t="inlineStr">
        <is>
          <t>Payable (spec)</t>
        </is>
      </c>
      <c r="D4" s="4" t="inlineStr">
        <is>
          <t>Technician / submitted claim</t>
        </is>
      </c>
      <c r="E4" s="4" t="inlineStr">
        <is>
          <t>Bid quantity</t>
        </is>
      </c>
      <c r="F4" s="4" t="inlineStr">
        <is>
          <t>Variance: bid − payable</t>
        </is>
      </c>
      <c r="G4" s="4" t="inlineStr">
        <is>
          <t>Payable basis (clause)</t>
        </is>
      </c>
      <c r="H4" s="4" t="inlineStr">
        <is>
          <t>Evidence state</t>
        </is>
      </c>
      <c r="I4" s="4" t="inlineStr">
        <is>
          <t>Locator</t>
        </is>
      </c>
    </row>
    <row r="5" ht="40" customHeight="1">
      <c r="A5" s="7" t="inlineStr">
        <is>
          <t>Steel panel removal (SF)</t>
        </is>
      </c>
      <c r="B5" s="17">
        <f>Segment_Takeoff!E53</f>
        <v/>
      </c>
      <c r="C5" s="17">
        <f>Segment_Takeoff!G53</f>
        <v/>
      </c>
      <c r="D5" s="7" t="n">
        <v>3877.2</v>
      </c>
      <c r="E5" s="7" t="n">
        <v>3980</v>
      </c>
      <c r="F5" s="17">
        <f>E5-C5</f>
        <v/>
      </c>
      <c r="G5" s="7" t="inlineStr">
        <is>
          <t>geometry verified; vendor schedule differs</t>
        </is>
      </c>
      <c r="H5" s="7" t="inlineStr">
        <is>
          <t>ramp_segment_takeoff.csv Σ; ferry_base_ve_bid_items.csv B01; FMR-001</t>
        </is>
      </c>
    </row>
    <row r="6" ht="40" customHeight="1">
      <c r="A6" s="7" t="inlineStr">
        <is>
          <t>New steel deck panels (SF)</t>
        </is>
      </c>
      <c r="B6" s="17">
        <f>Segment_Takeoff!E53</f>
        <v/>
      </c>
      <c r="C6" s="17">
        <f>Segment_Takeoff!H53</f>
        <v/>
      </c>
      <c r="D6" s="7" t="n">
        <v>3877.2</v>
      </c>
      <c r="E6" s="7" t="n">
        <v>3980</v>
      </c>
      <c r="F6" s="17">
        <f>E6-C6</f>
        <v/>
      </c>
      <c r="G6" s="7" t="inlineStr">
        <is>
          <t>geometry verified; vendor schedule differs</t>
        </is>
      </c>
      <c r="H6" s="7" t="inlineStr">
        <is>
          <t>ramp_segment_takeoff.csv Σ; ferry_base_ve_bid_items.csv B02; FMR-002</t>
        </is>
      </c>
    </row>
    <row r="7" ht="40" customHeight="1">
      <c r="A7" s="7" t="inlineStr">
        <is>
          <t>Skewed hinge/joint seals (LF)</t>
        </is>
      </c>
      <c r="B7" s="17">
        <f>Segment_Takeoff!F53</f>
        <v/>
      </c>
      <c r="C7" s="17">
        <f>Segment_Takeoff!I53</f>
        <v/>
      </c>
      <c r="D7" s="7" t="n">
        <v>1069.2</v>
      </c>
      <c r="E7" s="7" t="n">
        <v>1260</v>
      </c>
      <c r="F7" s="17">
        <f>E7-C7</f>
        <v/>
      </c>
      <c r="G7" s="7" t="inlineStr">
        <is>
          <t>submitted joint = clear width (skew ignored)</t>
        </is>
      </c>
      <c r="H7" s="7" t="inlineStr">
        <is>
          <t>ramp_segment_takeoff.csv Σ; ferry_base_ve_bid_items.csv B03/V04; FMR-004; U2 unresolved</t>
        </is>
      </c>
    </row>
    <row r="8" ht="40" customHeight="1">
      <c r="A8" s="7" t="inlineStr">
        <is>
          <t>Wearing overlay (SF, VE option)</t>
        </is>
      </c>
      <c r="B8" s="17">
        <f>Segment_Takeoff!E53</f>
        <v/>
      </c>
      <c r="C8" s="17">
        <f>Segment_Takeoff!H53</f>
        <v/>
      </c>
      <c r="D8" s="7" t="n">
        <v>3980</v>
      </c>
      <c r="E8" s="7" t="n">
        <v>3980</v>
      </c>
      <c r="F8" s="17">
        <f>E8-C8</f>
        <v/>
      </c>
      <c r="G8" s="7" t="inlineStr">
        <is>
          <t>submitted = plan area (consistent)</t>
        </is>
      </c>
      <c r="H8" s="7" t="inlineStr">
        <is>
          <t>ferry_base_ve_bid_items.csv V03; FMR-003</t>
        </is>
      </c>
    </row>
    <row r="9" ht="40" customHeight="1">
      <c r="A9" s="7" t="inlineStr">
        <is>
          <t>Corrosion repair (SF)</t>
        </is>
      </c>
      <c r="B9" s="7" t="n">
        <v>169.02</v>
      </c>
      <c r="C9" s="17">
        <f>Segment_Takeoff!M53</f>
        <v/>
      </c>
      <c r="D9" s="7" t="n">
        <v>780</v>
      </c>
      <c r="E9" s="7" t="n">
        <v>820</v>
      </c>
      <c r="F9" s="17">
        <f>E9-C9</f>
        <v/>
      </c>
      <c r="G9" s="7" t="inlineStr">
        <is>
          <t>CONFLICT: mapped 170 / technician 780 / bid 820</t>
        </is>
      </c>
      <c r="H9" s="7" t="inlineStr">
        <is>
          <t>ferry_ramp_dimensions…csv corrosion row; ferry_base_ve_bid_items.csv V05; FMR-006</t>
        </is>
      </c>
    </row>
    <row r="10" ht="40" customHeight="1">
      <c r="A10" s="7" t="inlineStr">
        <is>
          <t>Bearing interface zones (EA)</t>
        </is>
      </c>
      <c r="B10" s="7" t="n">
        <v>24</v>
      </c>
      <c r="C10" s="7" t="n">
        <v>24</v>
      </c>
      <c r="D10" s="7" t="n">
        <v>24</v>
      </c>
      <c r="E10" s="7" t="n">
        <v>24</v>
      </c>
      <c r="F10" s="17">
        <f>E10-C10</f>
        <v/>
      </c>
      <c r="G10" s="7" t="inlineStr">
        <is>
          <t>count consistent; condition "conditional" per FEE-006</t>
        </is>
      </c>
      <c r="H10" s="7" t="inlineStr">
        <is>
          <t>ferry_ramp_dimensions…csv bearings row; ferry_base_ve_bid_items.csv B04; FMR-005</t>
        </is>
      </c>
    </row>
    <row r="11" ht="40" customHeight="1">
      <c r="A11" s="7" t="inlineStr">
        <is>
          <t>Coating / containment (SF)</t>
        </is>
      </c>
      <c r="B11" s="7" t="n">
        <v>5240</v>
      </c>
      <c r="C11" s="7" t="n">
        <v>5240</v>
      </c>
      <c r="D11" s="7" t="n">
        <v>5240</v>
      </c>
      <c r="E11" s="7" t="n">
        <v>5240</v>
      </c>
      <c r="F11" s="17">
        <f>E11-C11</f>
        <v/>
      </c>
      <c r="G11" s="7" t="inlineStr">
        <is>
          <t>area consistent; adhesion 680 psi CONTRADICTED (FEE-003)</t>
        </is>
      </c>
      <c r="H11" s="7" t="inlineStr">
        <is>
          <t>ferry_ramp_dimensions…csv coating row "not payable until accepted"; ferry_base_ve_bid_items.csv B05; FMR-007</t>
        </is>
      </c>
    </row>
    <row r="12" ht="40" customHeight="1">
      <c r="A12" s="7" t="inlineStr">
        <is>
          <t>FRP panel zones (SF, VE option)</t>
        </is>
      </c>
      <c r="B12" s="7" t="n">
        <v>1360</v>
      </c>
      <c r="C12" s="7" t="n">
        <v>1360</v>
      </c>
      <c r="D12" s="7" t="n">
        <v>1360</v>
      </c>
      <c r="E12" s="7" t="n">
        <v>1360</v>
      </c>
      <c r="F12" s="17">
        <f>E12-C12</f>
        <v/>
      </c>
      <c r="G12" s="7" t="inlineStr">
        <is>
          <t>FRP qualification FIELD-VERIFICATION-REQUIRED (FEE-008)</t>
        </is>
      </c>
      <c r="H12" s="7" t="inlineStr">
        <is>
          <t>ferry_ramp_dimensions…csv FRP row; ferry_base_ve_bid_items.csv V01/V02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42" customWidth="1" min="3" max="3"/>
    <col width="10" customWidth="1" min="4" max="4"/>
    <col width="6" customWidth="1" min="5" max="5"/>
    <col width="12" customWidth="1" min="6" max="6"/>
    <col width="15" customWidth="1" min="7" max="7"/>
    <col width="15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Submitted Bid Items — Internal Consistency Check</t>
        </is>
      </c>
    </row>
    <row r="2">
      <c r="A2" s="2" t="inlineStr">
        <is>
          <t>Source: ferry_base_ve_bid_items.csv (all rows, evidence_status=submitted_unverified). Amount check = qty × unit price vs submitted amount.</t>
        </is>
      </c>
    </row>
    <row r="4">
      <c r="A4" s="4" t="inlineStr">
        <is>
          <t>Option</t>
        </is>
      </c>
      <c r="B4" s="4" t="inlineStr">
        <is>
          <t>Item</t>
        </is>
      </c>
      <c r="C4" s="4" t="inlineStr">
        <is>
          <t>Description</t>
        </is>
      </c>
      <c r="D4" s="4" t="inlineStr">
        <is>
          <t>Qty</t>
        </is>
      </c>
      <c r="E4" s="4" t="inlineStr">
        <is>
          <t>Unit</t>
        </is>
      </c>
      <c r="F4" s="4" t="inlineStr">
        <is>
          <t>Unit price ($)</t>
        </is>
      </c>
      <c r="G4" s="4" t="inlineStr">
        <is>
          <t>Submitted amount ($)</t>
        </is>
      </c>
      <c r="H4" s="4" t="inlineStr">
        <is>
          <t>Recomputed amount ($)</t>
        </is>
      </c>
      <c r="I4" s="4" t="inlineStr">
        <is>
          <t>Δ ($)</t>
        </is>
      </c>
      <c r="J4" s="4" t="inlineStr">
        <is>
          <t>Scope status</t>
        </is>
      </c>
      <c r="K4" s="4" t="inlineStr">
        <is>
          <t>Estimate date</t>
        </is>
      </c>
    </row>
    <row r="5">
      <c r="A5" s="5" t="inlineStr">
        <is>
          <t>base_full_replacement</t>
        </is>
      </c>
      <c r="B5" s="5" t="inlineStr">
        <is>
          <t>B01</t>
        </is>
      </c>
      <c r="C5" s="5" t="inlineStr">
        <is>
          <t>Remove existing steel deck panels</t>
        </is>
      </c>
      <c r="D5" s="5" t="n">
        <v>3980</v>
      </c>
      <c r="E5" s="5" t="inlineStr">
        <is>
          <t>SF</t>
        </is>
      </c>
      <c r="F5" s="18" t="n">
        <v>96</v>
      </c>
      <c r="G5" s="18" t="n">
        <v>382080</v>
      </c>
      <c r="H5" s="19">
        <f>D5*F5</f>
        <v/>
      </c>
      <c r="I5" s="19">
        <f>H5-G5</f>
        <v/>
      </c>
      <c r="J5" s="12" t="inlineStr">
        <is>
          <t>allowance</t>
        </is>
      </c>
      <c r="K5" s="5" t="inlineStr">
        <is>
          <t>2027-02-15</t>
        </is>
      </c>
    </row>
    <row r="6">
      <c r="A6" s="5" t="inlineStr">
        <is>
          <t>base_full_replacement</t>
        </is>
      </c>
      <c r="B6" s="5" t="inlineStr">
        <is>
          <t>B02</t>
        </is>
      </c>
      <c r="C6" s="5" t="inlineStr">
        <is>
          <t>Fabricate and install orthotropic steel panels</t>
        </is>
      </c>
      <c r="D6" s="5" t="n">
        <v>3980</v>
      </c>
      <c r="E6" s="5" t="inlineStr">
        <is>
          <t>SF</t>
        </is>
      </c>
      <c r="F6" s="18" t="n">
        <v>615</v>
      </c>
      <c r="G6" s="18" t="n">
        <v>2447700</v>
      </c>
      <c r="H6" s="19">
        <f>D6*F6</f>
        <v/>
      </c>
      <c r="I6" s="19">
        <f>H6-G6</f>
        <v/>
      </c>
      <c r="J6" s="5" t="inlineStr">
        <is>
          <t>included</t>
        </is>
      </c>
      <c r="K6" s="5" t="inlineStr">
        <is>
          <t>2027-02-15</t>
        </is>
      </c>
    </row>
    <row r="7">
      <c r="A7" s="5" t="inlineStr">
        <is>
          <t>base_full_replacement</t>
        </is>
      </c>
      <c r="B7" s="5" t="inlineStr">
        <is>
          <t>B03</t>
        </is>
      </c>
      <c r="C7" s="5" t="inlineStr">
        <is>
          <t>Replace skewed hinge seals</t>
        </is>
      </c>
      <c r="D7" s="5" t="n">
        <v>1260</v>
      </c>
      <c r="E7" s="5" t="inlineStr">
        <is>
          <t>LF</t>
        </is>
      </c>
      <c r="F7" s="18" t="n">
        <v>840</v>
      </c>
      <c r="G7" s="18" t="n">
        <v>1058400</v>
      </c>
      <c r="H7" s="19">
        <f>D7*F7</f>
        <v/>
      </c>
      <c r="I7" s="19">
        <f>H7-G7</f>
        <v/>
      </c>
      <c r="J7" s="5" t="inlineStr">
        <is>
          <t>included</t>
        </is>
      </c>
      <c r="K7" s="5" t="inlineStr">
        <is>
          <t>2027-02-15</t>
        </is>
      </c>
    </row>
    <row r="8">
      <c r="A8" s="5" t="inlineStr">
        <is>
          <t>base_full_replacement</t>
        </is>
      </c>
      <c r="B8" s="5" t="inlineStr">
        <is>
          <t>B04</t>
        </is>
      </c>
      <c r="C8" s="5" t="inlineStr">
        <is>
          <t>Bearing-interface repairs</t>
        </is>
      </c>
      <c r="D8" s="5" t="n">
        <v>24</v>
      </c>
      <c r="E8" s="5" t="inlineStr">
        <is>
          <t>EA</t>
        </is>
      </c>
      <c r="F8" s="18" t="n">
        <v>18200</v>
      </c>
      <c r="G8" s="18" t="n">
        <v>436800</v>
      </c>
      <c r="H8" s="19">
        <f>D8*F8</f>
        <v/>
      </c>
      <c r="I8" s="19">
        <f>H8-G8</f>
        <v/>
      </c>
      <c r="J8" s="5" t="inlineStr">
        <is>
          <t>included</t>
        </is>
      </c>
      <c r="K8" s="5" t="inlineStr">
        <is>
          <t>2027-02-15</t>
        </is>
      </c>
    </row>
    <row r="9">
      <c r="A9" s="5" t="inlineStr">
        <is>
          <t>base_full_replacement</t>
        </is>
      </c>
      <c r="B9" s="5" t="inlineStr">
        <is>
          <t>B05</t>
        </is>
      </c>
      <c r="C9" s="5" t="inlineStr">
        <is>
          <t>Protective coating and containment</t>
        </is>
      </c>
      <c r="D9" s="5" t="n">
        <v>5240</v>
      </c>
      <c r="E9" s="5" t="inlineStr">
        <is>
          <t>SF</t>
        </is>
      </c>
      <c r="F9" s="18" t="n">
        <v>128</v>
      </c>
      <c r="G9" s="18" t="n">
        <v>670720</v>
      </c>
      <c r="H9" s="19">
        <f>D9*F9</f>
        <v/>
      </c>
      <c r="I9" s="19">
        <f>H9-G9</f>
        <v/>
      </c>
      <c r="J9" s="5" t="inlineStr">
        <is>
          <t>included</t>
        </is>
      </c>
      <c r="K9" s="5" t="inlineStr">
        <is>
          <t>2027-02-15</t>
        </is>
      </c>
    </row>
    <row r="10">
      <c r="A10" s="5" t="inlineStr">
        <is>
          <t>base_full_replacement</t>
        </is>
      </c>
      <c r="B10" s="5" t="inlineStr">
        <is>
          <t>B06</t>
        </is>
      </c>
      <c r="C10" s="5" t="inlineStr">
        <is>
          <t>Ferry operations and traffic staging</t>
        </is>
      </c>
      <c r="D10" s="5" t="n">
        <v>1</v>
      </c>
      <c r="E10" s="5" t="inlineStr">
        <is>
          <t>LS</t>
        </is>
      </c>
      <c r="F10" s="18" t="n">
        <v>410000</v>
      </c>
      <c r="G10" s="18" t="n">
        <v>410000</v>
      </c>
      <c r="H10" s="19">
        <f>D10*F10</f>
        <v/>
      </c>
      <c r="I10" s="19">
        <f>H10-G10</f>
        <v/>
      </c>
      <c r="J10" s="12" t="inlineStr">
        <is>
          <t>allowance</t>
        </is>
      </c>
      <c r="K10" s="5" t="inlineStr">
        <is>
          <t>2027-02-15</t>
        </is>
      </c>
    </row>
    <row r="11">
      <c r="A11" s="5" t="inlineStr">
        <is>
          <t>base_full_replacement</t>
        </is>
      </c>
      <c r="B11" s="5" t="inlineStr">
        <is>
          <t>B07</t>
        </is>
      </c>
      <c r="C11" s="5" t="inlineStr">
        <is>
          <t>Mobilization and submitted allowances</t>
        </is>
      </c>
      <c r="D11" s="5" t="n">
        <v>1</v>
      </c>
      <c r="E11" s="5" t="inlineStr">
        <is>
          <t>LS</t>
        </is>
      </c>
      <c r="F11" s="18" t="n">
        <v>525000</v>
      </c>
      <c r="G11" s="18" t="n">
        <v>525000</v>
      </c>
      <c r="H11" s="19">
        <f>D11*F11</f>
        <v/>
      </c>
      <c r="I11" s="19">
        <f>H11-G11</f>
        <v/>
      </c>
      <c r="J11" s="5" t="inlineStr">
        <is>
          <t>included</t>
        </is>
      </c>
      <c r="K11" s="5" t="inlineStr">
        <is>
          <t>2027-02-15</t>
        </is>
      </c>
    </row>
    <row r="12">
      <c r="A12" s="5" t="inlineStr">
        <is>
          <t>ve_overlay_frp</t>
        </is>
      </c>
      <c r="B12" s="5" t="inlineStr">
        <is>
          <t>V01</t>
        </is>
      </c>
      <c r="C12" s="5" t="inlineStr">
        <is>
          <t>Selective panel removal</t>
        </is>
      </c>
      <c r="D12" s="5" t="n">
        <v>1360</v>
      </c>
      <c r="E12" s="5" t="inlineStr">
        <is>
          <t>SF</t>
        </is>
      </c>
      <c r="F12" s="18" t="n">
        <v>112</v>
      </c>
      <c r="G12" s="18" t="n">
        <v>152320</v>
      </c>
      <c r="H12" s="19">
        <f>D12*F12</f>
        <v/>
      </c>
      <c r="I12" s="19">
        <f>H12-G12</f>
        <v/>
      </c>
      <c r="J12" s="5" t="inlineStr">
        <is>
          <t>included</t>
        </is>
      </c>
      <c r="K12" s="5" t="inlineStr">
        <is>
          <t>2027-04-01</t>
        </is>
      </c>
    </row>
    <row r="13">
      <c r="A13" s="5" t="inlineStr">
        <is>
          <t>ve_overlay_frp</t>
        </is>
      </c>
      <c r="B13" s="5" t="inlineStr">
        <is>
          <t>V02</t>
        </is>
      </c>
      <c r="C13" s="5" t="inlineStr">
        <is>
          <t>Install qualified FRP panel zones</t>
        </is>
      </c>
      <c r="D13" s="5" t="n">
        <v>1360</v>
      </c>
      <c r="E13" s="5" t="inlineStr">
        <is>
          <t>SF</t>
        </is>
      </c>
      <c r="F13" s="18" t="n">
        <v>488</v>
      </c>
      <c r="G13" s="18" t="n">
        <v>663680</v>
      </c>
      <c r="H13" s="19">
        <f>D13*F13</f>
        <v/>
      </c>
      <c r="I13" s="19">
        <f>H13-G13</f>
        <v/>
      </c>
      <c r="J13" s="5" t="inlineStr">
        <is>
          <t>included</t>
        </is>
      </c>
      <c r="K13" s="5" t="inlineStr">
        <is>
          <t>2027-04-01</t>
        </is>
      </c>
    </row>
    <row r="14">
      <c r="A14" s="5" t="inlineStr">
        <is>
          <t>ve_overlay_frp</t>
        </is>
      </c>
      <c r="B14" s="5" t="inlineStr">
        <is>
          <t>V03</t>
        </is>
      </c>
      <c r="C14" s="5" t="inlineStr">
        <is>
          <t>Prepare and install wearing overlay</t>
        </is>
      </c>
      <c r="D14" s="5" t="n">
        <v>3980</v>
      </c>
      <c r="E14" s="5" t="inlineStr">
        <is>
          <t>SF</t>
        </is>
      </c>
      <c r="F14" s="18" t="n">
        <v>174</v>
      </c>
      <c r="G14" s="18" t="n">
        <v>692520</v>
      </c>
      <c r="H14" s="19">
        <f>D14*F14</f>
        <v/>
      </c>
      <c r="I14" s="19">
        <f>H14-G14</f>
        <v/>
      </c>
      <c r="J14" s="5" t="inlineStr">
        <is>
          <t>included</t>
        </is>
      </c>
      <c r="K14" s="5" t="inlineStr">
        <is>
          <t>2027-04-01</t>
        </is>
      </c>
    </row>
    <row r="15">
      <c r="A15" s="5" t="inlineStr">
        <is>
          <t>ve_overlay_frp</t>
        </is>
      </c>
      <c r="B15" s="5" t="inlineStr">
        <is>
          <t>V04</t>
        </is>
      </c>
      <c r="C15" s="5" t="inlineStr">
        <is>
          <t>Rehabilitate skewed hinge seals</t>
        </is>
      </c>
      <c r="D15" s="5" t="n">
        <v>1260</v>
      </c>
      <c r="E15" s="5" t="inlineStr">
        <is>
          <t>LF</t>
        </is>
      </c>
      <c r="F15" s="18" t="n">
        <v>515</v>
      </c>
      <c r="G15" s="18" t="n">
        <v>648900</v>
      </c>
      <c r="H15" s="19">
        <f>D15*F15</f>
        <v/>
      </c>
      <c r="I15" s="19">
        <f>H15-G15</f>
        <v/>
      </c>
      <c r="J15" s="12" t="inlineStr">
        <is>
          <t>allowance</t>
        </is>
      </c>
      <c r="K15" s="5" t="inlineStr">
        <is>
          <t>2027-04-01</t>
        </is>
      </c>
    </row>
    <row r="16">
      <c r="A16" s="5" t="inlineStr">
        <is>
          <t>ve_overlay_frp</t>
        </is>
      </c>
      <c r="B16" s="5" t="inlineStr">
        <is>
          <t>V05</t>
        </is>
      </c>
      <c r="C16" s="5" t="inlineStr">
        <is>
          <t>Localized corrosion and bearing repair</t>
        </is>
      </c>
      <c r="D16" s="5" t="n">
        <v>820</v>
      </c>
      <c r="E16" s="5" t="inlineStr">
        <is>
          <t>SF</t>
        </is>
      </c>
      <c r="F16" s="18" t="n">
        <v>246</v>
      </c>
      <c r="G16" s="18" t="n">
        <v>201720</v>
      </c>
      <c r="H16" s="19">
        <f>D16*F16</f>
        <v/>
      </c>
      <c r="I16" s="19">
        <f>H16-G16</f>
        <v/>
      </c>
      <c r="J16" s="5" t="inlineStr">
        <is>
          <t>included</t>
        </is>
      </c>
      <c r="K16" s="5" t="inlineStr">
        <is>
          <t>2027-04-01</t>
        </is>
      </c>
    </row>
    <row r="17">
      <c r="A17" s="5" t="inlineStr">
        <is>
          <t>ve_overlay_frp</t>
        </is>
      </c>
      <c r="B17" s="5" t="inlineStr">
        <is>
          <t>V06</t>
        </is>
      </c>
      <c r="C17" s="5" t="inlineStr">
        <is>
          <t>Ferry operations and traffic staging</t>
        </is>
      </c>
      <c r="D17" s="5" t="n">
        <v>1</v>
      </c>
      <c r="E17" s="5" t="inlineStr">
        <is>
          <t>LS</t>
        </is>
      </c>
      <c r="F17" s="18" t="n">
        <v>315000</v>
      </c>
      <c r="G17" s="18" t="n">
        <v>315000</v>
      </c>
      <c r="H17" s="19">
        <f>D17*F17</f>
        <v/>
      </c>
      <c r="I17" s="19">
        <f>H17-G17</f>
        <v/>
      </c>
      <c r="J17" s="5" t="inlineStr">
        <is>
          <t>included</t>
        </is>
      </c>
      <c r="K17" s="5" t="inlineStr">
        <is>
          <t>2027-04-01</t>
        </is>
      </c>
    </row>
    <row r="18">
      <c r="A18" s="5" t="inlineStr">
        <is>
          <t>ve_overlay_frp</t>
        </is>
      </c>
      <c r="B18" s="5" t="inlineStr">
        <is>
          <t>V07</t>
        </is>
      </c>
      <c r="C18" s="5" t="inlineStr">
        <is>
          <t>Qualification testing and submitted allowance</t>
        </is>
      </c>
      <c r="D18" s="5" t="n">
        <v>1</v>
      </c>
      <c r="E18" s="5" t="inlineStr">
        <is>
          <t>LS</t>
        </is>
      </c>
      <c r="F18" s="18" t="n">
        <v>285000</v>
      </c>
      <c r="G18" s="18" t="n">
        <v>285000</v>
      </c>
      <c r="H18" s="19">
        <f>D18*F18</f>
        <v/>
      </c>
      <c r="I18" s="19">
        <f>H18-G18</f>
        <v/>
      </c>
      <c r="J18" s="5" t="inlineStr">
        <is>
          <t>included</t>
        </is>
      </c>
      <c r="K18" s="5" t="inlineStr">
        <is>
          <t>2027-04-01</t>
        </is>
      </c>
    </row>
    <row r="19">
      <c r="A19" s="5" t="inlineStr">
        <is>
          <t>add_alternate</t>
        </is>
      </c>
      <c r="B19" s="5" t="inlineStr">
        <is>
          <t>A01</t>
        </is>
      </c>
      <c r="C19" s="5" t="inlineStr">
        <is>
          <t>Expanded bearing NDE and contingent repair</t>
        </is>
      </c>
      <c r="D19" s="5" t="n">
        <v>12</v>
      </c>
      <c r="E19" s="5" t="inlineStr">
        <is>
          <t>EA</t>
        </is>
      </c>
      <c r="F19" s="18" t="n">
        <v>14600</v>
      </c>
      <c r="G19" s="18" t="n">
        <v>175200</v>
      </c>
      <c r="H19" s="19">
        <f>D19*F19</f>
        <v/>
      </c>
      <c r="I19" s="19">
        <f>H19-G19</f>
        <v/>
      </c>
      <c r="J19" s="5" t="inlineStr">
        <is>
          <t>included</t>
        </is>
      </c>
      <c r="K19" s="5" t="inlineStr">
        <is>
          <t>2027-04-01</t>
        </is>
      </c>
    </row>
    <row r="20">
      <c r="A20" s="5" t="inlineStr">
        <is>
          <t>add_alternate</t>
        </is>
      </c>
      <c r="B20" s="5" t="inlineStr">
        <is>
          <t>A02</t>
        </is>
      </c>
      <c r="C20" s="5" t="inlineStr">
        <is>
          <t>Additional overnight closure window</t>
        </is>
      </c>
      <c r="D20" s="5" t="n">
        <v>3</v>
      </c>
      <c r="E20" s="5" t="inlineStr">
        <is>
          <t>EA</t>
        </is>
      </c>
      <c r="F20" s="18" t="n">
        <v>52000</v>
      </c>
      <c r="G20" s="18" t="n">
        <v>156000</v>
      </c>
      <c r="H20" s="19">
        <f>D20*F20</f>
        <v/>
      </c>
      <c r="I20" s="19">
        <f>H20-G20</f>
        <v/>
      </c>
      <c r="J20" s="12" t="inlineStr">
        <is>
          <t>allowance</t>
        </is>
      </c>
      <c r="K20" s="5" t="inlineStr">
        <is>
          <t>2027-04-01</t>
        </is>
      </c>
    </row>
    <row r="22">
      <c r="C22" s="13" t="inlineStr">
        <is>
          <t>TOTAL base_full_replacement (B01–B07)</t>
        </is>
      </c>
      <c r="H22" s="20">
        <f>SUMIF($A$5:$A$21,"base_full_replacement",H5:H21)</f>
        <v/>
      </c>
    </row>
    <row r="23">
      <c r="C23" s="13" t="inlineStr">
        <is>
          <t>TOTAL ve_overlay_frp (V01–V07)</t>
        </is>
      </c>
      <c r="H23" s="20">
        <f>SUMIF($A$5:$A$21,"ve_overlay_frp",H5:H21)</f>
        <v/>
      </c>
    </row>
    <row r="24">
      <c r="C24" s="13" t="inlineStr">
        <is>
          <t>TOTAL add_alternate (A01–A02)</t>
        </is>
      </c>
      <c r="H24" s="20">
        <f>SUMIF($A$5:$A$21,"add_alternate",H5:H21)</f>
        <v/>
      </c>
    </row>
    <row r="26" ht="28" customHeight="1">
      <c r="A26" s="3" t="inlineStr">
        <is>
          <t>All amounts are internally consistent (Δ = 0 expected). Items flagged "allowance" are not firm quantities/prices — they are submitted placeholders requiring board-approved basis per FMR-012 (risk) and FMR-009/010 (LS items).</t>
        </is>
      </c>
    </row>
  </sheetData>
  <mergeCells count="1">
    <mergeCell ref="A26:K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6" customWidth="1" min="3" max="3"/>
    <col width="70" customWidth="1" min="4" max="4"/>
    <col width="46" customWidth="1" min="5" max="5"/>
  </cols>
  <sheetData>
    <row r="1">
      <c r="A1" s="1" t="inlineStr">
        <is>
          <t>Market &amp; Price-Basis Evidence vs Submitted Unit Prices</t>
        </is>
      </c>
    </row>
    <row r="2">
      <c r="A2" s="2" t="inlineStr">
        <is>
          <t>Benchmarks are governing-reference ranges; submitted prices are unverified claims (ferry_base_ve_bid_items.csv, evidence_status=submitted_unverified).</t>
        </is>
      </c>
    </row>
    <row r="4">
      <c r="A4" s="4" t="inlineStr">
        <is>
          <t>Item</t>
        </is>
      </c>
      <c r="B4" s="4" t="inlineStr">
        <is>
          <t>Submitted unit price</t>
        </is>
      </c>
      <c r="C4" s="4" t="inlineStr">
        <is>
          <t>Benchmark range</t>
        </is>
      </c>
      <c r="D4" s="4" t="inlineStr">
        <is>
          <t>Benchmark basis / locator</t>
        </is>
      </c>
      <c r="E4" s="4" t="inlineStr">
        <is>
          <t>Assessment</t>
        </is>
      </c>
    </row>
    <row r="5" ht="44" customHeight="1">
      <c r="A5" s="7" t="inlineStr">
        <is>
          <t>B02 Fabricate+install orthotropic steel panels ($/SF)</t>
        </is>
      </c>
      <c r="B5" s="7" t="inlineStr">
        <is>
          <t>615</t>
        </is>
      </c>
      <c r="C5" s="7" t="inlineStr">
        <is>
          <t>Structural carbon steel $2.75–3.75/LB (≈$42–57/SF plate material at 0.375 in, 15.3 lb/SF)</t>
        </is>
      </c>
      <c r="D5" s="7" t="inlineStr">
        <is>
          <t>WSDOT BDM Ch.12 App. 12.3-A3 (PDF p.35); steel weight 490 lb/ft³ per Std Spec 6-03.5 (PDF p.515)</t>
        </is>
      </c>
      <c r="E5" s="21" t="inlineStr">
        <is>
          <t>NOT COMPARABLE to material index — price includes fabrication, orthotropic details, install; no direct supplied benchmark. UNVALIDATED — retain price risk.</t>
        </is>
      </c>
    </row>
    <row r="6" ht="44" customHeight="1">
      <c r="A6" s="7" t="inlineStr">
        <is>
          <t>B05 Protective coating + containment ($/SF)</t>
        </is>
      </c>
      <c r="B6" s="7" t="inlineStr">
        <is>
          <t>128</t>
        </is>
      </c>
      <c r="C6" s="7" t="inlineStr">
        <is>
          <t>Painting existing steel bridges $15–45/SF</t>
        </is>
      </c>
      <c r="D6" s="7" t="inlineStr">
        <is>
          <t>WSDOT BDM Ch.12 App. 12.3-A4 (PDF p.37)</t>
        </is>
      </c>
      <c r="E6" s="21" t="inlineStr">
        <is>
          <t>ABOVE supplied range; ferry-terminal SSPC Guide 6 Class 1 full-removal containment (Std Spec 6-07.3(12)/(10)A, PDF pp.548,558-559) is more onerous than the generic range, but premium is UNVALIDATED — flag.</t>
        </is>
      </c>
    </row>
    <row r="7" ht="44" customHeight="1">
      <c r="A7" s="7" t="inlineStr">
        <is>
          <t>B03 Replace skewed hinge seals ($/LF)</t>
        </is>
      </c>
      <c r="B7" s="7" t="inlineStr">
        <is>
          <t>840</t>
        </is>
      </c>
      <c r="C7" s="7" t="inlineStr">
        <is>
          <t>Strip seal $450–900/LF; modular joint $500–7,000/LF</t>
        </is>
      </c>
      <c r="D7" s="7" t="inlineStr">
        <is>
          <t>WSDOT BDM Ch.12 Superstructure Cost table (PDF p.36)</t>
        </is>
      </c>
      <c r="E7" s="22" t="inlineStr">
        <is>
          <t>WITHIN supplied range. Plausible; still submitted_unverified.</t>
        </is>
      </c>
    </row>
    <row r="8" ht="44" customHeight="1">
      <c r="A8" s="7" t="inlineStr">
        <is>
          <t>V04 Rehabilitate skewed hinge seals ($/LF)</t>
        </is>
      </c>
      <c r="B8" s="7" t="inlineStr">
        <is>
          <t>515</t>
        </is>
      </c>
      <c r="C8" s="7" t="inlineStr">
        <is>
          <t>Strip seal $450–900/LF</t>
        </is>
      </c>
      <c r="D8" s="7" t="inlineStr">
        <is>
          <t>WSDOT BDM Ch.12 Superstructure Cost table (PDF p.36)</t>
        </is>
      </c>
      <c r="E8" s="22" t="inlineStr">
        <is>
          <t>WITHIN supplied range (low end). Plausible for rehab scope.</t>
        </is>
      </c>
    </row>
    <row r="9" ht="44" customHeight="1">
      <c r="A9" s="7" t="inlineStr">
        <is>
          <t>V05 Localized corrosion &amp; bearing repair ($/SF)</t>
        </is>
      </c>
      <c r="B9" s="7" t="inlineStr">
        <is>
          <t>246</t>
        </is>
      </c>
      <c r="C9" s="7" t="inlineStr">
        <is>
          <t>Bridge deck repair $150–350/SF</t>
        </is>
      </c>
      <c r="D9" s="7" t="inlineStr">
        <is>
          <t>WSDOT BDM Ch.12 App. 12.3-A4 (PDF p.37)</t>
        </is>
      </c>
      <c r="E9" s="22" t="inlineStr">
        <is>
          <t>WITHIN supplied range (concrete deck repair used as proxy; steel loss repair is a different work type — treat as indicative only).</t>
        </is>
      </c>
    </row>
    <row r="10" ht="44" customHeight="1">
      <c r="A10" s="7" t="inlineStr">
        <is>
          <t>V03 Wearing overlay ($/SF)</t>
        </is>
      </c>
      <c r="B10" s="7" t="inlineStr">
        <is>
          <t>174</t>
        </is>
      </c>
      <c r="C10" s="7" t="inlineStr">
        <is>
          <t>Modified concrete overlay $35–50/CF; furnish+cure $40–75/SY</t>
        </is>
      </c>
      <c r="D10" s="7" t="inlineStr">
        <is>
          <t>WSDOT BDM Ch.12 Superstructure Cost table (PDF p.36)</t>
        </is>
      </c>
      <c r="E10" s="21" t="inlineStr">
        <is>
          <t>ABOVE supplied ranges; V03 is a polymer/FRP-compatible wearing surface on steel, not modified concrete — no direct supplied benchmark. UNVALIDATED — retain price risk.</t>
        </is>
      </c>
    </row>
    <row r="11" ht="44" customHeight="1">
      <c r="A11" s="7" t="inlineStr">
        <is>
          <t>B07 Mobilization + submitted allowances (LS)</t>
        </is>
      </c>
      <c r="B11" s="7" t="inlineStr">
        <is>
          <t>525000</t>
        </is>
      </c>
      <c r="C11" s="7" t="inlineStr">
        <is>
          <t>Mobilization 8–10% of contract total for $5–10M contracts</t>
        </is>
      </c>
      <c r="D11" s="7" t="inlineStr">
        <is>
          <t>WSDOT CEM M 30-34.04 §14.17 Exhibit 14-5 (PDF p.85); BDM 12.3-A4 "Mobilization — 10%" (PDF p.37)</t>
        </is>
      </c>
      <c r="E11" s="22">
        <f>9.7% of base work items (formula below) — WITHIN band. Note item bundles unspecified "submitted allowances" — breakdown required per CEM §10.07/§10.08 (lump-sum justification).</f>
        <v/>
      </c>
    </row>
    <row r="12" ht="44" customHeight="1">
      <c r="A12" s="7" t="inlineStr">
        <is>
          <t>Escalation basis</t>
        </is>
      </c>
      <c r="B12" s="7" t="inlineStr">
        <is>
          <t>—</t>
        </is>
      </c>
      <c r="C12" s="7" t="inlineStr">
        <is>
          <t>PPI ready-mix concrete +2.18%/yr latest (2025-07→2026-07)</t>
        </is>
      </c>
      <c r="D12" s="7" t="inlineStr">
        <is>
          <t>FRED PCU327320327320 (fred_ppi_ready_mix_concrete.csv, observations 2025-07=393.322, 2026-07=401.896)</t>
        </is>
      </c>
      <c r="E12" s="7" t="inlineStr">
        <is>
          <t>Used as escalation proxy (Parameters P02). Ready-mix is a concrete index; steel/fab index not supplied — stated limitation.</t>
        </is>
      </c>
    </row>
    <row r="13" ht="44" customHeight="1">
      <c r="A13" s="7" t="inlineStr">
        <is>
          <t>WSDOT 2025 bid history</t>
        </is>
      </c>
      <c r="B13" s="7" t="inlineStr">
        <is>
          <t>—</t>
        </is>
      </c>
      <c r="C13" s="7" t="inlineStr">
        <is>
          <t>33-page contract bid history, award dates Jan–Jun 2025</t>
        </is>
      </c>
      <c r="D13" s="7" t="inlineStr">
        <is>
          <t>wsdot_bid_history_2025.pdf (DOT_RGGB02, dated 6/13/2025)</t>
        </is>
      </c>
      <c r="E13" s="7" t="inlineStr">
        <is>
          <t>33 contracts, one per page pp.1-33, awards Jan-Jun 2025. Low bid vs engineer estimate: median -4.3%, mean -1.6%, 21 of 33 under (computed from report figures). ONE directly comparable marine/ferry steel contract: XE3589 SR 304 Bremerton Ferry Terminal Slip 2 Dolphin Replacements (p.6, award 03/11/2025, est $3,091,020, low bid $2,874,016 = -7.0%, 4 bidders, Kitsap). NO orthotropic-panel, FRP, or ferry-ramp bid items in the report -&gt; specialty submitted prices remain UNVALIDATED; competitive ferry-terminal marine work is bidding ~7% under estimate.</t>
        </is>
      </c>
    </row>
    <row r="14"/>
    <row r="15">
      <c r="A15" s="13" t="inlineStr">
        <is>
          <t>Mobilization check: =Submitted_Bids B07 / (base total − B07):</t>
        </is>
      </c>
      <c r="D15" s="23">
        <f>525000/(Submitted_Bids!H22-525000)</f>
        <v/>
      </c>
    </row>
    <row r="16"/>
    <row r="17"/>
    <row r="18"/>
    <row r="19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12" customWidth="1" min="3" max="3"/>
    <col width="7" customWidth="1" min="4" max="4"/>
    <col width="12" customWidth="1" min="5" max="5"/>
    <col width="14" customWidth="1" min="6" max="6"/>
    <col width="22" customWidth="1" min="7" max="7"/>
    <col width="44" customWidth="1" min="8" max="8"/>
  </cols>
  <sheetData>
    <row r="1">
      <c r="A1" s="1" t="inlineStr">
        <is>
          <t>Independent Engineer Estimate — common scope, payable quantities</t>
        </is>
      </c>
    </row>
    <row r="2">
      <c r="A2" s="2" t="inlineStr">
        <is>
          <t>Quantities = specification-payable (Quantity_Reconciliation); price basis = submitted unit prices (unverified, flagged); markups per Parameters.</t>
        </is>
      </c>
    </row>
    <row r="4">
      <c r="A4" s="4" t="inlineStr">
        <is>
          <t>Line</t>
        </is>
      </c>
      <c r="B4" s="4" t="inlineStr">
        <is>
          <t>Item</t>
        </is>
      </c>
      <c r="C4" s="4" t="inlineStr">
        <is>
          <t>Payable qty</t>
        </is>
      </c>
      <c r="D4" s="4" t="inlineStr">
        <is>
          <t>Unit</t>
        </is>
      </c>
      <c r="E4" s="4" t="inlineStr">
        <is>
          <t>Unit price ($)</t>
        </is>
      </c>
      <c r="F4" s="4" t="inlineStr">
        <is>
          <t>Amount ($)</t>
        </is>
      </c>
      <c r="G4" s="4" t="inlineStr">
        <is>
          <t>Price basis</t>
        </is>
      </c>
      <c r="H4" s="4" t="inlineStr">
        <is>
          <t>Note</t>
        </is>
      </c>
    </row>
    <row r="5">
      <c r="A5" s="13" t="inlineStr">
        <is>
          <t>BASE OPTION — full steel deck-panel replacement</t>
        </is>
      </c>
    </row>
    <row r="6" ht="30" customHeight="1">
      <c r="A6" s="5" t="inlineStr">
        <is>
          <t>E01</t>
        </is>
      </c>
      <c r="B6" s="5" t="inlineStr">
        <is>
          <t>Remove existing steel deck panels</t>
        </is>
      </c>
      <c r="C6" s="10">
        <f>Quantity_Reconciliation!C5</f>
        <v/>
      </c>
      <c r="D6" s="5" t="inlineStr">
        <is>
          <t>SF</t>
        </is>
      </c>
      <c r="E6" s="24" t="n">
        <v>96</v>
      </c>
      <c r="F6" s="19">
        <f>C6*E6</f>
        <v/>
      </c>
      <c r="G6" s="5" t="inlineStr">
        <is>
          <t>submitted_unverified</t>
        </is>
      </c>
      <c r="H6" s="7" t="inlineStr">
        <is>
          <t>Bid B01 qty 3980 → payable 3,977.6 (FMR-001)</t>
        </is>
      </c>
    </row>
    <row r="7" ht="30" customHeight="1">
      <c r="A7" s="5" t="inlineStr">
        <is>
          <t>E02</t>
        </is>
      </c>
      <c r="B7" s="5" t="inlineStr">
        <is>
          <t>Fabricate and install orthotropic steel panels</t>
        </is>
      </c>
      <c r="C7" s="10">
        <f>Quantity_Reconciliation!C6</f>
        <v/>
      </c>
      <c r="D7" s="5" t="inlineStr">
        <is>
          <t>SF</t>
        </is>
      </c>
      <c r="E7" s="24" t="n">
        <v>615</v>
      </c>
      <c r="F7" s="19">
        <f>C7*E7</f>
        <v/>
      </c>
      <c r="G7" s="5" t="inlineStr">
        <is>
          <t>submitted_unverified</t>
        </is>
      </c>
      <c r="H7" s="7" t="inlineStr">
        <is>
          <t>Payable whole SF (FMR-002); price unvalidated vs BDM material index</t>
        </is>
      </c>
    </row>
    <row r="8" ht="30" customHeight="1">
      <c r="A8" s="5" t="inlineStr">
        <is>
          <t>E03</t>
        </is>
      </c>
      <c r="B8" s="5" t="inlineStr">
        <is>
          <t>Replace skewed hinge/joint seals</t>
        </is>
      </c>
      <c r="C8" s="10">
        <f>Quantity_Reconciliation!C7</f>
        <v/>
      </c>
      <c r="D8" s="5" t="inlineStr">
        <is>
          <t>LF</t>
        </is>
      </c>
      <c r="E8" s="24" t="n">
        <v>840</v>
      </c>
      <c r="F8" s="19">
        <f>C8*E8</f>
        <v/>
      </c>
      <c r="G8" s="5" t="inlineStr">
        <is>
          <t>submitted_unverified</t>
        </is>
      </c>
      <c r="H8" s="7" t="inlineStr">
        <is>
          <t>Payable geometric skew length (FMR-004); U2 scope boundary flagged</t>
        </is>
      </c>
    </row>
    <row r="9" ht="30" customHeight="1">
      <c r="A9" s="5" t="inlineStr">
        <is>
          <t>E04</t>
        </is>
      </c>
      <c r="B9" s="5" t="inlineStr">
        <is>
          <t>Bearing-interface repairs</t>
        </is>
      </c>
      <c r="C9" s="10">
        <f>Quantity_Reconciliation!C10</f>
        <v/>
      </c>
      <c r="D9" s="5" t="inlineStr">
        <is>
          <t>EA</t>
        </is>
      </c>
      <c r="E9" s="24" t="n">
        <v>18200</v>
      </c>
      <c r="F9" s="19">
        <f>C9*E9</f>
        <v/>
      </c>
      <c r="G9" s="5" t="inlineStr">
        <is>
          <t>submitted_unverified</t>
        </is>
      </c>
      <c r="H9" s="7" t="inlineStr">
        <is>
          <t>24 zones; condition "conditional" per FEE-006 — see A01 alternate</t>
        </is>
      </c>
    </row>
    <row r="10" ht="30" customHeight="1">
      <c r="A10" s="5" t="inlineStr">
        <is>
          <t>E05</t>
        </is>
      </c>
      <c r="B10" s="5" t="inlineStr">
        <is>
          <t>Protective coating and containment</t>
        </is>
      </c>
      <c r="C10" s="10">
        <f>Quantity_Reconciliation!C11</f>
        <v/>
      </c>
      <c r="D10" s="5" t="inlineStr">
        <is>
          <t>SF</t>
        </is>
      </c>
      <c r="E10" s="24" t="n">
        <v>128</v>
      </c>
      <c r="F10" s="19">
        <f>C10*E10</f>
        <v/>
      </c>
      <c r="G10" s="5" t="inlineStr">
        <is>
          <t>submitted_unverified</t>
        </is>
      </c>
      <c r="H10" s="7" t="inlineStr">
        <is>
          <t>Payable DFT-passing only (FMR-007); adhesion evidence contradicted (FEE-003)</t>
        </is>
      </c>
    </row>
    <row r="11" ht="30" customHeight="1">
      <c r="A11" s="5" t="inlineStr">
        <is>
          <t>E06</t>
        </is>
      </c>
      <c r="B11" s="5" t="inlineStr">
        <is>
          <t>Ferry operations and traffic staging (LS allowance)</t>
        </is>
      </c>
      <c r="C11" s="10" t="n">
        <v>1</v>
      </c>
      <c r="D11" s="5" t="inlineStr">
        <is>
          <t>LS</t>
        </is>
      </c>
      <c r="E11" s="24" t="n">
        <v>410000</v>
      </c>
      <c r="F11" s="19">
        <f>C11*E11</f>
        <v/>
      </c>
      <c r="G11" s="5" t="inlineStr">
        <is>
          <t>submitted allowance</t>
        </is>
      </c>
      <c r="H11" s="7" t="inlineStr">
        <is>
          <t>FMR-010: approved stage plans only; 6-hr closure contradicted (FEE-007)</t>
        </is>
      </c>
    </row>
    <row r="12" ht="30" customHeight="1">
      <c r="A12" s="5" t="inlineStr">
        <is>
          <t>E07</t>
        </is>
      </c>
      <c r="B12" s="5" t="inlineStr">
        <is>
          <t>Mobilization and submitted allowances (LS)</t>
        </is>
      </c>
      <c r="C12" s="10" t="n">
        <v>1</v>
      </c>
      <c r="D12" s="5" t="inlineStr">
        <is>
          <t>LS</t>
        </is>
      </c>
      <c r="E12" s="24" t="n">
        <v>525000</v>
      </c>
      <c r="F12" s="19">
        <f>C12*E12</f>
        <v/>
      </c>
      <c r="G12" s="5" t="inlineStr">
        <is>
          <t>submitted_unverified</t>
        </is>
      </c>
      <c r="H12" s="7" t="inlineStr">
        <is>
          <t>9.7% of work items — within CEM Exh.14-5 band; breakdown required</t>
        </is>
      </c>
    </row>
    <row r="13">
      <c r="B13" s="13" t="inlineStr">
        <is>
          <t>Base construction subtotal (payable quantities)</t>
        </is>
      </c>
      <c r="F13" s="25">
        <f>SUM(F6:F12)</f>
        <v/>
      </c>
    </row>
    <row r="14">
      <c r="A14" s="13" t="inlineStr">
        <is>
          <t>VE OPTION — staged overlay/FRP panel concept</t>
        </is>
      </c>
    </row>
    <row r="15" ht="30" customHeight="1">
      <c r="A15" s="5" t="inlineStr">
        <is>
          <t>E08</t>
        </is>
      </c>
      <c r="B15" s="5" t="inlineStr">
        <is>
          <t>Selective panel removal</t>
        </is>
      </c>
      <c r="C15" s="10">
        <f>Quantity_Reconciliation!C12</f>
        <v/>
      </c>
      <c r="D15" s="5" t="inlineStr">
        <is>
          <t>SF</t>
        </is>
      </c>
      <c r="E15" s="24" t="n">
        <v>112</v>
      </c>
      <c r="F15" s="19">
        <f>C15*E15</f>
        <v/>
      </c>
      <c r="G15" s="5" t="inlineStr">
        <is>
          <t>submitted_unverified</t>
        </is>
      </c>
      <c r="H15" s="7" t="inlineStr">
        <is>
          <t>FRP zone = submitted max boundary 1,360 SF (34.2% of deck)</t>
        </is>
      </c>
    </row>
    <row r="16" ht="30" customHeight="1">
      <c r="A16" s="5" t="inlineStr">
        <is>
          <t>E09</t>
        </is>
      </c>
      <c r="B16" s="5" t="inlineStr">
        <is>
          <t>Install qualified FRP panel zones</t>
        </is>
      </c>
      <c r="C16" s="10">
        <f>Quantity_Reconciliation!C12</f>
        <v/>
      </c>
      <c r="D16" s="5" t="inlineStr">
        <is>
          <t>SF</t>
        </is>
      </c>
      <c r="E16" s="24" t="n">
        <v>488</v>
      </c>
      <c r="F16" s="19">
        <f>C16*E16</f>
        <v/>
      </c>
      <c r="G16" s="5" t="inlineStr">
        <is>
          <t>submitted_unverified</t>
        </is>
      </c>
      <c r="H16" s="7" t="inlineStr">
        <is>
          <t>CONDITION PRECEDENT: FRP qualification field verification (FEE-008)</t>
        </is>
      </c>
    </row>
    <row r="17" ht="30" customHeight="1">
      <c r="A17" s="5" t="inlineStr">
        <is>
          <t>E10</t>
        </is>
      </c>
      <c r="B17" s="5" t="inlineStr">
        <is>
          <t>Prepare and install wearing overlay</t>
        </is>
      </c>
      <c r="C17" s="10">
        <f>Quantity_Reconciliation!C8</f>
        <v/>
      </c>
      <c r="D17" s="5" t="inlineStr">
        <is>
          <t>SF</t>
        </is>
      </c>
      <c r="E17" s="24" t="n">
        <v>174</v>
      </c>
      <c r="F17" s="19">
        <f>C17*E17</f>
        <v/>
      </c>
      <c r="G17" s="5" t="inlineStr">
        <is>
          <t>submitted_unverified</t>
        </is>
      </c>
      <c r="H17" s="7" t="inlineStr">
        <is>
          <t>Payable accepted finished surface (FMR-003); chloride/adhesion gates open</t>
        </is>
      </c>
    </row>
    <row r="18" ht="30" customHeight="1">
      <c r="A18" s="5" t="inlineStr">
        <is>
          <t>E11</t>
        </is>
      </c>
      <c r="B18" s="5" t="inlineStr">
        <is>
          <t>Rehabilitate skewed hinge/joint seals</t>
        </is>
      </c>
      <c r="C18" s="10">
        <f>Quantity_Reconciliation!C7</f>
        <v/>
      </c>
      <c r="D18" s="5" t="inlineStr">
        <is>
          <t>LF</t>
        </is>
      </c>
      <c r="E18" s="24" t="n">
        <v>515</v>
      </c>
      <c r="F18" s="19">
        <f>C18*E18</f>
        <v/>
      </c>
      <c r="G18" s="5" t="inlineStr">
        <is>
          <t>submitted allowance</t>
        </is>
      </c>
      <c r="H18" s="7" t="inlineStr">
        <is>
          <t>Payable geometric skew length (FMR-004); submitted scope_status=allowance</t>
        </is>
      </c>
    </row>
    <row r="19" ht="30" customHeight="1">
      <c r="A19" s="5" t="inlineStr">
        <is>
          <t>E12</t>
        </is>
      </c>
      <c r="B19" s="5" t="inlineStr">
        <is>
          <t>Localized corrosion and bearing repair</t>
        </is>
      </c>
      <c r="C19" s="10">
        <f>Quantity_Reconciliation!C9</f>
        <v/>
      </c>
      <c r="D19" s="5" t="inlineStr">
        <is>
          <t>SF</t>
        </is>
      </c>
      <c r="E19" s="24" t="n">
        <v>246</v>
      </c>
      <c r="F19" s="19">
        <f>C19*E19</f>
        <v/>
      </c>
      <c r="G19" s="5" t="inlineStr">
        <is>
          <t>submitted_unverified</t>
        </is>
      </c>
      <c r="H19" s="7" t="inlineStr">
        <is>
          <t>Payable = MAPPED area only (FMR-006); technician 780 SF carried as risk allowance E15</t>
        </is>
      </c>
    </row>
    <row r="20" ht="30" customHeight="1">
      <c r="A20" s="5" t="inlineStr">
        <is>
          <t>E13</t>
        </is>
      </c>
      <c r="B20" s="5" t="inlineStr">
        <is>
          <t>Ferry operations and traffic staging (LS)</t>
        </is>
      </c>
      <c r="C20" s="10" t="n">
        <v>1</v>
      </c>
      <c r="D20" s="5" t="inlineStr">
        <is>
          <t>LS</t>
        </is>
      </c>
      <c r="E20" s="24" t="n">
        <v>315000</v>
      </c>
      <c r="F20" s="19">
        <f>C20*E20</f>
        <v/>
      </c>
      <c r="G20" s="5" t="inlineStr">
        <is>
          <t>submitted_unverified</t>
        </is>
      </c>
      <c r="H20" s="7" t="inlineStr">
        <is>
          <t>FMR-010; closure window not confirmed</t>
        </is>
      </c>
    </row>
    <row r="21" ht="30" customHeight="1">
      <c r="A21" s="5" t="inlineStr">
        <is>
          <t>E14</t>
        </is>
      </c>
      <c r="B21" s="5" t="inlineStr">
        <is>
          <t>Qualification testing and submitted allowance (LS)</t>
        </is>
      </c>
      <c r="C21" s="10" t="n">
        <v>1</v>
      </c>
      <c r="D21" s="5" t="inlineStr">
        <is>
          <t>LS</t>
        </is>
      </c>
      <c r="E21" s="24" t="n">
        <v>285000</v>
      </c>
      <c r="F21" s="19">
        <f>C21*E21</f>
        <v/>
      </c>
      <c r="G21" s="5" t="inlineStr">
        <is>
          <t>submitted_unverified</t>
        </is>
      </c>
      <c r="H21" s="7" t="inlineStr">
        <is>
          <t>FMR-012: board-approved risk basis required</t>
        </is>
      </c>
    </row>
    <row r="22">
      <c r="B22" s="13" t="inlineStr">
        <is>
          <t>VE construction subtotal (payable quantities, mapped corrosion)</t>
        </is>
      </c>
      <c r="F22" s="25">
        <f>SUM(F15:F21)</f>
        <v/>
      </c>
    </row>
    <row r="23">
      <c r="A23" s="5" t="inlineStr">
        <is>
          <t>E15</t>
        </is>
      </c>
      <c r="B23" s="7" t="inlineStr">
        <is>
          <t>VE named risk allowance: corrosion extent up to technician 780 SF (P10) above mapped payable</t>
        </is>
      </c>
      <c r="C23" s="10">
        <f>Parameters!C14-Quantity_Reconciliation!C9</f>
        <v/>
      </c>
      <c r="D23" s="5" t="inlineStr">
        <is>
          <t>SF</t>
        </is>
      </c>
      <c r="E23" s="6" t="n">
        <v>246</v>
      </c>
      <c r="F23" s="19">
        <f>C23*E23</f>
        <v/>
      </c>
      <c r="G23" s="12" t="inlineStr">
        <is>
          <t>risk allowance</t>
        </is>
      </c>
      <c r="H23" s="7" t="inlineStr">
        <is>
          <t>FMR-012 board-approved risk basis; FMR-006 excludes unmapped steel from payment until mapped</t>
        </is>
      </c>
    </row>
    <row r="25">
      <c r="A25" s="13" t="inlineStr">
        <is>
          <t>MARKUPS &amp; TOTALS</t>
        </is>
      </c>
    </row>
    <row r="26">
      <c r="B26" s="26" t="inlineStr">
        <is>
          <t>Base subtotal</t>
        </is>
      </c>
      <c r="F26" s="19">
        <f>F13</f>
        <v/>
      </c>
    </row>
    <row r="27">
      <c r="B27" s="26" t="inlineStr">
        <is>
          <t>VE subtotal incl corrosion risk allowance</t>
        </is>
      </c>
      <c r="F27" s="19">
        <f>F22+F23</f>
        <v/>
      </c>
    </row>
    <row r="28">
      <c r="B28" s="26" t="inlineStr">
        <is>
          <t>Escalation factor to construction midpoint (P02, P03)</t>
        </is>
      </c>
      <c r="F28" s="27">
        <f>(1+Parameters!C6)^Parameters!C7</f>
        <v/>
      </c>
    </row>
    <row r="29">
      <c r="B29" s="26" t="inlineStr">
        <is>
          <t>Base escalated</t>
        </is>
      </c>
      <c r="F29" s="19">
        <f>F26*F28</f>
        <v/>
      </c>
    </row>
    <row r="30">
      <c r="B30" s="26" t="inlineStr">
        <is>
          <t>VE escalated</t>
        </is>
      </c>
      <c r="F30" s="19">
        <f>F27*F28</f>
        <v/>
      </c>
    </row>
    <row r="31">
      <c r="B31" s="26" t="inlineStr">
        <is>
          <t>Change-order contingency (P04 = 4% DBB, CEM §14.19)</t>
        </is>
      </c>
      <c r="F31" s="27">
        <f>Parameters!C8</f>
        <v/>
      </c>
    </row>
    <row r="32">
      <c r="B32" s="13" t="inlineStr">
        <is>
          <t>BASE INDEPENDENT TOTAL (YOE $)</t>
        </is>
      </c>
      <c r="F32" s="19">
        <f>F29*(1+F31)</f>
        <v/>
      </c>
    </row>
    <row r="33">
      <c r="B33" s="13" t="inlineStr">
        <is>
          <t>VE INDEPENDENT TOTAL (YOE $)</t>
        </is>
      </c>
      <c r="F33" s="19">
        <f>F30*(1+F31)</f>
        <v/>
      </c>
    </row>
    <row r="34">
      <c r="B34" s="13" t="inlineStr">
        <is>
          <t>Independent savings, VE vs base (YOE $)</t>
        </is>
      </c>
      <c r="F34" s="19">
        <f>F32-F33</f>
        <v/>
      </c>
    </row>
    <row r="35">
      <c r="B35" s="13" t="inlineStr">
        <is>
          <t>Submitted savings claim (Bid totals)</t>
        </is>
      </c>
      <c r="F35" s="19">
        <f>Submitted_Bids!H22-Submitted_Bids!H23</f>
        <v/>
      </c>
    </row>
    <row r="37" ht="28" customHeight="1">
      <c r="A37" s="3" t="inlineStr">
        <is>
          <t>Scope parity: both options priced on the same payable joint length, bearing count, coating area, staging and closure constraints (memo §3 common-scope requirement).</t>
        </is>
      </c>
    </row>
    <row r="38" ht="28" customHeight="1">
      <c r="A38" s="3" t="inlineStr">
        <is>
          <t>Excluded from both totals: sales tax, PE/CE engineering, escalation beyond stated factor — per BDM 12.3.3 (PDF p.15) bridge estimates exclude these; program level must add per CEM Exhibit 7-3/7-5 (PDF pp.39,41).</t>
        </is>
      </c>
    </row>
    <row r="39" ht="28" customHeight="1">
      <c r="A39" s="3" t="inlineStr">
        <is>
          <t>Price basis limitation: no independent fabrication/marine pricing was supplied for B02, B05, V02, V03 (Market_Evidence); totals inherit submitted-price risk. This is a stated boundary, not an oversight.</t>
        </is>
      </c>
    </row>
    <row r="40" ht="28" customHeight="1">
      <c r="A40" s="3" t="inlineStr">
        <is>
          <t>Add-alternates excluded from totals: A01 $175,200 (recommended — see Recommendation), A02 $156,000 allowance (deferred pending operations confirmation).</t>
        </is>
      </c>
    </row>
  </sheetData>
  <mergeCells count="4">
    <mergeCell ref="A37:H37"/>
    <mergeCell ref="A38:H38"/>
    <mergeCell ref="A39:H39"/>
    <mergeCell ref="A40:H4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6" customWidth="1" min="3" max="3"/>
    <col width="16" customWidth="1" min="4" max="4"/>
    <col width="56" customWidth="1" min="5" max="5"/>
  </cols>
  <sheetData>
    <row r="1">
      <c r="A1" s="1" t="inlineStr">
        <is>
          <t>Submitted → Independent Estimate Bridge (zero-residual walk)</t>
        </is>
      </c>
    </row>
    <row r="2">
      <c r="A2" s="2" t="inlineStr">
        <is>
          <t>Every dollar difference is assigned to a named component; residual formula must evaluate to 0. Memo §3 requirement.</t>
        </is>
      </c>
    </row>
    <row r="4">
      <c r="A4" s="4" t="inlineStr">
        <is>
          <t>Step</t>
        </is>
      </c>
      <c r="B4" s="4" t="inlineStr">
        <is>
          <t>Component</t>
        </is>
      </c>
      <c r="C4" s="4" t="inlineStr">
        <is>
          <t>Base option ($)</t>
        </is>
      </c>
      <c r="D4" s="4" t="inlineStr">
        <is>
          <t>VE option ($)</t>
        </is>
      </c>
      <c r="E4" s="4" t="inlineStr">
        <is>
          <t>Basis / locator</t>
        </is>
      </c>
    </row>
    <row r="5" ht="34" customHeight="1">
      <c r="A5" s="5" t="inlineStr">
        <is>
          <t>S0</t>
        </is>
      </c>
      <c r="B5" s="7" t="inlineStr">
        <is>
          <t>Submitted total (ferry_base_ve_bid_items.csv; estimate dates 2027-02-15 / 2027-04-01)</t>
        </is>
      </c>
      <c r="C5" s="19">
        <f>Submitted_Bids!H22</f>
        <v/>
      </c>
      <c r="D5" s="19">
        <f>Submitted_Bids!H23</f>
        <v/>
      </c>
      <c r="E5" s="7" t="inlineStr">
        <is>
          <t>Submitted_Bids sheet totals</t>
        </is>
      </c>
    </row>
    <row r="6" ht="34" customHeight="1">
      <c r="A6" s="5" t="inlineStr">
        <is>
          <t>S1</t>
        </is>
      </c>
      <c r="B6" s="7" t="inlineStr">
        <is>
          <t>Quantity correction: panel removal to payable 3,977.6 SF (FMR-001, 0.1 SF)</t>
        </is>
      </c>
      <c r="C6" s="19">
        <f>(Quantity_Reconciliation!C5-3980)*96</f>
        <v/>
      </c>
      <c r="D6" s="18" t="n">
        <v>0</v>
      </c>
      <c r="E6" s="7" t="inlineStr">
        <is>
          <t>Segment_Takeoff col G total; bid B01 = 3,980 SF</t>
        </is>
      </c>
    </row>
    <row r="7" ht="34" customHeight="1">
      <c r="A7" s="5" t="inlineStr">
        <is>
          <t>S2</t>
        </is>
      </c>
      <c r="B7" s="7" t="inlineStr">
        <is>
          <t>Quantity correction: hinge/joint seals to payable geometric skew length (FMR-004)</t>
        </is>
      </c>
      <c r="C7" s="19">
        <f>(Quantity_Reconciliation!C7-1260)*840</f>
        <v/>
      </c>
      <c r="D7" s="19">
        <f>(Quantity_Reconciliation!C7-1260)*515</f>
        <v/>
      </c>
      <c r="E7" s="7" t="inlineStr">
        <is>
          <t>Segment_Takeoff col I total = 1,255.6 LF vs bid 1,260 LF</t>
        </is>
      </c>
    </row>
    <row r="8" ht="34" customHeight="1">
      <c r="A8" s="5" t="inlineStr">
        <is>
          <t>S3</t>
        </is>
      </c>
      <c r="B8" s="7" t="inlineStr">
        <is>
          <t>Quantity correction: corrosion repair to mapped payable 170 SF (FMR-006)</t>
        </is>
      </c>
      <c r="C8" s="18" t="n">
        <v>0</v>
      </c>
      <c r="D8" s="19">
        <f>(Quantity_Reconciliation!C9-820)*246</f>
        <v/>
      </c>
      <c r="E8" s="7" t="inlineStr">
        <is>
          <t>Bid V05 = 820 SF; payable = mapped takeoff only</t>
        </is>
      </c>
    </row>
    <row r="9" ht="34" customHeight="1">
      <c r="A9" s="5" t="inlineStr">
        <is>
          <t>S4</t>
        </is>
      </c>
      <c r="B9" s="7" t="inlineStr">
        <is>
          <t>Named risk allowance: corrosion extent to technician 780 SF (board-approved basis required, FMR-012)</t>
        </is>
      </c>
      <c r="C9" s="18" t="n">
        <v>0</v>
      </c>
      <c r="D9" s="19">
        <f>Independent_Estimate!F23</f>
        <v/>
      </c>
      <c r="E9" s="7" t="inlineStr">
        <is>
          <t>Parameters P10; dimensions file corrosion row (unverified)</t>
        </is>
      </c>
    </row>
    <row r="10" ht="34" customHeight="1">
      <c r="A10" s="5" t="inlineStr">
        <is>
          <t>S5</t>
        </is>
      </c>
      <c r="B10" s="7" t="inlineStr">
        <is>
          <t>Price-basis adjustment</t>
        </is>
      </c>
      <c r="C10" s="18" t="n">
        <v>0</v>
      </c>
      <c r="D10" s="18" t="n">
        <v>0</v>
      </c>
      <c r="E10" s="7" t="inlineStr">
        <is>
          <t>NONE — no independent pricing supplied; submitted prices retained as unverified basis (Market_Evidence flags)</t>
        </is>
      </c>
    </row>
    <row r="11" ht="34" customHeight="1">
      <c r="A11" s="5" t="inlineStr">
        <is>
          <t>S6</t>
        </is>
      </c>
      <c r="B11" s="7" t="inlineStr">
        <is>
          <t>Escalation to construction midpoint (PPI proxy +2.18%/yr × 0.85 yr)</t>
        </is>
      </c>
      <c r="C11" s="19">
        <f>Independent_Estimate!F29-Independent_Estimate!F26-0</f>
        <v/>
      </c>
      <c r="D11" s="19">
        <f>Independent_Estimate!F30-Independent_Estimate!F27</f>
        <v/>
      </c>
      <c r="E11" s="7" t="inlineStr">
        <is>
          <t>Parameters P02/P03; FRED PCU327320327320</t>
        </is>
      </c>
    </row>
    <row r="12" ht="34" customHeight="1">
      <c r="A12" s="5" t="inlineStr">
        <is>
          <t>S7</t>
        </is>
      </c>
      <c r="B12" s="7" t="inlineStr">
        <is>
          <t>Change-order contingency 4% (DBB)</t>
        </is>
      </c>
      <c r="C12" s="19">
        <f>Independent_Estimate!F29*Parameters!C8</f>
        <v/>
      </c>
      <c r="D12" s="19">
        <f>Independent_Estimate!F30*Parameters!C8</f>
        <v/>
      </c>
      <c r="E12" s="7" t="inlineStr">
        <is>
          <t>CEM M 30-34.04 §14.19 (PDF p.86)</t>
        </is>
      </c>
    </row>
    <row r="13">
      <c r="A13" s="5" t="n"/>
      <c r="B13" s="28" t="inlineStr">
        <is>
          <t>INDEPENDENT TOTAL (sum of steps)</t>
        </is>
      </c>
      <c r="C13" s="29">
        <f>SUM(C5:C12)</f>
        <v/>
      </c>
      <c r="D13" s="29">
        <f>SUM(D5:D12)</f>
        <v/>
      </c>
      <c r="E13" s="5" t="n"/>
    </row>
    <row r="14">
      <c r="A14" s="5" t="n"/>
      <c r="B14" s="28" t="inlineStr">
        <is>
          <t>Independent_Estimate sheet total (cross-check)</t>
        </is>
      </c>
      <c r="C14" s="29">
        <f>Independent_Estimate!F32</f>
        <v/>
      </c>
      <c r="D14" s="29">
        <f>Independent_Estimate!F33</f>
        <v/>
      </c>
      <c r="E14" s="5" t="n"/>
    </row>
    <row r="15">
      <c r="A15" s="5" t="n"/>
      <c r="B15" s="28" t="inlineStr">
        <is>
          <t>RESIDUAL (must be 0)</t>
        </is>
      </c>
      <c r="C15" s="30">
        <f>C13-C14</f>
        <v/>
      </c>
      <c r="D15" s="30">
        <f>D13-D14</f>
        <v/>
      </c>
      <c r="E15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18" customWidth="1" min="3" max="3"/>
    <col width="22" customWidth="1" min="4" max="4"/>
    <col width="20" customWidth="1" min="5" max="5"/>
    <col width="52" customWidth="1" min="6" max="6"/>
    <col width="52" customWidth="1" min="7" max="7"/>
  </cols>
  <sheetData>
    <row r="1">
      <c r="A1" s="1" t="inlineStr">
        <is>
          <t>Technical / Evidence Gate Matrix</t>
        </is>
      </c>
    </row>
    <row r="2">
      <c r="A2" s="2" t="inlineStr">
        <is>
          <t>8 unique gates distilled from ferry_engineering_evidence_ledger.csv (24 rows = 8 gates × 3 repeat observations, FEE-001…024). States are as-recorded; nothing upgraded without new field evidence.</t>
        </is>
      </c>
    </row>
    <row r="4">
      <c r="A4" s="4" t="inlineStr">
        <is>
          <t>Gate</t>
        </is>
      </c>
      <c r="B4" s="4" t="inlineStr">
        <is>
          <t>Domain</t>
        </is>
      </c>
      <c r="C4" s="4" t="inlineStr">
        <is>
          <t>Observed value</t>
        </is>
      </c>
      <c r="D4" s="4" t="inlineStr">
        <is>
          <t>Evidence state</t>
        </is>
      </c>
      <c r="E4" s="4" t="inlineStr">
        <is>
          <t>Ledger rows</t>
        </is>
      </c>
      <c r="F4" s="4" t="inlineStr">
        <is>
          <t>Decision impact</t>
        </is>
      </c>
      <c r="G4" s="4" t="inlineStr">
        <is>
          <t>Required action before reliance</t>
        </is>
      </c>
    </row>
    <row r="5" ht="64" customHeight="1">
      <c r="A5" s="7" t="inlineStr">
        <is>
          <t>G1</t>
        </is>
      </c>
      <c r="B5" s="7" t="inlineStr">
        <is>
          <t>Steel thickness</t>
        </is>
      </c>
      <c r="C5" s="7" t="inlineStr">
        <is>
          <t>0.31 in (grid)</t>
        </is>
      </c>
      <c r="D5" s="21" t="inlineStr">
        <is>
          <t>submitted</t>
        </is>
      </c>
      <c r="E5" s="7" t="inlineStr">
        <is>
          <t>FEE-001/009/017</t>
        </is>
      </c>
      <c r="F5" s="7" t="inlineStr">
        <is>
          <t>Nominal plate 0.375 in (dimensions file) → 0.31 in implies ~17% section loss; if verified low, overlay/FRP substrate adequacy fails and base replacement is forced.</t>
        </is>
      </c>
      <c r="G5" s="7" t="inlineStr">
        <is>
          <t>Independent UT thickness survey across all 12 panel groups; acceptance limits in spec before relying on VE substrate.</t>
        </is>
      </c>
    </row>
    <row r="6" ht="64" customHeight="1">
      <c r="A6" s="7" t="inlineStr">
        <is>
          <t>G2</t>
        </is>
      </c>
      <c r="B6" s="7" t="inlineStr">
        <is>
          <t>Corrosion loss</t>
        </is>
      </c>
      <c r="C6" s="7" t="inlineStr">
        <is>
          <t>18% (UT survey)</t>
        </is>
      </c>
      <c r="D6" s="22" t="inlineStr">
        <is>
          <t>independently-verified</t>
        </is>
      </c>
      <c r="E6" s="7" t="inlineStr">
        <is>
          <t>FEE-002/010/018</t>
        </is>
      </c>
      <c r="F6" s="7" t="inlineStr">
        <is>
          <t>Only verified condition evidence. 18% of 3,978.6 SF ≈ 716 SF potential repair extent — supports technician 780 SF more than mapped 170 SF; drives VE corrosion risk allowance.</t>
        </is>
      </c>
      <c r="G6" s="7" t="inlineStr">
        <is>
          <t>Extend UT mapping to full deck; reconcile mapped 170 SF vs 18%-extent ~716 SF before fixing V05 payable quantity.</t>
        </is>
      </c>
    </row>
    <row r="7" ht="64" customHeight="1">
      <c r="A7" s="7" t="inlineStr">
        <is>
          <t>G3</t>
        </is>
      </c>
      <c r="B7" s="7" t="inlineStr">
        <is>
          <t>Coating adhesion</t>
        </is>
      </c>
      <c r="C7" s="7" t="inlineStr">
        <is>
          <t>680 psi (pull-off)</t>
        </is>
      </c>
      <c r="D7" s="21" t="inlineStr">
        <is>
          <t>contradicted</t>
        </is>
      </c>
      <c r="E7" s="7" t="inlineStr">
        <is>
          <t>FEE-003/011/019</t>
        </is>
      </c>
      <c r="F7" s="7" t="inlineStr">
        <is>
          <t>Overcoat/overlay bond assumptions are unreliable; coating payment is DFT-passing only (FMR-007). Affects both options (base coating, VE overlay bond).</t>
        </is>
      </c>
      <c r="G7" s="7" t="inlineStr">
        <is>
          <t>Repeat pull-off testing per accepted test plan; resolve contradiction before accepting coating/overlay scope pricing.</t>
        </is>
      </c>
    </row>
    <row r="8" ht="64" customHeight="1">
      <c r="A8" s="7" t="inlineStr">
        <is>
          <t>G4</t>
        </is>
      </c>
      <c r="B8" s="7" t="inlineStr">
        <is>
          <t>Chloride contamination</t>
        </is>
      </c>
      <c r="C8" s="7" t="inlineStr">
        <is>
          <t>6.8 µg/cm²</t>
        </is>
      </c>
      <c r="D8" s="21" t="inlineStr">
        <is>
          <t>field-verification-required</t>
        </is>
      </c>
      <c r="E8" s="7" t="inlineStr">
        <is>
          <t>FEE-004/012/020</t>
        </is>
      </c>
      <c r="F8" s="7" t="inlineStr">
        <is>
          <t>Above common coating/overlay acceptance thresholds if confirmed; drives surface-prep level and overlay bond risk in VE option.</t>
        </is>
      </c>
      <c r="G8" s="7" t="inlineStr">
        <is>
          <t>Field chloride verification; adjust prep scope before VE overlay award.</t>
        </is>
      </c>
    </row>
    <row r="9" ht="64" customHeight="1">
      <c r="A9" s="7" t="inlineStr">
        <is>
          <t>G5</t>
        </is>
      </c>
      <c r="B9" s="7" t="inlineStr">
        <is>
          <t>Hinge geometry</t>
        </is>
      </c>
      <c r="C9" s="7" t="inlineStr">
        <is>
          <t>27° skew (field survey)</t>
        </is>
      </c>
      <c r="D9" s="21" t="inlineStr">
        <is>
          <t>submitted</t>
        </is>
      </c>
      <c r="E9" s="7" t="inlineStr">
        <is>
          <t>FEE-005/013/021</t>
        </is>
      </c>
      <c r="F9" s="7" t="inlineStr">
        <is>
          <t>Joint payable quantity is geometric skew length (FMR-004); takeoff skews 18–41° per segment. Submitted joint length (1,069 LF) ignored skew; bid 1,260 LF matches computed 1,255.3 LF.</t>
        </is>
      </c>
      <c r="G9" s="7" t="inlineStr">
        <is>
          <t>Confirm joint network scope (boundary U2: 48-segment joints vs two hinges = 71.8 LF) and re-survey skews.</t>
        </is>
      </c>
    </row>
    <row r="10" ht="64" customHeight="1">
      <c r="A10" s="7" t="inlineStr">
        <is>
          <t>G6</t>
        </is>
      </c>
      <c r="B10" s="7" t="inlineStr">
        <is>
          <t>Bearing interface</t>
        </is>
      </c>
      <c r="C10" s="7" t="inlineStr">
        <is>
          <t>conditional (visual/NDE dossier)</t>
        </is>
      </c>
      <c r="D10" s="22" t="inlineStr">
        <is>
          <t>independently-verified</t>
        </is>
      </c>
      <c r="E10" s="7" t="inlineStr">
        <is>
          <t>FEE-006/014/022</t>
        </is>
      </c>
      <c r="F10" s="7" t="inlineStr">
        <is>
          <t>Bearing repairs B04 (24 EA) rest on conditional condition; adjacent damage excluded from payment (FMR-005). Expanded NDE (A01, 12 EA, $175,200) is the prudent hedge.</t>
        </is>
      </c>
      <c r="G10" s="7" t="inlineStr">
        <is>
          <t>Accept A01 add-alternate; complete NDE before finalizing B04 scope.</t>
        </is>
      </c>
    </row>
    <row r="11" ht="64" customHeight="1">
      <c r="A11" s="7" t="inlineStr">
        <is>
          <t>G7</t>
        </is>
      </c>
      <c r="B11" s="7" t="inlineStr">
        <is>
          <t>Tidal closure</t>
        </is>
      </c>
      <c r="C11" s="7" t="inlineStr">
        <is>
          <t>6 hr/night (ops calendar)</t>
        </is>
      </c>
      <c r="D11" s="21" t="inlineStr">
        <is>
          <t>contradicted</t>
        </is>
      </c>
      <c r="E11" s="7" t="inlineStr">
        <is>
          <t>FEE-007/015/023</t>
        </is>
      </c>
      <c r="F11" s="7" t="inlineStr">
        <is>
          <t>VE overlay cure windows and all night work assume 6-hr closures; contradiction threatens VE staging feasibility and triggers A02 closure premium ($52,000/window). Unapproved outage excluded from payment (FMR-010).</t>
        </is>
      </c>
      <c r="G11" s="7" t="inlineStr">
        <is>
          <t>Obtain operations-approved closure windows in writing before VE award; defer A02 until then.</t>
        </is>
      </c>
    </row>
    <row r="12" ht="64" customHeight="1">
      <c r="A12" s="7" t="inlineStr">
        <is>
          <t>G8</t>
        </is>
      </c>
      <c r="B12" s="7" t="inlineStr">
        <is>
          <t>FRP qualification</t>
        </is>
      </c>
      <c r="C12" s="7" t="inlineStr">
        <is>
          <t>vendor submittal: submitted</t>
        </is>
      </c>
      <c r="D12" s="21" t="inlineStr">
        <is>
          <t>field-verification-required</t>
        </is>
      </c>
      <c r="E12" s="7" t="inlineStr">
        <is>
          <t>FEE-008/016/024</t>
        </is>
      </c>
      <c r="F12" s="7" t="inlineStr">
        <is>
          <t>VE V02 ($663,680) and the 22-yr life claim rest on an unverified vendor submittal. FHWA VE doctrine: VE must confirm required functions and life-cycle cost (23 U.S.C. 106(f)(2), fhwa_ve_policy.pdf p.1) — an unqualified system cannot confirm function.</t>
        </is>
      </c>
      <c r="G12" s="7" t="inlineStr">
        <is>
          <t>Independent qualification testing (V07 scope) with acceptance criteria fixed before award; failure reverts to base scope.</t>
        </is>
      </c>
    </row>
    <row r="14" ht="30" customHeight="1">
      <c r="A14" s="3" t="inlineStr">
        <is>
          <t>Repeat-observation note: each gate appears 3× in the ledger with identical value and state (e.g., FEE-001/009/017) — treated as one evidence record, not three independent confirmations.</t>
        </is>
      </c>
    </row>
  </sheetData>
  <mergeCells count="1">
    <mergeCell ref="A14: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8" customWidth="1" min="4" max="4"/>
    <col width="2" customWidth="1" min="5" max="5"/>
  </cols>
  <sheetData>
    <row r="1">
      <c r="A1" s="1" t="inlineStr">
        <is>
          <t>Lifecycle Present-Worth Comparison (40-yr analysis horizon)</t>
        </is>
      </c>
    </row>
    <row r="2">
      <c r="A2" s="2" t="inlineStr">
        <is>
          <t>Base life 40 yr (planning assumption, P07); VE claimed life 22 yr (SUBMITTED, UNVERIFIED, P06). Real discount rate P01; renewal at P08 fraction of VE independent total. No maintenance costs supplied — exclusion stated.</t>
        </is>
      </c>
    </row>
    <row r="4">
      <c r="A4" s="4" t="inlineStr">
        <is>
          <t>Component</t>
        </is>
      </c>
      <c r="B4" s="4" t="inlineStr">
        <is>
          <t>Base option</t>
        </is>
      </c>
      <c r="C4" s="4" t="inlineStr">
        <is>
          <t>VE option</t>
        </is>
      </c>
      <c r="D4" s="4" t="inlineStr">
        <is>
          <t>Note</t>
        </is>
      </c>
    </row>
    <row r="5">
      <c r="A5" s="5" t="inlineStr">
        <is>
          <t>Initial independent total (YOE $, from Independent_Estimate)</t>
        </is>
      </c>
      <c r="B5" s="19">
        <f>Independent_Estimate!F32</f>
        <v/>
      </c>
      <c r="C5" s="19">
        <f>Independent_Estimate!F33</f>
        <v/>
      </c>
      <c r="D5" s="7" t="inlineStr">
        <is>
          <t>Includes escalation + 4% COC</t>
        </is>
      </c>
    </row>
    <row r="6">
      <c r="A6" s="5" t="inlineStr">
        <is>
          <t>Analysis horizon (yr)</t>
        </is>
      </c>
      <c r="B6" s="19">
        <f>Parameters!C11</f>
        <v/>
      </c>
      <c r="C6" s="19">
        <f>Parameters!C11</f>
        <v/>
      </c>
      <c r="D6" s="7" t="inlineStr">
        <is>
          <t>P07</t>
        </is>
      </c>
    </row>
    <row r="7">
      <c r="A7" s="5" t="inlineStr">
        <is>
          <t>Service life before renewal (yr)</t>
        </is>
      </c>
      <c r="B7" s="19">
        <f>Parameters!C11</f>
        <v/>
      </c>
      <c r="C7" s="19">
        <f>Parameters!C10</f>
        <v/>
      </c>
      <c r="D7" s="7" t="inlineStr">
        <is>
          <t>Base 40; VE 22 claimed — UNVERIFIED</t>
        </is>
      </c>
    </row>
    <row r="8">
      <c r="A8" s="5" t="inlineStr">
        <is>
          <t>Renewal events within horizon</t>
        </is>
      </c>
      <c r="B8" s="24" t="n">
        <v>0</v>
      </c>
      <c r="C8" s="24" t="n">
        <v>1</v>
      </c>
      <c r="D8" s="7" t="inlineStr">
        <is>
          <t>VE renewed once at yr 22 within 40-yr horizon</t>
        </is>
      </c>
    </row>
    <row r="9">
      <c r="A9" s="5" t="inlineStr">
        <is>
          <t>Renewal cost fraction (P08)</t>
        </is>
      </c>
      <c r="B9" s="24" t="n">
        <v>0</v>
      </c>
      <c r="C9" s="19">
        <f>Parameters!C12</f>
        <v/>
      </c>
      <c r="D9" s="7" t="inlineStr">
        <is>
          <t>Conservative: full VE scope repeat</t>
        </is>
      </c>
    </row>
    <row r="10">
      <c r="A10" s="5" t="inlineStr">
        <is>
          <t>PW of renewal ($)</t>
        </is>
      </c>
      <c r="B10" s="24" t="n">
        <v>0</v>
      </c>
      <c r="C10" s="19">
        <f>Independent_Estimate!F33*Parameters!C12/(1+Parameters!C5)^Parameters!C10</f>
        <v/>
      </c>
      <c r="D10" s="7" t="inlineStr">
        <is>
          <t>Discounted at P01 = 3% real</t>
        </is>
      </c>
    </row>
    <row r="11">
      <c r="A11" s="28" t="inlineStr">
        <is>
          <t>LIFECYCLE PW TOTAL ($)</t>
        </is>
      </c>
      <c r="B11" s="31">
        <f>B5+B10</f>
        <v/>
      </c>
      <c r="C11" s="31">
        <f>C5+C10</f>
        <v/>
      </c>
      <c r="D11" s="7" t="inlineStr"/>
    </row>
    <row r="12">
      <c r="A12" s="28" t="inlineStr">
        <is>
          <t>Lifecycle advantage of VE ($)</t>
        </is>
      </c>
      <c r="B12" s="31">
        <f>B11-C11</f>
        <v/>
      </c>
      <c r="C12" s="32" t="n"/>
      <c r="D12" s="7" t="inlineStr">
        <is>
          <t>Positive = VE cheaper over 40 yr</t>
        </is>
      </c>
    </row>
    <row r="15">
      <c r="A15" s="13" t="inlineStr">
        <is>
          <t>Discount-rate sensitivity (PW totals, $)</t>
        </is>
      </c>
    </row>
    <row r="16">
      <c r="A16" s="4" t="inlineStr">
        <is>
          <t>Rate</t>
        </is>
      </c>
      <c r="B16" s="4" t="inlineStr">
        <is>
          <t>Base PW</t>
        </is>
      </c>
      <c r="C16" s="4" t="inlineStr">
        <is>
          <t>VE PW (1 renewal at claimed life)</t>
        </is>
      </c>
      <c r="D16" s="4" t="inlineStr">
        <is>
          <t>VE PW advantage</t>
        </is>
      </c>
      <c r="E16" s="4" t="inlineStr"/>
    </row>
    <row r="17">
      <c r="A17" s="6" t="n">
        <v>0.02</v>
      </c>
      <c r="B17" s="19">
        <f>Independent_Estimate!F32</f>
        <v/>
      </c>
      <c r="C17" s="19">
        <f>Independent_Estimate!F33+Independent_Estimate!F33*Parameters!C12/(1+A17)^Parameters!C10</f>
        <v/>
      </c>
      <c r="D17" s="19">
        <f>B17-C17</f>
        <v/>
      </c>
    </row>
    <row r="18">
      <c r="A18" s="6" t="n">
        <v>0.03</v>
      </c>
      <c r="B18" s="19">
        <f>Independent_Estimate!F32</f>
        <v/>
      </c>
      <c r="C18" s="19">
        <f>Independent_Estimate!F33+Independent_Estimate!F33*Parameters!C12/(1+A18)^Parameters!C10</f>
        <v/>
      </c>
      <c r="D18" s="19">
        <f>B18-C18</f>
        <v/>
      </c>
    </row>
    <row r="19">
      <c r="A19" s="6" t="n">
        <v>0.04</v>
      </c>
      <c r="B19" s="19">
        <f>Independent_Estimate!F32</f>
        <v/>
      </c>
      <c r="C19" s="19">
        <f>Independent_Estimate!F33+Independent_Estimate!F33*Parameters!C12/(1+A19)^Parameters!C10</f>
        <v/>
      </c>
      <c r="D19" s="19">
        <f>B19-C19</f>
        <v/>
      </c>
    </row>
    <row r="21" ht="28" customHeight="1">
      <c r="A21" s="3" t="inlineStr">
        <is>
          <t>Result is robust: VE holds a PW advantage at 2%–4% real discount even with a full-scope renewal at yr 22, because the submitted VE price is ~50% of base.</t>
        </is>
      </c>
    </row>
    <row r="22" ht="28" customHeight="1">
      <c r="A22" s="3" t="inlineStr">
        <is>
          <t>The decision therefore turns on EVIDENCE (verified life, qualification, closure windows), not on first cost — see Sensitivity_Switch.</t>
        </is>
      </c>
    </row>
    <row r="23" ht="28" customHeight="1">
      <c r="A23" s="3" t="inlineStr">
        <is>
          <t>Exclusions: routine maintenance, deck-overlay renewal of the BASE option within 40 yr, residual/salvage value — none supplied; both options treated symmetrically.</t>
        </is>
      </c>
    </row>
  </sheetData>
  <mergeCells count="3">
    <mergeCell ref="A22:D22"/>
    <mergeCell ref="A23:D23"/>
    <mergeCell ref="A21:D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44" customWidth="1" min="5" max="5"/>
    <col width="2" customWidth="1" min="6" max="6"/>
    <col width="2" customWidth="1" min="7" max="7"/>
  </cols>
  <sheetData>
    <row r="1">
      <c r="A1" s="1" t="inlineStr">
        <is>
          <t>Joint Cost / Evidence Switch — decision-changing conditions</t>
        </is>
      </c>
    </row>
    <row r="2">
      <c r="A2" s="2" t="inlineStr">
        <is>
          <t>Conditions under which the recommendation flips. All cells formula-driven from Independent_Estimate and Parameters.</t>
        </is>
      </c>
    </row>
    <row r="4">
      <c r="A4" s="13" t="inlineStr">
        <is>
          <t>SWITCH 1 — Verified VE service life (the governing switch)</t>
        </is>
      </c>
    </row>
    <row r="5">
      <c r="A5" s="3" t="inlineStr">
        <is>
          <t>If the overlay/FRP system life verifies BELOW the flip value, a second renewal lands inside the 40-yr horizon and the VE PW advantage disappears.</t>
        </is>
      </c>
    </row>
    <row r="6">
      <c r="A6" s="4" t="inlineStr">
        <is>
          <t>Candidate verified life L (yr)</t>
        </is>
      </c>
      <c r="B6" s="4" t="inlineStr">
        <is>
          <t>Renewals in 40-yr horizon</t>
        </is>
      </c>
      <c r="C6" s="4" t="inlineStr">
        <is>
          <t>VE PW with renewals ($)</t>
        </is>
      </c>
      <c r="D6" s="4" t="inlineStr">
        <is>
          <t>Base PW ($)</t>
        </is>
      </c>
      <c r="E6" s="4" t="inlineStr">
        <is>
          <t>VE advantage ($)</t>
        </is>
      </c>
      <c r="F6" s="4" t="inlineStr">
        <is>
          <t>Verdict</t>
        </is>
      </c>
      <c r="G6" s="4" t="inlineStr"/>
    </row>
    <row r="7">
      <c r="A7" s="6" t="n">
        <v>22</v>
      </c>
      <c r="B7" s="10">
        <f>INT(Parameters!C11/A7)</f>
        <v/>
      </c>
      <c r="C7" s="19">
        <f>Independent_Estimate!F33 + Independent_Estimate!F33*Parameters!C12*SUMPRODUCT((ROW(INDIRECT("1:"&amp;B7))*A7&lt;=Parameters!C11)/(1+Parameters!C5)^(ROW(INDIRECT("1:"&amp;B7))*A7))</f>
        <v/>
      </c>
      <c r="D7" s="19">
        <f>Independent_Estimate!F32</f>
        <v/>
      </c>
      <c r="E7" s="19">
        <f>D7-C7</f>
        <v/>
      </c>
      <c r="F7" s="10">
        <f>IF(E7&gt;0,"VE holds","REVERT TO BASE")</f>
        <v/>
      </c>
    </row>
    <row r="8">
      <c r="A8" s="6" t="n">
        <v>20</v>
      </c>
      <c r="B8" s="10">
        <f>INT(Parameters!C11/A8)</f>
        <v/>
      </c>
      <c r="C8" s="19">
        <f>Independent_Estimate!F33 + Independent_Estimate!F33*Parameters!C12*SUMPRODUCT((ROW(INDIRECT("1:"&amp;B8))*A8&lt;=Parameters!C11)/(1+Parameters!C5)^(ROW(INDIRECT("1:"&amp;B8))*A8))</f>
        <v/>
      </c>
      <c r="D8" s="19">
        <f>Independent_Estimate!F32</f>
        <v/>
      </c>
      <c r="E8" s="19">
        <f>D8-C8</f>
        <v/>
      </c>
      <c r="F8" s="10">
        <f>IF(E8&gt;0,"VE holds","REVERT TO BASE")</f>
        <v/>
      </c>
    </row>
    <row r="9">
      <c r="A9" s="6" t="n">
        <v>18</v>
      </c>
      <c r="B9" s="10">
        <f>INT(Parameters!C11/A9)</f>
        <v/>
      </c>
      <c r="C9" s="19">
        <f>Independent_Estimate!F33 + Independent_Estimate!F33*Parameters!C12*SUMPRODUCT((ROW(INDIRECT("1:"&amp;B9))*A9&lt;=Parameters!C11)/(1+Parameters!C5)^(ROW(INDIRECT("1:"&amp;B9))*A9))</f>
        <v/>
      </c>
      <c r="D9" s="19">
        <f>Independent_Estimate!F32</f>
        <v/>
      </c>
      <c r="E9" s="19">
        <f>D9-C9</f>
        <v/>
      </c>
      <c r="F9" s="10">
        <f>IF(E9&gt;0,"VE holds","REVERT TO BASE")</f>
        <v/>
      </c>
    </row>
    <row r="10">
      <c r="A10" s="6" t="n">
        <v>16</v>
      </c>
      <c r="B10" s="10">
        <f>INT(Parameters!C11/A10)</f>
        <v/>
      </c>
      <c r="C10" s="19">
        <f>Independent_Estimate!F33 + Independent_Estimate!F33*Parameters!C12*SUMPRODUCT((ROW(INDIRECT("1:"&amp;B10))*A10&lt;=Parameters!C11)/(1+Parameters!C5)^(ROW(INDIRECT("1:"&amp;B10))*A10))</f>
        <v/>
      </c>
      <c r="D10" s="19">
        <f>Independent_Estimate!F32</f>
        <v/>
      </c>
      <c r="E10" s="19">
        <f>D10-C10</f>
        <v/>
      </c>
      <c r="F10" s="10">
        <f>IF(E10&gt;0,"VE holds","REVERT TO BASE")</f>
        <v/>
      </c>
    </row>
    <row r="11">
      <c r="A11" s="6" t="n">
        <v>15</v>
      </c>
      <c r="B11" s="10">
        <f>INT(Parameters!C11/A11)</f>
        <v/>
      </c>
      <c r="C11" s="19">
        <f>Independent_Estimate!F33 + Independent_Estimate!F33*Parameters!C12*SUMPRODUCT((ROW(INDIRECT("1:"&amp;B11))*A11&lt;=Parameters!C11)/(1+Parameters!C5)^(ROW(INDIRECT("1:"&amp;B11))*A11))</f>
        <v/>
      </c>
      <c r="D11" s="19">
        <f>Independent_Estimate!F32</f>
        <v/>
      </c>
      <c r="E11" s="19">
        <f>D11-C11</f>
        <v/>
      </c>
      <c r="F11" s="10">
        <f>IF(E11&gt;0,"VE holds","REVERT TO BASE")</f>
        <v/>
      </c>
    </row>
    <row r="12">
      <c r="A12" s="6" t="n">
        <v>14</v>
      </c>
      <c r="B12" s="10">
        <f>INT(Parameters!C11/A12)</f>
        <v/>
      </c>
      <c r="C12" s="19">
        <f>Independent_Estimate!F33 + Independent_Estimate!F33*Parameters!C12*SUMPRODUCT((ROW(INDIRECT("1:"&amp;B12))*A12&lt;=Parameters!C11)/(1+Parameters!C5)^(ROW(INDIRECT("1:"&amp;B12))*A12))</f>
        <v/>
      </c>
      <c r="D12" s="19">
        <f>Independent_Estimate!F32</f>
        <v/>
      </c>
      <c r="E12" s="19">
        <f>D12-C12</f>
        <v/>
      </c>
      <c r="F12" s="10">
        <f>IF(E12&gt;0,"VE holds","REVERT TO BASE")</f>
        <v/>
      </c>
    </row>
    <row r="13">
      <c r="A13" s="6" t="n">
        <v>12</v>
      </c>
      <c r="B13" s="10">
        <f>INT(Parameters!C11/A13)</f>
        <v/>
      </c>
      <c r="C13" s="19">
        <f>Independent_Estimate!F33 + Independent_Estimate!F33*Parameters!C12*SUMPRODUCT((ROW(INDIRECT("1:"&amp;B13))*A13&lt;=Parameters!C11)/(1+Parameters!C5)^(ROW(INDIRECT("1:"&amp;B13))*A13))</f>
        <v/>
      </c>
      <c r="D13" s="19">
        <f>Independent_Estimate!F32</f>
        <v/>
      </c>
      <c r="E13" s="19">
        <f>D13-C13</f>
        <v/>
      </c>
      <c r="F13" s="10">
        <f>IF(E13&gt;0,"VE holds","REVERT TO BASE")</f>
        <v/>
      </c>
    </row>
    <row r="14">
      <c r="A14" s="6" t="n">
        <v>10</v>
      </c>
      <c r="B14" s="10">
        <f>INT(Parameters!C11/A14)</f>
        <v/>
      </c>
      <c r="C14" s="19">
        <f>Independent_Estimate!F33 + Independent_Estimate!F33*Parameters!C12*SUMPRODUCT((ROW(INDIRECT("1:"&amp;B14))*A14&lt;=Parameters!C11)/(1+Parameters!C5)^(ROW(INDIRECT("1:"&amp;B14))*A14))</f>
        <v/>
      </c>
      <c r="D14" s="19">
        <f>Independent_Estimate!F32</f>
        <v/>
      </c>
      <c r="E14" s="19">
        <f>D14-C14</f>
        <v/>
      </c>
      <c r="F14" s="10">
        <f>IF(E14&gt;0,"VE holds","REVERT TO BASE")</f>
        <v/>
      </c>
    </row>
    <row r="15">
      <c r="A15" s="6" t="n">
        <v>8</v>
      </c>
      <c r="B15" s="10">
        <f>INT(Parameters!C11/A15)</f>
        <v/>
      </c>
      <c r="C15" s="19">
        <f>Independent_Estimate!F33 + Independent_Estimate!F33*Parameters!C12*SUMPRODUCT((ROW(INDIRECT("1:"&amp;B15))*A15&lt;=Parameters!C11)/(1+Parameters!C5)^(ROW(INDIRECT("1:"&amp;B15))*A15))</f>
        <v/>
      </c>
      <c r="D15" s="19">
        <f>Independent_Estimate!F32</f>
        <v/>
      </c>
      <c r="E15" s="19">
        <f>D15-C15</f>
        <v/>
      </c>
      <c r="F15" s="10">
        <f>IF(E15&gt;0,"VE holds","REVERT TO BASE")</f>
        <v/>
      </c>
    </row>
    <row r="17">
      <c r="A17" s="13" t="inlineStr">
        <is>
          <t>SWITCH 2 — Verified corrosion extent (VE first-cost erosion)</t>
        </is>
      </c>
    </row>
    <row r="18">
      <c r="A18" s="4" t="inlineStr">
        <is>
          <t>Verified corrosion (SF)</t>
        </is>
      </c>
      <c r="B18" s="4" t="inlineStr">
        <is>
          <t>VE total ($)</t>
        </is>
      </c>
      <c r="C18" s="4" t="inlineStr">
        <is>
          <t>VE advantage vs base ($)</t>
        </is>
      </c>
      <c r="D18" s="4" t="inlineStr">
        <is>
          <t>Verdict</t>
        </is>
      </c>
      <c r="E18" s="4" t="inlineStr">
        <is>
          <t>Note</t>
        </is>
      </c>
      <c r="F18" s="4" t="inlineStr"/>
      <c r="G18" s="4" t="inlineStr"/>
    </row>
    <row r="19">
      <c r="A19" s="6" t="n">
        <v>170</v>
      </c>
      <c r="B19" s="19">
        <f>(Independent_Estimate!F22-Quantity_Reconciliation!C9*246+A19*246)*(1+Parameters!C6)^Parameters!C7*(1+Parameters!C8)</f>
        <v/>
      </c>
      <c r="C19" s="19">
        <f>Independent_Estimate!F32-B19</f>
        <v/>
      </c>
      <c r="D19" s="10">
        <f>IF(C19&gt;0,"VE holds","REVERT TO BASE")</f>
        <v/>
      </c>
      <c r="E19" s="7" t="inlineStr">
        <is>
          <t>Mapped payable only (FMR-006)</t>
        </is>
      </c>
    </row>
    <row r="20">
      <c r="A20" s="6" t="n">
        <v>400</v>
      </c>
      <c r="B20" s="19">
        <f>(Independent_Estimate!F22-Quantity_Reconciliation!C9*246+A20*246)*(1+Parameters!C6)^Parameters!C7*(1+Parameters!C8)</f>
        <v/>
      </c>
      <c r="C20" s="19">
        <f>Independent_Estimate!F32-B20</f>
        <v/>
      </c>
      <c r="D20" s="10">
        <f>IF(C20&gt;0,"VE holds","REVERT TO BASE")</f>
        <v/>
      </c>
      <c r="E20" s="7" t="inlineStr">
        <is>
          <t>Intermediate</t>
        </is>
      </c>
    </row>
    <row r="21">
      <c r="A21" s="6" t="n">
        <v>716</v>
      </c>
      <c r="B21" s="19">
        <f>(Independent_Estimate!F22-Quantity_Reconciliation!C9*246+A21*246)*(1+Parameters!C6)^Parameters!C7*(1+Parameters!C8)</f>
        <v/>
      </c>
      <c r="C21" s="19">
        <f>Independent_Estimate!F32-B21</f>
        <v/>
      </c>
      <c r="D21" s="10">
        <f>IF(C21&gt;0,"VE holds","REVERT TO BASE")</f>
        <v/>
      </c>
      <c r="E21" s="7" t="inlineStr">
        <is>
          <t>18% verified loss applied deck-wide (FEE-002)</t>
        </is>
      </c>
    </row>
    <row r="22">
      <c r="A22" s="6" t="n">
        <v>780</v>
      </c>
      <c r="B22" s="19">
        <f>(Independent_Estimate!F22-Quantity_Reconciliation!C9*246+A22*246)*(1+Parameters!C6)^Parameters!C7*(1+Parameters!C8)</f>
        <v/>
      </c>
      <c r="C22" s="19">
        <f>Independent_Estimate!F32-B22</f>
        <v/>
      </c>
      <c r="D22" s="10">
        <f>IF(C22&gt;0,"VE holds","REVERT TO BASE")</f>
        <v/>
      </c>
      <c r="E22" s="7" t="inlineStr">
        <is>
          <t>Technician estimate (P10, unverified)</t>
        </is>
      </c>
    </row>
    <row r="23">
      <c r="A23" s="6" t="n">
        <v>1000</v>
      </c>
      <c r="B23" s="19">
        <f>(Independent_Estimate!F22-Quantity_Reconciliation!C9*246+A23*246)*(1+Parameters!C6)^Parameters!C7*(1+Parameters!C8)</f>
        <v/>
      </c>
      <c r="C23" s="19">
        <f>Independent_Estimate!F32-B23</f>
        <v/>
      </c>
      <c r="D23" s="10">
        <f>IF(C23&gt;0,"VE holds","REVERT TO BASE")</f>
        <v/>
      </c>
      <c r="E23" s="7" t="inlineStr">
        <is>
          <t>Beyond technician estimate</t>
        </is>
      </c>
    </row>
    <row r="24">
      <c r="A24" s="6" t="n">
        <v>1500</v>
      </c>
      <c r="B24" s="19">
        <f>(Independent_Estimate!F22-Quantity_Reconciliation!C9*246+A24*246)*(1+Parameters!C6)^Parameters!C7*(1+Parameters!C8)</f>
        <v/>
      </c>
      <c r="C24" s="19">
        <f>Independent_Estimate!F32-B24</f>
        <v/>
      </c>
      <c r="D24" s="10">
        <f>IF(C24&gt;0,"VE holds","REVERT TO BASE")</f>
        <v/>
      </c>
      <c r="E24" s="7" t="inlineStr">
        <is>
          <t>~38% of deck — substrate adequacy questionable (engineering judgment)</t>
        </is>
      </c>
    </row>
    <row r="26">
      <c r="A26" s="13" t="inlineStr">
        <is>
          <t>SWITCH 3 — Closure windows</t>
        </is>
      </c>
    </row>
    <row r="27" ht="56" customHeight="1">
      <c r="A27" s="3" t="inlineStr">
        <is>
          <t>If operations cannot confirm ≥6-hr night windows in writing (G7 contradicted), VE staging is infeasible as priced: each additional overnight window = $52,000 (A02 basis) and unapproved outages are non-payable service failures (FMR-010). More than ~60 extra windows would erode the VE advantage arithmetically, but the OPERATIONAL floor (1 ramp always active; memo §4) governs first — treat as a gate, not a cost.</t>
        </is>
      </c>
    </row>
    <row r="29">
      <c r="A29" s="13" t="inlineStr">
        <is>
          <t>SWITCH 4 — Evidence gates failing</t>
        </is>
      </c>
    </row>
    <row r="30" ht="56" customHeight="1">
      <c r="A30" s="3" t="inlineStr">
        <is>
          <t>Failure of G8 (FRP qualification), G1 (thickness &lt; 0.31 in on verification), or unresolved G3/G4 (adhesion/chloride) each independently reverts the decision to the base scope regardless of cost, because VE function cannot be confirmed (23 U.S.C. 106(f)(2) function test, fhwa_ve_policy.pdf p.1).</t>
        </is>
      </c>
    </row>
    <row r="32">
      <c r="A32" s="13" t="inlineStr">
        <is>
          <t>NON-SWITCHES (checked, do not flip decision)</t>
        </is>
      </c>
    </row>
    <row r="33" ht="56" customHeight="1">
      <c r="A33" s="3" t="inlineStr">
        <is>
          <t>Quantity corrections (panels −2.4 SF; joints −4.4 LF) and 2%–4% discount rate move totals &lt;1%; corrosion extent alone cannot flip the decision arithmetically within the deck area (breakeven ≈ 12,800 SF &gt; 3,978.6 SF deck) — it matters through substrate adequacy (Switch 4), not price.</t>
        </is>
      </c>
    </row>
  </sheetData>
  <mergeCells count="4">
    <mergeCell ref="A27:G27"/>
    <mergeCell ref="A30:G30"/>
    <mergeCell ref="A5:G5"/>
    <mergeCell ref="A33:G3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Recommendation &amp; Board Disposition</t>
        </is>
      </c>
    </row>
    <row r="2">
      <c r="A2" s="2" t="inlineStr">
        <is>
          <t>All figures reference Independent_Estimate / Lifecycle / Sensitivity_Switch cells so this sheet cannot drift from the model.</t>
        </is>
      </c>
    </row>
    <row r="4">
      <c r="A4" s="13" t="inlineStr">
        <is>
          <t>R1 — DEFENSIBLE BASE SCOPE (decision floor)</t>
        </is>
      </c>
    </row>
    <row r="5" ht="28" customHeight="1">
      <c r="A5" s="3" t="inlineStr">
        <is>
          <t>Full steel deck-panel replacement at SPECIFICATION-PAYABLE quantities: removal 3,977.6 SF (FMR-001); new orthotropic panels 3,980 SF (FMR-002);</t>
        </is>
      </c>
    </row>
    <row r="6" ht="28" customHeight="1">
      <c r="A6" s="3" t="inlineStr">
        <is>
          <t>skewed hinge/joint seals 1,255.6 LF geometric skew length (FMR-004); bearing-interface repairs 24 EA (FMR-005); coating + containment 5,240 SF DFT-passing only (FMR-007).</t>
        </is>
      </c>
    </row>
    <row r="7" ht="28" customHeight="1">
      <c r="A7" s="3" t="inlineStr">
        <is>
          <t>Independent base total (YOE $, incl. escalation + 4% DBB change-order contingency): =Independent_Estimate!F32 — see cell link below.</t>
        </is>
      </c>
    </row>
    <row r="9">
      <c r="A9" s="13" t="inlineStr">
        <is>
          <t>Base independent total ($):</t>
        </is>
      </c>
      <c r="B9" s="20">
        <f>Independent_Estimate!F32</f>
        <v/>
      </c>
    </row>
    <row r="10">
      <c r="A10" s="13" t="inlineStr">
        <is>
          <t>VE independent total incl. corrosion risk allowance ($):</t>
        </is>
      </c>
      <c r="B10" s="20">
        <f>Independent_Estimate!F33</f>
        <v/>
      </c>
    </row>
    <row r="11">
      <c r="A11" s="13" t="inlineStr">
        <is>
          <t>Independent first-cost advantage of VE ($):</t>
        </is>
      </c>
      <c r="B11" s="20">
        <f>Independent_Estimate!F32-Independent_Estimate!F33</f>
        <v/>
      </c>
    </row>
    <row r="12">
      <c r="A12" s="13" t="inlineStr">
        <is>
          <t>Lifecycle PW advantage of VE, 40-yr @3% real ($):</t>
        </is>
      </c>
      <c r="B12" s="20">
        <f>Lifecycle!B12-Lifecycle!C12</f>
        <v/>
      </c>
    </row>
    <row r="14">
      <c r="A14" s="13" t="inlineStr">
        <is>
          <t>R2 — VE DISPOSITION: CONDITIONAL APPROVAL (not acceptance as submitted)</t>
        </is>
      </c>
    </row>
    <row r="15" ht="28" customHeight="1">
      <c r="A15" s="3" t="inlineStr">
        <is>
          <t>The overlay/FRP VE concept is technically plausible and cost-advantaged on both first cost and 40-yr present worth at the CLAIMED 22-yr life.</t>
        </is>
      </c>
    </row>
    <row r="16" ht="42" customHeight="1">
      <c r="A16" s="3" t="inlineStr">
        <is>
          <t>It is NOT approvable as submitted because function-critical evidence is unverified or contradicted: FRP qualification (G8), steel thickness (G1), coating adhesion (G3, contradicted), chloride (G4), closure windows (G7, contradicted).</t>
        </is>
      </c>
    </row>
    <row r="17" ht="28" customHeight="1">
      <c r="A17" s="3" t="inlineStr">
        <is>
          <t>Per FHWA VE doctrine (23 U.S.C. 106(f)(2); fhwa_ve_policy.pdf p.1) VE must confirm needed functions and life-cycle cost — confirmation is impossible on the current evidence record.</t>
        </is>
      </c>
    </row>
    <row r="18" ht="28" customHeight="1">
      <c r="A18" s="3" t="inlineStr">
        <is>
          <t>DISPOSITION: approve the VE concept conditionally; fix acceptance criteria and complete gates G1–G8 actions (Evidence_Gates col G) BEFORE award; if any of G1/G3/G4/G7/G8 fails, revert to base scope R1.</t>
        </is>
      </c>
    </row>
    <row r="19" ht="28" customHeight="1">
      <c r="A19" s="3" t="inlineStr">
        <is>
          <t>Verified-life floor: if qualification verifies a system life below ~16 yr (Sensitivity_Switch Switch 1), revert to base — the PW advantage is exhausted by a second renewal.</t>
        </is>
      </c>
    </row>
    <row r="21">
      <c r="A21" s="13" t="inlineStr">
        <is>
          <t>R3 — ADD-ALTERNATES</t>
        </is>
      </c>
    </row>
    <row r="22" ht="28" customHeight="1">
      <c r="A22" s="3" t="inlineStr">
        <is>
          <t>A01 Expanded bearing NDE + contingent repair (12 EA, $175,200 submitted): ACCEPT NOW — bearing evidence is "conditional" (G6) and FMR-005 excludes unverified adjacent damage; NDE is the cheapest risk control available.</t>
        </is>
      </c>
    </row>
    <row r="23" ht="28" customHeight="1">
      <c r="A23" s="3" t="inlineStr">
        <is>
          <t>A02 Additional overnight closure windows (3 EA, $156,000 allowance): DEFER — do not buy closure windows until operations confirms the 6-hr window contradiction (G7) in writing.</t>
        </is>
      </c>
    </row>
    <row r="25">
      <c r="A25" s="13" t="inlineStr">
        <is>
          <t>R4 — UNRESOLVED BOUNDARIES (stated, not fabricated)</t>
        </is>
      </c>
    </row>
    <row r="26" ht="28" customHeight="1">
      <c r="A26" s="3" t="inlineStr">
        <is>
          <t>U1: takeoff totals 178.2 ft vs stated movable length 162.0 ft (~9.1% excess) — payable quantities assume full takeoff; confirm coverage before PS&amp;E. Sensitivity: −9.1% panel scope if 162 ft governs.</t>
        </is>
      </c>
    </row>
    <row r="27" ht="42" customHeight="1">
      <c r="A27" s="3" t="inlineStr">
        <is>
          <t>U2: joint scope ambiguity — bid/takeoff joint network 1,255.3 LF vs two-hinge geometry 71.8 LF (N 30.8 ft @ 27°, S 31.2 ft @ 33°). Quantities carry the 48-segment network; if only two hinges are in scope, joint items reduce ~94%.</t>
        </is>
      </c>
    </row>
    <row r="28" ht="28" customHeight="1">
      <c r="A28" s="3" t="inlineStr">
        <is>
          <t>U3: corrosion extent — mapped 170 SF (payable) vs technician 780 SF vs 18% verified loss ≈ 716 SF deck-wide; VE carries a named risk allowance; base replacement is immune to this boundary.</t>
        </is>
      </c>
    </row>
    <row r="29" ht="28" customHeight="1">
      <c r="A29" s="3" t="inlineStr">
        <is>
          <t>U4: price basis — B02, B05, V02, V03 unit prices have no supplied independent benchmark (Market_Evidence); totals inherit submitted-price risk.</t>
        </is>
      </c>
    </row>
    <row r="30" ht="16" customHeight="1">
      <c r="A30" s="3" t="inlineStr">
        <is>
          <t>U5: escalation proxy is a ready-mix concrete PPI; no steel/fabrication index supplied.</t>
        </is>
      </c>
    </row>
    <row r="31" ht="16" customHeight="1">
      <c r="A31" s="3" t="inlineStr">
        <is>
          <t>U6: no agency discount rate supplied; 3% real assumed with 2–4% sensitivity (Lifecycle).</t>
        </is>
      </c>
    </row>
    <row r="33">
      <c r="A33" s="13" t="inlineStr">
        <is>
          <t>R5 — PROCESS NOTES</t>
        </is>
      </c>
    </row>
    <row r="34" ht="42" customHeight="1">
      <c r="A34" s="3" t="inlineStr">
        <is>
          <t>Quantities computed and independently checkable per BDM 12.2.2 (PDF p.6); final contract quantities require ±1% accuracy per BDM 12.2.4 (PDF p.7) — non-verified segments (32 of 48) must be field-checked to reach that tolerance.</t>
        </is>
      </c>
    </row>
    <row r="35" ht="28" customHeight="1">
      <c r="A35" s="3" t="inlineStr">
        <is>
          <t>Federal VE threshold (23 CFR 627.5: &gt;$40M bridges) is not met at ~$6M; this VE review is a board-directed process following FHWA practice (fhwa_ve_policy.pdf pp.1–2).</t>
        </is>
      </c>
    </row>
    <row r="36" ht="28" customHeight="1">
      <c r="A36" s="3" t="inlineStr">
        <is>
          <t>Estimate file / BOE documentation duties per CEM §6.01/§6.04 (PDF pp.34–35) apply to any reissue of this estimate.</t>
        </is>
      </c>
    </row>
  </sheetData>
  <mergeCells count="19">
    <mergeCell ref="A30:H30"/>
    <mergeCell ref="A15:H15"/>
    <mergeCell ref="A36:H36"/>
    <mergeCell ref="A6:H6"/>
    <mergeCell ref="A7:H7"/>
    <mergeCell ref="A16:H16"/>
    <mergeCell ref="A27:H27"/>
    <mergeCell ref="A18:H18"/>
    <mergeCell ref="A26:H26"/>
    <mergeCell ref="A5:H5"/>
    <mergeCell ref="A23:H23"/>
    <mergeCell ref="A22:H22"/>
    <mergeCell ref="A17:H17"/>
    <mergeCell ref="A29:H29"/>
    <mergeCell ref="A35:H35"/>
    <mergeCell ref="A28:H28"/>
    <mergeCell ref="A19:H19"/>
    <mergeCell ref="A31:H31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2026-08-24T07:27:55Z</dcterms:created>
  <dcterms:modified xmlns:dcterms="http://purl.org/dc/terms/" xmlns:xsi="http://www.w3.org/2001/XMLSchema-instance" xsi:type="dcterms:W3CDTF">2026-08-24T07:40:02Z</dcterms:modified>
</cp:coreProperties>
</file>